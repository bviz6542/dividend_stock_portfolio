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USER\Desktop\경과설 최종 보고서\"/>
    </mc:Choice>
  </mc:AlternateContent>
  <xr:revisionPtr revIDLastSave="0" documentId="13_ncr:1_{0887C0B9-7EAC-4C09-B64D-886CC29089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배당편집" sheetId="1" r:id="rId1"/>
    <sheet name="성장률" sheetId="5" r:id="rId2"/>
    <sheet name="coeff" sheetId="6" r:id="rId3"/>
    <sheet name="con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ywiGTZQKPXUDWaOSo+P/7lgPDSA=="/>
    </ext>
  </extLst>
</workbook>
</file>

<file path=xl/calcChain.xml><?xml version="1.0" encoding="utf-8"?>
<calcChain xmlns="http://schemas.openxmlformats.org/spreadsheetml/2006/main">
  <c r="V5" i="1" l="1"/>
  <c r="X2710" i="1"/>
  <c r="W2710" i="1"/>
  <c r="S2710" i="1"/>
  <c r="P2710" i="1" s="1"/>
  <c r="O2710" i="1"/>
  <c r="N2710" i="1"/>
  <c r="K2710" i="1"/>
  <c r="C2710" i="1"/>
  <c r="B2710" i="1"/>
  <c r="D2710" i="1" s="1"/>
  <c r="O2709" i="1"/>
  <c r="N2709" i="1"/>
  <c r="K2709" i="1"/>
  <c r="L2709" i="1" s="1"/>
  <c r="C2709" i="1"/>
  <c r="B2709" i="1"/>
  <c r="O2708" i="1"/>
  <c r="N2708" i="1"/>
  <c r="K2708" i="1"/>
  <c r="L2708" i="1" s="1"/>
  <c r="C2708" i="1"/>
  <c r="B2708" i="1"/>
  <c r="O2707" i="1"/>
  <c r="N2707" i="1"/>
  <c r="K2707" i="1"/>
  <c r="L2707" i="1" s="1"/>
  <c r="C2707" i="1"/>
  <c r="B2707" i="1"/>
  <c r="O2706" i="1"/>
  <c r="N2706" i="1"/>
  <c r="X2706" i="1" s="1"/>
  <c r="K2706" i="1"/>
  <c r="C2706" i="1"/>
  <c r="B2706" i="1"/>
  <c r="O2705" i="1"/>
  <c r="N2705" i="1"/>
  <c r="K2705" i="1"/>
  <c r="C2705" i="1"/>
  <c r="B2705" i="1"/>
  <c r="O2704" i="1"/>
  <c r="N2704" i="1"/>
  <c r="K2704" i="1"/>
  <c r="L2704" i="1" s="1"/>
  <c r="C2704" i="1"/>
  <c r="B2704" i="1"/>
  <c r="O2703" i="1"/>
  <c r="N2703" i="1"/>
  <c r="K2703" i="1"/>
  <c r="Q2703" i="1" s="1"/>
  <c r="C2703" i="1"/>
  <c r="B2703" i="1"/>
  <c r="O2702" i="1"/>
  <c r="N2702" i="1"/>
  <c r="K2702" i="1"/>
  <c r="C2702" i="1"/>
  <c r="B2702" i="1"/>
  <c r="O2701" i="1"/>
  <c r="N2701" i="1"/>
  <c r="K2701" i="1"/>
  <c r="C2701" i="1"/>
  <c r="B2701" i="1"/>
  <c r="O2700" i="1"/>
  <c r="N2700" i="1"/>
  <c r="K2700" i="1"/>
  <c r="C2700" i="1"/>
  <c r="B2700" i="1"/>
  <c r="O2699" i="1"/>
  <c r="N2699" i="1"/>
  <c r="K2699" i="1"/>
  <c r="Q2699" i="1" s="1"/>
  <c r="C2699" i="1"/>
  <c r="B2699" i="1"/>
  <c r="O2698" i="1"/>
  <c r="N2698" i="1"/>
  <c r="K2698" i="1"/>
  <c r="C2698" i="1"/>
  <c r="B2698" i="1"/>
  <c r="O2697" i="1"/>
  <c r="N2697" i="1"/>
  <c r="K2697" i="1"/>
  <c r="Q2697" i="1" s="1"/>
  <c r="C2697" i="1"/>
  <c r="B2697" i="1"/>
  <c r="O2696" i="1"/>
  <c r="N2696" i="1"/>
  <c r="K2696" i="1"/>
  <c r="Q2696" i="1" s="1"/>
  <c r="C2696" i="1"/>
  <c r="B2696" i="1"/>
  <c r="O2695" i="1"/>
  <c r="N2695" i="1"/>
  <c r="K2695" i="1"/>
  <c r="Q2695" i="1" s="1"/>
  <c r="C2695" i="1"/>
  <c r="B2695" i="1"/>
  <c r="O2694" i="1"/>
  <c r="N2694" i="1"/>
  <c r="K2694" i="1"/>
  <c r="C2694" i="1"/>
  <c r="B2694" i="1"/>
  <c r="O2693" i="1"/>
  <c r="N2693" i="1"/>
  <c r="K2693" i="1"/>
  <c r="L2693" i="1" s="1"/>
  <c r="C2693" i="1"/>
  <c r="B2693" i="1"/>
  <c r="O2692" i="1"/>
  <c r="N2692" i="1"/>
  <c r="K2692" i="1"/>
  <c r="L2692" i="1" s="1"/>
  <c r="C2692" i="1"/>
  <c r="B2692" i="1"/>
  <c r="O2691" i="1"/>
  <c r="N2691" i="1"/>
  <c r="K2691" i="1"/>
  <c r="L2691" i="1" s="1"/>
  <c r="C2691" i="1"/>
  <c r="B2691" i="1"/>
  <c r="O2690" i="1"/>
  <c r="N2690" i="1"/>
  <c r="K2690" i="1"/>
  <c r="C2690" i="1"/>
  <c r="B2690" i="1"/>
  <c r="O2689" i="1"/>
  <c r="N2689" i="1"/>
  <c r="K2689" i="1"/>
  <c r="C2689" i="1"/>
  <c r="B2689" i="1"/>
  <c r="O2688" i="1"/>
  <c r="N2688" i="1"/>
  <c r="K2688" i="1"/>
  <c r="L2688" i="1" s="1"/>
  <c r="C2688" i="1"/>
  <c r="B2688" i="1"/>
  <c r="O2687" i="1"/>
  <c r="N2687" i="1"/>
  <c r="K2687" i="1"/>
  <c r="C2687" i="1"/>
  <c r="B2687" i="1"/>
  <c r="O2686" i="1"/>
  <c r="N2686" i="1"/>
  <c r="K2686" i="1"/>
  <c r="L2686" i="1" s="1"/>
  <c r="R2686" i="1" s="1"/>
  <c r="C2686" i="1"/>
  <c r="B2686" i="1"/>
  <c r="O2685" i="1"/>
  <c r="N2685" i="1"/>
  <c r="K2685" i="1"/>
  <c r="C2685" i="1"/>
  <c r="B2685" i="1"/>
  <c r="D2685" i="1" s="1"/>
  <c r="O2684" i="1"/>
  <c r="N2684" i="1"/>
  <c r="K2684" i="1"/>
  <c r="C2684" i="1"/>
  <c r="B2684" i="1"/>
  <c r="O2683" i="1"/>
  <c r="N2683" i="1"/>
  <c r="K2683" i="1"/>
  <c r="C2683" i="1"/>
  <c r="B2683" i="1"/>
  <c r="O2682" i="1"/>
  <c r="N2682" i="1"/>
  <c r="K2682" i="1"/>
  <c r="C2682" i="1"/>
  <c r="B2682" i="1"/>
  <c r="O2681" i="1"/>
  <c r="N2681" i="1"/>
  <c r="K2681" i="1"/>
  <c r="Q2681" i="1" s="1"/>
  <c r="C2681" i="1"/>
  <c r="B2681" i="1"/>
  <c r="O2680" i="1"/>
  <c r="N2680" i="1"/>
  <c r="K2680" i="1"/>
  <c r="C2680" i="1"/>
  <c r="B2680" i="1"/>
  <c r="O2679" i="1"/>
  <c r="N2679" i="1"/>
  <c r="K2679" i="1"/>
  <c r="C2679" i="1"/>
  <c r="B2679" i="1"/>
  <c r="O2678" i="1"/>
  <c r="N2678" i="1"/>
  <c r="K2678" i="1"/>
  <c r="Q2678" i="1" s="1"/>
  <c r="C2678" i="1"/>
  <c r="B2678" i="1"/>
  <c r="O2677" i="1"/>
  <c r="N2677" i="1"/>
  <c r="K2677" i="1"/>
  <c r="C2677" i="1"/>
  <c r="B2677" i="1"/>
  <c r="O2676" i="1"/>
  <c r="N2676" i="1"/>
  <c r="K2676" i="1"/>
  <c r="L2676" i="1" s="1"/>
  <c r="T2676" i="1" s="1"/>
  <c r="U2676" i="1" s="1"/>
  <c r="V2676" i="1" s="1"/>
  <c r="C2676" i="1"/>
  <c r="B2676" i="1"/>
  <c r="O2675" i="1"/>
  <c r="N2675" i="1"/>
  <c r="K2675" i="1"/>
  <c r="C2675" i="1"/>
  <c r="B2675" i="1"/>
  <c r="O2674" i="1"/>
  <c r="N2674" i="1"/>
  <c r="K2674" i="1"/>
  <c r="C2674" i="1"/>
  <c r="B2674" i="1"/>
  <c r="O2673" i="1"/>
  <c r="N2673" i="1"/>
  <c r="K2673" i="1"/>
  <c r="L2673" i="1" s="1"/>
  <c r="R2673" i="1" s="1"/>
  <c r="C2673" i="1"/>
  <c r="B2673" i="1"/>
  <c r="O2672" i="1"/>
  <c r="N2672" i="1"/>
  <c r="K2672" i="1"/>
  <c r="L2672" i="1" s="1"/>
  <c r="C2672" i="1"/>
  <c r="B2672" i="1"/>
  <c r="O2671" i="1"/>
  <c r="N2671" i="1"/>
  <c r="K2671" i="1"/>
  <c r="C2671" i="1"/>
  <c r="B2671" i="1"/>
  <c r="O2670" i="1"/>
  <c r="N2670" i="1"/>
  <c r="K2670" i="1"/>
  <c r="C2670" i="1"/>
  <c r="B2670" i="1"/>
  <c r="O2669" i="1"/>
  <c r="N2669" i="1"/>
  <c r="K2669" i="1"/>
  <c r="Q2669" i="1" s="1"/>
  <c r="C2669" i="1"/>
  <c r="B2669" i="1"/>
  <c r="O2668" i="1"/>
  <c r="N2668" i="1"/>
  <c r="K2668" i="1"/>
  <c r="Q2668" i="1" s="1"/>
  <c r="C2668" i="1"/>
  <c r="B2668" i="1"/>
  <c r="O2667" i="1"/>
  <c r="N2667" i="1"/>
  <c r="K2667" i="1"/>
  <c r="C2667" i="1"/>
  <c r="B2667" i="1"/>
  <c r="O2666" i="1"/>
  <c r="N2666" i="1"/>
  <c r="K2666" i="1"/>
  <c r="Q2666" i="1" s="1"/>
  <c r="C2666" i="1"/>
  <c r="B2666" i="1"/>
  <c r="O2665" i="1"/>
  <c r="N2665" i="1"/>
  <c r="K2665" i="1"/>
  <c r="L2665" i="1" s="1"/>
  <c r="C2665" i="1"/>
  <c r="D2665" i="1" s="1"/>
  <c r="B2665" i="1"/>
  <c r="O2664" i="1"/>
  <c r="N2664" i="1"/>
  <c r="K2664" i="1"/>
  <c r="C2664" i="1"/>
  <c r="B2664" i="1"/>
  <c r="O2663" i="1"/>
  <c r="N2663" i="1"/>
  <c r="K2663" i="1"/>
  <c r="Q2663" i="1" s="1"/>
  <c r="C2663" i="1"/>
  <c r="B2663" i="1"/>
  <c r="O2662" i="1"/>
  <c r="N2662" i="1"/>
  <c r="K2662" i="1"/>
  <c r="C2662" i="1"/>
  <c r="B2662" i="1"/>
  <c r="O2661" i="1"/>
  <c r="N2661" i="1"/>
  <c r="K2661" i="1"/>
  <c r="Q2661" i="1" s="1"/>
  <c r="C2661" i="1"/>
  <c r="B2661" i="1"/>
  <c r="O2660" i="1"/>
  <c r="N2660" i="1"/>
  <c r="K2660" i="1"/>
  <c r="C2660" i="1"/>
  <c r="B2660" i="1"/>
  <c r="O2659" i="1"/>
  <c r="N2659" i="1"/>
  <c r="K2659" i="1"/>
  <c r="C2659" i="1"/>
  <c r="B2659" i="1"/>
  <c r="D2659" i="1" s="1"/>
  <c r="O2658" i="1"/>
  <c r="N2658" i="1"/>
  <c r="K2658" i="1"/>
  <c r="Q2658" i="1" s="1"/>
  <c r="C2658" i="1"/>
  <c r="B2658" i="1"/>
  <c r="O2657" i="1"/>
  <c r="N2657" i="1"/>
  <c r="K2657" i="1"/>
  <c r="L2657" i="1" s="1"/>
  <c r="C2657" i="1"/>
  <c r="B2657" i="1"/>
  <c r="O2656" i="1"/>
  <c r="N2656" i="1"/>
  <c r="K2656" i="1"/>
  <c r="C2656" i="1"/>
  <c r="B2656" i="1"/>
  <c r="O2655" i="1"/>
  <c r="N2655" i="1"/>
  <c r="K2655" i="1"/>
  <c r="C2655" i="1"/>
  <c r="B2655" i="1"/>
  <c r="O2654" i="1"/>
  <c r="N2654" i="1"/>
  <c r="K2654" i="1"/>
  <c r="C2654" i="1"/>
  <c r="B2654" i="1"/>
  <c r="O2653" i="1"/>
  <c r="N2653" i="1"/>
  <c r="K2653" i="1"/>
  <c r="C2653" i="1"/>
  <c r="B2653" i="1"/>
  <c r="O2652" i="1"/>
  <c r="N2652" i="1"/>
  <c r="K2652" i="1"/>
  <c r="C2652" i="1"/>
  <c r="B2652" i="1"/>
  <c r="O2651" i="1"/>
  <c r="N2651" i="1"/>
  <c r="K2651" i="1"/>
  <c r="Q2651" i="1" s="1"/>
  <c r="C2651" i="1"/>
  <c r="B2651" i="1"/>
  <c r="D2651" i="1" s="1"/>
  <c r="O2650" i="1"/>
  <c r="N2650" i="1"/>
  <c r="K2650" i="1"/>
  <c r="L2650" i="1" s="1"/>
  <c r="C2650" i="1"/>
  <c r="B2650" i="1"/>
  <c r="O2649" i="1"/>
  <c r="N2649" i="1"/>
  <c r="K2649" i="1"/>
  <c r="C2649" i="1"/>
  <c r="B2649" i="1"/>
  <c r="O2648" i="1"/>
  <c r="N2648" i="1"/>
  <c r="K2648" i="1"/>
  <c r="C2648" i="1"/>
  <c r="B2648" i="1"/>
  <c r="O2647" i="1"/>
  <c r="N2647" i="1"/>
  <c r="K2647" i="1"/>
  <c r="Q2647" i="1" s="1"/>
  <c r="C2647" i="1"/>
  <c r="B2647" i="1"/>
  <c r="O2646" i="1"/>
  <c r="N2646" i="1"/>
  <c r="K2646" i="1"/>
  <c r="C2646" i="1"/>
  <c r="B2646" i="1"/>
  <c r="O2645" i="1"/>
  <c r="N2645" i="1"/>
  <c r="K2645" i="1"/>
  <c r="C2645" i="1"/>
  <c r="B2645" i="1"/>
  <c r="O2644" i="1"/>
  <c r="N2644" i="1"/>
  <c r="K2644" i="1"/>
  <c r="C2644" i="1"/>
  <c r="B2644" i="1"/>
  <c r="O2643" i="1"/>
  <c r="N2643" i="1"/>
  <c r="K2643" i="1"/>
  <c r="C2643" i="1"/>
  <c r="B2643" i="1"/>
  <c r="O2642" i="1"/>
  <c r="N2642" i="1"/>
  <c r="K2642" i="1"/>
  <c r="C2642" i="1"/>
  <c r="B2642" i="1"/>
  <c r="O2641" i="1"/>
  <c r="N2641" i="1"/>
  <c r="K2641" i="1"/>
  <c r="C2641" i="1"/>
  <c r="D2641" i="1" s="1"/>
  <c r="B2641" i="1"/>
  <c r="O2640" i="1"/>
  <c r="N2640" i="1"/>
  <c r="K2640" i="1"/>
  <c r="L2640" i="1" s="1"/>
  <c r="C2640" i="1"/>
  <c r="B2640" i="1"/>
  <c r="O2639" i="1"/>
  <c r="N2639" i="1"/>
  <c r="K2639" i="1"/>
  <c r="C2639" i="1"/>
  <c r="B2639" i="1"/>
  <c r="O2638" i="1"/>
  <c r="N2638" i="1"/>
  <c r="K2638" i="1"/>
  <c r="C2638" i="1"/>
  <c r="B2638" i="1"/>
  <c r="O2637" i="1"/>
  <c r="N2637" i="1"/>
  <c r="K2637" i="1"/>
  <c r="C2637" i="1"/>
  <c r="B2637" i="1"/>
  <c r="O2636" i="1"/>
  <c r="N2636" i="1"/>
  <c r="K2636" i="1"/>
  <c r="C2636" i="1"/>
  <c r="B2636" i="1"/>
  <c r="O2635" i="1"/>
  <c r="N2635" i="1"/>
  <c r="K2635" i="1"/>
  <c r="C2635" i="1"/>
  <c r="B2635" i="1"/>
  <c r="O2634" i="1"/>
  <c r="N2634" i="1"/>
  <c r="K2634" i="1"/>
  <c r="L2634" i="1" s="1"/>
  <c r="C2634" i="1"/>
  <c r="B2634" i="1"/>
  <c r="O2633" i="1"/>
  <c r="N2633" i="1"/>
  <c r="K2633" i="1"/>
  <c r="C2633" i="1"/>
  <c r="B2633" i="1"/>
  <c r="O2632" i="1"/>
  <c r="N2632" i="1"/>
  <c r="K2632" i="1"/>
  <c r="L2632" i="1" s="1"/>
  <c r="C2632" i="1"/>
  <c r="B2632" i="1"/>
  <c r="O2631" i="1"/>
  <c r="N2631" i="1"/>
  <c r="K2631" i="1"/>
  <c r="Q2631" i="1" s="1"/>
  <c r="C2631" i="1"/>
  <c r="B2631" i="1"/>
  <c r="O2630" i="1"/>
  <c r="N2630" i="1"/>
  <c r="K2630" i="1"/>
  <c r="C2630" i="1"/>
  <c r="B2630" i="1"/>
  <c r="O2629" i="1"/>
  <c r="N2629" i="1"/>
  <c r="K2629" i="1"/>
  <c r="C2629" i="1"/>
  <c r="B2629" i="1"/>
  <c r="O2628" i="1"/>
  <c r="N2628" i="1"/>
  <c r="K2628" i="1"/>
  <c r="C2628" i="1"/>
  <c r="B2628" i="1"/>
  <c r="O2627" i="1"/>
  <c r="N2627" i="1"/>
  <c r="K2627" i="1"/>
  <c r="C2627" i="1"/>
  <c r="B2627" i="1"/>
  <c r="O2626" i="1"/>
  <c r="N2626" i="1"/>
  <c r="K2626" i="1"/>
  <c r="L2626" i="1" s="1"/>
  <c r="R2626" i="1" s="1"/>
  <c r="C2626" i="1"/>
  <c r="B2626" i="1"/>
  <c r="O2625" i="1"/>
  <c r="N2625" i="1"/>
  <c r="K2625" i="1"/>
  <c r="C2625" i="1"/>
  <c r="B2625" i="1"/>
  <c r="O2624" i="1"/>
  <c r="N2624" i="1"/>
  <c r="K2624" i="1"/>
  <c r="L2624" i="1" s="1"/>
  <c r="C2624" i="1"/>
  <c r="B2624" i="1"/>
  <c r="O2623" i="1"/>
  <c r="N2623" i="1"/>
  <c r="K2623" i="1"/>
  <c r="C2623" i="1"/>
  <c r="B2623" i="1"/>
  <c r="X2622" i="1"/>
  <c r="W2622" i="1"/>
  <c r="S2622" i="1"/>
  <c r="P2622" i="1" s="1"/>
  <c r="O2622" i="1"/>
  <c r="N2622" i="1"/>
  <c r="K2622" i="1"/>
  <c r="C2622" i="1"/>
  <c r="B2622" i="1"/>
  <c r="O2621" i="1"/>
  <c r="N2621" i="1"/>
  <c r="K2621" i="1"/>
  <c r="C2621" i="1"/>
  <c r="B2621" i="1"/>
  <c r="O2620" i="1"/>
  <c r="N2620" i="1"/>
  <c r="K2620" i="1"/>
  <c r="C2620" i="1"/>
  <c r="B2620" i="1"/>
  <c r="O2619" i="1"/>
  <c r="N2619" i="1"/>
  <c r="K2619" i="1"/>
  <c r="C2619" i="1"/>
  <c r="B2619" i="1"/>
  <c r="O2618" i="1"/>
  <c r="N2618" i="1"/>
  <c r="K2618" i="1"/>
  <c r="C2618" i="1"/>
  <c r="B2618" i="1"/>
  <c r="O2617" i="1"/>
  <c r="N2617" i="1"/>
  <c r="K2617" i="1"/>
  <c r="L2617" i="1" s="1"/>
  <c r="C2617" i="1"/>
  <c r="B2617" i="1"/>
  <c r="O2616" i="1"/>
  <c r="N2616" i="1"/>
  <c r="K2616" i="1"/>
  <c r="L2616" i="1" s="1"/>
  <c r="C2616" i="1"/>
  <c r="B2616" i="1"/>
  <c r="O2615" i="1"/>
  <c r="N2615" i="1"/>
  <c r="K2615" i="1"/>
  <c r="C2615" i="1"/>
  <c r="B2615" i="1"/>
  <c r="O2614" i="1"/>
  <c r="N2614" i="1"/>
  <c r="K2614" i="1"/>
  <c r="C2614" i="1"/>
  <c r="B2614" i="1"/>
  <c r="O2613" i="1"/>
  <c r="N2613" i="1"/>
  <c r="K2613" i="1"/>
  <c r="C2613" i="1"/>
  <c r="B2613" i="1"/>
  <c r="O2612" i="1"/>
  <c r="N2612" i="1"/>
  <c r="K2612" i="1"/>
  <c r="C2612" i="1"/>
  <c r="B2612" i="1"/>
  <c r="O2611" i="1"/>
  <c r="N2611" i="1"/>
  <c r="K2611" i="1"/>
  <c r="C2611" i="1"/>
  <c r="B2611" i="1"/>
  <c r="O2610" i="1"/>
  <c r="N2610" i="1"/>
  <c r="K2610" i="1"/>
  <c r="C2610" i="1"/>
  <c r="B2610" i="1"/>
  <c r="O2609" i="1"/>
  <c r="N2609" i="1"/>
  <c r="K2609" i="1"/>
  <c r="L2609" i="1" s="1"/>
  <c r="C2609" i="1"/>
  <c r="B2609" i="1"/>
  <c r="O2608" i="1"/>
  <c r="N2608" i="1"/>
  <c r="K2608" i="1"/>
  <c r="L2608" i="1" s="1"/>
  <c r="C2608" i="1"/>
  <c r="B2608" i="1"/>
  <c r="O2607" i="1"/>
  <c r="N2607" i="1"/>
  <c r="K2607" i="1"/>
  <c r="C2607" i="1"/>
  <c r="B2607" i="1"/>
  <c r="O2606" i="1"/>
  <c r="N2606" i="1"/>
  <c r="K2606" i="1"/>
  <c r="C2606" i="1"/>
  <c r="B2606" i="1"/>
  <c r="O2605" i="1"/>
  <c r="N2605" i="1"/>
  <c r="K2605" i="1"/>
  <c r="C2605" i="1"/>
  <c r="B2605" i="1"/>
  <c r="O2604" i="1"/>
  <c r="N2604" i="1"/>
  <c r="K2604" i="1"/>
  <c r="C2604" i="1"/>
  <c r="B2604" i="1"/>
  <c r="O2603" i="1"/>
  <c r="N2603" i="1"/>
  <c r="K2603" i="1"/>
  <c r="C2603" i="1"/>
  <c r="B2603" i="1"/>
  <c r="O2602" i="1"/>
  <c r="N2602" i="1"/>
  <c r="K2602" i="1"/>
  <c r="L2602" i="1" s="1"/>
  <c r="C2602" i="1"/>
  <c r="B2602" i="1"/>
  <c r="O2601" i="1"/>
  <c r="N2601" i="1"/>
  <c r="K2601" i="1"/>
  <c r="L2601" i="1" s="1"/>
  <c r="C2601" i="1"/>
  <c r="B2601" i="1"/>
  <c r="O2600" i="1"/>
  <c r="N2600" i="1"/>
  <c r="K2600" i="1"/>
  <c r="L2600" i="1" s="1"/>
  <c r="C2600" i="1"/>
  <c r="B2600" i="1"/>
  <c r="O2599" i="1"/>
  <c r="N2599" i="1"/>
  <c r="K2599" i="1"/>
  <c r="C2599" i="1"/>
  <c r="B2599" i="1"/>
  <c r="O2598" i="1"/>
  <c r="N2598" i="1"/>
  <c r="K2598" i="1"/>
  <c r="C2598" i="1"/>
  <c r="B2598" i="1"/>
  <c r="O2597" i="1"/>
  <c r="N2597" i="1"/>
  <c r="K2597" i="1"/>
  <c r="C2597" i="1"/>
  <c r="B2597" i="1"/>
  <c r="O2596" i="1"/>
  <c r="N2596" i="1"/>
  <c r="K2596" i="1"/>
  <c r="C2596" i="1"/>
  <c r="B2596" i="1"/>
  <c r="O2595" i="1"/>
  <c r="N2595" i="1"/>
  <c r="K2595" i="1"/>
  <c r="C2595" i="1"/>
  <c r="B2595" i="1"/>
  <c r="O2594" i="1"/>
  <c r="N2594" i="1"/>
  <c r="K2594" i="1"/>
  <c r="C2594" i="1"/>
  <c r="B2594" i="1"/>
  <c r="O2593" i="1"/>
  <c r="N2593" i="1"/>
  <c r="K2593" i="1"/>
  <c r="L2593" i="1" s="1"/>
  <c r="C2593" i="1"/>
  <c r="B2593" i="1"/>
  <c r="O2592" i="1"/>
  <c r="N2592" i="1"/>
  <c r="K2592" i="1"/>
  <c r="L2592" i="1" s="1"/>
  <c r="C2592" i="1"/>
  <c r="B2592" i="1"/>
  <c r="O2591" i="1"/>
  <c r="N2591" i="1"/>
  <c r="K2591" i="1"/>
  <c r="L2591" i="1" s="1"/>
  <c r="M2591" i="1" s="1"/>
  <c r="C2591" i="1"/>
  <c r="B2591" i="1"/>
  <c r="O2590" i="1"/>
  <c r="N2590" i="1"/>
  <c r="K2590" i="1"/>
  <c r="Q2590" i="1" s="1"/>
  <c r="C2590" i="1"/>
  <c r="B2590" i="1"/>
  <c r="O2589" i="1"/>
  <c r="N2589" i="1"/>
  <c r="K2589" i="1"/>
  <c r="C2589" i="1"/>
  <c r="B2589" i="1"/>
  <c r="O2588" i="1"/>
  <c r="N2588" i="1"/>
  <c r="K2588" i="1"/>
  <c r="C2588" i="1"/>
  <c r="B2588" i="1"/>
  <c r="O2587" i="1"/>
  <c r="N2587" i="1"/>
  <c r="K2587" i="1"/>
  <c r="C2587" i="1"/>
  <c r="B2587" i="1"/>
  <c r="O2586" i="1"/>
  <c r="N2586" i="1"/>
  <c r="K2586" i="1"/>
  <c r="L2586" i="1" s="1"/>
  <c r="R2586" i="1" s="1"/>
  <c r="C2586" i="1"/>
  <c r="B2586" i="1"/>
  <c r="O2585" i="1"/>
  <c r="N2585" i="1"/>
  <c r="K2585" i="1"/>
  <c r="L2585" i="1" s="1"/>
  <c r="C2585" i="1"/>
  <c r="B2585" i="1"/>
  <c r="O2584" i="1"/>
  <c r="N2584" i="1"/>
  <c r="K2584" i="1"/>
  <c r="L2584" i="1" s="1"/>
  <c r="C2584" i="1"/>
  <c r="B2584" i="1"/>
  <c r="O2583" i="1"/>
  <c r="N2583" i="1"/>
  <c r="K2583" i="1"/>
  <c r="C2583" i="1"/>
  <c r="B2583" i="1"/>
  <c r="O2582" i="1"/>
  <c r="N2582" i="1"/>
  <c r="K2582" i="1"/>
  <c r="C2582" i="1"/>
  <c r="B2582" i="1"/>
  <c r="O2581" i="1"/>
  <c r="N2581" i="1"/>
  <c r="K2581" i="1"/>
  <c r="C2581" i="1"/>
  <c r="B2581" i="1"/>
  <c r="O2580" i="1"/>
  <c r="N2580" i="1"/>
  <c r="K2580" i="1"/>
  <c r="C2580" i="1"/>
  <c r="B2580" i="1"/>
  <c r="O2579" i="1"/>
  <c r="N2579" i="1"/>
  <c r="K2579" i="1"/>
  <c r="C2579" i="1"/>
  <c r="B2579" i="1"/>
  <c r="O2578" i="1"/>
  <c r="N2578" i="1"/>
  <c r="K2578" i="1"/>
  <c r="C2578" i="1"/>
  <c r="B2578" i="1"/>
  <c r="O2577" i="1"/>
  <c r="N2577" i="1"/>
  <c r="K2577" i="1"/>
  <c r="L2577" i="1" s="1"/>
  <c r="C2577" i="1"/>
  <c r="B2577" i="1"/>
  <c r="O2576" i="1"/>
  <c r="N2576" i="1"/>
  <c r="K2576" i="1"/>
  <c r="L2576" i="1" s="1"/>
  <c r="C2576" i="1"/>
  <c r="B2576" i="1"/>
  <c r="O2575" i="1"/>
  <c r="N2575" i="1"/>
  <c r="K2575" i="1"/>
  <c r="C2575" i="1"/>
  <c r="B2575" i="1"/>
  <c r="O2574" i="1"/>
  <c r="N2574" i="1"/>
  <c r="K2574" i="1"/>
  <c r="C2574" i="1"/>
  <c r="B2574" i="1"/>
  <c r="O2573" i="1"/>
  <c r="N2573" i="1"/>
  <c r="K2573" i="1"/>
  <c r="C2573" i="1"/>
  <c r="B2573" i="1"/>
  <c r="O2572" i="1"/>
  <c r="N2572" i="1"/>
  <c r="K2572" i="1"/>
  <c r="C2572" i="1"/>
  <c r="B2572" i="1"/>
  <c r="O2571" i="1"/>
  <c r="N2571" i="1"/>
  <c r="K2571" i="1"/>
  <c r="C2571" i="1"/>
  <c r="B2571" i="1"/>
  <c r="O2570" i="1"/>
  <c r="N2570" i="1"/>
  <c r="K2570" i="1"/>
  <c r="C2570" i="1"/>
  <c r="B2570" i="1"/>
  <c r="O2569" i="1"/>
  <c r="N2569" i="1"/>
  <c r="K2569" i="1"/>
  <c r="L2569" i="1" s="1"/>
  <c r="C2569" i="1"/>
  <c r="B2569" i="1"/>
  <c r="O2568" i="1"/>
  <c r="N2568" i="1"/>
  <c r="K2568" i="1"/>
  <c r="L2568" i="1" s="1"/>
  <c r="C2568" i="1"/>
  <c r="B2568" i="1"/>
  <c r="X2567" i="1"/>
  <c r="W2567" i="1"/>
  <c r="S2567" i="1"/>
  <c r="P2567" i="1" s="1"/>
  <c r="O2567" i="1"/>
  <c r="N2567" i="1"/>
  <c r="K2567" i="1"/>
  <c r="C2567" i="1"/>
  <c r="B2567" i="1"/>
  <c r="O2566" i="1"/>
  <c r="N2566" i="1"/>
  <c r="K2566" i="1"/>
  <c r="C2566" i="1"/>
  <c r="B2566" i="1"/>
  <c r="O2565" i="1"/>
  <c r="N2565" i="1"/>
  <c r="K2565" i="1"/>
  <c r="Q2565" i="1" s="1"/>
  <c r="C2565" i="1"/>
  <c r="B2565" i="1"/>
  <c r="O2564" i="1"/>
  <c r="N2564" i="1"/>
  <c r="K2564" i="1"/>
  <c r="Q2564" i="1" s="1"/>
  <c r="C2564" i="1"/>
  <c r="B2564" i="1"/>
  <c r="O2563" i="1"/>
  <c r="N2563" i="1"/>
  <c r="K2563" i="1"/>
  <c r="C2563" i="1"/>
  <c r="B2563" i="1"/>
  <c r="O2562" i="1"/>
  <c r="N2562" i="1"/>
  <c r="K2562" i="1"/>
  <c r="C2562" i="1"/>
  <c r="B2562" i="1"/>
  <c r="O2561" i="1"/>
  <c r="N2561" i="1"/>
  <c r="K2561" i="1"/>
  <c r="L2561" i="1" s="1"/>
  <c r="C2561" i="1"/>
  <c r="B2561" i="1"/>
  <c r="O2560" i="1"/>
  <c r="N2560" i="1"/>
  <c r="K2560" i="1"/>
  <c r="L2560" i="1" s="1"/>
  <c r="C2560" i="1"/>
  <c r="B2560" i="1"/>
  <c r="O2559" i="1"/>
  <c r="N2559" i="1"/>
  <c r="K2559" i="1"/>
  <c r="C2559" i="1"/>
  <c r="B2559" i="1"/>
  <c r="O2558" i="1"/>
  <c r="N2558" i="1"/>
  <c r="K2558" i="1"/>
  <c r="C2558" i="1"/>
  <c r="B2558" i="1"/>
  <c r="O2557" i="1"/>
  <c r="N2557" i="1"/>
  <c r="K2557" i="1"/>
  <c r="C2557" i="1"/>
  <c r="B2557" i="1"/>
  <c r="O2556" i="1"/>
  <c r="N2556" i="1"/>
  <c r="K2556" i="1"/>
  <c r="C2556" i="1"/>
  <c r="B2556" i="1"/>
  <c r="O2555" i="1"/>
  <c r="N2555" i="1"/>
  <c r="K2555" i="1"/>
  <c r="C2555" i="1"/>
  <c r="B2555" i="1"/>
  <c r="O2554" i="1"/>
  <c r="N2554" i="1"/>
  <c r="K2554" i="1"/>
  <c r="C2554" i="1"/>
  <c r="B2554" i="1"/>
  <c r="O2553" i="1"/>
  <c r="N2553" i="1"/>
  <c r="K2553" i="1"/>
  <c r="C2553" i="1"/>
  <c r="B2553" i="1"/>
  <c r="O2552" i="1"/>
  <c r="N2552" i="1"/>
  <c r="K2552" i="1"/>
  <c r="C2552" i="1"/>
  <c r="B2552" i="1"/>
  <c r="O2551" i="1"/>
  <c r="N2551" i="1"/>
  <c r="K2551" i="1"/>
  <c r="C2551" i="1"/>
  <c r="B2551" i="1"/>
  <c r="O2550" i="1"/>
  <c r="N2550" i="1"/>
  <c r="K2550" i="1"/>
  <c r="C2550" i="1"/>
  <c r="B2550" i="1"/>
  <c r="O2549" i="1"/>
  <c r="N2549" i="1"/>
  <c r="K2549" i="1"/>
  <c r="C2549" i="1"/>
  <c r="B2549" i="1"/>
  <c r="O2548" i="1"/>
  <c r="N2548" i="1"/>
  <c r="K2548" i="1"/>
  <c r="C2548" i="1"/>
  <c r="B2548" i="1"/>
  <c r="O2547" i="1"/>
  <c r="N2547" i="1"/>
  <c r="K2547" i="1"/>
  <c r="C2547" i="1"/>
  <c r="B2547" i="1"/>
  <c r="O2546" i="1"/>
  <c r="N2546" i="1"/>
  <c r="K2546" i="1"/>
  <c r="Q2546" i="1" s="1"/>
  <c r="C2546" i="1"/>
  <c r="B2546" i="1"/>
  <c r="O2545" i="1"/>
  <c r="N2545" i="1"/>
  <c r="K2545" i="1"/>
  <c r="C2545" i="1"/>
  <c r="B2545" i="1"/>
  <c r="O2544" i="1"/>
  <c r="N2544" i="1"/>
  <c r="K2544" i="1"/>
  <c r="C2544" i="1"/>
  <c r="B2544" i="1"/>
  <c r="O2543" i="1"/>
  <c r="N2543" i="1"/>
  <c r="K2543" i="1"/>
  <c r="C2543" i="1"/>
  <c r="B2543" i="1"/>
  <c r="O2542" i="1"/>
  <c r="N2542" i="1"/>
  <c r="K2542" i="1"/>
  <c r="C2542" i="1"/>
  <c r="B2542" i="1"/>
  <c r="O2541" i="1"/>
  <c r="N2541" i="1"/>
  <c r="K2541" i="1"/>
  <c r="C2541" i="1"/>
  <c r="B2541" i="1"/>
  <c r="O2540" i="1"/>
  <c r="N2540" i="1"/>
  <c r="K2540" i="1"/>
  <c r="C2540" i="1"/>
  <c r="B2540" i="1"/>
  <c r="O2539" i="1"/>
  <c r="N2539" i="1"/>
  <c r="K2539" i="1"/>
  <c r="C2539" i="1"/>
  <c r="B2539" i="1"/>
  <c r="O2538" i="1"/>
  <c r="N2538" i="1"/>
  <c r="K2538" i="1"/>
  <c r="C2538" i="1"/>
  <c r="B2538" i="1"/>
  <c r="O2537" i="1"/>
  <c r="N2537" i="1"/>
  <c r="K2537" i="1"/>
  <c r="L2537" i="1" s="1"/>
  <c r="C2537" i="1"/>
  <c r="B2537" i="1"/>
  <c r="T2536" i="1"/>
  <c r="U2536" i="1" s="1"/>
  <c r="V2536" i="1" s="1"/>
  <c r="O2536" i="1"/>
  <c r="N2536" i="1"/>
  <c r="K2536" i="1"/>
  <c r="L2536" i="1" s="1"/>
  <c r="M2536" i="1" s="1"/>
  <c r="C2536" i="1"/>
  <c r="B2536" i="1"/>
  <c r="O2535" i="1"/>
  <c r="N2535" i="1"/>
  <c r="K2535" i="1"/>
  <c r="C2535" i="1"/>
  <c r="B2535" i="1"/>
  <c r="O2534" i="1"/>
  <c r="N2534" i="1"/>
  <c r="K2534" i="1"/>
  <c r="L2534" i="1" s="1"/>
  <c r="C2534" i="1"/>
  <c r="B2534" i="1"/>
  <c r="O2533" i="1"/>
  <c r="N2533" i="1"/>
  <c r="K2533" i="1"/>
  <c r="C2533" i="1"/>
  <c r="B2533" i="1"/>
  <c r="O2532" i="1"/>
  <c r="N2532" i="1"/>
  <c r="K2532" i="1"/>
  <c r="C2532" i="1"/>
  <c r="B2532" i="1"/>
  <c r="O2531" i="1"/>
  <c r="N2531" i="1"/>
  <c r="K2531" i="1"/>
  <c r="C2531" i="1"/>
  <c r="B2531" i="1"/>
  <c r="O2530" i="1"/>
  <c r="N2530" i="1"/>
  <c r="K2530" i="1"/>
  <c r="C2530" i="1"/>
  <c r="B2530" i="1"/>
  <c r="O2529" i="1"/>
  <c r="N2529" i="1"/>
  <c r="K2529" i="1"/>
  <c r="C2529" i="1"/>
  <c r="B2529" i="1"/>
  <c r="O2528" i="1"/>
  <c r="N2528" i="1"/>
  <c r="K2528" i="1"/>
  <c r="C2528" i="1"/>
  <c r="B2528" i="1"/>
  <c r="O2527" i="1"/>
  <c r="N2527" i="1"/>
  <c r="K2527" i="1"/>
  <c r="C2527" i="1"/>
  <c r="B2527" i="1"/>
  <c r="O2526" i="1"/>
  <c r="N2526" i="1"/>
  <c r="K2526" i="1"/>
  <c r="C2526" i="1"/>
  <c r="B2526" i="1"/>
  <c r="O2525" i="1"/>
  <c r="N2525" i="1"/>
  <c r="K2525" i="1"/>
  <c r="C2525" i="1"/>
  <c r="B2525" i="1"/>
  <c r="O2524" i="1"/>
  <c r="N2524" i="1"/>
  <c r="K2524" i="1"/>
  <c r="C2524" i="1"/>
  <c r="B2524" i="1"/>
  <c r="O2523" i="1"/>
  <c r="N2523" i="1"/>
  <c r="K2523" i="1"/>
  <c r="C2523" i="1"/>
  <c r="B2523" i="1"/>
  <c r="O2522" i="1"/>
  <c r="N2522" i="1"/>
  <c r="K2522" i="1"/>
  <c r="C2522" i="1"/>
  <c r="B2522" i="1"/>
  <c r="O2521" i="1"/>
  <c r="N2521" i="1"/>
  <c r="K2521" i="1"/>
  <c r="L2521" i="1" s="1"/>
  <c r="C2521" i="1"/>
  <c r="B2521" i="1"/>
  <c r="O2520" i="1"/>
  <c r="N2520" i="1"/>
  <c r="K2520" i="1"/>
  <c r="C2520" i="1"/>
  <c r="B2520" i="1"/>
  <c r="O2519" i="1"/>
  <c r="N2519" i="1"/>
  <c r="K2519" i="1"/>
  <c r="C2519" i="1"/>
  <c r="B2519" i="1"/>
  <c r="O2518" i="1"/>
  <c r="N2518" i="1"/>
  <c r="K2518" i="1"/>
  <c r="C2518" i="1"/>
  <c r="B2518" i="1"/>
  <c r="O2517" i="1"/>
  <c r="N2517" i="1"/>
  <c r="K2517" i="1"/>
  <c r="C2517" i="1"/>
  <c r="B2517" i="1"/>
  <c r="O2516" i="1"/>
  <c r="N2516" i="1"/>
  <c r="K2516" i="1"/>
  <c r="C2516" i="1"/>
  <c r="B2516" i="1"/>
  <c r="O2515" i="1"/>
  <c r="N2515" i="1"/>
  <c r="K2515" i="1"/>
  <c r="C2515" i="1"/>
  <c r="B2515" i="1"/>
  <c r="O2514" i="1"/>
  <c r="N2514" i="1"/>
  <c r="K2514" i="1"/>
  <c r="L2514" i="1" s="1"/>
  <c r="C2514" i="1"/>
  <c r="B2514" i="1"/>
  <c r="O2513" i="1"/>
  <c r="N2513" i="1"/>
  <c r="K2513" i="1"/>
  <c r="Q2513" i="1" s="1"/>
  <c r="C2513" i="1"/>
  <c r="B2513" i="1"/>
  <c r="O2512" i="1"/>
  <c r="N2512" i="1"/>
  <c r="K2512" i="1"/>
  <c r="C2512" i="1"/>
  <c r="B2512" i="1"/>
  <c r="O2511" i="1"/>
  <c r="N2511" i="1"/>
  <c r="K2511" i="1"/>
  <c r="C2511" i="1"/>
  <c r="B2511" i="1"/>
  <c r="O2510" i="1"/>
  <c r="N2510" i="1"/>
  <c r="K2510" i="1"/>
  <c r="Q2510" i="1" s="1"/>
  <c r="C2510" i="1"/>
  <c r="B2510" i="1"/>
  <c r="O2509" i="1"/>
  <c r="N2509" i="1"/>
  <c r="K2509" i="1"/>
  <c r="Q2509" i="1" s="1"/>
  <c r="C2509" i="1"/>
  <c r="B2509" i="1"/>
  <c r="O2508" i="1"/>
  <c r="N2508" i="1"/>
  <c r="K2508" i="1"/>
  <c r="C2508" i="1"/>
  <c r="B2508" i="1"/>
  <c r="O2507" i="1"/>
  <c r="N2507" i="1"/>
  <c r="K2507" i="1"/>
  <c r="C2507" i="1"/>
  <c r="B2507" i="1"/>
  <c r="O2506" i="1"/>
  <c r="N2506" i="1"/>
  <c r="K2506" i="1"/>
  <c r="C2506" i="1"/>
  <c r="B2506" i="1"/>
  <c r="O2505" i="1"/>
  <c r="N2505" i="1"/>
  <c r="K2505" i="1"/>
  <c r="L2505" i="1" s="1"/>
  <c r="C2505" i="1"/>
  <c r="B2505" i="1"/>
  <c r="O2504" i="1"/>
  <c r="N2504" i="1"/>
  <c r="K2504" i="1"/>
  <c r="C2504" i="1"/>
  <c r="B2504" i="1"/>
  <c r="O2503" i="1"/>
  <c r="N2503" i="1"/>
  <c r="K2503" i="1"/>
  <c r="C2503" i="1"/>
  <c r="B2503" i="1"/>
  <c r="O2502" i="1"/>
  <c r="N2502" i="1"/>
  <c r="K2502" i="1"/>
  <c r="C2502" i="1"/>
  <c r="B2502" i="1"/>
  <c r="O2501" i="1"/>
  <c r="N2501" i="1"/>
  <c r="K2501" i="1"/>
  <c r="L2501" i="1" s="1"/>
  <c r="C2501" i="1"/>
  <c r="B2501" i="1"/>
  <c r="O2500" i="1"/>
  <c r="N2500" i="1"/>
  <c r="K2500" i="1"/>
  <c r="C2500" i="1"/>
  <c r="B2500" i="1"/>
  <c r="O2499" i="1"/>
  <c r="N2499" i="1"/>
  <c r="K2499" i="1"/>
  <c r="C2499" i="1"/>
  <c r="B2499" i="1"/>
  <c r="O2498" i="1"/>
  <c r="N2498" i="1"/>
  <c r="K2498" i="1"/>
  <c r="C2498" i="1"/>
  <c r="B2498" i="1"/>
  <c r="O2497" i="1"/>
  <c r="N2497" i="1"/>
  <c r="K2497" i="1"/>
  <c r="L2497" i="1" s="1"/>
  <c r="C2497" i="1"/>
  <c r="B2497" i="1"/>
  <c r="O2496" i="1"/>
  <c r="N2496" i="1"/>
  <c r="K2496" i="1"/>
  <c r="C2496" i="1"/>
  <c r="B2496" i="1"/>
  <c r="O2495" i="1"/>
  <c r="N2495" i="1"/>
  <c r="K2495" i="1"/>
  <c r="C2495" i="1"/>
  <c r="B2495" i="1"/>
  <c r="O2494" i="1"/>
  <c r="N2494" i="1"/>
  <c r="K2494" i="1"/>
  <c r="C2494" i="1"/>
  <c r="B2494" i="1"/>
  <c r="O2493" i="1"/>
  <c r="N2493" i="1"/>
  <c r="K2493" i="1"/>
  <c r="C2493" i="1"/>
  <c r="B2493" i="1"/>
  <c r="O2492" i="1"/>
  <c r="N2492" i="1"/>
  <c r="K2492" i="1"/>
  <c r="C2492" i="1"/>
  <c r="B2492" i="1"/>
  <c r="O2491" i="1"/>
  <c r="N2491" i="1"/>
  <c r="K2491" i="1"/>
  <c r="C2491" i="1"/>
  <c r="B2491" i="1"/>
  <c r="O2490" i="1"/>
  <c r="N2490" i="1"/>
  <c r="K2490" i="1"/>
  <c r="C2490" i="1"/>
  <c r="B2490" i="1"/>
  <c r="O2489" i="1"/>
  <c r="N2489" i="1"/>
  <c r="K2489" i="1"/>
  <c r="L2489" i="1" s="1"/>
  <c r="C2489" i="1"/>
  <c r="B2489" i="1"/>
  <c r="O2488" i="1"/>
  <c r="N2488" i="1"/>
  <c r="K2488" i="1"/>
  <c r="C2488" i="1"/>
  <c r="B2488" i="1"/>
  <c r="O2487" i="1"/>
  <c r="N2487" i="1"/>
  <c r="K2487" i="1"/>
  <c r="C2487" i="1"/>
  <c r="B2487" i="1"/>
  <c r="O2486" i="1"/>
  <c r="N2486" i="1"/>
  <c r="K2486" i="1"/>
  <c r="C2486" i="1"/>
  <c r="B2486" i="1"/>
  <c r="O2485" i="1"/>
  <c r="N2485" i="1"/>
  <c r="K2485" i="1"/>
  <c r="C2485" i="1"/>
  <c r="B2485" i="1"/>
  <c r="O2484" i="1"/>
  <c r="N2484" i="1"/>
  <c r="K2484" i="1"/>
  <c r="L2484" i="1" s="1"/>
  <c r="C2484" i="1"/>
  <c r="B2484" i="1"/>
  <c r="O2483" i="1"/>
  <c r="N2483" i="1"/>
  <c r="K2483" i="1"/>
  <c r="C2483" i="1"/>
  <c r="B2483" i="1"/>
  <c r="O2482" i="1"/>
  <c r="N2482" i="1"/>
  <c r="K2482" i="1"/>
  <c r="C2482" i="1"/>
  <c r="B2482" i="1"/>
  <c r="O2481" i="1"/>
  <c r="N2481" i="1"/>
  <c r="K2481" i="1"/>
  <c r="L2481" i="1" s="1"/>
  <c r="C2481" i="1"/>
  <c r="B2481" i="1"/>
  <c r="O2480" i="1"/>
  <c r="N2480" i="1"/>
  <c r="K2480" i="1"/>
  <c r="C2480" i="1"/>
  <c r="B2480" i="1"/>
  <c r="O2479" i="1"/>
  <c r="N2479" i="1"/>
  <c r="K2479" i="1"/>
  <c r="C2479" i="1"/>
  <c r="B2479" i="1"/>
  <c r="O2478" i="1"/>
  <c r="N2478" i="1"/>
  <c r="K2478" i="1"/>
  <c r="C2478" i="1"/>
  <c r="B2478" i="1"/>
  <c r="O2477" i="1"/>
  <c r="N2477" i="1"/>
  <c r="K2477" i="1"/>
  <c r="C2477" i="1"/>
  <c r="B2477" i="1"/>
  <c r="X2476" i="1"/>
  <c r="W2476" i="1"/>
  <c r="S2476" i="1"/>
  <c r="P2476" i="1" s="1"/>
  <c r="O2476" i="1"/>
  <c r="N2476" i="1"/>
  <c r="K2476" i="1"/>
  <c r="C2476" i="1"/>
  <c r="B2476" i="1"/>
  <c r="O2475" i="1"/>
  <c r="N2475" i="1"/>
  <c r="K2475" i="1"/>
  <c r="C2475" i="1"/>
  <c r="B2475" i="1"/>
  <c r="O2474" i="1"/>
  <c r="N2474" i="1"/>
  <c r="K2474" i="1"/>
  <c r="C2474" i="1"/>
  <c r="B2474" i="1"/>
  <c r="O2473" i="1"/>
  <c r="N2473" i="1"/>
  <c r="K2473" i="1"/>
  <c r="L2473" i="1" s="1"/>
  <c r="C2473" i="1"/>
  <c r="B2473" i="1"/>
  <c r="O2472" i="1"/>
  <c r="N2472" i="1"/>
  <c r="K2472" i="1"/>
  <c r="C2472" i="1"/>
  <c r="B2472" i="1"/>
  <c r="O2471" i="1"/>
  <c r="N2471" i="1"/>
  <c r="K2471" i="1"/>
  <c r="C2471" i="1"/>
  <c r="B2471" i="1"/>
  <c r="O2470" i="1"/>
  <c r="N2470" i="1"/>
  <c r="K2470" i="1"/>
  <c r="C2470" i="1"/>
  <c r="B2470" i="1"/>
  <c r="O2469" i="1"/>
  <c r="N2469" i="1"/>
  <c r="K2469" i="1"/>
  <c r="L2469" i="1" s="1"/>
  <c r="C2469" i="1"/>
  <c r="B2469" i="1"/>
  <c r="O2468" i="1"/>
  <c r="N2468" i="1"/>
  <c r="K2468" i="1"/>
  <c r="C2468" i="1"/>
  <c r="B2468" i="1"/>
  <c r="O2467" i="1"/>
  <c r="N2467" i="1"/>
  <c r="K2467" i="1"/>
  <c r="L2467" i="1" s="1"/>
  <c r="C2467" i="1"/>
  <c r="B2467" i="1"/>
  <c r="O2466" i="1"/>
  <c r="N2466" i="1"/>
  <c r="K2466" i="1"/>
  <c r="C2466" i="1"/>
  <c r="B2466" i="1"/>
  <c r="O2465" i="1"/>
  <c r="N2465" i="1"/>
  <c r="K2465" i="1"/>
  <c r="L2465" i="1" s="1"/>
  <c r="C2465" i="1"/>
  <c r="B2465" i="1"/>
  <c r="O2464" i="1"/>
  <c r="N2464" i="1"/>
  <c r="K2464" i="1"/>
  <c r="C2464" i="1"/>
  <c r="B2464" i="1"/>
  <c r="O2463" i="1"/>
  <c r="N2463" i="1"/>
  <c r="K2463" i="1"/>
  <c r="C2463" i="1"/>
  <c r="B2463" i="1"/>
  <c r="O2462" i="1"/>
  <c r="N2462" i="1"/>
  <c r="K2462" i="1"/>
  <c r="C2462" i="1"/>
  <c r="B2462" i="1"/>
  <c r="O2461" i="1"/>
  <c r="N2461" i="1"/>
  <c r="K2461" i="1"/>
  <c r="C2461" i="1"/>
  <c r="B2461" i="1"/>
  <c r="O2460" i="1"/>
  <c r="N2460" i="1"/>
  <c r="K2460" i="1"/>
  <c r="C2460" i="1"/>
  <c r="B2460" i="1"/>
  <c r="O2459" i="1"/>
  <c r="N2459" i="1"/>
  <c r="K2459" i="1"/>
  <c r="C2459" i="1"/>
  <c r="B2459" i="1"/>
  <c r="O2458" i="1"/>
  <c r="N2458" i="1"/>
  <c r="K2458" i="1"/>
  <c r="C2458" i="1"/>
  <c r="B2458" i="1"/>
  <c r="O2457" i="1"/>
  <c r="N2457" i="1"/>
  <c r="K2457" i="1"/>
  <c r="L2457" i="1" s="1"/>
  <c r="C2457" i="1"/>
  <c r="B2457" i="1"/>
  <c r="O2456" i="1"/>
  <c r="N2456" i="1"/>
  <c r="K2456" i="1"/>
  <c r="C2456" i="1"/>
  <c r="B2456" i="1"/>
  <c r="O2455" i="1"/>
  <c r="N2455" i="1"/>
  <c r="K2455" i="1"/>
  <c r="Q2455" i="1" s="1"/>
  <c r="C2455" i="1"/>
  <c r="B2455" i="1"/>
  <c r="O2454" i="1"/>
  <c r="N2454" i="1"/>
  <c r="K2454" i="1"/>
  <c r="L2454" i="1" s="1"/>
  <c r="C2454" i="1"/>
  <c r="B2454" i="1"/>
  <c r="O2453" i="1"/>
  <c r="N2453" i="1"/>
  <c r="K2453" i="1"/>
  <c r="C2453" i="1"/>
  <c r="B2453" i="1"/>
  <c r="O2452" i="1"/>
  <c r="N2452" i="1"/>
  <c r="K2452" i="1"/>
  <c r="C2452" i="1"/>
  <c r="B2452" i="1"/>
  <c r="O2451" i="1"/>
  <c r="N2451" i="1"/>
  <c r="K2451" i="1"/>
  <c r="L2451" i="1" s="1"/>
  <c r="C2451" i="1"/>
  <c r="B2451" i="1"/>
  <c r="O2450" i="1"/>
  <c r="N2450" i="1"/>
  <c r="K2450" i="1"/>
  <c r="C2450" i="1"/>
  <c r="B2450" i="1"/>
  <c r="O2449" i="1"/>
  <c r="N2449" i="1"/>
  <c r="K2449" i="1"/>
  <c r="L2449" i="1" s="1"/>
  <c r="C2449" i="1"/>
  <c r="B2449" i="1"/>
  <c r="O2448" i="1"/>
  <c r="N2448" i="1"/>
  <c r="K2448" i="1"/>
  <c r="C2448" i="1"/>
  <c r="B2448" i="1"/>
  <c r="O2447" i="1"/>
  <c r="N2447" i="1"/>
  <c r="K2447" i="1"/>
  <c r="C2447" i="1"/>
  <c r="B2447" i="1"/>
  <c r="O2446" i="1"/>
  <c r="N2446" i="1"/>
  <c r="K2446" i="1"/>
  <c r="L2446" i="1" s="1"/>
  <c r="C2446" i="1"/>
  <c r="B2446" i="1"/>
  <c r="O2445" i="1"/>
  <c r="N2445" i="1"/>
  <c r="K2445" i="1"/>
  <c r="C2445" i="1"/>
  <c r="B2445" i="1"/>
  <c r="O2444" i="1"/>
  <c r="N2444" i="1"/>
  <c r="K2444" i="1"/>
  <c r="C2444" i="1"/>
  <c r="B2444" i="1"/>
  <c r="O2443" i="1"/>
  <c r="N2443" i="1"/>
  <c r="K2443" i="1"/>
  <c r="C2443" i="1"/>
  <c r="B2443" i="1"/>
  <c r="O2442" i="1"/>
  <c r="N2442" i="1"/>
  <c r="K2442" i="1"/>
  <c r="C2442" i="1"/>
  <c r="B2442" i="1"/>
  <c r="O2441" i="1"/>
  <c r="N2441" i="1"/>
  <c r="K2441" i="1"/>
  <c r="L2441" i="1" s="1"/>
  <c r="C2441" i="1"/>
  <c r="B2441" i="1"/>
  <c r="O2440" i="1"/>
  <c r="N2440" i="1"/>
  <c r="K2440" i="1"/>
  <c r="C2440" i="1"/>
  <c r="B2440" i="1"/>
  <c r="O2439" i="1"/>
  <c r="N2439" i="1"/>
  <c r="K2439" i="1"/>
  <c r="C2439" i="1"/>
  <c r="B2439" i="1"/>
  <c r="O2438" i="1"/>
  <c r="N2438" i="1"/>
  <c r="K2438" i="1"/>
  <c r="C2438" i="1"/>
  <c r="B2438" i="1"/>
  <c r="O2437" i="1"/>
  <c r="N2437" i="1"/>
  <c r="K2437" i="1"/>
  <c r="C2437" i="1"/>
  <c r="B2437" i="1"/>
  <c r="O2436" i="1"/>
  <c r="N2436" i="1"/>
  <c r="K2436" i="1"/>
  <c r="C2436" i="1"/>
  <c r="B2436" i="1"/>
  <c r="O2435" i="1"/>
  <c r="N2435" i="1"/>
  <c r="K2435" i="1"/>
  <c r="L2435" i="1" s="1"/>
  <c r="C2435" i="1"/>
  <c r="B2435" i="1"/>
  <c r="O2434" i="1"/>
  <c r="N2434" i="1"/>
  <c r="K2434" i="1"/>
  <c r="C2434" i="1"/>
  <c r="B2434" i="1"/>
  <c r="O2433" i="1"/>
  <c r="N2433" i="1"/>
  <c r="K2433" i="1"/>
  <c r="L2433" i="1" s="1"/>
  <c r="C2433" i="1"/>
  <c r="B2433" i="1"/>
  <c r="O2432" i="1"/>
  <c r="N2432" i="1"/>
  <c r="K2432" i="1"/>
  <c r="C2432" i="1"/>
  <c r="B2432" i="1"/>
  <c r="O2431" i="1"/>
  <c r="N2431" i="1"/>
  <c r="K2431" i="1"/>
  <c r="C2431" i="1"/>
  <c r="B2431" i="1"/>
  <c r="O2430" i="1"/>
  <c r="N2430" i="1"/>
  <c r="K2430" i="1"/>
  <c r="C2430" i="1"/>
  <c r="B2430" i="1"/>
  <c r="O2429" i="1"/>
  <c r="N2429" i="1"/>
  <c r="K2429" i="1"/>
  <c r="L2429" i="1" s="1"/>
  <c r="R2429" i="1" s="1"/>
  <c r="C2429" i="1"/>
  <c r="B2429" i="1"/>
  <c r="O2428" i="1"/>
  <c r="N2428" i="1"/>
  <c r="K2428" i="1"/>
  <c r="C2428" i="1"/>
  <c r="B2428" i="1"/>
  <c r="O2427" i="1"/>
  <c r="N2427" i="1"/>
  <c r="K2427" i="1"/>
  <c r="C2427" i="1"/>
  <c r="B2427" i="1"/>
  <c r="O2426" i="1"/>
  <c r="N2426" i="1"/>
  <c r="K2426" i="1"/>
  <c r="C2426" i="1"/>
  <c r="B2426" i="1"/>
  <c r="O2425" i="1"/>
  <c r="N2425" i="1"/>
  <c r="K2425" i="1"/>
  <c r="L2425" i="1" s="1"/>
  <c r="C2425" i="1"/>
  <c r="B2425" i="1"/>
  <c r="O2424" i="1"/>
  <c r="N2424" i="1"/>
  <c r="K2424" i="1"/>
  <c r="C2424" i="1"/>
  <c r="B2424" i="1"/>
  <c r="O2423" i="1"/>
  <c r="N2423" i="1"/>
  <c r="K2423" i="1"/>
  <c r="C2423" i="1"/>
  <c r="B2423" i="1"/>
  <c r="O2422" i="1"/>
  <c r="N2422" i="1"/>
  <c r="K2422" i="1"/>
  <c r="L2422" i="1" s="1"/>
  <c r="C2422" i="1"/>
  <c r="B2422" i="1"/>
  <c r="O2421" i="1"/>
  <c r="N2421" i="1"/>
  <c r="K2421" i="1"/>
  <c r="C2421" i="1"/>
  <c r="B2421" i="1"/>
  <c r="O2420" i="1"/>
  <c r="N2420" i="1"/>
  <c r="K2420" i="1"/>
  <c r="C2420" i="1"/>
  <c r="B2420" i="1"/>
  <c r="O2419" i="1"/>
  <c r="N2419" i="1"/>
  <c r="K2419" i="1"/>
  <c r="L2419" i="1" s="1"/>
  <c r="C2419" i="1"/>
  <c r="B2419" i="1"/>
  <c r="O2418" i="1"/>
  <c r="N2418" i="1"/>
  <c r="K2418" i="1"/>
  <c r="C2418" i="1"/>
  <c r="B2418" i="1"/>
  <c r="O2417" i="1"/>
  <c r="N2417" i="1"/>
  <c r="K2417" i="1"/>
  <c r="L2417" i="1" s="1"/>
  <c r="C2417" i="1"/>
  <c r="B2417" i="1"/>
  <c r="O2416" i="1"/>
  <c r="N2416" i="1"/>
  <c r="K2416" i="1"/>
  <c r="C2416" i="1"/>
  <c r="B2416" i="1"/>
  <c r="O2415" i="1"/>
  <c r="N2415" i="1"/>
  <c r="K2415" i="1"/>
  <c r="C2415" i="1"/>
  <c r="B2415" i="1"/>
  <c r="O2414" i="1"/>
  <c r="N2414" i="1"/>
  <c r="K2414" i="1"/>
  <c r="L2414" i="1" s="1"/>
  <c r="C2414" i="1"/>
  <c r="B2414" i="1"/>
  <c r="O2413" i="1"/>
  <c r="N2413" i="1"/>
  <c r="K2413" i="1"/>
  <c r="C2413" i="1"/>
  <c r="B2413" i="1"/>
  <c r="O2412" i="1"/>
  <c r="N2412" i="1"/>
  <c r="K2412" i="1"/>
  <c r="C2412" i="1"/>
  <c r="B2412" i="1"/>
  <c r="O2411" i="1"/>
  <c r="N2411" i="1"/>
  <c r="K2411" i="1"/>
  <c r="C2411" i="1"/>
  <c r="B2411" i="1"/>
  <c r="O2410" i="1"/>
  <c r="N2410" i="1"/>
  <c r="K2410" i="1"/>
  <c r="C2410" i="1"/>
  <c r="B2410" i="1"/>
  <c r="O2409" i="1"/>
  <c r="N2409" i="1"/>
  <c r="K2409" i="1"/>
  <c r="L2409" i="1" s="1"/>
  <c r="C2409" i="1"/>
  <c r="B2409" i="1"/>
  <c r="O2408" i="1"/>
  <c r="N2408" i="1"/>
  <c r="K2408" i="1"/>
  <c r="C2408" i="1"/>
  <c r="B2408" i="1"/>
  <c r="O2407" i="1"/>
  <c r="N2407" i="1"/>
  <c r="K2407" i="1"/>
  <c r="C2407" i="1"/>
  <c r="B2407" i="1"/>
  <c r="O2406" i="1"/>
  <c r="N2406" i="1"/>
  <c r="K2406" i="1"/>
  <c r="C2406" i="1"/>
  <c r="B2406" i="1"/>
  <c r="O2405" i="1"/>
  <c r="N2405" i="1"/>
  <c r="K2405" i="1"/>
  <c r="L2405" i="1" s="1"/>
  <c r="R2405" i="1" s="1"/>
  <c r="C2405" i="1"/>
  <c r="B2405" i="1"/>
  <c r="O2404" i="1"/>
  <c r="N2404" i="1"/>
  <c r="K2404" i="1"/>
  <c r="C2404" i="1"/>
  <c r="B2404" i="1"/>
  <c r="O2403" i="1"/>
  <c r="N2403" i="1"/>
  <c r="K2403" i="1"/>
  <c r="L2403" i="1" s="1"/>
  <c r="C2403" i="1"/>
  <c r="B2403" i="1"/>
  <c r="O2402" i="1"/>
  <c r="N2402" i="1"/>
  <c r="K2402" i="1"/>
  <c r="C2402" i="1"/>
  <c r="B2402" i="1"/>
  <c r="O2401" i="1"/>
  <c r="N2401" i="1"/>
  <c r="K2401" i="1"/>
  <c r="L2401" i="1" s="1"/>
  <c r="C2401" i="1"/>
  <c r="B2401" i="1"/>
  <c r="O2400" i="1"/>
  <c r="N2400" i="1"/>
  <c r="K2400" i="1"/>
  <c r="C2400" i="1"/>
  <c r="B2400" i="1"/>
  <c r="O2399" i="1"/>
  <c r="N2399" i="1"/>
  <c r="K2399" i="1"/>
  <c r="C2399" i="1"/>
  <c r="B2399" i="1"/>
  <c r="O2398" i="1"/>
  <c r="N2398" i="1"/>
  <c r="K2398" i="1"/>
  <c r="C2398" i="1"/>
  <c r="B2398" i="1"/>
  <c r="O2397" i="1"/>
  <c r="N2397" i="1"/>
  <c r="K2397" i="1"/>
  <c r="C2397" i="1"/>
  <c r="B2397" i="1"/>
  <c r="O2396" i="1"/>
  <c r="N2396" i="1"/>
  <c r="K2396" i="1"/>
  <c r="C2396" i="1"/>
  <c r="B2396" i="1"/>
  <c r="O2395" i="1"/>
  <c r="N2395" i="1"/>
  <c r="K2395" i="1"/>
  <c r="C2395" i="1"/>
  <c r="B2395" i="1"/>
  <c r="O2394" i="1"/>
  <c r="N2394" i="1"/>
  <c r="K2394" i="1"/>
  <c r="C2394" i="1"/>
  <c r="B2394" i="1"/>
  <c r="O2393" i="1"/>
  <c r="N2393" i="1"/>
  <c r="K2393" i="1"/>
  <c r="L2393" i="1" s="1"/>
  <c r="C2393" i="1"/>
  <c r="B2393" i="1"/>
  <c r="O2392" i="1"/>
  <c r="N2392" i="1"/>
  <c r="K2392" i="1"/>
  <c r="C2392" i="1"/>
  <c r="B2392" i="1"/>
  <c r="O2391" i="1"/>
  <c r="N2391" i="1"/>
  <c r="K2391" i="1"/>
  <c r="C2391" i="1"/>
  <c r="B2391" i="1"/>
  <c r="O2390" i="1"/>
  <c r="N2390" i="1"/>
  <c r="K2390" i="1"/>
  <c r="C2390" i="1"/>
  <c r="B2390" i="1"/>
  <c r="O2389" i="1"/>
  <c r="N2389" i="1"/>
  <c r="K2389" i="1"/>
  <c r="L2389" i="1" s="1"/>
  <c r="C2389" i="1"/>
  <c r="B2389" i="1"/>
  <c r="O2388" i="1"/>
  <c r="N2388" i="1"/>
  <c r="K2388" i="1"/>
  <c r="C2388" i="1"/>
  <c r="B2388" i="1"/>
  <c r="O2387" i="1"/>
  <c r="N2387" i="1"/>
  <c r="K2387" i="1"/>
  <c r="L2387" i="1" s="1"/>
  <c r="C2387" i="1"/>
  <c r="B2387" i="1"/>
  <c r="O2386" i="1"/>
  <c r="N2386" i="1"/>
  <c r="K2386" i="1"/>
  <c r="C2386" i="1"/>
  <c r="B2386" i="1"/>
  <c r="O2385" i="1"/>
  <c r="N2385" i="1"/>
  <c r="K2385" i="1"/>
  <c r="L2385" i="1" s="1"/>
  <c r="C2385" i="1"/>
  <c r="B2385" i="1"/>
  <c r="X2384" i="1"/>
  <c r="W2384" i="1"/>
  <c r="S2384" i="1"/>
  <c r="P2384" i="1" s="1"/>
  <c r="O2384" i="1"/>
  <c r="N2384" i="1"/>
  <c r="K2384" i="1"/>
  <c r="C2384" i="1"/>
  <c r="B2384" i="1"/>
  <c r="O2383" i="1"/>
  <c r="N2383" i="1"/>
  <c r="K2383" i="1"/>
  <c r="C2383" i="1"/>
  <c r="B2383" i="1"/>
  <c r="O2382" i="1"/>
  <c r="N2382" i="1"/>
  <c r="K2382" i="1"/>
  <c r="C2382" i="1"/>
  <c r="B2382" i="1"/>
  <c r="O2381" i="1"/>
  <c r="N2381" i="1"/>
  <c r="K2381" i="1"/>
  <c r="L2381" i="1" s="1"/>
  <c r="C2381" i="1"/>
  <c r="B2381" i="1"/>
  <c r="O2380" i="1"/>
  <c r="N2380" i="1"/>
  <c r="K2380" i="1"/>
  <c r="C2380" i="1"/>
  <c r="B2380" i="1"/>
  <c r="O2379" i="1"/>
  <c r="N2379" i="1"/>
  <c r="K2379" i="1"/>
  <c r="C2379" i="1"/>
  <c r="B2379" i="1"/>
  <c r="O2378" i="1"/>
  <c r="N2378" i="1"/>
  <c r="K2378" i="1"/>
  <c r="C2378" i="1"/>
  <c r="B2378" i="1"/>
  <c r="O2377" i="1"/>
  <c r="N2377" i="1"/>
  <c r="K2377" i="1"/>
  <c r="L2377" i="1" s="1"/>
  <c r="C2377" i="1"/>
  <c r="B2377" i="1"/>
  <c r="O2376" i="1"/>
  <c r="N2376" i="1"/>
  <c r="K2376" i="1"/>
  <c r="C2376" i="1"/>
  <c r="B2376" i="1"/>
  <c r="O2375" i="1"/>
  <c r="N2375" i="1"/>
  <c r="K2375" i="1"/>
  <c r="C2375" i="1"/>
  <c r="B2375" i="1"/>
  <c r="O2374" i="1"/>
  <c r="N2374" i="1"/>
  <c r="K2374" i="1"/>
  <c r="L2374" i="1" s="1"/>
  <c r="C2374" i="1"/>
  <c r="B2374" i="1"/>
  <c r="O2373" i="1"/>
  <c r="N2373" i="1"/>
  <c r="K2373" i="1"/>
  <c r="L2373" i="1" s="1"/>
  <c r="C2373" i="1"/>
  <c r="B2373" i="1"/>
  <c r="O2372" i="1"/>
  <c r="N2372" i="1"/>
  <c r="K2372" i="1"/>
  <c r="C2372" i="1"/>
  <c r="B2372" i="1"/>
  <c r="O2371" i="1"/>
  <c r="N2371" i="1"/>
  <c r="K2371" i="1"/>
  <c r="C2371" i="1"/>
  <c r="B2371" i="1"/>
  <c r="O2370" i="1"/>
  <c r="N2370" i="1"/>
  <c r="K2370" i="1"/>
  <c r="C2370" i="1"/>
  <c r="B2370" i="1"/>
  <c r="O2369" i="1"/>
  <c r="N2369" i="1"/>
  <c r="K2369" i="1"/>
  <c r="L2369" i="1" s="1"/>
  <c r="C2369" i="1"/>
  <c r="B2369" i="1"/>
  <c r="O2368" i="1"/>
  <c r="N2368" i="1"/>
  <c r="K2368" i="1"/>
  <c r="C2368" i="1"/>
  <c r="B2368" i="1"/>
  <c r="O2367" i="1"/>
  <c r="N2367" i="1"/>
  <c r="K2367" i="1"/>
  <c r="C2367" i="1"/>
  <c r="B2367" i="1"/>
  <c r="O2366" i="1"/>
  <c r="N2366" i="1"/>
  <c r="K2366" i="1"/>
  <c r="C2366" i="1"/>
  <c r="B2366" i="1"/>
  <c r="O2365" i="1"/>
  <c r="N2365" i="1"/>
  <c r="K2365" i="1"/>
  <c r="L2365" i="1" s="1"/>
  <c r="C2365" i="1"/>
  <c r="B2365" i="1"/>
  <c r="O2364" i="1"/>
  <c r="N2364" i="1"/>
  <c r="K2364" i="1"/>
  <c r="C2364" i="1"/>
  <c r="B2364" i="1"/>
  <c r="O2363" i="1"/>
  <c r="N2363" i="1"/>
  <c r="K2363" i="1"/>
  <c r="L2363" i="1" s="1"/>
  <c r="T2363" i="1" s="1"/>
  <c r="U2363" i="1" s="1"/>
  <c r="V2363" i="1" s="1"/>
  <c r="C2363" i="1"/>
  <c r="B2363" i="1"/>
  <c r="O2362" i="1"/>
  <c r="N2362" i="1"/>
  <c r="K2362" i="1"/>
  <c r="C2362" i="1"/>
  <c r="B2362" i="1"/>
  <c r="O2361" i="1"/>
  <c r="N2361" i="1"/>
  <c r="K2361" i="1"/>
  <c r="L2361" i="1" s="1"/>
  <c r="C2361" i="1"/>
  <c r="B2361" i="1"/>
  <c r="O2360" i="1"/>
  <c r="N2360" i="1"/>
  <c r="K2360" i="1"/>
  <c r="C2360" i="1"/>
  <c r="B2360" i="1"/>
  <c r="O2359" i="1"/>
  <c r="N2359" i="1"/>
  <c r="K2359" i="1"/>
  <c r="C2359" i="1"/>
  <c r="B2359" i="1"/>
  <c r="O2358" i="1"/>
  <c r="N2358" i="1"/>
  <c r="K2358" i="1"/>
  <c r="C2358" i="1"/>
  <c r="B2358" i="1"/>
  <c r="O2357" i="1"/>
  <c r="N2357" i="1"/>
  <c r="K2357" i="1"/>
  <c r="L2357" i="1" s="1"/>
  <c r="C2357" i="1"/>
  <c r="B2357" i="1"/>
  <c r="O2356" i="1"/>
  <c r="N2356" i="1"/>
  <c r="K2356" i="1"/>
  <c r="C2356" i="1"/>
  <c r="B2356" i="1"/>
  <c r="O2355" i="1"/>
  <c r="N2355" i="1"/>
  <c r="K2355" i="1"/>
  <c r="C2355" i="1"/>
  <c r="B2355" i="1"/>
  <c r="O2354" i="1"/>
  <c r="N2354" i="1"/>
  <c r="K2354" i="1"/>
  <c r="C2354" i="1"/>
  <c r="B2354" i="1"/>
  <c r="O2353" i="1"/>
  <c r="N2353" i="1"/>
  <c r="K2353" i="1"/>
  <c r="L2353" i="1" s="1"/>
  <c r="C2353" i="1"/>
  <c r="B2353" i="1"/>
  <c r="O2352" i="1"/>
  <c r="N2352" i="1"/>
  <c r="K2352" i="1"/>
  <c r="C2352" i="1"/>
  <c r="B2352" i="1"/>
  <c r="O2351" i="1"/>
  <c r="N2351" i="1"/>
  <c r="K2351" i="1"/>
  <c r="C2351" i="1"/>
  <c r="B2351" i="1"/>
  <c r="O2350" i="1"/>
  <c r="N2350" i="1"/>
  <c r="K2350" i="1"/>
  <c r="C2350" i="1"/>
  <c r="B2350" i="1"/>
  <c r="O2349" i="1"/>
  <c r="N2349" i="1"/>
  <c r="K2349" i="1"/>
  <c r="L2349" i="1" s="1"/>
  <c r="C2349" i="1"/>
  <c r="B2349" i="1"/>
  <c r="O2348" i="1"/>
  <c r="N2348" i="1"/>
  <c r="K2348" i="1"/>
  <c r="C2348" i="1"/>
  <c r="B2348" i="1"/>
  <c r="O2347" i="1"/>
  <c r="N2347" i="1"/>
  <c r="K2347" i="1"/>
  <c r="L2347" i="1" s="1"/>
  <c r="T2347" i="1" s="1"/>
  <c r="U2347" i="1" s="1"/>
  <c r="V2347" i="1" s="1"/>
  <c r="C2347" i="1"/>
  <c r="B2347" i="1"/>
  <c r="O2346" i="1"/>
  <c r="N2346" i="1"/>
  <c r="K2346" i="1"/>
  <c r="Q2346" i="1" s="1"/>
  <c r="C2346" i="1"/>
  <c r="B2346" i="1"/>
  <c r="O2345" i="1"/>
  <c r="N2345" i="1"/>
  <c r="K2345" i="1"/>
  <c r="L2345" i="1" s="1"/>
  <c r="C2345" i="1"/>
  <c r="B2345" i="1"/>
  <c r="O2344" i="1"/>
  <c r="N2344" i="1"/>
  <c r="K2344" i="1"/>
  <c r="C2344" i="1"/>
  <c r="B2344" i="1"/>
  <c r="O2343" i="1"/>
  <c r="N2343" i="1"/>
  <c r="K2343" i="1"/>
  <c r="C2343" i="1"/>
  <c r="B2343" i="1"/>
  <c r="O2342" i="1"/>
  <c r="N2342" i="1"/>
  <c r="K2342" i="1"/>
  <c r="C2342" i="1"/>
  <c r="B2342" i="1"/>
  <c r="O2341" i="1"/>
  <c r="N2341" i="1"/>
  <c r="K2341" i="1"/>
  <c r="L2341" i="1" s="1"/>
  <c r="C2341" i="1"/>
  <c r="B2341" i="1"/>
  <c r="O2340" i="1"/>
  <c r="N2340" i="1"/>
  <c r="K2340" i="1"/>
  <c r="L2340" i="1" s="1"/>
  <c r="C2340" i="1"/>
  <c r="B2340" i="1"/>
  <c r="O2339" i="1"/>
  <c r="N2339" i="1"/>
  <c r="K2339" i="1"/>
  <c r="C2339" i="1"/>
  <c r="B2339" i="1"/>
  <c r="O2338" i="1"/>
  <c r="N2338" i="1"/>
  <c r="K2338" i="1"/>
  <c r="C2338" i="1"/>
  <c r="B2338" i="1"/>
  <c r="O2337" i="1"/>
  <c r="N2337" i="1"/>
  <c r="K2337" i="1"/>
  <c r="L2337" i="1" s="1"/>
  <c r="C2337" i="1"/>
  <c r="B2337" i="1"/>
  <c r="O2336" i="1"/>
  <c r="N2336" i="1"/>
  <c r="K2336" i="1"/>
  <c r="C2336" i="1"/>
  <c r="B2336" i="1"/>
  <c r="O2335" i="1"/>
  <c r="N2335" i="1"/>
  <c r="K2335" i="1"/>
  <c r="C2335" i="1"/>
  <c r="B2335" i="1"/>
  <c r="O2334" i="1"/>
  <c r="N2334" i="1"/>
  <c r="K2334" i="1"/>
  <c r="C2334" i="1"/>
  <c r="B2334" i="1"/>
  <c r="O2333" i="1"/>
  <c r="N2333" i="1"/>
  <c r="K2333" i="1"/>
  <c r="L2333" i="1" s="1"/>
  <c r="C2333" i="1"/>
  <c r="B2333" i="1"/>
  <c r="O2332" i="1"/>
  <c r="N2332" i="1"/>
  <c r="K2332" i="1"/>
  <c r="L2332" i="1" s="1"/>
  <c r="C2332" i="1"/>
  <c r="B2332" i="1"/>
  <c r="O2331" i="1"/>
  <c r="N2331" i="1"/>
  <c r="K2331" i="1"/>
  <c r="C2331" i="1"/>
  <c r="B2331" i="1"/>
  <c r="O2330" i="1"/>
  <c r="N2330" i="1"/>
  <c r="K2330" i="1"/>
  <c r="C2330" i="1"/>
  <c r="B2330" i="1"/>
  <c r="O2329" i="1"/>
  <c r="N2329" i="1"/>
  <c r="K2329" i="1"/>
  <c r="L2329" i="1" s="1"/>
  <c r="C2329" i="1"/>
  <c r="B2329" i="1"/>
  <c r="O2328" i="1"/>
  <c r="N2328" i="1"/>
  <c r="K2328" i="1"/>
  <c r="C2328" i="1"/>
  <c r="B2328" i="1"/>
  <c r="O2327" i="1"/>
  <c r="N2327" i="1"/>
  <c r="K2327" i="1"/>
  <c r="C2327" i="1"/>
  <c r="B2327" i="1"/>
  <c r="O2326" i="1"/>
  <c r="N2326" i="1"/>
  <c r="K2326" i="1"/>
  <c r="Q2326" i="1" s="1"/>
  <c r="C2326" i="1"/>
  <c r="B2326" i="1"/>
  <c r="O2325" i="1"/>
  <c r="N2325" i="1"/>
  <c r="K2325" i="1"/>
  <c r="L2325" i="1" s="1"/>
  <c r="C2325" i="1"/>
  <c r="B2325" i="1"/>
  <c r="O2324" i="1"/>
  <c r="N2324" i="1"/>
  <c r="K2324" i="1"/>
  <c r="C2324" i="1"/>
  <c r="B2324" i="1"/>
  <c r="O2323" i="1"/>
  <c r="N2323" i="1"/>
  <c r="K2323" i="1"/>
  <c r="C2323" i="1"/>
  <c r="B2323" i="1"/>
  <c r="O2322" i="1"/>
  <c r="N2322" i="1"/>
  <c r="K2322" i="1"/>
  <c r="C2322" i="1"/>
  <c r="B2322" i="1"/>
  <c r="O2321" i="1"/>
  <c r="N2321" i="1"/>
  <c r="K2321" i="1"/>
  <c r="L2321" i="1" s="1"/>
  <c r="C2321" i="1"/>
  <c r="B2321" i="1"/>
  <c r="O2320" i="1"/>
  <c r="N2320" i="1"/>
  <c r="K2320" i="1"/>
  <c r="C2320" i="1"/>
  <c r="B2320" i="1"/>
  <c r="O2319" i="1"/>
  <c r="N2319" i="1"/>
  <c r="K2319" i="1"/>
  <c r="C2319" i="1"/>
  <c r="B2319" i="1"/>
  <c r="O2318" i="1"/>
  <c r="N2318" i="1"/>
  <c r="K2318" i="1"/>
  <c r="C2318" i="1"/>
  <c r="B2318" i="1"/>
  <c r="O2317" i="1"/>
  <c r="N2317" i="1"/>
  <c r="K2317" i="1"/>
  <c r="L2317" i="1" s="1"/>
  <c r="C2317" i="1"/>
  <c r="B2317" i="1"/>
  <c r="O2316" i="1"/>
  <c r="N2316" i="1"/>
  <c r="K2316" i="1"/>
  <c r="C2316" i="1"/>
  <c r="B2316" i="1"/>
  <c r="O2315" i="1"/>
  <c r="N2315" i="1"/>
  <c r="K2315" i="1"/>
  <c r="C2315" i="1"/>
  <c r="B2315" i="1"/>
  <c r="O2314" i="1"/>
  <c r="N2314" i="1"/>
  <c r="K2314" i="1"/>
  <c r="C2314" i="1"/>
  <c r="B2314" i="1"/>
  <c r="O2313" i="1"/>
  <c r="N2313" i="1"/>
  <c r="K2313" i="1"/>
  <c r="L2313" i="1" s="1"/>
  <c r="C2313" i="1"/>
  <c r="B2313" i="1"/>
  <c r="O2312" i="1"/>
  <c r="N2312" i="1"/>
  <c r="X2312" i="1" s="1"/>
  <c r="K2312" i="1"/>
  <c r="C2312" i="1"/>
  <c r="B2312" i="1"/>
  <c r="O2311" i="1"/>
  <c r="N2311" i="1"/>
  <c r="K2311" i="1"/>
  <c r="C2311" i="1"/>
  <c r="B2311" i="1"/>
  <c r="O2310" i="1"/>
  <c r="N2310" i="1"/>
  <c r="K2310" i="1"/>
  <c r="C2310" i="1"/>
  <c r="B2310" i="1"/>
  <c r="O2309" i="1"/>
  <c r="N2309" i="1"/>
  <c r="K2309" i="1"/>
  <c r="L2309" i="1" s="1"/>
  <c r="C2309" i="1"/>
  <c r="B2309" i="1"/>
  <c r="O2308" i="1"/>
  <c r="N2308" i="1"/>
  <c r="K2308" i="1"/>
  <c r="C2308" i="1"/>
  <c r="B2308" i="1"/>
  <c r="O2307" i="1"/>
  <c r="N2307" i="1"/>
  <c r="K2307" i="1"/>
  <c r="C2307" i="1"/>
  <c r="B2307" i="1"/>
  <c r="O2306" i="1"/>
  <c r="N2306" i="1"/>
  <c r="K2306" i="1"/>
  <c r="Q2306" i="1" s="1"/>
  <c r="C2306" i="1"/>
  <c r="B2306" i="1"/>
  <c r="O2305" i="1"/>
  <c r="N2305" i="1"/>
  <c r="K2305" i="1"/>
  <c r="L2305" i="1" s="1"/>
  <c r="C2305" i="1"/>
  <c r="B2305" i="1"/>
  <c r="O2304" i="1"/>
  <c r="N2304" i="1"/>
  <c r="K2304" i="1"/>
  <c r="C2304" i="1"/>
  <c r="B2304" i="1"/>
  <c r="D2304" i="1" s="1"/>
  <c r="O2303" i="1"/>
  <c r="N2303" i="1"/>
  <c r="K2303" i="1"/>
  <c r="C2303" i="1"/>
  <c r="B2303" i="1"/>
  <c r="O2302" i="1"/>
  <c r="N2302" i="1"/>
  <c r="K2302" i="1"/>
  <c r="C2302" i="1"/>
  <c r="B2302" i="1"/>
  <c r="O2301" i="1"/>
  <c r="N2301" i="1"/>
  <c r="K2301" i="1"/>
  <c r="L2301" i="1" s="1"/>
  <c r="C2301" i="1"/>
  <c r="B2301" i="1"/>
  <c r="O2300" i="1"/>
  <c r="N2300" i="1"/>
  <c r="K2300" i="1"/>
  <c r="C2300" i="1"/>
  <c r="B2300" i="1"/>
  <c r="O2299" i="1"/>
  <c r="N2299" i="1"/>
  <c r="K2299" i="1"/>
  <c r="C2299" i="1"/>
  <c r="B2299" i="1"/>
  <c r="O2298" i="1"/>
  <c r="N2298" i="1"/>
  <c r="K2298" i="1"/>
  <c r="C2298" i="1"/>
  <c r="B2298" i="1"/>
  <c r="O2297" i="1"/>
  <c r="N2297" i="1"/>
  <c r="K2297" i="1"/>
  <c r="L2297" i="1" s="1"/>
  <c r="C2297" i="1"/>
  <c r="B2297" i="1"/>
  <c r="O2296" i="1"/>
  <c r="N2296" i="1"/>
  <c r="X2296" i="1" s="1"/>
  <c r="K2296" i="1"/>
  <c r="C2296" i="1"/>
  <c r="B2296" i="1"/>
  <c r="O2295" i="1"/>
  <c r="N2295" i="1"/>
  <c r="K2295" i="1"/>
  <c r="C2295" i="1"/>
  <c r="B2295" i="1"/>
  <c r="O2294" i="1"/>
  <c r="N2294" i="1"/>
  <c r="K2294" i="1"/>
  <c r="C2294" i="1"/>
  <c r="B2294" i="1"/>
  <c r="O2293" i="1"/>
  <c r="N2293" i="1"/>
  <c r="K2293" i="1"/>
  <c r="L2293" i="1" s="1"/>
  <c r="C2293" i="1"/>
  <c r="B2293" i="1"/>
  <c r="X2292" i="1"/>
  <c r="W2292" i="1"/>
  <c r="S2292" i="1"/>
  <c r="P2292" i="1" s="1"/>
  <c r="O2292" i="1"/>
  <c r="N2292" i="1"/>
  <c r="K2292" i="1"/>
  <c r="C2292" i="1"/>
  <c r="B2292" i="1"/>
  <c r="O2291" i="1"/>
  <c r="N2291" i="1"/>
  <c r="K2291" i="1"/>
  <c r="C2291" i="1"/>
  <c r="B2291" i="1"/>
  <c r="O2290" i="1"/>
  <c r="N2290" i="1"/>
  <c r="K2290" i="1"/>
  <c r="C2290" i="1"/>
  <c r="B2290" i="1"/>
  <c r="O2289" i="1"/>
  <c r="N2289" i="1"/>
  <c r="K2289" i="1"/>
  <c r="L2289" i="1" s="1"/>
  <c r="C2289" i="1"/>
  <c r="B2289" i="1"/>
  <c r="O2288" i="1"/>
  <c r="N2288" i="1"/>
  <c r="K2288" i="1"/>
  <c r="C2288" i="1"/>
  <c r="B2288" i="1"/>
  <c r="O2287" i="1"/>
  <c r="N2287" i="1"/>
  <c r="K2287" i="1"/>
  <c r="L2287" i="1" s="1"/>
  <c r="C2287" i="1"/>
  <c r="B2287" i="1"/>
  <c r="O2286" i="1"/>
  <c r="N2286" i="1"/>
  <c r="K2286" i="1"/>
  <c r="L2286" i="1" s="1"/>
  <c r="C2286" i="1"/>
  <c r="B2286" i="1"/>
  <c r="O2285" i="1"/>
  <c r="N2285" i="1"/>
  <c r="K2285" i="1"/>
  <c r="L2285" i="1" s="1"/>
  <c r="C2285" i="1"/>
  <c r="B2285" i="1"/>
  <c r="O2284" i="1"/>
  <c r="N2284" i="1"/>
  <c r="K2284" i="1"/>
  <c r="C2284" i="1"/>
  <c r="B2284" i="1"/>
  <c r="O2283" i="1"/>
  <c r="N2283" i="1"/>
  <c r="K2283" i="1"/>
  <c r="L2283" i="1" s="1"/>
  <c r="T2283" i="1" s="1"/>
  <c r="U2283" i="1" s="1"/>
  <c r="V2283" i="1" s="1"/>
  <c r="C2283" i="1"/>
  <c r="B2283" i="1"/>
  <c r="O2282" i="1"/>
  <c r="N2282" i="1"/>
  <c r="K2282" i="1"/>
  <c r="C2282" i="1"/>
  <c r="B2282" i="1"/>
  <c r="D2282" i="1" s="1"/>
  <c r="O2281" i="1"/>
  <c r="N2281" i="1"/>
  <c r="K2281" i="1"/>
  <c r="L2281" i="1" s="1"/>
  <c r="C2281" i="1"/>
  <c r="B2281" i="1"/>
  <c r="O2280" i="1"/>
  <c r="N2280" i="1"/>
  <c r="K2280" i="1"/>
  <c r="C2280" i="1"/>
  <c r="B2280" i="1"/>
  <c r="O2279" i="1"/>
  <c r="N2279" i="1"/>
  <c r="K2279" i="1"/>
  <c r="L2279" i="1" s="1"/>
  <c r="C2279" i="1"/>
  <c r="B2279" i="1"/>
  <c r="O2278" i="1"/>
  <c r="N2278" i="1"/>
  <c r="K2278" i="1"/>
  <c r="L2278" i="1" s="1"/>
  <c r="C2278" i="1"/>
  <c r="B2278" i="1"/>
  <c r="O2277" i="1"/>
  <c r="N2277" i="1"/>
  <c r="K2277" i="1"/>
  <c r="L2277" i="1" s="1"/>
  <c r="C2277" i="1"/>
  <c r="B2277" i="1"/>
  <c r="O2276" i="1"/>
  <c r="N2276" i="1"/>
  <c r="K2276" i="1"/>
  <c r="C2276" i="1"/>
  <c r="B2276" i="1"/>
  <c r="O2275" i="1"/>
  <c r="N2275" i="1"/>
  <c r="K2275" i="1"/>
  <c r="L2275" i="1" s="1"/>
  <c r="T2275" i="1" s="1"/>
  <c r="U2275" i="1" s="1"/>
  <c r="V2275" i="1" s="1"/>
  <c r="C2275" i="1"/>
  <c r="B2275" i="1"/>
  <c r="O2274" i="1"/>
  <c r="N2274" i="1"/>
  <c r="K2274" i="1"/>
  <c r="C2274" i="1"/>
  <c r="B2274" i="1"/>
  <c r="O2273" i="1"/>
  <c r="N2273" i="1"/>
  <c r="K2273" i="1"/>
  <c r="L2273" i="1" s="1"/>
  <c r="C2273" i="1"/>
  <c r="B2273" i="1"/>
  <c r="O2272" i="1"/>
  <c r="N2272" i="1"/>
  <c r="K2272" i="1"/>
  <c r="C2272" i="1"/>
  <c r="B2272" i="1"/>
  <c r="O2271" i="1"/>
  <c r="N2271" i="1"/>
  <c r="K2271" i="1"/>
  <c r="C2271" i="1"/>
  <c r="B2271" i="1"/>
  <c r="O2270" i="1"/>
  <c r="N2270" i="1"/>
  <c r="K2270" i="1"/>
  <c r="C2270" i="1"/>
  <c r="B2270" i="1"/>
  <c r="O2269" i="1"/>
  <c r="N2269" i="1"/>
  <c r="K2269" i="1"/>
  <c r="L2269" i="1" s="1"/>
  <c r="C2269" i="1"/>
  <c r="B2269" i="1"/>
  <c r="O2268" i="1"/>
  <c r="N2268" i="1"/>
  <c r="K2268" i="1"/>
  <c r="C2268" i="1"/>
  <c r="B2268" i="1"/>
  <c r="O2267" i="1"/>
  <c r="N2267" i="1"/>
  <c r="K2267" i="1"/>
  <c r="C2267" i="1"/>
  <c r="B2267" i="1"/>
  <c r="O2266" i="1"/>
  <c r="N2266" i="1"/>
  <c r="K2266" i="1"/>
  <c r="C2266" i="1"/>
  <c r="B2266" i="1"/>
  <c r="O2265" i="1"/>
  <c r="N2265" i="1"/>
  <c r="K2265" i="1"/>
  <c r="L2265" i="1" s="1"/>
  <c r="C2265" i="1"/>
  <c r="B2265" i="1"/>
  <c r="O2264" i="1"/>
  <c r="N2264" i="1"/>
  <c r="K2264" i="1"/>
  <c r="C2264" i="1"/>
  <c r="B2264" i="1"/>
  <c r="O2263" i="1"/>
  <c r="N2263" i="1"/>
  <c r="K2263" i="1"/>
  <c r="L2263" i="1" s="1"/>
  <c r="C2263" i="1"/>
  <c r="B2263" i="1"/>
  <c r="O2262" i="1"/>
  <c r="N2262" i="1"/>
  <c r="K2262" i="1"/>
  <c r="L2262" i="1" s="1"/>
  <c r="C2262" i="1"/>
  <c r="B2262" i="1"/>
  <c r="O2261" i="1"/>
  <c r="N2261" i="1"/>
  <c r="K2261" i="1"/>
  <c r="L2261" i="1" s="1"/>
  <c r="C2261" i="1"/>
  <c r="B2261" i="1"/>
  <c r="O2260" i="1"/>
  <c r="N2260" i="1"/>
  <c r="K2260" i="1"/>
  <c r="C2260" i="1"/>
  <c r="B2260" i="1"/>
  <c r="O2259" i="1"/>
  <c r="N2259" i="1"/>
  <c r="K2259" i="1"/>
  <c r="L2259" i="1" s="1"/>
  <c r="T2259" i="1" s="1"/>
  <c r="U2259" i="1" s="1"/>
  <c r="V2259" i="1" s="1"/>
  <c r="C2259" i="1"/>
  <c r="B2259" i="1"/>
  <c r="O2258" i="1"/>
  <c r="N2258" i="1"/>
  <c r="K2258" i="1"/>
  <c r="C2258" i="1"/>
  <c r="B2258" i="1"/>
  <c r="O2257" i="1"/>
  <c r="N2257" i="1"/>
  <c r="K2257" i="1"/>
  <c r="L2257" i="1" s="1"/>
  <c r="C2257" i="1"/>
  <c r="B2257" i="1"/>
  <c r="O2256" i="1"/>
  <c r="N2256" i="1"/>
  <c r="K2256" i="1"/>
  <c r="C2256" i="1"/>
  <c r="B2256" i="1"/>
  <c r="O2255" i="1"/>
  <c r="N2255" i="1"/>
  <c r="K2255" i="1"/>
  <c r="C2255" i="1"/>
  <c r="B2255" i="1"/>
  <c r="O2254" i="1"/>
  <c r="N2254" i="1"/>
  <c r="K2254" i="1"/>
  <c r="C2254" i="1"/>
  <c r="B2254" i="1"/>
  <c r="O2253" i="1"/>
  <c r="N2253" i="1"/>
  <c r="K2253" i="1"/>
  <c r="L2253" i="1" s="1"/>
  <c r="C2253" i="1"/>
  <c r="B2253" i="1"/>
  <c r="O2252" i="1"/>
  <c r="N2252" i="1"/>
  <c r="K2252" i="1"/>
  <c r="C2252" i="1"/>
  <c r="B2252" i="1"/>
  <c r="O2251" i="1"/>
  <c r="N2251" i="1"/>
  <c r="K2251" i="1"/>
  <c r="L2251" i="1" s="1"/>
  <c r="T2251" i="1" s="1"/>
  <c r="U2251" i="1" s="1"/>
  <c r="V2251" i="1" s="1"/>
  <c r="C2251" i="1"/>
  <c r="B2251" i="1"/>
  <c r="O2250" i="1"/>
  <c r="N2250" i="1"/>
  <c r="K2250" i="1"/>
  <c r="C2250" i="1"/>
  <c r="B2250" i="1"/>
  <c r="O2249" i="1"/>
  <c r="N2249" i="1"/>
  <c r="K2249" i="1"/>
  <c r="L2249" i="1" s="1"/>
  <c r="C2249" i="1"/>
  <c r="B2249" i="1"/>
  <c r="O2248" i="1"/>
  <c r="N2248" i="1"/>
  <c r="K2248" i="1"/>
  <c r="C2248" i="1"/>
  <c r="B2248" i="1"/>
  <c r="O2247" i="1"/>
  <c r="N2247" i="1"/>
  <c r="K2247" i="1"/>
  <c r="C2247" i="1"/>
  <c r="B2247" i="1"/>
  <c r="O2246" i="1"/>
  <c r="N2246" i="1"/>
  <c r="K2246" i="1"/>
  <c r="C2246" i="1"/>
  <c r="B2246" i="1"/>
  <c r="O2245" i="1"/>
  <c r="N2245" i="1"/>
  <c r="K2245" i="1"/>
  <c r="L2245" i="1" s="1"/>
  <c r="C2245" i="1"/>
  <c r="B2245" i="1"/>
  <c r="O2244" i="1"/>
  <c r="N2244" i="1"/>
  <c r="K2244" i="1"/>
  <c r="C2244" i="1"/>
  <c r="B2244" i="1"/>
  <c r="O2243" i="1"/>
  <c r="N2243" i="1"/>
  <c r="K2243" i="1"/>
  <c r="C2243" i="1"/>
  <c r="B2243" i="1"/>
  <c r="O2242" i="1"/>
  <c r="N2242" i="1"/>
  <c r="K2242" i="1"/>
  <c r="Q2242" i="1" s="1"/>
  <c r="C2242" i="1"/>
  <c r="B2242" i="1"/>
  <c r="O2241" i="1"/>
  <c r="N2241" i="1"/>
  <c r="K2241" i="1"/>
  <c r="L2241" i="1" s="1"/>
  <c r="C2241" i="1"/>
  <c r="B2241" i="1"/>
  <c r="O2240" i="1"/>
  <c r="N2240" i="1"/>
  <c r="K2240" i="1"/>
  <c r="C2240" i="1"/>
  <c r="B2240" i="1"/>
  <c r="O2239" i="1"/>
  <c r="N2239" i="1"/>
  <c r="K2239" i="1"/>
  <c r="C2239" i="1"/>
  <c r="B2239" i="1"/>
  <c r="O2238" i="1"/>
  <c r="N2238" i="1"/>
  <c r="K2238" i="1"/>
  <c r="L2238" i="1" s="1"/>
  <c r="C2238" i="1"/>
  <c r="B2238" i="1"/>
  <c r="O2237" i="1"/>
  <c r="N2237" i="1"/>
  <c r="K2237" i="1"/>
  <c r="L2237" i="1" s="1"/>
  <c r="C2237" i="1"/>
  <c r="B2237" i="1"/>
  <c r="O2236" i="1"/>
  <c r="N2236" i="1"/>
  <c r="K2236" i="1"/>
  <c r="L2236" i="1" s="1"/>
  <c r="C2236" i="1"/>
  <c r="B2236" i="1"/>
  <c r="O2235" i="1"/>
  <c r="N2235" i="1"/>
  <c r="K2235" i="1"/>
  <c r="C2235" i="1"/>
  <c r="B2235" i="1"/>
  <c r="O2234" i="1"/>
  <c r="N2234" i="1"/>
  <c r="K2234" i="1"/>
  <c r="C2234" i="1"/>
  <c r="B2234" i="1"/>
  <c r="O2233" i="1"/>
  <c r="N2233" i="1"/>
  <c r="K2233" i="1"/>
  <c r="L2233" i="1" s="1"/>
  <c r="C2233" i="1"/>
  <c r="B2233" i="1"/>
  <c r="O2232" i="1"/>
  <c r="N2232" i="1"/>
  <c r="K2232" i="1"/>
  <c r="C2232" i="1"/>
  <c r="B2232" i="1"/>
  <c r="O2231" i="1"/>
  <c r="N2231" i="1"/>
  <c r="K2231" i="1"/>
  <c r="C2231" i="1"/>
  <c r="B2231" i="1"/>
  <c r="O2230" i="1"/>
  <c r="N2230" i="1"/>
  <c r="K2230" i="1"/>
  <c r="L2230" i="1" s="1"/>
  <c r="C2230" i="1"/>
  <c r="B2230" i="1"/>
  <c r="O2229" i="1"/>
  <c r="N2229" i="1"/>
  <c r="K2229" i="1"/>
  <c r="L2229" i="1" s="1"/>
  <c r="C2229" i="1"/>
  <c r="B2229" i="1"/>
  <c r="O2228" i="1"/>
  <c r="N2228" i="1"/>
  <c r="K2228" i="1"/>
  <c r="C2228" i="1"/>
  <c r="B2228" i="1"/>
  <c r="O2227" i="1"/>
  <c r="N2227" i="1"/>
  <c r="K2227" i="1"/>
  <c r="C2227" i="1"/>
  <c r="B2227" i="1"/>
  <c r="O2226" i="1"/>
  <c r="N2226" i="1"/>
  <c r="K2226" i="1"/>
  <c r="C2226" i="1"/>
  <c r="B2226" i="1"/>
  <c r="O2225" i="1"/>
  <c r="N2225" i="1"/>
  <c r="K2225" i="1"/>
  <c r="L2225" i="1" s="1"/>
  <c r="C2225" i="1"/>
  <c r="B2225" i="1"/>
  <c r="O2224" i="1"/>
  <c r="N2224" i="1"/>
  <c r="K2224" i="1"/>
  <c r="C2224" i="1"/>
  <c r="B2224" i="1"/>
  <c r="O2223" i="1"/>
  <c r="N2223" i="1"/>
  <c r="K2223" i="1"/>
  <c r="C2223" i="1"/>
  <c r="B2223" i="1"/>
  <c r="O2222" i="1"/>
  <c r="N2222" i="1"/>
  <c r="K2222" i="1"/>
  <c r="L2222" i="1" s="1"/>
  <c r="C2222" i="1"/>
  <c r="B2222" i="1"/>
  <c r="O2221" i="1"/>
  <c r="N2221" i="1"/>
  <c r="K2221" i="1"/>
  <c r="L2221" i="1" s="1"/>
  <c r="C2221" i="1"/>
  <c r="B2221" i="1"/>
  <c r="O2220" i="1"/>
  <c r="N2220" i="1"/>
  <c r="K2220" i="1"/>
  <c r="C2220" i="1"/>
  <c r="B2220" i="1"/>
  <c r="O2219" i="1"/>
  <c r="N2219" i="1"/>
  <c r="K2219" i="1"/>
  <c r="C2219" i="1"/>
  <c r="B2219" i="1"/>
  <c r="O2218" i="1"/>
  <c r="N2218" i="1"/>
  <c r="K2218" i="1"/>
  <c r="C2218" i="1"/>
  <c r="B2218" i="1"/>
  <c r="O2217" i="1"/>
  <c r="N2217" i="1"/>
  <c r="K2217" i="1"/>
  <c r="L2217" i="1" s="1"/>
  <c r="C2217" i="1"/>
  <c r="B2217" i="1"/>
  <c r="O2216" i="1"/>
  <c r="N2216" i="1"/>
  <c r="K2216" i="1"/>
  <c r="C2216" i="1"/>
  <c r="B2216" i="1"/>
  <c r="O2215" i="1"/>
  <c r="N2215" i="1"/>
  <c r="K2215" i="1"/>
  <c r="L2215" i="1" s="1"/>
  <c r="C2215" i="1"/>
  <c r="B2215" i="1"/>
  <c r="O2214" i="1"/>
  <c r="N2214" i="1"/>
  <c r="K2214" i="1"/>
  <c r="L2214" i="1" s="1"/>
  <c r="C2214" i="1"/>
  <c r="B2214" i="1"/>
  <c r="D2214" i="1" s="1"/>
  <c r="O2213" i="1"/>
  <c r="N2213" i="1"/>
  <c r="K2213" i="1"/>
  <c r="L2213" i="1" s="1"/>
  <c r="C2213" i="1"/>
  <c r="B2213" i="1"/>
  <c r="O2212" i="1"/>
  <c r="N2212" i="1"/>
  <c r="K2212" i="1"/>
  <c r="C2212" i="1"/>
  <c r="B2212" i="1"/>
  <c r="O2211" i="1"/>
  <c r="N2211" i="1"/>
  <c r="K2211" i="1"/>
  <c r="C2211" i="1"/>
  <c r="B2211" i="1"/>
  <c r="O2210" i="1"/>
  <c r="N2210" i="1"/>
  <c r="K2210" i="1"/>
  <c r="C2210" i="1"/>
  <c r="B2210" i="1"/>
  <c r="O2209" i="1"/>
  <c r="N2209" i="1"/>
  <c r="K2209" i="1"/>
  <c r="L2209" i="1" s="1"/>
  <c r="C2209" i="1"/>
  <c r="B2209" i="1"/>
  <c r="O2208" i="1"/>
  <c r="N2208" i="1"/>
  <c r="K2208" i="1"/>
  <c r="L2208" i="1" s="1"/>
  <c r="C2208" i="1"/>
  <c r="B2208" i="1"/>
  <c r="O2207" i="1"/>
  <c r="N2207" i="1"/>
  <c r="K2207" i="1"/>
  <c r="C2207" i="1"/>
  <c r="B2207" i="1"/>
  <c r="O2206" i="1"/>
  <c r="N2206" i="1"/>
  <c r="K2206" i="1"/>
  <c r="L2206" i="1" s="1"/>
  <c r="C2206" i="1"/>
  <c r="B2206" i="1"/>
  <c r="O2205" i="1"/>
  <c r="N2205" i="1"/>
  <c r="K2205" i="1"/>
  <c r="L2205" i="1" s="1"/>
  <c r="C2205" i="1"/>
  <c r="B2205" i="1"/>
  <c r="O2204" i="1"/>
  <c r="N2204" i="1"/>
  <c r="K2204" i="1"/>
  <c r="C2204" i="1"/>
  <c r="B2204" i="1"/>
  <c r="O2203" i="1"/>
  <c r="N2203" i="1"/>
  <c r="K2203" i="1"/>
  <c r="C2203" i="1"/>
  <c r="B2203" i="1"/>
  <c r="O2202" i="1"/>
  <c r="N2202" i="1"/>
  <c r="K2202" i="1"/>
  <c r="C2202" i="1"/>
  <c r="B2202" i="1"/>
  <c r="O2201" i="1"/>
  <c r="N2201" i="1"/>
  <c r="K2201" i="1"/>
  <c r="L2201" i="1" s="1"/>
  <c r="C2201" i="1"/>
  <c r="B2201" i="1"/>
  <c r="X2200" i="1"/>
  <c r="W2200" i="1"/>
  <c r="S2200" i="1"/>
  <c r="P2200" i="1" s="1"/>
  <c r="O2200" i="1"/>
  <c r="N2200" i="1"/>
  <c r="K2200" i="1"/>
  <c r="C2200" i="1"/>
  <c r="B2200" i="1"/>
  <c r="O2199" i="1"/>
  <c r="N2199" i="1"/>
  <c r="K2199" i="1"/>
  <c r="C2199" i="1"/>
  <c r="B2199" i="1"/>
  <c r="O2198" i="1"/>
  <c r="N2198" i="1"/>
  <c r="K2198" i="1"/>
  <c r="L2198" i="1" s="1"/>
  <c r="C2198" i="1"/>
  <c r="B2198" i="1"/>
  <c r="O2197" i="1"/>
  <c r="N2197" i="1"/>
  <c r="K2197" i="1"/>
  <c r="L2197" i="1" s="1"/>
  <c r="C2197" i="1"/>
  <c r="B2197" i="1"/>
  <c r="O2196" i="1"/>
  <c r="N2196" i="1"/>
  <c r="K2196" i="1"/>
  <c r="C2196" i="1"/>
  <c r="B2196" i="1"/>
  <c r="O2195" i="1"/>
  <c r="N2195" i="1"/>
  <c r="K2195" i="1"/>
  <c r="C2195" i="1"/>
  <c r="B2195" i="1"/>
  <c r="O2194" i="1"/>
  <c r="N2194" i="1"/>
  <c r="K2194" i="1"/>
  <c r="C2194" i="1"/>
  <c r="B2194" i="1"/>
  <c r="O2193" i="1"/>
  <c r="N2193" i="1"/>
  <c r="K2193" i="1"/>
  <c r="L2193" i="1" s="1"/>
  <c r="C2193" i="1"/>
  <c r="B2193" i="1"/>
  <c r="O2192" i="1"/>
  <c r="N2192" i="1"/>
  <c r="K2192" i="1"/>
  <c r="C2192" i="1"/>
  <c r="B2192" i="1"/>
  <c r="O2191" i="1"/>
  <c r="N2191" i="1"/>
  <c r="K2191" i="1"/>
  <c r="L2191" i="1" s="1"/>
  <c r="C2191" i="1"/>
  <c r="B2191" i="1"/>
  <c r="O2190" i="1"/>
  <c r="N2190" i="1"/>
  <c r="K2190" i="1"/>
  <c r="L2190" i="1" s="1"/>
  <c r="C2190" i="1"/>
  <c r="B2190" i="1"/>
  <c r="O2189" i="1"/>
  <c r="N2189" i="1"/>
  <c r="K2189" i="1"/>
  <c r="L2189" i="1" s="1"/>
  <c r="C2189" i="1"/>
  <c r="B2189" i="1"/>
  <c r="O2188" i="1"/>
  <c r="N2188" i="1"/>
  <c r="K2188" i="1"/>
  <c r="C2188" i="1"/>
  <c r="B2188" i="1"/>
  <c r="O2187" i="1"/>
  <c r="N2187" i="1"/>
  <c r="K2187" i="1"/>
  <c r="C2187" i="1"/>
  <c r="B2187" i="1"/>
  <c r="O2186" i="1"/>
  <c r="N2186" i="1"/>
  <c r="K2186" i="1"/>
  <c r="C2186" i="1"/>
  <c r="B2186" i="1"/>
  <c r="O2185" i="1"/>
  <c r="N2185" i="1"/>
  <c r="K2185" i="1"/>
  <c r="L2185" i="1" s="1"/>
  <c r="C2185" i="1"/>
  <c r="B2185" i="1"/>
  <c r="O2184" i="1"/>
  <c r="N2184" i="1"/>
  <c r="K2184" i="1"/>
  <c r="C2184" i="1"/>
  <c r="B2184" i="1"/>
  <c r="O2183" i="1"/>
  <c r="N2183" i="1"/>
  <c r="K2183" i="1"/>
  <c r="L2183" i="1" s="1"/>
  <c r="C2183" i="1"/>
  <c r="B2183" i="1"/>
  <c r="O2182" i="1"/>
  <c r="N2182" i="1"/>
  <c r="K2182" i="1"/>
  <c r="L2182" i="1" s="1"/>
  <c r="C2182" i="1"/>
  <c r="B2182" i="1"/>
  <c r="O2181" i="1"/>
  <c r="N2181" i="1"/>
  <c r="K2181" i="1"/>
  <c r="L2181" i="1" s="1"/>
  <c r="C2181" i="1"/>
  <c r="B2181" i="1"/>
  <c r="O2180" i="1"/>
  <c r="N2180" i="1"/>
  <c r="K2180" i="1"/>
  <c r="C2180" i="1"/>
  <c r="B2180" i="1"/>
  <c r="O2179" i="1"/>
  <c r="N2179" i="1"/>
  <c r="K2179" i="1"/>
  <c r="C2179" i="1"/>
  <c r="B2179" i="1"/>
  <c r="O2178" i="1"/>
  <c r="N2178" i="1"/>
  <c r="K2178" i="1"/>
  <c r="C2178" i="1"/>
  <c r="B2178" i="1"/>
  <c r="D2178" i="1" s="1"/>
  <c r="O2177" i="1"/>
  <c r="N2177" i="1"/>
  <c r="K2177" i="1"/>
  <c r="L2177" i="1" s="1"/>
  <c r="C2177" i="1"/>
  <c r="B2177" i="1"/>
  <c r="O2176" i="1"/>
  <c r="N2176" i="1"/>
  <c r="K2176" i="1"/>
  <c r="C2176" i="1"/>
  <c r="B2176" i="1"/>
  <c r="O2175" i="1"/>
  <c r="N2175" i="1"/>
  <c r="K2175" i="1"/>
  <c r="C2175" i="1"/>
  <c r="B2175" i="1"/>
  <c r="O2174" i="1"/>
  <c r="N2174" i="1"/>
  <c r="K2174" i="1"/>
  <c r="L2174" i="1" s="1"/>
  <c r="C2174" i="1"/>
  <c r="B2174" i="1"/>
  <c r="O2173" i="1"/>
  <c r="N2173" i="1"/>
  <c r="K2173" i="1"/>
  <c r="L2173" i="1" s="1"/>
  <c r="C2173" i="1"/>
  <c r="B2173" i="1"/>
  <c r="O2172" i="1"/>
  <c r="N2172" i="1"/>
  <c r="K2172" i="1"/>
  <c r="C2172" i="1"/>
  <c r="B2172" i="1"/>
  <c r="O2171" i="1"/>
  <c r="N2171" i="1"/>
  <c r="K2171" i="1"/>
  <c r="L2171" i="1" s="1"/>
  <c r="C2171" i="1"/>
  <c r="B2171" i="1"/>
  <c r="O2170" i="1"/>
  <c r="N2170" i="1"/>
  <c r="K2170" i="1"/>
  <c r="C2170" i="1"/>
  <c r="B2170" i="1"/>
  <c r="O2169" i="1"/>
  <c r="N2169" i="1"/>
  <c r="K2169" i="1"/>
  <c r="L2169" i="1" s="1"/>
  <c r="C2169" i="1"/>
  <c r="B2169" i="1"/>
  <c r="O2168" i="1"/>
  <c r="N2168" i="1"/>
  <c r="K2168" i="1"/>
  <c r="C2168" i="1"/>
  <c r="B2168" i="1"/>
  <c r="O2167" i="1"/>
  <c r="N2167" i="1"/>
  <c r="K2167" i="1"/>
  <c r="L2167" i="1" s="1"/>
  <c r="C2167" i="1"/>
  <c r="B2167" i="1"/>
  <c r="O2166" i="1"/>
  <c r="N2166" i="1"/>
  <c r="K2166" i="1"/>
  <c r="C2166" i="1"/>
  <c r="B2166" i="1"/>
  <c r="O2165" i="1"/>
  <c r="N2165" i="1"/>
  <c r="K2165" i="1"/>
  <c r="L2165" i="1" s="1"/>
  <c r="C2165" i="1"/>
  <c r="B2165" i="1"/>
  <c r="O2164" i="1"/>
  <c r="N2164" i="1"/>
  <c r="K2164" i="1"/>
  <c r="C2164" i="1"/>
  <c r="B2164" i="1"/>
  <c r="O2163" i="1"/>
  <c r="N2163" i="1"/>
  <c r="K2163" i="1"/>
  <c r="C2163" i="1"/>
  <c r="B2163" i="1"/>
  <c r="O2162" i="1"/>
  <c r="N2162" i="1"/>
  <c r="K2162" i="1"/>
  <c r="C2162" i="1"/>
  <c r="B2162" i="1"/>
  <c r="O2161" i="1"/>
  <c r="N2161" i="1"/>
  <c r="K2161" i="1"/>
  <c r="L2161" i="1" s="1"/>
  <c r="C2161" i="1"/>
  <c r="B2161" i="1"/>
  <c r="O2160" i="1"/>
  <c r="N2160" i="1"/>
  <c r="K2160" i="1"/>
  <c r="C2160" i="1"/>
  <c r="B2160" i="1"/>
  <c r="O2159" i="1"/>
  <c r="N2159" i="1"/>
  <c r="K2159" i="1"/>
  <c r="L2159" i="1" s="1"/>
  <c r="C2159" i="1"/>
  <c r="B2159" i="1"/>
  <c r="O2158" i="1"/>
  <c r="N2158" i="1"/>
  <c r="K2158" i="1"/>
  <c r="L2158" i="1" s="1"/>
  <c r="C2158" i="1"/>
  <c r="B2158" i="1"/>
  <c r="O2157" i="1"/>
  <c r="N2157" i="1"/>
  <c r="K2157" i="1"/>
  <c r="L2157" i="1" s="1"/>
  <c r="C2157" i="1"/>
  <c r="B2157" i="1"/>
  <c r="O2156" i="1"/>
  <c r="N2156" i="1"/>
  <c r="K2156" i="1"/>
  <c r="C2156" i="1"/>
  <c r="B2156" i="1"/>
  <c r="O2155" i="1"/>
  <c r="N2155" i="1"/>
  <c r="K2155" i="1"/>
  <c r="L2155" i="1" s="1"/>
  <c r="C2155" i="1"/>
  <c r="B2155" i="1"/>
  <c r="O2154" i="1"/>
  <c r="N2154" i="1"/>
  <c r="K2154" i="1"/>
  <c r="C2154" i="1"/>
  <c r="B2154" i="1"/>
  <c r="O2153" i="1"/>
  <c r="N2153" i="1"/>
  <c r="K2153" i="1"/>
  <c r="L2153" i="1" s="1"/>
  <c r="C2153" i="1"/>
  <c r="B2153" i="1"/>
  <c r="O2152" i="1"/>
  <c r="N2152" i="1"/>
  <c r="K2152" i="1"/>
  <c r="C2152" i="1"/>
  <c r="B2152" i="1"/>
  <c r="O2151" i="1"/>
  <c r="N2151" i="1"/>
  <c r="K2151" i="1"/>
  <c r="C2151" i="1"/>
  <c r="B2151" i="1"/>
  <c r="O2150" i="1"/>
  <c r="N2150" i="1"/>
  <c r="K2150" i="1"/>
  <c r="L2150" i="1" s="1"/>
  <c r="R2150" i="1" s="1"/>
  <c r="C2150" i="1"/>
  <c r="B2150" i="1"/>
  <c r="O2149" i="1"/>
  <c r="N2149" i="1"/>
  <c r="K2149" i="1"/>
  <c r="L2149" i="1" s="1"/>
  <c r="C2149" i="1"/>
  <c r="B2149" i="1"/>
  <c r="O2148" i="1"/>
  <c r="N2148" i="1"/>
  <c r="K2148" i="1"/>
  <c r="C2148" i="1"/>
  <c r="B2148" i="1"/>
  <c r="O2147" i="1"/>
  <c r="N2147" i="1"/>
  <c r="K2147" i="1"/>
  <c r="C2147" i="1"/>
  <c r="B2147" i="1"/>
  <c r="O2146" i="1"/>
  <c r="N2146" i="1"/>
  <c r="K2146" i="1"/>
  <c r="C2146" i="1"/>
  <c r="B2146" i="1"/>
  <c r="O2145" i="1"/>
  <c r="N2145" i="1"/>
  <c r="K2145" i="1"/>
  <c r="L2145" i="1" s="1"/>
  <c r="C2145" i="1"/>
  <c r="B2145" i="1"/>
  <c r="O2144" i="1"/>
  <c r="N2144" i="1"/>
  <c r="K2144" i="1"/>
  <c r="C2144" i="1"/>
  <c r="B2144" i="1"/>
  <c r="O2143" i="1"/>
  <c r="N2143" i="1"/>
  <c r="K2143" i="1"/>
  <c r="L2143" i="1" s="1"/>
  <c r="C2143" i="1"/>
  <c r="B2143" i="1"/>
  <c r="O2142" i="1"/>
  <c r="N2142" i="1"/>
  <c r="K2142" i="1"/>
  <c r="L2142" i="1" s="1"/>
  <c r="R2142" i="1" s="1"/>
  <c r="C2142" i="1"/>
  <c r="B2142" i="1"/>
  <c r="O2141" i="1"/>
  <c r="N2141" i="1"/>
  <c r="K2141" i="1"/>
  <c r="L2141" i="1" s="1"/>
  <c r="C2141" i="1"/>
  <c r="B2141" i="1"/>
  <c r="O2140" i="1"/>
  <c r="N2140" i="1"/>
  <c r="K2140" i="1"/>
  <c r="C2140" i="1"/>
  <c r="B2140" i="1"/>
  <c r="O2139" i="1"/>
  <c r="N2139" i="1"/>
  <c r="K2139" i="1"/>
  <c r="L2139" i="1" s="1"/>
  <c r="C2139" i="1"/>
  <c r="B2139" i="1"/>
  <c r="O2138" i="1"/>
  <c r="N2138" i="1"/>
  <c r="K2138" i="1"/>
  <c r="C2138" i="1"/>
  <c r="B2138" i="1"/>
  <c r="O2137" i="1"/>
  <c r="N2137" i="1"/>
  <c r="K2137" i="1"/>
  <c r="L2137" i="1" s="1"/>
  <c r="C2137" i="1"/>
  <c r="B2137" i="1"/>
  <c r="O2136" i="1"/>
  <c r="N2136" i="1"/>
  <c r="K2136" i="1"/>
  <c r="C2136" i="1"/>
  <c r="B2136" i="1"/>
  <c r="O2135" i="1"/>
  <c r="N2135" i="1"/>
  <c r="K2135" i="1"/>
  <c r="C2135" i="1"/>
  <c r="B2135" i="1"/>
  <c r="O2134" i="1"/>
  <c r="N2134" i="1"/>
  <c r="K2134" i="1"/>
  <c r="L2134" i="1" s="1"/>
  <c r="R2134" i="1" s="1"/>
  <c r="C2134" i="1"/>
  <c r="B2134" i="1"/>
  <c r="O2133" i="1"/>
  <c r="N2133" i="1"/>
  <c r="K2133" i="1"/>
  <c r="L2133" i="1" s="1"/>
  <c r="C2133" i="1"/>
  <c r="B2133" i="1"/>
  <c r="O2132" i="1"/>
  <c r="N2132" i="1"/>
  <c r="K2132" i="1"/>
  <c r="C2132" i="1"/>
  <c r="B2132" i="1"/>
  <c r="O2131" i="1"/>
  <c r="N2131" i="1"/>
  <c r="K2131" i="1"/>
  <c r="C2131" i="1"/>
  <c r="B2131" i="1"/>
  <c r="O2130" i="1"/>
  <c r="N2130" i="1"/>
  <c r="K2130" i="1"/>
  <c r="C2130" i="1"/>
  <c r="B2130" i="1"/>
  <c r="O2129" i="1"/>
  <c r="N2129" i="1"/>
  <c r="K2129" i="1"/>
  <c r="L2129" i="1" s="1"/>
  <c r="C2129" i="1"/>
  <c r="B2129" i="1"/>
  <c r="O2128" i="1"/>
  <c r="N2128" i="1"/>
  <c r="K2128" i="1"/>
  <c r="C2128" i="1"/>
  <c r="B2128" i="1"/>
  <c r="O2127" i="1"/>
  <c r="N2127" i="1"/>
  <c r="K2127" i="1"/>
  <c r="C2127" i="1"/>
  <c r="B2127" i="1"/>
  <c r="O2126" i="1"/>
  <c r="N2126" i="1"/>
  <c r="K2126" i="1"/>
  <c r="C2126" i="1"/>
  <c r="B2126" i="1"/>
  <c r="O2125" i="1"/>
  <c r="N2125" i="1"/>
  <c r="K2125" i="1"/>
  <c r="C2125" i="1"/>
  <c r="B2125" i="1"/>
  <c r="O2124" i="1"/>
  <c r="N2124" i="1"/>
  <c r="K2124" i="1"/>
  <c r="C2124" i="1"/>
  <c r="B2124" i="1"/>
  <c r="O2123" i="1"/>
  <c r="N2123" i="1"/>
  <c r="K2123" i="1"/>
  <c r="C2123" i="1"/>
  <c r="B2123" i="1"/>
  <c r="O2122" i="1"/>
  <c r="N2122" i="1"/>
  <c r="K2122" i="1"/>
  <c r="Q2122" i="1" s="1"/>
  <c r="C2122" i="1"/>
  <c r="B2122" i="1"/>
  <c r="O2121" i="1"/>
  <c r="N2121" i="1"/>
  <c r="K2121" i="1"/>
  <c r="L2121" i="1" s="1"/>
  <c r="C2121" i="1"/>
  <c r="B2121" i="1"/>
  <c r="O2120" i="1"/>
  <c r="N2120" i="1"/>
  <c r="K2120" i="1"/>
  <c r="C2120" i="1"/>
  <c r="B2120" i="1"/>
  <c r="O2119" i="1"/>
  <c r="N2119" i="1"/>
  <c r="K2119" i="1"/>
  <c r="L2119" i="1" s="1"/>
  <c r="C2119" i="1"/>
  <c r="B2119" i="1"/>
  <c r="O2118" i="1"/>
  <c r="N2118" i="1"/>
  <c r="K2118" i="1"/>
  <c r="C2118" i="1"/>
  <c r="B2118" i="1"/>
  <c r="O2117" i="1"/>
  <c r="N2117" i="1"/>
  <c r="K2117" i="1"/>
  <c r="L2117" i="1" s="1"/>
  <c r="C2117" i="1"/>
  <c r="B2117" i="1"/>
  <c r="O2116" i="1"/>
  <c r="N2116" i="1"/>
  <c r="K2116" i="1"/>
  <c r="C2116" i="1"/>
  <c r="B2116" i="1"/>
  <c r="O2115" i="1"/>
  <c r="N2115" i="1"/>
  <c r="K2115" i="1"/>
  <c r="C2115" i="1"/>
  <c r="B2115" i="1"/>
  <c r="O2114" i="1"/>
  <c r="N2114" i="1"/>
  <c r="K2114" i="1"/>
  <c r="C2114" i="1"/>
  <c r="B2114" i="1"/>
  <c r="O2113" i="1"/>
  <c r="N2113" i="1"/>
  <c r="K2113" i="1"/>
  <c r="C2113" i="1"/>
  <c r="B2113" i="1"/>
  <c r="O2112" i="1"/>
  <c r="N2112" i="1"/>
  <c r="K2112" i="1"/>
  <c r="C2112" i="1"/>
  <c r="B2112" i="1"/>
  <c r="O2111" i="1"/>
  <c r="N2111" i="1"/>
  <c r="S2111" i="1" s="1"/>
  <c r="P2111" i="1" s="1"/>
  <c r="K2111" i="1"/>
  <c r="L2111" i="1" s="1"/>
  <c r="C2111" i="1"/>
  <c r="B2111" i="1"/>
  <c r="O2110" i="1"/>
  <c r="N2110" i="1"/>
  <c r="K2110" i="1"/>
  <c r="C2110" i="1"/>
  <c r="B2110" i="1"/>
  <c r="X2109" i="1"/>
  <c r="W2109" i="1"/>
  <c r="S2109" i="1"/>
  <c r="P2109" i="1" s="1"/>
  <c r="O2109" i="1"/>
  <c r="N2109" i="1"/>
  <c r="K2109" i="1"/>
  <c r="C2109" i="1"/>
  <c r="B2109" i="1"/>
  <c r="O2108" i="1"/>
  <c r="N2108" i="1"/>
  <c r="K2108" i="1"/>
  <c r="C2108" i="1"/>
  <c r="B2108" i="1"/>
  <c r="O2107" i="1"/>
  <c r="N2107" i="1"/>
  <c r="K2107" i="1"/>
  <c r="C2107" i="1"/>
  <c r="B2107" i="1"/>
  <c r="O2106" i="1"/>
  <c r="N2106" i="1"/>
  <c r="K2106" i="1"/>
  <c r="C2106" i="1"/>
  <c r="B2106" i="1"/>
  <c r="O2105" i="1"/>
  <c r="N2105" i="1"/>
  <c r="K2105" i="1"/>
  <c r="C2105" i="1"/>
  <c r="B2105" i="1"/>
  <c r="O2104" i="1"/>
  <c r="N2104" i="1"/>
  <c r="K2104" i="1"/>
  <c r="L2104" i="1" s="1"/>
  <c r="C2104" i="1"/>
  <c r="B2104" i="1"/>
  <c r="O2103" i="1"/>
  <c r="N2103" i="1"/>
  <c r="K2103" i="1"/>
  <c r="C2103" i="1"/>
  <c r="B2103" i="1"/>
  <c r="O2102" i="1"/>
  <c r="N2102" i="1"/>
  <c r="K2102" i="1"/>
  <c r="C2102" i="1"/>
  <c r="B2102" i="1"/>
  <c r="O2101" i="1"/>
  <c r="N2101" i="1"/>
  <c r="K2101" i="1"/>
  <c r="C2101" i="1"/>
  <c r="B2101" i="1"/>
  <c r="O2100" i="1"/>
  <c r="N2100" i="1"/>
  <c r="K2100" i="1"/>
  <c r="L2100" i="1" s="1"/>
  <c r="M2100" i="1" s="1"/>
  <c r="C2100" i="1"/>
  <c r="B2100" i="1"/>
  <c r="O2099" i="1"/>
  <c r="N2099" i="1"/>
  <c r="K2099" i="1"/>
  <c r="C2099" i="1"/>
  <c r="B2099" i="1"/>
  <c r="O2098" i="1"/>
  <c r="N2098" i="1"/>
  <c r="K2098" i="1"/>
  <c r="C2098" i="1"/>
  <c r="B2098" i="1"/>
  <c r="O2097" i="1"/>
  <c r="N2097" i="1"/>
  <c r="K2097" i="1"/>
  <c r="C2097" i="1"/>
  <c r="B2097" i="1"/>
  <c r="O2096" i="1"/>
  <c r="N2096" i="1"/>
  <c r="K2096" i="1"/>
  <c r="L2096" i="1" s="1"/>
  <c r="T2096" i="1" s="1"/>
  <c r="U2096" i="1" s="1"/>
  <c r="V2096" i="1" s="1"/>
  <c r="C2096" i="1"/>
  <c r="B2096" i="1"/>
  <c r="O2095" i="1"/>
  <c r="N2095" i="1"/>
  <c r="K2095" i="1"/>
  <c r="L2095" i="1" s="1"/>
  <c r="C2095" i="1"/>
  <c r="B2095" i="1"/>
  <c r="O2094" i="1"/>
  <c r="N2094" i="1"/>
  <c r="K2094" i="1"/>
  <c r="C2094" i="1"/>
  <c r="B2094" i="1"/>
  <c r="O2093" i="1"/>
  <c r="N2093" i="1"/>
  <c r="K2093" i="1"/>
  <c r="C2093" i="1"/>
  <c r="B2093" i="1"/>
  <c r="O2092" i="1"/>
  <c r="N2092" i="1"/>
  <c r="K2092" i="1"/>
  <c r="C2092" i="1"/>
  <c r="B2092" i="1"/>
  <c r="O2091" i="1"/>
  <c r="N2091" i="1"/>
  <c r="K2091" i="1"/>
  <c r="C2091" i="1"/>
  <c r="B2091" i="1"/>
  <c r="O2090" i="1"/>
  <c r="N2090" i="1"/>
  <c r="K2090" i="1"/>
  <c r="L2090" i="1" s="1"/>
  <c r="C2090" i="1"/>
  <c r="B2090" i="1"/>
  <c r="O2089" i="1"/>
  <c r="N2089" i="1"/>
  <c r="K2089" i="1"/>
  <c r="C2089" i="1"/>
  <c r="B2089" i="1"/>
  <c r="O2088" i="1"/>
  <c r="N2088" i="1"/>
  <c r="K2088" i="1"/>
  <c r="C2088" i="1"/>
  <c r="B2088" i="1"/>
  <c r="O2087" i="1"/>
  <c r="N2087" i="1"/>
  <c r="K2087" i="1"/>
  <c r="L2087" i="1" s="1"/>
  <c r="C2087" i="1"/>
  <c r="B2087" i="1"/>
  <c r="O2086" i="1"/>
  <c r="N2086" i="1"/>
  <c r="K2086" i="1"/>
  <c r="C2086" i="1"/>
  <c r="B2086" i="1"/>
  <c r="O2085" i="1"/>
  <c r="N2085" i="1"/>
  <c r="K2085" i="1"/>
  <c r="C2085" i="1"/>
  <c r="B2085" i="1"/>
  <c r="O2084" i="1"/>
  <c r="N2084" i="1"/>
  <c r="K2084" i="1"/>
  <c r="C2084" i="1"/>
  <c r="B2084" i="1"/>
  <c r="O2083" i="1"/>
  <c r="N2083" i="1"/>
  <c r="K2083" i="1"/>
  <c r="C2083" i="1"/>
  <c r="B2083" i="1"/>
  <c r="O2082" i="1"/>
  <c r="N2082" i="1"/>
  <c r="K2082" i="1"/>
  <c r="L2082" i="1" s="1"/>
  <c r="C2082" i="1"/>
  <c r="B2082" i="1"/>
  <c r="O2081" i="1"/>
  <c r="N2081" i="1"/>
  <c r="K2081" i="1"/>
  <c r="C2081" i="1"/>
  <c r="B2081" i="1"/>
  <c r="O2080" i="1"/>
  <c r="N2080" i="1"/>
  <c r="K2080" i="1"/>
  <c r="C2080" i="1"/>
  <c r="B2080" i="1"/>
  <c r="O2079" i="1"/>
  <c r="N2079" i="1"/>
  <c r="K2079" i="1"/>
  <c r="L2079" i="1" s="1"/>
  <c r="C2079" i="1"/>
  <c r="B2079" i="1"/>
  <c r="O2078" i="1"/>
  <c r="N2078" i="1"/>
  <c r="K2078" i="1"/>
  <c r="C2078" i="1"/>
  <c r="B2078" i="1"/>
  <c r="O2077" i="1"/>
  <c r="N2077" i="1"/>
  <c r="K2077" i="1"/>
  <c r="C2077" i="1"/>
  <c r="B2077" i="1"/>
  <c r="O2076" i="1"/>
  <c r="N2076" i="1"/>
  <c r="K2076" i="1"/>
  <c r="C2076" i="1"/>
  <c r="B2076" i="1"/>
  <c r="O2075" i="1"/>
  <c r="N2075" i="1"/>
  <c r="K2075" i="1"/>
  <c r="C2075" i="1"/>
  <c r="B2075" i="1"/>
  <c r="O2074" i="1"/>
  <c r="N2074" i="1"/>
  <c r="K2074" i="1"/>
  <c r="L2074" i="1" s="1"/>
  <c r="C2074" i="1"/>
  <c r="B2074" i="1"/>
  <c r="O2073" i="1"/>
  <c r="N2073" i="1"/>
  <c r="K2073" i="1"/>
  <c r="C2073" i="1"/>
  <c r="B2073" i="1"/>
  <c r="O2072" i="1"/>
  <c r="N2072" i="1"/>
  <c r="K2072" i="1"/>
  <c r="C2072" i="1"/>
  <c r="B2072" i="1"/>
  <c r="O2071" i="1"/>
  <c r="N2071" i="1"/>
  <c r="K2071" i="1"/>
  <c r="L2071" i="1" s="1"/>
  <c r="C2071" i="1"/>
  <c r="B2071" i="1"/>
  <c r="O2070" i="1"/>
  <c r="N2070" i="1"/>
  <c r="K2070" i="1"/>
  <c r="C2070" i="1"/>
  <c r="B2070" i="1"/>
  <c r="O2069" i="1"/>
  <c r="N2069" i="1"/>
  <c r="K2069" i="1"/>
  <c r="C2069" i="1"/>
  <c r="B2069" i="1"/>
  <c r="O2068" i="1"/>
  <c r="N2068" i="1"/>
  <c r="K2068" i="1"/>
  <c r="C2068" i="1"/>
  <c r="B2068" i="1"/>
  <c r="O2067" i="1"/>
  <c r="N2067" i="1"/>
  <c r="W2067" i="1" s="1"/>
  <c r="K2067" i="1"/>
  <c r="C2067" i="1"/>
  <c r="B2067" i="1"/>
  <c r="O2066" i="1"/>
  <c r="N2066" i="1"/>
  <c r="K2066" i="1"/>
  <c r="L2066" i="1" s="1"/>
  <c r="C2066" i="1"/>
  <c r="B2066" i="1"/>
  <c r="O2065" i="1"/>
  <c r="N2065" i="1"/>
  <c r="K2065" i="1"/>
  <c r="C2065" i="1"/>
  <c r="B2065" i="1"/>
  <c r="O2064" i="1"/>
  <c r="N2064" i="1"/>
  <c r="K2064" i="1"/>
  <c r="C2064" i="1"/>
  <c r="B2064" i="1"/>
  <c r="O2063" i="1"/>
  <c r="N2063" i="1"/>
  <c r="K2063" i="1"/>
  <c r="C2063" i="1"/>
  <c r="B2063" i="1"/>
  <c r="O2062" i="1"/>
  <c r="N2062" i="1"/>
  <c r="K2062" i="1"/>
  <c r="C2062" i="1"/>
  <c r="B2062" i="1"/>
  <c r="O2061" i="1"/>
  <c r="N2061" i="1"/>
  <c r="K2061" i="1"/>
  <c r="C2061" i="1"/>
  <c r="B2061" i="1"/>
  <c r="O2060" i="1"/>
  <c r="N2060" i="1"/>
  <c r="K2060" i="1"/>
  <c r="C2060" i="1"/>
  <c r="B2060" i="1"/>
  <c r="O2059" i="1"/>
  <c r="N2059" i="1"/>
  <c r="K2059" i="1"/>
  <c r="C2059" i="1"/>
  <c r="B2059" i="1"/>
  <c r="O2058" i="1"/>
  <c r="N2058" i="1"/>
  <c r="K2058" i="1"/>
  <c r="L2058" i="1" s="1"/>
  <c r="C2058" i="1"/>
  <c r="B2058" i="1"/>
  <c r="O2057" i="1"/>
  <c r="N2057" i="1"/>
  <c r="K2057" i="1"/>
  <c r="C2057" i="1"/>
  <c r="B2057" i="1"/>
  <c r="O2056" i="1"/>
  <c r="N2056" i="1"/>
  <c r="K2056" i="1"/>
  <c r="C2056" i="1"/>
  <c r="B2056" i="1"/>
  <c r="O2055" i="1"/>
  <c r="N2055" i="1"/>
  <c r="K2055" i="1"/>
  <c r="C2055" i="1"/>
  <c r="B2055" i="1"/>
  <c r="O2054" i="1"/>
  <c r="N2054" i="1"/>
  <c r="K2054" i="1"/>
  <c r="C2054" i="1"/>
  <c r="B2054" i="1"/>
  <c r="O2053" i="1"/>
  <c r="N2053" i="1"/>
  <c r="K2053" i="1"/>
  <c r="C2053" i="1"/>
  <c r="B2053" i="1"/>
  <c r="O2052" i="1"/>
  <c r="N2052" i="1"/>
  <c r="K2052" i="1"/>
  <c r="C2052" i="1"/>
  <c r="B2052" i="1"/>
  <c r="O2051" i="1"/>
  <c r="N2051" i="1"/>
  <c r="K2051" i="1"/>
  <c r="C2051" i="1"/>
  <c r="B2051" i="1"/>
  <c r="O2050" i="1"/>
  <c r="N2050" i="1"/>
  <c r="K2050" i="1"/>
  <c r="L2050" i="1" s="1"/>
  <c r="C2050" i="1"/>
  <c r="B2050" i="1"/>
  <c r="O2049" i="1"/>
  <c r="N2049" i="1"/>
  <c r="K2049" i="1"/>
  <c r="C2049" i="1"/>
  <c r="B2049" i="1"/>
  <c r="O2048" i="1"/>
  <c r="N2048" i="1"/>
  <c r="K2048" i="1"/>
  <c r="C2048" i="1"/>
  <c r="B2048" i="1"/>
  <c r="O2047" i="1"/>
  <c r="N2047" i="1"/>
  <c r="K2047" i="1"/>
  <c r="C2047" i="1"/>
  <c r="B2047" i="1"/>
  <c r="O2046" i="1"/>
  <c r="N2046" i="1"/>
  <c r="K2046" i="1"/>
  <c r="L2046" i="1" s="1"/>
  <c r="R2046" i="1" s="1"/>
  <c r="C2046" i="1"/>
  <c r="B2046" i="1"/>
  <c r="O2045" i="1"/>
  <c r="N2045" i="1"/>
  <c r="K2045" i="1"/>
  <c r="C2045" i="1"/>
  <c r="B2045" i="1"/>
  <c r="O2044" i="1"/>
  <c r="N2044" i="1"/>
  <c r="K2044" i="1"/>
  <c r="C2044" i="1"/>
  <c r="B2044" i="1"/>
  <c r="O2043" i="1"/>
  <c r="N2043" i="1"/>
  <c r="K2043" i="1"/>
  <c r="C2043" i="1"/>
  <c r="B2043" i="1"/>
  <c r="O2042" i="1"/>
  <c r="N2042" i="1"/>
  <c r="K2042" i="1"/>
  <c r="C2042" i="1"/>
  <c r="B2042" i="1"/>
  <c r="O2041" i="1"/>
  <c r="N2041" i="1"/>
  <c r="K2041" i="1"/>
  <c r="C2041" i="1"/>
  <c r="B2041" i="1"/>
  <c r="O2040" i="1"/>
  <c r="N2040" i="1"/>
  <c r="K2040" i="1"/>
  <c r="C2040" i="1"/>
  <c r="B2040" i="1"/>
  <c r="O2039" i="1"/>
  <c r="N2039" i="1"/>
  <c r="K2039" i="1"/>
  <c r="L2039" i="1" s="1"/>
  <c r="C2039" i="1"/>
  <c r="B2039" i="1"/>
  <c r="O2038" i="1"/>
  <c r="N2038" i="1"/>
  <c r="K2038" i="1"/>
  <c r="C2038" i="1"/>
  <c r="B2038" i="1"/>
  <c r="O2037" i="1"/>
  <c r="N2037" i="1"/>
  <c r="K2037" i="1"/>
  <c r="C2037" i="1"/>
  <c r="B2037" i="1"/>
  <c r="O2036" i="1"/>
  <c r="N2036" i="1"/>
  <c r="K2036" i="1"/>
  <c r="C2036" i="1"/>
  <c r="B2036" i="1"/>
  <c r="O2035" i="1"/>
  <c r="N2035" i="1"/>
  <c r="K2035" i="1"/>
  <c r="Q2035" i="1" s="1"/>
  <c r="C2035" i="1"/>
  <c r="B2035" i="1"/>
  <c r="O2034" i="1"/>
  <c r="N2034" i="1"/>
  <c r="K2034" i="1"/>
  <c r="C2034" i="1"/>
  <c r="B2034" i="1"/>
  <c r="O2033" i="1"/>
  <c r="N2033" i="1"/>
  <c r="K2033" i="1"/>
  <c r="C2033" i="1"/>
  <c r="B2033" i="1"/>
  <c r="O2032" i="1"/>
  <c r="N2032" i="1"/>
  <c r="K2032" i="1"/>
  <c r="C2032" i="1"/>
  <c r="B2032" i="1"/>
  <c r="O2031" i="1"/>
  <c r="N2031" i="1"/>
  <c r="K2031" i="1"/>
  <c r="C2031" i="1"/>
  <c r="B2031" i="1"/>
  <c r="O2030" i="1"/>
  <c r="N2030" i="1"/>
  <c r="K2030" i="1"/>
  <c r="C2030" i="1"/>
  <c r="B2030" i="1"/>
  <c r="O2029" i="1"/>
  <c r="N2029" i="1"/>
  <c r="K2029" i="1"/>
  <c r="C2029" i="1"/>
  <c r="B2029" i="1"/>
  <c r="O2028" i="1"/>
  <c r="N2028" i="1"/>
  <c r="K2028" i="1"/>
  <c r="C2028" i="1"/>
  <c r="B2028" i="1"/>
  <c r="O2027" i="1"/>
  <c r="N2027" i="1"/>
  <c r="K2027" i="1"/>
  <c r="C2027" i="1"/>
  <c r="B2027" i="1"/>
  <c r="O2026" i="1"/>
  <c r="N2026" i="1"/>
  <c r="K2026" i="1"/>
  <c r="C2026" i="1"/>
  <c r="B2026" i="1"/>
  <c r="O2025" i="1"/>
  <c r="N2025" i="1"/>
  <c r="K2025" i="1"/>
  <c r="C2025" i="1"/>
  <c r="B2025" i="1"/>
  <c r="O2024" i="1"/>
  <c r="N2024" i="1"/>
  <c r="K2024" i="1"/>
  <c r="C2024" i="1"/>
  <c r="B2024" i="1"/>
  <c r="O2023" i="1"/>
  <c r="N2023" i="1"/>
  <c r="W2023" i="1" s="1"/>
  <c r="K2023" i="1"/>
  <c r="L2023" i="1" s="1"/>
  <c r="C2023" i="1"/>
  <c r="B2023" i="1"/>
  <c r="O2022" i="1"/>
  <c r="N2022" i="1"/>
  <c r="K2022" i="1"/>
  <c r="C2022" i="1"/>
  <c r="B2022" i="1"/>
  <c r="O2021" i="1"/>
  <c r="N2021" i="1"/>
  <c r="K2021" i="1"/>
  <c r="C2021" i="1"/>
  <c r="B2021" i="1"/>
  <c r="O2020" i="1"/>
  <c r="N2020" i="1"/>
  <c r="K2020" i="1"/>
  <c r="C2020" i="1"/>
  <c r="B2020" i="1"/>
  <c r="O2019" i="1"/>
  <c r="N2019" i="1"/>
  <c r="W2019" i="1" s="1"/>
  <c r="K2019" i="1"/>
  <c r="C2019" i="1"/>
  <c r="B2019" i="1"/>
  <c r="X2018" i="1"/>
  <c r="W2018" i="1"/>
  <c r="S2018" i="1"/>
  <c r="P2018" i="1" s="1"/>
  <c r="O2018" i="1"/>
  <c r="N2018" i="1"/>
  <c r="K2018" i="1"/>
  <c r="C2018" i="1"/>
  <c r="B2018" i="1"/>
  <c r="O2017" i="1"/>
  <c r="N2017" i="1"/>
  <c r="K2017" i="1"/>
  <c r="C2017" i="1"/>
  <c r="B2017" i="1"/>
  <c r="O2016" i="1"/>
  <c r="N2016" i="1"/>
  <c r="K2016" i="1"/>
  <c r="C2016" i="1"/>
  <c r="B2016" i="1"/>
  <c r="O2015" i="1"/>
  <c r="N2015" i="1"/>
  <c r="K2015" i="1"/>
  <c r="C2015" i="1"/>
  <c r="B2015" i="1"/>
  <c r="O2014" i="1"/>
  <c r="N2014" i="1"/>
  <c r="K2014" i="1"/>
  <c r="C2014" i="1"/>
  <c r="B2014" i="1"/>
  <c r="O2013" i="1"/>
  <c r="N2013" i="1"/>
  <c r="K2013" i="1"/>
  <c r="L2013" i="1" s="1"/>
  <c r="C2013" i="1"/>
  <c r="B2013" i="1"/>
  <c r="O2012" i="1"/>
  <c r="N2012" i="1"/>
  <c r="K2012" i="1"/>
  <c r="C2012" i="1"/>
  <c r="B2012" i="1"/>
  <c r="O2011" i="1"/>
  <c r="N2011" i="1"/>
  <c r="K2011" i="1"/>
  <c r="C2011" i="1"/>
  <c r="B2011" i="1"/>
  <c r="O2010" i="1"/>
  <c r="N2010" i="1"/>
  <c r="K2010" i="1"/>
  <c r="C2010" i="1"/>
  <c r="B2010" i="1"/>
  <c r="O2009" i="1"/>
  <c r="N2009" i="1"/>
  <c r="K2009" i="1"/>
  <c r="L2009" i="1" s="1"/>
  <c r="T2009" i="1" s="1"/>
  <c r="U2009" i="1" s="1"/>
  <c r="V2009" i="1" s="1"/>
  <c r="C2009" i="1"/>
  <c r="B2009" i="1"/>
  <c r="O2008" i="1"/>
  <c r="N2008" i="1"/>
  <c r="K2008" i="1"/>
  <c r="C2008" i="1"/>
  <c r="B2008" i="1"/>
  <c r="O2007" i="1"/>
  <c r="N2007" i="1"/>
  <c r="K2007" i="1"/>
  <c r="C2007" i="1"/>
  <c r="B2007" i="1"/>
  <c r="O2006" i="1"/>
  <c r="N2006" i="1"/>
  <c r="K2006" i="1"/>
  <c r="C2006" i="1"/>
  <c r="B2006" i="1"/>
  <c r="O2005" i="1"/>
  <c r="N2005" i="1"/>
  <c r="K2005" i="1"/>
  <c r="L2005" i="1" s="1"/>
  <c r="C2005" i="1"/>
  <c r="B2005" i="1"/>
  <c r="O2004" i="1"/>
  <c r="N2004" i="1"/>
  <c r="K2004" i="1"/>
  <c r="C2004" i="1"/>
  <c r="B2004" i="1"/>
  <c r="O2003" i="1"/>
  <c r="N2003" i="1"/>
  <c r="K2003" i="1"/>
  <c r="C2003" i="1"/>
  <c r="B2003" i="1"/>
  <c r="O2002" i="1"/>
  <c r="N2002" i="1"/>
  <c r="K2002" i="1"/>
  <c r="C2002" i="1"/>
  <c r="B2002" i="1"/>
  <c r="O2001" i="1"/>
  <c r="N2001" i="1"/>
  <c r="K2001" i="1"/>
  <c r="C2001" i="1"/>
  <c r="B2001" i="1"/>
  <c r="O2000" i="1"/>
  <c r="N2000" i="1"/>
  <c r="K2000" i="1"/>
  <c r="C2000" i="1"/>
  <c r="B2000" i="1"/>
  <c r="O1999" i="1"/>
  <c r="N1999" i="1"/>
  <c r="K1999" i="1"/>
  <c r="C1999" i="1"/>
  <c r="B1999" i="1"/>
  <c r="O1998" i="1"/>
  <c r="N1998" i="1"/>
  <c r="K1998" i="1"/>
  <c r="C1998" i="1"/>
  <c r="B1998" i="1"/>
  <c r="O1997" i="1"/>
  <c r="N1997" i="1"/>
  <c r="K1997" i="1"/>
  <c r="L1997" i="1" s="1"/>
  <c r="C1997" i="1"/>
  <c r="B1997" i="1"/>
  <c r="O1996" i="1"/>
  <c r="N1996" i="1"/>
  <c r="K1996" i="1"/>
  <c r="C1996" i="1"/>
  <c r="B1996" i="1"/>
  <c r="O1995" i="1"/>
  <c r="N1995" i="1"/>
  <c r="K1995" i="1"/>
  <c r="C1995" i="1"/>
  <c r="B1995" i="1"/>
  <c r="O1994" i="1"/>
  <c r="N1994" i="1"/>
  <c r="K1994" i="1"/>
  <c r="C1994" i="1"/>
  <c r="B1994" i="1"/>
  <c r="O1993" i="1"/>
  <c r="N1993" i="1"/>
  <c r="K1993" i="1"/>
  <c r="C1993" i="1"/>
  <c r="B1993" i="1"/>
  <c r="O1992" i="1"/>
  <c r="N1992" i="1"/>
  <c r="K1992" i="1"/>
  <c r="C1992" i="1"/>
  <c r="B1992" i="1"/>
  <c r="O1991" i="1"/>
  <c r="N1991" i="1"/>
  <c r="K1991" i="1"/>
  <c r="L1991" i="1" s="1"/>
  <c r="C1991" i="1"/>
  <c r="B1991" i="1"/>
  <c r="O1990" i="1"/>
  <c r="N1990" i="1"/>
  <c r="K1990" i="1"/>
  <c r="C1990" i="1"/>
  <c r="B1990" i="1"/>
  <c r="O1989" i="1"/>
  <c r="N1989" i="1"/>
  <c r="K1989" i="1"/>
  <c r="L1989" i="1" s="1"/>
  <c r="C1989" i="1"/>
  <c r="B1989" i="1"/>
  <c r="O1988" i="1"/>
  <c r="N1988" i="1"/>
  <c r="K1988" i="1"/>
  <c r="C1988" i="1"/>
  <c r="B1988" i="1"/>
  <c r="O1987" i="1"/>
  <c r="N1987" i="1"/>
  <c r="K1987" i="1"/>
  <c r="Q1987" i="1" s="1"/>
  <c r="C1987" i="1"/>
  <c r="B1987" i="1"/>
  <c r="O1986" i="1"/>
  <c r="N1986" i="1"/>
  <c r="K1986" i="1"/>
  <c r="C1986" i="1"/>
  <c r="B1986" i="1"/>
  <c r="O1985" i="1"/>
  <c r="N1985" i="1"/>
  <c r="K1985" i="1"/>
  <c r="L1985" i="1" s="1"/>
  <c r="M1985" i="1" s="1"/>
  <c r="C1985" i="1"/>
  <c r="B1985" i="1"/>
  <c r="O1984" i="1"/>
  <c r="N1984" i="1"/>
  <c r="K1984" i="1"/>
  <c r="C1984" i="1"/>
  <c r="B1984" i="1"/>
  <c r="O1983" i="1"/>
  <c r="N1983" i="1"/>
  <c r="K1983" i="1"/>
  <c r="L1983" i="1" s="1"/>
  <c r="C1983" i="1"/>
  <c r="B1983" i="1"/>
  <c r="O1982" i="1"/>
  <c r="N1982" i="1"/>
  <c r="K1982" i="1"/>
  <c r="C1982" i="1"/>
  <c r="B1982" i="1"/>
  <c r="O1981" i="1"/>
  <c r="N1981" i="1"/>
  <c r="K1981" i="1"/>
  <c r="L1981" i="1" s="1"/>
  <c r="C1981" i="1"/>
  <c r="B1981" i="1"/>
  <c r="D1981" i="1" s="1"/>
  <c r="O1980" i="1"/>
  <c r="N1980" i="1"/>
  <c r="K1980" i="1"/>
  <c r="C1980" i="1"/>
  <c r="B1980" i="1"/>
  <c r="O1979" i="1"/>
  <c r="N1979" i="1"/>
  <c r="K1979" i="1"/>
  <c r="C1979" i="1"/>
  <c r="B1979" i="1"/>
  <c r="O1978" i="1"/>
  <c r="N1978" i="1"/>
  <c r="K1978" i="1"/>
  <c r="C1978" i="1"/>
  <c r="B1978" i="1"/>
  <c r="O1977" i="1"/>
  <c r="N1977" i="1"/>
  <c r="K1977" i="1"/>
  <c r="C1977" i="1"/>
  <c r="B1977" i="1"/>
  <c r="O1976" i="1"/>
  <c r="N1976" i="1"/>
  <c r="K1976" i="1"/>
  <c r="C1976" i="1"/>
  <c r="B1976" i="1"/>
  <c r="O1975" i="1"/>
  <c r="N1975" i="1"/>
  <c r="K1975" i="1"/>
  <c r="C1975" i="1"/>
  <c r="B1975" i="1"/>
  <c r="O1974" i="1"/>
  <c r="N1974" i="1"/>
  <c r="K1974" i="1"/>
  <c r="C1974" i="1"/>
  <c r="B1974" i="1"/>
  <c r="O1973" i="1"/>
  <c r="N1973" i="1"/>
  <c r="K1973" i="1"/>
  <c r="L1973" i="1" s="1"/>
  <c r="C1973" i="1"/>
  <c r="B1973" i="1"/>
  <c r="O1972" i="1"/>
  <c r="N1972" i="1"/>
  <c r="K1972" i="1"/>
  <c r="C1972" i="1"/>
  <c r="B1972" i="1"/>
  <c r="O1971" i="1"/>
  <c r="N1971" i="1"/>
  <c r="K1971" i="1"/>
  <c r="C1971" i="1"/>
  <c r="B1971" i="1"/>
  <c r="O1970" i="1"/>
  <c r="N1970" i="1"/>
  <c r="K1970" i="1"/>
  <c r="C1970" i="1"/>
  <c r="B1970" i="1"/>
  <c r="O1969" i="1"/>
  <c r="N1969" i="1"/>
  <c r="K1969" i="1"/>
  <c r="C1969" i="1"/>
  <c r="B1969" i="1"/>
  <c r="O1968" i="1"/>
  <c r="N1968" i="1"/>
  <c r="K1968" i="1"/>
  <c r="C1968" i="1"/>
  <c r="B1968" i="1"/>
  <c r="O1967" i="1"/>
  <c r="N1967" i="1"/>
  <c r="K1967" i="1"/>
  <c r="L1967" i="1" s="1"/>
  <c r="C1967" i="1"/>
  <c r="B1967" i="1"/>
  <c r="O1966" i="1"/>
  <c r="N1966" i="1"/>
  <c r="K1966" i="1"/>
  <c r="C1966" i="1"/>
  <c r="B1966" i="1"/>
  <c r="O1965" i="1"/>
  <c r="N1965" i="1"/>
  <c r="K1965" i="1"/>
  <c r="L1965" i="1" s="1"/>
  <c r="C1965" i="1"/>
  <c r="B1965" i="1"/>
  <c r="O1964" i="1"/>
  <c r="N1964" i="1"/>
  <c r="K1964" i="1"/>
  <c r="C1964" i="1"/>
  <c r="B1964" i="1"/>
  <c r="O1963" i="1"/>
  <c r="N1963" i="1"/>
  <c r="K1963" i="1"/>
  <c r="C1963" i="1"/>
  <c r="B1963" i="1"/>
  <c r="O1962" i="1"/>
  <c r="N1962" i="1"/>
  <c r="K1962" i="1"/>
  <c r="C1962" i="1"/>
  <c r="B1962" i="1"/>
  <c r="O1961" i="1"/>
  <c r="N1961" i="1"/>
  <c r="K1961" i="1"/>
  <c r="L1961" i="1" s="1"/>
  <c r="R1961" i="1" s="1"/>
  <c r="C1961" i="1"/>
  <c r="B1961" i="1"/>
  <c r="O1960" i="1"/>
  <c r="N1960" i="1"/>
  <c r="K1960" i="1"/>
  <c r="C1960" i="1"/>
  <c r="B1960" i="1"/>
  <c r="O1959" i="1"/>
  <c r="N1959" i="1"/>
  <c r="K1959" i="1"/>
  <c r="L1959" i="1" s="1"/>
  <c r="C1959" i="1"/>
  <c r="B1959" i="1"/>
  <c r="O1958" i="1"/>
  <c r="N1958" i="1"/>
  <c r="K1958" i="1"/>
  <c r="C1958" i="1"/>
  <c r="B1958" i="1"/>
  <c r="O1957" i="1"/>
  <c r="N1957" i="1"/>
  <c r="K1957" i="1"/>
  <c r="L1957" i="1" s="1"/>
  <c r="C1957" i="1"/>
  <c r="B1957" i="1"/>
  <c r="O1956" i="1"/>
  <c r="N1956" i="1"/>
  <c r="K1956" i="1"/>
  <c r="C1956" i="1"/>
  <c r="B1956" i="1"/>
  <c r="O1955" i="1"/>
  <c r="N1955" i="1"/>
  <c r="K1955" i="1"/>
  <c r="C1955" i="1"/>
  <c r="B1955" i="1"/>
  <c r="O1954" i="1"/>
  <c r="N1954" i="1"/>
  <c r="K1954" i="1"/>
  <c r="C1954" i="1"/>
  <c r="B1954" i="1"/>
  <c r="O1953" i="1"/>
  <c r="N1953" i="1"/>
  <c r="K1953" i="1"/>
  <c r="L1953" i="1" s="1"/>
  <c r="T1953" i="1" s="1"/>
  <c r="U1953" i="1" s="1"/>
  <c r="V1953" i="1" s="1"/>
  <c r="C1953" i="1"/>
  <c r="B1953" i="1"/>
  <c r="O1952" i="1"/>
  <c r="N1952" i="1"/>
  <c r="K1952" i="1"/>
  <c r="C1952" i="1"/>
  <c r="B1952" i="1"/>
  <c r="O1951" i="1"/>
  <c r="N1951" i="1"/>
  <c r="K1951" i="1"/>
  <c r="L1951" i="1" s="1"/>
  <c r="C1951" i="1"/>
  <c r="B1951" i="1"/>
  <c r="O1950" i="1"/>
  <c r="N1950" i="1"/>
  <c r="K1950" i="1"/>
  <c r="C1950" i="1"/>
  <c r="B1950" i="1"/>
  <c r="O1949" i="1"/>
  <c r="N1949" i="1"/>
  <c r="K1949" i="1"/>
  <c r="L1949" i="1" s="1"/>
  <c r="C1949" i="1"/>
  <c r="B1949" i="1"/>
  <c r="O1948" i="1"/>
  <c r="N1948" i="1"/>
  <c r="K1948" i="1"/>
  <c r="C1948" i="1"/>
  <c r="B1948" i="1"/>
  <c r="O1947" i="1"/>
  <c r="N1947" i="1"/>
  <c r="K1947" i="1"/>
  <c r="C1947" i="1"/>
  <c r="B1947" i="1"/>
  <c r="O1946" i="1"/>
  <c r="N1946" i="1"/>
  <c r="K1946" i="1"/>
  <c r="C1946" i="1"/>
  <c r="B1946" i="1"/>
  <c r="O1945" i="1"/>
  <c r="N1945" i="1"/>
  <c r="K1945" i="1"/>
  <c r="C1945" i="1"/>
  <c r="B1945" i="1"/>
  <c r="O1944" i="1"/>
  <c r="N1944" i="1"/>
  <c r="K1944" i="1"/>
  <c r="C1944" i="1"/>
  <c r="B1944" i="1"/>
  <c r="O1943" i="1"/>
  <c r="N1943" i="1"/>
  <c r="K1943" i="1"/>
  <c r="L1943" i="1" s="1"/>
  <c r="C1943" i="1"/>
  <c r="B1943" i="1"/>
  <c r="O1942" i="1"/>
  <c r="N1942" i="1"/>
  <c r="K1942" i="1"/>
  <c r="C1942" i="1"/>
  <c r="B1942" i="1"/>
  <c r="O1941" i="1"/>
  <c r="N1941" i="1"/>
  <c r="K1941" i="1"/>
  <c r="L1941" i="1" s="1"/>
  <c r="C1941" i="1"/>
  <c r="B1941" i="1"/>
  <c r="O1940" i="1"/>
  <c r="N1940" i="1"/>
  <c r="K1940" i="1"/>
  <c r="C1940" i="1"/>
  <c r="B1940" i="1"/>
  <c r="O1939" i="1"/>
  <c r="N1939" i="1"/>
  <c r="K1939" i="1"/>
  <c r="C1939" i="1"/>
  <c r="B1939" i="1"/>
  <c r="O1938" i="1"/>
  <c r="N1938" i="1"/>
  <c r="K1938" i="1"/>
  <c r="C1938" i="1"/>
  <c r="B1938" i="1"/>
  <c r="O1937" i="1"/>
  <c r="N1937" i="1"/>
  <c r="K1937" i="1"/>
  <c r="C1937" i="1"/>
  <c r="B1937" i="1"/>
  <c r="O1936" i="1"/>
  <c r="N1936" i="1"/>
  <c r="K1936" i="1"/>
  <c r="C1936" i="1"/>
  <c r="B1936" i="1"/>
  <c r="O1935" i="1"/>
  <c r="N1935" i="1"/>
  <c r="K1935" i="1"/>
  <c r="C1935" i="1"/>
  <c r="B1935" i="1"/>
  <c r="O1934" i="1"/>
  <c r="N1934" i="1"/>
  <c r="K1934" i="1"/>
  <c r="C1934" i="1"/>
  <c r="B1934" i="1"/>
  <c r="O1933" i="1"/>
  <c r="N1933" i="1"/>
  <c r="K1933" i="1"/>
  <c r="L1933" i="1" s="1"/>
  <c r="C1933" i="1"/>
  <c r="B1933" i="1"/>
  <c r="O1932" i="1"/>
  <c r="N1932" i="1"/>
  <c r="K1932" i="1"/>
  <c r="C1932" i="1"/>
  <c r="B1932" i="1"/>
  <c r="O1931" i="1"/>
  <c r="N1931" i="1"/>
  <c r="K1931" i="1"/>
  <c r="C1931" i="1"/>
  <c r="B1931" i="1"/>
  <c r="O1930" i="1"/>
  <c r="N1930" i="1"/>
  <c r="K1930" i="1"/>
  <c r="C1930" i="1"/>
  <c r="B1930" i="1"/>
  <c r="O1929" i="1"/>
  <c r="N1929" i="1"/>
  <c r="K1929" i="1"/>
  <c r="L1929" i="1" s="1"/>
  <c r="C1929" i="1"/>
  <c r="B1929" i="1"/>
  <c r="O1928" i="1"/>
  <c r="N1928" i="1"/>
  <c r="K1928" i="1"/>
  <c r="C1928" i="1"/>
  <c r="B1928" i="1"/>
  <c r="O1927" i="1"/>
  <c r="N1927" i="1"/>
  <c r="K1927" i="1"/>
  <c r="L1927" i="1" s="1"/>
  <c r="C1927" i="1"/>
  <c r="B1927" i="1"/>
  <c r="X1926" i="1"/>
  <c r="W1926" i="1"/>
  <c r="S1926" i="1"/>
  <c r="P1926" i="1" s="1"/>
  <c r="O1926" i="1"/>
  <c r="N1926" i="1"/>
  <c r="K1926" i="1"/>
  <c r="C1926" i="1"/>
  <c r="B1926" i="1"/>
  <c r="O1925" i="1"/>
  <c r="N1925" i="1"/>
  <c r="K1925" i="1"/>
  <c r="L1925" i="1" s="1"/>
  <c r="C1925" i="1"/>
  <c r="D1925" i="1" s="1"/>
  <c r="B1925" i="1"/>
  <c r="O1924" i="1"/>
  <c r="N1924" i="1"/>
  <c r="K1924" i="1"/>
  <c r="C1924" i="1"/>
  <c r="B1924" i="1"/>
  <c r="O1923" i="1"/>
  <c r="N1923" i="1"/>
  <c r="K1923" i="1"/>
  <c r="C1923" i="1"/>
  <c r="B1923" i="1"/>
  <c r="O1922" i="1"/>
  <c r="N1922" i="1"/>
  <c r="K1922" i="1"/>
  <c r="C1922" i="1"/>
  <c r="B1922" i="1"/>
  <c r="O1921" i="1"/>
  <c r="N1921" i="1"/>
  <c r="K1921" i="1"/>
  <c r="C1921" i="1"/>
  <c r="B1921" i="1"/>
  <c r="O1920" i="1"/>
  <c r="N1920" i="1"/>
  <c r="K1920" i="1"/>
  <c r="C1920" i="1"/>
  <c r="B1920" i="1"/>
  <c r="O1919" i="1"/>
  <c r="N1919" i="1"/>
  <c r="K1919" i="1"/>
  <c r="C1919" i="1"/>
  <c r="B1919" i="1"/>
  <c r="O1918" i="1"/>
  <c r="N1918" i="1"/>
  <c r="K1918" i="1"/>
  <c r="C1918" i="1"/>
  <c r="B1918" i="1"/>
  <c r="O1917" i="1"/>
  <c r="N1917" i="1"/>
  <c r="K1917" i="1"/>
  <c r="L1917" i="1" s="1"/>
  <c r="C1917" i="1"/>
  <c r="B1917" i="1"/>
  <c r="O1916" i="1"/>
  <c r="N1916" i="1"/>
  <c r="K1916" i="1"/>
  <c r="C1916" i="1"/>
  <c r="B1916" i="1"/>
  <c r="O1915" i="1"/>
  <c r="N1915" i="1"/>
  <c r="K1915" i="1"/>
  <c r="C1915" i="1"/>
  <c r="B1915" i="1"/>
  <c r="O1914" i="1"/>
  <c r="N1914" i="1"/>
  <c r="K1914" i="1"/>
  <c r="C1914" i="1"/>
  <c r="B1914" i="1"/>
  <c r="O1913" i="1"/>
  <c r="N1913" i="1"/>
  <c r="K1913" i="1"/>
  <c r="L1913" i="1" s="1"/>
  <c r="M1913" i="1" s="1"/>
  <c r="C1913" i="1"/>
  <c r="B1913" i="1"/>
  <c r="O1912" i="1"/>
  <c r="N1912" i="1"/>
  <c r="K1912" i="1"/>
  <c r="C1912" i="1"/>
  <c r="B1912" i="1"/>
  <c r="O1911" i="1"/>
  <c r="N1911" i="1"/>
  <c r="K1911" i="1"/>
  <c r="L1911" i="1" s="1"/>
  <c r="C1911" i="1"/>
  <c r="B1911" i="1"/>
  <c r="O1910" i="1"/>
  <c r="N1910" i="1"/>
  <c r="K1910" i="1"/>
  <c r="C1910" i="1"/>
  <c r="B1910" i="1"/>
  <c r="O1909" i="1"/>
  <c r="N1909" i="1"/>
  <c r="K1909" i="1"/>
  <c r="L1909" i="1" s="1"/>
  <c r="C1909" i="1"/>
  <c r="B1909" i="1"/>
  <c r="O1908" i="1"/>
  <c r="N1908" i="1"/>
  <c r="K1908" i="1"/>
  <c r="C1908" i="1"/>
  <c r="B1908" i="1"/>
  <c r="O1907" i="1"/>
  <c r="N1907" i="1"/>
  <c r="K1907" i="1"/>
  <c r="C1907" i="1"/>
  <c r="B1907" i="1"/>
  <c r="O1906" i="1"/>
  <c r="N1906" i="1"/>
  <c r="K1906" i="1"/>
  <c r="C1906" i="1"/>
  <c r="B1906" i="1"/>
  <c r="O1905" i="1"/>
  <c r="N1905" i="1"/>
  <c r="K1905" i="1"/>
  <c r="C1905" i="1"/>
  <c r="B1905" i="1"/>
  <c r="O1904" i="1"/>
  <c r="N1904" i="1"/>
  <c r="K1904" i="1"/>
  <c r="C1904" i="1"/>
  <c r="B1904" i="1"/>
  <c r="O1903" i="1"/>
  <c r="N1903" i="1"/>
  <c r="K1903" i="1"/>
  <c r="L1903" i="1" s="1"/>
  <c r="C1903" i="1"/>
  <c r="B1903" i="1"/>
  <c r="O1902" i="1"/>
  <c r="N1902" i="1"/>
  <c r="K1902" i="1"/>
  <c r="C1902" i="1"/>
  <c r="B1902" i="1"/>
  <c r="O1901" i="1"/>
  <c r="N1901" i="1"/>
  <c r="K1901" i="1"/>
  <c r="L1901" i="1" s="1"/>
  <c r="C1901" i="1"/>
  <c r="B1901" i="1"/>
  <c r="O1900" i="1"/>
  <c r="N1900" i="1"/>
  <c r="K1900" i="1"/>
  <c r="C1900" i="1"/>
  <c r="B1900" i="1"/>
  <c r="O1899" i="1"/>
  <c r="N1899" i="1"/>
  <c r="K1899" i="1"/>
  <c r="C1899" i="1"/>
  <c r="B1899" i="1"/>
  <c r="O1898" i="1"/>
  <c r="N1898" i="1"/>
  <c r="K1898" i="1"/>
  <c r="C1898" i="1"/>
  <c r="B1898" i="1"/>
  <c r="O1897" i="1"/>
  <c r="N1897" i="1"/>
  <c r="K1897" i="1"/>
  <c r="C1897" i="1"/>
  <c r="B1897" i="1"/>
  <c r="O1896" i="1"/>
  <c r="N1896" i="1"/>
  <c r="K1896" i="1"/>
  <c r="C1896" i="1"/>
  <c r="B1896" i="1"/>
  <c r="O1895" i="1"/>
  <c r="N1895" i="1"/>
  <c r="K1895" i="1"/>
  <c r="C1895" i="1"/>
  <c r="B1895" i="1"/>
  <c r="O1894" i="1"/>
  <c r="N1894" i="1"/>
  <c r="K1894" i="1"/>
  <c r="C1894" i="1"/>
  <c r="B1894" i="1"/>
  <c r="O1893" i="1"/>
  <c r="N1893" i="1"/>
  <c r="K1893" i="1"/>
  <c r="L1893" i="1" s="1"/>
  <c r="C1893" i="1"/>
  <c r="B1893" i="1"/>
  <c r="O1892" i="1"/>
  <c r="N1892" i="1"/>
  <c r="K1892" i="1"/>
  <c r="C1892" i="1"/>
  <c r="B1892" i="1"/>
  <c r="O1891" i="1"/>
  <c r="N1891" i="1"/>
  <c r="K1891" i="1"/>
  <c r="C1891" i="1"/>
  <c r="B1891" i="1"/>
  <c r="O1890" i="1"/>
  <c r="N1890" i="1"/>
  <c r="K1890" i="1"/>
  <c r="C1890" i="1"/>
  <c r="B1890" i="1"/>
  <c r="O1889" i="1"/>
  <c r="N1889" i="1"/>
  <c r="K1889" i="1"/>
  <c r="C1889" i="1"/>
  <c r="B1889" i="1"/>
  <c r="O1888" i="1"/>
  <c r="N1888" i="1"/>
  <c r="K1888" i="1"/>
  <c r="C1888" i="1"/>
  <c r="B1888" i="1"/>
  <c r="O1887" i="1"/>
  <c r="N1887" i="1"/>
  <c r="K1887" i="1"/>
  <c r="C1887" i="1"/>
  <c r="B1887" i="1"/>
  <c r="O1886" i="1"/>
  <c r="N1886" i="1"/>
  <c r="K1886" i="1"/>
  <c r="C1886" i="1"/>
  <c r="B1886" i="1"/>
  <c r="O1885" i="1"/>
  <c r="N1885" i="1"/>
  <c r="K1885" i="1"/>
  <c r="L1885" i="1" s="1"/>
  <c r="C1885" i="1"/>
  <c r="B1885" i="1"/>
  <c r="O1884" i="1"/>
  <c r="N1884" i="1"/>
  <c r="K1884" i="1"/>
  <c r="C1884" i="1"/>
  <c r="B1884" i="1"/>
  <c r="O1883" i="1"/>
  <c r="N1883" i="1"/>
  <c r="K1883" i="1"/>
  <c r="C1883" i="1"/>
  <c r="B1883" i="1"/>
  <c r="O1882" i="1"/>
  <c r="N1882" i="1"/>
  <c r="K1882" i="1"/>
  <c r="C1882" i="1"/>
  <c r="B1882" i="1"/>
  <c r="O1881" i="1"/>
  <c r="N1881" i="1"/>
  <c r="K1881" i="1"/>
  <c r="C1881" i="1"/>
  <c r="B1881" i="1"/>
  <c r="O1880" i="1"/>
  <c r="N1880" i="1"/>
  <c r="K1880" i="1"/>
  <c r="C1880" i="1"/>
  <c r="B1880" i="1"/>
  <c r="O1879" i="1"/>
  <c r="N1879" i="1"/>
  <c r="K1879" i="1"/>
  <c r="C1879" i="1"/>
  <c r="B1879" i="1"/>
  <c r="O1878" i="1"/>
  <c r="N1878" i="1"/>
  <c r="K1878" i="1"/>
  <c r="C1878" i="1"/>
  <c r="B1878" i="1"/>
  <c r="O1877" i="1"/>
  <c r="N1877" i="1"/>
  <c r="K1877" i="1"/>
  <c r="L1877" i="1" s="1"/>
  <c r="C1877" i="1"/>
  <c r="B1877" i="1"/>
  <c r="O1876" i="1"/>
  <c r="N1876" i="1"/>
  <c r="K1876" i="1"/>
  <c r="C1876" i="1"/>
  <c r="B1876" i="1"/>
  <c r="O1875" i="1"/>
  <c r="N1875" i="1"/>
  <c r="K1875" i="1"/>
  <c r="C1875" i="1"/>
  <c r="B1875" i="1"/>
  <c r="O1874" i="1"/>
  <c r="N1874" i="1"/>
  <c r="K1874" i="1"/>
  <c r="C1874" i="1"/>
  <c r="B1874" i="1"/>
  <c r="O1873" i="1"/>
  <c r="N1873" i="1"/>
  <c r="K1873" i="1"/>
  <c r="L1873" i="1" s="1"/>
  <c r="R1873" i="1" s="1"/>
  <c r="C1873" i="1"/>
  <c r="B1873" i="1"/>
  <c r="O1872" i="1"/>
  <c r="N1872" i="1"/>
  <c r="X1871" i="1" s="1"/>
  <c r="K1872" i="1"/>
  <c r="C1872" i="1"/>
  <c r="B1872" i="1"/>
  <c r="O1871" i="1"/>
  <c r="N1871" i="1"/>
  <c r="K1871" i="1"/>
  <c r="L1871" i="1" s="1"/>
  <c r="C1871" i="1"/>
  <c r="B1871" i="1"/>
  <c r="O1870" i="1"/>
  <c r="N1870" i="1"/>
  <c r="K1870" i="1"/>
  <c r="C1870" i="1"/>
  <c r="B1870" i="1"/>
  <c r="O1869" i="1"/>
  <c r="N1869" i="1"/>
  <c r="K1869" i="1"/>
  <c r="L1869" i="1" s="1"/>
  <c r="C1869" i="1"/>
  <c r="B1869" i="1"/>
  <c r="O1868" i="1"/>
  <c r="N1868" i="1"/>
  <c r="K1868" i="1"/>
  <c r="C1868" i="1"/>
  <c r="B1868" i="1"/>
  <c r="O1867" i="1"/>
  <c r="N1867" i="1"/>
  <c r="K1867" i="1"/>
  <c r="C1867" i="1"/>
  <c r="B1867" i="1"/>
  <c r="O1866" i="1"/>
  <c r="N1866" i="1"/>
  <c r="K1866" i="1"/>
  <c r="C1866" i="1"/>
  <c r="B1866" i="1"/>
  <c r="O1865" i="1"/>
  <c r="N1865" i="1"/>
  <c r="K1865" i="1"/>
  <c r="C1865" i="1"/>
  <c r="B1865" i="1"/>
  <c r="O1864" i="1"/>
  <c r="N1864" i="1"/>
  <c r="K1864" i="1"/>
  <c r="C1864" i="1"/>
  <c r="B1864" i="1"/>
  <c r="O1863" i="1"/>
  <c r="N1863" i="1"/>
  <c r="K1863" i="1"/>
  <c r="C1863" i="1"/>
  <c r="B1863" i="1"/>
  <c r="O1862" i="1"/>
  <c r="N1862" i="1"/>
  <c r="K1862" i="1"/>
  <c r="C1862" i="1"/>
  <c r="B1862" i="1"/>
  <c r="O1861" i="1"/>
  <c r="N1861" i="1"/>
  <c r="K1861" i="1"/>
  <c r="L1861" i="1" s="1"/>
  <c r="C1861" i="1"/>
  <c r="B1861" i="1"/>
  <c r="O1860" i="1"/>
  <c r="N1860" i="1"/>
  <c r="K1860" i="1"/>
  <c r="C1860" i="1"/>
  <c r="B1860" i="1"/>
  <c r="O1859" i="1"/>
  <c r="N1859" i="1"/>
  <c r="K1859" i="1"/>
  <c r="C1859" i="1"/>
  <c r="B1859" i="1"/>
  <c r="O1858" i="1"/>
  <c r="N1858" i="1"/>
  <c r="K1858" i="1"/>
  <c r="C1858" i="1"/>
  <c r="B1858" i="1"/>
  <c r="O1857" i="1"/>
  <c r="N1857" i="1"/>
  <c r="K1857" i="1"/>
  <c r="L1857" i="1" s="1"/>
  <c r="C1857" i="1"/>
  <c r="B1857" i="1"/>
  <c r="O1856" i="1"/>
  <c r="N1856" i="1"/>
  <c r="K1856" i="1"/>
  <c r="C1856" i="1"/>
  <c r="B1856" i="1"/>
  <c r="O1855" i="1"/>
  <c r="N1855" i="1"/>
  <c r="K1855" i="1"/>
  <c r="L1855" i="1" s="1"/>
  <c r="C1855" i="1"/>
  <c r="B1855" i="1"/>
  <c r="O1854" i="1"/>
  <c r="N1854" i="1"/>
  <c r="K1854" i="1"/>
  <c r="C1854" i="1"/>
  <c r="B1854" i="1"/>
  <c r="O1853" i="1"/>
  <c r="N1853" i="1"/>
  <c r="K1853" i="1"/>
  <c r="L1853" i="1" s="1"/>
  <c r="C1853" i="1"/>
  <c r="B1853" i="1"/>
  <c r="D1853" i="1" s="1"/>
  <c r="O1852" i="1"/>
  <c r="N1852" i="1"/>
  <c r="K1852" i="1"/>
  <c r="L1852" i="1" s="1"/>
  <c r="C1852" i="1"/>
  <c r="B1852" i="1"/>
  <c r="O1851" i="1"/>
  <c r="N1851" i="1"/>
  <c r="K1851" i="1"/>
  <c r="C1851" i="1"/>
  <c r="B1851" i="1"/>
  <c r="O1850" i="1"/>
  <c r="N1850" i="1"/>
  <c r="K1850" i="1"/>
  <c r="C1850" i="1"/>
  <c r="B1850" i="1"/>
  <c r="O1849" i="1"/>
  <c r="N1849" i="1"/>
  <c r="K1849" i="1"/>
  <c r="C1849" i="1"/>
  <c r="B1849" i="1"/>
  <c r="O1848" i="1"/>
  <c r="N1848" i="1"/>
  <c r="K1848" i="1"/>
  <c r="C1848" i="1"/>
  <c r="B1848" i="1"/>
  <c r="O1847" i="1"/>
  <c r="N1847" i="1"/>
  <c r="K1847" i="1"/>
  <c r="C1847" i="1"/>
  <c r="B1847" i="1"/>
  <c r="O1846" i="1"/>
  <c r="N1846" i="1"/>
  <c r="K1846" i="1"/>
  <c r="C1846" i="1"/>
  <c r="B1846" i="1"/>
  <c r="O1845" i="1"/>
  <c r="N1845" i="1"/>
  <c r="K1845" i="1"/>
  <c r="L1845" i="1" s="1"/>
  <c r="C1845" i="1"/>
  <c r="B1845" i="1"/>
  <c r="O1844" i="1"/>
  <c r="N1844" i="1"/>
  <c r="K1844" i="1"/>
  <c r="L1844" i="1" s="1"/>
  <c r="C1844" i="1"/>
  <c r="B1844" i="1"/>
  <c r="O1843" i="1"/>
  <c r="N1843" i="1"/>
  <c r="K1843" i="1"/>
  <c r="Q1843" i="1" s="1"/>
  <c r="C1843" i="1"/>
  <c r="B1843" i="1"/>
  <c r="O1842" i="1"/>
  <c r="N1842" i="1"/>
  <c r="K1842" i="1"/>
  <c r="C1842" i="1"/>
  <c r="B1842" i="1"/>
  <c r="O1841" i="1"/>
  <c r="N1841" i="1"/>
  <c r="K1841" i="1"/>
  <c r="L1841" i="1" s="1"/>
  <c r="C1841" i="1"/>
  <c r="B1841" i="1"/>
  <c r="O1840" i="1"/>
  <c r="N1840" i="1"/>
  <c r="W1840" i="1" s="1"/>
  <c r="K1840" i="1"/>
  <c r="C1840" i="1"/>
  <c r="B1840" i="1"/>
  <c r="O1839" i="1"/>
  <c r="N1839" i="1"/>
  <c r="K1839" i="1"/>
  <c r="C1839" i="1"/>
  <c r="B1839" i="1"/>
  <c r="O1838" i="1"/>
  <c r="N1838" i="1"/>
  <c r="K1838" i="1"/>
  <c r="C1838" i="1"/>
  <c r="B1838" i="1"/>
  <c r="O1837" i="1"/>
  <c r="N1837" i="1"/>
  <c r="K1837" i="1"/>
  <c r="L1837" i="1" s="1"/>
  <c r="C1837" i="1"/>
  <c r="B1837" i="1"/>
  <c r="O1836" i="1"/>
  <c r="N1836" i="1"/>
  <c r="K1836" i="1"/>
  <c r="L1836" i="1" s="1"/>
  <c r="C1836" i="1"/>
  <c r="B1836" i="1"/>
  <c r="O1835" i="1"/>
  <c r="N1835" i="1"/>
  <c r="K1835" i="1"/>
  <c r="C1835" i="1"/>
  <c r="B1835" i="1"/>
  <c r="X1834" i="1"/>
  <c r="W1834" i="1"/>
  <c r="S1834" i="1"/>
  <c r="P1834" i="1" s="1"/>
  <c r="O1834" i="1"/>
  <c r="N1834" i="1"/>
  <c r="K1834" i="1"/>
  <c r="C1834" i="1"/>
  <c r="B1834" i="1"/>
  <c r="O1833" i="1"/>
  <c r="N1833" i="1"/>
  <c r="K1833" i="1"/>
  <c r="C1833" i="1"/>
  <c r="B1833" i="1"/>
  <c r="O1832" i="1"/>
  <c r="N1832" i="1"/>
  <c r="K1832" i="1"/>
  <c r="C1832" i="1"/>
  <c r="B1832" i="1"/>
  <c r="O1831" i="1"/>
  <c r="N1831" i="1"/>
  <c r="K1831" i="1"/>
  <c r="C1831" i="1"/>
  <c r="B1831" i="1"/>
  <c r="O1830" i="1"/>
  <c r="N1830" i="1"/>
  <c r="K1830" i="1"/>
  <c r="C1830" i="1"/>
  <c r="B1830" i="1"/>
  <c r="O1829" i="1"/>
  <c r="N1829" i="1"/>
  <c r="K1829" i="1"/>
  <c r="L1829" i="1" s="1"/>
  <c r="C1829" i="1"/>
  <c r="B1829" i="1"/>
  <c r="O1828" i="1"/>
  <c r="N1828" i="1"/>
  <c r="W1827" i="1" s="1"/>
  <c r="K1828" i="1"/>
  <c r="L1828" i="1" s="1"/>
  <c r="C1828" i="1"/>
  <c r="B1828" i="1"/>
  <c r="O1827" i="1"/>
  <c r="N1827" i="1"/>
  <c r="K1827" i="1"/>
  <c r="C1827" i="1"/>
  <c r="B1827" i="1"/>
  <c r="O1826" i="1"/>
  <c r="N1826" i="1"/>
  <c r="K1826" i="1"/>
  <c r="C1826" i="1"/>
  <c r="B1826" i="1"/>
  <c r="O1825" i="1"/>
  <c r="N1825" i="1"/>
  <c r="K1825" i="1"/>
  <c r="L1825" i="1" s="1"/>
  <c r="R1825" i="1" s="1"/>
  <c r="C1825" i="1"/>
  <c r="B1825" i="1"/>
  <c r="O1824" i="1"/>
  <c r="N1824" i="1"/>
  <c r="K1824" i="1"/>
  <c r="C1824" i="1"/>
  <c r="B1824" i="1"/>
  <c r="O1823" i="1"/>
  <c r="N1823" i="1"/>
  <c r="K1823" i="1"/>
  <c r="L1823" i="1" s="1"/>
  <c r="C1823" i="1"/>
  <c r="B1823" i="1"/>
  <c r="O1822" i="1"/>
  <c r="N1822" i="1"/>
  <c r="K1822" i="1"/>
  <c r="C1822" i="1"/>
  <c r="B1822" i="1"/>
  <c r="O1821" i="1"/>
  <c r="N1821" i="1"/>
  <c r="K1821" i="1"/>
  <c r="L1821" i="1" s="1"/>
  <c r="C1821" i="1"/>
  <c r="B1821" i="1"/>
  <c r="O1820" i="1"/>
  <c r="N1820" i="1"/>
  <c r="K1820" i="1"/>
  <c r="L1820" i="1" s="1"/>
  <c r="C1820" i="1"/>
  <c r="B1820" i="1"/>
  <c r="O1819" i="1"/>
  <c r="N1819" i="1"/>
  <c r="K1819" i="1"/>
  <c r="C1819" i="1"/>
  <c r="B1819" i="1"/>
  <c r="O1818" i="1"/>
  <c r="N1818" i="1"/>
  <c r="K1818" i="1"/>
  <c r="C1818" i="1"/>
  <c r="B1818" i="1"/>
  <c r="O1817" i="1"/>
  <c r="N1817" i="1"/>
  <c r="K1817" i="1"/>
  <c r="L1817" i="1" s="1"/>
  <c r="C1817" i="1"/>
  <c r="B1817" i="1"/>
  <c r="O1816" i="1"/>
  <c r="N1816" i="1"/>
  <c r="K1816" i="1"/>
  <c r="C1816" i="1"/>
  <c r="B1816" i="1"/>
  <c r="O1815" i="1"/>
  <c r="N1815" i="1"/>
  <c r="K1815" i="1"/>
  <c r="C1815" i="1"/>
  <c r="B1815" i="1"/>
  <c r="O1814" i="1"/>
  <c r="N1814" i="1"/>
  <c r="K1814" i="1"/>
  <c r="L1814" i="1" s="1"/>
  <c r="C1814" i="1"/>
  <c r="B1814" i="1"/>
  <c r="O1813" i="1"/>
  <c r="N1813" i="1"/>
  <c r="K1813" i="1"/>
  <c r="L1813" i="1" s="1"/>
  <c r="C1813" i="1"/>
  <c r="B1813" i="1"/>
  <c r="O1812" i="1"/>
  <c r="N1812" i="1"/>
  <c r="K1812" i="1"/>
  <c r="L1812" i="1" s="1"/>
  <c r="C1812" i="1"/>
  <c r="B1812" i="1"/>
  <c r="O1811" i="1"/>
  <c r="N1811" i="1"/>
  <c r="K1811" i="1"/>
  <c r="C1811" i="1"/>
  <c r="B1811" i="1"/>
  <c r="O1810" i="1"/>
  <c r="N1810" i="1"/>
  <c r="K1810" i="1"/>
  <c r="C1810" i="1"/>
  <c r="B1810" i="1"/>
  <c r="O1809" i="1"/>
  <c r="N1809" i="1"/>
  <c r="K1809" i="1"/>
  <c r="L1809" i="1" s="1"/>
  <c r="C1809" i="1"/>
  <c r="B1809" i="1"/>
  <c r="O1808" i="1"/>
  <c r="N1808" i="1"/>
  <c r="K1808" i="1"/>
  <c r="L1808" i="1" s="1"/>
  <c r="C1808" i="1"/>
  <c r="B1808" i="1"/>
  <c r="O1807" i="1"/>
  <c r="N1807" i="1"/>
  <c r="K1807" i="1"/>
  <c r="L1807" i="1" s="1"/>
  <c r="C1807" i="1"/>
  <c r="B1807" i="1"/>
  <c r="O1806" i="1"/>
  <c r="N1806" i="1"/>
  <c r="K1806" i="1"/>
  <c r="C1806" i="1"/>
  <c r="B1806" i="1"/>
  <c r="O1805" i="1"/>
  <c r="N1805" i="1"/>
  <c r="K1805" i="1"/>
  <c r="L1805" i="1" s="1"/>
  <c r="C1805" i="1"/>
  <c r="B1805" i="1"/>
  <c r="O1804" i="1"/>
  <c r="N1804" i="1"/>
  <c r="K1804" i="1"/>
  <c r="C1804" i="1"/>
  <c r="B1804" i="1"/>
  <c r="O1803" i="1"/>
  <c r="N1803" i="1"/>
  <c r="K1803" i="1"/>
  <c r="L1803" i="1" s="1"/>
  <c r="T1803" i="1" s="1"/>
  <c r="U1803" i="1" s="1"/>
  <c r="V1803" i="1" s="1"/>
  <c r="C1803" i="1"/>
  <c r="B1803" i="1"/>
  <c r="O1802" i="1"/>
  <c r="N1802" i="1"/>
  <c r="K1802" i="1"/>
  <c r="C1802" i="1"/>
  <c r="B1802" i="1"/>
  <c r="O1801" i="1"/>
  <c r="N1801" i="1"/>
  <c r="W1801" i="1" s="1"/>
  <c r="K1801" i="1"/>
  <c r="C1801" i="1"/>
  <c r="B1801" i="1"/>
  <c r="O1800" i="1"/>
  <c r="N1800" i="1"/>
  <c r="K1800" i="1"/>
  <c r="L1800" i="1" s="1"/>
  <c r="C1800" i="1"/>
  <c r="B1800" i="1"/>
  <c r="O1799" i="1"/>
  <c r="N1799" i="1"/>
  <c r="K1799" i="1"/>
  <c r="C1799" i="1"/>
  <c r="B1799" i="1"/>
  <c r="O1798" i="1"/>
  <c r="N1798" i="1"/>
  <c r="K1798" i="1"/>
  <c r="C1798" i="1"/>
  <c r="B1798" i="1"/>
  <c r="O1797" i="1"/>
  <c r="N1797" i="1"/>
  <c r="K1797" i="1"/>
  <c r="L1797" i="1" s="1"/>
  <c r="C1797" i="1"/>
  <c r="B1797" i="1"/>
  <c r="O1796" i="1"/>
  <c r="N1796" i="1"/>
  <c r="K1796" i="1"/>
  <c r="C1796" i="1"/>
  <c r="B1796" i="1"/>
  <c r="O1795" i="1"/>
  <c r="N1795" i="1"/>
  <c r="K1795" i="1"/>
  <c r="L1795" i="1" s="1"/>
  <c r="T1795" i="1" s="1"/>
  <c r="U1795" i="1" s="1"/>
  <c r="V1795" i="1" s="1"/>
  <c r="C1795" i="1"/>
  <c r="B1795" i="1"/>
  <c r="O1794" i="1"/>
  <c r="N1794" i="1"/>
  <c r="K1794" i="1"/>
  <c r="C1794" i="1"/>
  <c r="B1794" i="1"/>
  <c r="O1793" i="1"/>
  <c r="N1793" i="1"/>
  <c r="K1793" i="1"/>
  <c r="C1793" i="1"/>
  <c r="B1793" i="1"/>
  <c r="O1792" i="1"/>
  <c r="N1792" i="1"/>
  <c r="K1792" i="1"/>
  <c r="C1792" i="1"/>
  <c r="B1792" i="1"/>
  <c r="O1791" i="1"/>
  <c r="N1791" i="1"/>
  <c r="K1791" i="1"/>
  <c r="C1791" i="1"/>
  <c r="B1791" i="1"/>
  <c r="O1790" i="1"/>
  <c r="N1790" i="1"/>
  <c r="K1790" i="1"/>
  <c r="C1790" i="1"/>
  <c r="B1790" i="1"/>
  <c r="O1789" i="1"/>
  <c r="N1789" i="1"/>
  <c r="K1789" i="1"/>
  <c r="L1789" i="1" s="1"/>
  <c r="C1789" i="1"/>
  <c r="B1789" i="1"/>
  <c r="D1789" i="1" s="1"/>
  <c r="O1788" i="1"/>
  <c r="N1788" i="1"/>
  <c r="K1788" i="1"/>
  <c r="L1788" i="1" s="1"/>
  <c r="C1788" i="1"/>
  <c r="B1788" i="1"/>
  <c r="O1787" i="1"/>
  <c r="N1787" i="1"/>
  <c r="K1787" i="1"/>
  <c r="C1787" i="1"/>
  <c r="B1787" i="1"/>
  <c r="O1786" i="1"/>
  <c r="N1786" i="1"/>
  <c r="K1786" i="1"/>
  <c r="C1786" i="1"/>
  <c r="B1786" i="1"/>
  <c r="O1785" i="1"/>
  <c r="N1785" i="1"/>
  <c r="K1785" i="1"/>
  <c r="Q1785" i="1" s="1"/>
  <c r="C1785" i="1"/>
  <c r="B1785" i="1"/>
  <c r="O1784" i="1"/>
  <c r="N1784" i="1"/>
  <c r="K1784" i="1"/>
  <c r="L1784" i="1" s="1"/>
  <c r="C1784" i="1"/>
  <c r="B1784" i="1"/>
  <c r="O1783" i="1"/>
  <c r="N1783" i="1"/>
  <c r="K1783" i="1"/>
  <c r="C1783" i="1"/>
  <c r="B1783" i="1"/>
  <c r="O1782" i="1"/>
  <c r="N1782" i="1"/>
  <c r="K1782" i="1"/>
  <c r="C1782" i="1"/>
  <c r="B1782" i="1"/>
  <c r="O1781" i="1"/>
  <c r="N1781" i="1"/>
  <c r="K1781" i="1"/>
  <c r="L1781" i="1" s="1"/>
  <c r="C1781" i="1"/>
  <c r="B1781" i="1"/>
  <c r="O1780" i="1"/>
  <c r="N1780" i="1"/>
  <c r="K1780" i="1"/>
  <c r="C1780" i="1"/>
  <c r="B1780" i="1"/>
  <c r="O1779" i="1"/>
  <c r="N1779" i="1"/>
  <c r="K1779" i="1"/>
  <c r="C1779" i="1"/>
  <c r="B1779" i="1"/>
  <c r="O1778" i="1"/>
  <c r="N1778" i="1"/>
  <c r="K1778" i="1"/>
  <c r="C1778" i="1"/>
  <c r="B1778" i="1"/>
  <c r="O1777" i="1"/>
  <c r="N1777" i="1"/>
  <c r="K1777" i="1"/>
  <c r="Q1777" i="1" s="1"/>
  <c r="C1777" i="1"/>
  <c r="B1777" i="1"/>
  <c r="O1776" i="1"/>
  <c r="N1776" i="1"/>
  <c r="K1776" i="1"/>
  <c r="C1776" i="1"/>
  <c r="B1776" i="1"/>
  <c r="O1775" i="1"/>
  <c r="N1775" i="1"/>
  <c r="K1775" i="1"/>
  <c r="L1775" i="1" s="1"/>
  <c r="C1775" i="1"/>
  <c r="B1775" i="1"/>
  <c r="O1774" i="1"/>
  <c r="N1774" i="1"/>
  <c r="K1774" i="1"/>
  <c r="C1774" i="1"/>
  <c r="B1774" i="1"/>
  <c r="O1773" i="1"/>
  <c r="N1773" i="1"/>
  <c r="K1773" i="1"/>
  <c r="L1773" i="1" s="1"/>
  <c r="C1773" i="1"/>
  <c r="B1773" i="1"/>
  <c r="O1772" i="1"/>
  <c r="N1772" i="1"/>
  <c r="K1772" i="1"/>
  <c r="C1772" i="1"/>
  <c r="B1772" i="1"/>
  <c r="O1771" i="1"/>
  <c r="N1771" i="1"/>
  <c r="K1771" i="1"/>
  <c r="L1771" i="1" s="1"/>
  <c r="M1771" i="1" s="1"/>
  <c r="C1771" i="1"/>
  <c r="B1771" i="1"/>
  <c r="O1770" i="1"/>
  <c r="N1770" i="1"/>
  <c r="K1770" i="1"/>
  <c r="C1770" i="1"/>
  <c r="B1770" i="1"/>
  <c r="O1769" i="1"/>
  <c r="N1769" i="1"/>
  <c r="K1769" i="1"/>
  <c r="Q1769" i="1" s="1"/>
  <c r="C1769" i="1"/>
  <c r="B1769" i="1"/>
  <c r="O1768" i="1"/>
  <c r="N1768" i="1"/>
  <c r="K1768" i="1"/>
  <c r="C1768" i="1"/>
  <c r="B1768" i="1"/>
  <c r="O1767" i="1"/>
  <c r="N1767" i="1"/>
  <c r="K1767" i="1"/>
  <c r="C1767" i="1"/>
  <c r="B1767" i="1"/>
  <c r="O1766" i="1"/>
  <c r="N1766" i="1"/>
  <c r="K1766" i="1"/>
  <c r="C1766" i="1"/>
  <c r="B1766" i="1"/>
  <c r="O1765" i="1"/>
  <c r="N1765" i="1"/>
  <c r="S1765" i="1" s="1"/>
  <c r="P1765" i="1" s="1"/>
  <c r="K1765" i="1"/>
  <c r="L1765" i="1" s="1"/>
  <c r="C1765" i="1"/>
  <c r="B1765" i="1"/>
  <c r="O1764" i="1"/>
  <c r="N1764" i="1"/>
  <c r="K1764" i="1"/>
  <c r="L1764" i="1" s="1"/>
  <c r="R1764" i="1" s="1"/>
  <c r="C1764" i="1"/>
  <c r="B1764" i="1"/>
  <c r="O1763" i="1"/>
  <c r="N1763" i="1"/>
  <c r="K1763" i="1"/>
  <c r="C1763" i="1"/>
  <c r="B1763" i="1"/>
  <c r="O1762" i="1"/>
  <c r="N1762" i="1"/>
  <c r="K1762" i="1"/>
  <c r="C1762" i="1"/>
  <c r="B1762" i="1"/>
  <c r="O1761" i="1"/>
  <c r="N1761" i="1"/>
  <c r="K1761" i="1"/>
  <c r="C1761" i="1"/>
  <c r="B1761" i="1"/>
  <c r="O1760" i="1"/>
  <c r="N1760" i="1"/>
  <c r="K1760" i="1"/>
  <c r="C1760" i="1"/>
  <c r="B1760" i="1"/>
  <c r="O1759" i="1"/>
  <c r="N1759" i="1"/>
  <c r="K1759" i="1"/>
  <c r="C1759" i="1"/>
  <c r="B1759" i="1"/>
  <c r="O1758" i="1"/>
  <c r="N1758" i="1"/>
  <c r="K1758" i="1"/>
  <c r="C1758" i="1"/>
  <c r="B1758" i="1"/>
  <c r="O1757" i="1"/>
  <c r="N1757" i="1"/>
  <c r="K1757" i="1"/>
  <c r="C1757" i="1"/>
  <c r="B1757" i="1"/>
  <c r="O1756" i="1"/>
  <c r="N1756" i="1"/>
  <c r="K1756" i="1"/>
  <c r="L1756" i="1" s="1"/>
  <c r="R1756" i="1" s="1"/>
  <c r="C1756" i="1"/>
  <c r="B1756" i="1"/>
  <c r="O1755" i="1"/>
  <c r="N1755" i="1"/>
  <c r="K1755" i="1"/>
  <c r="C1755" i="1"/>
  <c r="B1755" i="1"/>
  <c r="O1754" i="1"/>
  <c r="N1754" i="1"/>
  <c r="K1754" i="1"/>
  <c r="C1754" i="1"/>
  <c r="B1754" i="1"/>
  <c r="O1753" i="1"/>
  <c r="N1753" i="1"/>
  <c r="K1753" i="1"/>
  <c r="C1753" i="1"/>
  <c r="B1753" i="1"/>
  <c r="O1752" i="1"/>
  <c r="N1752" i="1"/>
  <c r="K1752" i="1"/>
  <c r="C1752" i="1"/>
  <c r="B1752" i="1"/>
  <c r="O1751" i="1"/>
  <c r="N1751" i="1"/>
  <c r="K1751" i="1"/>
  <c r="Q1751" i="1" s="1"/>
  <c r="C1751" i="1"/>
  <c r="B1751" i="1"/>
  <c r="O1750" i="1"/>
  <c r="N1750" i="1"/>
  <c r="K1750" i="1"/>
  <c r="C1750" i="1"/>
  <c r="B1750" i="1"/>
  <c r="O1749" i="1"/>
  <c r="N1749" i="1"/>
  <c r="K1749" i="1"/>
  <c r="C1749" i="1"/>
  <c r="B1749" i="1"/>
  <c r="O1748" i="1"/>
  <c r="N1748" i="1"/>
  <c r="K1748" i="1"/>
  <c r="L1748" i="1" s="1"/>
  <c r="R1748" i="1" s="1"/>
  <c r="C1748" i="1"/>
  <c r="B1748" i="1"/>
  <c r="O1747" i="1"/>
  <c r="N1747" i="1"/>
  <c r="K1747" i="1"/>
  <c r="C1747" i="1"/>
  <c r="B1747" i="1"/>
  <c r="O1746" i="1"/>
  <c r="N1746" i="1"/>
  <c r="K1746" i="1"/>
  <c r="C1746" i="1"/>
  <c r="B1746" i="1"/>
  <c r="O1745" i="1"/>
  <c r="N1745" i="1"/>
  <c r="K1745" i="1"/>
  <c r="C1745" i="1"/>
  <c r="B1745" i="1"/>
  <c r="O1744" i="1"/>
  <c r="N1744" i="1"/>
  <c r="K1744" i="1"/>
  <c r="C1744" i="1"/>
  <c r="B1744" i="1"/>
  <c r="O1743" i="1"/>
  <c r="N1743" i="1"/>
  <c r="K1743" i="1"/>
  <c r="C1743" i="1"/>
  <c r="B1743" i="1"/>
  <c r="X1742" i="1"/>
  <c r="W1742" i="1"/>
  <c r="S1742" i="1"/>
  <c r="P1742" i="1" s="1"/>
  <c r="O1742" i="1"/>
  <c r="N1742" i="1"/>
  <c r="K1742" i="1"/>
  <c r="C1742" i="1"/>
  <c r="B1742" i="1"/>
  <c r="O1741" i="1"/>
  <c r="N1741" i="1"/>
  <c r="S1741" i="1" s="1"/>
  <c r="P1741" i="1" s="1"/>
  <c r="K1741" i="1"/>
  <c r="C1741" i="1"/>
  <c r="B1741" i="1"/>
  <c r="O1740" i="1"/>
  <c r="N1740" i="1"/>
  <c r="K1740" i="1"/>
  <c r="C1740" i="1"/>
  <c r="B1740" i="1"/>
  <c r="O1739" i="1"/>
  <c r="N1739" i="1"/>
  <c r="K1739" i="1"/>
  <c r="L1739" i="1" s="1"/>
  <c r="C1739" i="1"/>
  <c r="B1739" i="1"/>
  <c r="O1738" i="1"/>
  <c r="N1738" i="1"/>
  <c r="K1738" i="1"/>
  <c r="C1738" i="1"/>
  <c r="B1738" i="1"/>
  <c r="O1737" i="1"/>
  <c r="N1737" i="1"/>
  <c r="K1737" i="1"/>
  <c r="C1737" i="1"/>
  <c r="B1737" i="1"/>
  <c r="O1736" i="1"/>
  <c r="N1736" i="1"/>
  <c r="K1736" i="1"/>
  <c r="L1736" i="1" s="1"/>
  <c r="M1736" i="1" s="1"/>
  <c r="C1736" i="1"/>
  <c r="B1736" i="1"/>
  <c r="O1735" i="1"/>
  <c r="N1735" i="1"/>
  <c r="K1735" i="1"/>
  <c r="L1735" i="1" s="1"/>
  <c r="C1735" i="1"/>
  <c r="B1735" i="1"/>
  <c r="O1734" i="1"/>
  <c r="N1734" i="1"/>
  <c r="K1734" i="1"/>
  <c r="C1734" i="1"/>
  <c r="B1734" i="1"/>
  <c r="O1733" i="1"/>
  <c r="N1733" i="1"/>
  <c r="K1733" i="1"/>
  <c r="C1733" i="1"/>
  <c r="B1733" i="1"/>
  <c r="O1732" i="1"/>
  <c r="N1732" i="1"/>
  <c r="K1732" i="1"/>
  <c r="C1732" i="1"/>
  <c r="B1732" i="1"/>
  <c r="O1731" i="1"/>
  <c r="N1731" i="1"/>
  <c r="K1731" i="1"/>
  <c r="C1731" i="1"/>
  <c r="B1731" i="1"/>
  <c r="O1730" i="1"/>
  <c r="N1730" i="1"/>
  <c r="K1730" i="1"/>
  <c r="C1730" i="1"/>
  <c r="B1730" i="1"/>
  <c r="O1729" i="1"/>
  <c r="N1729" i="1"/>
  <c r="K1729" i="1"/>
  <c r="C1729" i="1"/>
  <c r="B1729" i="1"/>
  <c r="O1728" i="1"/>
  <c r="N1728" i="1"/>
  <c r="K1728" i="1"/>
  <c r="C1728" i="1"/>
  <c r="B1728" i="1"/>
  <c r="O1727" i="1"/>
  <c r="N1727" i="1"/>
  <c r="K1727" i="1"/>
  <c r="L1727" i="1" s="1"/>
  <c r="C1727" i="1"/>
  <c r="B1727" i="1"/>
  <c r="O1726" i="1"/>
  <c r="N1726" i="1"/>
  <c r="K1726" i="1"/>
  <c r="C1726" i="1"/>
  <c r="B1726" i="1"/>
  <c r="O1725" i="1"/>
  <c r="N1725" i="1"/>
  <c r="K1725" i="1"/>
  <c r="C1725" i="1"/>
  <c r="B1725" i="1"/>
  <c r="O1724" i="1"/>
  <c r="N1724" i="1"/>
  <c r="K1724" i="1"/>
  <c r="C1724" i="1"/>
  <c r="B1724" i="1"/>
  <c r="O1723" i="1"/>
  <c r="N1723" i="1"/>
  <c r="K1723" i="1"/>
  <c r="C1723" i="1"/>
  <c r="B1723" i="1"/>
  <c r="O1722" i="1"/>
  <c r="N1722" i="1"/>
  <c r="K1722" i="1"/>
  <c r="C1722" i="1"/>
  <c r="B1722" i="1"/>
  <c r="O1721" i="1"/>
  <c r="N1721" i="1"/>
  <c r="K1721" i="1"/>
  <c r="C1721" i="1"/>
  <c r="B1721" i="1"/>
  <c r="O1720" i="1"/>
  <c r="N1720" i="1"/>
  <c r="K1720" i="1"/>
  <c r="L1720" i="1" s="1"/>
  <c r="C1720" i="1"/>
  <c r="B1720" i="1"/>
  <c r="O1719" i="1"/>
  <c r="N1719" i="1"/>
  <c r="K1719" i="1"/>
  <c r="C1719" i="1"/>
  <c r="B1719" i="1"/>
  <c r="O1718" i="1"/>
  <c r="N1718" i="1"/>
  <c r="K1718" i="1"/>
  <c r="C1718" i="1"/>
  <c r="B1718" i="1"/>
  <c r="O1717" i="1"/>
  <c r="N1717" i="1"/>
  <c r="K1717" i="1"/>
  <c r="L1717" i="1" s="1"/>
  <c r="C1717" i="1"/>
  <c r="B1717" i="1"/>
  <c r="O1716" i="1"/>
  <c r="N1716" i="1"/>
  <c r="K1716" i="1"/>
  <c r="L1716" i="1" s="1"/>
  <c r="T1716" i="1" s="1"/>
  <c r="U1716" i="1" s="1"/>
  <c r="V1716" i="1" s="1"/>
  <c r="C1716" i="1"/>
  <c r="B1716" i="1"/>
  <c r="O1715" i="1"/>
  <c r="N1715" i="1"/>
  <c r="K1715" i="1"/>
  <c r="C1715" i="1"/>
  <c r="B1715" i="1"/>
  <c r="O1714" i="1"/>
  <c r="N1714" i="1"/>
  <c r="K1714" i="1"/>
  <c r="C1714" i="1"/>
  <c r="B1714" i="1"/>
  <c r="O1713" i="1"/>
  <c r="N1713" i="1"/>
  <c r="K1713" i="1"/>
  <c r="C1713" i="1"/>
  <c r="B1713" i="1"/>
  <c r="O1712" i="1"/>
  <c r="N1712" i="1"/>
  <c r="K1712" i="1"/>
  <c r="C1712" i="1"/>
  <c r="B1712" i="1"/>
  <c r="O1711" i="1"/>
  <c r="N1711" i="1"/>
  <c r="K1711" i="1"/>
  <c r="L1711" i="1" s="1"/>
  <c r="C1711" i="1"/>
  <c r="B1711" i="1"/>
  <c r="O1710" i="1"/>
  <c r="N1710" i="1"/>
  <c r="K1710" i="1"/>
  <c r="C1710" i="1"/>
  <c r="B1710" i="1"/>
  <c r="O1709" i="1"/>
  <c r="N1709" i="1"/>
  <c r="S1709" i="1" s="1"/>
  <c r="K1709" i="1"/>
  <c r="L1709" i="1" s="1"/>
  <c r="C1709" i="1"/>
  <c r="B1709" i="1"/>
  <c r="O1708" i="1"/>
  <c r="N1708" i="1"/>
  <c r="K1708" i="1"/>
  <c r="C1708" i="1"/>
  <c r="B1708" i="1"/>
  <c r="O1707" i="1"/>
  <c r="N1707" i="1"/>
  <c r="K1707" i="1"/>
  <c r="C1707" i="1"/>
  <c r="B1707" i="1"/>
  <c r="O1706" i="1"/>
  <c r="N1706" i="1"/>
  <c r="K1706" i="1"/>
  <c r="L1706" i="1" s="1"/>
  <c r="C1706" i="1"/>
  <c r="B1706" i="1"/>
  <c r="O1705" i="1"/>
  <c r="N1705" i="1"/>
  <c r="K1705" i="1"/>
  <c r="C1705" i="1"/>
  <c r="B1705" i="1"/>
  <c r="O1704" i="1"/>
  <c r="N1704" i="1"/>
  <c r="X1704" i="1" s="1"/>
  <c r="K1704" i="1"/>
  <c r="C1704" i="1"/>
  <c r="B1704" i="1"/>
  <c r="O1703" i="1"/>
  <c r="N1703" i="1"/>
  <c r="K1703" i="1"/>
  <c r="C1703" i="1"/>
  <c r="B1703" i="1"/>
  <c r="O1702" i="1"/>
  <c r="N1702" i="1"/>
  <c r="K1702" i="1"/>
  <c r="C1702" i="1"/>
  <c r="B1702" i="1"/>
  <c r="O1701" i="1"/>
  <c r="N1701" i="1"/>
  <c r="K1701" i="1"/>
  <c r="L1701" i="1" s="1"/>
  <c r="C1701" i="1"/>
  <c r="B1701" i="1"/>
  <c r="O1700" i="1"/>
  <c r="N1700" i="1"/>
  <c r="K1700" i="1"/>
  <c r="L1700" i="1" s="1"/>
  <c r="T1700" i="1" s="1"/>
  <c r="U1700" i="1" s="1"/>
  <c r="V1700" i="1" s="1"/>
  <c r="C1700" i="1"/>
  <c r="B1700" i="1"/>
  <c r="O1699" i="1"/>
  <c r="N1699" i="1"/>
  <c r="K1699" i="1"/>
  <c r="C1699" i="1"/>
  <c r="B1699" i="1"/>
  <c r="O1698" i="1"/>
  <c r="N1698" i="1"/>
  <c r="K1698" i="1"/>
  <c r="C1698" i="1"/>
  <c r="B1698" i="1"/>
  <c r="O1697" i="1"/>
  <c r="N1697" i="1"/>
  <c r="K1697" i="1"/>
  <c r="C1697" i="1"/>
  <c r="B1697" i="1"/>
  <c r="O1696" i="1"/>
  <c r="N1696" i="1"/>
  <c r="K1696" i="1"/>
  <c r="L1696" i="1" s="1"/>
  <c r="R1696" i="1" s="1"/>
  <c r="C1696" i="1"/>
  <c r="B1696" i="1"/>
  <c r="O1695" i="1"/>
  <c r="N1695" i="1"/>
  <c r="K1695" i="1"/>
  <c r="L1695" i="1" s="1"/>
  <c r="C1695" i="1"/>
  <c r="B1695" i="1"/>
  <c r="O1694" i="1"/>
  <c r="N1694" i="1"/>
  <c r="K1694" i="1"/>
  <c r="C1694" i="1"/>
  <c r="B1694" i="1"/>
  <c r="O1693" i="1"/>
  <c r="N1693" i="1"/>
  <c r="K1693" i="1"/>
  <c r="L1693" i="1" s="1"/>
  <c r="C1693" i="1"/>
  <c r="B1693" i="1"/>
  <c r="O1692" i="1"/>
  <c r="N1692" i="1"/>
  <c r="K1692" i="1"/>
  <c r="C1692" i="1"/>
  <c r="B1692" i="1"/>
  <c r="O1691" i="1"/>
  <c r="N1691" i="1"/>
  <c r="K1691" i="1"/>
  <c r="C1691" i="1"/>
  <c r="B1691" i="1"/>
  <c r="O1690" i="1"/>
  <c r="N1690" i="1"/>
  <c r="K1690" i="1"/>
  <c r="C1690" i="1"/>
  <c r="B1690" i="1"/>
  <c r="O1689" i="1"/>
  <c r="N1689" i="1"/>
  <c r="K1689" i="1"/>
  <c r="C1689" i="1"/>
  <c r="B1689" i="1"/>
  <c r="O1688" i="1"/>
  <c r="N1688" i="1"/>
  <c r="K1688" i="1"/>
  <c r="L1688" i="1" s="1"/>
  <c r="R1688" i="1" s="1"/>
  <c r="C1688" i="1"/>
  <c r="B1688" i="1"/>
  <c r="O1687" i="1"/>
  <c r="N1687" i="1"/>
  <c r="K1687" i="1"/>
  <c r="C1687" i="1"/>
  <c r="B1687" i="1"/>
  <c r="O1686" i="1"/>
  <c r="N1686" i="1"/>
  <c r="K1686" i="1"/>
  <c r="C1686" i="1"/>
  <c r="B1686" i="1"/>
  <c r="O1685" i="1"/>
  <c r="N1685" i="1"/>
  <c r="K1685" i="1"/>
  <c r="L1685" i="1" s="1"/>
  <c r="C1685" i="1"/>
  <c r="B1685" i="1"/>
  <c r="O1684" i="1"/>
  <c r="N1684" i="1"/>
  <c r="K1684" i="1"/>
  <c r="C1684" i="1"/>
  <c r="B1684" i="1"/>
  <c r="O1683" i="1"/>
  <c r="N1683" i="1"/>
  <c r="K1683" i="1"/>
  <c r="C1683" i="1"/>
  <c r="B1683" i="1"/>
  <c r="O1682" i="1"/>
  <c r="N1682" i="1"/>
  <c r="K1682" i="1"/>
  <c r="C1682" i="1"/>
  <c r="B1682" i="1"/>
  <c r="O1681" i="1"/>
  <c r="N1681" i="1"/>
  <c r="K1681" i="1"/>
  <c r="L1681" i="1" s="1"/>
  <c r="T1681" i="1" s="1"/>
  <c r="U1681" i="1" s="1"/>
  <c r="V1681" i="1" s="1"/>
  <c r="C1681" i="1"/>
  <c r="B1681" i="1"/>
  <c r="O1680" i="1"/>
  <c r="N1680" i="1"/>
  <c r="K1680" i="1"/>
  <c r="C1680" i="1"/>
  <c r="B1680" i="1"/>
  <c r="O1679" i="1"/>
  <c r="N1679" i="1"/>
  <c r="K1679" i="1"/>
  <c r="L1679" i="1" s="1"/>
  <c r="C1679" i="1"/>
  <c r="B1679" i="1"/>
  <c r="O1678" i="1"/>
  <c r="N1678" i="1"/>
  <c r="K1678" i="1"/>
  <c r="C1678" i="1"/>
  <c r="B1678" i="1"/>
  <c r="O1677" i="1"/>
  <c r="N1677" i="1"/>
  <c r="K1677" i="1"/>
  <c r="L1677" i="1" s="1"/>
  <c r="C1677" i="1"/>
  <c r="B1677" i="1"/>
  <c r="O1676" i="1"/>
  <c r="N1676" i="1"/>
  <c r="K1676" i="1"/>
  <c r="C1676" i="1"/>
  <c r="B1676" i="1"/>
  <c r="O1675" i="1"/>
  <c r="N1675" i="1"/>
  <c r="K1675" i="1"/>
  <c r="C1675" i="1"/>
  <c r="B1675" i="1"/>
  <c r="O1674" i="1"/>
  <c r="N1674" i="1"/>
  <c r="K1674" i="1"/>
  <c r="C1674" i="1"/>
  <c r="B1674" i="1"/>
  <c r="O1673" i="1"/>
  <c r="N1673" i="1"/>
  <c r="K1673" i="1"/>
  <c r="C1673" i="1"/>
  <c r="B1673" i="1"/>
  <c r="O1672" i="1"/>
  <c r="N1672" i="1"/>
  <c r="K1672" i="1"/>
  <c r="C1672" i="1"/>
  <c r="B1672" i="1"/>
  <c r="O1671" i="1"/>
  <c r="N1671" i="1"/>
  <c r="K1671" i="1"/>
  <c r="L1671" i="1" s="1"/>
  <c r="C1671" i="1"/>
  <c r="B1671" i="1"/>
  <c r="O1670" i="1"/>
  <c r="N1670" i="1"/>
  <c r="K1670" i="1"/>
  <c r="C1670" i="1"/>
  <c r="B1670" i="1"/>
  <c r="O1669" i="1"/>
  <c r="N1669" i="1"/>
  <c r="K1669" i="1"/>
  <c r="L1669" i="1" s="1"/>
  <c r="C1669" i="1"/>
  <c r="B1669" i="1"/>
  <c r="O1668" i="1"/>
  <c r="N1668" i="1"/>
  <c r="K1668" i="1"/>
  <c r="L1668" i="1" s="1"/>
  <c r="M1668" i="1" s="1"/>
  <c r="C1668" i="1"/>
  <c r="B1668" i="1"/>
  <c r="O1667" i="1"/>
  <c r="N1667" i="1"/>
  <c r="K1667" i="1"/>
  <c r="C1667" i="1"/>
  <c r="B1667" i="1"/>
  <c r="O1666" i="1"/>
  <c r="N1666" i="1"/>
  <c r="K1666" i="1"/>
  <c r="C1666" i="1"/>
  <c r="B1666" i="1"/>
  <c r="O1665" i="1"/>
  <c r="N1665" i="1"/>
  <c r="K1665" i="1"/>
  <c r="C1665" i="1"/>
  <c r="B1665" i="1"/>
  <c r="O1664" i="1"/>
  <c r="N1664" i="1"/>
  <c r="K1664" i="1"/>
  <c r="C1664" i="1"/>
  <c r="B1664" i="1"/>
  <c r="O1663" i="1"/>
  <c r="N1663" i="1"/>
  <c r="K1663" i="1"/>
  <c r="L1663" i="1" s="1"/>
  <c r="C1663" i="1"/>
  <c r="B1663" i="1"/>
  <c r="O1662" i="1"/>
  <c r="N1662" i="1"/>
  <c r="K1662" i="1"/>
  <c r="C1662" i="1"/>
  <c r="B1662" i="1"/>
  <c r="O1661" i="1"/>
  <c r="N1661" i="1"/>
  <c r="K1661" i="1"/>
  <c r="L1661" i="1" s="1"/>
  <c r="C1661" i="1"/>
  <c r="B1661" i="1"/>
  <c r="O1660" i="1"/>
  <c r="N1660" i="1"/>
  <c r="K1660" i="1"/>
  <c r="C1660" i="1"/>
  <c r="B1660" i="1"/>
  <c r="O1659" i="1"/>
  <c r="N1659" i="1"/>
  <c r="K1659" i="1"/>
  <c r="C1659" i="1"/>
  <c r="B1659" i="1"/>
  <c r="O1658" i="1"/>
  <c r="N1658" i="1"/>
  <c r="K1658" i="1"/>
  <c r="C1658" i="1"/>
  <c r="B1658" i="1"/>
  <c r="O1657" i="1"/>
  <c r="N1657" i="1"/>
  <c r="K1657" i="1"/>
  <c r="L1657" i="1" s="1"/>
  <c r="T1657" i="1" s="1"/>
  <c r="U1657" i="1" s="1"/>
  <c r="V1657" i="1" s="1"/>
  <c r="C1657" i="1"/>
  <c r="B1657" i="1"/>
  <c r="O1656" i="1"/>
  <c r="N1656" i="1"/>
  <c r="K1656" i="1"/>
  <c r="L1656" i="1" s="1"/>
  <c r="T1656" i="1" s="1"/>
  <c r="U1656" i="1" s="1"/>
  <c r="V1656" i="1" s="1"/>
  <c r="C1656" i="1"/>
  <c r="B1656" i="1"/>
  <c r="O1655" i="1"/>
  <c r="N1655" i="1"/>
  <c r="K1655" i="1"/>
  <c r="C1655" i="1"/>
  <c r="B1655" i="1"/>
  <c r="O1654" i="1"/>
  <c r="N1654" i="1"/>
  <c r="K1654" i="1"/>
  <c r="C1654" i="1"/>
  <c r="B1654" i="1"/>
  <c r="O1653" i="1"/>
  <c r="N1653" i="1"/>
  <c r="K1653" i="1"/>
  <c r="L1653" i="1" s="1"/>
  <c r="C1653" i="1"/>
  <c r="B1653" i="1"/>
  <c r="O1652" i="1"/>
  <c r="N1652" i="1"/>
  <c r="K1652" i="1"/>
  <c r="C1652" i="1"/>
  <c r="B1652" i="1"/>
  <c r="X1651" i="1"/>
  <c r="W1651" i="1"/>
  <c r="S1651" i="1"/>
  <c r="P1651" i="1" s="1"/>
  <c r="O1651" i="1"/>
  <c r="N1651" i="1"/>
  <c r="K1651" i="1"/>
  <c r="C1651" i="1"/>
  <c r="B1651" i="1"/>
  <c r="O1650" i="1"/>
  <c r="N1650" i="1"/>
  <c r="K1650" i="1"/>
  <c r="L1650" i="1" s="1"/>
  <c r="C1650" i="1"/>
  <c r="B1650" i="1"/>
  <c r="O1649" i="1"/>
  <c r="N1649" i="1"/>
  <c r="K1649" i="1"/>
  <c r="C1649" i="1"/>
  <c r="B1649" i="1"/>
  <c r="O1648" i="1"/>
  <c r="N1648" i="1"/>
  <c r="K1648" i="1"/>
  <c r="C1648" i="1"/>
  <c r="B1648" i="1"/>
  <c r="O1647" i="1"/>
  <c r="N1647" i="1"/>
  <c r="K1647" i="1"/>
  <c r="C1647" i="1"/>
  <c r="B1647" i="1"/>
  <c r="O1646" i="1"/>
  <c r="N1646" i="1"/>
  <c r="K1646" i="1"/>
  <c r="C1646" i="1"/>
  <c r="B1646" i="1"/>
  <c r="O1645" i="1"/>
  <c r="N1645" i="1"/>
  <c r="K1645" i="1"/>
  <c r="L1645" i="1" s="1"/>
  <c r="C1645" i="1"/>
  <c r="B1645" i="1"/>
  <c r="O1644" i="1"/>
  <c r="N1644" i="1"/>
  <c r="K1644" i="1"/>
  <c r="C1644" i="1"/>
  <c r="B1644" i="1"/>
  <c r="O1643" i="1"/>
  <c r="N1643" i="1"/>
  <c r="K1643" i="1"/>
  <c r="C1643" i="1"/>
  <c r="B1643" i="1"/>
  <c r="O1642" i="1"/>
  <c r="N1642" i="1"/>
  <c r="K1642" i="1"/>
  <c r="L1642" i="1" s="1"/>
  <c r="C1642" i="1"/>
  <c r="B1642" i="1"/>
  <c r="O1641" i="1"/>
  <c r="N1641" i="1"/>
  <c r="K1641" i="1"/>
  <c r="C1641" i="1"/>
  <c r="B1641" i="1"/>
  <c r="O1640" i="1"/>
  <c r="N1640" i="1"/>
  <c r="K1640" i="1"/>
  <c r="C1640" i="1"/>
  <c r="B1640" i="1"/>
  <c r="O1639" i="1"/>
  <c r="N1639" i="1"/>
  <c r="K1639" i="1"/>
  <c r="C1639" i="1"/>
  <c r="B1639" i="1"/>
  <c r="O1638" i="1"/>
  <c r="N1638" i="1"/>
  <c r="K1638" i="1"/>
  <c r="C1638" i="1"/>
  <c r="B1638" i="1"/>
  <c r="O1637" i="1"/>
  <c r="N1637" i="1"/>
  <c r="K1637" i="1"/>
  <c r="L1637" i="1" s="1"/>
  <c r="C1637" i="1"/>
  <c r="B1637" i="1"/>
  <c r="O1636" i="1"/>
  <c r="N1636" i="1"/>
  <c r="K1636" i="1"/>
  <c r="L1636" i="1" s="1"/>
  <c r="C1636" i="1"/>
  <c r="B1636" i="1"/>
  <c r="D1636" i="1" s="1"/>
  <c r="O1635" i="1"/>
  <c r="N1635" i="1"/>
  <c r="K1635" i="1"/>
  <c r="C1635" i="1"/>
  <c r="B1635" i="1"/>
  <c r="O1634" i="1"/>
  <c r="N1634" i="1"/>
  <c r="K1634" i="1"/>
  <c r="L1634" i="1" s="1"/>
  <c r="C1634" i="1"/>
  <c r="B1634" i="1"/>
  <c r="O1633" i="1"/>
  <c r="N1633" i="1"/>
  <c r="K1633" i="1"/>
  <c r="L1633" i="1" s="1"/>
  <c r="T1633" i="1" s="1"/>
  <c r="U1633" i="1" s="1"/>
  <c r="V1633" i="1" s="1"/>
  <c r="C1633" i="1"/>
  <c r="B1633" i="1"/>
  <c r="O1632" i="1"/>
  <c r="N1632" i="1"/>
  <c r="K1632" i="1"/>
  <c r="C1632" i="1"/>
  <c r="B1632" i="1"/>
  <c r="O1631" i="1"/>
  <c r="N1631" i="1"/>
  <c r="K1631" i="1"/>
  <c r="C1631" i="1"/>
  <c r="B1631" i="1"/>
  <c r="O1630" i="1"/>
  <c r="N1630" i="1"/>
  <c r="K1630" i="1"/>
  <c r="C1630" i="1"/>
  <c r="B1630" i="1"/>
  <c r="O1629" i="1"/>
  <c r="N1629" i="1"/>
  <c r="K1629" i="1"/>
  <c r="L1629" i="1" s="1"/>
  <c r="C1629" i="1"/>
  <c r="B1629" i="1"/>
  <c r="O1628" i="1"/>
  <c r="N1628" i="1"/>
  <c r="K1628" i="1"/>
  <c r="C1628" i="1"/>
  <c r="B1628" i="1"/>
  <c r="O1627" i="1"/>
  <c r="N1627" i="1"/>
  <c r="K1627" i="1"/>
  <c r="C1627" i="1"/>
  <c r="B1627" i="1"/>
  <c r="O1626" i="1"/>
  <c r="N1626" i="1"/>
  <c r="K1626" i="1"/>
  <c r="L1626" i="1" s="1"/>
  <c r="C1626" i="1"/>
  <c r="B1626" i="1"/>
  <c r="O1625" i="1"/>
  <c r="N1625" i="1"/>
  <c r="K1625" i="1"/>
  <c r="C1625" i="1"/>
  <c r="B1625" i="1"/>
  <c r="O1624" i="1"/>
  <c r="N1624" i="1"/>
  <c r="K1624" i="1"/>
  <c r="C1624" i="1"/>
  <c r="B1624" i="1"/>
  <c r="O1623" i="1"/>
  <c r="N1623" i="1"/>
  <c r="K1623" i="1"/>
  <c r="C1623" i="1"/>
  <c r="B1623" i="1"/>
  <c r="O1622" i="1"/>
  <c r="N1622" i="1"/>
  <c r="K1622" i="1"/>
  <c r="C1622" i="1"/>
  <c r="B1622" i="1"/>
  <c r="O1621" i="1"/>
  <c r="N1621" i="1"/>
  <c r="K1621" i="1"/>
  <c r="L1621" i="1" s="1"/>
  <c r="C1621" i="1"/>
  <c r="B1621" i="1"/>
  <c r="O1620" i="1"/>
  <c r="N1620" i="1"/>
  <c r="K1620" i="1"/>
  <c r="L1620" i="1" s="1"/>
  <c r="T1620" i="1" s="1"/>
  <c r="U1620" i="1" s="1"/>
  <c r="V1620" i="1" s="1"/>
  <c r="C1620" i="1"/>
  <c r="B1620" i="1"/>
  <c r="D1620" i="1" s="1"/>
  <c r="O1619" i="1"/>
  <c r="N1619" i="1"/>
  <c r="K1619" i="1"/>
  <c r="C1619" i="1"/>
  <c r="B1619" i="1"/>
  <c r="O1618" i="1"/>
  <c r="N1618" i="1"/>
  <c r="K1618" i="1"/>
  <c r="L1618" i="1" s="1"/>
  <c r="C1618" i="1"/>
  <c r="B1618" i="1"/>
  <c r="O1617" i="1"/>
  <c r="N1617" i="1"/>
  <c r="K1617" i="1"/>
  <c r="C1617" i="1"/>
  <c r="B1617" i="1"/>
  <c r="O1616" i="1"/>
  <c r="N1616" i="1"/>
  <c r="K1616" i="1"/>
  <c r="C1616" i="1"/>
  <c r="B1616" i="1"/>
  <c r="O1615" i="1"/>
  <c r="N1615" i="1"/>
  <c r="X1615" i="1" s="1"/>
  <c r="K1615" i="1"/>
  <c r="C1615" i="1"/>
  <c r="B1615" i="1"/>
  <c r="O1614" i="1"/>
  <c r="N1614" i="1"/>
  <c r="K1614" i="1"/>
  <c r="C1614" i="1"/>
  <c r="B1614" i="1"/>
  <c r="O1613" i="1"/>
  <c r="N1613" i="1"/>
  <c r="K1613" i="1"/>
  <c r="L1613" i="1" s="1"/>
  <c r="C1613" i="1"/>
  <c r="B1613" i="1"/>
  <c r="O1612" i="1"/>
  <c r="N1612" i="1"/>
  <c r="K1612" i="1"/>
  <c r="C1612" i="1"/>
  <c r="B1612" i="1"/>
  <c r="O1611" i="1"/>
  <c r="N1611" i="1"/>
  <c r="K1611" i="1"/>
  <c r="C1611" i="1"/>
  <c r="B1611" i="1"/>
  <c r="O1610" i="1"/>
  <c r="N1610" i="1"/>
  <c r="K1610" i="1"/>
  <c r="L1610" i="1" s="1"/>
  <c r="C1610" i="1"/>
  <c r="B1610" i="1"/>
  <c r="O1609" i="1"/>
  <c r="N1609" i="1"/>
  <c r="K1609" i="1"/>
  <c r="L1609" i="1" s="1"/>
  <c r="T1609" i="1" s="1"/>
  <c r="U1609" i="1" s="1"/>
  <c r="V1609" i="1" s="1"/>
  <c r="C1609" i="1"/>
  <c r="B1609" i="1"/>
  <c r="O1608" i="1"/>
  <c r="N1608" i="1"/>
  <c r="K1608" i="1"/>
  <c r="C1608" i="1"/>
  <c r="B1608" i="1"/>
  <c r="O1607" i="1"/>
  <c r="N1607" i="1"/>
  <c r="K1607" i="1"/>
  <c r="C1607" i="1"/>
  <c r="B1607" i="1"/>
  <c r="O1606" i="1"/>
  <c r="N1606" i="1"/>
  <c r="K1606" i="1"/>
  <c r="C1606" i="1"/>
  <c r="B1606" i="1"/>
  <c r="O1605" i="1"/>
  <c r="N1605" i="1"/>
  <c r="K1605" i="1"/>
  <c r="L1605" i="1" s="1"/>
  <c r="C1605" i="1"/>
  <c r="B1605" i="1"/>
  <c r="O1604" i="1"/>
  <c r="N1604" i="1"/>
  <c r="K1604" i="1"/>
  <c r="C1604" i="1"/>
  <c r="B1604" i="1"/>
  <c r="O1603" i="1"/>
  <c r="N1603" i="1"/>
  <c r="K1603" i="1"/>
  <c r="C1603" i="1"/>
  <c r="B1603" i="1"/>
  <c r="D1603" i="1" s="1"/>
  <c r="O1602" i="1"/>
  <c r="N1602" i="1"/>
  <c r="K1602" i="1"/>
  <c r="L1602" i="1" s="1"/>
  <c r="C1602" i="1"/>
  <c r="B1602" i="1"/>
  <c r="O1601" i="1"/>
  <c r="N1601" i="1"/>
  <c r="K1601" i="1"/>
  <c r="C1601" i="1"/>
  <c r="B1601" i="1"/>
  <c r="O1600" i="1"/>
  <c r="N1600" i="1"/>
  <c r="K1600" i="1"/>
  <c r="C1600" i="1"/>
  <c r="B1600" i="1"/>
  <c r="O1599" i="1"/>
  <c r="N1599" i="1"/>
  <c r="K1599" i="1"/>
  <c r="C1599" i="1"/>
  <c r="B1599" i="1"/>
  <c r="O1598" i="1"/>
  <c r="N1598" i="1"/>
  <c r="K1598" i="1"/>
  <c r="C1598" i="1"/>
  <c r="B1598" i="1"/>
  <c r="O1597" i="1"/>
  <c r="N1597" i="1"/>
  <c r="X1597" i="1" s="1"/>
  <c r="K1597" i="1"/>
  <c r="L1597" i="1" s="1"/>
  <c r="C1597" i="1"/>
  <c r="B1597" i="1"/>
  <c r="O1596" i="1"/>
  <c r="N1596" i="1"/>
  <c r="K1596" i="1"/>
  <c r="C1596" i="1"/>
  <c r="B1596" i="1"/>
  <c r="O1595" i="1"/>
  <c r="N1595" i="1"/>
  <c r="K1595" i="1"/>
  <c r="C1595" i="1"/>
  <c r="B1595" i="1"/>
  <c r="O1594" i="1"/>
  <c r="N1594" i="1"/>
  <c r="K1594" i="1"/>
  <c r="L1594" i="1" s="1"/>
  <c r="C1594" i="1"/>
  <c r="B1594" i="1"/>
  <c r="O1593" i="1"/>
  <c r="N1593" i="1"/>
  <c r="K1593" i="1"/>
  <c r="C1593" i="1"/>
  <c r="B1593" i="1"/>
  <c r="O1592" i="1"/>
  <c r="N1592" i="1"/>
  <c r="K1592" i="1"/>
  <c r="C1592" i="1"/>
  <c r="B1592" i="1"/>
  <c r="O1591" i="1"/>
  <c r="N1591" i="1"/>
  <c r="K1591" i="1"/>
  <c r="C1591" i="1"/>
  <c r="B1591" i="1"/>
  <c r="O1590" i="1"/>
  <c r="N1590" i="1"/>
  <c r="K1590" i="1"/>
  <c r="C1590" i="1"/>
  <c r="B1590" i="1"/>
  <c r="O1589" i="1"/>
  <c r="N1589" i="1"/>
  <c r="K1589" i="1"/>
  <c r="L1589" i="1" s="1"/>
  <c r="C1589" i="1"/>
  <c r="B1589" i="1"/>
  <c r="O1588" i="1"/>
  <c r="N1588" i="1"/>
  <c r="K1588" i="1"/>
  <c r="C1588" i="1"/>
  <c r="B1588" i="1"/>
  <c r="O1587" i="1"/>
  <c r="N1587" i="1"/>
  <c r="K1587" i="1"/>
  <c r="C1587" i="1"/>
  <c r="B1587" i="1"/>
  <c r="O1586" i="1"/>
  <c r="N1586" i="1"/>
  <c r="K1586" i="1"/>
  <c r="L1586" i="1" s="1"/>
  <c r="C1586" i="1"/>
  <c r="B1586" i="1"/>
  <c r="O1585" i="1"/>
  <c r="N1585" i="1"/>
  <c r="K1585" i="1"/>
  <c r="C1585" i="1"/>
  <c r="B1585" i="1"/>
  <c r="O1584" i="1"/>
  <c r="N1584" i="1"/>
  <c r="K1584" i="1"/>
  <c r="L1584" i="1" s="1"/>
  <c r="R1584" i="1" s="1"/>
  <c r="C1584" i="1"/>
  <c r="B1584" i="1"/>
  <c r="O1583" i="1"/>
  <c r="N1583" i="1"/>
  <c r="K1583" i="1"/>
  <c r="C1583" i="1"/>
  <c r="B1583" i="1"/>
  <c r="O1582" i="1"/>
  <c r="N1582" i="1"/>
  <c r="K1582" i="1"/>
  <c r="C1582" i="1"/>
  <c r="B1582" i="1"/>
  <c r="O1581" i="1"/>
  <c r="N1581" i="1"/>
  <c r="K1581" i="1"/>
  <c r="L1581" i="1" s="1"/>
  <c r="C1581" i="1"/>
  <c r="B1581" i="1"/>
  <c r="O1580" i="1"/>
  <c r="N1580" i="1"/>
  <c r="K1580" i="1"/>
  <c r="C1580" i="1"/>
  <c r="B1580" i="1"/>
  <c r="O1579" i="1"/>
  <c r="N1579" i="1"/>
  <c r="K1579" i="1"/>
  <c r="C1579" i="1"/>
  <c r="B1579" i="1"/>
  <c r="O1578" i="1"/>
  <c r="N1578" i="1"/>
  <c r="K1578" i="1"/>
  <c r="L1578" i="1" s="1"/>
  <c r="C1578" i="1"/>
  <c r="B1578" i="1"/>
  <c r="O1577" i="1"/>
  <c r="N1577" i="1"/>
  <c r="K1577" i="1"/>
  <c r="L1577" i="1" s="1"/>
  <c r="T1577" i="1" s="1"/>
  <c r="U1577" i="1" s="1"/>
  <c r="V1577" i="1" s="1"/>
  <c r="C1577" i="1"/>
  <c r="B1577" i="1"/>
  <c r="Q1576" i="1"/>
  <c r="O1576" i="1"/>
  <c r="N1576" i="1"/>
  <c r="K1576" i="1"/>
  <c r="L1576" i="1" s="1"/>
  <c r="R1576" i="1" s="1"/>
  <c r="C1576" i="1"/>
  <c r="B1576" i="1"/>
  <c r="O1575" i="1"/>
  <c r="N1575" i="1"/>
  <c r="K1575" i="1"/>
  <c r="C1575" i="1"/>
  <c r="B1575" i="1"/>
  <c r="O1574" i="1"/>
  <c r="N1574" i="1"/>
  <c r="K1574" i="1"/>
  <c r="C1574" i="1"/>
  <c r="B1574" i="1"/>
  <c r="O1573" i="1"/>
  <c r="N1573" i="1"/>
  <c r="K1573" i="1"/>
  <c r="L1573" i="1" s="1"/>
  <c r="C1573" i="1"/>
  <c r="B1573" i="1"/>
  <c r="O1572" i="1"/>
  <c r="N1572" i="1"/>
  <c r="K1572" i="1"/>
  <c r="L1572" i="1" s="1"/>
  <c r="T1572" i="1" s="1"/>
  <c r="U1572" i="1" s="1"/>
  <c r="V1572" i="1" s="1"/>
  <c r="C1572" i="1"/>
  <c r="B1572" i="1"/>
  <c r="O1571" i="1"/>
  <c r="N1571" i="1"/>
  <c r="K1571" i="1"/>
  <c r="C1571" i="1"/>
  <c r="B1571" i="1"/>
  <c r="O1570" i="1"/>
  <c r="N1570" i="1"/>
  <c r="K1570" i="1"/>
  <c r="L1570" i="1" s="1"/>
  <c r="C1570" i="1"/>
  <c r="B1570" i="1"/>
  <c r="O1569" i="1"/>
  <c r="N1569" i="1"/>
  <c r="K1569" i="1"/>
  <c r="C1569" i="1"/>
  <c r="B1569" i="1"/>
  <c r="O1568" i="1"/>
  <c r="N1568" i="1"/>
  <c r="K1568" i="1"/>
  <c r="C1568" i="1"/>
  <c r="B1568" i="1"/>
  <c r="O1567" i="1"/>
  <c r="N1567" i="1"/>
  <c r="K1567" i="1"/>
  <c r="C1567" i="1"/>
  <c r="B1567" i="1"/>
  <c r="O1566" i="1"/>
  <c r="N1566" i="1"/>
  <c r="K1566" i="1"/>
  <c r="C1566" i="1"/>
  <c r="B1566" i="1"/>
  <c r="O1565" i="1"/>
  <c r="N1565" i="1"/>
  <c r="K1565" i="1"/>
  <c r="L1565" i="1" s="1"/>
  <c r="C1565" i="1"/>
  <c r="B1565" i="1"/>
  <c r="O1564" i="1"/>
  <c r="N1564" i="1"/>
  <c r="K1564" i="1"/>
  <c r="C1564" i="1"/>
  <c r="B1564" i="1"/>
  <c r="O1563" i="1"/>
  <c r="N1563" i="1"/>
  <c r="K1563" i="1"/>
  <c r="C1563" i="1"/>
  <c r="B1563" i="1"/>
  <c r="O1562" i="1"/>
  <c r="N1562" i="1"/>
  <c r="K1562" i="1"/>
  <c r="L1562" i="1" s="1"/>
  <c r="C1562" i="1"/>
  <c r="B1562" i="1"/>
  <c r="O1561" i="1"/>
  <c r="N1561" i="1"/>
  <c r="K1561" i="1"/>
  <c r="C1561" i="1"/>
  <c r="B1561" i="1"/>
  <c r="O1560" i="1"/>
  <c r="N1560" i="1"/>
  <c r="K1560" i="1"/>
  <c r="C1560" i="1"/>
  <c r="B1560" i="1"/>
  <c r="X1559" i="1"/>
  <c r="W1559" i="1"/>
  <c r="S1559" i="1"/>
  <c r="P1559" i="1" s="1"/>
  <c r="O1559" i="1"/>
  <c r="N1559" i="1"/>
  <c r="K1559" i="1"/>
  <c r="C1559" i="1"/>
  <c r="B1559" i="1"/>
  <c r="O1558" i="1"/>
  <c r="N1558" i="1"/>
  <c r="K1558" i="1"/>
  <c r="C1558" i="1"/>
  <c r="B1558" i="1"/>
  <c r="O1557" i="1"/>
  <c r="N1557" i="1"/>
  <c r="K1557" i="1"/>
  <c r="L1557" i="1" s="1"/>
  <c r="C1557" i="1"/>
  <c r="B1557" i="1"/>
  <c r="O1556" i="1"/>
  <c r="N1556" i="1"/>
  <c r="K1556" i="1"/>
  <c r="L1556" i="1" s="1"/>
  <c r="M1556" i="1" s="1"/>
  <c r="C1556" i="1"/>
  <c r="B1556" i="1"/>
  <c r="O1555" i="1"/>
  <c r="N1555" i="1"/>
  <c r="K1555" i="1"/>
  <c r="C1555" i="1"/>
  <c r="B1555" i="1"/>
  <c r="O1554" i="1"/>
  <c r="N1554" i="1"/>
  <c r="K1554" i="1"/>
  <c r="L1554" i="1" s="1"/>
  <c r="C1554" i="1"/>
  <c r="B1554" i="1"/>
  <c r="O1553" i="1"/>
  <c r="N1553" i="1"/>
  <c r="K1553" i="1"/>
  <c r="C1553" i="1"/>
  <c r="B1553" i="1"/>
  <c r="O1552" i="1"/>
  <c r="N1552" i="1"/>
  <c r="K1552" i="1"/>
  <c r="C1552" i="1"/>
  <c r="B1552" i="1"/>
  <c r="O1551" i="1"/>
  <c r="N1551" i="1"/>
  <c r="K1551" i="1"/>
  <c r="C1551" i="1"/>
  <c r="B1551" i="1"/>
  <c r="O1550" i="1"/>
  <c r="N1550" i="1"/>
  <c r="K1550" i="1"/>
  <c r="C1550" i="1"/>
  <c r="B1550" i="1"/>
  <c r="O1549" i="1"/>
  <c r="N1549" i="1"/>
  <c r="K1549" i="1"/>
  <c r="L1549" i="1" s="1"/>
  <c r="C1549" i="1"/>
  <c r="B1549" i="1"/>
  <c r="O1548" i="1"/>
  <c r="N1548" i="1"/>
  <c r="K1548" i="1"/>
  <c r="C1548" i="1"/>
  <c r="B1548" i="1"/>
  <c r="O1547" i="1"/>
  <c r="N1547" i="1"/>
  <c r="K1547" i="1"/>
  <c r="C1547" i="1"/>
  <c r="B1547" i="1"/>
  <c r="O1546" i="1"/>
  <c r="N1546" i="1"/>
  <c r="K1546" i="1"/>
  <c r="L1546" i="1" s="1"/>
  <c r="C1546" i="1"/>
  <c r="B1546" i="1"/>
  <c r="O1545" i="1"/>
  <c r="N1545" i="1"/>
  <c r="K1545" i="1"/>
  <c r="C1545" i="1"/>
  <c r="B1545" i="1"/>
  <c r="O1544" i="1"/>
  <c r="N1544" i="1"/>
  <c r="K1544" i="1"/>
  <c r="C1544" i="1"/>
  <c r="B1544" i="1"/>
  <c r="O1543" i="1"/>
  <c r="N1543" i="1"/>
  <c r="K1543" i="1"/>
  <c r="C1543" i="1"/>
  <c r="B1543" i="1"/>
  <c r="O1542" i="1"/>
  <c r="N1542" i="1"/>
  <c r="K1542" i="1"/>
  <c r="C1542" i="1"/>
  <c r="B1542" i="1"/>
  <c r="O1541" i="1"/>
  <c r="N1541" i="1"/>
  <c r="K1541" i="1"/>
  <c r="L1541" i="1" s="1"/>
  <c r="C1541" i="1"/>
  <c r="B1541" i="1"/>
  <c r="O1540" i="1"/>
  <c r="N1540" i="1"/>
  <c r="K1540" i="1"/>
  <c r="Q1540" i="1" s="1"/>
  <c r="C1540" i="1"/>
  <c r="B1540" i="1"/>
  <c r="O1539" i="1"/>
  <c r="N1539" i="1"/>
  <c r="W1539" i="1" s="1"/>
  <c r="K1539" i="1"/>
  <c r="C1539" i="1"/>
  <c r="B1539" i="1"/>
  <c r="O1538" i="1"/>
  <c r="N1538" i="1"/>
  <c r="K1538" i="1"/>
  <c r="L1538" i="1" s="1"/>
  <c r="C1538" i="1"/>
  <c r="B1538" i="1"/>
  <c r="O1537" i="1"/>
  <c r="N1537" i="1"/>
  <c r="K1537" i="1"/>
  <c r="C1537" i="1"/>
  <c r="B1537" i="1"/>
  <c r="O1536" i="1"/>
  <c r="N1536" i="1"/>
  <c r="K1536" i="1"/>
  <c r="C1536" i="1"/>
  <c r="B1536" i="1"/>
  <c r="O1535" i="1"/>
  <c r="N1535" i="1"/>
  <c r="K1535" i="1"/>
  <c r="C1535" i="1"/>
  <c r="B1535" i="1"/>
  <c r="O1534" i="1"/>
  <c r="N1534" i="1"/>
  <c r="K1534" i="1"/>
  <c r="C1534" i="1"/>
  <c r="B1534" i="1"/>
  <c r="O1533" i="1"/>
  <c r="N1533" i="1"/>
  <c r="K1533" i="1"/>
  <c r="L1533" i="1" s="1"/>
  <c r="C1533" i="1"/>
  <c r="B1533" i="1"/>
  <c r="O1532" i="1"/>
  <c r="N1532" i="1"/>
  <c r="K1532" i="1"/>
  <c r="Q1532" i="1" s="1"/>
  <c r="C1532" i="1"/>
  <c r="B1532" i="1"/>
  <c r="O1531" i="1"/>
  <c r="N1531" i="1"/>
  <c r="K1531" i="1"/>
  <c r="C1531" i="1"/>
  <c r="B1531" i="1"/>
  <c r="O1530" i="1"/>
  <c r="N1530" i="1"/>
  <c r="K1530" i="1"/>
  <c r="L1530" i="1" s="1"/>
  <c r="C1530" i="1"/>
  <c r="B1530" i="1"/>
  <c r="O1529" i="1"/>
  <c r="N1529" i="1"/>
  <c r="K1529" i="1"/>
  <c r="L1529" i="1" s="1"/>
  <c r="T1529" i="1" s="1"/>
  <c r="U1529" i="1" s="1"/>
  <c r="V1529" i="1" s="1"/>
  <c r="C1529" i="1"/>
  <c r="B1529" i="1"/>
  <c r="O1528" i="1"/>
  <c r="N1528" i="1"/>
  <c r="K1528" i="1"/>
  <c r="C1528" i="1"/>
  <c r="B1528" i="1"/>
  <c r="O1527" i="1"/>
  <c r="N1527" i="1"/>
  <c r="K1527" i="1"/>
  <c r="C1527" i="1"/>
  <c r="B1527" i="1"/>
  <c r="O1526" i="1"/>
  <c r="N1526" i="1"/>
  <c r="K1526" i="1"/>
  <c r="C1526" i="1"/>
  <c r="B1526" i="1"/>
  <c r="O1525" i="1"/>
  <c r="N1525" i="1"/>
  <c r="K1525" i="1"/>
  <c r="C1525" i="1"/>
  <c r="B1525" i="1"/>
  <c r="O1524" i="1"/>
  <c r="N1524" i="1"/>
  <c r="K1524" i="1"/>
  <c r="C1524" i="1"/>
  <c r="B1524" i="1"/>
  <c r="O1523" i="1"/>
  <c r="N1523" i="1"/>
  <c r="K1523" i="1"/>
  <c r="C1523" i="1"/>
  <c r="B1523" i="1"/>
  <c r="O1522" i="1"/>
  <c r="N1522" i="1"/>
  <c r="K1522" i="1"/>
  <c r="L1522" i="1" s="1"/>
  <c r="C1522" i="1"/>
  <c r="B1522" i="1"/>
  <c r="O1521" i="1"/>
  <c r="N1521" i="1"/>
  <c r="K1521" i="1"/>
  <c r="C1521" i="1"/>
  <c r="B1521" i="1"/>
  <c r="O1520" i="1"/>
  <c r="N1520" i="1"/>
  <c r="K1520" i="1"/>
  <c r="C1520" i="1"/>
  <c r="B1520" i="1"/>
  <c r="O1519" i="1"/>
  <c r="N1519" i="1"/>
  <c r="K1519" i="1"/>
  <c r="C1519" i="1"/>
  <c r="B1519" i="1"/>
  <c r="O1518" i="1"/>
  <c r="N1518" i="1"/>
  <c r="K1518" i="1"/>
  <c r="C1518" i="1"/>
  <c r="B1518" i="1"/>
  <c r="O1517" i="1"/>
  <c r="N1517" i="1"/>
  <c r="K1517" i="1"/>
  <c r="C1517" i="1"/>
  <c r="B1517" i="1"/>
  <c r="O1516" i="1"/>
  <c r="N1516" i="1"/>
  <c r="K1516" i="1"/>
  <c r="Q1516" i="1" s="1"/>
  <c r="C1516" i="1"/>
  <c r="B1516" i="1"/>
  <c r="D1516" i="1" s="1"/>
  <c r="O1515" i="1"/>
  <c r="N1515" i="1"/>
  <c r="K1515" i="1"/>
  <c r="C1515" i="1"/>
  <c r="B1515" i="1"/>
  <c r="O1514" i="1"/>
  <c r="N1514" i="1"/>
  <c r="K1514" i="1"/>
  <c r="L1514" i="1" s="1"/>
  <c r="C1514" i="1"/>
  <c r="B1514" i="1"/>
  <c r="O1513" i="1"/>
  <c r="N1513" i="1"/>
  <c r="K1513" i="1"/>
  <c r="C1513" i="1"/>
  <c r="B1513" i="1"/>
  <c r="O1512" i="1"/>
  <c r="N1512" i="1"/>
  <c r="K1512" i="1"/>
  <c r="C1512" i="1"/>
  <c r="B1512" i="1"/>
  <c r="O1511" i="1"/>
  <c r="N1511" i="1"/>
  <c r="K1511" i="1"/>
  <c r="C1511" i="1"/>
  <c r="B1511" i="1"/>
  <c r="O1510" i="1"/>
  <c r="N1510" i="1"/>
  <c r="K1510" i="1"/>
  <c r="C1510" i="1"/>
  <c r="B1510" i="1"/>
  <c r="O1509" i="1"/>
  <c r="N1509" i="1"/>
  <c r="K1509" i="1"/>
  <c r="C1509" i="1"/>
  <c r="B1509" i="1"/>
  <c r="O1508" i="1"/>
  <c r="N1508" i="1"/>
  <c r="K1508" i="1"/>
  <c r="Q1508" i="1" s="1"/>
  <c r="C1508" i="1"/>
  <c r="B1508" i="1"/>
  <c r="O1507" i="1"/>
  <c r="N1507" i="1"/>
  <c r="K1507" i="1"/>
  <c r="C1507" i="1"/>
  <c r="B1507" i="1"/>
  <c r="O1506" i="1"/>
  <c r="N1506" i="1"/>
  <c r="K1506" i="1"/>
  <c r="L1506" i="1" s="1"/>
  <c r="C1506" i="1"/>
  <c r="B1506" i="1"/>
  <c r="O1505" i="1"/>
  <c r="N1505" i="1"/>
  <c r="K1505" i="1"/>
  <c r="C1505" i="1"/>
  <c r="B1505" i="1"/>
  <c r="O1504" i="1"/>
  <c r="N1504" i="1"/>
  <c r="K1504" i="1"/>
  <c r="C1504" i="1"/>
  <c r="B1504" i="1"/>
  <c r="O1503" i="1"/>
  <c r="N1503" i="1"/>
  <c r="K1503" i="1"/>
  <c r="C1503" i="1"/>
  <c r="B1503" i="1"/>
  <c r="O1502" i="1"/>
  <c r="N1502" i="1"/>
  <c r="K1502" i="1"/>
  <c r="C1502" i="1"/>
  <c r="B1502" i="1"/>
  <c r="O1501" i="1"/>
  <c r="N1501" i="1"/>
  <c r="K1501" i="1"/>
  <c r="C1501" i="1"/>
  <c r="B1501" i="1"/>
  <c r="O1500" i="1"/>
  <c r="N1500" i="1"/>
  <c r="K1500" i="1"/>
  <c r="C1500" i="1"/>
  <c r="B1500" i="1"/>
  <c r="O1499" i="1"/>
  <c r="N1499" i="1"/>
  <c r="K1499" i="1"/>
  <c r="C1499" i="1"/>
  <c r="B1499" i="1"/>
  <c r="O1498" i="1"/>
  <c r="N1498" i="1"/>
  <c r="K1498" i="1"/>
  <c r="L1498" i="1" s="1"/>
  <c r="C1498" i="1"/>
  <c r="B1498" i="1"/>
  <c r="O1497" i="1"/>
  <c r="N1497" i="1"/>
  <c r="K1497" i="1"/>
  <c r="C1497" i="1"/>
  <c r="B1497" i="1"/>
  <c r="O1496" i="1"/>
  <c r="N1496" i="1"/>
  <c r="K1496" i="1"/>
  <c r="C1496" i="1"/>
  <c r="B1496" i="1"/>
  <c r="O1495" i="1"/>
  <c r="N1495" i="1"/>
  <c r="K1495" i="1"/>
  <c r="C1495" i="1"/>
  <c r="B1495" i="1"/>
  <c r="O1494" i="1"/>
  <c r="N1494" i="1"/>
  <c r="K1494" i="1"/>
  <c r="C1494" i="1"/>
  <c r="B1494" i="1"/>
  <c r="O1493" i="1"/>
  <c r="N1493" i="1"/>
  <c r="K1493" i="1"/>
  <c r="C1493" i="1"/>
  <c r="B1493" i="1"/>
  <c r="O1492" i="1"/>
  <c r="N1492" i="1"/>
  <c r="K1492" i="1"/>
  <c r="L1492" i="1" s="1"/>
  <c r="T1492" i="1" s="1"/>
  <c r="U1492" i="1" s="1"/>
  <c r="V1492" i="1" s="1"/>
  <c r="C1492" i="1"/>
  <c r="B1492" i="1"/>
  <c r="O1491" i="1"/>
  <c r="N1491" i="1"/>
  <c r="K1491" i="1"/>
  <c r="C1491" i="1"/>
  <c r="B1491" i="1"/>
  <c r="O1490" i="1"/>
  <c r="N1490" i="1"/>
  <c r="K1490" i="1"/>
  <c r="L1490" i="1" s="1"/>
  <c r="C1490" i="1"/>
  <c r="B1490" i="1"/>
  <c r="O1489" i="1"/>
  <c r="N1489" i="1"/>
  <c r="K1489" i="1"/>
  <c r="C1489" i="1"/>
  <c r="B1489" i="1"/>
  <c r="O1488" i="1"/>
  <c r="N1488" i="1"/>
  <c r="K1488" i="1"/>
  <c r="C1488" i="1"/>
  <c r="B1488" i="1"/>
  <c r="O1487" i="1"/>
  <c r="N1487" i="1"/>
  <c r="K1487" i="1"/>
  <c r="C1487" i="1"/>
  <c r="B1487" i="1"/>
  <c r="O1486" i="1"/>
  <c r="N1486" i="1"/>
  <c r="K1486" i="1"/>
  <c r="C1486" i="1"/>
  <c r="B1486" i="1"/>
  <c r="O1485" i="1"/>
  <c r="N1485" i="1"/>
  <c r="K1485" i="1"/>
  <c r="L1485" i="1" s="1"/>
  <c r="C1485" i="1"/>
  <c r="B1485" i="1"/>
  <c r="O1484" i="1"/>
  <c r="N1484" i="1"/>
  <c r="K1484" i="1"/>
  <c r="L1484" i="1" s="1"/>
  <c r="T1484" i="1" s="1"/>
  <c r="U1484" i="1" s="1"/>
  <c r="V1484" i="1" s="1"/>
  <c r="C1484" i="1"/>
  <c r="B1484" i="1"/>
  <c r="O1483" i="1"/>
  <c r="N1483" i="1"/>
  <c r="K1483" i="1"/>
  <c r="C1483" i="1"/>
  <c r="B1483" i="1"/>
  <c r="O1482" i="1"/>
  <c r="N1482" i="1"/>
  <c r="K1482" i="1"/>
  <c r="L1482" i="1" s="1"/>
  <c r="C1482" i="1"/>
  <c r="B1482" i="1"/>
  <c r="O1481" i="1"/>
  <c r="N1481" i="1"/>
  <c r="K1481" i="1"/>
  <c r="C1481" i="1"/>
  <c r="B1481" i="1"/>
  <c r="O1480" i="1"/>
  <c r="N1480" i="1"/>
  <c r="K1480" i="1"/>
  <c r="C1480" i="1"/>
  <c r="B1480" i="1"/>
  <c r="O1479" i="1"/>
  <c r="N1479" i="1"/>
  <c r="K1479" i="1"/>
  <c r="C1479" i="1"/>
  <c r="B1479" i="1"/>
  <c r="O1478" i="1"/>
  <c r="N1478" i="1"/>
  <c r="K1478" i="1"/>
  <c r="C1478" i="1"/>
  <c r="B1478" i="1"/>
  <c r="O1477" i="1"/>
  <c r="N1477" i="1"/>
  <c r="K1477" i="1"/>
  <c r="C1477" i="1"/>
  <c r="B1477" i="1"/>
  <c r="O1476" i="1"/>
  <c r="N1476" i="1"/>
  <c r="K1476" i="1"/>
  <c r="C1476" i="1"/>
  <c r="B1476" i="1"/>
  <c r="O1475" i="1"/>
  <c r="N1475" i="1"/>
  <c r="K1475" i="1"/>
  <c r="C1475" i="1"/>
  <c r="B1475" i="1"/>
  <c r="O1474" i="1"/>
  <c r="N1474" i="1"/>
  <c r="K1474" i="1"/>
  <c r="L1474" i="1" s="1"/>
  <c r="C1474" i="1"/>
  <c r="B1474" i="1"/>
  <c r="O1473" i="1"/>
  <c r="N1473" i="1"/>
  <c r="K1473" i="1"/>
  <c r="C1473" i="1"/>
  <c r="B1473" i="1"/>
  <c r="O1472" i="1"/>
  <c r="N1472" i="1"/>
  <c r="K1472" i="1"/>
  <c r="L1472" i="1" s="1"/>
  <c r="T1472" i="1" s="1"/>
  <c r="U1472" i="1" s="1"/>
  <c r="V1472" i="1" s="1"/>
  <c r="C1472" i="1"/>
  <c r="B1472" i="1"/>
  <c r="O1471" i="1"/>
  <c r="N1471" i="1"/>
  <c r="K1471" i="1"/>
  <c r="C1471" i="1"/>
  <c r="B1471" i="1"/>
  <c r="O1470" i="1"/>
  <c r="N1470" i="1"/>
  <c r="K1470" i="1"/>
  <c r="C1470" i="1"/>
  <c r="B1470" i="1"/>
  <c r="O1469" i="1"/>
  <c r="N1469" i="1"/>
  <c r="K1469" i="1"/>
  <c r="C1469" i="1"/>
  <c r="B1469" i="1"/>
  <c r="X1468" i="1"/>
  <c r="W1468" i="1"/>
  <c r="S1468" i="1"/>
  <c r="P1468" i="1" s="1"/>
  <c r="O1468" i="1"/>
  <c r="N1468" i="1"/>
  <c r="K1468" i="1"/>
  <c r="C1468" i="1"/>
  <c r="B1468" i="1"/>
  <c r="O1467" i="1"/>
  <c r="N1467" i="1"/>
  <c r="K1467" i="1"/>
  <c r="C1467" i="1"/>
  <c r="B1467" i="1"/>
  <c r="O1466" i="1"/>
  <c r="N1466" i="1"/>
  <c r="K1466" i="1"/>
  <c r="L1466" i="1" s="1"/>
  <c r="C1466" i="1"/>
  <c r="B1466" i="1"/>
  <c r="O1465" i="1"/>
  <c r="N1465" i="1"/>
  <c r="K1465" i="1"/>
  <c r="C1465" i="1"/>
  <c r="B1465" i="1"/>
  <c r="O1464" i="1"/>
  <c r="N1464" i="1"/>
  <c r="K1464" i="1"/>
  <c r="C1464" i="1"/>
  <c r="B1464" i="1"/>
  <c r="O1463" i="1"/>
  <c r="N1463" i="1"/>
  <c r="K1463" i="1"/>
  <c r="C1463" i="1"/>
  <c r="B1463" i="1"/>
  <c r="O1462" i="1"/>
  <c r="N1462" i="1"/>
  <c r="K1462" i="1"/>
  <c r="C1462" i="1"/>
  <c r="B1462" i="1"/>
  <c r="O1461" i="1"/>
  <c r="N1461" i="1"/>
  <c r="K1461" i="1"/>
  <c r="C1461" i="1"/>
  <c r="B1461" i="1"/>
  <c r="O1460" i="1"/>
  <c r="N1460" i="1"/>
  <c r="K1460" i="1"/>
  <c r="C1460" i="1"/>
  <c r="B1460" i="1"/>
  <c r="O1459" i="1"/>
  <c r="N1459" i="1"/>
  <c r="K1459" i="1"/>
  <c r="C1459" i="1"/>
  <c r="B1459" i="1"/>
  <c r="O1458" i="1"/>
  <c r="N1458" i="1"/>
  <c r="K1458" i="1"/>
  <c r="L1458" i="1" s="1"/>
  <c r="C1458" i="1"/>
  <c r="B1458" i="1"/>
  <c r="O1457" i="1"/>
  <c r="N1457" i="1"/>
  <c r="K1457" i="1"/>
  <c r="C1457" i="1"/>
  <c r="B1457" i="1"/>
  <c r="O1456" i="1"/>
  <c r="N1456" i="1"/>
  <c r="K1456" i="1"/>
  <c r="C1456" i="1"/>
  <c r="B1456" i="1"/>
  <c r="O1455" i="1"/>
  <c r="N1455" i="1"/>
  <c r="K1455" i="1"/>
  <c r="L1455" i="1" s="1"/>
  <c r="C1455" i="1"/>
  <c r="B1455" i="1"/>
  <c r="O1454" i="1"/>
  <c r="N1454" i="1"/>
  <c r="K1454" i="1"/>
  <c r="C1454" i="1"/>
  <c r="B1454" i="1"/>
  <c r="O1453" i="1"/>
  <c r="N1453" i="1"/>
  <c r="K1453" i="1"/>
  <c r="C1453" i="1"/>
  <c r="B1453" i="1"/>
  <c r="O1452" i="1"/>
  <c r="N1452" i="1"/>
  <c r="K1452" i="1"/>
  <c r="C1452" i="1"/>
  <c r="B1452" i="1"/>
  <c r="O1451" i="1"/>
  <c r="N1451" i="1"/>
  <c r="K1451" i="1"/>
  <c r="C1451" i="1"/>
  <c r="B1451" i="1"/>
  <c r="O1450" i="1"/>
  <c r="N1450" i="1"/>
  <c r="K1450" i="1"/>
  <c r="L1450" i="1" s="1"/>
  <c r="C1450" i="1"/>
  <c r="B1450" i="1"/>
  <c r="O1449" i="1"/>
  <c r="N1449" i="1"/>
  <c r="K1449" i="1"/>
  <c r="C1449" i="1"/>
  <c r="B1449" i="1"/>
  <c r="O1448" i="1"/>
  <c r="N1448" i="1"/>
  <c r="K1448" i="1"/>
  <c r="C1448" i="1"/>
  <c r="B1448" i="1"/>
  <c r="O1447" i="1"/>
  <c r="N1447" i="1"/>
  <c r="K1447" i="1"/>
  <c r="L1447" i="1" s="1"/>
  <c r="C1447" i="1"/>
  <c r="B1447" i="1"/>
  <c r="O1446" i="1"/>
  <c r="N1446" i="1"/>
  <c r="K1446" i="1"/>
  <c r="C1446" i="1"/>
  <c r="B1446" i="1"/>
  <c r="O1445" i="1"/>
  <c r="N1445" i="1"/>
  <c r="K1445" i="1"/>
  <c r="C1445" i="1"/>
  <c r="B1445" i="1"/>
  <c r="O1444" i="1"/>
  <c r="N1444" i="1"/>
  <c r="K1444" i="1"/>
  <c r="C1444" i="1"/>
  <c r="B1444" i="1"/>
  <c r="O1443" i="1"/>
  <c r="N1443" i="1"/>
  <c r="K1443" i="1"/>
  <c r="L1443" i="1" s="1"/>
  <c r="C1443" i="1"/>
  <c r="B1443" i="1"/>
  <c r="O1442" i="1"/>
  <c r="N1442" i="1"/>
  <c r="K1442" i="1"/>
  <c r="L1442" i="1" s="1"/>
  <c r="C1442" i="1"/>
  <c r="B1442" i="1"/>
  <c r="O1441" i="1"/>
  <c r="N1441" i="1"/>
  <c r="K1441" i="1"/>
  <c r="C1441" i="1"/>
  <c r="B1441" i="1"/>
  <c r="O1440" i="1"/>
  <c r="N1440" i="1"/>
  <c r="K1440" i="1"/>
  <c r="C1440" i="1"/>
  <c r="B1440" i="1"/>
  <c r="O1439" i="1"/>
  <c r="N1439" i="1"/>
  <c r="K1439" i="1"/>
  <c r="C1439" i="1"/>
  <c r="B1439" i="1"/>
  <c r="O1438" i="1"/>
  <c r="N1438" i="1"/>
  <c r="K1438" i="1"/>
  <c r="C1438" i="1"/>
  <c r="B1438" i="1"/>
  <c r="O1437" i="1"/>
  <c r="N1437" i="1"/>
  <c r="K1437" i="1"/>
  <c r="C1437" i="1"/>
  <c r="B1437" i="1"/>
  <c r="O1436" i="1"/>
  <c r="N1436" i="1"/>
  <c r="K1436" i="1"/>
  <c r="C1436" i="1"/>
  <c r="B1436" i="1"/>
  <c r="O1435" i="1"/>
  <c r="N1435" i="1"/>
  <c r="K1435" i="1"/>
  <c r="L1435" i="1" s="1"/>
  <c r="C1435" i="1"/>
  <c r="B1435" i="1"/>
  <c r="O1434" i="1"/>
  <c r="N1434" i="1"/>
  <c r="K1434" i="1"/>
  <c r="C1434" i="1"/>
  <c r="B1434" i="1"/>
  <c r="O1433" i="1"/>
  <c r="N1433" i="1"/>
  <c r="K1433" i="1"/>
  <c r="C1433" i="1"/>
  <c r="B1433" i="1"/>
  <c r="O1432" i="1"/>
  <c r="N1432" i="1"/>
  <c r="K1432" i="1"/>
  <c r="C1432" i="1"/>
  <c r="B1432" i="1"/>
  <c r="O1431" i="1"/>
  <c r="N1431" i="1"/>
  <c r="K1431" i="1"/>
  <c r="C1431" i="1"/>
  <c r="B1431" i="1"/>
  <c r="O1430" i="1"/>
  <c r="N1430" i="1"/>
  <c r="K1430" i="1"/>
  <c r="C1430" i="1"/>
  <c r="B1430" i="1"/>
  <c r="O1429" i="1"/>
  <c r="N1429" i="1"/>
  <c r="K1429" i="1"/>
  <c r="L1429" i="1" s="1"/>
  <c r="C1429" i="1"/>
  <c r="B1429" i="1"/>
  <c r="O1428" i="1"/>
  <c r="N1428" i="1"/>
  <c r="K1428" i="1"/>
  <c r="C1428" i="1"/>
  <c r="B1428" i="1"/>
  <c r="O1427" i="1"/>
  <c r="N1427" i="1"/>
  <c r="K1427" i="1"/>
  <c r="L1427" i="1" s="1"/>
  <c r="C1427" i="1"/>
  <c r="B1427" i="1"/>
  <c r="O1426" i="1"/>
  <c r="N1426" i="1"/>
  <c r="K1426" i="1"/>
  <c r="C1426" i="1"/>
  <c r="B1426" i="1"/>
  <c r="O1425" i="1"/>
  <c r="N1425" i="1"/>
  <c r="K1425" i="1"/>
  <c r="C1425" i="1"/>
  <c r="B1425" i="1"/>
  <c r="O1424" i="1"/>
  <c r="N1424" i="1"/>
  <c r="K1424" i="1"/>
  <c r="C1424" i="1"/>
  <c r="B1424" i="1"/>
  <c r="O1423" i="1"/>
  <c r="N1423" i="1"/>
  <c r="K1423" i="1"/>
  <c r="C1423" i="1"/>
  <c r="B1423" i="1"/>
  <c r="O1422" i="1"/>
  <c r="N1422" i="1"/>
  <c r="K1422" i="1"/>
  <c r="C1422" i="1"/>
  <c r="B1422" i="1"/>
  <c r="O1421" i="1"/>
  <c r="N1421" i="1"/>
  <c r="K1421" i="1"/>
  <c r="C1421" i="1"/>
  <c r="B1421" i="1"/>
  <c r="O1420" i="1"/>
  <c r="N1420" i="1"/>
  <c r="K1420" i="1"/>
  <c r="C1420" i="1"/>
  <c r="B1420" i="1"/>
  <c r="O1419" i="1"/>
  <c r="N1419" i="1"/>
  <c r="K1419" i="1"/>
  <c r="L1419" i="1" s="1"/>
  <c r="C1419" i="1"/>
  <c r="B1419" i="1"/>
  <c r="O1418" i="1"/>
  <c r="N1418" i="1"/>
  <c r="K1418" i="1"/>
  <c r="C1418" i="1"/>
  <c r="B1418" i="1"/>
  <c r="O1417" i="1"/>
  <c r="N1417" i="1"/>
  <c r="K1417" i="1"/>
  <c r="C1417" i="1"/>
  <c r="B1417" i="1"/>
  <c r="O1416" i="1"/>
  <c r="N1416" i="1"/>
  <c r="K1416" i="1"/>
  <c r="C1416" i="1"/>
  <c r="B1416" i="1"/>
  <c r="O1415" i="1"/>
  <c r="N1415" i="1"/>
  <c r="K1415" i="1"/>
  <c r="L1415" i="1" s="1"/>
  <c r="C1415" i="1"/>
  <c r="B1415" i="1"/>
  <c r="O1414" i="1"/>
  <c r="N1414" i="1"/>
  <c r="K1414" i="1"/>
  <c r="C1414" i="1"/>
  <c r="B1414" i="1"/>
  <c r="O1413" i="1"/>
  <c r="N1413" i="1"/>
  <c r="K1413" i="1"/>
  <c r="C1413" i="1"/>
  <c r="B1413" i="1"/>
  <c r="O1412" i="1"/>
  <c r="N1412" i="1"/>
  <c r="K1412" i="1"/>
  <c r="C1412" i="1"/>
  <c r="B1412" i="1"/>
  <c r="O1411" i="1"/>
  <c r="N1411" i="1"/>
  <c r="K1411" i="1"/>
  <c r="C1411" i="1"/>
  <c r="B1411" i="1"/>
  <c r="O1410" i="1"/>
  <c r="N1410" i="1"/>
  <c r="K1410" i="1"/>
  <c r="C1410" i="1"/>
  <c r="B1410" i="1"/>
  <c r="O1409" i="1"/>
  <c r="N1409" i="1"/>
  <c r="K1409" i="1"/>
  <c r="C1409" i="1"/>
  <c r="B1409" i="1"/>
  <c r="O1408" i="1"/>
  <c r="N1408" i="1"/>
  <c r="K1408" i="1"/>
  <c r="C1408" i="1"/>
  <c r="B1408" i="1"/>
  <c r="D1408" i="1" s="1"/>
  <c r="O1407" i="1"/>
  <c r="N1407" i="1"/>
  <c r="K1407" i="1"/>
  <c r="C1407" i="1"/>
  <c r="B1407" i="1"/>
  <c r="O1406" i="1"/>
  <c r="N1406" i="1"/>
  <c r="K1406" i="1"/>
  <c r="Q1406" i="1" s="1"/>
  <c r="C1406" i="1"/>
  <c r="B1406" i="1"/>
  <c r="O1405" i="1"/>
  <c r="N1405" i="1"/>
  <c r="K1405" i="1"/>
  <c r="C1405" i="1"/>
  <c r="B1405" i="1"/>
  <c r="O1404" i="1"/>
  <c r="N1404" i="1"/>
  <c r="K1404" i="1"/>
  <c r="C1404" i="1"/>
  <c r="B1404" i="1"/>
  <c r="O1403" i="1"/>
  <c r="N1403" i="1"/>
  <c r="K1403" i="1"/>
  <c r="C1403" i="1"/>
  <c r="B1403" i="1"/>
  <c r="O1402" i="1"/>
  <c r="N1402" i="1"/>
  <c r="K1402" i="1"/>
  <c r="L1402" i="1" s="1"/>
  <c r="C1402" i="1"/>
  <c r="B1402" i="1"/>
  <c r="O1401" i="1"/>
  <c r="N1401" i="1"/>
  <c r="K1401" i="1"/>
  <c r="C1401" i="1"/>
  <c r="B1401" i="1"/>
  <c r="O1400" i="1"/>
  <c r="N1400" i="1"/>
  <c r="K1400" i="1"/>
  <c r="C1400" i="1"/>
  <c r="B1400" i="1"/>
  <c r="O1399" i="1"/>
  <c r="N1399" i="1"/>
  <c r="K1399" i="1"/>
  <c r="L1399" i="1" s="1"/>
  <c r="C1399" i="1"/>
  <c r="B1399" i="1"/>
  <c r="O1398" i="1"/>
  <c r="N1398" i="1"/>
  <c r="K1398" i="1"/>
  <c r="C1398" i="1"/>
  <c r="B1398" i="1"/>
  <c r="O1397" i="1"/>
  <c r="N1397" i="1"/>
  <c r="K1397" i="1"/>
  <c r="L1397" i="1" s="1"/>
  <c r="C1397" i="1"/>
  <c r="B1397" i="1"/>
  <c r="O1396" i="1"/>
  <c r="N1396" i="1"/>
  <c r="K1396" i="1"/>
  <c r="C1396" i="1"/>
  <c r="B1396" i="1"/>
  <c r="O1395" i="1"/>
  <c r="N1395" i="1"/>
  <c r="K1395" i="1"/>
  <c r="C1395" i="1"/>
  <c r="B1395" i="1"/>
  <c r="O1394" i="1"/>
  <c r="N1394" i="1"/>
  <c r="K1394" i="1"/>
  <c r="L1394" i="1" s="1"/>
  <c r="C1394" i="1"/>
  <c r="B1394" i="1"/>
  <c r="O1393" i="1"/>
  <c r="N1393" i="1"/>
  <c r="K1393" i="1"/>
  <c r="C1393" i="1"/>
  <c r="B1393" i="1"/>
  <c r="O1392" i="1"/>
  <c r="N1392" i="1"/>
  <c r="K1392" i="1"/>
  <c r="C1392" i="1"/>
  <c r="B1392" i="1"/>
  <c r="O1391" i="1"/>
  <c r="N1391" i="1"/>
  <c r="K1391" i="1"/>
  <c r="L1391" i="1" s="1"/>
  <c r="C1391" i="1"/>
  <c r="B1391" i="1"/>
  <c r="O1390" i="1"/>
  <c r="N1390" i="1"/>
  <c r="K1390" i="1"/>
  <c r="C1390" i="1"/>
  <c r="B1390" i="1"/>
  <c r="O1389" i="1"/>
  <c r="N1389" i="1"/>
  <c r="K1389" i="1"/>
  <c r="C1389" i="1"/>
  <c r="B1389" i="1"/>
  <c r="O1388" i="1"/>
  <c r="N1388" i="1"/>
  <c r="K1388" i="1"/>
  <c r="C1388" i="1"/>
  <c r="B1388" i="1"/>
  <c r="O1387" i="1"/>
  <c r="N1387" i="1"/>
  <c r="K1387" i="1"/>
  <c r="C1387" i="1"/>
  <c r="B1387" i="1"/>
  <c r="O1386" i="1"/>
  <c r="N1386" i="1"/>
  <c r="K1386" i="1"/>
  <c r="C1386" i="1"/>
  <c r="B1386" i="1"/>
  <c r="O1385" i="1"/>
  <c r="N1385" i="1"/>
  <c r="K1385" i="1"/>
  <c r="C1385" i="1"/>
  <c r="B1385" i="1"/>
  <c r="O1384" i="1"/>
  <c r="N1384" i="1"/>
  <c r="K1384" i="1"/>
  <c r="C1384" i="1"/>
  <c r="B1384" i="1"/>
  <c r="O1383" i="1"/>
  <c r="N1383" i="1"/>
  <c r="K1383" i="1"/>
  <c r="L1383" i="1" s="1"/>
  <c r="C1383" i="1"/>
  <c r="B1383" i="1"/>
  <c r="O1382" i="1"/>
  <c r="N1382" i="1"/>
  <c r="K1382" i="1"/>
  <c r="C1382" i="1"/>
  <c r="B1382" i="1"/>
  <c r="O1381" i="1"/>
  <c r="N1381" i="1"/>
  <c r="K1381" i="1"/>
  <c r="C1381" i="1"/>
  <c r="B1381" i="1"/>
  <c r="O1380" i="1"/>
  <c r="N1380" i="1"/>
  <c r="K1380" i="1"/>
  <c r="C1380" i="1"/>
  <c r="B1380" i="1"/>
  <c r="O1379" i="1"/>
  <c r="N1379" i="1"/>
  <c r="K1379" i="1"/>
  <c r="C1379" i="1"/>
  <c r="B1379" i="1"/>
  <c r="O1378" i="1"/>
  <c r="N1378" i="1"/>
  <c r="K1378" i="1"/>
  <c r="C1378" i="1"/>
  <c r="B1378" i="1"/>
  <c r="O1377" i="1"/>
  <c r="N1377" i="1"/>
  <c r="W1377" i="1" s="1"/>
  <c r="K1377" i="1"/>
  <c r="C1377" i="1"/>
  <c r="B1377" i="1"/>
  <c r="X1376" i="1"/>
  <c r="W1376" i="1"/>
  <c r="S1376" i="1"/>
  <c r="P1376" i="1" s="1"/>
  <c r="O1376" i="1"/>
  <c r="N1376" i="1"/>
  <c r="K1376" i="1"/>
  <c r="C1376" i="1"/>
  <c r="B1376" i="1"/>
  <c r="O1375" i="1"/>
  <c r="N1375" i="1"/>
  <c r="K1375" i="1"/>
  <c r="L1375" i="1" s="1"/>
  <c r="C1375" i="1"/>
  <c r="B1375" i="1"/>
  <c r="D1375" i="1" s="1"/>
  <c r="O1374" i="1"/>
  <c r="N1374" i="1"/>
  <c r="K1374" i="1"/>
  <c r="Q1374" i="1" s="1"/>
  <c r="C1374" i="1"/>
  <c r="B1374" i="1"/>
  <c r="O1373" i="1"/>
  <c r="N1373" i="1"/>
  <c r="K1373" i="1"/>
  <c r="C1373" i="1"/>
  <c r="B1373" i="1"/>
  <c r="O1372" i="1"/>
  <c r="N1372" i="1"/>
  <c r="K1372" i="1"/>
  <c r="C1372" i="1"/>
  <c r="B1372" i="1"/>
  <c r="O1371" i="1"/>
  <c r="N1371" i="1"/>
  <c r="K1371" i="1"/>
  <c r="C1371" i="1"/>
  <c r="B1371" i="1"/>
  <c r="O1370" i="1"/>
  <c r="N1370" i="1"/>
  <c r="K1370" i="1"/>
  <c r="C1370" i="1"/>
  <c r="B1370" i="1"/>
  <c r="O1369" i="1"/>
  <c r="N1369" i="1"/>
  <c r="K1369" i="1"/>
  <c r="C1369" i="1"/>
  <c r="B1369" i="1"/>
  <c r="O1368" i="1"/>
  <c r="N1368" i="1"/>
  <c r="K1368" i="1"/>
  <c r="C1368" i="1"/>
  <c r="B1368" i="1"/>
  <c r="O1367" i="1"/>
  <c r="N1367" i="1"/>
  <c r="K1367" i="1"/>
  <c r="C1367" i="1"/>
  <c r="B1367" i="1"/>
  <c r="O1366" i="1"/>
  <c r="N1366" i="1"/>
  <c r="K1366" i="1"/>
  <c r="C1366" i="1"/>
  <c r="B1366" i="1"/>
  <c r="O1365" i="1"/>
  <c r="N1365" i="1"/>
  <c r="K1365" i="1"/>
  <c r="C1365" i="1"/>
  <c r="B1365" i="1"/>
  <c r="O1364" i="1"/>
  <c r="N1364" i="1"/>
  <c r="K1364" i="1"/>
  <c r="C1364" i="1"/>
  <c r="B1364" i="1"/>
  <c r="O1363" i="1"/>
  <c r="N1363" i="1"/>
  <c r="K1363" i="1"/>
  <c r="C1363" i="1"/>
  <c r="B1363" i="1"/>
  <c r="O1362" i="1"/>
  <c r="N1362" i="1"/>
  <c r="K1362" i="1"/>
  <c r="C1362" i="1"/>
  <c r="B1362" i="1"/>
  <c r="O1361" i="1"/>
  <c r="N1361" i="1"/>
  <c r="K1361" i="1"/>
  <c r="L1361" i="1" s="1"/>
  <c r="C1361" i="1"/>
  <c r="B1361" i="1"/>
  <c r="O1360" i="1"/>
  <c r="N1360" i="1"/>
  <c r="K1360" i="1"/>
  <c r="C1360" i="1"/>
  <c r="B1360" i="1"/>
  <c r="O1359" i="1"/>
  <c r="N1359" i="1"/>
  <c r="K1359" i="1"/>
  <c r="C1359" i="1"/>
  <c r="B1359" i="1"/>
  <c r="O1358" i="1"/>
  <c r="N1358" i="1"/>
  <c r="K1358" i="1"/>
  <c r="Q1358" i="1" s="1"/>
  <c r="C1358" i="1"/>
  <c r="B1358" i="1"/>
  <c r="O1357" i="1"/>
  <c r="N1357" i="1"/>
  <c r="K1357" i="1"/>
  <c r="C1357" i="1"/>
  <c r="B1357" i="1"/>
  <c r="O1356" i="1"/>
  <c r="N1356" i="1"/>
  <c r="K1356" i="1"/>
  <c r="C1356" i="1"/>
  <c r="B1356" i="1"/>
  <c r="O1355" i="1"/>
  <c r="N1355" i="1"/>
  <c r="K1355" i="1"/>
  <c r="C1355" i="1"/>
  <c r="B1355" i="1"/>
  <c r="O1354" i="1"/>
  <c r="N1354" i="1"/>
  <c r="K1354" i="1"/>
  <c r="C1354" i="1"/>
  <c r="B1354" i="1"/>
  <c r="O1353" i="1"/>
  <c r="N1353" i="1"/>
  <c r="K1353" i="1"/>
  <c r="L1353" i="1" s="1"/>
  <c r="C1353" i="1"/>
  <c r="B1353" i="1"/>
  <c r="O1352" i="1"/>
  <c r="N1352" i="1"/>
  <c r="K1352" i="1"/>
  <c r="C1352" i="1"/>
  <c r="B1352" i="1"/>
  <c r="O1351" i="1"/>
  <c r="N1351" i="1"/>
  <c r="K1351" i="1"/>
  <c r="L1351" i="1" s="1"/>
  <c r="C1351" i="1"/>
  <c r="B1351" i="1"/>
  <c r="O1350" i="1"/>
  <c r="N1350" i="1"/>
  <c r="K1350" i="1"/>
  <c r="C1350" i="1"/>
  <c r="B1350" i="1"/>
  <c r="O1349" i="1"/>
  <c r="N1349" i="1"/>
  <c r="K1349" i="1"/>
  <c r="C1349" i="1"/>
  <c r="B1349" i="1"/>
  <c r="O1348" i="1"/>
  <c r="N1348" i="1"/>
  <c r="K1348" i="1"/>
  <c r="C1348" i="1"/>
  <c r="B1348" i="1"/>
  <c r="O1347" i="1"/>
  <c r="N1347" i="1"/>
  <c r="K1347" i="1"/>
  <c r="C1347" i="1"/>
  <c r="B1347" i="1"/>
  <c r="O1346" i="1"/>
  <c r="N1346" i="1"/>
  <c r="K1346" i="1"/>
  <c r="L1346" i="1" s="1"/>
  <c r="C1346" i="1"/>
  <c r="B1346" i="1"/>
  <c r="O1345" i="1"/>
  <c r="N1345" i="1"/>
  <c r="K1345" i="1"/>
  <c r="C1345" i="1"/>
  <c r="B1345" i="1"/>
  <c r="O1344" i="1"/>
  <c r="N1344" i="1"/>
  <c r="K1344" i="1"/>
  <c r="C1344" i="1"/>
  <c r="B1344" i="1"/>
  <c r="O1343" i="1"/>
  <c r="N1343" i="1"/>
  <c r="K1343" i="1"/>
  <c r="L1343" i="1" s="1"/>
  <c r="C1343" i="1"/>
  <c r="B1343" i="1"/>
  <c r="O1342" i="1"/>
  <c r="N1342" i="1"/>
  <c r="K1342" i="1"/>
  <c r="C1342" i="1"/>
  <c r="B1342" i="1"/>
  <c r="O1341" i="1"/>
  <c r="N1341" i="1"/>
  <c r="K1341" i="1"/>
  <c r="C1341" i="1"/>
  <c r="B1341" i="1"/>
  <c r="O1340" i="1"/>
  <c r="N1340" i="1"/>
  <c r="K1340" i="1"/>
  <c r="C1340" i="1"/>
  <c r="B1340" i="1"/>
  <c r="O1339" i="1"/>
  <c r="N1339" i="1"/>
  <c r="K1339" i="1"/>
  <c r="C1339" i="1"/>
  <c r="B1339" i="1"/>
  <c r="O1338" i="1"/>
  <c r="N1338" i="1"/>
  <c r="K1338" i="1"/>
  <c r="L1338" i="1" s="1"/>
  <c r="C1338" i="1"/>
  <c r="B1338" i="1"/>
  <c r="O1337" i="1"/>
  <c r="N1337" i="1"/>
  <c r="K1337" i="1"/>
  <c r="C1337" i="1"/>
  <c r="B1337" i="1"/>
  <c r="O1336" i="1"/>
  <c r="N1336" i="1"/>
  <c r="X1336" i="1" s="1"/>
  <c r="K1336" i="1"/>
  <c r="C1336" i="1"/>
  <c r="B1336" i="1"/>
  <c r="O1335" i="1"/>
  <c r="N1335" i="1"/>
  <c r="K1335" i="1"/>
  <c r="L1335" i="1" s="1"/>
  <c r="C1335" i="1"/>
  <c r="B1335" i="1"/>
  <c r="O1334" i="1"/>
  <c r="N1334" i="1"/>
  <c r="K1334" i="1"/>
  <c r="C1334" i="1"/>
  <c r="B1334" i="1"/>
  <c r="O1333" i="1"/>
  <c r="N1333" i="1"/>
  <c r="K1333" i="1"/>
  <c r="C1333" i="1"/>
  <c r="B1333" i="1"/>
  <c r="O1332" i="1"/>
  <c r="N1332" i="1"/>
  <c r="K1332" i="1"/>
  <c r="C1332" i="1"/>
  <c r="B1332" i="1"/>
  <c r="O1331" i="1"/>
  <c r="N1331" i="1"/>
  <c r="K1331" i="1"/>
  <c r="C1331" i="1"/>
  <c r="B1331" i="1"/>
  <c r="O1330" i="1"/>
  <c r="N1330" i="1"/>
  <c r="K1330" i="1"/>
  <c r="L1330" i="1" s="1"/>
  <c r="C1330" i="1"/>
  <c r="B1330" i="1"/>
  <c r="O1329" i="1"/>
  <c r="N1329" i="1"/>
  <c r="K1329" i="1"/>
  <c r="L1329" i="1" s="1"/>
  <c r="C1329" i="1"/>
  <c r="B1329" i="1"/>
  <c r="O1328" i="1"/>
  <c r="N1328" i="1"/>
  <c r="K1328" i="1"/>
  <c r="C1328" i="1"/>
  <c r="B1328" i="1"/>
  <c r="O1327" i="1"/>
  <c r="N1327" i="1"/>
  <c r="K1327" i="1"/>
  <c r="L1327" i="1" s="1"/>
  <c r="C1327" i="1"/>
  <c r="B1327" i="1"/>
  <c r="O1326" i="1"/>
  <c r="N1326" i="1"/>
  <c r="K1326" i="1"/>
  <c r="C1326" i="1"/>
  <c r="B1326" i="1"/>
  <c r="O1325" i="1"/>
  <c r="N1325" i="1"/>
  <c r="K1325" i="1"/>
  <c r="C1325" i="1"/>
  <c r="B1325" i="1"/>
  <c r="O1324" i="1"/>
  <c r="N1324" i="1"/>
  <c r="K1324" i="1"/>
  <c r="C1324" i="1"/>
  <c r="B1324" i="1"/>
  <c r="O1323" i="1"/>
  <c r="N1323" i="1"/>
  <c r="K1323" i="1"/>
  <c r="L1323" i="1" s="1"/>
  <c r="R1323" i="1" s="1"/>
  <c r="C1323" i="1"/>
  <c r="B1323" i="1"/>
  <c r="O1322" i="1"/>
  <c r="N1322" i="1"/>
  <c r="K1322" i="1"/>
  <c r="L1322" i="1" s="1"/>
  <c r="C1322" i="1"/>
  <c r="B1322" i="1"/>
  <c r="O1321" i="1"/>
  <c r="N1321" i="1"/>
  <c r="K1321" i="1"/>
  <c r="L1321" i="1" s="1"/>
  <c r="C1321" i="1"/>
  <c r="B1321" i="1"/>
  <c r="O1320" i="1"/>
  <c r="N1320" i="1"/>
  <c r="K1320" i="1"/>
  <c r="C1320" i="1"/>
  <c r="B1320" i="1"/>
  <c r="O1319" i="1"/>
  <c r="N1319" i="1"/>
  <c r="K1319" i="1"/>
  <c r="L1319" i="1" s="1"/>
  <c r="C1319" i="1"/>
  <c r="B1319" i="1"/>
  <c r="O1318" i="1"/>
  <c r="N1318" i="1"/>
  <c r="K1318" i="1"/>
  <c r="C1318" i="1"/>
  <c r="B1318" i="1"/>
  <c r="O1317" i="1"/>
  <c r="N1317" i="1"/>
  <c r="K1317" i="1"/>
  <c r="C1317" i="1"/>
  <c r="B1317" i="1"/>
  <c r="O1316" i="1"/>
  <c r="N1316" i="1"/>
  <c r="K1316" i="1"/>
  <c r="C1316" i="1"/>
  <c r="B1316" i="1"/>
  <c r="O1315" i="1"/>
  <c r="N1315" i="1"/>
  <c r="K1315" i="1"/>
  <c r="L1315" i="1" s="1"/>
  <c r="R1315" i="1" s="1"/>
  <c r="C1315" i="1"/>
  <c r="B1315" i="1"/>
  <c r="O1314" i="1"/>
  <c r="N1314" i="1"/>
  <c r="K1314" i="1"/>
  <c r="L1314" i="1" s="1"/>
  <c r="C1314" i="1"/>
  <c r="B1314" i="1"/>
  <c r="O1313" i="1"/>
  <c r="N1313" i="1"/>
  <c r="K1313" i="1"/>
  <c r="L1313" i="1" s="1"/>
  <c r="C1313" i="1"/>
  <c r="B1313" i="1"/>
  <c r="O1312" i="1"/>
  <c r="N1312" i="1"/>
  <c r="K1312" i="1"/>
  <c r="C1312" i="1"/>
  <c r="B1312" i="1"/>
  <c r="O1311" i="1"/>
  <c r="N1311" i="1"/>
  <c r="K1311" i="1"/>
  <c r="L1311" i="1" s="1"/>
  <c r="C1311" i="1"/>
  <c r="B1311" i="1"/>
  <c r="O1310" i="1"/>
  <c r="N1310" i="1"/>
  <c r="K1310" i="1"/>
  <c r="C1310" i="1"/>
  <c r="B1310" i="1"/>
  <c r="O1309" i="1"/>
  <c r="N1309" i="1"/>
  <c r="K1309" i="1"/>
  <c r="C1309" i="1"/>
  <c r="B1309" i="1"/>
  <c r="O1308" i="1"/>
  <c r="N1308" i="1"/>
  <c r="K1308" i="1"/>
  <c r="C1308" i="1"/>
  <c r="B1308" i="1"/>
  <c r="O1307" i="1"/>
  <c r="N1307" i="1"/>
  <c r="K1307" i="1"/>
  <c r="L1307" i="1" s="1"/>
  <c r="T1307" i="1" s="1"/>
  <c r="U1307" i="1" s="1"/>
  <c r="V1307" i="1" s="1"/>
  <c r="C1307" i="1"/>
  <c r="B1307" i="1"/>
  <c r="O1306" i="1"/>
  <c r="N1306" i="1"/>
  <c r="K1306" i="1"/>
  <c r="L1306" i="1" s="1"/>
  <c r="C1306" i="1"/>
  <c r="B1306" i="1"/>
  <c r="O1305" i="1"/>
  <c r="N1305" i="1"/>
  <c r="K1305" i="1"/>
  <c r="L1305" i="1" s="1"/>
  <c r="C1305" i="1"/>
  <c r="B1305" i="1"/>
  <c r="O1304" i="1"/>
  <c r="N1304" i="1"/>
  <c r="K1304" i="1"/>
  <c r="C1304" i="1"/>
  <c r="B1304" i="1"/>
  <c r="O1303" i="1"/>
  <c r="N1303" i="1"/>
  <c r="K1303" i="1"/>
  <c r="L1303" i="1" s="1"/>
  <c r="C1303" i="1"/>
  <c r="B1303" i="1"/>
  <c r="O1302" i="1"/>
  <c r="N1302" i="1"/>
  <c r="K1302" i="1"/>
  <c r="C1302" i="1"/>
  <c r="B1302" i="1"/>
  <c r="O1301" i="1"/>
  <c r="N1301" i="1"/>
  <c r="K1301" i="1"/>
  <c r="C1301" i="1"/>
  <c r="B1301" i="1"/>
  <c r="O1300" i="1"/>
  <c r="N1300" i="1"/>
  <c r="K1300" i="1"/>
  <c r="C1300" i="1"/>
  <c r="B1300" i="1"/>
  <c r="O1299" i="1"/>
  <c r="N1299" i="1"/>
  <c r="K1299" i="1"/>
  <c r="L1299" i="1" s="1"/>
  <c r="R1299" i="1" s="1"/>
  <c r="C1299" i="1"/>
  <c r="B1299" i="1"/>
  <c r="O1298" i="1"/>
  <c r="N1298" i="1"/>
  <c r="K1298" i="1"/>
  <c r="L1298" i="1" s="1"/>
  <c r="C1298" i="1"/>
  <c r="B1298" i="1"/>
  <c r="D1298" i="1" s="1"/>
  <c r="O1297" i="1"/>
  <c r="N1297" i="1"/>
  <c r="K1297" i="1"/>
  <c r="C1297" i="1"/>
  <c r="B1297" i="1"/>
  <c r="O1296" i="1"/>
  <c r="N1296" i="1"/>
  <c r="K1296" i="1"/>
  <c r="C1296" i="1"/>
  <c r="B1296" i="1"/>
  <c r="O1295" i="1"/>
  <c r="N1295" i="1"/>
  <c r="K1295" i="1"/>
  <c r="L1295" i="1" s="1"/>
  <c r="C1295" i="1"/>
  <c r="B1295" i="1"/>
  <c r="O1294" i="1"/>
  <c r="N1294" i="1"/>
  <c r="K1294" i="1"/>
  <c r="C1294" i="1"/>
  <c r="B1294" i="1"/>
  <c r="O1293" i="1"/>
  <c r="N1293" i="1"/>
  <c r="K1293" i="1"/>
  <c r="C1293" i="1"/>
  <c r="B1293" i="1"/>
  <c r="O1292" i="1"/>
  <c r="N1292" i="1"/>
  <c r="K1292" i="1"/>
  <c r="C1292" i="1"/>
  <c r="B1292" i="1"/>
  <c r="O1291" i="1"/>
  <c r="N1291" i="1"/>
  <c r="K1291" i="1"/>
  <c r="C1291" i="1"/>
  <c r="B1291" i="1"/>
  <c r="O1290" i="1"/>
  <c r="N1290" i="1"/>
  <c r="K1290" i="1"/>
  <c r="L1290" i="1" s="1"/>
  <c r="C1290" i="1"/>
  <c r="B1290" i="1"/>
  <c r="O1289" i="1"/>
  <c r="N1289" i="1"/>
  <c r="K1289" i="1"/>
  <c r="C1289" i="1"/>
  <c r="B1289" i="1"/>
  <c r="O1288" i="1"/>
  <c r="N1288" i="1"/>
  <c r="K1288" i="1"/>
  <c r="C1288" i="1"/>
  <c r="B1288" i="1"/>
  <c r="O1287" i="1"/>
  <c r="N1287" i="1"/>
  <c r="K1287" i="1"/>
  <c r="L1287" i="1" s="1"/>
  <c r="C1287" i="1"/>
  <c r="B1287" i="1"/>
  <c r="O1286" i="1"/>
  <c r="N1286" i="1"/>
  <c r="K1286" i="1"/>
  <c r="C1286" i="1"/>
  <c r="B1286" i="1"/>
  <c r="X1285" i="1"/>
  <c r="W1285" i="1"/>
  <c r="S1285" i="1"/>
  <c r="P1285" i="1" s="1"/>
  <c r="O1285" i="1"/>
  <c r="N1285" i="1"/>
  <c r="K1285" i="1"/>
  <c r="C1285" i="1"/>
  <c r="B1285" i="1"/>
  <c r="O1284" i="1"/>
  <c r="N1284" i="1"/>
  <c r="K1284" i="1"/>
  <c r="C1284" i="1"/>
  <c r="B1284" i="1"/>
  <c r="O1283" i="1"/>
  <c r="N1283" i="1"/>
  <c r="K1283" i="1"/>
  <c r="L1283" i="1" s="1"/>
  <c r="R1283" i="1" s="1"/>
  <c r="C1283" i="1"/>
  <c r="B1283" i="1"/>
  <c r="O1282" i="1"/>
  <c r="N1282" i="1"/>
  <c r="K1282" i="1"/>
  <c r="L1282" i="1" s="1"/>
  <c r="C1282" i="1"/>
  <c r="B1282" i="1"/>
  <c r="O1281" i="1"/>
  <c r="N1281" i="1"/>
  <c r="K1281" i="1"/>
  <c r="C1281" i="1"/>
  <c r="B1281" i="1"/>
  <c r="O1280" i="1"/>
  <c r="N1280" i="1"/>
  <c r="K1280" i="1"/>
  <c r="C1280" i="1"/>
  <c r="B1280" i="1"/>
  <c r="O1279" i="1"/>
  <c r="N1279" i="1"/>
  <c r="K1279" i="1"/>
  <c r="L1279" i="1" s="1"/>
  <c r="C1279" i="1"/>
  <c r="B1279" i="1"/>
  <c r="O1278" i="1"/>
  <c r="N1278" i="1"/>
  <c r="K1278" i="1"/>
  <c r="C1278" i="1"/>
  <c r="B1278" i="1"/>
  <c r="O1277" i="1"/>
  <c r="N1277" i="1"/>
  <c r="K1277" i="1"/>
  <c r="C1277" i="1"/>
  <c r="B1277" i="1"/>
  <c r="O1276" i="1"/>
  <c r="N1276" i="1"/>
  <c r="K1276" i="1"/>
  <c r="L1276" i="1" s="1"/>
  <c r="T1276" i="1" s="1"/>
  <c r="U1276" i="1" s="1"/>
  <c r="V1276" i="1" s="1"/>
  <c r="C1276" i="1"/>
  <c r="B1276" i="1"/>
  <c r="O1275" i="1"/>
  <c r="N1275" i="1"/>
  <c r="K1275" i="1"/>
  <c r="C1275" i="1"/>
  <c r="B1275" i="1"/>
  <c r="O1274" i="1"/>
  <c r="N1274" i="1"/>
  <c r="K1274" i="1"/>
  <c r="L1274" i="1" s="1"/>
  <c r="C1274" i="1"/>
  <c r="B1274" i="1"/>
  <c r="O1273" i="1"/>
  <c r="N1273" i="1"/>
  <c r="K1273" i="1"/>
  <c r="C1273" i="1"/>
  <c r="B1273" i="1"/>
  <c r="O1272" i="1"/>
  <c r="N1272" i="1"/>
  <c r="K1272" i="1"/>
  <c r="C1272" i="1"/>
  <c r="B1272" i="1"/>
  <c r="O1271" i="1"/>
  <c r="N1271" i="1"/>
  <c r="K1271" i="1"/>
  <c r="L1271" i="1" s="1"/>
  <c r="C1271" i="1"/>
  <c r="B1271" i="1"/>
  <c r="O1270" i="1"/>
  <c r="N1270" i="1"/>
  <c r="K1270" i="1"/>
  <c r="C1270" i="1"/>
  <c r="B1270" i="1"/>
  <c r="O1269" i="1"/>
  <c r="N1269" i="1"/>
  <c r="K1269" i="1"/>
  <c r="C1269" i="1"/>
  <c r="B1269" i="1"/>
  <c r="O1268" i="1"/>
  <c r="N1268" i="1"/>
  <c r="K1268" i="1"/>
  <c r="C1268" i="1"/>
  <c r="B1268" i="1"/>
  <c r="O1267" i="1"/>
  <c r="N1267" i="1"/>
  <c r="K1267" i="1"/>
  <c r="L1267" i="1" s="1"/>
  <c r="C1267" i="1"/>
  <c r="B1267" i="1"/>
  <c r="O1266" i="1"/>
  <c r="N1266" i="1"/>
  <c r="K1266" i="1"/>
  <c r="L1266" i="1" s="1"/>
  <c r="C1266" i="1"/>
  <c r="B1266" i="1"/>
  <c r="O1265" i="1"/>
  <c r="N1265" i="1"/>
  <c r="K1265" i="1"/>
  <c r="C1265" i="1"/>
  <c r="B1265" i="1"/>
  <c r="O1264" i="1"/>
  <c r="N1264" i="1"/>
  <c r="K1264" i="1"/>
  <c r="L1264" i="1" s="1"/>
  <c r="R1264" i="1" s="1"/>
  <c r="C1264" i="1"/>
  <c r="B1264" i="1"/>
  <c r="O1263" i="1"/>
  <c r="N1263" i="1"/>
  <c r="K1263" i="1"/>
  <c r="L1263" i="1" s="1"/>
  <c r="C1263" i="1"/>
  <c r="B1263" i="1"/>
  <c r="O1262" i="1"/>
  <c r="N1262" i="1"/>
  <c r="K1262" i="1"/>
  <c r="C1262" i="1"/>
  <c r="B1262" i="1"/>
  <c r="O1261" i="1"/>
  <c r="N1261" i="1"/>
  <c r="K1261" i="1"/>
  <c r="C1261" i="1"/>
  <c r="B1261" i="1"/>
  <c r="O1260" i="1"/>
  <c r="N1260" i="1"/>
  <c r="K1260" i="1"/>
  <c r="L1260" i="1" s="1"/>
  <c r="T1260" i="1" s="1"/>
  <c r="U1260" i="1" s="1"/>
  <c r="V1260" i="1" s="1"/>
  <c r="C1260" i="1"/>
  <c r="B1260" i="1"/>
  <c r="O1259" i="1"/>
  <c r="N1259" i="1"/>
  <c r="K1259" i="1"/>
  <c r="C1259" i="1"/>
  <c r="B1259" i="1"/>
  <c r="O1258" i="1"/>
  <c r="N1258" i="1"/>
  <c r="K1258" i="1"/>
  <c r="L1258" i="1" s="1"/>
  <c r="C1258" i="1"/>
  <c r="B1258" i="1"/>
  <c r="O1257" i="1"/>
  <c r="N1257" i="1"/>
  <c r="K1257" i="1"/>
  <c r="C1257" i="1"/>
  <c r="B1257" i="1"/>
  <c r="O1256" i="1"/>
  <c r="N1256" i="1"/>
  <c r="K1256" i="1"/>
  <c r="L1256" i="1" s="1"/>
  <c r="R1256" i="1" s="1"/>
  <c r="C1256" i="1"/>
  <c r="B1256" i="1"/>
  <c r="O1255" i="1"/>
  <c r="N1255" i="1"/>
  <c r="K1255" i="1"/>
  <c r="L1255" i="1" s="1"/>
  <c r="C1255" i="1"/>
  <c r="B1255" i="1"/>
  <c r="O1254" i="1"/>
  <c r="N1254" i="1"/>
  <c r="K1254" i="1"/>
  <c r="C1254" i="1"/>
  <c r="B1254" i="1"/>
  <c r="O1253" i="1"/>
  <c r="N1253" i="1"/>
  <c r="K1253" i="1"/>
  <c r="C1253" i="1"/>
  <c r="B1253" i="1"/>
  <c r="O1252" i="1"/>
  <c r="N1252" i="1"/>
  <c r="K1252" i="1"/>
  <c r="L1252" i="1" s="1"/>
  <c r="T1252" i="1" s="1"/>
  <c r="U1252" i="1" s="1"/>
  <c r="V1252" i="1" s="1"/>
  <c r="C1252" i="1"/>
  <c r="B1252" i="1"/>
  <c r="O1251" i="1"/>
  <c r="N1251" i="1"/>
  <c r="K1251" i="1"/>
  <c r="C1251" i="1"/>
  <c r="B1251" i="1"/>
  <c r="O1250" i="1"/>
  <c r="N1250" i="1"/>
  <c r="K1250" i="1"/>
  <c r="L1250" i="1" s="1"/>
  <c r="C1250" i="1"/>
  <c r="B1250" i="1"/>
  <c r="O1249" i="1"/>
  <c r="N1249" i="1"/>
  <c r="K1249" i="1"/>
  <c r="C1249" i="1"/>
  <c r="B1249" i="1"/>
  <c r="O1248" i="1"/>
  <c r="N1248" i="1"/>
  <c r="K1248" i="1"/>
  <c r="C1248" i="1"/>
  <c r="B1248" i="1"/>
  <c r="O1247" i="1"/>
  <c r="N1247" i="1"/>
  <c r="K1247" i="1"/>
  <c r="L1247" i="1" s="1"/>
  <c r="C1247" i="1"/>
  <c r="B1247" i="1"/>
  <c r="O1246" i="1"/>
  <c r="N1246" i="1"/>
  <c r="K1246" i="1"/>
  <c r="C1246" i="1"/>
  <c r="B1246" i="1"/>
  <c r="O1245" i="1"/>
  <c r="N1245" i="1"/>
  <c r="K1245" i="1"/>
  <c r="C1245" i="1"/>
  <c r="B1245" i="1"/>
  <c r="O1244" i="1"/>
  <c r="N1244" i="1"/>
  <c r="K1244" i="1"/>
  <c r="L1244" i="1" s="1"/>
  <c r="T1244" i="1" s="1"/>
  <c r="U1244" i="1" s="1"/>
  <c r="V1244" i="1" s="1"/>
  <c r="C1244" i="1"/>
  <c r="B1244" i="1"/>
  <c r="O1243" i="1"/>
  <c r="N1243" i="1"/>
  <c r="K1243" i="1"/>
  <c r="C1243" i="1"/>
  <c r="B1243" i="1"/>
  <c r="O1242" i="1"/>
  <c r="N1242" i="1"/>
  <c r="K1242" i="1"/>
  <c r="L1242" i="1" s="1"/>
  <c r="C1242" i="1"/>
  <c r="B1242" i="1"/>
  <c r="O1241" i="1"/>
  <c r="N1241" i="1"/>
  <c r="K1241" i="1"/>
  <c r="C1241" i="1"/>
  <c r="B1241" i="1"/>
  <c r="O1240" i="1"/>
  <c r="N1240" i="1"/>
  <c r="K1240" i="1"/>
  <c r="C1240" i="1"/>
  <c r="B1240" i="1"/>
  <c r="O1239" i="1"/>
  <c r="N1239" i="1"/>
  <c r="K1239" i="1"/>
  <c r="L1239" i="1" s="1"/>
  <c r="C1239" i="1"/>
  <c r="B1239" i="1"/>
  <c r="O1238" i="1"/>
  <c r="N1238" i="1"/>
  <c r="K1238" i="1"/>
  <c r="C1238" i="1"/>
  <c r="B1238" i="1"/>
  <c r="O1237" i="1"/>
  <c r="N1237" i="1"/>
  <c r="K1237" i="1"/>
  <c r="C1237" i="1"/>
  <c r="B1237" i="1"/>
  <c r="O1236" i="1"/>
  <c r="N1236" i="1"/>
  <c r="K1236" i="1"/>
  <c r="C1236" i="1"/>
  <c r="B1236" i="1"/>
  <c r="O1235" i="1"/>
  <c r="N1235" i="1"/>
  <c r="K1235" i="1"/>
  <c r="L1235" i="1" s="1"/>
  <c r="C1235" i="1"/>
  <c r="B1235" i="1"/>
  <c r="O1234" i="1"/>
  <c r="N1234" i="1"/>
  <c r="K1234" i="1"/>
  <c r="L1234" i="1" s="1"/>
  <c r="C1234" i="1"/>
  <c r="B1234" i="1"/>
  <c r="O1233" i="1"/>
  <c r="N1233" i="1"/>
  <c r="K1233" i="1"/>
  <c r="C1233" i="1"/>
  <c r="B1233" i="1"/>
  <c r="O1232" i="1"/>
  <c r="N1232" i="1"/>
  <c r="K1232" i="1"/>
  <c r="L1232" i="1" s="1"/>
  <c r="R1232" i="1" s="1"/>
  <c r="C1232" i="1"/>
  <c r="B1232" i="1"/>
  <c r="O1231" i="1"/>
  <c r="N1231" i="1"/>
  <c r="K1231" i="1"/>
  <c r="L1231" i="1" s="1"/>
  <c r="C1231" i="1"/>
  <c r="B1231" i="1"/>
  <c r="O1230" i="1"/>
  <c r="N1230" i="1"/>
  <c r="K1230" i="1"/>
  <c r="C1230" i="1"/>
  <c r="B1230" i="1"/>
  <c r="O1229" i="1"/>
  <c r="N1229" i="1"/>
  <c r="K1229" i="1"/>
  <c r="C1229" i="1"/>
  <c r="B1229" i="1"/>
  <c r="O1228" i="1"/>
  <c r="N1228" i="1"/>
  <c r="K1228" i="1"/>
  <c r="C1228" i="1"/>
  <c r="B1228" i="1"/>
  <c r="O1227" i="1"/>
  <c r="N1227" i="1"/>
  <c r="K1227" i="1"/>
  <c r="L1227" i="1" s="1"/>
  <c r="T1227" i="1" s="1"/>
  <c r="U1227" i="1" s="1"/>
  <c r="V1227" i="1" s="1"/>
  <c r="C1227" i="1"/>
  <c r="B1227" i="1"/>
  <c r="O1226" i="1"/>
  <c r="N1226" i="1"/>
  <c r="K1226" i="1"/>
  <c r="L1226" i="1" s="1"/>
  <c r="C1226" i="1"/>
  <c r="B1226" i="1"/>
  <c r="O1225" i="1"/>
  <c r="N1225" i="1"/>
  <c r="K1225" i="1"/>
  <c r="C1225" i="1"/>
  <c r="B1225" i="1"/>
  <c r="O1224" i="1"/>
  <c r="N1224" i="1"/>
  <c r="K1224" i="1"/>
  <c r="C1224" i="1"/>
  <c r="B1224" i="1"/>
  <c r="O1223" i="1"/>
  <c r="N1223" i="1"/>
  <c r="K1223" i="1"/>
  <c r="L1223" i="1" s="1"/>
  <c r="C1223" i="1"/>
  <c r="B1223" i="1"/>
  <c r="O1222" i="1"/>
  <c r="N1222" i="1"/>
  <c r="K1222" i="1"/>
  <c r="C1222" i="1"/>
  <c r="B1222" i="1"/>
  <c r="O1221" i="1"/>
  <c r="N1221" i="1"/>
  <c r="K1221" i="1"/>
  <c r="C1221" i="1"/>
  <c r="B1221" i="1"/>
  <c r="O1220" i="1"/>
  <c r="N1220" i="1"/>
  <c r="K1220" i="1"/>
  <c r="C1220" i="1"/>
  <c r="B1220" i="1"/>
  <c r="O1219" i="1"/>
  <c r="N1219" i="1"/>
  <c r="K1219" i="1"/>
  <c r="L1219" i="1" s="1"/>
  <c r="R1219" i="1" s="1"/>
  <c r="C1219" i="1"/>
  <c r="B1219" i="1"/>
  <c r="O1218" i="1"/>
  <c r="N1218" i="1"/>
  <c r="K1218" i="1"/>
  <c r="L1218" i="1" s="1"/>
  <c r="C1218" i="1"/>
  <c r="B1218" i="1"/>
  <c r="O1217" i="1"/>
  <c r="N1217" i="1"/>
  <c r="K1217" i="1"/>
  <c r="C1217" i="1"/>
  <c r="B1217" i="1"/>
  <c r="O1216" i="1"/>
  <c r="N1216" i="1"/>
  <c r="K1216" i="1"/>
  <c r="L1216" i="1" s="1"/>
  <c r="R1216" i="1" s="1"/>
  <c r="C1216" i="1"/>
  <c r="B1216" i="1"/>
  <c r="O1215" i="1"/>
  <c r="N1215" i="1"/>
  <c r="K1215" i="1"/>
  <c r="L1215" i="1" s="1"/>
  <c r="C1215" i="1"/>
  <c r="B1215" i="1"/>
  <c r="O1214" i="1"/>
  <c r="N1214" i="1"/>
  <c r="K1214" i="1"/>
  <c r="C1214" i="1"/>
  <c r="B1214" i="1"/>
  <c r="O1213" i="1"/>
  <c r="N1213" i="1"/>
  <c r="K1213" i="1"/>
  <c r="C1213" i="1"/>
  <c r="B1213" i="1"/>
  <c r="O1212" i="1"/>
  <c r="N1212" i="1"/>
  <c r="K1212" i="1"/>
  <c r="L1212" i="1" s="1"/>
  <c r="T1212" i="1" s="1"/>
  <c r="U1212" i="1" s="1"/>
  <c r="V1212" i="1" s="1"/>
  <c r="C1212" i="1"/>
  <c r="B1212" i="1"/>
  <c r="O1211" i="1"/>
  <c r="N1211" i="1"/>
  <c r="K1211" i="1"/>
  <c r="L1211" i="1" s="1"/>
  <c r="R1211" i="1" s="1"/>
  <c r="C1211" i="1"/>
  <c r="B1211" i="1"/>
  <c r="O1210" i="1"/>
  <c r="N1210" i="1"/>
  <c r="K1210" i="1"/>
  <c r="L1210" i="1" s="1"/>
  <c r="C1210" i="1"/>
  <c r="B1210" i="1"/>
  <c r="O1209" i="1"/>
  <c r="N1209" i="1"/>
  <c r="K1209" i="1"/>
  <c r="C1209" i="1"/>
  <c r="B1209" i="1"/>
  <c r="O1208" i="1"/>
  <c r="N1208" i="1"/>
  <c r="K1208" i="1"/>
  <c r="C1208" i="1"/>
  <c r="B1208" i="1"/>
  <c r="O1207" i="1"/>
  <c r="N1207" i="1"/>
  <c r="K1207" i="1"/>
  <c r="L1207" i="1" s="1"/>
  <c r="C1207" i="1"/>
  <c r="B1207" i="1"/>
  <c r="O1206" i="1"/>
  <c r="N1206" i="1"/>
  <c r="K1206" i="1"/>
  <c r="C1206" i="1"/>
  <c r="B1206" i="1"/>
  <c r="O1205" i="1"/>
  <c r="N1205" i="1"/>
  <c r="K1205" i="1"/>
  <c r="C1205" i="1"/>
  <c r="B1205" i="1"/>
  <c r="O1204" i="1"/>
  <c r="N1204" i="1"/>
  <c r="K1204" i="1"/>
  <c r="C1204" i="1"/>
  <c r="B1204" i="1"/>
  <c r="O1203" i="1"/>
  <c r="N1203" i="1"/>
  <c r="K1203" i="1"/>
  <c r="C1203" i="1"/>
  <c r="B1203" i="1"/>
  <c r="O1202" i="1"/>
  <c r="N1202" i="1"/>
  <c r="K1202" i="1"/>
  <c r="L1202" i="1" s="1"/>
  <c r="C1202" i="1"/>
  <c r="B1202" i="1"/>
  <c r="O1201" i="1"/>
  <c r="N1201" i="1"/>
  <c r="K1201" i="1"/>
  <c r="C1201" i="1"/>
  <c r="B1201" i="1"/>
  <c r="O1200" i="1"/>
  <c r="N1200" i="1"/>
  <c r="K1200" i="1"/>
  <c r="C1200" i="1"/>
  <c r="B1200" i="1"/>
  <c r="O1199" i="1"/>
  <c r="N1199" i="1"/>
  <c r="K1199" i="1"/>
  <c r="L1199" i="1" s="1"/>
  <c r="C1199" i="1"/>
  <c r="B1199" i="1"/>
  <c r="O1198" i="1"/>
  <c r="N1198" i="1"/>
  <c r="K1198" i="1"/>
  <c r="C1198" i="1"/>
  <c r="B1198" i="1"/>
  <c r="O1197" i="1"/>
  <c r="N1197" i="1"/>
  <c r="K1197" i="1"/>
  <c r="C1197" i="1"/>
  <c r="B1197" i="1"/>
  <c r="O1196" i="1"/>
  <c r="N1196" i="1"/>
  <c r="K1196" i="1"/>
  <c r="L1196" i="1" s="1"/>
  <c r="T1196" i="1" s="1"/>
  <c r="U1196" i="1" s="1"/>
  <c r="V1196" i="1" s="1"/>
  <c r="C1196" i="1"/>
  <c r="B1196" i="1"/>
  <c r="O1195" i="1"/>
  <c r="N1195" i="1"/>
  <c r="K1195" i="1"/>
  <c r="C1195" i="1"/>
  <c r="B1195" i="1"/>
  <c r="O1194" i="1"/>
  <c r="N1194" i="1"/>
  <c r="K1194" i="1"/>
  <c r="L1194" i="1" s="1"/>
  <c r="C1194" i="1"/>
  <c r="B1194" i="1"/>
  <c r="X1193" i="1"/>
  <c r="W1193" i="1"/>
  <c r="S1193" i="1"/>
  <c r="P1193" i="1" s="1"/>
  <c r="O1193" i="1"/>
  <c r="N1193" i="1"/>
  <c r="K1193" i="1"/>
  <c r="C1193" i="1"/>
  <c r="B1193" i="1"/>
  <c r="O1192" i="1"/>
  <c r="N1192" i="1"/>
  <c r="K1192" i="1"/>
  <c r="L1192" i="1" s="1"/>
  <c r="C1192" i="1"/>
  <c r="B1192" i="1"/>
  <c r="O1191" i="1"/>
  <c r="N1191" i="1"/>
  <c r="K1191" i="1"/>
  <c r="L1191" i="1" s="1"/>
  <c r="C1191" i="1"/>
  <c r="B1191" i="1"/>
  <c r="O1190" i="1"/>
  <c r="N1190" i="1"/>
  <c r="K1190" i="1"/>
  <c r="C1190" i="1"/>
  <c r="B1190" i="1"/>
  <c r="O1189" i="1"/>
  <c r="N1189" i="1"/>
  <c r="K1189" i="1"/>
  <c r="C1189" i="1"/>
  <c r="B1189" i="1"/>
  <c r="O1188" i="1"/>
  <c r="N1188" i="1"/>
  <c r="K1188" i="1"/>
  <c r="C1188" i="1"/>
  <c r="B1188" i="1"/>
  <c r="O1187" i="1"/>
  <c r="N1187" i="1"/>
  <c r="K1187" i="1"/>
  <c r="C1187" i="1"/>
  <c r="B1187" i="1"/>
  <c r="O1186" i="1"/>
  <c r="N1186" i="1"/>
  <c r="K1186" i="1"/>
  <c r="L1186" i="1" s="1"/>
  <c r="C1186" i="1"/>
  <c r="B1186" i="1"/>
  <c r="O1185" i="1"/>
  <c r="N1185" i="1"/>
  <c r="K1185" i="1"/>
  <c r="C1185" i="1"/>
  <c r="B1185" i="1"/>
  <c r="O1184" i="1"/>
  <c r="N1184" i="1"/>
  <c r="K1184" i="1"/>
  <c r="L1184" i="1" s="1"/>
  <c r="T1184" i="1" s="1"/>
  <c r="U1184" i="1" s="1"/>
  <c r="V1184" i="1" s="1"/>
  <c r="C1184" i="1"/>
  <c r="B1184" i="1"/>
  <c r="O1183" i="1"/>
  <c r="N1183" i="1"/>
  <c r="K1183" i="1"/>
  <c r="L1183" i="1" s="1"/>
  <c r="C1183" i="1"/>
  <c r="B1183" i="1"/>
  <c r="O1182" i="1"/>
  <c r="N1182" i="1"/>
  <c r="K1182" i="1"/>
  <c r="C1182" i="1"/>
  <c r="B1182" i="1"/>
  <c r="O1181" i="1"/>
  <c r="N1181" i="1"/>
  <c r="K1181" i="1"/>
  <c r="C1181" i="1"/>
  <c r="B1181" i="1"/>
  <c r="O1180" i="1"/>
  <c r="N1180" i="1"/>
  <c r="K1180" i="1"/>
  <c r="C1180" i="1"/>
  <c r="B1180" i="1"/>
  <c r="O1179" i="1"/>
  <c r="N1179" i="1"/>
  <c r="K1179" i="1"/>
  <c r="C1179" i="1"/>
  <c r="B1179" i="1"/>
  <c r="O1178" i="1"/>
  <c r="N1178" i="1"/>
  <c r="K1178" i="1"/>
  <c r="L1178" i="1" s="1"/>
  <c r="C1178" i="1"/>
  <c r="B1178" i="1"/>
  <c r="O1177" i="1"/>
  <c r="N1177" i="1"/>
  <c r="K1177" i="1"/>
  <c r="C1177" i="1"/>
  <c r="B1177" i="1"/>
  <c r="O1176" i="1"/>
  <c r="N1176" i="1"/>
  <c r="K1176" i="1"/>
  <c r="C1176" i="1"/>
  <c r="B1176" i="1"/>
  <c r="O1175" i="1"/>
  <c r="N1175" i="1"/>
  <c r="K1175" i="1"/>
  <c r="L1175" i="1" s="1"/>
  <c r="C1175" i="1"/>
  <c r="B1175" i="1"/>
  <c r="O1174" i="1"/>
  <c r="N1174" i="1"/>
  <c r="K1174" i="1"/>
  <c r="C1174" i="1"/>
  <c r="B1174" i="1"/>
  <c r="O1173" i="1"/>
  <c r="N1173" i="1"/>
  <c r="K1173" i="1"/>
  <c r="C1173" i="1"/>
  <c r="B1173" i="1"/>
  <c r="O1172" i="1"/>
  <c r="N1172" i="1"/>
  <c r="K1172" i="1"/>
  <c r="C1172" i="1"/>
  <c r="B1172" i="1"/>
  <c r="O1171" i="1"/>
  <c r="N1171" i="1"/>
  <c r="K1171" i="1"/>
  <c r="C1171" i="1"/>
  <c r="B1171" i="1"/>
  <c r="O1170" i="1"/>
  <c r="N1170" i="1"/>
  <c r="K1170" i="1"/>
  <c r="L1170" i="1" s="1"/>
  <c r="C1170" i="1"/>
  <c r="B1170" i="1"/>
  <c r="O1169" i="1"/>
  <c r="N1169" i="1"/>
  <c r="K1169" i="1"/>
  <c r="C1169" i="1"/>
  <c r="B1169" i="1"/>
  <c r="O1168" i="1"/>
  <c r="N1168" i="1"/>
  <c r="K1168" i="1"/>
  <c r="L1168" i="1" s="1"/>
  <c r="R1168" i="1" s="1"/>
  <c r="C1168" i="1"/>
  <c r="B1168" i="1"/>
  <c r="O1167" i="1"/>
  <c r="N1167" i="1"/>
  <c r="K1167" i="1"/>
  <c r="L1167" i="1" s="1"/>
  <c r="C1167" i="1"/>
  <c r="B1167" i="1"/>
  <c r="O1166" i="1"/>
  <c r="N1166" i="1"/>
  <c r="K1166" i="1"/>
  <c r="C1166" i="1"/>
  <c r="B1166" i="1"/>
  <c r="O1165" i="1"/>
  <c r="N1165" i="1"/>
  <c r="K1165" i="1"/>
  <c r="C1165" i="1"/>
  <c r="B1165" i="1"/>
  <c r="O1164" i="1"/>
  <c r="N1164" i="1"/>
  <c r="K1164" i="1"/>
  <c r="C1164" i="1"/>
  <c r="B1164" i="1"/>
  <c r="O1163" i="1"/>
  <c r="N1163" i="1"/>
  <c r="K1163" i="1"/>
  <c r="L1163" i="1" s="1"/>
  <c r="R1163" i="1" s="1"/>
  <c r="C1163" i="1"/>
  <c r="B1163" i="1"/>
  <c r="O1162" i="1"/>
  <c r="N1162" i="1"/>
  <c r="K1162" i="1"/>
  <c r="L1162" i="1" s="1"/>
  <c r="C1162" i="1"/>
  <c r="B1162" i="1"/>
  <c r="O1161" i="1"/>
  <c r="N1161" i="1"/>
  <c r="K1161" i="1"/>
  <c r="C1161" i="1"/>
  <c r="B1161" i="1"/>
  <c r="O1160" i="1"/>
  <c r="N1160" i="1"/>
  <c r="K1160" i="1"/>
  <c r="C1160" i="1"/>
  <c r="B1160" i="1"/>
  <c r="O1159" i="1"/>
  <c r="N1159" i="1"/>
  <c r="K1159" i="1"/>
  <c r="L1159" i="1" s="1"/>
  <c r="C1159" i="1"/>
  <c r="B1159" i="1"/>
  <c r="O1158" i="1"/>
  <c r="N1158" i="1"/>
  <c r="K1158" i="1"/>
  <c r="C1158" i="1"/>
  <c r="B1158" i="1"/>
  <c r="O1157" i="1"/>
  <c r="N1157" i="1"/>
  <c r="K1157" i="1"/>
  <c r="C1157" i="1"/>
  <c r="B1157" i="1"/>
  <c r="O1156" i="1"/>
  <c r="N1156" i="1"/>
  <c r="K1156" i="1"/>
  <c r="C1156" i="1"/>
  <c r="B1156" i="1"/>
  <c r="O1155" i="1"/>
  <c r="N1155" i="1"/>
  <c r="K1155" i="1"/>
  <c r="L1155" i="1" s="1"/>
  <c r="T1155" i="1" s="1"/>
  <c r="U1155" i="1" s="1"/>
  <c r="V1155" i="1" s="1"/>
  <c r="C1155" i="1"/>
  <c r="B1155" i="1"/>
  <c r="O1154" i="1"/>
  <c r="N1154" i="1"/>
  <c r="K1154" i="1"/>
  <c r="L1154" i="1" s="1"/>
  <c r="C1154" i="1"/>
  <c r="B1154" i="1"/>
  <c r="O1153" i="1"/>
  <c r="N1153" i="1"/>
  <c r="K1153" i="1"/>
  <c r="C1153" i="1"/>
  <c r="B1153" i="1"/>
  <c r="O1152" i="1"/>
  <c r="N1152" i="1"/>
  <c r="K1152" i="1"/>
  <c r="C1152" i="1"/>
  <c r="B1152" i="1"/>
  <c r="O1151" i="1"/>
  <c r="N1151" i="1"/>
  <c r="K1151" i="1"/>
  <c r="L1151" i="1" s="1"/>
  <c r="C1151" i="1"/>
  <c r="B1151" i="1"/>
  <c r="O1150" i="1"/>
  <c r="N1150" i="1"/>
  <c r="K1150" i="1"/>
  <c r="C1150" i="1"/>
  <c r="B1150" i="1"/>
  <c r="O1149" i="1"/>
  <c r="N1149" i="1"/>
  <c r="K1149" i="1"/>
  <c r="C1149" i="1"/>
  <c r="B1149" i="1"/>
  <c r="O1148" i="1"/>
  <c r="N1148" i="1"/>
  <c r="K1148" i="1"/>
  <c r="C1148" i="1"/>
  <c r="B1148" i="1"/>
  <c r="O1147" i="1"/>
  <c r="N1147" i="1"/>
  <c r="K1147" i="1"/>
  <c r="C1147" i="1"/>
  <c r="B1147" i="1"/>
  <c r="O1146" i="1"/>
  <c r="N1146" i="1"/>
  <c r="K1146" i="1"/>
  <c r="L1146" i="1" s="1"/>
  <c r="C1146" i="1"/>
  <c r="B1146" i="1"/>
  <c r="O1145" i="1"/>
  <c r="N1145" i="1"/>
  <c r="K1145" i="1"/>
  <c r="C1145" i="1"/>
  <c r="B1145" i="1"/>
  <c r="O1144" i="1"/>
  <c r="N1144" i="1"/>
  <c r="K1144" i="1"/>
  <c r="C1144" i="1"/>
  <c r="B1144" i="1"/>
  <c r="O1143" i="1"/>
  <c r="N1143" i="1"/>
  <c r="K1143" i="1"/>
  <c r="L1143" i="1" s="1"/>
  <c r="C1143" i="1"/>
  <c r="B1143" i="1"/>
  <c r="O1142" i="1"/>
  <c r="N1142" i="1"/>
  <c r="K1142" i="1"/>
  <c r="C1142" i="1"/>
  <c r="B1142" i="1"/>
  <c r="O1141" i="1"/>
  <c r="N1141" i="1"/>
  <c r="K1141" i="1"/>
  <c r="C1141" i="1"/>
  <c r="B1141" i="1"/>
  <c r="O1140" i="1"/>
  <c r="N1140" i="1"/>
  <c r="K1140" i="1"/>
  <c r="C1140" i="1"/>
  <c r="B1140" i="1"/>
  <c r="O1139" i="1"/>
  <c r="N1139" i="1"/>
  <c r="K1139" i="1"/>
  <c r="C1139" i="1"/>
  <c r="B1139" i="1"/>
  <c r="O1138" i="1"/>
  <c r="N1138" i="1"/>
  <c r="K1138" i="1"/>
  <c r="L1138" i="1" s="1"/>
  <c r="C1138" i="1"/>
  <c r="B1138" i="1"/>
  <c r="O1137" i="1"/>
  <c r="N1137" i="1"/>
  <c r="K1137" i="1"/>
  <c r="C1137" i="1"/>
  <c r="B1137" i="1"/>
  <c r="O1136" i="1"/>
  <c r="N1136" i="1"/>
  <c r="K1136" i="1"/>
  <c r="C1136" i="1"/>
  <c r="B1136" i="1"/>
  <c r="O1135" i="1"/>
  <c r="N1135" i="1"/>
  <c r="K1135" i="1"/>
  <c r="L1135" i="1" s="1"/>
  <c r="C1135" i="1"/>
  <c r="B1135" i="1"/>
  <c r="O1134" i="1"/>
  <c r="N1134" i="1"/>
  <c r="K1134" i="1"/>
  <c r="C1134" i="1"/>
  <c r="B1134" i="1"/>
  <c r="O1133" i="1"/>
  <c r="N1133" i="1"/>
  <c r="K1133" i="1"/>
  <c r="C1133" i="1"/>
  <c r="B1133" i="1"/>
  <c r="O1132" i="1"/>
  <c r="N1132" i="1"/>
  <c r="K1132" i="1"/>
  <c r="C1132" i="1"/>
  <c r="B1132" i="1"/>
  <c r="O1131" i="1"/>
  <c r="N1131" i="1"/>
  <c r="K1131" i="1"/>
  <c r="C1131" i="1"/>
  <c r="B1131" i="1"/>
  <c r="O1130" i="1"/>
  <c r="N1130" i="1"/>
  <c r="K1130" i="1"/>
  <c r="L1130" i="1" s="1"/>
  <c r="C1130" i="1"/>
  <c r="B1130" i="1"/>
  <c r="O1129" i="1"/>
  <c r="N1129" i="1"/>
  <c r="K1129" i="1"/>
  <c r="C1129" i="1"/>
  <c r="B1129" i="1"/>
  <c r="O1128" i="1"/>
  <c r="N1128" i="1"/>
  <c r="K1128" i="1"/>
  <c r="C1128" i="1"/>
  <c r="B1128" i="1"/>
  <c r="O1127" i="1"/>
  <c r="N1127" i="1"/>
  <c r="K1127" i="1"/>
  <c r="L1127" i="1" s="1"/>
  <c r="C1127" i="1"/>
  <c r="B1127" i="1"/>
  <c r="O1126" i="1"/>
  <c r="N1126" i="1"/>
  <c r="K1126" i="1"/>
  <c r="C1126" i="1"/>
  <c r="B1126" i="1"/>
  <c r="O1125" i="1"/>
  <c r="N1125" i="1"/>
  <c r="K1125" i="1"/>
  <c r="C1125" i="1"/>
  <c r="B1125" i="1"/>
  <c r="O1124" i="1"/>
  <c r="N1124" i="1"/>
  <c r="K1124" i="1"/>
  <c r="C1124" i="1"/>
  <c r="B1124" i="1"/>
  <c r="O1123" i="1"/>
  <c r="N1123" i="1"/>
  <c r="K1123" i="1"/>
  <c r="C1123" i="1"/>
  <c r="B1123" i="1"/>
  <c r="O1122" i="1"/>
  <c r="N1122" i="1"/>
  <c r="K1122" i="1"/>
  <c r="L1122" i="1" s="1"/>
  <c r="C1122" i="1"/>
  <c r="B1122" i="1"/>
  <c r="O1121" i="1"/>
  <c r="N1121" i="1"/>
  <c r="K1121" i="1"/>
  <c r="C1121" i="1"/>
  <c r="B1121" i="1"/>
  <c r="O1120" i="1"/>
  <c r="N1120" i="1"/>
  <c r="K1120" i="1"/>
  <c r="C1120" i="1"/>
  <c r="B1120" i="1"/>
  <c r="O1119" i="1"/>
  <c r="N1119" i="1"/>
  <c r="K1119" i="1"/>
  <c r="L1119" i="1" s="1"/>
  <c r="C1119" i="1"/>
  <c r="B1119" i="1"/>
  <c r="O1118" i="1"/>
  <c r="N1118" i="1"/>
  <c r="K1118" i="1"/>
  <c r="C1118" i="1"/>
  <c r="B1118" i="1"/>
  <c r="O1117" i="1"/>
  <c r="N1117" i="1"/>
  <c r="K1117" i="1"/>
  <c r="C1117" i="1"/>
  <c r="B1117" i="1"/>
  <c r="O1116" i="1"/>
  <c r="N1116" i="1"/>
  <c r="K1116" i="1"/>
  <c r="C1116" i="1"/>
  <c r="B1116" i="1"/>
  <c r="O1115" i="1"/>
  <c r="N1115" i="1"/>
  <c r="K1115" i="1"/>
  <c r="C1115" i="1"/>
  <c r="B1115" i="1"/>
  <c r="O1114" i="1"/>
  <c r="N1114" i="1"/>
  <c r="K1114" i="1"/>
  <c r="L1114" i="1" s="1"/>
  <c r="C1114" i="1"/>
  <c r="B1114" i="1"/>
  <c r="O1113" i="1"/>
  <c r="N1113" i="1"/>
  <c r="K1113" i="1"/>
  <c r="C1113" i="1"/>
  <c r="B1113" i="1"/>
  <c r="O1112" i="1"/>
  <c r="N1112" i="1"/>
  <c r="K1112" i="1"/>
  <c r="C1112" i="1"/>
  <c r="B1112" i="1"/>
  <c r="O1111" i="1"/>
  <c r="N1111" i="1"/>
  <c r="K1111" i="1"/>
  <c r="L1111" i="1" s="1"/>
  <c r="C1111" i="1"/>
  <c r="B1111" i="1"/>
  <c r="O1110" i="1"/>
  <c r="N1110" i="1"/>
  <c r="K1110" i="1"/>
  <c r="C1110" i="1"/>
  <c r="B1110" i="1"/>
  <c r="O1109" i="1"/>
  <c r="N1109" i="1"/>
  <c r="K1109" i="1"/>
  <c r="C1109" i="1"/>
  <c r="B1109" i="1"/>
  <c r="O1108" i="1"/>
  <c r="N1108" i="1"/>
  <c r="K1108" i="1"/>
  <c r="C1108" i="1"/>
  <c r="B1108" i="1"/>
  <c r="O1107" i="1"/>
  <c r="N1107" i="1"/>
  <c r="K1107" i="1"/>
  <c r="C1107" i="1"/>
  <c r="B1107" i="1"/>
  <c r="O1106" i="1"/>
  <c r="N1106" i="1"/>
  <c r="K1106" i="1"/>
  <c r="L1106" i="1" s="1"/>
  <c r="C1106" i="1"/>
  <c r="B1106" i="1"/>
  <c r="O1105" i="1"/>
  <c r="N1105" i="1"/>
  <c r="X1105" i="1" s="1"/>
  <c r="K1105" i="1"/>
  <c r="C1105" i="1"/>
  <c r="B1105" i="1"/>
  <c r="O1104" i="1"/>
  <c r="N1104" i="1"/>
  <c r="K1104" i="1"/>
  <c r="C1104" i="1"/>
  <c r="B1104" i="1"/>
  <c r="O1103" i="1"/>
  <c r="N1103" i="1"/>
  <c r="K1103" i="1"/>
  <c r="L1103" i="1" s="1"/>
  <c r="C1103" i="1"/>
  <c r="B1103" i="1"/>
  <c r="O1102" i="1"/>
  <c r="N1102" i="1"/>
  <c r="K1102" i="1"/>
  <c r="C1102" i="1"/>
  <c r="B1102" i="1"/>
  <c r="X1101" i="1"/>
  <c r="W1101" i="1"/>
  <c r="S1101" i="1"/>
  <c r="P1101" i="1" s="1"/>
  <c r="O1101" i="1"/>
  <c r="N1101" i="1"/>
  <c r="K1101" i="1"/>
  <c r="C1101" i="1"/>
  <c r="B1101" i="1"/>
  <c r="O1100" i="1"/>
  <c r="N1100" i="1"/>
  <c r="K1100" i="1"/>
  <c r="C1100" i="1"/>
  <c r="B1100" i="1"/>
  <c r="O1099" i="1"/>
  <c r="N1099" i="1"/>
  <c r="K1099" i="1"/>
  <c r="C1099" i="1"/>
  <c r="B1099" i="1"/>
  <c r="O1098" i="1"/>
  <c r="N1098" i="1"/>
  <c r="K1098" i="1"/>
  <c r="L1098" i="1" s="1"/>
  <c r="C1098" i="1"/>
  <c r="B1098" i="1"/>
  <c r="O1097" i="1"/>
  <c r="N1097" i="1"/>
  <c r="K1097" i="1"/>
  <c r="C1097" i="1"/>
  <c r="B1097" i="1"/>
  <c r="O1096" i="1"/>
  <c r="N1096" i="1"/>
  <c r="S1096" i="1" s="1"/>
  <c r="P1096" i="1" s="1"/>
  <c r="K1096" i="1"/>
  <c r="C1096" i="1"/>
  <c r="B1096" i="1"/>
  <c r="O1095" i="1"/>
  <c r="N1095" i="1"/>
  <c r="K1095" i="1"/>
  <c r="L1095" i="1" s="1"/>
  <c r="C1095" i="1"/>
  <c r="B1095" i="1"/>
  <c r="O1094" i="1"/>
  <c r="N1094" i="1"/>
  <c r="K1094" i="1"/>
  <c r="C1094" i="1"/>
  <c r="B1094" i="1"/>
  <c r="O1093" i="1"/>
  <c r="N1093" i="1"/>
  <c r="K1093" i="1"/>
  <c r="L1093" i="1" s="1"/>
  <c r="C1093" i="1"/>
  <c r="B1093" i="1"/>
  <c r="O1092" i="1"/>
  <c r="N1092" i="1"/>
  <c r="K1092" i="1"/>
  <c r="C1092" i="1"/>
  <c r="B1092" i="1"/>
  <c r="O1091" i="1"/>
  <c r="N1091" i="1"/>
  <c r="K1091" i="1"/>
  <c r="C1091" i="1"/>
  <c r="B1091" i="1"/>
  <c r="O1090" i="1"/>
  <c r="N1090" i="1"/>
  <c r="K1090" i="1"/>
  <c r="L1090" i="1" s="1"/>
  <c r="C1090" i="1"/>
  <c r="B1090" i="1"/>
  <c r="O1089" i="1"/>
  <c r="N1089" i="1"/>
  <c r="K1089" i="1"/>
  <c r="C1089" i="1"/>
  <c r="B1089" i="1"/>
  <c r="O1088" i="1"/>
  <c r="N1088" i="1"/>
  <c r="K1088" i="1"/>
  <c r="Q1088" i="1" s="1"/>
  <c r="C1088" i="1"/>
  <c r="B1088" i="1"/>
  <c r="O1087" i="1"/>
  <c r="N1087" i="1"/>
  <c r="K1087" i="1"/>
  <c r="L1087" i="1" s="1"/>
  <c r="C1087" i="1"/>
  <c r="B1087" i="1"/>
  <c r="O1086" i="1"/>
  <c r="N1086" i="1"/>
  <c r="K1086" i="1"/>
  <c r="C1086" i="1"/>
  <c r="B1086" i="1"/>
  <c r="O1085" i="1"/>
  <c r="N1085" i="1"/>
  <c r="K1085" i="1"/>
  <c r="C1085" i="1"/>
  <c r="B1085" i="1"/>
  <c r="O1084" i="1"/>
  <c r="N1084" i="1"/>
  <c r="K1084" i="1"/>
  <c r="L1084" i="1" s="1"/>
  <c r="T1084" i="1" s="1"/>
  <c r="U1084" i="1" s="1"/>
  <c r="V1084" i="1" s="1"/>
  <c r="C1084" i="1"/>
  <c r="B1084" i="1"/>
  <c r="O1083" i="1"/>
  <c r="N1083" i="1"/>
  <c r="K1083" i="1"/>
  <c r="C1083" i="1"/>
  <c r="B1083" i="1"/>
  <c r="O1082" i="1"/>
  <c r="N1082" i="1"/>
  <c r="K1082" i="1"/>
  <c r="L1082" i="1" s="1"/>
  <c r="C1082" i="1"/>
  <c r="B1082" i="1"/>
  <c r="O1081" i="1"/>
  <c r="N1081" i="1"/>
  <c r="K1081" i="1"/>
  <c r="C1081" i="1"/>
  <c r="B1081" i="1"/>
  <c r="O1080" i="1"/>
  <c r="N1080" i="1"/>
  <c r="K1080" i="1"/>
  <c r="Q1080" i="1" s="1"/>
  <c r="C1080" i="1"/>
  <c r="B1080" i="1"/>
  <c r="O1079" i="1"/>
  <c r="N1079" i="1"/>
  <c r="K1079" i="1"/>
  <c r="L1079" i="1" s="1"/>
  <c r="C1079" i="1"/>
  <c r="B1079" i="1"/>
  <c r="O1078" i="1"/>
  <c r="N1078" i="1"/>
  <c r="K1078" i="1"/>
  <c r="L1078" i="1" s="1"/>
  <c r="C1078" i="1"/>
  <c r="B1078" i="1"/>
  <c r="O1077" i="1"/>
  <c r="N1077" i="1"/>
  <c r="K1077" i="1"/>
  <c r="C1077" i="1"/>
  <c r="B1077" i="1"/>
  <c r="O1076" i="1"/>
  <c r="N1076" i="1"/>
  <c r="K1076" i="1"/>
  <c r="C1076" i="1"/>
  <c r="B1076" i="1"/>
  <c r="O1075" i="1"/>
  <c r="N1075" i="1"/>
  <c r="K1075" i="1"/>
  <c r="C1075" i="1"/>
  <c r="B1075" i="1"/>
  <c r="O1074" i="1"/>
  <c r="N1074" i="1"/>
  <c r="K1074" i="1"/>
  <c r="L1074" i="1" s="1"/>
  <c r="C1074" i="1"/>
  <c r="B1074" i="1"/>
  <c r="O1073" i="1"/>
  <c r="N1073" i="1"/>
  <c r="K1073" i="1"/>
  <c r="C1073" i="1"/>
  <c r="B1073" i="1"/>
  <c r="O1072" i="1"/>
  <c r="N1072" i="1"/>
  <c r="K1072" i="1"/>
  <c r="C1072" i="1"/>
  <c r="B1072" i="1"/>
  <c r="O1071" i="1"/>
  <c r="N1071" i="1"/>
  <c r="K1071" i="1"/>
  <c r="L1071" i="1" s="1"/>
  <c r="C1071" i="1"/>
  <c r="B1071" i="1"/>
  <c r="O1070" i="1"/>
  <c r="N1070" i="1"/>
  <c r="K1070" i="1"/>
  <c r="L1070" i="1" s="1"/>
  <c r="C1070" i="1"/>
  <c r="B1070" i="1"/>
  <c r="O1069" i="1"/>
  <c r="N1069" i="1"/>
  <c r="K1069" i="1"/>
  <c r="C1069" i="1"/>
  <c r="B1069" i="1"/>
  <c r="O1068" i="1"/>
  <c r="N1068" i="1"/>
  <c r="K1068" i="1"/>
  <c r="C1068" i="1"/>
  <c r="B1068" i="1"/>
  <c r="O1067" i="1"/>
  <c r="N1067" i="1"/>
  <c r="K1067" i="1"/>
  <c r="C1067" i="1"/>
  <c r="B1067" i="1"/>
  <c r="O1066" i="1"/>
  <c r="N1066" i="1"/>
  <c r="K1066" i="1"/>
  <c r="L1066" i="1" s="1"/>
  <c r="C1066" i="1"/>
  <c r="B1066" i="1"/>
  <c r="O1065" i="1"/>
  <c r="N1065" i="1"/>
  <c r="K1065" i="1"/>
  <c r="C1065" i="1"/>
  <c r="B1065" i="1"/>
  <c r="O1064" i="1"/>
  <c r="N1064" i="1"/>
  <c r="K1064" i="1"/>
  <c r="C1064" i="1"/>
  <c r="B1064" i="1"/>
  <c r="O1063" i="1"/>
  <c r="N1063" i="1"/>
  <c r="K1063" i="1"/>
  <c r="L1063" i="1" s="1"/>
  <c r="C1063" i="1"/>
  <c r="B1063" i="1"/>
  <c r="O1062" i="1"/>
  <c r="N1062" i="1"/>
  <c r="K1062" i="1"/>
  <c r="L1062" i="1" s="1"/>
  <c r="C1062" i="1"/>
  <c r="B1062" i="1"/>
  <c r="O1061" i="1"/>
  <c r="N1061" i="1"/>
  <c r="K1061" i="1"/>
  <c r="C1061" i="1"/>
  <c r="B1061" i="1"/>
  <c r="O1060" i="1"/>
  <c r="N1060" i="1"/>
  <c r="K1060" i="1"/>
  <c r="C1060" i="1"/>
  <c r="B1060" i="1"/>
  <c r="O1059" i="1"/>
  <c r="N1059" i="1"/>
  <c r="K1059" i="1"/>
  <c r="C1059" i="1"/>
  <c r="B1059" i="1"/>
  <c r="O1058" i="1"/>
  <c r="N1058" i="1"/>
  <c r="K1058" i="1"/>
  <c r="L1058" i="1" s="1"/>
  <c r="C1058" i="1"/>
  <c r="B1058" i="1"/>
  <c r="O1057" i="1"/>
  <c r="N1057" i="1"/>
  <c r="K1057" i="1"/>
  <c r="C1057" i="1"/>
  <c r="B1057" i="1"/>
  <c r="O1056" i="1"/>
  <c r="N1056" i="1"/>
  <c r="K1056" i="1"/>
  <c r="C1056" i="1"/>
  <c r="B1056" i="1"/>
  <c r="O1055" i="1"/>
  <c r="N1055" i="1"/>
  <c r="K1055" i="1"/>
  <c r="L1055" i="1" s="1"/>
  <c r="C1055" i="1"/>
  <c r="B1055" i="1"/>
  <c r="O1054" i="1"/>
  <c r="N1054" i="1"/>
  <c r="K1054" i="1"/>
  <c r="L1054" i="1" s="1"/>
  <c r="C1054" i="1"/>
  <c r="B1054" i="1"/>
  <c r="O1053" i="1"/>
  <c r="N1053" i="1"/>
  <c r="K1053" i="1"/>
  <c r="C1053" i="1"/>
  <c r="B1053" i="1"/>
  <c r="O1052" i="1"/>
  <c r="N1052" i="1"/>
  <c r="K1052" i="1"/>
  <c r="C1052" i="1"/>
  <c r="B1052" i="1"/>
  <c r="O1051" i="1"/>
  <c r="N1051" i="1"/>
  <c r="K1051" i="1"/>
  <c r="C1051" i="1"/>
  <c r="B1051" i="1"/>
  <c r="O1050" i="1"/>
  <c r="N1050" i="1"/>
  <c r="K1050" i="1"/>
  <c r="L1050" i="1" s="1"/>
  <c r="C1050" i="1"/>
  <c r="B1050" i="1"/>
  <c r="O1049" i="1"/>
  <c r="N1049" i="1"/>
  <c r="K1049" i="1"/>
  <c r="C1049" i="1"/>
  <c r="B1049" i="1"/>
  <c r="O1048" i="1"/>
  <c r="N1048" i="1"/>
  <c r="K1048" i="1"/>
  <c r="C1048" i="1"/>
  <c r="B1048" i="1"/>
  <c r="O1047" i="1"/>
  <c r="N1047" i="1"/>
  <c r="K1047" i="1"/>
  <c r="L1047" i="1" s="1"/>
  <c r="C1047" i="1"/>
  <c r="B1047" i="1"/>
  <c r="O1046" i="1"/>
  <c r="N1046" i="1"/>
  <c r="K1046" i="1"/>
  <c r="L1046" i="1" s="1"/>
  <c r="C1046" i="1"/>
  <c r="B1046" i="1"/>
  <c r="O1045" i="1"/>
  <c r="N1045" i="1"/>
  <c r="K1045" i="1"/>
  <c r="C1045" i="1"/>
  <c r="B1045" i="1"/>
  <c r="O1044" i="1"/>
  <c r="N1044" i="1"/>
  <c r="K1044" i="1"/>
  <c r="C1044" i="1"/>
  <c r="B1044" i="1"/>
  <c r="O1043" i="1"/>
  <c r="N1043" i="1"/>
  <c r="K1043" i="1"/>
  <c r="C1043" i="1"/>
  <c r="B1043" i="1"/>
  <c r="O1042" i="1"/>
  <c r="N1042" i="1"/>
  <c r="K1042" i="1"/>
  <c r="L1042" i="1" s="1"/>
  <c r="C1042" i="1"/>
  <c r="B1042" i="1"/>
  <c r="O1041" i="1"/>
  <c r="N1041" i="1"/>
  <c r="K1041" i="1"/>
  <c r="C1041" i="1"/>
  <c r="B1041" i="1"/>
  <c r="O1040" i="1"/>
  <c r="N1040" i="1"/>
  <c r="K1040" i="1"/>
  <c r="C1040" i="1"/>
  <c r="B1040" i="1"/>
  <c r="O1039" i="1"/>
  <c r="N1039" i="1"/>
  <c r="K1039" i="1"/>
  <c r="L1039" i="1" s="1"/>
  <c r="C1039" i="1"/>
  <c r="B1039" i="1"/>
  <c r="O1038" i="1"/>
  <c r="N1038" i="1"/>
  <c r="K1038" i="1"/>
  <c r="L1038" i="1" s="1"/>
  <c r="C1038" i="1"/>
  <c r="B1038" i="1"/>
  <c r="O1037" i="1"/>
  <c r="N1037" i="1"/>
  <c r="K1037" i="1"/>
  <c r="C1037" i="1"/>
  <c r="B1037" i="1"/>
  <c r="O1036" i="1"/>
  <c r="N1036" i="1"/>
  <c r="K1036" i="1"/>
  <c r="L1036" i="1" s="1"/>
  <c r="C1036" i="1"/>
  <c r="B1036" i="1"/>
  <c r="O1035" i="1"/>
  <c r="N1035" i="1"/>
  <c r="K1035" i="1"/>
  <c r="C1035" i="1"/>
  <c r="B1035" i="1"/>
  <c r="O1034" i="1"/>
  <c r="N1034" i="1"/>
  <c r="K1034" i="1"/>
  <c r="L1034" i="1" s="1"/>
  <c r="C1034" i="1"/>
  <c r="B1034" i="1"/>
  <c r="O1033" i="1"/>
  <c r="N1033" i="1"/>
  <c r="K1033" i="1"/>
  <c r="C1033" i="1"/>
  <c r="B1033" i="1"/>
  <c r="O1032" i="1"/>
  <c r="N1032" i="1"/>
  <c r="K1032" i="1"/>
  <c r="C1032" i="1"/>
  <c r="B1032" i="1"/>
  <c r="O1031" i="1"/>
  <c r="N1031" i="1"/>
  <c r="K1031" i="1"/>
  <c r="L1031" i="1" s="1"/>
  <c r="C1031" i="1"/>
  <c r="B1031" i="1"/>
  <c r="O1030" i="1"/>
  <c r="N1030" i="1"/>
  <c r="K1030" i="1"/>
  <c r="L1030" i="1" s="1"/>
  <c r="C1030" i="1"/>
  <c r="B1030" i="1"/>
  <c r="O1029" i="1"/>
  <c r="N1029" i="1"/>
  <c r="K1029" i="1"/>
  <c r="C1029" i="1"/>
  <c r="B1029" i="1"/>
  <c r="O1028" i="1"/>
  <c r="N1028" i="1"/>
  <c r="K1028" i="1"/>
  <c r="C1028" i="1"/>
  <c r="B1028" i="1"/>
  <c r="O1027" i="1"/>
  <c r="N1027" i="1"/>
  <c r="K1027" i="1"/>
  <c r="C1027" i="1"/>
  <c r="B1027" i="1"/>
  <c r="O1026" i="1"/>
  <c r="N1026" i="1"/>
  <c r="K1026" i="1"/>
  <c r="L1026" i="1" s="1"/>
  <c r="C1026" i="1"/>
  <c r="B1026" i="1"/>
  <c r="O1025" i="1"/>
  <c r="N1025" i="1"/>
  <c r="K1025" i="1"/>
  <c r="C1025" i="1"/>
  <c r="B1025" i="1"/>
  <c r="O1024" i="1"/>
  <c r="N1024" i="1"/>
  <c r="K1024" i="1"/>
  <c r="L1024" i="1" s="1"/>
  <c r="C1024" i="1"/>
  <c r="B1024" i="1"/>
  <c r="O1023" i="1"/>
  <c r="N1023" i="1"/>
  <c r="K1023" i="1"/>
  <c r="C1023" i="1"/>
  <c r="B1023" i="1"/>
  <c r="O1022" i="1"/>
  <c r="N1022" i="1"/>
  <c r="K1022" i="1"/>
  <c r="L1022" i="1" s="1"/>
  <c r="C1022" i="1"/>
  <c r="B1022" i="1"/>
  <c r="O1021" i="1"/>
  <c r="N1021" i="1"/>
  <c r="K1021" i="1"/>
  <c r="C1021" i="1"/>
  <c r="B1021" i="1"/>
  <c r="O1020" i="1"/>
  <c r="N1020" i="1"/>
  <c r="K1020" i="1"/>
  <c r="C1020" i="1"/>
  <c r="B1020" i="1"/>
  <c r="O1019" i="1"/>
  <c r="N1019" i="1"/>
  <c r="K1019" i="1"/>
  <c r="C1019" i="1"/>
  <c r="B1019" i="1"/>
  <c r="O1018" i="1"/>
  <c r="N1018" i="1"/>
  <c r="K1018" i="1"/>
  <c r="L1018" i="1" s="1"/>
  <c r="C1018" i="1"/>
  <c r="B1018" i="1"/>
  <c r="O1017" i="1"/>
  <c r="N1017" i="1"/>
  <c r="K1017" i="1"/>
  <c r="C1017" i="1"/>
  <c r="B1017" i="1"/>
  <c r="O1016" i="1"/>
  <c r="N1016" i="1"/>
  <c r="K1016" i="1"/>
  <c r="C1016" i="1"/>
  <c r="B1016" i="1"/>
  <c r="O1015" i="1"/>
  <c r="N1015" i="1"/>
  <c r="K1015" i="1"/>
  <c r="L1015" i="1" s="1"/>
  <c r="R1015" i="1" s="1"/>
  <c r="C1015" i="1"/>
  <c r="B1015" i="1"/>
  <c r="O1014" i="1"/>
  <c r="N1014" i="1"/>
  <c r="K1014" i="1"/>
  <c r="L1014" i="1" s="1"/>
  <c r="C1014" i="1"/>
  <c r="B1014" i="1"/>
  <c r="O1013" i="1"/>
  <c r="N1013" i="1"/>
  <c r="K1013" i="1"/>
  <c r="C1013" i="1"/>
  <c r="B1013" i="1"/>
  <c r="O1012" i="1"/>
  <c r="N1012" i="1"/>
  <c r="K1012" i="1"/>
  <c r="C1012" i="1"/>
  <c r="B1012" i="1"/>
  <c r="O1011" i="1"/>
  <c r="N1011" i="1"/>
  <c r="K1011" i="1"/>
  <c r="C1011" i="1"/>
  <c r="B1011" i="1"/>
  <c r="X1010" i="1"/>
  <c r="W1010" i="1"/>
  <c r="S1010" i="1"/>
  <c r="P1010" i="1" s="1"/>
  <c r="O1010" i="1"/>
  <c r="N1010" i="1"/>
  <c r="K1010" i="1"/>
  <c r="C1010" i="1"/>
  <c r="B1010" i="1"/>
  <c r="O1009" i="1"/>
  <c r="N1009" i="1"/>
  <c r="K1009" i="1"/>
  <c r="C1009" i="1"/>
  <c r="B1009" i="1"/>
  <c r="O1008" i="1"/>
  <c r="N1008" i="1"/>
  <c r="K1008" i="1"/>
  <c r="C1008" i="1"/>
  <c r="B1008" i="1"/>
  <c r="O1007" i="1"/>
  <c r="N1007" i="1"/>
  <c r="K1007" i="1"/>
  <c r="L1007" i="1" s="1"/>
  <c r="C1007" i="1"/>
  <c r="B1007" i="1"/>
  <c r="O1006" i="1"/>
  <c r="N1006" i="1"/>
  <c r="K1006" i="1"/>
  <c r="C1006" i="1"/>
  <c r="B1006" i="1"/>
  <c r="O1005" i="1"/>
  <c r="N1005" i="1"/>
  <c r="K1005" i="1"/>
  <c r="C1005" i="1"/>
  <c r="B1005" i="1"/>
  <c r="O1004" i="1"/>
  <c r="N1004" i="1"/>
  <c r="K1004" i="1"/>
  <c r="C1004" i="1"/>
  <c r="B1004" i="1"/>
  <c r="O1003" i="1"/>
  <c r="N1003" i="1"/>
  <c r="K1003" i="1"/>
  <c r="C1003" i="1"/>
  <c r="B1003" i="1"/>
  <c r="O1002" i="1"/>
  <c r="N1002" i="1"/>
  <c r="K1002" i="1"/>
  <c r="C1002" i="1"/>
  <c r="B1002" i="1"/>
  <c r="O1001" i="1"/>
  <c r="N1001" i="1"/>
  <c r="K1001" i="1"/>
  <c r="C1001" i="1"/>
  <c r="B1001" i="1"/>
  <c r="O1000" i="1"/>
  <c r="N1000" i="1"/>
  <c r="K1000" i="1"/>
  <c r="C1000" i="1"/>
  <c r="B1000" i="1"/>
  <c r="O999" i="1"/>
  <c r="N999" i="1"/>
  <c r="K999" i="1"/>
  <c r="L999" i="1" s="1"/>
  <c r="R999" i="1" s="1"/>
  <c r="C999" i="1"/>
  <c r="B999" i="1"/>
  <c r="O998" i="1"/>
  <c r="N998" i="1"/>
  <c r="K998" i="1"/>
  <c r="C998" i="1"/>
  <c r="B998" i="1"/>
  <c r="O997" i="1"/>
  <c r="N997" i="1"/>
  <c r="K997" i="1"/>
  <c r="C997" i="1"/>
  <c r="B997" i="1"/>
  <c r="O996" i="1"/>
  <c r="N996" i="1"/>
  <c r="K996" i="1"/>
  <c r="C996" i="1"/>
  <c r="B996" i="1"/>
  <c r="O995" i="1"/>
  <c r="N995" i="1"/>
  <c r="K995" i="1"/>
  <c r="C995" i="1"/>
  <c r="B995" i="1"/>
  <c r="O994" i="1"/>
  <c r="N994" i="1"/>
  <c r="K994" i="1"/>
  <c r="C994" i="1"/>
  <c r="B994" i="1"/>
  <c r="O993" i="1"/>
  <c r="N993" i="1"/>
  <c r="K993" i="1"/>
  <c r="L993" i="1" s="1"/>
  <c r="C993" i="1"/>
  <c r="B993" i="1"/>
  <c r="O992" i="1"/>
  <c r="N992" i="1"/>
  <c r="K992" i="1"/>
  <c r="L992" i="1" s="1"/>
  <c r="R992" i="1" s="1"/>
  <c r="C992" i="1"/>
  <c r="B992" i="1"/>
  <c r="O991" i="1"/>
  <c r="N991" i="1"/>
  <c r="K991" i="1"/>
  <c r="C991" i="1"/>
  <c r="B991" i="1"/>
  <c r="O990" i="1"/>
  <c r="N990" i="1"/>
  <c r="K990" i="1"/>
  <c r="C990" i="1"/>
  <c r="B990" i="1"/>
  <c r="O989" i="1"/>
  <c r="N989" i="1"/>
  <c r="K989" i="1"/>
  <c r="C989" i="1"/>
  <c r="B989" i="1"/>
  <c r="O988" i="1"/>
  <c r="N988" i="1"/>
  <c r="K988" i="1"/>
  <c r="C988" i="1"/>
  <c r="B988" i="1"/>
  <c r="O987" i="1"/>
  <c r="N987" i="1"/>
  <c r="K987" i="1"/>
  <c r="C987" i="1"/>
  <c r="B987" i="1"/>
  <c r="O986" i="1"/>
  <c r="N986" i="1"/>
  <c r="K986" i="1"/>
  <c r="C986" i="1"/>
  <c r="B986" i="1"/>
  <c r="O985" i="1"/>
  <c r="N985" i="1"/>
  <c r="K985" i="1"/>
  <c r="C985" i="1"/>
  <c r="B985" i="1"/>
  <c r="O984" i="1"/>
  <c r="N984" i="1"/>
  <c r="K984" i="1"/>
  <c r="C984" i="1"/>
  <c r="B984" i="1"/>
  <c r="O983" i="1"/>
  <c r="N983" i="1"/>
  <c r="K983" i="1"/>
  <c r="L983" i="1" s="1"/>
  <c r="C983" i="1"/>
  <c r="B983" i="1"/>
  <c r="O982" i="1"/>
  <c r="N982" i="1"/>
  <c r="K982" i="1"/>
  <c r="C982" i="1"/>
  <c r="B982" i="1"/>
  <c r="O981" i="1"/>
  <c r="N981" i="1"/>
  <c r="K981" i="1"/>
  <c r="L981" i="1" s="1"/>
  <c r="C981" i="1"/>
  <c r="B981" i="1"/>
  <c r="O980" i="1"/>
  <c r="N980" i="1"/>
  <c r="K980" i="1"/>
  <c r="C980" i="1"/>
  <c r="B980" i="1"/>
  <c r="O979" i="1"/>
  <c r="N979" i="1"/>
  <c r="K979" i="1"/>
  <c r="C979" i="1"/>
  <c r="B979" i="1"/>
  <c r="O978" i="1"/>
  <c r="N978" i="1"/>
  <c r="K978" i="1"/>
  <c r="C978" i="1"/>
  <c r="B978" i="1"/>
  <c r="O977" i="1"/>
  <c r="N977" i="1"/>
  <c r="K977" i="1"/>
  <c r="C977" i="1"/>
  <c r="B977" i="1"/>
  <c r="O976" i="1"/>
  <c r="N976" i="1"/>
  <c r="K976" i="1"/>
  <c r="C976" i="1"/>
  <c r="B976" i="1"/>
  <c r="O975" i="1"/>
  <c r="N975" i="1"/>
  <c r="K975" i="1"/>
  <c r="L975" i="1" s="1"/>
  <c r="M975" i="1" s="1"/>
  <c r="C975" i="1"/>
  <c r="B975" i="1"/>
  <c r="O974" i="1"/>
  <c r="N974" i="1"/>
  <c r="K974" i="1"/>
  <c r="C974" i="1"/>
  <c r="B974" i="1"/>
  <c r="O973" i="1"/>
  <c r="N973" i="1"/>
  <c r="K973" i="1"/>
  <c r="L973" i="1" s="1"/>
  <c r="C973" i="1"/>
  <c r="B973" i="1"/>
  <c r="O972" i="1"/>
  <c r="N972" i="1"/>
  <c r="K972" i="1"/>
  <c r="C972" i="1"/>
  <c r="B972" i="1"/>
  <c r="O971" i="1"/>
  <c r="N971" i="1"/>
  <c r="K971" i="1"/>
  <c r="C971" i="1"/>
  <c r="B971" i="1"/>
  <c r="O970" i="1"/>
  <c r="N970" i="1"/>
  <c r="K970" i="1"/>
  <c r="C970" i="1"/>
  <c r="B970" i="1"/>
  <c r="O969" i="1"/>
  <c r="N969" i="1"/>
  <c r="K969" i="1"/>
  <c r="C969" i="1"/>
  <c r="B969" i="1"/>
  <c r="O968" i="1"/>
  <c r="N968" i="1"/>
  <c r="K968" i="1"/>
  <c r="C968" i="1"/>
  <c r="B968" i="1"/>
  <c r="O967" i="1"/>
  <c r="N967" i="1"/>
  <c r="K967" i="1"/>
  <c r="Q967" i="1" s="1"/>
  <c r="C967" i="1"/>
  <c r="B967" i="1"/>
  <c r="O966" i="1"/>
  <c r="N966" i="1"/>
  <c r="K966" i="1"/>
  <c r="C966" i="1"/>
  <c r="B966" i="1"/>
  <c r="O965" i="1"/>
  <c r="N965" i="1"/>
  <c r="K965" i="1"/>
  <c r="C965" i="1"/>
  <c r="B965" i="1"/>
  <c r="O964" i="1"/>
  <c r="N964" i="1"/>
  <c r="K964" i="1"/>
  <c r="C964" i="1"/>
  <c r="B964" i="1"/>
  <c r="O963" i="1"/>
  <c r="N963" i="1"/>
  <c r="K963" i="1"/>
  <c r="C963" i="1"/>
  <c r="B963" i="1"/>
  <c r="O962" i="1"/>
  <c r="N962" i="1"/>
  <c r="K962" i="1"/>
  <c r="C962" i="1"/>
  <c r="B962" i="1"/>
  <c r="O961" i="1"/>
  <c r="N961" i="1"/>
  <c r="K961" i="1"/>
  <c r="C961" i="1"/>
  <c r="B961" i="1"/>
  <c r="O960" i="1"/>
  <c r="N960" i="1"/>
  <c r="K960" i="1"/>
  <c r="C960" i="1"/>
  <c r="B960" i="1"/>
  <c r="O959" i="1"/>
  <c r="N959" i="1"/>
  <c r="K959" i="1"/>
  <c r="C959" i="1"/>
  <c r="B959" i="1"/>
  <c r="O958" i="1"/>
  <c r="N958" i="1"/>
  <c r="K958" i="1"/>
  <c r="C958" i="1"/>
  <c r="B958" i="1"/>
  <c r="O957" i="1"/>
  <c r="N957" i="1"/>
  <c r="K957" i="1"/>
  <c r="C957" i="1"/>
  <c r="B957" i="1"/>
  <c r="O956" i="1"/>
  <c r="N956" i="1"/>
  <c r="K956" i="1"/>
  <c r="C956" i="1"/>
  <c r="B956" i="1"/>
  <c r="O955" i="1"/>
  <c r="N955" i="1"/>
  <c r="K955" i="1"/>
  <c r="C955" i="1"/>
  <c r="B955" i="1"/>
  <c r="O954" i="1"/>
  <c r="N954" i="1"/>
  <c r="K954" i="1"/>
  <c r="C954" i="1"/>
  <c r="B954" i="1"/>
  <c r="O953" i="1"/>
  <c r="N953" i="1"/>
  <c r="K953" i="1"/>
  <c r="C953" i="1"/>
  <c r="B953" i="1"/>
  <c r="O952" i="1"/>
  <c r="N952" i="1"/>
  <c r="K952" i="1"/>
  <c r="L952" i="1" s="1"/>
  <c r="C952" i="1"/>
  <c r="B952" i="1"/>
  <c r="O951" i="1"/>
  <c r="N951" i="1"/>
  <c r="K951" i="1"/>
  <c r="L951" i="1" s="1"/>
  <c r="R951" i="1" s="1"/>
  <c r="C951" i="1"/>
  <c r="B951" i="1"/>
  <c r="O950" i="1"/>
  <c r="N950" i="1"/>
  <c r="K950" i="1"/>
  <c r="C950" i="1"/>
  <c r="B950" i="1"/>
  <c r="O949" i="1"/>
  <c r="N949" i="1"/>
  <c r="K949" i="1"/>
  <c r="C949" i="1"/>
  <c r="B949" i="1"/>
  <c r="O948" i="1"/>
  <c r="N948" i="1"/>
  <c r="K948" i="1"/>
  <c r="L948" i="1" s="1"/>
  <c r="R948" i="1" s="1"/>
  <c r="C948" i="1"/>
  <c r="B948" i="1"/>
  <c r="O947" i="1"/>
  <c r="N947" i="1"/>
  <c r="K947" i="1"/>
  <c r="C947" i="1"/>
  <c r="B947" i="1"/>
  <c r="O946" i="1"/>
  <c r="N946" i="1"/>
  <c r="K946" i="1"/>
  <c r="C946" i="1"/>
  <c r="B946" i="1"/>
  <c r="O945" i="1"/>
  <c r="N945" i="1"/>
  <c r="K945" i="1"/>
  <c r="C945" i="1"/>
  <c r="B945" i="1"/>
  <c r="O944" i="1"/>
  <c r="N944" i="1"/>
  <c r="K944" i="1"/>
  <c r="C944" i="1"/>
  <c r="B944" i="1"/>
  <c r="O943" i="1"/>
  <c r="N943" i="1"/>
  <c r="K943" i="1"/>
  <c r="L943" i="1" s="1"/>
  <c r="C943" i="1"/>
  <c r="B943" i="1"/>
  <c r="O942" i="1"/>
  <c r="N942" i="1"/>
  <c r="K942" i="1"/>
  <c r="C942" i="1"/>
  <c r="B942" i="1"/>
  <c r="O941" i="1"/>
  <c r="N941" i="1"/>
  <c r="K941" i="1"/>
  <c r="L941" i="1" s="1"/>
  <c r="C941" i="1"/>
  <c r="B941" i="1"/>
  <c r="O940" i="1"/>
  <c r="N940" i="1"/>
  <c r="K940" i="1"/>
  <c r="C940" i="1"/>
  <c r="B940" i="1"/>
  <c r="O939" i="1"/>
  <c r="N939" i="1"/>
  <c r="K939" i="1"/>
  <c r="L939" i="1" s="1"/>
  <c r="C939" i="1"/>
  <c r="B939" i="1"/>
  <c r="O938" i="1"/>
  <c r="N938" i="1"/>
  <c r="K938" i="1"/>
  <c r="C938" i="1"/>
  <c r="B938" i="1"/>
  <c r="O937" i="1"/>
  <c r="N937" i="1"/>
  <c r="K937" i="1"/>
  <c r="C937" i="1"/>
  <c r="B937" i="1"/>
  <c r="O936" i="1"/>
  <c r="N936" i="1"/>
  <c r="K936" i="1"/>
  <c r="L936" i="1" s="1"/>
  <c r="C936" i="1"/>
  <c r="B936" i="1"/>
  <c r="O935" i="1"/>
  <c r="N935" i="1"/>
  <c r="K935" i="1"/>
  <c r="L935" i="1" s="1"/>
  <c r="T935" i="1" s="1"/>
  <c r="U935" i="1" s="1"/>
  <c r="V935" i="1" s="1"/>
  <c r="C935" i="1"/>
  <c r="B935" i="1"/>
  <c r="O934" i="1"/>
  <c r="N934" i="1"/>
  <c r="K934" i="1"/>
  <c r="C934" i="1"/>
  <c r="B934" i="1"/>
  <c r="O933" i="1"/>
  <c r="N933" i="1"/>
  <c r="K933" i="1"/>
  <c r="L933" i="1" s="1"/>
  <c r="C933" i="1"/>
  <c r="B933" i="1"/>
  <c r="O932" i="1"/>
  <c r="N932" i="1"/>
  <c r="K932" i="1"/>
  <c r="C932" i="1"/>
  <c r="B932" i="1"/>
  <c r="O931" i="1"/>
  <c r="N931" i="1"/>
  <c r="K931" i="1"/>
  <c r="L931" i="1" s="1"/>
  <c r="C931" i="1"/>
  <c r="B931" i="1"/>
  <c r="O930" i="1"/>
  <c r="N930" i="1"/>
  <c r="K930" i="1"/>
  <c r="C930" i="1"/>
  <c r="B930" i="1"/>
  <c r="O929" i="1"/>
  <c r="N929" i="1"/>
  <c r="K929" i="1"/>
  <c r="C929" i="1"/>
  <c r="B929" i="1"/>
  <c r="O928" i="1"/>
  <c r="N928" i="1"/>
  <c r="K928" i="1"/>
  <c r="L928" i="1" s="1"/>
  <c r="C928" i="1"/>
  <c r="B928" i="1"/>
  <c r="O927" i="1"/>
  <c r="N927" i="1"/>
  <c r="K927" i="1"/>
  <c r="C927" i="1"/>
  <c r="B927" i="1"/>
  <c r="O926" i="1"/>
  <c r="N926" i="1"/>
  <c r="K926" i="1"/>
  <c r="C926" i="1"/>
  <c r="B926" i="1"/>
  <c r="O925" i="1"/>
  <c r="N925" i="1"/>
  <c r="K925" i="1"/>
  <c r="C925" i="1"/>
  <c r="B925" i="1"/>
  <c r="O924" i="1"/>
  <c r="N924" i="1"/>
  <c r="K924" i="1"/>
  <c r="C924" i="1"/>
  <c r="B924" i="1"/>
  <c r="O923" i="1"/>
  <c r="N923" i="1"/>
  <c r="K923" i="1"/>
  <c r="L923" i="1" s="1"/>
  <c r="C923" i="1"/>
  <c r="B923" i="1"/>
  <c r="O922" i="1"/>
  <c r="N922" i="1"/>
  <c r="K922" i="1"/>
  <c r="C922" i="1"/>
  <c r="B922" i="1"/>
  <c r="O921" i="1"/>
  <c r="N921" i="1"/>
  <c r="K921" i="1"/>
  <c r="C921" i="1"/>
  <c r="B921" i="1"/>
  <c r="O920" i="1"/>
  <c r="N920" i="1"/>
  <c r="K920" i="1"/>
  <c r="L920" i="1" s="1"/>
  <c r="C920" i="1"/>
  <c r="B920" i="1"/>
  <c r="O919" i="1"/>
  <c r="N919" i="1"/>
  <c r="K919" i="1"/>
  <c r="C919" i="1"/>
  <c r="B919" i="1"/>
  <c r="X918" i="1"/>
  <c r="W918" i="1"/>
  <c r="S918" i="1"/>
  <c r="P918" i="1"/>
  <c r="O918" i="1"/>
  <c r="N918" i="1"/>
  <c r="K918" i="1"/>
  <c r="C918" i="1"/>
  <c r="B918" i="1"/>
  <c r="O917" i="1"/>
  <c r="N917" i="1"/>
  <c r="K917" i="1"/>
  <c r="C917" i="1"/>
  <c r="B917" i="1"/>
  <c r="O916" i="1"/>
  <c r="N916" i="1"/>
  <c r="K916" i="1"/>
  <c r="C916" i="1"/>
  <c r="B916" i="1"/>
  <c r="O915" i="1"/>
  <c r="N915" i="1"/>
  <c r="K915" i="1"/>
  <c r="L915" i="1" s="1"/>
  <c r="C915" i="1"/>
  <c r="B915" i="1"/>
  <c r="O914" i="1"/>
  <c r="N914" i="1"/>
  <c r="K914" i="1"/>
  <c r="C914" i="1"/>
  <c r="B914" i="1"/>
  <c r="O913" i="1"/>
  <c r="N913" i="1"/>
  <c r="K913" i="1"/>
  <c r="C913" i="1"/>
  <c r="B913" i="1"/>
  <c r="O912" i="1"/>
  <c r="N912" i="1"/>
  <c r="K912" i="1"/>
  <c r="L912" i="1" s="1"/>
  <c r="C912" i="1"/>
  <c r="B912" i="1"/>
  <c r="O911" i="1"/>
  <c r="N911" i="1"/>
  <c r="K911" i="1"/>
  <c r="C911" i="1"/>
  <c r="B911" i="1"/>
  <c r="O910" i="1"/>
  <c r="N910" i="1"/>
  <c r="K910" i="1"/>
  <c r="C910" i="1"/>
  <c r="B910" i="1"/>
  <c r="O909" i="1"/>
  <c r="N909" i="1"/>
  <c r="K909" i="1"/>
  <c r="C909" i="1"/>
  <c r="B909" i="1"/>
  <c r="O908" i="1"/>
  <c r="N908" i="1"/>
  <c r="K908" i="1"/>
  <c r="C908" i="1"/>
  <c r="B908" i="1"/>
  <c r="O907" i="1"/>
  <c r="N907" i="1"/>
  <c r="K907" i="1"/>
  <c r="L907" i="1" s="1"/>
  <c r="C907" i="1"/>
  <c r="B907" i="1"/>
  <c r="O906" i="1"/>
  <c r="N906" i="1"/>
  <c r="K906" i="1"/>
  <c r="C906" i="1"/>
  <c r="B906" i="1"/>
  <c r="O905" i="1"/>
  <c r="N905" i="1"/>
  <c r="K905" i="1"/>
  <c r="C905" i="1"/>
  <c r="B905" i="1"/>
  <c r="O904" i="1"/>
  <c r="N904" i="1"/>
  <c r="K904" i="1"/>
  <c r="L904" i="1" s="1"/>
  <c r="C904" i="1"/>
  <c r="B904" i="1"/>
  <c r="O903" i="1"/>
  <c r="N903" i="1"/>
  <c r="K903" i="1"/>
  <c r="C903" i="1"/>
  <c r="B903" i="1"/>
  <c r="O902" i="1"/>
  <c r="N902" i="1"/>
  <c r="K902" i="1"/>
  <c r="C902" i="1"/>
  <c r="B902" i="1"/>
  <c r="O901" i="1"/>
  <c r="N901" i="1"/>
  <c r="K901" i="1"/>
  <c r="C901" i="1"/>
  <c r="B901" i="1"/>
  <c r="O900" i="1"/>
  <c r="N900" i="1"/>
  <c r="K900" i="1"/>
  <c r="C900" i="1"/>
  <c r="B900" i="1"/>
  <c r="O899" i="1"/>
  <c r="N899" i="1"/>
  <c r="K899" i="1"/>
  <c r="L899" i="1" s="1"/>
  <c r="C899" i="1"/>
  <c r="B899" i="1"/>
  <c r="O898" i="1"/>
  <c r="N898" i="1"/>
  <c r="K898" i="1"/>
  <c r="C898" i="1"/>
  <c r="B898" i="1"/>
  <c r="O897" i="1"/>
  <c r="N897" i="1"/>
  <c r="K897" i="1"/>
  <c r="C897" i="1"/>
  <c r="B897" i="1"/>
  <c r="O896" i="1"/>
  <c r="N896" i="1"/>
  <c r="K896" i="1"/>
  <c r="L896" i="1" s="1"/>
  <c r="C896" i="1"/>
  <c r="B896" i="1"/>
  <c r="O895" i="1"/>
  <c r="N895" i="1"/>
  <c r="K895" i="1"/>
  <c r="L895" i="1" s="1"/>
  <c r="T895" i="1" s="1"/>
  <c r="U895" i="1" s="1"/>
  <c r="V895" i="1" s="1"/>
  <c r="C895" i="1"/>
  <c r="B895" i="1"/>
  <c r="O894" i="1"/>
  <c r="N894" i="1"/>
  <c r="K894" i="1"/>
  <c r="C894" i="1"/>
  <c r="B894" i="1"/>
  <c r="O893" i="1"/>
  <c r="N893" i="1"/>
  <c r="K893" i="1"/>
  <c r="C893" i="1"/>
  <c r="B893" i="1"/>
  <c r="O892" i="1"/>
  <c r="N892" i="1"/>
  <c r="K892" i="1"/>
  <c r="C892" i="1"/>
  <c r="B892" i="1"/>
  <c r="D892" i="1" s="1"/>
  <c r="O891" i="1"/>
  <c r="N891" i="1"/>
  <c r="K891" i="1"/>
  <c r="L891" i="1" s="1"/>
  <c r="C891" i="1"/>
  <c r="B891" i="1"/>
  <c r="O890" i="1"/>
  <c r="N890" i="1"/>
  <c r="K890" i="1"/>
  <c r="C890" i="1"/>
  <c r="B890" i="1"/>
  <c r="O889" i="1"/>
  <c r="N889" i="1"/>
  <c r="K889" i="1"/>
  <c r="C889" i="1"/>
  <c r="B889" i="1"/>
  <c r="O888" i="1"/>
  <c r="N888" i="1"/>
  <c r="K888" i="1"/>
  <c r="L888" i="1" s="1"/>
  <c r="C888" i="1"/>
  <c r="B888" i="1"/>
  <c r="O887" i="1"/>
  <c r="N887" i="1"/>
  <c r="K887" i="1"/>
  <c r="C887" i="1"/>
  <c r="B887" i="1"/>
  <c r="O886" i="1"/>
  <c r="N886" i="1"/>
  <c r="K886" i="1"/>
  <c r="C886" i="1"/>
  <c r="B886" i="1"/>
  <c r="O885" i="1"/>
  <c r="N885" i="1"/>
  <c r="K885" i="1"/>
  <c r="C885" i="1"/>
  <c r="B885" i="1"/>
  <c r="O884" i="1"/>
  <c r="N884" i="1"/>
  <c r="K884" i="1"/>
  <c r="C884" i="1"/>
  <c r="B884" i="1"/>
  <c r="O883" i="1"/>
  <c r="N883" i="1"/>
  <c r="K883" i="1"/>
  <c r="L883" i="1" s="1"/>
  <c r="C883" i="1"/>
  <c r="B883" i="1"/>
  <c r="O882" i="1"/>
  <c r="N882" i="1"/>
  <c r="K882" i="1"/>
  <c r="C882" i="1"/>
  <c r="B882" i="1"/>
  <c r="O881" i="1"/>
  <c r="N881" i="1"/>
  <c r="K881" i="1"/>
  <c r="C881" i="1"/>
  <c r="B881" i="1"/>
  <c r="O880" i="1"/>
  <c r="N880" i="1"/>
  <c r="K880" i="1"/>
  <c r="L880" i="1" s="1"/>
  <c r="C880" i="1"/>
  <c r="B880" i="1"/>
  <c r="O879" i="1"/>
  <c r="N879" i="1"/>
  <c r="K879" i="1"/>
  <c r="C879" i="1"/>
  <c r="B879" i="1"/>
  <c r="O878" i="1"/>
  <c r="N878" i="1"/>
  <c r="K878" i="1"/>
  <c r="C878" i="1"/>
  <c r="B878" i="1"/>
  <c r="O877" i="1"/>
  <c r="N877" i="1"/>
  <c r="K877" i="1"/>
  <c r="L877" i="1" s="1"/>
  <c r="C877" i="1"/>
  <c r="B877" i="1"/>
  <c r="O876" i="1"/>
  <c r="N876" i="1"/>
  <c r="K876" i="1"/>
  <c r="C876" i="1"/>
  <c r="B876" i="1"/>
  <c r="O875" i="1"/>
  <c r="N875" i="1"/>
  <c r="K875" i="1"/>
  <c r="L875" i="1" s="1"/>
  <c r="C875" i="1"/>
  <c r="B875" i="1"/>
  <c r="O874" i="1"/>
  <c r="N874" i="1"/>
  <c r="K874" i="1"/>
  <c r="C874" i="1"/>
  <c r="B874" i="1"/>
  <c r="O873" i="1"/>
  <c r="N873" i="1"/>
  <c r="K873" i="1"/>
  <c r="C873" i="1"/>
  <c r="B873" i="1"/>
  <c r="O872" i="1"/>
  <c r="N872" i="1"/>
  <c r="K872" i="1"/>
  <c r="L872" i="1" s="1"/>
  <c r="C872" i="1"/>
  <c r="B872" i="1"/>
  <c r="O871" i="1"/>
  <c r="N871" i="1"/>
  <c r="K871" i="1"/>
  <c r="C871" i="1"/>
  <c r="B871" i="1"/>
  <c r="O870" i="1"/>
  <c r="N870" i="1"/>
  <c r="K870" i="1"/>
  <c r="C870" i="1"/>
  <c r="B870" i="1"/>
  <c r="O869" i="1"/>
  <c r="N869" i="1"/>
  <c r="K869" i="1"/>
  <c r="C869" i="1"/>
  <c r="B869" i="1"/>
  <c r="O868" i="1"/>
  <c r="N868" i="1"/>
  <c r="K868" i="1"/>
  <c r="C868" i="1"/>
  <c r="B868" i="1"/>
  <c r="O867" i="1"/>
  <c r="N867" i="1"/>
  <c r="K867" i="1"/>
  <c r="L867" i="1" s="1"/>
  <c r="C867" i="1"/>
  <c r="B867" i="1"/>
  <c r="O866" i="1"/>
  <c r="N866" i="1"/>
  <c r="K866" i="1"/>
  <c r="C866" i="1"/>
  <c r="B866" i="1"/>
  <c r="O865" i="1"/>
  <c r="N865" i="1"/>
  <c r="K865" i="1"/>
  <c r="C865" i="1"/>
  <c r="B865" i="1"/>
  <c r="O864" i="1"/>
  <c r="N864" i="1"/>
  <c r="K864" i="1"/>
  <c r="L864" i="1" s="1"/>
  <c r="C864" i="1"/>
  <c r="B864" i="1"/>
  <c r="O863" i="1"/>
  <c r="N863" i="1"/>
  <c r="K863" i="1"/>
  <c r="C863" i="1"/>
  <c r="B863" i="1"/>
  <c r="O862" i="1"/>
  <c r="N862" i="1"/>
  <c r="K862" i="1"/>
  <c r="C862" i="1"/>
  <c r="B862" i="1"/>
  <c r="D862" i="1" s="1"/>
  <c r="O861" i="1"/>
  <c r="N861" i="1"/>
  <c r="K861" i="1"/>
  <c r="C861" i="1"/>
  <c r="B861" i="1"/>
  <c r="O860" i="1"/>
  <c r="N860" i="1"/>
  <c r="K860" i="1"/>
  <c r="L860" i="1" s="1"/>
  <c r="C860" i="1"/>
  <c r="B860" i="1"/>
  <c r="O859" i="1"/>
  <c r="N859" i="1"/>
  <c r="K859" i="1"/>
  <c r="L859" i="1" s="1"/>
  <c r="C859" i="1"/>
  <c r="B859" i="1"/>
  <c r="O858" i="1"/>
  <c r="N858" i="1"/>
  <c r="K858" i="1"/>
  <c r="C858" i="1"/>
  <c r="B858" i="1"/>
  <c r="O857" i="1"/>
  <c r="N857" i="1"/>
  <c r="K857" i="1"/>
  <c r="C857" i="1"/>
  <c r="B857" i="1"/>
  <c r="O856" i="1"/>
  <c r="N856" i="1"/>
  <c r="K856" i="1"/>
  <c r="L856" i="1" s="1"/>
  <c r="C856" i="1"/>
  <c r="B856" i="1"/>
  <c r="O855" i="1"/>
  <c r="N855" i="1"/>
  <c r="K855" i="1"/>
  <c r="L855" i="1" s="1"/>
  <c r="T855" i="1" s="1"/>
  <c r="U855" i="1" s="1"/>
  <c r="V855" i="1" s="1"/>
  <c r="C855" i="1"/>
  <c r="B855" i="1"/>
  <c r="D855" i="1" s="1"/>
  <c r="O854" i="1"/>
  <c r="N854" i="1"/>
  <c r="K854" i="1"/>
  <c r="C854" i="1"/>
  <c r="B854" i="1"/>
  <c r="O853" i="1"/>
  <c r="N853" i="1"/>
  <c r="S853" i="1" s="1"/>
  <c r="K853" i="1"/>
  <c r="L853" i="1" s="1"/>
  <c r="C853" i="1"/>
  <c r="B853" i="1"/>
  <c r="O852" i="1"/>
  <c r="N852" i="1"/>
  <c r="K852" i="1"/>
  <c r="L852" i="1" s="1"/>
  <c r="C852" i="1"/>
  <c r="B852" i="1"/>
  <c r="O851" i="1"/>
  <c r="N851" i="1"/>
  <c r="K851" i="1"/>
  <c r="L851" i="1" s="1"/>
  <c r="C851" i="1"/>
  <c r="B851" i="1"/>
  <c r="O850" i="1"/>
  <c r="N850" i="1"/>
  <c r="K850" i="1"/>
  <c r="C850" i="1"/>
  <c r="B850" i="1"/>
  <c r="D850" i="1" s="1"/>
  <c r="O849" i="1"/>
  <c r="N849" i="1"/>
  <c r="K849" i="1"/>
  <c r="C849" i="1"/>
  <c r="B849" i="1"/>
  <c r="O848" i="1"/>
  <c r="N848" i="1"/>
  <c r="K848" i="1"/>
  <c r="L848" i="1" s="1"/>
  <c r="C848" i="1"/>
  <c r="B848" i="1"/>
  <c r="O847" i="1"/>
  <c r="N847" i="1"/>
  <c r="K847" i="1"/>
  <c r="L847" i="1" s="1"/>
  <c r="T847" i="1" s="1"/>
  <c r="U847" i="1" s="1"/>
  <c r="V847" i="1" s="1"/>
  <c r="C847" i="1"/>
  <c r="B847" i="1"/>
  <c r="O846" i="1"/>
  <c r="N846" i="1"/>
  <c r="K846" i="1"/>
  <c r="C846" i="1"/>
  <c r="B846" i="1"/>
  <c r="O845" i="1"/>
  <c r="N845" i="1"/>
  <c r="K845" i="1"/>
  <c r="L845" i="1" s="1"/>
  <c r="C845" i="1"/>
  <c r="B845" i="1"/>
  <c r="O844" i="1"/>
  <c r="N844" i="1"/>
  <c r="K844" i="1"/>
  <c r="L844" i="1" s="1"/>
  <c r="C844" i="1"/>
  <c r="B844" i="1"/>
  <c r="O843" i="1"/>
  <c r="N843" i="1"/>
  <c r="K843" i="1"/>
  <c r="L843" i="1" s="1"/>
  <c r="C843" i="1"/>
  <c r="B843" i="1"/>
  <c r="O842" i="1"/>
  <c r="N842" i="1"/>
  <c r="K842" i="1"/>
  <c r="C842" i="1"/>
  <c r="B842" i="1"/>
  <c r="O841" i="1"/>
  <c r="N841" i="1"/>
  <c r="K841" i="1"/>
  <c r="C841" i="1"/>
  <c r="B841" i="1"/>
  <c r="O840" i="1"/>
  <c r="N840" i="1"/>
  <c r="K840" i="1"/>
  <c r="L840" i="1" s="1"/>
  <c r="C840" i="1"/>
  <c r="B840" i="1"/>
  <c r="O839" i="1"/>
  <c r="N839" i="1"/>
  <c r="K839" i="1"/>
  <c r="C839" i="1"/>
  <c r="B839" i="1"/>
  <c r="O838" i="1"/>
  <c r="N838" i="1"/>
  <c r="K838" i="1"/>
  <c r="C838" i="1"/>
  <c r="B838" i="1"/>
  <c r="O837" i="1"/>
  <c r="N837" i="1"/>
  <c r="K837" i="1"/>
  <c r="C837" i="1"/>
  <c r="B837" i="1"/>
  <c r="O836" i="1"/>
  <c r="N836" i="1"/>
  <c r="K836" i="1"/>
  <c r="L836" i="1" s="1"/>
  <c r="C836" i="1"/>
  <c r="B836" i="1"/>
  <c r="O835" i="1"/>
  <c r="N835" i="1"/>
  <c r="K835" i="1"/>
  <c r="L835" i="1" s="1"/>
  <c r="C835" i="1"/>
  <c r="B835" i="1"/>
  <c r="O834" i="1"/>
  <c r="N834" i="1"/>
  <c r="K834" i="1"/>
  <c r="C834" i="1"/>
  <c r="B834" i="1"/>
  <c r="O833" i="1"/>
  <c r="N833" i="1"/>
  <c r="K833" i="1"/>
  <c r="C833" i="1"/>
  <c r="B833" i="1"/>
  <c r="O832" i="1"/>
  <c r="N832" i="1"/>
  <c r="K832" i="1"/>
  <c r="L832" i="1" s="1"/>
  <c r="C832" i="1"/>
  <c r="B832" i="1"/>
  <c r="O831" i="1"/>
  <c r="N831" i="1"/>
  <c r="K831" i="1"/>
  <c r="C831" i="1"/>
  <c r="B831" i="1"/>
  <c r="D831" i="1" s="1"/>
  <c r="O830" i="1"/>
  <c r="N830" i="1"/>
  <c r="K830" i="1"/>
  <c r="C830" i="1"/>
  <c r="B830" i="1"/>
  <c r="O829" i="1"/>
  <c r="N829" i="1"/>
  <c r="K829" i="1"/>
  <c r="C829" i="1"/>
  <c r="B829" i="1"/>
  <c r="O828" i="1"/>
  <c r="N828" i="1"/>
  <c r="K828" i="1"/>
  <c r="L828" i="1" s="1"/>
  <c r="C828" i="1"/>
  <c r="B828" i="1"/>
  <c r="X827" i="1"/>
  <c r="W827" i="1"/>
  <c r="S827" i="1"/>
  <c r="P827" i="1" s="1"/>
  <c r="O827" i="1"/>
  <c r="N827" i="1"/>
  <c r="K827" i="1"/>
  <c r="C827" i="1"/>
  <c r="B827" i="1"/>
  <c r="O826" i="1"/>
  <c r="N826" i="1"/>
  <c r="K826" i="1"/>
  <c r="C826" i="1"/>
  <c r="B826" i="1"/>
  <c r="O825" i="1"/>
  <c r="N825" i="1"/>
  <c r="K825" i="1"/>
  <c r="C825" i="1"/>
  <c r="B825" i="1"/>
  <c r="O824" i="1"/>
  <c r="N824" i="1"/>
  <c r="K824" i="1"/>
  <c r="L824" i="1" s="1"/>
  <c r="C824" i="1"/>
  <c r="B824" i="1"/>
  <c r="O823" i="1"/>
  <c r="N823" i="1"/>
  <c r="K823" i="1"/>
  <c r="C823" i="1"/>
  <c r="B823" i="1"/>
  <c r="O822" i="1"/>
  <c r="N822" i="1"/>
  <c r="K822" i="1"/>
  <c r="L822" i="1" s="1"/>
  <c r="T822" i="1" s="1"/>
  <c r="U822" i="1" s="1"/>
  <c r="V822" i="1" s="1"/>
  <c r="C822" i="1"/>
  <c r="B822" i="1"/>
  <c r="O821" i="1"/>
  <c r="N821" i="1"/>
  <c r="K821" i="1"/>
  <c r="C821" i="1"/>
  <c r="B821" i="1"/>
  <c r="O820" i="1"/>
  <c r="N820" i="1"/>
  <c r="K820" i="1"/>
  <c r="L820" i="1" s="1"/>
  <c r="C820" i="1"/>
  <c r="B820" i="1"/>
  <c r="O819" i="1"/>
  <c r="N819" i="1"/>
  <c r="K819" i="1"/>
  <c r="C819" i="1"/>
  <c r="B819" i="1"/>
  <c r="O818" i="1"/>
  <c r="N818" i="1"/>
  <c r="K818" i="1"/>
  <c r="L818" i="1" s="1"/>
  <c r="C818" i="1"/>
  <c r="B818" i="1"/>
  <c r="O817" i="1"/>
  <c r="N817" i="1"/>
  <c r="K817" i="1"/>
  <c r="C817" i="1"/>
  <c r="B817" i="1"/>
  <c r="O816" i="1"/>
  <c r="N816" i="1"/>
  <c r="K816" i="1"/>
  <c r="L816" i="1" s="1"/>
  <c r="C816" i="1"/>
  <c r="B816" i="1"/>
  <c r="O815" i="1"/>
  <c r="N815" i="1"/>
  <c r="K815" i="1"/>
  <c r="C815" i="1"/>
  <c r="B815" i="1"/>
  <c r="O814" i="1"/>
  <c r="N814" i="1"/>
  <c r="K814" i="1"/>
  <c r="C814" i="1"/>
  <c r="B814" i="1"/>
  <c r="O813" i="1"/>
  <c r="N813" i="1"/>
  <c r="K813" i="1"/>
  <c r="C813" i="1"/>
  <c r="B813" i="1"/>
  <c r="O812" i="1"/>
  <c r="N812" i="1"/>
  <c r="K812" i="1"/>
  <c r="L812" i="1" s="1"/>
  <c r="C812" i="1"/>
  <c r="B812" i="1"/>
  <c r="O811" i="1"/>
  <c r="N811" i="1"/>
  <c r="K811" i="1"/>
  <c r="C811" i="1"/>
  <c r="B811" i="1"/>
  <c r="O810" i="1"/>
  <c r="N810" i="1"/>
  <c r="K810" i="1"/>
  <c r="L810" i="1" s="1"/>
  <c r="R810" i="1" s="1"/>
  <c r="C810" i="1"/>
  <c r="B810" i="1"/>
  <c r="O809" i="1"/>
  <c r="N809" i="1"/>
  <c r="K809" i="1"/>
  <c r="C809" i="1"/>
  <c r="B809" i="1"/>
  <c r="O808" i="1"/>
  <c r="N808" i="1"/>
  <c r="K808" i="1"/>
  <c r="L808" i="1" s="1"/>
  <c r="C808" i="1"/>
  <c r="B808" i="1"/>
  <c r="O807" i="1"/>
  <c r="N807" i="1"/>
  <c r="K807" i="1"/>
  <c r="C807" i="1"/>
  <c r="B807" i="1"/>
  <c r="O806" i="1"/>
  <c r="N806" i="1"/>
  <c r="K806" i="1"/>
  <c r="C806" i="1"/>
  <c r="B806" i="1"/>
  <c r="O805" i="1"/>
  <c r="N805" i="1"/>
  <c r="K805" i="1"/>
  <c r="C805" i="1"/>
  <c r="B805" i="1"/>
  <c r="O804" i="1"/>
  <c r="N804" i="1"/>
  <c r="K804" i="1"/>
  <c r="L804" i="1" s="1"/>
  <c r="C804" i="1"/>
  <c r="B804" i="1"/>
  <c r="O803" i="1"/>
  <c r="N803" i="1"/>
  <c r="K803" i="1"/>
  <c r="C803" i="1"/>
  <c r="B803" i="1"/>
  <c r="O802" i="1"/>
  <c r="N802" i="1"/>
  <c r="K802" i="1"/>
  <c r="C802" i="1"/>
  <c r="B802" i="1"/>
  <c r="O801" i="1"/>
  <c r="N801" i="1"/>
  <c r="K801" i="1"/>
  <c r="C801" i="1"/>
  <c r="B801" i="1"/>
  <c r="O800" i="1"/>
  <c r="N800" i="1"/>
  <c r="K800" i="1"/>
  <c r="L800" i="1" s="1"/>
  <c r="C800" i="1"/>
  <c r="B800" i="1"/>
  <c r="O799" i="1"/>
  <c r="N799" i="1"/>
  <c r="K799" i="1"/>
  <c r="C799" i="1"/>
  <c r="B799" i="1"/>
  <c r="O798" i="1"/>
  <c r="N798" i="1"/>
  <c r="K798" i="1"/>
  <c r="C798" i="1"/>
  <c r="B798" i="1"/>
  <c r="O797" i="1"/>
  <c r="N797" i="1"/>
  <c r="K797" i="1"/>
  <c r="C797" i="1"/>
  <c r="B797" i="1"/>
  <c r="O796" i="1"/>
  <c r="N796" i="1"/>
  <c r="K796" i="1"/>
  <c r="L796" i="1" s="1"/>
  <c r="C796" i="1"/>
  <c r="B796" i="1"/>
  <c r="O795" i="1"/>
  <c r="N795" i="1"/>
  <c r="K795" i="1"/>
  <c r="C795" i="1"/>
  <c r="B795" i="1"/>
  <c r="O794" i="1"/>
  <c r="N794" i="1"/>
  <c r="K794" i="1"/>
  <c r="C794" i="1"/>
  <c r="B794" i="1"/>
  <c r="O793" i="1"/>
  <c r="N793" i="1"/>
  <c r="K793" i="1"/>
  <c r="C793" i="1"/>
  <c r="B793" i="1"/>
  <c r="O792" i="1"/>
  <c r="N792" i="1"/>
  <c r="K792" i="1"/>
  <c r="L792" i="1" s="1"/>
  <c r="C792" i="1"/>
  <c r="B792" i="1"/>
  <c r="O791" i="1"/>
  <c r="N791" i="1"/>
  <c r="K791" i="1"/>
  <c r="C791" i="1"/>
  <c r="B791" i="1"/>
  <c r="O790" i="1"/>
  <c r="N790" i="1"/>
  <c r="K790" i="1"/>
  <c r="C790" i="1"/>
  <c r="B790" i="1"/>
  <c r="O789" i="1"/>
  <c r="N789" i="1"/>
  <c r="K789" i="1"/>
  <c r="C789" i="1"/>
  <c r="B789" i="1"/>
  <c r="O788" i="1"/>
  <c r="N788" i="1"/>
  <c r="K788" i="1"/>
  <c r="L788" i="1" s="1"/>
  <c r="C788" i="1"/>
  <c r="B788" i="1"/>
  <c r="O787" i="1"/>
  <c r="N787" i="1"/>
  <c r="K787" i="1"/>
  <c r="C787" i="1"/>
  <c r="B787" i="1"/>
  <c r="O786" i="1"/>
  <c r="N786" i="1"/>
  <c r="K786" i="1"/>
  <c r="L786" i="1" s="1"/>
  <c r="T786" i="1" s="1"/>
  <c r="U786" i="1" s="1"/>
  <c r="V786" i="1" s="1"/>
  <c r="C786" i="1"/>
  <c r="B786" i="1"/>
  <c r="O785" i="1"/>
  <c r="N785" i="1"/>
  <c r="K785" i="1"/>
  <c r="C785" i="1"/>
  <c r="B785" i="1"/>
  <c r="O784" i="1"/>
  <c r="N784" i="1"/>
  <c r="K784" i="1"/>
  <c r="L784" i="1" s="1"/>
  <c r="C784" i="1"/>
  <c r="B784" i="1"/>
  <c r="O783" i="1"/>
  <c r="N783" i="1"/>
  <c r="K783" i="1"/>
  <c r="C783" i="1"/>
  <c r="B783" i="1"/>
  <c r="O782" i="1"/>
  <c r="N782" i="1"/>
  <c r="K782" i="1"/>
  <c r="C782" i="1"/>
  <c r="B782" i="1"/>
  <c r="O781" i="1"/>
  <c r="N781" i="1"/>
  <c r="K781" i="1"/>
  <c r="L781" i="1" s="1"/>
  <c r="C781" i="1"/>
  <c r="B781" i="1"/>
  <c r="O780" i="1"/>
  <c r="N780" i="1"/>
  <c r="K780" i="1"/>
  <c r="L780" i="1" s="1"/>
  <c r="C780" i="1"/>
  <c r="B780" i="1"/>
  <c r="O779" i="1"/>
  <c r="N779" i="1"/>
  <c r="K779" i="1"/>
  <c r="C779" i="1"/>
  <c r="B779" i="1"/>
  <c r="O778" i="1"/>
  <c r="N778" i="1"/>
  <c r="K778" i="1"/>
  <c r="C778" i="1"/>
  <c r="B778" i="1"/>
  <c r="O777" i="1"/>
  <c r="N777" i="1"/>
  <c r="K777" i="1"/>
  <c r="C777" i="1"/>
  <c r="B777" i="1"/>
  <c r="O776" i="1"/>
  <c r="N776" i="1"/>
  <c r="K776" i="1"/>
  <c r="L776" i="1" s="1"/>
  <c r="C776" i="1"/>
  <c r="B776" i="1"/>
  <c r="O775" i="1"/>
  <c r="N775" i="1"/>
  <c r="X774" i="1" s="1"/>
  <c r="K775" i="1"/>
  <c r="C775" i="1"/>
  <c r="B775" i="1"/>
  <c r="O774" i="1"/>
  <c r="N774" i="1"/>
  <c r="K774" i="1"/>
  <c r="C774" i="1"/>
  <c r="B774" i="1"/>
  <c r="O773" i="1"/>
  <c r="N773" i="1"/>
  <c r="K773" i="1"/>
  <c r="C773" i="1"/>
  <c r="B773" i="1"/>
  <c r="O772" i="1"/>
  <c r="N772" i="1"/>
  <c r="W771" i="1" s="1"/>
  <c r="K772" i="1"/>
  <c r="L772" i="1" s="1"/>
  <c r="C772" i="1"/>
  <c r="B772" i="1"/>
  <c r="O771" i="1"/>
  <c r="N771" i="1"/>
  <c r="K771" i="1"/>
  <c r="C771" i="1"/>
  <c r="B771" i="1"/>
  <c r="O770" i="1"/>
  <c r="N770" i="1"/>
  <c r="K770" i="1"/>
  <c r="L770" i="1" s="1"/>
  <c r="R770" i="1" s="1"/>
  <c r="C770" i="1"/>
  <c r="B770" i="1"/>
  <c r="O769" i="1"/>
  <c r="N769" i="1"/>
  <c r="K769" i="1"/>
  <c r="C769" i="1"/>
  <c r="B769" i="1"/>
  <c r="O768" i="1"/>
  <c r="N768" i="1"/>
  <c r="K768" i="1"/>
  <c r="L768" i="1" s="1"/>
  <c r="C768" i="1"/>
  <c r="B768" i="1"/>
  <c r="O767" i="1"/>
  <c r="N767" i="1"/>
  <c r="X767" i="1" s="1"/>
  <c r="K767" i="1"/>
  <c r="C767" i="1"/>
  <c r="B767" i="1"/>
  <c r="O766" i="1"/>
  <c r="N766" i="1"/>
  <c r="K766" i="1"/>
  <c r="C766" i="1"/>
  <c r="B766" i="1"/>
  <c r="O765" i="1"/>
  <c r="N765" i="1"/>
  <c r="K765" i="1"/>
  <c r="L765" i="1" s="1"/>
  <c r="R765" i="1" s="1"/>
  <c r="C765" i="1"/>
  <c r="B765" i="1"/>
  <c r="O764" i="1"/>
  <c r="N764" i="1"/>
  <c r="K764" i="1"/>
  <c r="L764" i="1" s="1"/>
  <c r="C764" i="1"/>
  <c r="B764" i="1"/>
  <c r="O763" i="1"/>
  <c r="N763" i="1"/>
  <c r="K763" i="1"/>
  <c r="C763" i="1"/>
  <c r="B763" i="1"/>
  <c r="O762" i="1"/>
  <c r="N762" i="1"/>
  <c r="K762" i="1"/>
  <c r="C762" i="1"/>
  <c r="B762" i="1"/>
  <c r="O761" i="1"/>
  <c r="N761" i="1"/>
  <c r="K761" i="1"/>
  <c r="C761" i="1"/>
  <c r="B761" i="1"/>
  <c r="O760" i="1"/>
  <c r="N760" i="1"/>
  <c r="K760" i="1"/>
  <c r="L760" i="1" s="1"/>
  <c r="C760" i="1"/>
  <c r="B760" i="1"/>
  <c r="O759" i="1"/>
  <c r="N759" i="1"/>
  <c r="K759" i="1"/>
  <c r="C759" i="1"/>
  <c r="B759" i="1"/>
  <c r="O758" i="1"/>
  <c r="N758" i="1"/>
  <c r="K758" i="1"/>
  <c r="L758" i="1" s="1"/>
  <c r="C758" i="1"/>
  <c r="B758" i="1"/>
  <c r="O757" i="1"/>
  <c r="N757" i="1"/>
  <c r="K757" i="1"/>
  <c r="C757" i="1"/>
  <c r="B757" i="1"/>
  <c r="O756" i="1"/>
  <c r="N756" i="1"/>
  <c r="K756" i="1"/>
  <c r="L756" i="1" s="1"/>
  <c r="C756" i="1"/>
  <c r="B756" i="1"/>
  <c r="O755" i="1"/>
  <c r="N755" i="1"/>
  <c r="K755" i="1"/>
  <c r="C755" i="1"/>
  <c r="B755" i="1"/>
  <c r="O754" i="1"/>
  <c r="N754" i="1"/>
  <c r="K754" i="1"/>
  <c r="C754" i="1"/>
  <c r="B754" i="1"/>
  <c r="O753" i="1"/>
  <c r="N753" i="1"/>
  <c r="K753" i="1"/>
  <c r="C753" i="1"/>
  <c r="B753" i="1"/>
  <c r="O752" i="1"/>
  <c r="N752" i="1"/>
  <c r="K752" i="1"/>
  <c r="C752" i="1"/>
  <c r="B752" i="1"/>
  <c r="O751" i="1"/>
  <c r="N751" i="1"/>
  <c r="K751" i="1"/>
  <c r="C751" i="1"/>
  <c r="B751" i="1"/>
  <c r="O750" i="1"/>
  <c r="N750" i="1"/>
  <c r="K750" i="1"/>
  <c r="C750" i="1"/>
  <c r="B750" i="1"/>
  <c r="O749" i="1"/>
  <c r="N749" i="1"/>
  <c r="K749" i="1"/>
  <c r="C749" i="1"/>
  <c r="B749" i="1"/>
  <c r="O748" i="1"/>
  <c r="N748" i="1"/>
  <c r="K748" i="1"/>
  <c r="L748" i="1" s="1"/>
  <c r="C748" i="1"/>
  <c r="B748" i="1"/>
  <c r="O747" i="1"/>
  <c r="N747" i="1"/>
  <c r="K747" i="1"/>
  <c r="C747" i="1"/>
  <c r="B747" i="1"/>
  <c r="O746" i="1"/>
  <c r="N746" i="1"/>
  <c r="K746" i="1"/>
  <c r="C746" i="1"/>
  <c r="B746" i="1"/>
  <c r="O745" i="1"/>
  <c r="N745" i="1"/>
  <c r="K745" i="1"/>
  <c r="C745" i="1"/>
  <c r="B745" i="1"/>
  <c r="O744" i="1"/>
  <c r="N744" i="1"/>
  <c r="K744" i="1"/>
  <c r="L744" i="1" s="1"/>
  <c r="T744" i="1" s="1"/>
  <c r="U744" i="1" s="1"/>
  <c r="V744" i="1" s="1"/>
  <c r="C744" i="1"/>
  <c r="B744" i="1"/>
  <c r="O743" i="1"/>
  <c r="N743" i="1"/>
  <c r="K743" i="1"/>
  <c r="C743" i="1"/>
  <c r="B743" i="1"/>
  <c r="O742" i="1"/>
  <c r="N742" i="1"/>
  <c r="K742" i="1"/>
  <c r="L742" i="1" s="1"/>
  <c r="C742" i="1"/>
  <c r="B742" i="1"/>
  <c r="O741" i="1"/>
  <c r="N741" i="1"/>
  <c r="K741" i="1"/>
  <c r="L741" i="1" s="1"/>
  <c r="C741" i="1"/>
  <c r="B741" i="1"/>
  <c r="O740" i="1"/>
  <c r="N740" i="1"/>
  <c r="X740" i="1" s="1"/>
  <c r="K740" i="1"/>
  <c r="L740" i="1" s="1"/>
  <c r="C740" i="1"/>
  <c r="B740" i="1"/>
  <c r="O739" i="1"/>
  <c r="N739" i="1"/>
  <c r="K739" i="1"/>
  <c r="C739" i="1"/>
  <c r="B739" i="1"/>
  <c r="O738" i="1"/>
  <c r="N738" i="1"/>
  <c r="K738" i="1"/>
  <c r="C738" i="1"/>
  <c r="B738" i="1"/>
  <c r="O737" i="1"/>
  <c r="N737" i="1"/>
  <c r="K737" i="1"/>
  <c r="C737" i="1"/>
  <c r="B737" i="1"/>
  <c r="O736" i="1"/>
  <c r="N736" i="1"/>
  <c r="K736" i="1"/>
  <c r="C736" i="1"/>
  <c r="B736" i="1"/>
  <c r="X735" i="1"/>
  <c r="W735" i="1"/>
  <c r="S735" i="1"/>
  <c r="P735" i="1" s="1"/>
  <c r="O735" i="1"/>
  <c r="N735" i="1"/>
  <c r="K735" i="1"/>
  <c r="C735" i="1"/>
  <c r="B735" i="1"/>
  <c r="O734" i="1"/>
  <c r="N734" i="1"/>
  <c r="K734" i="1"/>
  <c r="C734" i="1"/>
  <c r="B734" i="1"/>
  <c r="O733" i="1"/>
  <c r="N733" i="1"/>
  <c r="K733" i="1"/>
  <c r="L733" i="1" s="1"/>
  <c r="R733" i="1" s="1"/>
  <c r="C733" i="1"/>
  <c r="B733" i="1"/>
  <c r="O732" i="1"/>
  <c r="N732" i="1"/>
  <c r="K732" i="1"/>
  <c r="L732" i="1" s="1"/>
  <c r="C732" i="1"/>
  <c r="B732" i="1"/>
  <c r="O731" i="1"/>
  <c r="N731" i="1"/>
  <c r="K731" i="1"/>
  <c r="C731" i="1"/>
  <c r="B731" i="1"/>
  <c r="O730" i="1"/>
  <c r="N730" i="1"/>
  <c r="K730" i="1"/>
  <c r="C730" i="1"/>
  <c r="B730" i="1"/>
  <c r="O729" i="1"/>
  <c r="N729" i="1"/>
  <c r="K729" i="1"/>
  <c r="C729" i="1"/>
  <c r="B729" i="1"/>
  <c r="O728" i="1"/>
  <c r="N728" i="1"/>
  <c r="K728" i="1"/>
  <c r="C728" i="1"/>
  <c r="B728" i="1"/>
  <c r="O727" i="1"/>
  <c r="N727" i="1"/>
  <c r="K727" i="1"/>
  <c r="C727" i="1"/>
  <c r="B727" i="1"/>
  <c r="O726" i="1"/>
  <c r="N726" i="1"/>
  <c r="K726" i="1"/>
  <c r="C726" i="1"/>
  <c r="B726" i="1"/>
  <c r="O725" i="1"/>
  <c r="N725" i="1"/>
  <c r="K725" i="1"/>
  <c r="C725" i="1"/>
  <c r="B725" i="1"/>
  <c r="O724" i="1"/>
  <c r="N724" i="1"/>
  <c r="K724" i="1"/>
  <c r="L724" i="1" s="1"/>
  <c r="C724" i="1"/>
  <c r="B724" i="1"/>
  <c r="O723" i="1"/>
  <c r="N723" i="1"/>
  <c r="K723" i="1"/>
  <c r="C723" i="1"/>
  <c r="B723" i="1"/>
  <c r="O722" i="1"/>
  <c r="N722" i="1"/>
  <c r="K722" i="1"/>
  <c r="C722" i="1"/>
  <c r="B722" i="1"/>
  <c r="O721" i="1"/>
  <c r="N721" i="1"/>
  <c r="K721" i="1"/>
  <c r="C721" i="1"/>
  <c r="B721" i="1"/>
  <c r="O720" i="1"/>
  <c r="N720" i="1"/>
  <c r="K720" i="1"/>
  <c r="C720" i="1"/>
  <c r="B720" i="1"/>
  <c r="O719" i="1"/>
  <c r="N719" i="1"/>
  <c r="K719" i="1"/>
  <c r="C719" i="1"/>
  <c r="B719" i="1"/>
  <c r="D719" i="1" s="1"/>
  <c r="O718" i="1"/>
  <c r="N718" i="1"/>
  <c r="K718" i="1"/>
  <c r="C718" i="1"/>
  <c r="B718" i="1"/>
  <c r="O717" i="1"/>
  <c r="N717" i="1"/>
  <c r="K717" i="1"/>
  <c r="C717" i="1"/>
  <c r="B717" i="1"/>
  <c r="O716" i="1"/>
  <c r="N716" i="1"/>
  <c r="K716" i="1"/>
  <c r="L716" i="1" s="1"/>
  <c r="C716" i="1"/>
  <c r="B716" i="1"/>
  <c r="O715" i="1"/>
  <c r="N715" i="1"/>
  <c r="K715" i="1"/>
  <c r="C715" i="1"/>
  <c r="B715" i="1"/>
  <c r="O714" i="1"/>
  <c r="N714" i="1"/>
  <c r="K714" i="1"/>
  <c r="C714" i="1"/>
  <c r="B714" i="1"/>
  <c r="O713" i="1"/>
  <c r="N713" i="1"/>
  <c r="K713" i="1"/>
  <c r="C713" i="1"/>
  <c r="B713" i="1"/>
  <c r="O712" i="1"/>
  <c r="N712" i="1"/>
  <c r="K712" i="1"/>
  <c r="C712" i="1"/>
  <c r="B712" i="1"/>
  <c r="O711" i="1"/>
  <c r="N711" i="1"/>
  <c r="K711" i="1"/>
  <c r="C711" i="1"/>
  <c r="B711" i="1"/>
  <c r="O710" i="1"/>
  <c r="N710" i="1"/>
  <c r="K710" i="1"/>
  <c r="C710" i="1"/>
  <c r="B710" i="1"/>
  <c r="O709" i="1"/>
  <c r="N709" i="1"/>
  <c r="K709" i="1"/>
  <c r="C709" i="1"/>
  <c r="B709" i="1"/>
  <c r="O708" i="1"/>
  <c r="N708" i="1"/>
  <c r="K708" i="1"/>
  <c r="L708" i="1" s="1"/>
  <c r="C708" i="1"/>
  <c r="B708" i="1"/>
  <c r="D708" i="1" s="1"/>
  <c r="O707" i="1"/>
  <c r="N707" i="1"/>
  <c r="K707" i="1"/>
  <c r="C707" i="1"/>
  <c r="B707" i="1"/>
  <c r="O706" i="1"/>
  <c r="N706" i="1"/>
  <c r="K706" i="1"/>
  <c r="C706" i="1"/>
  <c r="B706" i="1"/>
  <c r="O705" i="1"/>
  <c r="N705" i="1"/>
  <c r="K705" i="1"/>
  <c r="C705" i="1"/>
  <c r="B705" i="1"/>
  <c r="O704" i="1"/>
  <c r="N704" i="1"/>
  <c r="K704" i="1"/>
  <c r="C704" i="1"/>
  <c r="B704" i="1"/>
  <c r="O703" i="1"/>
  <c r="N703" i="1"/>
  <c r="K703" i="1"/>
  <c r="C703" i="1"/>
  <c r="B703" i="1"/>
  <c r="O702" i="1"/>
  <c r="N702" i="1"/>
  <c r="K702" i="1"/>
  <c r="C702" i="1"/>
  <c r="B702" i="1"/>
  <c r="O701" i="1"/>
  <c r="N701" i="1"/>
  <c r="K701" i="1"/>
  <c r="L701" i="1" s="1"/>
  <c r="R701" i="1" s="1"/>
  <c r="C701" i="1"/>
  <c r="B701" i="1"/>
  <c r="O700" i="1"/>
  <c r="N700" i="1"/>
  <c r="K700" i="1"/>
  <c r="L700" i="1" s="1"/>
  <c r="C700" i="1"/>
  <c r="B700" i="1"/>
  <c r="D700" i="1" s="1"/>
  <c r="O699" i="1"/>
  <c r="N699" i="1"/>
  <c r="K699" i="1"/>
  <c r="C699" i="1"/>
  <c r="B699" i="1"/>
  <c r="O698" i="1"/>
  <c r="N698" i="1"/>
  <c r="K698" i="1"/>
  <c r="C698" i="1"/>
  <c r="B698" i="1"/>
  <c r="O697" i="1"/>
  <c r="N697" i="1"/>
  <c r="K697" i="1"/>
  <c r="C697" i="1"/>
  <c r="B697" i="1"/>
  <c r="O696" i="1"/>
  <c r="N696" i="1"/>
  <c r="K696" i="1"/>
  <c r="C696" i="1"/>
  <c r="B696" i="1"/>
  <c r="O695" i="1"/>
  <c r="N695" i="1"/>
  <c r="K695" i="1"/>
  <c r="C695" i="1"/>
  <c r="B695" i="1"/>
  <c r="O694" i="1"/>
  <c r="N694" i="1"/>
  <c r="K694" i="1"/>
  <c r="C694" i="1"/>
  <c r="B694" i="1"/>
  <c r="O693" i="1"/>
  <c r="N693" i="1"/>
  <c r="K693" i="1"/>
  <c r="C693" i="1"/>
  <c r="B693" i="1"/>
  <c r="O692" i="1"/>
  <c r="N692" i="1"/>
  <c r="K692" i="1"/>
  <c r="L692" i="1" s="1"/>
  <c r="C692" i="1"/>
  <c r="B692" i="1"/>
  <c r="O691" i="1"/>
  <c r="N691" i="1"/>
  <c r="K691" i="1"/>
  <c r="C691" i="1"/>
  <c r="B691" i="1"/>
  <c r="O690" i="1"/>
  <c r="N690" i="1"/>
  <c r="K690" i="1"/>
  <c r="C690" i="1"/>
  <c r="B690" i="1"/>
  <c r="O689" i="1"/>
  <c r="N689" i="1"/>
  <c r="K689" i="1"/>
  <c r="C689" i="1"/>
  <c r="B689" i="1"/>
  <c r="O688" i="1"/>
  <c r="N688" i="1"/>
  <c r="K688" i="1"/>
  <c r="C688" i="1"/>
  <c r="B688" i="1"/>
  <c r="O687" i="1"/>
  <c r="N687" i="1"/>
  <c r="K687" i="1"/>
  <c r="C687" i="1"/>
  <c r="B687" i="1"/>
  <c r="O686" i="1"/>
  <c r="N686" i="1"/>
  <c r="K686" i="1"/>
  <c r="L686" i="1" s="1"/>
  <c r="R686" i="1" s="1"/>
  <c r="C686" i="1"/>
  <c r="B686" i="1"/>
  <c r="O685" i="1"/>
  <c r="N685" i="1"/>
  <c r="K685" i="1"/>
  <c r="C685" i="1"/>
  <c r="B685" i="1"/>
  <c r="O684" i="1"/>
  <c r="N684" i="1"/>
  <c r="K684" i="1"/>
  <c r="L684" i="1" s="1"/>
  <c r="C684" i="1"/>
  <c r="B684" i="1"/>
  <c r="O683" i="1"/>
  <c r="N683" i="1"/>
  <c r="S683" i="1" s="1"/>
  <c r="K683" i="1"/>
  <c r="C683" i="1"/>
  <c r="B683" i="1"/>
  <c r="O682" i="1"/>
  <c r="N682" i="1"/>
  <c r="K682" i="1"/>
  <c r="C682" i="1"/>
  <c r="B682" i="1"/>
  <c r="O681" i="1"/>
  <c r="N681" i="1"/>
  <c r="K681" i="1"/>
  <c r="C681" i="1"/>
  <c r="B681" i="1"/>
  <c r="O680" i="1"/>
  <c r="N680" i="1"/>
  <c r="K680" i="1"/>
  <c r="C680" i="1"/>
  <c r="B680" i="1"/>
  <c r="O679" i="1"/>
  <c r="N679" i="1"/>
  <c r="K679" i="1"/>
  <c r="C679" i="1"/>
  <c r="B679" i="1"/>
  <c r="O678" i="1"/>
  <c r="N678" i="1"/>
  <c r="K678" i="1"/>
  <c r="C678" i="1"/>
  <c r="B678" i="1"/>
  <c r="O677" i="1"/>
  <c r="N677" i="1"/>
  <c r="K677" i="1"/>
  <c r="L677" i="1" s="1"/>
  <c r="C677" i="1"/>
  <c r="B677" i="1"/>
  <c r="O676" i="1"/>
  <c r="N676" i="1"/>
  <c r="K676" i="1"/>
  <c r="L676" i="1" s="1"/>
  <c r="C676" i="1"/>
  <c r="B676" i="1"/>
  <c r="O675" i="1"/>
  <c r="N675" i="1"/>
  <c r="K675" i="1"/>
  <c r="C675" i="1"/>
  <c r="B675" i="1"/>
  <c r="O674" i="1"/>
  <c r="N674" i="1"/>
  <c r="K674" i="1"/>
  <c r="C674" i="1"/>
  <c r="B674" i="1"/>
  <c r="O673" i="1"/>
  <c r="N673" i="1"/>
  <c r="K673" i="1"/>
  <c r="C673" i="1"/>
  <c r="B673" i="1"/>
  <c r="O672" i="1"/>
  <c r="N672" i="1"/>
  <c r="K672" i="1"/>
  <c r="C672" i="1"/>
  <c r="B672" i="1"/>
  <c r="O671" i="1"/>
  <c r="N671" i="1"/>
  <c r="K671" i="1"/>
  <c r="C671" i="1"/>
  <c r="B671" i="1"/>
  <c r="O670" i="1"/>
  <c r="N670" i="1"/>
  <c r="K670" i="1"/>
  <c r="C670" i="1"/>
  <c r="B670" i="1"/>
  <c r="O669" i="1"/>
  <c r="N669" i="1"/>
  <c r="K669" i="1"/>
  <c r="Q669" i="1" s="1"/>
  <c r="C669" i="1"/>
  <c r="B669" i="1"/>
  <c r="O668" i="1"/>
  <c r="N668" i="1"/>
  <c r="K668" i="1"/>
  <c r="L668" i="1" s="1"/>
  <c r="C668" i="1"/>
  <c r="B668" i="1"/>
  <c r="O667" i="1"/>
  <c r="N667" i="1"/>
  <c r="K667" i="1"/>
  <c r="C667" i="1"/>
  <c r="B667" i="1"/>
  <c r="O666" i="1"/>
  <c r="N666" i="1"/>
  <c r="K666" i="1"/>
  <c r="C666" i="1"/>
  <c r="B666" i="1"/>
  <c r="O665" i="1"/>
  <c r="N665" i="1"/>
  <c r="K665" i="1"/>
  <c r="C665" i="1"/>
  <c r="B665" i="1"/>
  <c r="O664" i="1"/>
  <c r="N664" i="1"/>
  <c r="K664" i="1"/>
  <c r="C664" i="1"/>
  <c r="B664" i="1"/>
  <c r="O663" i="1"/>
  <c r="N663" i="1"/>
  <c r="K663" i="1"/>
  <c r="C663" i="1"/>
  <c r="B663" i="1"/>
  <c r="O662" i="1"/>
  <c r="N662" i="1"/>
  <c r="K662" i="1"/>
  <c r="L662" i="1" s="1"/>
  <c r="C662" i="1"/>
  <c r="B662" i="1"/>
  <c r="O661" i="1"/>
  <c r="N661" i="1"/>
  <c r="K661" i="1"/>
  <c r="L661" i="1" s="1"/>
  <c r="C661" i="1"/>
  <c r="B661" i="1"/>
  <c r="O660" i="1"/>
  <c r="N660" i="1"/>
  <c r="K660" i="1"/>
  <c r="L660" i="1" s="1"/>
  <c r="C660" i="1"/>
  <c r="B660" i="1"/>
  <c r="D660" i="1" s="1"/>
  <c r="O659" i="1"/>
  <c r="N659" i="1"/>
  <c r="K659" i="1"/>
  <c r="C659" i="1"/>
  <c r="B659" i="1"/>
  <c r="O658" i="1"/>
  <c r="N658" i="1"/>
  <c r="K658" i="1"/>
  <c r="C658" i="1"/>
  <c r="B658" i="1"/>
  <c r="O657" i="1"/>
  <c r="N657" i="1"/>
  <c r="K657" i="1"/>
  <c r="C657" i="1"/>
  <c r="B657" i="1"/>
  <c r="O656" i="1"/>
  <c r="N656" i="1"/>
  <c r="K656" i="1"/>
  <c r="C656" i="1"/>
  <c r="B656" i="1"/>
  <c r="O655" i="1"/>
  <c r="N655" i="1"/>
  <c r="K655" i="1"/>
  <c r="C655" i="1"/>
  <c r="B655" i="1"/>
  <c r="O654" i="1"/>
  <c r="N654" i="1"/>
  <c r="K654" i="1"/>
  <c r="C654" i="1"/>
  <c r="B654" i="1"/>
  <c r="O653" i="1"/>
  <c r="N653" i="1"/>
  <c r="K653" i="1"/>
  <c r="L653" i="1" s="1"/>
  <c r="R653" i="1" s="1"/>
  <c r="C653" i="1"/>
  <c r="B653" i="1"/>
  <c r="O652" i="1"/>
  <c r="N652" i="1"/>
  <c r="K652" i="1"/>
  <c r="L652" i="1" s="1"/>
  <c r="C652" i="1"/>
  <c r="B652" i="1"/>
  <c r="O651" i="1"/>
  <c r="N651" i="1"/>
  <c r="K651" i="1"/>
  <c r="C651" i="1"/>
  <c r="D651" i="1" s="1"/>
  <c r="B651" i="1"/>
  <c r="O650" i="1"/>
  <c r="N650" i="1"/>
  <c r="K650" i="1"/>
  <c r="C650" i="1"/>
  <c r="B650" i="1"/>
  <c r="O649" i="1"/>
  <c r="N649" i="1"/>
  <c r="K649" i="1"/>
  <c r="C649" i="1"/>
  <c r="B649" i="1"/>
  <c r="O648" i="1"/>
  <c r="N648" i="1"/>
  <c r="K648" i="1"/>
  <c r="C648" i="1"/>
  <c r="B648" i="1"/>
  <c r="O647" i="1"/>
  <c r="N647" i="1"/>
  <c r="K647" i="1"/>
  <c r="C647" i="1"/>
  <c r="B647" i="1"/>
  <c r="O646" i="1"/>
  <c r="N646" i="1"/>
  <c r="K646" i="1"/>
  <c r="C646" i="1"/>
  <c r="B646" i="1"/>
  <c r="O645" i="1"/>
  <c r="N645" i="1"/>
  <c r="K645" i="1"/>
  <c r="L645" i="1" s="1"/>
  <c r="C645" i="1"/>
  <c r="B645" i="1"/>
  <c r="O644" i="1"/>
  <c r="N644" i="1"/>
  <c r="K644" i="1"/>
  <c r="L644" i="1" s="1"/>
  <c r="C644" i="1"/>
  <c r="B644" i="1"/>
  <c r="X643" i="1"/>
  <c r="W643" i="1"/>
  <c r="S643" i="1"/>
  <c r="P643" i="1" s="1"/>
  <c r="O643" i="1"/>
  <c r="N643" i="1"/>
  <c r="K643" i="1"/>
  <c r="C643" i="1"/>
  <c r="B643" i="1"/>
  <c r="O642" i="1"/>
  <c r="N642" i="1"/>
  <c r="K642" i="1"/>
  <c r="C642" i="1"/>
  <c r="B642" i="1"/>
  <c r="O641" i="1"/>
  <c r="N641" i="1"/>
  <c r="K641" i="1"/>
  <c r="C641" i="1"/>
  <c r="B641" i="1"/>
  <c r="O640" i="1"/>
  <c r="N640" i="1"/>
  <c r="K640" i="1"/>
  <c r="C640" i="1"/>
  <c r="B640" i="1"/>
  <c r="O639" i="1"/>
  <c r="N639" i="1"/>
  <c r="K639" i="1"/>
  <c r="C639" i="1"/>
  <c r="B639" i="1"/>
  <c r="O638" i="1"/>
  <c r="N638" i="1"/>
  <c r="K638" i="1"/>
  <c r="C638" i="1"/>
  <c r="B638" i="1"/>
  <c r="O637" i="1"/>
  <c r="N637" i="1"/>
  <c r="K637" i="1"/>
  <c r="L637" i="1" s="1"/>
  <c r="C637" i="1"/>
  <c r="B637" i="1"/>
  <c r="O636" i="1"/>
  <c r="N636" i="1"/>
  <c r="K636" i="1"/>
  <c r="L636" i="1" s="1"/>
  <c r="C636" i="1"/>
  <c r="B636" i="1"/>
  <c r="O635" i="1"/>
  <c r="N635" i="1"/>
  <c r="K635" i="1"/>
  <c r="C635" i="1"/>
  <c r="B635" i="1"/>
  <c r="O634" i="1"/>
  <c r="N634" i="1"/>
  <c r="K634" i="1"/>
  <c r="C634" i="1"/>
  <c r="B634" i="1"/>
  <c r="O633" i="1"/>
  <c r="N633" i="1"/>
  <c r="K633" i="1"/>
  <c r="L633" i="1" s="1"/>
  <c r="C633" i="1"/>
  <c r="B633" i="1"/>
  <c r="O632" i="1"/>
  <c r="N632" i="1"/>
  <c r="K632" i="1"/>
  <c r="C632" i="1"/>
  <c r="B632" i="1"/>
  <c r="O631" i="1"/>
  <c r="N631" i="1"/>
  <c r="K631" i="1"/>
  <c r="C631" i="1"/>
  <c r="B631" i="1"/>
  <c r="D631" i="1" s="1"/>
  <c r="O630" i="1"/>
  <c r="N630" i="1"/>
  <c r="K630" i="1"/>
  <c r="C630" i="1"/>
  <c r="B630" i="1"/>
  <c r="O629" i="1"/>
  <c r="N629" i="1"/>
  <c r="K629" i="1"/>
  <c r="L629" i="1" s="1"/>
  <c r="R629" i="1" s="1"/>
  <c r="C629" i="1"/>
  <c r="B629" i="1"/>
  <c r="O628" i="1"/>
  <c r="N628" i="1"/>
  <c r="K628" i="1"/>
  <c r="L628" i="1" s="1"/>
  <c r="C628" i="1"/>
  <c r="B628" i="1"/>
  <c r="O627" i="1"/>
  <c r="N627" i="1"/>
  <c r="K627" i="1"/>
  <c r="C627" i="1"/>
  <c r="B627" i="1"/>
  <c r="O626" i="1"/>
  <c r="N626" i="1"/>
  <c r="K626" i="1"/>
  <c r="C626" i="1"/>
  <c r="B626" i="1"/>
  <c r="O625" i="1"/>
  <c r="N625" i="1"/>
  <c r="K625" i="1"/>
  <c r="L625" i="1" s="1"/>
  <c r="C625" i="1"/>
  <c r="B625" i="1"/>
  <c r="O624" i="1"/>
  <c r="N624" i="1"/>
  <c r="K624" i="1"/>
  <c r="C624" i="1"/>
  <c r="B624" i="1"/>
  <c r="O623" i="1"/>
  <c r="N623" i="1"/>
  <c r="K623" i="1"/>
  <c r="C623" i="1"/>
  <c r="B623" i="1"/>
  <c r="O622" i="1"/>
  <c r="N622" i="1"/>
  <c r="K622" i="1"/>
  <c r="L622" i="1" s="1"/>
  <c r="C622" i="1"/>
  <c r="B622" i="1"/>
  <c r="O621" i="1"/>
  <c r="N621" i="1"/>
  <c r="K621" i="1"/>
  <c r="L621" i="1" s="1"/>
  <c r="R621" i="1" s="1"/>
  <c r="C621" i="1"/>
  <c r="B621" i="1"/>
  <c r="O620" i="1"/>
  <c r="N620" i="1"/>
  <c r="K620" i="1"/>
  <c r="L620" i="1" s="1"/>
  <c r="C620" i="1"/>
  <c r="B620" i="1"/>
  <c r="O619" i="1"/>
  <c r="N619" i="1"/>
  <c r="K619" i="1"/>
  <c r="C619" i="1"/>
  <c r="B619" i="1"/>
  <c r="O618" i="1"/>
  <c r="N618" i="1"/>
  <c r="K618" i="1"/>
  <c r="C618" i="1"/>
  <c r="B618" i="1"/>
  <c r="O617" i="1"/>
  <c r="N617" i="1"/>
  <c r="K617" i="1"/>
  <c r="C617" i="1"/>
  <c r="B617" i="1"/>
  <c r="O616" i="1"/>
  <c r="N616" i="1"/>
  <c r="K616" i="1"/>
  <c r="C616" i="1"/>
  <c r="B616" i="1"/>
  <c r="O615" i="1"/>
  <c r="N615" i="1"/>
  <c r="K615" i="1"/>
  <c r="C615" i="1"/>
  <c r="B615" i="1"/>
  <c r="O614" i="1"/>
  <c r="N614" i="1"/>
  <c r="K614" i="1"/>
  <c r="C614" i="1"/>
  <c r="B614" i="1"/>
  <c r="O613" i="1"/>
  <c r="N613" i="1"/>
  <c r="K613" i="1"/>
  <c r="C613" i="1"/>
  <c r="B613" i="1"/>
  <c r="O612" i="1"/>
  <c r="N612" i="1"/>
  <c r="K612" i="1"/>
  <c r="L612" i="1" s="1"/>
  <c r="C612" i="1"/>
  <c r="B612" i="1"/>
  <c r="O611" i="1"/>
  <c r="N611" i="1"/>
  <c r="K611" i="1"/>
  <c r="C611" i="1"/>
  <c r="B611" i="1"/>
  <c r="O610" i="1"/>
  <c r="N610" i="1"/>
  <c r="K610" i="1"/>
  <c r="C610" i="1"/>
  <c r="B610" i="1"/>
  <c r="O609" i="1"/>
  <c r="N609" i="1"/>
  <c r="K609" i="1"/>
  <c r="C609" i="1"/>
  <c r="B609" i="1"/>
  <c r="O608" i="1"/>
  <c r="N608" i="1"/>
  <c r="K608" i="1"/>
  <c r="C608" i="1"/>
  <c r="B608" i="1"/>
  <c r="O607" i="1"/>
  <c r="N607" i="1"/>
  <c r="K607" i="1"/>
  <c r="C607" i="1"/>
  <c r="B607" i="1"/>
  <c r="O606" i="1"/>
  <c r="N606" i="1"/>
  <c r="K606" i="1"/>
  <c r="C606" i="1"/>
  <c r="B606" i="1"/>
  <c r="O605" i="1"/>
  <c r="N605" i="1"/>
  <c r="K605" i="1"/>
  <c r="C605" i="1"/>
  <c r="B605" i="1"/>
  <c r="O604" i="1"/>
  <c r="N604" i="1"/>
  <c r="K604" i="1"/>
  <c r="L604" i="1" s="1"/>
  <c r="C604" i="1"/>
  <c r="B604" i="1"/>
  <c r="O603" i="1"/>
  <c r="N603" i="1"/>
  <c r="K603" i="1"/>
  <c r="C603" i="1"/>
  <c r="B603" i="1"/>
  <c r="O602" i="1"/>
  <c r="N602" i="1"/>
  <c r="K602" i="1"/>
  <c r="C602" i="1"/>
  <c r="B602" i="1"/>
  <c r="O601" i="1"/>
  <c r="N601" i="1"/>
  <c r="K601" i="1"/>
  <c r="C601" i="1"/>
  <c r="B601" i="1"/>
  <c r="O600" i="1"/>
  <c r="N600" i="1"/>
  <c r="K600" i="1"/>
  <c r="C600" i="1"/>
  <c r="B600" i="1"/>
  <c r="O599" i="1"/>
  <c r="N599" i="1"/>
  <c r="K599" i="1"/>
  <c r="C599" i="1"/>
  <c r="B599" i="1"/>
  <c r="O598" i="1"/>
  <c r="N598" i="1"/>
  <c r="K598" i="1"/>
  <c r="C598" i="1"/>
  <c r="B598" i="1"/>
  <c r="O597" i="1"/>
  <c r="N597" i="1"/>
  <c r="K597" i="1"/>
  <c r="C597" i="1"/>
  <c r="B597" i="1"/>
  <c r="O596" i="1"/>
  <c r="N596" i="1"/>
  <c r="K596" i="1"/>
  <c r="L596" i="1" s="1"/>
  <c r="C596" i="1"/>
  <c r="B596" i="1"/>
  <c r="O595" i="1"/>
  <c r="N595" i="1"/>
  <c r="K595" i="1"/>
  <c r="C595" i="1"/>
  <c r="B595" i="1"/>
  <c r="O594" i="1"/>
  <c r="N594" i="1"/>
  <c r="K594" i="1"/>
  <c r="C594" i="1"/>
  <c r="B594" i="1"/>
  <c r="O593" i="1"/>
  <c r="N593" i="1"/>
  <c r="K593" i="1"/>
  <c r="C593" i="1"/>
  <c r="B593" i="1"/>
  <c r="O592" i="1"/>
  <c r="N592" i="1"/>
  <c r="K592" i="1"/>
  <c r="C592" i="1"/>
  <c r="B592" i="1"/>
  <c r="O591" i="1"/>
  <c r="N591" i="1"/>
  <c r="K591" i="1"/>
  <c r="C591" i="1"/>
  <c r="B591" i="1"/>
  <c r="O590" i="1"/>
  <c r="N590" i="1"/>
  <c r="K590" i="1"/>
  <c r="C590" i="1"/>
  <c r="B590" i="1"/>
  <c r="O589" i="1"/>
  <c r="N589" i="1"/>
  <c r="K589" i="1"/>
  <c r="C589" i="1"/>
  <c r="B589" i="1"/>
  <c r="O588" i="1"/>
  <c r="N588" i="1"/>
  <c r="K588" i="1"/>
  <c r="L588" i="1" s="1"/>
  <c r="C588" i="1"/>
  <c r="B588" i="1"/>
  <c r="O587" i="1"/>
  <c r="N587" i="1"/>
  <c r="K587" i="1"/>
  <c r="C587" i="1"/>
  <c r="B587" i="1"/>
  <c r="O586" i="1"/>
  <c r="N586" i="1"/>
  <c r="K586" i="1"/>
  <c r="C586" i="1"/>
  <c r="B586" i="1"/>
  <c r="O585" i="1"/>
  <c r="N585" i="1"/>
  <c r="K585" i="1"/>
  <c r="C585" i="1"/>
  <c r="B585" i="1"/>
  <c r="O584" i="1"/>
  <c r="N584" i="1"/>
  <c r="K584" i="1"/>
  <c r="C584" i="1"/>
  <c r="B584" i="1"/>
  <c r="O583" i="1"/>
  <c r="N583" i="1"/>
  <c r="K583" i="1"/>
  <c r="C583" i="1"/>
  <c r="B583" i="1"/>
  <c r="O582" i="1"/>
  <c r="N582" i="1"/>
  <c r="K582" i="1"/>
  <c r="C582" i="1"/>
  <c r="B582" i="1"/>
  <c r="O581" i="1"/>
  <c r="N581" i="1"/>
  <c r="K581" i="1"/>
  <c r="C581" i="1"/>
  <c r="B581" i="1"/>
  <c r="O580" i="1"/>
  <c r="N580" i="1"/>
  <c r="K580" i="1"/>
  <c r="L580" i="1" s="1"/>
  <c r="C580" i="1"/>
  <c r="B580" i="1"/>
  <c r="O579" i="1"/>
  <c r="N579" i="1"/>
  <c r="K579" i="1"/>
  <c r="C579" i="1"/>
  <c r="B579" i="1"/>
  <c r="O578" i="1"/>
  <c r="N578" i="1"/>
  <c r="K578" i="1"/>
  <c r="L578" i="1" s="1"/>
  <c r="C578" i="1"/>
  <c r="B578" i="1"/>
  <c r="O577" i="1"/>
  <c r="N577" i="1"/>
  <c r="K577" i="1"/>
  <c r="C577" i="1"/>
  <c r="B577" i="1"/>
  <c r="O576" i="1"/>
  <c r="N576" i="1"/>
  <c r="K576" i="1"/>
  <c r="L576" i="1" s="1"/>
  <c r="C576" i="1"/>
  <c r="B576" i="1"/>
  <c r="O575" i="1"/>
  <c r="N575" i="1"/>
  <c r="K575" i="1"/>
  <c r="C575" i="1"/>
  <c r="B575" i="1"/>
  <c r="O574" i="1"/>
  <c r="N574" i="1"/>
  <c r="K574" i="1"/>
  <c r="L574" i="1" s="1"/>
  <c r="C574" i="1"/>
  <c r="B574" i="1"/>
  <c r="O573" i="1"/>
  <c r="N573" i="1"/>
  <c r="K573" i="1"/>
  <c r="C573" i="1"/>
  <c r="B573" i="1"/>
  <c r="O572" i="1"/>
  <c r="N572" i="1"/>
  <c r="K572" i="1"/>
  <c r="C572" i="1"/>
  <c r="B572" i="1"/>
  <c r="O571" i="1"/>
  <c r="N571" i="1"/>
  <c r="K571" i="1"/>
  <c r="C571" i="1"/>
  <c r="B571" i="1"/>
  <c r="O570" i="1"/>
  <c r="N570" i="1"/>
  <c r="K570" i="1"/>
  <c r="L570" i="1" s="1"/>
  <c r="T570" i="1" s="1"/>
  <c r="U570" i="1" s="1"/>
  <c r="V570" i="1" s="1"/>
  <c r="C570" i="1"/>
  <c r="B570" i="1"/>
  <c r="O569" i="1"/>
  <c r="N569" i="1"/>
  <c r="K569" i="1"/>
  <c r="L569" i="1" s="1"/>
  <c r="C569" i="1"/>
  <c r="B569" i="1"/>
  <c r="O568" i="1"/>
  <c r="N568" i="1"/>
  <c r="K568" i="1"/>
  <c r="C568" i="1"/>
  <c r="B568" i="1"/>
  <c r="O567" i="1"/>
  <c r="N567" i="1"/>
  <c r="K567" i="1"/>
  <c r="C567" i="1"/>
  <c r="B567" i="1"/>
  <c r="O566" i="1"/>
  <c r="N566" i="1"/>
  <c r="K566" i="1"/>
  <c r="L566" i="1" s="1"/>
  <c r="C566" i="1"/>
  <c r="B566" i="1"/>
  <c r="O565" i="1"/>
  <c r="N565" i="1"/>
  <c r="K565" i="1"/>
  <c r="C565" i="1"/>
  <c r="B565" i="1"/>
  <c r="O564" i="1"/>
  <c r="N564" i="1"/>
  <c r="K564" i="1"/>
  <c r="C564" i="1"/>
  <c r="B564" i="1"/>
  <c r="O563" i="1"/>
  <c r="N563" i="1"/>
  <c r="K563" i="1"/>
  <c r="C563" i="1"/>
  <c r="B563" i="1"/>
  <c r="O562" i="1"/>
  <c r="N562" i="1"/>
  <c r="K562" i="1"/>
  <c r="L562" i="1" s="1"/>
  <c r="T562" i="1" s="1"/>
  <c r="U562" i="1" s="1"/>
  <c r="V562" i="1" s="1"/>
  <c r="C562" i="1"/>
  <c r="B562" i="1"/>
  <c r="O561" i="1"/>
  <c r="N561" i="1"/>
  <c r="K561" i="1"/>
  <c r="L561" i="1" s="1"/>
  <c r="C561" i="1"/>
  <c r="B561" i="1"/>
  <c r="O560" i="1"/>
  <c r="N560" i="1"/>
  <c r="W560" i="1" s="1"/>
  <c r="K560" i="1"/>
  <c r="C560" i="1"/>
  <c r="B560" i="1"/>
  <c r="O559" i="1"/>
  <c r="N559" i="1"/>
  <c r="K559" i="1"/>
  <c r="C559" i="1"/>
  <c r="B559" i="1"/>
  <c r="O558" i="1"/>
  <c r="N558" i="1"/>
  <c r="K558" i="1"/>
  <c r="L558" i="1" s="1"/>
  <c r="C558" i="1"/>
  <c r="B558" i="1"/>
  <c r="O557" i="1"/>
  <c r="N557" i="1"/>
  <c r="K557" i="1"/>
  <c r="C557" i="1"/>
  <c r="B557" i="1"/>
  <c r="O556" i="1"/>
  <c r="N556" i="1"/>
  <c r="K556" i="1"/>
  <c r="C556" i="1"/>
  <c r="B556" i="1"/>
  <c r="O555" i="1"/>
  <c r="N555" i="1"/>
  <c r="K555" i="1"/>
  <c r="C555" i="1"/>
  <c r="B555" i="1"/>
  <c r="O554" i="1"/>
  <c r="N554" i="1"/>
  <c r="K554" i="1"/>
  <c r="L554" i="1" s="1"/>
  <c r="T554" i="1" s="1"/>
  <c r="U554" i="1" s="1"/>
  <c r="V554" i="1" s="1"/>
  <c r="C554" i="1"/>
  <c r="B554" i="1"/>
  <c r="O553" i="1"/>
  <c r="N553" i="1"/>
  <c r="K553" i="1"/>
  <c r="L553" i="1" s="1"/>
  <c r="C553" i="1"/>
  <c r="B553" i="1"/>
  <c r="X552" i="1"/>
  <c r="W552" i="1"/>
  <c r="S552" i="1"/>
  <c r="P552" i="1" s="1"/>
  <c r="O552" i="1"/>
  <c r="N552" i="1"/>
  <c r="K552" i="1"/>
  <c r="C552" i="1"/>
  <c r="B552" i="1"/>
  <c r="O551" i="1"/>
  <c r="N551" i="1"/>
  <c r="K551" i="1"/>
  <c r="C551" i="1"/>
  <c r="B551" i="1"/>
  <c r="O550" i="1"/>
  <c r="N550" i="1"/>
  <c r="K550" i="1"/>
  <c r="L550" i="1" s="1"/>
  <c r="C550" i="1"/>
  <c r="B550" i="1"/>
  <c r="O549" i="1"/>
  <c r="N549" i="1"/>
  <c r="K549" i="1"/>
  <c r="C549" i="1"/>
  <c r="B549" i="1"/>
  <c r="O548" i="1"/>
  <c r="N548" i="1"/>
  <c r="K548" i="1"/>
  <c r="C548" i="1"/>
  <c r="B548" i="1"/>
  <c r="O547" i="1"/>
  <c r="N547" i="1"/>
  <c r="K547" i="1"/>
  <c r="L547" i="1" s="1"/>
  <c r="T547" i="1" s="1"/>
  <c r="U547" i="1" s="1"/>
  <c r="V547" i="1" s="1"/>
  <c r="C547" i="1"/>
  <c r="B547" i="1"/>
  <c r="O546" i="1"/>
  <c r="N546" i="1"/>
  <c r="K546" i="1"/>
  <c r="C546" i="1"/>
  <c r="B546" i="1"/>
  <c r="O545" i="1"/>
  <c r="N545" i="1"/>
  <c r="K545" i="1"/>
  <c r="L545" i="1" s="1"/>
  <c r="C545" i="1"/>
  <c r="B545" i="1"/>
  <c r="O544" i="1"/>
  <c r="N544" i="1"/>
  <c r="K544" i="1"/>
  <c r="C544" i="1"/>
  <c r="B544" i="1"/>
  <c r="O543" i="1"/>
  <c r="N543" i="1"/>
  <c r="K543" i="1"/>
  <c r="C543" i="1"/>
  <c r="B543" i="1"/>
  <c r="O542" i="1"/>
  <c r="N542" i="1"/>
  <c r="K542" i="1"/>
  <c r="L542" i="1" s="1"/>
  <c r="C542" i="1"/>
  <c r="B542" i="1"/>
  <c r="O541" i="1"/>
  <c r="N541" i="1"/>
  <c r="K541" i="1"/>
  <c r="C541" i="1"/>
  <c r="B541" i="1"/>
  <c r="O540" i="1"/>
  <c r="N540" i="1"/>
  <c r="K540" i="1"/>
  <c r="C540" i="1"/>
  <c r="B540" i="1"/>
  <c r="O539" i="1"/>
  <c r="N539" i="1"/>
  <c r="K539" i="1"/>
  <c r="L539" i="1" s="1"/>
  <c r="T539" i="1" s="1"/>
  <c r="U539" i="1" s="1"/>
  <c r="V539" i="1" s="1"/>
  <c r="C539" i="1"/>
  <c r="B539" i="1"/>
  <c r="O538" i="1"/>
  <c r="N538" i="1"/>
  <c r="K538" i="1"/>
  <c r="L538" i="1" s="1"/>
  <c r="T538" i="1" s="1"/>
  <c r="U538" i="1" s="1"/>
  <c r="V538" i="1" s="1"/>
  <c r="C538" i="1"/>
  <c r="B538" i="1"/>
  <c r="O537" i="1"/>
  <c r="N537" i="1"/>
  <c r="K537" i="1"/>
  <c r="L537" i="1" s="1"/>
  <c r="C537" i="1"/>
  <c r="B537" i="1"/>
  <c r="O536" i="1"/>
  <c r="N536" i="1"/>
  <c r="K536" i="1"/>
  <c r="C536" i="1"/>
  <c r="B536" i="1"/>
  <c r="O535" i="1"/>
  <c r="N535" i="1"/>
  <c r="K535" i="1"/>
  <c r="C535" i="1"/>
  <c r="B535" i="1"/>
  <c r="O534" i="1"/>
  <c r="N534" i="1"/>
  <c r="K534" i="1"/>
  <c r="L534" i="1" s="1"/>
  <c r="C534" i="1"/>
  <c r="B534" i="1"/>
  <c r="O533" i="1"/>
  <c r="N533" i="1"/>
  <c r="K533" i="1"/>
  <c r="C533" i="1"/>
  <c r="B533" i="1"/>
  <c r="O532" i="1"/>
  <c r="N532" i="1"/>
  <c r="K532" i="1"/>
  <c r="C532" i="1"/>
  <c r="B532" i="1"/>
  <c r="O531" i="1"/>
  <c r="N531" i="1"/>
  <c r="K531" i="1"/>
  <c r="C531" i="1"/>
  <c r="B531" i="1"/>
  <c r="O530" i="1"/>
  <c r="N530" i="1"/>
  <c r="K530" i="1"/>
  <c r="C530" i="1"/>
  <c r="B530" i="1"/>
  <c r="O529" i="1"/>
  <c r="N529" i="1"/>
  <c r="K529" i="1"/>
  <c r="L529" i="1" s="1"/>
  <c r="C529" i="1"/>
  <c r="B529" i="1"/>
  <c r="O528" i="1"/>
  <c r="N528" i="1"/>
  <c r="K528" i="1"/>
  <c r="C528" i="1"/>
  <c r="B528" i="1"/>
  <c r="O527" i="1"/>
  <c r="N527" i="1"/>
  <c r="K527" i="1"/>
  <c r="L527" i="1" s="1"/>
  <c r="M527" i="1" s="1"/>
  <c r="C527" i="1"/>
  <c r="B527" i="1"/>
  <c r="O526" i="1"/>
  <c r="N526" i="1"/>
  <c r="K526" i="1"/>
  <c r="L526" i="1" s="1"/>
  <c r="C526" i="1"/>
  <c r="B526" i="1"/>
  <c r="O525" i="1"/>
  <c r="N525" i="1"/>
  <c r="K525" i="1"/>
  <c r="C525" i="1"/>
  <c r="B525" i="1"/>
  <c r="O524" i="1"/>
  <c r="N524" i="1"/>
  <c r="K524" i="1"/>
  <c r="C524" i="1"/>
  <c r="B524" i="1"/>
  <c r="O523" i="1"/>
  <c r="N523" i="1"/>
  <c r="K523" i="1"/>
  <c r="L523" i="1" s="1"/>
  <c r="T523" i="1" s="1"/>
  <c r="U523" i="1" s="1"/>
  <c r="V523" i="1" s="1"/>
  <c r="C523" i="1"/>
  <c r="B523" i="1"/>
  <c r="O522" i="1"/>
  <c r="N522" i="1"/>
  <c r="K522" i="1"/>
  <c r="C522" i="1"/>
  <c r="B522" i="1"/>
  <c r="O521" i="1"/>
  <c r="N521" i="1"/>
  <c r="K521" i="1"/>
  <c r="L521" i="1" s="1"/>
  <c r="C521" i="1"/>
  <c r="B521" i="1"/>
  <c r="O520" i="1"/>
  <c r="N520" i="1"/>
  <c r="K520" i="1"/>
  <c r="C520" i="1"/>
  <c r="B520" i="1"/>
  <c r="O519" i="1"/>
  <c r="N519" i="1"/>
  <c r="K519" i="1"/>
  <c r="C519" i="1"/>
  <c r="B519" i="1"/>
  <c r="O518" i="1"/>
  <c r="N518" i="1"/>
  <c r="K518" i="1"/>
  <c r="L518" i="1" s="1"/>
  <c r="C518" i="1"/>
  <c r="B518" i="1"/>
  <c r="O517" i="1"/>
  <c r="N517" i="1"/>
  <c r="K517" i="1"/>
  <c r="C517" i="1"/>
  <c r="B517" i="1"/>
  <c r="O516" i="1"/>
  <c r="N516" i="1"/>
  <c r="K516" i="1"/>
  <c r="C516" i="1"/>
  <c r="B516" i="1"/>
  <c r="O515" i="1"/>
  <c r="N515" i="1"/>
  <c r="K515" i="1"/>
  <c r="L515" i="1" s="1"/>
  <c r="T515" i="1" s="1"/>
  <c r="U515" i="1" s="1"/>
  <c r="V515" i="1" s="1"/>
  <c r="C515" i="1"/>
  <c r="B515" i="1"/>
  <c r="O514" i="1"/>
  <c r="N514" i="1"/>
  <c r="K514" i="1"/>
  <c r="C514" i="1"/>
  <c r="B514" i="1"/>
  <c r="O513" i="1"/>
  <c r="N513" i="1"/>
  <c r="K513" i="1"/>
  <c r="L513" i="1" s="1"/>
  <c r="C513" i="1"/>
  <c r="B513" i="1"/>
  <c r="O512" i="1"/>
  <c r="N512" i="1"/>
  <c r="K512" i="1"/>
  <c r="C512" i="1"/>
  <c r="B512" i="1"/>
  <c r="O511" i="1"/>
  <c r="N511" i="1"/>
  <c r="K511" i="1"/>
  <c r="L511" i="1" s="1"/>
  <c r="T511" i="1" s="1"/>
  <c r="U511" i="1" s="1"/>
  <c r="V511" i="1" s="1"/>
  <c r="C511" i="1"/>
  <c r="B511" i="1"/>
  <c r="O510" i="1"/>
  <c r="N510" i="1"/>
  <c r="K510" i="1"/>
  <c r="L510" i="1" s="1"/>
  <c r="C510" i="1"/>
  <c r="B510" i="1"/>
  <c r="O509" i="1"/>
  <c r="N509" i="1"/>
  <c r="K509" i="1"/>
  <c r="C509" i="1"/>
  <c r="B509" i="1"/>
  <c r="O508" i="1"/>
  <c r="N508" i="1"/>
  <c r="K508" i="1"/>
  <c r="C508" i="1"/>
  <c r="B508" i="1"/>
  <c r="O507" i="1"/>
  <c r="N507" i="1"/>
  <c r="K507" i="1"/>
  <c r="L507" i="1" s="1"/>
  <c r="T507" i="1" s="1"/>
  <c r="U507" i="1" s="1"/>
  <c r="V507" i="1" s="1"/>
  <c r="C507" i="1"/>
  <c r="B507" i="1"/>
  <c r="O506" i="1"/>
  <c r="N506" i="1"/>
  <c r="K506" i="1"/>
  <c r="C506" i="1"/>
  <c r="B506" i="1"/>
  <c r="O505" i="1"/>
  <c r="N505" i="1"/>
  <c r="K505" i="1"/>
  <c r="L505" i="1" s="1"/>
  <c r="C505" i="1"/>
  <c r="B505" i="1"/>
  <c r="O504" i="1"/>
  <c r="N504" i="1"/>
  <c r="K504" i="1"/>
  <c r="C504" i="1"/>
  <c r="B504" i="1"/>
  <c r="O503" i="1"/>
  <c r="N503" i="1"/>
  <c r="K503" i="1"/>
  <c r="C503" i="1"/>
  <c r="B503" i="1"/>
  <c r="O502" i="1"/>
  <c r="N502" i="1"/>
  <c r="K502" i="1"/>
  <c r="L502" i="1" s="1"/>
  <c r="C502" i="1"/>
  <c r="B502" i="1"/>
  <c r="O501" i="1"/>
  <c r="N501" i="1"/>
  <c r="K501" i="1"/>
  <c r="C501" i="1"/>
  <c r="B501" i="1"/>
  <c r="O500" i="1"/>
  <c r="N500" i="1"/>
  <c r="K500" i="1"/>
  <c r="C500" i="1"/>
  <c r="B500" i="1"/>
  <c r="D500" i="1" s="1"/>
  <c r="O499" i="1"/>
  <c r="N499" i="1"/>
  <c r="K499" i="1"/>
  <c r="L499" i="1" s="1"/>
  <c r="T499" i="1" s="1"/>
  <c r="U499" i="1" s="1"/>
  <c r="V499" i="1" s="1"/>
  <c r="C499" i="1"/>
  <c r="B499" i="1"/>
  <c r="O498" i="1"/>
  <c r="N498" i="1"/>
  <c r="K498" i="1"/>
  <c r="L498" i="1" s="1"/>
  <c r="T498" i="1" s="1"/>
  <c r="U498" i="1" s="1"/>
  <c r="V498" i="1" s="1"/>
  <c r="C498" i="1"/>
  <c r="B498" i="1"/>
  <c r="O497" i="1"/>
  <c r="N497" i="1"/>
  <c r="K497" i="1"/>
  <c r="L497" i="1" s="1"/>
  <c r="C497" i="1"/>
  <c r="B497" i="1"/>
  <c r="O496" i="1"/>
  <c r="N496" i="1"/>
  <c r="K496" i="1"/>
  <c r="C496" i="1"/>
  <c r="B496" i="1"/>
  <c r="O495" i="1"/>
  <c r="N495" i="1"/>
  <c r="K495" i="1"/>
  <c r="L495" i="1" s="1"/>
  <c r="T495" i="1" s="1"/>
  <c r="U495" i="1" s="1"/>
  <c r="V495" i="1" s="1"/>
  <c r="C495" i="1"/>
  <c r="B495" i="1"/>
  <c r="O494" i="1"/>
  <c r="N494" i="1"/>
  <c r="K494" i="1"/>
  <c r="L494" i="1" s="1"/>
  <c r="C494" i="1"/>
  <c r="B494" i="1"/>
  <c r="O493" i="1"/>
  <c r="N493" i="1"/>
  <c r="K493" i="1"/>
  <c r="C493" i="1"/>
  <c r="B493" i="1"/>
  <c r="D493" i="1" s="1"/>
  <c r="O492" i="1"/>
  <c r="N492" i="1"/>
  <c r="K492" i="1"/>
  <c r="C492" i="1"/>
  <c r="B492" i="1"/>
  <c r="O491" i="1"/>
  <c r="N491" i="1"/>
  <c r="K491" i="1"/>
  <c r="C491" i="1"/>
  <c r="B491" i="1"/>
  <c r="O490" i="1"/>
  <c r="N490" i="1"/>
  <c r="K490" i="1"/>
  <c r="C490" i="1"/>
  <c r="B490" i="1"/>
  <c r="O489" i="1"/>
  <c r="N489" i="1"/>
  <c r="K489" i="1"/>
  <c r="L489" i="1" s="1"/>
  <c r="C489" i="1"/>
  <c r="B489" i="1"/>
  <c r="O488" i="1"/>
  <c r="N488" i="1"/>
  <c r="K488" i="1"/>
  <c r="C488" i="1"/>
  <c r="B488" i="1"/>
  <c r="R487" i="1"/>
  <c r="O487" i="1"/>
  <c r="N487" i="1"/>
  <c r="K487" i="1"/>
  <c r="L487" i="1" s="1"/>
  <c r="M487" i="1" s="1"/>
  <c r="C487" i="1"/>
  <c r="B487" i="1"/>
  <c r="O486" i="1"/>
  <c r="N486" i="1"/>
  <c r="K486" i="1"/>
  <c r="L486" i="1" s="1"/>
  <c r="C486" i="1"/>
  <c r="B486" i="1"/>
  <c r="O485" i="1"/>
  <c r="N485" i="1"/>
  <c r="K485" i="1"/>
  <c r="C485" i="1"/>
  <c r="B485" i="1"/>
  <c r="O484" i="1"/>
  <c r="N484" i="1"/>
  <c r="K484" i="1"/>
  <c r="C484" i="1"/>
  <c r="B484" i="1"/>
  <c r="O483" i="1"/>
  <c r="N483" i="1"/>
  <c r="K483" i="1"/>
  <c r="C483" i="1"/>
  <c r="B483" i="1"/>
  <c r="O482" i="1"/>
  <c r="N482" i="1"/>
  <c r="K482" i="1"/>
  <c r="C482" i="1"/>
  <c r="B482" i="1"/>
  <c r="O481" i="1"/>
  <c r="N481" i="1"/>
  <c r="K481" i="1"/>
  <c r="L481" i="1" s="1"/>
  <c r="C481" i="1"/>
  <c r="B481" i="1"/>
  <c r="O480" i="1"/>
  <c r="N480" i="1"/>
  <c r="K480" i="1"/>
  <c r="C480" i="1"/>
  <c r="B480" i="1"/>
  <c r="O479" i="1"/>
  <c r="N479" i="1"/>
  <c r="K479" i="1"/>
  <c r="C479" i="1"/>
  <c r="B479" i="1"/>
  <c r="O478" i="1"/>
  <c r="N478" i="1"/>
  <c r="K478" i="1"/>
  <c r="L478" i="1" s="1"/>
  <c r="C478" i="1"/>
  <c r="B478" i="1"/>
  <c r="O477" i="1"/>
  <c r="N477" i="1"/>
  <c r="K477" i="1"/>
  <c r="C477" i="1"/>
  <c r="B477" i="1"/>
  <c r="O476" i="1"/>
  <c r="N476" i="1"/>
  <c r="K476" i="1"/>
  <c r="C476" i="1"/>
  <c r="B476" i="1"/>
  <c r="O475" i="1"/>
  <c r="N475" i="1"/>
  <c r="K475" i="1"/>
  <c r="C475" i="1"/>
  <c r="B475" i="1"/>
  <c r="O474" i="1"/>
  <c r="N474" i="1"/>
  <c r="K474" i="1"/>
  <c r="C474" i="1"/>
  <c r="B474" i="1"/>
  <c r="O473" i="1"/>
  <c r="N473" i="1"/>
  <c r="K473" i="1"/>
  <c r="L473" i="1" s="1"/>
  <c r="C473" i="1"/>
  <c r="B473" i="1"/>
  <c r="O472" i="1"/>
  <c r="N472" i="1"/>
  <c r="K472" i="1"/>
  <c r="C472" i="1"/>
  <c r="B472" i="1"/>
  <c r="O471" i="1"/>
  <c r="N471" i="1"/>
  <c r="K471" i="1"/>
  <c r="C471" i="1"/>
  <c r="B471" i="1"/>
  <c r="O470" i="1"/>
  <c r="N470" i="1"/>
  <c r="K470" i="1"/>
  <c r="L470" i="1" s="1"/>
  <c r="C470" i="1"/>
  <c r="B470" i="1"/>
  <c r="O469" i="1"/>
  <c r="N469" i="1"/>
  <c r="K469" i="1"/>
  <c r="C469" i="1"/>
  <c r="B469" i="1"/>
  <c r="O468" i="1"/>
  <c r="N468" i="1"/>
  <c r="K468" i="1"/>
  <c r="C468" i="1"/>
  <c r="B468" i="1"/>
  <c r="O467" i="1"/>
  <c r="N467" i="1"/>
  <c r="K467" i="1"/>
  <c r="L467" i="1" s="1"/>
  <c r="T467" i="1" s="1"/>
  <c r="U467" i="1" s="1"/>
  <c r="V467" i="1" s="1"/>
  <c r="C467" i="1"/>
  <c r="B467" i="1"/>
  <c r="O466" i="1"/>
  <c r="N466" i="1"/>
  <c r="K466" i="1"/>
  <c r="C466" i="1"/>
  <c r="B466" i="1"/>
  <c r="O465" i="1"/>
  <c r="N465" i="1"/>
  <c r="K465" i="1"/>
  <c r="L465" i="1" s="1"/>
  <c r="C465" i="1"/>
  <c r="B465" i="1"/>
  <c r="O464" i="1"/>
  <c r="N464" i="1"/>
  <c r="K464" i="1"/>
  <c r="C464" i="1"/>
  <c r="B464" i="1"/>
  <c r="O463" i="1"/>
  <c r="N463" i="1"/>
  <c r="K463" i="1"/>
  <c r="L463" i="1" s="1"/>
  <c r="T463" i="1" s="1"/>
  <c r="U463" i="1" s="1"/>
  <c r="V463" i="1" s="1"/>
  <c r="C463" i="1"/>
  <c r="B463" i="1"/>
  <c r="O462" i="1"/>
  <c r="N462" i="1"/>
  <c r="K462" i="1"/>
  <c r="L462" i="1" s="1"/>
  <c r="C462" i="1"/>
  <c r="B462" i="1"/>
  <c r="O461" i="1"/>
  <c r="N461" i="1"/>
  <c r="K461" i="1"/>
  <c r="C461" i="1"/>
  <c r="B461" i="1"/>
  <c r="X460" i="1"/>
  <c r="W460" i="1"/>
  <c r="S460" i="1"/>
  <c r="P460" i="1" s="1"/>
  <c r="O460" i="1"/>
  <c r="N460" i="1"/>
  <c r="K460" i="1"/>
  <c r="C460" i="1"/>
  <c r="B460" i="1"/>
  <c r="O459" i="1"/>
  <c r="N459" i="1"/>
  <c r="K459" i="1"/>
  <c r="C459" i="1"/>
  <c r="B459" i="1"/>
  <c r="O458" i="1"/>
  <c r="N458" i="1"/>
  <c r="K458" i="1"/>
  <c r="C458" i="1"/>
  <c r="B458" i="1"/>
  <c r="O457" i="1"/>
  <c r="N457" i="1"/>
  <c r="K457" i="1"/>
  <c r="L457" i="1" s="1"/>
  <c r="C457" i="1"/>
  <c r="B457" i="1"/>
  <c r="O456" i="1"/>
  <c r="N456" i="1"/>
  <c r="K456" i="1"/>
  <c r="C456" i="1"/>
  <c r="B456" i="1"/>
  <c r="O455" i="1"/>
  <c r="N455" i="1"/>
  <c r="K455" i="1"/>
  <c r="C455" i="1"/>
  <c r="B455" i="1"/>
  <c r="O454" i="1"/>
  <c r="N454" i="1"/>
  <c r="K454" i="1"/>
  <c r="L454" i="1" s="1"/>
  <c r="C454" i="1"/>
  <c r="B454" i="1"/>
  <c r="O453" i="1"/>
  <c r="N453" i="1"/>
  <c r="K453" i="1"/>
  <c r="C453" i="1"/>
  <c r="B453" i="1"/>
  <c r="O452" i="1"/>
  <c r="N452" i="1"/>
  <c r="K452" i="1"/>
  <c r="C452" i="1"/>
  <c r="B452" i="1"/>
  <c r="O451" i="1"/>
  <c r="N451" i="1"/>
  <c r="K451" i="1"/>
  <c r="C451" i="1"/>
  <c r="B451" i="1"/>
  <c r="O450" i="1"/>
  <c r="N450" i="1"/>
  <c r="K450" i="1"/>
  <c r="C450" i="1"/>
  <c r="B450" i="1"/>
  <c r="O449" i="1"/>
  <c r="N449" i="1"/>
  <c r="K449" i="1"/>
  <c r="L449" i="1" s="1"/>
  <c r="C449" i="1"/>
  <c r="B449" i="1"/>
  <c r="O448" i="1"/>
  <c r="N448" i="1"/>
  <c r="K448" i="1"/>
  <c r="C448" i="1"/>
  <c r="B448" i="1"/>
  <c r="O447" i="1"/>
  <c r="N447" i="1"/>
  <c r="K447" i="1"/>
  <c r="C447" i="1"/>
  <c r="B447" i="1"/>
  <c r="O446" i="1"/>
  <c r="N446" i="1"/>
  <c r="K446" i="1"/>
  <c r="L446" i="1" s="1"/>
  <c r="C446" i="1"/>
  <c r="B446" i="1"/>
  <c r="O445" i="1"/>
  <c r="N445" i="1"/>
  <c r="K445" i="1"/>
  <c r="C445" i="1"/>
  <c r="B445" i="1"/>
  <c r="O444" i="1"/>
  <c r="N444" i="1"/>
  <c r="K444" i="1"/>
  <c r="C444" i="1"/>
  <c r="B444" i="1"/>
  <c r="O443" i="1"/>
  <c r="N443" i="1"/>
  <c r="K443" i="1"/>
  <c r="C443" i="1"/>
  <c r="B443" i="1"/>
  <c r="O442" i="1"/>
  <c r="N442" i="1"/>
  <c r="K442" i="1"/>
  <c r="C442" i="1"/>
  <c r="B442" i="1"/>
  <c r="O441" i="1"/>
  <c r="N441" i="1"/>
  <c r="K441" i="1"/>
  <c r="L441" i="1" s="1"/>
  <c r="C441" i="1"/>
  <c r="B441" i="1"/>
  <c r="O440" i="1"/>
  <c r="N440" i="1"/>
  <c r="K440" i="1"/>
  <c r="C440" i="1"/>
  <c r="B440" i="1"/>
  <c r="O439" i="1"/>
  <c r="N439" i="1"/>
  <c r="K439" i="1"/>
  <c r="C439" i="1"/>
  <c r="B439" i="1"/>
  <c r="O438" i="1"/>
  <c r="N438" i="1"/>
  <c r="K438" i="1"/>
  <c r="C438" i="1"/>
  <c r="B438" i="1"/>
  <c r="O437" i="1"/>
  <c r="N437" i="1"/>
  <c r="K437" i="1"/>
  <c r="C437" i="1"/>
  <c r="B437" i="1"/>
  <c r="O436" i="1"/>
  <c r="N436" i="1"/>
  <c r="K436" i="1"/>
  <c r="C436" i="1"/>
  <c r="B436" i="1"/>
  <c r="O435" i="1"/>
  <c r="N435" i="1"/>
  <c r="K435" i="1"/>
  <c r="C435" i="1"/>
  <c r="B435" i="1"/>
  <c r="O434" i="1"/>
  <c r="N434" i="1"/>
  <c r="K434" i="1"/>
  <c r="L434" i="1" s="1"/>
  <c r="T434" i="1" s="1"/>
  <c r="U434" i="1" s="1"/>
  <c r="V434" i="1" s="1"/>
  <c r="C434" i="1"/>
  <c r="B434" i="1"/>
  <c r="O433" i="1"/>
  <c r="N433" i="1"/>
  <c r="K433" i="1"/>
  <c r="C433" i="1"/>
  <c r="B433" i="1"/>
  <c r="O432" i="1"/>
  <c r="N432" i="1"/>
  <c r="K432" i="1"/>
  <c r="C432" i="1"/>
  <c r="B432" i="1"/>
  <c r="O431" i="1"/>
  <c r="N431" i="1"/>
  <c r="K431" i="1"/>
  <c r="L431" i="1" s="1"/>
  <c r="T431" i="1" s="1"/>
  <c r="U431" i="1" s="1"/>
  <c r="V431" i="1" s="1"/>
  <c r="C431" i="1"/>
  <c r="B431" i="1"/>
  <c r="O430" i="1"/>
  <c r="N430" i="1"/>
  <c r="K430" i="1"/>
  <c r="C430" i="1"/>
  <c r="B430" i="1"/>
  <c r="D430" i="1" s="1"/>
  <c r="O429" i="1"/>
  <c r="N429" i="1"/>
  <c r="K429" i="1"/>
  <c r="C429" i="1"/>
  <c r="B429" i="1"/>
  <c r="O428" i="1"/>
  <c r="N428" i="1"/>
  <c r="K428" i="1"/>
  <c r="C428" i="1"/>
  <c r="B428" i="1"/>
  <c r="O427" i="1"/>
  <c r="N427" i="1"/>
  <c r="K427" i="1"/>
  <c r="C427" i="1"/>
  <c r="B427" i="1"/>
  <c r="O426" i="1"/>
  <c r="N426" i="1"/>
  <c r="K426" i="1"/>
  <c r="C426" i="1"/>
  <c r="B426" i="1"/>
  <c r="O425" i="1"/>
  <c r="N425" i="1"/>
  <c r="K425" i="1"/>
  <c r="L425" i="1" s="1"/>
  <c r="R425" i="1" s="1"/>
  <c r="C425" i="1"/>
  <c r="B425" i="1"/>
  <c r="O424" i="1"/>
  <c r="N424" i="1"/>
  <c r="K424" i="1"/>
  <c r="C424" i="1"/>
  <c r="B424" i="1"/>
  <c r="O423" i="1"/>
  <c r="N423" i="1"/>
  <c r="K423" i="1"/>
  <c r="C423" i="1"/>
  <c r="B423" i="1"/>
  <c r="O422" i="1"/>
  <c r="N422" i="1"/>
  <c r="K422" i="1"/>
  <c r="C422" i="1"/>
  <c r="B422" i="1"/>
  <c r="O421" i="1"/>
  <c r="N421" i="1"/>
  <c r="K421" i="1"/>
  <c r="C421" i="1"/>
  <c r="B421" i="1"/>
  <c r="D421" i="1" s="1"/>
  <c r="O420" i="1"/>
  <c r="N420" i="1"/>
  <c r="K420" i="1"/>
  <c r="C420" i="1"/>
  <c r="B420" i="1"/>
  <c r="O419" i="1"/>
  <c r="N419" i="1"/>
  <c r="X419" i="1" s="1"/>
  <c r="K419" i="1"/>
  <c r="C419" i="1"/>
  <c r="B419" i="1"/>
  <c r="O418" i="1"/>
  <c r="N418" i="1"/>
  <c r="K418" i="1"/>
  <c r="L418" i="1" s="1"/>
  <c r="T418" i="1" s="1"/>
  <c r="U418" i="1" s="1"/>
  <c r="V418" i="1" s="1"/>
  <c r="C418" i="1"/>
  <c r="B418" i="1"/>
  <c r="O417" i="1"/>
  <c r="N417" i="1"/>
  <c r="K417" i="1"/>
  <c r="C417" i="1"/>
  <c r="B417" i="1"/>
  <c r="O416" i="1"/>
  <c r="N416" i="1"/>
  <c r="K416" i="1"/>
  <c r="C416" i="1"/>
  <c r="B416" i="1"/>
  <c r="O415" i="1"/>
  <c r="N415" i="1"/>
  <c r="K415" i="1"/>
  <c r="L415" i="1" s="1"/>
  <c r="R415" i="1" s="1"/>
  <c r="C415" i="1"/>
  <c r="B415" i="1"/>
  <c r="O414" i="1"/>
  <c r="N414" i="1"/>
  <c r="K414" i="1"/>
  <c r="C414" i="1"/>
  <c r="B414" i="1"/>
  <c r="O413" i="1"/>
  <c r="N413" i="1"/>
  <c r="K413" i="1"/>
  <c r="C413" i="1"/>
  <c r="B413" i="1"/>
  <c r="O412" i="1"/>
  <c r="N412" i="1"/>
  <c r="K412" i="1"/>
  <c r="C412" i="1"/>
  <c r="B412" i="1"/>
  <c r="O411" i="1"/>
  <c r="N411" i="1"/>
  <c r="K411" i="1"/>
  <c r="C411" i="1"/>
  <c r="B411" i="1"/>
  <c r="O410" i="1"/>
  <c r="N410" i="1"/>
  <c r="K410" i="1"/>
  <c r="C410" i="1"/>
  <c r="B410" i="1"/>
  <c r="O409" i="1"/>
  <c r="N409" i="1"/>
  <c r="K409" i="1"/>
  <c r="L409" i="1" s="1"/>
  <c r="R409" i="1" s="1"/>
  <c r="C409" i="1"/>
  <c r="B409" i="1"/>
  <c r="O408" i="1"/>
  <c r="N408" i="1"/>
  <c r="K408" i="1"/>
  <c r="C408" i="1"/>
  <c r="B408" i="1"/>
  <c r="O407" i="1"/>
  <c r="N407" i="1"/>
  <c r="K407" i="1"/>
  <c r="C407" i="1"/>
  <c r="B407" i="1"/>
  <c r="O406" i="1"/>
  <c r="N406" i="1"/>
  <c r="K406" i="1"/>
  <c r="C406" i="1"/>
  <c r="B406" i="1"/>
  <c r="O405" i="1"/>
  <c r="N405" i="1"/>
  <c r="K405" i="1"/>
  <c r="C405" i="1"/>
  <c r="B405" i="1"/>
  <c r="O404" i="1"/>
  <c r="N404" i="1"/>
  <c r="K404" i="1"/>
  <c r="C404" i="1"/>
  <c r="B404" i="1"/>
  <c r="O403" i="1"/>
  <c r="N403" i="1"/>
  <c r="K403" i="1"/>
  <c r="C403" i="1"/>
  <c r="B403" i="1"/>
  <c r="O402" i="1"/>
  <c r="N402" i="1"/>
  <c r="K402" i="1"/>
  <c r="C402" i="1"/>
  <c r="B402" i="1"/>
  <c r="O401" i="1"/>
  <c r="N401" i="1"/>
  <c r="K401" i="1"/>
  <c r="L401" i="1" s="1"/>
  <c r="R401" i="1" s="1"/>
  <c r="C401" i="1"/>
  <c r="B401" i="1"/>
  <c r="O400" i="1"/>
  <c r="N400" i="1"/>
  <c r="W400" i="1" s="1"/>
  <c r="K400" i="1"/>
  <c r="C400" i="1"/>
  <c r="B400" i="1"/>
  <c r="O399" i="1"/>
  <c r="N399" i="1"/>
  <c r="K399" i="1"/>
  <c r="C399" i="1"/>
  <c r="B399" i="1"/>
  <c r="O398" i="1"/>
  <c r="N398" i="1"/>
  <c r="K398" i="1"/>
  <c r="C398" i="1"/>
  <c r="B398" i="1"/>
  <c r="O397" i="1"/>
  <c r="N397" i="1"/>
  <c r="K397" i="1"/>
  <c r="C397" i="1"/>
  <c r="B397" i="1"/>
  <c r="O396" i="1"/>
  <c r="N396" i="1"/>
  <c r="K396" i="1"/>
  <c r="C396" i="1"/>
  <c r="B396" i="1"/>
  <c r="O395" i="1"/>
  <c r="N395" i="1"/>
  <c r="K395" i="1"/>
  <c r="C395" i="1"/>
  <c r="B395" i="1"/>
  <c r="O394" i="1"/>
  <c r="N394" i="1"/>
  <c r="K394" i="1"/>
  <c r="C394" i="1"/>
  <c r="B394" i="1"/>
  <c r="O393" i="1"/>
  <c r="N393" i="1"/>
  <c r="K393" i="1"/>
  <c r="C393" i="1"/>
  <c r="B393" i="1"/>
  <c r="O392" i="1"/>
  <c r="N392" i="1"/>
  <c r="K392" i="1"/>
  <c r="C392" i="1"/>
  <c r="B392" i="1"/>
  <c r="O391" i="1"/>
  <c r="N391" i="1"/>
  <c r="K391" i="1"/>
  <c r="C391" i="1"/>
  <c r="B391" i="1"/>
  <c r="O390" i="1"/>
  <c r="N390" i="1"/>
  <c r="K390" i="1"/>
  <c r="C390" i="1"/>
  <c r="B390" i="1"/>
  <c r="O389" i="1"/>
  <c r="N389" i="1"/>
  <c r="K389" i="1"/>
  <c r="C389" i="1"/>
  <c r="B389" i="1"/>
  <c r="O388" i="1"/>
  <c r="N388" i="1"/>
  <c r="K388" i="1"/>
  <c r="C388" i="1"/>
  <c r="B388" i="1"/>
  <c r="O387" i="1"/>
  <c r="N387" i="1"/>
  <c r="K387" i="1"/>
  <c r="C387" i="1"/>
  <c r="B387" i="1"/>
  <c r="O386" i="1"/>
  <c r="N386" i="1"/>
  <c r="K386" i="1"/>
  <c r="L386" i="1" s="1"/>
  <c r="T386" i="1" s="1"/>
  <c r="U386" i="1" s="1"/>
  <c r="V386" i="1" s="1"/>
  <c r="C386" i="1"/>
  <c r="B386" i="1"/>
  <c r="O385" i="1"/>
  <c r="N385" i="1"/>
  <c r="K385" i="1"/>
  <c r="L385" i="1" s="1"/>
  <c r="R385" i="1" s="1"/>
  <c r="C385" i="1"/>
  <c r="B385" i="1"/>
  <c r="O384" i="1"/>
  <c r="N384" i="1"/>
  <c r="W384" i="1" s="1"/>
  <c r="K384" i="1"/>
  <c r="C384" i="1"/>
  <c r="B384" i="1"/>
  <c r="O383" i="1"/>
  <c r="N383" i="1"/>
  <c r="K383" i="1"/>
  <c r="L383" i="1" s="1"/>
  <c r="M383" i="1" s="1"/>
  <c r="C383" i="1"/>
  <c r="B383" i="1"/>
  <c r="O382" i="1"/>
  <c r="N382" i="1"/>
  <c r="K382" i="1"/>
  <c r="C382" i="1"/>
  <c r="B382" i="1"/>
  <c r="O381" i="1"/>
  <c r="N381" i="1"/>
  <c r="K381" i="1"/>
  <c r="C381" i="1"/>
  <c r="B381" i="1"/>
  <c r="O380" i="1"/>
  <c r="N380" i="1"/>
  <c r="K380" i="1"/>
  <c r="C380" i="1"/>
  <c r="B380" i="1"/>
  <c r="O379" i="1"/>
  <c r="N379" i="1"/>
  <c r="K379" i="1"/>
  <c r="C379" i="1"/>
  <c r="B379" i="1"/>
  <c r="O378" i="1"/>
  <c r="N378" i="1"/>
  <c r="K378" i="1"/>
  <c r="C378" i="1"/>
  <c r="B378" i="1"/>
  <c r="O377" i="1"/>
  <c r="N377" i="1"/>
  <c r="K377" i="1"/>
  <c r="L377" i="1" s="1"/>
  <c r="C377" i="1"/>
  <c r="B377" i="1"/>
  <c r="O376" i="1"/>
  <c r="N376" i="1"/>
  <c r="K376" i="1"/>
  <c r="C376" i="1"/>
  <c r="B376" i="1"/>
  <c r="O375" i="1"/>
  <c r="N375" i="1"/>
  <c r="K375" i="1"/>
  <c r="L375" i="1" s="1"/>
  <c r="M375" i="1" s="1"/>
  <c r="C375" i="1"/>
  <c r="B375" i="1"/>
  <c r="O374" i="1"/>
  <c r="N374" i="1"/>
  <c r="K374" i="1"/>
  <c r="C374" i="1"/>
  <c r="B374" i="1"/>
  <c r="O373" i="1"/>
  <c r="N373" i="1"/>
  <c r="K373" i="1"/>
  <c r="L373" i="1" s="1"/>
  <c r="C373" i="1"/>
  <c r="B373" i="1"/>
  <c r="O372" i="1"/>
  <c r="N372" i="1"/>
  <c r="K372" i="1"/>
  <c r="C372" i="1"/>
  <c r="B372" i="1"/>
  <c r="O371" i="1"/>
  <c r="N371" i="1"/>
  <c r="K371" i="1"/>
  <c r="C371" i="1"/>
  <c r="B371" i="1"/>
  <c r="O370" i="1"/>
  <c r="N370" i="1"/>
  <c r="K370" i="1"/>
  <c r="C370" i="1"/>
  <c r="B370" i="1"/>
  <c r="O369" i="1"/>
  <c r="N369" i="1"/>
  <c r="K369" i="1"/>
  <c r="C369" i="1"/>
  <c r="B369" i="1"/>
  <c r="X368" i="1"/>
  <c r="W368" i="1"/>
  <c r="S368" i="1"/>
  <c r="P368" i="1" s="1"/>
  <c r="O368" i="1"/>
  <c r="N368" i="1"/>
  <c r="K368" i="1"/>
  <c r="C368" i="1"/>
  <c r="B368" i="1"/>
  <c r="O367" i="1"/>
  <c r="N367" i="1"/>
  <c r="K367" i="1"/>
  <c r="C367" i="1"/>
  <c r="B367" i="1"/>
  <c r="O366" i="1"/>
  <c r="N366" i="1"/>
  <c r="K366" i="1"/>
  <c r="C366" i="1"/>
  <c r="B366" i="1"/>
  <c r="O365" i="1"/>
  <c r="N365" i="1"/>
  <c r="K365" i="1"/>
  <c r="L365" i="1" s="1"/>
  <c r="C365" i="1"/>
  <c r="B365" i="1"/>
  <c r="O364" i="1"/>
  <c r="N364" i="1"/>
  <c r="K364" i="1"/>
  <c r="C364" i="1"/>
  <c r="B364" i="1"/>
  <c r="O363" i="1"/>
  <c r="N363" i="1"/>
  <c r="K363" i="1"/>
  <c r="C363" i="1"/>
  <c r="B363" i="1"/>
  <c r="O362" i="1"/>
  <c r="N362" i="1"/>
  <c r="K362" i="1"/>
  <c r="L362" i="1" s="1"/>
  <c r="T362" i="1" s="1"/>
  <c r="U362" i="1" s="1"/>
  <c r="V362" i="1" s="1"/>
  <c r="C362" i="1"/>
  <c r="B362" i="1"/>
  <c r="O361" i="1"/>
  <c r="N361" i="1"/>
  <c r="K361" i="1"/>
  <c r="L361" i="1" s="1"/>
  <c r="R361" i="1" s="1"/>
  <c r="C361" i="1"/>
  <c r="B361" i="1"/>
  <c r="O360" i="1"/>
  <c r="N360" i="1"/>
  <c r="K360" i="1"/>
  <c r="C360" i="1"/>
  <c r="B360" i="1"/>
  <c r="D360" i="1" s="1"/>
  <c r="O359" i="1"/>
  <c r="N359" i="1"/>
  <c r="K359" i="1"/>
  <c r="L359" i="1" s="1"/>
  <c r="R359" i="1" s="1"/>
  <c r="C359" i="1"/>
  <c r="B359" i="1"/>
  <c r="O358" i="1"/>
  <c r="N358" i="1"/>
  <c r="K358" i="1"/>
  <c r="C358" i="1"/>
  <c r="B358" i="1"/>
  <c r="O357" i="1"/>
  <c r="N357" i="1"/>
  <c r="K357" i="1"/>
  <c r="L357" i="1" s="1"/>
  <c r="C357" i="1"/>
  <c r="B357" i="1"/>
  <c r="O356" i="1"/>
  <c r="N356" i="1"/>
  <c r="K356" i="1"/>
  <c r="C356" i="1"/>
  <c r="B356" i="1"/>
  <c r="O355" i="1"/>
  <c r="N355" i="1"/>
  <c r="K355" i="1"/>
  <c r="C355" i="1"/>
  <c r="B355" i="1"/>
  <c r="O354" i="1"/>
  <c r="N354" i="1"/>
  <c r="K354" i="1"/>
  <c r="L354" i="1" s="1"/>
  <c r="T354" i="1" s="1"/>
  <c r="U354" i="1" s="1"/>
  <c r="V354" i="1" s="1"/>
  <c r="C354" i="1"/>
  <c r="B354" i="1"/>
  <c r="O353" i="1"/>
  <c r="N353" i="1"/>
  <c r="K353" i="1"/>
  <c r="L353" i="1" s="1"/>
  <c r="R353" i="1" s="1"/>
  <c r="C353" i="1"/>
  <c r="B353" i="1"/>
  <c r="O352" i="1"/>
  <c r="N352" i="1"/>
  <c r="K352" i="1"/>
  <c r="C352" i="1"/>
  <c r="B352" i="1"/>
  <c r="O351" i="1"/>
  <c r="N351" i="1"/>
  <c r="K351" i="1"/>
  <c r="L351" i="1" s="1"/>
  <c r="C351" i="1"/>
  <c r="B351" i="1"/>
  <c r="O350" i="1"/>
  <c r="N350" i="1"/>
  <c r="K350" i="1"/>
  <c r="C350" i="1"/>
  <c r="B350" i="1"/>
  <c r="O349" i="1"/>
  <c r="N349" i="1"/>
  <c r="K349" i="1"/>
  <c r="L349" i="1" s="1"/>
  <c r="C349" i="1"/>
  <c r="B349" i="1"/>
  <c r="O348" i="1"/>
  <c r="N348" i="1"/>
  <c r="K348" i="1"/>
  <c r="C348" i="1"/>
  <c r="B348" i="1"/>
  <c r="O347" i="1"/>
  <c r="N347" i="1"/>
  <c r="K347" i="1"/>
  <c r="C347" i="1"/>
  <c r="B347" i="1"/>
  <c r="O346" i="1"/>
  <c r="N346" i="1"/>
  <c r="K346" i="1"/>
  <c r="C346" i="1"/>
  <c r="B346" i="1"/>
  <c r="O345" i="1"/>
  <c r="N345" i="1"/>
  <c r="K345" i="1"/>
  <c r="C345" i="1"/>
  <c r="B345" i="1"/>
  <c r="O344" i="1"/>
  <c r="N344" i="1"/>
  <c r="K344" i="1"/>
  <c r="C344" i="1"/>
  <c r="B344" i="1"/>
  <c r="O343" i="1"/>
  <c r="N343" i="1"/>
  <c r="K343" i="1"/>
  <c r="C343" i="1"/>
  <c r="B343" i="1"/>
  <c r="O342" i="1"/>
  <c r="N342" i="1"/>
  <c r="K342" i="1"/>
  <c r="C342" i="1"/>
  <c r="B342" i="1"/>
  <c r="O341" i="1"/>
  <c r="N341" i="1"/>
  <c r="K341" i="1"/>
  <c r="L341" i="1" s="1"/>
  <c r="C341" i="1"/>
  <c r="B341" i="1"/>
  <c r="O340" i="1"/>
  <c r="N340" i="1"/>
  <c r="K340" i="1"/>
  <c r="C340" i="1"/>
  <c r="B340" i="1"/>
  <c r="O339" i="1"/>
  <c r="N339" i="1"/>
  <c r="K339" i="1"/>
  <c r="C339" i="1"/>
  <c r="B339" i="1"/>
  <c r="O338" i="1"/>
  <c r="N338" i="1"/>
  <c r="K338" i="1"/>
  <c r="L338" i="1" s="1"/>
  <c r="T338" i="1" s="1"/>
  <c r="U338" i="1" s="1"/>
  <c r="V338" i="1" s="1"/>
  <c r="C338" i="1"/>
  <c r="B338" i="1"/>
  <c r="O337" i="1"/>
  <c r="N337" i="1"/>
  <c r="K337" i="1"/>
  <c r="C337" i="1"/>
  <c r="B337" i="1"/>
  <c r="O336" i="1"/>
  <c r="N336" i="1"/>
  <c r="K336" i="1"/>
  <c r="C336" i="1"/>
  <c r="B336" i="1"/>
  <c r="O335" i="1"/>
  <c r="N335" i="1"/>
  <c r="K335" i="1"/>
  <c r="C335" i="1"/>
  <c r="B335" i="1"/>
  <c r="O334" i="1"/>
  <c r="N334" i="1"/>
  <c r="K334" i="1"/>
  <c r="C334" i="1"/>
  <c r="B334" i="1"/>
  <c r="O333" i="1"/>
  <c r="N333" i="1"/>
  <c r="K333" i="1"/>
  <c r="L333" i="1" s="1"/>
  <c r="C333" i="1"/>
  <c r="B333" i="1"/>
  <c r="O332" i="1"/>
  <c r="N332" i="1"/>
  <c r="K332" i="1"/>
  <c r="C332" i="1"/>
  <c r="B332" i="1"/>
  <c r="O331" i="1"/>
  <c r="N331" i="1"/>
  <c r="K331" i="1"/>
  <c r="C331" i="1"/>
  <c r="B331" i="1"/>
  <c r="O330" i="1"/>
  <c r="N330" i="1"/>
  <c r="K330" i="1"/>
  <c r="L330" i="1" s="1"/>
  <c r="T330" i="1" s="1"/>
  <c r="U330" i="1" s="1"/>
  <c r="V330" i="1" s="1"/>
  <c r="C330" i="1"/>
  <c r="B330" i="1"/>
  <c r="O329" i="1"/>
  <c r="N329" i="1"/>
  <c r="K329" i="1"/>
  <c r="C329" i="1"/>
  <c r="B329" i="1"/>
  <c r="O328" i="1"/>
  <c r="N328" i="1"/>
  <c r="K328" i="1"/>
  <c r="C328" i="1"/>
  <c r="B328" i="1"/>
  <c r="O327" i="1"/>
  <c r="N327" i="1"/>
  <c r="K327" i="1"/>
  <c r="C327" i="1"/>
  <c r="B327" i="1"/>
  <c r="O326" i="1"/>
  <c r="N326" i="1"/>
  <c r="K326" i="1"/>
  <c r="C326" i="1"/>
  <c r="B326" i="1"/>
  <c r="O325" i="1"/>
  <c r="N325" i="1"/>
  <c r="K325" i="1"/>
  <c r="L325" i="1" s="1"/>
  <c r="C325" i="1"/>
  <c r="B325" i="1"/>
  <c r="O324" i="1"/>
  <c r="N324" i="1"/>
  <c r="K324" i="1"/>
  <c r="C324" i="1"/>
  <c r="B324" i="1"/>
  <c r="O323" i="1"/>
  <c r="N323" i="1"/>
  <c r="K323" i="1"/>
  <c r="C323" i="1"/>
  <c r="B323" i="1"/>
  <c r="O322" i="1"/>
  <c r="N322" i="1"/>
  <c r="K322" i="1"/>
  <c r="L322" i="1" s="1"/>
  <c r="C322" i="1"/>
  <c r="B322" i="1"/>
  <c r="O321" i="1"/>
  <c r="N321" i="1"/>
  <c r="K321" i="1"/>
  <c r="C321" i="1"/>
  <c r="B321" i="1"/>
  <c r="O320" i="1"/>
  <c r="N320" i="1"/>
  <c r="K320" i="1"/>
  <c r="C320" i="1"/>
  <c r="B320" i="1"/>
  <c r="O319" i="1"/>
  <c r="N319" i="1"/>
  <c r="K319" i="1"/>
  <c r="C319" i="1"/>
  <c r="B319" i="1"/>
  <c r="O318" i="1"/>
  <c r="N318" i="1"/>
  <c r="K318" i="1"/>
  <c r="C318" i="1"/>
  <c r="B318" i="1"/>
  <c r="O317" i="1"/>
  <c r="N317" i="1"/>
  <c r="K317" i="1"/>
  <c r="L317" i="1" s="1"/>
  <c r="C317" i="1"/>
  <c r="B317" i="1"/>
  <c r="O316" i="1"/>
  <c r="N316" i="1"/>
  <c r="S316" i="1" s="1"/>
  <c r="P316" i="1" s="1"/>
  <c r="K316" i="1"/>
  <c r="C316" i="1"/>
  <c r="B316" i="1"/>
  <c r="O315" i="1"/>
  <c r="N315" i="1"/>
  <c r="K315" i="1"/>
  <c r="C315" i="1"/>
  <c r="B315" i="1"/>
  <c r="O314" i="1"/>
  <c r="N314" i="1"/>
  <c r="K314" i="1"/>
  <c r="C314" i="1"/>
  <c r="B314" i="1"/>
  <c r="O313" i="1"/>
  <c r="N313" i="1"/>
  <c r="K313" i="1"/>
  <c r="C313" i="1"/>
  <c r="B313" i="1"/>
  <c r="O312" i="1"/>
  <c r="N312" i="1"/>
  <c r="K312" i="1"/>
  <c r="C312" i="1"/>
  <c r="B312" i="1"/>
  <c r="O311" i="1"/>
  <c r="N311" i="1"/>
  <c r="K311" i="1"/>
  <c r="C311" i="1"/>
  <c r="B311" i="1"/>
  <c r="D311" i="1" s="1"/>
  <c r="O310" i="1"/>
  <c r="N310" i="1"/>
  <c r="K310" i="1"/>
  <c r="C310" i="1"/>
  <c r="B310" i="1"/>
  <c r="O309" i="1"/>
  <c r="N309" i="1"/>
  <c r="K309" i="1"/>
  <c r="L309" i="1" s="1"/>
  <c r="C309" i="1"/>
  <c r="B309" i="1"/>
  <c r="O308" i="1"/>
  <c r="N308" i="1"/>
  <c r="K308" i="1"/>
  <c r="C308" i="1"/>
  <c r="B308" i="1"/>
  <c r="O307" i="1"/>
  <c r="N307" i="1"/>
  <c r="K307" i="1"/>
  <c r="C307" i="1"/>
  <c r="B307" i="1"/>
  <c r="O306" i="1"/>
  <c r="N306" i="1"/>
  <c r="K306" i="1"/>
  <c r="C306" i="1"/>
  <c r="B306" i="1"/>
  <c r="O305" i="1"/>
  <c r="N305" i="1"/>
  <c r="K305" i="1"/>
  <c r="C305" i="1"/>
  <c r="B305" i="1"/>
  <c r="O304" i="1"/>
  <c r="N304" i="1"/>
  <c r="K304" i="1"/>
  <c r="C304" i="1"/>
  <c r="B304" i="1"/>
  <c r="O303" i="1"/>
  <c r="N303" i="1"/>
  <c r="K303" i="1"/>
  <c r="C303" i="1"/>
  <c r="B303" i="1"/>
  <c r="O302" i="1"/>
  <c r="N302" i="1"/>
  <c r="K302" i="1"/>
  <c r="L302" i="1" s="1"/>
  <c r="C302" i="1"/>
  <c r="B302" i="1"/>
  <c r="O301" i="1"/>
  <c r="N301" i="1"/>
  <c r="K301" i="1"/>
  <c r="L301" i="1" s="1"/>
  <c r="C301" i="1"/>
  <c r="B301" i="1"/>
  <c r="O300" i="1"/>
  <c r="N300" i="1"/>
  <c r="K300" i="1"/>
  <c r="C300" i="1"/>
  <c r="B300" i="1"/>
  <c r="O299" i="1"/>
  <c r="N299" i="1"/>
  <c r="K299" i="1"/>
  <c r="C299" i="1"/>
  <c r="B299" i="1"/>
  <c r="O298" i="1"/>
  <c r="N298" i="1"/>
  <c r="K298" i="1"/>
  <c r="C298" i="1"/>
  <c r="B298" i="1"/>
  <c r="O297" i="1"/>
  <c r="N297" i="1"/>
  <c r="K297" i="1"/>
  <c r="C297" i="1"/>
  <c r="B297" i="1"/>
  <c r="O296" i="1"/>
  <c r="N296" i="1"/>
  <c r="K296" i="1"/>
  <c r="C296" i="1"/>
  <c r="B296" i="1"/>
  <c r="O295" i="1"/>
  <c r="N295" i="1"/>
  <c r="K295" i="1"/>
  <c r="C295" i="1"/>
  <c r="B295" i="1"/>
  <c r="O294" i="1"/>
  <c r="N294" i="1"/>
  <c r="K294" i="1"/>
  <c r="C294" i="1"/>
  <c r="B294" i="1"/>
  <c r="O293" i="1"/>
  <c r="N293" i="1"/>
  <c r="K293" i="1"/>
  <c r="L293" i="1" s="1"/>
  <c r="C293" i="1"/>
  <c r="B293" i="1"/>
  <c r="O292" i="1"/>
  <c r="N292" i="1"/>
  <c r="K292" i="1"/>
  <c r="C292" i="1"/>
  <c r="B292" i="1"/>
  <c r="O291" i="1"/>
  <c r="N291" i="1"/>
  <c r="K291" i="1"/>
  <c r="C291" i="1"/>
  <c r="B291" i="1"/>
  <c r="D291" i="1" s="1"/>
  <c r="O290" i="1"/>
  <c r="N290" i="1"/>
  <c r="K290" i="1"/>
  <c r="L290" i="1" s="1"/>
  <c r="C290" i="1"/>
  <c r="B290" i="1"/>
  <c r="O289" i="1"/>
  <c r="N289" i="1"/>
  <c r="K289" i="1"/>
  <c r="C289" i="1"/>
  <c r="B289" i="1"/>
  <c r="O288" i="1"/>
  <c r="N288" i="1"/>
  <c r="K288" i="1"/>
  <c r="C288" i="1"/>
  <c r="B288" i="1"/>
  <c r="O287" i="1"/>
  <c r="N287" i="1"/>
  <c r="K287" i="1"/>
  <c r="C287" i="1"/>
  <c r="B287" i="1"/>
  <c r="O286" i="1"/>
  <c r="N286" i="1"/>
  <c r="K286" i="1"/>
  <c r="L286" i="1" s="1"/>
  <c r="C286" i="1"/>
  <c r="B286" i="1"/>
  <c r="O285" i="1"/>
  <c r="N285" i="1"/>
  <c r="K285" i="1"/>
  <c r="L285" i="1" s="1"/>
  <c r="C285" i="1"/>
  <c r="B285" i="1"/>
  <c r="O284" i="1"/>
  <c r="N284" i="1"/>
  <c r="K284" i="1"/>
  <c r="C284" i="1"/>
  <c r="B284" i="1"/>
  <c r="O283" i="1"/>
  <c r="N283" i="1"/>
  <c r="K283" i="1"/>
  <c r="C283" i="1"/>
  <c r="B283" i="1"/>
  <c r="O282" i="1"/>
  <c r="N282" i="1"/>
  <c r="K282" i="1"/>
  <c r="C282" i="1"/>
  <c r="B282" i="1"/>
  <c r="O281" i="1"/>
  <c r="N281" i="1"/>
  <c r="K281" i="1"/>
  <c r="C281" i="1"/>
  <c r="B281" i="1"/>
  <c r="O280" i="1"/>
  <c r="N280" i="1"/>
  <c r="K280" i="1"/>
  <c r="C280" i="1"/>
  <c r="B280" i="1"/>
  <c r="O279" i="1"/>
  <c r="N279" i="1"/>
  <c r="K279" i="1"/>
  <c r="C279" i="1"/>
  <c r="B279" i="1"/>
  <c r="O278" i="1"/>
  <c r="N278" i="1"/>
  <c r="K278" i="1"/>
  <c r="C278" i="1"/>
  <c r="B278" i="1"/>
  <c r="O277" i="1"/>
  <c r="N277" i="1"/>
  <c r="K277" i="1"/>
  <c r="L277" i="1" s="1"/>
  <c r="C277" i="1"/>
  <c r="B277" i="1"/>
  <c r="X276" i="1"/>
  <c r="W276" i="1"/>
  <c r="S276" i="1"/>
  <c r="P276" i="1" s="1"/>
  <c r="O276" i="1"/>
  <c r="N276" i="1"/>
  <c r="K276" i="1"/>
  <c r="C276" i="1"/>
  <c r="B276" i="1"/>
  <c r="O275" i="1"/>
  <c r="N275" i="1"/>
  <c r="K275" i="1"/>
  <c r="C275" i="1"/>
  <c r="B275" i="1"/>
  <c r="O274" i="1"/>
  <c r="N274" i="1"/>
  <c r="K274" i="1"/>
  <c r="L274" i="1" s="1"/>
  <c r="C274" i="1"/>
  <c r="B274" i="1"/>
  <c r="O273" i="1"/>
  <c r="N273" i="1"/>
  <c r="K273" i="1"/>
  <c r="C273" i="1"/>
  <c r="B273" i="1"/>
  <c r="O272" i="1"/>
  <c r="N272" i="1"/>
  <c r="K272" i="1"/>
  <c r="C272" i="1"/>
  <c r="B272" i="1"/>
  <c r="O271" i="1"/>
  <c r="N271" i="1"/>
  <c r="K271" i="1"/>
  <c r="C271" i="1"/>
  <c r="B271" i="1"/>
  <c r="O270" i="1"/>
  <c r="N270" i="1"/>
  <c r="K270" i="1"/>
  <c r="C270" i="1"/>
  <c r="B270" i="1"/>
  <c r="O269" i="1"/>
  <c r="N269" i="1"/>
  <c r="K269" i="1"/>
  <c r="L269" i="1" s="1"/>
  <c r="C269" i="1"/>
  <c r="B269" i="1"/>
  <c r="O268" i="1"/>
  <c r="N268" i="1"/>
  <c r="K268" i="1"/>
  <c r="C268" i="1"/>
  <c r="B268" i="1"/>
  <c r="O267" i="1"/>
  <c r="N267" i="1"/>
  <c r="K267" i="1"/>
  <c r="C267" i="1"/>
  <c r="B267" i="1"/>
  <c r="O266" i="1"/>
  <c r="N266" i="1"/>
  <c r="K266" i="1"/>
  <c r="L266" i="1" s="1"/>
  <c r="C266" i="1"/>
  <c r="B266" i="1"/>
  <c r="O265" i="1"/>
  <c r="N265" i="1"/>
  <c r="K265" i="1"/>
  <c r="C265" i="1"/>
  <c r="B265" i="1"/>
  <c r="O264" i="1"/>
  <c r="N264" i="1"/>
  <c r="K264" i="1"/>
  <c r="C264" i="1"/>
  <c r="B264" i="1"/>
  <c r="O263" i="1"/>
  <c r="N263" i="1"/>
  <c r="K263" i="1"/>
  <c r="L263" i="1" s="1"/>
  <c r="M263" i="1" s="1"/>
  <c r="C263" i="1"/>
  <c r="B263" i="1"/>
  <c r="O262" i="1"/>
  <c r="N262" i="1"/>
  <c r="K262" i="1"/>
  <c r="L262" i="1" s="1"/>
  <c r="C262" i="1"/>
  <c r="B262" i="1"/>
  <c r="O261" i="1"/>
  <c r="N261" i="1"/>
  <c r="K261" i="1"/>
  <c r="L261" i="1" s="1"/>
  <c r="C261" i="1"/>
  <c r="B261" i="1"/>
  <c r="O260" i="1"/>
  <c r="N260" i="1"/>
  <c r="K260" i="1"/>
  <c r="C260" i="1"/>
  <c r="B260" i="1"/>
  <c r="O259" i="1"/>
  <c r="N259" i="1"/>
  <c r="K259" i="1"/>
  <c r="C259" i="1"/>
  <c r="B259" i="1"/>
  <c r="O258" i="1"/>
  <c r="N258" i="1"/>
  <c r="K258" i="1"/>
  <c r="C258" i="1"/>
  <c r="B258" i="1"/>
  <c r="O257" i="1"/>
  <c r="N257" i="1"/>
  <c r="K257" i="1"/>
  <c r="C257" i="1"/>
  <c r="B257" i="1"/>
  <c r="O256" i="1"/>
  <c r="N256" i="1"/>
  <c r="K256" i="1"/>
  <c r="C256" i="1"/>
  <c r="B256" i="1"/>
  <c r="O255" i="1"/>
  <c r="N255" i="1"/>
  <c r="K255" i="1"/>
  <c r="Q255" i="1" s="1"/>
  <c r="C255" i="1"/>
  <c r="B255" i="1"/>
  <c r="D255" i="1" s="1"/>
  <c r="O254" i="1"/>
  <c r="N254" i="1"/>
  <c r="K254" i="1"/>
  <c r="C254" i="1"/>
  <c r="B254" i="1"/>
  <c r="O253" i="1"/>
  <c r="N253" i="1"/>
  <c r="K253" i="1"/>
  <c r="L253" i="1" s="1"/>
  <c r="C253" i="1"/>
  <c r="B253" i="1"/>
  <c r="O252" i="1"/>
  <c r="N252" i="1"/>
  <c r="K252" i="1"/>
  <c r="C252" i="1"/>
  <c r="B252" i="1"/>
  <c r="O251" i="1"/>
  <c r="N251" i="1"/>
  <c r="K251" i="1"/>
  <c r="C251" i="1"/>
  <c r="B251" i="1"/>
  <c r="O250" i="1"/>
  <c r="N250" i="1"/>
  <c r="K250" i="1"/>
  <c r="L250" i="1" s="1"/>
  <c r="T250" i="1" s="1"/>
  <c r="U250" i="1" s="1"/>
  <c r="V250" i="1" s="1"/>
  <c r="C250" i="1"/>
  <c r="B250" i="1"/>
  <c r="O249" i="1"/>
  <c r="N249" i="1"/>
  <c r="K249" i="1"/>
  <c r="C249" i="1"/>
  <c r="B249" i="1"/>
  <c r="O248" i="1"/>
  <c r="N248" i="1"/>
  <c r="K248" i="1"/>
  <c r="C248" i="1"/>
  <c r="B248" i="1"/>
  <c r="O247" i="1"/>
  <c r="N247" i="1"/>
  <c r="K247" i="1"/>
  <c r="C247" i="1"/>
  <c r="B247" i="1"/>
  <c r="O246" i="1"/>
  <c r="N246" i="1"/>
  <c r="K246" i="1"/>
  <c r="L246" i="1" s="1"/>
  <c r="C246" i="1"/>
  <c r="B246" i="1"/>
  <c r="O245" i="1"/>
  <c r="N245" i="1"/>
  <c r="K245" i="1"/>
  <c r="C245" i="1"/>
  <c r="B245" i="1"/>
  <c r="O244" i="1"/>
  <c r="N244" i="1"/>
  <c r="K244" i="1"/>
  <c r="C244" i="1"/>
  <c r="B244" i="1"/>
  <c r="O243" i="1"/>
  <c r="N243" i="1"/>
  <c r="K243" i="1"/>
  <c r="C243" i="1"/>
  <c r="B243" i="1"/>
  <c r="O242" i="1"/>
  <c r="N242" i="1"/>
  <c r="K242" i="1"/>
  <c r="L242" i="1" s="1"/>
  <c r="R242" i="1" s="1"/>
  <c r="C242" i="1"/>
  <c r="B242" i="1"/>
  <c r="O241" i="1"/>
  <c r="N241" i="1"/>
  <c r="K241" i="1"/>
  <c r="C241" i="1"/>
  <c r="B241" i="1"/>
  <c r="O240" i="1"/>
  <c r="N240" i="1"/>
  <c r="K240" i="1"/>
  <c r="C240" i="1"/>
  <c r="B240" i="1"/>
  <c r="O239" i="1"/>
  <c r="N239" i="1"/>
  <c r="K239" i="1"/>
  <c r="C239" i="1"/>
  <c r="B239" i="1"/>
  <c r="O238" i="1"/>
  <c r="N238" i="1"/>
  <c r="K238" i="1"/>
  <c r="L238" i="1" s="1"/>
  <c r="C238" i="1"/>
  <c r="B238" i="1"/>
  <c r="O237" i="1"/>
  <c r="N237" i="1"/>
  <c r="K237" i="1"/>
  <c r="C237" i="1"/>
  <c r="B237" i="1"/>
  <c r="O236" i="1"/>
  <c r="N236" i="1"/>
  <c r="K236" i="1"/>
  <c r="C236" i="1"/>
  <c r="B236" i="1"/>
  <c r="O235" i="1"/>
  <c r="N235" i="1"/>
  <c r="K235" i="1"/>
  <c r="C235" i="1"/>
  <c r="B235" i="1"/>
  <c r="O234" i="1"/>
  <c r="N234" i="1"/>
  <c r="K234" i="1"/>
  <c r="C234" i="1"/>
  <c r="B234" i="1"/>
  <c r="O233" i="1"/>
  <c r="N233" i="1"/>
  <c r="K233" i="1"/>
  <c r="C233" i="1"/>
  <c r="B233" i="1"/>
  <c r="O232" i="1"/>
  <c r="N232" i="1"/>
  <c r="K232" i="1"/>
  <c r="C232" i="1"/>
  <c r="B232" i="1"/>
  <c r="O231" i="1"/>
  <c r="N231" i="1"/>
  <c r="K231" i="1"/>
  <c r="C231" i="1"/>
  <c r="B231" i="1"/>
  <c r="O230" i="1"/>
  <c r="N230" i="1"/>
  <c r="K230" i="1"/>
  <c r="C230" i="1"/>
  <c r="B230" i="1"/>
  <c r="O229" i="1"/>
  <c r="N229" i="1"/>
  <c r="K229" i="1"/>
  <c r="C229" i="1"/>
  <c r="B229" i="1"/>
  <c r="O228" i="1"/>
  <c r="N228" i="1"/>
  <c r="K228" i="1"/>
  <c r="C228" i="1"/>
  <c r="B228" i="1"/>
  <c r="O227" i="1"/>
  <c r="N227" i="1"/>
  <c r="K227" i="1"/>
  <c r="C227" i="1"/>
  <c r="B227" i="1"/>
  <c r="O226" i="1"/>
  <c r="N226" i="1"/>
  <c r="K226" i="1"/>
  <c r="C226" i="1"/>
  <c r="B226" i="1"/>
  <c r="O225" i="1"/>
  <c r="N225" i="1"/>
  <c r="K225" i="1"/>
  <c r="C225" i="1"/>
  <c r="B225" i="1"/>
  <c r="O224" i="1"/>
  <c r="N224" i="1"/>
  <c r="K224" i="1"/>
  <c r="C224" i="1"/>
  <c r="B224" i="1"/>
  <c r="O223" i="1"/>
  <c r="N223" i="1"/>
  <c r="K223" i="1"/>
  <c r="C223" i="1"/>
  <c r="B223" i="1"/>
  <c r="O222" i="1"/>
  <c r="N222" i="1"/>
  <c r="K222" i="1"/>
  <c r="C222" i="1"/>
  <c r="B222" i="1"/>
  <c r="O221" i="1"/>
  <c r="N221" i="1"/>
  <c r="K221" i="1"/>
  <c r="C221" i="1"/>
  <c r="B221" i="1"/>
  <c r="O220" i="1"/>
  <c r="N220" i="1"/>
  <c r="K220" i="1"/>
  <c r="C220" i="1"/>
  <c r="B220" i="1"/>
  <c r="O219" i="1"/>
  <c r="N219" i="1"/>
  <c r="K219" i="1"/>
  <c r="C219" i="1"/>
  <c r="B219" i="1"/>
  <c r="O218" i="1"/>
  <c r="N218" i="1"/>
  <c r="K218" i="1"/>
  <c r="C218" i="1"/>
  <c r="B218" i="1"/>
  <c r="D218" i="1" s="1"/>
  <c r="O217" i="1"/>
  <c r="N217" i="1"/>
  <c r="K217" i="1"/>
  <c r="C217" i="1"/>
  <c r="B217" i="1"/>
  <c r="O216" i="1"/>
  <c r="N216" i="1"/>
  <c r="K216" i="1"/>
  <c r="C216" i="1"/>
  <c r="B216" i="1"/>
  <c r="O215" i="1"/>
  <c r="N215" i="1"/>
  <c r="K215" i="1"/>
  <c r="C215" i="1"/>
  <c r="B215" i="1"/>
  <c r="O214" i="1"/>
  <c r="N214" i="1"/>
  <c r="K214" i="1"/>
  <c r="C214" i="1"/>
  <c r="B214" i="1"/>
  <c r="O213" i="1"/>
  <c r="N213" i="1"/>
  <c r="K213" i="1"/>
  <c r="C213" i="1"/>
  <c r="B213" i="1"/>
  <c r="O212" i="1"/>
  <c r="N212" i="1"/>
  <c r="K212" i="1"/>
  <c r="C212" i="1"/>
  <c r="B212" i="1"/>
  <c r="O211" i="1"/>
  <c r="N211" i="1"/>
  <c r="K211" i="1"/>
  <c r="L211" i="1" s="1"/>
  <c r="T211" i="1" s="1"/>
  <c r="U211" i="1" s="1"/>
  <c r="V211" i="1" s="1"/>
  <c r="C211" i="1"/>
  <c r="B211" i="1"/>
  <c r="O210" i="1"/>
  <c r="N210" i="1"/>
  <c r="K210" i="1"/>
  <c r="C210" i="1"/>
  <c r="B210" i="1"/>
  <c r="O209" i="1"/>
  <c r="N209" i="1"/>
  <c r="K209" i="1"/>
  <c r="C209" i="1"/>
  <c r="B209" i="1"/>
  <c r="O208" i="1"/>
  <c r="N208" i="1"/>
  <c r="K208" i="1"/>
  <c r="C208" i="1"/>
  <c r="B208" i="1"/>
  <c r="O207" i="1"/>
  <c r="N207" i="1"/>
  <c r="K207" i="1"/>
  <c r="C207" i="1"/>
  <c r="B207" i="1"/>
  <c r="O206" i="1"/>
  <c r="N206" i="1"/>
  <c r="K206" i="1"/>
  <c r="C206" i="1"/>
  <c r="B206" i="1"/>
  <c r="O205" i="1"/>
  <c r="N205" i="1"/>
  <c r="K205" i="1"/>
  <c r="C205" i="1"/>
  <c r="B205" i="1"/>
  <c r="O204" i="1"/>
  <c r="N204" i="1"/>
  <c r="K204" i="1"/>
  <c r="C204" i="1"/>
  <c r="B204" i="1"/>
  <c r="O203" i="1"/>
  <c r="N203" i="1"/>
  <c r="K203" i="1"/>
  <c r="L203" i="1" s="1"/>
  <c r="R203" i="1" s="1"/>
  <c r="C203" i="1"/>
  <c r="B203" i="1"/>
  <c r="O202" i="1"/>
  <c r="N202" i="1"/>
  <c r="K202" i="1"/>
  <c r="C202" i="1"/>
  <c r="B202" i="1"/>
  <c r="O201" i="1"/>
  <c r="N201" i="1"/>
  <c r="K201" i="1"/>
  <c r="C201" i="1"/>
  <c r="B201" i="1"/>
  <c r="O200" i="1"/>
  <c r="N200" i="1"/>
  <c r="K200" i="1"/>
  <c r="C200" i="1"/>
  <c r="B200" i="1"/>
  <c r="O199" i="1"/>
  <c r="N199" i="1"/>
  <c r="K199" i="1"/>
  <c r="L199" i="1" s="1"/>
  <c r="C199" i="1"/>
  <c r="B199" i="1"/>
  <c r="O198" i="1"/>
  <c r="N198" i="1"/>
  <c r="K198" i="1"/>
  <c r="C198" i="1"/>
  <c r="B198" i="1"/>
  <c r="O197" i="1"/>
  <c r="N197" i="1"/>
  <c r="K197" i="1"/>
  <c r="C197" i="1"/>
  <c r="B197" i="1"/>
  <c r="O196" i="1"/>
  <c r="N196" i="1"/>
  <c r="K196" i="1"/>
  <c r="C196" i="1"/>
  <c r="B196" i="1"/>
  <c r="O195" i="1"/>
  <c r="N195" i="1"/>
  <c r="K195" i="1"/>
  <c r="C195" i="1"/>
  <c r="B195" i="1"/>
  <c r="O194" i="1"/>
  <c r="N194" i="1"/>
  <c r="K194" i="1"/>
  <c r="C194" i="1"/>
  <c r="B194" i="1"/>
  <c r="O193" i="1"/>
  <c r="N193" i="1"/>
  <c r="K193" i="1"/>
  <c r="C193" i="1"/>
  <c r="B193" i="1"/>
  <c r="O192" i="1"/>
  <c r="N192" i="1"/>
  <c r="K192" i="1"/>
  <c r="C192" i="1"/>
  <c r="B192" i="1"/>
  <c r="O191" i="1"/>
  <c r="N191" i="1"/>
  <c r="K191" i="1"/>
  <c r="C191" i="1"/>
  <c r="B191" i="1"/>
  <c r="O190" i="1"/>
  <c r="N190" i="1"/>
  <c r="K190" i="1"/>
  <c r="C190" i="1"/>
  <c r="B190" i="1"/>
  <c r="O189" i="1"/>
  <c r="N189" i="1"/>
  <c r="K189" i="1"/>
  <c r="C189" i="1"/>
  <c r="B189" i="1"/>
  <c r="O188" i="1"/>
  <c r="N188" i="1"/>
  <c r="K188" i="1"/>
  <c r="C188" i="1"/>
  <c r="B188" i="1"/>
  <c r="O187" i="1"/>
  <c r="N187" i="1"/>
  <c r="K187" i="1"/>
  <c r="C187" i="1"/>
  <c r="B187" i="1"/>
  <c r="O186" i="1"/>
  <c r="N186" i="1"/>
  <c r="K186" i="1"/>
  <c r="C186" i="1"/>
  <c r="B186" i="1"/>
  <c r="X185" i="1"/>
  <c r="W185" i="1"/>
  <c r="S185" i="1"/>
  <c r="P185" i="1" s="1"/>
  <c r="O185" i="1"/>
  <c r="N185" i="1"/>
  <c r="K185" i="1"/>
  <c r="C185" i="1"/>
  <c r="B185" i="1"/>
  <c r="O184" i="1"/>
  <c r="N184" i="1"/>
  <c r="K184" i="1"/>
  <c r="L184" i="1" s="1"/>
  <c r="R184" i="1" s="1"/>
  <c r="C184" i="1"/>
  <c r="B184" i="1"/>
  <c r="O183" i="1"/>
  <c r="N183" i="1"/>
  <c r="K183" i="1"/>
  <c r="L183" i="1" s="1"/>
  <c r="C183" i="1"/>
  <c r="B183" i="1"/>
  <c r="O182" i="1"/>
  <c r="N182" i="1"/>
  <c r="K182" i="1"/>
  <c r="C182" i="1"/>
  <c r="B182" i="1"/>
  <c r="O181" i="1"/>
  <c r="N181" i="1"/>
  <c r="K181" i="1"/>
  <c r="C181" i="1"/>
  <c r="B181" i="1"/>
  <c r="O180" i="1"/>
  <c r="N180" i="1"/>
  <c r="K180" i="1"/>
  <c r="C180" i="1"/>
  <c r="B180" i="1"/>
  <c r="O179" i="1"/>
  <c r="N179" i="1"/>
  <c r="K179" i="1"/>
  <c r="C179" i="1"/>
  <c r="B179" i="1"/>
  <c r="O178" i="1"/>
  <c r="N178" i="1"/>
  <c r="K178" i="1"/>
  <c r="C178" i="1"/>
  <c r="B178" i="1"/>
  <c r="O177" i="1"/>
  <c r="N177" i="1"/>
  <c r="K177" i="1"/>
  <c r="C177" i="1"/>
  <c r="B177" i="1"/>
  <c r="O176" i="1"/>
  <c r="N176" i="1"/>
  <c r="K176" i="1"/>
  <c r="L176" i="1" s="1"/>
  <c r="M176" i="1" s="1"/>
  <c r="C176" i="1"/>
  <c r="B176" i="1"/>
  <c r="O175" i="1"/>
  <c r="N175" i="1"/>
  <c r="K175" i="1"/>
  <c r="C175" i="1"/>
  <c r="B175" i="1"/>
  <c r="O174" i="1"/>
  <c r="N174" i="1"/>
  <c r="K174" i="1"/>
  <c r="C174" i="1"/>
  <c r="B174" i="1"/>
  <c r="O173" i="1"/>
  <c r="N173" i="1"/>
  <c r="K173" i="1"/>
  <c r="C173" i="1"/>
  <c r="B173" i="1"/>
  <c r="O172" i="1"/>
  <c r="N172" i="1"/>
  <c r="K172" i="1"/>
  <c r="C172" i="1"/>
  <c r="B172" i="1"/>
  <c r="O171" i="1"/>
  <c r="N171" i="1"/>
  <c r="K171" i="1"/>
  <c r="C171" i="1"/>
  <c r="B171" i="1"/>
  <c r="O170" i="1"/>
  <c r="N170" i="1"/>
  <c r="K170" i="1"/>
  <c r="C170" i="1"/>
  <c r="B170" i="1"/>
  <c r="O169" i="1"/>
  <c r="N169" i="1"/>
  <c r="K169" i="1"/>
  <c r="C169" i="1"/>
  <c r="B169" i="1"/>
  <c r="O168" i="1"/>
  <c r="N168" i="1"/>
  <c r="K168" i="1"/>
  <c r="C168" i="1"/>
  <c r="B168" i="1"/>
  <c r="O167" i="1"/>
  <c r="N167" i="1"/>
  <c r="K167" i="1"/>
  <c r="C167" i="1"/>
  <c r="B167" i="1"/>
  <c r="D167" i="1" s="1"/>
  <c r="O166" i="1"/>
  <c r="N166" i="1"/>
  <c r="K166" i="1"/>
  <c r="C166" i="1"/>
  <c r="B166" i="1"/>
  <c r="O165" i="1"/>
  <c r="N165" i="1"/>
  <c r="K165" i="1"/>
  <c r="C165" i="1"/>
  <c r="B165" i="1"/>
  <c r="O164" i="1"/>
  <c r="N164" i="1"/>
  <c r="K164" i="1"/>
  <c r="C164" i="1"/>
  <c r="B164" i="1"/>
  <c r="O163" i="1"/>
  <c r="N163" i="1"/>
  <c r="K163" i="1"/>
  <c r="C163" i="1"/>
  <c r="B163" i="1"/>
  <c r="O162" i="1"/>
  <c r="N162" i="1"/>
  <c r="K162" i="1"/>
  <c r="C162" i="1"/>
  <c r="B162" i="1"/>
  <c r="O161" i="1"/>
  <c r="N161" i="1"/>
  <c r="K161" i="1"/>
  <c r="C161" i="1"/>
  <c r="B161" i="1"/>
  <c r="O160" i="1"/>
  <c r="N160" i="1"/>
  <c r="K160" i="1"/>
  <c r="L160" i="1" s="1"/>
  <c r="R160" i="1" s="1"/>
  <c r="C160" i="1"/>
  <c r="B160" i="1"/>
  <c r="O159" i="1"/>
  <c r="N159" i="1"/>
  <c r="K159" i="1"/>
  <c r="C159" i="1"/>
  <c r="B159" i="1"/>
  <c r="O158" i="1"/>
  <c r="N158" i="1"/>
  <c r="K158" i="1"/>
  <c r="C158" i="1"/>
  <c r="B158" i="1"/>
  <c r="O157" i="1"/>
  <c r="N157" i="1"/>
  <c r="K157" i="1"/>
  <c r="C157" i="1"/>
  <c r="B157" i="1"/>
  <c r="O156" i="1"/>
  <c r="N156" i="1"/>
  <c r="K156" i="1"/>
  <c r="C156" i="1"/>
  <c r="B156" i="1"/>
  <c r="O155" i="1"/>
  <c r="N155" i="1"/>
  <c r="K155" i="1"/>
  <c r="C155" i="1"/>
  <c r="B155" i="1"/>
  <c r="O154" i="1"/>
  <c r="N154" i="1"/>
  <c r="K154" i="1"/>
  <c r="C154" i="1"/>
  <c r="B154" i="1"/>
  <c r="O153" i="1"/>
  <c r="N153" i="1"/>
  <c r="K153" i="1"/>
  <c r="C153" i="1"/>
  <c r="B153" i="1"/>
  <c r="O152" i="1"/>
  <c r="N152" i="1"/>
  <c r="K152" i="1"/>
  <c r="L152" i="1" s="1"/>
  <c r="T152" i="1" s="1"/>
  <c r="U152" i="1" s="1"/>
  <c r="V152" i="1" s="1"/>
  <c r="C152" i="1"/>
  <c r="B152" i="1"/>
  <c r="O151" i="1"/>
  <c r="N151" i="1"/>
  <c r="K151" i="1"/>
  <c r="C151" i="1"/>
  <c r="B151" i="1"/>
  <c r="O150" i="1"/>
  <c r="N150" i="1"/>
  <c r="K150" i="1"/>
  <c r="C150" i="1"/>
  <c r="B150" i="1"/>
  <c r="O149" i="1"/>
  <c r="N149" i="1"/>
  <c r="K149" i="1"/>
  <c r="C149" i="1"/>
  <c r="B149" i="1"/>
  <c r="O148" i="1"/>
  <c r="N148" i="1"/>
  <c r="K148" i="1"/>
  <c r="C148" i="1"/>
  <c r="B148" i="1"/>
  <c r="O147" i="1"/>
  <c r="N147" i="1"/>
  <c r="K147" i="1"/>
  <c r="L147" i="1" s="1"/>
  <c r="T147" i="1" s="1"/>
  <c r="U147" i="1" s="1"/>
  <c r="V147" i="1" s="1"/>
  <c r="C147" i="1"/>
  <c r="B147" i="1"/>
  <c r="O146" i="1"/>
  <c r="N146" i="1"/>
  <c r="K146" i="1"/>
  <c r="C146" i="1"/>
  <c r="B146" i="1"/>
  <c r="O145" i="1"/>
  <c r="N145" i="1"/>
  <c r="K145" i="1"/>
  <c r="C145" i="1"/>
  <c r="B145" i="1"/>
  <c r="O144" i="1"/>
  <c r="N144" i="1"/>
  <c r="K144" i="1"/>
  <c r="C144" i="1"/>
  <c r="B144" i="1"/>
  <c r="O143" i="1"/>
  <c r="N143" i="1"/>
  <c r="K143" i="1"/>
  <c r="C143" i="1"/>
  <c r="B143" i="1"/>
  <c r="O142" i="1"/>
  <c r="N142" i="1"/>
  <c r="K142" i="1"/>
  <c r="C142" i="1"/>
  <c r="B142" i="1"/>
  <c r="O141" i="1"/>
  <c r="N141" i="1"/>
  <c r="K141" i="1"/>
  <c r="C141" i="1"/>
  <c r="B141" i="1"/>
  <c r="O140" i="1"/>
  <c r="N140" i="1"/>
  <c r="K140" i="1"/>
  <c r="C140" i="1"/>
  <c r="B140" i="1"/>
  <c r="O139" i="1"/>
  <c r="N139" i="1"/>
  <c r="K139" i="1"/>
  <c r="C139" i="1"/>
  <c r="B139" i="1"/>
  <c r="O138" i="1"/>
  <c r="N138" i="1"/>
  <c r="K138" i="1"/>
  <c r="C138" i="1"/>
  <c r="B138" i="1"/>
  <c r="O137" i="1"/>
  <c r="N137" i="1"/>
  <c r="K137" i="1"/>
  <c r="C137" i="1"/>
  <c r="B137" i="1"/>
  <c r="O136" i="1"/>
  <c r="N136" i="1"/>
  <c r="K136" i="1"/>
  <c r="L136" i="1" s="1"/>
  <c r="T136" i="1" s="1"/>
  <c r="U136" i="1" s="1"/>
  <c r="V136" i="1" s="1"/>
  <c r="C136" i="1"/>
  <c r="B136" i="1"/>
  <c r="O135" i="1"/>
  <c r="N135" i="1"/>
  <c r="K135" i="1"/>
  <c r="C135" i="1"/>
  <c r="B135" i="1"/>
  <c r="O134" i="1"/>
  <c r="N134" i="1"/>
  <c r="K134" i="1"/>
  <c r="C134" i="1"/>
  <c r="B134" i="1"/>
  <c r="O133" i="1"/>
  <c r="N133" i="1"/>
  <c r="K133" i="1"/>
  <c r="C133" i="1"/>
  <c r="B133" i="1"/>
  <c r="O132" i="1"/>
  <c r="N132" i="1"/>
  <c r="K132" i="1"/>
  <c r="C132" i="1"/>
  <c r="B132" i="1"/>
  <c r="O131" i="1"/>
  <c r="N131" i="1"/>
  <c r="K131" i="1"/>
  <c r="L131" i="1" s="1"/>
  <c r="T131" i="1" s="1"/>
  <c r="U131" i="1" s="1"/>
  <c r="V131" i="1" s="1"/>
  <c r="C131" i="1"/>
  <c r="B131" i="1"/>
  <c r="O130" i="1"/>
  <c r="N130" i="1"/>
  <c r="K130" i="1"/>
  <c r="C130" i="1"/>
  <c r="B130" i="1"/>
  <c r="O129" i="1"/>
  <c r="N129" i="1"/>
  <c r="K129" i="1"/>
  <c r="C129" i="1"/>
  <c r="B129" i="1"/>
  <c r="O128" i="1"/>
  <c r="N128" i="1"/>
  <c r="K128" i="1"/>
  <c r="C128" i="1"/>
  <c r="B128" i="1"/>
  <c r="O127" i="1"/>
  <c r="N127" i="1"/>
  <c r="K127" i="1"/>
  <c r="C127" i="1"/>
  <c r="B127" i="1"/>
  <c r="O126" i="1"/>
  <c r="N126" i="1"/>
  <c r="K126" i="1"/>
  <c r="C126" i="1"/>
  <c r="B126" i="1"/>
  <c r="O125" i="1"/>
  <c r="N125" i="1"/>
  <c r="K125" i="1"/>
  <c r="C125" i="1"/>
  <c r="B125" i="1"/>
  <c r="O124" i="1"/>
  <c r="N124" i="1"/>
  <c r="K124" i="1"/>
  <c r="C124" i="1"/>
  <c r="B124" i="1"/>
  <c r="O123" i="1"/>
  <c r="N123" i="1"/>
  <c r="K123" i="1"/>
  <c r="C123" i="1"/>
  <c r="B123" i="1"/>
  <c r="O122" i="1"/>
  <c r="N122" i="1"/>
  <c r="K122" i="1"/>
  <c r="C122" i="1"/>
  <c r="B122" i="1"/>
  <c r="O121" i="1"/>
  <c r="N121" i="1"/>
  <c r="K121" i="1"/>
  <c r="C121" i="1"/>
  <c r="B121" i="1"/>
  <c r="O120" i="1"/>
  <c r="N120" i="1"/>
  <c r="K120" i="1"/>
  <c r="L120" i="1" s="1"/>
  <c r="T120" i="1" s="1"/>
  <c r="U120" i="1" s="1"/>
  <c r="V120" i="1" s="1"/>
  <c r="C120" i="1"/>
  <c r="B120" i="1"/>
  <c r="O119" i="1"/>
  <c r="N119" i="1"/>
  <c r="K119" i="1"/>
  <c r="C119" i="1"/>
  <c r="B119" i="1"/>
  <c r="O118" i="1"/>
  <c r="N118" i="1"/>
  <c r="K118" i="1"/>
  <c r="C118" i="1"/>
  <c r="B118" i="1"/>
  <c r="O117" i="1"/>
  <c r="N117" i="1"/>
  <c r="K117" i="1"/>
  <c r="C117" i="1"/>
  <c r="B117" i="1"/>
  <c r="O116" i="1"/>
  <c r="N116" i="1"/>
  <c r="K116" i="1"/>
  <c r="C116" i="1"/>
  <c r="B116" i="1"/>
  <c r="O115" i="1"/>
  <c r="N115" i="1"/>
  <c r="K115" i="1"/>
  <c r="L115" i="1" s="1"/>
  <c r="M115" i="1" s="1"/>
  <c r="C115" i="1"/>
  <c r="B115" i="1"/>
  <c r="O114" i="1"/>
  <c r="N114" i="1"/>
  <c r="K114" i="1"/>
  <c r="C114" i="1"/>
  <c r="B114" i="1"/>
  <c r="O113" i="1"/>
  <c r="N113" i="1"/>
  <c r="K113" i="1"/>
  <c r="C113" i="1"/>
  <c r="B113" i="1"/>
  <c r="O112" i="1"/>
  <c r="N112" i="1"/>
  <c r="K112" i="1"/>
  <c r="L112" i="1" s="1"/>
  <c r="M112" i="1" s="1"/>
  <c r="C112" i="1"/>
  <c r="B112" i="1"/>
  <c r="O111" i="1"/>
  <c r="N111" i="1"/>
  <c r="K111" i="1"/>
  <c r="C111" i="1"/>
  <c r="B111" i="1"/>
  <c r="O110" i="1"/>
  <c r="N110" i="1"/>
  <c r="K110" i="1"/>
  <c r="C110" i="1"/>
  <c r="B110" i="1"/>
  <c r="O109" i="1"/>
  <c r="N109" i="1"/>
  <c r="K109" i="1"/>
  <c r="C109" i="1"/>
  <c r="B109" i="1"/>
  <c r="O108" i="1"/>
  <c r="N108" i="1"/>
  <c r="K108" i="1"/>
  <c r="C108" i="1"/>
  <c r="B108" i="1"/>
  <c r="O107" i="1"/>
  <c r="N107" i="1"/>
  <c r="K107" i="1"/>
  <c r="L107" i="1" s="1"/>
  <c r="M107" i="1" s="1"/>
  <c r="C107" i="1"/>
  <c r="B107" i="1"/>
  <c r="O106" i="1"/>
  <c r="N106" i="1"/>
  <c r="K106" i="1"/>
  <c r="C106" i="1"/>
  <c r="B106" i="1"/>
  <c r="O105" i="1"/>
  <c r="N105" i="1"/>
  <c r="K105" i="1"/>
  <c r="C105" i="1"/>
  <c r="B105" i="1"/>
  <c r="O104" i="1"/>
  <c r="N104" i="1"/>
  <c r="K104" i="1"/>
  <c r="C104" i="1"/>
  <c r="B104" i="1"/>
  <c r="O103" i="1"/>
  <c r="N103" i="1"/>
  <c r="K103" i="1"/>
  <c r="C103" i="1"/>
  <c r="B103" i="1"/>
  <c r="O102" i="1"/>
  <c r="N102" i="1"/>
  <c r="K102" i="1"/>
  <c r="C102" i="1"/>
  <c r="B102" i="1"/>
  <c r="O101" i="1"/>
  <c r="N101" i="1"/>
  <c r="K101" i="1"/>
  <c r="C101" i="1"/>
  <c r="B101" i="1"/>
  <c r="O100" i="1"/>
  <c r="N100" i="1"/>
  <c r="K100" i="1"/>
  <c r="C100" i="1"/>
  <c r="B100" i="1"/>
  <c r="O99" i="1"/>
  <c r="N99" i="1"/>
  <c r="K99" i="1"/>
  <c r="L99" i="1" s="1"/>
  <c r="R99" i="1" s="1"/>
  <c r="C99" i="1"/>
  <c r="B99" i="1"/>
  <c r="O98" i="1"/>
  <c r="N98" i="1"/>
  <c r="K98" i="1"/>
  <c r="C98" i="1"/>
  <c r="B98" i="1"/>
  <c r="O97" i="1"/>
  <c r="N97" i="1"/>
  <c r="K97" i="1"/>
  <c r="C97" i="1"/>
  <c r="B97" i="1"/>
  <c r="O96" i="1"/>
  <c r="N96" i="1"/>
  <c r="K96" i="1"/>
  <c r="L96" i="1" s="1"/>
  <c r="T96" i="1" s="1"/>
  <c r="U96" i="1" s="1"/>
  <c r="V96" i="1" s="1"/>
  <c r="C96" i="1"/>
  <c r="B96" i="1"/>
  <c r="O95" i="1"/>
  <c r="N95" i="1"/>
  <c r="K95" i="1"/>
  <c r="C95" i="1"/>
  <c r="B95" i="1"/>
  <c r="D95" i="1" s="1"/>
  <c r="O94" i="1"/>
  <c r="N94" i="1"/>
  <c r="K94" i="1"/>
  <c r="C94" i="1"/>
  <c r="B94" i="1"/>
  <c r="X93" i="1"/>
  <c r="W93" i="1"/>
  <c r="S93" i="1"/>
  <c r="P93" i="1" s="1"/>
  <c r="O93" i="1"/>
  <c r="N93" i="1"/>
  <c r="K93" i="1"/>
  <c r="C93" i="1"/>
  <c r="B93" i="1"/>
  <c r="O92" i="1"/>
  <c r="N92" i="1"/>
  <c r="K92" i="1"/>
  <c r="C92" i="1"/>
  <c r="B92" i="1"/>
  <c r="O91" i="1"/>
  <c r="N91" i="1"/>
  <c r="K91" i="1"/>
  <c r="C91" i="1"/>
  <c r="B91" i="1"/>
  <c r="O90" i="1"/>
  <c r="N90" i="1"/>
  <c r="K90" i="1"/>
  <c r="C90" i="1"/>
  <c r="B90" i="1"/>
  <c r="O89" i="1"/>
  <c r="N89" i="1"/>
  <c r="K89" i="1"/>
  <c r="C89" i="1"/>
  <c r="B89" i="1"/>
  <c r="O88" i="1"/>
  <c r="N88" i="1"/>
  <c r="K88" i="1"/>
  <c r="L88" i="1" s="1"/>
  <c r="T88" i="1" s="1"/>
  <c r="U88" i="1" s="1"/>
  <c r="V88" i="1" s="1"/>
  <c r="C88" i="1"/>
  <c r="B88" i="1"/>
  <c r="O87" i="1"/>
  <c r="N87" i="1"/>
  <c r="K87" i="1"/>
  <c r="C87" i="1"/>
  <c r="B87" i="1"/>
  <c r="O86" i="1"/>
  <c r="N86" i="1"/>
  <c r="K86" i="1"/>
  <c r="C86" i="1"/>
  <c r="B86" i="1"/>
  <c r="O85" i="1"/>
  <c r="N85" i="1"/>
  <c r="K85" i="1"/>
  <c r="C85" i="1"/>
  <c r="B85" i="1"/>
  <c r="O84" i="1"/>
  <c r="N84" i="1"/>
  <c r="K84" i="1"/>
  <c r="C84" i="1"/>
  <c r="B84" i="1"/>
  <c r="O83" i="1"/>
  <c r="N83" i="1"/>
  <c r="K83" i="1"/>
  <c r="L83" i="1" s="1"/>
  <c r="R83" i="1" s="1"/>
  <c r="C83" i="1"/>
  <c r="B83" i="1"/>
  <c r="O82" i="1"/>
  <c r="N82" i="1"/>
  <c r="K82" i="1"/>
  <c r="C82" i="1"/>
  <c r="B82" i="1"/>
  <c r="O81" i="1"/>
  <c r="N81" i="1"/>
  <c r="K81" i="1"/>
  <c r="C81" i="1"/>
  <c r="B81" i="1"/>
  <c r="O80" i="1"/>
  <c r="N80" i="1"/>
  <c r="K80" i="1"/>
  <c r="C80" i="1"/>
  <c r="B80" i="1"/>
  <c r="O79" i="1"/>
  <c r="N79" i="1"/>
  <c r="K79" i="1"/>
  <c r="C79" i="1"/>
  <c r="B79" i="1"/>
  <c r="O78" i="1"/>
  <c r="N78" i="1"/>
  <c r="K78" i="1"/>
  <c r="C78" i="1"/>
  <c r="B78" i="1"/>
  <c r="O77" i="1"/>
  <c r="N77" i="1"/>
  <c r="K77" i="1"/>
  <c r="C77" i="1"/>
  <c r="B77" i="1"/>
  <c r="D77" i="1" s="1"/>
  <c r="O76" i="1"/>
  <c r="N76" i="1"/>
  <c r="K76" i="1"/>
  <c r="C76" i="1"/>
  <c r="B76" i="1"/>
  <c r="O75" i="1"/>
  <c r="N75" i="1"/>
  <c r="K75" i="1"/>
  <c r="C75" i="1"/>
  <c r="B75" i="1"/>
  <c r="O74" i="1"/>
  <c r="N74" i="1"/>
  <c r="K74" i="1"/>
  <c r="C74" i="1"/>
  <c r="B74" i="1"/>
  <c r="O73" i="1"/>
  <c r="N73" i="1"/>
  <c r="K73" i="1"/>
  <c r="C73" i="1"/>
  <c r="B73" i="1"/>
  <c r="O72" i="1"/>
  <c r="N72" i="1"/>
  <c r="K72" i="1"/>
  <c r="L72" i="1" s="1"/>
  <c r="R72" i="1" s="1"/>
  <c r="C72" i="1"/>
  <c r="B72" i="1"/>
  <c r="O71" i="1"/>
  <c r="N71" i="1"/>
  <c r="K71" i="1"/>
  <c r="C71" i="1"/>
  <c r="B71" i="1"/>
  <c r="O70" i="1"/>
  <c r="N70" i="1"/>
  <c r="K70" i="1"/>
  <c r="C70" i="1"/>
  <c r="B70" i="1"/>
  <c r="O69" i="1"/>
  <c r="N69" i="1"/>
  <c r="K69" i="1"/>
  <c r="C69" i="1"/>
  <c r="B69" i="1"/>
  <c r="O68" i="1"/>
  <c r="N68" i="1"/>
  <c r="K68" i="1"/>
  <c r="C68" i="1"/>
  <c r="B68" i="1"/>
  <c r="O67" i="1"/>
  <c r="N67" i="1"/>
  <c r="K67" i="1"/>
  <c r="C67" i="1"/>
  <c r="B67" i="1"/>
  <c r="O66" i="1"/>
  <c r="N66" i="1"/>
  <c r="K66" i="1"/>
  <c r="C66" i="1"/>
  <c r="B66" i="1"/>
  <c r="O65" i="1"/>
  <c r="N65" i="1"/>
  <c r="K65" i="1"/>
  <c r="C65" i="1"/>
  <c r="B65" i="1"/>
  <c r="O64" i="1"/>
  <c r="N64" i="1"/>
  <c r="K64" i="1"/>
  <c r="L64" i="1" s="1"/>
  <c r="T64" i="1" s="1"/>
  <c r="U64" i="1" s="1"/>
  <c r="V64" i="1" s="1"/>
  <c r="C64" i="1"/>
  <c r="B64" i="1"/>
  <c r="O63" i="1"/>
  <c r="N63" i="1"/>
  <c r="K63" i="1"/>
  <c r="C63" i="1"/>
  <c r="B63" i="1"/>
  <c r="O62" i="1"/>
  <c r="N62" i="1"/>
  <c r="K62" i="1"/>
  <c r="C62" i="1"/>
  <c r="B62" i="1"/>
  <c r="O61" i="1"/>
  <c r="N61" i="1"/>
  <c r="K61" i="1"/>
  <c r="C61" i="1"/>
  <c r="B61" i="1"/>
  <c r="O60" i="1"/>
  <c r="N60" i="1"/>
  <c r="K60" i="1"/>
  <c r="C60" i="1"/>
  <c r="B60" i="1"/>
  <c r="O59" i="1"/>
  <c r="N59" i="1"/>
  <c r="K59" i="1"/>
  <c r="C59" i="1"/>
  <c r="B59" i="1"/>
  <c r="O58" i="1"/>
  <c r="N58" i="1"/>
  <c r="K58" i="1"/>
  <c r="C58" i="1"/>
  <c r="B58" i="1"/>
  <c r="O57" i="1"/>
  <c r="N57" i="1"/>
  <c r="K57" i="1"/>
  <c r="C57" i="1"/>
  <c r="B57" i="1"/>
  <c r="O56" i="1"/>
  <c r="N56" i="1"/>
  <c r="K56" i="1"/>
  <c r="L56" i="1" s="1"/>
  <c r="T56" i="1" s="1"/>
  <c r="U56" i="1" s="1"/>
  <c r="V56" i="1" s="1"/>
  <c r="C56" i="1"/>
  <c r="B56" i="1"/>
  <c r="O55" i="1"/>
  <c r="N55" i="1"/>
  <c r="K55" i="1"/>
  <c r="C55" i="1"/>
  <c r="B55" i="1"/>
  <c r="O54" i="1"/>
  <c r="N54" i="1"/>
  <c r="K54" i="1"/>
  <c r="C54" i="1"/>
  <c r="B54" i="1"/>
  <c r="O53" i="1"/>
  <c r="N53" i="1"/>
  <c r="K53" i="1"/>
  <c r="C53" i="1"/>
  <c r="B53" i="1"/>
  <c r="O52" i="1"/>
  <c r="N52" i="1"/>
  <c r="K52" i="1"/>
  <c r="C52" i="1"/>
  <c r="B52" i="1"/>
  <c r="O51" i="1"/>
  <c r="N51" i="1"/>
  <c r="K51" i="1"/>
  <c r="C51" i="1"/>
  <c r="B51" i="1"/>
  <c r="O50" i="1"/>
  <c r="N50" i="1"/>
  <c r="K50" i="1"/>
  <c r="C50" i="1"/>
  <c r="B50" i="1"/>
  <c r="O49" i="1"/>
  <c r="N49" i="1"/>
  <c r="K49" i="1"/>
  <c r="C49" i="1"/>
  <c r="B49" i="1"/>
  <c r="O48" i="1"/>
  <c r="N48" i="1"/>
  <c r="K48" i="1"/>
  <c r="C48" i="1"/>
  <c r="B48" i="1"/>
  <c r="O47" i="1"/>
  <c r="N47" i="1"/>
  <c r="K47" i="1"/>
  <c r="C47" i="1"/>
  <c r="B47" i="1"/>
  <c r="O46" i="1"/>
  <c r="N46" i="1"/>
  <c r="K46" i="1"/>
  <c r="C46" i="1"/>
  <c r="B46" i="1"/>
  <c r="O45" i="1"/>
  <c r="N45" i="1"/>
  <c r="K45" i="1"/>
  <c r="C45" i="1"/>
  <c r="B45" i="1"/>
  <c r="O44" i="1"/>
  <c r="N44" i="1"/>
  <c r="K44" i="1"/>
  <c r="C44" i="1"/>
  <c r="B44" i="1"/>
  <c r="O43" i="1"/>
  <c r="N43" i="1"/>
  <c r="K43" i="1"/>
  <c r="L43" i="1" s="1"/>
  <c r="T43" i="1" s="1"/>
  <c r="U43" i="1" s="1"/>
  <c r="V43" i="1" s="1"/>
  <c r="C43" i="1"/>
  <c r="B43" i="1"/>
  <c r="O42" i="1"/>
  <c r="N42" i="1"/>
  <c r="K42" i="1"/>
  <c r="C42" i="1"/>
  <c r="B42" i="1"/>
  <c r="O41" i="1"/>
  <c r="N41" i="1"/>
  <c r="K41" i="1"/>
  <c r="C41" i="1"/>
  <c r="B41" i="1"/>
  <c r="O40" i="1"/>
  <c r="N40" i="1"/>
  <c r="K40" i="1"/>
  <c r="C40" i="1"/>
  <c r="B40" i="1"/>
  <c r="O39" i="1"/>
  <c r="N39" i="1"/>
  <c r="K39" i="1"/>
  <c r="C39" i="1"/>
  <c r="B39" i="1"/>
  <c r="O38" i="1"/>
  <c r="N38" i="1"/>
  <c r="K38" i="1"/>
  <c r="C38" i="1"/>
  <c r="B38" i="1"/>
  <c r="O37" i="1"/>
  <c r="N37" i="1"/>
  <c r="K37" i="1"/>
  <c r="C37" i="1"/>
  <c r="B37" i="1"/>
  <c r="O36" i="1"/>
  <c r="N36" i="1"/>
  <c r="K36" i="1"/>
  <c r="C36" i="1"/>
  <c r="B36" i="1"/>
  <c r="O35" i="1"/>
  <c r="N35" i="1"/>
  <c r="K35" i="1"/>
  <c r="L35" i="1" s="1"/>
  <c r="T35" i="1" s="1"/>
  <c r="U35" i="1" s="1"/>
  <c r="V35" i="1" s="1"/>
  <c r="C35" i="1"/>
  <c r="B35" i="1"/>
  <c r="O34" i="1"/>
  <c r="N34" i="1"/>
  <c r="K34" i="1"/>
  <c r="C34" i="1"/>
  <c r="B34" i="1"/>
  <c r="O33" i="1"/>
  <c r="N33" i="1"/>
  <c r="K33" i="1"/>
  <c r="C33" i="1"/>
  <c r="B33" i="1"/>
  <c r="O32" i="1"/>
  <c r="N32" i="1"/>
  <c r="K32" i="1"/>
  <c r="L32" i="1" s="1"/>
  <c r="C32" i="1"/>
  <c r="B32" i="1"/>
  <c r="O31" i="1"/>
  <c r="N31" i="1"/>
  <c r="K31" i="1"/>
  <c r="C31" i="1"/>
  <c r="B31" i="1"/>
  <c r="O30" i="1"/>
  <c r="N30" i="1"/>
  <c r="K30" i="1"/>
  <c r="C30" i="1"/>
  <c r="B30" i="1"/>
  <c r="O29" i="1"/>
  <c r="N29" i="1"/>
  <c r="K29" i="1"/>
  <c r="C29" i="1"/>
  <c r="B29" i="1"/>
  <c r="D29" i="1" s="1"/>
  <c r="O28" i="1"/>
  <c r="N28" i="1"/>
  <c r="K28" i="1"/>
  <c r="C28" i="1"/>
  <c r="B28" i="1"/>
  <c r="O27" i="1"/>
  <c r="N27" i="1"/>
  <c r="K27" i="1"/>
  <c r="C27" i="1"/>
  <c r="B27" i="1"/>
  <c r="O26" i="1"/>
  <c r="N26" i="1"/>
  <c r="K26" i="1"/>
  <c r="L26" i="1" s="1"/>
  <c r="T26" i="1" s="1"/>
  <c r="U26" i="1" s="1"/>
  <c r="V26" i="1" s="1"/>
  <c r="C26" i="1"/>
  <c r="B26" i="1"/>
  <c r="O25" i="1"/>
  <c r="N25" i="1"/>
  <c r="K25" i="1"/>
  <c r="C25" i="1"/>
  <c r="B25" i="1"/>
  <c r="O24" i="1"/>
  <c r="N24" i="1"/>
  <c r="K24" i="1"/>
  <c r="C24" i="1"/>
  <c r="B24" i="1"/>
  <c r="O23" i="1"/>
  <c r="N23" i="1"/>
  <c r="K23" i="1"/>
  <c r="C23" i="1"/>
  <c r="B23" i="1"/>
  <c r="O22" i="1"/>
  <c r="N22" i="1"/>
  <c r="K22" i="1"/>
  <c r="C22" i="1"/>
  <c r="B22" i="1"/>
  <c r="O21" i="1"/>
  <c r="N21" i="1"/>
  <c r="K21" i="1"/>
  <c r="C21" i="1"/>
  <c r="B21" i="1"/>
  <c r="O20" i="1"/>
  <c r="N20" i="1"/>
  <c r="K20" i="1"/>
  <c r="C20" i="1"/>
  <c r="B20" i="1"/>
  <c r="O19" i="1"/>
  <c r="N19" i="1"/>
  <c r="K19" i="1"/>
  <c r="C19" i="1"/>
  <c r="B19" i="1"/>
  <c r="O18" i="1"/>
  <c r="N18" i="1"/>
  <c r="K18" i="1"/>
  <c r="L18" i="1" s="1"/>
  <c r="T18" i="1" s="1"/>
  <c r="U18" i="1" s="1"/>
  <c r="V18" i="1" s="1"/>
  <c r="C18" i="1"/>
  <c r="B18" i="1"/>
  <c r="O17" i="1"/>
  <c r="N17" i="1"/>
  <c r="K17" i="1"/>
  <c r="C17" i="1"/>
  <c r="B17" i="1"/>
  <c r="O16" i="1"/>
  <c r="N16" i="1"/>
  <c r="K16" i="1"/>
  <c r="C16" i="1"/>
  <c r="B16" i="1"/>
  <c r="O15" i="1"/>
  <c r="N15" i="1"/>
  <c r="K15" i="1"/>
  <c r="C15" i="1"/>
  <c r="B15" i="1"/>
  <c r="O14" i="1"/>
  <c r="N14" i="1"/>
  <c r="K14" i="1"/>
  <c r="C14" i="1"/>
  <c r="B14" i="1"/>
  <c r="O13" i="1"/>
  <c r="N13" i="1"/>
  <c r="K13" i="1"/>
  <c r="C13" i="1"/>
  <c r="B13" i="1"/>
  <c r="O12" i="1"/>
  <c r="N12" i="1"/>
  <c r="K12" i="1"/>
  <c r="C12" i="1"/>
  <c r="B12" i="1"/>
  <c r="O11" i="1"/>
  <c r="N11" i="1"/>
  <c r="K11" i="1"/>
  <c r="L11" i="1" s="1"/>
  <c r="R11" i="1" s="1"/>
  <c r="C11" i="1"/>
  <c r="B11" i="1"/>
  <c r="O10" i="1"/>
  <c r="N10" i="1"/>
  <c r="K10" i="1"/>
  <c r="C10" i="1"/>
  <c r="B10" i="1"/>
  <c r="O9" i="1"/>
  <c r="N9" i="1"/>
  <c r="K9" i="1"/>
  <c r="C9" i="1"/>
  <c r="B9" i="1"/>
  <c r="O8" i="1"/>
  <c r="N8" i="1"/>
  <c r="K8" i="1"/>
  <c r="C8" i="1"/>
  <c r="B8" i="1"/>
  <c r="O7" i="1"/>
  <c r="N7" i="1"/>
  <c r="K7" i="1"/>
  <c r="L7" i="1" s="1"/>
  <c r="C7" i="1"/>
  <c r="B7" i="1"/>
  <c r="O6" i="1"/>
  <c r="N6" i="1"/>
  <c r="K6" i="1"/>
  <c r="C6" i="1"/>
  <c r="B6" i="1"/>
  <c r="O5" i="1"/>
  <c r="N5" i="1"/>
  <c r="K5" i="1"/>
  <c r="C5" i="1"/>
  <c r="B5" i="1"/>
  <c r="O4" i="1"/>
  <c r="N4" i="1"/>
  <c r="K4" i="1"/>
  <c r="C4" i="1"/>
  <c r="B4" i="1"/>
  <c r="O3" i="1"/>
  <c r="N3" i="1"/>
  <c r="K3" i="1"/>
  <c r="L3" i="1" s="1"/>
  <c r="M3" i="1" s="1"/>
  <c r="C3" i="1"/>
  <c r="B3" i="1"/>
  <c r="O2" i="1"/>
  <c r="N2" i="1"/>
  <c r="K2" i="1"/>
  <c r="C2" i="1"/>
  <c r="B2" i="1"/>
  <c r="D653" i="1" l="1"/>
  <c r="D733" i="1"/>
  <c r="W1336" i="1"/>
  <c r="M415" i="1"/>
  <c r="S199" i="1"/>
  <c r="P199" i="1" s="1"/>
  <c r="X231" i="1"/>
  <c r="X336" i="1"/>
  <c r="D1127" i="1"/>
  <c r="S1133" i="1"/>
  <c r="P1133" i="1" s="1"/>
  <c r="X1149" i="1"/>
  <c r="D1683" i="1"/>
  <c r="D1851" i="1"/>
  <c r="W234" i="1"/>
  <c r="S212" i="1"/>
  <c r="P212" i="1" s="1"/>
  <c r="L1340" i="1"/>
  <c r="W1342" i="1"/>
  <c r="L1356" i="1"/>
  <c r="S2514" i="1"/>
  <c r="P2514" i="1" s="1"/>
  <c r="S60" i="1"/>
  <c r="L384" i="1"/>
  <c r="D448" i="1"/>
  <c r="D943" i="1"/>
  <c r="L994" i="1"/>
  <c r="X1413" i="1"/>
  <c r="W1429" i="1"/>
  <c r="W1445" i="1"/>
  <c r="S1461" i="1"/>
  <c r="P1461" i="1" s="1"/>
  <c r="X1470" i="1"/>
  <c r="X1759" i="1"/>
  <c r="W1851" i="1"/>
  <c r="D2103" i="1"/>
  <c r="D2115" i="1"/>
  <c r="S2423" i="1"/>
  <c r="P2423" i="1" s="1"/>
  <c r="D261" i="1"/>
  <c r="D788" i="1"/>
  <c r="L1137" i="1"/>
  <c r="M1137" i="1" s="1"/>
  <c r="W1139" i="1"/>
  <c r="D1474" i="1"/>
  <c r="W2347" i="1"/>
  <c r="D166" i="1"/>
  <c r="X1325" i="1"/>
  <c r="D1335" i="1"/>
  <c r="S1344" i="1"/>
  <c r="P1344" i="1" s="1"/>
  <c r="D1424" i="1"/>
  <c r="S1655" i="1"/>
  <c r="X534" i="1"/>
  <c r="X1341" i="1"/>
  <c r="X1719" i="1"/>
  <c r="X1944" i="1"/>
  <c r="X1960" i="1"/>
  <c r="W1992" i="1"/>
  <c r="L436" i="1"/>
  <c r="L763" i="1"/>
  <c r="W1198" i="1"/>
  <c r="W1262" i="1"/>
  <c r="S1287" i="1"/>
  <c r="S1335" i="1"/>
  <c r="P1335" i="1" s="1"/>
  <c r="X1592" i="1"/>
  <c r="D405" i="1"/>
  <c r="D681" i="1"/>
  <c r="X1017" i="1"/>
  <c r="X1097" i="1"/>
  <c r="X1185" i="1"/>
  <c r="W1211" i="1"/>
  <c r="L1770" i="1"/>
  <c r="T99" i="1"/>
  <c r="U99" i="1" s="1"/>
  <c r="V99" i="1" s="1"/>
  <c r="X201" i="1"/>
  <c r="W232" i="1"/>
  <c r="W524" i="1"/>
  <c r="S1183" i="1"/>
  <c r="P1183" i="1" s="1"/>
  <c r="D1190" i="1"/>
  <c r="L1205" i="1"/>
  <c r="X1240" i="1"/>
  <c r="D1247" i="1"/>
  <c r="W1675" i="1"/>
  <c r="D1682" i="1"/>
  <c r="W1843" i="1"/>
  <c r="X2132" i="1"/>
  <c r="D100" i="1"/>
  <c r="S595" i="1"/>
  <c r="P595" i="1" s="1"/>
  <c r="X773" i="1"/>
  <c r="W861" i="1"/>
  <c r="X910" i="1"/>
  <c r="D1171" i="1"/>
  <c r="D1971" i="1"/>
  <c r="D1987" i="1"/>
  <c r="D1499" i="1"/>
  <c r="S1857" i="1"/>
  <c r="P1857" i="1" s="1"/>
  <c r="D1883" i="1"/>
  <c r="D1899" i="1"/>
  <c r="W2000" i="1"/>
  <c r="D2353" i="1"/>
  <c r="S2708" i="1"/>
  <c r="P2708" i="1" s="1"/>
  <c r="D1252" i="1"/>
  <c r="D1363" i="1"/>
  <c r="D1436" i="1"/>
  <c r="D1455" i="1"/>
  <c r="D1477" i="1"/>
  <c r="W167" i="1"/>
  <c r="D611" i="1"/>
  <c r="L1312" i="1"/>
  <c r="W1958" i="1"/>
  <c r="W1990" i="1"/>
  <c r="W2140" i="1"/>
  <c r="D2347" i="1"/>
  <c r="W24" i="1"/>
  <c r="W40" i="1"/>
  <c r="S100" i="1"/>
  <c r="P100" i="1" s="1"/>
  <c r="X132" i="1"/>
  <c r="X342" i="1"/>
  <c r="D1214" i="1"/>
  <c r="D1414" i="1"/>
  <c r="D1430" i="1"/>
  <c r="D1446" i="1"/>
  <c r="D1462" i="1"/>
  <c r="Q1927" i="1"/>
  <c r="D1931" i="1"/>
  <c r="D1947" i="1"/>
  <c r="D1950" i="1"/>
  <c r="D2144" i="1"/>
  <c r="X2483" i="1"/>
  <c r="D2506" i="1"/>
  <c r="D2601" i="1"/>
  <c r="D2617" i="1"/>
  <c r="L1109" i="1"/>
  <c r="D748" i="1"/>
  <c r="W1321" i="1"/>
  <c r="S899" i="1"/>
  <c r="P899" i="1" s="1"/>
  <c r="D1161" i="1"/>
  <c r="D1205" i="1"/>
  <c r="D1269" i="1"/>
  <c r="X1357" i="1"/>
  <c r="D1389" i="1"/>
  <c r="D1751" i="1"/>
  <c r="D1926" i="1"/>
  <c r="W1947" i="1"/>
  <c r="D2027" i="1"/>
  <c r="D2075" i="1"/>
  <c r="Q2287" i="1"/>
  <c r="X2340" i="1"/>
  <c r="L228" i="1"/>
  <c r="Q770" i="1"/>
  <c r="D1291" i="1"/>
  <c r="D837" i="1"/>
  <c r="W1846" i="1"/>
  <c r="X1989" i="1"/>
  <c r="S2303" i="1"/>
  <c r="Q431" i="1"/>
  <c r="D10" i="1"/>
  <c r="D26" i="1"/>
  <c r="D121" i="1"/>
  <c r="D137" i="1"/>
  <c r="D169" i="1"/>
  <c r="D286" i="1"/>
  <c r="R431" i="1"/>
  <c r="S684" i="1"/>
  <c r="P684" i="1" s="1"/>
  <c r="W396" i="1"/>
  <c r="D762" i="1"/>
  <c r="L771" i="1"/>
  <c r="X1855" i="1"/>
  <c r="D2336" i="1"/>
  <c r="D549" i="1"/>
  <c r="D102" i="1"/>
  <c r="L169" i="1"/>
  <c r="X172" i="1"/>
  <c r="S366" i="1"/>
  <c r="D537" i="1"/>
  <c r="D613" i="1"/>
  <c r="W869" i="1"/>
  <c r="W885" i="1"/>
  <c r="S929" i="1"/>
  <c r="P929" i="1" s="1"/>
  <c r="X1872" i="1"/>
  <c r="W1888" i="1"/>
  <c r="D65" i="1"/>
  <c r="W242" i="1"/>
  <c r="D249" i="1"/>
  <c r="L344" i="1"/>
  <c r="L360" i="1"/>
  <c r="X708" i="1"/>
  <c r="D813" i="1"/>
  <c r="D1054" i="1"/>
  <c r="D1111" i="1"/>
  <c r="X1485" i="1"/>
  <c r="D1508" i="1"/>
  <c r="W1625" i="1"/>
  <c r="D1749" i="1"/>
  <c r="S1901" i="1"/>
  <c r="P1901" i="1" s="1"/>
  <c r="D2105" i="1"/>
  <c r="S2215" i="1"/>
  <c r="P2215" i="1" s="1"/>
  <c r="D2222" i="1"/>
  <c r="D2238" i="1"/>
  <c r="D2254" i="1"/>
  <c r="D2365" i="1"/>
  <c r="L2444" i="1"/>
  <c r="L2460" i="1"/>
  <c r="L212" i="1"/>
  <c r="T212" i="1" s="1"/>
  <c r="W133" i="1"/>
  <c r="X223" i="1"/>
  <c r="Q99" i="1"/>
  <c r="S341" i="1"/>
  <c r="P341" i="1" s="1"/>
  <c r="D364" i="1"/>
  <c r="W401" i="1"/>
  <c r="D772" i="1"/>
  <c r="W860" i="1"/>
  <c r="D899" i="1"/>
  <c r="D1080" i="1"/>
  <c r="S1114" i="1"/>
  <c r="P1114" i="1" s="1"/>
  <c r="R1184" i="1"/>
  <c r="S1364" i="1"/>
  <c r="P1364" i="1" s="1"/>
  <c r="X1479" i="1"/>
  <c r="D1486" i="1"/>
  <c r="D1534" i="1"/>
  <c r="D1578" i="1"/>
  <c r="D1810" i="1"/>
  <c r="D1835" i="1"/>
  <c r="D2019" i="1"/>
  <c r="D2159" i="1"/>
  <c r="D2267" i="1"/>
  <c r="R2536" i="1"/>
  <c r="D69" i="1"/>
  <c r="D85" i="1"/>
  <c r="D313" i="1"/>
  <c r="X319" i="1"/>
  <c r="L755" i="1"/>
  <c r="D901" i="1"/>
  <c r="D1018" i="1"/>
  <c r="D1050" i="1"/>
  <c r="D1107" i="1"/>
  <c r="D2343" i="1"/>
  <c r="D2362" i="1"/>
  <c r="D2647" i="1"/>
  <c r="L647" i="1"/>
  <c r="W871" i="1"/>
  <c r="D879" i="1"/>
  <c r="W903" i="1"/>
  <c r="M1484" i="1"/>
  <c r="D1681" i="1"/>
  <c r="D1697" i="1"/>
  <c r="D1716" i="1"/>
  <c r="D1744" i="1"/>
  <c r="D1814" i="1"/>
  <c r="D1858" i="1"/>
  <c r="D1877" i="1"/>
  <c r="W2241" i="1"/>
  <c r="D2340" i="1"/>
  <c r="L5" i="1"/>
  <c r="T5" i="1" s="1"/>
  <c r="D15" i="1"/>
  <c r="D47" i="1"/>
  <c r="S118" i="1"/>
  <c r="P118" i="1" s="1"/>
  <c r="S901" i="1"/>
  <c r="D1662" i="1"/>
  <c r="D1694" i="1"/>
  <c r="D1998" i="1"/>
  <c r="D2229" i="1"/>
  <c r="D2321" i="1"/>
  <c r="D2337" i="1"/>
  <c r="L508" i="1"/>
  <c r="L819" i="1"/>
  <c r="L974" i="1"/>
  <c r="X976" i="1"/>
  <c r="D273" i="1"/>
  <c r="D461" i="1"/>
  <c r="D648" i="1"/>
  <c r="D778" i="1"/>
  <c r="X894" i="1"/>
  <c r="W1190" i="1"/>
  <c r="D1330" i="1"/>
  <c r="D1441" i="1"/>
  <c r="Q1484" i="1"/>
  <c r="X1735" i="1"/>
  <c r="X1797" i="1"/>
  <c r="D1805" i="1"/>
  <c r="X1925" i="1"/>
  <c r="S2061" i="1"/>
  <c r="W2093" i="1"/>
  <c r="W2172" i="1"/>
  <c r="W2264" i="1"/>
  <c r="S2584" i="1"/>
  <c r="S2616" i="1"/>
  <c r="P2616" i="1" s="1"/>
  <c r="D1019" i="1"/>
  <c r="L1149" i="1"/>
  <c r="D1235" i="1"/>
  <c r="L1428" i="1"/>
  <c r="X1446" i="1"/>
  <c r="D1644" i="1"/>
  <c r="S1713" i="1"/>
  <c r="W1732" i="1"/>
  <c r="D1767" i="1"/>
  <c r="W1998" i="1"/>
  <c r="D2452" i="1"/>
  <c r="L2515" i="1"/>
  <c r="T2515" i="1" s="1"/>
  <c r="S2534" i="1"/>
  <c r="P2534" i="1" s="1"/>
  <c r="W2597" i="1"/>
  <c r="D2620" i="1"/>
  <c r="L2667" i="1"/>
  <c r="X2686" i="1"/>
  <c r="D412" i="1"/>
  <c r="L424" i="1"/>
  <c r="W1459" i="1"/>
  <c r="W1617" i="1"/>
  <c r="Q1855" i="1"/>
  <c r="D1986" i="1"/>
  <c r="L2664" i="1"/>
  <c r="D143" i="1"/>
  <c r="R383" i="1"/>
  <c r="X623" i="1"/>
  <c r="W1022" i="1"/>
  <c r="D1856" i="1"/>
  <c r="L1862" i="1"/>
  <c r="W2365" i="1"/>
  <c r="L2420" i="1"/>
  <c r="L2436" i="1"/>
  <c r="L2452" i="1"/>
  <c r="S54" i="1"/>
  <c r="P54" i="1" s="1"/>
  <c r="S149" i="1"/>
  <c r="P149" i="1" s="1"/>
  <c r="D175" i="1"/>
  <c r="X279" i="1"/>
  <c r="W364" i="1"/>
  <c r="T383" i="1"/>
  <c r="U383" i="1" s="1"/>
  <c r="V383" i="1" s="1"/>
  <c r="X449" i="1"/>
  <c r="D563" i="1"/>
  <c r="W572" i="1"/>
  <c r="D614" i="1"/>
  <c r="W620" i="1"/>
  <c r="D741" i="1"/>
  <c r="S1018" i="1"/>
  <c r="P1018" i="1" s="1"/>
  <c r="W1561" i="1"/>
  <c r="L1894" i="1"/>
  <c r="D2183" i="1"/>
  <c r="L2360" i="1"/>
  <c r="T2360" i="1" s="1"/>
  <c r="W2467" i="1"/>
  <c r="D2532" i="1"/>
  <c r="X3" i="1"/>
  <c r="W943" i="1"/>
  <c r="T1264" i="1"/>
  <c r="U1264" i="1" s="1"/>
  <c r="V1264" i="1" s="1"/>
  <c r="D1727" i="1"/>
  <c r="D1917" i="1"/>
  <c r="D2009" i="1"/>
  <c r="D2037" i="1"/>
  <c r="D2351" i="1"/>
  <c r="D2408" i="1"/>
  <c r="D2440" i="1"/>
  <c r="D23" i="1"/>
  <c r="S247" i="1"/>
  <c r="P247" i="1" s="1"/>
  <c r="Q359" i="1"/>
  <c r="X393" i="1"/>
  <c r="W409" i="1"/>
  <c r="X566" i="1"/>
  <c r="D573" i="1"/>
  <c r="W760" i="1"/>
  <c r="X909" i="1"/>
  <c r="X1045" i="1"/>
  <c r="X1384" i="1"/>
  <c r="X1416" i="1"/>
  <c r="W1464" i="1"/>
  <c r="D1502" i="1"/>
  <c r="X1514" i="1"/>
  <c r="L2200" i="1"/>
  <c r="R2200" i="1" s="1"/>
  <c r="D309" i="1"/>
  <c r="T359" i="1"/>
  <c r="U359" i="1" s="1"/>
  <c r="V359" i="1" s="1"/>
  <c r="D397" i="1"/>
  <c r="T415" i="1"/>
  <c r="U415" i="1" s="1"/>
  <c r="V415" i="1" s="1"/>
  <c r="M431" i="1"/>
  <c r="D447" i="1"/>
  <c r="Q487" i="1"/>
  <c r="D764" i="1"/>
  <c r="D821" i="1"/>
  <c r="D1049" i="1"/>
  <c r="W1166" i="1"/>
  <c r="L2101" i="1"/>
  <c r="W2532" i="1"/>
  <c r="S1112" i="1"/>
  <c r="P1112" i="1" s="1"/>
  <c r="S1223" i="1"/>
  <c r="P1223" i="1" s="1"/>
  <c r="S1238" i="1"/>
  <c r="P1238" i="1" s="1"/>
  <c r="D1388" i="1"/>
  <c r="D1531" i="1"/>
  <c r="W2110" i="1"/>
  <c r="S2113" i="1"/>
  <c r="P2113" i="1" s="1"/>
  <c r="D2152" i="1"/>
  <c r="Q2167" i="1"/>
  <c r="D2279" i="1"/>
  <c r="L2288" i="1"/>
  <c r="T2288" i="1" s="1"/>
  <c r="U2288" i="1" s="1"/>
  <c r="V2288" i="1" s="1"/>
  <c r="L2348" i="1"/>
  <c r="D2415" i="1"/>
  <c r="D2418" i="1"/>
  <c r="D2466" i="1"/>
  <c r="D2507" i="1"/>
  <c r="D2583" i="1"/>
  <c r="X2633" i="1"/>
  <c r="D246" i="1"/>
  <c r="D391" i="1"/>
  <c r="D441" i="1"/>
  <c r="D580" i="1"/>
  <c r="D596" i="1"/>
  <c r="D612" i="1"/>
  <c r="D701" i="1"/>
  <c r="S931" i="1"/>
  <c r="P931" i="1" s="1"/>
  <c r="L1049" i="1"/>
  <c r="M1049" i="1" s="1"/>
  <c r="W1067" i="1"/>
  <c r="L1081" i="1"/>
  <c r="T1081" i="1" s="1"/>
  <c r="U1081" i="1" s="1"/>
  <c r="V1081" i="1" s="1"/>
  <c r="D1091" i="1"/>
  <c r="L1097" i="1"/>
  <c r="W1128" i="1"/>
  <c r="D1186" i="1"/>
  <c r="D1278" i="1"/>
  <c r="W1913" i="1"/>
  <c r="S2006" i="1"/>
  <c r="P2006" i="1" s="1"/>
  <c r="S2268" i="1"/>
  <c r="X2288" i="1"/>
  <c r="W2510" i="1"/>
  <c r="D388" i="1"/>
  <c r="D1208" i="1"/>
  <c r="D1224" i="1"/>
  <c r="D1382" i="1"/>
  <c r="D1395" i="1"/>
  <c r="D1557" i="1"/>
  <c r="D1566" i="1"/>
  <c r="D1585" i="1"/>
  <c r="D1674" i="1"/>
  <c r="Q1771" i="1"/>
  <c r="D1791" i="1"/>
  <c r="D1867" i="1"/>
  <c r="D1902" i="1"/>
  <c r="D1930" i="1"/>
  <c r="Q2009" i="1"/>
  <c r="L2152" i="1"/>
  <c r="W2265" i="1"/>
  <c r="X2282" i="1"/>
  <c r="S2377" i="1"/>
  <c r="P2377" i="1" s="1"/>
  <c r="S2491" i="1"/>
  <c r="D2609" i="1"/>
  <c r="D2634" i="1"/>
  <c r="X1437" i="1"/>
  <c r="D1542" i="1"/>
  <c r="D1558" i="1"/>
  <c r="D1677" i="1"/>
  <c r="D1712" i="1"/>
  <c r="D1934" i="1"/>
  <c r="D2202" i="1"/>
  <c r="D2237" i="1"/>
  <c r="D2471" i="1"/>
  <c r="D2540" i="1"/>
  <c r="D53" i="1"/>
  <c r="X102" i="1"/>
  <c r="D125" i="1"/>
  <c r="W193" i="1"/>
  <c r="D216" i="1"/>
  <c r="D235" i="1"/>
  <c r="D281" i="1"/>
  <c r="X495" i="1"/>
  <c r="D812" i="1"/>
  <c r="D1023" i="1"/>
  <c r="D1039" i="1"/>
  <c r="D1058" i="1"/>
  <c r="D1074" i="1"/>
  <c r="D1359" i="1"/>
  <c r="X1472" i="1"/>
  <c r="W1624" i="1"/>
  <c r="D18" i="1"/>
  <c r="D50" i="1"/>
  <c r="S644" i="1"/>
  <c r="P644" i="1" s="1"/>
  <c r="W755" i="1"/>
  <c r="D944" i="1"/>
  <c r="S969" i="1"/>
  <c r="P969" i="1" s="1"/>
  <c r="W1152" i="1"/>
  <c r="D1199" i="1"/>
  <c r="D1221" i="1"/>
  <c r="W1302" i="1"/>
  <c r="X1362" i="1"/>
  <c r="D1467" i="1"/>
  <c r="S1469" i="1"/>
  <c r="D1684" i="1"/>
  <c r="D1797" i="1"/>
  <c r="D1819" i="1"/>
  <c r="D1910" i="1"/>
  <c r="R1985" i="1"/>
  <c r="D2130" i="1"/>
  <c r="D2162" i="1"/>
  <c r="D2591" i="1"/>
  <c r="R1155" i="1"/>
  <c r="Q1211" i="1"/>
  <c r="Q1321" i="1"/>
  <c r="R147" i="1"/>
  <c r="R263" i="1"/>
  <c r="Q322" i="1"/>
  <c r="S334" i="1"/>
  <c r="Q818" i="1"/>
  <c r="L1121" i="1"/>
  <c r="D1416" i="1"/>
  <c r="D1448" i="1"/>
  <c r="D1628" i="1"/>
  <c r="Q1825" i="1"/>
  <c r="L2276" i="1"/>
  <c r="D2519" i="1"/>
  <c r="D2585" i="1"/>
  <c r="Q263" i="1"/>
  <c r="S280" i="1"/>
  <c r="P280" i="1" s="1"/>
  <c r="W319" i="1"/>
  <c r="L575" i="1"/>
  <c r="D6" i="1"/>
  <c r="D113" i="1"/>
  <c r="W122" i="1"/>
  <c r="D154" i="1"/>
  <c r="T263" i="1"/>
  <c r="U263" i="1" s="1"/>
  <c r="V263" i="1" s="1"/>
  <c r="Q266" i="1"/>
  <c r="L276" i="1"/>
  <c r="D285" i="1"/>
  <c r="D323" i="1"/>
  <c r="X331" i="1"/>
  <c r="S406" i="1"/>
  <c r="P406" i="1" s="1"/>
  <c r="Q415" i="1"/>
  <c r="D478" i="1"/>
  <c r="W931" i="1"/>
  <c r="L1033" i="1"/>
  <c r="D1043" i="1"/>
  <c r="D1078" i="1"/>
  <c r="D1081" i="1"/>
  <c r="D1212" i="1"/>
  <c r="X1237" i="1"/>
  <c r="D1316" i="1"/>
  <c r="X1378" i="1"/>
  <c r="W1384" i="1"/>
  <c r="D1410" i="1"/>
  <c r="W1467" i="1"/>
  <c r="D1710" i="1"/>
  <c r="T1825" i="1"/>
  <c r="U1825" i="1" s="1"/>
  <c r="V1825" i="1" s="1"/>
  <c r="D1829" i="1"/>
  <c r="D1838" i="1"/>
  <c r="L1938" i="1"/>
  <c r="S1957" i="1"/>
  <c r="P1957" i="1" s="1"/>
  <c r="Q1985" i="1"/>
  <c r="W2048" i="1"/>
  <c r="W2209" i="1"/>
  <c r="X2276" i="1"/>
  <c r="D2358" i="1"/>
  <c r="W2413" i="1"/>
  <c r="W2461" i="1"/>
  <c r="X2587" i="1"/>
  <c r="D2611" i="1"/>
  <c r="D2652" i="1"/>
  <c r="D2668" i="1"/>
  <c r="L2690" i="1"/>
  <c r="D722" i="1"/>
  <c r="D1537" i="1"/>
  <c r="Q1668" i="1"/>
  <c r="L1810" i="1"/>
  <c r="W1872" i="1"/>
  <c r="W1937" i="1"/>
  <c r="W1953" i="1"/>
  <c r="L1970" i="1"/>
  <c r="D2232" i="1"/>
  <c r="Q2279" i="1"/>
  <c r="D2386" i="1"/>
  <c r="D2402" i="1"/>
  <c r="L2440" i="1"/>
  <c r="L2456" i="1"/>
  <c r="L2687" i="1"/>
  <c r="M495" i="1"/>
  <c r="L220" i="1"/>
  <c r="M220" i="1" s="1"/>
  <c r="D503" i="1"/>
  <c r="Q1656" i="1"/>
  <c r="W1809" i="1"/>
  <c r="D2166" i="1"/>
  <c r="W2253" i="1"/>
  <c r="D643" i="1"/>
  <c r="S869" i="1"/>
  <c r="S1045" i="1"/>
  <c r="P1045" i="1" s="1"/>
  <c r="X1077" i="1"/>
  <c r="S1080" i="1"/>
  <c r="P1080" i="1" s="1"/>
  <c r="W1259" i="1"/>
  <c r="L1285" i="1"/>
  <c r="W1325" i="1"/>
  <c r="W1409" i="1"/>
  <c r="L1651" i="1"/>
  <c r="D1739" i="1"/>
  <c r="L1826" i="1"/>
  <c r="L1882" i="1"/>
  <c r="L2491" i="1"/>
  <c r="L2551" i="1"/>
  <c r="L2567" i="1"/>
  <c r="T2567" i="1" s="1"/>
  <c r="U2567" i="1" s="1"/>
  <c r="V2567" i="1" s="1"/>
  <c r="D236" i="1"/>
  <c r="L364" i="1"/>
  <c r="T364" i="1" s="1"/>
  <c r="U364" i="1" s="1"/>
  <c r="V364" i="1" s="1"/>
  <c r="T487" i="1"/>
  <c r="U487" i="1" s="1"/>
  <c r="V487" i="1" s="1"/>
  <c r="L747" i="1"/>
  <c r="D974" i="1"/>
  <c r="S1125" i="1"/>
  <c r="P1125" i="1" s="1"/>
  <c r="X1438" i="1"/>
  <c r="Q1807" i="1"/>
  <c r="D1939" i="1"/>
  <c r="W2035" i="1"/>
  <c r="W2213" i="1"/>
  <c r="D2258" i="1"/>
  <c r="X2368" i="1"/>
  <c r="W2648" i="1"/>
  <c r="S98" i="1"/>
  <c r="P98" i="1" s="1"/>
  <c r="S107" i="1"/>
  <c r="P107" i="1" s="1"/>
  <c r="D117" i="1"/>
  <c r="S164" i="1"/>
  <c r="P164" i="1" s="1"/>
  <c r="T176" i="1"/>
  <c r="U176" i="1" s="1"/>
  <c r="V176" i="1" s="1"/>
  <c r="D180" i="1"/>
  <c r="D189" i="1"/>
  <c r="D262" i="1"/>
  <c r="D274" i="1"/>
  <c r="W279" i="1"/>
  <c r="X295" i="1"/>
  <c r="S342" i="1"/>
  <c r="D349" i="1"/>
  <c r="D380" i="1"/>
  <c r="D423" i="1"/>
  <c r="D454" i="1"/>
  <c r="W472" i="1"/>
  <c r="W516" i="1"/>
  <c r="D539" i="1"/>
  <c r="W548" i="1"/>
  <c r="W576" i="1"/>
  <c r="W838" i="1"/>
  <c r="D1151" i="1"/>
  <c r="D1207" i="1"/>
  <c r="X1282" i="1"/>
  <c r="D1288" i="1"/>
  <c r="D1427" i="1"/>
  <c r="D1443" i="1"/>
  <c r="D1459" i="1"/>
  <c r="S1575" i="1"/>
  <c r="P1575" i="1" s="1"/>
  <c r="S1795" i="1"/>
  <c r="D1861" i="1"/>
  <c r="D1984" i="1"/>
  <c r="D2334" i="1"/>
  <c r="X2346" i="1"/>
  <c r="W2349" i="1"/>
  <c r="D2356" i="1"/>
  <c r="Q2374" i="1"/>
  <c r="S2463" i="1"/>
  <c r="P2463" i="1" s="1"/>
  <c r="L352" i="1"/>
  <c r="W513" i="1"/>
  <c r="W732" i="1"/>
  <c r="S772" i="1"/>
  <c r="P772" i="1" s="1"/>
  <c r="Q1057" i="1"/>
  <c r="X1125" i="1"/>
  <c r="S1179" i="1"/>
  <c r="X1250" i="1"/>
  <c r="W1273" i="1"/>
  <c r="X1663" i="1"/>
  <c r="L1714" i="1"/>
  <c r="W1717" i="1"/>
  <c r="L1842" i="1"/>
  <c r="W1907" i="1"/>
  <c r="T1961" i="1"/>
  <c r="U1961" i="1" s="1"/>
  <c r="V1961" i="1" s="1"/>
  <c r="W1974" i="1"/>
  <c r="S2093" i="1"/>
  <c r="P2093" i="1" s="1"/>
  <c r="Q2100" i="1"/>
  <c r="W2368" i="1"/>
  <c r="W2586" i="1"/>
  <c r="L2599" i="1"/>
  <c r="L2615" i="1"/>
  <c r="R2615" i="1" s="1"/>
  <c r="L2656" i="1"/>
  <c r="D619" i="1"/>
  <c r="L563" i="1"/>
  <c r="T563" i="1" s="1"/>
  <c r="R176" i="1"/>
  <c r="S604" i="1"/>
  <c r="W775" i="1"/>
  <c r="W958" i="1"/>
  <c r="X1053" i="1"/>
  <c r="D20" i="1"/>
  <c r="D52" i="1"/>
  <c r="D55" i="1"/>
  <c r="W136" i="1"/>
  <c r="X158" i="1"/>
  <c r="D165" i="1"/>
  <c r="W173" i="1"/>
  <c r="D343" i="1"/>
  <c r="D389" i="1"/>
  <c r="D408" i="1"/>
  <c r="L488" i="1"/>
  <c r="D517" i="1"/>
  <c r="D558" i="1"/>
  <c r="X664" i="1"/>
  <c r="D767" i="1"/>
  <c r="S804" i="1"/>
  <c r="P804" i="1" s="1"/>
  <c r="S970" i="1"/>
  <c r="P970" i="1" s="1"/>
  <c r="Q993" i="1"/>
  <c r="X1049" i="1"/>
  <c r="X1085" i="1"/>
  <c r="D1189" i="1"/>
  <c r="D1198" i="1"/>
  <c r="W1248" i="1"/>
  <c r="X1320" i="1"/>
  <c r="W1363" i="1"/>
  <c r="W1493" i="1"/>
  <c r="D1563" i="1"/>
  <c r="D1595" i="1"/>
  <c r="S1657" i="1"/>
  <c r="P1657" i="1" s="1"/>
  <c r="Q1748" i="1"/>
  <c r="W1789" i="1"/>
  <c r="Q1795" i="1"/>
  <c r="S1811" i="1"/>
  <c r="P1811" i="1" s="1"/>
  <c r="L1830" i="1"/>
  <c r="W1889" i="1"/>
  <c r="W1905" i="1"/>
  <c r="Q1911" i="1"/>
  <c r="W1971" i="1"/>
  <c r="T2100" i="1"/>
  <c r="U2100" i="1" s="1"/>
  <c r="V2100" i="1" s="1"/>
  <c r="D2119" i="1"/>
  <c r="W2125" i="1"/>
  <c r="S2176" i="1"/>
  <c r="L2252" i="1"/>
  <c r="D2262" i="1"/>
  <c r="D2281" i="1"/>
  <c r="X2305" i="1"/>
  <c r="D2312" i="1"/>
  <c r="S2393" i="1"/>
  <c r="X2457" i="1"/>
  <c r="W2599" i="1"/>
  <c r="D2650" i="1"/>
  <c r="W2672" i="1"/>
  <c r="D330" i="1"/>
  <c r="W16" i="1"/>
  <c r="W226" i="1"/>
  <c r="W330" i="1"/>
  <c r="Q246" i="1"/>
  <c r="W258" i="1"/>
  <c r="L315" i="1"/>
  <c r="M315" i="1" s="1"/>
  <c r="S320" i="1"/>
  <c r="P320" i="1" s="1"/>
  <c r="L340" i="1"/>
  <c r="T340" i="1" s="1"/>
  <c r="X395" i="1"/>
  <c r="S422" i="1"/>
  <c r="P422" i="1" s="1"/>
  <c r="L432" i="1"/>
  <c r="D669" i="1"/>
  <c r="S677" i="1"/>
  <c r="P677" i="1" s="1"/>
  <c r="Q741" i="1"/>
  <c r="L1025" i="1"/>
  <c r="Q1276" i="1"/>
  <c r="L1503" i="1"/>
  <c r="X1566" i="1"/>
  <c r="L1758" i="1"/>
  <c r="S1805" i="1"/>
  <c r="P1805" i="1" s="1"/>
  <c r="X1808" i="1"/>
  <c r="T1873" i="1"/>
  <c r="U1873" i="1" s="1"/>
  <c r="V1873" i="1" s="1"/>
  <c r="X1949" i="1"/>
  <c r="W2040" i="1"/>
  <c r="S2056" i="1"/>
  <c r="P2056" i="1" s="1"/>
  <c r="L2069" i="1"/>
  <c r="D2095" i="1"/>
  <c r="S2201" i="1"/>
  <c r="P2201" i="1" s="1"/>
  <c r="D2293" i="1"/>
  <c r="S2356" i="1"/>
  <c r="P2356" i="1" s="1"/>
  <c r="Q2536" i="1"/>
  <c r="X2538" i="1"/>
  <c r="L2698" i="1"/>
  <c r="T11" i="1"/>
  <c r="U11" i="1" s="1"/>
  <c r="V11" i="1" s="1"/>
  <c r="S127" i="1"/>
  <c r="P127" i="1" s="1"/>
  <c r="Q136" i="1"/>
  <c r="D140" i="1"/>
  <c r="W152" i="1"/>
  <c r="S218" i="1"/>
  <c r="P218" i="1" s="1"/>
  <c r="D244" i="1"/>
  <c r="D247" i="1"/>
  <c r="X255" i="1"/>
  <c r="D275" i="1"/>
  <c r="L312" i="1"/>
  <c r="Q383" i="1"/>
  <c r="X448" i="1"/>
  <c r="D483" i="1"/>
  <c r="D492" i="1"/>
  <c r="D546" i="1"/>
  <c r="W655" i="1"/>
  <c r="S675" i="1"/>
  <c r="P675" i="1" s="1"/>
  <c r="D789" i="1"/>
  <c r="L795" i="1"/>
  <c r="W798" i="1"/>
  <c r="W814" i="1"/>
  <c r="S933" i="1"/>
  <c r="P933" i="1" s="1"/>
  <c r="L946" i="1"/>
  <c r="X1025" i="1"/>
  <c r="D1155" i="1"/>
  <c r="D1177" i="1"/>
  <c r="D1211" i="1"/>
  <c r="X1226" i="1"/>
  <c r="D1271" i="1"/>
  <c r="D1305" i="1"/>
  <c r="X1405" i="1"/>
  <c r="X1522" i="1"/>
  <c r="X1582" i="1"/>
  <c r="S1613" i="1"/>
  <c r="P1613" i="1" s="1"/>
  <c r="R1620" i="1"/>
  <c r="D1624" i="1"/>
  <c r="Q1657" i="1"/>
  <c r="D1734" i="1"/>
  <c r="W1821" i="1"/>
  <c r="D1834" i="1"/>
  <c r="W1883" i="1"/>
  <c r="X2037" i="1"/>
  <c r="X2069" i="1"/>
  <c r="D2092" i="1"/>
  <c r="S2135" i="1"/>
  <c r="P2135" i="1" s="1"/>
  <c r="D2142" i="1"/>
  <c r="D2158" i="1"/>
  <c r="X2249" i="1"/>
  <c r="D2559" i="1"/>
  <c r="W2666" i="1"/>
  <c r="L2679" i="1"/>
  <c r="M152" i="1"/>
  <c r="D158" i="1"/>
  <c r="X620" i="1"/>
  <c r="D794" i="1"/>
  <c r="W1090" i="1"/>
  <c r="S1090" i="1"/>
  <c r="D221" i="1"/>
  <c r="W230" i="1"/>
  <c r="D252" i="1"/>
  <c r="D267" i="1"/>
  <c r="X307" i="1"/>
  <c r="D396" i="1"/>
  <c r="D439" i="1"/>
  <c r="D470" i="1"/>
  <c r="D1024" i="1"/>
  <c r="D1040" i="1"/>
  <c r="D1191" i="1"/>
  <c r="X1346" i="1"/>
  <c r="Q242" i="1"/>
  <c r="R463" i="1"/>
  <c r="W53" i="1"/>
  <c r="S91" i="1"/>
  <c r="P91" i="1" s="1"/>
  <c r="W31" i="1"/>
  <c r="L85" i="1"/>
  <c r="Q112" i="1"/>
  <c r="D122" i="1"/>
  <c r="Q152" i="1"/>
  <c r="S155" i="1"/>
  <c r="P155" i="1" s="1"/>
  <c r="D243" i="1"/>
  <c r="L252" i="1"/>
  <c r="D384" i="1"/>
  <c r="D511" i="1"/>
  <c r="S860" i="1"/>
  <c r="P860" i="1" s="1"/>
  <c r="T993" i="1"/>
  <c r="U993" i="1" s="1"/>
  <c r="V993" i="1" s="1"/>
  <c r="R993" i="1"/>
  <c r="L1203" i="1"/>
  <c r="T1203" i="1" s="1"/>
  <c r="U1203" i="1" s="1"/>
  <c r="V1203" i="1" s="1"/>
  <c r="Q1203" i="1"/>
  <c r="P1709" i="1"/>
  <c r="X37" i="1"/>
  <c r="S66" i="1"/>
  <c r="P66" i="1" s="1"/>
  <c r="T72" i="1"/>
  <c r="U72" i="1" s="1"/>
  <c r="V72" i="1" s="1"/>
  <c r="W85" i="1"/>
  <c r="D92" i="1"/>
  <c r="R112" i="1"/>
  <c r="D119" i="1"/>
  <c r="L125" i="1"/>
  <c r="W128" i="1"/>
  <c r="R152" i="1"/>
  <c r="D212" i="1"/>
  <c r="D228" i="1"/>
  <c r="D289" i="1"/>
  <c r="W298" i="1"/>
  <c r="D406" i="1"/>
  <c r="D672" i="1"/>
  <c r="D688" i="1"/>
  <c r="D811" i="1"/>
  <c r="S1058" i="1"/>
  <c r="P1058" i="1" s="1"/>
  <c r="D1176" i="1"/>
  <c r="L1432" i="1"/>
  <c r="L1448" i="1"/>
  <c r="L1464" i="1"/>
  <c r="L1473" i="1"/>
  <c r="T1473" i="1" s="1"/>
  <c r="U1473" i="1" s="1"/>
  <c r="V1473" i="1" s="1"/>
  <c r="Q1473" i="1"/>
  <c r="S1684" i="1"/>
  <c r="P1684" i="1" s="1"/>
  <c r="D32" i="1"/>
  <c r="D98" i="1"/>
  <c r="T112" i="1"/>
  <c r="U112" i="1" s="1"/>
  <c r="V112" i="1" s="1"/>
  <c r="D116" i="1"/>
  <c r="S124" i="1"/>
  <c r="P124" i="1" s="1"/>
  <c r="D181" i="1"/>
  <c r="L196" i="1"/>
  <c r="T196" i="1" s="1"/>
  <c r="D209" i="1"/>
  <c r="Q351" i="1"/>
  <c r="L372" i="1"/>
  <c r="M372" i="1" s="1"/>
  <c r="D949" i="1"/>
  <c r="D965" i="1"/>
  <c r="Q999" i="1"/>
  <c r="X636" i="1"/>
  <c r="W636" i="1"/>
  <c r="D101" i="1"/>
  <c r="D268" i="1"/>
  <c r="W273" i="1"/>
  <c r="D296" i="1"/>
  <c r="D334" i="1"/>
  <c r="D337" i="1"/>
  <c r="D340" i="1"/>
  <c r="D361" i="1"/>
  <c r="D376" i="1"/>
  <c r="D456" i="1"/>
  <c r="L474" i="1"/>
  <c r="T474" i="1" s="1"/>
  <c r="U474" i="1" s="1"/>
  <c r="V474" i="1" s="1"/>
  <c r="Q474" i="1"/>
  <c r="D994" i="1"/>
  <c r="D1022" i="1"/>
  <c r="D1057" i="1"/>
  <c r="T1216" i="1"/>
  <c r="U1216" i="1" s="1"/>
  <c r="V1216" i="1" s="1"/>
  <c r="T1219" i="1"/>
  <c r="U1219" i="1" s="1"/>
  <c r="V1219" i="1" s="1"/>
  <c r="T1929" i="1"/>
  <c r="U1929" i="1" s="1"/>
  <c r="V1929" i="1" s="1"/>
  <c r="R1929" i="1"/>
  <c r="M1929" i="1"/>
  <c r="D230" i="1"/>
  <c r="L153" i="1"/>
  <c r="X382" i="1"/>
  <c r="L459" i="1"/>
  <c r="T459" i="1" s="1"/>
  <c r="U459" i="1" s="1"/>
  <c r="V459" i="1" s="1"/>
  <c r="Q459" i="1"/>
  <c r="D594" i="1"/>
  <c r="M943" i="1"/>
  <c r="R943" i="1"/>
  <c r="R1235" i="1"/>
  <c r="T1235" i="1"/>
  <c r="U1235" i="1" s="1"/>
  <c r="V1235" i="1" s="1"/>
  <c r="L2103" i="1"/>
  <c r="R2103" i="1" s="1"/>
  <c r="Q2103" i="1"/>
  <c r="X169" i="1"/>
  <c r="S256" i="1"/>
  <c r="P256" i="1" s="1"/>
  <c r="X352" i="1"/>
  <c r="X379" i="1"/>
  <c r="L663" i="1"/>
  <c r="T663" i="1" s="1"/>
  <c r="R2602" i="1"/>
  <c r="T2602" i="1"/>
  <c r="U2602" i="1" s="1"/>
  <c r="V2602" i="1" s="1"/>
  <c r="D39" i="1"/>
  <c r="D17" i="1"/>
  <c r="W42" i="1"/>
  <c r="L61" i="1"/>
  <c r="W64" i="1"/>
  <c r="X126" i="1"/>
  <c r="D133" i="1"/>
  <c r="D157" i="1"/>
  <c r="S165" i="1"/>
  <c r="P165" i="1" s="1"/>
  <c r="D173" i="1"/>
  <c r="D176" i="1"/>
  <c r="L244" i="1"/>
  <c r="D260" i="1"/>
  <c r="S311" i="1"/>
  <c r="P311" i="1" s="1"/>
  <c r="W336" i="1"/>
  <c r="R364" i="1"/>
  <c r="S376" i="1"/>
  <c r="P376" i="1" s="1"/>
  <c r="D404" i="1"/>
  <c r="D429" i="1"/>
  <c r="X528" i="1"/>
  <c r="S528" i="1"/>
  <c r="P528" i="1" s="1"/>
  <c r="Q1219" i="1"/>
  <c r="T1267" i="1"/>
  <c r="U1267" i="1" s="1"/>
  <c r="V1267" i="1" s="1"/>
  <c r="R1267" i="1"/>
  <c r="S1772" i="1"/>
  <c r="P1772" i="1" s="1"/>
  <c r="X1773" i="1"/>
  <c r="W1864" i="1"/>
  <c r="W39" i="1"/>
  <c r="S61" i="1"/>
  <c r="P61" i="1" s="1"/>
  <c r="L77" i="1"/>
  <c r="L93" i="1"/>
  <c r="S123" i="1"/>
  <c r="P123" i="1" s="1"/>
  <c r="X151" i="1"/>
  <c r="T203" i="1"/>
  <c r="U203" i="1" s="1"/>
  <c r="V203" i="1" s="1"/>
  <c r="S352" i="1"/>
  <c r="P352" i="1" s="1"/>
  <c r="W843" i="1"/>
  <c r="S865" i="1"/>
  <c r="T943" i="1"/>
  <c r="U943" i="1" s="1"/>
  <c r="V943" i="1" s="1"/>
  <c r="W1569" i="1"/>
  <c r="L1601" i="1"/>
  <c r="T1601" i="1" s="1"/>
  <c r="U1601" i="1" s="1"/>
  <c r="V1601" i="1" s="1"/>
  <c r="Q1601" i="1"/>
  <c r="D43" i="1"/>
  <c r="S92" i="1"/>
  <c r="W120" i="1"/>
  <c r="L157" i="1"/>
  <c r="W160" i="1"/>
  <c r="D284" i="1"/>
  <c r="W290" i="1"/>
  <c r="S385" i="1"/>
  <c r="P385" i="1" s="1"/>
  <c r="X416" i="1"/>
  <c r="Q434" i="1"/>
  <c r="X447" i="1"/>
  <c r="L950" i="1"/>
  <c r="X1177" i="1"/>
  <c r="X1490" i="1"/>
  <c r="L2299" i="1"/>
  <c r="T2299" i="1" s="1"/>
  <c r="U2299" i="1" s="1"/>
  <c r="V2299" i="1" s="1"/>
  <c r="Q2299" i="1"/>
  <c r="X49" i="1"/>
  <c r="X89" i="1"/>
  <c r="X108" i="1"/>
  <c r="S117" i="1"/>
  <c r="D146" i="1"/>
  <c r="D149" i="1"/>
  <c r="W176" i="1"/>
  <c r="W210" i="1"/>
  <c r="D239" i="1"/>
  <c r="L284" i="1"/>
  <c r="R284" i="1" s="1"/>
  <c r="X287" i="1"/>
  <c r="L300" i="1"/>
  <c r="M300" i="1" s="1"/>
  <c r="S325" i="1"/>
  <c r="P325" i="1" s="1"/>
  <c r="M359" i="1"/>
  <c r="D374" i="1"/>
  <c r="L380" i="1"/>
  <c r="T380" i="1" s="1"/>
  <c r="W686" i="1"/>
  <c r="X686" i="1"/>
  <c r="D816" i="1"/>
  <c r="D1102" i="1"/>
  <c r="D1743" i="1"/>
  <c r="L1755" i="1"/>
  <c r="Q1755" i="1"/>
  <c r="D1893" i="1"/>
  <c r="D2203" i="1"/>
  <c r="D2618" i="1"/>
  <c r="D1328" i="1"/>
  <c r="D1387" i="1"/>
  <c r="D1422" i="1"/>
  <c r="D1529" i="1"/>
  <c r="D1548" i="1"/>
  <c r="D1735" i="1"/>
  <c r="D2219" i="1"/>
  <c r="D2568" i="1"/>
  <c r="W2602" i="1"/>
  <c r="D449" i="1"/>
  <c r="D479" i="1"/>
  <c r="D510" i="1"/>
  <c r="D532" i="1"/>
  <c r="X544" i="1"/>
  <c r="S581" i="1"/>
  <c r="P581" i="1" s="1"/>
  <c r="D588" i="1"/>
  <c r="D604" i="1"/>
  <c r="S653" i="1"/>
  <c r="P653" i="1" s="1"/>
  <c r="D810" i="1"/>
  <c r="D844" i="1"/>
  <c r="W853" i="1"/>
  <c r="W884" i="1"/>
  <c r="W1027" i="1"/>
  <c r="W1043" i="1"/>
  <c r="D1056" i="1"/>
  <c r="D1109" i="1"/>
  <c r="X1165" i="1"/>
  <c r="D1187" i="1"/>
  <c r="X1213" i="1"/>
  <c r="S1247" i="1"/>
  <c r="P1247" i="1" s="1"/>
  <c r="L1328" i="1"/>
  <c r="W1353" i="1"/>
  <c r="D1432" i="1"/>
  <c r="D1473" i="1"/>
  <c r="D1491" i="1"/>
  <c r="L1595" i="1"/>
  <c r="R1595" i="1" s="1"/>
  <c r="M1620" i="1"/>
  <c r="W1694" i="1"/>
  <c r="S1722" i="1"/>
  <c r="P1722" i="1" s="1"/>
  <c r="D1729" i="1"/>
  <c r="S1749" i="1"/>
  <c r="P1749" i="1" s="1"/>
  <c r="D1793" i="1"/>
  <c r="D1811" i="1"/>
  <c r="L1874" i="1"/>
  <c r="T1874" i="1" s="1"/>
  <c r="D1906" i="1"/>
  <c r="D1909" i="1"/>
  <c r="X2016" i="1"/>
  <c r="S2063" i="1"/>
  <c r="P2063" i="1" s="1"/>
  <c r="X2163" i="1"/>
  <c r="X2260" i="1"/>
  <c r="W2293" i="1"/>
  <c r="S2340" i="1"/>
  <c r="P2340" i="1" s="1"/>
  <c r="S2343" i="1"/>
  <c r="P2343" i="1" s="1"/>
  <c r="T2405" i="1"/>
  <c r="U2405" i="1" s="1"/>
  <c r="V2405" i="1" s="1"/>
  <c r="D2475" i="1"/>
  <c r="D551" i="1"/>
  <c r="D601" i="1"/>
  <c r="W669" i="1"/>
  <c r="W688" i="1"/>
  <c r="D804" i="1"/>
  <c r="X822" i="1"/>
  <c r="D860" i="1"/>
  <c r="D1006" i="1"/>
  <c r="D1053" i="1"/>
  <c r="D1169" i="1"/>
  <c r="D1282" i="1"/>
  <c r="D1360" i="1"/>
  <c r="X1421" i="1"/>
  <c r="X1454" i="1"/>
  <c r="D1476" i="1"/>
  <c r="L1491" i="1"/>
  <c r="D1504" i="1"/>
  <c r="W1629" i="1"/>
  <c r="D1701" i="1"/>
  <c r="X1829" i="1"/>
  <c r="D1897" i="1"/>
  <c r="D1918" i="1"/>
  <c r="T1985" i="1"/>
  <c r="U1985" i="1" s="1"/>
  <c r="V1985" i="1" s="1"/>
  <c r="D1989" i="1"/>
  <c r="D2001" i="1"/>
  <c r="D2051" i="1"/>
  <c r="D2089" i="1"/>
  <c r="D2138" i="1"/>
  <c r="X2144" i="1"/>
  <c r="Q2191" i="1"/>
  <c r="D2198" i="1"/>
  <c r="D2264" i="1"/>
  <c r="D2315" i="1"/>
  <c r="W2321" i="1"/>
  <c r="D2350" i="1"/>
  <c r="D2497" i="1"/>
  <c r="Q2534" i="1"/>
  <c r="S2543" i="1"/>
  <c r="D2575" i="1"/>
  <c r="S2593" i="1"/>
  <c r="P2593" i="1" s="1"/>
  <c r="W1865" i="1"/>
  <c r="W1979" i="1"/>
  <c r="L2710" i="1"/>
  <c r="W402" i="1"/>
  <c r="W452" i="1"/>
  <c r="S454" i="1"/>
  <c r="P454" i="1" s="1"/>
  <c r="X488" i="1"/>
  <c r="L623" i="1"/>
  <c r="D670" i="1"/>
  <c r="D692" i="1"/>
  <c r="D724" i="1"/>
  <c r="L739" i="1"/>
  <c r="D779" i="1"/>
  <c r="D832" i="1"/>
  <c r="D854" i="1"/>
  <c r="D882" i="1"/>
  <c r="X925" i="1"/>
  <c r="D969" i="1"/>
  <c r="D1000" i="1"/>
  <c r="D1028" i="1"/>
  <c r="D1047" i="1"/>
  <c r="S1055" i="1"/>
  <c r="P1055" i="1" s="1"/>
  <c r="D1063" i="1"/>
  <c r="L1069" i="1"/>
  <c r="M1069" i="1" s="1"/>
  <c r="D1079" i="1"/>
  <c r="L1125" i="1"/>
  <c r="D1141" i="1"/>
  <c r="Q1184" i="1"/>
  <c r="W1195" i="1"/>
  <c r="D1267" i="1"/>
  <c r="D1279" i="1"/>
  <c r="X1312" i="1"/>
  <c r="Q1591" i="1"/>
  <c r="D1596" i="1"/>
  <c r="D1618" i="1"/>
  <c r="Q1620" i="1"/>
  <c r="D1630" i="1"/>
  <c r="L1639" i="1"/>
  <c r="T1639" i="1" s="1"/>
  <c r="U1639" i="1" s="1"/>
  <c r="V1639" i="1" s="1"/>
  <c r="D1649" i="1"/>
  <c r="D1670" i="1"/>
  <c r="Q1688" i="1"/>
  <c r="D1692" i="1"/>
  <c r="D1781" i="1"/>
  <c r="L1790" i="1"/>
  <c r="X1792" i="1"/>
  <c r="Q1817" i="1"/>
  <c r="Q1841" i="1"/>
  <c r="D1870" i="1"/>
  <c r="D1875" i="1"/>
  <c r="W1899" i="1"/>
  <c r="D1933" i="1"/>
  <c r="Q1983" i="1"/>
  <c r="D2014" i="1"/>
  <c r="X2053" i="1"/>
  <c r="D2083" i="1"/>
  <c r="D2145" i="1"/>
  <c r="D2161" i="1"/>
  <c r="X2179" i="1"/>
  <c r="L2264" i="1"/>
  <c r="T2264" i="1" s="1"/>
  <c r="W2309" i="1"/>
  <c r="X2315" i="1"/>
  <c r="D2338" i="1"/>
  <c r="D2341" i="1"/>
  <c r="D2366" i="1"/>
  <c r="D2378" i="1"/>
  <c r="X2481" i="1"/>
  <c r="X2522" i="1"/>
  <c r="S2553" i="1"/>
  <c r="P2553" i="1" s="1"/>
  <c r="D2594" i="1"/>
  <c r="Q2611" i="1"/>
  <c r="X2652" i="1"/>
  <c r="D2698" i="1"/>
  <c r="W2707" i="1"/>
  <c r="D1646" i="1"/>
  <c r="D1733" i="1"/>
  <c r="L2192" i="1"/>
  <c r="M2192" i="1" s="1"/>
  <c r="L2300" i="1"/>
  <c r="W2312" i="1"/>
  <c r="D2673" i="1"/>
  <c r="D1379" i="1"/>
  <c r="D1398" i="1"/>
  <c r="D1480" i="1"/>
  <c r="D1524" i="1"/>
  <c r="D1540" i="1"/>
  <c r="D1543" i="1"/>
  <c r="D1587" i="1"/>
  <c r="D1652" i="1"/>
  <c r="D1742" i="1"/>
  <c r="D1806" i="1"/>
  <c r="Q1808" i="1"/>
  <c r="D1836" i="1"/>
  <c r="Q1857" i="1"/>
  <c r="D1885" i="1"/>
  <c r="Q1903" i="1"/>
  <c r="D1978" i="1"/>
  <c r="D2071" i="1"/>
  <c r="Q2095" i="1"/>
  <c r="D2230" i="1"/>
  <c r="D2310" i="1"/>
  <c r="D2332" i="1"/>
  <c r="D2354" i="1"/>
  <c r="D2357" i="1"/>
  <c r="D2607" i="1"/>
  <c r="L1930" i="1"/>
  <c r="S536" i="1"/>
  <c r="P536" i="1" s="1"/>
  <c r="D618" i="1"/>
  <c r="W645" i="1"/>
  <c r="D715" i="1"/>
  <c r="D728" i="1"/>
  <c r="D746" i="1"/>
  <c r="D765" i="1"/>
  <c r="D802" i="1"/>
  <c r="D836" i="1"/>
  <c r="L914" i="1"/>
  <c r="R914" i="1" s="1"/>
  <c r="L926" i="1"/>
  <c r="S993" i="1"/>
  <c r="P993" i="1" s="1"/>
  <c r="L1010" i="1"/>
  <c r="D1013" i="1"/>
  <c r="D1070" i="1"/>
  <c r="D1123" i="1"/>
  <c r="D1126" i="1"/>
  <c r="L1157" i="1"/>
  <c r="L1197" i="1"/>
  <c r="D1274" i="1"/>
  <c r="X1370" i="1"/>
  <c r="X1510" i="1"/>
  <c r="L1543" i="1"/>
  <c r="Q1633" i="1"/>
  <c r="Q1695" i="1"/>
  <c r="D1766" i="1"/>
  <c r="L1806" i="1"/>
  <c r="R1913" i="1"/>
  <c r="L1978" i="1"/>
  <c r="M1978" i="1" s="1"/>
  <c r="D1996" i="1"/>
  <c r="L2211" i="1"/>
  <c r="W2408" i="1"/>
  <c r="D2551" i="1"/>
  <c r="W2585" i="1"/>
  <c r="W2616" i="1"/>
  <c r="D2689" i="1"/>
  <c r="S573" i="1"/>
  <c r="P573" i="1" s="1"/>
  <c r="W734" i="1"/>
  <c r="W752" i="1"/>
  <c r="W876" i="1"/>
  <c r="X1073" i="1"/>
  <c r="X1298" i="1"/>
  <c r="S1366" i="1"/>
  <c r="P1366" i="1" s="1"/>
  <c r="W1417" i="1"/>
  <c r="W1507" i="1"/>
  <c r="D1518" i="1"/>
  <c r="W1615" i="1"/>
  <c r="L1658" i="1"/>
  <c r="L1702" i="1"/>
  <c r="S1705" i="1"/>
  <c r="S1730" i="1"/>
  <c r="P1730" i="1" s="1"/>
  <c r="X1769" i="1"/>
  <c r="X1821" i="1"/>
  <c r="M1873" i="1"/>
  <c r="T1882" i="1"/>
  <c r="X1919" i="1"/>
  <c r="Q2023" i="1"/>
  <c r="S2039" i="1"/>
  <c r="P2039" i="1" s="1"/>
  <c r="S2199" i="1"/>
  <c r="P2199" i="1" s="1"/>
  <c r="Q2363" i="1"/>
  <c r="S2397" i="1"/>
  <c r="P2397" i="1" s="1"/>
  <c r="D2416" i="1"/>
  <c r="D2464" i="1"/>
  <c r="D2536" i="1"/>
  <c r="L2697" i="1"/>
  <c r="W476" i="1"/>
  <c r="W508" i="1"/>
  <c r="L524" i="1"/>
  <c r="W530" i="1"/>
  <c r="X536" i="1"/>
  <c r="L599" i="1"/>
  <c r="S645" i="1"/>
  <c r="P645" i="1" s="1"/>
  <c r="D709" i="1"/>
  <c r="D780" i="1"/>
  <c r="L783" i="1"/>
  <c r="T783" i="1" s="1"/>
  <c r="L799" i="1"/>
  <c r="M799" i="1" s="1"/>
  <c r="W805" i="1"/>
  <c r="L858" i="1"/>
  <c r="M858" i="1" s="1"/>
  <c r="W867" i="1"/>
  <c r="L870" i="1"/>
  <c r="L986" i="1"/>
  <c r="W989" i="1"/>
  <c r="X1129" i="1"/>
  <c r="S1170" i="1"/>
  <c r="P1170" i="1" s="1"/>
  <c r="S1282" i="1"/>
  <c r="P1282" i="1" s="1"/>
  <c r="L1292" i="1"/>
  <c r="D1302" i="1"/>
  <c r="X1358" i="1"/>
  <c r="D1380" i="1"/>
  <c r="L1392" i="1"/>
  <c r="S1394" i="1"/>
  <c r="P1394" i="1" s="1"/>
  <c r="X1430" i="1"/>
  <c r="X1502" i="1"/>
  <c r="D1550" i="1"/>
  <c r="S1556" i="1"/>
  <c r="P1556" i="1" s="1"/>
  <c r="D1594" i="1"/>
  <c r="L1674" i="1"/>
  <c r="D1709" i="1"/>
  <c r="Q1711" i="1"/>
  <c r="D1715" i="1"/>
  <c r="Q1736" i="1"/>
  <c r="Q1739" i="1"/>
  <c r="D1779" i="1"/>
  <c r="D1822" i="1"/>
  <c r="D1837" i="1"/>
  <c r="S1915" i="1"/>
  <c r="P1915" i="1" s="1"/>
  <c r="L2018" i="1"/>
  <c r="T2018" i="1" s="1"/>
  <c r="U2018" i="1" s="1"/>
  <c r="V2018" i="1" s="1"/>
  <c r="D2043" i="1"/>
  <c r="D2046" i="1"/>
  <c r="L2049" i="1"/>
  <c r="M2049" i="1" s="1"/>
  <c r="W2089" i="1"/>
  <c r="X2096" i="1"/>
  <c r="D2146" i="1"/>
  <c r="W2152" i="1"/>
  <c r="L2168" i="1"/>
  <c r="M2168" i="1" s="1"/>
  <c r="Q2283" i="1"/>
  <c r="Q2286" i="1"/>
  <c r="S2418" i="1"/>
  <c r="P2418" i="1" s="1"/>
  <c r="L2448" i="1"/>
  <c r="T2448" i="1" s="1"/>
  <c r="S2451" i="1"/>
  <c r="P2451" i="1" s="1"/>
  <c r="L2464" i="1"/>
  <c r="R2464" i="1" s="1"/>
  <c r="W2469" i="1"/>
  <c r="S2479" i="1"/>
  <c r="P2479" i="1" s="1"/>
  <c r="L2495" i="1"/>
  <c r="T2495" i="1" s="1"/>
  <c r="S2651" i="1"/>
  <c r="P2651" i="1" s="1"/>
  <c r="L2702" i="1"/>
  <c r="L2696" i="1"/>
  <c r="W441" i="1"/>
  <c r="S465" i="1"/>
  <c r="P465" i="1" s="1"/>
  <c r="W468" i="1"/>
  <c r="D496" i="1"/>
  <c r="S549" i="1"/>
  <c r="P549" i="1" s="1"/>
  <c r="X583" i="1"/>
  <c r="W621" i="1"/>
  <c r="L743" i="1"/>
  <c r="T743" i="1" s="1"/>
  <c r="D777" i="1"/>
  <c r="W799" i="1"/>
  <c r="S802" i="1"/>
  <c r="P802" i="1" s="1"/>
  <c r="S852" i="1"/>
  <c r="P852" i="1" s="1"/>
  <c r="L886" i="1"/>
  <c r="R886" i="1" s="1"/>
  <c r="D945" i="1"/>
  <c r="S985" i="1"/>
  <c r="P985" i="1" s="1"/>
  <c r="W1249" i="1"/>
  <c r="S1273" i="1"/>
  <c r="L1277" i="1"/>
  <c r="L1424" i="1"/>
  <c r="W1427" i="1"/>
  <c r="S1443" i="1"/>
  <c r="P1443" i="1" s="1"/>
  <c r="W1499" i="1"/>
  <c r="L1515" i="1"/>
  <c r="D1525" i="1"/>
  <c r="X1534" i="1"/>
  <c r="X1603" i="1"/>
  <c r="D1731" i="1"/>
  <c r="W1754" i="1"/>
  <c r="X1760" i="1"/>
  <c r="D1795" i="1"/>
  <c r="D1862" i="1"/>
  <c r="Q1913" i="1"/>
  <c r="D1979" i="1"/>
  <c r="W1987" i="1"/>
  <c r="D2040" i="1"/>
  <c r="Q2071" i="1"/>
  <c r="L2081" i="1"/>
  <c r="D2124" i="1"/>
  <c r="X2192" i="1"/>
  <c r="X2240" i="1"/>
  <c r="X2348" i="1"/>
  <c r="D2439" i="1"/>
  <c r="D2458" i="1"/>
  <c r="D2474" i="1"/>
  <c r="D2486" i="1"/>
  <c r="D2589" i="1"/>
  <c r="W2645" i="1"/>
  <c r="Q2686" i="1"/>
  <c r="X2702" i="1"/>
  <c r="W543" i="1"/>
  <c r="S558" i="1"/>
  <c r="P558" i="1" s="1"/>
  <c r="D574" i="1"/>
  <c r="W615" i="1"/>
  <c r="S709" i="1"/>
  <c r="S740" i="1"/>
  <c r="S771" i="1"/>
  <c r="P771" i="1" s="1"/>
  <c r="W883" i="1"/>
  <c r="W886" i="1"/>
  <c r="W902" i="1"/>
  <c r="S989" i="1"/>
  <c r="P989" i="1" s="1"/>
  <c r="W998" i="1"/>
  <c r="D1017" i="1"/>
  <c r="W1048" i="1"/>
  <c r="D1090" i="1"/>
  <c r="D1099" i="1"/>
  <c r="D1152" i="1"/>
  <c r="L1161" i="1"/>
  <c r="X1224" i="1"/>
  <c r="X1286" i="1"/>
  <c r="W1289" i="1"/>
  <c r="D1343" i="1"/>
  <c r="X1671" i="1"/>
  <c r="D1941" i="1"/>
  <c r="D1976" i="1"/>
  <c r="D1997" i="1"/>
  <c r="L2006" i="1"/>
  <c r="R2006" i="1" s="1"/>
  <c r="M2009" i="1"/>
  <c r="W2014" i="1"/>
  <c r="W2045" i="1"/>
  <c r="Q2087" i="1"/>
  <c r="D2091" i="1"/>
  <c r="S2161" i="1"/>
  <c r="P2161" i="1" s="1"/>
  <c r="D2275" i="1"/>
  <c r="D2290" i="1"/>
  <c r="X2304" i="1"/>
  <c r="L2364" i="1"/>
  <c r="S2388" i="1"/>
  <c r="P2388" i="1" s="1"/>
  <c r="L2527" i="1"/>
  <c r="L2611" i="1"/>
  <c r="L460" i="1"/>
  <c r="D463" i="1"/>
  <c r="X465" i="1"/>
  <c r="D469" i="1"/>
  <c r="W498" i="1"/>
  <c r="D509" i="1"/>
  <c r="W540" i="1"/>
  <c r="S577" i="1"/>
  <c r="P577" i="1" s="1"/>
  <c r="S609" i="1"/>
  <c r="P609" i="1" s="1"/>
  <c r="X631" i="1"/>
  <c r="L719" i="1"/>
  <c r="T719" i="1" s="1"/>
  <c r="U719" i="1" s="1"/>
  <c r="V719" i="1" s="1"/>
  <c r="L735" i="1"/>
  <c r="T735" i="1" s="1"/>
  <c r="U735" i="1" s="1"/>
  <c r="V735" i="1" s="1"/>
  <c r="X799" i="1"/>
  <c r="D803" i="1"/>
  <c r="X820" i="1"/>
  <c r="X852" i="1"/>
  <c r="L958" i="1"/>
  <c r="S960" i="1"/>
  <c r="Q992" i="1"/>
  <c r="X1189" i="1"/>
  <c r="S1191" i="1"/>
  <c r="P1191" i="1" s="1"/>
  <c r="Q1212" i="1"/>
  <c r="D1216" i="1"/>
  <c r="R1227" i="1"/>
  <c r="D1334" i="1"/>
  <c r="D1444" i="1"/>
  <c r="D1460" i="1"/>
  <c r="S1527" i="1"/>
  <c r="P1527" i="1" s="1"/>
  <c r="D1554" i="1"/>
  <c r="X1591" i="1"/>
  <c r="D1607" i="1"/>
  <c r="D1638" i="1"/>
  <c r="D1675" i="1"/>
  <c r="D1678" i="1"/>
  <c r="D1746" i="1"/>
  <c r="S1821" i="1"/>
  <c r="P1821" i="1" s="1"/>
  <c r="S1867" i="1"/>
  <c r="P1867" i="1" s="1"/>
  <c r="Q1873" i="1"/>
  <c r="D1914" i="1"/>
  <c r="D1973" i="1"/>
  <c r="S1981" i="1"/>
  <c r="W2024" i="1"/>
  <c r="D2134" i="1"/>
  <c r="D2150" i="1"/>
  <c r="D2169" i="1"/>
  <c r="D2191" i="1"/>
  <c r="D2206" i="1"/>
  <c r="D2225" i="1"/>
  <c r="L2231" i="1"/>
  <c r="X2234" i="1"/>
  <c r="D2266" i="1"/>
  <c r="D2296" i="1"/>
  <c r="D2305" i="1"/>
  <c r="D2346" i="1"/>
  <c r="D2349" i="1"/>
  <c r="X2364" i="1"/>
  <c r="D2392" i="1"/>
  <c r="D2449" i="1"/>
  <c r="Q2514" i="1"/>
  <c r="D2518" i="1"/>
  <c r="D2565" i="1"/>
  <c r="T2586" i="1"/>
  <c r="U2586" i="1" s="1"/>
  <c r="V2586" i="1" s="1"/>
  <c r="D2599" i="1"/>
  <c r="X2611" i="1"/>
  <c r="X2657" i="1"/>
  <c r="M88" i="1"/>
  <c r="W98" i="1"/>
  <c r="M131" i="1"/>
  <c r="T184" i="1"/>
  <c r="U184" i="1" s="1"/>
  <c r="V184" i="1" s="1"/>
  <c r="D203" i="1"/>
  <c r="Q375" i="1"/>
  <c r="L378" i="1"/>
  <c r="T378" i="1" s="1"/>
  <c r="U378" i="1" s="1"/>
  <c r="V378" i="1" s="1"/>
  <c r="Q378" i="1"/>
  <c r="L447" i="1"/>
  <c r="R447" i="1" s="1"/>
  <c r="Q447" i="1"/>
  <c r="L956" i="1"/>
  <c r="Q956" i="1"/>
  <c r="X1218" i="1"/>
  <c r="W1218" i="1"/>
  <c r="S1218" i="1"/>
  <c r="P1218" i="1" s="1"/>
  <c r="W819" i="1"/>
  <c r="S819" i="1"/>
  <c r="P819" i="1" s="1"/>
  <c r="D1159" i="1"/>
  <c r="S18" i="1"/>
  <c r="P18" i="1" s="1"/>
  <c r="W58" i="1"/>
  <c r="M64" i="1"/>
  <c r="W79" i="1"/>
  <c r="X110" i="1"/>
  <c r="R131" i="1"/>
  <c r="W143" i="1"/>
  <c r="S154" i="1"/>
  <c r="P154" i="1" s="1"/>
  <c r="T160" i="1"/>
  <c r="U160" i="1" s="1"/>
  <c r="V160" i="1" s="1"/>
  <c r="D182" i="1"/>
  <c r="W255" i="1"/>
  <c r="W303" i="1"/>
  <c r="D367" i="1"/>
  <c r="R375" i="1"/>
  <c r="L411" i="1"/>
  <c r="T411" i="1" s="1"/>
  <c r="U411" i="1" s="1"/>
  <c r="V411" i="1" s="1"/>
  <c r="Q411" i="1"/>
  <c r="X414" i="1"/>
  <c r="W416" i="1"/>
  <c r="D552" i="1"/>
  <c r="S639" i="1"/>
  <c r="P639" i="1" s="1"/>
  <c r="X639" i="1"/>
  <c r="T758" i="1"/>
  <c r="U758" i="1" s="1"/>
  <c r="V758" i="1" s="1"/>
  <c r="R758" i="1"/>
  <c r="D1144" i="1"/>
  <c r="D131" i="1"/>
  <c r="Q296" i="1"/>
  <c r="M96" i="1"/>
  <c r="D31" i="1"/>
  <c r="D37" i="1"/>
  <c r="Q107" i="1"/>
  <c r="L137" i="1"/>
  <c r="D161" i="1"/>
  <c r="D191" i="1"/>
  <c r="W200" i="1"/>
  <c r="D213" i="1"/>
  <c r="D234" i="1"/>
  <c r="L240" i="1"/>
  <c r="L264" i="1"/>
  <c r="T375" i="1"/>
  <c r="U375" i="1" s="1"/>
  <c r="V375" i="1" s="1"/>
  <c r="L396" i="1"/>
  <c r="L399" i="1"/>
  <c r="Q399" i="1"/>
  <c r="M758" i="1"/>
  <c r="D303" i="1"/>
  <c r="W816" i="1"/>
  <c r="X815" i="1"/>
  <c r="T1168" i="1"/>
  <c r="U1168" i="1" s="1"/>
  <c r="V1168" i="1" s="1"/>
  <c r="X21" i="1"/>
  <c r="W9" i="1"/>
  <c r="W18" i="1"/>
  <c r="Q88" i="1"/>
  <c r="Q96" i="1"/>
  <c r="T107" i="1"/>
  <c r="U107" i="1" s="1"/>
  <c r="V107" i="1" s="1"/>
  <c r="W197" i="1"/>
  <c r="D210" i="1"/>
  <c r="X222" i="1"/>
  <c r="W228" i="1"/>
  <c r="D259" i="1"/>
  <c r="D370" i="1"/>
  <c r="Q64" i="1"/>
  <c r="R88" i="1"/>
  <c r="R96" i="1"/>
  <c r="L105" i="1"/>
  <c r="D135" i="1"/>
  <c r="D141" i="1"/>
  <c r="Q176" i="1"/>
  <c r="D207" i="1"/>
  <c r="X215" i="1"/>
  <c r="D253" i="1"/>
  <c r="D271" i="1"/>
  <c r="D332" i="1"/>
  <c r="D347" i="1"/>
  <c r="D350" i="1"/>
  <c r="W352" i="1"/>
  <c r="D359" i="1"/>
  <c r="D379" i="1"/>
  <c r="D13" i="1"/>
  <c r="D44" i="1"/>
  <c r="R64" i="1"/>
  <c r="D71" i="1"/>
  <c r="D138" i="1"/>
  <c r="M147" i="1"/>
  <c r="D183" i="1"/>
  <c r="D220" i="1"/>
  <c r="D223" i="1"/>
  <c r="D250" i="1"/>
  <c r="D265" i="1"/>
  <c r="Q280" i="1"/>
  <c r="P334" i="1"/>
  <c r="T914" i="1"/>
  <c r="U914" i="1" s="1"/>
  <c r="V914" i="1" s="1"/>
  <c r="D1135" i="1"/>
  <c r="X1141" i="1"/>
  <c r="W1141" i="1"/>
  <c r="S1141" i="1"/>
  <c r="P1141" i="1" s="1"/>
  <c r="S1306" i="1"/>
  <c r="P1306" i="1" s="1"/>
  <c r="X1306" i="1"/>
  <c r="W1306" i="1"/>
  <c r="L448" i="1"/>
  <c r="Q448" i="1"/>
  <c r="X480" i="1"/>
  <c r="W480" i="1"/>
  <c r="X596" i="1"/>
  <c r="S596" i="1"/>
  <c r="P596" i="1" s="1"/>
  <c r="T83" i="1"/>
  <c r="U83" i="1" s="1"/>
  <c r="V83" i="1" s="1"/>
  <c r="D87" i="1"/>
  <c r="P117" i="1"/>
  <c r="S147" i="1"/>
  <c r="P147" i="1" s="1"/>
  <c r="D159" i="1"/>
  <c r="D195" i="1"/>
  <c r="Q312" i="1"/>
  <c r="X892" i="1"/>
  <c r="S892" i="1"/>
  <c r="P892" i="1" s="1"/>
  <c r="L1417" i="1"/>
  <c r="Q1417" i="1"/>
  <c r="R107" i="1"/>
  <c r="L303" i="1"/>
  <c r="Q303" i="1"/>
  <c r="D378" i="1"/>
  <c r="L97" i="1"/>
  <c r="S171" i="1"/>
  <c r="P171" i="1" s="1"/>
  <c r="X265" i="1"/>
  <c r="S292" i="1"/>
  <c r="P292" i="1" s="1"/>
  <c r="S326" i="1"/>
  <c r="Q338" i="1"/>
  <c r="W344" i="1"/>
  <c r="S344" i="1"/>
  <c r="P344" i="1" s="1"/>
  <c r="X361" i="1"/>
  <c r="L400" i="1"/>
  <c r="T400" i="1" s="1"/>
  <c r="D581" i="1"/>
  <c r="S1107" i="1"/>
  <c r="P1107" i="1" s="1"/>
  <c r="W1107" i="1"/>
  <c r="S50" i="1"/>
  <c r="P50" i="1" s="1"/>
  <c r="M35" i="1"/>
  <c r="W50" i="1"/>
  <c r="X97" i="1"/>
  <c r="Q147" i="1"/>
  <c r="W165" i="1"/>
  <c r="W168" i="1"/>
  <c r="L192" i="1"/>
  <c r="S231" i="1"/>
  <c r="P231" i="1" s="1"/>
  <c r="X238" i="1"/>
  <c r="S244" i="1"/>
  <c r="P244" i="1" s="1"/>
  <c r="Q274" i="1"/>
  <c r="L694" i="1"/>
  <c r="T694" i="1" s="1"/>
  <c r="U694" i="1" s="1"/>
  <c r="V694" i="1" s="1"/>
  <c r="Q694" i="1"/>
  <c r="L790" i="1"/>
  <c r="Q790" i="1"/>
  <c r="L89" i="1"/>
  <c r="X7" i="1"/>
  <c r="L65" i="1"/>
  <c r="W89" i="1"/>
  <c r="L177" i="1"/>
  <c r="S4" i="1"/>
  <c r="P4" i="1" s="1"/>
  <c r="R35" i="1"/>
  <c r="D45" i="1"/>
  <c r="D48" i="1"/>
  <c r="D63" i="1"/>
  <c r="X65" i="1"/>
  <c r="W87" i="1"/>
  <c r="D109" i="1"/>
  <c r="D142" i="1"/>
  <c r="S162" i="1"/>
  <c r="P162" i="1" s="1"/>
  <c r="Q183" i="1"/>
  <c r="D202" i="1"/>
  <c r="X214" i="1"/>
  <c r="D227" i="1"/>
  <c r="D242" i="1"/>
  <c r="D257" i="1"/>
  <c r="L280" i="1"/>
  <c r="D345" i="1"/>
  <c r="M351" i="1"/>
  <c r="T351" i="1"/>
  <c r="U351" i="1" s="1"/>
  <c r="V351" i="1" s="1"/>
  <c r="R351" i="1"/>
  <c r="X371" i="1"/>
  <c r="W391" i="1"/>
  <c r="W436" i="1"/>
  <c r="D446" i="1"/>
  <c r="D781" i="1"/>
  <c r="D1243" i="1"/>
  <c r="L560" i="1"/>
  <c r="Q560" i="1"/>
  <c r="L57" i="1"/>
  <c r="W260" i="1"/>
  <c r="T1192" i="1"/>
  <c r="U1192" i="1" s="1"/>
  <c r="V1192" i="1" s="1"/>
  <c r="R1192" i="1"/>
  <c r="W375" i="1"/>
  <c r="X375" i="1"/>
  <c r="X29" i="1"/>
  <c r="W81" i="1"/>
  <c r="X95" i="1"/>
  <c r="X100" i="1"/>
  <c r="W112" i="1"/>
  <c r="W189" i="1"/>
  <c r="D5" i="1"/>
  <c r="W48" i="1"/>
  <c r="S87" i="1"/>
  <c r="P87" i="1" s="1"/>
  <c r="D93" i="1"/>
  <c r="M136" i="1"/>
  <c r="S142" i="1"/>
  <c r="P142" i="1" s="1"/>
  <c r="X153" i="1"/>
  <c r="D178" i="1"/>
  <c r="W208" i="1"/>
  <c r="D215" i="1"/>
  <c r="D233" i="1"/>
  <c r="S271" i="1"/>
  <c r="P271" i="1" s="1"/>
  <c r="X383" i="1"/>
  <c r="D392" i="1"/>
  <c r="D407" i="1"/>
  <c r="W803" i="1"/>
  <c r="D1231" i="1"/>
  <c r="L1497" i="1"/>
  <c r="T1497" i="1" s="1"/>
  <c r="U1497" i="1" s="1"/>
  <c r="V1497" i="1" s="1"/>
  <c r="Q1497" i="1"/>
  <c r="M1636" i="1"/>
  <c r="T1636" i="1"/>
  <c r="U1636" i="1" s="1"/>
  <c r="V1636" i="1" s="1"/>
  <c r="R1636" i="1"/>
  <c r="D485" i="1"/>
  <c r="D621" i="1"/>
  <c r="D685" i="1"/>
  <c r="D749" i="1"/>
  <c r="L850" i="1"/>
  <c r="M850" i="1" s="1"/>
  <c r="L874" i="1"/>
  <c r="T874" i="1" s="1"/>
  <c r="L938" i="1"/>
  <c r="M938" i="1" s="1"/>
  <c r="W941" i="1"/>
  <c r="W950" i="1"/>
  <c r="W995" i="1"/>
  <c r="X1137" i="1"/>
  <c r="W1168" i="1"/>
  <c r="Q1209" i="1"/>
  <c r="X1222" i="1"/>
  <c r="L1249" i="1"/>
  <c r="Q1260" i="1"/>
  <c r="S1262" i="1"/>
  <c r="P1262" i="1" s="1"/>
  <c r="X1272" i="1"/>
  <c r="D1287" i="1"/>
  <c r="L1296" i="1"/>
  <c r="Q1307" i="1"/>
  <c r="D1317" i="1"/>
  <c r="D1320" i="1"/>
  <c r="D1347" i="1"/>
  <c r="D1350" i="1"/>
  <c r="X1371" i="1"/>
  <c r="X1392" i="1"/>
  <c r="L1704" i="1"/>
  <c r="Q1704" i="1"/>
  <c r="D482" i="1"/>
  <c r="Q544" i="1"/>
  <c r="L615" i="1"/>
  <c r="D634" i="1"/>
  <c r="D738" i="1"/>
  <c r="L811" i="1"/>
  <c r="W844" i="1"/>
  <c r="S867" i="1"/>
  <c r="P867" i="1" s="1"/>
  <c r="W879" i="1"/>
  <c r="L1045" i="1"/>
  <c r="M1045" i="1" s="1"/>
  <c r="M1081" i="1"/>
  <c r="L1117" i="1"/>
  <c r="S1147" i="1"/>
  <c r="P1147" i="1" s="1"/>
  <c r="X1153" i="1"/>
  <c r="D1166" i="1"/>
  <c r="D1175" i="1"/>
  <c r="L1181" i="1"/>
  <c r="L1237" i="1"/>
  <c r="S1254" i="1"/>
  <c r="P1254" i="1" s="1"/>
  <c r="D1261" i="1"/>
  <c r="S1298" i="1"/>
  <c r="P1298" i="1" s="1"/>
  <c r="S1304" i="1"/>
  <c r="P1304" i="1" s="1"/>
  <c r="R1307" i="1"/>
  <c r="D1311" i="1"/>
  <c r="D1396" i="1"/>
  <c r="D1437" i="1"/>
  <c r="L1479" i="1"/>
  <c r="L1627" i="1"/>
  <c r="S357" i="1"/>
  <c r="P357" i="1" s="1"/>
  <c r="D366" i="1"/>
  <c r="D377" i="1"/>
  <c r="W444" i="1"/>
  <c r="X464" i="1"/>
  <c r="S470" i="1"/>
  <c r="P470" i="1" s="1"/>
  <c r="W479" i="1"/>
  <c r="D514" i="1"/>
  <c r="D520" i="1"/>
  <c r="D535" i="1"/>
  <c r="D547" i="1"/>
  <c r="D585" i="1"/>
  <c r="L591" i="1"/>
  <c r="T591" i="1" s="1"/>
  <c r="D628" i="1"/>
  <c r="L862" i="1"/>
  <c r="W919" i="1"/>
  <c r="D942" i="1"/>
  <c r="L978" i="1"/>
  <c r="M993" i="1"/>
  <c r="D1014" i="1"/>
  <c r="L1017" i="1"/>
  <c r="T1017" i="1" s="1"/>
  <c r="D1051" i="1"/>
  <c r="Q1455" i="1"/>
  <c r="L1649" i="1"/>
  <c r="T1649" i="1" s="1"/>
  <c r="U1649" i="1" s="1"/>
  <c r="V1649" i="1" s="1"/>
  <c r="Q1649" i="1"/>
  <c r="L1723" i="1"/>
  <c r="Q1723" i="1"/>
  <c r="D322" i="1"/>
  <c r="D325" i="1"/>
  <c r="W340" i="1"/>
  <c r="X363" i="1"/>
  <c r="W420" i="1"/>
  <c r="X494" i="1"/>
  <c r="Q511" i="1"/>
  <c r="D541" i="1"/>
  <c r="L631" i="1"/>
  <c r="D667" i="1"/>
  <c r="D695" i="1"/>
  <c r="D730" i="1"/>
  <c r="D797" i="1"/>
  <c r="W808" i="1"/>
  <c r="L823" i="1"/>
  <c r="T823" i="1" s="1"/>
  <c r="U823" i="1" s="1"/>
  <c r="V823" i="1" s="1"/>
  <c r="W835" i="1"/>
  <c r="D842" i="1"/>
  <c r="W862" i="1"/>
  <c r="Q877" i="1"/>
  <c r="W899" i="1"/>
  <c r="D906" i="1"/>
  <c r="L966" i="1"/>
  <c r="W972" i="1"/>
  <c r="S975" i="1"/>
  <c r="P975" i="1" s="1"/>
  <c r="W993" i="1"/>
  <c r="W1026" i="1"/>
  <c r="D1076" i="1"/>
  <c r="S1099" i="1"/>
  <c r="P1099" i="1" s="1"/>
  <c r="D1133" i="1"/>
  <c r="D1139" i="1"/>
  <c r="D1163" i="1"/>
  <c r="W1178" i="1"/>
  <c r="D1215" i="1"/>
  <c r="D1232" i="1"/>
  <c r="W1240" i="1"/>
  <c r="D1244" i="1"/>
  <c r="X1249" i="1"/>
  <c r="D1256" i="1"/>
  <c r="L1261" i="1"/>
  <c r="D1264" i="1"/>
  <c r="Q1299" i="1"/>
  <c r="D1306" i="1"/>
  <c r="D1326" i="1"/>
  <c r="L1507" i="1"/>
  <c r="X1581" i="1"/>
  <c r="D1619" i="1"/>
  <c r="X1621" i="1"/>
  <c r="D1705" i="1"/>
  <c r="R1720" i="1"/>
  <c r="T1720" i="1"/>
  <c r="U1720" i="1" s="1"/>
  <c r="V1720" i="1" s="1"/>
  <c r="W2248" i="1"/>
  <c r="D301" i="1"/>
  <c r="D316" i="1"/>
  <c r="S327" i="1"/>
  <c r="P327" i="1" s="1"/>
  <c r="D352" i="1"/>
  <c r="D358" i="1"/>
  <c r="X360" i="1"/>
  <c r="D372" i="1"/>
  <c r="S432" i="1"/>
  <c r="P432" i="1" s="1"/>
  <c r="X435" i="1"/>
  <c r="D471" i="1"/>
  <c r="D486" i="1"/>
  <c r="R511" i="1"/>
  <c r="L520" i="1"/>
  <c r="T520" i="1" s="1"/>
  <c r="X526" i="1"/>
  <c r="D538" i="1"/>
  <c r="W554" i="1"/>
  <c r="X640" i="1"/>
  <c r="X814" i="1"/>
  <c r="W895" i="1"/>
  <c r="D936" i="1"/>
  <c r="L942" i="1"/>
  <c r="D982" i="1"/>
  <c r="S999" i="1"/>
  <c r="P999" i="1" s="1"/>
  <c r="P1090" i="1"/>
  <c r="D1142" i="1"/>
  <c r="D1229" i="1"/>
  <c r="S1261" i="1"/>
  <c r="D1303" i="1"/>
  <c r="W1320" i="1"/>
  <c r="D1381" i="1"/>
  <c r="D1403" i="1"/>
  <c r="L1412" i="1"/>
  <c r="D1428" i="1"/>
  <c r="D1471" i="1"/>
  <c r="W1510" i="1"/>
  <c r="W1640" i="1"/>
  <c r="L500" i="1"/>
  <c r="W546" i="1"/>
  <c r="D610" i="1"/>
  <c r="X652" i="1"/>
  <c r="L655" i="1"/>
  <c r="D686" i="1"/>
  <c r="D705" i="1"/>
  <c r="M744" i="1"/>
  <c r="W767" i="1"/>
  <c r="S770" i="1"/>
  <c r="P770" i="1" s="1"/>
  <c r="W963" i="1"/>
  <c r="D973" i="1"/>
  <c r="T1033" i="1"/>
  <c r="T1121" i="1"/>
  <c r="S1267" i="1"/>
  <c r="P1267" i="1" s="1"/>
  <c r="P1287" i="1"/>
  <c r="X1338" i="1"/>
  <c r="L1360" i="1"/>
  <c r="R1360" i="1" s="1"/>
  <c r="S1372" i="1"/>
  <c r="X1375" i="1"/>
  <c r="L1456" i="1"/>
  <c r="Q1572" i="1"/>
  <c r="W1661" i="1"/>
  <c r="W1736" i="1"/>
  <c r="S2465" i="1"/>
  <c r="P2465" i="1" s="1"/>
  <c r="S2466" i="1"/>
  <c r="P2466" i="1" s="1"/>
  <c r="L2644" i="1"/>
  <c r="T2644" i="1" s="1"/>
  <c r="U2644" i="1" s="1"/>
  <c r="V2644" i="1" s="1"/>
  <c r="Q2644" i="1"/>
  <c r="D507" i="1"/>
  <c r="S541" i="1"/>
  <c r="P541" i="1" s="1"/>
  <c r="W564" i="1"/>
  <c r="Q576" i="1"/>
  <c r="L595" i="1"/>
  <c r="M595" i="1" s="1"/>
  <c r="X619" i="1"/>
  <c r="W640" i="1"/>
  <c r="W661" i="1"/>
  <c r="X694" i="1"/>
  <c r="L727" i="1"/>
  <c r="T727" i="1" s="1"/>
  <c r="U727" i="1" s="1"/>
  <c r="V727" i="1" s="1"/>
  <c r="R744" i="1"/>
  <c r="W782" i="1"/>
  <c r="L791" i="1"/>
  <c r="T791" i="1" s="1"/>
  <c r="L866" i="1"/>
  <c r="T866" i="1" s="1"/>
  <c r="S881" i="1"/>
  <c r="P881" i="1" s="1"/>
  <c r="D900" i="1"/>
  <c r="W939" i="1"/>
  <c r="W948" i="1"/>
  <c r="X960" i="1"/>
  <c r="X1033" i="1"/>
  <c r="W1070" i="1"/>
  <c r="D1115" i="1"/>
  <c r="M1121" i="1"/>
  <c r="D1179" i="1"/>
  <c r="L1229" i="1"/>
  <c r="S1231" i="1"/>
  <c r="P1231" i="1" s="1"/>
  <c r="T1256" i="1"/>
  <c r="U1256" i="1" s="1"/>
  <c r="V1256" i="1" s="1"/>
  <c r="X1261" i="1"/>
  <c r="W1270" i="1"/>
  <c r="S1296" i="1"/>
  <c r="P1296" i="1" s="1"/>
  <c r="L1300" i="1"/>
  <c r="T1300" i="1" s="1"/>
  <c r="D1312" i="1"/>
  <c r="S1322" i="1"/>
  <c r="D1336" i="1"/>
  <c r="X1471" i="1"/>
  <c r="W1471" i="1"/>
  <c r="M1492" i="1"/>
  <c r="D1527" i="1"/>
  <c r="Q1529" i="1"/>
  <c r="L1545" i="1"/>
  <c r="T1545" i="1" s="1"/>
  <c r="U1545" i="1" s="1"/>
  <c r="V1545" i="1" s="1"/>
  <c r="Q1545" i="1"/>
  <c r="W1613" i="1"/>
  <c r="D1647" i="1"/>
  <c r="S1936" i="1"/>
  <c r="P1936" i="1" s="1"/>
  <c r="X1936" i="1"/>
  <c r="D489" i="1"/>
  <c r="D521" i="1"/>
  <c r="D527" i="1"/>
  <c r="D559" i="1"/>
  <c r="D568" i="1"/>
  <c r="D589" i="1"/>
  <c r="D598" i="1"/>
  <c r="L683" i="1"/>
  <c r="X711" i="1"/>
  <c r="Q733" i="1"/>
  <c r="W744" i="1"/>
  <c r="W797" i="1"/>
  <c r="S812" i="1"/>
  <c r="P812" i="1" s="1"/>
  <c r="W878" i="1"/>
  <c r="Q933" i="1"/>
  <c r="D955" i="1"/>
  <c r="D997" i="1"/>
  <c r="D1003" i="1"/>
  <c r="W1030" i="1"/>
  <c r="D1077" i="1"/>
  <c r="W1097" i="1"/>
  <c r="W1118" i="1"/>
  <c r="S1201" i="1"/>
  <c r="W1226" i="1"/>
  <c r="S1250" i="1"/>
  <c r="P1250" i="1" s="1"/>
  <c r="D1262" i="1"/>
  <c r="Q1267" i="1"/>
  <c r="W1282" i="1"/>
  <c r="W1294" i="1"/>
  <c r="D1309" i="1"/>
  <c r="Q1329" i="1"/>
  <c r="W1338" i="1"/>
  <c r="S1350" i="1"/>
  <c r="P1350" i="1" s="1"/>
  <c r="D1376" i="1"/>
  <c r="W1381" i="1"/>
  <c r="Q1408" i="1"/>
  <c r="W1489" i="1"/>
  <c r="L1539" i="1"/>
  <c r="L1607" i="1"/>
  <c r="L1644" i="1"/>
  <c r="Q1644" i="1"/>
  <c r="X512" i="1"/>
  <c r="Q538" i="1"/>
  <c r="X591" i="1"/>
  <c r="L607" i="1"/>
  <c r="W609" i="1"/>
  <c r="D620" i="1"/>
  <c r="D696" i="1"/>
  <c r="S723" i="1"/>
  <c r="P723" i="1" s="1"/>
  <c r="D754" i="1"/>
  <c r="X782" i="1"/>
  <c r="S818" i="1"/>
  <c r="P818" i="1" s="1"/>
  <c r="D843" i="1"/>
  <c r="Q845" i="1"/>
  <c r="L854" i="1"/>
  <c r="D876" i="1"/>
  <c r="D907" i="1"/>
  <c r="Q1235" i="1"/>
  <c r="D1435" i="1"/>
  <c r="W1443" i="1"/>
  <c r="X1542" i="1"/>
  <c r="D1589" i="1"/>
  <c r="X1607" i="1"/>
  <c r="L2538" i="1"/>
  <c r="R2538" i="1" s="1"/>
  <c r="Q2538" i="1"/>
  <c r="X457" i="1"/>
  <c r="W556" i="1"/>
  <c r="W607" i="1"/>
  <c r="X632" i="1"/>
  <c r="D647" i="1"/>
  <c r="D662" i="1"/>
  <c r="S680" i="1"/>
  <c r="P680" i="1" s="1"/>
  <c r="D693" i="1"/>
  <c r="Q744" i="1"/>
  <c r="Q765" i="1"/>
  <c r="S803" i="1"/>
  <c r="P803" i="1" s="1"/>
  <c r="S805" i="1"/>
  <c r="P805" i="1" s="1"/>
  <c r="W854" i="1"/>
  <c r="W891" i="1"/>
  <c r="S897" i="1"/>
  <c r="P897" i="1" s="1"/>
  <c r="D922" i="1"/>
  <c r="D925" i="1"/>
  <c r="D934" i="1"/>
  <c r="D1031" i="1"/>
  <c r="L1077" i="1"/>
  <c r="M1077" i="1" s="1"/>
  <c r="W1080" i="1"/>
  <c r="D1119" i="1"/>
  <c r="D1128" i="1"/>
  <c r="D1158" i="1"/>
  <c r="S1176" i="1"/>
  <c r="P1176" i="1" s="1"/>
  <c r="D1183" i="1"/>
  <c r="W1185" i="1"/>
  <c r="D1203" i="1"/>
  <c r="T1211" i="1"/>
  <c r="U1211" i="1" s="1"/>
  <c r="V1211" i="1" s="1"/>
  <c r="L1213" i="1"/>
  <c r="D1227" i="1"/>
  <c r="D1230" i="1"/>
  <c r="D1254" i="1"/>
  <c r="Q1256" i="1"/>
  <c r="D1304" i="1"/>
  <c r="W1312" i="1"/>
  <c r="S1321" i="1"/>
  <c r="P1321" i="1" s="1"/>
  <c r="D1339" i="1"/>
  <c r="D1352" i="1"/>
  <c r="D1364" i="1"/>
  <c r="W1527" i="1"/>
  <c r="X1536" i="1"/>
  <c r="X1576" i="1"/>
  <c r="S1721" i="1"/>
  <c r="W512" i="1"/>
  <c r="L583" i="1"/>
  <c r="Q591" i="1"/>
  <c r="D636" i="1"/>
  <c r="W671" i="1"/>
  <c r="D684" i="1"/>
  <c r="D687" i="1"/>
  <c r="X699" i="1"/>
  <c r="D725" i="1"/>
  <c r="W742" i="1"/>
  <c r="D774" i="1"/>
  <c r="D858" i="1"/>
  <c r="D861" i="1"/>
  <c r="L882" i="1"/>
  <c r="T882" i="1" s="1"/>
  <c r="W910" i="1"/>
  <c r="D1086" i="1"/>
  <c r="D1101" i="1"/>
  <c r="L1221" i="1"/>
  <c r="L1233" i="1"/>
  <c r="L1245" i="1"/>
  <c r="D1260" i="1"/>
  <c r="D1292" i="1"/>
  <c r="D1307" i="1"/>
  <c r="Q1316" i="1"/>
  <c r="D1319" i="1"/>
  <c r="L1324" i="1"/>
  <c r="S1435" i="1"/>
  <c r="P1435" i="1" s="1"/>
  <c r="X1533" i="1"/>
  <c r="D1700" i="1"/>
  <c r="D1703" i="1"/>
  <c r="D1804" i="1"/>
  <c r="S1956" i="1"/>
  <c r="P1956" i="1" s="1"/>
  <c r="Q2680" i="1"/>
  <c r="L2680" i="1"/>
  <c r="R2680" i="1" s="1"/>
  <c r="L272" i="1"/>
  <c r="T272" i="1" s="1"/>
  <c r="U272" i="1" s="1"/>
  <c r="V272" i="1" s="1"/>
  <c r="D293" i="1"/>
  <c r="D305" i="1"/>
  <c r="D308" i="1"/>
  <c r="L336" i="1"/>
  <c r="D353" i="1"/>
  <c r="W380" i="1"/>
  <c r="D422" i="1"/>
  <c r="L428" i="1"/>
  <c r="D437" i="1"/>
  <c r="X463" i="1"/>
  <c r="D466" i="1"/>
  <c r="D475" i="1"/>
  <c r="Q495" i="1"/>
  <c r="X510" i="1"/>
  <c r="Q527" i="1"/>
  <c r="X1737" i="1"/>
  <c r="S1737" i="1"/>
  <c r="P1737" i="1" s="1"/>
  <c r="L2530" i="1"/>
  <c r="R2530" i="1" s="1"/>
  <c r="Q2530" i="1"/>
  <c r="L296" i="1"/>
  <c r="W370" i="1"/>
  <c r="X446" i="1"/>
  <c r="L484" i="1"/>
  <c r="R495" i="1"/>
  <c r="Q507" i="1"/>
  <c r="Q515" i="1"/>
  <c r="R527" i="1"/>
  <c r="W536" i="1"/>
  <c r="D557" i="1"/>
  <c r="W580" i="1"/>
  <c r="D602" i="1"/>
  <c r="D675" i="1"/>
  <c r="D834" i="1"/>
  <c r="D898" i="1"/>
  <c r="D1016" i="1"/>
  <c r="T1025" i="1"/>
  <c r="S1213" i="1"/>
  <c r="D1423" i="1"/>
  <c r="W1518" i="1"/>
  <c r="X1518" i="1"/>
  <c r="W1614" i="1"/>
  <c r="X1614" i="1"/>
  <c r="L1648" i="1"/>
  <c r="Q1648" i="1"/>
  <c r="D1755" i="1"/>
  <c r="S268" i="1"/>
  <c r="P268" i="1" s="1"/>
  <c r="X275" i="1"/>
  <c r="L308" i="1"/>
  <c r="M308" i="1" s="1"/>
  <c r="D324" i="1"/>
  <c r="D390" i="1"/>
  <c r="D393" i="1"/>
  <c r="D414" i="1"/>
  <c r="L416" i="1"/>
  <c r="W442" i="1"/>
  <c r="Q463" i="1"/>
  <c r="W484" i="1"/>
  <c r="D502" i="1"/>
  <c r="D508" i="1"/>
  <c r="D525" i="1"/>
  <c r="T527" i="1"/>
  <c r="U527" i="1" s="1"/>
  <c r="V527" i="1" s="1"/>
  <c r="D534" i="1"/>
  <c r="D543" i="1"/>
  <c r="D566" i="1"/>
  <c r="D587" i="1"/>
  <c r="D605" i="1"/>
  <c r="D630" i="1"/>
  <c r="D642" i="1"/>
  <c r="D663" i="1"/>
  <c r="D666" i="1"/>
  <c r="L675" i="1"/>
  <c r="T675" i="1" s="1"/>
  <c r="D716" i="1"/>
  <c r="D732" i="1"/>
  <c r="D769" i="1"/>
  <c r="X798" i="1"/>
  <c r="L834" i="1"/>
  <c r="T834" i="1" s="1"/>
  <c r="X863" i="1"/>
  <c r="S876" i="1"/>
  <c r="P876" i="1" s="1"/>
  <c r="D883" i="1"/>
  <c r="D886" i="1"/>
  <c r="L898" i="1"/>
  <c r="T898" i="1" s="1"/>
  <c r="U898" i="1" s="1"/>
  <c r="V898" i="1" s="1"/>
  <c r="P901" i="1"/>
  <c r="D908" i="1"/>
  <c r="D929" i="1"/>
  <c r="D932" i="1"/>
  <c r="D950" i="1"/>
  <c r="D953" i="1"/>
  <c r="D987" i="1"/>
  <c r="X989" i="1"/>
  <c r="S1009" i="1"/>
  <c r="P1009" i="1" s="1"/>
  <c r="M1025" i="1"/>
  <c r="L1041" i="1"/>
  <c r="D1104" i="1"/>
  <c r="D1150" i="1"/>
  <c r="Q1155" i="1"/>
  <c r="D1162" i="1"/>
  <c r="D1168" i="1"/>
  <c r="X1194" i="1"/>
  <c r="W1213" i="1"/>
  <c r="Q1233" i="1"/>
  <c r="D1263" i="1"/>
  <c r="D1272" i="1"/>
  <c r="W1298" i="1"/>
  <c r="S1318" i="1"/>
  <c r="P1318" i="1" s="1"/>
  <c r="X1321" i="1"/>
  <c r="D1325" i="1"/>
  <c r="D1337" i="1"/>
  <c r="D1411" i="1"/>
  <c r="D1420" i="1"/>
  <c r="W1469" i="1"/>
  <c r="R1472" i="1"/>
  <c r="X1487" i="1"/>
  <c r="S1487" i="1"/>
  <c r="P1487" i="1" s="1"/>
  <c r="Q1681" i="1"/>
  <c r="D1738" i="1"/>
  <c r="D1985" i="1"/>
  <c r="P2176" i="1"/>
  <c r="D2363" i="1"/>
  <c r="D2566" i="1"/>
  <c r="D2602" i="1"/>
  <c r="D2608" i="1"/>
  <c r="X1354" i="1"/>
  <c r="S1360" i="1"/>
  <c r="P1360" i="1" s="1"/>
  <c r="D1515" i="1"/>
  <c r="L1527" i="1"/>
  <c r="D1530" i="1"/>
  <c r="D1533" i="1"/>
  <c r="D1560" i="1"/>
  <c r="Q1577" i="1"/>
  <c r="X1590" i="1"/>
  <c r="Q1607" i="1"/>
  <c r="D1612" i="1"/>
  <c r="X1616" i="1"/>
  <c r="S1620" i="1"/>
  <c r="P1620" i="1" s="1"/>
  <c r="D1641" i="1"/>
  <c r="X1645" i="1"/>
  <c r="D1660" i="1"/>
  <c r="X1711" i="1"/>
  <c r="D1726" i="1"/>
  <c r="W1739" i="1"/>
  <c r="Q1756" i="1"/>
  <c r="D1763" i="1"/>
  <c r="T1771" i="1"/>
  <c r="U1771" i="1" s="1"/>
  <c r="V1771" i="1" s="1"/>
  <c r="D1787" i="1"/>
  <c r="D1790" i="1"/>
  <c r="S1819" i="1"/>
  <c r="P1819" i="1" s="1"/>
  <c r="D1828" i="1"/>
  <c r="D1845" i="1"/>
  <c r="W1869" i="1"/>
  <c r="W1873" i="1"/>
  <c r="D1908" i="1"/>
  <c r="T1913" i="1"/>
  <c r="U1913" i="1" s="1"/>
  <c r="V1913" i="1" s="1"/>
  <c r="D1949" i="1"/>
  <c r="Q1951" i="1"/>
  <c r="D1955" i="1"/>
  <c r="L1982" i="1"/>
  <c r="D2011" i="1"/>
  <c r="D2038" i="1"/>
  <c r="S2049" i="1"/>
  <c r="W2072" i="1"/>
  <c r="Q2079" i="1"/>
  <c r="D2156" i="1"/>
  <c r="D2177" i="1"/>
  <c r="D2189" i="1"/>
  <c r="X2203" i="1"/>
  <c r="D2213" i="1"/>
  <c r="D2244" i="1"/>
  <c r="L2296" i="1"/>
  <c r="T2296" i="1" s="1"/>
  <c r="S2345" i="1"/>
  <c r="P2345" i="1" s="1"/>
  <c r="D2369" i="1"/>
  <c r="L2396" i="1"/>
  <c r="Q2414" i="1"/>
  <c r="S2442" i="1"/>
  <c r="P2442" i="1" s="1"/>
  <c r="Q2451" i="1"/>
  <c r="Q2454" i="1"/>
  <c r="W2493" i="1"/>
  <c r="D2515" i="1"/>
  <c r="D2560" i="1"/>
  <c r="L2563" i="1"/>
  <c r="T2563" i="1" s="1"/>
  <c r="U2563" i="1" s="1"/>
  <c r="V2563" i="1" s="1"/>
  <c r="L2575" i="1"/>
  <c r="M2575" i="1" s="1"/>
  <c r="W2578" i="1"/>
  <c r="X2647" i="1"/>
  <c r="W2650" i="1"/>
  <c r="W2674" i="1"/>
  <c r="D2690" i="1"/>
  <c r="X2705" i="1"/>
  <c r="L2590" i="1"/>
  <c r="X2264" i="1"/>
  <c r="D2623" i="1"/>
  <c r="D2660" i="1"/>
  <c r="D2669" i="1"/>
  <c r="D2681" i="1"/>
  <c r="S2702" i="1"/>
  <c r="P2702" i="1" s="1"/>
  <c r="L2564" i="1"/>
  <c r="T2564" i="1" s="1"/>
  <c r="U2564" i="1" s="1"/>
  <c r="V2564" i="1" s="1"/>
  <c r="D1878" i="1"/>
  <c r="X1973" i="1"/>
  <c r="D2065" i="1"/>
  <c r="W2098" i="1"/>
  <c r="W2107" i="1"/>
  <c r="D2110" i="1"/>
  <c r="X2137" i="1"/>
  <c r="D2186" i="1"/>
  <c r="D2210" i="1"/>
  <c r="W2372" i="1"/>
  <c r="S2375" i="1"/>
  <c r="X2378" i="1"/>
  <c r="Q2469" i="1"/>
  <c r="S2617" i="1"/>
  <c r="P2617" i="1" s="1"/>
  <c r="Q2650" i="1"/>
  <c r="S1762" i="1"/>
  <c r="P1762" i="1" s="1"/>
  <c r="D1775" i="1"/>
  <c r="X1784" i="1"/>
  <c r="X1796" i="1"/>
  <c r="W1880" i="1"/>
  <c r="D1884" i="1"/>
  <c r="W1923" i="1"/>
  <c r="L1934" i="1"/>
  <c r="W1955" i="1"/>
  <c r="D1964" i="1"/>
  <c r="D1988" i="1"/>
  <c r="D2029" i="1"/>
  <c r="S2068" i="1"/>
  <c r="P2068" i="1" s="1"/>
  <c r="L2077" i="1"/>
  <c r="W2083" i="1"/>
  <c r="X2104" i="1"/>
  <c r="X2119" i="1"/>
  <c r="W2156" i="1"/>
  <c r="X2180" i="1"/>
  <c r="R2192" i="1"/>
  <c r="L2216" i="1"/>
  <c r="T2216" i="1" s="1"/>
  <c r="L2235" i="1"/>
  <c r="T2235" i="1" s="1"/>
  <c r="M2288" i="1"/>
  <c r="Q2308" i="1"/>
  <c r="D2400" i="1"/>
  <c r="L2412" i="1"/>
  <c r="S2426" i="1"/>
  <c r="P2426" i="1" s="1"/>
  <c r="W2554" i="1"/>
  <c r="W2584" i="1"/>
  <c r="S2596" i="1"/>
  <c r="P2596" i="1" s="1"/>
  <c r="D2666" i="1"/>
  <c r="D2678" i="1"/>
  <c r="X2684" i="1"/>
  <c r="L2681" i="1"/>
  <c r="T2681" i="1" s="1"/>
  <c r="U2681" i="1" s="1"/>
  <c r="V2681" i="1" s="1"/>
  <c r="S1503" i="1"/>
  <c r="P1503" i="1" s="1"/>
  <c r="W1509" i="1"/>
  <c r="X1512" i="1"/>
  <c r="D1588" i="1"/>
  <c r="L1603" i="1"/>
  <c r="W1606" i="1"/>
  <c r="L1647" i="1"/>
  <c r="L1682" i="1"/>
  <c r="T1688" i="1"/>
  <c r="U1688" i="1" s="1"/>
  <c r="V1688" i="1" s="1"/>
  <c r="X1703" i="1"/>
  <c r="M1755" i="1"/>
  <c r="L1778" i="1"/>
  <c r="X1781" i="1"/>
  <c r="S1828" i="1"/>
  <c r="P1828" i="1" s="1"/>
  <c r="W1857" i="1"/>
  <c r="X1877" i="1"/>
  <c r="D1929" i="1"/>
  <c r="D1944" i="1"/>
  <c r="S1949" i="1"/>
  <c r="P1949" i="1" s="1"/>
  <c r="X1951" i="1"/>
  <c r="D2003" i="1"/>
  <c r="D2020" i="1"/>
  <c r="L2029" i="1"/>
  <c r="W2043" i="1"/>
  <c r="S2065" i="1"/>
  <c r="P2065" i="1" s="1"/>
  <c r="X2080" i="1"/>
  <c r="D2099" i="1"/>
  <c r="Q2159" i="1"/>
  <c r="T2168" i="1"/>
  <c r="Q2171" i="1"/>
  <c r="Q2183" i="1"/>
  <c r="X2195" i="1"/>
  <c r="L2204" i="1"/>
  <c r="T2204" i="1" s="1"/>
  <c r="W2216" i="1"/>
  <c r="D2248" i="1"/>
  <c r="L2268" i="1"/>
  <c r="S2288" i="1"/>
  <c r="X2291" i="1"/>
  <c r="D2294" i="1"/>
  <c r="L2312" i="1"/>
  <c r="Q2387" i="1"/>
  <c r="W2445" i="1"/>
  <c r="W2448" i="1"/>
  <c r="X2452" i="1"/>
  <c r="S2455" i="1"/>
  <c r="P2455" i="1" s="1"/>
  <c r="L2476" i="1"/>
  <c r="Q2484" i="1"/>
  <c r="D2522" i="1"/>
  <c r="D2573" i="1"/>
  <c r="W2629" i="1"/>
  <c r="D2663" i="1"/>
  <c r="Q2675" i="1"/>
  <c r="X2687" i="1"/>
  <c r="L2510" i="1"/>
  <c r="W1709" i="1"/>
  <c r="S1883" i="1"/>
  <c r="P1883" i="1" s="1"/>
  <c r="W2056" i="1"/>
  <c r="Q2259" i="1"/>
  <c r="S2427" i="1"/>
  <c r="P2427" i="1" s="1"/>
  <c r="T2440" i="1"/>
  <c r="T2464" i="1"/>
  <c r="U2464" i="1" s="1"/>
  <c r="V2464" i="1" s="1"/>
  <c r="L2531" i="1"/>
  <c r="M2531" i="1" s="1"/>
  <c r="L2539" i="1"/>
  <c r="T2539" i="1" s="1"/>
  <c r="Q2626" i="1"/>
  <c r="L2645" i="1"/>
  <c r="M2645" i="1" s="1"/>
  <c r="L2669" i="1"/>
  <c r="L2509" i="1"/>
  <c r="D1426" i="1"/>
  <c r="D1451" i="1"/>
  <c r="L1460" i="1"/>
  <c r="L1483" i="1"/>
  <c r="D1510" i="1"/>
  <c r="D1546" i="1"/>
  <c r="L1555" i="1"/>
  <c r="D1564" i="1"/>
  <c r="L1567" i="1"/>
  <c r="S1573" i="1"/>
  <c r="P1573" i="1" s="1"/>
  <c r="S1615" i="1"/>
  <c r="P1615" i="1" s="1"/>
  <c r="D1627" i="1"/>
  <c r="X1670" i="1"/>
  <c r="Q1679" i="1"/>
  <c r="D1686" i="1"/>
  <c r="Q1700" i="1"/>
  <c r="D1704" i="1"/>
  <c r="W1718" i="1"/>
  <c r="D1747" i="1"/>
  <c r="D1782" i="1"/>
  <c r="L1794" i="1"/>
  <c r="D1843" i="1"/>
  <c r="D1921" i="1"/>
  <c r="D1935" i="1"/>
  <c r="D1953" i="1"/>
  <c r="D1956" i="1"/>
  <c r="Q1961" i="1"/>
  <c r="R2009" i="1"/>
  <c r="D2045" i="1"/>
  <c r="X2056" i="1"/>
  <c r="D2078" i="1"/>
  <c r="D2163" i="1"/>
  <c r="D2190" i="1"/>
  <c r="T2192" i="1"/>
  <c r="U2192" i="1" s="1"/>
  <c r="V2192" i="1" s="1"/>
  <c r="X2228" i="1"/>
  <c r="D2242" i="1"/>
  <c r="L2248" i="1"/>
  <c r="Q2262" i="1"/>
  <c r="W2317" i="1"/>
  <c r="D2325" i="1"/>
  <c r="L2352" i="1"/>
  <c r="D2370" i="1"/>
  <c r="D2425" i="1"/>
  <c r="W2427" i="1"/>
  <c r="Q2446" i="1"/>
  <c r="D2462" i="1"/>
  <c r="Q2467" i="1"/>
  <c r="D2498" i="1"/>
  <c r="L2507" i="1"/>
  <c r="L2519" i="1"/>
  <c r="D2549" i="1"/>
  <c r="W2581" i="1"/>
  <c r="L2694" i="1"/>
  <c r="W1837" i="1"/>
  <c r="L1906" i="1"/>
  <c r="T1906" i="1" s="1"/>
  <c r="U1906" i="1" s="1"/>
  <c r="V1906" i="1" s="1"/>
  <c r="L2160" i="1"/>
  <c r="M2160" i="1" s="1"/>
  <c r="L2184" i="1"/>
  <c r="D2205" i="1"/>
  <c r="D2263" i="1"/>
  <c r="P2268" i="1"/>
  <c r="D2289" i="1"/>
  <c r="W2333" i="1"/>
  <c r="D2401" i="1"/>
  <c r="D2410" i="1"/>
  <c r="D2428" i="1"/>
  <c r="D2447" i="1"/>
  <c r="S2518" i="1"/>
  <c r="P2518" i="1" s="1"/>
  <c r="L2555" i="1"/>
  <c r="D2655" i="1"/>
  <c r="L2455" i="1"/>
  <c r="M1803" i="1"/>
  <c r="D1821" i="1"/>
  <c r="L1950" i="1"/>
  <c r="D1965" i="1"/>
  <c r="D2114" i="1"/>
  <c r="W2594" i="1"/>
  <c r="L2661" i="1"/>
  <c r="D1671" i="1"/>
  <c r="X1686" i="1"/>
  <c r="S1761" i="1"/>
  <c r="P1761" i="1" s="1"/>
  <c r="R1803" i="1"/>
  <c r="X1837" i="1"/>
  <c r="W1891" i="1"/>
  <c r="S1894" i="1"/>
  <c r="P1894" i="1" s="1"/>
  <c r="W1968" i="1"/>
  <c r="X2000" i="1"/>
  <c r="S2117" i="1"/>
  <c r="P2117" i="1" s="1"/>
  <c r="X2242" i="1"/>
  <c r="W2453" i="1"/>
  <c r="X2459" i="1"/>
  <c r="X2498" i="1"/>
  <c r="X2519" i="1"/>
  <c r="D2616" i="1"/>
  <c r="W2624" i="1"/>
  <c r="D2640" i="1"/>
  <c r="W2682" i="1"/>
  <c r="L2658" i="1"/>
  <c r="X1442" i="1"/>
  <c r="D1458" i="1"/>
  <c r="D1478" i="1"/>
  <c r="D1523" i="1"/>
  <c r="D1532" i="1"/>
  <c r="D1544" i="1"/>
  <c r="Q1551" i="1"/>
  <c r="L1571" i="1"/>
  <c r="X1598" i="1"/>
  <c r="D1611" i="1"/>
  <c r="D1634" i="1"/>
  <c r="D1659" i="1"/>
  <c r="S1692" i="1"/>
  <c r="P1692" i="1" s="1"/>
  <c r="L1710" i="1"/>
  <c r="M1716" i="1"/>
  <c r="L1734" i="1"/>
  <c r="D1756" i="1"/>
  <c r="S1776" i="1"/>
  <c r="P1776" i="1" s="1"/>
  <c r="Q1800" i="1"/>
  <c r="L1818" i="1"/>
  <c r="D1827" i="1"/>
  <c r="S1829" i="1"/>
  <c r="P1829" i="1" s="1"/>
  <c r="L1850" i="1"/>
  <c r="D1859" i="1"/>
  <c r="D1942" i="1"/>
  <c r="L1962" i="1"/>
  <c r="S1965" i="1"/>
  <c r="P1965" i="1" s="1"/>
  <c r="X2015" i="1"/>
  <c r="Q2039" i="1"/>
  <c r="S2069" i="1"/>
  <c r="P2069" i="1" s="1"/>
  <c r="W2075" i="1"/>
  <c r="S2151" i="1"/>
  <c r="P2151" i="1" s="1"/>
  <c r="X2232" i="1"/>
  <c r="S2263" i="1"/>
  <c r="P2263" i="1" s="1"/>
  <c r="D2574" i="1"/>
  <c r="S2580" i="1"/>
  <c r="L2583" i="1"/>
  <c r="T2583" i="1" s="1"/>
  <c r="X2594" i="1"/>
  <c r="X2627" i="1"/>
  <c r="X2655" i="1"/>
  <c r="D1496" i="1"/>
  <c r="D1514" i="1"/>
  <c r="W1574" i="1"/>
  <c r="D1580" i="1"/>
  <c r="D1614" i="1"/>
  <c r="D1622" i="1"/>
  <c r="W1686" i="1"/>
  <c r="W1719" i="1"/>
  <c r="D1725" i="1"/>
  <c r="L1742" i="1"/>
  <c r="W1773" i="1"/>
  <c r="D1783" i="1"/>
  <c r="D1798" i="1"/>
  <c r="W1829" i="1"/>
  <c r="S1853" i="1"/>
  <c r="P1853" i="1" s="1"/>
  <c r="Q1959" i="1"/>
  <c r="D2016" i="1"/>
  <c r="D2055" i="1"/>
  <c r="W2069" i="1"/>
  <c r="L2109" i="1"/>
  <c r="D2118" i="1"/>
  <c r="D2188" i="1"/>
  <c r="L2224" i="1"/>
  <c r="X2227" i="1"/>
  <c r="Q2236" i="1"/>
  <c r="D2240" i="1"/>
  <c r="D2249" i="1"/>
  <c r="Q2251" i="1"/>
  <c r="L2356" i="1"/>
  <c r="L2380" i="1"/>
  <c r="L2392" i="1"/>
  <c r="M2392" i="1" s="1"/>
  <c r="D2414" i="1"/>
  <c r="Q2419" i="1"/>
  <c r="Q2422" i="1"/>
  <c r="W2459" i="1"/>
  <c r="S2482" i="1"/>
  <c r="P2482" i="1" s="1"/>
  <c r="D2511" i="1"/>
  <c r="D2520" i="1"/>
  <c r="L2523" i="1"/>
  <c r="T2523" i="1" s="1"/>
  <c r="D2550" i="1"/>
  <c r="D2592" i="1"/>
  <c r="L2622" i="1"/>
  <c r="D2625" i="1"/>
  <c r="W2661" i="1"/>
  <c r="D2692" i="1"/>
  <c r="L2631" i="1"/>
  <c r="Q1803" i="1"/>
  <c r="X1823" i="1"/>
  <c r="W1835" i="1"/>
  <c r="S1900" i="1"/>
  <c r="P1900" i="1" s="1"/>
  <c r="L1942" i="1"/>
  <c r="M1942" i="1" s="1"/>
  <c r="L2085" i="1"/>
  <c r="L2136" i="1"/>
  <c r="W2139" i="1"/>
  <c r="Q2275" i="1"/>
  <c r="X2281" i="1"/>
  <c r="L2284" i="1"/>
  <c r="W2332" i="1"/>
  <c r="S2335" i="1"/>
  <c r="X2379" i="1"/>
  <c r="W2437" i="1"/>
  <c r="L2511" i="1"/>
  <c r="X2543" i="1"/>
  <c r="W2580" i="1"/>
  <c r="W2601" i="1"/>
  <c r="X2607" i="1"/>
  <c r="W2610" i="1"/>
  <c r="L2619" i="1"/>
  <c r="T2619" i="1" s="1"/>
  <c r="U2619" i="1" s="1"/>
  <c r="V2619" i="1" s="1"/>
  <c r="W2621" i="1"/>
  <c r="Q2676" i="1"/>
  <c r="X2707" i="1"/>
  <c r="D1372" i="1"/>
  <c r="D1384" i="1"/>
  <c r="D1415" i="1"/>
  <c r="D1468" i="1"/>
  <c r="X1475" i="1"/>
  <c r="S1543" i="1"/>
  <c r="P1543" i="1" s="1"/>
  <c r="L1547" i="1"/>
  <c r="X1574" i="1"/>
  <c r="X1583" i="1"/>
  <c r="D1590" i="1"/>
  <c r="D1599" i="1"/>
  <c r="W1633" i="1"/>
  <c r="R1656" i="1"/>
  <c r="R1668" i="1"/>
  <c r="D1699" i="1"/>
  <c r="D1714" i="1"/>
  <c r="Q1716" i="1"/>
  <c r="S1719" i="1"/>
  <c r="P1719" i="1" s="1"/>
  <c r="L1722" i="1"/>
  <c r="X1765" i="1"/>
  <c r="D1830" i="1"/>
  <c r="D1833" i="1"/>
  <c r="X1853" i="1"/>
  <c r="D1886" i="1"/>
  <c r="S1913" i="1"/>
  <c r="P1913" i="1" s="1"/>
  <c r="L1954" i="1"/>
  <c r="D1963" i="1"/>
  <c r="D1966" i="1"/>
  <c r="L2037" i="1"/>
  <c r="L2061" i="1"/>
  <c r="D2070" i="1"/>
  <c r="D2073" i="1"/>
  <c r="D2076" i="1"/>
  <c r="S2121" i="1"/>
  <c r="P2121" i="1" s="1"/>
  <c r="W2133" i="1"/>
  <c r="D2149" i="1"/>
  <c r="W2157" i="1"/>
  <c r="W2181" i="1"/>
  <c r="W2227" i="1"/>
  <c r="D2231" i="1"/>
  <c r="D2270" i="1"/>
  <c r="Q2278" i="1"/>
  <c r="W2301" i="1"/>
  <c r="S2313" i="1"/>
  <c r="P2313" i="1" s="1"/>
  <c r="D2320" i="1"/>
  <c r="Q2347" i="1"/>
  <c r="X2370" i="1"/>
  <c r="D2442" i="1"/>
  <c r="D2448" i="1"/>
  <c r="S2483" i="1"/>
  <c r="W2501" i="1"/>
  <c r="Q2507" i="1"/>
  <c r="S2517" i="1"/>
  <c r="P2517" i="1" s="1"/>
  <c r="D2530" i="1"/>
  <c r="D2541" i="1"/>
  <c r="X2556" i="1"/>
  <c r="S2559" i="1"/>
  <c r="P2559" i="1" s="1"/>
  <c r="D2578" i="1"/>
  <c r="X2580" i="1"/>
  <c r="S2692" i="1"/>
  <c r="P2692" i="1" s="1"/>
  <c r="D2699" i="1"/>
  <c r="D2705" i="1"/>
  <c r="L237" i="1"/>
  <c r="T237" i="1" s="1"/>
  <c r="U237" i="1" s="1"/>
  <c r="V237" i="1" s="1"/>
  <c r="X518" i="1"/>
  <c r="S518" i="1"/>
  <c r="Q102" i="1"/>
  <c r="L102" i="1"/>
  <c r="Q326" i="1"/>
  <c r="L326" i="1"/>
  <c r="Q443" i="1"/>
  <c r="L443" i="1"/>
  <c r="T443" i="1" s="1"/>
  <c r="U443" i="1" s="1"/>
  <c r="V443" i="1" s="1"/>
  <c r="L482" i="1"/>
  <c r="T482" i="1" s="1"/>
  <c r="U482" i="1" s="1"/>
  <c r="V482" i="1" s="1"/>
  <c r="Q482" i="1"/>
  <c r="D668" i="1"/>
  <c r="Q50" i="1"/>
  <c r="L50" i="1"/>
  <c r="T50" i="1" s="1"/>
  <c r="U50" i="1" s="1"/>
  <c r="V50" i="1" s="1"/>
  <c r="Q84" i="1"/>
  <c r="L84" i="1"/>
  <c r="T84" i="1" s="1"/>
  <c r="U84" i="1" s="1"/>
  <c r="V84" i="1" s="1"/>
  <c r="Q91" i="1"/>
  <c r="L91" i="1"/>
  <c r="P92" i="1"/>
  <c r="D128" i="1"/>
  <c r="Q135" i="1"/>
  <c r="L135" i="1"/>
  <c r="D150" i="1"/>
  <c r="Q167" i="1"/>
  <c r="L167" i="1"/>
  <c r="Q181" i="1"/>
  <c r="L181" i="1"/>
  <c r="Q188" i="1"/>
  <c r="L188" i="1"/>
  <c r="T188" i="1" s="1"/>
  <c r="Q204" i="1"/>
  <c r="L204" i="1"/>
  <c r="T204" i="1" s="1"/>
  <c r="Q207" i="1"/>
  <c r="L207" i="1"/>
  <c r="D231" i="1"/>
  <c r="L247" i="1"/>
  <c r="M247" i="1" s="1"/>
  <c r="X259" i="1"/>
  <c r="Q267" i="1"/>
  <c r="L267" i="1"/>
  <c r="Q272" i="1"/>
  <c r="Q282" i="1"/>
  <c r="L282" i="1"/>
  <c r="Q311" i="1"/>
  <c r="L311" i="1"/>
  <c r="Q346" i="1"/>
  <c r="L346" i="1"/>
  <c r="T346" i="1" s="1"/>
  <c r="U346" i="1" s="1"/>
  <c r="V346" i="1" s="1"/>
  <c r="W354" i="1"/>
  <c r="L369" i="1"/>
  <c r="R369" i="1" s="1"/>
  <c r="L393" i="1"/>
  <c r="R393" i="1" s="1"/>
  <c r="Q398" i="1"/>
  <c r="L398" i="1"/>
  <c r="Q430" i="1"/>
  <c r="L430" i="1"/>
  <c r="W432" i="1"/>
  <c r="S505" i="1"/>
  <c r="P505" i="1" s="1"/>
  <c r="X505" i="1"/>
  <c r="W505" i="1"/>
  <c r="Q525" i="1"/>
  <c r="L525" i="1"/>
  <c r="Q826" i="1"/>
  <c r="L826" i="1"/>
  <c r="T826" i="1" s="1"/>
  <c r="U826" i="1" s="1"/>
  <c r="V826" i="1" s="1"/>
  <c r="X1061" i="1"/>
  <c r="S1061" i="1"/>
  <c r="P1061" i="1" s="1"/>
  <c r="S1243" i="1"/>
  <c r="P1243" i="1" s="1"/>
  <c r="W1243" i="1"/>
  <c r="D1299" i="1"/>
  <c r="Q257" i="1"/>
  <c r="L257" i="1"/>
  <c r="Q1373" i="1"/>
  <c r="L1373" i="1"/>
  <c r="Q28" i="1"/>
  <c r="L28" i="1"/>
  <c r="T28" i="1" s="1"/>
  <c r="U28" i="1" s="1"/>
  <c r="V28" i="1" s="1"/>
  <c r="Q34" i="1"/>
  <c r="L34" i="1"/>
  <c r="T34" i="1" s="1"/>
  <c r="U34" i="1" s="1"/>
  <c r="V34" i="1" s="1"/>
  <c r="R115" i="1"/>
  <c r="S482" i="1"/>
  <c r="P482" i="1" s="1"/>
  <c r="W482" i="1"/>
  <c r="Q12" i="1"/>
  <c r="L12" i="1"/>
  <c r="T12" i="1" s="1"/>
  <c r="U12" i="1" s="1"/>
  <c r="V12" i="1" s="1"/>
  <c r="Q47" i="1"/>
  <c r="L47" i="1"/>
  <c r="Q10" i="1"/>
  <c r="L10" i="1"/>
  <c r="T10" i="1" s="1"/>
  <c r="U10" i="1" s="1"/>
  <c r="V10" i="1" s="1"/>
  <c r="X15" i="1"/>
  <c r="S26" i="1"/>
  <c r="P26" i="1" s="1"/>
  <c r="S39" i="1"/>
  <c r="P39" i="1" s="1"/>
  <c r="X44" i="1"/>
  <c r="X52" i="1"/>
  <c r="Q55" i="1"/>
  <c r="L55" i="1"/>
  <c r="D67" i="1"/>
  <c r="Q69" i="1"/>
  <c r="L69" i="1"/>
  <c r="M72" i="1"/>
  <c r="X79" i="1"/>
  <c r="Q82" i="1"/>
  <c r="L82" i="1"/>
  <c r="T82" i="1" s="1"/>
  <c r="U82" i="1" s="1"/>
  <c r="V82" i="1" s="1"/>
  <c r="W88" i="1"/>
  <c r="D118" i="1"/>
  <c r="Q120" i="1"/>
  <c r="Q128" i="1"/>
  <c r="L128" i="1"/>
  <c r="W135" i="1"/>
  <c r="L145" i="1"/>
  <c r="Q150" i="1"/>
  <c r="L150" i="1"/>
  <c r="M160" i="1"/>
  <c r="Q179" i="1"/>
  <c r="L179" i="1"/>
  <c r="W181" i="1"/>
  <c r="M184" i="1"/>
  <c r="Q194" i="1"/>
  <c r="L194" i="1"/>
  <c r="T194" i="1" s="1"/>
  <c r="U194" i="1" s="1"/>
  <c r="V194" i="1" s="1"/>
  <c r="Q202" i="1"/>
  <c r="L202" i="1"/>
  <c r="T202" i="1" s="1"/>
  <c r="U202" i="1" s="1"/>
  <c r="V202" i="1" s="1"/>
  <c r="W207" i="1"/>
  <c r="Q223" i="1"/>
  <c r="L223" i="1"/>
  <c r="Q226" i="1"/>
  <c r="L226" i="1"/>
  <c r="M226" i="1" s="1"/>
  <c r="Q231" i="1"/>
  <c r="L231" i="1"/>
  <c r="Q233" i="1"/>
  <c r="L233" i="1"/>
  <c r="R233" i="1" s="1"/>
  <c r="W240" i="1"/>
  <c r="Q245" i="1"/>
  <c r="L245" i="1"/>
  <c r="M250" i="1"/>
  <c r="X326" i="1"/>
  <c r="Q329" i="1"/>
  <c r="L329" i="1"/>
  <c r="Q339" i="1"/>
  <c r="L339" i="1"/>
  <c r="Q367" i="1"/>
  <c r="L367" i="1"/>
  <c r="S369" i="1"/>
  <c r="P369" i="1" s="1"/>
  <c r="X398" i="1"/>
  <c r="D417" i="1"/>
  <c r="D455" i="1"/>
  <c r="D458" i="1"/>
  <c r="Q477" i="1"/>
  <c r="L477" i="1"/>
  <c r="S522" i="1"/>
  <c r="P522" i="1" s="1"/>
  <c r="X521" i="1"/>
  <c r="W521" i="1"/>
  <c r="Q785" i="1"/>
  <c r="L785" i="1"/>
  <c r="Q971" i="1"/>
  <c r="L971" i="1"/>
  <c r="S1275" i="1"/>
  <c r="P1275" i="1" s="1"/>
  <c r="W1275" i="1"/>
  <c r="Q162" i="1"/>
  <c r="L162" i="1"/>
  <c r="T162" i="1" s="1"/>
  <c r="U162" i="1" s="1"/>
  <c r="V162" i="1" s="1"/>
  <c r="Q130" i="1"/>
  <c r="L130" i="1"/>
  <c r="T130" i="1" s="1"/>
  <c r="U130" i="1" s="1"/>
  <c r="V130" i="1" s="1"/>
  <c r="Q15" i="1"/>
  <c r="L15" i="1"/>
  <c r="T15" i="1" s="1"/>
  <c r="U15" i="1" s="1"/>
  <c r="V15" i="1" s="1"/>
  <c r="Q62" i="1"/>
  <c r="L62" i="1"/>
  <c r="S79" i="1"/>
  <c r="P79" i="1" s="1"/>
  <c r="W2" i="1"/>
  <c r="Q7" i="1"/>
  <c r="W12" i="1"/>
  <c r="W55" i="1"/>
  <c r="Q67" i="1"/>
  <c r="L67" i="1"/>
  <c r="X84" i="1"/>
  <c r="L113" i="1"/>
  <c r="Q115" i="1"/>
  <c r="R120" i="1"/>
  <c r="Q123" i="1"/>
  <c r="L123" i="1"/>
  <c r="W125" i="1"/>
  <c r="Q140" i="1"/>
  <c r="L140" i="1"/>
  <c r="T140" i="1" s="1"/>
  <c r="U140" i="1" s="1"/>
  <c r="V140" i="1" s="1"/>
  <c r="W145" i="1"/>
  <c r="X150" i="1"/>
  <c r="Q155" i="1"/>
  <c r="L155" i="1"/>
  <c r="W162" i="1"/>
  <c r="Q186" i="1"/>
  <c r="L186" i="1"/>
  <c r="T186" i="1" s="1"/>
  <c r="U186" i="1" s="1"/>
  <c r="V186" i="1" s="1"/>
  <c r="X188" i="1"/>
  <c r="Q191" i="1"/>
  <c r="L191" i="1"/>
  <c r="Q199" i="1"/>
  <c r="Q215" i="1"/>
  <c r="L215" i="1"/>
  <c r="Q218" i="1"/>
  <c r="L218" i="1"/>
  <c r="T218" i="1" s="1"/>
  <c r="U218" i="1" s="1"/>
  <c r="V218" i="1" s="1"/>
  <c r="R250" i="1"/>
  <c r="D263" i="1"/>
  <c r="Q265" i="1"/>
  <c r="L265" i="1"/>
  <c r="D270" i="1"/>
  <c r="Q275" i="1"/>
  <c r="L275" i="1"/>
  <c r="R275" i="1" s="1"/>
  <c r="W287" i="1"/>
  <c r="Q354" i="1"/>
  <c r="Q362" i="1"/>
  <c r="S425" i="1"/>
  <c r="P425" i="1" s="1"/>
  <c r="X424" i="1"/>
  <c r="L452" i="1"/>
  <c r="Q455" i="1"/>
  <c r="L455" i="1"/>
  <c r="Q466" i="1"/>
  <c r="L466" i="1"/>
  <c r="T466" i="1" s="1"/>
  <c r="U466" i="1" s="1"/>
  <c r="V466" i="1" s="1"/>
  <c r="Q528" i="1"/>
  <c r="L528" i="1"/>
  <c r="Q698" i="1"/>
  <c r="L698" i="1"/>
  <c r="R698" i="1" s="1"/>
  <c r="S908" i="1"/>
  <c r="P908" i="1" s="1"/>
  <c r="Q953" i="1"/>
  <c r="L953" i="1"/>
  <c r="S1206" i="1"/>
  <c r="P1206" i="1" s="1"/>
  <c r="S1207" i="1"/>
  <c r="P1207" i="1" s="1"/>
  <c r="Q217" i="1"/>
  <c r="L217" i="1"/>
  <c r="M120" i="1"/>
  <c r="Q485" i="1"/>
  <c r="L485" i="1"/>
  <c r="Q602" i="1"/>
  <c r="L602" i="1"/>
  <c r="Q31" i="1"/>
  <c r="L31" i="1"/>
  <c r="D72" i="1"/>
  <c r="Q110" i="1"/>
  <c r="L110" i="1"/>
  <c r="Q210" i="1"/>
  <c r="L210" i="1"/>
  <c r="T210" i="1" s="1"/>
  <c r="U210" i="1" s="1"/>
  <c r="V210" i="1" s="1"/>
  <c r="L387" i="1"/>
  <c r="T387" i="1" s="1"/>
  <c r="U387" i="1" s="1"/>
  <c r="V387" i="1" s="1"/>
  <c r="Q387" i="1"/>
  <c r="L2" i="1"/>
  <c r="M2" i="1" s="1"/>
  <c r="W57" i="1"/>
  <c r="X20" i="1"/>
  <c r="S7" i="1"/>
  <c r="P7" i="1" s="1"/>
  <c r="X39" i="1"/>
  <c r="W69" i="1"/>
  <c r="Q98" i="1"/>
  <c r="L98" i="1"/>
  <c r="T98" i="1" s="1"/>
  <c r="U98" i="1" s="1"/>
  <c r="V98" i="1" s="1"/>
  <c r="Q100" i="1"/>
  <c r="L100" i="1"/>
  <c r="T100" i="1" s="1"/>
  <c r="U100" i="1" s="1"/>
  <c r="V100" i="1" s="1"/>
  <c r="D103" i="1"/>
  <c r="Q118" i="1"/>
  <c r="L118" i="1"/>
  <c r="D3" i="1"/>
  <c r="W7" i="1"/>
  <c r="D16" i="1"/>
  <c r="Q18" i="1"/>
  <c r="D21" i="1"/>
  <c r="Q26" i="1"/>
  <c r="D35" i="1"/>
  <c r="D40" i="1"/>
  <c r="S44" i="1"/>
  <c r="P44" i="1" s="1"/>
  <c r="S52" i="1"/>
  <c r="P52" i="1" s="1"/>
  <c r="Q60" i="1"/>
  <c r="L60" i="1"/>
  <c r="T60" i="1" s="1"/>
  <c r="U60" i="1" s="1"/>
  <c r="V60" i="1" s="1"/>
  <c r="W77" i="1"/>
  <c r="D80" i="1"/>
  <c r="Q87" i="1"/>
  <c r="L87" i="1"/>
  <c r="Q103" i="1"/>
  <c r="L103" i="1"/>
  <c r="D111" i="1"/>
  <c r="T115" i="1"/>
  <c r="U115" i="1" s="1"/>
  <c r="V115" i="1" s="1"/>
  <c r="X118" i="1"/>
  <c r="X127" i="1"/>
  <c r="D148" i="1"/>
  <c r="D153" i="1"/>
  <c r="S167" i="1"/>
  <c r="P167" i="1" s="1"/>
  <c r="Q172" i="1"/>
  <c r="L172" i="1"/>
  <c r="T172" i="1" s="1"/>
  <c r="U172" i="1" s="1"/>
  <c r="V172" i="1" s="1"/>
  <c r="D177" i="1"/>
  <c r="W191" i="1"/>
  <c r="D197" i="1"/>
  <c r="D229" i="1"/>
  <c r="D241" i="1"/>
  <c r="Q243" i="1"/>
  <c r="L243" i="1"/>
  <c r="D248" i="1"/>
  <c r="L260" i="1"/>
  <c r="X267" i="1"/>
  <c r="Q270" i="1"/>
  <c r="L270" i="1"/>
  <c r="T270" i="1" s="1"/>
  <c r="U270" i="1" s="1"/>
  <c r="V270" i="1" s="1"/>
  <c r="D278" i="1"/>
  <c r="S285" i="1"/>
  <c r="P285" i="1" s="1"/>
  <c r="D288" i="1"/>
  <c r="Q290" i="1"/>
  <c r="Q299" i="1"/>
  <c r="L299" i="1"/>
  <c r="S300" i="1"/>
  <c r="P300" i="1" s="1"/>
  <c r="X303" i="1"/>
  <c r="L306" i="1"/>
  <c r="Q306" i="1"/>
  <c r="L314" i="1"/>
  <c r="Q314" i="1"/>
  <c r="D335" i="1"/>
  <c r="Q337" i="1"/>
  <c r="L337" i="1"/>
  <c r="X344" i="1"/>
  <c r="D363" i="1"/>
  <c r="D365" i="1"/>
  <c r="L391" i="1"/>
  <c r="Q391" i="1"/>
  <c r="D399" i="1"/>
  <c r="X403" i="1"/>
  <c r="D431" i="1"/>
  <c r="Q483" i="1"/>
  <c r="L483" i="1"/>
  <c r="T483" i="1" s="1"/>
  <c r="U483" i="1" s="1"/>
  <c r="V483" i="1" s="1"/>
  <c r="Q503" i="1"/>
  <c r="L503" i="1"/>
  <c r="D526" i="1"/>
  <c r="Q618" i="1"/>
  <c r="L618" i="1"/>
  <c r="D763" i="1"/>
  <c r="D875" i="1"/>
  <c r="Q1028" i="1"/>
  <c r="L1028" i="1"/>
  <c r="L1179" i="1"/>
  <c r="Q1179" i="1"/>
  <c r="D1238" i="1"/>
  <c r="Q1664" i="1"/>
  <c r="L1664" i="1"/>
  <c r="W1679" i="1"/>
  <c r="S1679" i="1"/>
  <c r="P1679" i="1" s="1"/>
  <c r="D362" i="1"/>
  <c r="Q419" i="1"/>
  <c r="L419" i="1"/>
  <c r="T419" i="1" s="1"/>
  <c r="U419" i="1" s="1"/>
  <c r="V419" i="1" s="1"/>
  <c r="Q20" i="1"/>
  <c r="L20" i="1"/>
  <c r="T20" i="1" s="1"/>
  <c r="U20" i="1" s="1"/>
  <c r="V20" i="1" s="1"/>
  <c r="Q44" i="1"/>
  <c r="L44" i="1"/>
  <c r="T44" i="1" s="1"/>
  <c r="U44" i="1" s="1"/>
  <c r="V44" i="1" s="1"/>
  <c r="D62" i="1"/>
  <c r="W154" i="1"/>
  <c r="L255" i="1"/>
  <c r="M255" i="1" s="1"/>
  <c r="Q334" i="1"/>
  <c r="L334" i="1"/>
  <c r="Q536" i="1"/>
  <c r="L536" i="1"/>
  <c r="W685" i="1"/>
  <c r="Q58" i="1"/>
  <c r="L58" i="1"/>
  <c r="T58" i="1" s="1"/>
  <c r="U58" i="1" s="1"/>
  <c r="V58" i="1" s="1"/>
  <c r="Q72" i="1"/>
  <c r="Q75" i="1"/>
  <c r="L75" i="1"/>
  <c r="Q80" i="1"/>
  <c r="L80" i="1"/>
  <c r="Q108" i="1"/>
  <c r="L108" i="1"/>
  <c r="T108" i="1" s="1"/>
  <c r="U108" i="1" s="1"/>
  <c r="V108" i="1" s="1"/>
  <c r="Q111" i="1"/>
  <c r="L111" i="1"/>
  <c r="Q133" i="1"/>
  <c r="L133" i="1"/>
  <c r="Q138" i="1"/>
  <c r="L138" i="1"/>
  <c r="T138" i="1" s="1"/>
  <c r="U138" i="1" s="1"/>
  <c r="V138" i="1" s="1"/>
  <c r="Q143" i="1"/>
  <c r="L143" i="1"/>
  <c r="Q160" i="1"/>
  <c r="L165" i="1"/>
  <c r="Q184" i="1"/>
  <c r="L229" i="1"/>
  <c r="M229" i="1" s="1"/>
  <c r="Q258" i="1"/>
  <c r="L258" i="1"/>
  <c r="T258" i="1" s="1"/>
  <c r="U258" i="1" s="1"/>
  <c r="V258" i="1" s="1"/>
  <c r="Q327" i="1"/>
  <c r="L327" i="1"/>
  <c r="L332" i="1"/>
  <c r="M332" i="1" s="1"/>
  <c r="Q342" i="1"/>
  <c r="L342" i="1"/>
  <c r="L388" i="1"/>
  <c r="L420" i="1"/>
  <c r="X432" i="1"/>
  <c r="L439" i="1"/>
  <c r="Q439" i="1"/>
  <c r="L472" i="1"/>
  <c r="L551" i="1"/>
  <c r="Q551" i="1"/>
  <c r="Q642" i="1"/>
  <c r="L642" i="1"/>
  <c r="Q1188" i="1"/>
  <c r="L1188" i="1"/>
  <c r="T1188" i="1" s="1"/>
  <c r="U1188" i="1" s="1"/>
  <c r="V1188" i="1" s="1"/>
  <c r="D8" i="1"/>
  <c r="Q16" i="1"/>
  <c r="L16" i="1"/>
  <c r="D19" i="1"/>
  <c r="L21" i="1"/>
  <c r="Q29" i="1"/>
  <c r="L29" i="1"/>
  <c r="Q40" i="1"/>
  <c r="L40" i="1"/>
  <c r="Q48" i="1"/>
  <c r="L48" i="1"/>
  <c r="D56" i="1"/>
  <c r="W96" i="1"/>
  <c r="Q106" i="1"/>
  <c r="L106" i="1"/>
  <c r="T106" i="1" s="1"/>
  <c r="U106" i="1" s="1"/>
  <c r="V106" i="1" s="1"/>
  <c r="D114" i="1"/>
  <c r="D126" i="1"/>
  <c r="Q148" i="1"/>
  <c r="L148" i="1"/>
  <c r="T148" i="1" s="1"/>
  <c r="U148" i="1" s="1"/>
  <c r="V148" i="1" s="1"/>
  <c r="D151" i="1"/>
  <c r="Q158" i="1"/>
  <c r="L158" i="1"/>
  <c r="Q163" i="1"/>
  <c r="L163" i="1"/>
  <c r="Q170" i="1"/>
  <c r="L170" i="1"/>
  <c r="T170" i="1" s="1"/>
  <c r="U170" i="1" s="1"/>
  <c r="V170" i="1" s="1"/>
  <c r="Q175" i="1"/>
  <c r="L175" i="1"/>
  <c r="Q182" i="1"/>
  <c r="L182" i="1"/>
  <c r="D192" i="1"/>
  <c r="Q197" i="1"/>
  <c r="L197" i="1"/>
  <c r="D205" i="1"/>
  <c r="L208" i="1"/>
  <c r="S215" i="1"/>
  <c r="P215" i="1" s="1"/>
  <c r="D224" i="1"/>
  <c r="Q238" i="1"/>
  <c r="Q241" i="1"/>
  <c r="L241" i="1"/>
  <c r="R241" i="1" s="1"/>
  <c r="L248" i="1"/>
  <c r="Q250" i="1"/>
  <c r="S252" i="1"/>
  <c r="P252" i="1" s="1"/>
  <c r="D256" i="1"/>
  <c r="S263" i="1"/>
  <c r="P263" i="1" s="1"/>
  <c r="Q273" i="1"/>
  <c r="L273" i="1"/>
  <c r="Q278" i="1"/>
  <c r="L278" i="1"/>
  <c r="Q283" i="1"/>
  <c r="L283" i="1"/>
  <c r="L288" i="1"/>
  <c r="D297" i="1"/>
  <c r="Q335" i="1"/>
  <c r="L335" i="1"/>
  <c r="Q355" i="1"/>
  <c r="L355" i="1"/>
  <c r="D373" i="1"/>
  <c r="D381" i="1"/>
  <c r="D453" i="1"/>
  <c r="D459" i="1"/>
  <c r="W503" i="1"/>
  <c r="X503" i="1"/>
  <c r="L592" i="1"/>
  <c r="M675" i="1"/>
  <c r="D966" i="1"/>
  <c r="D990" i="1"/>
  <c r="Q1534" i="1"/>
  <c r="L1534" i="1"/>
  <c r="D199" i="1"/>
  <c r="Q52" i="1"/>
  <c r="L52" i="1"/>
  <c r="T52" i="1" s="1"/>
  <c r="U52" i="1" s="1"/>
  <c r="V52" i="1" s="1"/>
  <c r="D650" i="1"/>
  <c r="D826" i="1"/>
  <c r="L13" i="1"/>
  <c r="Q63" i="1"/>
  <c r="L63" i="1"/>
  <c r="Q116" i="1"/>
  <c r="L116" i="1"/>
  <c r="T116" i="1" s="1"/>
  <c r="U116" i="1" s="1"/>
  <c r="V116" i="1" s="1"/>
  <c r="L121" i="1"/>
  <c r="M121" i="1" s="1"/>
  <c r="Q126" i="1"/>
  <c r="L126" i="1"/>
  <c r="S138" i="1"/>
  <c r="P138" i="1" s="1"/>
  <c r="Q146" i="1"/>
  <c r="L146" i="1"/>
  <c r="T146" i="1" s="1"/>
  <c r="U146" i="1" s="1"/>
  <c r="V146" i="1" s="1"/>
  <c r="Q151" i="1"/>
  <c r="L151" i="1"/>
  <c r="Q168" i="1"/>
  <c r="L168" i="1"/>
  <c r="W175" i="1"/>
  <c r="W177" i="1"/>
  <c r="Q189" i="1"/>
  <c r="L189" i="1"/>
  <c r="L200" i="1"/>
  <c r="Q205" i="1"/>
  <c r="L205" i="1"/>
  <c r="Q213" i="1"/>
  <c r="L213" i="1"/>
  <c r="W241" i="1"/>
  <c r="Q291" i="1"/>
  <c r="L291" i="1"/>
  <c r="R291" i="1" s="1"/>
  <c r="X299" i="1"/>
  <c r="Q344" i="1"/>
  <c r="Q347" i="1"/>
  <c r="L347" i="1"/>
  <c r="L404" i="1"/>
  <c r="Q450" i="1"/>
  <c r="L450" i="1"/>
  <c r="T450" i="1" s="1"/>
  <c r="U450" i="1" s="1"/>
  <c r="V450" i="1" s="1"/>
  <c r="Q472" i="1"/>
  <c r="L475" i="1"/>
  <c r="T475" i="1" s="1"/>
  <c r="U475" i="1" s="1"/>
  <c r="V475" i="1" s="1"/>
  <c r="Q475" i="1"/>
  <c r="S588" i="1"/>
  <c r="P588" i="1" s="1"/>
  <c r="W589" i="1"/>
  <c r="Q634" i="1"/>
  <c r="L634" i="1"/>
  <c r="Q657" i="1"/>
  <c r="L657" i="1"/>
  <c r="L806" i="1"/>
  <c r="Q806" i="1"/>
  <c r="Q909" i="1"/>
  <c r="L909" i="1"/>
  <c r="Q1001" i="1"/>
  <c r="L1001" i="1"/>
  <c r="L530" i="1"/>
  <c r="T530" i="1" s="1"/>
  <c r="U530" i="1" s="1"/>
  <c r="V530" i="1" s="1"/>
  <c r="Q530" i="1"/>
  <c r="X901" i="1"/>
  <c r="W901" i="1"/>
  <c r="Q39" i="1"/>
  <c r="L39" i="1"/>
  <c r="Q132" i="1"/>
  <c r="L132" i="1"/>
  <c r="T132" i="1" s="1"/>
  <c r="U132" i="1" s="1"/>
  <c r="V132" i="1" s="1"/>
  <c r="Q298" i="1"/>
  <c r="L298" i="1"/>
  <c r="Q438" i="1"/>
  <c r="L438" i="1"/>
  <c r="Q235" i="1"/>
  <c r="L235" i="1"/>
  <c r="L319" i="1"/>
  <c r="Q319" i="1"/>
  <c r="D369" i="1"/>
  <c r="W457" i="1"/>
  <c r="P60" i="1"/>
  <c r="S75" i="1"/>
  <c r="P75" i="1" s="1"/>
  <c r="Q78" i="1"/>
  <c r="L78" i="1"/>
  <c r="X87" i="1"/>
  <c r="Q94" i="1"/>
  <c r="L94" i="1"/>
  <c r="D104" i="1"/>
  <c r="Q114" i="1"/>
  <c r="L114" i="1"/>
  <c r="T114" i="1" s="1"/>
  <c r="U114" i="1" s="1"/>
  <c r="V114" i="1" s="1"/>
  <c r="W121" i="1"/>
  <c r="D187" i="1"/>
  <c r="Q195" i="1"/>
  <c r="L195" i="1"/>
  <c r="M211" i="1"/>
  <c r="W213" i="1"/>
  <c r="Q221" i="1"/>
  <c r="L221" i="1"/>
  <c r="Q224" i="1"/>
  <c r="L224" i="1"/>
  <c r="Q229" i="1"/>
  <c r="Q234" i="1"/>
  <c r="L234" i="1"/>
  <c r="L236" i="1"/>
  <c r="L256" i="1"/>
  <c r="W265" i="1"/>
  <c r="L320" i="1"/>
  <c r="M340" i="1"/>
  <c r="Q358" i="1"/>
  <c r="L358" i="1"/>
  <c r="R358" i="1" s="1"/>
  <c r="Q381" i="1"/>
  <c r="L381" i="1"/>
  <c r="D386" i="1"/>
  <c r="Q442" i="1"/>
  <c r="L442" i="1"/>
  <c r="T442" i="1" s="1"/>
  <c r="U442" i="1" s="1"/>
  <c r="V442" i="1" s="1"/>
  <c r="Q456" i="1"/>
  <c r="L456" i="1"/>
  <c r="Q464" i="1"/>
  <c r="L464" i="1"/>
  <c r="L546" i="1"/>
  <c r="T546" i="1" s="1"/>
  <c r="U546" i="1" s="1"/>
  <c r="V546" i="1" s="1"/>
  <c r="Q546" i="1"/>
  <c r="Q690" i="1"/>
  <c r="L690" i="1"/>
  <c r="R690" i="1" s="1"/>
  <c r="L821" i="1"/>
  <c r="T821" i="1" s="1"/>
  <c r="U821" i="1" s="1"/>
  <c r="V821" i="1" s="1"/>
  <c r="Q821" i="1"/>
  <c r="L969" i="1"/>
  <c r="Q969" i="1"/>
  <c r="Q95" i="1"/>
  <c r="L95" i="1"/>
  <c r="Q164" i="1"/>
  <c r="L164" i="1"/>
  <c r="T164" i="1" s="1"/>
  <c r="U164" i="1" s="1"/>
  <c r="V164" i="1" s="1"/>
  <c r="Q36" i="1"/>
  <c r="L36" i="1"/>
  <c r="T36" i="1" s="1"/>
  <c r="U36" i="1" s="1"/>
  <c r="V36" i="1" s="1"/>
  <c r="Q74" i="1"/>
  <c r="L74" i="1"/>
  <c r="T74" i="1" s="1"/>
  <c r="U74" i="1" s="1"/>
  <c r="V74" i="1" s="1"/>
  <c r="Q142" i="1"/>
  <c r="L142" i="1"/>
  <c r="Q331" i="1"/>
  <c r="L331" i="1"/>
  <c r="Q390" i="1"/>
  <c r="L390" i="1"/>
  <c r="Q414" i="1"/>
  <c r="L414" i="1"/>
  <c r="Q471" i="1"/>
  <c r="L471" i="1"/>
  <c r="Q626" i="1"/>
  <c r="L626" i="1"/>
  <c r="L961" i="1"/>
  <c r="Q961" i="1"/>
  <c r="T1097" i="1"/>
  <c r="U1097" i="1" s="1"/>
  <c r="V1097" i="1" s="1"/>
  <c r="M1097" i="1"/>
  <c r="Q42" i="1"/>
  <c r="L42" i="1"/>
  <c r="T42" i="1" s="1"/>
  <c r="U42" i="1" s="1"/>
  <c r="V42" i="1" s="1"/>
  <c r="Q24" i="1"/>
  <c r="L24" i="1"/>
  <c r="L53" i="1"/>
  <c r="Q19" i="1"/>
  <c r="L19" i="1"/>
  <c r="Q41" i="1"/>
  <c r="Q6" i="1"/>
  <c r="L6" i="1"/>
  <c r="D25" i="1"/>
  <c r="D33" i="1"/>
  <c r="S35" i="1"/>
  <c r="P35" i="1" s="1"/>
  <c r="D38" i="1"/>
  <c r="R43" i="1"/>
  <c r="D61" i="1"/>
  <c r="D68" i="1"/>
  <c r="X78" i="1"/>
  <c r="M83" i="1"/>
  <c r="D90" i="1"/>
  <c r="Q92" i="1"/>
  <c r="L92" i="1"/>
  <c r="T92" i="1" s="1"/>
  <c r="U92" i="1" s="1"/>
  <c r="V92" i="1" s="1"/>
  <c r="X94" i="1"/>
  <c r="Q104" i="1"/>
  <c r="L104" i="1"/>
  <c r="X116" i="1"/>
  <c r="Q119" i="1"/>
  <c r="L119" i="1"/>
  <c r="D124" i="1"/>
  <c r="D129" i="1"/>
  <c r="S131" i="1"/>
  <c r="P131" i="1" s="1"/>
  <c r="S158" i="1"/>
  <c r="P158" i="1" s="1"/>
  <c r="X175" i="1"/>
  <c r="X177" i="1"/>
  <c r="Q187" i="1"/>
  <c r="L187" i="1"/>
  <c r="Q192" i="1"/>
  <c r="W192" i="1"/>
  <c r="M203" i="1"/>
  <c r="Q208" i="1"/>
  <c r="R211" i="1"/>
  <c r="Q216" i="1"/>
  <c r="L216" i="1"/>
  <c r="R216" i="1" s="1"/>
  <c r="Q219" i="1"/>
  <c r="L219" i="1"/>
  <c r="S221" i="1"/>
  <c r="P221" i="1" s="1"/>
  <c r="W224" i="1"/>
  <c r="Q227" i="1"/>
  <c r="L227" i="1"/>
  <c r="X236" i="1"/>
  <c r="Q239" i="1"/>
  <c r="L239" i="1"/>
  <c r="L268" i="1"/>
  <c r="R268" i="1" s="1"/>
  <c r="Q271" i="1"/>
  <c r="L271" i="1"/>
  <c r="X283" i="1"/>
  <c r="X291" i="1"/>
  <c r="Q307" i="1"/>
  <c r="L307" i="1"/>
  <c r="T307" i="1" s="1"/>
  <c r="U307" i="1" s="1"/>
  <c r="V307" i="1" s="1"/>
  <c r="X358" i="1"/>
  <c r="L368" i="1"/>
  <c r="D402" i="1"/>
  <c r="Q410" i="1"/>
  <c r="L410" i="1"/>
  <c r="T410" i="1" s="1"/>
  <c r="U410" i="1" s="1"/>
  <c r="V410" i="1" s="1"/>
  <c r="D413" i="1"/>
  <c r="L426" i="1"/>
  <c r="T426" i="1" s="1"/>
  <c r="U426" i="1" s="1"/>
  <c r="V426" i="1" s="1"/>
  <c r="Q426" i="1"/>
  <c r="Q445" i="1"/>
  <c r="L445" i="1"/>
  <c r="Q693" i="1"/>
  <c r="L693" i="1"/>
  <c r="R693" i="1" s="1"/>
  <c r="P869" i="1"/>
  <c r="Q1467" i="1"/>
  <c r="L1467" i="1"/>
  <c r="T1467" i="1" s="1"/>
  <c r="U1467" i="1" s="1"/>
  <c r="V1467" i="1" s="1"/>
  <c r="W63" i="1"/>
  <c r="Q144" i="1"/>
  <c r="L144" i="1"/>
  <c r="L161" i="1"/>
  <c r="Q173" i="1"/>
  <c r="L173" i="1"/>
  <c r="Q180" i="1"/>
  <c r="L180" i="1"/>
  <c r="T180" i="1" s="1"/>
  <c r="U180" i="1" s="1"/>
  <c r="V180" i="1" s="1"/>
  <c r="L185" i="1"/>
  <c r="S211" i="1"/>
  <c r="P211" i="1" s="1"/>
  <c r="S213" i="1"/>
  <c r="P213" i="1" s="1"/>
  <c r="Q251" i="1"/>
  <c r="L251" i="1"/>
  <c r="R251" i="1" s="1"/>
  <c r="Q254" i="1"/>
  <c r="L254" i="1"/>
  <c r="R254" i="1" s="1"/>
  <c r="D318" i="1"/>
  <c r="Q323" i="1"/>
  <c r="L323" i="1"/>
  <c r="M323" i="1" s="1"/>
  <c r="D333" i="1"/>
  <c r="D338" i="1"/>
  <c r="Q345" i="1"/>
  <c r="L345" i="1"/>
  <c r="D351" i="1"/>
  <c r="Q389" i="1"/>
  <c r="L389" i="1"/>
  <c r="Q413" i="1"/>
  <c r="L413" i="1"/>
  <c r="W418" i="1"/>
  <c r="Q437" i="1"/>
  <c r="L437" i="1"/>
  <c r="S445" i="1"/>
  <c r="P445" i="1" s="1"/>
  <c r="S478" i="1"/>
  <c r="P478" i="1" s="1"/>
  <c r="Q501" i="1"/>
  <c r="L501" i="1"/>
  <c r="Q610" i="1"/>
  <c r="L610" i="1"/>
  <c r="D801" i="1"/>
  <c r="Q894" i="1"/>
  <c r="L894" i="1"/>
  <c r="X924" i="1"/>
  <c r="Q1150" i="1"/>
  <c r="L1150" i="1"/>
  <c r="L1393" i="1"/>
  <c r="Q1393" i="1"/>
  <c r="Q706" i="1"/>
  <c r="L706" i="1"/>
  <c r="R706" i="1" s="1"/>
  <c r="L1367" i="1"/>
  <c r="T1367" i="1" s="1"/>
  <c r="U1367" i="1" s="1"/>
  <c r="V1367" i="1" s="1"/>
  <c r="Q408" i="1"/>
  <c r="L408" i="1"/>
  <c r="T408" i="1" s="1"/>
  <c r="W117" i="1"/>
  <c r="L403" i="1"/>
  <c r="T403" i="1" s="1"/>
  <c r="U403" i="1" s="1"/>
  <c r="V403" i="1" s="1"/>
  <c r="Q403" i="1"/>
  <c r="Q45" i="1"/>
  <c r="L45" i="1"/>
  <c r="Q51" i="1"/>
  <c r="L51" i="1"/>
  <c r="W65" i="1"/>
  <c r="M11" i="1"/>
  <c r="X6" i="1"/>
  <c r="Q38" i="1"/>
  <c r="L38" i="1"/>
  <c r="X63" i="1"/>
  <c r="L73" i="1"/>
  <c r="T73" i="1" s="1"/>
  <c r="U73" i="1" s="1"/>
  <c r="V73" i="1" s="1"/>
  <c r="S85" i="1"/>
  <c r="P85" i="1" s="1"/>
  <c r="Q101" i="1"/>
  <c r="L101" i="1"/>
  <c r="S114" i="1"/>
  <c r="P114" i="1" s="1"/>
  <c r="Q141" i="1"/>
  <c r="L141" i="1"/>
  <c r="D4" i="1"/>
  <c r="D9" i="1"/>
  <c r="S11" i="1"/>
  <c r="P11" i="1" s="1"/>
  <c r="L17" i="1"/>
  <c r="Q22" i="1"/>
  <c r="L22" i="1"/>
  <c r="L25" i="1"/>
  <c r="R25" i="1" s="1"/>
  <c r="Q30" i="1"/>
  <c r="L30" i="1"/>
  <c r="L33" i="1"/>
  <c r="T33" i="1" s="1"/>
  <c r="Q35" i="1"/>
  <c r="X38" i="1"/>
  <c r="L41" i="1"/>
  <c r="D46" i="1"/>
  <c r="L49" i="1"/>
  <c r="Q56" i="1"/>
  <c r="D66" i="1"/>
  <c r="Q68" i="1"/>
  <c r="L68" i="1"/>
  <c r="T68" i="1" s="1"/>
  <c r="U68" i="1" s="1"/>
  <c r="V68" i="1" s="1"/>
  <c r="W73" i="1"/>
  <c r="D79" i="1"/>
  <c r="D81" i="1"/>
  <c r="S83" i="1"/>
  <c r="P83" i="1" s="1"/>
  <c r="Q90" i="1"/>
  <c r="L90" i="1"/>
  <c r="T90" i="1" s="1"/>
  <c r="U90" i="1" s="1"/>
  <c r="V90" i="1" s="1"/>
  <c r="S94" i="1"/>
  <c r="P94" i="1" s="1"/>
  <c r="D97" i="1"/>
  <c r="M99" i="1"/>
  <c r="W101" i="1"/>
  <c r="W104" i="1"/>
  <c r="D107" i="1"/>
  <c r="L109" i="1"/>
  <c r="Q124" i="1"/>
  <c r="L124" i="1"/>
  <c r="T124" i="1" s="1"/>
  <c r="U124" i="1" s="1"/>
  <c r="V124" i="1" s="1"/>
  <c r="D127" i="1"/>
  <c r="L129" i="1"/>
  <c r="Q131" i="1"/>
  <c r="Q134" i="1"/>
  <c r="L134" i="1"/>
  <c r="R136" i="1"/>
  <c r="Q139" i="1"/>
  <c r="L139" i="1"/>
  <c r="W141" i="1"/>
  <c r="Q156" i="1"/>
  <c r="L156" i="1"/>
  <c r="T156" i="1" s="1"/>
  <c r="U156" i="1" s="1"/>
  <c r="V156" i="1" s="1"/>
  <c r="Q166" i="1"/>
  <c r="L166" i="1"/>
  <c r="D171" i="1"/>
  <c r="X184" i="1"/>
  <c r="S195" i="1"/>
  <c r="P195" i="1" s="1"/>
  <c r="Q198" i="1"/>
  <c r="L198" i="1"/>
  <c r="S203" i="1"/>
  <c r="P203" i="1" s="1"/>
  <c r="Q209" i="1"/>
  <c r="L209" i="1"/>
  <c r="R209" i="1" s="1"/>
  <c r="S236" i="1"/>
  <c r="P236" i="1" s="1"/>
  <c r="Q249" i="1"/>
  <c r="L249" i="1"/>
  <c r="R249" i="1" s="1"/>
  <c r="Q259" i="1"/>
  <c r="L259" i="1"/>
  <c r="S260" i="1"/>
  <c r="P260" i="1" s="1"/>
  <c r="W263" i="1"/>
  <c r="X271" i="1"/>
  <c r="L279" i="1"/>
  <c r="Q279" i="1"/>
  <c r="Q281" i="1"/>
  <c r="L281" i="1"/>
  <c r="Q289" i="1"/>
  <c r="L289" i="1"/>
  <c r="M289" i="1" s="1"/>
  <c r="D292" i="1"/>
  <c r="D300" i="1"/>
  <c r="D310" i="1"/>
  <c r="X315" i="1"/>
  <c r="Q318" i="1"/>
  <c r="L318" i="1"/>
  <c r="D321" i="1"/>
  <c r="Q356" i="1"/>
  <c r="L356" i="1"/>
  <c r="D371" i="1"/>
  <c r="S402" i="1"/>
  <c r="P402" i="1" s="1"/>
  <c r="X409" i="1"/>
  <c r="D416" i="1"/>
  <c r="S426" i="1"/>
  <c r="P426" i="1" s="1"/>
  <c r="Q429" i="1"/>
  <c r="L429" i="1"/>
  <c r="S486" i="1"/>
  <c r="P486" i="1" s="1"/>
  <c r="D490" i="1"/>
  <c r="D518" i="1"/>
  <c r="Q572" i="1"/>
  <c r="L572" i="1"/>
  <c r="D578" i="1"/>
  <c r="Q670" i="1"/>
  <c r="L670" i="1"/>
  <c r="R670" i="1" s="1"/>
  <c r="D775" i="1"/>
  <c r="Q801" i="1"/>
  <c r="L801" i="1"/>
  <c r="D904" i="1"/>
  <c r="Q1387" i="1"/>
  <c r="L1387" i="1"/>
  <c r="M1387" i="1" s="1"/>
  <c r="L1390" i="1"/>
  <c r="M1390" i="1" s="1"/>
  <c r="Q1390" i="1"/>
  <c r="Q86" i="1"/>
  <c r="L86" i="1"/>
  <c r="D91" i="1"/>
  <c r="Q174" i="1"/>
  <c r="L174" i="1"/>
  <c r="Q27" i="1"/>
  <c r="L27" i="1"/>
  <c r="Q8" i="1"/>
  <c r="L8" i="1"/>
  <c r="Q32" i="1"/>
  <c r="M43" i="1"/>
  <c r="M56" i="1"/>
  <c r="D7" i="1"/>
  <c r="Q14" i="1"/>
  <c r="L14" i="1"/>
  <c r="X22" i="1"/>
  <c r="W33" i="1"/>
  <c r="W41" i="1"/>
  <c r="Q43" i="1"/>
  <c r="Q46" i="1"/>
  <c r="L46" i="1"/>
  <c r="Q54" i="1"/>
  <c r="L54" i="1"/>
  <c r="R56" i="1"/>
  <c r="Q59" i="1"/>
  <c r="L59" i="1"/>
  <c r="W61" i="1"/>
  <c r="Q71" i="1"/>
  <c r="L71" i="1"/>
  <c r="Q122" i="1"/>
  <c r="L122" i="1"/>
  <c r="T122" i="1" s="1"/>
  <c r="U122" i="1" s="1"/>
  <c r="V122" i="1" s="1"/>
  <c r="Q127" i="1"/>
  <c r="L127" i="1"/>
  <c r="L149" i="1"/>
  <c r="Q154" i="1"/>
  <c r="L154" i="1"/>
  <c r="T154" i="1" s="1"/>
  <c r="U154" i="1" s="1"/>
  <c r="V154" i="1" s="1"/>
  <c r="Q159" i="1"/>
  <c r="L159" i="1"/>
  <c r="Q171" i="1"/>
  <c r="L171" i="1"/>
  <c r="Q178" i="1"/>
  <c r="L178" i="1"/>
  <c r="T178" i="1" s="1"/>
  <c r="U178" i="1" s="1"/>
  <c r="V178" i="1" s="1"/>
  <c r="W183" i="1"/>
  <c r="S187" i="1"/>
  <c r="P187" i="1" s="1"/>
  <c r="Q201" i="1"/>
  <c r="L201" i="1"/>
  <c r="T201" i="1" s="1"/>
  <c r="U201" i="1" s="1"/>
  <c r="V201" i="1" s="1"/>
  <c r="Q206" i="1"/>
  <c r="L206" i="1"/>
  <c r="W209" i="1"/>
  <c r="Q211" i="1"/>
  <c r="L232" i="1"/>
  <c r="T232" i="1" s="1"/>
  <c r="W246" i="1"/>
  <c r="X251" i="1"/>
  <c r="S281" i="1"/>
  <c r="P281" i="1" s="1"/>
  <c r="S288" i="1"/>
  <c r="P288" i="1" s="1"/>
  <c r="Q305" i="1"/>
  <c r="L305" i="1"/>
  <c r="Q310" i="1"/>
  <c r="L310" i="1"/>
  <c r="Q330" i="1"/>
  <c r="Q343" i="1"/>
  <c r="L343" i="1"/>
  <c r="L348" i="1"/>
  <c r="R348" i="1" s="1"/>
  <c r="Q366" i="1"/>
  <c r="L366" i="1"/>
  <c r="T366" i="1" s="1"/>
  <c r="U366" i="1" s="1"/>
  <c r="V366" i="1" s="1"/>
  <c r="Q405" i="1"/>
  <c r="L405" i="1"/>
  <c r="Q418" i="1"/>
  <c r="L440" i="1"/>
  <c r="Q467" i="1"/>
  <c r="Q490" i="1"/>
  <c r="L490" i="1"/>
  <c r="T490" i="1" s="1"/>
  <c r="U490" i="1" s="1"/>
  <c r="V490" i="1" s="1"/>
  <c r="D706" i="1"/>
  <c r="W1117" i="1"/>
  <c r="X1117" i="1"/>
  <c r="S1117" i="1"/>
  <c r="P1117" i="1" s="1"/>
  <c r="Q555" i="1"/>
  <c r="L555" i="1"/>
  <c r="T555" i="1" s="1"/>
  <c r="Q23" i="1"/>
  <c r="L23" i="1"/>
  <c r="Q316" i="1"/>
  <c r="L316" i="1"/>
  <c r="L37" i="1"/>
  <c r="S58" i="1"/>
  <c r="P58" i="1" s="1"/>
  <c r="Q70" i="1"/>
  <c r="L70" i="1"/>
  <c r="D22" i="1"/>
  <c r="L4" i="1"/>
  <c r="M4" i="1" s="1"/>
  <c r="L9" i="1"/>
  <c r="Q11" i="1"/>
  <c r="X14" i="1"/>
  <c r="D28" i="1"/>
  <c r="D36" i="1"/>
  <c r="X46" i="1"/>
  <c r="Q66" i="1"/>
  <c r="L66" i="1"/>
  <c r="T66" i="1" s="1"/>
  <c r="U66" i="1" s="1"/>
  <c r="V66" i="1" s="1"/>
  <c r="W71" i="1"/>
  <c r="Q76" i="1"/>
  <c r="L76" i="1"/>
  <c r="T76" i="1" s="1"/>
  <c r="U76" i="1" s="1"/>
  <c r="V76" i="1" s="1"/>
  <c r="Q79" i="1"/>
  <c r="L79" i="1"/>
  <c r="L81" i="1"/>
  <c r="T81" i="1" s="1"/>
  <c r="U81" i="1" s="1"/>
  <c r="V81" i="1" s="1"/>
  <c r="Q83" i="1"/>
  <c r="D115" i="1"/>
  <c r="Q117" i="1"/>
  <c r="L117" i="1"/>
  <c r="X124" i="1"/>
  <c r="W149" i="1"/>
  <c r="Q190" i="1"/>
  <c r="L190" i="1"/>
  <c r="Q193" i="1"/>
  <c r="L193" i="1"/>
  <c r="Q203" i="1"/>
  <c r="X206" i="1"/>
  <c r="Q214" i="1"/>
  <c r="L214" i="1"/>
  <c r="Q222" i="1"/>
  <c r="L222" i="1"/>
  <c r="Q225" i="1"/>
  <c r="L225" i="1"/>
  <c r="Q230" i="1"/>
  <c r="L230" i="1"/>
  <c r="Q248" i="1"/>
  <c r="D269" i="1"/>
  <c r="Q287" i="1"/>
  <c r="L287" i="1"/>
  <c r="L292" i="1"/>
  <c r="L295" i="1"/>
  <c r="M295" i="1" s="1"/>
  <c r="Q313" i="1"/>
  <c r="L313" i="1"/>
  <c r="M313" i="1" s="1"/>
  <c r="Q321" i="1"/>
  <c r="L321" i="1"/>
  <c r="Q328" i="1"/>
  <c r="L328" i="1"/>
  <c r="T328" i="1" s="1"/>
  <c r="D331" i="1"/>
  <c r="W338" i="1"/>
  <c r="X347" i="1"/>
  <c r="W356" i="1"/>
  <c r="Q379" i="1"/>
  <c r="L379" i="1"/>
  <c r="T379" i="1" s="1"/>
  <c r="U379" i="1" s="1"/>
  <c r="V379" i="1" s="1"/>
  <c r="Q382" i="1"/>
  <c r="L382" i="1"/>
  <c r="Q386" i="1"/>
  <c r="D411" i="1"/>
  <c r="D435" i="1"/>
  <c r="W440" i="1"/>
  <c r="X440" i="1"/>
  <c r="Q451" i="1"/>
  <c r="L451" i="1"/>
  <c r="T451" i="1" s="1"/>
  <c r="U451" i="1" s="1"/>
  <c r="V451" i="1" s="1"/>
  <c r="L476" i="1"/>
  <c r="T476" i="1" s="1"/>
  <c r="Q498" i="1"/>
  <c r="D533" i="1"/>
  <c r="D626" i="1"/>
  <c r="Q793" i="1"/>
  <c r="L793" i="1"/>
  <c r="L831" i="1"/>
  <c r="T831" i="1" s="1"/>
  <c r="U831" i="1" s="1"/>
  <c r="V831" i="1" s="1"/>
  <c r="Q831" i="1"/>
  <c r="Q979" i="1"/>
  <c r="L979" i="1"/>
  <c r="Q423" i="1"/>
  <c r="L423" i="1"/>
  <c r="Q435" i="1"/>
  <c r="L435" i="1"/>
  <c r="T435" i="1" s="1"/>
  <c r="U435" i="1" s="1"/>
  <c r="V435" i="1" s="1"/>
  <c r="D438" i="1"/>
  <c r="D445" i="1"/>
  <c r="X472" i="1"/>
  <c r="Q493" i="1"/>
  <c r="L493" i="1"/>
  <c r="D501" i="1"/>
  <c r="D528" i="1"/>
  <c r="Q533" i="1"/>
  <c r="L533" i="1"/>
  <c r="S538" i="1"/>
  <c r="W551" i="1"/>
  <c r="S553" i="1"/>
  <c r="P553" i="1" s="1"/>
  <c r="X558" i="1"/>
  <c r="D567" i="1"/>
  <c r="D570" i="1"/>
  <c r="D584" i="1"/>
  <c r="D600" i="1"/>
  <c r="D632" i="1"/>
  <c r="D637" i="1"/>
  <c r="D640" i="1"/>
  <c r="S647" i="1"/>
  <c r="P647" i="1" s="1"/>
  <c r="Q650" i="1"/>
  <c r="L650" i="1"/>
  <c r="D658" i="1"/>
  <c r="W668" i="1"/>
  <c r="X675" i="1"/>
  <c r="D678" i="1"/>
  <c r="Q688" i="1"/>
  <c r="L688" i="1"/>
  <c r="Q709" i="1"/>
  <c r="L709" i="1"/>
  <c r="R709" i="1" s="1"/>
  <c r="D714" i="1"/>
  <c r="D717" i="1"/>
  <c r="D737" i="1"/>
  <c r="D768" i="1"/>
  <c r="L775" i="1"/>
  <c r="T775" i="1" s="1"/>
  <c r="D786" i="1"/>
  <c r="D791" i="1"/>
  <c r="D799" i="1"/>
  <c r="W811" i="1"/>
  <c r="Q837" i="1"/>
  <c r="L837" i="1"/>
  <c r="D852" i="1"/>
  <c r="W859" i="1"/>
  <c r="D870" i="1"/>
  <c r="W875" i="1"/>
  <c r="D897" i="1"/>
  <c r="Q945" i="1"/>
  <c r="L945" i="1"/>
  <c r="D948" i="1"/>
  <c r="D956" i="1"/>
  <c r="D964" i="1"/>
  <c r="X985" i="1"/>
  <c r="D988" i="1"/>
  <c r="D1130" i="1"/>
  <c r="D1174" i="1"/>
  <c r="Q1238" i="1"/>
  <c r="L1238" i="1"/>
  <c r="D1250" i="1"/>
  <c r="L2086" i="1"/>
  <c r="R2086" i="1" s="1"/>
  <c r="Q2086" i="1"/>
  <c r="S490" i="1"/>
  <c r="P490" i="1" s="1"/>
  <c r="Q541" i="1"/>
  <c r="L541" i="1"/>
  <c r="D564" i="1"/>
  <c r="Q581" i="1"/>
  <c r="L581" i="1"/>
  <c r="R581" i="1" s="1"/>
  <c r="D590" i="1"/>
  <c r="D595" i="1"/>
  <c r="L613" i="1"/>
  <c r="R613" i="1" s="1"/>
  <c r="D624" i="1"/>
  <c r="Q655" i="1"/>
  <c r="D664" i="1"/>
  <c r="Q666" i="1"/>
  <c r="L666" i="1"/>
  <c r="Q673" i="1"/>
  <c r="L673" i="1"/>
  <c r="T673" i="1" s="1"/>
  <c r="U673" i="1" s="1"/>
  <c r="V673" i="1" s="1"/>
  <c r="L678" i="1"/>
  <c r="M678" i="1" s="1"/>
  <c r="Q696" i="1"/>
  <c r="L696" i="1"/>
  <c r="D712" i="1"/>
  <c r="Q714" i="1"/>
  <c r="L714" i="1"/>
  <c r="D720" i="1"/>
  <c r="Q722" i="1"/>
  <c r="L722" i="1"/>
  <c r="M722" i="1" s="1"/>
  <c r="D740" i="1"/>
  <c r="Q750" i="1"/>
  <c r="L750" i="1"/>
  <c r="W763" i="1"/>
  <c r="D771" i="1"/>
  <c r="L773" i="1"/>
  <c r="R773" i="1" s="1"/>
  <c r="Q814" i="1"/>
  <c r="L814" i="1"/>
  <c r="S834" i="1"/>
  <c r="P834" i="1" s="1"/>
  <c r="Q846" i="1"/>
  <c r="L846" i="1"/>
  <c r="T846" i="1" s="1"/>
  <c r="Q870" i="1"/>
  <c r="Q878" i="1"/>
  <c r="L878" i="1"/>
  <c r="Q889" i="1"/>
  <c r="L889" i="1"/>
  <c r="Q897" i="1"/>
  <c r="L897" i="1"/>
  <c r="Q929" i="1"/>
  <c r="L929" i="1"/>
  <c r="Q934" i="1"/>
  <c r="L934" i="1"/>
  <c r="M934" i="1" s="1"/>
  <c r="S953" i="1"/>
  <c r="P953" i="1" s="1"/>
  <c r="Q962" i="1"/>
  <c r="Q964" i="1"/>
  <c r="L964" i="1"/>
  <c r="Q988" i="1"/>
  <c r="L988" i="1"/>
  <c r="T988" i="1" s="1"/>
  <c r="U988" i="1" s="1"/>
  <c r="V988" i="1" s="1"/>
  <c r="Q1025" i="1"/>
  <c r="X1041" i="1"/>
  <c r="W1041" i="1"/>
  <c r="D1059" i="1"/>
  <c r="D1112" i="1"/>
  <c r="X1162" i="1"/>
  <c r="W1162" i="1"/>
  <c r="S1162" i="1"/>
  <c r="P1162" i="1" s="1"/>
  <c r="Q1270" i="1"/>
  <c r="L1270" i="1"/>
  <c r="Q1409" i="1"/>
  <c r="L1409" i="1"/>
  <c r="T1409" i="1" s="1"/>
  <c r="U1409" i="1" s="1"/>
  <c r="V1409" i="1" s="1"/>
  <c r="Q2083" i="1"/>
  <c r="L2083" i="1"/>
  <c r="L567" i="1"/>
  <c r="L584" i="1"/>
  <c r="R584" i="1" s="1"/>
  <c r="Q587" i="1"/>
  <c r="L587" i="1"/>
  <c r="R587" i="1" s="1"/>
  <c r="L597" i="1"/>
  <c r="R597" i="1" s="1"/>
  <c r="L600" i="1"/>
  <c r="R600" i="1" s="1"/>
  <c r="L605" i="1"/>
  <c r="R605" i="1" s="1"/>
  <c r="L608" i="1"/>
  <c r="R608" i="1" s="1"/>
  <c r="L632" i="1"/>
  <c r="R632" i="1" s="1"/>
  <c r="L640" i="1"/>
  <c r="M640" i="1" s="1"/>
  <c r="Q658" i="1"/>
  <c r="L658" i="1"/>
  <c r="R658" i="1" s="1"/>
  <c r="Q704" i="1"/>
  <c r="L704" i="1"/>
  <c r="L717" i="1"/>
  <c r="R717" i="1" s="1"/>
  <c r="Q730" i="1"/>
  <c r="L730" i="1"/>
  <c r="Q737" i="1"/>
  <c r="L737" i="1"/>
  <c r="Q766" i="1"/>
  <c r="L766" i="1"/>
  <c r="Q778" i="1"/>
  <c r="L778" i="1"/>
  <c r="Q794" i="1"/>
  <c r="L794" i="1"/>
  <c r="Q849" i="1"/>
  <c r="L849" i="1"/>
  <c r="T849" i="1" s="1"/>
  <c r="U849" i="1" s="1"/>
  <c r="V849" i="1" s="1"/>
  <c r="D865" i="1"/>
  <c r="D873" i="1"/>
  <c r="Q881" i="1"/>
  <c r="L881" i="1"/>
  <c r="S883" i="1"/>
  <c r="P883" i="1" s="1"/>
  <c r="S907" i="1"/>
  <c r="P907" i="1" s="1"/>
  <c r="Q910" i="1"/>
  <c r="L910" i="1"/>
  <c r="W923" i="1"/>
  <c r="Q937" i="1"/>
  <c r="L937" i="1"/>
  <c r="M948" i="1"/>
  <c r="L980" i="1"/>
  <c r="Q980" i="1"/>
  <c r="L1171" i="1"/>
  <c r="Q1171" i="1"/>
  <c r="S1289" i="1"/>
  <c r="P1289" i="1" s="1"/>
  <c r="X1290" i="1"/>
  <c r="L1382" i="1"/>
  <c r="M1382" i="1" s="1"/>
  <c r="X1406" i="1"/>
  <c r="W1406" i="1"/>
  <c r="Q1505" i="1"/>
  <c r="L1505" i="1"/>
  <c r="T1505" i="1" s="1"/>
  <c r="U1505" i="1" s="1"/>
  <c r="V1505" i="1" s="1"/>
  <c r="Q371" i="1"/>
  <c r="L371" i="1"/>
  <c r="L376" i="1"/>
  <c r="S401" i="1"/>
  <c r="P401" i="1" s="1"/>
  <c r="Q406" i="1"/>
  <c r="L406" i="1"/>
  <c r="Q421" i="1"/>
  <c r="L421" i="1"/>
  <c r="Q453" i="1"/>
  <c r="L453" i="1"/>
  <c r="Q458" i="1"/>
  <c r="L458" i="1"/>
  <c r="T458" i="1" s="1"/>
  <c r="U458" i="1" s="1"/>
  <c r="V458" i="1" s="1"/>
  <c r="Q480" i="1"/>
  <c r="L480" i="1"/>
  <c r="S485" i="1"/>
  <c r="P485" i="1" s="1"/>
  <c r="L544" i="1"/>
  <c r="Q549" i="1"/>
  <c r="L549" i="1"/>
  <c r="X553" i="1"/>
  <c r="Q556" i="1"/>
  <c r="L556" i="1"/>
  <c r="Q564" i="1"/>
  <c r="L564" i="1"/>
  <c r="W567" i="1"/>
  <c r="Q573" i="1"/>
  <c r="L573" i="1"/>
  <c r="X587" i="1"/>
  <c r="L590" i="1"/>
  <c r="R590" i="1" s="1"/>
  <c r="X604" i="1"/>
  <c r="S608" i="1"/>
  <c r="P608" i="1" s="1"/>
  <c r="L616" i="1"/>
  <c r="R616" i="1" s="1"/>
  <c r="L624" i="1"/>
  <c r="R624" i="1" s="1"/>
  <c r="W629" i="1"/>
  <c r="W637" i="1"/>
  <c r="D645" i="1"/>
  <c r="D656" i="1"/>
  <c r="Q664" i="1"/>
  <c r="L664" i="1"/>
  <c r="L671" i="1"/>
  <c r="T671" i="1" s="1"/>
  <c r="L691" i="1"/>
  <c r="D694" i="1"/>
  <c r="D699" i="1"/>
  <c r="Q701" i="1"/>
  <c r="Q712" i="1"/>
  <c r="L712" i="1"/>
  <c r="Q720" i="1"/>
  <c r="L720" i="1"/>
  <c r="Q742" i="1"/>
  <c r="W768" i="1"/>
  <c r="R786" i="1"/>
  <c r="Q797" i="1"/>
  <c r="L797" i="1"/>
  <c r="Q809" i="1"/>
  <c r="L809" i="1"/>
  <c r="T809" i="1" s="1"/>
  <c r="U809" i="1" s="1"/>
  <c r="V809" i="1" s="1"/>
  <c r="D822" i="1"/>
  <c r="D824" i="1"/>
  <c r="Q829" i="1"/>
  <c r="L829" i="1"/>
  <c r="D838" i="1"/>
  <c r="Q857" i="1"/>
  <c r="L857" i="1"/>
  <c r="T857" i="1" s="1"/>
  <c r="U857" i="1" s="1"/>
  <c r="V857" i="1" s="1"/>
  <c r="Q865" i="1"/>
  <c r="L865" i="1"/>
  <c r="M865" i="1" s="1"/>
  <c r="Q873" i="1"/>
  <c r="L873" i="1"/>
  <c r="Q892" i="1"/>
  <c r="L892" i="1"/>
  <c r="D895" i="1"/>
  <c r="Q902" i="1"/>
  <c r="L902" i="1"/>
  <c r="D905" i="1"/>
  <c r="Q913" i="1"/>
  <c r="L913" i="1"/>
  <c r="T913" i="1" s="1"/>
  <c r="U913" i="1" s="1"/>
  <c r="V913" i="1" s="1"/>
  <c r="D916" i="1"/>
  <c r="D921" i="1"/>
  <c r="Q940" i="1"/>
  <c r="L940" i="1"/>
  <c r="L959" i="1"/>
  <c r="T959" i="1" s="1"/>
  <c r="U959" i="1" s="1"/>
  <c r="V959" i="1" s="1"/>
  <c r="W969" i="1"/>
  <c r="Q996" i="1"/>
  <c r="L996" i="1"/>
  <c r="L1008" i="1"/>
  <c r="R1008" i="1" s="1"/>
  <c r="Q1008" i="1"/>
  <c r="Q1059" i="1"/>
  <c r="L1059" i="1"/>
  <c r="Q1112" i="1"/>
  <c r="L1112" i="1"/>
  <c r="R1112" i="1" s="1"/>
  <c r="D1200" i="1"/>
  <c r="W1350" i="1"/>
  <c r="D1456" i="1"/>
  <c r="Q350" i="1"/>
  <c r="L350" i="1"/>
  <c r="Q374" i="1"/>
  <c r="L374" i="1"/>
  <c r="D382" i="1"/>
  <c r="Q394" i="1"/>
  <c r="L394" i="1"/>
  <c r="T394" i="1" s="1"/>
  <c r="U394" i="1" s="1"/>
  <c r="V394" i="1" s="1"/>
  <c r="X406" i="1"/>
  <c r="D409" i="1"/>
  <c r="L433" i="1"/>
  <c r="R433" i="1" s="1"/>
  <c r="M463" i="1"/>
  <c r="S480" i="1"/>
  <c r="P480" i="1" s="1"/>
  <c r="D494" i="1"/>
  <c r="Q496" i="1"/>
  <c r="L496" i="1"/>
  <c r="T496" i="1" s="1"/>
  <c r="Q506" i="1"/>
  <c r="L506" i="1"/>
  <c r="T506" i="1" s="1"/>
  <c r="U506" i="1" s="1"/>
  <c r="V506" i="1" s="1"/>
  <c r="M511" i="1"/>
  <c r="D542" i="1"/>
  <c r="X576" i="1"/>
  <c r="Q607" i="1"/>
  <c r="Q613" i="1"/>
  <c r="D635" i="1"/>
  <c r="L648" i="1"/>
  <c r="R648" i="1" s="1"/>
  <c r="D674" i="1"/>
  <c r="D676" i="1"/>
  <c r="D679" i="1"/>
  <c r="Q681" i="1"/>
  <c r="L681" i="1"/>
  <c r="T681" i="1" s="1"/>
  <c r="U681" i="1" s="1"/>
  <c r="V681" i="1" s="1"/>
  <c r="Q687" i="1"/>
  <c r="L699" i="1"/>
  <c r="L725" i="1"/>
  <c r="R725" i="1" s="1"/>
  <c r="Q728" i="1"/>
  <c r="L728" i="1"/>
  <c r="Q735" i="1"/>
  <c r="W740" i="1"/>
  <c r="D745" i="1"/>
  <c r="D756" i="1"/>
  <c r="Q758" i="1"/>
  <c r="W773" i="1"/>
  <c r="Q789" i="1"/>
  <c r="L789" i="1"/>
  <c r="X797" i="1"/>
  <c r="Q802" i="1"/>
  <c r="L802" i="1"/>
  <c r="R802" i="1" s="1"/>
  <c r="D827" i="1"/>
  <c r="D835" i="1"/>
  <c r="D847" i="1"/>
  <c r="X854" i="1"/>
  <c r="Q862" i="1"/>
  <c r="Q876" i="1"/>
  <c r="L876" i="1"/>
  <c r="X878" i="1"/>
  <c r="D884" i="1"/>
  <c r="D887" i="1"/>
  <c r="D890" i="1"/>
  <c r="W892" i="1"/>
  <c r="Q905" i="1"/>
  <c r="L905" i="1"/>
  <c r="W907" i="1"/>
  <c r="Q921" i="1"/>
  <c r="L921" i="1"/>
  <c r="R921" i="1" s="1"/>
  <c r="D924" i="1"/>
  <c r="D927" i="1"/>
  <c r="D930" i="1"/>
  <c r="L967" i="1"/>
  <c r="M967" i="1" s="1"/>
  <c r="X969" i="1"/>
  <c r="T975" i="1"/>
  <c r="U975" i="1" s="1"/>
  <c r="V975" i="1" s="1"/>
  <c r="R975" i="1"/>
  <c r="D989" i="1"/>
  <c r="L1002" i="1"/>
  <c r="Q1005" i="1"/>
  <c r="L1005" i="1"/>
  <c r="W1008" i="1"/>
  <c r="X1008" i="1"/>
  <c r="D1072" i="1"/>
  <c r="D1160" i="1"/>
  <c r="L1200" i="1"/>
  <c r="M1200" i="1" s="1"/>
  <c r="Q1200" i="1"/>
  <c r="D1248" i="1"/>
  <c r="S1314" i="1"/>
  <c r="P1314" i="1" s="1"/>
  <c r="W1314" i="1"/>
  <c r="Q491" i="1"/>
  <c r="L491" i="1"/>
  <c r="T491" i="1" s="1"/>
  <c r="U491" i="1" s="1"/>
  <c r="V491" i="1" s="1"/>
  <c r="Q516" i="1"/>
  <c r="L516" i="1"/>
  <c r="T516" i="1" s="1"/>
  <c r="Q523" i="1"/>
  <c r="Q531" i="1"/>
  <c r="L531" i="1"/>
  <c r="T531" i="1" s="1"/>
  <c r="U531" i="1" s="1"/>
  <c r="V531" i="1" s="1"/>
  <c r="L559" i="1"/>
  <c r="Q570" i="1"/>
  <c r="Q593" i="1"/>
  <c r="L593" i="1"/>
  <c r="L603" i="1"/>
  <c r="M603" i="1" s="1"/>
  <c r="Q605" i="1"/>
  <c r="L611" i="1"/>
  <c r="M611" i="1" s="1"/>
  <c r="L619" i="1"/>
  <c r="M619" i="1" s="1"/>
  <c r="Q656" i="1"/>
  <c r="L656" i="1"/>
  <c r="L669" i="1"/>
  <c r="R669" i="1" s="1"/>
  <c r="Q686" i="1"/>
  <c r="L707" i="1"/>
  <c r="Q717" i="1"/>
  <c r="Q753" i="1"/>
  <c r="L753" i="1"/>
  <c r="Q761" i="1"/>
  <c r="L761" i="1"/>
  <c r="Q838" i="1"/>
  <c r="L838" i="1"/>
  <c r="T838" i="1" s="1"/>
  <c r="Q841" i="1"/>
  <c r="L841" i="1"/>
  <c r="X862" i="1"/>
  <c r="Q916" i="1"/>
  <c r="L916" i="1"/>
  <c r="Q932" i="1"/>
  <c r="L932" i="1"/>
  <c r="D946" i="1"/>
  <c r="Q948" i="1"/>
  <c r="S950" i="1"/>
  <c r="P950" i="1" s="1"/>
  <c r="W1005" i="1"/>
  <c r="X1005" i="1"/>
  <c r="L1020" i="1"/>
  <c r="Q1020" i="1"/>
  <c r="X1144" i="1"/>
  <c r="X1145" i="1"/>
  <c r="W1145" i="1"/>
  <c r="S1197" i="1"/>
  <c r="P1197" i="1" s="1"/>
  <c r="X1197" i="1"/>
  <c r="Q468" i="1"/>
  <c r="L468" i="1"/>
  <c r="T468" i="1" s="1"/>
  <c r="Q504" i="1"/>
  <c r="L504" i="1"/>
  <c r="T504" i="1" s="1"/>
  <c r="D519" i="1"/>
  <c r="D529" i="1"/>
  <c r="D550" i="1"/>
  <c r="D565" i="1"/>
  <c r="D571" i="1"/>
  <c r="L579" i="1"/>
  <c r="D606" i="1"/>
  <c r="D622" i="1"/>
  <c r="L635" i="1"/>
  <c r="R635" i="1" s="1"/>
  <c r="L643" i="1"/>
  <c r="Q647" i="1"/>
  <c r="Q671" i="1"/>
  <c r="Q674" i="1"/>
  <c r="L674" i="1"/>
  <c r="L679" i="1"/>
  <c r="T679" i="1" s="1"/>
  <c r="W684" i="1"/>
  <c r="D689" i="1"/>
  <c r="P740" i="1"/>
  <c r="Q745" i="1"/>
  <c r="L745" i="1"/>
  <c r="L751" i="1"/>
  <c r="T751" i="1" s="1"/>
  <c r="D784" i="1"/>
  <c r="Q786" i="1"/>
  <c r="D792" i="1"/>
  <c r="D820" i="1"/>
  <c r="M822" i="1"/>
  <c r="L827" i="1"/>
  <c r="D863" i="1"/>
  <c r="D866" i="1"/>
  <c r="Q868" i="1"/>
  <c r="L868" i="1"/>
  <c r="D874" i="1"/>
  <c r="Q884" i="1"/>
  <c r="L884" i="1"/>
  <c r="Q887" i="1"/>
  <c r="L887" i="1"/>
  <c r="T887" i="1" s="1"/>
  <c r="U887" i="1" s="1"/>
  <c r="V887" i="1" s="1"/>
  <c r="L890" i="1"/>
  <c r="D941" i="1"/>
  <c r="L954" i="1"/>
  <c r="T954" i="1" s="1"/>
  <c r="Q989" i="1"/>
  <c r="L989" i="1"/>
  <c r="T1069" i="1"/>
  <c r="Q1265" i="1"/>
  <c r="L1265" i="1"/>
  <c r="Q1354" i="1"/>
  <c r="L1354" i="1"/>
  <c r="D1404" i="1"/>
  <c r="D497" i="1"/>
  <c r="W504" i="1"/>
  <c r="Q519" i="1"/>
  <c r="L519" i="1"/>
  <c r="Q552" i="1"/>
  <c r="L552" i="1"/>
  <c r="Q568" i="1"/>
  <c r="L568" i="1"/>
  <c r="T568" i="1" s="1"/>
  <c r="U568" i="1" s="1"/>
  <c r="V568" i="1" s="1"/>
  <c r="Q582" i="1"/>
  <c r="L582" i="1"/>
  <c r="R582" i="1" s="1"/>
  <c r="Q585" i="1"/>
  <c r="L585" i="1"/>
  <c r="L598" i="1"/>
  <c r="R598" i="1" s="1"/>
  <c r="Q601" i="1"/>
  <c r="L601" i="1"/>
  <c r="T601" i="1" s="1"/>
  <c r="U601" i="1" s="1"/>
  <c r="V601" i="1" s="1"/>
  <c r="X603" i="1"/>
  <c r="Q609" i="1"/>
  <c r="L609" i="1"/>
  <c r="Q638" i="1"/>
  <c r="L638" i="1"/>
  <c r="Q702" i="1"/>
  <c r="L702" i="1"/>
  <c r="Q710" i="1"/>
  <c r="L710" i="1"/>
  <c r="T710" i="1" s="1"/>
  <c r="U710" i="1" s="1"/>
  <c r="V710" i="1" s="1"/>
  <c r="Q738" i="1"/>
  <c r="L738" i="1"/>
  <c r="M738" i="1" s="1"/>
  <c r="Q769" i="1"/>
  <c r="L769" i="1"/>
  <c r="Q774" i="1"/>
  <c r="L774" i="1"/>
  <c r="Q817" i="1"/>
  <c r="L817" i="1"/>
  <c r="Q871" i="1"/>
  <c r="L871" i="1"/>
  <c r="T871" i="1" s="1"/>
  <c r="U871" i="1" s="1"/>
  <c r="V871" i="1" s="1"/>
  <c r="Q879" i="1"/>
  <c r="L879" i="1"/>
  <c r="T879" i="1" s="1"/>
  <c r="U879" i="1" s="1"/>
  <c r="V879" i="1" s="1"/>
  <c r="Q900" i="1"/>
  <c r="L900" i="1"/>
  <c r="Q908" i="1"/>
  <c r="L908" i="1"/>
  <c r="L962" i="1"/>
  <c r="T962" i="1" s="1"/>
  <c r="Q970" i="1"/>
  <c r="L970" i="1"/>
  <c r="Q1169" i="1"/>
  <c r="L1169" i="1"/>
  <c r="W1206" i="1"/>
  <c r="S1242" i="1"/>
  <c r="P1242" i="1" s="1"/>
  <c r="X1245" i="1"/>
  <c r="W1245" i="1"/>
  <c r="S1245" i="1"/>
  <c r="P1245" i="1" s="1"/>
  <c r="X1265" i="1"/>
  <c r="W1265" i="1"/>
  <c r="Q1590" i="1"/>
  <c r="L1590" i="1"/>
  <c r="Q509" i="1"/>
  <c r="L509" i="1"/>
  <c r="Q514" i="1"/>
  <c r="L514" i="1"/>
  <c r="T514" i="1" s="1"/>
  <c r="U514" i="1" s="1"/>
  <c r="V514" i="1" s="1"/>
  <c r="S562" i="1"/>
  <c r="P562" i="1" s="1"/>
  <c r="Q565" i="1"/>
  <c r="L565" i="1"/>
  <c r="L571" i="1"/>
  <c r="M571" i="1" s="1"/>
  <c r="X582" i="1"/>
  <c r="X585" i="1"/>
  <c r="X588" i="1"/>
  <c r="L606" i="1"/>
  <c r="R606" i="1" s="1"/>
  <c r="L614" i="1"/>
  <c r="R614" i="1" s="1"/>
  <c r="Q617" i="1"/>
  <c r="L617" i="1"/>
  <c r="Q627" i="1"/>
  <c r="L627" i="1"/>
  <c r="Q630" i="1"/>
  <c r="L630" i="1"/>
  <c r="T630" i="1" s="1"/>
  <c r="U630" i="1" s="1"/>
  <c r="V630" i="1" s="1"/>
  <c r="X638" i="1"/>
  <c r="Q651" i="1"/>
  <c r="L651" i="1"/>
  <c r="L659" i="1"/>
  <c r="L667" i="1"/>
  <c r="D682" i="1"/>
  <c r="Q689" i="1"/>
  <c r="L689" i="1"/>
  <c r="T689" i="1" s="1"/>
  <c r="U689" i="1" s="1"/>
  <c r="V689" i="1" s="1"/>
  <c r="W701" i="1"/>
  <c r="W710" i="1"/>
  <c r="L715" i="1"/>
  <c r="Q718" i="1"/>
  <c r="L718" i="1"/>
  <c r="X775" i="1"/>
  <c r="S795" i="1"/>
  <c r="P795" i="1" s="1"/>
  <c r="L805" i="1"/>
  <c r="R805" i="1" s="1"/>
  <c r="L807" i="1"/>
  <c r="T807" i="1" s="1"/>
  <c r="U807" i="1" s="1"/>
  <c r="V807" i="1" s="1"/>
  <c r="Q830" i="1"/>
  <c r="L830" i="1"/>
  <c r="T830" i="1" s="1"/>
  <c r="D833" i="1"/>
  <c r="D853" i="1"/>
  <c r="X860" i="1"/>
  <c r="Q863" i="1"/>
  <c r="L863" i="1"/>
  <c r="T863" i="1" s="1"/>
  <c r="U863" i="1" s="1"/>
  <c r="V863" i="1" s="1"/>
  <c r="X876" i="1"/>
  <c r="Q886" i="1"/>
  <c r="W887" i="1"/>
  <c r="Q903" i="1"/>
  <c r="L903" i="1"/>
  <c r="T903" i="1" s="1"/>
  <c r="U903" i="1" s="1"/>
  <c r="V903" i="1" s="1"/>
  <c r="Q911" i="1"/>
  <c r="L911" i="1"/>
  <c r="T911" i="1" s="1"/>
  <c r="U911" i="1" s="1"/>
  <c r="V911" i="1" s="1"/>
  <c r="Q919" i="1"/>
  <c r="L919" i="1"/>
  <c r="T919" i="1" s="1"/>
  <c r="U919" i="1" s="1"/>
  <c r="V919" i="1" s="1"/>
  <c r="Q926" i="1"/>
  <c r="W927" i="1"/>
  <c r="Q965" i="1"/>
  <c r="L965" i="1"/>
  <c r="Q984" i="1"/>
  <c r="L984" i="1"/>
  <c r="R984" i="1" s="1"/>
  <c r="Q1009" i="1"/>
  <c r="L1009" i="1"/>
  <c r="Q1051" i="1"/>
  <c r="L1051" i="1"/>
  <c r="T1049" i="1"/>
  <c r="X1069" i="1"/>
  <c r="S1069" i="1"/>
  <c r="P1069" i="1" s="1"/>
  <c r="D1143" i="1"/>
  <c r="X1181" i="1"/>
  <c r="W1181" i="1"/>
  <c r="S1181" i="1"/>
  <c r="P1181" i="1" s="1"/>
  <c r="Q1195" i="1"/>
  <c r="L1195" i="1"/>
  <c r="M1195" i="1" s="1"/>
  <c r="X1209" i="1"/>
  <c r="W1209" i="1"/>
  <c r="L1280" i="1"/>
  <c r="Q1280" i="1"/>
  <c r="L1401" i="1"/>
  <c r="Q1401" i="1"/>
  <c r="Q1438" i="1"/>
  <c r="L1438" i="1"/>
  <c r="Q1488" i="1"/>
  <c r="L1488" i="1"/>
  <c r="M1488" i="1" s="1"/>
  <c r="Q1560" i="1"/>
  <c r="L1560" i="1"/>
  <c r="M1560" i="1" s="1"/>
  <c r="W367" i="1"/>
  <c r="D383" i="1"/>
  <c r="L392" i="1"/>
  <c r="M392" i="1" s="1"/>
  <c r="Q397" i="1"/>
  <c r="L397" i="1"/>
  <c r="Q402" i="1"/>
  <c r="L402" i="1"/>
  <c r="T402" i="1" s="1"/>
  <c r="U402" i="1" s="1"/>
  <c r="V402" i="1" s="1"/>
  <c r="Q407" i="1"/>
  <c r="L407" i="1"/>
  <c r="D415" i="1"/>
  <c r="L417" i="1"/>
  <c r="R417" i="1" s="1"/>
  <c r="Q422" i="1"/>
  <c r="L422" i="1"/>
  <c r="R422" i="1" s="1"/>
  <c r="W424" i="1"/>
  <c r="S441" i="1"/>
  <c r="P441" i="1" s="1"/>
  <c r="Q461" i="1"/>
  <c r="L461" i="1"/>
  <c r="W471" i="1"/>
  <c r="Q488" i="1"/>
  <c r="D495" i="1"/>
  <c r="Q499" i="1"/>
  <c r="X504" i="1"/>
  <c r="S529" i="1"/>
  <c r="P529" i="1" s="1"/>
  <c r="Q539" i="1"/>
  <c r="Q547" i="1"/>
  <c r="Q557" i="1"/>
  <c r="L557" i="1"/>
  <c r="W570" i="1"/>
  <c r="S591" i="1"/>
  <c r="P591" i="1" s="1"/>
  <c r="X622" i="1"/>
  <c r="X627" i="1"/>
  <c r="X630" i="1"/>
  <c r="Q641" i="1"/>
  <c r="L641" i="1"/>
  <c r="Q654" i="1"/>
  <c r="L654" i="1"/>
  <c r="R654" i="1" s="1"/>
  <c r="X659" i="1"/>
  <c r="W662" i="1"/>
  <c r="S667" i="1"/>
  <c r="P667" i="1" s="1"/>
  <c r="S669" i="1"/>
  <c r="P669" i="1" s="1"/>
  <c r="Q672" i="1"/>
  <c r="L672" i="1"/>
  <c r="Q682" i="1"/>
  <c r="L682" i="1"/>
  <c r="M682" i="1" s="1"/>
  <c r="X684" i="1"/>
  <c r="Q697" i="1"/>
  <c r="L697" i="1"/>
  <c r="T697" i="1" s="1"/>
  <c r="U697" i="1" s="1"/>
  <c r="V697" i="1" s="1"/>
  <c r="L723" i="1"/>
  <c r="Q726" i="1"/>
  <c r="L726" i="1"/>
  <c r="S738" i="1"/>
  <c r="P738" i="1" s="1"/>
  <c r="L759" i="1"/>
  <c r="T759" i="1" s="1"/>
  <c r="W774" i="1"/>
  <c r="Q782" i="1"/>
  <c r="L782" i="1"/>
  <c r="X783" i="1"/>
  <c r="Q798" i="1"/>
  <c r="L798" i="1"/>
  <c r="Q822" i="1"/>
  <c r="D825" i="1"/>
  <c r="Q833" i="1"/>
  <c r="L833" i="1"/>
  <c r="T833" i="1" s="1"/>
  <c r="U833" i="1" s="1"/>
  <c r="V833" i="1" s="1"/>
  <c r="X870" i="1"/>
  <c r="S890" i="1"/>
  <c r="P890" i="1" s="1"/>
  <c r="D893" i="1"/>
  <c r="Q895" i="1"/>
  <c r="L906" i="1"/>
  <c r="M914" i="1"/>
  <c r="D917" i="1"/>
  <c r="L922" i="1"/>
  <c r="Q938" i="1"/>
  <c r="S938" i="1"/>
  <c r="P938" i="1" s="1"/>
  <c r="Q949" i="1"/>
  <c r="L949" i="1"/>
  <c r="Q957" i="1"/>
  <c r="L957" i="1"/>
  <c r="Q960" i="1"/>
  <c r="L960" i="1"/>
  <c r="R960" i="1" s="1"/>
  <c r="D968" i="1"/>
  <c r="W984" i="1"/>
  <c r="Q997" i="1"/>
  <c r="L997" i="1"/>
  <c r="W1009" i="1"/>
  <c r="X1009" i="1"/>
  <c r="X1366" i="1"/>
  <c r="L1816" i="1"/>
  <c r="T1816" i="1" s="1"/>
  <c r="U1816" i="1" s="1"/>
  <c r="V1816" i="1" s="1"/>
  <c r="Q1816" i="1"/>
  <c r="Q294" i="1"/>
  <c r="L294" i="1"/>
  <c r="T294" i="1" s="1"/>
  <c r="U294" i="1" s="1"/>
  <c r="V294" i="1" s="1"/>
  <c r="Q297" i="1"/>
  <c r="L297" i="1"/>
  <c r="M297" i="1" s="1"/>
  <c r="D302" i="1"/>
  <c r="L304" i="1"/>
  <c r="W314" i="1"/>
  <c r="D317" i="1"/>
  <c r="L324" i="1"/>
  <c r="R324" i="1" s="1"/>
  <c r="S336" i="1"/>
  <c r="P336" i="1" s="1"/>
  <c r="D341" i="1"/>
  <c r="W353" i="1"/>
  <c r="Q363" i="1"/>
  <c r="L363" i="1"/>
  <c r="X387" i="1"/>
  <c r="X392" i="1"/>
  <c r="Q395" i="1"/>
  <c r="L395" i="1"/>
  <c r="T395" i="1" s="1"/>
  <c r="U395" i="1" s="1"/>
  <c r="V395" i="1" s="1"/>
  <c r="L412" i="1"/>
  <c r="T412" i="1" s="1"/>
  <c r="S417" i="1"/>
  <c r="P417" i="1" s="1"/>
  <c r="D427" i="1"/>
  <c r="Q432" i="1"/>
  <c r="W439" i="1"/>
  <c r="D444" i="1"/>
  <c r="X454" i="1"/>
  <c r="D457" i="1"/>
  <c r="D487" i="1"/>
  <c r="S514" i="1"/>
  <c r="P514" i="1" s="1"/>
  <c r="D522" i="1"/>
  <c r="Q535" i="1"/>
  <c r="L535" i="1"/>
  <c r="D540" i="1"/>
  <c r="S545" i="1"/>
  <c r="P545" i="1" s="1"/>
  <c r="Q554" i="1"/>
  <c r="S557" i="1"/>
  <c r="P557" i="1" s="1"/>
  <c r="Q562" i="1"/>
  <c r="D569" i="1"/>
  <c r="X574" i="1"/>
  <c r="Q577" i="1"/>
  <c r="L577" i="1"/>
  <c r="D586" i="1"/>
  <c r="Q594" i="1"/>
  <c r="L594" i="1"/>
  <c r="Q598" i="1"/>
  <c r="W641" i="1"/>
  <c r="L646" i="1"/>
  <c r="R646" i="1" s="1"/>
  <c r="X654" i="1"/>
  <c r="D665" i="1"/>
  <c r="D677" i="1"/>
  <c r="D680" i="1"/>
  <c r="L687" i="1"/>
  <c r="T687" i="1" s="1"/>
  <c r="W692" i="1"/>
  <c r="D703" i="1"/>
  <c r="Q705" i="1"/>
  <c r="L705" i="1"/>
  <c r="D711" i="1"/>
  <c r="D713" i="1"/>
  <c r="X723" i="1"/>
  <c r="L731" i="1"/>
  <c r="Q736" i="1"/>
  <c r="L736" i="1"/>
  <c r="D744" i="1"/>
  <c r="Q754" i="1"/>
  <c r="L754" i="1"/>
  <c r="L767" i="1"/>
  <c r="T767" i="1" s="1"/>
  <c r="D770" i="1"/>
  <c r="L779" i="1"/>
  <c r="L787" i="1"/>
  <c r="W795" i="1"/>
  <c r="L803" i="1"/>
  <c r="S810" i="1"/>
  <c r="P810" i="1" s="1"/>
  <c r="L815" i="1"/>
  <c r="T815" i="1" s="1"/>
  <c r="U815" i="1" s="1"/>
  <c r="V815" i="1" s="1"/>
  <c r="D818" i="1"/>
  <c r="R822" i="1"/>
  <c r="Q825" i="1"/>
  <c r="L825" i="1"/>
  <c r="T825" i="1" s="1"/>
  <c r="U825" i="1" s="1"/>
  <c r="V825" i="1" s="1"/>
  <c r="Q839" i="1"/>
  <c r="L839" i="1"/>
  <c r="T839" i="1" s="1"/>
  <c r="U839" i="1" s="1"/>
  <c r="V839" i="1" s="1"/>
  <c r="L842" i="1"/>
  <c r="M842" i="1" s="1"/>
  <c r="D845" i="1"/>
  <c r="Q847" i="1"/>
  <c r="Q858" i="1"/>
  <c r="W863" i="1"/>
  <c r="D869" i="1"/>
  <c r="S874" i="1"/>
  <c r="P874" i="1" s="1"/>
  <c r="D885" i="1"/>
  <c r="D888" i="1"/>
  <c r="Q893" i="1"/>
  <c r="L893" i="1"/>
  <c r="D896" i="1"/>
  <c r="W911" i="1"/>
  <c r="Q917" i="1"/>
  <c r="L917" i="1"/>
  <c r="D928" i="1"/>
  <c r="Q935" i="1"/>
  <c r="D947" i="1"/>
  <c r="Q968" i="1"/>
  <c r="L968" i="1"/>
  <c r="Q976" i="1"/>
  <c r="L976" i="1"/>
  <c r="W981" i="1"/>
  <c r="Q1000" i="1"/>
  <c r="L1000" i="1"/>
  <c r="D1046" i="1"/>
  <c r="D1067" i="1"/>
  <c r="L1104" i="1"/>
  <c r="R1104" i="1" s="1"/>
  <c r="D1120" i="1"/>
  <c r="D1138" i="1"/>
  <c r="D1167" i="1"/>
  <c r="X1201" i="1"/>
  <c r="X1277" i="1"/>
  <c r="W1277" i="1"/>
  <c r="S1277" i="1"/>
  <c r="P1277" i="1" s="1"/>
  <c r="Q1301" i="1"/>
  <c r="L1301" i="1"/>
  <c r="M1301" i="1" s="1"/>
  <c r="D1327" i="1"/>
  <c r="S1386" i="1"/>
  <c r="P1386" i="1" s="1"/>
  <c r="D1472" i="1"/>
  <c r="S434" i="1"/>
  <c r="P434" i="1" s="1"/>
  <c r="Q479" i="1"/>
  <c r="L479" i="1"/>
  <c r="S489" i="1"/>
  <c r="P489" i="1" s="1"/>
  <c r="L492" i="1"/>
  <c r="Q517" i="1"/>
  <c r="L517" i="1"/>
  <c r="Q522" i="1"/>
  <c r="L522" i="1"/>
  <c r="T522" i="1" s="1"/>
  <c r="U522" i="1" s="1"/>
  <c r="V522" i="1" s="1"/>
  <c r="Q532" i="1"/>
  <c r="L532" i="1"/>
  <c r="T532" i="1" s="1"/>
  <c r="U532" i="1" s="1"/>
  <c r="V532" i="1" s="1"/>
  <c r="Q543" i="1"/>
  <c r="L543" i="1"/>
  <c r="X560" i="1"/>
  <c r="Q614" i="1"/>
  <c r="Q622" i="1"/>
  <c r="X646" i="1"/>
  <c r="Q649" i="1"/>
  <c r="L649" i="1"/>
  <c r="W667" i="1"/>
  <c r="L695" i="1"/>
  <c r="T695" i="1" s="1"/>
  <c r="W708" i="1"/>
  <c r="Q721" i="1"/>
  <c r="L721" i="1"/>
  <c r="X731" i="1"/>
  <c r="Q746" i="1"/>
  <c r="L746" i="1"/>
  <c r="Q757" i="1"/>
  <c r="L757" i="1"/>
  <c r="S759" i="1"/>
  <c r="Q762" i="1"/>
  <c r="L762" i="1"/>
  <c r="Q807" i="1"/>
  <c r="Q855" i="1"/>
  <c r="S858" i="1"/>
  <c r="P858" i="1" s="1"/>
  <c r="Q861" i="1"/>
  <c r="L861" i="1"/>
  <c r="Q869" i="1"/>
  <c r="L869" i="1"/>
  <c r="Q885" i="1"/>
  <c r="L885" i="1"/>
  <c r="X893" i="1"/>
  <c r="X933" i="1"/>
  <c r="W933" i="1"/>
  <c r="Q944" i="1"/>
  <c r="L944" i="1"/>
  <c r="S952" i="1"/>
  <c r="Q955" i="1"/>
  <c r="L955" i="1"/>
  <c r="R955" i="1" s="1"/>
  <c r="W965" i="1"/>
  <c r="S965" i="1"/>
  <c r="P965" i="1" s="1"/>
  <c r="L1164" i="1"/>
  <c r="T1164" i="1" s="1"/>
  <c r="U1164" i="1" s="1"/>
  <c r="V1164" i="1" s="1"/>
  <c r="Q1164" i="1"/>
  <c r="L1243" i="1"/>
  <c r="Q1243" i="1"/>
  <c r="X1301" i="1"/>
  <c r="W1301" i="1"/>
  <c r="W1457" i="1"/>
  <c r="D277" i="1"/>
  <c r="S308" i="1"/>
  <c r="P308" i="1" s="1"/>
  <c r="W324" i="1"/>
  <c r="D327" i="1"/>
  <c r="Q360" i="1"/>
  <c r="Q370" i="1"/>
  <c r="L370" i="1"/>
  <c r="T370" i="1" s="1"/>
  <c r="U370" i="1" s="1"/>
  <c r="V370" i="1" s="1"/>
  <c r="W383" i="1"/>
  <c r="D398" i="1"/>
  <c r="D410" i="1"/>
  <c r="D425" i="1"/>
  <c r="Q427" i="1"/>
  <c r="L427" i="1"/>
  <c r="T427" i="1" s="1"/>
  <c r="U427" i="1" s="1"/>
  <c r="V427" i="1" s="1"/>
  <c r="L444" i="1"/>
  <c r="S449" i="1"/>
  <c r="P449" i="1" s="1"/>
  <c r="D462" i="1"/>
  <c r="D467" i="1"/>
  <c r="Q469" i="1"/>
  <c r="L469" i="1"/>
  <c r="S474" i="1"/>
  <c r="D477" i="1"/>
  <c r="W495" i="1"/>
  <c r="W506" i="1"/>
  <c r="Q512" i="1"/>
  <c r="L512" i="1"/>
  <c r="R512" i="1" s="1"/>
  <c r="W532" i="1"/>
  <c r="W535" i="1"/>
  <c r="L540" i="1"/>
  <c r="T540" i="1" s="1"/>
  <c r="U540" i="1" s="1"/>
  <c r="V540" i="1" s="1"/>
  <c r="L548" i="1"/>
  <c r="T548" i="1" s="1"/>
  <c r="U548" i="1" s="1"/>
  <c r="V548" i="1" s="1"/>
  <c r="D575" i="1"/>
  <c r="Q586" i="1"/>
  <c r="L586" i="1"/>
  <c r="T586" i="1" s="1"/>
  <c r="U586" i="1" s="1"/>
  <c r="V586" i="1" s="1"/>
  <c r="Q589" i="1"/>
  <c r="L589" i="1"/>
  <c r="R589" i="1" s="1"/>
  <c r="W596" i="1"/>
  <c r="S636" i="1"/>
  <c r="L639" i="1"/>
  <c r="D644" i="1"/>
  <c r="S649" i="1"/>
  <c r="P649" i="1" s="1"/>
  <c r="Q665" i="1"/>
  <c r="L665" i="1"/>
  <c r="X667" i="1"/>
  <c r="W677" i="1"/>
  <c r="Q680" i="1"/>
  <c r="L680" i="1"/>
  <c r="L685" i="1"/>
  <c r="R685" i="1" s="1"/>
  <c r="D690" i="1"/>
  <c r="D698" i="1"/>
  <c r="L703" i="1"/>
  <c r="T703" i="1" s="1"/>
  <c r="L711" i="1"/>
  <c r="T711" i="1" s="1"/>
  <c r="Q713" i="1"/>
  <c r="L713" i="1"/>
  <c r="D727" i="1"/>
  <c r="Q729" i="1"/>
  <c r="L729" i="1"/>
  <c r="Q734" i="1"/>
  <c r="L734" i="1"/>
  <c r="Q749" i="1"/>
  <c r="L749" i="1"/>
  <c r="Q752" i="1"/>
  <c r="L752" i="1"/>
  <c r="W757" i="1"/>
  <c r="Q777" i="1"/>
  <c r="L777" i="1"/>
  <c r="T777" i="1" s="1"/>
  <c r="U777" i="1" s="1"/>
  <c r="V777" i="1" s="1"/>
  <c r="D785" i="1"/>
  <c r="D808" i="1"/>
  <c r="Q810" i="1"/>
  <c r="Q813" i="1"/>
  <c r="L813" i="1"/>
  <c r="W815" i="1"/>
  <c r="D828" i="1"/>
  <c r="W836" i="1"/>
  <c r="Q853" i="1"/>
  <c r="D856" i="1"/>
  <c r="X869" i="1"/>
  <c r="D872" i="1"/>
  <c r="Q901" i="1"/>
  <c r="L901" i="1"/>
  <c r="S906" i="1"/>
  <c r="P906" i="1" s="1"/>
  <c r="D909" i="1"/>
  <c r="S922" i="1"/>
  <c r="P922" i="1" s="1"/>
  <c r="Q925" i="1"/>
  <c r="L925" i="1"/>
  <c r="Q947" i="1"/>
  <c r="L947" i="1"/>
  <c r="Q963" i="1"/>
  <c r="L963" i="1"/>
  <c r="R963" i="1" s="1"/>
  <c r="D979" i="1"/>
  <c r="D995" i="1"/>
  <c r="Q1099" i="1"/>
  <c r="L1099" i="1"/>
  <c r="D1226" i="1"/>
  <c r="L1275" i="1"/>
  <c r="Q1275" i="1"/>
  <c r="D1373" i="1"/>
  <c r="Q1064" i="1"/>
  <c r="L1064" i="1"/>
  <c r="R1064" i="1" s="1"/>
  <c r="Q1067" i="1"/>
  <c r="L1067" i="1"/>
  <c r="Q1072" i="1"/>
  <c r="L1072" i="1"/>
  <c r="R1072" i="1" s="1"/>
  <c r="Q1084" i="1"/>
  <c r="Q1092" i="1"/>
  <c r="L1092" i="1"/>
  <c r="T1092" i="1" s="1"/>
  <c r="U1092" i="1" s="1"/>
  <c r="V1092" i="1" s="1"/>
  <c r="W1109" i="1"/>
  <c r="Q1115" i="1"/>
  <c r="L1115" i="1"/>
  <c r="Q1120" i="1"/>
  <c r="L1120" i="1"/>
  <c r="R1120" i="1" s="1"/>
  <c r="W1150" i="1"/>
  <c r="X1157" i="1"/>
  <c r="Q1160" i="1"/>
  <c r="L1160" i="1"/>
  <c r="M1160" i="1" s="1"/>
  <c r="W1169" i="1"/>
  <c r="D1184" i="1"/>
  <c r="L1193" i="1"/>
  <c r="Q1216" i="1"/>
  <c r="Q1228" i="1"/>
  <c r="L1228" i="1"/>
  <c r="T1228" i="1" s="1"/>
  <c r="U1228" i="1" s="1"/>
  <c r="V1228" i="1" s="1"/>
  <c r="Q1248" i="1"/>
  <c r="L1248" i="1"/>
  <c r="Q1252" i="1"/>
  <c r="X1293" i="1"/>
  <c r="Q1309" i="1"/>
  <c r="L1309" i="1"/>
  <c r="T1309" i="1" s="1"/>
  <c r="U1309" i="1" s="1"/>
  <c r="V1309" i="1" s="1"/>
  <c r="X1330" i="1"/>
  <c r="Q1349" i="1"/>
  <c r="L1349" i="1"/>
  <c r="M1349" i="1" s="1"/>
  <c r="Q1365" i="1"/>
  <c r="L1365" i="1"/>
  <c r="W1373" i="1"/>
  <c r="X1373" i="1"/>
  <c r="W1382" i="1"/>
  <c r="L1404" i="1"/>
  <c r="M1404" i="1" s="1"/>
  <c r="W1415" i="1"/>
  <c r="Q1453" i="1"/>
  <c r="L1453" i="1"/>
  <c r="M1453" i="1" s="1"/>
  <c r="X1469" i="1"/>
  <c r="L1608" i="1"/>
  <c r="Q1608" i="1"/>
  <c r="X1815" i="1"/>
  <c r="X1816" i="1"/>
  <c r="S1918" i="1"/>
  <c r="P1918" i="1" s="1"/>
  <c r="W1917" i="1"/>
  <c r="Q2003" i="1"/>
  <c r="L2003" i="1"/>
  <c r="L990" i="1"/>
  <c r="W1000" i="1"/>
  <c r="Q1023" i="1"/>
  <c r="L1023" i="1"/>
  <c r="R1023" i="1" s="1"/>
  <c r="L1057" i="1"/>
  <c r="W1064" i="1"/>
  <c r="R1081" i="1"/>
  <c r="L1080" i="1"/>
  <c r="Q1107" i="1"/>
  <c r="L1107" i="1"/>
  <c r="M1107" i="1" s="1"/>
  <c r="D1136" i="1"/>
  <c r="Q1148" i="1"/>
  <c r="L1148" i="1"/>
  <c r="T1148" i="1" s="1"/>
  <c r="U1148" i="1" s="1"/>
  <c r="V1148" i="1" s="1"/>
  <c r="Q1153" i="1"/>
  <c r="Q1174" i="1"/>
  <c r="L1174" i="1"/>
  <c r="S1200" i="1"/>
  <c r="P1200" i="1" s="1"/>
  <c r="Q1214" i="1"/>
  <c r="L1214" i="1"/>
  <c r="D1219" i="1"/>
  <c r="X1221" i="1"/>
  <c r="S1225" i="1"/>
  <c r="Q1236" i="1"/>
  <c r="L1236" i="1"/>
  <c r="T1236" i="1" s="1"/>
  <c r="U1236" i="1" s="1"/>
  <c r="V1236" i="1" s="1"/>
  <c r="Q1241" i="1"/>
  <c r="L1241" i="1"/>
  <c r="R1241" i="1" s="1"/>
  <c r="S1257" i="1"/>
  <c r="P1257" i="1" s="1"/>
  <c r="Q1273" i="1"/>
  <c r="L1273" i="1"/>
  <c r="T1273" i="1" s="1"/>
  <c r="U1273" i="1" s="1"/>
  <c r="V1273" i="1" s="1"/>
  <c r="X1296" i="1"/>
  <c r="T1299" i="1"/>
  <c r="U1299" i="1" s="1"/>
  <c r="V1299" i="1" s="1"/>
  <c r="L1304" i="1"/>
  <c r="Q1333" i="1"/>
  <c r="L1333" i="1"/>
  <c r="X1349" i="1"/>
  <c r="L1352" i="1"/>
  <c r="D1368" i="1"/>
  <c r="W1441" i="1"/>
  <c r="X1453" i="1"/>
  <c r="Q1477" i="1"/>
  <c r="L1477" i="1"/>
  <c r="Q1480" i="1"/>
  <c r="L1480" i="1"/>
  <c r="D1483" i="1"/>
  <c r="Q1494" i="1"/>
  <c r="L1494" i="1"/>
  <c r="Q1517" i="1"/>
  <c r="L1517" i="1"/>
  <c r="S1605" i="1"/>
  <c r="P1605" i="1" s="1"/>
  <c r="X1605" i="1"/>
  <c r="S1653" i="1"/>
  <c r="P1653" i="1" s="1"/>
  <c r="L1697" i="1"/>
  <c r="T1697" i="1" s="1"/>
  <c r="U1697" i="1" s="1"/>
  <c r="V1697" i="1" s="1"/>
  <c r="Q1697" i="1"/>
  <c r="Q1766" i="1"/>
  <c r="L1766" i="1"/>
  <c r="X1813" i="1"/>
  <c r="W1813" i="1"/>
  <c r="S1812" i="1"/>
  <c r="P1812" i="1" s="1"/>
  <c r="Q1859" i="1"/>
  <c r="L1859" i="1"/>
  <c r="W1920" i="1"/>
  <c r="X1920" i="1"/>
  <c r="Q1968" i="1"/>
  <c r="L1968" i="1"/>
  <c r="T1968" i="1" s="1"/>
  <c r="U1968" i="1" s="1"/>
  <c r="V1968" i="1" s="1"/>
  <c r="D914" i="1"/>
  <c r="W916" i="1"/>
  <c r="Q924" i="1"/>
  <c r="L924" i="1"/>
  <c r="Q927" i="1"/>
  <c r="L927" i="1"/>
  <c r="T927" i="1" s="1"/>
  <c r="U927" i="1" s="1"/>
  <c r="V927" i="1" s="1"/>
  <c r="L930" i="1"/>
  <c r="D938" i="1"/>
  <c r="D959" i="1"/>
  <c r="Q995" i="1"/>
  <c r="L995" i="1"/>
  <c r="T995" i="1" s="1"/>
  <c r="U995" i="1" s="1"/>
  <c r="V995" i="1" s="1"/>
  <c r="D998" i="1"/>
  <c r="Q1003" i="1"/>
  <c r="L1003" i="1"/>
  <c r="R1003" i="1" s="1"/>
  <c r="Q1013" i="1"/>
  <c r="L1013" i="1"/>
  <c r="M1013" i="1" s="1"/>
  <c r="S1023" i="1"/>
  <c r="P1023" i="1" s="1"/>
  <c r="D1026" i="1"/>
  <c r="D1044" i="1"/>
  <c r="W1072" i="1"/>
  <c r="D1075" i="1"/>
  <c r="D1088" i="1"/>
  <c r="S1115" i="1"/>
  <c r="P1115" i="1" s="1"/>
  <c r="D1118" i="1"/>
  <c r="W1125" i="1"/>
  <c r="D1131" i="1"/>
  <c r="L1133" i="1"/>
  <c r="T1133" i="1" s="1"/>
  <c r="Q1136" i="1"/>
  <c r="L1136" i="1"/>
  <c r="R1136" i="1" s="1"/>
  <c r="S1138" i="1"/>
  <c r="P1138" i="1" s="1"/>
  <c r="L1141" i="1"/>
  <c r="T1141" i="1" s="1"/>
  <c r="D1146" i="1"/>
  <c r="L1153" i="1"/>
  <c r="S1155" i="1"/>
  <c r="X1169" i="1"/>
  <c r="X1174" i="1"/>
  <c r="D1210" i="1"/>
  <c r="D1217" i="1"/>
  <c r="Q1224" i="1"/>
  <c r="L1224" i="1"/>
  <c r="D1239" i="1"/>
  <c r="X1248" i="1"/>
  <c r="Q1268" i="1"/>
  <c r="L1268" i="1"/>
  <c r="T1268" i="1" s="1"/>
  <c r="U1268" i="1" s="1"/>
  <c r="V1268" i="1" s="1"/>
  <c r="T1283" i="1"/>
  <c r="U1283" i="1" s="1"/>
  <c r="V1283" i="1" s="1"/>
  <c r="Q1288" i="1"/>
  <c r="L1288" i="1"/>
  <c r="W1293" i="1"/>
  <c r="X1304" i="1"/>
  <c r="D1315" i="1"/>
  <c r="Q1317" i="1"/>
  <c r="L1317" i="1"/>
  <c r="L1320" i="1"/>
  <c r="D1331" i="1"/>
  <c r="L1336" i="1"/>
  <c r="D1341" i="1"/>
  <c r="D1355" i="1"/>
  <c r="L1358" i="1"/>
  <c r="M1358" i="1" s="1"/>
  <c r="L1368" i="1"/>
  <c r="R1368" i="1" s="1"/>
  <c r="D1371" i="1"/>
  <c r="S1373" i="1"/>
  <c r="P1373" i="1" s="1"/>
  <c r="X1382" i="1"/>
  <c r="L1396" i="1"/>
  <c r="W1403" i="1"/>
  <c r="L1418" i="1"/>
  <c r="T1418" i="1" s="1"/>
  <c r="U1418" i="1" s="1"/>
  <c r="V1418" i="1" s="1"/>
  <c r="Q1421" i="1"/>
  <c r="L1421" i="1"/>
  <c r="W1438" i="1"/>
  <c r="Q1459" i="1"/>
  <c r="L1459" i="1"/>
  <c r="Q1462" i="1"/>
  <c r="L1462" i="1"/>
  <c r="D1475" i="1"/>
  <c r="W1477" i="1"/>
  <c r="W1517" i="1"/>
  <c r="X1517" i="1"/>
  <c r="S1517" i="1"/>
  <c r="P1517" i="1" s="1"/>
  <c r="X1555" i="1"/>
  <c r="W1555" i="1"/>
  <c r="D1576" i="1"/>
  <c r="D1617" i="1"/>
  <c r="Q1712" i="1"/>
  <c r="L1712" i="1"/>
  <c r="D976" i="1"/>
  <c r="D1001" i="1"/>
  <c r="L1006" i="1"/>
  <c r="S1031" i="1"/>
  <c r="P1031" i="1" s="1"/>
  <c r="Q1036" i="1"/>
  <c r="D1042" i="1"/>
  <c r="Q1044" i="1"/>
  <c r="L1044" i="1"/>
  <c r="T1044" i="1" s="1"/>
  <c r="U1044" i="1" s="1"/>
  <c r="V1044" i="1" s="1"/>
  <c r="W1054" i="1"/>
  <c r="X1057" i="1"/>
  <c r="D1062" i="1"/>
  <c r="D1083" i="1"/>
  <c r="L1085" i="1"/>
  <c r="L1088" i="1"/>
  <c r="R1088" i="1" s="1"/>
  <c r="Q1102" i="1"/>
  <c r="L1102" i="1"/>
  <c r="L1105" i="1"/>
  <c r="M1105" i="1" s="1"/>
  <c r="Q1123" i="1"/>
  <c r="L1123" i="1"/>
  <c r="S1157" i="1"/>
  <c r="P1157" i="1" s="1"/>
  <c r="D1165" i="1"/>
  <c r="D1170" i="1"/>
  <c r="Q1177" i="1"/>
  <c r="L1177" i="1"/>
  <c r="T1177" i="1" s="1"/>
  <c r="U1177" i="1" s="1"/>
  <c r="V1177" i="1" s="1"/>
  <c r="D1182" i="1"/>
  <c r="L1189" i="1"/>
  <c r="T1189" i="1" s="1"/>
  <c r="U1189" i="1" s="1"/>
  <c r="V1189" i="1" s="1"/>
  <c r="S1190" i="1"/>
  <c r="P1190" i="1" s="1"/>
  <c r="D1196" i="1"/>
  <c r="X1205" i="1"/>
  <c r="S1221" i="1"/>
  <c r="P1221" i="1" s="1"/>
  <c r="S1226" i="1"/>
  <c r="P1226" i="1" s="1"/>
  <c r="D1246" i="1"/>
  <c r="D1251" i="1"/>
  <c r="L1253" i="1"/>
  <c r="D1259" i="1"/>
  <c r="D1276" i="1"/>
  <c r="Q1278" i="1"/>
  <c r="L1278" i="1"/>
  <c r="D1281" i="1"/>
  <c r="X1288" i="1"/>
  <c r="Q1291" i="1"/>
  <c r="L1291" i="1"/>
  <c r="D1294" i="1"/>
  <c r="D1310" i="1"/>
  <c r="Q1325" i="1"/>
  <c r="L1325" i="1"/>
  <c r="S1338" i="1"/>
  <c r="P1338" i="1" s="1"/>
  <c r="Q1347" i="1"/>
  <c r="L1347" i="1"/>
  <c r="Q1355" i="1"/>
  <c r="L1355" i="1"/>
  <c r="D1374" i="1"/>
  <c r="W1385" i="1"/>
  <c r="L1388" i="1"/>
  <c r="D1394" i="1"/>
  <c r="Q1430" i="1"/>
  <c r="L1430" i="1"/>
  <c r="L1436" i="1"/>
  <c r="D1442" i="1"/>
  <c r="D1454" i="1"/>
  <c r="X1456" i="1"/>
  <c r="X1462" i="1"/>
  <c r="X1461" i="1"/>
  <c r="L1468" i="1"/>
  <c r="Q1470" i="1"/>
  <c r="L1470" i="1"/>
  <c r="Q1472" i="1"/>
  <c r="X1480" i="1"/>
  <c r="X1488" i="1"/>
  <c r="D1492" i="1"/>
  <c r="S1497" i="1"/>
  <c r="P1497" i="1" s="1"/>
  <c r="W1551" i="1"/>
  <c r="S1551" i="1"/>
  <c r="P1551" i="1" s="1"/>
  <c r="W1605" i="1"/>
  <c r="Q1851" i="1"/>
  <c r="L1851" i="1"/>
  <c r="R1851" i="1" s="1"/>
  <c r="L2054" i="1"/>
  <c r="Q2054" i="1"/>
  <c r="Q2315" i="1"/>
  <c r="L2315" i="1"/>
  <c r="T2315" i="1" s="1"/>
  <c r="U2315" i="1" s="1"/>
  <c r="V2315" i="1" s="1"/>
  <c r="L2318" i="1"/>
  <c r="Q2318" i="1"/>
  <c r="L998" i="1"/>
  <c r="M1017" i="1"/>
  <c r="L1016" i="1"/>
  <c r="R1016" i="1" s="1"/>
  <c r="S1017" i="1"/>
  <c r="P1017" i="1" s="1"/>
  <c r="D1037" i="1"/>
  <c r="Q1075" i="1"/>
  <c r="L1075" i="1"/>
  <c r="W1088" i="1"/>
  <c r="D1096" i="1"/>
  <c r="Q1100" i="1"/>
  <c r="L1100" i="1"/>
  <c r="T1100" i="1" s="1"/>
  <c r="U1100" i="1" s="1"/>
  <c r="V1100" i="1" s="1"/>
  <c r="Q1110" i="1"/>
  <c r="L1110" i="1"/>
  <c r="Q1118" i="1"/>
  <c r="L1118" i="1"/>
  <c r="Q1128" i="1"/>
  <c r="L1128" i="1"/>
  <c r="Q1131" i="1"/>
  <c r="L1131" i="1"/>
  <c r="M1131" i="1" s="1"/>
  <c r="Q1193" i="1"/>
  <c r="Q1198" i="1"/>
  <c r="L1198" i="1"/>
  <c r="Q1217" i="1"/>
  <c r="L1217" i="1"/>
  <c r="T1217" i="1" s="1"/>
  <c r="W1241" i="1"/>
  <c r="Q1331" i="1"/>
  <c r="L1331" i="1"/>
  <c r="Q1341" i="1"/>
  <c r="L1341" i="1"/>
  <c r="L1344" i="1"/>
  <c r="Q1363" i="1"/>
  <c r="L1363" i="1"/>
  <c r="Q1371" i="1"/>
  <c r="L1371" i="1"/>
  <c r="Q1378" i="1"/>
  <c r="L1378" i="1"/>
  <c r="S1387" i="1"/>
  <c r="P1387" i="1" s="1"/>
  <c r="L1410" i="1"/>
  <c r="M1410" i="1" s="1"/>
  <c r="Q1413" i="1"/>
  <c r="L1413" i="1"/>
  <c r="R1413" i="1" s="1"/>
  <c r="S1467" i="1"/>
  <c r="P1467" i="1" s="1"/>
  <c r="L1475" i="1"/>
  <c r="T1475" i="1" s="1"/>
  <c r="Q1486" i="1"/>
  <c r="L1486" i="1"/>
  <c r="Q1509" i="1"/>
  <c r="L1509" i="1"/>
  <c r="Q1512" i="1"/>
  <c r="L1512" i="1"/>
  <c r="L1617" i="1"/>
  <c r="T1617" i="1" s="1"/>
  <c r="U1617" i="1" s="1"/>
  <c r="V1617" i="1" s="1"/>
  <c r="Q1617" i="1"/>
  <c r="X1847" i="1"/>
  <c r="X1848" i="1"/>
  <c r="W1848" i="1"/>
  <c r="Q2042" i="1"/>
  <c r="L2042" i="1"/>
  <c r="T2042" i="1" s="1"/>
  <c r="U2042" i="1" s="1"/>
  <c r="V2042" i="1" s="1"/>
  <c r="W1016" i="1"/>
  <c r="Q1083" i="1"/>
  <c r="L1083" i="1"/>
  <c r="M1083" i="1" s="1"/>
  <c r="Q1113" i="1"/>
  <c r="L1113" i="1"/>
  <c r="S1123" i="1"/>
  <c r="P1123" i="1" s="1"/>
  <c r="Q1139" i="1"/>
  <c r="L1139" i="1"/>
  <c r="Q1144" i="1"/>
  <c r="L1144" i="1"/>
  <c r="S1145" i="1"/>
  <c r="P1145" i="1" s="1"/>
  <c r="L1165" i="1"/>
  <c r="Q1172" i="1"/>
  <c r="L1172" i="1"/>
  <c r="T1172" i="1" s="1"/>
  <c r="U1172" i="1" s="1"/>
  <c r="V1172" i="1" s="1"/>
  <c r="D1180" i="1"/>
  <c r="Q1182" i="1"/>
  <c r="L1182" i="1"/>
  <c r="S1203" i="1"/>
  <c r="P1203" i="1" s="1"/>
  <c r="D1206" i="1"/>
  <c r="Q1208" i="1"/>
  <c r="L1208" i="1"/>
  <c r="S1216" i="1"/>
  <c r="P1216" i="1" s="1"/>
  <c r="D1222" i="1"/>
  <c r="D1237" i="1"/>
  <c r="D1242" i="1"/>
  <c r="Q1246" i="1"/>
  <c r="L1246" i="1"/>
  <c r="Q1251" i="1"/>
  <c r="L1251" i="1"/>
  <c r="Q1259" i="1"/>
  <c r="L1259" i="1"/>
  <c r="M1259" i="1" s="1"/>
  <c r="P1261" i="1"/>
  <c r="S1270" i="1"/>
  <c r="P1270" i="1" s="1"/>
  <c r="X1273" i="1"/>
  <c r="Q1281" i="1"/>
  <c r="L1281" i="1"/>
  <c r="Q1283" i="1"/>
  <c r="Q1294" i="1"/>
  <c r="L1294" i="1"/>
  <c r="Q1297" i="1"/>
  <c r="L1297" i="1"/>
  <c r="Q1302" i="1"/>
  <c r="L1302" i="1"/>
  <c r="Q1310" i="1"/>
  <c r="L1310" i="1"/>
  <c r="T1315" i="1"/>
  <c r="U1315" i="1" s="1"/>
  <c r="V1315" i="1" s="1"/>
  <c r="D1318" i="1"/>
  <c r="D1323" i="1"/>
  <c r="L1366" i="1"/>
  <c r="M1366" i="1" s="1"/>
  <c r="L1374" i="1"/>
  <c r="M1374" i="1" s="1"/>
  <c r="Q1407" i="1"/>
  <c r="L1407" i="1"/>
  <c r="L1416" i="1"/>
  <c r="D1434" i="1"/>
  <c r="D1439" i="1"/>
  <c r="Q1445" i="1"/>
  <c r="L1445" i="1"/>
  <c r="R1445" i="1" s="1"/>
  <c r="Q1454" i="1"/>
  <c r="L1454" i="1"/>
  <c r="D1484" i="1"/>
  <c r="D1507" i="1"/>
  <c r="D1547" i="1"/>
  <c r="Q1585" i="1"/>
  <c r="L1585" i="1"/>
  <c r="T1585" i="1" s="1"/>
  <c r="U1585" i="1" s="1"/>
  <c r="V1585" i="1" s="1"/>
  <c r="Q1588" i="1"/>
  <c r="L1588" i="1"/>
  <c r="Q1654" i="1"/>
  <c r="L1654" i="1"/>
  <c r="Q1689" i="1"/>
  <c r="L1689" i="1"/>
  <c r="T1689" i="1" s="1"/>
  <c r="U1689" i="1" s="1"/>
  <c r="V1689" i="1" s="1"/>
  <c r="L1692" i="1"/>
  <c r="Q1692" i="1"/>
  <c r="D1761" i="1"/>
  <c r="Q991" i="1"/>
  <c r="L991" i="1"/>
  <c r="T991" i="1" s="1"/>
  <c r="U991" i="1" s="1"/>
  <c r="V991" i="1" s="1"/>
  <c r="D1007" i="1"/>
  <c r="Q1011" i="1"/>
  <c r="L1011" i="1"/>
  <c r="T1011" i="1" s="1"/>
  <c r="U1011" i="1" s="1"/>
  <c r="V1011" i="1" s="1"/>
  <c r="L1037" i="1"/>
  <c r="R1037" i="1" s="1"/>
  <c r="S1042" i="1"/>
  <c r="P1042" i="1" s="1"/>
  <c r="Q1052" i="1"/>
  <c r="L1052" i="1"/>
  <c r="T1052" i="1" s="1"/>
  <c r="U1052" i="1" s="1"/>
  <c r="V1052" i="1" s="1"/>
  <c r="D1055" i="1"/>
  <c r="Q1060" i="1"/>
  <c r="L1060" i="1"/>
  <c r="L1065" i="1"/>
  <c r="L1073" i="1"/>
  <c r="M1073" i="1" s="1"/>
  <c r="R1097" i="1"/>
  <c r="L1096" i="1"/>
  <c r="D1103" i="1"/>
  <c r="D1116" i="1"/>
  <c r="S1131" i="1"/>
  <c r="P1131" i="1" s="1"/>
  <c r="D1134" i="1"/>
  <c r="W1144" i="1"/>
  <c r="D1156" i="1"/>
  <c r="Q1158" i="1"/>
  <c r="L1158" i="1"/>
  <c r="T1163" i="1"/>
  <c r="U1163" i="1" s="1"/>
  <c r="V1163" i="1" s="1"/>
  <c r="Q1187" i="1"/>
  <c r="L1187" i="1"/>
  <c r="D1192" i="1"/>
  <c r="Q1222" i="1"/>
  <c r="L1222" i="1"/>
  <c r="S1265" i="1"/>
  <c r="P1265" i="1" s="1"/>
  <c r="Q1286" i="1"/>
  <c r="L1286" i="1"/>
  <c r="S1315" i="1"/>
  <c r="P1315" i="1" s="1"/>
  <c r="W1315" i="1"/>
  <c r="S1331" i="1"/>
  <c r="P1331" i="1" s="1"/>
  <c r="Q1334" i="1"/>
  <c r="L1334" i="1"/>
  <c r="Q1350" i="1"/>
  <c r="L1350" i="1"/>
  <c r="Q1405" i="1"/>
  <c r="L1405" i="1"/>
  <c r="L1439" i="1"/>
  <c r="Q1439" i="1"/>
  <c r="Q1451" i="1"/>
  <c r="L1451" i="1"/>
  <c r="W1470" i="1"/>
  <c r="Q1489" i="1"/>
  <c r="L1489" i="1"/>
  <c r="T1489" i="1" s="1"/>
  <c r="U1489" i="1" s="1"/>
  <c r="V1489" i="1" s="1"/>
  <c r="W1599" i="1"/>
  <c r="S1599" i="1"/>
  <c r="P1599" i="1" s="1"/>
  <c r="L1632" i="1"/>
  <c r="Q1632" i="1"/>
  <c r="W1654" i="1"/>
  <c r="X1654" i="1"/>
  <c r="Q1021" i="1"/>
  <c r="L1021" i="1"/>
  <c r="L1029" i="1"/>
  <c r="M1033" i="1"/>
  <c r="L1032" i="1"/>
  <c r="R1032" i="1" s="1"/>
  <c r="Q1040" i="1"/>
  <c r="L1040" i="1"/>
  <c r="W1105" i="1"/>
  <c r="Q1116" i="1"/>
  <c r="L1116" i="1"/>
  <c r="T1116" i="1" s="1"/>
  <c r="U1116" i="1" s="1"/>
  <c r="V1116" i="1" s="1"/>
  <c r="S1146" i="1"/>
  <c r="P1146" i="1" s="1"/>
  <c r="W1153" i="1"/>
  <c r="Q1180" i="1"/>
  <c r="L1180" i="1"/>
  <c r="T1180" i="1" s="1"/>
  <c r="U1180" i="1" s="1"/>
  <c r="V1180" i="1" s="1"/>
  <c r="Q1185" i="1"/>
  <c r="S1189" i="1"/>
  <c r="P1189" i="1" s="1"/>
  <c r="Q1201" i="1"/>
  <c r="L1201" i="1"/>
  <c r="T1201" i="1" s="1"/>
  <c r="Q1206" i="1"/>
  <c r="L1206" i="1"/>
  <c r="X1208" i="1"/>
  <c r="D1218" i="1"/>
  <c r="W1224" i="1"/>
  <c r="T1232" i="1"/>
  <c r="U1232" i="1" s="1"/>
  <c r="V1232" i="1" s="1"/>
  <c r="D1240" i="1"/>
  <c r="X1264" i="1"/>
  <c r="Q1289" i="1"/>
  <c r="L1289" i="1"/>
  <c r="Q1318" i="1"/>
  <c r="L1318" i="1"/>
  <c r="T1323" i="1"/>
  <c r="U1323" i="1" s="1"/>
  <c r="V1323" i="1" s="1"/>
  <c r="X1334" i="1"/>
  <c r="Q1369" i="1"/>
  <c r="L1369" i="1"/>
  <c r="T1369" i="1" s="1"/>
  <c r="U1369" i="1" s="1"/>
  <c r="V1369" i="1" s="1"/>
  <c r="D1400" i="1"/>
  <c r="Q1404" i="1"/>
  <c r="D1419" i="1"/>
  <c r="Q1425" i="1"/>
  <c r="L1425" i="1"/>
  <c r="L1434" i="1"/>
  <c r="R1434" i="1" s="1"/>
  <c r="L1463" i="1"/>
  <c r="Q1463" i="1"/>
  <c r="Q1504" i="1"/>
  <c r="L1504" i="1"/>
  <c r="D1571" i="1"/>
  <c r="X1584" i="1"/>
  <c r="W1585" i="1"/>
  <c r="D1615" i="1"/>
  <c r="Q1707" i="1"/>
  <c r="L1707" i="1"/>
  <c r="Q1791" i="1"/>
  <c r="L1791" i="1"/>
  <c r="Q1004" i="1"/>
  <c r="L1004" i="1"/>
  <c r="S1016" i="1"/>
  <c r="P1016" i="1" s="1"/>
  <c r="W1029" i="1"/>
  <c r="D1035" i="1"/>
  <c r="W1037" i="1"/>
  <c r="W1040" i="1"/>
  <c r="X1042" i="1"/>
  <c r="Q1068" i="1"/>
  <c r="L1068" i="1"/>
  <c r="T1068" i="1" s="1"/>
  <c r="U1068" i="1" s="1"/>
  <c r="V1068" i="1" s="1"/>
  <c r="Q1073" i="1"/>
  <c r="S1073" i="1"/>
  <c r="P1073" i="1" s="1"/>
  <c r="X1088" i="1"/>
  <c r="W1093" i="1"/>
  <c r="W1121" i="1"/>
  <c r="W1123" i="1"/>
  <c r="Q1134" i="1"/>
  <c r="L1134" i="1"/>
  <c r="Q1156" i="1"/>
  <c r="L1156" i="1"/>
  <c r="T1156" i="1" s="1"/>
  <c r="U1156" i="1" s="1"/>
  <c r="V1156" i="1" s="1"/>
  <c r="Q1254" i="1"/>
  <c r="L1254" i="1"/>
  <c r="Q1284" i="1"/>
  <c r="L1284" i="1"/>
  <c r="T1284" i="1" s="1"/>
  <c r="U1284" i="1" s="1"/>
  <c r="V1284" i="1" s="1"/>
  <c r="S1313" i="1"/>
  <c r="P1313" i="1" s="1"/>
  <c r="X1313" i="1"/>
  <c r="Q1315" i="1"/>
  <c r="Q1389" i="1"/>
  <c r="L1389" i="1"/>
  <c r="R1389" i="1" s="1"/>
  <c r="Q1422" i="1"/>
  <c r="L1422" i="1"/>
  <c r="Q1431" i="1"/>
  <c r="L1431" i="1"/>
  <c r="L1437" i="1"/>
  <c r="Q1437" i="1"/>
  <c r="S1463" i="1"/>
  <c r="P1463" i="1" s="1"/>
  <c r="Q1501" i="1"/>
  <c r="L1501" i="1"/>
  <c r="T1501" i="1" s="1"/>
  <c r="U1501" i="1" s="1"/>
  <c r="V1501" i="1" s="1"/>
  <c r="L1521" i="1"/>
  <c r="T1521" i="1" s="1"/>
  <c r="U1521" i="1" s="1"/>
  <c r="V1521" i="1" s="1"/>
  <c r="Q1521" i="1"/>
  <c r="Q1568" i="1"/>
  <c r="L1568" i="1"/>
  <c r="M1568" i="1" s="1"/>
  <c r="L1672" i="1"/>
  <c r="M1672" i="1" s="1"/>
  <c r="Q1672" i="1"/>
  <c r="L1684" i="1"/>
  <c r="Q1684" i="1"/>
  <c r="X1707" i="1"/>
  <c r="W1707" i="1"/>
  <c r="L1753" i="1"/>
  <c r="R1753" i="1" s="1"/>
  <c r="W1758" i="1"/>
  <c r="S1758" i="1"/>
  <c r="P1758" i="1" s="1"/>
  <c r="X1788" i="1"/>
  <c r="S1788" i="1"/>
  <c r="P1788" i="1" s="1"/>
  <c r="X1013" i="1"/>
  <c r="X1016" i="1"/>
  <c r="D1027" i="1"/>
  <c r="Q1035" i="1"/>
  <c r="L1035" i="1"/>
  <c r="M1035" i="1" s="1"/>
  <c r="D1061" i="1"/>
  <c r="D1071" i="1"/>
  <c r="Q1081" i="1"/>
  <c r="Q1086" i="1"/>
  <c r="L1086" i="1"/>
  <c r="D1089" i="1"/>
  <c r="Q1091" i="1"/>
  <c r="L1091" i="1"/>
  <c r="D1106" i="1"/>
  <c r="Q1108" i="1"/>
  <c r="L1108" i="1"/>
  <c r="T1108" i="1" s="1"/>
  <c r="U1108" i="1" s="1"/>
  <c r="V1108" i="1" s="1"/>
  <c r="Q1126" i="1"/>
  <c r="L1126" i="1"/>
  <c r="L1129" i="1"/>
  <c r="W1131" i="1"/>
  <c r="W1134" i="1"/>
  <c r="D1145" i="1"/>
  <c r="D1147" i="1"/>
  <c r="D1154" i="1"/>
  <c r="Q1163" i="1"/>
  <c r="L1185" i="1"/>
  <c r="Q1196" i="1"/>
  <c r="D1223" i="1"/>
  <c r="D1225" i="1"/>
  <c r="Q1240" i="1"/>
  <c r="L1240" i="1"/>
  <c r="Q1264" i="1"/>
  <c r="X1269" i="1"/>
  <c r="Q1305" i="1"/>
  <c r="Q1337" i="1"/>
  <c r="L1337" i="1"/>
  <c r="Q1342" i="1"/>
  <c r="L1342" i="1"/>
  <c r="Q1345" i="1"/>
  <c r="L1345" i="1"/>
  <c r="T1345" i="1" s="1"/>
  <c r="U1345" i="1" s="1"/>
  <c r="V1345" i="1" s="1"/>
  <c r="Q1353" i="1"/>
  <c r="S1356" i="1"/>
  <c r="P1356" i="1" s="1"/>
  <c r="Q1361" i="1"/>
  <c r="W1366" i="1"/>
  <c r="L1400" i="1"/>
  <c r="S1405" i="1"/>
  <c r="P1405" i="1" s="1"/>
  <c r="X1419" i="1"/>
  <c r="X1434" i="1"/>
  <c r="S1481" i="1"/>
  <c r="P1481" i="1" s="1"/>
  <c r="Q1487" i="1"/>
  <c r="L1487" i="1"/>
  <c r="W1504" i="1"/>
  <c r="D1598" i="1"/>
  <c r="X1678" i="1"/>
  <c r="Q2022" i="1"/>
  <c r="L2022" i="1"/>
  <c r="R2022" i="1" s="1"/>
  <c r="D972" i="1"/>
  <c r="Q987" i="1"/>
  <c r="L987" i="1"/>
  <c r="R987" i="1" s="1"/>
  <c r="D1012" i="1"/>
  <c r="Q1017" i="1"/>
  <c r="Q1019" i="1"/>
  <c r="L1019" i="1"/>
  <c r="Q1024" i="1"/>
  <c r="Q1027" i="1"/>
  <c r="L1027" i="1"/>
  <c r="Q1032" i="1"/>
  <c r="S1040" i="1"/>
  <c r="P1040" i="1" s="1"/>
  <c r="X1050" i="1"/>
  <c r="S1085" i="1"/>
  <c r="P1085" i="1" s="1"/>
  <c r="Q1096" i="1"/>
  <c r="L1101" i="1"/>
  <c r="T1101" i="1" s="1"/>
  <c r="U1101" i="1" s="1"/>
  <c r="V1101" i="1" s="1"/>
  <c r="Q1105" i="1"/>
  <c r="W1129" i="1"/>
  <c r="W1137" i="1"/>
  <c r="Q1142" i="1"/>
  <c r="L1142" i="1"/>
  <c r="Q1147" i="1"/>
  <c r="L1147" i="1"/>
  <c r="S1149" i="1"/>
  <c r="P1149" i="1" s="1"/>
  <c r="Q1166" i="1"/>
  <c r="L1166" i="1"/>
  <c r="Q1168" i="1"/>
  <c r="W1201" i="1"/>
  <c r="Q1220" i="1"/>
  <c r="L1220" i="1"/>
  <c r="T1220" i="1" s="1"/>
  <c r="U1220" i="1" s="1"/>
  <c r="V1220" i="1" s="1"/>
  <c r="Q1232" i="1"/>
  <c r="S1237" i="1"/>
  <c r="P1237" i="1" s="1"/>
  <c r="Q1244" i="1"/>
  <c r="Q1249" i="1"/>
  <c r="Q1262" i="1"/>
  <c r="L1262" i="1"/>
  <c r="Q1272" i="1"/>
  <c r="L1272" i="1"/>
  <c r="D1295" i="1"/>
  <c r="Q1313" i="1"/>
  <c r="Q1323" i="1"/>
  <c r="Q1326" i="1"/>
  <c r="L1326" i="1"/>
  <c r="S1337" i="1"/>
  <c r="P1337" i="1" s="1"/>
  <c r="X1342" i="1"/>
  <c r="L1348" i="1"/>
  <c r="T1348" i="1" s="1"/>
  <c r="L1359" i="1"/>
  <c r="R1359" i="1" s="1"/>
  <c r="L1364" i="1"/>
  <c r="Q1379" i="1"/>
  <c r="L1379" i="1"/>
  <c r="L1384" i="1"/>
  <c r="T1384" i="1" s="1"/>
  <c r="X1400" i="1"/>
  <c r="L1408" i="1"/>
  <c r="Q1411" i="1"/>
  <c r="L1411" i="1"/>
  <c r="Q1414" i="1"/>
  <c r="L1414" i="1"/>
  <c r="D1452" i="1"/>
  <c r="W1463" i="1"/>
  <c r="Q1471" i="1"/>
  <c r="L1471" i="1"/>
  <c r="T1471" i="1" s="1"/>
  <c r="Q1476" i="1"/>
  <c r="L1476" i="1"/>
  <c r="W1521" i="1"/>
  <c r="Q1527" i="1"/>
  <c r="D1583" i="1"/>
  <c r="X2021" i="1"/>
  <c r="W2021" i="1"/>
  <c r="W2022" i="1"/>
  <c r="L918" i="1"/>
  <c r="W935" i="1"/>
  <c r="X947" i="1"/>
  <c r="Q972" i="1"/>
  <c r="L972" i="1"/>
  <c r="Q977" i="1"/>
  <c r="L977" i="1"/>
  <c r="L982" i="1"/>
  <c r="Q985" i="1"/>
  <c r="L985" i="1"/>
  <c r="D1002" i="1"/>
  <c r="D1005" i="1"/>
  <c r="Q1012" i="1"/>
  <c r="L1012" i="1"/>
  <c r="W1014" i="1"/>
  <c r="D1030" i="1"/>
  <c r="D1038" i="1"/>
  <c r="X1040" i="1"/>
  <c r="Q1043" i="1"/>
  <c r="L1043" i="1"/>
  <c r="M1043" i="1" s="1"/>
  <c r="Q1048" i="1"/>
  <c r="L1048" i="1"/>
  <c r="R1048" i="1" s="1"/>
  <c r="L1053" i="1"/>
  <c r="M1053" i="1" s="1"/>
  <c r="L1061" i="1"/>
  <c r="R1061" i="1" s="1"/>
  <c r="W1073" i="1"/>
  <c r="Q1076" i="1"/>
  <c r="L1076" i="1"/>
  <c r="T1076" i="1" s="1"/>
  <c r="U1076" i="1" s="1"/>
  <c r="V1076" i="1" s="1"/>
  <c r="D1084" i="1"/>
  <c r="Q1089" i="1"/>
  <c r="L1089" i="1"/>
  <c r="R1089" i="1" s="1"/>
  <c r="D1094" i="1"/>
  <c r="X1121" i="1"/>
  <c r="Q1124" i="1"/>
  <c r="L1124" i="1"/>
  <c r="T1124" i="1" s="1"/>
  <c r="U1124" i="1" s="1"/>
  <c r="V1124" i="1" s="1"/>
  <c r="L1145" i="1"/>
  <c r="W1149" i="1"/>
  <c r="Q1152" i="1"/>
  <c r="L1152" i="1"/>
  <c r="R1152" i="1" s="1"/>
  <c r="X1166" i="1"/>
  <c r="L1173" i="1"/>
  <c r="T1173" i="1" s="1"/>
  <c r="U1173" i="1" s="1"/>
  <c r="V1173" i="1" s="1"/>
  <c r="D1188" i="1"/>
  <c r="Q1190" i="1"/>
  <c r="L1190" i="1"/>
  <c r="D1197" i="1"/>
  <c r="S1198" i="1"/>
  <c r="P1198" i="1" s="1"/>
  <c r="Q1204" i="1"/>
  <c r="L1204" i="1"/>
  <c r="T1204" i="1" s="1"/>
  <c r="U1204" i="1" s="1"/>
  <c r="V1204" i="1" s="1"/>
  <c r="S1211" i="1"/>
  <c r="P1211" i="1" s="1"/>
  <c r="Q1225" i="1"/>
  <c r="L1225" i="1"/>
  <c r="S1235" i="1"/>
  <c r="P1235" i="1" s="1"/>
  <c r="W1237" i="1"/>
  <c r="D1245" i="1"/>
  <c r="S1246" i="1"/>
  <c r="P1246" i="1" s="1"/>
  <c r="D1255" i="1"/>
  <c r="Q1257" i="1"/>
  <c r="L1257" i="1"/>
  <c r="T1257" i="1" s="1"/>
  <c r="W1264" i="1"/>
  <c r="D1270" i="1"/>
  <c r="D1275" i="1"/>
  <c r="D1280" i="1"/>
  <c r="L1308" i="1"/>
  <c r="S1310" i="1"/>
  <c r="P1310" i="1" s="1"/>
  <c r="W1313" i="1"/>
  <c r="X1326" i="1"/>
  <c r="L1332" i="1"/>
  <c r="T1332" i="1" s="1"/>
  <c r="D1351" i="1"/>
  <c r="D1354" i="1"/>
  <c r="X1383" i="1"/>
  <c r="Q1403" i="1"/>
  <c r="L1403" i="1"/>
  <c r="R1403" i="1" s="1"/>
  <c r="X1408" i="1"/>
  <c r="S1411" i="1"/>
  <c r="P1411" i="1" s="1"/>
  <c r="X1414" i="1"/>
  <c r="S1437" i="1"/>
  <c r="P1437" i="1" s="1"/>
  <c r="L1440" i="1"/>
  <c r="Q1446" i="1"/>
  <c r="L1446" i="1"/>
  <c r="L1449" i="1"/>
  <c r="T1449" i="1" s="1"/>
  <c r="U1449" i="1" s="1"/>
  <c r="V1449" i="1" s="1"/>
  <c r="Q1449" i="1"/>
  <c r="L1452" i="1"/>
  <c r="X1455" i="1"/>
  <c r="W1455" i="1"/>
  <c r="S1455" i="1"/>
  <c r="P1455" i="1" s="1"/>
  <c r="Q1469" i="1"/>
  <c r="L1469" i="1"/>
  <c r="Q1496" i="1"/>
  <c r="L1496" i="1"/>
  <c r="M1496" i="1" s="1"/>
  <c r="Q1583" i="1"/>
  <c r="L1583" i="1"/>
  <c r="T1583" i="1" s="1"/>
  <c r="L1652" i="1"/>
  <c r="Q1652" i="1"/>
  <c r="D1667" i="1"/>
  <c r="Q1832" i="1"/>
  <c r="L1832" i="1"/>
  <c r="T1832" i="1" s="1"/>
  <c r="U1832" i="1" s="1"/>
  <c r="V1832" i="1" s="1"/>
  <c r="D1010" i="1"/>
  <c r="Q1056" i="1"/>
  <c r="L1056" i="1"/>
  <c r="S1065" i="1"/>
  <c r="P1065" i="1" s="1"/>
  <c r="D1087" i="1"/>
  <c r="Q1094" i="1"/>
  <c r="L1094" i="1"/>
  <c r="D1122" i="1"/>
  <c r="Q1132" i="1"/>
  <c r="L1132" i="1"/>
  <c r="T1132" i="1" s="1"/>
  <c r="U1132" i="1" s="1"/>
  <c r="V1132" i="1" s="1"/>
  <c r="Q1140" i="1"/>
  <c r="L1140" i="1"/>
  <c r="T1140" i="1" s="1"/>
  <c r="U1140" i="1" s="1"/>
  <c r="V1140" i="1" s="1"/>
  <c r="S1152" i="1"/>
  <c r="Q1176" i="1"/>
  <c r="L1176" i="1"/>
  <c r="S1182" i="1"/>
  <c r="P1182" i="1" s="1"/>
  <c r="Q1192" i="1"/>
  <c r="D1195" i="1"/>
  <c r="L1209" i="1"/>
  <c r="P1213" i="1"/>
  <c r="Q1227" i="1"/>
  <c r="Q1230" i="1"/>
  <c r="L1230" i="1"/>
  <c r="W1232" i="1"/>
  <c r="S1256" i="1"/>
  <c r="P1256" i="1" s="1"/>
  <c r="D1285" i="1"/>
  <c r="S1294" i="1"/>
  <c r="P1294" i="1" s="1"/>
  <c r="D1314" i="1"/>
  <c r="L1316" i="1"/>
  <c r="T1316" i="1" s="1"/>
  <c r="X1337" i="1"/>
  <c r="Q1362" i="1"/>
  <c r="L1362" i="1"/>
  <c r="Q1370" i="1"/>
  <c r="L1370" i="1"/>
  <c r="Q1377" i="1"/>
  <c r="L1377" i="1"/>
  <c r="D1390" i="1"/>
  <c r="Q1395" i="1"/>
  <c r="L1395" i="1"/>
  <c r="L1398" i="1"/>
  <c r="Q1398" i="1"/>
  <c r="L1426" i="1"/>
  <c r="D1485" i="1"/>
  <c r="Q1493" i="1"/>
  <c r="L1493" i="1"/>
  <c r="Q1624" i="1"/>
  <c r="L1624" i="1"/>
  <c r="X1702" i="1"/>
  <c r="W1702" i="1"/>
  <c r="L1824" i="1"/>
  <c r="T1824" i="1" s="1"/>
  <c r="U1824" i="1" s="1"/>
  <c r="V1824" i="1" s="1"/>
  <c r="Q1824" i="1"/>
  <c r="S1939" i="1"/>
  <c r="P1939" i="1" s="1"/>
  <c r="S1940" i="1"/>
  <c r="P1940" i="1" s="1"/>
  <c r="Q1519" i="1"/>
  <c r="L1519" i="1"/>
  <c r="Q1542" i="1"/>
  <c r="L1542" i="1"/>
  <c r="Q1550" i="1"/>
  <c r="L1550" i="1"/>
  <c r="Q1558" i="1"/>
  <c r="L1558" i="1"/>
  <c r="Q1563" i="1"/>
  <c r="L1563" i="1"/>
  <c r="Q1598" i="1"/>
  <c r="L1598" i="1"/>
  <c r="L1615" i="1"/>
  <c r="W1632" i="1"/>
  <c r="D1635" i="1"/>
  <c r="D1645" i="1"/>
  <c r="X1656" i="1"/>
  <c r="Q1659" i="1"/>
  <c r="L1659" i="1"/>
  <c r="W1677" i="1"/>
  <c r="D1695" i="1"/>
  <c r="Q1715" i="1"/>
  <c r="L1715" i="1"/>
  <c r="T1715" i="1" s="1"/>
  <c r="U1715" i="1" s="1"/>
  <c r="V1715" i="1" s="1"/>
  <c r="D1720" i="1"/>
  <c r="Q1725" i="1"/>
  <c r="L1725" i="1"/>
  <c r="Q1728" i="1"/>
  <c r="L1728" i="1"/>
  <c r="M1728" i="1" s="1"/>
  <c r="L1761" i="1"/>
  <c r="M1761" i="1" s="1"/>
  <c r="Q1819" i="1"/>
  <c r="L1819" i="1"/>
  <c r="R1819" i="1" s="1"/>
  <c r="S1832" i="1"/>
  <c r="P1832" i="1" s="1"/>
  <c r="Q1879" i="1"/>
  <c r="L1879" i="1"/>
  <c r="W1893" i="1"/>
  <c r="S1893" i="1"/>
  <c r="P1893" i="1" s="1"/>
  <c r="S1892" i="1"/>
  <c r="P1892" i="1" s="1"/>
  <c r="D1932" i="1"/>
  <c r="Q1935" i="1"/>
  <c r="L1935" i="1"/>
  <c r="Q1960" i="1"/>
  <c r="L1960" i="1"/>
  <c r="T1960" i="1" s="1"/>
  <c r="U1960" i="1" s="1"/>
  <c r="V1960" i="1" s="1"/>
  <c r="Q2034" i="1"/>
  <c r="L2034" i="1"/>
  <c r="T2034" i="1" s="1"/>
  <c r="U2034" i="1" s="1"/>
  <c r="V2034" i="1" s="1"/>
  <c r="M2136" i="1"/>
  <c r="T2136" i="1"/>
  <c r="R2136" i="1"/>
  <c r="W2300" i="1"/>
  <c r="X2300" i="1"/>
  <c r="Q2437" i="1"/>
  <c r="L2437" i="1"/>
  <c r="X1519" i="1"/>
  <c r="L1532" i="1"/>
  <c r="R1532" i="1" s="1"/>
  <c r="S1542" i="1"/>
  <c r="P1542" i="1" s="1"/>
  <c r="T1576" i="1"/>
  <c r="U1576" i="1" s="1"/>
  <c r="V1576" i="1" s="1"/>
  <c r="Q1593" i="1"/>
  <c r="L1593" i="1"/>
  <c r="T1593" i="1" s="1"/>
  <c r="U1593" i="1" s="1"/>
  <c r="V1593" i="1" s="1"/>
  <c r="S1652" i="1"/>
  <c r="P1652" i="1" s="1"/>
  <c r="X1659" i="1"/>
  <c r="Q1667" i="1"/>
  <c r="L1667" i="1"/>
  <c r="Q1675" i="1"/>
  <c r="L1675" i="1"/>
  <c r="T1675" i="1" s="1"/>
  <c r="U1675" i="1" s="1"/>
  <c r="V1675" i="1" s="1"/>
  <c r="Q1687" i="1"/>
  <c r="L1687" i="1"/>
  <c r="S1697" i="1"/>
  <c r="M1700" i="1"/>
  <c r="X1715" i="1"/>
  <c r="S1725" i="1"/>
  <c r="P1725" i="1" s="1"/>
  <c r="L1774" i="1"/>
  <c r="X1800" i="1"/>
  <c r="D1846" i="1"/>
  <c r="Q1876" i="1"/>
  <c r="L1876" i="1"/>
  <c r="W1879" i="1"/>
  <c r="X1879" i="1"/>
  <c r="X1895" i="1"/>
  <c r="X1896" i="1"/>
  <c r="Q1916" i="1"/>
  <c r="L1916" i="1"/>
  <c r="L1919" i="1"/>
  <c r="Q1919" i="1"/>
  <c r="Q1972" i="1"/>
  <c r="L1972" i="1"/>
  <c r="Q1975" i="1"/>
  <c r="L1975" i="1"/>
  <c r="T1975" i="1" s="1"/>
  <c r="U1975" i="1" s="1"/>
  <c r="V1975" i="1" s="1"/>
  <c r="Q2434" i="1"/>
  <c r="L2434" i="1"/>
  <c r="L1269" i="1"/>
  <c r="X1281" i="1"/>
  <c r="D1286" i="1"/>
  <c r="D1289" i="1"/>
  <c r="D1322" i="1"/>
  <c r="Q1357" i="1"/>
  <c r="L1357" i="1"/>
  <c r="D1367" i="1"/>
  <c r="D1370" i="1"/>
  <c r="L1372" i="1"/>
  <c r="Q1381" i="1"/>
  <c r="L1381" i="1"/>
  <c r="R1381" i="1" s="1"/>
  <c r="Q1386" i="1"/>
  <c r="L1386" i="1"/>
  <c r="D1392" i="1"/>
  <c r="W1394" i="1"/>
  <c r="W1399" i="1"/>
  <c r="W1423" i="1"/>
  <c r="Q1433" i="1"/>
  <c r="L1433" i="1"/>
  <c r="D1447" i="1"/>
  <c r="D1453" i="1"/>
  <c r="Q1461" i="1"/>
  <c r="L1461" i="1"/>
  <c r="X1482" i="1"/>
  <c r="L1499" i="1"/>
  <c r="T1499" i="1" s="1"/>
  <c r="Q1510" i="1"/>
  <c r="L1510" i="1"/>
  <c r="Q1524" i="1"/>
  <c r="L1524" i="1"/>
  <c r="X1527" i="1"/>
  <c r="Q1537" i="1"/>
  <c r="L1537" i="1"/>
  <c r="T1537" i="1" s="1"/>
  <c r="U1537" i="1" s="1"/>
  <c r="V1537" i="1" s="1"/>
  <c r="D1545" i="1"/>
  <c r="D1556" i="1"/>
  <c r="D1561" i="1"/>
  <c r="D1574" i="1"/>
  <c r="D1584" i="1"/>
  <c r="Q1596" i="1"/>
  <c r="L1596" i="1"/>
  <c r="D1604" i="1"/>
  <c r="Q1622" i="1"/>
  <c r="L1622" i="1"/>
  <c r="D1625" i="1"/>
  <c r="L1635" i="1"/>
  <c r="T1635" i="1" s="1"/>
  <c r="U1635" i="1" s="1"/>
  <c r="V1635" i="1" s="1"/>
  <c r="X1637" i="1"/>
  <c r="Q1640" i="1"/>
  <c r="L1640" i="1"/>
  <c r="D1643" i="1"/>
  <c r="X1675" i="1"/>
  <c r="S1677" i="1"/>
  <c r="P1677" i="1" s="1"/>
  <c r="Q1705" i="1"/>
  <c r="L1705" i="1"/>
  <c r="T1705" i="1" s="1"/>
  <c r="U1705" i="1" s="1"/>
  <c r="V1705" i="1" s="1"/>
  <c r="D1708" i="1"/>
  <c r="X1710" i="1"/>
  <c r="X1712" i="1"/>
  <c r="S1717" i="1"/>
  <c r="P1717" i="1" s="1"/>
  <c r="M1720" i="1"/>
  <c r="X1736" i="1"/>
  <c r="Q1783" i="1"/>
  <c r="L1783" i="1"/>
  <c r="R1783" i="1" s="1"/>
  <c r="L1846" i="1"/>
  <c r="D1891" i="1"/>
  <c r="X1893" i="1"/>
  <c r="S1931" i="1"/>
  <c r="P1931" i="1" s="1"/>
  <c r="W1931" i="1"/>
  <c r="D2052" i="1"/>
  <c r="D2072" i="1"/>
  <c r="L2078" i="1"/>
  <c r="Q2078" i="1"/>
  <c r="Q2107" i="1"/>
  <c r="L2107" i="1"/>
  <c r="R2107" i="1" s="1"/>
  <c r="T2152" i="1"/>
  <c r="M2152" i="1"/>
  <c r="D2246" i="1"/>
  <c r="D2284" i="1"/>
  <c r="D2287" i="1"/>
  <c r="Q2450" i="1"/>
  <c r="L2450" i="1"/>
  <c r="T2456" i="1"/>
  <c r="U2456" i="1" s="1"/>
  <c r="V2456" i="1" s="1"/>
  <c r="R2456" i="1"/>
  <c r="M2456" i="1"/>
  <c r="Q2462" i="1"/>
  <c r="L2462" i="1"/>
  <c r="T2462" i="1" s="1"/>
  <c r="U2462" i="1" s="1"/>
  <c r="V2462" i="1" s="1"/>
  <c r="Q1441" i="1"/>
  <c r="L1441" i="1"/>
  <c r="L1444" i="1"/>
  <c r="D1469" i="1"/>
  <c r="Q1478" i="1"/>
  <c r="L1478" i="1"/>
  <c r="D1494" i="1"/>
  <c r="Q1502" i="1"/>
  <c r="L1502" i="1"/>
  <c r="S1510" i="1"/>
  <c r="P1510" i="1" s="1"/>
  <c r="W1519" i="1"/>
  <c r="L1540" i="1"/>
  <c r="W1542" i="1"/>
  <c r="Q1553" i="1"/>
  <c r="L1553" i="1"/>
  <c r="T1553" i="1" s="1"/>
  <c r="U1553" i="1" s="1"/>
  <c r="V1553" i="1" s="1"/>
  <c r="Q1566" i="1"/>
  <c r="L1566" i="1"/>
  <c r="D1572" i="1"/>
  <c r="D1579" i="1"/>
  <c r="L1591" i="1"/>
  <c r="W1593" i="1"/>
  <c r="Q1606" i="1"/>
  <c r="L1606" i="1"/>
  <c r="L1611" i="1"/>
  <c r="T1611" i="1" s="1"/>
  <c r="Q1615" i="1"/>
  <c r="X1622" i="1"/>
  <c r="Q1630" i="1"/>
  <c r="L1630" i="1"/>
  <c r="X1635" i="1"/>
  <c r="L1662" i="1"/>
  <c r="L1670" i="1"/>
  <c r="X1677" i="1"/>
  <c r="D1680" i="1"/>
  <c r="D1693" i="1"/>
  <c r="Q1708" i="1"/>
  <c r="L1708" i="1"/>
  <c r="D1713" i="1"/>
  <c r="W1715" i="1"/>
  <c r="X1725" i="1"/>
  <c r="D1737" i="1"/>
  <c r="Q1742" i="1"/>
  <c r="Q1744" i="1"/>
  <c r="L1744" i="1"/>
  <c r="S1748" i="1"/>
  <c r="P1748" i="1" s="1"/>
  <c r="L1751" i="1"/>
  <c r="R1751" i="1" s="1"/>
  <c r="L1754" i="1"/>
  <c r="X1761" i="1"/>
  <c r="Q1772" i="1"/>
  <c r="L1772" i="1"/>
  <c r="Q1780" i="1"/>
  <c r="L1780" i="1"/>
  <c r="Q1811" i="1"/>
  <c r="L1811" i="1"/>
  <c r="R1811" i="1" s="1"/>
  <c r="Q1835" i="1"/>
  <c r="L1835" i="1"/>
  <c r="R1835" i="1" s="1"/>
  <c r="D1866" i="1"/>
  <c r="S1868" i="1"/>
  <c r="P1868" i="1" s="1"/>
  <c r="Q1871" i="1"/>
  <c r="D1894" i="1"/>
  <c r="W1896" i="1"/>
  <c r="Q1918" i="1"/>
  <c r="D1958" i="1"/>
  <c r="Q1995" i="1"/>
  <c r="L1995" i="1"/>
  <c r="T1995" i="1" s="1"/>
  <c r="U1995" i="1" s="1"/>
  <c r="V1995" i="1" s="1"/>
  <c r="D2035" i="1"/>
  <c r="T2049" i="1"/>
  <c r="L2052" i="1"/>
  <c r="M2052" i="1" s="1"/>
  <c r="Q2052" i="1"/>
  <c r="X2185" i="1"/>
  <c r="S2185" i="1"/>
  <c r="P2185" i="1" s="1"/>
  <c r="Q2407" i="1"/>
  <c r="L2407" i="1"/>
  <c r="T2407" i="1" s="1"/>
  <c r="U2407" i="1" s="1"/>
  <c r="V2407" i="1" s="1"/>
  <c r="Q1561" i="1"/>
  <c r="L1561" i="1"/>
  <c r="T1561" i="1" s="1"/>
  <c r="U1561" i="1" s="1"/>
  <c r="V1561" i="1" s="1"/>
  <c r="Q1574" i="1"/>
  <c r="L1574" i="1"/>
  <c r="Q1604" i="1"/>
  <c r="L1604" i="1"/>
  <c r="Q1625" i="1"/>
  <c r="L1625" i="1"/>
  <c r="T1625" i="1" s="1"/>
  <c r="U1625" i="1" s="1"/>
  <c r="V1625" i="1" s="1"/>
  <c r="X1629" i="1"/>
  <c r="L1643" i="1"/>
  <c r="Q1647" i="1"/>
  <c r="Q1655" i="1"/>
  <c r="L1655" i="1"/>
  <c r="M1655" i="1" s="1"/>
  <c r="W1689" i="1"/>
  <c r="Q1703" i="1"/>
  <c r="L1703" i="1"/>
  <c r="R1703" i="1" s="1"/>
  <c r="Q1759" i="1"/>
  <c r="L1759" i="1"/>
  <c r="R1759" i="1" s="1"/>
  <c r="L1767" i="1"/>
  <c r="R1767" i="1" s="1"/>
  <c r="Q1767" i="1"/>
  <c r="X1814" i="1"/>
  <c r="W1814" i="1"/>
  <c r="L1833" i="1"/>
  <c r="Q1833" i="1"/>
  <c r="Q1891" i="1"/>
  <c r="L1891" i="1"/>
  <c r="T1891" i="1" s="1"/>
  <c r="U1891" i="1" s="1"/>
  <c r="V1891" i="1" s="1"/>
  <c r="Q1952" i="1"/>
  <c r="L1952" i="1"/>
  <c r="T1952" i="1" s="1"/>
  <c r="U1952" i="1" s="1"/>
  <c r="V1952" i="1" s="1"/>
  <c r="Q1955" i="1"/>
  <c r="L1955" i="1"/>
  <c r="R1955" i="1" s="1"/>
  <c r="Q2020" i="1"/>
  <c r="L2020" i="1"/>
  <c r="Q2072" i="1"/>
  <c r="L2072" i="1"/>
  <c r="L2243" i="1"/>
  <c r="T2243" i="1" s="1"/>
  <c r="U2243" i="1" s="1"/>
  <c r="V2243" i="1" s="1"/>
  <c r="Q2243" i="1"/>
  <c r="Q2246" i="1"/>
  <c r="L2246" i="1"/>
  <c r="L1535" i="1"/>
  <c r="T1535" i="1" s="1"/>
  <c r="L1548" i="1"/>
  <c r="T1548" i="1" s="1"/>
  <c r="U1548" i="1" s="1"/>
  <c r="V1548" i="1" s="1"/>
  <c r="L1551" i="1"/>
  <c r="R1551" i="1" s="1"/>
  <c r="Q1559" i="1"/>
  <c r="L1559" i="1"/>
  <c r="T1559" i="1" s="1"/>
  <c r="U1559" i="1" s="1"/>
  <c r="V1559" i="1" s="1"/>
  <c r="Q1569" i="1"/>
  <c r="L1569" i="1"/>
  <c r="T1569" i="1" s="1"/>
  <c r="U1569" i="1" s="1"/>
  <c r="V1569" i="1" s="1"/>
  <c r="L1579" i="1"/>
  <c r="T1584" i="1"/>
  <c r="U1584" i="1" s="1"/>
  <c r="V1584" i="1" s="1"/>
  <c r="L1599" i="1"/>
  <c r="R1599" i="1" s="1"/>
  <c r="W1648" i="1"/>
  <c r="Q1665" i="1"/>
  <c r="L1665" i="1"/>
  <c r="T1665" i="1" s="1"/>
  <c r="U1665" i="1" s="1"/>
  <c r="V1665" i="1" s="1"/>
  <c r="Q1680" i="1"/>
  <c r="L1680" i="1"/>
  <c r="R1700" i="1"/>
  <c r="D1711" i="1"/>
  <c r="Q1713" i="1"/>
  <c r="L1713" i="1"/>
  <c r="T1713" i="1" s="1"/>
  <c r="U1713" i="1" s="1"/>
  <c r="V1713" i="1" s="1"/>
  <c r="Q1720" i="1"/>
  <c r="L1732" i="1"/>
  <c r="R1732" i="1" s="1"/>
  <c r="Q1732" i="1"/>
  <c r="L1737" i="1"/>
  <c r="R1737" i="1" s="1"/>
  <c r="Q1764" i="1"/>
  <c r="W1925" i="1"/>
  <c r="S1924" i="1"/>
  <c r="P1924" i="1" s="1"/>
  <c r="D1970" i="1"/>
  <c r="Q2001" i="1"/>
  <c r="L2001" i="1"/>
  <c r="Q2032" i="1"/>
  <c r="L2032" i="1"/>
  <c r="D2067" i="1"/>
  <c r="Q1481" i="1"/>
  <c r="L1481" i="1"/>
  <c r="T1481" i="1" s="1"/>
  <c r="U1481" i="1" s="1"/>
  <c r="V1481" i="1" s="1"/>
  <c r="D1500" i="1"/>
  <c r="L1508" i="1"/>
  <c r="M1508" i="1" s="1"/>
  <c r="Q1513" i="1"/>
  <c r="L1513" i="1"/>
  <c r="T1513" i="1" s="1"/>
  <c r="U1513" i="1" s="1"/>
  <c r="V1513" i="1" s="1"/>
  <c r="L1516" i="1"/>
  <c r="Q1518" i="1"/>
  <c r="L1518" i="1"/>
  <c r="Q1520" i="1"/>
  <c r="L1520" i="1"/>
  <c r="D1538" i="1"/>
  <c r="X1551" i="1"/>
  <c r="S1558" i="1"/>
  <c r="P1558" i="1" s="1"/>
  <c r="L1564" i="1"/>
  <c r="R1564" i="1" s="1"/>
  <c r="M1572" i="1"/>
  <c r="X1579" i="1"/>
  <c r="D1582" i="1"/>
  <c r="X1599" i="1"/>
  <c r="X1613" i="1"/>
  <c r="D1616" i="1"/>
  <c r="D1623" i="1"/>
  <c r="Q1628" i="1"/>
  <c r="L1628" i="1"/>
  <c r="W1630" i="1"/>
  <c r="D1651" i="1"/>
  <c r="Q1660" i="1"/>
  <c r="L1660" i="1"/>
  <c r="L1698" i="1"/>
  <c r="W1705" i="1"/>
  <c r="L1726" i="1"/>
  <c r="L1729" i="1"/>
  <c r="T1729" i="1" s="1"/>
  <c r="U1729" i="1" s="1"/>
  <c r="V1729" i="1" s="1"/>
  <c r="Q1747" i="1"/>
  <c r="L1747" i="1"/>
  <c r="Q1749" i="1"/>
  <c r="L1749" i="1"/>
  <c r="M1749" i="1" s="1"/>
  <c r="L1762" i="1"/>
  <c r="T1762" i="1" s="1"/>
  <c r="L1801" i="1"/>
  <c r="R1801" i="1" s="1"/>
  <c r="D1809" i="1"/>
  <c r="Q1894" i="1"/>
  <c r="D1923" i="1"/>
  <c r="Q1976" i="1"/>
  <c r="L1976" i="1"/>
  <c r="T1976" i="1" s="1"/>
  <c r="U1976" i="1" s="1"/>
  <c r="V1976" i="1" s="1"/>
  <c r="Q1990" i="1"/>
  <c r="L1990" i="1"/>
  <c r="D2013" i="1"/>
  <c r="Q2099" i="1"/>
  <c r="L2099" i="1"/>
  <c r="R2099" i="1" s="1"/>
  <c r="S2128" i="1"/>
  <c r="P2128" i="1" s="1"/>
  <c r="X2128" i="1"/>
  <c r="W2128" i="1"/>
  <c r="Q2682" i="1"/>
  <c r="L2682" i="1"/>
  <c r="R2682" i="1" s="1"/>
  <c r="Q1525" i="1"/>
  <c r="L1525" i="1"/>
  <c r="S1572" i="1"/>
  <c r="P1572" i="1" s="1"/>
  <c r="Q1623" i="1"/>
  <c r="L1623" i="1"/>
  <c r="T1623" i="1" s="1"/>
  <c r="Q1638" i="1"/>
  <c r="L1638" i="1"/>
  <c r="S1668" i="1"/>
  <c r="P1668" i="1" s="1"/>
  <c r="Q1676" i="1"/>
  <c r="L1676" i="1"/>
  <c r="Q1683" i="1"/>
  <c r="L1683" i="1"/>
  <c r="D1773" i="1"/>
  <c r="W1774" i="1"/>
  <c r="S1774" i="1"/>
  <c r="P1774" i="1" s="1"/>
  <c r="Q1830" i="1"/>
  <c r="X1976" i="1"/>
  <c r="Q1993" i="1"/>
  <c r="L1993" i="1"/>
  <c r="X2031" i="1"/>
  <c r="S2031" i="1"/>
  <c r="P2031" i="1" s="1"/>
  <c r="X2032" i="1"/>
  <c r="Q2064" i="1"/>
  <c r="L2064" i="1"/>
  <c r="M2064" i="1" s="1"/>
  <c r="Q2067" i="1"/>
  <c r="L2067" i="1"/>
  <c r="T2067" i="1" s="1"/>
  <c r="U2067" i="1" s="1"/>
  <c r="V2067" i="1" s="1"/>
  <c r="Q2096" i="1"/>
  <c r="L2219" i="1"/>
  <c r="T2219" i="1" s="1"/>
  <c r="U2219" i="1" s="1"/>
  <c r="V2219" i="1" s="1"/>
  <c r="Q2219" i="1"/>
  <c r="L1500" i="1"/>
  <c r="T1500" i="1" s="1"/>
  <c r="U1500" i="1" s="1"/>
  <c r="V1500" i="1" s="1"/>
  <c r="W1520" i="1"/>
  <c r="W1525" i="1"/>
  <c r="Q1582" i="1"/>
  <c r="L1582" i="1"/>
  <c r="Q1584" i="1"/>
  <c r="X1589" i="1"/>
  <c r="Q1616" i="1"/>
  <c r="L1616" i="1"/>
  <c r="X1623" i="1"/>
  <c r="S1628" i="1"/>
  <c r="P1628" i="1" s="1"/>
  <c r="W1638" i="1"/>
  <c r="Q1646" i="1"/>
  <c r="L1646" i="1"/>
  <c r="D1656" i="1"/>
  <c r="D1658" i="1"/>
  <c r="S1673" i="1"/>
  <c r="P1673" i="1" s="1"/>
  <c r="W1688" i="1"/>
  <c r="Q1691" i="1"/>
  <c r="L1691" i="1"/>
  <c r="T1696" i="1"/>
  <c r="U1696" i="1" s="1"/>
  <c r="V1696" i="1" s="1"/>
  <c r="Q1740" i="1"/>
  <c r="L1740" i="1"/>
  <c r="R1740" i="1" s="1"/>
  <c r="D1757" i="1"/>
  <c r="Q1883" i="1"/>
  <c r="L1883" i="1"/>
  <c r="R1883" i="1" s="1"/>
  <c r="Q1889" i="1"/>
  <c r="L1889" i="1"/>
  <c r="Q1928" i="1"/>
  <c r="L1928" i="1"/>
  <c r="T1928" i="1" s="1"/>
  <c r="U1928" i="1" s="1"/>
  <c r="V1928" i="1" s="1"/>
  <c r="P1981" i="1"/>
  <c r="Q1996" i="1"/>
  <c r="L1996" i="1"/>
  <c r="Q2008" i="1"/>
  <c r="L2008" i="1"/>
  <c r="T2008" i="1" s="1"/>
  <c r="U2008" i="1" s="1"/>
  <c r="V2008" i="1" s="1"/>
  <c r="Q2044" i="1"/>
  <c r="L2044" i="1"/>
  <c r="L2047" i="1"/>
  <c r="Q2047" i="1"/>
  <c r="R2096" i="1"/>
  <c r="L2123" i="1"/>
  <c r="T2123" i="1" s="1"/>
  <c r="U2123" i="1" s="1"/>
  <c r="V2123" i="1" s="1"/>
  <c r="Q2126" i="1"/>
  <c r="L2126" i="1"/>
  <c r="W2640" i="1"/>
  <c r="S2640" i="1"/>
  <c r="P2640" i="1" s="1"/>
  <c r="Q2646" i="1"/>
  <c r="L2646" i="1"/>
  <c r="Q1511" i="1"/>
  <c r="L1511" i="1"/>
  <c r="T1511" i="1" s="1"/>
  <c r="Q1528" i="1"/>
  <c r="L1528" i="1"/>
  <c r="M1528" i="1" s="1"/>
  <c r="Q1587" i="1"/>
  <c r="L1587" i="1"/>
  <c r="Q1592" i="1"/>
  <c r="L1592" i="1"/>
  <c r="Q1612" i="1"/>
  <c r="L1612" i="1"/>
  <c r="Q1614" i="1"/>
  <c r="L1614" i="1"/>
  <c r="Q1631" i="1"/>
  <c r="L1631" i="1"/>
  <c r="T1631" i="1" s="1"/>
  <c r="U1631" i="1" s="1"/>
  <c r="V1631" i="1" s="1"/>
  <c r="Q1641" i="1"/>
  <c r="L1641" i="1"/>
  <c r="T1641" i="1" s="1"/>
  <c r="U1641" i="1" s="1"/>
  <c r="V1641" i="1" s="1"/>
  <c r="W1678" i="1"/>
  <c r="D1719" i="1"/>
  <c r="L1752" i="1"/>
  <c r="R1752" i="1" s="1"/>
  <c r="Q1752" i="1"/>
  <c r="X1775" i="1"/>
  <c r="Q1787" i="1"/>
  <c r="L1787" i="1"/>
  <c r="L1793" i="1"/>
  <c r="R1793" i="1" s="1"/>
  <c r="Q1858" i="1"/>
  <c r="L1858" i="1"/>
  <c r="T1858" i="1" s="1"/>
  <c r="D1881" i="1"/>
  <c r="S1942" i="1"/>
  <c r="X1941" i="1"/>
  <c r="S1941" i="1"/>
  <c r="P1941" i="1" s="1"/>
  <c r="S2008" i="1"/>
  <c r="P2008" i="1" s="1"/>
  <c r="X2007" i="1"/>
  <c r="S2012" i="1"/>
  <c r="P2012" i="1" s="1"/>
  <c r="X2013" i="1"/>
  <c r="W2013" i="1"/>
  <c r="S2064" i="1"/>
  <c r="P2064" i="1" s="1"/>
  <c r="W2064" i="1"/>
  <c r="Q2088" i="1"/>
  <c r="L2088" i="1"/>
  <c r="L2094" i="1"/>
  <c r="R2094" i="1" s="1"/>
  <c r="Q2094" i="1"/>
  <c r="L1495" i="1"/>
  <c r="X1511" i="1"/>
  <c r="Q1536" i="1"/>
  <c r="L1536" i="1"/>
  <c r="R1572" i="1"/>
  <c r="L1575" i="1"/>
  <c r="X1587" i="1"/>
  <c r="S1589" i="1"/>
  <c r="P1589" i="1" s="1"/>
  <c r="W1623" i="1"/>
  <c r="X1638" i="1"/>
  <c r="S1711" i="1"/>
  <c r="P1711" i="1" s="1"/>
  <c r="L1719" i="1"/>
  <c r="Q1719" i="1"/>
  <c r="Q1721" i="1"/>
  <c r="L1721" i="1"/>
  <c r="L1796" i="1"/>
  <c r="R1796" i="1" s="1"/>
  <c r="Q1823" i="1"/>
  <c r="L1831" i="1"/>
  <c r="Q1831" i="1"/>
  <c r="Q1846" i="1"/>
  <c r="X1909" i="1"/>
  <c r="W1909" i="1"/>
  <c r="S1909" i="1"/>
  <c r="P1909" i="1" s="1"/>
  <c r="Q1926" i="1"/>
  <c r="L1926" i="1"/>
  <c r="X1928" i="1"/>
  <c r="Q1945" i="1"/>
  <c r="L1945" i="1"/>
  <c r="Q1967" i="1"/>
  <c r="D2062" i="1"/>
  <c r="L2114" i="1"/>
  <c r="M2114" i="1" s="1"/>
  <c r="L2166" i="1"/>
  <c r="R2166" i="1" s="1"/>
  <c r="Q2166" i="1"/>
  <c r="R1484" i="1"/>
  <c r="W1491" i="1"/>
  <c r="X1520" i="1"/>
  <c r="D1526" i="1"/>
  <c r="Q1567" i="1"/>
  <c r="Q1580" i="1"/>
  <c r="L1580" i="1"/>
  <c r="W1582" i="1"/>
  <c r="S1607" i="1"/>
  <c r="P1607" i="1" s="1"/>
  <c r="Q1609" i="1"/>
  <c r="Q1639" i="1"/>
  <c r="W1641" i="1"/>
  <c r="S1644" i="1"/>
  <c r="P1644" i="1" s="1"/>
  <c r="W1646" i="1"/>
  <c r="Q1663" i="1"/>
  <c r="L1666" i="1"/>
  <c r="T1668" i="1"/>
  <c r="U1668" i="1" s="1"/>
  <c r="V1668" i="1" s="1"/>
  <c r="Q1671" i="1"/>
  <c r="L1694" i="1"/>
  <c r="Q1696" i="1"/>
  <c r="Q1699" i="1"/>
  <c r="L1699" i="1"/>
  <c r="R1716" i="1"/>
  <c r="X1721" i="1"/>
  <c r="Q1724" i="1"/>
  <c r="L1724" i="1"/>
  <c r="R1724" i="1" s="1"/>
  <c r="L1730" i="1"/>
  <c r="Q1733" i="1"/>
  <c r="L1733" i="1"/>
  <c r="L1738" i="1"/>
  <c r="Q1763" i="1"/>
  <c r="L1763" i="1"/>
  <c r="T1763" i="1" s="1"/>
  <c r="U1763" i="1" s="1"/>
  <c r="V1763" i="1" s="1"/>
  <c r="Q1784" i="1"/>
  <c r="L1799" i="1"/>
  <c r="Q1799" i="1"/>
  <c r="W1861" i="1"/>
  <c r="S1860" i="1"/>
  <c r="P1860" i="1" s="1"/>
  <c r="Q1878" i="1"/>
  <c r="L1878" i="1"/>
  <c r="D1948" i="1"/>
  <c r="Q1988" i="1"/>
  <c r="L1988" i="1"/>
  <c r="W2008" i="1"/>
  <c r="S2013" i="1"/>
  <c r="P2013" i="1" s="1"/>
  <c r="Q2030" i="1"/>
  <c r="L2030" i="1"/>
  <c r="R2030" i="1" s="1"/>
  <c r="Q2059" i="1"/>
  <c r="L2059" i="1"/>
  <c r="L2062" i="1"/>
  <c r="Q2062" i="1"/>
  <c r="Q2163" i="1"/>
  <c r="L2163" i="1"/>
  <c r="T2163" i="1" s="1"/>
  <c r="U2163" i="1" s="1"/>
  <c r="V2163" i="1" s="1"/>
  <c r="Q2327" i="1"/>
  <c r="L2327" i="1"/>
  <c r="R2327" i="1" s="1"/>
  <c r="L1843" i="1"/>
  <c r="D1283" i="1"/>
  <c r="Q1293" i="1"/>
  <c r="L1293" i="1"/>
  <c r="T1293" i="1" s="1"/>
  <c r="U1293" i="1" s="1"/>
  <c r="V1293" i="1" s="1"/>
  <c r="D1296" i="1"/>
  <c r="S1302" i="1"/>
  <c r="P1302" i="1" s="1"/>
  <c r="Q1339" i="1"/>
  <c r="L1339" i="1"/>
  <c r="D1342" i="1"/>
  <c r="D1356" i="1"/>
  <c r="L1376" i="1"/>
  <c r="R1376" i="1" s="1"/>
  <c r="L1380" i="1"/>
  <c r="M1380" i="1" s="1"/>
  <c r="Q1385" i="1"/>
  <c r="L1385" i="1"/>
  <c r="R1385" i="1" s="1"/>
  <c r="L1406" i="1"/>
  <c r="R1406" i="1" s="1"/>
  <c r="D1412" i="1"/>
  <c r="L1420" i="1"/>
  <c r="Q1423" i="1"/>
  <c r="L1423" i="1"/>
  <c r="D1440" i="1"/>
  <c r="Q1457" i="1"/>
  <c r="L1457" i="1"/>
  <c r="T1457" i="1" s="1"/>
  <c r="U1457" i="1" s="1"/>
  <c r="V1457" i="1" s="1"/>
  <c r="Q1465" i="1"/>
  <c r="L1465" i="1"/>
  <c r="T1465" i="1" s="1"/>
  <c r="U1465" i="1" s="1"/>
  <c r="V1465" i="1" s="1"/>
  <c r="W1472" i="1"/>
  <c r="D1512" i="1"/>
  <c r="D1517" i="1"/>
  <c r="L1523" i="1"/>
  <c r="Q1526" i="1"/>
  <c r="L1526" i="1"/>
  <c r="L1531" i="1"/>
  <c r="T1531" i="1" s="1"/>
  <c r="W1536" i="1"/>
  <c r="Q1544" i="1"/>
  <c r="L1544" i="1"/>
  <c r="W1549" i="1"/>
  <c r="Q1552" i="1"/>
  <c r="L1552" i="1"/>
  <c r="W1587" i="1"/>
  <c r="Q1600" i="1"/>
  <c r="L1600" i="1"/>
  <c r="W1607" i="1"/>
  <c r="L1619" i="1"/>
  <c r="W1621" i="1"/>
  <c r="D1629" i="1"/>
  <c r="Q1636" i="1"/>
  <c r="D1639" i="1"/>
  <c r="D1654" i="1"/>
  <c r="W1656" i="1"/>
  <c r="D1672" i="1"/>
  <c r="D1679" i="1"/>
  <c r="X1693" i="1"/>
  <c r="D1702" i="1"/>
  <c r="D1707" i="1"/>
  <c r="X1733" i="1"/>
  <c r="D1741" i="1"/>
  <c r="L1745" i="1"/>
  <c r="T1745" i="1" s="1"/>
  <c r="U1745" i="1" s="1"/>
  <c r="V1745" i="1" s="1"/>
  <c r="S1773" i="1"/>
  <c r="Q1776" i="1"/>
  <c r="L1776" i="1"/>
  <c r="T1776" i="1" s="1"/>
  <c r="U1776" i="1" s="1"/>
  <c r="V1776" i="1" s="1"/>
  <c r="W1853" i="1"/>
  <c r="Q1856" i="1"/>
  <c r="L1856" i="1"/>
  <c r="T1856" i="1" s="1"/>
  <c r="U1856" i="1" s="1"/>
  <c r="V1856" i="1" s="1"/>
  <c r="Q1904" i="1"/>
  <c r="L1904" i="1"/>
  <c r="T1904" i="1" s="1"/>
  <c r="U1904" i="1" s="1"/>
  <c r="V1904" i="1" s="1"/>
  <c r="L1921" i="1"/>
  <c r="Q1921" i="1"/>
  <c r="W1942" i="1"/>
  <c r="D1980" i="1"/>
  <c r="S1987" i="1"/>
  <c r="P1987" i="1" s="1"/>
  <c r="S1988" i="1"/>
  <c r="P1988" i="1" s="1"/>
  <c r="D2006" i="1"/>
  <c r="X2008" i="1"/>
  <c r="D2022" i="1"/>
  <c r="Q2027" i="1"/>
  <c r="L2027" i="1"/>
  <c r="S2030" i="1"/>
  <c r="P2030" i="1" s="1"/>
  <c r="W2030" i="1"/>
  <c r="D2054" i="1"/>
  <c r="D2121" i="1"/>
  <c r="W2160" i="1"/>
  <c r="X2160" i="1"/>
  <c r="T2160" i="1"/>
  <c r="T2208" i="1"/>
  <c r="M2208" i="1"/>
  <c r="Q2614" i="1"/>
  <c r="L2614" i="1"/>
  <c r="R2614" i="1" s="1"/>
  <c r="R1795" i="1"/>
  <c r="M1795" i="1"/>
  <c r="L2115" i="1"/>
  <c r="X2176" i="1"/>
  <c r="W2177" i="1"/>
  <c r="Q2366" i="1"/>
  <c r="L2366" i="1"/>
  <c r="S2576" i="1"/>
  <c r="P2576" i="1" s="1"/>
  <c r="W2576" i="1"/>
  <c r="Q2596" i="1"/>
  <c r="L2596" i="1"/>
  <c r="T2596" i="1" s="1"/>
  <c r="U2596" i="1" s="1"/>
  <c r="V2596" i="1" s="1"/>
  <c r="T2599" i="1"/>
  <c r="M2599" i="1"/>
  <c r="Q1854" i="1"/>
  <c r="L1854" i="1"/>
  <c r="Q1872" i="1"/>
  <c r="L1872" i="1"/>
  <c r="T1872" i="1" s="1"/>
  <c r="U1872" i="1" s="1"/>
  <c r="V1872" i="1" s="1"/>
  <c r="Q1884" i="1"/>
  <c r="L1884" i="1"/>
  <c r="Q1887" i="1"/>
  <c r="L1887" i="1"/>
  <c r="D1924" i="1"/>
  <c r="S1925" i="1"/>
  <c r="P1925" i="1" s="1"/>
  <c r="Q1948" i="1"/>
  <c r="L1948" i="1"/>
  <c r="Q2006" i="1"/>
  <c r="Q2040" i="1"/>
  <c r="L2040" i="1"/>
  <c r="X2047" i="1"/>
  <c r="Q2049" i="1"/>
  <c r="Q2075" i="1"/>
  <c r="L2075" i="1"/>
  <c r="T2075" i="1" s="1"/>
  <c r="U2075" i="1" s="1"/>
  <c r="V2075" i="1" s="1"/>
  <c r="D2102" i="1"/>
  <c r="Q2112" i="1"/>
  <c r="L2112" i="1"/>
  <c r="Q2118" i="1"/>
  <c r="L2118" i="1"/>
  <c r="Q2131" i="1"/>
  <c r="L2131" i="1"/>
  <c r="L2180" i="1"/>
  <c r="R2180" i="1" s="1"/>
  <c r="Q2194" i="1"/>
  <c r="L2194" i="1"/>
  <c r="X2208" i="1"/>
  <c r="S2208" i="1"/>
  <c r="P2208" i="1" s="1"/>
  <c r="X2211" i="1"/>
  <c r="T2211" i="1"/>
  <c r="Q2226" i="1"/>
  <c r="L2226" i="1"/>
  <c r="Q2232" i="1"/>
  <c r="L2232" i="1"/>
  <c r="D2235" i="1"/>
  <c r="Q2255" i="1"/>
  <c r="L2255" i="1"/>
  <c r="Q2307" i="1"/>
  <c r="L2307" i="1"/>
  <c r="T2307" i="1" s="1"/>
  <c r="U2307" i="1" s="1"/>
  <c r="V2307" i="1" s="1"/>
  <c r="W2444" i="1"/>
  <c r="X2444" i="1"/>
  <c r="S2444" i="1"/>
  <c r="P2444" i="1" s="1"/>
  <c r="Q2474" i="1"/>
  <c r="L2474" i="1"/>
  <c r="Q2492" i="1"/>
  <c r="L2492" i="1"/>
  <c r="Q2524" i="1"/>
  <c r="L2524" i="1"/>
  <c r="T2524" i="1" s="1"/>
  <c r="U2524" i="1" s="1"/>
  <c r="V2524" i="1" s="1"/>
  <c r="S2620" i="1"/>
  <c r="P2620" i="1" s="1"/>
  <c r="X2620" i="1"/>
  <c r="Q2635" i="1"/>
  <c r="L2635" i="1"/>
  <c r="Q2670" i="1"/>
  <c r="L2670" i="1"/>
  <c r="L1782" i="1"/>
  <c r="Q1792" i="1"/>
  <c r="L1792" i="1"/>
  <c r="T1792" i="1" s="1"/>
  <c r="U1792" i="1" s="1"/>
  <c r="V1792" i="1" s="1"/>
  <c r="L1804" i="1"/>
  <c r="R1804" i="1" s="1"/>
  <c r="W1831" i="1"/>
  <c r="Q1838" i="1"/>
  <c r="L1838" i="1"/>
  <c r="R1838" i="1" s="1"/>
  <c r="S1862" i="1"/>
  <c r="P1862" i="1" s="1"/>
  <c r="Q1892" i="1"/>
  <c r="L1892" i="1"/>
  <c r="Q1899" i="1"/>
  <c r="L1899" i="1"/>
  <c r="D1907" i="1"/>
  <c r="Q1912" i="1"/>
  <c r="L1912" i="1"/>
  <c r="T1912" i="1" s="1"/>
  <c r="U1912" i="1" s="1"/>
  <c r="V1912" i="1" s="1"/>
  <c r="Q1914" i="1"/>
  <c r="L1914" i="1"/>
  <c r="T1914" i="1" s="1"/>
  <c r="U1914" i="1" s="1"/>
  <c r="V1914" i="1" s="1"/>
  <c r="Q1924" i="1"/>
  <c r="L1924" i="1"/>
  <c r="Q1936" i="1"/>
  <c r="L1936" i="1"/>
  <c r="T1936" i="1" s="1"/>
  <c r="U1936" i="1" s="1"/>
  <c r="V1936" i="1" s="1"/>
  <c r="M1953" i="1"/>
  <c r="L1958" i="1"/>
  <c r="L1986" i="1"/>
  <c r="Q1998" i="1"/>
  <c r="Q1999" i="1"/>
  <c r="L1999" i="1"/>
  <c r="Q2011" i="1"/>
  <c r="L2011" i="1"/>
  <c r="Q2016" i="1"/>
  <c r="L2016" i="1"/>
  <c r="T2016" i="1" s="1"/>
  <c r="U2016" i="1" s="1"/>
  <c r="V2016" i="1" s="1"/>
  <c r="L2025" i="1"/>
  <c r="M2025" i="1" s="1"/>
  <c r="L2057" i="1"/>
  <c r="S2071" i="1"/>
  <c r="P2071" i="1" s="1"/>
  <c r="L2089" i="1"/>
  <c r="T2089" i="1" s="1"/>
  <c r="U2089" i="1" s="1"/>
  <c r="V2089" i="1" s="1"/>
  <c r="Q2092" i="1"/>
  <c r="L2092" i="1"/>
  <c r="Q2102" i="1"/>
  <c r="L2102" i="1"/>
  <c r="L2124" i="1"/>
  <c r="M2124" i="1" s="1"/>
  <c r="X2131" i="1"/>
  <c r="L2172" i="1"/>
  <c r="T2172" i="1" s="1"/>
  <c r="Q2175" i="1"/>
  <c r="L2175" i="1"/>
  <c r="S2177" i="1"/>
  <c r="P2177" i="1" s="1"/>
  <c r="X2226" i="1"/>
  <c r="W2225" i="1"/>
  <c r="W2252" i="1"/>
  <c r="X2252" i="1"/>
  <c r="Q2310" i="1"/>
  <c r="L2310" i="1"/>
  <c r="T2310" i="1" s="1"/>
  <c r="U2310" i="1" s="1"/>
  <c r="V2310" i="1" s="1"/>
  <c r="R2360" i="1"/>
  <c r="U2360" i="1" s="1"/>
  <c r="V2360" i="1" s="1"/>
  <c r="T2631" i="1"/>
  <c r="U2631" i="1" s="1"/>
  <c r="V2631" i="1" s="1"/>
  <c r="R2631" i="1"/>
  <c r="Q1686" i="1"/>
  <c r="L1686" i="1"/>
  <c r="W1696" i="1"/>
  <c r="D1723" i="1"/>
  <c r="Q1731" i="1"/>
  <c r="L1731" i="1"/>
  <c r="S1736" i="1"/>
  <c r="P1736" i="1" s="1"/>
  <c r="Q1741" i="1"/>
  <c r="L1741" i="1"/>
  <c r="Q1743" i="1"/>
  <c r="L1743" i="1"/>
  <c r="D1750" i="1"/>
  <c r="Q1757" i="1"/>
  <c r="L1757" i="1"/>
  <c r="D1765" i="1"/>
  <c r="X1774" i="1"/>
  <c r="Q1779" i="1"/>
  <c r="L1779" i="1"/>
  <c r="S1782" i="1"/>
  <c r="P1782" i="1" s="1"/>
  <c r="W1792" i="1"/>
  <c r="L1822" i="1"/>
  <c r="Q1827" i="1"/>
  <c r="L1827" i="1"/>
  <c r="D1852" i="1"/>
  <c r="Q1865" i="1"/>
  <c r="L1865" i="1"/>
  <c r="Q1867" i="1"/>
  <c r="L1867" i="1"/>
  <c r="T1867" i="1" s="1"/>
  <c r="U1867" i="1" s="1"/>
  <c r="V1867" i="1" s="1"/>
  <c r="S1891" i="1"/>
  <c r="P1891" i="1" s="1"/>
  <c r="W1894" i="1"/>
  <c r="L1902" i="1"/>
  <c r="D1905" i="1"/>
  <c r="Q1907" i="1"/>
  <c r="L1907" i="1"/>
  <c r="X1917" i="1"/>
  <c r="W1928" i="1"/>
  <c r="R1953" i="1"/>
  <c r="S1958" i="1"/>
  <c r="X1981" i="1"/>
  <c r="Q1984" i="1"/>
  <c r="L1984" i="1"/>
  <c r="T1984" i="1" s="1"/>
  <c r="U1984" i="1" s="1"/>
  <c r="V1984" i="1" s="1"/>
  <c r="W1999" i="1"/>
  <c r="W2011" i="1"/>
  <c r="L2045" i="1"/>
  <c r="D2050" i="1"/>
  <c r="Q2055" i="1"/>
  <c r="L2055" i="1"/>
  <c r="Q2060" i="1"/>
  <c r="L2060" i="1"/>
  <c r="D2081" i="1"/>
  <c r="S2092" i="1"/>
  <c r="P2092" i="1" s="1"/>
  <c r="Q2115" i="1"/>
  <c r="Q2121" i="1"/>
  <c r="D2147" i="1"/>
  <c r="X2169" i="1"/>
  <c r="X2172" i="1"/>
  <c r="S2172" i="1"/>
  <c r="Q2270" i="1"/>
  <c r="L2270" i="1"/>
  <c r="L2319" i="1"/>
  <c r="T2319" i="1" s="1"/>
  <c r="U2319" i="1" s="1"/>
  <c r="V2319" i="1" s="1"/>
  <c r="Q2319" i="1"/>
  <c r="Q2343" i="1"/>
  <c r="L2343" i="1"/>
  <c r="D2420" i="1"/>
  <c r="D2460" i="1"/>
  <c r="D2505" i="1"/>
  <c r="S2521" i="1"/>
  <c r="P2521" i="1" s="1"/>
  <c r="D2544" i="1"/>
  <c r="D2571" i="1"/>
  <c r="L2326" i="1"/>
  <c r="L1718" i="1"/>
  <c r="S1728" i="1"/>
  <c r="P1728" i="1" s="1"/>
  <c r="X1741" i="1"/>
  <c r="W1743" i="1"/>
  <c r="L1750" i="1"/>
  <c r="T1750" i="1" s="1"/>
  <c r="X1772" i="1"/>
  <c r="S1789" i="1"/>
  <c r="P1789" i="1" s="1"/>
  <c r="L1802" i="1"/>
  <c r="R1802" i="1" s="1"/>
  <c r="X1812" i="1"/>
  <c r="W1822" i="1"/>
  <c r="W1841" i="1"/>
  <c r="D1844" i="1"/>
  <c r="Q1849" i="1"/>
  <c r="L1849" i="1"/>
  <c r="T1849" i="1" s="1"/>
  <c r="U1849" i="1" s="1"/>
  <c r="V1849" i="1" s="1"/>
  <c r="Q1862" i="1"/>
  <c r="W1867" i="1"/>
  <c r="L1870" i="1"/>
  <c r="S1877" i="1"/>
  <c r="P1877" i="1" s="1"/>
  <c r="S1884" i="1"/>
  <c r="P1884" i="1" s="1"/>
  <c r="D1890" i="1"/>
  <c r="Q1897" i="1"/>
  <c r="L1897" i="1"/>
  <c r="Q1902" i="1"/>
  <c r="Q1905" i="1"/>
  <c r="L1905" i="1"/>
  <c r="Q1934" i="1"/>
  <c r="W1941" i="1"/>
  <c r="Q1943" i="1"/>
  <c r="D1946" i="1"/>
  <c r="Q1963" i="1"/>
  <c r="L1963" i="1"/>
  <c r="Q1971" i="1"/>
  <c r="L1971" i="1"/>
  <c r="L1974" i="1"/>
  <c r="R1974" i="1" s="1"/>
  <c r="W1976" i="1"/>
  <c r="Q1991" i="1"/>
  <c r="D1994" i="1"/>
  <c r="Q2004" i="1"/>
  <c r="L2004" i="1"/>
  <c r="L2021" i="1"/>
  <c r="Q2028" i="1"/>
  <c r="L2028" i="1"/>
  <c r="Q2038" i="1"/>
  <c r="L2038" i="1"/>
  <c r="R2038" i="1" s="1"/>
  <c r="X2045" i="1"/>
  <c r="D2053" i="1"/>
  <c r="X2055" i="1"/>
  <c r="S2060" i="1"/>
  <c r="P2060" i="1" s="1"/>
  <c r="D2068" i="1"/>
  <c r="Q2070" i="1"/>
  <c r="L2070" i="1"/>
  <c r="D2079" i="1"/>
  <c r="L2097" i="1"/>
  <c r="S2104" i="1"/>
  <c r="P2104" i="1" s="1"/>
  <c r="D2113" i="1"/>
  <c r="D2116" i="1"/>
  <c r="D2129" i="1"/>
  <c r="Q2139" i="1"/>
  <c r="Q2147" i="1"/>
  <c r="L2147" i="1"/>
  <c r="X2152" i="1"/>
  <c r="Q2155" i="1"/>
  <c r="L2164" i="1"/>
  <c r="T2164" i="1" s="1"/>
  <c r="Q2235" i="1"/>
  <c r="L2316" i="1"/>
  <c r="Q2334" i="1"/>
  <c r="L2334" i="1"/>
  <c r="D2393" i="1"/>
  <c r="D2396" i="1"/>
  <c r="Q2426" i="1"/>
  <c r="L2426" i="1"/>
  <c r="L2502" i="1"/>
  <c r="T2502" i="1" s="1"/>
  <c r="U2502" i="1" s="1"/>
  <c r="V2502" i="1" s="1"/>
  <c r="Q2502" i="1"/>
  <c r="X2521" i="1"/>
  <c r="L2544" i="1"/>
  <c r="T2544" i="1" s="1"/>
  <c r="U2544" i="1" s="1"/>
  <c r="V2544" i="1" s="1"/>
  <c r="Q2556" i="1"/>
  <c r="L2556" i="1"/>
  <c r="T2556" i="1" s="1"/>
  <c r="U2556" i="1" s="1"/>
  <c r="V2556" i="1" s="1"/>
  <c r="Q2594" i="1"/>
  <c r="L2594" i="1"/>
  <c r="Q2659" i="1"/>
  <c r="L2659" i="1"/>
  <c r="X1749" i="1"/>
  <c r="W1755" i="1"/>
  <c r="Q1760" i="1"/>
  <c r="L1760" i="1"/>
  <c r="X1770" i="1"/>
  <c r="L1777" i="1"/>
  <c r="Q1782" i="1"/>
  <c r="L1785" i="1"/>
  <c r="T1785" i="1" s="1"/>
  <c r="U1785" i="1" s="1"/>
  <c r="V1785" i="1" s="1"/>
  <c r="Q1809" i="1"/>
  <c r="Q1814" i="1"/>
  <c r="X1831" i="1"/>
  <c r="W1849" i="1"/>
  <c r="Q1860" i="1"/>
  <c r="L1860" i="1"/>
  <c r="Q1870" i="1"/>
  <c r="S1870" i="1"/>
  <c r="P1870" i="1" s="1"/>
  <c r="Q1880" i="1"/>
  <c r="L1880" i="1"/>
  <c r="T1880" i="1" s="1"/>
  <c r="U1880" i="1" s="1"/>
  <c r="V1880" i="1" s="1"/>
  <c r="Q1920" i="1"/>
  <c r="L1920" i="1"/>
  <c r="T1920" i="1" s="1"/>
  <c r="U1920" i="1" s="1"/>
  <c r="V1920" i="1" s="1"/>
  <c r="W1951" i="1"/>
  <c r="Q1956" i="1"/>
  <c r="L1956" i="1"/>
  <c r="Q1966" i="1"/>
  <c r="L1966" i="1"/>
  <c r="X1999" i="1"/>
  <c r="S2003" i="1"/>
  <c r="P2003" i="1" s="1"/>
  <c r="Q2007" i="1"/>
  <c r="L2007" i="1"/>
  <c r="T2007" i="1" s="1"/>
  <c r="U2007" i="1" s="1"/>
  <c r="V2007" i="1" s="1"/>
  <c r="S2020" i="1"/>
  <c r="P2020" i="1" s="1"/>
  <c r="Q2031" i="1"/>
  <c r="L2031" i="1"/>
  <c r="T2031" i="1" s="1"/>
  <c r="U2031" i="1" s="1"/>
  <c r="V2031" i="1" s="1"/>
  <c r="L2033" i="1"/>
  <c r="M2033" i="1" s="1"/>
  <c r="S2070" i="1"/>
  <c r="P2070" i="1" s="1"/>
  <c r="W2080" i="1"/>
  <c r="S2084" i="1"/>
  <c r="P2084" i="1" s="1"/>
  <c r="X2097" i="1"/>
  <c r="Q2108" i="1"/>
  <c r="L2108" i="1"/>
  <c r="Q2110" i="1"/>
  <c r="L2110" i="1"/>
  <c r="S2139" i="1"/>
  <c r="P2139" i="1" s="1"/>
  <c r="W2144" i="1"/>
  <c r="X2147" i="1"/>
  <c r="R2296" i="1"/>
  <c r="U2296" i="1" s="1"/>
  <c r="V2296" i="1" s="1"/>
  <c r="Q2331" i="1"/>
  <c r="T2352" i="1"/>
  <c r="Q2399" i="1"/>
  <c r="L2399" i="1"/>
  <c r="T2399" i="1" s="1"/>
  <c r="U2399" i="1" s="1"/>
  <c r="V2399" i="1" s="1"/>
  <c r="L2408" i="1"/>
  <c r="Q2496" i="1"/>
  <c r="L2496" i="1"/>
  <c r="Q2571" i="1"/>
  <c r="L2571" i="1"/>
  <c r="T2571" i="1" s="1"/>
  <c r="W1784" i="1"/>
  <c r="Q1804" i="1"/>
  <c r="Q1815" i="1"/>
  <c r="L1815" i="1"/>
  <c r="M1825" i="1"/>
  <c r="D1832" i="1"/>
  <c r="S1835" i="1"/>
  <c r="P1835" i="1" s="1"/>
  <c r="Q1847" i="1"/>
  <c r="L1847" i="1"/>
  <c r="S1859" i="1"/>
  <c r="P1859" i="1" s="1"/>
  <c r="S1865" i="1"/>
  <c r="P1865" i="1" s="1"/>
  <c r="W1881" i="1"/>
  <c r="Q1888" i="1"/>
  <c r="L1888" i="1"/>
  <c r="T1888" i="1" s="1"/>
  <c r="U1888" i="1" s="1"/>
  <c r="V1888" i="1" s="1"/>
  <c r="L1890" i="1"/>
  <c r="T1890" i="1" s="1"/>
  <c r="Q1895" i="1"/>
  <c r="L1895" i="1"/>
  <c r="T1895" i="1" s="1"/>
  <c r="U1895" i="1" s="1"/>
  <c r="V1895" i="1" s="1"/>
  <c r="D1915" i="1"/>
  <c r="L1922" i="1"/>
  <c r="T1922" i="1" s="1"/>
  <c r="U1922" i="1" s="1"/>
  <c r="V1922" i="1" s="1"/>
  <c r="Q1931" i="1"/>
  <c r="L1931" i="1"/>
  <c r="L1946" i="1"/>
  <c r="T1946" i="1" s="1"/>
  <c r="Q1953" i="1"/>
  <c r="S1955" i="1"/>
  <c r="P1955" i="1" s="1"/>
  <c r="M1961" i="1"/>
  <c r="S1966" i="1"/>
  <c r="P1966" i="1" s="1"/>
  <c r="Q1979" i="1"/>
  <c r="L1979" i="1"/>
  <c r="D1982" i="1"/>
  <c r="Q1994" i="1"/>
  <c r="L1994" i="1"/>
  <c r="T1994" i="1" s="1"/>
  <c r="D2000" i="1"/>
  <c r="W2007" i="1"/>
  <c r="D2012" i="1"/>
  <c r="Q2014" i="1"/>
  <c r="L2014" i="1"/>
  <c r="D2026" i="1"/>
  <c r="W2031" i="1"/>
  <c r="Q2048" i="1"/>
  <c r="L2048" i="1"/>
  <c r="L2053" i="1"/>
  <c r="L2065" i="1"/>
  <c r="T2065" i="1" s="1"/>
  <c r="Q2068" i="1"/>
  <c r="L2068" i="1"/>
  <c r="Q2076" i="1"/>
  <c r="L2076" i="1"/>
  <c r="D2090" i="1"/>
  <c r="D2106" i="1"/>
  <c r="Q2113" i="1"/>
  <c r="L2113" i="1"/>
  <c r="L2116" i="1"/>
  <c r="T2116" i="1" s="1"/>
  <c r="L2132" i="1"/>
  <c r="L2195" i="1"/>
  <c r="T2195" i="1" s="1"/>
  <c r="U2195" i="1" s="1"/>
  <c r="V2195" i="1" s="1"/>
  <c r="Q2195" i="1"/>
  <c r="W2205" i="1"/>
  <c r="W2212" i="1"/>
  <c r="X2212" i="1"/>
  <c r="D2218" i="1"/>
  <c r="D2221" i="1"/>
  <c r="L2227" i="1"/>
  <c r="T2227" i="1" s="1"/>
  <c r="U2227" i="1" s="1"/>
  <c r="V2227" i="1" s="1"/>
  <c r="Q2227" i="1"/>
  <c r="D2265" i="1"/>
  <c r="D2268" i="1"/>
  <c r="Q2302" i="1"/>
  <c r="L2302" i="1"/>
  <c r="M2302" i="1" s="1"/>
  <c r="X2352" i="1"/>
  <c r="W2361" i="1"/>
  <c r="S2361" i="1"/>
  <c r="P2361" i="1" s="1"/>
  <c r="L2390" i="1"/>
  <c r="Q2390" i="1"/>
  <c r="M2583" i="1"/>
  <c r="X2609" i="1"/>
  <c r="S2609" i="1"/>
  <c r="P2609" i="1" s="1"/>
  <c r="L1746" i="1"/>
  <c r="T1746" i="1" s="1"/>
  <c r="W1748" i="1"/>
  <c r="W1750" i="1"/>
  <c r="D1758" i="1"/>
  <c r="Q1768" i="1"/>
  <c r="L1768" i="1"/>
  <c r="T1768" i="1" s="1"/>
  <c r="U1768" i="1" s="1"/>
  <c r="V1768" i="1" s="1"/>
  <c r="D1771" i="1"/>
  <c r="W1797" i="1"/>
  <c r="D1803" i="1"/>
  <c r="D1813" i="1"/>
  <c r="D1818" i="1"/>
  <c r="L1834" i="1"/>
  <c r="T1834" i="1" s="1"/>
  <c r="U1834" i="1" s="1"/>
  <c r="V1834" i="1" s="1"/>
  <c r="Q1839" i="1"/>
  <c r="L1839" i="1"/>
  <c r="W1847" i="1"/>
  <c r="W1855" i="1"/>
  <c r="Q1863" i="1"/>
  <c r="L1863" i="1"/>
  <c r="D1868" i="1"/>
  <c r="W1870" i="1"/>
  <c r="S1880" i="1"/>
  <c r="P1880" i="1" s="1"/>
  <c r="S1905" i="1"/>
  <c r="P1905" i="1" s="1"/>
  <c r="L1910" i="1"/>
  <c r="Q1939" i="1"/>
  <c r="L1939" i="1"/>
  <c r="Q1944" i="1"/>
  <c r="L1944" i="1"/>
  <c r="T1944" i="1" s="1"/>
  <c r="U1944" i="1" s="1"/>
  <c r="V1944" i="1" s="1"/>
  <c r="Q1958" i="1"/>
  <c r="Q1969" i="1"/>
  <c r="L1969" i="1"/>
  <c r="Q1992" i="1"/>
  <c r="L1992" i="1"/>
  <c r="T1992" i="1" s="1"/>
  <c r="U1992" i="1" s="1"/>
  <c r="V1992" i="1" s="1"/>
  <c r="Q2012" i="1"/>
  <c r="L2012" i="1"/>
  <c r="D2017" i="1"/>
  <c r="S2021" i="1"/>
  <c r="D2041" i="1"/>
  <c r="W2053" i="1"/>
  <c r="D2058" i="1"/>
  <c r="W2070" i="1"/>
  <c r="L2073" i="1"/>
  <c r="L2093" i="1"/>
  <c r="D2098" i="1"/>
  <c r="L2122" i="1"/>
  <c r="M2122" i="1" s="1"/>
  <c r="L2127" i="1"/>
  <c r="T2127" i="1" s="1"/>
  <c r="U2127" i="1" s="1"/>
  <c r="V2127" i="1" s="1"/>
  <c r="Q2127" i="1"/>
  <c r="X2129" i="1"/>
  <c r="T2224" i="1"/>
  <c r="R2224" i="1"/>
  <c r="M2224" i="1"/>
  <c r="Q2274" i="1"/>
  <c r="L2274" i="1"/>
  <c r="X2299" i="1"/>
  <c r="L2308" i="1"/>
  <c r="T2308" i="1" s="1"/>
  <c r="D2326" i="1"/>
  <c r="D2433" i="1"/>
  <c r="X2508" i="1"/>
  <c r="W2508" i="1"/>
  <c r="L2633" i="1"/>
  <c r="Q1868" i="1"/>
  <c r="L1868" i="1"/>
  <c r="Q1875" i="1"/>
  <c r="L1875" i="1"/>
  <c r="S1888" i="1"/>
  <c r="P1888" i="1" s="1"/>
  <c r="Q1900" i="1"/>
  <c r="L1900" i="1"/>
  <c r="Q1915" i="1"/>
  <c r="L1915" i="1"/>
  <c r="T1915" i="1" s="1"/>
  <c r="U1915" i="1" s="1"/>
  <c r="V1915" i="1" s="1"/>
  <c r="W1939" i="1"/>
  <c r="W1949" i="1"/>
  <c r="Q1977" i="1"/>
  <c r="L1977" i="1"/>
  <c r="Q2000" i="1"/>
  <c r="L2000" i="1"/>
  <c r="T2000" i="1" s="1"/>
  <c r="U2000" i="1" s="1"/>
  <c r="V2000" i="1" s="1"/>
  <c r="L2002" i="1"/>
  <c r="T2002" i="1" s="1"/>
  <c r="U2002" i="1" s="1"/>
  <c r="V2002" i="1" s="1"/>
  <c r="Q2026" i="1"/>
  <c r="L2026" i="1"/>
  <c r="T2026" i="1" s="1"/>
  <c r="U2026" i="1" s="1"/>
  <c r="V2026" i="1" s="1"/>
  <c r="Q2036" i="1"/>
  <c r="L2036" i="1"/>
  <c r="Q2043" i="1"/>
  <c r="L2043" i="1"/>
  <c r="T2043" i="1" s="1"/>
  <c r="U2043" i="1" s="1"/>
  <c r="V2043" i="1" s="1"/>
  <c r="Q2056" i="1"/>
  <c r="L2056" i="1"/>
  <c r="Q2063" i="1"/>
  <c r="L2063" i="1"/>
  <c r="T2063" i="1" s="1"/>
  <c r="U2063" i="1" s="1"/>
  <c r="V2063" i="1" s="1"/>
  <c r="X2093" i="1"/>
  <c r="L2106" i="1"/>
  <c r="M2106" i="1" s="1"/>
  <c r="Q2125" i="1"/>
  <c r="L2125" i="1"/>
  <c r="Q2218" i="1"/>
  <c r="L2218" i="1"/>
  <c r="Q2627" i="1"/>
  <c r="L2627" i="1"/>
  <c r="S2639" i="1"/>
  <c r="P2639" i="1" s="1"/>
  <c r="L2648" i="1"/>
  <c r="L2649" i="1"/>
  <c r="X1780" i="1"/>
  <c r="X1789" i="1"/>
  <c r="W1875" i="1"/>
  <c r="W1903" i="1"/>
  <c r="Q1908" i="1"/>
  <c r="L1908" i="1"/>
  <c r="L1918" i="1"/>
  <c r="W1927" i="1"/>
  <c r="S1934" i="1"/>
  <c r="Q1937" i="1"/>
  <c r="L1937" i="1"/>
  <c r="Q1942" i="1"/>
  <c r="S1944" i="1"/>
  <c r="P1944" i="1" s="1"/>
  <c r="D1952" i="1"/>
  <c r="Q1964" i="1"/>
  <c r="L1964" i="1"/>
  <c r="D1990" i="1"/>
  <c r="S1992" i="1"/>
  <c r="P1992" i="1" s="1"/>
  <c r="D1995" i="1"/>
  <c r="D2008" i="1"/>
  <c r="Q2017" i="1"/>
  <c r="L2017" i="1"/>
  <c r="D2034" i="1"/>
  <c r="L2041" i="1"/>
  <c r="T2041" i="1" s="1"/>
  <c r="X2061" i="1"/>
  <c r="W2062" i="1"/>
  <c r="D2066" i="1"/>
  <c r="D2069" i="1"/>
  <c r="D2077" i="1"/>
  <c r="L2098" i="1"/>
  <c r="L2140" i="1"/>
  <c r="L2148" i="1"/>
  <c r="T2148" i="1" s="1"/>
  <c r="X2184" i="1"/>
  <c r="L2187" i="1"/>
  <c r="T2187" i="1" s="1"/>
  <c r="U2187" i="1" s="1"/>
  <c r="V2187" i="1" s="1"/>
  <c r="Q2187" i="1"/>
  <c r="L2323" i="1"/>
  <c r="T2323" i="1" s="1"/>
  <c r="U2323" i="1" s="1"/>
  <c r="V2323" i="1" s="1"/>
  <c r="Q2323" i="1"/>
  <c r="Q2382" i="1"/>
  <c r="L2382" i="1"/>
  <c r="L2500" i="1"/>
  <c r="Q2500" i="1"/>
  <c r="Q2517" i="1"/>
  <c r="L2517" i="1"/>
  <c r="D2622" i="1"/>
  <c r="L2035" i="1"/>
  <c r="T2035" i="1" s="1"/>
  <c r="U2035" i="1" s="1"/>
  <c r="V2035" i="1" s="1"/>
  <c r="W2005" i="1"/>
  <c r="D2010" i="1"/>
  <c r="D2015" i="1"/>
  <c r="Q2019" i="1"/>
  <c r="L2019" i="1"/>
  <c r="T2019" i="1" s="1"/>
  <c r="U2019" i="1" s="1"/>
  <c r="V2019" i="1" s="1"/>
  <c r="Q2024" i="1"/>
  <c r="L2024" i="1"/>
  <c r="S2029" i="1"/>
  <c r="P2029" i="1" s="1"/>
  <c r="Q2051" i="1"/>
  <c r="L2051" i="1"/>
  <c r="T2051" i="1" s="1"/>
  <c r="U2051" i="1" s="1"/>
  <c r="V2051" i="1" s="1"/>
  <c r="D2128" i="1"/>
  <c r="Q2135" i="1"/>
  <c r="L2135" i="1"/>
  <c r="X2145" i="1"/>
  <c r="Q2151" i="1"/>
  <c r="L2151" i="1"/>
  <c r="T2151" i="1" s="1"/>
  <c r="U2151" i="1" s="1"/>
  <c r="V2151" i="1" s="1"/>
  <c r="D2154" i="1"/>
  <c r="D2182" i="1"/>
  <c r="Q2207" i="1"/>
  <c r="L2207" i="1"/>
  <c r="T2207" i="1" s="1"/>
  <c r="U2207" i="1" s="1"/>
  <c r="V2207" i="1" s="1"/>
  <c r="D2257" i="1"/>
  <c r="D2260" i="1"/>
  <c r="S2379" i="1"/>
  <c r="W2412" i="1"/>
  <c r="X2412" i="1"/>
  <c r="S2412" i="1"/>
  <c r="P2412" i="1" s="1"/>
  <c r="Q2418" i="1"/>
  <c r="L2418" i="1"/>
  <c r="Q2430" i="1"/>
  <c r="L2430" i="1"/>
  <c r="X2500" i="1"/>
  <c r="S2500" i="1"/>
  <c r="P2500" i="1" s="1"/>
  <c r="Q2138" i="1"/>
  <c r="L2138" i="1"/>
  <c r="L2179" i="1"/>
  <c r="T2179" i="1" s="1"/>
  <c r="U2179" i="1" s="1"/>
  <c r="V2179" i="1" s="1"/>
  <c r="Q2179" i="1"/>
  <c r="R2216" i="1"/>
  <c r="U2216" i="1" s="1"/>
  <c r="V2216" i="1" s="1"/>
  <c r="Q2294" i="1"/>
  <c r="L2294" i="1"/>
  <c r="L2303" i="1"/>
  <c r="M2303" i="1" s="1"/>
  <c r="Q2303" i="1"/>
  <c r="W2379" i="1"/>
  <c r="Q2529" i="1"/>
  <c r="L2529" i="1"/>
  <c r="R2529" i="1" s="1"/>
  <c r="Q2604" i="1"/>
  <c r="L2604" i="1"/>
  <c r="T2604" i="1" s="1"/>
  <c r="U2604" i="1" s="1"/>
  <c r="V2604" i="1" s="1"/>
  <c r="Q2643" i="1"/>
  <c r="L2643" i="1"/>
  <c r="L1987" i="1"/>
  <c r="Q1673" i="1"/>
  <c r="L1673" i="1"/>
  <c r="T1673" i="1" s="1"/>
  <c r="U1673" i="1" s="1"/>
  <c r="V1673" i="1" s="1"/>
  <c r="D1676" i="1"/>
  <c r="Q1678" i="1"/>
  <c r="L1678" i="1"/>
  <c r="L1690" i="1"/>
  <c r="W1751" i="1"/>
  <c r="L1769" i="1"/>
  <c r="R1769" i="1" s="1"/>
  <c r="Q1775" i="1"/>
  <c r="D1778" i="1"/>
  <c r="L1786" i="1"/>
  <c r="Q1788" i="1"/>
  <c r="D1796" i="1"/>
  <c r="L1798" i="1"/>
  <c r="X1805" i="1"/>
  <c r="D1824" i="1"/>
  <c r="D1826" i="1"/>
  <c r="S1830" i="1"/>
  <c r="P1830" i="1" s="1"/>
  <c r="Q1840" i="1"/>
  <c r="L1840" i="1"/>
  <c r="T1840" i="1" s="1"/>
  <c r="U1840" i="1" s="1"/>
  <c r="V1840" i="1" s="1"/>
  <c r="Q1848" i="1"/>
  <c r="L1848" i="1"/>
  <c r="T1848" i="1" s="1"/>
  <c r="U1848" i="1" s="1"/>
  <c r="V1848" i="1" s="1"/>
  <c r="Q1864" i="1"/>
  <c r="L1864" i="1"/>
  <c r="T1864" i="1" s="1"/>
  <c r="U1864" i="1" s="1"/>
  <c r="V1864" i="1" s="1"/>
  <c r="Q1866" i="1"/>
  <c r="L1866" i="1"/>
  <c r="T1866" i="1" s="1"/>
  <c r="D1869" i="1"/>
  <c r="D1876" i="1"/>
  <c r="Q1881" i="1"/>
  <c r="L1881" i="1"/>
  <c r="Q1886" i="1"/>
  <c r="L1886" i="1"/>
  <c r="Q1896" i="1"/>
  <c r="L1896" i="1"/>
  <c r="T1896" i="1" s="1"/>
  <c r="U1896" i="1" s="1"/>
  <c r="V1896" i="1" s="1"/>
  <c r="L1898" i="1"/>
  <c r="T1898" i="1" s="1"/>
  <c r="D1901" i="1"/>
  <c r="D1916" i="1"/>
  <c r="Q1923" i="1"/>
  <c r="L1923" i="1"/>
  <c r="X1927" i="1"/>
  <c r="Q1929" i="1"/>
  <c r="Q1932" i="1"/>
  <c r="L1932" i="1"/>
  <c r="Q1940" i="1"/>
  <c r="L1940" i="1"/>
  <c r="Q1947" i="1"/>
  <c r="L1947" i="1"/>
  <c r="T1947" i="1" s="1"/>
  <c r="U1947" i="1" s="1"/>
  <c r="V1947" i="1" s="1"/>
  <c r="D1960" i="1"/>
  <c r="Q1974" i="1"/>
  <c r="W1975" i="1"/>
  <c r="Q1980" i="1"/>
  <c r="L1980" i="1"/>
  <c r="S1990" i="1"/>
  <c r="P1990" i="1" s="1"/>
  <c r="W1995" i="1"/>
  <c r="L1998" i="1"/>
  <c r="X2005" i="1"/>
  <c r="L2010" i="1"/>
  <c r="T2010" i="1" s="1"/>
  <c r="U2010" i="1" s="1"/>
  <c r="V2010" i="1" s="1"/>
  <c r="Q2015" i="1"/>
  <c r="L2015" i="1"/>
  <c r="D2030" i="1"/>
  <c r="Q2046" i="1"/>
  <c r="D2059" i="1"/>
  <c r="W2061" i="1"/>
  <c r="D2064" i="1"/>
  <c r="Q2080" i="1"/>
  <c r="L2080" i="1"/>
  <c r="D2086" i="1"/>
  <c r="S2114" i="1"/>
  <c r="P2114" i="1" s="1"/>
  <c r="W2120" i="1"/>
  <c r="D2126" i="1"/>
  <c r="L2128" i="1"/>
  <c r="Q2130" i="1"/>
  <c r="L2130" i="1"/>
  <c r="D2141" i="1"/>
  <c r="Q2143" i="1"/>
  <c r="Q2154" i="1"/>
  <c r="L2154" i="1"/>
  <c r="D2174" i="1"/>
  <c r="L2196" i="1"/>
  <c r="T2196" i="1" s="1"/>
  <c r="U2196" i="1" s="1"/>
  <c r="V2196" i="1" s="1"/>
  <c r="Q2199" i="1"/>
  <c r="L2199" i="1"/>
  <c r="M2199" i="1" s="1"/>
  <c r="W2201" i="1"/>
  <c r="W2204" i="1"/>
  <c r="X2204" i="1"/>
  <c r="M2216" i="1"/>
  <c r="X2251" i="1"/>
  <c r="Q2254" i="1"/>
  <c r="L2254" i="1"/>
  <c r="W2320" i="1"/>
  <c r="Q2371" i="1"/>
  <c r="L2371" i="1"/>
  <c r="Q2482" i="1"/>
  <c r="L2482" i="1"/>
  <c r="W2500" i="1"/>
  <c r="D2579" i="1"/>
  <c r="W2189" i="1"/>
  <c r="D2193" i="1"/>
  <c r="Q2203" i="1"/>
  <c r="L2203" i="1"/>
  <c r="T2203" i="1" s="1"/>
  <c r="U2203" i="1" s="1"/>
  <c r="V2203" i="1" s="1"/>
  <c r="X2243" i="1"/>
  <c r="D2252" i="1"/>
  <c r="L2260" i="1"/>
  <c r="Q2284" i="1"/>
  <c r="L2292" i="1"/>
  <c r="Q2351" i="1"/>
  <c r="L2351" i="1"/>
  <c r="Q2359" i="1"/>
  <c r="L2359" i="1"/>
  <c r="D2367" i="1"/>
  <c r="D2385" i="1"/>
  <c r="D2388" i="1"/>
  <c r="Q2402" i="1"/>
  <c r="L2402" i="1"/>
  <c r="L2428" i="1"/>
  <c r="T2428" i="1" s="1"/>
  <c r="Q2439" i="1"/>
  <c r="L2439" i="1"/>
  <c r="M2439" i="1" s="1"/>
  <c r="Q2452" i="1"/>
  <c r="Q2483" i="1"/>
  <c r="D2490" i="1"/>
  <c r="D2493" i="1"/>
  <c r="D2525" i="1"/>
  <c r="Q2532" i="1"/>
  <c r="L2532" i="1"/>
  <c r="D2537" i="1"/>
  <c r="D2542" i="1"/>
  <c r="S2544" i="1"/>
  <c r="P2544" i="1" s="1"/>
  <c r="Q2558" i="1"/>
  <c r="L2558" i="1"/>
  <c r="D2561" i="1"/>
  <c r="Q2566" i="1"/>
  <c r="L2566" i="1"/>
  <c r="R2566" i="1" s="1"/>
  <c r="D2577" i="1"/>
  <c r="Q2586" i="1"/>
  <c r="W2591" i="1"/>
  <c r="D2597" i="1"/>
  <c r="Q2612" i="1"/>
  <c r="L2612" i="1"/>
  <c r="T2612" i="1" s="1"/>
  <c r="U2612" i="1" s="1"/>
  <c r="V2612" i="1" s="1"/>
  <c r="D2630" i="1"/>
  <c r="D2633" i="1"/>
  <c r="L2346" i="1"/>
  <c r="D2196" i="1"/>
  <c r="D2241" i="1"/>
  <c r="D2255" i="1"/>
  <c r="Q2260" i="1"/>
  <c r="W2260" i="1"/>
  <c r="Q2268" i="1"/>
  <c r="X2268" i="1"/>
  <c r="Q2271" i="1"/>
  <c r="L2271" i="1"/>
  <c r="D2274" i="1"/>
  <c r="S2279" i="1"/>
  <c r="P2279" i="1" s="1"/>
  <c r="Q2292" i="1"/>
  <c r="D2303" i="1"/>
  <c r="D2308" i="1"/>
  <c r="D2319" i="1"/>
  <c r="Q2383" i="1"/>
  <c r="L2383" i="1"/>
  <c r="X2393" i="1"/>
  <c r="Q2415" i="1"/>
  <c r="L2415" i="1"/>
  <c r="R2415" i="1" s="1"/>
  <c r="Q2423" i="1"/>
  <c r="L2423" i="1"/>
  <c r="T2423" i="1" s="1"/>
  <c r="U2423" i="1" s="1"/>
  <c r="V2423" i="1" s="1"/>
  <c r="D2434" i="1"/>
  <c r="Q2447" i="1"/>
  <c r="L2447" i="1"/>
  <c r="D2450" i="1"/>
  <c r="Q2463" i="1"/>
  <c r="L2463" i="1"/>
  <c r="Q2468" i="1"/>
  <c r="L2468" i="1"/>
  <c r="Q2471" i="1"/>
  <c r="L2471" i="1"/>
  <c r="Q2479" i="1"/>
  <c r="L2479" i="1"/>
  <c r="T2479" i="1" s="1"/>
  <c r="D2482" i="1"/>
  <c r="L2487" i="1"/>
  <c r="Q2498" i="1"/>
  <c r="L2498" i="1"/>
  <c r="Q2522" i="1"/>
  <c r="L2522" i="1"/>
  <c r="R2522" i="1" s="1"/>
  <c r="Q2550" i="1"/>
  <c r="L2550" i="1"/>
  <c r="Q2589" i="1"/>
  <c r="L2589" i="1"/>
  <c r="L2607" i="1"/>
  <c r="M2607" i="1" s="1"/>
  <c r="D2615" i="1"/>
  <c r="Q2620" i="1"/>
  <c r="L2620" i="1"/>
  <c r="T2620" i="1" s="1"/>
  <c r="U2620" i="1" s="1"/>
  <c r="V2620" i="1" s="1"/>
  <c r="L2625" i="1"/>
  <c r="Q2630" i="1"/>
  <c r="L2630" i="1"/>
  <c r="T2630" i="1" s="1"/>
  <c r="U2630" i="1" s="1"/>
  <c r="V2630" i="1" s="1"/>
  <c r="D2649" i="1"/>
  <c r="D2657" i="1"/>
  <c r="L2666" i="1"/>
  <c r="D2311" i="1"/>
  <c r="D2324" i="1"/>
  <c r="Q2335" i="1"/>
  <c r="L2335" i="1"/>
  <c r="Q2367" i="1"/>
  <c r="L2367" i="1"/>
  <c r="L2372" i="1"/>
  <c r="Q2375" i="1"/>
  <c r="L2375" i="1"/>
  <c r="L2388" i="1"/>
  <c r="D2391" i="1"/>
  <c r="Q2396" i="1"/>
  <c r="Q2410" i="1"/>
  <c r="L2410" i="1"/>
  <c r="D2413" i="1"/>
  <c r="Q2431" i="1"/>
  <c r="L2431" i="1"/>
  <c r="M2431" i="1" s="1"/>
  <c r="Q2442" i="1"/>
  <c r="L2442" i="1"/>
  <c r="D2445" i="1"/>
  <c r="Q2490" i="1"/>
  <c r="L2490" i="1"/>
  <c r="Q2493" i="1"/>
  <c r="L2493" i="1"/>
  <c r="D2503" i="1"/>
  <c r="Q2508" i="1"/>
  <c r="L2508" i="1"/>
  <c r="D2513" i="1"/>
  <c r="Q2520" i="1"/>
  <c r="L2520" i="1"/>
  <c r="Q2525" i="1"/>
  <c r="L2525" i="1"/>
  <c r="L2535" i="1"/>
  <c r="Q2542" i="1"/>
  <c r="L2542" i="1"/>
  <c r="Q2553" i="1"/>
  <c r="L2553" i="1"/>
  <c r="R2553" i="1" s="1"/>
  <c r="Q2574" i="1"/>
  <c r="L2574" i="1"/>
  <c r="D2580" i="1"/>
  <c r="Q2597" i="1"/>
  <c r="L2597" i="1"/>
  <c r="S2625" i="1"/>
  <c r="P2625" i="1" s="1"/>
  <c r="Q2638" i="1"/>
  <c r="L2638" i="1"/>
  <c r="R2638" i="1" s="1"/>
  <c r="Q2654" i="1"/>
  <c r="L2654" i="1"/>
  <c r="R2654" i="1" s="1"/>
  <c r="Q2662" i="1"/>
  <c r="L2662" i="1"/>
  <c r="M2662" i="1" s="1"/>
  <c r="L2683" i="1"/>
  <c r="T2683" i="1" s="1"/>
  <c r="Q2091" i="1"/>
  <c r="L2091" i="1"/>
  <c r="D2094" i="1"/>
  <c r="D2107" i="1"/>
  <c r="L2120" i="1"/>
  <c r="Q2140" i="1"/>
  <c r="L2156" i="1"/>
  <c r="M2156" i="1" s="1"/>
  <c r="D2170" i="1"/>
  <c r="S2175" i="1"/>
  <c r="P2175" i="1" s="1"/>
  <c r="L2188" i="1"/>
  <c r="D2204" i="1"/>
  <c r="Q2206" i="1"/>
  <c r="S2216" i="1"/>
  <c r="P2216" i="1" s="1"/>
  <c r="D2233" i="1"/>
  <c r="D2236" i="1"/>
  <c r="S2240" i="1"/>
  <c r="P2240" i="1" s="1"/>
  <c r="Q2247" i="1"/>
  <c r="L2247" i="1"/>
  <c r="D2250" i="1"/>
  <c r="S2255" i="1"/>
  <c r="P2255" i="1" s="1"/>
  <c r="Q2258" i="1"/>
  <c r="L2258" i="1"/>
  <c r="Q2263" i="1"/>
  <c r="D2272" i="1"/>
  <c r="D2280" i="1"/>
  <c r="Q2282" i="1"/>
  <c r="L2282" i="1"/>
  <c r="D2288" i="1"/>
  <c r="Q2295" i="1"/>
  <c r="L2295" i="1"/>
  <c r="T2295" i="1" s="1"/>
  <c r="U2295" i="1" s="1"/>
  <c r="V2295" i="1" s="1"/>
  <c r="D2298" i="1"/>
  <c r="P2303" i="1"/>
  <c r="S2305" i="1"/>
  <c r="P2305" i="1" s="1"/>
  <c r="Q2311" i="1"/>
  <c r="L2311" i="1"/>
  <c r="Q2324" i="1"/>
  <c r="L2324" i="1"/>
  <c r="S2327" i="1"/>
  <c r="D2330" i="1"/>
  <c r="Q2332" i="1"/>
  <c r="Q2338" i="1"/>
  <c r="L2338" i="1"/>
  <c r="L2344" i="1"/>
  <c r="R2344" i="1" s="1"/>
  <c r="Q2354" i="1"/>
  <c r="L2354" i="1"/>
  <c r="D2384" i="1"/>
  <c r="Q2388" i="1"/>
  <c r="Q2391" i="1"/>
  <c r="L2391" i="1"/>
  <c r="D2394" i="1"/>
  <c r="Q2400" i="1"/>
  <c r="Q2405" i="1"/>
  <c r="Q2412" i="1"/>
  <c r="Q2413" i="1"/>
  <c r="L2413" i="1"/>
  <c r="Q2421" i="1"/>
  <c r="L2421" i="1"/>
  <c r="D2424" i="1"/>
  <c r="W2426" i="1"/>
  <c r="Q2445" i="1"/>
  <c r="L2445" i="1"/>
  <c r="M2445" i="1" s="1"/>
  <c r="Q2453" i="1"/>
  <c r="L2453" i="1"/>
  <c r="M2453" i="1" s="1"/>
  <c r="D2456" i="1"/>
  <c r="Q2458" i="1"/>
  <c r="L2458" i="1"/>
  <c r="Q2461" i="1"/>
  <c r="L2461" i="1"/>
  <c r="Q2466" i="1"/>
  <c r="L2466" i="1"/>
  <c r="D2469" i="1"/>
  <c r="D2472" i="1"/>
  <c r="D2480" i="1"/>
  <c r="W2482" i="1"/>
  <c r="D2485" i="1"/>
  <c r="D2488" i="1"/>
  <c r="S2498" i="1"/>
  <c r="P2498" i="1" s="1"/>
  <c r="L2503" i="1"/>
  <c r="T2503" i="1" s="1"/>
  <c r="Q2540" i="1"/>
  <c r="L2540" i="1"/>
  <c r="Q2545" i="1"/>
  <c r="L2545" i="1"/>
  <c r="R2545" i="1" s="1"/>
  <c r="D2567" i="1"/>
  <c r="Q2572" i="1"/>
  <c r="L2572" i="1"/>
  <c r="T2572" i="1" s="1"/>
  <c r="U2572" i="1" s="1"/>
  <c r="V2572" i="1" s="1"/>
  <c r="Q2580" i="1"/>
  <c r="L2580" i="1"/>
  <c r="T2580" i="1" s="1"/>
  <c r="U2580" i="1" s="1"/>
  <c r="V2580" i="1" s="1"/>
  <c r="Q2582" i="1"/>
  <c r="L2582" i="1"/>
  <c r="Q2610" i="1"/>
  <c r="L2610" i="1"/>
  <c r="D2631" i="1"/>
  <c r="L2641" i="1"/>
  <c r="W2649" i="1"/>
  <c r="L2671" i="1"/>
  <c r="M2671" i="1" s="1"/>
  <c r="Q2674" i="1"/>
  <c r="L2674" i="1"/>
  <c r="Q2677" i="1"/>
  <c r="L2677" i="1"/>
  <c r="Q2689" i="1"/>
  <c r="L2689" i="1"/>
  <c r="L2663" i="1"/>
  <c r="L2306" i="1"/>
  <c r="L2244" i="1"/>
  <c r="Q2266" i="1"/>
  <c r="L2266" i="1"/>
  <c r="Q2290" i="1"/>
  <c r="L2290" i="1"/>
  <c r="W2305" i="1"/>
  <c r="Q2362" i="1"/>
  <c r="L2362" i="1"/>
  <c r="Q2378" i="1"/>
  <c r="L2378" i="1"/>
  <c r="Q2397" i="1"/>
  <c r="L2397" i="1"/>
  <c r="W2498" i="1"/>
  <c r="W2513" i="1"/>
  <c r="Q2518" i="1"/>
  <c r="L2518" i="1"/>
  <c r="Q2533" i="1"/>
  <c r="L2533" i="1"/>
  <c r="S2564" i="1"/>
  <c r="P2564" i="1" s="1"/>
  <c r="L2587" i="1"/>
  <c r="T2587" i="1" s="1"/>
  <c r="Q2605" i="1"/>
  <c r="L2605" i="1"/>
  <c r="Q2628" i="1"/>
  <c r="L2628" i="1"/>
  <c r="T2628" i="1" s="1"/>
  <c r="U2628" i="1" s="1"/>
  <c r="V2628" i="1" s="1"/>
  <c r="Q2636" i="1"/>
  <c r="L2636" i="1"/>
  <c r="T2636" i="1" s="1"/>
  <c r="U2636" i="1" s="1"/>
  <c r="V2636" i="1" s="1"/>
  <c r="L2652" i="1"/>
  <c r="T2652" i="1" s="1"/>
  <c r="U2652" i="1" s="1"/>
  <c r="V2652" i="1" s="1"/>
  <c r="L2653" i="1"/>
  <c r="M2653" i="1" s="1"/>
  <c r="Q2652" i="1"/>
  <c r="L2660" i="1"/>
  <c r="T2660" i="1" s="1"/>
  <c r="X2689" i="1"/>
  <c r="S2689" i="1"/>
  <c r="P2689" i="1" s="1"/>
  <c r="D2165" i="1"/>
  <c r="Q2170" i="1"/>
  <c r="L2170" i="1"/>
  <c r="D2176" i="1"/>
  <c r="D2194" i="1"/>
  <c r="D2197" i="1"/>
  <c r="Q2212" i="1"/>
  <c r="L2212" i="1"/>
  <c r="T2212" i="1" s="1"/>
  <c r="U2212" i="1" s="1"/>
  <c r="V2212" i="1" s="1"/>
  <c r="D2215" i="1"/>
  <c r="L2239" i="1"/>
  <c r="Q2250" i="1"/>
  <c r="L2250" i="1"/>
  <c r="D2253" i="1"/>
  <c r="X2266" i="1"/>
  <c r="L2272" i="1"/>
  <c r="S2276" i="1"/>
  <c r="L2280" i="1"/>
  <c r="X2290" i="1"/>
  <c r="Q2298" i="1"/>
  <c r="L2298" i="1"/>
  <c r="D2306" i="1"/>
  <c r="S2308" i="1"/>
  <c r="P2308" i="1" s="1"/>
  <c r="D2314" i="1"/>
  <c r="D2317" i="1"/>
  <c r="D2322" i="1"/>
  <c r="Q2330" i="1"/>
  <c r="L2330" i="1"/>
  <c r="X2344" i="1"/>
  <c r="M2352" i="1"/>
  <c r="X2356" i="1"/>
  <c r="M2360" i="1"/>
  <c r="X2362" i="1"/>
  <c r="L2384" i="1"/>
  <c r="D2389" i="1"/>
  <c r="Q2394" i="1"/>
  <c r="L2394" i="1"/>
  <c r="D2406" i="1"/>
  <c r="S2408" i="1"/>
  <c r="P2408" i="1" s="1"/>
  <c r="D2411" i="1"/>
  <c r="L2416" i="1"/>
  <c r="R2416" i="1" s="1"/>
  <c r="S2420" i="1"/>
  <c r="P2420" i="1" s="1"/>
  <c r="L2424" i="1"/>
  <c r="T2429" i="1"/>
  <c r="U2429" i="1" s="1"/>
  <c r="V2429" i="1" s="1"/>
  <c r="D2432" i="1"/>
  <c r="M2440" i="1"/>
  <c r="X2450" i="1"/>
  <c r="L2472" i="1"/>
  <c r="Q2477" i="1"/>
  <c r="L2477" i="1"/>
  <c r="Q2480" i="1"/>
  <c r="L2480" i="1"/>
  <c r="Q2485" i="1"/>
  <c r="L2485" i="1"/>
  <c r="Q2488" i="1"/>
  <c r="L2488" i="1"/>
  <c r="Q2548" i="1"/>
  <c r="L2548" i="1"/>
  <c r="D2557" i="1"/>
  <c r="L2559" i="1"/>
  <c r="D2562" i="1"/>
  <c r="R2567" i="1"/>
  <c r="P2580" i="1"/>
  <c r="S2587" i="1"/>
  <c r="Q2602" i="1"/>
  <c r="Q2613" i="1"/>
  <c r="L2613" i="1"/>
  <c r="D2639" i="1"/>
  <c r="W2236" i="1"/>
  <c r="X2330" i="1"/>
  <c r="L2336" i="1"/>
  <c r="L2368" i="1"/>
  <c r="Q2370" i="1"/>
  <c r="L2370" i="1"/>
  <c r="L2376" i="1"/>
  <c r="Q2386" i="1"/>
  <c r="L2386" i="1"/>
  <c r="Q2411" i="1"/>
  <c r="L2411" i="1"/>
  <c r="W2429" i="1"/>
  <c r="L2432" i="1"/>
  <c r="S2440" i="1"/>
  <c r="P2440" i="1" s="1"/>
  <c r="S2485" i="1"/>
  <c r="P2485" i="1" s="1"/>
  <c r="Q2506" i="1"/>
  <c r="L2506" i="1"/>
  <c r="S2528" i="1"/>
  <c r="P2528" i="1" s="1"/>
  <c r="W2548" i="1"/>
  <c r="Q2554" i="1"/>
  <c r="L2554" i="1"/>
  <c r="M2554" i="1" s="1"/>
  <c r="Q2562" i="1"/>
  <c r="L2562" i="1"/>
  <c r="L2578" i="1"/>
  <c r="L2579" i="1"/>
  <c r="Q2618" i="1"/>
  <c r="L2618" i="1"/>
  <c r="Q2623" i="1"/>
  <c r="L2623" i="1"/>
  <c r="S2628" i="1"/>
  <c r="P2628" i="1" s="1"/>
  <c r="X2635" i="1"/>
  <c r="Q2639" i="1"/>
  <c r="L2639" i="1"/>
  <c r="T2639" i="1" s="1"/>
  <c r="U2639" i="1" s="1"/>
  <c r="V2639" i="1" s="1"/>
  <c r="Q2655" i="1"/>
  <c r="L2655" i="1"/>
  <c r="Q2684" i="1"/>
  <c r="L2684" i="1"/>
  <c r="T2684" i="1" s="1"/>
  <c r="U2684" i="1" s="1"/>
  <c r="V2684" i="1" s="1"/>
  <c r="Q2705" i="1"/>
  <c r="L2705" i="1"/>
  <c r="L2565" i="1"/>
  <c r="D2160" i="1"/>
  <c r="Q2162" i="1"/>
  <c r="L2162" i="1"/>
  <c r="D2168" i="1"/>
  <c r="L2176" i="1"/>
  <c r="Q2178" i="1"/>
  <c r="L2178" i="1"/>
  <c r="Q2186" i="1"/>
  <c r="L2186" i="1"/>
  <c r="D2192" i="1"/>
  <c r="X2194" i="1"/>
  <c r="X2225" i="1"/>
  <c r="D2228" i="1"/>
  <c r="D2245" i="1"/>
  <c r="L2256" i="1"/>
  <c r="D2278" i="1"/>
  <c r="D2283" i="1"/>
  <c r="D2286" i="1"/>
  <c r="R2288" i="1"/>
  <c r="Q2314" i="1"/>
  <c r="L2314" i="1"/>
  <c r="Q2322" i="1"/>
  <c r="L2322" i="1"/>
  <c r="D2342" i="1"/>
  <c r="X2347" i="1"/>
  <c r="D2355" i="1"/>
  <c r="Q2403" i="1"/>
  <c r="Q2406" i="1"/>
  <c r="L2406" i="1"/>
  <c r="S2411" i="1"/>
  <c r="P2411" i="1" s="1"/>
  <c r="S2416" i="1"/>
  <c r="P2416" i="1" s="1"/>
  <c r="D2419" i="1"/>
  <c r="D2427" i="1"/>
  <c r="Q2443" i="1"/>
  <c r="L2443" i="1"/>
  <c r="D2451" i="1"/>
  <c r="D2459" i="1"/>
  <c r="M2464" i="1"/>
  <c r="Q2475" i="1"/>
  <c r="L2475" i="1"/>
  <c r="T2475" i="1" s="1"/>
  <c r="U2475" i="1" s="1"/>
  <c r="V2475" i="1" s="1"/>
  <c r="D2483" i="1"/>
  <c r="Q2494" i="1"/>
  <c r="L2494" i="1"/>
  <c r="T2494" i="1" s="1"/>
  <c r="U2494" i="1" s="1"/>
  <c r="V2494" i="1" s="1"/>
  <c r="L2499" i="1"/>
  <c r="W2511" i="1"/>
  <c r="Q2516" i="1"/>
  <c r="L2516" i="1"/>
  <c r="L2543" i="1"/>
  <c r="Q2557" i="1"/>
  <c r="L2557" i="1"/>
  <c r="D2570" i="1"/>
  <c r="D2593" i="1"/>
  <c r="Q2595" i="1"/>
  <c r="L2595" i="1"/>
  <c r="T2595" i="1" s="1"/>
  <c r="S2600" i="1"/>
  <c r="P2600" i="1" s="1"/>
  <c r="W2608" i="1"/>
  <c r="X2617" i="1"/>
  <c r="W2618" i="1"/>
  <c r="Q2621" i="1"/>
  <c r="L2621" i="1"/>
  <c r="T2698" i="1"/>
  <c r="U2698" i="1" s="1"/>
  <c r="V2698" i="1" s="1"/>
  <c r="M2698" i="1"/>
  <c r="X2186" i="1"/>
  <c r="S2272" i="1"/>
  <c r="P2272" i="1" s="1"/>
  <c r="L2304" i="1"/>
  <c r="L2320" i="1"/>
  <c r="L2328" i="1"/>
  <c r="Q2339" i="1"/>
  <c r="L2339" i="1"/>
  <c r="T2339" i="1" s="1"/>
  <c r="U2339" i="1" s="1"/>
  <c r="V2339" i="1" s="1"/>
  <c r="Q2355" i="1"/>
  <c r="L2355" i="1"/>
  <c r="T2355" i="1" s="1"/>
  <c r="U2355" i="1" s="1"/>
  <c r="V2355" i="1" s="1"/>
  <c r="Q2427" i="1"/>
  <c r="L2427" i="1"/>
  <c r="T2427" i="1" s="1"/>
  <c r="U2427" i="1" s="1"/>
  <c r="V2427" i="1" s="1"/>
  <c r="Q2429" i="1"/>
  <c r="X2443" i="1"/>
  <c r="L2459" i="1"/>
  <c r="Q2459" i="1"/>
  <c r="L2483" i="1"/>
  <c r="W2485" i="1"/>
  <c r="Q2491" i="1"/>
  <c r="W2499" i="1"/>
  <c r="Q2504" i="1"/>
  <c r="L2504" i="1"/>
  <c r="Q2570" i="1"/>
  <c r="L2570" i="1"/>
  <c r="Q2642" i="1"/>
  <c r="L2642" i="1"/>
  <c r="R2642" i="1" s="1"/>
  <c r="T2697" i="1"/>
  <c r="U2697" i="1" s="1"/>
  <c r="V2697" i="1" s="1"/>
  <c r="M2697" i="1"/>
  <c r="L2547" i="1"/>
  <c r="R2547" i="1" s="1"/>
  <c r="X2216" i="1"/>
  <c r="L2220" i="1"/>
  <c r="Q2223" i="1"/>
  <c r="L2223" i="1"/>
  <c r="L2228" i="1"/>
  <c r="S2231" i="1"/>
  <c r="P2231" i="1" s="1"/>
  <c r="D2234" i="1"/>
  <c r="Q2267" i="1"/>
  <c r="L2267" i="1"/>
  <c r="T2267" i="1" s="1"/>
  <c r="U2267" i="1" s="1"/>
  <c r="V2267" i="1" s="1"/>
  <c r="Q2291" i="1"/>
  <c r="L2291" i="1"/>
  <c r="T2291" i="1" s="1"/>
  <c r="U2291" i="1" s="1"/>
  <c r="V2291" i="1" s="1"/>
  <c r="M2296" i="1"/>
  <c r="D2299" i="1"/>
  <c r="D2331" i="1"/>
  <c r="Q2342" i="1"/>
  <c r="L2342" i="1"/>
  <c r="R2342" i="1" s="1"/>
  <c r="W2352" i="1"/>
  <c r="Q2379" i="1"/>
  <c r="L2379" i="1"/>
  <c r="Q2398" i="1"/>
  <c r="L2398" i="1"/>
  <c r="Q2501" i="1"/>
  <c r="Q2526" i="1"/>
  <c r="L2526" i="1"/>
  <c r="W2528" i="1"/>
  <c r="Q2541" i="1"/>
  <c r="L2541" i="1"/>
  <c r="P2543" i="1"/>
  <c r="Q2555" i="1"/>
  <c r="W2583" i="1"/>
  <c r="W2593" i="1"/>
  <c r="D2598" i="1"/>
  <c r="W2600" i="1"/>
  <c r="Q2603" i="1"/>
  <c r="L2603" i="1"/>
  <c r="Q2634" i="1"/>
  <c r="W2642" i="1"/>
  <c r="T2687" i="1"/>
  <c r="M2687" i="1"/>
  <c r="R2696" i="1"/>
  <c r="M2696" i="1"/>
  <c r="L2647" i="1"/>
  <c r="R2647" i="1" s="1"/>
  <c r="L2546" i="1"/>
  <c r="R2546" i="1" s="1"/>
  <c r="L2400" i="1"/>
  <c r="Q2084" i="1"/>
  <c r="L2084" i="1"/>
  <c r="L2105" i="1"/>
  <c r="W2118" i="1"/>
  <c r="D2131" i="1"/>
  <c r="L2144" i="1"/>
  <c r="Q2146" i="1"/>
  <c r="L2146" i="1"/>
  <c r="S2180" i="1"/>
  <c r="P2180" i="1" s="1"/>
  <c r="D2195" i="1"/>
  <c r="Q2202" i="1"/>
  <c r="L2202" i="1"/>
  <c r="Q2210" i="1"/>
  <c r="L2210" i="1"/>
  <c r="Q2215" i="1"/>
  <c r="S2223" i="1"/>
  <c r="P2223" i="1" s="1"/>
  <c r="D2226" i="1"/>
  <c r="Q2234" i="1"/>
  <c r="L2234" i="1"/>
  <c r="Q2240" i="1"/>
  <c r="L2240" i="1"/>
  <c r="X2244" i="1"/>
  <c r="W2285" i="1"/>
  <c r="S2304" i="1"/>
  <c r="P2304" i="1" s="1"/>
  <c r="D2318" i="1"/>
  <c r="X2320" i="1"/>
  <c r="L2331" i="1"/>
  <c r="T2331" i="1" s="1"/>
  <c r="X2339" i="1"/>
  <c r="W2341" i="1"/>
  <c r="S2347" i="1"/>
  <c r="Q2350" i="1"/>
  <c r="L2350" i="1"/>
  <c r="M2350" i="1" s="1"/>
  <c r="X2355" i="1"/>
  <c r="Q2358" i="1"/>
  <c r="L2358" i="1"/>
  <c r="T2358" i="1" s="1"/>
  <c r="U2358" i="1" s="1"/>
  <c r="V2358" i="1" s="1"/>
  <c r="Q2389" i="1"/>
  <c r="Q2395" i="1"/>
  <c r="L2395" i="1"/>
  <c r="L2404" i="1"/>
  <c r="D2407" i="1"/>
  <c r="D2417" i="1"/>
  <c r="Q2420" i="1"/>
  <c r="Q2435" i="1"/>
  <c r="Q2438" i="1"/>
  <c r="L2438" i="1"/>
  <c r="L2478" i="1"/>
  <c r="T2478" i="1" s="1"/>
  <c r="U2478" i="1" s="1"/>
  <c r="V2478" i="1" s="1"/>
  <c r="Q2478" i="1"/>
  <c r="S2508" i="1"/>
  <c r="P2508" i="1" s="1"/>
  <c r="D2524" i="1"/>
  <c r="Q2539" i="1"/>
  <c r="D2552" i="1"/>
  <c r="Q2573" i="1"/>
  <c r="L2573" i="1"/>
  <c r="Q2578" i="1"/>
  <c r="D2586" i="1"/>
  <c r="Q2588" i="1"/>
  <c r="L2588" i="1"/>
  <c r="T2588" i="1" s="1"/>
  <c r="U2588" i="1" s="1"/>
  <c r="V2588" i="1" s="1"/>
  <c r="Q2598" i="1"/>
  <c r="L2598" i="1"/>
  <c r="D2627" i="1"/>
  <c r="L2629" i="1"/>
  <c r="M2629" i="1" s="1"/>
  <c r="L2637" i="1"/>
  <c r="D2682" i="1"/>
  <c r="Q2700" i="1"/>
  <c r="L2700" i="1"/>
  <c r="T2700" i="1" s="1"/>
  <c r="U2700" i="1" s="1"/>
  <c r="V2700" i="1" s="1"/>
  <c r="L2695" i="1"/>
  <c r="R2695" i="1" s="1"/>
  <c r="L2242" i="1"/>
  <c r="Q2470" i="1"/>
  <c r="L2470" i="1"/>
  <c r="T2470" i="1" s="1"/>
  <c r="U2470" i="1" s="1"/>
  <c r="V2470" i="1" s="1"/>
  <c r="Q2486" i="1"/>
  <c r="L2486" i="1"/>
  <c r="T2486" i="1" s="1"/>
  <c r="U2486" i="1" s="1"/>
  <c r="V2486" i="1" s="1"/>
  <c r="Q2512" i="1"/>
  <c r="L2512" i="1"/>
  <c r="D2539" i="1"/>
  <c r="Q2549" i="1"/>
  <c r="L2549" i="1"/>
  <c r="L2552" i="1"/>
  <c r="T2552" i="1" s="1"/>
  <c r="U2552" i="1" s="1"/>
  <c r="V2552" i="1" s="1"/>
  <c r="D2555" i="1"/>
  <c r="Q2581" i="1"/>
  <c r="L2581" i="1"/>
  <c r="Q2606" i="1"/>
  <c r="L2606" i="1"/>
  <c r="R2606" i="1" s="1"/>
  <c r="Q2619" i="1"/>
  <c r="L2706" i="1"/>
  <c r="M2706" i="1" s="1"/>
  <c r="L2528" i="1"/>
  <c r="T2528" i="1" s="1"/>
  <c r="U2528" i="1" s="1"/>
  <c r="V2528" i="1" s="1"/>
  <c r="D2484" i="1"/>
  <c r="D2489" i="1"/>
  <c r="D2492" i="1"/>
  <c r="D2514" i="1"/>
  <c r="D2521" i="1"/>
  <c r="W2533" i="1"/>
  <c r="D2569" i="1"/>
  <c r="Q2579" i="1"/>
  <c r="D2584" i="1"/>
  <c r="S2603" i="1"/>
  <c r="P2603" i="1" s="1"/>
  <c r="S2611" i="1"/>
  <c r="P2611" i="1" s="1"/>
  <c r="D2654" i="1"/>
  <c r="S2656" i="1"/>
  <c r="P2656" i="1" s="1"/>
  <c r="X2663" i="1"/>
  <c r="R2687" i="1"/>
  <c r="X2700" i="1"/>
  <c r="D2703" i="1"/>
  <c r="L2678" i="1"/>
  <c r="D2675" i="1"/>
  <c r="D2706" i="1"/>
  <c r="S2659" i="1"/>
  <c r="P2659" i="1" s="1"/>
  <c r="X2703" i="1"/>
  <c r="L2675" i="1"/>
  <c r="S2667" i="1"/>
  <c r="P2667" i="1" s="1"/>
  <c r="X2692" i="1"/>
  <c r="W2697" i="1"/>
  <c r="S2652" i="1"/>
  <c r="P2652" i="1" s="1"/>
  <c r="D2683" i="1"/>
  <c r="W2696" i="1"/>
  <c r="W2657" i="1"/>
  <c r="X2667" i="1"/>
  <c r="D2670" i="1"/>
  <c r="D2694" i="1"/>
  <c r="D2697" i="1"/>
  <c r="L2703" i="1"/>
  <c r="W2683" i="1"/>
  <c r="X2694" i="1"/>
  <c r="L2701" i="1"/>
  <c r="R2701" i="1" s="1"/>
  <c r="L2685" i="1"/>
  <c r="R2685" i="1" s="1"/>
  <c r="D2658" i="1"/>
  <c r="Q2710" i="1"/>
  <c r="L2668" i="1"/>
  <c r="T2668" i="1" s="1"/>
  <c r="U2668" i="1" s="1"/>
  <c r="V2668" i="1" s="1"/>
  <c r="Q2476" i="1"/>
  <c r="D2491" i="1"/>
  <c r="D2494" i="1"/>
  <c r="S2496" i="1"/>
  <c r="P2496" i="1" s="1"/>
  <c r="L2513" i="1"/>
  <c r="R2513" i="1" s="1"/>
  <c r="X2520" i="1"/>
  <c r="W2535" i="1"/>
  <c r="D2553" i="1"/>
  <c r="D2558" i="1"/>
  <c r="Q2563" i="1"/>
  <c r="D2581" i="1"/>
  <c r="S2595" i="1"/>
  <c r="P2595" i="1" s="1"/>
  <c r="S2615" i="1"/>
  <c r="P2615" i="1" s="1"/>
  <c r="D2628" i="1"/>
  <c r="S2648" i="1"/>
  <c r="P2648" i="1" s="1"/>
  <c r="S2655" i="1"/>
  <c r="P2655" i="1" s="1"/>
  <c r="R2658" i="1"/>
  <c r="Q2667" i="1"/>
  <c r="D2671" i="1"/>
  <c r="W2681" i="1"/>
  <c r="W2702" i="1"/>
  <c r="S2707" i="1"/>
  <c r="P2707" i="1" s="1"/>
  <c r="L2699" i="1"/>
  <c r="T2699" i="1" s="1"/>
  <c r="U2699" i="1" s="1"/>
  <c r="V2699" i="1" s="1"/>
  <c r="L2651" i="1"/>
  <c r="S2561" i="1"/>
  <c r="P2561" i="1" s="1"/>
  <c r="W2562" i="1"/>
  <c r="W34" i="1"/>
  <c r="Q73" i="1"/>
  <c r="S111" i="1"/>
  <c r="P111" i="1" s="1"/>
  <c r="X134" i="1"/>
  <c r="X140" i="1"/>
  <c r="W146" i="1"/>
  <c r="S148" i="1"/>
  <c r="P148" i="1" s="1"/>
  <c r="W157" i="1"/>
  <c r="S157" i="1"/>
  <c r="P157" i="1" s="1"/>
  <c r="X174" i="1"/>
  <c r="X180" i="1"/>
  <c r="S182" i="1"/>
  <c r="P182" i="1" s="1"/>
  <c r="Q185" i="1"/>
  <c r="X190" i="1"/>
  <c r="S207" i="1"/>
  <c r="P207" i="1" s="1"/>
  <c r="X220" i="1"/>
  <c r="W227" i="1"/>
  <c r="X227" i="1"/>
  <c r="W278" i="1"/>
  <c r="X278" i="1"/>
  <c r="S278" i="1"/>
  <c r="X350" i="1"/>
  <c r="S350" i="1"/>
  <c r="P350" i="1" s="1"/>
  <c r="S493" i="1"/>
  <c r="P493" i="1" s="1"/>
  <c r="W492" i="1"/>
  <c r="S13" i="1"/>
  <c r="P13" i="1" s="1"/>
  <c r="X28" i="1"/>
  <c r="S30" i="1"/>
  <c r="P30" i="1" s="1"/>
  <c r="X45" i="1"/>
  <c r="D54" i="1"/>
  <c r="X62" i="1"/>
  <c r="X68" i="1"/>
  <c r="S70" i="1"/>
  <c r="P70" i="1" s="1"/>
  <c r="W74" i="1"/>
  <c r="S76" i="1"/>
  <c r="P76" i="1" s="1"/>
  <c r="D83" i="1"/>
  <c r="D89" i="1"/>
  <c r="Q93" i="1"/>
  <c r="W95" i="1"/>
  <c r="W105" i="1"/>
  <c r="S109" i="1"/>
  <c r="P109" i="1" s="1"/>
  <c r="X111" i="1"/>
  <c r="X113" i="1"/>
  <c r="D120" i="1"/>
  <c r="Q137" i="1"/>
  <c r="X166" i="1"/>
  <c r="S178" i="1"/>
  <c r="P178" i="1" s="1"/>
  <c r="W194" i="1"/>
  <c r="S196" i="1"/>
  <c r="P196" i="1" s="1"/>
  <c r="S205" i="1"/>
  <c r="P205" i="1" s="1"/>
  <c r="X207" i="1"/>
  <c r="S237" i="1"/>
  <c r="Q276" i="1"/>
  <c r="W282" i="1"/>
  <c r="S284" i="1"/>
  <c r="P284" i="1" s="1"/>
  <c r="X311" i="1"/>
  <c r="W313" i="1"/>
  <c r="X327" i="1"/>
  <c r="S329" i="1"/>
  <c r="P329" i="1" s="1"/>
  <c r="X408" i="1"/>
  <c r="W408" i="1"/>
  <c r="S408" i="1"/>
  <c r="P408" i="1" s="1"/>
  <c r="X407" i="1"/>
  <c r="W2632" i="1"/>
  <c r="S2632" i="1"/>
  <c r="P2632" i="1" s="1"/>
  <c r="S15" i="1"/>
  <c r="P15" i="1" s="1"/>
  <c r="S36" i="1"/>
  <c r="P36" i="1" s="1"/>
  <c r="X5" i="1"/>
  <c r="W15" i="1"/>
  <c r="W32" i="1"/>
  <c r="S43" i="1"/>
  <c r="P43" i="1" s="1"/>
  <c r="S47" i="1"/>
  <c r="P47" i="1" s="1"/>
  <c r="Q65" i="1"/>
  <c r="W80" i="1"/>
  <c r="S99" i="1"/>
  <c r="P99" i="1" s="1"/>
  <c r="S103" i="1"/>
  <c r="P103" i="1" s="1"/>
  <c r="W109" i="1"/>
  <c r="S130" i="1"/>
  <c r="P130" i="1" s="1"/>
  <c r="S134" i="1"/>
  <c r="P134" i="1" s="1"/>
  <c r="W138" i="1"/>
  <c r="S140" i="1"/>
  <c r="P140" i="1" s="1"/>
  <c r="D147" i="1"/>
  <c r="S170" i="1"/>
  <c r="P170" i="1" s="1"/>
  <c r="S174" i="1"/>
  <c r="P174" i="1" s="1"/>
  <c r="Q177" i="1"/>
  <c r="S180" i="1"/>
  <c r="P180" i="1" s="1"/>
  <c r="S186" i="1"/>
  <c r="P186" i="1" s="1"/>
  <c r="S190" i="1"/>
  <c r="P190" i="1" s="1"/>
  <c r="W201" i="1"/>
  <c r="W205" i="1"/>
  <c r="D208" i="1"/>
  <c r="Q212" i="1"/>
  <c r="W218" i="1"/>
  <c r="S220" i="1"/>
  <c r="P220" i="1" s="1"/>
  <c r="W225" i="1"/>
  <c r="X225" i="1"/>
  <c r="S233" i="1"/>
  <c r="P233" i="1" s="1"/>
  <c r="X233" i="1"/>
  <c r="D279" i="1"/>
  <c r="D283" i="1"/>
  <c r="W284" i="1"/>
  <c r="X323" i="1"/>
  <c r="W322" i="1"/>
  <c r="D348" i="1"/>
  <c r="X747" i="1"/>
  <c r="W747" i="1"/>
  <c r="S747" i="1"/>
  <c r="P747" i="1" s="1"/>
  <c r="X9" i="1"/>
  <c r="Q25" i="1"/>
  <c r="W26" i="1"/>
  <c r="S28" i="1"/>
  <c r="P28" i="1" s="1"/>
  <c r="S45" i="1"/>
  <c r="P45" i="1" s="1"/>
  <c r="X47" i="1"/>
  <c r="X54" i="1"/>
  <c r="X60" i="1"/>
  <c r="S62" i="1"/>
  <c r="P62" i="1" s="1"/>
  <c r="W66" i="1"/>
  <c r="S68" i="1"/>
  <c r="P68" i="1" s="1"/>
  <c r="D75" i="1"/>
  <c r="Q85" i="1"/>
  <c r="W97" i="1"/>
  <c r="S101" i="1"/>
  <c r="P101" i="1" s="1"/>
  <c r="X103" i="1"/>
  <c r="X105" i="1"/>
  <c r="D112" i="1"/>
  <c r="Q129" i="1"/>
  <c r="W144" i="1"/>
  <c r="W151" i="1"/>
  <c r="S151" i="1"/>
  <c r="P151" i="1" s="1"/>
  <c r="X164" i="1"/>
  <c r="S166" i="1"/>
  <c r="P166" i="1" s="1"/>
  <c r="Q169" i="1"/>
  <c r="W199" i="1"/>
  <c r="S214" i="1"/>
  <c r="P214" i="1" s="1"/>
  <c r="S227" i="1"/>
  <c r="P227" i="1" s="1"/>
  <c r="S261" i="1"/>
  <c r="P261" i="1" s="1"/>
  <c r="S295" i="1"/>
  <c r="P295" i="1" s="1"/>
  <c r="X296" i="1"/>
  <c r="W296" i="1"/>
  <c r="S296" i="1"/>
  <c r="P296" i="1" s="1"/>
  <c r="W300" i="1"/>
  <c r="W766" i="1"/>
  <c r="X766" i="1"/>
  <c r="Q33" i="1"/>
  <c r="S5" i="1"/>
  <c r="P5" i="1" s="1"/>
  <c r="D14" i="1"/>
  <c r="W3" i="1"/>
  <c r="D12" i="1"/>
  <c r="S22" i="1"/>
  <c r="P22" i="1" s="1"/>
  <c r="D27" i="1"/>
  <c r="Q37" i="1"/>
  <c r="X41" i="1"/>
  <c r="W45" i="1"/>
  <c r="Q57" i="1"/>
  <c r="W72" i="1"/>
  <c r="S95" i="1"/>
  <c r="P95" i="1" s="1"/>
  <c r="D106" i="1"/>
  <c r="D108" i="1"/>
  <c r="D110" i="1"/>
  <c r="S122" i="1"/>
  <c r="P122" i="1" s="1"/>
  <c r="S126" i="1"/>
  <c r="P126" i="1" s="1"/>
  <c r="W130" i="1"/>
  <c r="S132" i="1"/>
  <c r="P132" i="1" s="1"/>
  <c r="D139" i="1"/>
  <c r="D145" i="1"/>
  <c r="Q149" i="1"/>
  <c r="W170" i="1"/>
  <c r="S172" i="1"/>
  <c r="P172" i="1" s="1"/>
  <c r="D179" i="1"/>
  <c r="W184" i="1"/>
  <c r="W186" i="1"/>
  <c r="S188" i="1"/>
  <c r="P188" i="1" s="1"/>
  <c r="D193" i="1"/>
  <c r="D206" i="1"/>
  <c r="S210" i="1"/>
  <c r="P210" i="1" s="1"/>
  <c r="X212" i="1"/>
  <c r="W216" i="1"/>
  <c r="D219" i="1"/>
  <c r="W223" i="1"/>
  <c r="S223" i="1"/>
  <c r="P223" i="1" s="1"/>
  <c r="D240" i="1"/>
  <c r="Q244" i="1"/>
  <c r="S257" i="1"/>
  <c r="P257" i="1" s="1"/>
  <c r="X263" i="1"/>
  <c r="W280" i="1"/>
  <c r="W305" i="1"/>
  <c r="X304" i="1"/>
  <c r="W725" i="1"/>
  <c r="S725" i="1"/>
  <c r="P725" i="1" s="1"/>
  <c r="W294" i="1"/>
  <c r="X294" i="1"/>
  <c r="S294" i="1"/>
  <c r="P294" i="1" s="1"/>
  <c r="D42" i="1"/>
  <c r="D73" i="1"/>
  <c r="Q77" i="1"/>
  <c r="Q121" i="1"/>
  <c r="D156" i="1"/>
  <c r="Q161" i="1"/>
  <c r="D185" i="1"/>
  <c r="D204" i="1"/>
  <c r="D217" i="1"/>
  <c r="D251" i="1"/>
  <c r="S321" i="1"/>
  <c r="P321" i="1" s="1"/>
  <c r="X320" i="1"/>
  <c r="D326" i="1"/>
  <c r="D339" i="1"/>
  <c r="W431" i="1"/>
  <c r="X431" i="1"/>
  <c r="S430" i="1"/>
  <c r="P430" i="1" s="1"/>
  <c r="Q579" i="1"/>
  <c r="X707" i="1"/>
  <c r="S707" i="1"/>
  <c r="P707" i="1" s="1"/>
  <c r="D59" i="1"/>
  <c r="D96" i="1"/>
  <c r="Q113" i="1"/>
  <c r="D152" i="1"/>
  <c r="D163" i="1"/>
  <c r="W262" i="1"/>
  <c r="X262" i="1"/>
  <c r="S262" i="1"/>
  <c r="P262" i="1" s="1"/>
  <c r="X456" i="1"/>
  <c r="W456" i="1"/>
  <c r="S456" i="1"/>
  <c r="P456" i="1" s="1"/>
  <c r="X455" i="1"/>
  <c r="X601" i="1"/>
  <c r="W601" i="1"/>
  <c r="S601" i="1"/>
  <c r="P601" i="1" s="1"/>
  <c r="Q17" i="1"/>
  <c r="X33" i="1"/>
  <c r="W37" i="1"/>
  <c r="Q49" i="1"/>
  <c r="W56" i="1"/>
  <c r="S77" i="1"/>
  <c r="P77" i="1" s="1"/>
  <c r="X81" i="1"/>
  <c r="D88" i="1"/>
  <c r="D94" i="1"/>
  <c r="S106" i="1"/>
  <c r="P106" i="1" s="1"/>
  <c r="S110" i="1"/>
  <c r="P110" i="1" s="1"/>
  <c r="W114" i="1"/>
  <c r="S116" i="1"/>
  <c r="P116" i="1" s="1"/>
  <c r="D123" i="1"/>
  <c r="S139" i="1"/>
  <c r="P139" i="1" s="1"/>
  <c r="S143" i="1"/>
  <c r="P143" i="1" s="1"/>
  <c r="S179" i="1"/>
  <c r="P179" i="1" s="1"/>
  <c r="S197" i="1"/>
  <c r="P197" i="1" s="1"/>
  <c r="X199" i="1"/>
  <c r="S206" i="1"/>
  <c r="P206" i="1" s="1"/>
  <c r="D211" i="1"/>
  <c r="S246" i="1"/>
  <c r="P246" i="1" s="1"/>
  <c r="D258" i="1"/>
  <c r="W289" i="1"/>
  <c r="S312" i="1"/>
  <c r="P312" i="1" s="1"/>
  <c r="S360" i="1"/>
  <c r="P360" i="1" s="1"/>
  <c r="Q392" i="1"/>
  <c r="W718" i="1"/>
  <c r="X718" i="1"/>
  <c r="S717" i="1"/>
  <c r="P717" i="1" s="1"/>
  <c r="D2" i="1"/>
  <c r="W23" i="1"/>
  <c r="W25" i="1"/>
  <c r="S27" i="1"/>
  <c r="P27" i="1" s="1"/>
  <c r="D34" i="1"/>
  <c r="S42" i="1"/>
  <c r="P42" i="1" s="1"/>
  <c r="D51" i="1"/>
  <c r="D57" i="1"/>
  <c r="Q61" i="1"/>
  <c r="S67" i="1"/>
  <c r="P67" i="1" s="1"/>
  <c r="S71" i="1"/>
  <c r="P71" i="1" s="1"/>
  <c r="D82" i="1"/>
  <c r="D84" i="1"/>
  <c r="D86" i="1"/>
  <c r="Q105" i="1"/>
  <c r="W127" i="1"/>
  <c r="W137" i="1"/>
  <c r="S141" i="1"/>
  <c r="P141" i="1" s="1"/>
  <c r="X143" i="1"/>
  <c r="X145" i="1"/>
  <c r="X156" i="1"/>
  <c r="Q165" i="1"/>
  <c r="S181" i="1"/>
  <c r="P181" i="1" s="1"/>
  <c r="S183" i="1"/>
  <c r="P183" i="1" s="1"/>
  <c r="D200" i="1"/>
  <c r="X204" i="1"/>
  <c r="S204" i="1"/>
  <c r="P204" i="1" s="1"/>
  <c r="W221" i="1"/>
  <c r="S230" i="1"/>
  <c r="P230" i="1" s="1"/>
  <c r="S238" i="1"/>
  <c r="P238" i="1" s="1"/>
  <c r="X240" i="1"/>
  <c r="D245" i="1"/>
  <c r="X246" i="1"/>
  <c r="D254" i="1"/>
  <c r="S272" i="1"/>
  <c r="P272" i="1" s="1"/>
  <c r="S317" i="1"/>
  <c r="P317" i="1" s="1"/>
  <c r="W316" i="1"/>
  <c r="D342" i="1"/>
  <c r="W360" i="1"/>
  <c r="S377" i="1"/>
  <c r="P377" i="1" s="1"/>
  <c r="X377" i="1"/>
  <c r="W377" i="1"/>
  <c r="X376" i="1"/>
  <c r="W376" i="1"/>
  <c r="S497" i="1"/>
  <c r="P497" i="1" s="1"/>
  <c r="X497" i="1"/>
  <c r="W497" i="1"/>
  <c r="X496" i="1"/>
  <c r="W496" i="1"/>
  <c r="S496" i="1"/>
  <c r="P496" i="1" s="1"/>
  <c r="S6" i="1"/>
  <c r="P6" i="1" s="1"/>
  <c r="S12" i="1"/>
  <c r="P12" i="1" s="1"/>
  <c r="S31" i="1"/>
  <c r="P31" i="1" s="1"/>
  <c r="S46" i="1"/>
  <c r="P46" i="1" s="1"/>
  <c r="S69" i="1"/>
  <c r="P69" i="1" s="1"/>
  <c r="X71" i="1"/>
  <c r="X73" i="1"/>
  <c r="S102" i="1"/>
  <c r="P102" i="1" s="1"/>
  <c r="W106" i="1"/>
  <c r="S108" i="1"/>
  <c r="P108" i="1" s="1"/>
  <c r="Q125" i="1"/>
  <c r="S135" i="1"/>
  <c r="P135" i="1" s="1"/>
  <c r="X183" i="1"/>
  <c r="X193" i="1"/>
  <c r="S202" i="1"/>
  <c r="P202" i="1" s="1"/>
  <c r="W202" i="1"/>
  <c r="X230" i="1"/>
  <c r="W238" i="1"/>
  <c r="S249" i="1"/>
  <c r="P249" i="1" s="1"/>
  <c r="Q256" i="1"/>
  <c r="S264" i="1"/>
  <c r="P264" i="1" s="1"/>
  <c r="S301" i="1"/>
  <c r="P301" i="1" s="1"/>
  <c r="S328" i="1"/>
  <c r="P328" i="1" s="1"/>
  <c r="S335" i="1"/>
  <c r="P335" i="1" s="1"/>
  <c r="X335" i="1"/>
  <c r="X334" i="1"/>
  <c r="S10" i="1"/>
  <c r="P10" i="1" s="1"/>
  <c r="Q9" i="1"/>
  <c r="W10" i="1"/>
  <c r="S29" i="1"/>
  <c r="P29" i="1" s="1"/>
  <c r="D11" i="1"/>
  <c r="Q21" i="1"/>
  <c r="X25" i="1"/>
  <c r="W29" i="1"/>
  <c r="X31" i="1"/>
  <c r="D49" i="1"/>
  <c r="Q53" i="1"/>
  <c r="S59" i="1"/>
  <c r="P59" i="1" s="1"/>
  <c r="S63" i="1"/>
  <c r="P63" i="1" s="1"/>
  <c r="D74" i="1"/>
  <c r="D76" i="1"/>
  <c r="D78" i="1"/>
  <c r="X86" i="1"/>
  <c r="S90" i="1"/>
  <c r="P90" i="1" s="1"/>
  <c r="X92" i="1"/>
  <c r="Q97" i="1"/>
  <c r="W119" i="1"/>
  <c r="W129" i="1"/>
  <c r="S133" i="1"/>
  <c r="P133" i="1" s="1"/>
  <c r="X135" i="1"/>
  <c r="X137" i="1"/>
  <c r="D144" i="1"/>
  <c r="Q153" i="1"/>
  <c r="S156" i="1"/>
  <c r="P156" i="1" s="1"/>
  <c r="S163" i="1"/>
  <c r="P163" i="1" s="1"/>
  <c r="W169" i="1"/>
  <c r="S173" i="1"/>
  <c r="P173" i="1" s="1"/>
  <c r="S175" i="1"/>
  <c r="P175" i="1" s="1"/>
  <c r="D184" i="1"/>
  <c r="S189" i="1"/>
  <c r="P189" i="1" s="1"/>
  <c r="S191" i="1"/>
  <c r="P191" i="1" s="1"/>
  <c r="D194" i="1"/>
  <c r="D196" i="1"/>
  <c r="D198" i="1"/>
  <c r="Q200" i="1"/>
  <c r="X217" i="1"/>
  <c r="D222" i="1"/>
  <c r="S232" i="1"/>
  <c r="P232" i="1" s="1"/>
  <c r="W236" i="1"/>
  <c r="W254" i="1"/>
  <c r="S255" i="1"/>
  <c r="P255" i="1" s="1"/>
  <c r="X264" i="1"/>
  <c r="W328" i="1"/>
  <c r="W337" i="1"/>
  <c r="W346" i="1"/>
  <c r="X345" i="1"/>
  <c r="W345" i="1"/>
  <c r="W612" i="1"/>
  <c r="X612" i="1"/>
  <c r="S612" i="1"/>
  <c r="P612" i="1" s="1"/>
  <c r="S611" i="1"/>
  <c r="P611" i="1" s="1"/>
  <c r="S37" i="1"/>
  <c r="P37" i="1" s="1"/>
  <c r="Q89" i="1"/>
  <c r="W159" i="1"/>
  <c r="X159" i="1"/>
  <c r="X191" i="1"/>
  <c r="S245" i="1"/>
  <c r="P245" i="1" s="1"/>
  <c r="W271" i="1"/>
  <c r="W286" i="1"/>
  <c r="X286" i="1"/>
  <c r="S286" i="1"/>
  <c r="P286" i="1" s="1"/>
  <c r="W311" i="1"/>
  <c r="S324" i="1"/>
  <c r="P324" i="1" s="1"/>
  <c r="X328" i="1"/>
  <c r="D357" i="1"/>
  <c r="S569" i="1"/>
  <c r="P569" i="1" s="1"/>
  <c r="X569" i="1"/>
  <c r="W569" i="1"/>
  <c r="X568" i="1"/>
  <c r="W568" i="1"/>
  <c r="S568" i="1"/>
  <c r="P568" i="1" s="1"/>
  <c r="S14" i="1"/>
  <c r="P14" i="1" s="1"/>
  <c r="X34" i="1"/>
  <c r="D70" i="1"/>
  <c r="S86" i="1"/>
  <c r="P86" i="1" s="1"/>
  <c r="W90" i="1"/>
  <c r="W111" i="1"/>
  <c r="S125" i="1"/>
  <c r="P125" i="1" s="1"/>
  <c r="X129" i="1"/>
  <c r="D136" i="1"/>
  <c r="W161" i="1"/>
  <c r="X161" i="1"/>
  <c r="X167" i="1"/>
  <c r="Q196" i="1"/>
  <c r="X198" i="1"/>
  <c r="S198" i="1"/>
  <c r="P198" i="1" s="1"/>
  <c r="D237" i="1"/>
  <c r="W243" i="1"/>
  <c r="X243" i="1"/>
  <c r="X247" i="1"/>
  <c r="W247" i="1"/>
  <c r="X716" i="1"/>
  <c r="W716" i="1"/>
  <c r="S716" i="1"/>
  <c r="P716" i="1" s="1"/>
  <c r="S20" i="1"/>
  <c r="P20" i="1" s="1"/>
  <c r="W8" i="1"/>
  <c r="S19" i="1"/>
  <c r="P19" i="1" s="1"/>
  <c r="S23" i="1"/>
  <c r="P23" i="1" s="1"/>
  <c r="D30" i="1"/>
  <c r="S51" i="1"/>
  <c r="P51" i="1" s="1"/>
  <c r="S82" i="1"/>
  <c r="P82" i="1" s="1"/>
  <c r="S2" i="1"/>
  <c r="P2" i="1" s="1"/>
  <c r="Q13" i="1"/>
  <c r="S21" i="1"/>
  <c r="P21" i="1" s="1"/>
  <c r="X23" i="1"/>
  <c r="X36" i="1"/>
  <c r="S38" i="1"/>
  <c r="P38" i="1" s="1"/>
  <c r="W49" i="1"/>
  <c r="S53" i="1"/>
  <c r="P53" i="1" s="1"/>
  <c r="X55" i="1"/>
  <c r="X57" i="1"/>
  <c r="D64" i="1"/>
  <c r="Q81" i="1"/>
  <c r="D99" i="1"/>
  <c r="D105" i="1"/>
  <c r="Q109" i="1"/>
  <c r="S115" i="1"/>
  <c r="P115" i="1" s="1"/>
  <c r="S119" i="1"/>
  <c r="P119" i="1" s="1"/>
  <c r="D130" i="1"/>
  <c r="D132" i="1"/>
  <c r="D134" i="1"/>
  <c r="X142" i="1"/>
  <c r="S146" i="1"/>
  <c r="P146" i="1" s="1"/>
  <c r="X148" i="1"/>
  <c r="S150" i="1"/>
  <c r="P150" i="1" s="1"/>
  <c r="D155" i="1"/>
  <c r="Q220" i="1"/>
  <c r="S254" i="1"/>
  <c r="P254" i="1" s="1"/>
  <c r="W256" i="1"/>
  <c r="D287" i="1"/>
  <c r="W295" i="1"/>
  <c r="D307" i="1"/>
  <c r="S313" i="1"/>
  <c r="P313" i="1" s="1"/>
  <c r="W335" i="1"/>
  <c r="Q368" i="1"/>
  <c r="S393" i="1"/>
  <c r="P393" i="1" s="1"/>
  <c r="W393" i="1"/>
  <c r="X462" i="1"/>
  <c r="S462" i="1"/>
  <c r="P462" i="1" s="1"/>
  <c r="Q520" i="1"/>
  <c r="W17" i="1"/>
  <c r="S55" i="1"/>
  <c r="P55" i="1" s="1"/>
  <c r="Q5" i="1"/>
  <c r="X13" i="1"/>
  <c r="X17" i="1"/>
  <c r="D24" i="1"/>
  <c r="X30" i="1"/>
  <c r="D41" i="1"/>
  <c r="W47" i="1"/>
  <c r="D58" i="1"/>
  <c r="D60" i="1"/>
  <c r="X70" i="1"/>
  <c r="S74" i="1"/>
  <c r="P74" i="1" s="1"/>
  <c r="X76" i="1"/>
  <c r="S78" i="1"/>
  <c r="P78" i="1" s="1"/>
  <c r="W82" i="1"/>
  <c r="S84" i="1"/>
  <c r="P84" i="1" s="1"/>
  <c r="W103" i="1"/>
  <c r="W113" i="1"/>
  <c r="X119" i="1"/>
  <c r="X121" i="1"/>
  <c r="Q145" i="1"/>
  <c r="Q157" i="1"/>
  <c r="S159" i="1"/>
  <c r="P159" i="1" s="1"/>
  <c r="D201" i="1"/>
  <c r="X209" i="1"/>
  <c r="D214" i="1"/>
  <c r="S222" i="1"/>
  <c r="P222" i="1" s="1"/>
  <c r="D225" i="1"/>
  <c r="S228" i="1"/>
  <c r="P228" i="1" s="1"/>
  <c r="S243" i="1"/>
  <c r="P243" i="1" s="1"/>
  <c r="Q247" i="1"/>
  <c r="X254" i="1"/>
  <c r="S273" i="1"/>
  <c r="P273" i="1" s="1"/>
  <c r="D276" i="1"/>
  <c r="S304" i="1"/>
  <c r="P304" i="1" s="1"/>
  <c r="X520" i="1"/>
  <c r="W520" i="1"/>
  <c r="S520" i="1"/>
  <c r="P520" i="1" s="1"/>
  <c r="X519" i="1"/>
  <c r="W780" i="1"/>
  <c r="S780" i="1"/>
  <c r="P780" i="1" s="1"/>
  <c r="X780" i="1"/>
  <c r="X411" i="1"/>
  <c r="S461" i="1"/>
  <c r="P461" i="1" s="1"/>
  <c r="W584" i="1"/>
  <c r="S600" i="1"/>
  <c r="P600" i="1" s="1"/>
  <c r="P604" i="1"/>
  <c r="X715" i="1"/>
  <c r="W779" i="1"/>
  <c r="S779" i="1"/>
  <c r="P779" i="1" s="1"/>
  <c r="W846" i="1"/>
  <c r="X846" i="1"/>
  <c r="W845" i="1"/>
  <c r="S845" i="1"/>
  <c r="P845" i="1" s="1"/>
  <c r="P326" i="1"/>
  <c r="P342" i="1"/>
  <c r="D354" i="1"/>
  <c r="X366" i="1"/>
  <c r="D375" i="1"/>
  <c r="X384" i="1"/>
  <c r="D418" i="1"/>
  <c r="D420" i="1"/>
  <c r="X422" i="1"/>
  <c r="D426" i="1"/>
  <c r="Q428" i="1"/>
  <c r="D443" i="1"/>
  <c r="W447" i="1"/>
  <c r="X471" i="1"/>
  <c r="W473" i="1"/>
  <c r="D476" i="1"/>
  <c r="X478" i="1"/>
  <c r="Q484" i="1"/>
  <c r="D505" i="1"/>
  <c r="S509" i="1"/>
  <c r="P509" i="1" s="1"/>
  <c r="S513" i="1"/>
  <c r="P513" i="1" s="1"/>
  <c r="D530" i="1"/>
  <c r="S544" i="1"/>
  <c r="P544" i="1" s="1"/>
  <c r="D555" i="1"/>
  <c r="X559" i="1"/>
  <c r="W561" i="1"/>
  <c r="X575" i="1"/>
  <c r="S616" i="1"/>
  <c r="P616" i="1" s="1"/>
  <c r="S620" i="1"/>
  <c r="P620" i="1" s="1"/>
  <c r="D625" i="1"/>
  <c r="D627" i="1"/>
  <c r="Q631" i="1"/>
  <c r="X644" i="1"/>
  <c r="X651" i="1"/>
  <c r="D671" i="1"/>
  <c r="D673" i="1"/>
  <c r="Q679" i="1"/>
  <c r="W687" i="1"/>
  <c r="D697" i="1"/>
  <c r="S706" i="1"/>
  <c r="P706" i="1" s="1"/>
  <c r="D817" i="1"/>
  <c r="X829" i="1"/>
  <c r="W829" i="1"/>
  <c r="S829" i="1"/>
  <c r="W378" i="1"/>
  <c r="D385" i="1"/>
  <c r="D387" i="1"/>
  <c r="W465" i="1"/>
  <c r="D472" i="1"/>
  <c r="X473" i="1"/>
  <c r="D499" i="1"/>
  <c r="D524" i="1"/>
  <c r="S534" i="1"/>
  <c r="P534" i="1" s="1"/>
  <c r="W544" i="1"/>
  <c r="D553" i="1"/>
  <c r="D560" i="1"/>
  <c r="X561" i="1"/>
  <c r="S566" i="1"/>
  <c r="P566" i="1" s="1"/>
  <c r="D576" i="1"/>
  <c r="X584" i="1"/>
  <c r="W591" i="1"/>
  <c r="X662" i="1"/>
  <c r="Q667" i="1"/>
  <c r="S692" i="1"/>
  <c r="S699" i="1"/>
  <c r="P699" i="1" s="1"/>
  <c r="S701" i="1"/>
  <c r="P701" i="1" s="1"/>
  <c r="S715" i="1"/>
  <c r="P715" i="1" s="1"/>
  <c r="S731" i="1"/>
  <c r="P731" i="1" s="1"/>
  <c r="S733" i="1"/>
  <c r="P733" i="1" s="1"/>
  <c r="S756" i="1"/>
  <c r="S763" i="1"/>
  <c r="P763" i="1" s="1"/>
  <c r="D773" i="1"/>
  <c r="S488" i="1"/>
  <c r="P488" i="1" s="1"/>
  <c r="S629" i="1"/>
  <c r="P629" i="1" s="1"/>
  <c r="S651" i="1"/>
  <c r="P651" i="1" s="1"/>
  <c r="X692" i="1"/>
  <c r="W733" i="1"/>
  <c r="W749" i="1"/>
  <c r="S754" i="1"/>
  <c r="P754" i="1" s="1"/>
  <c r="X756" i="1"/>
  <c r="D761" i="1"/>
  <c r="W784" i="1"/>
  <c r="W792" i="1"/>
  <c r="W968" i="1"/>
  <c r="X968" i="1"/>
  <c r="S968" i="1"/>
  <c r="P968" i="1" s="1"/>
  <c r="Q295" i="1"/>
  <c r="S297" i="1"/>
  <c r="P297" i="1" s="1"/>
  <c r="D315" i="1"/>
  <c r="D346" i="1"/>
  <c r="S358" i="1"/>
  <c r="P358" i="1" s="1"/>
  <c r="X399" i="1"/>
  <c r="X401" i="1"/>
  <c r="S414" i="1"/>
  <c r="P414" i="1" s="1"/>
  <c r="S418" i="1"/>
  <c r="P418" i="1" s="1"/>
  <c r="S424" i="1"/>
  <c r="P424" i="1" s="1"/>
  <c r="D460" i="1"/>
  <c r="D464" i="1"/>
  <c r="D468" i="1"/>
  <c r="X470" i="1"/>
  <c r="D474" i="1"/>
  <c r="W488" i="1"/>
  <c r="S501" i="1"/>
  <c r="P501" i="1" s="1"/>
  <c r="X511" i="1"/>
  <c r="X513" i="1"/>
  <c r="S526" i="1"/>
  <c r="P526" i="1" s="1"/>
  <c r="S530" i="1"/>
  <c r="P530" i="1" s="1"/>
  <c r="D545" i="1"/>
  <c r="D562" i="1"/>
  <c r="Q567" i="1"/>
  <c r="S580" i="1"/>
  <c r="D592" i="1"/>
  <c r="D603" i="1"/>
  <c r="D617" i="1"/>
  <c r="D623" i="1"/>
  <c r="X625" i="1"/>
  <c r="D652" i="1"/>
  <c r="S660" i="1"/>
  <c r="P660" i="1" s="1"/>
  <c r="S690" i="1"/>
  <c r="P690" i="1" s="1"/>
  <c r="D702" i="1"/>
  <c r="D707" i="1"/>
  <c r="S711" i="1"/>
  <c r="P711" i="1" s="1"/>
  <c r="W711" i="1"/>
  <c r="S727" i="1"/>
  <c r="P727" i="1" s="1"/>
  <c r="X742" i="1"/>
  <c r="D747" i="1"/>
  <c r="D757" i="1"/>
  <c r="X758" i="1"/>
  <c r="W787" i="1"/>
  <c r="S787" i="1"/>
  <c r="P787" i="1" s="1"/>
  <c r="X807" i="1"/>
  <c r="W807" i="1"/>
  <c r="S1081" i="1"/>
  <c r="P1081" i="1" s="1"/>
  <c r="X1082" i="1"/>
  <c r="W1082" i="1"/>
  <c r="S1082" i="1"/>
  <c r="P1082" i="1" s="1"/>
  <c r="X1081" i="1"/>
  <c r="W1081" i="1"/>
  <c r="Q348" i="1"/>
  <c r="X391" i="1"/>
  <c r="D400" i="1"/>
  <c r="Q412" i="1"/>
  <c r="S416" i="1"/>
  <c r="P416" i="1" s="1"/>
  <c r="D433" i="1"/>
  <c r="W449" i="1"/>
  <c r="D452" i="1"/>
  <c r="D491" i="1"/>
  <c r="D512" i="1"/>
  <c r="D516" i="1"/>
  <c r="X580" i="1"/>
  <c r="S587" i="1"/>
  <c r="P587" i="1" s="1"/>
  <c r="D608" i="1"/>
  <c r="S627" i="1"/>
  <c r="P627" i="1" s="1"/>
  <c r="D639" i="1"/>
  <c r="D641" i="1"/>
  <c r="X647" i="1"/>
  <c r="D654" i="1"/>
  <c r="X660" i="1"/>
  <c r="D736" i="1"/>
  <c r="D743" i="1"/>
  <c r="W790" i="1"/>
  <c r="X790" i="1"/>
  <c r="D796" i="1"/>
  <c r="P960" i="1"/>
  <c r="Q452" i="1"/>
  <c r="W487" i="1"/>
  <c r="P518" i="1"/>
  <c r="W528" i="1"/>
  <c r="Q603" i="1"/>
  <c r="X617" i="1"/>
  <c r="D659" i="1"/>
  <c r="D661" i="1"/>
  <c r="D691" i="1"/>
  <c r="W700" i="1"/>
  <c r="X700" i="1"/>
  <c r="W702" i="1"/>
  <c r="X702" i="1"/>
  <c r="D723" i="1"/>
  <c r="D294" i="1"/>
  <c r="D298" i="1"/>
  <c r="D329" i="1"/>
  <c r="S343" i="1"/>
  <c r="P343" i="1" s="1"/>
  <c r="D355" i="1"/>
  <c r="X390" i="1"/>
  <c r="D394" i="1"/>
  <c r="D419" i="1"/>
  <c r="S433" i="1"/>
  <c r="P433" i="1" s="1"/>
  <c r="X439" i="1"/>
  <c r="X441" i="1"/>
  <c r="D450" i="1"/>
  <c r="S458" i="1"/>
  <c r="S466" i="1"/>
  <c r="P466" i="1" s="1"/>
  <c r="S472" i="1"/>
  <c r="P472" i="1" s="1"/>
  <c r="D481" i="1"/>
  <c r="D504" i="1"/>
  <c r="D531" i="1"/>
  <c r="X551" i="1"/>
  <c r="W553" i="1"/>
  <c r="D556" i="1"/>
  <c r="S560" i="1"/>
  <c r="P560" i="1" s="1"/>
  <c r="D572" i="1"/>
  <c r="S576" i="1"/>
  <c r="P576" i="1" s="1"/>
  <c r="D579" i="1"/>
  <c r="Q619" i="1"/>
  <c r="Q623" i="1"/>
  <c r="Q659" i="1"/>
  <c r="Q663" i="1"/>
  <c r="W678" i="1"/>
  <c r="W693" i="1"/>
  <c r="S693" i="1"/>
  <c r="P693" i="1" s="1"/>
  <c r="Q695" i="1"/>
  <c r="W709" i="1"/>
  <c r="D721" i="1"/>
  <c r="Q725" i="1"/>
  <c r="W750" i="1"/>
  <c r="X750" i="1"/>
  <c r="W764" i="1"/>
  <c r="X764" i="1"/>
  <c r="D776" i="1"/>
  <c r="X339" i="1"/>
  <c r="W385" i="1"/>
  <c r="S398" i="1"/>
  <c r="P398" i="1" s="1"/>
  <c r="S410" i="1"/>
  <c r="P410" i="1" s="1"/>
  <c r="W423" i="1"/>
  <c r="W490" i="1"/>
  <c r="S510" i="1"/>
  <c r="P510" i="1" s="1"/>
  <c r="W545" i="1"/>
  <c r="X567" i="1"/>
  <c r="S603" i="1"/>
  <c r="P603" i="1" s="1"/>
  <c r="S617" i="1"/>
  <c r="P617" i="1" s="1"/>
  <c r="W628" i="1"/>
  <c r="X691" i="1"/>
  <c r="S700" i="1"/>
  <c r="P700" i="1" s="1"/>
  <c r="S732" i="1"/>
  <c r="P732" i="1" s="1"/>
  <c r="S778" i="1"/>
  <c r="P778" i="1" s="1"/>
  <c r="W788" i="1"/>
  <c r="X788" i="1"/>
  <c r="S788" i="1"/>
  <c r="P788" i="1" s="1"/>
  <c r="W351" i="1"/>
  <c r="W359" i="1"/>
  <c r="X385" i="1"/>
  <c r="S390" i="1"/>
  <c r="P390" i="1" s="1"/>
  <c r="S400" i="1"/>
  <c r="P400" i="1" s="1"/>
  <c r="W415" i="1"/>
  <c r="W433" i="1"/>
  <c r="D442" i="1"/>
  <c r="S464" i="1"/>
  <c r="P464" i="1" s="1"/>
  <c r="X502" i="1"/>
  <c r="D506" i="1"/>
  <c r="W527" i="1"/>
  <c r="S533" i="1"/>
  <c r="P533" i="1" s="1"/>
  <c r="S537" i="1"/>
  <c r="P537" i="1" s="1"/>
  <c r="W538" i="1"/>
  <c r="X543" i="1"/>
  <c r="X545" i="1"/>
  <c r="S565" i="1"/>
  <c r="P565" i="1" s="1"/>
  <c r="S574" i="1"/>
  <c r="P574" i="1" s="1"/>
  <c r="X579" i="1"/>
  <c r="Q583" i="1"/>
  <c r="X590" i="1"/>
  <c r="W617" i="1"/>
  <c r="S619" i="1"/>
  <c r="P619" i="1" s="1"/>
  <c r="S621" i="1"/>
  <c r="P621" i="1" s="1"/>
  <c r="D646" i="1"/>
  <c r="S648" i="1"/>
  <c r="P648" i="1" s="1"/>
  <c r="S652" i="1"/>
  <c r="P652" i="1" s="1"/>
  <c r="Q678" i="1"/>
  <c r="D683" i="1"/>
  <c r="S730" i="1"/>
  <c r="P730" i="1" s="1"/>
  <c r="X732" i="1"/>
  <c r="X734" i="1"/>
  <c r="W736" i="1"/>
  <c r="S764" i="1"/>
  <c r="P764" i="1" s="1"/>
  <c r="W270" i="1"/>
  <c r="D280" i="1"/>
  <c r="D282" i="1"/>
  <c r="W302" i="1"/>
  <c r="W310" i="1"/>
  <c r="W318" i="1"/>
  <c r="X355" i="1"/>
  <c r="S365" i="1"/>
  <c r="P365" i="1" s="1"/>
  <c r="S394" i="1"/>
  <c r="P394" i="1" s="1"/>
  <c r="X427" i="1"/>
  <c r="X433" i="1"/>
  <c r="D436" i="1"/>
  <c r="X438" i="1"/>
  <c r="Q444" i="1"/>
  <c r="S446" i="1"/>
  <c r="P446" i="1" s="1"/>
  <c r="S450" i="1"/>
  <c r="P450" i="1" s="1"/>
  <c r="W458" i="1"/>
  <c r="W464" i="1"/>
  <c r="W466" i="1"/>
  <c r="D473" i="1"/>
  <c r="S477" i="1"/>
  <c r="P477" i="1" s="1"/>
  <c r="S481" i="1"/>
  <c r="P481" i="1" s="1"/>
  <c r="D498" i="1"/>
  <c r="S512" i="1"/>
  <c r="P512" i="1" s="1"/>
  <c r="D523" i="1"/>
  <c r="D544" i="1"/>
  <c r="D548" i="1"/>
  <c r="X550" i="1"/>
  <c r="D554" i="1"/>
  <c r="D561" i="1"/>
  <c r="D577" i="1"/>
  <c r="W583" i="1"/>
  <c r="D593" i="1"/>
  <c r="D597" i="1"/>
  <c r="D609" i="1"/>
  <c r="S628" i="1"/>
  <c r="P628" i="1" s="1"/>
  <c r="D633" i="1"/>
  <c r="W639" i="1"/>
  <c r="W652" i="1"/>
  <c r="D657" i="1"/>
  <c r="S659" i="1"/>
  <c r="P659" i="1" s="1"/>
  <c r="S661" i="1"/>
  <c r="P661" i="1" s="1"/>
  <c r="W676" i="1"/>
  <c r="X676" i="1"/>
  <c r="X678" i="1"/>
  <c r="X680" i="1"/>
  <c r="Q683" i="1"/>
  <c r="S691" i="1"/>
  <c r="P691" i="1" s="1"/>
  <c r="S714" i="1"/>
  <c r="P714" i="1" s="1"/>
  <c r="D726" i="1"/>
  <c r="Q743" i="1"/>
  <c r="X743" i="1"/>
  <c r="D751" i="1"/>
  <c r="D753" i="1"/>
  <c r="S755" i="1"/>
  <c r="P755" i="1" s="1"/>
  <c r="W759" i="1"/>
  <c r="S762" i="1"/>
  <c r="P762" i="1" s="1"/>
  <c r="R781" i="1"/>
  <c r="Q781" i="1"/>
  <c r="W783" i="1"/>
  <c r="W806" i="1"/>
  <c r="X806" i="1"/>
  <c r="X821" i="1"/>
  <c r="W821" i="1"/>
  <c r="S821" i="1"/>
  <c r="P821" i="1" s="1"/>
  <c r="S820" i="1"/>
  <c r="P820" i="1" s="1"/>
  <c r="S974" i="1"/>
  <c r="P974" i="1" s="1"/>
  <c r="X973" i="1"/>
  <c r="S973" i="1"/>
  <c r="P973" i="1" s="1"/>
  <c r="S392" i="1"/>
  <c r="P392" i="1" s="1"/>
  <c r="X400" i="1"/>
  <c r="X487" i="1"/>
  <c r="W489" i="1"/>
  <c r="Q500" i="1"/>
  <c r="S502" i="1"/>
  <c r="P502" i="1" s="1"/>
  <c r="W514" i="1"/>
  <c r="S525" i="1"/>
  <c r="P525" i="1" s="1"/>
  <c r="Q559" i="1"/>
  <c r="Q575" i="1"/>
  <c r="Q590" i="1"/>
  <c r="Q595" i="1"/>
  <c r="W599" i="1"/>
  <c r="X628" i="1"/>
  <c r="W635" i="1"/>
  <c r="W659" i="1"/>
  <c r="P683" i="1"/>
  <c r="W748" i="1"/>
  <c r="S748" i="1"/>
  <c r="P748" i="1" s="1"/>
  <c r="X781" i="1"/>
  <c r="W781" i="1"/>
  <c r="W851" i="1"/>
  <c r="S851" i="1"/>
  <c r="P851" i="1" s="1"/>
  <c r="W153" i="1"/>
  <c r="D168" i="1"/>
  <c r="D170" i="1"/>
  <c r="D172" i="1"/>
  <c r="D174" i="1"/>
  <c r="X182" i="1"/>
  <c r="D186" i="1"/>
  <c r="D188" i="1"/>
  <c r="D190" i="1"/>
  <c r="W215" i="1"/>
  <c r="W217" i="1"/>
  <c r="S219" i="1"/>
  <c r="P219" i="1" s="1"/>
  <c r="W235" i="1"/>
  <c r="D238" i="1"/>
  <c r="D266" i="1"/>
  <c r="S302" i="1"/>
  <c r="P302" i="1" s="1"/>
  <c r="S303" i="1"/>
  <c r="P303" i="1" s="1"/>
  <c r="D306" i="1"/>
  <c r="S318" i="1"/>
  <c r="P318" i="1" s="1"/>
  <c r="W327" i="1"/>
  <c r="W343" i="1"/>
  <c r="X374" i="1"/>
  <c r="W392" i="1"/>
  <c r="D401" i="1"/>
  <c r="D403" i="1"/>
  <c r="W407" i="1"/>
  <c r="D434" i="1"/>
  <c r="Q436" i="1"/>
  <c r="S438" i="1"/>
  <c r="P438" i="1" s="1"/>
  <c r="S442" i="1"/>
  <c r="P442" i="1" s="1"/>
  <c r="S448" i="1"/>
  <c r="P448" i="1" s="1"/>
  <c r="W455" i="1"/>
  <c r="D465" i="1"/>
  <c r="W481" i="1"/>
  <c r="D488" i="1"/>
  <c r="X489" i="1"/>
  <c r="S506" i="1"/>
  <c r="P506" i="1" s="1"/>
  <c r="D515" i="1"/>
  <c r="W519" i="1"/>
  <c r="X535" i="1"/>
  <c r="W537" i="1"/>
  <c r="X542" i="1"/>
  <c r="Q548" i="1"/>
  <c r="S550" i="1"/>
  <c r="P550" i="1" s="1"/>
  <c r="S579" i="1"/>
  <c r="P579" i="1" s="1"/>
  <c r="W588" i="1"/>
  <c r="X633" i="1"/>
  <c r="P636" i="1"/>
  <c r="W644" i="1"/>
  <c r="W670" i="1"/>
  <c r="X670" i="1"/>
  <c r="S676" i="1"/>
  <c r="X739" i="1"/>
  <c r="W741" i="1"/>
  <c r="W776" i="1"/>
  <c r="S786" i="1"/>
  <c r="P786" i="1" s="1"/>
  <c r="W804" i="1"/>
  <c r="X804" i="1"/>
  <c r="Q918" i="1"/>
  <c r="W957" i="1"/>
  <c r="X957" i="1"/>
  <c r="D160" i="1"/>
  <c r="D162" i="1"/>
  <c r="D164" i="1"/>
  <c r="S194" i="1"/>
  <c r="P194" i="1" s="1"/>
  <c r="X196" i="1"/>
  <c r="D226" i="1"/>
  <c r="S270" i="1"/>
  <c r="P270" i="1" s="1"/>
  <c r="S279" i="1"/>
  <c r="P279" i="1" s="1"/>
  <c r="D290" i="1"/>
  <c r="X302" i="1"/>
  <c r="S310" i="1"/>
  <c r="D314" i="1"/>
  <c r="X318" i="1"/>
  <c r="S319" i="1"/>
  <c r="P319" i="1" s="1"/>
  <c r="Q324" i="1"/>
  <c r="W334" i="1"/>
  <c r="D336" i="1"/>
  <c r="X343" i="1"/>
  <c r="S345" i="1"/>
  <c r="P345" i="1" s="1"/>
  <c r="D356" i="1"/>
  <c r="X367" i="1"/>
  <c r="S382" i="1"/>
  <c r="P382" i="1" s="1"/>
  <c r="D395" i="1"/>
  <c r="W417" i="1"/>
  <c r="X423" i="1"/>
  <c r="W425" i="1"/>
  <c r="X430" i="1"/>
  <c r="S440" i="1"/>
  <c r="P440" i="1" s="1"/>
  <c r="W448" i="1"/>
  <c r="D451" i="1"/>
  <c r="W463" i="1"/>
  <c r="S469" i="1"/>
  <c r="P469" i="1" s="1"/>
  <c r="S473" i="1"/>
  <c r="P473" i="1" s="1"/>
  <c r="W474" i="1"/>
  <c r="X479" i="1"/>
  <c r="X481" i="1"/>
  <c r="S494" i="1"/>
  <c r="P494" i="1" s="1"/>
  <c r="S498" i="1"/>
  <c r="P498" i="1" s="1"/>
  <c r="S504" i="1"/>
  <c r="P504" i="1" s="1"/>
  <c r="D513" i="1"/>
  <c r="W529" i="1"/>
  <c r="D536" i="1"/>
  <c r="X537" i="1"/>
  <c r="S554" i="1"/>
  <c r="P554" i="1" s="1"/>
  <c r="S561" i="1"/>
  <c r="P561" i="1" s="1"/>
  <c r="W562" i="1"/>
  <c r="X595" i="1"/>
  <c r="Q599" i="1"/>
  <c r="W604" i="1"/>
  <c r="Q606" i="1"/>
  <c r="X609" i="1"/>
  <c r="D616" i="1"/>
  <c r="X624" i="1"/>
  <c r="D629" i="1"/>
  <c r="S635" i="1"/>
  <c r="P635" i="1" s="1"/>
  <c r="Q646" i="1"/>
  <c r="W648" i="1"/>
  <c r="S664" i="1"/>
  <c r="P664" i="1" s="1"/>
  <c r="S668" i="1"/>
  <c r="P668" i="1" s="1"/>
  <c r="X672" i="1"/>
  <c r="W683" i="1"/>
  <c r="Q685" i="1"/>
  <c r="Q703" i="1"/>
  <c r="S708" i="1"/>
  <c r="P708" i="1" s="1"/>
  <c r="S719" i="1"/>
  <c r="P719" i="1" s="1"/>
  <c r="X748" i="1"/>
  <c r="X765" i="1"/>
  <c r="W765" i="1"/>
  <c r="W772" i="1"/>
  <c r="X772" i="1"/>
  <c r="X791" i="1"/>
  <c r="W266" i="1"/>
  <c r="X270" i="1"/>
  <c r="S287" i="1"/>
  <c r="P287" i="1" s="1"/>
  <c r="D295" i="1"/>
  <c r="D299" i="1"/>
  <c r="W306" i="1"/>
  <c r="X310" i="1"/>
  <c r="D319" i="1"/>
  <c r="W326" i="1"/>
  <c r="D328" i="1"/>
  <c r="W342" i="1"/>
  <c r="D344" i="1"/>
  <c r="X351" i="1"/>
  <c r="X359" i="1"/>
  <c r="D368" i="1"/>
  <c r="S374" i="1"/>
  <c r="P374" i="1" s="1"/>
  <c r="S378" i="1"/>
  <c r="P378" i="1" s="1"/>
  <c r="S384" i="1"/>
  <c r="P384" i="1" s="1"/>
  <c r="S386" i="1"/>
  <c r="P386" i="1" s="1"/>
  <c r="W399" i="1"/>
  <c r="W404" i="1"/>
  <c r="S409" i="1"/>
  <c r="P409" i="1" s="1"/>
  <c r="X415" i="1"/>
  <c r="X417" i="1"/>
  <c r="X425" i="1"/>
  <c r="D428" i="1"/>
  <c r="S453" i="1"/>
  <c r="P453" i="1" s="1"/>
  <c r="S457" i="1"/>
  <c r="P457" i="1" s="1"/>
  <c r="D480" i="1"/>
  <c r="D484" i="1"/>
  <c r="X486" i="1"/>
  <c r="W500" i="1"/>
  <c r="W511" i="1"/>
  <c r="S517" i="1"/>
  <c r="P517" i="1" s="1"/>
  <c r="S521" i="1"/>
  <c r="P521" i="1" s="1"/>
  <c r="W522" i="1"/>
  <c r="X527" i="1"/>
  <c r="X529" i="1"/>
  <c r="S542" i="1"/>
  <c r="P542" i="1" s="1"/>
  <c r="S546" i="1"/>
  <c r="W559" i="1"/>
  <c r="S570" i="1"/>
  <c r="P570" i="1" s="1"/>
  <c r="W575" i="1"/>
  <c r="D582" i="1"/>
  <c r="Q597" i="1"/>
  <c r="Q611" i="1"/>
  <c r="X611" i="1"/>
  <c r="Q615" i="1"/>
  <c r="X635" i="1"/>
  <c r="D638" i="1"/>
  <c r="D649" i="1"/>
  <c r="S655" i="1"/>
  <c r="P655" i="1" s="1"/>
  <c r="X655" i="1"/>
  <c r="R662" i="1"/>
  <c r="Q662" i="1"/>
  <c r="X668" i="1"/>
  <c r="W681" i="1"/>
  <c r="X683" i="1"/>
  <c r="S685" i="1"/>
  <c r="P685" i="1" s="1"/>
  <c r="W694" i="1"/>
  <c r="D704" i="1"/>
  <c r="X710" i="1"/>
  <c r="W717" i="1"/>
  <c r="Q719" i="1"/>
  <c r="D729" i="1"/>
  <c r="S739" i="1"/>
  <c r="P739" i="1" s="1"/>
  <c r="S751" i="1"/>
  <c r="P751" i="1" s="1"/>
  <c r="X751" i="1"/>
  <c r="W751" i="1"/>
  <c r="X789" i="1"/>
  <c r="W789" i="1"/>
  <c r="D795" i="1"/>
  <c r="Q854" i="1"/>
  <c r="W992" i="1"/>
  <c r="X992" i="1"/>
  <c r="S992" i="1"/>
  <c r="P992" i="1" s="1"/>
  <c r="D864" i="1"/>
  <c r="D878" i="1"/>
  <c r="D894" i="1"/>
  <c r="D910" i="1"/>
  <c r="D978" i="1"/>
  <c r="S991" i="1"/>
  <c r="P991" i="1" s="1"/>
  <c r="W1032" i="1"/>
  <c r="X1032" i="1"/>
  <c r="X1230" i="1"/>
  <c r="W1230" i="1"/>
  <c r="W1229" i="1"/>
  <c r="R1375" i="1"/>
  <c r="Q1375" i="1"/>
  <c r="S850" i="1"/>
  <c r="P850" i="1" s="1"/>
  <c r="X940" i="1"/>
  <c r="W971" i="1"/>
  <c r="W1003" i="1"/>
  <c r="D1092" i="1"/>
  <c r="S1425" i="1"/>
  <c r="P1425" i="1" s="1"/>
  <c r="W1425" i="1"/>
  <c r="W812" i="1"/>
  <c r="Q834" i="1"/>
  <c r="D841" i="1"/>
  <c r="S843" i="1"/>
  <c r="P843" i="1" s="1"/>
  <c r="D848" i="1"/>
  <c r="D867" i="1"/>
  <c r="X885" i="1"/>
  <c r="D915" i="1"/>
  <c r="X917" i="1"/>
  <c r="W917" i="1"/>
  <c r="S917" i="1"/>
  <c r="W952" i="1"/>
  <c r="S954" i="1"/>
  <c r="P954" i="1" s="1"/>
  <c r="D961" i="1"/>
  <c r="X971" i="1"/>
  <c r="D983" i="1"/>
  <c r="D992" i="1"/>
  <c r="W997" i="1"/>
  <c r="S1033" i="1"/>
  <c r="P1033" i="1" s="1"/>
  <c r="S1034" i="1"/>
  <c r="P1034" i="1" s="1"/>
  <c r="Q1041" i="1"/>
  <c r="S1071" i="1"/>
  <c r="P1071" i="1" s="1"/>
  <c r="S1077" i="1"/>
  <c r="P1077" i="1" s="1"/>
  <c r="X1098" i="1"/>
  <c r="S1113" i="1"/>
  <c r="P1113" i="1" s="1"/>
  <c r="X1114" i="1"/>
  <c r="W1114" i="1"/>
  <c r="D819" i="1"/>
  <c r="S836" i="1"/>
  <c r="P836" i="1" s="1"/>
  <c r="D851" i="1"/>
  <c r="Q890" i="1"/>
  <c r="W894" i="1"/>
  <c r="W924" i="1"/>
  <c r="S940" i="1"/>
  <c r="P940" i="1" s="1"/>
  <c r="D957" i="1"/>
  <c r="X978" i="1"/>
  <c r="S1024" i="1"/>
  <c r="P1024" i="1" s="1"/>
  <c r="S1025" i="1"/>
  <c r="P1025" i="1" s="1"/>
  <c r="X1026" i="1"/>
  <c r="W1065" i="1"/>
  <c r="D1082" i="1"/>
  <c r="S1089" i="1"/>
  <c r="P1089" i="1" s="1"/>
  <c r="X1090" i="1"/>
  <c r="S1109" i="1"/>
  <c r="P1109" i="1" s="1"/>
  <c r="X836" i="1"/>
  <c r="X838" i="1"/>
  <c r="Q874" i="1"/>
  <c r="Q906" i="1"/>
  <c r="W976" i="1"/>
  <c r="S976" i="1"/>
  <c r="S997" i="1"/>
  <c r="P997" i="1" s="1"/>
  <c r="Q1016" i="1"/>
  <c r="X1024" i="1"/>
  <c r="Q1033" i="1"/>
  <c r="X1065" i="1"/>
  <c r="X1109" i="1"/>
  <c r="W1112" i="1"/>
  <c r="X1112" i="1"/>
  <c r="Q1117" i="1"/>
  <c r="X1192" i="1"/>
  <c r="W1192" i="1"/>
  <c r="S1397" i="1"/>
  <c r="P1397" i="1" s="1"/>
  <c r="X1398" i="1"/>
  <c r="W1398" i="1"/>
  <c r="X1397" i="1"/>
  <c r="Q727" i="1"/>
  <c r="S746" i="1"/>
  <c r="P746" i="1" s="1"/>
  <c r="D755" i="1"/>
  <c r="D759" i="1"/>
  <c r="D787" i="1"/>
  <c r="D793" i="1"/>
  <c r="X812" i="1"/>
  <c r="D823" i="1"/>
  <c r="D839" i="1"/>
  <c r="X853" i="1"/>
  <c r="D881" i="1"/>
  <c r="S885" i="1"/>
  <c r="W908" i="1"/>
  <c r="X908" i="1"/>
  <c r="D913" i="1"/>
  <c r="W915" i="1"/>
  <c r="S915" i="1"/>
  <c r="P915" i="1" s="1"/>
  <c r="D918" i="1"/>
  <c r="S924" i="1"/>
  <c r="X926" i="1"/>
  <c r="X943" i="1"/>
  <c r="X952" i="1"/>
  <c r="D970" i="1"/>
  <c r="X993" i="1"/>
  <c r="X997" i="1"/>
  <c r="D1004" i="1"/>
  <c r="S1008" i="1"/>
  <c r="P1008" i="1" s="1"/>
  <c r="S1014" i="1"/>
  <c r="P1014" i="1" s="1"/>
  <c r="D1021" i="1"/>
  <c r="D1025" i="1"/>
  <c r="S1026" i="1"/>
  <c r="P1026" i="1" s="1"/>
  <c r="S1032" i="1"/>
  <c r="P1032" i="1" s="1"/>
  <c r="S1041" i="1"/>
  <c r="P1041" i="1" s="1"/>
  <c r="D1048" i="1"/>
  <c r="W1049" i="1"/>
  <c r="S1053" i="1"/>
  <c r="P1053" i="1" s="1"/>
  <c r="D1064" i="1"/>
  <c r="D1066" i="1"/>
  <c r="S1088" i="1"/>
  <c r="P1088" i="1" s="1"/>
  <c r="D1095" i="1"/>
  <c r="D1110" i="1"/>
  <c r="X1133" i="1"/>
  <c r="X1495" i="1"/>
  <c r="W1495" i="1"/>
  <c r="S1495" i="1"/>
  <c r="P1495" i="1" s="1"/>
  <c r="D920" i="1"/>
  <c r="D939" i="1"/>
  <c r="D960" i="1"/>
  <c r="D977" i="1"/>
  <c r="D984" i="1"/>
  <c r="D996" i="1"/>
  <c r="D1068" i="1"/>
  <c r="X1253" i="1"/>
  <c r="W1253" i="1"/>
  <c r="S1253" i="1"/>
  <c r="P1253" i="1" s="1"/>
  <c r="D849" i="1"/>
  <c r="P865" i="1"/>
  <c r="D1015" i="1"/>
  <c r="W1021" i="1"/>
  <c r="D1108" i="1"/>
  <c r="S1233" i="1"/>
  <c r="P1233" i="1" s="1"/>
  <c r="X1234" i="1"/>
  <c r="W1234" i="1"/>
  <c r="S1234" i="1"/>
  <c r="P1234" i="1" s="1"/>
  <c r="X1233" i="1"/>
  <c r="W1233" i="1"/>
  <c r="D783" i="1"/>
  <c r="D800" i="1"/>
  <c r="D815" i="1"/>
  <c r="W830" i="1"/>
  <c r="X837" i="1"/>
  <c r="D859" i="1"/>
  <c r="D868" i="1"/>
  <c r="D877" i="1"/>
  <c r="D923" i="1"/>
  <c r="S941" i="1"/>
  <c r="P941" i="1" s="1"/>
  <c r="D951" i="1"/>
  <c r="D958" i="1"/>
  <c r="D975" i="1"/>
  <c r="S981" i="1"/>
  <c r="P981" i="1" s="1"/>
  <c r="D986" i="1"/>
  <c r="D1011" i="1"/>
  <c r="D1052" i="1"/>
  <c r="W1057" i="1"/>
  <c r="D1060" i="1"/>
  <c r="X1080" i="1"/>
  <c r="W1104" i="1"/>
  <c r="S1104" i="1"/>
  <c r="P1104" i="1" s="1"/>
  <c r="X813" i="1"/>
  <c r="Q823" i="1"/>
  <c r="W828" i="1"/>
  <c r="Q842" i="1"/>
  <c r="S844" i="1"/>
  <c r="P844" i="1" s="1"/>
  <c r="X941" i="1"/>
  <c r="M951" i="1"/>
  <c r="Q951" i="1"/>
  <c r="X981" i="1"/>
  <c r="S1021" i="1"/>
  <c r="P1021" i="1" s="1"/>
  <c r="S1037" i="1"/>
  <c r="P1037" i="1" s="1"/>
  <c r="W1056" i="1"/>
  <c r="S1066" i="1"/>
  <c r="P1066" i="1" s="1"/>
  <c r="W1120" i="1"/>
  <c r="X1120" i="1"/>
  <c r="Q1161" i="1"/>
  <c r="S1229" i="1"/>
  <c r="P1229" i="1" s="1"/>
  <c r="W1568" i="1"/>
  <c r="X1568" i="1"/>
  <c r="W796" i="1"/>
  <c r="D805" i="1"/>
  <c r="D809" i="1"/>
  <c r="S826" i="1"/>
  <c r="P826" i="1" s="1"/>
  <c r="S835" i="1"/>
  <c r="P835" i="1" s="1"/>
  <c r="S842" i="1"/>
  <c r="P842" i="1" s="1"/>
  <c r="X844" i="1"/>
  <c r="Q930" i="1"/>
  <c r="W934" i="1"/>
  <c r="S946" i="1"/>
  <c r="P946" i="1" s="1"/>
  <c r="P952" i="1"/>
  <c r="W1002" i="1"/>
  <c r="X1021" i="1"/>
  <c r="W1066" i="1"/>
  <c r="S1070" i="1"/>
  <c r="P1070" i="1" s="1"/>
  <c r="S1105" i="1"/>
  <c r="P1105" i="1" s="1"/>
  <c r="X1106" i="1"/>
  <c r="W1106" i="1"/>
  <c r="S1160" i="1"/>
  <c r="P1160" i="1" s="1"/>
  <c r="X1161" i="1"/>
  <c r="W1161" i="1"/>
  <c r="X1160" i="1"/>
  <c r="W1160" i="1"/>
  <c r="S1187" i="1"/>
  <c r="P1187" i="1" s="1"/>
  <c r="W1186" i="1"/>
  <c r="X1186" i="1"/>
  <c r="S1214" i="1"/>
  <c r="P1214" i="1" s="1"/>
  <c r="S1215" i="1"/>
  <c r="P1215" i="1" s="1"/>
  <c r="W1214" i="1"/>
  <c r="W724" i="1"/>
  <c r="W726" i="1"/>
  <c r="D735" i="1"/>
  <c r="Q751" i="1"/>
  <c r="D760" i="1"/>
  <c r="W791" i="1"/>
  <c r="D807" i="1"/>
  <c r="S811" i="1"/>
  <c r="P811" i="1" s="1"/>
  <c r="S828" i="1"/>
  <c r="P828" i="1" s="1"/>
  <c r="X830" i="1"/>
  <c r="S837" i="1"/>
  <c r="D840" i="1"/>
  <c r="X861" i="1"/>
  <c r="W868" i="1"/>
  <c r="Q882" i="1"/>
  <c r="D889" i="1"/>
  <c r="Q898" i="1"/>
  <c r="W900" i="1"/>
  <c r="Q914" i="1"/>
  <c r="W932" i="1"/>
  <c r="D937" i="1"/>
  <c r="S939" i="1"/>
  <c r="P939" i="1" s="1"/>
  <c r="D971" i="1"/>
  <c r="D980" i="1"/>
  <c r="S994" i="1"/>
  <c r="P994" i="1" s="1"/>
  <c r="S998" i="1"/>
  <c r="P998" i="1" s="1"/>
  <c r="X1037" i="1"/>
  <c r="S1048" i="1"/>
  <c r="P1048" i="1" s="1"/>
  <c r="S1050" i="1"/>
  <c r="P1050" i="1" s="1"/>
  <c r="S1064" i="1"/>
  <c r="P1064" i="1" s="1"/>
  <c r="D1069" i="1"/>
  <c r="S1072" i="1"/>
  <c r="P1072" i="1" s="1"/>
  <c r="S1091" i="1"/>
  <c r="P1091" i="1" s="1"/>
  <c r="D1098" i="1"/>
  <c r="D1100" i="1"/>
  <c r="Q1104" i="1"/>
  <c r="S794" i="1"/>
  <c r="P794" i="1" s="1"/>
  <c r="S796" i="1"/>
  <c r="P796" i="1" s="1"/>
  <c r="X805" i="1"/>
  <c r="S813" i="1"/>
  <c r="P813" i="1" s="1"/>
  <c r="X828" i="1"/>
  <c r="W837" i="1"/>
  <c r="S884" i="1"/>
  <c r="P884" i="1" s="1"/>
  <c r="X886" i="1"/>
  <c r="S916" i="1"/>
  <c r="P916" i="1" s="1"/>
  <c r="S925" i="1"/>
  <c r="P925" i="1" s="1"/>
  <c r="W944" i="1"/>
  <c r="W964" i="1"/>
  <c r="S984" i="1"/>
  <c r="P984" i="1" s="1"/>
  <c r="W994" i="1"/>
  <c r="S1000" i="1"/>
  <c r="P1000" i="1" s="1"/>
  <c r="X1002" i="1"/>
  <c r="S1013" i="1"/>
  <c r="P1013" i="1" s="1"/>
  <c r="S1015" i="1"/>
  <c r="P1015" i="1" s="1"/>
  <c r="S1029" i="1"/>
  <c r="P1029" i="1" s="1"/>
  <c r="W1033" i="1"/>
  <c r="Q1049" i="1"/>
  <c r="X1048" i="1"/>
  <c r="W1050" i="1"/>
  <c r="S1054" i="1"/>
  <c r="P1054" i="1" s="1"/>
  <c r="Q1065" i="1"/>
  <c r="X1064" i="1"/>
  <c r="X1072" i="1"/>
  <c r="S1093" i="1"/>
  <c r="P1093" i="1" s="1"/>
  <c r="S1106" i="1"/>
  <c r="P1106" i="1" s="1"/>
  <c r="W1113" i="1"/>
  <c r="Q1129" i="1"/>
  <c r="Q711" i="1"/>
  <c r="S722" i="1"/>
  <c r="P722" i="1" s="1"/>
  <c r="S724" i="1"/>
  <c r="P724" i="1" s="1"/>
  <c r="D739" i="1"/>
  <c r="S743" i="1"/>
  <c r="P743" i="1" s="1"/>
  <c r="D752" i="1"/>
  <c r="Q775" i="1"/>
  <c r="X796" i="1"/>
  <c r="W813" i="1"/>
  <c r="Q815" i="1"/>
  <c r="W820" i="1"/>
  <c r="W852" i="1"/>
  <c r="D857" i="1"/>
  <c r="S859" i="1"/>
  <c r="P859" i="1" s="1"/>
  <c r="S868" i="1"/>
  <c r="P868" i="1" s="1"/>
  <c r="S875" i="1"/>
  <c r="P875" i="1" s="1"/>
  <c r="S877" i="1"/>
  <c r="P877" i="1" s="1"/>
  <c r="S882" i="1"/>
  <c r="P882" i="1" s="1"/>
  <c r="X884" i="1"/>
  <c r="S889" i="1"/>
  <c r="P889" i="1" s="1"/>
  <c r="S891" i="1"/>
  <c r="P891" i="1" s="1"/>
  <c r="S893" i="1"/>
  <c r="P893" i="1" s="1"/>
  <c r="S898" i="1"/>
  <c r="P898" i="1" s="1"/>
  <c r="S900" i="1"/>
  <c r="P900" i="1" s="1"/>
  <c r="X902" i="1"/>
  <c r="S909" i="1"/>
  <c r="P909" i="1" s="1"/>
  <c r="X916" i="1"/>
  <c r="S923" i="1"/>
  <c r="P923" i="1" s="1"/>
  <c r="W925" i="1"/>
  <c r="S930" i="1"/>
  <c r="P930" i="1" s="1"/>
  <c r="S932" i="1"/>
  <c r="P932" i="1" s="1"/>
  <c r="X934" i="1"/>
  <c r="S937" i="1"/>
  <c r="P937" i="1" s="1"/>
  <c r="D940" i="1"/>
  <c r="S951" i="1"/>
  <c r="P951" i="1" s="1"/>
  <c r="W953" i="1"/>
  <c r="S958" i="1"/>
  <c r="P958" i="1" s="1"/>
  <c r="D967" i="1"/>
  <c r="W973" i="1"/>
  <c r="X984" i="1"/>
  <c r="D991" i="1"/>
  <c r="X994" i="1"/>
  <c r="X1000" i="1"/>
  <c r="D1020" i="1"/>
  <c r="W1025" i="1"/>
  <c r="X1029" i="1"/>
  <c r="D1032" i="1"/>
  <c r="D1036" i="1"/>
  <c r="S1056" i="1"/>
  <c r="P1056" i="1" s="1"/>
  <c r="S1057" i="1"/>
  <c r="P1057" i="1" s="1"/>
  <c r="W1089" i="1"/>
  <c r="X1093" i="1"/>
  <c r="W1096" i="1"/>
  <c r="X1096" i="1"/>
  <c r="W1102" i="1"/>
  <c r="X1104" i="1"/>
  <c r="X1113" i="1"/>
  <c r="S1120" i="1"/>
  <c r="P1120" i="1" s="1"/>
  <c r="Q1125" i="1"/>
  <c r="W1402" i="1"/>
  <c r="X1402" i="1"/>
  <c r="S1402" i="1"/>
  <c r="P1402" i="1" s="1"/>
  <c r="W1401" i="1"/>
  <c r="W660" i="1"/>
  <c r="S698" i="1"/>
  <c r="P698" i="1" s="1"/>
  <c r="D718" i="1"/>
  <c r="X724" i="1"/>
  <c r="X726" i="1"/>
  <c r="D731" i="1"/>
  <c r="W756" i="1"/>
  <c r="W758" i="1"/>
  <c r="X759" i="1"/>
  <c r="Q773" i="1"/>
  <c r="Q805" i="1"/>
  <c r="W822" i="1"/>
  <c r="D829" i="1"/>
  <c r="X845" i="1"/>
  <c r="S861" i="1"/>
  <c r="S866" i="1"/>
  <c r="P866" i="1" s="1"/>
  <c r="X868" i="1"/>
  <c r="D871" i="1"/>
  <c r="S873" i="1"/>
  <c r="P873" i="1" s="1"/>
  <c r="W877" i="1"/>
  <c r="D880" i="1"/>
  <c r="W893" i="1"/>
  <c r="X900" i="1"/>
  <c r="D903" i="1"/>
  <c r="S905" i="1"/>
  <c r="P905" i="1" s="1"/>
  <c r="W909" i="1"/>
  <c r="D912" i="1"/>
  <c r="S914" i="1"/>
  <c r="P914" i="1" s="1"/>
  <c r="D919" i="1"/>
  <c r="S921" i="1"/>
  <c r="P921" i="1" s="1"/>
  <c r="D926" i="1"/>
  <c r="X932" i="1"/>
  <c r="D935" i="1"/>
  <c r="W949" i="1"/>
  <c r="D952" i="1"/>
  <c r="D954" i="1"/>
  <c r="W956" i="1"/>
  <c r="D963" i="1"/>
  <c r="S971" i="1"/>
  <c r="P971" i="1" s="1"/>
  <c r="D985" i="1"/>
  <c r="S1005" i="1"/>
  <c r="P1005" i="1" s="1"/>
  <c r="W1017" i="1"/>
  <c r="W1024" i="1"/>
  <c r="D1034" i="1"/>
  <c r="D1045" i="1"/>
  <c r="X1056" i="1"/>
  <c r="S1083" i="1"/>
  <c r="P1083" i="1" s="1"/>
  <c r="X1089" i="1"/>
  <c r="W1091" i="1"/>
  <c r="S1097" i="1"/>
  <c r="P1097" i="1" s="1"/>
  <c r="W1098" i="1"/>
  <c r="S1098" i="1"/>
  <c r="P1098" i="1" s="1"/>
  <c r="Q1109" i="1"/>
  <c r="D1114" i="1"/>
  <c r="S1158" i="1"/>
  <c r="P1158" i="1" s="1"/>
  <c r="S1159" i="1"/>
  <c r="P1159" i="1" s="1"/>
  <c r="W1158" i="1"/>
  <c r="S1278" i="1"/>
  <c r="P1278" i="1" s="1"/>
  <c r="S1279" i="1"/>
  <c r="P1279" i="1" s="1"/>
  <c r="W1278" i="1"/>
  <c r="X1254" i="1"/>
  <c r="X1310" i="1"/>
  <c r="X1318" i="1"/>
  <c r="W1322" i="1"/>
  <c r="S1329" i="1"/>
  <c r="P1329" i="1" s="1"/>
  <c r="X1329" i="1"/>
  <c r="Q1340" i="1"/>
  <c r="S1374" i="1"/>
  <c r="P1374" i="1" s="1"/>
  <c r="Q1392" i="1"/>
  <c r="W1494" i="1"/>
  <c r="D1541" i="1"/>
  <c r="W1560" i="1"/>
  <c r="X1560" i="1"/>
  <c r="D1125" i="1"/>
  <c r="S1173" i="1"/>
  <c r="P1173" i="1" s="1"/>
  <c r="S1175" i="1"/>
  <c r="P1175" i="1" s="1"/>
  <c r="X1229" i="1"/>
  <c r="S1240" i="1"/>
  <c r="P1240" i="1" s="1"/>
  <c r="W1250" i="1"/>
  <c r="Q1312" i="1"/>
  <c r="Q1320" i="1"/>
  <c r="X1322" i="1"/>
  <c r="S1333" i="1"/>
  <c r="P1333" i="1" s="1"/>
  <c r="S1357" i="1"/>
  <c r="P1357" i="1" s="1"/>
  <c r="X1359" i="1"/>
  <c r="W1361" i="1"/>
  <c r="P1372" i="1"/>
  <c r="W1374" i="1"/>
  <c r="S1403" i="1"/>
  <c r="P1403" i="1" s="1"/>
  <c r="W1448" i="1"/>
  <c r="S1453" i="1"/>
  <c r="P1453" i="1" s="1"/>
  <c r="S1548" i="1"/>
  <c r="P1548" i="1" s="1"/>
  <c r="X1565" i="1"/>
  <c r="W1565" i="1"/>
  <c r="S1665" i="1"/>
  <c r="P1665" i="1" s="1"/>
  <c r="X1664" i="1"/>
  <c r="X1845" i="1"/>
  <c r="W1845" i="1"/>
  <c r="S1845" i="1"/>
  <c r="P1845" i="1" s="1"/>
  <c r="S1844" i="1"/>
  <c r="P1844" i="1" s="1"/>
  <c r="Q1133" i="1"/>
  <c r="D1157" i="1"/>
  <c r="W1173" i="1"/>
  <c r="D1202" i="1"/>
  <c r="S1208" i="1"/>
  <c r="P1208" i="1" s="1"/>
  <c r="D1213" i="1"/>
  <c r="W1216" i="1"/>
  <c r="D1228" i="1"/>
  <c r="S1239" i="1"/>
  <c r="P1239" i="1" s="1"/>
  <c r="Q1245" i="1"/>
  <c r="D1249" i="1"/>
  <c r="W1254" i="1"/>
  <c r="D1266" i="1"/>
  <c r="S1272" i="1"/>
  <c r="P1272" i="1" s="1"/>
  <c r="D1277" i="1"/>
  <c r="W1280" i="1"/>
  <c r="X1294" i="1"/>
  <c r="W1296" i="1"/>
  <c r="X1302" i="1"/>
  <c r="W1304" i="1"/>
  <c r="W1310" i="1"/>
  <c r="X1314" i="1"/>
  <c r="W1318" i="1"/>
  <c r="D1321" i="1"/>
  <c r="Q1332" i="1"/>
  <c r="X1333" i="1"/>
  <c r="D1340" i="1"/>
  <c r="X1350" i="1"/>
  <c r="Q1360" i="1"/>
  <c r="D1362" i="1"/>
  <c r="Q1372" i="1"/>
  <c r="X1374" i="1"/>
  <c r="W1378" i="1"/>
  <c r="W1386" i="1"/>
  <c r="D1391" i="1"/>
  <c r="S1393" i="1"/>
  <c r="P1393" i="1" s="1"/>
  <c r="S1399" i="1"/>
  <c r="P1399" i="1" s="1"/>
  <c r="D1406" i="1"/>
  <c r="X1410" i="1"/>
  <c r="W1413" i="1"/>
  <c r="D1418" i="1"/>
  <c r="Q1424" i="1"/>
  <c r="X1424" i="1"/>
  <c r="D1461" i="1"/>
  <c r="D1463" i="1"/>
  <c r="D1470" i="1"/>
  <c r="W1480" i="1"/>
  <c r="W1488" i="1"/>
  <c r="X1494" i="1"/>
  <c r="X1496" i="1"/>
  <c r="W1501" i="1"/>
  <c r="D1539" i="1"/>
  <c r="S1557" i="1"/>
  <c r="P1557" i="1" s="1"/>
  <c r="X1558" i="1"/>
  <c r="W1558" i="1"/>
  <c r="W1724" i="1"/>
  <c r="S1724" i="1"/>
  <c r="P1724" i="1" s="1"/>
  <c r="W1723" i="1"/>
  <c r="S1886" i="1"/>
  <c r="P1886" i="1" s="1"/>
  <c r="W1886" i="1"/>
  <c r="S1885" i="1"/>
  <c r="P1885" i="1" s="1"/>
  <c r="W1133" i="1"/>
  <c r="S1168" i="1"/>
  <c r="P1168" i="1" s="1"/>
  <c r="D1172" i="1"/>
  <c r="X1173" i="1"/>
  <c r="W1177" i="1"/>
  <c r="P1179" i="1"/>
  <c r="Q1189" i="1"/>
  <c r="S1194" i="1"/>
  <c r="P1194" i="1" s="1"/>
  <c r="S1205" i="1"/>
  <c r="P1205" i="1" s="1"/>
  <c r="X1216" i="1"/>
  <c r="D1234" i="1"/>
  <c r="D1253" i="1"/>
  <c r="W1256" i="1"/>
  <c r="S1258" i="1"/>
  <c r="P1258" i="1" s="1"/>
  <c r="S1269" i="1"/>
  <c r="P1269" i="1" s="1"/>
  <c r="S1271" i="1"/>
  <c r="P1271" i="1" s="1"/>
  <c r="X1280" i="1"/>
  <c r="Q1296" i="1"/>
  <c r="Q1304" i="1"/>
  <c r="S1325" i="1"/>
  <c r="P1325" i="1" s="1"/>
  <c r="S1326" i="1"/>
  <c r="P1326" i="1" s="1"/>
  <c r="S1327" i="1"/>
  <c r="P1327" i="1" s="1"/>
  <c r="W1329" i="1"/>
  <c r="W1344" i="1"/>
  <c r="S1346" i="1"/>
  <c r="P1346" i="1" s="1"/>
  <c r="Q1352" i="1"/>
  <c r="X1355" i="1"/>
  <c r="D1358" i="1"/>
  <c r="Q1359" i="1"/>
  <c r="S1368" i="1"/>
  <c r="P1368" i="1" s="1"/>
  <c r="S1388" i="1"/>
  <c r="P1388" i="1" s="1"/>
  <c r="Q1396" i="1"/>
  <c r="D1402" i="1"/>
  <c r="W1422" i="1"/>
  <c r="S1429" i="1"/>
  <c r="P1429" i="1" s="1"/>
  <c r="Q1448" i="1"/>
  <c r="X1448" i="1"/>
  <c r="Q1499" i="1"/>
  <c r="W1541" i="1"/>
  <c r="X1541" i="1"/>
  <c r="S1565" i="1"/>
  <c r="P1565" i="1" s="1"/>
  <c r="Q1575" i="1"/>
  <c r="S1139" i="1"/>
  <c r="P1139" i="1" s="1"/>
  <c r="S1169" i="1"/>
  <c r="P1169" i="1" s="1"/>
  <c r="W1194" i="1"/>
  <c r="W1203" i="1"/>
  <c r="W1205" i="1"/>
  <c r="Q1213" i="1"/>
  <c r="X1256" i="1"/>
  <c r="W1258" i="1"/>
  <c r="W1267" i="1"/>
  <c r="W1269" i="1"/>
  <c r="Q1277" i="1"/>
  <c r="W1288" i="1"/>
  <c r="S1290" i="1"/>
  <c r="P1290" i="1" s="1"/>
  <c r="W1331" i="1"/>
  <c r="X1344" i="1"/>
  <c r="W1346" i="1"/>
  <c r="Q1366" i="1"/>
  <c r="X1422" i="1"/>
  <c r="X1429" i="1"/>
  <c r="W1446" i="1"/>
  <c r="X1458" i="1"/>
  <c r="X1463" i="1"/>
  <c r="Q1468" i="1"/>
  <c r="W1478" i="1"/>
  <c r="W1486" i="1"/>
  <c r="S1501" i="1"/>
  <c r="P1501" i="1" s="1"/>
  <c r="W1503" i="1"/>
  <c r="W1512" i="1"/>
  <c r="D1549" i="1"/>
  <c r="R1556" i="1"/>
  <c r="Q1556" i="1"/>
  <c r="D1691" i="1"/>
  <c r="W1747" i="1"/>
  <c r="W1746" i="1"/>
  <c r="X1778" i="1"/>
  <c r="W1778" i="1"/>
  <c r="X1777" i="1"/>
  <c r="D1854" i="1"/>
  <c r="P1155" i="1"/>
  <c r="D1178" i="1"/>
  <c r="X1198" i="1"/>
  <c r="P1201" i="1"/>
  <c r="D1204" i="1"/>
  <c r="W1222" i="1"/>
  <c r="D1236" i="1"/>
  <c r="X1241" i="1"/>
  <c r="S1248" i="1"/>
  <c r="P1248" i="1" s="1"/>
  <c r="Q1253" i="1"/>
  <c r="D1257" i="1"/>
  <c r="X1258" i="1"/>
  <c r="X1262" i="1"/>
  <c r="D1268" i="1"/>
  <c r="W1286" i="1"/>
  <c r="W1290" i="1"/>
  <c r="D1293" i="1"/>
  <c r="D1301" i="1"/>
  <c r="D1332" i="1"/>
  <c r="S1336" i="1"/>
  <c r="P1336" i="1" s="1"/>
  <c r="Q1344" i="1"/>
  <c r="D1349" i="1"/>
  <c r="D1377" i="1"/>
  <c r="Q1382" i="1"/>
  <c r="W1393" i="1"/>
  <c r="S1413" i="1"/>
  <c r="P1413" i="1" s="1"/>
  <c r="X1418" i="1"/>
  <c r="X1427" i="1"/>
  <c r="S1427" i="1"/>
  <c r="P1427" i="1" s="1"/>
  <c r="D1466" i="1"/>
  <c r="X1478" i="1"/>
  <c r="X1486" i="1"/>
  <c r="D1493" i="1"/>
  <c r="X1501" i="1"/>
  <c r="D1506" i="1"/>
  <c r="S1534" i="1"/>
  <c r="P1534" i="1" s="1"/>
  <c r="W1534" i="1"/>
  <c r="S1541" i="1"/>
  <c r="P1541" i="1" s="1"/>
  <c r="D1573" i="1"/>
  <c r="W1597" i="1"/>
  <c r="S1597" i="1"/>
  <c r="P1597" i="1" s="1"/>
  <c r="S1612" i="1"/>
  <c r="P1612" i="1" s="1"/>
  <c r="W1611" i="1"/>
  <c r="Q1400" i="1"/>
  <c r="D1479" i="1"/>
  <c r="D1487" i="1"/>
  <c r="W1544" i="1"/>
  <c r="W1543" i="1"/>
  <c r="D1718" i="1"/>
  <c r="W1744" i="1"/>
  <c r="X1744" i="1"/>
  <c r="D1148" i="1"/>
  <c r="P1152" i="1"/>
  <c r="X1168" i="1"/>
  <c r="W1170" i="1"/>
  <c r="S1177" i="1"/>
  <c r="P1177" i="1" s="1"/>
  <c r="W1189" i="1"/>
  <c r="W1200" i="1"/>
  <c r="S1202" i="1"/>
  <c r="P1202" i="1" s="1"/>
  <c r="S1266" i="1"/>
  <c r="P1266" i="1" s="1"/>
  <c r="Q1336" i="1"/>
  <c r="S1345" i="1"/>
  <c r="P1345" i="1" s="1"/>
  <c r="Q1364" i="1"/>
  <c r="Q1376" i="1"/>
  <c r="W1389" i="1"/>
  <c r="S1389" i="1"/>
  <c r="P1389" i="1" s="1"/>
  <c r="Q1456" i="1"/>
  <c r="X1595" i="1"/>
  <c r="W1595" i="1"/>
  <c r="Q1822" i="1"/>
  <c r="X2275" i="1"/>
  <c r="S2275" i="1"/>
  <c r="P2275" i="1" s="1"/>
  <c r="X2324" i="1"/>
  <c r="S2324" i="1"/>
  <c r="P2324" i="1" s="1"/>
  <c r="W1136" i="1"/>
  <c r="D1140" i="1"/>
  <c r="W1155" i="1"/>
  <c r="W1157" i="1"/>
  <c r="Q1165" i="1"/>
  <c r="X1170" i="1"/>
  <c r="X1200" i="1"/>
  <c r="W1202" i="1"/>
  <c r="X1238" i="1"/>
  <c r="S1241" i="1"/>
  <c r="S1255" i="1"/>
  <c r="P1255" i="1" s="1"/>
  <c r="W1266" i="1"/>
  <c r="S1288" i="1"/>
  <c r="P1288" i="1" s="1"/>
  <c r="S1309" i="1"/>
  <c r="P1309" i="1" s="1"/>
  <c r="S1311" i="1"/>
  <c r="P1311" i="1" s="1"/>
  <c r="S1317" i="1"/>
  <c r="P1317" i="1" s="1"/>
  <c r="S1319" i="1"/>
  <c r="P1319" i="1" s="1"/>
  <c r="S1328" i="1"/>
  <c r="P1328" i="1" s="1"/>
  <c r="S1330" i="1"/>
  <c r="P1330" i="1" s="1"/>
  <c r="W1334" i="1"/>
  <c r="D1365" i="1"/>
  <c r="W1369" i="1"/>
  <c r="X1447" i="1"/>
  <c r="W1454" i="1"/>
  <c r="D1464" i="1"/>
  <c r="Q1475" i="1"/>
  <c r="X1491" i="1"/>
  <c r="D1509" i="1"/>
  <c r="D1513" i="1"/>
  <c r="S1525" i="1"/>
  <c r="P1525" i="1" s="1"/>
  <c r="S1549" i="1"/>
  <c r="P1549" i="1" s="1"/>
  <c r="W1701" i="1"/>
  <c r="X1701" i="1"/>
  <c r="S1701" i="1"/>
  <c r="P1701" i="1" s="1"/>
  <c r="X1757" i="1"/>
  <c r="W1757" i="1"/>
  <c r="S1757" i="1"/>
  <c r="P1757" i="1" s="1"/>
  <c r="S1756" i="1"/>
  <c r="P1756" i="1" s="1"/>
  <c r="S1912" i="1"/>
  <c r="P1912" i="1" s="1"/>
  <c r="X1912" i="1"/>
  <c r="W1912" i="1"/>
  <c r="X1911" i="1"/>
  <c r="Q1097" i="1"/>
  <c r="S1121" i="1"/>
  <c r="P1121" i="1" s="1"/>
  <c r="D1124" i="1"/>
  <c r="S1129" i="1"/>
  <c r="P1129" i="1" s="1"/>
  <c r="D1132" i="1"/>
  <c r="S1137" i="1"/>
  <c r="P1137" i="1" s="1"/>
  <c r="S1153" i="1"/>
  <c r="P1153" i="1" s="1"/>
  <c r="S1163" i="1"/>
  <c r="P1163" i="1" s="1"/>
  <c r="W1174" i="1"/>
  <c r="S1184" i="1"/>
  <c r="P1184" i="1" s="1"/>
  <c r="X1202" i="1"/>
  <c r="X1206" i="1"/>
  <c r="S1209" i="1"/>
  <c r="P1209" i="1" s="1"/>
  <c r="W1217" i="1"/>
  <c r="S1222" i="1"/>
  <c r="P1222" i="1" s="1"/>
  <c r="X1232" i="1"/>
  <c r="X1266" i="1"/>
  <c r="X1270" i="1"/>
  <c r="P1273" i="1"/>
  <c r="W1281" i="1"/>
  <c r="S1286" i="1"/>
  <c r="P1286" i="1" s="1"/>
  <c r="W1297" i="1"/>
  <c r="S1299" i="1"/>
  <c r="P1299" i="1" s="1"/>
  <c r="W1305" i="1"/>
  <c r="W1309" i="1"/>
  <c r="W1317" i="1"/>
  <c r="W1330" i="1"/>
  <c r="S1358" i="1"/>
  <c r="P1358" i="1" s="1"/>
  <c r="W1371" i="1"/>
  <c r="X1387" i="1"/>
  <c r="Q1412" i="1"/>
  <c r="S1423" i="1"/>
  <c r="P1423" i="1" s="1"/>
  <c r="W1430" i="1"/>
  <c r="S1493" i="1"/>
  <c r="P1493" i="1" s="1"/>
  <c r="W1497" i="1"/>
  <c r="Q1523" i="1"/>
  <c r="X1525" i="1"/>
  <c r="Q1535" i="1"/>
  <c r="X1544" i="1"/>
  <c r="X1549" i="1"/>
  <c r="S1564" i="1"/>
  <c r="P1564" i="1" s="1"/>
  <c r="W1566" i="1"/>
  <c r="D1085" i="1"/>
  <c r="D1097" i="1"/>
  <c r="Q1121" i="1"/>
  <c r="S1166" i="1"/>
  <c r="P1166" i="1" s="1"/>
  <c r="D1173" i="1"/>
  <c r="W1176" i="1"/>
  <c r="S1178" i="1"/>
  <c r="P1178" i="1" s="1"/>
  <c r="X1182" i="1"/>
  <c r="S1185" i="1"/>
  <c r="P1185" i="1" s="1"/>
  <c r="X1217" i="1"/>
  <c r="S1224" i="1"/>
  <c r="P1224" i="1" s="1"/>
  <c r="W1238" i="1"/>
  <c r="W1257" i="1"/>
  <c r="S1293" i="1"/>
  <c r="P1293" i="1" s="1"/>
  <c r="S1295" i="1"/>
  <c r="P1295" i="1" s="1"/>
  <c r="X1297" i="1"/>
  <c r="Q1300" i="1"/>
  <c r="S1301" i="1"/>
  <c r="P1301" i="1" s="1"/>
  <c r="S1303" i="1"/>
  <c r="P1303" i="1" s="1"/>
  <c r="X1305" i="1"/>
  <c r="Q1308" i="1"/>
  <c r="X1309" i="1"/>
  <c r="X1317" i="1"/>
  <c r="D1324" i="1"/>
  <c r="W1328" i="1"/>
  <c r="D1333" i="1"/>
  <c r="S1342" i="1"/>
  <c r="P1342" i="1" s="1"/>
  <c r="W1345" i="1"/>
  <c r="S1347" i="1"/>
  <c r="P1347" i="1" s="1"/>
  <c r="W1347" i="1"/>
  <c r="S1349" i="1"/>
  <c r="P1349" i="1" s="1"/>
  <c r="S1351" i="1"/>
  <c r="P1351" i="1" s="1"/>
  <c r="W1358" i="1"/>
  <c r="W1365" i="1"/>
  <c r="S1365" i="1"/>
  <c r="P1365" i="1" s="1"/>
  <c r="X1389" i="1"/>
  <c r="Q1416" i="1"/>
  <c r="D1417" i="1"/>
  <c r="S1421" i="1"/>
  <c r="P1421" i="1" s="1"/>
  <c r="Q1436" i="1"/>
  <c r="D1438" i="1"/>
  <c r="X1440" i="1"/>
  <c r="S1447" i="1"/>
  <c r="P1447" i="1" s="1"/>
  <c r="D1450" i="1"/>
  <c r="S1479" i="1"/>
  <c r="P1479" i="1" s="1"/>
  <c r="S1485" i="1"/>
  <c r="P1485" i="1" s="1"/>
  <c r="X1493" i="1"/>
  <c r="D1498" i="1"/>
  <c r="X1535" i="1"/>
  <c r="X1547" i="1"/>
  <c r="W1547" i="1"/>
  <c r="D1555" i="1"/>
  <c r="D1562" i="1"/>
  <c r="W1571" i="1"/>
  <c r="W1576" i="1"/>
  <c r="W1575" i="1"/>
  <c r="D1606" i="1"/>
  <c r="X1699" i="1"/>
  <c r="W1699" i="1"/>
  <c r="X1176" i="1"/>
  <c r="X1257" i="1"/>
  <c r="X1328" i="1"/>
  <c r="X1345" i="1"/>
  <c r="Q1348" i="1"/>
  <c r="W1349" i="1"/>
  <c r="S1381" i="1"/>
  <c r="P1381" i="1" s="1"/>
  <c r="W1414" i="1"/>
  <c r="S1445" i="1"/>
  <c r="P1445" i="1" s="1"/>
  <c r="W1447" i="1"/>
  <c r="W1475" i="1"/>
  <c r="S1477" i="1"/>
  <c r="P1477" i="1" s="1"/>
  <c r="W1479" i="1"/>
  <c r="W1485" i="1"/>
  <c r="W1502" i="1"/>
  <c r="S1513" i="1"/>
  <c r="S1540" i="1"/>
  <c r="P1540" i="1" s="1"/>
  <c r="Q1564" i="1"/>
  <c r="X1997" i="1"/>
  <c r="W1997" i="1"/>
  <c r="S1997" i="1"/>
  <c r="P1997" i="1" s="1"/>
  <c r="S1996" i="1"/>
  <c r="P1996" i="1" s="1"/>
  <c r="D902" i="1"/>
  <c r="D911" i="1"/>
  <c r="S913" i="1"/>
  <c r="P913" i="1" s="1"/>
  <c r="D931" i="1"/>
  <c r="D933" i="1"/>
  <c r="W970" i="1"/>
  <c r="P976" i="1"/>
  <c r="D999" i="1"/>
  <c r="D1008" i="1"/>
  <c r="W1013" i="1"/>
  <c r="S1049" i="1"/>
  <c r="P1049" i="1" s="1"/>
  <c r="W1053" i="1"/>
  <c r="W1069" i="1"/>
  <c r="Q1077" i="1"/>
  <c r="D1093" i="1"/>
  <c r="D1105" i="1"/>
  <c r="S1122" i="1"/>
  <c r="P1122" i="1" s="1"/>
  <c r="S1128" i="1"/>
  <c r="P1128" i="1" s="1"/>
  <c r="S1130" i="1"/>
  <c r="P1130" i="1" s="1"/>
  <c r="Q1137" i="1"/>
  <c r="S1136" i="1"/>
  <c r="W1138" i="1"/>
  <c r="W1146" i="1"/>
  <c r="X1152" i="1"/>
  <c r="S1154" i="1"/>
  <c r="P1154" i="1" s="1"/>
  <c r="S1165" i="1"/>
  <c r="P1165" i="1" s="1"/>
  <c r="S1167" i="1"/>
  <c r="P1167" i="1" s="1"/>
  <c r="X1178" i="1"/>
  <c r="W1182" i="1"/>
  <c r="S1192" i="1"/>
  <c r="P1192" i="1" s="1"/>
  <c r="D1194" i="1"/>
  <c r="W1208" i="1"/>
  <c r="S1210" i="1"/>
  <c r="P1210" i="1" s="1"/>
  <c r="W1221" i="1"/>
  <c r="S1230" i="1"/>
  <c r="P1230" i="1" s="1"/>
  <c r="W1242" i="1"/>
  <c r="X1246" i="1"/>
  <c r="S1249" i="1"/>
  <c r="P1249" i="1" s="1"/>
  <c r="D1258" i="1"/>
  <c r="S1264" i="1"/>
  <c r="P1264" i="1" s="1"/>
  <c r="W1272" i="1"/>
  <c r="S1274" i="1"/>
  <c r="P1274" i="1" s="1"/>
  <c r="X1289" i="1"/>
  <c r="Q1292" i="1"/>
  <c r="Q1328" i="1"/>
  <c r="S1341" i="1"/>
  <c r="P1341" i="1" s="1"/>
  <c r="S1343" i="1"/>
  <c r="P1343" i="1" s="1"/>
  <c r="D1346" i="1"/>
  <c r="X1365" i="1"/>
  <c r="Q1368" i="1"/>
  <c r="X1381" i="1"/>
  <c r="S1383" i="1"/>
  <c r="P1383" i="1" s="1"/>
  <c r="Q1388" i="1"/>
  <c r="W1387" i="1"/>
  <c r="X1394" i="1"/>
  <c r="W1397" i="1"/>
  <c r="W1405" i="1"/>
  <c r="X1426" i="1"/>
  <c r="D1431" i="1"/>
  <c r="X1445" i="1"/>
  <c r="S1457" i="1"/>
  <c r="P1457" i="1" s="1"/>
  <c r="X1477" i="1"/>
  <c r="W1487" i="1"/>
  <c r="Q1500" i="1"/>
  <c r="X1504" i="1"/>
  <c r="Q1507" i="1"/>
  <c r="S1521" i="1"/>
  <c r="P1521" i="1" s="1"/>
  <c r="W1528" i="1"/>
  <c r="X1528" i="1"/>
  <c r="S1535" i="1"/>
  <c r="P1535" i="1" s="1"/>
  <c r="X1557" i="1"/>
  <c r="W870" i="1"/>
  <c r="X877" i="1"/>
  <c r="D891" i="1"/>
  <c r="Q922" i="1"/>
  <c r="W926" i="1"/>
  <c r="W960" i="1"/>
  <c r="Q966" i="1"/>
  <c r="D981" i="1"/>
  <c r="D1029" i="1"/>
  <c r="D1033" i="1"/>
  <c r="Q1037" i="1"/>
  <c r="W1045" i="1"/>
  <c r="W1061" i="1"/>
  <c r="W1085" i="1"/>
  <c r="D1113" i="1"/>
  <c r="D1117" i="1"/>
  <c r="D1121" i="1"/>
  <c r="W1122" i="1"/>
  <c r="X1128" i="1"/>
  <c r="W1130" i="1"/>
  <c r="X1136" i="1"/>
  <c r="X1138" i="1"/>
  <c r="Q1145" i="1"/>
  <c r="X1146" i="1"/>
  <c r="D1149" i="1"/>
  <c r="D1153" i="1"/>
  <c r="W1154" i="1"/>
  <c r="W1163" i="1"/>
  <c r="W1165" i="1"/>
  <c r="D1181" i="1"/>
  <c r="W1184" i="1"/>
  <c r="S1186" i="1"/>
  <c r="P1186" i="1" s="1"/>
  <c r="X1190" i="1"/>
  <c r="S1199" i="1"/>
  <c r="P1199" i="1" s="1"/>
  <c r="W1210" i="1"/>
  <c r="D1220" i="1"/>
  <c r="W1225" i="1"/>
  <c r="S1227" i="1"/>
  <c r="P1227" i="1" s="1"/>
  <c r="S1232" i="1"/>
  <c r="P1232" i="1" s="1"/>
  <c r="Q1237" i="1"/>
  <c r="X1242" i="1"/>
  <c r="S1263" i="1"/>
  <c r="P1263" i="1" s="1"/>
  <c r="W1274" i="1"/>
  <c r="S1280" i="1"/>
  <c r="P1280" i="1" s="1"/>
  <c r="D1284" i="1"/>
  <c r="D1290" i="1"/>
  <c r="W1299" i="1"/>
  <c r="D1308" i="1"/>
  <c r="S1312" i="1"/>
  <c r="P1312" i="1" s="1"/>
  <c r="S1320" i="1"/>
  <c r="P1320" i="1" s="1"/>
  <c r="W1326" i="1"/>
  <c r="W1333" i="1"/>
  <c r="S1334" i="1"/>
  <c r="P1334" i="1" s="1"/>
  <c r="W1341" i="1"/>
  <c r="D1344" i="1"/>
  <c r="X1363" i="1"/>
  <c r="D1366" i="1"/>
  <c r="Q1367" i="1"/>
  <c r="W1383" i="1"/>
  <c r="S1401" i="1"/>
  <c r="P1401" i="1" s="1"/>
  <c r="X1403" i="1"/>
  <c r="S1419" i="1"/>
  <c r="P1419" i="1" s="1"/>
  <c r="X1450" i="1"/>
  <c r="Q1464" i="1"/>
  <c r="X1464" i="1"/>
  <c r="X1467" i="1"/>
  <c r="W1481" i="1"/>
  <c r="D1488" i="1"/>
  <c r="D1505" i="1"/>
  <c r="S1509" i="1"/>
  <c r="P1509" i="1" s="1"/>
  <c r="S1511" i="1"/>
  <c r="P1511" i="1" s="1"/>
  <c r="W1535" i="1"/>
  <c r="X1550" i="1"/>
  <c r="D1668" i="1"/>
  <c r="W1077" i="1"/>
  <c r="X1122" i="1"/>
  <c r="D1129" i="1"/>
  <c r="X1130" i="1"/>
  <c r="D1137" i="1"/>
  <c r="X1154" i="1"/>
  <c r="X1158" i="1"/>
  <c r="S1161" i="1"/>
  <c r="P1161" i="1" s="1"/>
  <c r="D1164" i="1"/>
  <c r="S1174" i="1"/>
  <c r="P1174" i="1" s="1"/>
  <c r="X1184" i="1"/>
  <c r="W1197" i="1"/>
  <c r="D1209" i="1"/>
  <c r="X1210" i="1"/>
  <c r="X1214" i="1"/>
  <c r="S1217" i="1"/>
  <c r="X1225" i="1"/>
  <c r="W1246" i="1"/>
  <c r="W1261" i="1"/>
  <c r="D1273" i="1"/>
  <c r="X1274" i="1"/>
  <c r="X1278" i="1"/>
  <c r="S1281" i="1"/>
  <c r="P1281" i="1" s="1"/>
  <c r="S1297" i="1"/>
  <c r="P1297" i="1" s="1"/>
  <c r="D1300" i="1"/>
  <c r="S1305" i="1"/>
  <c r="P1305" i="1" s="1"/>
  <c r="W1337" i="1"/>
  <c r="D1348" i="1"/>
  <c r="S1352" i="1"/>
  <c r="P1352" i="1" s="1"/>
  <c r="W1357" i="1"/>
  <c r="D1378" i="1"/>
  <c r="D1386" i="1"/>
  <c r="D1413" i="1"/>
  <c r="Q1420" i="1"/>
  <c r="W1453" i="1"/>
  <c r="W1462" i="1"/>
  <c r="D1465" i="1"/>
  <c r="P1469" i="1"/>
  <c r="S1471" i="1"/>
  <c r="P1471" i="1" s="1"/>
  <c r="D1482" i="1"/>
  <c r="D1490" i="1"/>
  <c r="R1492" i="1"/>
  <c r="Q1492" i="1"/>
  <c r="W1496" i="1"/>
  <c r="D1501" i="1"/>
  <c r="X1509" i="1"/>
  <c r="W1511" i="1"/>
  <c r="W1513" i="1"/>
  <c r="S1519" i="1"/>
  <c r="P1519" i="1" s="1"/>
  <c r="S1526" i="1"/>
  <c r="P1526" i="1" s="1"/>
  <c r="X1526" i="1"/>
  <c r="W1526" i="1"/>
  <c r="S1533" i="1"/>
  <c r="P1533" i="1" s="1"/>
  <c r="D1536" i="1"/>
  <c r="Q1543" i="1"/>
  <c r="S1545" i="1"/>
  <c r="W1545" i="1"/>
  <c r="X1567" i="1"/>
  <c r="W1567" i="1"/>
  <c r="S1567" i="1"/>
  <c r="P1567" i="1" s="1"/>
  <c r="Q1579" i="1"/>
  <c r="Q1599" i="1"/>
  <c r="D1597" i="1"/>
  <c r="D1601" i="1"/>
  <c r="D1632" i="1"/>
  <c r="D1642" i="1"/>
  <c r="X1662" i="1"/>
  <c r="S1681" i="1"/>
  <c r="P1681" i="1" s="1"/>
  <c r="D1688" i="1"/>
  <c r="D1690" i="1"/>
  <c r="Q1694" i="1"/>
  <c r="D1728" i="1"/>
  <c r="D1730" i="1"/>
  <c r="S1764" i="1"/>
  <c r="P1764" i="1" s="1"/>
  <c r="D1780" i="1"/>
  <c r="Q1798" i="1"/>
  <c r="D1840" i="1"/>
  <c r="W1859" i="1"/>
  <c r="W1902" i="1"/>
  <c r="S1960" i="1"/>
  <c r="P1960" i="1" s="1"/>
  <c r="W1967" i="1"/>
  <c r="X1967" i="1"/>
  <c r="D1992" i="1"/>
  <c r="S2088" i="1"/>
  <c r="P2088" i="1" s="1"/>
  <c r="X2088" i="1"/>
  <c r="W2088" i="1"/>
  <c r="S2087" i="1"/>
  <c r="P2087" i="1" s="1"/>
  <c r="P1773" i="1"/>
  <c r="S1920" i="1"/>
  <c r="P1920" i="1" s="1"/>
  <c r="X2188" i="1"/>
  <c r="W2188" i="1"/>
  <c r="S2188" i="1"/>
  <c r="P2188" i="1" s="1"/>
  <c r="X2187" i="1"/>
  <c r="X2219" i="1"/>
  <c r="S2219" i="1"/>
  <c r="P2219" i="1" s="1"/>
  <c r="W2434" i="1"/>
  <c r="X2434" i="1"/>
  <c r="S2434" i="1"/>
  <c r="P2434" i="1" s="1"/>
  <c r="D1581" i="1"/>
  <c r="D1591" i="1"/>
  <c r="D1593" i="1"/>
  <c r="Q1595" i="1"/>
  <c r="W1603" i="1"/>
  <c r="D1626" i="1"/>
  <c r="S1636" i="1"/>
  <c r="P1636" i="1" s="1"/>
  <c r="D1661" i="1"/>
  <c r="D1663" i="1"/>
  <c r="D1665" i="1"/>
  <c r="X1667" i="1"/>
  <c r="W1669" i="1"/>
  <c r="S1750" i="1"/>
  <c r="P1750" i="1" s="1"/>
  <c r="D1759" i="1"/>
  <c r="D1776" i="1"/>
  <c r="S1784" i="1"/>
  <c r="P1784" i="1" s="1"/>
  <c r="S1803" i="1"/>
  <c r="P1803" i="1" s="1"/>
  <c r="W1823" i="1"/>
  <c r="D1847" i="1"/>
  <c r="D1849" i="1"/>
  <c r="D1860" i="1"/>
  <c r="D1912" i="1"/>
  <c r="X1933" i="1"/>
  <c r="W1933" i="1"/>
  <c r="S1933" i="1"/>
  <c r="P1933" i="1" s="1"/>
  <c r="D1938" i="1"/>
  <c r="W1944" i="1"/>
  <c r="W1960" i="1"/>
  <c r="X1965" i="1"/>
  <c r="W1965" i="1"/>
  <c r="W1983" i="1"/>
  <c r="D1999" i="1"/>
  <c r="W2037" i="1"/>
  <c r="X2086" i="1"/>
  <c r="S2085" i="1"/>
  <c r="P2085" i="1" s="1"/>
  <c r="W2086" i="1"/>
  <c r="X2085" i="1"/>
  <c r="W2085" i="1"/>
  <c r="W2101" i="1"/>
  <c r="X2101" i="1"/>
  <c r="S2101" i="1"/>
  <c r="P2101" i="1" s="1"/>
  <c r="S1864" i="1"/>
  <c r="P1864" i="1" s="1"/>
  <c r="X1864" i="1"/>
  <c r="D1954" i="1"/>
  <c r="S2005" i="1"/>
  <c r="P2005" i="1" s="1"/>
  <c r="P2021" i="1"/>
  <c r="S2027" i="1"/>
  <c r="P2027" i="1" s="1"/>
  <c r="S2028" i="1"/>
  <c r="P2028" i="1" s="1"/>
  <c r="X1646" i="1"/>
  <c r="W1667" i="1"/>
  <c r="S1669" i="1"/>
  <c r="P1669" i="1" s="1"/>
  <c r="S1671" i="1"/>
  <c r="P1671" i="1" s="1"/>
  <c r="X1694" i="1"/>
  <c r="X1717" i="1"/>
  <c r="P1721" i="1"/>
  <c r="S1840" i="1"/>
  <c r="P1840" i="1" s="1"/>
  <c r="D1873" i="1"/>
  <c r="S2052" i="1"/>
  <c r="P2052" i="1" s="1"/>
  <c r="W2051" i="1"/>
  <c r="D1575" i="1"/>
  <c r="D1577" i="1"/>
  <c r="D1608" i="1"/>
  <c r="D1610" i="1"/>
  <c r="X1648" i="1"/>
  <c r="Q1651" i="1"/>
  <c r="D1653" i="1"/>
  <c r="D1655" i="1"/>
  <c r="D1657" i="1"/>
  <c r="X1669" i="1"/>
  <c r="W1671" i="1"/>
  <c r="X1696" i="1"/>
  <c r="P1713" i="1"/>
  <c r="D1722" i="1"/>
  <c r="S1732" i="1"/>
  <c r="P1732" i="1" s="1"/>
  <c r="D1770" i="1"/>
  <c r="D1774" i="1"/>
  <c r="S1780" i="1"/>
  <c r="P1780" i="1" s="1"/>
  <c r="W1793" i="1"/>
  <c r="Q1801" i="1"/>
  <c r="D1808" i="1"/>
  <c r="D1817" i="1"/>
  <c r="Q1834" i="1"/>
  <c r="S1838" i="1"/>
  <c r="P1838" i="1" s="1"/>
  <c r="W1877" i="1"/>
  <c r="D1880" i="1"/>
  <c r="S1916" i="1"/>
  <c r="P1916" i="1" s="1"/>
  <c r="W1918" i="1"/>
  <c r="D1945" i="1"/>
  <c r="D1957" i="1"/>
  <c r="D1961" i="1"/>
  <c r="S1972" i="1"/>
  <c r="P1972" i="1" s="1"/>
  <c r="X1983" i="1"/>
  <c r="D2024" i="1"/>
  <c r="W2165" i="1"/>
  <c r="S2165" i="1"/>
  <c r="P2165" i="1" s="1"/>
  <c r="X2164" i="1"/>
  <c r="S2164" i="1"/>
  <c r="P2164" i="1" s="1"/>
  <c r="W2197" i="1"/>
  <c r="X2196" i="1"/>
  <c r="S2196" i="1"/>
  <c r="P2196" i="1" s="1"/>
  <c r="D1528" i="1"/>
  <c r="X1543" i="1"/>
  <c r="D1552" i="1"/>
  <c r="D1565" i="1"/>
  <c r="D1569" i="1"/>
  <c r="X1575" i="1"/>
  <c r="W1579" i="1"/>
  <c r="S1581" i="1"/>
  <c r="P1581" i="1" s="1"/>
  <c r="W1589" i="1"/>
  <c r="S1591" i="1"/>
  <c r="P1591" i="1" s="1"/>
  <c r="D1600" i="1"/>
  <c r="D1602" i="1"/>
  <c r="W1616" i="1"/>
  <c r="W1622" i="1"/>
  <c r="X1630" i="1"/>
  <c r="D1637" i="1"/>
  <c r="X1640" i="1"/>
  <c r="X1655" i="1"/>
  <c r="W1659" i="1"/>
  <c r="S1661" i="1"/>
  <c r="P1661" i="1" s="1"/>
  <c r="S1663" i="1"/>
  <c r="P1663" i="1" s="1"/>
  <c r="S1676" i="1"/>
  <c r="P1676" i="1" s="1"/>
  <c r="W1680" i="1"/>
  <c r="X1709" i="1"/>
  <c r="W1711" i="1"/>
  <c r="S1743" i="1"/>
  <c r="P1743" i="1" s="1"/>
  <c r="W1765" i="1"/>
  <c r="D1785" i="1"/>
  <c r="Q1793" i="1"/>
  <c r="D1800" i="1"/>
  <c r="D1802" i="1"/>
  <c r="W1805" i="1"/>
  <c r="S1836" i="1"/>
  <c r="P1836" i="1" s="1"/>
  <c r="D1841" i="1"/>
  <c r="W1862" i="1"/>
  <c r="D1865" i="1"/>
  <c r="W1871" i="1"/>
  <c r="X1888" i="1"/>
  <c r="W1895" i="1"/>
  <c r="W1901" i="1"/>
  <c r="X1903" i="1"/>
  <c r="S1968" i="1"/>
  <c r="P1968" i="1" s="1"/>
  <c r="W1969" i="1"/>
  <c r="D1977" i="1"/>
  <c r="W1981" i="1"/>
  <c r="X1992" i="1"/>
  <c r="W2003" i="1"/>
  <c r="X1571" i="1"/>
  <c r="W1573" i="1"/>
  <c r="W1581" i="1"/>
  <c r="S1583" i="1"/>
  <c r="P1583" i="1" s="1"/>
  <c r="W1591" i="1"/>
  <c r="S1604" i="1"/>
  <c r="P1604" i="1" s="1"/>
  <c r="X1632" i="1"/>
  <c r="X1647" i="1"/>
  <c r="W1653" i="1"/>
  <c r="X1661" i="1"/>
  <c r="W1663" i="1"/>
  <c r="X1688" i="1"/>
  <c r="X1695" i="1"/>
  <c r="S1703" i="1"/>
  <c r="P1703" i="1" s="1"/>
  <c r="Q1718" i="1"/>
  <c r="W1728" i="1"/>
  <c r="Q1745" i="1"/>
  <c r="Q1753" i="1"/>
  <c r="Q1761" i="1"/>
  <c r="S1797" i="1"/>
  <c r="P1797" i="1" s="1"/>
  <c r="W1816" i="1"/>
  <c r="D1820" i="1"/>
  <c r="Q1826" i="1"/>
  <c r="S1827" i="1"/>
  <c r="P1827" i="1" s="1"/>
  <c r="W1838" i="1"/>
  <c r="S1856" i="1"/>
  <c r="P1856" i="1" s="1"/>
  <c r="S1873" i="1"/>
  <c r="P1873" i="1" s="1"/>
  <c r="D1882" i="1"/>
  <c r="D1889" i="1"/>
  <c r="X1901" i="1"/>
  <c r="D1904" i="1"/>
  <c r="Q1910" i="1"/>
  <c r="W1936" i="1"/>
  <c r="W1943" i="1"/>
  <c r="S1952" i="1"/>
  <c r="P1952" i="1" s="1"/>
  <c r="X1952" i="1"/>
  <c r="W1952" i="1"/>
  <c r="S2038" i="1"/>
  <c r="P2038" i="1" s="1"/>
  <c r="W2038" i="1"/>
  <c r="W2149" i="1"/>
  <c r="X2148" i="1"/>
  <c r="S2148" i="1"/>
  <c r="P2148" i="1" s="1"/>
  <c r="W1553" i="1"/>
  <c r="W1583" i="1"/>
  <c r="D1592" i="1"/>
  <c r="W1608" i="1"/>
  <c r="D1621" i="1"/>
  <c r="X1624" i="1"/>
  <c r="D1631" i="1"/>
  <c r="D1633" i="1"/>
  <c r="Q1635" i="1"/>
  <c r="X1643" i="1"/>
  <c r="W1645" i="1"/>
  <c r="D1664" i="1"/>
  <c r="D1666" i="1"/>
  <c r="Q1670" i="1"/>
  <c r="W1673" i="1"/>
  <c r="D1685" i="1"/>
  <c r="D1687" i="1"/>
  <c r="D1689" i="1"/>
  <c r="X1691" i="1"/>
  <c r="W1693" i="1"/>
  <c r="W1703" i="1"/>
  <c r="S1716" i="1"/>
  <c r="P1716" i="1" s="1"/>
  <c r="S1720" i="1"/>
  <c r="P1720" i="1" s="1"/>
  <c r="X1728" i="1"/>
  <c r="D1754" i="1"/>
  <c r="W1761" i="1"/>
  <c r="D1764" i="1"/>
  <c r="D1777" i="1"/>
  <c r="D1792" i="1"/>
  <c r="D1794" i="1"/>
  <c r="W1815" i="1"/>
  <c r="D1848" i="1"/>
  <c r="D1850" i="1"/>
  <c r="S1851" i="1"/>
  <c r="P1851" i="1" s="1"/>
  <c r="S1854" i="1"/>
  <c r="P1854" i="1" s="1"/>
  <c r="S1869" i="1"/>
  <c r="P1869" i="1" s="1"/>
  <c r="S1897" i="1"/>
  <c r="P1897" i="1" s="1"/>
  <c r="W1897" i="1"/>
  <c r="S1910" i="1"/>
  <c r="P1910" i="1" s="1"/>
  <c r="W1910" i="1"/>
  <c r="D1913" i="1"/>
  <c r="W1919" i="1"/>
  <c r="W1985" i="1"/>
  <c r="D1993" i="1"/>
  <c r="X2095" i="1"/>
  <c r="S2095" i="1"/>
  <c r="P2095" i="1" s="1"/>
  <c r="W2094" i="1"/>
  <c r="Q1627" i="1"/>
  <c r="X1639" i="1"/>
  <c r="W1672" i="1"/>
  <c r="P1697" i="1"/>
  <c r="Q1734" i="1"/>
  <c r="X1804" i="1"/>
  <c r="Q1882" i="1"/>
  <c r="S1907" i="1"/>
  <c r="P1907" i="1" s="1"/>
  <c r="S1908" i="1"/>
  <c r="P1908" i="1" s="1"/>
  <c r="S1921" i="1"/>
  <c r="P1921" i="1" s="1"/>
  <c r="Q1950" i="1"/>
  <c r="S1984" i="1"/>
  <c r="P1984" i="1" s="1"/>
  <c r="X1984" i="1"/>
  <c r="W1984" i="1"/>
  <c r="X2079" i="1"/>
  <c r="S2079" i="1"/>
  <c r="P2079" i="1" s="1"/>
  <c r="W2078" i="1"/>
  <c r="W1552" i="1"/>
  <c r="X1563" i="1"/>
  <c r="X1573" i="1"/>
  <c r="D1586" i="1"/>
  <c r="S1596" i="1"/>
  <c r="P1596" i="1" s="1"/>
  <c r="W1600" i="1"/>
  <c r="D1613" i="1"/>
  <c r="Q1619" i="1"/>
  <c r="X1627" i="1"/>
  <c r="X1631" i="1"/>
  <c r="W1643" i="1"/>
  <c r="S1645" i="1"/>
  <c r="P1645" i="1" s="1"/>
  <c r="S1647" i="1"/>
  <c r="P1647" i="1" s="1"/>
  <c r="X1653" i="1"/>
  <c r="W1655" i="1"/>
  <c r="X1680" i="1"/>
  <c r="X1687" i="1"/>
  <c r="W1691" i="1"/>
  <c r="S1693" i="1"/>
  <c r="P1693" i="1" s="1"/>
  <c r="S1695" i="1"/>
  <c r="P1695" i="1" s="1"/>
  <c r="D1706" i="1"/>
  <c r="Q1710" i="1"/>
  <c r="D1736" i="1"/>
  <c r="W1740" i="1"/>
  <c r="D1748" i="1"/>
  <c r="W1749" i="1"/>
  <c r="X1751" i="1"/>
  <c r="Q1754" i="1"/>
  <c r="D1762" i="1"/>
  <c r="X1783" i="1"/>
  <c r="S1813" i="1"/>
  <c r="W1817" i="1"/>
  <c r="X1820" i="1"/>
  <c r="W1830" i="1"/>
  <c r="S1852" i="1"/>
  <c r="P1852" i="1" s="1"/>
  <c r="W1856" i="1"/>
  <c r="W1863" i="1"/>
  <c r="X1869" i="1"/>
  <c r="D1872" i="1"/>
  <c r="S1878" i="1"/>
  <c r="P1878" i="1" s="1"/>
  <c r="D1896" i="1"/>
  <c r="D1900" i="1"/>
  <c r="S1917" i="1"/>
  <c r="P1917" i="1" s="1"/>
  <c r="D1928" i="1"/>
  <c r="W1934" i="1"/>
  <c r="D1937" i="1"/>
  <c r="X1943" i="1"/>
  <c r="S1950" i="1"/>
  <c r="P1950" i="1" s="1"/>
  <c r="W1950" i="1"/>
  <c r="W1957" i="1"/>
  <c r="X1959" i="1"/>
  <c r="S1963" i="1"/>
  <c r="P1963" i="1" s="1"/>
  <c r="W1963" i="1"/>
  <c r="X1968" i="1"/>
  <c r="W2029" i="1"/>
  <c r="X2323" i="1"/>
  <c r="W2323" i="1"/>
  <c r="S2323" i="1"/>
  <c r="P2323" i="1" s="1"/>
  <c r="S2336" i="1"/>
  <c r="P2336" i="1" s="1"/>
  <c r="S2337" i="1"/>
  <c r="P2337" i="1" s="1"/>
  <c r="W2337" i="1"/>
  <c r="X2336" i="1"/>
  <c r="S1588" i="1"/>
  <c r="P1588" i="1" s="1"/>
  <c r="X1606" i="1"/>
  <c r="X1619" i="1"/>
  <c r="W1635" i="1"/>
  <c r="S1637" i="1"/>
  <c r="P1637" i="1" s="1"/>
  <c r="W1647" i="1"/>
  <c r="Q1662" i="1"/>
  <c r="W1670" i="1"/>
  <c r="X1683" i="1"/>
  <c r="W1685" i="1"/>
  <c r="W1695" i="1"/>
  <c r="S1708" i="1"/>
  <c r="P1708" i="1" s="1"/>
  <c r="W1712" i="1"/>
  <c r="X1718" i="1"/>
  <c r="W1731" i="1"/>
  <c r="S1733" i="1"/>
  <c r="P1733" i="1" s="1"/>
  <c r="W1741" i="1"/>
  <c r="S1760" i="1"/>
  <c r="P1760" i="1" s="1"/>
  <c r="W1768" i="1"/>
  <c r="W1839" i="1"/>
  <c r="W1854" i="1"/>
  <c r="X1856" i="1"/>
  <c r="S1875" i="1"/>
  <c r="P1875" i="1" s="1"/>
  <c r="S1947" i="1"/>
  <c r="P1947" i="1" s="1"/>
  <c r="S1948" i="1"/>
  <c r="P1948" i="1" s="1"/>
  <c r="X1957" i="1"/>
  <c r="W1966" i="1"/>
  <c r="S1973" i="1"/>
  <c r="P1973" i="1" s="1"/>
  <c r="Q1982" i="1"/>
  <c r="W2006" i="1"/>
  <c r="X2029" i="1"/>
  <c r="S2035" i="1"/>
  <c r="P2035" i="1" s="1"/>
  <c r="S2036" i="1"/>
  <c r="P2036" i="1" s="1"/>
  <c r="X2103" i="1"/>
  <c r="S2103" i="1"/>
  <c r="P2103" i="1" s="1"/>
  <c r="X2102" i="1"/>
  <c r="S2102" i="1"/>
  <c r="P2102" i="1" s="1"/>
  <c r="Q2211" i="1"/>
  <c r="W2221" i="1"/>
  <c r="X2220" i="1"/>
  <c r="W2220" i="1"/>
  <c r="S2220" i="1"/>
  <c r="P2220" i="1" s="1"/>
  <c r="S2256" i="1"/>
  <c r="P2256" i="1" s="1"/>
  <c r="W2257" i="1"/>
  <c r="S2257" i="1"/>
  <c r="P2257" i="1" s="1"/>
  <c r="X2256" i="1"/>
  <c r="W2256" i="1"/>
  <c r="Q2444" i="1"/>
  <c r="D1338" i="1"/>
  <c r="Q1356" i="1"/>
  <c r="D1357" i="1"/>
  <c r="X1367" i="1"/>
  <c r="S1382" i="1"/>
  <c r="P1382" i="1" s="1"/>
  <c r="D1401" i="1"/>
  <c r="S1409" i="1"/>
  <c r="P1409" i="1" s="1"/>
  <c r="W1421" i="1"/>
  <c r="X1423" i="1"/>
  <c r="W1437" i="1"/>
  <c r="W1456" i="1"/>
  <c r="W1461" i="1"/>
  <c r="X1503" i="1"/>
  <c r="W1515" i="1"/>
  <c r="D1520" i="1"/>
  <c r="D1522" i="1"/>
  <c r="W1533" i="1"/>
  <c r="W1550" i="1"/>
  <c r="W1557" i="1"/>
  <c r="W1563" i="1"/>
  <c r="S1580" i="1"/>
  <c r="P1580" i="1" s="1"/>
  <c r="W1592" i="1"/>
  <c r="W1598" i="1"/>
  <c r="D1605" i="1"/>
  <c r="X1608" i="1"/>
  <c r="Q1611" i="1"/>
  <c r="W1627" i="1"/>
  <c r="S1629" i="1"/>
  <c r="P1629" i="1" s="1"/>
  <c r="W1637" i="1"/>
  <c r="S1639" i="1"/>
  <c r="P1639" i="1" s="1"/>
  <c r="D1648" i="1"/>
  <c r="D1650" i="1"/>
  <c r="S1660" i="1"/>
  <c r="P1660" i="1" s="1"/>
  <c r="W1664" i="1"/>
  <c r="S1689" i="1"/>
  <c r="P1689" i="1" s="1"/>
  <c r="D1696" i="1"/>
  <c r="D1698" i="1"/>
  <c r="Q1702" i="1"/>
  <c r="X1729" i="1"/>
  <c r="S1738" i="1"/>
  <c r="P1738" i="1" s="1"/>
  <c r="S1744" i="1"/>
  <c r="P1744" i="1" s="1"/>
  <c r="D1752" i="1"/>
  <c r="X1764" i="1"/>
  <c r="D1769" i="1"/>
  <c r="S1781" i="1"/>
  <c r="P1781" i="1" s="1"/>
  <c r="D1788" i="1"/>
  <c r="W1800" i="1"/>
  <c r="S1804" i="1"/>
  <c r="P1804" i="1" s="1"/>
  <c r="X1806" i="1"/>
  <c r="D1816" i="1"/>
  <c r="S1820" i="1"/>
  <c r="P1820" i="1" s="1"/>
  <c r="D1825" i="1"/>
  <c r="D1842" i="1"/>
  <c r="S1848" i="1"/>
  <c r="P1848" i="1" s="1"/>
  <c r="D1857" i="1"/>
  <c r="S1861" i="1"/>
  <c r="P1861" i="1" s="1"/>
  <c r="D1874" i="1"/>
  <c r="X1880" i="1"/>
  <c r="W1887" i="1"/>
  <c r="X1887" i="1"/>
  <c r="S1889" i="1"/>
  <c r="P1889" i="1" s="1"/>
  <c r="X1915" i="1"/>
  <c r="D1920" i="1"/>
  <c r="S1932" i="1"/>
  <c r="P1932" i="1" s="1"/>
  <c r="D1951" i="1"/>
  <c r="D1962" i="1"/>
  <c r="S1964" i="1"/>
  <c r="P1964" i="1" s="1"/>
  <c r="D1967" i="1"/>
  <c r="D1969" i="1"/>
  <c r="W1973" i="1"/>
  <c r="X1975" i="1"/>
  <c r="S1982" i="1"/>
  <c r="P1982" i="1" s="1"/>
  <c r="W1982" i="1"/>
  <c r="S2000" i="1"/>
  <c r="P2000" i="1" s="1"/>
  <c r="S2004" i="1"/>
  <c r="P2004" i="1" s="1"/>
  <c r="W2284" i="1"/>
  <c r="X2284" i="1"/>
  <c r="S2284" i="1"/>
  <c r="P2284" i="1" s="1"/>
  <c r="W2283" i="1"/>
  <c r="S2283" i="1"/>
  <c r="P2283" i="1" s="1"/>
  <c r="S1518" i="1"/>
  <c r="P1518" i="1" s="1"/>
  <c r="Q1531" i="1"/>
  <c r="Q1548" i="1"/>
  <c r="X1552" i="1"/>
  <c r="Q1555" i="1"/>
  <c r="S1561" i="1"/>
  <c r="P1561" i="1" s="1"/>
  <c r="W1584" i="1"/>
  <c r="D1609" i="1"/>
  <c r="X1611" i="1"/>
  <c r="W1619" i="1"/>
  <c r="S1621" i="1"/>
  <c r="P1621" i="1" s="1"/>
  <c r="S1631" i="1"/>
  <c r="P1631" i="1" s="1"/>
  <c r="W1639" i="1"/>
  <c r="X1672" i="1"/>
  <c r="X1679" i="1"/>
  <c r="W1683" i="1"/>
  <c r="S1685" i="1"/>
  <c r="P1685" i="1" s="1"/>
  <c r="S1687" i="1"/>
  <c r="P1687" i="1" s="1"/>
  <c r="S1700" i="1"/>
  <c r="P1700" i="1" s="1"/>
  <c r="W1704" i="1"/>
  <c r="W1710" i="1"/>
  <c r="D1717" i="1"/>
  <c r="X1720" i="1"/>
  <c r="S1746" i="1"/>
  <c r="P1746" i="1" s="1"/>
  <c r="X1758" i="1"/>
  <c r="W1762" i="1"/>
  <c r="W1781" i="1"/>
  <c r="D1786" i="1"/>
  <c r="Q1796" i="1"/>
  <c r="Q1806" i="1"/>
  <c r="S1837" i="1"/>
  <c r="P1837" i="1" s="1"/>
  <c r="X1846" i="1"/>
  <c r="X1863" i="1"/>
  <c r="S1876" i="1"/>
  <c r="P1876" i="1" s="1"/>
  <c r="W1878" i="1"/>
  <c r="W1904" i="1"/>
  <c r="W1911" i="1"/>
  <c r="W1921" i="1"/>
  <c r="S1923" i="1"/>
  <c r="P1923" i="1" s="1"/>
  <c r="Q1930" i="1"/>
  <c r="S1979" i="1"/>
  <c r="P1979" i="1" s="1"/>
  <c r="S1980" i="1"/>
  <c r="P1980" i="1" s="1"/>
  <c r="S1989" i="1"/>
  <c r="P1989" i="1" s="1"/>
  <c r="S1998" i="1"/>
  <c r="P1998" i="1" s="1"/>
  <c r="W2001" i="1"/>
  <c r="D2005" i="1"/>
  <c r="D2021" i="1"/>
  <c r="W2027" i="1"/>
  <c r="W2039" i="1"/>
  <c r="X2039" i="1"/>
  <c r="W2402" i="1"/>
  <c r="X2402" i="1"/>
  <c r="S2402" i="1"/>
  <c r="P2402" i="1" s="1"/>
  <c r="D1553" i="1"/>
  <c r="D1568" i="1"/>
  <c r="D1570" i="1"/>
  <c r="W1577" i="1"/>
  <c r="W1590" i="1"/>
  <c r="X1600" i="1"/>
  <c r="S1623" i="1"/>
  <c r="P1623" i="1" s="1"/>
  <c r="W1631" i="1"/>
  <c r="D1640" i="1"/>
  <c r="W1657" i="1"/>
  <c r="W1662" i="1"/>
  <c r="D1669" i="1"/>
  <c r="D1673" i="1"/>
  <c r="X1685" i="1"/>
  <c r="W1687" i="1"/>
  <c r="Q1726" i="1"/>
  <c r="X1727" i="1"/>
  <c r="S1729" i="1"/>
  <c r="P1729" i="1" s="1"/>
  <c r="S1740" i="1"/>
  <c r="P1740" i="1" s="1"/>
  <c r="W1760" i="1"/>
  <c r="S1796" i="1"/>
  <c r="P1796" i="1" s="1"/>
  <c r="X1798" i="1"/>
  <c r="D1801" i="1"/>
  <c r="W1808" i="1"/>
  <c r="D1812" i="1"/>
  <c r="X1839" i="1"/>
  <c r="S1843" i="1"/>
  <c r="P1843" i="1" s="1"/>
  <c r="X1861" i="1"/>
  <c r="D1864" i="1"/>
  <c r="S1872" i="1"/>
  <c r="P1872" i="1" s="1"/>
  <c r="X1885" i="1"/>
  <c r="W1885" i="1"/>
  <c r="S1896" i="1"/>
  <c r="P1896" i="1" s="1"/>
  <c r="Q1898" i="1"/>
  <c r="X1904" i="1"/>
  <c r="W1915" i="1"/>
  <c r="D1922" i="1"/>
  <c r="S1928" i="1"/>
  <c r="P1928" i="1" s="1"/>
  <c r="W1935" i="1"/>
  <c r="X1935" i="1"/>
  <c r="Q1962" i="1"/>
  <c r="D1974" i="1"/>
  <c r="W1989" i="1"/>
  <c r="X1991" i="1"/>
  <c r="S1995" i="1"/>
  <c r="P1995" i="1" s="1"/>
  <c r="S2016" i="1"/>
  <c r="P2016" i="1" s="1"/>
  <c r="W2016" i="1"/>
  <c r="X2077" i="1"/>
  <c r="W2077" i="1"/>
  <c r="S2077" i="1"/>
  <c r="P2077" i="1" s="1"/>
  <c r="D2056" i="1"/>
  <c r="W2116" i="1"/>
  <c r="X2218" i="1"/>
  <c r="X2274" i="1"/>
  <c r="X2298" i="1"/>
  <c r="S2328" i="1"/>
  <c r="P2328" i="1" s="1"/>
  <c r="W2329" i="1"/>
  <c r="X2428" i="1"/>
  <c r="X2561" i="1"/>
  <c r="S2631" i="1"/>
  <c r="P2631" i="1" s="1"/>
  <c r="S2633" i="1"/>
  <c r="P2633" i="1" s="1"/>
  <c r="W2634" i="1"/>
  <c r="Q2073" i="1"/>
  <c r="S2076" i="1"/>
  <c r="P2076" i="1" s="1"/>
  <c r="Q2101" i="1"/>
  <c r="D2153" i="1"/>
  <c r="X2178" i="1"/>
  <c r="D2181" i="1"/>
  <c r="D2201" i="1"/>
  <c r="Q2208" i="1"/>
  <c r="Q2231" i="1"/>
  <c r="D2239" i="1"/>
  <c r="D2259" i="1"/>
  <c r="D2261" i="1"/>
  <c r="S2265" i="1"/>
  <c r="P2265" i="1" s="1"/>
  <c r="D2277" i="1"/>
  <c r="D2301" i="1"/>
  <c r="P2327" i="1"/>
  <c r="Q2364" i="1"/>
  <c r="D2364" i="1"/>
  <c r="P2393" i="1"/>
  <c r="Q2404" i="1"/>
  <c r="Q2436" i="1"/>
  <c r="X2475" i="1"/>
  <c r="W2475" i="1"/>
  <c r="S2475" i="1"/>
  <c r="P2475" i="1" s="1"/>
  <c r="S2477" i="1"/>
  <c r="P2477" i="1" s="1"/>
  <c r="W2477" i="1"/>
  <c r="Q2503" i="1"/>
  <c r="W2507" i="1"/>
  <c r="X2507" i="1"/>
  <c r="S2507" i="1"/>
  <c r="D2554" i="1"/>
  <c r="W2032" i="1"/>
  <c r="X2040" i="1"/>
  <c r="S2045" i="1"/>
  <c r="P2045" i="1" s="1"/>
  <c r="P2049" i="1"/>
  <c r="D2061" i="1"/>
  <c r="D2074" i="1"/>
  <c r="D2088" i="1"/>
  <c r="D2093" i="1"/>
  <c r="W2096" i="1"/>
  <c r="D2112" i="1"/>
  <c r="D2122" i="1"/>
  <c r="D2133" i="1"/>
  <c r="S2144" i="1"/>
  <c r="P2144" i="1" s="1"/>
  <c r="W2155" i="1"/>
  <c r="D2167" i="1"/>
  <c r="D2172" i="1"/>
  <c r="D2184" i="1"/>
  <c r="Q2188" i="1"/>
  <c r="W2192" i="1"/>
  <c r="W2232" i="1"/>
  <c r="W2245" i="1"/>
  <c r="S2281" i="1"/>
  <c r="P2281" i="1" s="1"/>
  <c r="P2288" i="1"/>
  <c r="D2313" i="1"/>
  <c r="S2329" i="1"/>
  <c r="P2329" i="1" s="1"/>
  <c r="S2380" i="1"/>
  <c r="P2380" i="1" s="1"/>
  <c r="X2380" i="1"/>
  <c r="X2396" i="1"/>
  <c r="W2404" i="1"/>
  <c r="X2404" i="1"/>
  <c r="S2404" i="1"/>
  <c r="P2404" i="1" s="1"/>
  <c r="W2403" i="1"/>
  <c r="W2436" i="1"/>
  <c r="X2436" i="1"/>
  <c r="S2436" i="1"/>
  <c r="P2436" i="1" s="1"/>
  <c r="W2435" i="1"/>
  <c r="D2473" i="1"/>
  <c r="S2160" i="1"/>
  <c r="P2160" i="1" s="1"/>
  <c r="W2272" i="1"/>
  <c r="W2281" i="1"/>
  <c r="W2296" i="1"/>
  <c r="W2308" i="1"/>
  <c r="X2308" i="1"/>
  <c r="P2379" i="1"/>
  <c r="W2015" i="1"/>
  <c r="X2024" i="1"/>
  <c r="S2037" i="1"/>
  <c r="P2037" i="1" s="1"/>
  <c r="S2047" i="1"/>
  <c r="P2047" i="1" s="1"/>
  <c r="X2064" i="1"/>
  <c r="D2097" i="1"/>
  <c r="S2119" i="1"/>
  <c r="P2119" i="1" s="1"/>
  <c r="S2137" i="1"/>
  <c r="P2137" i="1" s="1"/>
  <c r="X2139" i="1"/>
  <c r="Q2172" i="1"/>
  <c r="W2176" i="1"/>
  <c r="D2179" i="1"/>
  <c r="W2185" i="1"/>
  <c r="X2201" i="1"/>
  <c r="Q2228" i="1"/>
  <c r="S2236" i="1"/>
  <c r="P2236" i="1" s="1"/>
  <c r="S2239" i="1"/>
  <c r="P2239" i="1" s="1"/>
  <c r="Q2244" i="1"/>
  <c r="S2243" i="1"/>
  <c r="P2243" i="1" s="1"/>
  <c r="S2248" i="1"/>
  <c r="P2248" i="1" s="1"/>
  <c r="X2250" i="1"/>
  <c r="X2259" i="1"/>
  <c r="X2272" i="1"/>
  <c r="W2344" i="1"/>
  <c r="W2364" i="1"/>
  <c r="S2364" i="1"/>
  <c r="P2364" i="1" s="1"/>
  <c r="W2381" i="1"/>
  <c r="X2386" i="1"/>
  <c r="S2386" i="1"/>
  <c r="P2386" i="1" s="1"/>
  <c r="S2396" i="1"/>
  <c r="P2396" i="1" s="1"/>
  <c r="W2451" i="1"/>
  <c r="S2450" i="1"/>
  <c r="P2450" i="1" s="1"/>
  <c r="W2468" i="1"/>
  <c r="X2468" i="1"/>
  <c r="S2468" i="1"/>
  <c r="P2468" i="1" s="1"/>
  <c r="S2467" i="1"/>
  <c r="P2467" i="1" s="1"/>
  <c r="X2490" i="1"/>
  <c r="W2490" i="1"/>
  <c r="S2490" i="1"/>
  <c r="P2490" i="1" s="1"/>
  <c r="S2644" i="1"/>
  <c r="P2644" i="1" s="1"/>
  <c r="X2644" i="1"/>
  <c r="W2644" i="1"/>
  <c r="D2025" i="1"/>
  <c r="D2033" i="1"/>
  <c r="D2048" i="1"/>
  <c r="W2049" i="1"/>
  <c r="S2054" i="1"/>
  <c r="P2054" i="1" s="1"/>
  <c r="D2063" i="1"/>
  <c r="D2084" i="1"/>
  <c r="W2112" i="1"/>
  <c r="D2120" i="1"/>
  <c r="X2122" i="1"/>
  <c r="D2125" i="1"/>
  <c r="D2136" i="1"/>
  <c r="D2140" i="1"/>
  <c r="Q2156" i="1"/>
  <c r="S2167" i="1"/>
  <c r="P2167" i="1" s="1"/>
  <c r="W2169" i="1"/>
  <c r="D2175" i="1"/>
  <c r="S2192" i="1"/>
  <c r="P2192" i="1" s="1"/>
  <c r="D2200" i="1"/>
  <c r="Q2204" i="1"/>
  <c r="W2203" i="1"/>
  <c r="X2210" i="1"/>
  <c r="S2212" i="1"/>
  <c r="P2212" i="1" s="1"/>
  <c r="D2217" i="1"/>
  <c r="D2224" i="1"/>
  <c r="S2225" i="1"/>
  <c r="P2225" i="1" s="1"/>
  <c r="S2227" i="1"/>
  <c r="P2227" i="1" s="1"/>
  <c r="S2232" i="1"/>
  <c r="P2232" i="1" s="1"/>
  <c r="X2236" i="1"/>
  <c r="S2241" i="1"/>
  <c r="P2241" i="1" s="1"/>
  <c r="W2243" i="1"/>
  <c r="S2252" i="1"/>
  <c r="P2252" i="1" s="1"/>
  <c r="Q2264" i="1"/>
  <c r="D2271" i="1"/>
  <c r="D2273" i="1"/>
  <c r="P2276" i="1"/>
  <c r="W2288" i="1"/>
  <c r="D2291" i="1"/>
  <c r="D2295" i="1"/>
  <c r="D2297" i="1"/>
  <c r="Q2304" i="1"/>
  <c r="D2335" i="1"/>
  <c r="D2360" i="1"/>
  <c r="D2382" i="1"/>
  <c r="D2397" i="1"/>
  <c r="W2416" i="1"/>
  <c r="W2419" i="1"/>
  <c r="S2419" i="1"/>
  <c r="P2419" i="1" s="1"/>
  <c r="S2461" i="1"/>
  <c r="P2461" i="1" s="1"/>
  <c r="S2460" i="1"/>
  <c r="P2460" i="1" s="1"/>
  <c r="X2473" i="1"/>
  <c r="S2473" i="1"/>
  <c r="P2473" i="1" s="1"/>
  <c r="X2505" i="1"/>
  <c r="S2505" i="1"/>
  <c r="P2505" i="1" s="1"/>
  <c r="W2572" i="1"/>
  <c r="X2571" i="1"/>
  <c r="P2061" i="1"/>
  <c r="S2072" i="1"/>
  <c r="P2072" i="1" s="1"/>
  <c r="X2098" i="1"/>
  <c r="Q2200" i="1"/>
  <c r="Q2224" i="1"/>
  <c r="D2251" i="1"/>
  <c r="S2259" i="1"/>
  <c r="P2259" i="1" s="1"/>
  <c r="W2268" i="1"/>
  <c r="D2302" i="1"/>
  <c r="W2316" i="1"/>
  <c r="S2316" i="1"/>
  <c r="P2316" i="1" s="1"/>
  <c r="S2332" i="1"/>
  <c r="P2332" i="1" s="1"/>
  <c r="Q2340" i="1"/>
  <c r="W2466" i="1"/>
  <c r="X2466" i="1"/>
  <c r="D2481" i="1"/>
  <c r="D2535" i="1"/>
  <c r="X2552" i="1"/>
  <c r="W2552" i="1"/>
  <c r="Q2587" i="1"/>
  <c r="W2054" i="1"/>
  <c r="X2063" i="1"/>
  <c r="Q2081" i="1"/>
  <c r="Q2097" i="1"/>
  <c r="W2108" i="1"/>
  <c r="X2125" i="1"/>
  <c r="W2208" i="1"/>
  <c r="D2211" i="1"/>
  <c r="X2217" i="1"/>
  <c r="X2248" i="1"/>
  <c r="S2271" i="1"/>
  <c r="P2271" i="1" s="1"/>
  <c r="X2273" i="1"/>
  <c r="S2280" i="1"/>
  <c r="P2280" i="1" s="1"/>
  <c r="S2295" i="1"/>
  <c r="P2295" i="1" s="1"/>
  <c r="S2296" i="1"/>
  <c r="P2296" i="1" s="1"/>
  <c r="S2320" i="1"/>
  <c r="P2320" i="1" s="1"/>
  <c r="X2332" i="1"/>
  <c r="P2335" i="1"/>
  <c r="S2023" i="1"/>
  <c r="P2023" i="1" s="1"/>
  <c r="D2036" i="1"/>
  <c r="D2044" i="1"/>
  <c r="S2046" i="1"/>
  <c r="P2046" i="1" s="1"/>
  <c r="S2048" i="1"/>
  <c r="P2048" i="1" s="1"/>
  <c r="Q2065" i="1"/>
  <c r="D2082" i="1"/>
  <c r="S2097" i="1"/>
  <c r="P2097" i="1" s="1"/>
  <c r="S2127" i="1"/>
  <c r="P2127" i="1" s="1"/>
  <c r="W2137" i="1"/>
  <c r="X2156" i="1"/>
  <c r="S2159" i="1"/>
  <c r="P2159" i="1" s="1"/>
  <c r="X2177" i="1"/>
  <c r="D2207" i="1"/>
  <c r="D2216" i="1"/>
  <c r="Q2220" i="1"/>
  <c r="W2235" i="1"/>
  <c r="W2244" i="1"/>
  <c r="D2269" i="1"/>
  <c r="Q2276" i="1"/>
  <c r="S2319" i="1"/>
  <c r="P2319" i="1" s="1"/>
  <c r="X2328" i="1"/>
  <c r="Q2348" i="1"/>
  <c r="X2377" i="1"/>
  <c r="W2376" i="1"/>
  <c r="X2417" i="1"/>
  <c r="S2417" i="1"/>
  <c r="P2417" i="1" s="1"/>
  <c r="W2442" i="1"/>
  <c r="S2441" i="1"/>
  <c r="P2441" i="1" s="1"/>
  <c r="X2449" i="1"/>
  <c r="S2449" i="1"/>
  <c r="P2449" i="1" s="1"/>
  <c r="P2483" i="1"/>
  <c r="D2499" i="1"/>
  <c r="S2510" i="1"/>
  <c r="P2510" i="1" s="1"/>
  <c r="W2537" i="1"/>
  <c r="X2537" i="1"/>
  <c r="S2537" i="1"/>
  <c r="P2537" i="1" s="1"/>
  <c r="S2552" i="1"/>
  <c r="P2552" i="1" s="1"/>
  <c r="S2569" i="1"/>
  <c r="P2569" i="1" s="1"/>
  <c r="W2570" i="1"/>
  <c r="X2569" i="1"/>
  <c r="D2018" i="1"/>
  <c r="X2023" i="1"/>
  <c r="D2028" i="1"/>
  <c r="D2032" i="1"/>
  <c r="W2033" i="1"/>
  <c r="D2042" i="1"/>
  <c r="D2057" i="1"/>
  <c r="W2065" i="1"/>
  <c r="D2080" i="1"/>
  <c r="D2085" i="1"/>
  <c r="X2091" i="1"/>
  <c r="D2096" i="1"/>
  <c r="W2097" i="1"/>
  <c r="S2099" i="1"/>
  <c r="P2099" i="1" s="1"/>
  <c r="D2104" i="1"/>
  <c r="Q2116" i="1"/>
  <c r="S2125" i="1"/>
  <c r="P2125" i="1" s="1"/>
  <c r="D2132" i="1"/>
  <c r="S2136" i="1"/>
  <c r="P2136" i="1" s="1"/>
  <c r="X2140" i="1"/>
  <c r="S2143" i="1"/>
  <c r="P2143" i="1" s="1"/>
  <c r="D2148" i="1"/>
  <c r="D2157" i="1"/>
  <c r="X2161" i="1"/>
  <c r="D2164" i="1"/>
  <c r="S2169" i="1"/>
  <c r="P2169" i="1" s="1"/>
  <c r="D2173" i="1"/>
  <c r="Q2180" i="1"/>
  <c r="D2180" i="1"/>
  <c r="S2184" i="1"/>
  <c r="P2184" i="1" s="1"/>
  <c r="S2191" i="1"/>
  <c r="P2191" i="1" s="1"/>
  <c r="D2209" i="1"/>
  <c r="S2217" i="1"/>
  <c r="P2217" i="1" s="1"/>
  <c r="D2220" i="1"/>
  <c r="W2224" i="1"/>
  <c r="W2228" i="1"/>
  <c r="Q2239" i="1"/>
  <c r="D2247" i="1"/>
  <c r="D2256" i="1"/>
  <c r="S2273" i="1"/>
  <c r="P2273" i="1" s="1"/>
  <c r="D2276" i="1"/>
  <c r="D2285" i="1"/>
  <c r="S2287" i="1"/>
  <c r="P2287" i="1" s="1"/>
  <c r="X2289" i="1"/>
  <c r="S2297" i="1"/>
  <c r="P2297" i="1" s="1"/>
  <c r="W2304" i="1"/>
  <c r="X2316" i="1"/>
  <c r="S2321" i="1"/>
  <c r="P2321" i="1" s="1"/>
  <c r="D2348" i="1"/>
  <c r="W2360" i="1"/>
  <c r="X2360" i="1"/>
  <c r="D2380" i="1"/>
  <c r="X2395" i="1"/>
  <c r="X2394" i="1"/>
  <c r="S2394" i="1"/>
  <c r="P2394" i="1" s="1"/>
  <c r="W2410" i="1"/>
  <c r="S2409" i="1"/>
  <c r="P2409" i="1" s="1"/>
  <c r="Q2440" i="1"/>
  <c r="S2459" i="1"/>
  <c r="P2459" i="1" s="1"/>
  <c r="D2479" i="1"/>
  <c r="Q2499" i="1"/>
  <c r="D2533" i="1"/>
  <c r="W2665" i="1"/>
  <c r="S2664" i="1"/>
  <c r="P2664" i="1" s="1"/>
  <c r="X2665" i="1"/>
  <c r="S2665" i="1"/>
  <c r="P2665" i="1" s="1"/>
  <c r="W2664" i="1"/>
  <c r="W2676" i="1"/>
  <c r="X2675" i="1"/>
  <c r="W2691" i="1"/>
  <c r="X2691" i="1"/>
  <c r="S2691" i="1"/>
  <c r="P2691" i="1" s="1"/>
  <c r="S2690" i="1"/>
  <c r="P2690" i="1" s="1"/>
  <c r="X2699" i="1"/>
  <c r="S2044" i="1"/>
  <c r="P2044" i="1" s="1"/>
  <c r="Q2164" i="1"/>
  <c r="X2193" i="1"/>
  <c r="Q2216" i="1"/>
  <c r="W2217" i="1"/>
  <c r="X2233" i="1"/>
  <c r="S2244" i="1"/>
  <c r="P2244" i="1" s="1"/>
  <c r="W2273" i="1"/>
  <c r="W2280" i="1"/>
  <c r="W2297" i="1"/>
  <c r="Q2312" i="1"/>
  <c r="P2491" i="1"/>
  <c r="X2560" i="1"/>
  <c r="W2560" i="1"/>
  <c r="S2560" i="1"/>
  <c r="P2560" i="1" s="1"/>
  <c r="X2559" i="1"/>
  <c r="W2059" i="1"/>
  <c r="X2072" i="1"/>
  <c r="W2091" i="1"/>
  <c r="X2115" i="1"/>
  <c r="Q2132" i="1"/>
  <c r="D2139" i="1"/>
  <c r="Q2148" i="1"/>
  <c r="S2168" i="1"/>
  <c r="P2168" i="1" s="1"/>
  <c r="W2184" i="1"/>
  <c r="D2187" i="1"/>
  <c r="Q2196" i="1"/>
  <c r="X2202" i="1"/>
  <c r="S2207" i="1"/>
  <c r="P2207" i="1" s="1"/>
  <c r="X2235" i="1"/>
  <c r="X2280" i="1"/>
  <c r="S2289" i="1"/>
  <c r="P2289" i="1" s="1"/>
  <c r="S2291" i="1"/>
  <c r="P2291" i="1" s="1"/>
  <c r="X2314" i="1"/>
  <c r="W2313" i="1"/>
  <c r="W2328" i="1"/>
  <c r="S2369" i="1"/>
  <c r="P2369" i="1" s="1"/>
  <c r="W2369" i="1"/>
  <c r="S2372" i="1"/>
  <c r="P2372" i="1" s="1"/>
  <c r="P2375" i="1"/>
  <c r="Q2380" i="1"/>
  <c r="S2410" i="1"/>
  <c r="P2410" i="1" s="1"/>
  <c r="X2425" i="1"/>
  <c r="W2424" i="1"/>
  <c r="X2442" i="1"/>
  <c r="S2481" i="1"/>
  <c r="P2481" i="1" s="1"/>
  <c r="X2643" i="1"/>
  <c r="S1904" i="1"/>
  <c r="P1904" i="1" s="1"/>
  <c r="D1972" i="1"/>
  <c r="S2011" i="1"/>
  <c r="P2011" i="1" s="1"/>
  <c r="S2014" i="1"/>
  <c r="P2014" i="1" s="1"/>
  <c r="S2019" i="1"/>
  <c r="P2019" i="1" s="1"/>
  <c r="S2022" i="1"/>
  <c r="P2022" i="1" s="1"/>
  <c r="S2040" i="1"/>
  <c r="P2040" i="1" s="1"/>
  <c r="W2046" i="1"/>
  <c r="X2048" i="1"/>
  <c r="W2104" i="1"/>
  <c r="D2111" i="1"/>
  <c r="Q2123" i="1"/>
  <c r="W2129" i="1"/>
  <c r="W2145" i="1"/>
  <c r="W2148" i="1"/>
  <c r="S2152" i="1"/>
  <c r="P2152" i="1" s="1"/>
  <c r="D2155" i="1"/>
  <c r="W2161" i="1"/>
  <c r="W2164" i="1"/>
  <c r="D2171" i="1"/>
  <c r="W2180" i="1"/>
  <c r="S2193" i="1"/>
  <c r="P2193" i="1" s="1"/>
  <c r="X2209" i="1"/>
  <c r="S2224" i="1"/>
  <c r="P2224" i="1" s="1"/>
  <c r="S2233" i="1"/>
  <c r="P2233" i="1" s="1"/>
  <c r="S2247" i="1"/>
  <c r="P2247" i="1" s="1"/>
  <c r="Q2252" i="1"/>
  <c r="S2251" i="1"/>
  <c r="P2251" i="1" s="1"/>
  <c r="X2267" i="1"/>
  <c r="W2276" i="1"/>
  <c r="W2289" i="1"/>
  <c r="W2291" i="1"/>
  <c r="Q2296" i="1"/>
  <c r="X2307" i="1"/>
  <c r="X2338" i="1"/>
  <c r="D2344" i="1"/>
  <c r="W2348" i="1"/>
  <c r="S2348" i="1"/>
  <c r="P2348" i="1" s="1"/>
  <c r="X2372" i="1"/>
  <c r="W2380" i="1"/>
  <c r="S2395" i="1"/>
  <c r="P2395" i="1" s="1"/>
  <c r="X2410" i="1"/>
  <c r="Q2428" i="1"/>
  <c r="S2452" i="1"/>
  <c r="P2452" i="1" s="1"/>
  <c r="S2457" i="1"/>
  <c r="P2457" i="1" s="1"/>
  <c r="S2474" i="1"/>
  <c r="P2474" i="1" s="1"/>
  <c r="S2506" i="1"/>
  <c r="P2506" i="1" s="1"/>
  <c r="X2527" i="1"/>
  <c r="S2527" i="1"/>
  <c r="P2527" i="1" s="1"/>
  <c r="S1881" i="1"/>
  <c r="P1881" i="1" s="1"/>
  <c r="D1888" i="1"/>
  <c r="D1892" i="1"/>
  <c r="D1898" i="1"/>
  <c r="S1899" i="1"/>
  <c r="P1899" i="1" s="1"/>
  <c r="S1902" i="1"/>
  <c r="P1902" i="1" s="1"/>
  <c r="D1940" i="1"/>
  <c r="D1968" i="1"/>
  <c r="Q1978" i="1"/>
  <c r="W1991" i="1"/>
  <c r="D2004" i="1"/>
  <c r="W2017" i="1"/>
  <c r="S2032" i="1"/>
  <c r="P2032" i="1" s="1"/>
  <c r="D2049" i="1"/>
  <c r="S2053" i="1"/>
  <c r="P2053" i="1" s="1"/>
  <c r="D2060" i="1"/>
  <c r="S2080" i="1"/>
  <c r="P2080" i="1" s="1"/>
  <c r="X2087" i="1"/>
  <c r="S2089" i="1"/>
  <c r="P2089" i="1" s="1"/>
  <c r="X2094" i="1"/>
  <c r="S2096" i="1"/>
  <c r="P2096" i="1" s="1"/>
  <c r="W2102" i="1"/>
  <c r="Q2128" i="1"/>
  <c r="W2132" i="1"/>
  <c r="X2136" i="1"/>
  <c r="P2172" i="1"/>
  <c r="D2185" i="1"/>
  <c r="W2193" i="1"/>
  <c r="D2212" i="1"/>
  <c r="D2227" i="1"/>
  <c r="W2233" i="1"/>
  <c r="W2240" i="1"/>
  <c r="D2243" i="1"/>
  <c r="S2249" i="1"/>
  <c r="P2249" i="1" s="1"/>
  <c r="W2251" i="1"/>
  <c r="X2258" i="1"/>
  <c r="S2260" i="1"/>
  <c r="P2260" i="1" s="1"/>
  <c r="X2283" i="1"/>
  <c r="S2370" i="1"/>
  <c r="P2370" i="1" s="1"/>
  <c r="D2373" i="1"/>
  <c r="D2376" i="1"/>
  <c r="W2395" i="1"/>
  <c r="S2403" i="1"/>
  <c r="P2403" i="1" s="1"/>
  <c r="X2420" i="1"/>
  <c r="S2425" i="1"/>
  <c r="P2425" i="1" s="1"/>
  <c r="S2435" i="1"/>
  <c r="P2435" i="1" s="1"/>
  <c r="D2438" i="1"/>
  <c r="D2443" i="1"/>
  <c r="D2453" i="1"/>
  <c r="Q2460" i="1"/>
  <c r="D2477" i="1"/>
  <c r="X2484" i="1"/>
  <c r="S2497" i="1"/>
  <c r="P2497" i="1" s="1"/>
  <c r="S2504" i="1"/>
  <c r="P2504" i="1" s="1"/>
  <c r="W2568" i="1"/>
  <c r="S2568" i="1"/>
  <c r="P2568" i="1" s="1"/>
  <c r="D1936" i="1"/>
  <c r="Q1946" i="1"/>
  <c r="W1959" i="1"/>
  <c r="S1971" i="1"/>
  <c r="P1971" i="1" s="1"/>
  <c r="S1974" i="1"/>
  <c r="P1974" i="1" s="1"/>
  <c r="S1976" i="1"/>
  <c r="P1976" i="1" s="1"/>
  <c r="D1983" i="1"/>
  <c r="D2002" i="1"/>
  <c r="Q2010" i="1"/>
  <c r="S2024" i="1"/>
  <c r="P2024" i="1" s="1"/>
  <c r="W2025" i="1"/>
  <c r="Q2033" i="1"/>
  <c r="X2051" i="1"/>
  <c r="S2055" i="1"/>
  <c r="P2055" i="1" s="1"/>
  <c r="Q2057" i="1"/>
  <c r="S2062" i="1"/>
  <c r="P2062" i="1" s="1"/>
  <c r="X2071" i="1"/>
  <c r="S2078" i="1"/>
  <c r="P2078" i="1" s="1"/>
  <c r="Q2089" i="1"/>
  <c r="S2100" i="1"/>
  <c r="P2100" i="1" s="1"/>
  <c r="X2111" i="1"/>
  <c r="Q2124" i="1"/>
  <c r="D2137" i="1"/>
  <c r="Q2144" i="1"/>
  <c r="X2155" i="1"/>
  <c r="X2168" i="1"/>
  <c r="X2171" i="1"/>
  <c r="S2183" i="1"/>
  <c r="P2183" i="1" s="1"/>
  <c r="W2187" i="1"/>
  <c r="W2196" i="1"/>
  <c r="D2199" i="1"/>
  <c r="D2208" i="1"/>
  <c r="S2209" i="1"/>
  <c r="P2209" i="1" s="1"/>
  <c r="D2223" i="1"/>
  <c r="X2224" i="1"/>
  <c r="W2237" i="1"/>
  <c r="W2249" i="1"/>
  <c r="S2264" i="1"/>
  <c r="P2264" i="1" s="1"/>
  <c r="D2292" i="1"/>
  <c r="S2300" i="1"/>
  <c r="P2300" i="1" s="1"/>
  <c r="W2324" i="1"/>
  <c r="W2336" i="1"/>
  <c r="S2352" i="1"/>
  <c r="P2352" i="1" s="1"/>
  <c r="W2353" i="1"/>
  <c r="S2353" i="1"/>
  <c r="P2353" i="1" s="1"/>
  <c r="W2370" i="1"/>
  <c r="W2388" i="1"/>
  <c r="X2388" i="1"/>
  <c r="S2387" i="1"/>
  <c r="P2387" i="1" s="1"/>
  <c r="D2404" i="1"/>
  <c r="D2421" i="1"/>
  <c r="D2426" i="1"/>
  <c r="D2436" i="1"/>
  <c r="W2440" i="1"/>
  <c r="X2460" i="1"/>
  <c r="X2492" i="1"/>
  <c r="W2492" i="1"/>
  <c r="S2492" i="1"/>
  <c r="P2492" i="1" s="1"/>
  <c r="X2491" i="1"/>
  <c r="X2516" i="1"/>
  <c r="W2626" i="1"/>
  <c r="X2625" i="1"/>
  <c r="D2307" i="1"/>
  <c r="D2323" i="1"/>
  <c r="D2352" i="1"/>
  <c r="W2356" i="1"/>
  <c r="D2368" i="1"/>
  <c r="D2372" i="1"/>
  <c r="D2379" i="1"/>
  <c r="X2403" i="1"/>
  <c r="W2411" i="1"/>
  <c r="W2420" i="1"/>
  <c r="X2426" i="1"/>
  <c r="S2428" i="1"/>
  <c r="P2428" i="1" s="1"/>
  <c r="S2439" i="1"/>
  <c r="P2439" i="1" s="1"/>
  <c r="W2443" i="1"/>
  <c r="W2450" i="1"/>
  <c r="D2463" i="1"/>
  <c r="S2484" i="1"/>
  <c r="P2484" i="1" s="1"/>
  <c r="W2491" i="1"/>
  <c r="S2495" i="1"/>
  <c r="P2495" i="1" s="1"/>
  <c r="X2499" i="1"/>
  <c r="D2510" i="1"/>
  <c r="D2523" i="1"/>
  <c r="W2544" i="1"/>
  <c r="D2576" i="1"/>
  <c r="X2583" i="1"/>
  <c r="D2588" i="1"/>
  <c r="D2590" i="1"/>
  <c r="D2600" i="1"/>
  <c r="X2623" i="1"/>
  <c r="D2642" i="1"/>
  <c r="D2648" i="1"/>
  <c r="D2667" i="1"/>
  <c r="W2686" i="1"/>
  <c r="D2693" i="1"/>
  <c r="D2702" i="1"/>
  <c r="S2344" i="1"/>
  <c r="P2344" i="1" s="1"/>
  <c r="D2359" i="1"/>
  <c r="D2361" i="1"/>
  <c r="S2383" i="1"/>
  <c r="P2383" i="1" s="1"/>
  <c r="S2392" i="1"/>
  <c r="P2392" i="1" s="1"/>
  <c r="D2399" i="1"/>
  <c r="D2412" i="1"/>
  <c r="W2418" i="1"/>
  <c r="D2431" i="1"/>
  <c r="D2444" i="1"/>
  <c r="D2461" i="1"/>
  <c r="X2465" i="1"/>
  <c r="W2474" i="1"/>
  <c r="W2484" i="1"/>
  <c r="D2487" i="1"/>
  <c r="D2500" i="1"/>
  <c r="X2506" i="1"/>
  <c r="X2512" i="1"/>
  <c r="D2517" i="1"/>
  <c r="D2543" i="1"/>
  <c r="D2545" i="1"/>
  <c r="X2553" i="1"/>
  <c r="X2555" i="1"/>
  <c r="X2563" i="1"/>
  <c r="D2572" i="1"/>
  <c r="D2644" i="1"/>
  <c r="W2658" i="1"/>
  <c r="X2671" i="1"/>
  <c r="S2673" i="1"/>
  <c r="P2673" i="1" s="1"/>
  <c r="D2676" i="1"/>
  <c r="Q2683" i="1"/>
  <c r="X2688" i="1"/>
  <c r="D2700" i="1"/>
  <c r="X2363" i="1"/>
  <c r="D2377" i="1"/>
  <c r="D2381" i="1"/>
  <c r="X2385" i="1"/>
  <c r="D2390" i="1"/>
  <c r="X2401" i="1"/>
  <c r="D2429" i="1"/>
  <c r="X2433" i="1"/>
  <c r="D2446" i="1"/>
  <c r="S2448" i="1"/>
  <c r="P2448" i="1" s="1"/>
  <c r="D2457" i="1"/>
  <c r="X2489" i="1"/>
  <c r="S2493" i="1"/>
  <c r="P2493" i="1" s="1"/>
  <c r="D2496" i="1"/>
  <c r="D2502" i="1"/>
  <c r="Q2515" i="1"/>
  <c r="X2536" i="1"/>
  <c r="D2556" i="1"/>
  <c r="D2564" i="1"/>
  <c r="S2592" i="1"/>
  <c r="P2592" i="1" s="1"/>
  <c r="X2619" i="1"/>
  <c r="S2623" i="1"/>
  <c r="P2623" i="1" s="1"/>
  <c r="W2656" i="1"/>
  <c r="W2660" i="1"/>
  <c r="X2673" i="1"/>
  <c r="W2680" i="1"/>
  <c r="D2582" i="1"/>
  <c r="W2592" i="1"/>
  <c r="D2626" i="1"/>
  <c r="D2632" i="1"/>
  <c r="D2638" i="1"/>
  <c r="D2646" i="1"/>
  <c r="X2660" i="1"/>
  <c r="S2688" i="1"/>
  <c r="P2688" i="1" s="1"/>
  <c r="D2691" i="1"/>
  <c r="D2709" i="1"/>
  <c r="D2328" i="1"/>
  <c r="D2339" i="1"/>
  <c r="W2345" i="1"/>
  <c r="X2354" i="1"/>
  <c r="S2359" i="1"/>
  <c r="P2359" i="1" s="1"/>
  <c r="S2360" i="1"/>
  <c r="P2360" i="1" s="1"/>
  <c r="D2375" i="1"/>
  <c r="S2385" i="1"/>
  <c r="P2385" i="1" s="1"/>
  <c r="W2392" i="1"/>
  <c r="D2395" i="1"/>
  <c r="S2399" i="1"/>
  <c r="P2399" i="1" s="1"/>
  <c r="S2401" i="1"/>
  <c r="P2401" i="1" s="1"/>
  <c r="Q2408" i="1"/>
  <c r="X2418" i="1"/>
  <c r="D2423" i="1"/>
  <c r="X2427" i="1"/>
  <c r="S2431" i="1"/>
  <c r="P2431" i="1" s="1"/>
  <c r="S2433" i="1"/>
  <c r="P2433" i="1" s="1"/>
  <c r="D2455" i="1"/>
  <c r="D2468" i="1"/>
  <c r="D2470" i="1"/>
  <c r="S2472" i="1"/>
  <c r="P2472" i="1" s="1"/>
  <c r="X2474" i="1"/>
  <c r="W2483" i="1"/>
  <c r="S2487" i="1"/>
  <c r="P2487" i="1" s="1"/>
  <c r="S2489" i="1"/>
  <c r="P2489" i="1" s="1"/>
  <c r="W2506" i="1"/>
  <c r="W2512" i="1"/>
  <c r="W2519" i="1"/>
  <c r="W2521" i="1"/>
  <c r="D2526" i="1"/>
  <c r="D2528" i="1"/>
  <c r="W2543" i="1"/>
  <c r="W2545" i="1"/>
  <c r="Q2547" i="1"/>
  <c r="W2596" i="1"/>
  <c r="D2605" i="1"/>
  <c r="Q2607" i="1"/>
  <c r="W2609" i="1"/>
  <c r="D2624" i="1"/>
  <c r="D2636" i="1"/>
  <c r="D2661" i="1"/>
  <c r="D2672" i="1"/>
  <c r="D2674" i="1"/>
  <c r="X2678" i="1"/>
  <c r="S2686" i="1"/>
  <c r="P2686" i="1" s="1"/>
  <c r="X2704" i="1"/>
  <c r="S2706" i="1"/>
  <c r="P2706" i="1" s="1"/>
  <c r="X2708" i="1"/>
  <c r="P2584" i="1"/>
  <c r="D2614" i="1"/>
  <c r="Q2679" i="1"/>
  <c r="S2704" i="1"/>
  <c r="P2704" i="1" s="1"/>
  <c r="D2707" i="1"/>
  <c r="D2509" i="1"/>
  <c r="D2548" i="1"/>
  <c r="Q2591" i="1"/>
  <c r="D2603" i="1"/>
  <c r="D2612" i="1"/>
  <c r="D2643" i="1"/>
  <c r="D2653" i="1"/>
  <c r="D2679" i="1"/>
  <c r="D2687" i="1"/>
  <c r="W2556" i="1"/>
  <c r="W2564" i="1"/>
  <c r="S2607" i="1"/>
  <c r="P2607" i="1" s="1"/>
  <c r="S2624" i="1"/>
  <c r="P2624" i="1" s="1"/>
  <c r="S2672" i="1"/>
  <c r="P2672" i="1" s="1"/>
  <c r="D2546" i="1"/>
  <c r="Q2575" i="1"/>
  <c r="D2587" i="1"/>
  <c r="D2610" i="1"/>
  <c r="Q2653" i="1"/>
  <c r="S2657" i="1"/>
  <c r="P2657" i="1" s="1"/>
  <c r="S2663" i="1"/>
  <c r="P2663" i="1" s="1"/>
  <c r="D2677" i="1"/>
  <c r="S2684" i="1"/>
  <c r="P2684" i="1" s="1"/>
  <c r="D2701" i="1"/>
  <c r="W2577" i="1"/>
  <c r="D2333" i="1"/>
  <c r="D2371" i="1"/>
  <c r="S2373" i="1"/>
  <c r="P2373" i="1" s="1"/>
  <c r="Q2376" i="1"/>
  <c r="S2391" i="1"/>
  <c r="P2391" i="1" s="1"/>
  <c r="D2398" i="1"/>
  <c r="S2400" i="1"/>
  <c r="P2400" i="1" s="1"/>
  <c r="D2409" i="1"/>
  <c r="D2430" i="1"/>
  <c r="S2432" i="1"/>
  <c r="P2432" i="1" s="1"/>
  <c r="D2441" i="1"/>
  <c r="S2447" i="1"/>
  <c r="P2447" i="1" s="1"/>
  <c r="W2460" i="1"/>
  <c r="S2464" i="1"/>
  <c r="P2464" i="1" s="1"/>
  <c r="S2488" i="1"/>
  <c r="P2488" i="1" s="1"/>
  <c r="D2501" i="1"/>
  <c r="S2509" i="1"/>
  <c r="P2509" i="1" s="1"/>
  <c r="D2527" i="1"/>
  <c r="D2529" i="1"/>
  <c r="S2535" i="1"/>
  <c r="P2535" i="1" s="1"/>
  <c r="W2553" i="1"/>
  <c r="W2575" i="1"/>
  <c r="S2579" i="1"/>
  <c r="P2579" i="1" s="1"/>
  <c r="S2591" i="1"/>
  <c r="P2591" i="1" s="1"/>
  <c r="X2593" i="1"/>
  <c r="D2621" i="1"/>
  <c r="D2637" i="1"/>
  <c r="W2641" i="1"/>
  <c r="S2643" i="1"/>
  <c r="P2643" i="1" s="1"/>
  <c r="D2645" i="1"/>
  <c r="X2659" i="1"/>
  <c r="D2664" i="1"/>
  <c r="Q2685" i="1"/>
  <c r="D2695" i="1"/>
  <c r="S2415" i="1"/>
  <c r="P2415" i="1" s="1"/>
  <c r="Q2424" i="1"/>
  <c r="W2428" i="1"/>
  <c r="W2458" i="1"/>
  <c r="S2503" i="1"/>
  <c r="P2503" i="1" s="1"/>
  <c r="X2535" i="1"/>
  <c r="W2551" i="1"/>
  <c r="S2577" i="1"/>
  <c r="P2577" i="1" s="1"/>
  <c r="P2587" i="1"/>
  <c r="X2591" i="1"/>
  <c r="S2599" i="1"/>
  <c r="P2599" i="1" s="1"/>
  <c r="S2601" i="1"/>
  <c r="P2601" i="1" s="1"/>
  <c r="W2628" i="1"/>
  <c r="S2649" i="1"/>
  <c r="P2649" i="1" s="1"/>
  <c r="S2683" i="1"/>
  <c r="P2683" i="1" s="1"/>
  <c r="W2699" i="1"/>
  <c r="S2700" i="1"/>
  <c r="P2700" i="1" s="1"/>
  <c r="X2306" i="1"/>
  <c r="S2312" i="1"/>
  <c r="P2312" i="1" s="1"/>
  <c r="X2322" i="1"/>
  <c r="W2340" i="1"/>
  <c r="S2351" i="1"/>
  <c r="P2351" i="1" s="1"/>
  <c r="Q2356" i="1"/>
  <c r="S2367" i="1"/>
  <c r="P2367" i="1" s="1"/>
  <c r="S2368" i="1"/>
  <c r="P2368" i="1" s="1"/>
  <c r="X2371" i="1"/>
  <c r="W2373" i="1"/>
  <c r="D2387" i="1"/>
  <c r="D2467" i="1"/>
  <c r="S2471" i="1"/>
  <c r="P2471" i="1" s="1"/>
  <c r="D2476" i="1"/>
  <c r="D2495" i="1"/>
  <c r="D2508" i="1"/>
  <c r="D2512" i="1"/>
  <c r="W2518" i="1"/>
  <c r="Q2523" i="1"/>
  <c r="W2561" i="1"/>
  <c r="S2563" i="1"/>
  <c r="P2563" i="1" s="1"/>
  <c r="W2569" i="1"/>
  <c r="S2571" i="1"/>
  <c r="P2571" i="1" s="1"/>
  <c r="S2575" i="1"/>
  <c r="P2575" i="1" s="1"/>
  <c r="X2577" i="1"/>
  <c r="X2595" i="1"/>
  <c r="X2601" i="1"/>
  <c r="X2603" i="1"/>
  <c r="D2606" i="1"/>
  <c r="D2613" i="1"/>
  <c r="D2629" i="1"/>
  <c r="W2633" i="1"/>
  <c r="S2635" i="1"/>
  <c r="P2635" i="1" s="1"/>
  <c r="X2639" i="1"/>
  <c r="S2641" i="1"/>
  <c r="P2641" i="1" s="1"/>
  <c r="X2649" i="1"/>
  <c r="D2656" i="1"/>
  <c r="D2662" i="1"/>
  <c r="S2675" i="1"/>
  <c r="P2675" i="1" s="1"/>
  <c r="X2683" i="1"/>
  <c r="D2686" i="1"/>
  <c r="Q2694" i="1"/>
  <c r="S2705" i="1"/>
  <c r="P2705" i="1" s="1"/>
  <c r="D2708" i="1"/>
  <c r="W2277" i="1"/>
  <c r="Q2300" i="1"/>
  <c r="D2300" i="1"/>
  <c r="D2309" i="1"/>
  <c r="S2311" i="1"/>
  <c r="P2311" i="1" s="1"/>
  <c r="Q2316" i="1"/>
  <c r="D2316" i="1"/>
  <c r="D2327" i="1"/>
  <c r="D2329" i="1"/>
  <c r="D2345" i="1"/>
  <c r="Q2372" i="1"/>
  <c r="D2374" i="1"/>
  <c r="S2376" i="1"/>
  <c r="P2376" i="1" s="1"/>
  <c r="S2378" i="1"/>
  <c r="P2378" i="1" s="1"/>
  <c r="D2383" i="1"/>
  <c r="W2397" i="1"/>
  <c r="W2400" i="1"/>
  <c r="D2403" i="1"/>
  <c r="D2405" i="1"/>
  <c r="X2409" i="1"/>
  <c r="D2422" i="1"/>
  <c r="W2432" i="1"/>
  <c r="D2435" i="1"/>
  <c r="D2437" i="1"/>
  <c r="X2441" i="1"/>
  <c r="D2454" i="1"/>
  <c r="S2458" i="1"/>
  <c r="P2458" i="1" s="1"/>
  <c r="D2465" i="1"/>
  <c r="D2478" i="1"/>
  <c r="X2497" i="1"/>
  <c r="S2501" i="1"/>
  <c r="P2501" i="1" s="1"/>
  <c r="D2504" i="1"/>
  <c r="W2527" i="1"/>
  <c r="W2529" i="1"/>
  <c r="Q2531" i="1"/>
  <c r="D2534" i="1"/>
  <c r="D2538" i="1"/>
  <c r="S2551" i="1"/>
  <c r="P2551" i="1" s="1"/>
  <c r="W2559" i="1"/>
  <c r="X2575" i="1"/>
  <c r="X2579" i="1"/>
  <c r="S2583" i="1"/>
  <c r="P2583" i="1" s="1"/>
  <c r="S2585" i="1"/>
  <c r="P2585" i="1" s="1"/>
  <c r="D2596" i="1"/>
  <c r="X2599" i="1"/>
  <c r="D2604" i="1"/>
  <c r="S2608" i="1"/>
  <c r="P2608" i="1" s="1"/>
  <c r="S2619" i="1"/>
  <c r="P2619" i="1" s="1"/>
  <c r="W2625" i="1"/>
  <c r="S2627" i="1"/>
  <c r="P2627" i="1" s="1"/>
  <c r="X2631" i="1"/>
  <c r="X2641" i="1"/>
  <c r="S2647" i="1"/>
  <c r="P2647" i="1" s="1"/>
  <c r="X2651" i="1"/>
  <c r="W2673" i="1"/>
  <c r="D2684" i="1"/>
  <c r="Q2698" i="1"/>
  <c r="Q2701" i="1"/>
  <c r="X2331" i="1"/>
  <c r="X2387" i="1"/>
  <c r="W2394" i="1"/>
  <c r="W2396" i="1"/>
  <c r="S2407" i="1"/>
  <c r="P2407" i="1" s="1"/>
  <c r="S2424" i="1"/>
  <c r="P2424" i="1" s="1"/>
  <c r="S2443" i="1"/>
  <c r="P2443" i="1" s="1"/>
  <c r="W2452" i="1"/>
  <c r="S2456" i="1"/>
  <c r="P2456" i="1" s="1"/>
  <c r="X2458" i="1"/>
  <c r="X2467" i="1"/>
  <c r="S2480" i="1"/>
  <c r="P2480" i="1" s="1"/>
  <c r="S2499" i="1"/>
  <c r="P2499" i="1" s="1"/>
  <c r="X2551" i="1"/>
  <c r="S2555" i="1"/>
  <c r="P2555" i="1" s="1"/>
  <c r="X2585" i="1"/>
  <c r="X2615" i="1"/>
  <c r="W2617" i="1"/>
  <c r="Q2629" i="1"/>
  <c r="Q2660" i="1"/>
  <c r="Q2671" i="1"/>
  <c r="X2690" i="1"/>
  <c r="S2699" i="1"/>
  <c r="P2699" i="1" s="1"/>
  <c r="M32" i="1"/>
  <c r="T32" i="1"/>
  <c r="U32" i="1" s="1"/>
  <c r="V32" i="1" s="1"/>
  <c r="R32" i="1"/>
  <c r="T193" i="1"/>
  <c r="U193" i="1" s="1"/>
  <c r="V193" i="1" s="1"/>
  <c r="M193" i="1"/>
  <c r="R193" i="1"/>
  <c r="T9" i="1"/>
  <c r="M9" i="1"/>
  <c r="R9" i="1"/>
  <c r="T105" i="1"/>
  <c r="M105" i="1"/>
  <c r="R105" i="1"/>
  <c r="T185" i="1"/>
  <c r="U185" i="1" s="1"/>
  <c r="V185" i="1" s="1"/>
  <c r="M185" i="1"/>
  <c r="R185" i="1"/>
  <c r="M284" i="1"/>
  <c r="T302" i="1"/>
  <c r="U302" i="1" s="1"/>
  <c r="V302" i="1" s="1"/>
  <c r="M302" i="1"/>
  <c r="R302" i="1"/>
  <c r="M8" i="1"/>
  <c r="R8" i="1"/>
  <c r="T8" i="1"/>
  <c r="U8" i="1" s="1"/>
  <c r="V8" i="1" s="1"/>
  <c r="T89" i="1"/>
  <c r="U89" i="1" s="1"/>
  <c r="V89" i="1" s="1"/>
  <c r="M89" i="1"/>
  <c r="R89" i="1"/>
  <c r="T97" i="1"/>
  <c r="M97" i="1"/>
  <c r="R97" i="1"/>
  <c r="T161" i="1"/>
  <c r="M161" i="1"/>
  <c r="R161" i="1"/>
  <c r="T169" i="1"/>
  <c r="U169" i="1" s="1"/>
  <c r="V169" i="1" s="1"/>
  <c r="M169" i="1"/>
  <c r="R169" i="1"/>
  <c r="T177" i="1"/>
  <c r="U177" i="1" s="1"/>
  <c r="V177" i="1" s="1"/>
  <c r="M177" i="1"/>
  <c r="R177" i="1"/>
  <c r="T208" i="1"/>
  <c r="M208" i="1"/>
  <c r="R208" i="1"/>
  <c r="T209" i="1"/>
  <c r="U209" i="1" s="1"/>
  <c r="V209" i="1" s="1"/>
  <c r="M209" i="1"/>
  <c r="T238" i="1"/>
  <c r="U238" i="1" s="1"/>
  <c r="V238" i="1" s="1"/>
  <c r="M238" i="1"/>
  <c r="R238" i="1"/>
  <c r="R260" i="1"/>
  <c r="M260" i="1"/>
  <c r="T260" i="1"/>
  <c r="U260" i="1" s="1"/>
  <c r="V260" i="1" s="1"/>
  <c r="T41" i="1"/>
  <c r="M41" i="1"/>
  <c r="R41" i="1"/>
  <c r="T153" i="1"/>
  <c r="M153" i="1"/>
  <c r="R153" i="1"/>
  <c r="T310" i="1"/>
  <c r="U310" i="1" s="1"/>
  <c r="V310" i="1" s="1"/>
  <c r="M310" i="1"/>
  <c r="R310" i="1"/>
  <c r="T113" i="1"/>
  <c r="M113" i="1"/>
  <c r="R113" i="1"/>
  <c r="T192" i="1"/>
  <c r="M192" i="1"/>
  <c r="R192" i="1"/>
  <c r="T262" i="1"/>
  <c r="U262" i="1" s="1"/>
  <c r="V262" i="1" s="1"/>
  <c r="M262" i="1"/>
  <c r="R262" i="1"/>
  <c r="R23" i="1"/>
  <c r="T23" i="1"/>
  <c r="U23" i="1" s="1"/>
  <c r="V23" i="1" s="1"/>
  <c r="M23" i="1"/>
  <c r="Q21" i="7"/>
  <c r="Q24" i="7"/>
  <c r="Q6" i="7"/>
  <c r="Q3" i="7"/>
  <c r="Q12" i="7"/>
  <c r="Q9" i="7"/>
  <c r="T24" i="1"/>
  <c r="U24" i="1" s="1"/>
  <c r="V24" i="1" s="1"/>
  <c r="M24" i="1"/>
  <c r="R24" i="1"/>
  <c r="R40" i="1"/>
  <c r="T40" i="1"/>
  <c r="U40" i="1" s="1"/>
  <c r="V40" i="1" s="1"/>
  <c r="M40" i="1"/>
  <c r="T145" i="1"/>
  <c r="M145" i="1"/>
  <c r="R145" i="1"/>
  <c r="T224" i="1"/>
  <c r="M224" i="1"/>
  <c r="R224" i="1"/>
  <c r="T225" i="1"/>
  <c r="U225" i="1" s="1"/>
  <c r="V225" i="1" s="1"/>
  <c r="M225" i="1"/>
  <c r="R225" i="1"/>
  <c r="T228" i="1"/>
  <c r="R228" i="1"/>
  <c r="M228" i="1"/>
  <c r="M7" i="1"/>
  <c r="R7" i="1"/>
  <c r="T7" i="1"/>
  <c r="U7" i="1" s="1"/>
  <c r="V7" i="1" s="1"/>
  <c r="T25" i="1"/>
  <c r="M25" i="1"/>
  <c r="T65" i="1"/>
  <c r="M65" i="1"/>
  <c r="R65" i="1"/>
  <c r="T137" i="1"/>
  <c r="M137" i="1"/>
  <c r="R137" i="1"/>
  <c r="R183" i="1"/>
  <c r="T183" i="1"/>
  <c r="U183" i="1" s="1"/>
  <c r="V183" i="1" s="1"/>
  <c r="M183" i="1"/>
  <c r="T200" i="1"/>
  <c r="M200" i="1"/>
  <c r="R200" i="1"/>
  <c r="T246" i="1"/>
  <c r="U246" i="1" s="1"/>
  <c r="V246" i="1" s="1"/>
  <c r="M246" i="1"/>
  <c r="R246" i="1"/>
  <c r="T129" i="1"/>
  <c r="M129" i="1"/>
  <c r="R129" i="1"/>
  <c r="R167" i="1"/>
  <c r="T167" i="1"/>
  <c r="U167" i="1" s="1"/>
  <c r="V167" i="1" s="1"/>
  <c r="M167" i="1"/>
  <c r="R175" i="1"/>
  <c r="T175" i="1"/>
  <c r="U175" i="1" s="1"/>
  <c r="V175" i="1" s="1"/>
  <c r="M175" i="1"/>
  <c r="T48" i="1"/>
  <c r="U48" i="1" s="1"/>
  <c r="V48" i="1" s="1"/>
  <c r="M48" i="1"/>
  <c r="R48" i="1"/>
  <c r="T17" i="1"/>
  <c r="M17" i="1"/>
  <c r="R17" i="1"/>
  <c r="T57" i="1"/>
  <c r="M57" i="1"/>
  <c r="R57" i="1"/>
  <c r="M16" i="1"/>
  <c r="T16" i="1"/>
  <c r="U16" i="1" s="1"/>
  <c r="V16" i="1" s="1"/>
  <c r="R16" i="1"/>
  <c r="R31" i="1"/>
  <c r="T31" i="1"/>
  <c r="U31" i="1" s="1"/>
  <c r="V31" i="1" s="1"/>
  <c r="M31" i="1"/>
  <c r="T49" i="1"/>
  <c r="M49" i="1"/>
  <c r="R49" i="1"/>
  <c r="R121" i="1"/>
  <c r="T217" i="1"/>
  <c r="U217" i="1" s="1"/>
  <c r="V217" i="1" s="1"/>
  <c r="M217" i="1"/>
  <c r="R217" i="1"/>
  <c r="T286" i="1"/>
  <c r="U286" i="1" s="1"/>
  <c r="V286" i="1" s="1"/>
  <c r="M286" i="1"/>
  <c r="R286" i="1"/>
  <c r="T512" i="1"/>
  <c r="M512" i="1"/>
  <c r="R579" i="1"/>
  <c r="M579" i="1"/>
  <c r="T579" i="1"/>
  <c r="Q763" i="1"/>
  <c r="X18" i="1"/>
  <c r="W35" i="1"/>
  <c r="X42" i="1"/>
  <c r="W43" i="1"/>
  <c r="X50" i="1"/>
  <c r="W51" i="1"/>
  <c r="X58" i="1"/>
  <c r="W59" i="1"/>
  <c r="X66" i="1"/>
  <c r="W67" i="1"/>
  <c r="X74" i="1"/>
  <c r="W75" i="1"/>
  <c r="X82" i="1"/>
  <c r="W83" i="1"/>
  <c r="X90" i="1"/>
  <c r="W91" i="1"/>
  <c r="X98" i="1"/>
  <c r="W99" i="1"/>
  <c r="X106" i="1"/>
  <c r="W107" i="1"/>
  <c r="X114" i="1"/>
  <c r="W115" i="1"/>
  <c r="X122" i="1"/>
  <c r="W123" i="1"/>
  <c r="X130" i="1"/>
  <c r="W131" i="1"/>
  <c r="X138" i="1"/>
  <c r="W139" i="1"/>
  <c r="X146" i="1"/>
  <c r="W147" i="1"/>
  <c r="X154" i="1"/>
  <c r="W155" i="1"/>
  <c r="X162" i="1"/>
  <c r="W163" i="1"/>
  <c r="X170" i="1"/>
  <c r="W171" i="1"/>
  <c r="X178" i="1"/>
  <c r="W179" i="1"/>
  <c r="X186" i="1"/>
  <c r="W187" i="1"/>
  <c r="X194" i="1"/>
  <c r="W195" i="1"/>
  <c r="X202" i="1"/>
  <c r="W203" i="1"/>
  <c r="X210" i="1"/>
  <c r="W211" i="1"/>
  <c r="X218" i="1"/>
  <c r="W219" i="1"/>
  <c r="X232" i="1"/>
  <c r="M237" i="1"/>
  <c r="S242" i="1"/>
  <c r="P242" i="1" s="1"/>
  <c r="X242" i="1"/>
  <c r="W244" i="1"/>
  <c r="W248" i="1"/>
  <c r="S251" i="1"/>
  <c r="P251" i="1" s="1"/>
  <c r="W251" i="1"/>
  <c r="X253" i="1"/>
  <c r="W253" i="1"/>
  <c r="X252" i="1"/>
  <c r="X256" i="1"/>
  <c r="R258" i="1"/>
  <c r="W274" i="1"/>
  <c r="X280" i="1"/>
  <c r="T282" i="1"/>
  <c r="U282" i="1" s="1"/>
  <c r="V282" i="1" s="1"/>
  <c r="M282" i="1"/>
  <c r="R282" i="1"/>
  <c r="X289" i="1"/>
  <c r="S291" i="1"/>
  <c r="P291" i="1" s="1"/>
  <c r="W291" i="1"/>
  <c r="X293" i="1"/>
  <c r="W293" i="1"/>
  <c r="X292" i="1"/>
  <c r="T298" i="1"/>
  <c r="U298" i="1" s="1"/>
  <c r="V298" i="1" s="1"/>
  <c r="M298" i="1"/>
  <c r="R298" i="1"/>
  <c r="R300" i="1"/>
  <c r="P310" i="1"/>
  <c r="T320" i="1"/>
  <c r="M320" i="1"/>
  <c r="R320" i="1"/>
  <c r="S322" i="1"/>
  <c r="P322" i="1" s="1"/>
  <c r="X322" i="1"/>
  <c r="S332" i="1"/>
  <c r="P332" i="1" s="1"/>
  <c r="X333" i="1"/>
  <c r="W333" i="1"/>
  <c r="X332" i="1"/>
  <c r="Q340" i="1"/>
  <c r="Q349" i="1"/>
  <c r="X353" i="1"/>
  <c r="S363" i="1"/>
  <c r="P363" i="1" s="1"/>
  <c r="W363" i="1"/>
  <c r="T372" i="1"/>
  <c r="S372" i="1"/>
  <c r="P372" i="1" s="1"/>
  <c r="X373" i="1"/>
  <c r="W373" i="1"/>
  <c r="X372" i="1"/>
  <c r="T377" i="1"/>
  <c r="U377" i="1" s="1"/>
  <c r="V377" i="1" s="1"/>
  <c r="M377" i="1"/>
  <c r="Q416" i="1"/>
  <c r="T424" i="1"/>
  <c r="M424" i="1"/>
  <c r="R424" i="1"/>
  <c r="W426" i="1"/>
  <c r="S429" i="1"/>
  <c r="P429" i="1" s="1"/>
  <c r="S428" i="1"/>
  <c r="P428" i="1" s="1"/>
  <c r="X429" i="1"/>
  <c r="W429" i="1"/>
  <c r="X428" i="1"/>
  <c r="S435" i="1"/>
  <c r="P435" i="1" s="1"/>
  <c r="W435" i="1"/>
  <c r="T441" i="1"/>
  <c r="U441" i="1" s="1"/>
  <c r="V441" i="1" s="1"/>
  <c r="M441" i="1"/>
  <c r="S451" i="1"/>
  <c r="P451" i="1" s="1"/>
  <c r="X451" i="1"/>
  <c r="W451" i="1"/>
  <c r="T465" i="1"/>
  <c r="U465" i="1" s="1"/>
  <c r="V465" i="1" s="1"/>
  <c r="M465" i="1"/>
  <c r="R465" i="1"/>
  <c r="T481" i="1"/>
  <c r="U481" i="1" s="1"/>
  <c r="V481" i="1" s="1"/>
  <c r="M481" i="1"/>
  <c r="R481" i="1"/>
  <c r="T497" i="1"/>
  <c r="U497" i="1" s="1"/>
  <c r="V497" i="1" s="1"/>
  <c r="M497" i="1"/>
  <c r="R497" i="1"/>
  <c r="T513" i="1"/>
  <c r="U513" i="1" s="1"/>
  <c r="V513" i="1" s="1"/>
  <c r="M513" i="1"/>
  <c r="R513" i="1"/>
  <c r="T529" i="1"/>
  <c r="U529" i="1" s="1"/>
  <c r="V529" i="1" s="1"/>
  <c r="M529" i="1"/>
  <c r="R529" i="1"/>
  <c r="T545" i="1"/>
  <c r="U545" i="1" s="1"/>
  <c r="V545" i="1" s="1"/>
  <c r="M545" i="1"/>
  <c r="R545" i="1"/>
  <c r="T622" i="1"/>
  <c r="U622" i="1" s="1"/>
  <c r="V622" i="1" s="1"/>
  <c r="M622" i="1"/>
  <c r="R622" i="1"/>
  <c r="S682" i="1"/>
  <c r="P682" i="1" s="1"/>
  <c r="X682" i="1"/>
  <c r="W682" i="1"/>
  <c r="T705" i="1"/>
  <c r="U705" i="1" s="1"/>
  <c r="V705" i="1" s="1"/>
  <c r="M705" i="1"/>
  <c r="R705" i="1"/>
  <c r="T813" i="1"/>
  <c r="U813" i="1" s="1"/>
  <c r="V813" i="1" s="1"/>
  <c r="M813" i="1"/>
  <c r="R813" i="1"/>
  <c r="S1284" i="1"/>
  <c r="P1284" i="1" s="1"/>
  <c r="X1284" i="1"/>
  <c r="W1284" i="1"/>
  <c r="W1283" i="1"/>
  <c r="T480" i="1"/>
  <c r="M480" i="1"/>
  <c r="R480" i="1"/>
  <c r="R627" i="1"/>
  <c r="M627" i="1"/>
  <c r="T627" i="1"/>
  <c r="U627" i="1" s="1"/>
  <c r="V627" i="1" s="1"/>
  <c r="X26" i="1"/>
  <c r="X4" i="1"/>
  <c r="X11" i="1"/>
  <c r="S16" i="1"/>
  <c r="P16" i="1" s="1"/>
  <c r="X19" i="1"/>
  <c r="W20" i="1"/>
  <c r="S24" i="1"/>
  <c r="P24" i="1" s="1"/>
  <c r="X27" i="1"/>
  <c r="W28" i="1"/>
  <c r="S32" i="1"/>
  <c r="P32" i="1" s="1"/>
  <c r="X35" i="1"/>
  <c r="W36" i="1"/>
  <c r="S40" i="1"/>
  <c r="P40" i="1" s="1"/>
  <c r="X43" i="1"/>
  <c r="W44" i="1"/>
  <c r="S48" i="1"/>
  <c r="P48" i="1" s="1"/>
  <c r="X51" i="1"/>
  <c r="W52" i="1"/>
  <c r="S56" i="1"/>
  <c r="P56" i="1" s="1"/>
  <c r="X59" i="1"/>
  <c r="W60" i="1"/>
  <c r="S64" i="1"/>
  <c r="P64" i="1" s="1"/>
  <c r="X67" i="1"/>
  <c r="W68" i="1"/>
  <c r="S72" i="1"/>
  <c r="P72" i="1" s="1"/>
  <c r="X75" i="1"/>
  <c r="W76" i="1"/>
  <c r="S80" i="1"/>
  <c r="P80" i="1" s="1"/>
  <c r="X83" i="1"/>
  <c r="W84" i="1"/>
  <c r="S88" i="1"/>
  <c r="P88" i="1" s="1"/>
  <c r="X91" i="1"/>
  <c r="W92" i="1"/>
  <c r="S96" i="1"/>
  <c r="P96" i="1" s="1"/>
  <c r="X99" i="1"/>
  <c r="W100" i="1"/>
  <c r="S104" i="1"/>
  <c r="P104" i="1" s="1"/>
  <c r="X107" i="1"/>
  <c r="W108" i="1"/>
  <c r="S112" i="1"/>
  <c r="P112" i="1" s="1"/>
  <c r="X115" i="1"/>
  <c r="W116" i="1"/>
  <c r="S120" i="1"/>
  <c r="P120" i="1" s="1"/>
  <c r="X123" i="1"/>
  <c r="W124" i="1"/>
  <c r="S128" i="1"/>
  <c r="P128" i="1" s="1"/>
  <c r="X131" i="1"/>
  <c r="W132" i="1"/>
  <c r="S136" i="1"/>
  <c r="P136" i="1" s="1"/>
  <c r="X139" i="1"/>
  <c r="W140" i="1"/>
  <c r="S144" i="1"/>
  <c r="P144" i="1" s="1"/>
  <c r="X147" i="1"/>
  <c r="W148" i="1"/>
  <c r="S152" i="1"/>
  <c r="P152" i="1" s="1"/>
  <c r="X155" i="1"/>
  <c r="W156" i="1"/>
  <c r="S160" i="1"/>
  <c r="P160" i="1" s="1"/>
  <c r="X163" i="1"/>
  <c r="W164" i="1"/>
  <c r="S168" i="1"/>
  <c r="P168" i="1" s="1"/>
  <c r="X171" i="1"/>
  <c r="W172" i="1"/>
  <c r="S176" i="1"/>
  <c r="P176" i="1" s="1"/>
  <c r="X179" i="1"/>
  <c r="W180" i="1"/>
  <c r="S184" i="1"/>
  <c r="P184" i="1" s="1"/>
  <c r="X187" i="1"/>
  <c r="W188" i="1"/>
  <c r="S192" i="1"/>
  <c r="P192" i="1" s="1"/>
  <c r="X195" i="1"/>
  <c r="W196" i="1"/>
  <c r="S200" i="1"/>
  <c r="P200" i="1" s="1"/>
  <c r="X203" i="1"/>
  <c r="W204" i="1"/>
  <c r="S208" i="1"/>
  <c r="P208" i="1" s="1"/>
  <c r="X211" i="1"/>
  <c r="W212" i="1"/>
  <c r="S216" i="1"/>
  <c r="P216" i="1" s="1"/>
  <c r="X219" i="1"/>
  <c r="W220" i="1"/>
  <c r="S224" i="1"/>
  <c r="P224" i="1" s="1"/>
  <c r="R226" i="1"/>
  <c r="S229" i="1"/>
  <c r="P229" i="1" s="1"/>
  <c r="M234" i="1"/>
  <c r="X237" i="1"/>
  <c r="W237" i="1"/>
  <c r="W239" i="1"/>
  <c r="Q240" i="1"/>
  <c r="T248" i="1"/>
  <c r="M248" i="1"/>
  <c r="R248" i="1"/>
  <c r="X248" i="1"/>
  <c r="T256" i="1"/>
  <c r="U256" i="1" s="1"/>
  <c r="V256" i="1" s="1"/>
  <c r="M256" i="1"/>
  <c r="R256" i="1"/>
  <c r="S258" i="1"/>
  <c r="P258" i="1" s="1"/>
  <c r="X258" i="1"/>
  <c r="Q262" i="1"/>
  <c r="S267" i="1"/>
  <c r="P267" i="1" s="1"/>
  <c r="W267" i="1"/>
  <c r="X269" i="1"/>
  <c r="W269" i="1"/>
  <c r="X268" i="1"/>
  <c r="D272" i="1"/>
  <c r="W272" i="1"/>
  <c r="T275" i="1"/>
  <c r="U275" i="1" s="1"/>
  <c r="V275" i="1" s="1"/>
  <c r="T280" i="1"/>
  <c r="M280" i="1"/>
  <c r="R280" i="1"/>
  <c r="S282" i="1"/>
  <c r="P282" i="1" s="1"/>
  <c r="X282" i="1"/>
  <c r="Q286" i="1"/>
  <c r="Q288" i="1"/>
  <c r="T296" i="1"/>
  <c r="M296" i="1"/>
  <c r="R296" i="1"/>
  <c r="S298" i="1"/>
  <c r="P298" i="1" s="1"/>
  <c r="X298" i="1"/>
  <c r="Q302" i="1"/>
  <c r="X305" i="1"/>
  <c r="S307" i="1"/>
  <c r="P307" i="1" s="1"/>
  <c r="W307" i="1"/>
  <c r="X309" i="1"/>
  <c r="W309" i="1"/>
  <c r="X308" i="1"/>
  <c r="D312" i="1"/>
  <c r="W312" i="1"/>
  <c r="T315" i="1"/>
  <c r="Q325" i="1"/>
  <c r="S330" i="1"/>
  <c r="P330" i="1" s="1"/>
  <c r="X330" i="1"/>
  <c r="T331" i="1"/>
  <c r="U331" i="1" s="1"/>
  <c r="V331" i="1" s="1"/>
  <c r="M331" i="1"/>
  <c r="R331" i="1"/>
  <c r="X337" i="1"/>
  <c r="T360" i="1"/>
  <c r="U360" i="1" s="1"/>
  <c r="V360" i="1" s="1"/>
  <c r="M360" i="1"/>
  <c r="R360" i="1"/>
  <c r="W361" i="1"/>
  <c r="Q364" i="1"/>
  <c r="S370" i="1"/>
  <c r="P370" i="1" s="1"/>
  <c r="X370" i="1"/>
  <c r="T371" i="1"/>
  <c r="U371" i="1" s="1"/>
  <c r="V371" i="1" s="1"/>
  <c r="M371" i="1"/>
  <c r="R371" i="1"/>
  <c r="Q376" i="1"/>
  <c r="T384" i="1"/>
  <c r="M384" i="1"/>
  <c r="R384" i="1"/>
  <c r="W386" i="1"/>
  <c r="S389" i="1"/>
  <c r="P389" i="1" s="1"/>
  <c r="S388" i="1"/>
  <c r="P388" i="1" s="1"/>
  <c r="X389" i="1"/>
  <c r="W389" i="1"/>
  <c r="X388" i="1"/>
  <c r="S395" i="1"/>
  <c r="P395" i="1" s="1"/>
  <c r="W395" i="1"/>
  <c r="Q396" i="1"/>
  <c r="T401" i="1"/>
  <c r="U401" i="1" s="1"/>
  <c r="V401" i="1" s="1"/>
  <c r="M401" i="1"/>
  <c r="D432" i="1"/>
  <c r="T436" i="1"/>
  <c r="M436" i="1"/>
  <c r="R436" i="1"/>
  <c r="Q440" i="1"/>
  <c r="T456" i="1"/>
  <c r="U456" i="1" s="1"/>
  <c r="V456" i="1" s="1"/>
  <c r="M456" i="1"/>
  <c r="R456" i="1"/>
  <c r="Q470" i="1"/>
  <c r="T484" i="1"/>
  <c r="M484" i="1"/>
  <c r="R484" i="1"/>
  <c r="Q486" i="1"/>
  <c r="T500" i="1"/>
  <c r="M500" i="1"/>
  <c r="R500" i="1"/>
  <c r="Q502" i="1"/>
  <c r="Q518" i="1"/>
  <c r="Q534" i="1"/>
  <c r="Q550" i="1"/>
  <c r="T576" i="1"/>
  <c r="U576" i="1" s="1"/>
  <c r="V576" i="1" s="1"/>
  <c r="M576" i="1"/>
  <c r="R576" i="1"/>
  <c r="Q578" i="1"/>
  <c r="T583" i="1"/>
  <c r="M583" i="1"/>
  <c r="R583" i="1"/>
  <c r="Q643" i="1"/>
  <c r="S657" i="1"/>
  <c r="P657" i="1" s="1"/>
  <c r="X657" i="1"/>
  <c r="W657" i="1"/>
  <c r="X656" i="1"/>
  <c r="W656" i="1"/>
  <c r="R762" i="1"/>
  <c r="M762" i="1"/>
  <c r="T762" i="1"/>
  <c r="U762" i="1" s="1"/>
  <c r="V762" i="1" s="1"/>
  <c r="R818" i="1"/>
  <c r="M818" i="1"/>
  <c r="T818" i="1"/>
  <c r="U818" i="1" s="1"/>
  <c r="V818" i="1" s="1"/>
  <c r="T848" i="1"/>
  <c r="U848" i="1" s="1"/>
  <c r="V848" i="1" s="1"/>
  <c r="M848" i="1"/>
  <c r="R848" i="1"/>
  <c r="S857" i="1"/>
  <c r="P857" i="1" s="1"/>
  <c r="X857" i="1"/>
  <c r="W857" i="1"/>
  <c r="P861" i="1"/>
  <c r="T928" i="1"/>
  <c r="U928" i="1" s="1"/>
  <c r="V928" i="1" s="1"/>
  <c r="M928" i="1"/>
  <c r="R928" i="1"/>
  <c r="X277" i="1"/>
  <c r="W277" i="1"/>
  <c r="Q309" i="1"/>
  <c r="T336" i="1"/>
  <c r="M336" i="1"/>
  <c r="R336" i="1"/>
  <c r="S405" i="1"/>
  <c r="P405" i="1" s="1"/>
  <c r="S404" i="1"/>
  <c r="P404" i="1" s="1"/>
  <c r="X405" i="1"/>
  <c r="W405" i="1"/>
  <c r="X404" i="1"/>
  <c r="T452" i="1"/>
  <c r="U452" i="1" s="1"/>
  <c r="V452" i="1" s="1"/>
  <c r="M452" i="1"/>
  <c r="R452" i="1"/>
  <c r="T544" i="1"/>
  <c r="U544" i="1" s="1"/>
  <c r="V544" i="1" s="1"/>
  <c r="M544" i="1"/>
  <c r="R544" i="1"/>
  <c r="W19" i="1"/>
  <c r="X2" i="1"/>
  <c r="S8" i="1"/>
  <c r="P8" i="1" s="1"/>
  <c r="X12" i="1"/>
  <c r="W21" i="1"/>
  <c r="R26" i="1"/>
  <c r="S33" i="1"/>
  <c r="P33" i="1" s="1"/>
  <c r="R34" i="1"/>
  <c r="S41" i="1"/>
  <c r="P41" i="1" s="1"/>
  <c r="R42" i="1"/>
  <c r="S49" i="1"/>
  <c r="P49" i="1" s="1"/>
  <c r="S57" i="1"/>
  <c r="P57" i="1" s="1"/>
  <c r="R58" i="1"/>
  <c r="S65" i="1"/>
  <c r="P65" i="1" s="1"/>
  <c r="R66" i="1"/>
  <c r="S73" i="1"/>
  <c r="P73" i="1" s="1"/>
  <c r="R74" i="1"/>
  <c r="S81" i="1"/>
  <c r="P81" i="1" s="1"/>
  <c r="R82" i="1"/>
  <c r="S89" i="1"/>
  <c r="P89" i="1" s="1"/>
  <c r="S97" i="1"/>
  <c r="P97" i="1" s="1"/>
  <c r="R98" i="1"/>
  <c r="S105" i="1"/>
  <c r="P105" i="1" s="1"/>
  <c r="R106" i="1"/>
  <c r="S113" i="1"/>
  <c r="P113" i="1" s="1"/>
  <c r="R114" i="1"/>
  <c r="S121" i="1"/>
  <c r="P121" i="1" s="1"/>
  <c r="R122" i="1"/>
  <c r="S129" i="1"/>
  <c r="P129" i="1" s="1"/>
  <c r="R130" i="1"/>
  <c r="S137" i="1"/>
  <c r="P137" i="1" s="1"/>
  <c r="R138" i="1"/>
  <c r="S145" i="1"/>
  <c r="P145" i="1" s="1"/>
  <c r="R146" i="1"/>
  <c r="S153" i="1"/>
  <c r="P153" i="1" s="1"/>
  <c r="R154" i="1"/>
  <c r="S161" i="1"/>
  <c r="P161" i="1" s="1"/>
  <c r="R162" i="1"/>
  <c r="S169" i="1"/>
  <c r="P169" i="1" s="1"/>
  <c r="R170" i="1"/>
  <c r="S177" i="1"/>
  <c r="P177" i="1" s="1"/>
  <c r="R178" i="1"/>
  <c r="R186" i="1"/>
  <c r="S193" i="1"/>
  <c r="P193" i="1" s="1"/>
  <c r="R194" i="1"/>
  <c r="S201" i="1"/>
  <c r="P201" i="1" s="1"/>
  <c r="R202" i="1"/>
  <c r="S209" i="1"/>
  <c r="P209" i="1" s="1"/>
  <c r="R210" i="1"/>
  <c r="S217" i="1"/>
  <c r="P217" i="1" s="1"/>
  <c r="S225" i="1"/>
  <c r="P225" i="1" s="1"/>
  <c r="T226" i="1"/>
  <c r="U226" i="1" s="1"/>
  <c r="V226" i="1" s="1"/>
  <c r="S235" i="1"/>
  <c r="P235" i="1" s="1"/>
  <c r="Q236" i="1"/>
  <c r="X239" i="1"/>
  <c r="S240" i="1"/>
  <c r="P240" i="1" s="1"/>
  <c r="T241" i="1"/>
  <c r="U241" i="1" s="1"/>
  <c r="V241" i="1" s="1"/>
  <c r="M241" i="1"/>
  <c r="X241" i="1"/>
  <c r="W250" i="1"/>
  <c r="Q252" i="1"/>
  <c r="W252" i="1"/>
  <c r="Q261" i="1"/>
  <c r="Q264" i="1"/>
  <c r="X272" i="1"/>
  <c r="T274" i="1"/>
  <c r="U274" i="1" s="1"/>
  <c r="V274" i="1" s="1"/>
  <c r="M274" i="1"/>
  <c r="R274" i="1"/>
  <c r="S277" i="1"/>
  <c r="P277" i="1" s="1"/>
  <c r="Q285" i="1"/>
  <c r="S289" i="1"/>
  <c r="P289" i="1" s="1"/>
  <c r="Q292" i="1"/>
  <c r="W292" i="1"/>
  <c r="Q301" i="1"/>
  <c r="Q304" i="1"/>
  <c r="X312" i="1"/>
  <c r="T314" i="1"/>
  <c r="U314" i="1" s="1"/>
  <c r="V314" i="1" s="1"/>
  <c r="M314" i="1"/>
  <c r="R314" i="1"/>
  <c r="W321" i="1"/>
  <c r="S331" i="1"/>
  <c r="P331" i="1" s="1"/>
  <c r="W331" i="1"/>
  <c r="W332" i="1"/>
  <c r="S333" i="1"/>
  <c r="P333" i="1" s="1"/>
  <c r="R340" i="1"/>
  <c r="U340" i="1" s="1"/>
  <c r="V340" i="1" s="1"/>
  <c r="T348" i="1"/>
  <c r="U348" i="1" s="1"/>
  <c r="V348" i="1" s="1"/>
  <c r="S348" i="1"/>
  <c r="P348" i="1" s="1"/>
  <c r="X349" i="1"/>
  <c r="W349" i="1"/>
  <c r="X348" i="1"/>
  <c r="T353" i="1"/>
  <c r="U353" i="1" s="1"/>
  <c r="V353" i="1" s="1"/>
  <c r="M353" i="1"/>
  <c r="Q357" i="1"/>
  <c r="S371" i="1"/>
  <c r="P371" i="1" s="1"/>
  <c r="W371" i="1"/>
  <c r="W372" i="1"/>
  <c r="S373" i="1"/>
  <c r="P373" i="1" s="1"/>
  <c r="T396" i="1"/>
  <c r="M396" i="1"/>
  <c r="R396" i="1"/>
  <c r="Q400" i="1"/>
  <c r="W410" i="1"/>
  <c r="S413" i="1"/>
  <c r="P413" i="1" s="1"/>
  <c r="S412" i="1"/>
  <c r="P412" i="1" s="1"/>
  <c r="X413" i="1"/>
  <c r="W413" i="1"/>
  <c r="X412" i="1"/>
  <c r="S419" i="1"/>
  <c r="P419" i="1" s="1"/>
  <c r="W419" i="1"/>
  <c r="Q420" i="1"/>
  <c r="T425" i="1"/>
  <c r="U425" i="1" s="1"/>
  <c r="V425" i="1" s="1"/>
  <c r="M425" i="1"/>
  <c r="W428" i="1"/>
  <c r="T457" i="1"/>
  <c r="U457" i="1" s="1"/>
  <c r="V457" i="1" s="1"/>
  <c r="M457" i="1"/>
  <c r="R457" i="1"/>
  <c r="Q460" i="1"/>
  <c r="S467" i="1"/>
  <c r="P467" i="1" s="1"/>
  <c r="X467" i="1"/>
  <c r="W467" i="1"/>
  <c r="S483" i="1"/>
  <c r="P483" i="1" s="1"/>
  <c r="X483" i="1"/>
  <c r="W483" i="1"/>
  <c r="S499" i="1"/>
  <c r="P499" i="1" s="1"/>
  <c r="X499" i="1"/>
  <c r="W499" i="1"/>
  <c r="S515" i="1"/>
  <c r="P515" i="1" s="1"/>
  <c r="X515" i="1"/>
  <c r="W515" i="1"/>
  <c r="S531" i="1"/>
  <c r="P531" i="1" s="1"/>
  <c r="X531" i="1"/>
  <c r="W531" i="1"/>
  <c r="P546" i="1"/>
  <c r="S547" i="1"/>
  <c r="P547" i="1" s="1"/>
  <c r="X547" i="1"/>
  <c r="W547" i="1"/>
  <c r="T609" i="1"/>
  <c r="U609" i="1" s="1"/>
  <c r="V609" i="1" s="1"/>
  <c r="M609" i="1"/>
  <c r="R609" i="1"/>
  <c r="S704" i="1"/>
  <c r="P704" i="1" s="1"/>
  <c r="X704" i="1"/>
  <c r="W704" i="1"/>
  <c r="X703" i="1"/>
  <c r="W703" i="1"/>
  <c r="Q756" i="1"/>
  <c r="T769" i="1"/>
  <c r="U769" i="1" s="1"/>
  <c r="V769" i="1" s="1"/>
  <c r="M769" i="1"/>
  <c r="R769" i="1"/>
  <c r="T926" i="1"/>
  <c r="M926" i="1"/>
  <c r="R926" i="1"/>
  <c r="T1229" i="1"/>
  <c r="M1229" i="1"/>
  <c r="R1229" i="1"/>
  <c r="T352" i="1"/>
  <c r="U352" i="1" s="1"/>
  <c r="V352" i="1" s="1"/>
  <c r="M352" i="1"/>
  <c r="R352" i="1"/>
  <c r="S362" i="1"/>
  <c r="P362" i="1" s="1"/>
  <c r="X362" i="1"/>
  <c r="T464" i="1"/>
  <c r="M464" i="1"/>
  <c r="R464" i="1"/>
  <c r="T800" i="1"/>
  <c r="U800" i="1" s="1"/>
  <c r="V800" i="1" s="1"/>
  <c r="M800" i="1"/>
  <c r="R800" i="1"/>
  <c r="W4" i="1"/>
  <c r="X10" i="1"/>
  <c r="W27" i="1"/>
  <c r="W13" i="1"/>
  <c r="S17" i="1"/>
  <c r="P17" i="1" s="1"/>
  <c r="R18" i="1"/>
  <c r="S25" i="1"/>
  <c r="P25" i="1" s="1"/>
  <c r="S3" i="1"/>
  <c r="P3" i="1" s="1"/>
  <c r="W6" i="1"/>
  <c r="W14" i="1"/>
  <c r="W22" i="1"/>
  <c r="W30" i="1"/>
  <c r="S34" i="1"/>
  <c r="P34" i="1" s="1"/>
  <c r="W38" i="1"/>
  <c r="W46" i="1"/>
  <c r="X53" i="1"/>
  <c r="W54" i="1"/>
  <c r="X61" i="1"/>
  <c r="W62" i="1"/>
  <c r="X69" i="1"/>
  <c r="W70" i="1"/>
  <c r="X77" i="1"/>
  <c r="W78" i="1"/>
  <c r="X85" i="1"/>
  <c r="W86" i="1"/>
  <c r="W94" i="1"/>
  <c r="X101" i="1"/>
  <c r="W102" i="1"/>
  <c r="X109" i="1"/>
  <c r="W110" i="1"/>
  <c r="X117" i="1"/>
  <c r="W118" i="1"/>
  <c r="X125" i="1"/>
  <c r="W126" i="1"/>
  <c r="X133" i="1"/>
  <c r="W134" i="1"/>
  <c r="X141" i="1"/>
  <c r="W142" i="1"/>
  <c r="X149" i="1"/>
  <c r="W150" i="1"/>
  <c r="X157" i="1"/>
  <c r="W158" i="1"/>
  <c r="X165" i="1"/>
  <c r="W166" i="1"/>
  <c r="X173" i="1"/>
  <c r="W174" i="1"/>
  <c r="X181" i="1"/>
  <c r="W182" i="1"/>
  <c r="X189" i="1"/>
  <c r="W190" i="1"/>
  <c r="X197" i="1"/>
  <c r="W198" i="1"/>
  <c r="X205" i="1"/>
  <c r="W206" i="1"/>
  <c r="X213" i="1"/>
  <c r="W214" i="1"/>
  <c r="X221" i="1"/>
  <c r="W222" i="1"/>
  <c r="S234" i="1"/>
  <c r="P234" i="1" s="1"/>
  <c r="X234" i="1"/>
  <c r="T235" i="1"/>
  <c r="U235" i="1" s="1"/>
  <c r="V235" i="1" s="1"/>
  <c r="Q237" i="1"/>
  <c r="S239" i="1"/>
  <c r="P239" i="1" s="1"/>
  <c r="S241" i="1"/>
  <c r="P241" i="1" s="1"/>
  <c r="T242" i="1"/>
  <c r="U242" i="1" s="1"/>
  <c r="V242" i="1" s="1"/>
  <c r="R247" i="1"/>
  <c r="T251" i="1"/>
  <c r="U251" i="1" s="1"/>
  <c r="V251" i="1" s="1"/>
  <c r="S253" i="1"/>
  <c r="P253" i="1" s="1"/>
  <c r="R255" i="1"/>
  <c r="W257" i="1"/>
  <c r="S265" i="1"/>
  <c r="P265" i="1" s="1"/>
  <c r="Q268" i="1"/>
  <c r="W268" i="1"/>
  <c r="S274" i="1"/>
  <c r="P274" i="1" s="1"/>
  <c r="X274" i="1"/>
  <c r="W281" i="1"/>
  <c r="W288" i="1"/>
  <c r="T291" i="1"/>
  <c r="U291" i="1" s="1"/>
  <c r="V291" i="1" s="1"/>
  <c r="S293" i="1"/>
  <c r="P293" i="1" s="1"/>
  <c r="R295" i="1"/>
  <c r="W297" i="1"/>
  <c r="S305" i="1"/>
  <c r="P305" i="1" s="1"/>
  <c r="Q308" i="1"/>
  <c r="W308" i="1"/>
  <c r="T312" i="1"/>
  <c r="M312" i="1"/>
  <c r="R312" i="1"/>
  <c r="S314" i="1"/>
  <c r="P314" i="1" s="1"/>
  <c r="X314" i="1"/>
  <c r="Q315" i="1"/>
  <c r="X321" i="1"/>
  <c r="S323" i="1"/>
  <c r="P323" i="1" s="1"/>
  <c r="W323" i="1"/>
  <c r="X325" i="1"/>
  <c r="W325" i="1"/>
  <c r="X324" i="1"/>
  <c r="W329" i="1"/>
  <c r="Q332" i="1"/>
  <c r="Q336" i="1"/>
  <c r="Q341" i="1"/>
  <c r="S346" i="1"/>
  <c r="P346" i="1" s="1"/>
  <c r="X346" i="1"/>
  <c r="T347" i="1"/>
  <c r="U347" i="1" s="1"/>
  <c r="V347" i="1" s="1"/>
  <c r="M347" i="1"/>
  <c r="R347" i="1"/>
  <c r="Q352" i="1"/>
  <c r="S353" i="1"/>
  <c r="P353" i="1" s="1"/>
  <c r="W362" i="1"/>
  <c r="P366" i="1"/>
  <c r="T368" i="1"/>
  <c r="U368" i="1" s="1"/>
  <c r="V368" i="1" s="1"/>
  <c r="M368" i="1"/>
  <c r="R368" i="1"/>
  <c r="W369" i="1"/>
  <c r="Q372" i="1"/>
  <c r="S379" i="1"/>
  <c r="P379" i="1" s="1"/>
  <c r="W379" i="1"/>
  <c r="Q380" i="1"/>
  <c r="T385" i="1"/>
  <c r="U385" i="1" s="1"/>
  <c r="V385" i="1" s="1"/>
  <c r="M385" i="1"/>
  <c r="W388" i="1"/>
  <c r="T420" i="1"/>
  <c r="M420" i="1"/>
  <c r="R420" i="1"/>
  <c r="Q424" i="1"/>
  <c r="T432" i="1"/>
  <c r="M432" i="1"/>
  <c r="R432" i="1"/>
  <c r="W434" i="1"/>
  <c r="S437" i="1"/>
  <c r="P437" i="1" s="1"/>
  <c r="S436" i="1"/>
  <c r="P436" i="1" s="1"/>
  <c r="X437" i="1"/>
  <c r="W437" i="1"/>
  <c r="X436" i="1"/>
  <c r="S443" i="1"/>
  <c r="P443" i="1" s="1"/>
  <c r="X443" i="1"/>
  <c r="W443" i="1"/>
  <c r="T444" i="1"/>
  <c r="U444" i="1" s="1"/>
  <c r="V444" i="1" s="1"/>
  <c r="M444" i="1"/>
  <c r="R444" i="1"/>
  <c r="Q446" i="1"/>
  <c r="W450" i="1"/>
  <c r="T460" i="1"/>
  <c r="U460" i="1" s="1"/>
  <c r="V460" i="1" s="1"/>
  <c r="M460" i="1"/>
  <c r="R460" i="1"/>
  <c r="T472" i="1"/>
  <c r="M472" i="1"/>
  <c r="R472" i="1"/>
  <c r="T488" i="1"/>
  <c r="M488" i="1"/>
  <c r="R488" i="1"/>
  <c r="T536" i="1"/>
  <c r="U536" i="1" s="1"/>
  <c r="V536" i="1" s="1"/>
  <c r="M536" i="1"/>
  <c r="R536" i="1"/>
  <c r="T552" i="1"/>
  <c r="U552" i="1" s="1"/>
  <c r="V552" i="1" s="1"/>
  <c r="M552" i="1"/>
  <c r="R552" i="1"/>
  <c r="T560" i="1"/>
  <c r="U560" i="1" s="1"/>
  <c r="V560" i="1" s="1"/>
  <c r="M560" i="1"/>
  <c r="R560" i="1"/>
  <c r="T569" i="1"/>
  <c r="U569" i="1" s="1"/>
  <c r="V569" i="1" s="1"/>
  <c r="M569" i="1"/>
  <c r="R569" i="1"/>
  <c r="T572" i="1"/>
  <c r="U572" i="1" s="1"/>
  <c r="V572" i="1" s="1"/>
  <c r="M572" i="1"/>
  <c r="R572" i="1"/>
  <c r="Q574" i="1"/>
  <c r="W614" i="1"/>
  <c r="X613" i="1"/>
  <c r="S614" i="1"/>
  <c r="P614" i="1" s="1"/>
  <c r="X614" i="1"/>
  <c r="W613" i="1"/>
  <c r="S613" i="1"/>
  <c r="P613" i="1" s="1"/>
  <c r="Q633" i="1"/>
  <c r="Q635" i="1"/>
  <c r="T768" i="1"/>
  <c r="U768" i="1" s="1"/>
  <c r="V768" i="1" s="1"/>
  <c r="M768" i="1"/>
  <c r="R768" i="1"/>
  <c r="S856" i="1"/>
  <c r="P856" i="1" s="1"/>
  <c r="S855" i="1"/>
  <c r="P855" i="1" s="1"/>
  <c r="X856" i="1"/>
  <c r="X855" i="1"/>
  <c r="W856" i="1"/>
  <c r="W855" i="1"/>
  <c r="Q923" i="1"/>
  <c r="T1024" i="1"/>
  <c r="U1024" i="1" s="1"/>
  <c r="V1024" i="1" s="1"/>
  <c r="M1024" i="1"/>
  <c r="R1024" i="1"/>
  <c r="T1349" i="1"/>
  <c r="U1349" i="1" s="1"/>
  <c r="V1349" i="1" s="1"/>
  <c r="W178" i="1"/>
  <c r="Q269" i="1"/>
  <c r="T322" i="1"/>
  <c r="U322" i="1" s="1"/>
  <c r="V322" i="1" s="1"/>
  <c r="M322" i="1"/>
  <c r="R322" i="1"/>
  <c r="T363" i="1"/>
  <c r="U363" i="1" s="1"/>
  <c r="V363" i="1" s="1"/>
  <c r="M363" i="1"/>
  <c r="R363" i="1"/>
  <c r="T417" i="1"/>
  <c r="U417" i="1" s="1"/>
  <c r="V417" i="1" s="1"/>
  <c r="M417" i="1"/>
  <c r="W606" i="1"/>
  <c r="X605" i="1"/>
  <c r="S606" i="1"/>
  <c r="P606" i="1" s="1"/>
  <c r="X606" i="1"/>
  <c r="W605" i="1"/>
  <c r="S605" i="1"/>
  <c r="P605" i="1" s="1"/>
  <c r="S696" i="1"/>
  <c r="P696" i="1" s="1"/>
  <c r="X696" i="1"/>
  <c r="W696" i="1"/>
  <c r="X695" i="1"/>
  <c r="W695" i="1"/>
  <c r="Q819" i="1"/>
  <c r="W11" i="1"/>
  <c r="W5" i="1"/>
  <c r="S9" i="1"/>
  <c r="P9" i="1" s="1"/>
  <c r="R10" i="1"/>
  <c r="R5" i="1"/>
  <c r="M10" i="1"/>
  <c r="M18" i="1"/>
  <c r="R20" i="1"/>
  <c r="M26" i="1"/>
  <c r="R28" i="1"/>
  <c r="M34" i="1"/>
  <c r="R36" i="1"/>
  <c r="M42" i="1"/>
  <c r="R52" i="1"/>
  <c r="M58" i="1"/>
  <c r="R60" i="1"/>
  <c r="M66" i="1"/>
  <c r="R68" i="1"/>
  <c r="M74" i="1"/>
  <c r="R76" i="1"/>
  <c r="M82" i="1"/>
  <c r="R84" i="1"/>
  <c r="R92" i="1"/>
  <c r="M98" i="1"/>
  <c r="R100" i="1"/>
  <c r="M114" i="1"/>
  <c r="M122" i="1"/>
  <c r="R124" i="1"/>
  <c r="M130" i="1"/>
  <c r="R132" i="1"/>
  <c r="M138" i="1"/>
  <c r="M146" i="1"/>
  <c r="R148" i="1"/>
  <c r="M154" i="1"/>
  <c r="R156" i="1"/>
  <c r="M162" i="1"/>
  <c r="M170" i="1"/>
  <c r="R172" i="1"/>
  <c r="M178" i="1"/>
  <c r="R180" i="1"/>
  <c r="M186" i="1"/>
  <c r="M194" i="1"/>
  <c r="R196" i="1"/>
  <c r="U196" i="1" s="1"/>
  <c r="V196" i="1" s="1"/>
  <c r="M202" i="1"/>
  <c r="M210" i="1"/>
  <c r="R212" i="1"/>
  <c r="U212" i="1" s="1"/>
  <c r="V212" i="1" s="1"/>
  <c r="W231" i="1"/>
  <c r="Q232" i="1"/>
  <c r="W233" i="1"/>
  <c r="R237" i="1"/>
  <c r="T247" i="1"/>
  <c r="U247" i="1" s="1"/>
  <c r="V247" i="1" s="1"/>
  <c r="S250" i="1"/>
  <c r="P250" i="1" s="1"/>
  <c r="X250" i="1"/>
  <c r="T255" i="1"/>
  <c r="U255" i="1" s="1"/>
  <c r="V255" i="1" s="1"/>
  <c r="X257" i="1"/>
  <c r="S259" i="1"/>
  <c r="P259" i="1" s="1"/>
  <c r="W259" i="1"/>
  <c r="X261" i="1"/>
  <c r="W261" i="1"/>
  <c r="X260" i="1"/>
  <c r="D264" i="1"/>
  <c r="W264" i="1"/>
  <c r="T267" i="1"/>
  <c r="U267" i="1" s="1"/>
  <c r="V267" i="1" s="1"/>
  <c r="S269" i="1"/>
  <c r="P269" i="1" s="1"/>
  <c r="M275" i="1"/>
  <c r="X281" i="1"/>
  <c r="S283" i="1"/>
  <c r="P283" i="1" s="1"/>
  <c r="W283" i="1"/>
  <c r="X285" i="1"/>
  <c r="W285" i="1"/>
  <c r="X284" i="1"/>
  <c r="X288" i="1"/>
  <c r="T290" i="1"/>
  <c r="U290" i="1" s="1"/>
  <c r="V290" i="1" s="1"/>
  <c r="M290" i="1"/>
  <c r="R290" i="1"/>
  <c r="T295" i="1"/>
  <c r="U295" i="1" s="1"/>
  <c r="V295" i="1" s="1"/>
  <c r="X297" i="1"/>
  <c r="S299" i="1"/>
  <c r="P299" i="1" s="1"/>
  <c r="W299" i="1"/>
  <c r="T300" i="1"/>
  <c r="X301" i="1"/>
  <c r="W301" i="1"/>
  <c r="X300" i="1"/>
  <c r="D304" i="1"/>
  <c r="W304" i="1"/>
  <c r="S309" i="1"/>
  <c r="P309" i="1" s="1"/>
  <c r="Q317" i="1"/>
  <c r="Q320" i="1"/>
  <c r="X329" i="1"/>
  <c r="S337" i="1"/>
  <c r="P337" i="1" s="1"/>
  <c r="T344" i="1"/>
  <c r="M344" i="1"/>
  <c r="R344" i="1"/>
  <c r="S347" i="1"/>
  <c r="P347" i="1" s="1"/>
  <c r="W347" i="1"/>
  <c r="W348" i="1"/>
  <c r="S349" i="1"/>
  <c r="P349" i="1" s="1"/>
  <c r="T356" i="1"/>
  <c r="U356" i="1" s="1"/>
  <c r="V356" i="1" s="1"/>
  <c r="S356" i="1"/>
  <c r="P356" i="1" s="1"/>
  <c r="X357" i="1"/>
  <c r="W357" i="1"/>
  <c r="X356" i="1"/>
  <c r="T361" i="1"/>
  <c r="U361" i="1" s="1"/>
  <c r="V361" i="1" s="1"/>
  <c r="M361" i="1"/>
  <c r="Q365" i="1"/>
  <c r="X369" i="1"/>
  <c r="R377" i="1"/>
  <c r="R380" i="1"/>
  <c r="Q384" i="1"/>
  <c r="T392" i="1"/>
  <c r="W394" i="1"/>
  <c r="S397" i="1"/>
  <c r="P397" i="1" s="1"/>
  <c r="S396" i="1"/>
  <c r="P396" i="1" s="1"/>
  <c r="X397" i="1"/>
  <c r="W397" i="1"/>
  <c r="X396" i="1"/>
  <c r="S403" i="1"/>
  <c r="P403" i="1" s="1"/>
  <c r="W403" i="1"/>
  <c r="Q404" i="1"/>
  <c r="T409" i="1"/>
  <c r="U409" i="1" s="1"/>
  <c r="V409" i="1" s="1"/>
  <c r="M409" i="1"/>
  <c r="W412" i="1"/>
  <c r="D440" i="1"/>
  <c r="R441" i="1"/>
  <c r="P458" i="1"/>
  <c r="S459" i="1"/>
  <c r="P459" i="1" s="1"/>
  <c r="X459" i="1"/>
  <c r="W459" i="1"/>
  <c r="T473" i="1"/>
  <c r="U473" i="1" s="1"/>
  <c r="V473" i="1" s="1"/>
  <c r="M473" i="1"/>
  <c r="R473" i="1"/>
  <c r="Q476" i="1"/>
  <c r="T489" i="1"/>
  <c r="U489" i="1" s="1"/>
  <c r="V489" i="1" s="1"/>
  <c r="M489" i="1"/>
  <c r="R489" i="1"/>
  <c r="Q492" i="1"/>
  <c r="T505" i="1"/>
  <c r="U505" i="1" s="1"/>
  <c r="V505" i="1" s="1"/>
  <c r="M505" i="1"/>
  <c r="R505" i="1"/>
  <c r="Q508" i="1"/>
  <c r="T521" i="1"/>
  <c r="U521" i="1" s="1"/>
  <c r="V521" i="1" s="1"/>
  <c r="M521" i="1"/>
  <c r="R521" i="1"/>
  <c r="Q524" i="1"/>
  <c r="T537" i="1"/>
  <c r="U537" i="1" s="1"/>
  <c r="V537" i="1" s="1"/>
  <c r="M537" i="1"/>
  <c r="R537" i="1"/>
  <c r="Q540" i="1"/>
  <c r="T553" i="1"/>
  <c r="U553" i="1" s="1"/>
  <c r="V553" i="1" s="1"/>
  <c r="M553" i="1"/>
  <c r="R553" i="1"/>
  <c r="T561" i="1"/>
  <c r="U561" i="1" s="1"/>
  <c r="V561" i="1" s="1"/>
  <c r="M561" i="1"/>
  <c r="R561" i="1"/>
  <c r="T564" i="1"/>
  <c r="U564" i="1" s="1"/>
  <c r="V564" i="1" s="1"/>
  <c r="M564" i="1"/>
  <c r="R564" i="1"/>
  <c r="Q566" i="1"/>
  <c r="Q571" i="1"/>
  <c r="Q596" i="1"/>
  <c r="W598" i="1"/>
  <c r="X597" i="1"/>
  <c r="S598" i="1"/>
  <c r="P598" i="1" s="1"/>
  <c r="X598" i="1"/>
  <c r="W597" i="1"/>
  <c r="S597" i="1"/>
  <c r="P597" i="1" s="1"/>
  <c r="S642" i="1"/>
  <c r="P642" i="1" s="1"/>
  <c r="X642" i="1"/>
  <c r="W642" i="1"/>
  <c r="S641" i="1"/>
  <c r="P641" i="1" s="1"/>
  <c r="Q748" i="1"/>
  <c r="Q795" i="1"/>
  <c r="T888" i="1"/>
  <c r="U888" i="1" s="1"/>
  <c r="V888" i="1" s="1"/>
  <c r="M888" i="1"/>
  <c r="R888" i="1"/>
  <c r="T1080" i="1"/>
  <c r="U1080" i="1" s="1"/>
  <c r="V1080" i="1" s="1"/>
  <c r="M1080" i="1"/>
  <c r="R1080" i="1"/>
  <c r="S339" i="1"/>
  <c r="P339" i="1" s="1"/>
  <c r="W339" i="1"/>
  <c r="T388" i="1"/>
  <c r="M388" i="1"/>
  <c r="R388" i="1"/>
  <c r="R406" i="1"/>
  <c r="T406" i="1"/>
  <c r="U406" i="1" s="1"/>
  <c r="V406" i="1" s="1"/>
  <c r="M406" i="1"/>
  <c r="S411" i="1"/>
  <c r="P411" i="1" s="1"/>
  <c r="W411" i="1"/>
  <c r="T528" i="1"/>
  <c r="M528" i="1"/>
  <c r="R528" i="1"/>
  <c r="T655" i="1"/>
  <c r="M655" i="1"/>
  <c r="R655" i="1"/>
  <c r="X229" i="1"/>
  <c r="W229" i="1"/>
  <c r="X228" i="1"/>
  <c r="P237" i="1"/>
  <c r="T240" i="1"/>
  <c r="M240" i="1"/>
  <c r="R240" i="1"/>
  <c r="W249" i="1"/>
  <c r="T266" i="1"/>
  <c r="U266" i="1" s="1"/>
  <c r="V266" i="1" s="1"/>
  <c r="M266" i="1"/>
  <c r="R266" i="1"/>
  <c r="Q277" i="1"/>
  <c r="T288" i="1"/>
  <c r="M288" i="1"/>
  <c r="R288" i="1"/>
  <c r="S290" i="1"/>
  <c r="P290" i="1" s="1"/>
  <c r="X290" i="1"/>
  <c r="T306" i="1"/>
  <c r="U306" i="1" s="1"/>
  <c r="V306" i="1" s="1"/>
  <c r="M306" i="1"/>
  <c r="R306" i="1"/>
  <c r="R315" i="1"/>
  <c r="S340" i="1"/>
  <c r="P340" i="1" s="1"/>
  <c r="X341" i="1"/>
  <c r="W341" i="1"/>
  <c r="X340" i="1"/>
  <c r="S354" i="1"/>
  <c r="P354" i="1" s="1"/>
  <c r="X354" i="1"/>
  <c r="T355" i="1"/>
  <c r="U355" i="1" s="1"/>
  <c r="V355" i="1" s="1"/>
  <c r="M355" i="1"/>
  <c r="R355" i="1"/>
  <c r="T358" i="1"/>
  <c r="U358" i="1" s="1"/>
  <c r="V358" i="1" s="1"/>
  <c r="M358" i="1"/>
  <c r="S361" i="1"/>
  <c r="P361" i="1" s="1"/>
  <c r="R372" i="1"/>
  <c r="T376" i="1"/>
  <c r="M376" i="1"/>
  <c r="R376" i="1"/>
  <c r="T404" i="1"/>
  <c r="M404" i="1"/>
  <c r="R404" i="1"/>
  <c r="T416" i="1"/>
  <c r="M416" i="1"/>
  <c r="R416" i="1"/>
  <c r="S421" i="1"/>
  <c r="P421" i="1" s="1"/>
  <c r="S420" i="1"/>
  <c r="P420" i="1" s="1"/>
  <c r="X421" i="1"/>
  <c r="W421" i="1"/>
  <c r="X420" i="1"/>
  <c r="S427" i="1"/>
  <c r="P427" i="1" s="1"/>
  <c r="W427" i="1"/>
  <c r="T433" i="1"/>
  <c r="U433" i="1" s="1"/>
  <c r="V433" i="1" s="1"/>
  <c r="M433" i="1"/>
  <c r="T448" i="1"/>
  <c r="U448" i="1" s="1"/>
  <c r="V448" i="1" s="1"/>
  <c r="M448" i="1"/>
  <c r="R448" i="1"/>
  <c r="Q462" i="1"/>
  <c r="Q478" i="1"/>
  <c r="T492" i="1"/>
  <c r="M492" i="1"/>
  <c r="R492" i="1"/>
  <c r="Q494" i="1"/>
  <c r="T508" i="1"/>
  <c r="M508" i="1"/>
  <c r="R508" i="1"/>
  <c r="Q510" i="1"/>
  <c r="T524" i="1"/>
  <c r="M524" i="1"/>
  <c r="R524" i="1"/>
  <c r="Q526" i="1"/>
  <c r="Q542" i="1"/>
  <c r="T556" i="1"/>
  <c r="U556" i="1" s="1"/>
  <c r="V556" i="1" s="1"/>
  <c r="M556" i="1"/>
  <c r="R556" i="1"/>
  <c r="Q558" i="1"/>
  <c r="Q563" i="1"/>
  <c r="S571" i="1"/>
  <c r="P571" i="1" s="1"/>
  <c r="X571" i="1"/>
  <c r="W571" i="1"/>
  <c r="X593" i="1"/>
  <c r="W593" i="1"/>
  <c r="X592" i="1"/>
  <c r="S593" i="1"/>
  <c r="P593" i="1" s="1"/>
  <c r="W592" i="1"/>
  <c r="Q637" i="1"/>
  <c r="T742" i="1"/>
  <c r="U742" i="1" s="1"/>
  <c r="V742" i="1" s="1"/>
  <c r="M742" i="1"/>
  <c r="R742" i="1"/>
  <c r="T801" i="1"/>
  <c r="U801" i="1" s="1"/>
  <c r="V801" i="1" s="1"/>
  <c r="M801" i="1"/>
  <c r="R801" i="1"/>
  <c r="Q859" i="1"/>
  <c r="T886" i="1"/>
  <c r="M886" i="1"/>
  <c r="T918" i="1"/>
  <c r="U918" i="1" s="1"/>
  <c r="V918" i="1" s="1"/>
  <c r="M918" i="1"/>
  <c r="R918" i="1"/>
  <c r="R1004" i="1"/>
  <c r="M1004" i="1"/>
  <c r="T1004" i="1"/>
  <c r="U1004" i="1" s="1"/>
  <c r="V1004" i="1" s="1"/>
  <c r="Q1324" i="1"/>
  <c r="P1322" i="1"/>
  <c r="Q454" i="1"/>
  <c r="M5" i="1"/>
  <c r="X8" i="1"/>
  <c r="X16" i="1"/>
  <c r="M20" i="1"/>
  <c r="X24" i="1"/>
  <c r="M28" i="1"/>
  <c r="X32" i="1"/>
  <c r="M36" i="1"/>
  <c r="X40" i="1"/>
  <c r="X48" i="1"/>
  <c r="M52" i="1"/>
  <c r="X56" i="1"/>
  <c r="M60" i="1"/>
  <c r="X64" i="1"/>
  <c r="M68" i="1"/>
  <c r="X72" i="1"/>
  <c r="M76" i="1"/>
  <c r="X80" i="1"/>
  <c r="M84" i="1"/>
  <c r="X88" i="1"/>
  <c r="M92" i="1"/>
  <c r="X96" i="1"/>
  <c r="M100" i="1"/>
  <c r="X104" i="1"/>
  <c r="X112" i="1"/>
  <c r="X120" i="1"/>
  <c r="M124" i="1"/>
  <c r="X128" i="1"/>
  <c r="M132" i="1"/>
  <c r="X136" i="1"/>
  <c r="X144" i="1"/>
  <c r="M148" i="1"/>
  <c r="X152" i="1"/>
  <c r="M156" i="1"/>
  <c r="X160" i="1"/>
  <c r="X168" i="1"/>
  <c r="M172" i="1"/>
  <c r="X176" i="1"/>
  <c r="M180" i="1"/>
  <c r="X192" i="1"/>
  <c r="M196" i="1"/>
  <c r="X200" i="1"/>
  <c r="X208" i="1"/>
  <c r="M212" i="1"/>
  <c r="X216" i="1"/>
  <c r="X224" i="1"/>
  <c r="S226" i="1"/>
  <c r="P226" i="1" s="1"/>
  <c r="X226" i="1"/>
  <c r="Q228" i="1"/>
  <c r="D232" i="1"/>
  <c r="X235" i="1"/>
  <c r="M242" i="1"/>
  <c r="X245" i="1"/>
  <c r="W245" i="1"/>
  <c r="X244" i="1"/>
  <c r="S248" i="1"/>
  <c r="P248" i="1" s="1"/>
  <c r="T249" i="1"/>
  <c r="U249" i="1" s="1"/>
  <c r="V249" i="1" s="1"/>
  <c r="M249" i="1"/>
  <c r="X249" i="1"/>
  <c r="M251" i="1"/>
  <c r="Q253" i="1"/>
  <c r="Q260" i="1"/>
  <c r="T264" i="1"/>
  <c r="U264" i="1" s="1"/>
  <c r="V264" i="1" s="1"/>
  <c r="M264" i="1"/>
  <c r="R264" i="1"/>
  <c r="S266" i="1"/>
  <c r="P266" i="1" s="1"/>
  <c r="X266" i="1"/>
  <c r="X273" i="1"/>
  <c r="S275" i="1"/>
  <c r="P275" i="1" s="1"/>
  <c r="W275" i="1"/>
  <c r="P278" i="1"/>
  <c r="Q284" i="1"/>
  <c r="M291" i="1"/>
  <c r="Q293" i="1"/>
  <c r="Q300" i="1"/>
  <c r="T304" i="1"/>
  <c r="M304" i="1"/>
  <c r="R304" i="1"/>
  <c r="S306" i="1"/>
  <c r="P306" i="1" s="1"/>
  <c r="X306" i="1"/>
  <c r="X313" i="1"/>
  <c r="S315" i="1"/>
  <c r="P315" i="1" s="1"/>
  <c r="W315" i="1"/>
  <c r="X317" i="1"/>
  <c r="W317" i="1"/>
  <c r="X316" i="1"/>
  <c r="D320" i="1"/>
  <c r="W320" i="1"/>
  <c r="M324" i="1"/>
  <c r="Q333" i="1"/>
  <c r="S338" i="1"/>
  <c r="P338" i="1" s="1"/>
  <c r="X338" i="1"/>
  <c r="T339" i="1"/>
  <c r="U339" i="1" s="1"/>
  <c r="V339" i="1" s="1"/>
  <c r="M339" i="1"/>
  <c r="R339" i="1"/>
  <c r="M348" i="1"/>
  <c r="S355" i="1"/>
  <c r="P355" i="1" s="1"/>
  <c r="W355" i="1"/>
  <c r="S364" i="1"/>
  <c r="P364" i="1" s="1"/>
  <c r="X365" i="1"/>
  <c r="W365" i="1"/>
  <c r="X364" i="1"/>
  <c r="T369" i="1"/>
  <c r="U369" i="1" s="1"/>
  <c r="V369" i="1" s="1"/>
  <c r="M369" i="1"/>
  <c r="Q373" i="1"/>
  <c r="S381" i="1"/>
  <c r="P381" i="1" s="1"/>
  <c r="S380" i="1"/>
  <c r="P380" i="1" s="1"/>
  <c r="X381" i="1"/>
  <c r="W381" i="1"/>
  <c r="X380" i="1"/>
  <c r="S387" i="1"/>
  <c r="P387" i="1" s="1"/>
  <c r="W387" i="1"/>
  <c r="Q388" i="1"/>
  <c r="T393" i="1"/>
  <c r="U393" i="1" s="1"/>
  <c r="V393" i="1" s="1"/>
  <c r="M393" i="1"/>
  <c r="D424" i="1"/>
  <c r="T428" i="1"/>
  <c r="M428" i="1"/>
  <c r="R428" i="1"/>
  <c r="T440" i="1"/>
  <c r="U440" i="1" s="1"/>
  <c r="V440" i="1" s="1"/>
  <c r="M440" i="1"/>
  <c r="R440" i="1"/>
  <c r="T449" i="1"/>
  <c r="U449" i="1" s="1"/>
  <c r="V449" i="1" s="1"/>
  <c r="M449" i="1"/>
  <c r="R449" i="1"/>
  <c r="P474" i="1"/>
  <c r="S475" i="1"/>
  <c r="P475" i="1" s="1"/>
  <c r="X475" i="1"/>
  <c r="W475" i="1"/>
  <c r="S491" i="1"/>
  <c r="P491" i="1" s="1"/>
  <c r="X491" i="1"/>
  <c r="W491" i="1"/>
  <c r="S507" i="1"/>
  <c r="P507" i="1" s="1"/>
  <c r="X507" i="1"/>
  <c r="W507" i="1"/>
  <c r="S523" i="1"/>
  <c r="P523" i="1" s="1"/>
  <c r="X523" i="1"/>
  <c r="W523" i="1"/>
  <c r="P538" i="1"/>
  <c r="S539" i="1"/>
  <c r="P539" i="1" s="1"/>
  <c r="X539" i="1"/>
  <c r="W539" i="1"/>
  <c r="S555" i="1"/>
  <c r="P555" i="1" s="1"/>
  <c r="X555" i="1"/>
  <c r="W555" i="1"/>
  <c r="S563" i="1"/>
  <c r="P563" i="1" s="1"/>
  <c r="X563" i="1"/>
  <c r="W563" i="1"/>
  <c r="T617" i="1"/>
  <c r="U617" i="1" s="1"/>
  <c r="V617" i="1" s="1"/>
  <c r="M617" i="1"/>
  <c r="R617" i="1"/>
  <c r="Q625" i="1"/>
  <c r="S666" i="1"/>
  <c r="P666" i="1" s="1"/>
  <c r="X666" i="1"/>
  <c r="W666" i="1"/>
  <c r="W665" i="1"/>
  <c r="T741" i="1"/>
  <c r="U741" i="1" s="1"/>
  <c r="V741" i="1" s="1"/>
  <c r="M741" i="1"/>
  <c r="R741" i="1"/>
  <c r="P759" i="1"/>
  <c r="Q788" i="1"/>
  <c r="R794" i="1"/>
  <c r="M794" i="1"/>
  <c r="T794" i="1"/>
  <c r="U794" i="1" s="1"/>
  <c r="V794" i="1" s="1"/>
  <c r="Q883" i="1"/>
  <c r="Q915" i="1"/>
  <c r="Q990" i="1"/>
  <c r="S351" i="1"/>
  <c r="P351" i="1" s="1"/>
  <c r="Q353" i="1"/>
  <c r="S359" i="1"/>
  <c r="P359" i="1" s="1"/>
  <c r="Q361" i="1"/>
  <c r="S367" i="1"/>
  <c r="P367" i="1" s="1"/>
  <c r="Q369" i="1"/>
  <c r="S375" i="1"/>
  <c r="P375" i="1" s="1"/>
  <c r="Q377" i="1"/>
  <c r="X378" i="1"/>
  <c r="S383" i="1"/>
  <c r="P383" i="1" s="1"/>
  <c r="Q385" i="1"/>
  <c r="X386" i="1"/>
  <c r="S391" i="1"/>
  <c r="P391" i="1" s="1"/>
  <c r="Q393" i="1"/>
  <c r="X394" i="1"/>
  <c r="S399" i="1"/>
  <c r="P399" i="1" s="1"/>
  <c r="Q401" i="1"/>
  <c r="X402" i="1"/>
  <c r="S407" i="1"/>
  <c r="P407" i="1" s="1"/>
  <c r="Q409" i="1"/>
  <c r="X410" i="1"/>
  <c r="S415" i="1"/>
  <c r="P415" i="1" s="1"/>
  <c r="Q417" i="1"/>
  <c r="X418" i="1"/>
  <c r="S423" i="1"/>
  <c r="P423" i="1" s="1"/>
  <c r="Q425" i="1"/>
  <c r="X426" i="1"/>
  <c r="S431" i="1"/>
  <c r="P431" i="1" s="1"/>
  <c r="Q433" i="1"/>
  <c r="X434" i="1"/>
  <c r="S439" i="1"/>
  <c r="P439" i="1" s="1"/>
  <c r="Q441" i="1"/>
  <c r="X442" i="1"/>
  <c r="S447" i="1"/>
  <c r="P447" i="1" s="1"/>
  <c r="Q449" i="1"/>
  <c r="X450" i="1"/>
  <c r="S455" i="1"/>
  <c r="P455" i="1" s="1"/>
  <c r="Q457" i="1"/>
  <c r="X458" i="1"/>
  <c r="S463" i="1"/>
  <c r="P463" i="1" s="1"/>
  <c r="Q465" i="1"/>
  <c r="X466" i="1"/>
  <c r="S471" i="1"/>
  <c r="P471" i="1" s="1"/>
  <c r="Q473" i="1"/>
  <c r="X474" i="1"/>
  <c r="S479" i="1"/>
  <c r="P479" i="1" s="1"/>
  <c r="Q481" i="1"/>
  <c r="X482" i="1"/>
  <c r="S487" i="1"/>
  <c r="P487" i="1" s="1"/>
  <c r="Q489" i="1"/>
  <c r="X490" i="1"/>
  <c r="S495" i="1"/>
  <c r="P495" i="1" s="1"/>
  <c r="Q497" i="1"/>
  <c r="X498" i="1"/>
  <c r="S503" i="1"/>
  <c r="P503" i="1" s="1"/>
  <c r="Q505" i="1"/>
  <c r="X506" i="1"/>
  <c r="S511" i="1"/>
  <c r="P511" i="1" s="1"/>
  <c r="Q513" i="1"/>
  <c r="X514" i="1"/>
  <c r="S519" i="1"/>
  <c r="P519" i="1" s="1"/>
  <c r="Q521" i="1"/>
  <c r="X522" i="1"/>
  <c r="S527" i="1"/>
  <c r="P527" i="1" s="1"/>
  <c r="Q529" i="1"/>
  <c r="X530" i="1"/>
  <c r="S535" i="1"/>
  <c r="P535" i="1" s="1"/>
  <c r="Q537" i="1"/>
  <c r="X538" i="1"/>
  <c r="S543" i="1"/>
  <c r="P543" i="1" s="1"/>
  <c r="Q545" i="1"/>
  <c r="X546" i="1"/>
  <c r="S551" i="1"/>
  <c r="P551" i="1" s="1"/>
  <c r="Q553" i="1"/>
  <c r="X554" i="1"/>
  <c r="S559" i="1"/>
  <c r="P559" i="1" s="1"/>
  <c r="Q561" i="1"/>
  <c r="X562" i="1"/>
  <c r="S567" i="1"/>
  <c r="P567" i="1" s="1"/>
  <c r="Q569" i="1"/>
  <c r="X570" i="1"/>
  <c r="S575" i="1"/>
  <c r="P575" i="1" s="1"/>
  <c r="W581" i="1"/>
  <c r="S583" i="1"/>
  <c r="P583" i="1" s="1"/>
  <c r="S585" i="1"/>
  <c r="P585" i="1" s="1"/>
  <c r="M586" i="1"/>
  <c r="S589" i="1"/>
  <c r="P589" i="1" s="1"/>
  <c r="X599" i="1"/>
  <c r="T600" i="1"/>
  <c r="U600" i="1" s="1"/>
  <c r="V600" i="1" s="1"/>
  <c r="Q604" i="1"/>
  <c r="X607" i="1"/>
  <c r="T608" i="1"/>
  <c r="U608" i="1" s="1"/>
  <c r="V608" i="1" s="1"/>
  <c r="Q612" i="1"/>
  <c r="X615" i="1"/>
  <c r="Q620" i="1"/>
  <c r="Q621" i="1"/>
  <c r="W622" i="1"/>
  <c r="X621" i="1"/>
  <c r="S622" i="1"/>
  <c r="P622" i="1" s="1"/>
  <c r="W623" i="1"/>
  <c r="Q629" i="1"/>
  <c r="W630" i="1"/>
  <c r="X629" i="1"/>
  <c r="S630" i="1"/>
  <c r="P630" i="1" s="1"/>
  <c r="W631" i="1"/>
  <c r="X637" i="1"/>
  <c r="Q639" i="1"/>
  <c r="S640" i="1"/>
  <c r="P640" i="1" s="1"/>
  <c r="X648" i="1"/>
  <c r="W653" i="1"/>
  <c r="T670" i="1"/>
  <c r="U670" i="1" s="1"/>
  <c r="V670" i="1" s="1"/>
  <c r="M670" i="1"/>
  <c r="X671" i="1"/>
  <c r="T686" i="1"/>
  <c r="U686" i="1" s="1"/>
  <c r="V686" i="1" s="1"/>
  <c r="M686" i="1"/>
  <c r="X687" i="1"/>
  <c r="S689" i="1"/>
  <c r="P689" i="1" s="1"/>
  <c r="X689" i="1"/>
  <c r="W689" i="1"/>
  <c r="M690" i="1"/>
  <c r="Q691" i="1"/>
  <c r="S697" i="1"/>
  <c r="P697" i="1" s="1"/>
  <c r="X697" i="1"/>
  <c r="W697" i="1"/>
  <c r="M698" i="1"/>
  <c r="Q699" i="1"/>
  <c r="S705" i="1"/>
  <c r="P705" i="1" s="1"/>
  <c r="X705" i="1"/>
  <c r="W705" i="1"/>
  <c r="Q707" i="1"/>
  <c r="P709" i="1"/>
  <c r="S712" i="1"/>
  <c r="P712" i="1" s="1"/>
  <c r="X712" i="1"/>
  <c r="T713" i="1"/>
  <c r="U713" i="1" s="1"/>
  <c r="V713" i="1" s="1"/>
  <c r="M713" i="1"/>
  <c r="R713" i="1"/>
  <c r="T749" i="1"/>
  <c r="U749" i="1" s="1"/>
  <c r="V749" i="1" s="1"/>
  <c r="M749" i="1"/>
  <c r="T750" i="1"/>
  <c r="U750" i="1" s="1"/>
  <c r="V750" i="1" s="1"/>
  <c r="M750" i="1"/>
  <c r="R750" i="1"/>
  <c r="T757" i="1"/>
  <c r="U757" i="1" s="1"/>
  <c r="V757" i="1" s="1"/>
  <c r="M757" i="1"/>
  <c r="D766" i="1"/>
  <c r="S768" i="1"/>
  <c r="P768" i="1" s="1"/>
  <c r="S767" i="1"/>
  <c r="P767" i="1" s="1"/>
  <c r="X768" i="1"/>
  <c r="S769" i="1"/>
  <c r="P769" i="1" s="1"/>
  <c r="X769" i="1"/>
  <c r="W769" i="1"/>
  <c r="M770" i="1"/>
  <c r="Q783" i="1"/>
  <c r="T789" i="1"/>
  <c r="U789" i="1" s="1"/>
  <c r="V789" i="1" s="1"/>
  <c r="M789" i="1"/>
  <c r="D798" i="1"/>
  <c r="S800" i="1"/>
  <c r="P800" i="1" s="1"/>
  <c r="S799" i="1"/>
  <c r="P799" i="1" s="1"/>
  <c r="X800" i="1"/>
  <c r="S801" i="1"/>
  <c r="P801" i="1" s="1"/>
  <c r="X801" i="1"/>
  <c r="W801" i="1"/>
  <c r="T810" i="1"/>
  <c r="U810" i="1" s="1"/>
  <c r="V810" i="1" s="1"/>
  <c r="T824" i="1"/>
  <c r="U824" i="1" s="1"/>
  <c r="V824" i="1" s="1"/>
  <c r="M824" i="1"/>
  <c r="R824" i="1"/>
  <c r="T840" i="1"/>
  <c r="U840" i="1" s="1"/>
  <c r="V840" i="1" s="1"/>
  <c r="M840" i="1"/>
  <c r="R840" i="1"/>
  <c r="T841" i="1"/>
  <c r="U841" i="1" s="1"/>
  <c r="V841" i="1" s="1"/>
  <c r="M841" i="1"/>
  <c r="R841" i="1"/>
  <c r="Q850" i="1"/>
  <c r="S848" i="1"/>
  <c r="P848" i="1" s="1"/>
  <c r="S847" i="1"/>
  <c r="P847" i="1" s="1"/>
  <c r="X848" i="1"/>
  <c r="S849" i="1"/>
  <c r="P849" i="1" s="1"/>
  <c r="X849" i="1"/>
  <c r="W849" i="1"/>
  <c r="Q851" i="1"/>
  <c r="P853" i="1"/>
  <c r="R858" i="1"/>
  <c r="T881" i="1"/>
  <c r="U881" i="1" s="1"/>
  <c r="V881" i="1" s="1"/>
  <c r="M881" i="1"/>
  <c r="R881" i="1"/>
  <c r="S888" i="1"/>
  <c r="P888" i="1" s="1"/>
  <c r="S887" i="1"/>
  <c r="P887" i="1" s="1"/>
  <c r="X888" i="1"/>
  <c r="W888" i="1"/>
  <c r="X887" i="1"/>
  <c r="S928" i="1"/>
  <c r="P928" i="1" s="1"/>
  <c r="S927" i="1"/>
  <c r="P927" i="1" s="1"/>
  <c r="X928" i="1"/>
  <c r="W928" i="1"/>
  <c r="X927" i="1"/>
  <c r="Q942" i="1"/>
  <c r="T944" i="1"/>
  <c r="U944" i="1" s="1"/>
  <c r="V944" i="1" s="1"/>
  <c r="M944" i="1"/>
  <c r="R944" i="1"/>
  <c r="Q946" i="1"/>
  <c r="W947" i="1"/>
  <c r="S947" i="1"/>
  <c r="P947" i="1" s="1"/>
  <c r="W946" i="1"/>
  <c r="S955" i="1"/>
  <c r="P955" i="1" s="1"/>
  <c r="X955" i="1"/>
  <c r="W955" i="1"/>
  <c r="X954" i="1"/>
  <c r="W954" i="1"/>
  <c r="X962" i="1"/>
  <c r="W962" i="1"/>
  <c r="S962" i="1"/>
  <c r="P962" i="1" s="1"/>
  <c r="X961" i="1"/>
  <c r="W961" i="1"/>
  <c r="Q973" i="1"/>
  <c r="T1258" i="1"/>
  <c r="U1258" i="1" s="1"/>
  <c r="V1258" i="1" s="1"/>
  <c r="M1258" i="1"/>
  <c r="R1258" i="1"/>
  <c r="T599" i="1"/>
  <c r="M599" i="1"/>
  <c r="R599" i="1"/>
  <c r="T607" i="1"/>
  <c r="M607" i="1"/>
  <c r="R607" i="1"/>
  <c r="T615" i="1"/>
  <c r="M615" i="1"/>
  <c r="R615" i="1"/>
  <c r="Q628" i="1"/>
  <c r="T638" i="1"/>
  <c r="U638" i="1" s="1"/>
  <c r="V638" i="1" s="1"/>
  <c r="M638" i="1"/>
  <c r="T645" i="1"/>
  <c r="U645" i="1" s="1"/>
  <c r="V645" i="1" s="1"/>
  <c r="M645" i="1"/>
  <c r="S650" i="1"/>
  <c r="P650" i="1" s="1"/>
  <c r="X650" i="1"/>
  <c r="W650" i="1"/>
  <c r="T661" i="1"/>
  <c r="U661" i="1" s="1"/>
  <c r="V661" i="1" s="1"/>
  <c r="M661" i="1"/>
  <c r="S673" i="1"/>
  <c r="P673" i="1" s="1"/>
  <c r="X673" i="1"/>
  <c r="T677" i="1"/>
  <c r="U677" i="1" s="1"/>
  <c r="V677" i="1" s="1"/>
  <c r="M677" i="1"/>
  <c r="Q692" i="1"/>
  <c r="Q700" i="1"/>
  <c r="Q708" i="1"/>
  <c r="S713" i="1"/>
  <c r="P713" i="1" s="1"/>
  <c r="X713" i="1"/>
  <c r="W713" i="1"/>
  <c r="Q715" i="1"/>
  <c r="S720" i="1"/>
  <c r="P720" i="1" s="1"/>
  <c r="X720" i="1"/>
  <c r="T721" i="1"/>
  <c r="U721" i="1" s="1"/>
  <c r="V721" i="1" s="1"/>
  <c r="M721" i="1"/>
  <c r="R721" i="1"/>
  <c r="S728" i="1"/>
  <c r="P728" i="1" s="1"/>
  <c r="X728" i="1"/>
  <c r="Q764" i="1"/>
  <c r="Q771" i="1"/>
  <c r="T776" i="1"/>
  <c r="U776" i="1" s="1"/>
  <c r="V776" i="1" s="1"/>
  <c r="M776" i="1"/>
  <c r="R776" i="1"/>
  <c r="Q796" i="1"/>
  <c r="Q803" i="1"/>
  <c r="Q820" i="1"/>
  <c r="S824" i="1"/>
  <c r="P824" i="1" s="1"/>
  <c r="S823" i="1"/>
  <c r="P823" i="1" s="1"/>
  <c r="X824" i="1"/>
  <c r="S825" i="1"/>
  <c r="P825" i="1" s="1"/>
  <c r="X825" i="1"/>
  <c r="W825" i="1"/>
  <c r="T832" i="1"/>
  <c r="U832" i="1" s="1"/>
  <c r="V832" i="1" s="1"/>
  <c r="M832" i="1"/>
  <c r="R832" i="1"/>
  <c r="S840" i="1"/>
  <c r="P840" i="1" s="1"/>
  <c r="S839" i="1"/>
  <c r="P839" i="1" s="1"/>
  <c r="X840" i="1"/>
  <c r="S841" i="1"/>
  <c r="P841" i="1" s="1"/>
  <c r="X841" i="1"/>
  <c r="W841" i="1"/>
  <c r="Q843" i="1"/>
  <c r="R850" i="1"/>
  <c r="Q860" i="1"/>
  <c r="Q875" i="1"/>
  <c r="T878" i="1"/>
  <c r="M878" i="1"/>
  <c r="R878" i="1"/>
  <c r="T880" i="1"/>
  <c r="U880" i="1" s="1"/>
  <c r="V880" i="1" s="1"/>
  <c r="M880" i="1"/>
  <c r="R880" i="1"/>
  <c r="Q907" i="1"/>
  <c r="T910" i="1"/>
  <c r="U910" i="1" s="1"/>
  <c r="V910" i="1" s="1"/>
  <c r="M910" i="1"/>
  <c r="R910" i="1"/>
  <c r="T912" i="1"/>
  <c r="U912" i="1" s="1"/>
  <c r="V912" i="1" s="1"/>
  <c r="M912" i="1"/>
  <c r="R912" i="1"/>
  <c r="T920" i="1"/>
  <c r="U920" i="1" s="1"/>
  <c r="V920" i="1" s="1"/>
  <c r="M920" i="1"/>
  <c r="R920" i="1"/>
  <c r="Q941" i="1"/>
  <c r="Q1039" i="1"/>
  <c r="Q1042" i="1"/>
  <c r="S1075" i="1"/>
  <c r="P1075" i="1" s="1"/>
  <c r="X1075" i="1"/>
  <c r="W1075" i="1"/>
  <c r="X1074" i="1"/>
  <c r="W1074" i="1"/>
  <c r="X1079" i="1"/>
  <c r="W1079" i="1"/>
  <c r="X1078" i="1"/>
  <c r="W1078" i="1"/>
  <c r="S1079" i="1"/>
  <c r="P1079" i="1" s="1"/>
  <c r="S1078" i="1"/>
  <c r="P1078" i="1" s="1"/>
  <c r="S1172" i="1"/>
  <c r="P1172" i="1" s="1"/>
  <c r="X1172" i="1"/>
  <c r="W1172" i="1"/>
  <c r="W1171" i="1"/>
  <c r="R1524" i="1"/>
  <c r="T1524" i="1"/>
  <c r="U1524" i="1" s="1"/>
  <c r="V1524" i="1" s="1"/>
  <c r="M1524" i="1"/>
  <c r="R330" i="1"/>
  <c r="R338" i="1"/>
  <c r="R354" i="1"/>
  <c r="R362" i="1"/>
  <c r="R370" i="1"/>
  <c r="R378" i="1"/>
  <c r="R386" i="1"/>
  <c r="R394" i="1"/>
  <c r="R402" i="1"/>
  <c r="R410" i="1"/>
  <c r="R418" i="1"/>
  <c r="R426" i="1"/>
  <c r="R434" i="1"/>
  <c r="R442" i="1"/>
  <c r="X444" i="1"/>
  <c r="W445" i="1"/>
  <c r="X452" i="1"/>
  <c r="W453" i="1"/>
  <c r="R458" i="1"/>
  <c r="W461" i="1"/>
  <c r="X468" i="1"/>
  <c r="W469" i="1"/>
  <c r="R474" i="1"/>
  <c r="X476" i="1"/>
  <c r="W477" i="1"/>
  <c r="R482" i="1"/>
  <c r="X484" i="1"/>
  <c r="W485" i="1"/>
  <c r="R490" i="1"/>
  <c r="X492" i="1"/>
  <c r="W493" i="1"/>
  <c r="R498" i="1"/>
  <c r="X500" i="1"/>
  <c r="W501" i="1"/>
  <c r="X508" i="1"/>
  <c r="W509" i="1"/>
  <c r="X516" i="1"/>
  <c r="W517" i="1"/>
  <c r="R522" i="1"/>
  <c r="X524" i="1"/>
  <c r="W525" i="1"/>
  <c r="X532" i="1"/>
  <c r="W533" i="1"/>
  <c r="R538" i="1"/>
  <c r="X540" i="1"/>
  <c r="W541" i="1"/>
  <c r="R546" i="1"/>
  <c r="X548" i="1"/>
  <c r="W549" i="1"/>
  <c r="R554" i="1"/>
  <c r="X556" i="1"/>
  <c r="W557" i="1"/>
  <c r="R562" i="1"/>
  <c r="X564" i="1"/>
  <c r="W565" i="1"/>
  <c r="R570" i="1"/>
  <c r="X572" i="1"/>
  <c r="W573" i="1"/>
  <c r="S578" i="1"/>
  <c r="P578" i="1" s="1"/>
  <c r="X578" i="1"/>
  <c r="W578" i="1"/>
  <c r="P580" i="1"/>
  <c r="T581" i="1"/>
  <c r="U581" i="1" s="1"/>
  <c r="V581" i="1" s="1"/>
  <c r="M581" i="1"/>
  <c r="M584" i="1"/>
  <c r="S586" i="1"/>
  <c r="P586" i="1" s="1"/>
  <c r="X586" i="1"/>
  <c r="W586" i="1"/>
  <c r="T595" i="1"/>
  <c r="S599" i="1"/>
  <c r="P599" i="1" s="1"/>
  <c r="W600" i="1"/>
  <c r="S607" i="1"/>
  <c r="P607" i="1" s="1"/>
  <c r="W608" i="1"/>
  <c r="S615" i="1"/>
  <c r="P615" i="1" s="1"/>
  <c r="W616" i="1"/>
  <c r="T623" i="1"/>
  <c r="U623" i="1" s="1"/>
  <c r="V623" i="1" s="1"/>
  <c r="M623" i="1"/>
  <c r="R623" i="1"/>
  <c r="T631" i="1"/>
  <c r="U631" i="1" s="1"/>
  <c r="V631" i="1" s="1"/>
  <c r="M631" i="1"/>
  <c r="R631" i="1"/>
  <c r="Q636" i="1"/>
  <c r="W638" i="1"/>
  <c r="S638" i="1"/>
  <c r="P638" i="1" s="1"/>
  <c r="T642" i="1"/>
  <c r="U642" i="1" s="1"/>
  <c r="V642" i="1" s="1"/>
  <c r="W649" i="1"/>
  <c r="T653" i="1"/>
  <c r="U653" i="1" s="1"/>
  <c r="V653" i="1" s="1"/>
  <c r="M653" i="1"/>
  <c r="S658" i="1"/>
  <c r="P658" i="1" s="1"/>
  <c r="X658" i="1"/>
  <c r="W658" i="1"/>
  <c r="W663" i="1"/>
  <c r="W679" i="1"/>
  <c r="T693" i="1"/>
  <c r="U693" i="1" s="1"/>
  <c r="V693" i="1" s="1"/>
  <c r="M693" i="1"/>
  <c r="T701" i="1"/>
  <c r="U701" i="1" s="1"/>
  <c r="V701" i="1" s="1"/>
  <c r="M701" i="1"/>
  <c r="D710" i="1"/>
  <c r="Q716" i="1"/>
  <c r="W719" i="1"/>
  <c r="S721" i="1"/>
  <c r="P721" i="1" s="1"/>
  <c r="X721" i="1"/>
  <c r="W721" i="1"/>
  <c r="Q723" i="1"/>
  <c r="W727" i="1"/>
  <c r="T729" i="1"/>
  <c r="U729" i="1" s="1"/>
  <c r="V729" i="1" s="1"/>
  <c r="M729" i="1"/>
  <c r="R729" i="1"/>
  <c r="Q759" i="1"/>
  <c r="T765" i="1"/>
  <c r="U765" i="1" s="1"/>
  <c r="V765" i="1" s="1"/>
  <c r="M765" i="1"/>
  <c r="S776" i="1"/>
  <c r="P776" i="1" s="1"/>
  <c r="S775" i="1"/>
  <c r="P775" i="1" s="1"/>
  <c r="X776" i="1"/>
  <c r="S777" i="1"/>
  <c r="P777" i="1" s="1"/>
  <c r="X777" i="1"/>
  <c r="W777" i="1"/>
  <c r="Q791" i="1"/>
  <c r="T797" i="1"/>
  <c r="U797" i="1" s="1"/>
  <c r="V797" i="1" s="1"/>
  <c r="M797" i="1"/>
  <c r="T808" i="1"/>
  <c r="U808" i="1" s="1"/>
  <c r="V808" i="1" s="1"/>
  <c r="M808" i="1"/>
  <c r="R808" i="1"/>
  <c r="R809" i="1"/>
  <c r="Q827" i="1"/>
  <c r="S832" i="1"/>
  <c r="P832" i="1" s="1"/>
  <c r="S831" i="1"/>
  <c r="P831" i="1" s="1"/>
  <c r="X832" i="1"/>
  <c r="S833" i="1"/>
  <c r="P833" i="1" s="1"/>
  <c r="X833" i="1"/>
  <c r="W833" i="1"/>
  <c r="Q835" i="1"/>
  <c r="P837" i="1"/>
  <c r="R842" i="1"/>
  <c r="Q852" i="1"/>
  <c r="T862" i="1"/>
  <c r="M862" i="1"/>
  <c r="R862" i="1"/>
  <c r="T873" i="1"/>
  <c r="U873" i="1" s="1"/>
  <c r="V873" i="1" s="1"/>
  <c r="M873" i="1"/>
  <c r="R873" i="1"/>
  <c r="S880" i="1"/>
  <c r="P880" i="1" s="1"/>
  <c r="S879" i="1"/>
  <c r="P879" i="1" s="1"/>
  <c r="X880" i="1"/>
  <c r="W880" i="1"/>
  <c r="X879" i="1"/>
  <c r="T905" i="1"/>
  <c r="U905" i="1" s="1"/>
  <c r="V905" i="1" s="1"/>
  <c r="M905" i="1"/>
  <c r="R905" i="1"/>
  <c r="S912" i="1"/>
  <c r="P912" i="1" s="1"/>
  <c r="S911" i="1"/>
  <c r="P911" i="1" s="1"/>
  <c r="X912" i="1"/>
  <c r="W912" i="1"/>
  <c r="X911" i="1"/>
  <c r="S920" i="1"/>
  <c r="P920" i="1" s="1"/>
  <c r="S919" i="1"/>
  <c r="P919" i="1" s="1"/>
  <c r="X920" i="1"/>
  <c r="W920" i="1"/>
  <c r="X919" i="1"/>
  <c r="T976" i="1"/>
  <c r="U976" i="1" s="1"/>
  <c r="V976" i="1" s="1"/>
  <c r="M976" i="1"/>
  <c r="R976" i="1"/>
  <c r="Q983" i="1"/>
  <c r="T1085" i="1"/>
  <c r="U1085" i="1" s="1"/>
  <c r="V1085" i="1" s="1"/>
  <c r="M1085" i="1"/>
  <c r="R1085" i="1"/>
  <c r="S1292" i="1"/>
  <c r="P1292" i="1" s="1"/>
  <c r="X1292" i="1"/>
  <c r="W1292" i="1"/>
  <c r="W1291" i="1"/>
  <c r="R1437" i="1"/>
  <c r="T1437" i="1"/>
  <c r="U1437" i="1" s="1"/>
  <c r="V1437" i="1" s="1"/>
  <c r="M1437" i="1"/>
  <c r="Q1503" i="1"/>
  <c r="M257" i="1"/>
  <c r="M265" i="1"/>
  <c r="M273" i="1"/>
  <c r="M281" i="1"/>
  <c r="M305" i="1"/>
  <c r="M321" i="1"/>
  <c r="M329" i="1"/>
  <c r="M337" i="1"/>
  <c r="M345" i="1"/>
  <c r="W350" i="1"/>
  <c r="W358" i="1"/>
  <c r="W366" i="1"/>
  <c r="W374" i="1"/>
  <c r="W382" i="1"/>
  <c r="R387" i="1"/>
  <c r="W390" i="1"/>
  <c r="R395" i="1"/>
  <c r="W398" i="1"/>
  <c r="R403" i="1"/>
  <c r="W406" i="1"/>
  <c r="R411" i="1"/>
  <c r="W414" i="1"/>
  <c r="R419" i="1"/>
  <c r="W422" i="1"/>
  <c r="W430" i="1"/>
  <c r="W438" i="1"/>
  <c r="R443" i="1"/>
  <c r="X445" i="1"/>
  <c r="W446" i="1"/>
  <c r="R451" i="1"/>
  <c r="X453" i="1"/>
  <c r="W454" i="1"/>
  <c r="R459" i="1"/>
  <c r="X461" i="1"/>
  <c r="W462" i="1"/>
  <c r="R467" i="1"/>
  <c r="X469" i="1"/>
  <c r="W470" i="1"/>
  <c r="R475" i="1"/>
  <c r="X477" i="1"/>
  <c r="W478" i="1"/>
  <c r="R483" i="1"/>
  <c r="X485" i="1"/>
  <c r="W486" i="1"/>
  <c r="R491" i="1"/>
  <c r="X493" i="1"/>
  <c r="W494" i="1"/>
  <c r="R499" i="1"/>
  <c r="X501" i="1"/>
  <c r="W502" i="1"/>
  <c r="R507" i="1"/>
  <c r="X509" i="1"/>
  <c r="W510" i="1"/>
  <c r="R515" i="1"/>
  <c r="X517" i="1"/>
  <c r="W518" i="1"/>
  <c r="R523" i="1"/>
  <c r="X525" i="1"/>
  <c r="W526" i="1"/>
  <c r="R531" i="1"/>
  <c r="X533" i="1"/>
  <c r="W534" i="1"/>
  <c r="R539" i="1"/>
  <c r="X541" i="1"/>
  <c r="W542" i="1"/>
  <c r="R547" i="1"/>
  <c r="X549" i="1"/>
  <c r="W550" i="1"/>
  <c r="X557" i="1"/>
  <c r="W558" i="1"/>
  <c r="R563" i="1"/>
  <c r="U563" i="1" s="1"/>
  <c r="V563" i="1" s="1"/>
  <c r="X565" i="1"/>
  <c r="W566" i="1"/>
  <c r="X573" i="1"/>
  <c r="W574" i="1"/>
  <c r="W577" i="1"/>
  <c r="S584" i="1"/>
  <c r="P584" i="1" s="1"/>
  <c r="W585" i="1"/>
  <c r="T589" i="1"/>
  <c r="U589" i="1" s="1"/>
  <c r="V589" i="1" s="1"/>
  <c r="S594" i="1"/>
  <c r="P594" i="1" s="1"/>
  <c r="X594" i="1"/>
  <c r="W594" i="1"/>
  <c r="X600" i="1"/>
  <c r="X608" i="1"/>
  <c r="T611" i="1"/>
  <c r="X616" i="1"/>
  <c r="S623" i="1"/>
  <c r="P623" i="1" s="1"/>
  <c r="W624" i="1"/>
  <c r="S625" i="1"/>
  <c r="P625" i="1" s="1"/>
  <c r="S631" i="1"/>
  <c r="P631" i="1" s="1"/>
  <c r="W632" i="1"/>
  <c r="S633" i="1"/>
  <c r="P633" i="1" s="1"/>
  <c r="T640" i="1"/>
  <c r="U640" i="1" s="1"/>
  <c r="V640" i="1" s="1"/>
  <c r="X641" i="1"/>
  <c r="T646" i="1"/>
  <c r="U646" i="1" s="1"/>
  <c r="V646" i="1" s="1"/>
  <c r="M646" i="1"/>
  <c r="T662" i="1"/>
  <c r="U662" i="1" s="1"/>
  <c r="V662" i="1" s="1"/>
  <c r="M662" i="1"/>
  <c r="X663" i="1"/>
  <c r="T665" i="1"/>
  <c r="U665" i="1" s="1"/>
  <c r="V665" i="1" s="1"/>
  <c r="M665" i="1"/>
  <c r="R665" i="1"/>
  <c r="Q668" i="1"/>
  <c r="S671" i="1"/>
  <c r="P671" i="1" s="1"/>
  <c r="W672" i="1"/>
  <c r="Q675" i="1"/>
  <c r="P676" i="1"/>
  <c r="T678" i="1"/>
  <c r="U678" i="1" s="1"/>
  <c r="V678" i="1" s="1"/>
  <c r="X679" i="1"/>
  <c r="M681" i="1"/>
  <c r="Q684" i="1"/>
  <c r="S687" i="1"/>
  <c r="P687" i="1" s="1"/>
  <c r="T702" i="1"/>
  <c r="U702" i="1" s="1"/>
  <c r="V702" i="1" s="1"/>
  <c r="M702" i="1"/>
  <c r="R702" i="1"/>
  <c r="T709" i="1"/>
  <c r="U709" i="1" s="1"/>
  <c r="V709" i="1" s="1"/>
  <c r="M709" i="1"/>
  <c r="X719" i="1"/>
  <c r="Q724" i="1"/>
  <c r="X727" i="1"/>
  <c r="S729" i="1"/>
  <c r="P729" i="1" s="1"/>
  <c r="X729" i="1"/>
  <c r="W729" i="1"/>
  <c r="Q731" i="1"/>
  <c r="S736" i="1"/>
  <c r="P736" i="1" s="1"/>
  <c r="X736" i="1"/>
  <c r="S744" i="1"/>
  <c r="P744" i="1" s="1"/>
  <c r="X744" i="1"/>
  <c r="P756" i="1"/>
  <c r="Q772" i="1"/>
  <c r="Q779" i="1"/>
  <c r="T784" i="1"/>
  <c r="U784" i="1" s="1"/>
  <c r="V784" i="1" s="1"/>
  <c r="M784" i="1"/>
  <c r="R784" i="1"/>
  <c r="T785" i="1"/>
  <c r="U785" i="1" s="1"/>
  <c r="V785" i="1" s="1"/>
  <c r="M785" i="1"/>
  <c r="R785" i="1"/>
  <c r="W800" i="1"/>
  <c r="Q804" i="1"/>
  <c r="D806" i="1"/>
  <c r="S808" i="1"/>
  <c r="P808" i="1" s="1"/>
  <c r="S807" i="1"/>
  <c r="P807" i="1" s="1"/>
  <c r="X808" i="1"/>
  <c r="S809" i="1"/>
  <c r="P809" i="1" s="1"/>
  <c r="X809" i="1"/>
  <c r="W809" i="1"/>
  <c r="M810" i="1"/>
  <c r="P829" i="1"/>
  <c r="R834" i="1"/>
  <c r="Q844" i="1"/>
  <c r="D846" i="1"/>
  <c r="W847" i="1"/>
  <c r="W848" i="1"/>
  <c r="T854" i="1"/>
  <c r="M854" i="1"/>
  <c r="R854" i="1"/>
  <c r="T858" i="1"/>
  <c r="Q867" i="1"/>
  <c r="T870" i="1"/>
  <c r="M870" i="1"/>
  <c r="R870" i="1"/>
  <c r="T872" i="1"/>
  <c r="U872" i="1" s="1"/>
  <c r="V872" i="1" s="1"/>
  <c r="M872" i="1"/>
  <c r="R872" i="1"/>
  <c r="R874" i="1"/>
  <c r="U874" i="1" s="1"/>
  <c r="V874" i="1" s="1"/>
  <c r="P885" i="1"/>
  <c r="Q899" i="1"/>
  <c r="T902" i="1"/>
  <c r="U902" i="1" s="1"/>
  <c r="V902" i="1" s="1"/>
  <c r="M902" i="1"/>
  <c r="R902" i="1"/>
  <c r="T904" i="1"/>
  <c r="U904" i="1" s="1"/>
  <c r="V904" i="1" s="1"/>
  <c r="M904" i="1"/>
  <c r="R904" i="1"/>
  <c r="P917" i="1"/>
  <c r="P924" i="1"/>
  <c r="Q939" i="1"/>
  <c r="S1074" i="1"/>
  <c r="P1074" i="1" s="1"/>
  <c r="Q1199" i="1"/>
  <c r="Q1303" i="1"/>
  <c r="M330" i="1"/>
  <c r="M338" i="1"/>
  <c r="M354" i="1"/>
  <c r="M362" i="1"/>
  <c r="M370" i="1"/>
  <c r="M378" i="1"/>
  <c r="M386" i="1"/>
  <c r="M394" i="1"/>
  <c r="M402" i="1"/>
  <c r="M410" i="1"/>
  <c r="M418" i="1"/>
  <c r="M426" i="1"/>
  <c r="M434" i="1"/>
  <c r="M458" i="1"/>
  <c r="M474" i="1"/>
  <c r="M482" i="1"/>
  <c r="M490" i="1"/>
  <c r="M498" i="1"/>
  <c r="M522" i="1"/>
  <c r="M538" i="1"/>
  <c r="M546" i="1"/>
  <c r="M554" i="1"/>
  <c r="M562" i="1"/>
  <c r="M570" i="1"/>
  <c r="X577" i="1"/>
  <c r="D583" i="1"/>
  <c r="S592" i="1"/>
  <c r="P592" i="1" s="1"/>
  <c r="T597" i="1"/>
  <c r="U597" i="1" s="1"/>
  <c r="V597" i="1" s="1"/>
  <c r="M597" i="1"/>
  <c r="M600" i="1"/>
  <c r="S602" i="1"/>
  <c r="P602" i="1" s="1"/>
  <c r="X602" i="1"/>
  <c r="W602" i="1"/>
  <c r="T605" i="1"/>
  <c r="U605" i="1" s="1"/>
  <c r="V605" i="1" s="1"/>
  <c r="M605" i="1"/>
  <c r="M608" i="1"/>
  <c r="S610" i="1"/>
  <c r="P610" i="1" s="1"/>
  <c r="X610" i="1"/>
  <c r="W610" i="1"/>
  <c r="T613" i="1"/>
  <c r="U613" i="1" s="1"/>
  <c r="V613" i="1" s="1"/>
  <c r="M613" i="1"/>
  <c r="S618" i="1"/>
  <c r="P618" i="1" s="1"/>
  <c r="X618" i="1"/>
  <c r="W618" i="1"/>
  <c r="S637" i="1"/>
  <c r="P637" i="1" s="1"/>
  <c r="T639" i="1"/>
  <c r="U639" i="1" s="1"/>
  <c r="V639" i="1" s="1"/>
  <c r="M639" i="1"/>
  <c r="R639" i="1"/>
  <c r="Q645" i="1"/>
  <c r="W646" i="1"/>
  <c r="X645" i="1"/>
  <c r="S646" i="1"/>
  <c r="P646" i="1" s="1"/>
  <c r="W647" i="1"/>
  <c r="D655" i="1"/>
  <c r="S656" i="1"/>
  <c r="P656" i="1" s="1"/>
  <c r="T658" i="1"/>
  <c r="U658" i="1" s="1"/>
  <c r="V658" i="1" s="1"/>
  <c r="Q661" i="1"/>
  <c r="S665" i="1"/>
  <c r="P665" i="1" s="1"/>
  <c r="X665" i="1"/>
  <c r="S674" i="1"/>
  <c r="P674" i="1" s="1"/>
  <c r="X674" i="1"/>
  <c r="W674" i="1"/>
  <c r="Q677" i="1"/>
  <c r="S681" i="1"/>
  <c r="P681" i="1" s="1"/>
  <c r="X681" i="1"/>
  <c r="T690" i="1"/>
  <c r="U690" i="1" s="1"/>
  <c r="V690" i="1" s="1"/>
  <c r="T698" i="1"/>
  <c r="U698" i="1" s="1"/>
  <c r="V698" i="1" s="1"/>
  <c r="R710" i="1"/>
  <c r="W712" i="1"/>
  <c r="T717" i="1"/>
  <c r="U717" i="1" s="1"/>
  <c r="V717" i="1" s="1"/>
  <c r="M717" i="1"/>
  <c r="T725" i="1"/>
  <c r="U725" i="1" s="1"/>
  <c r="V725" i="1" s="1"/>
  <c r="M725" i="1"/>
  <c r="Q732" i="1"/>
  <c r="D734" i="1"/>
  <c r="T737" i="1"/>
  <c r="U737" i="1" s="1"/>
  <c r="V737" i="1" s="1"/>
  <c r="M737" i="1"/>
  <c r="R737" i="1"/>
  <c r="W743" i="1"/>
  <c r="T745" i="1"/>
  <c r="U745" i="1" s="1"/>
  <c r="V745" i="1" s="1"/>
  <c r="M745" i="1"/>
  <c r="R745" i="1"/>
  <c r="R749" i="1"/>
  <c r="S752" i="1"/>
  <c r="P752" i="1" s="1"/>
  <c r="X752" i="1"/>
  <c r="T753" i="1"/>
  <c r="U753" i="1" s="1"/>
  <c r="V753" i="1" s="1"/>
  <c r="M753" i="1"/>
  <c r="R753" i="1"/>
  <c r="R757" i="1"/>
  <c r="Q767" i="1"/>
  <c r="D782" i="1"/>
  <c r="S784" i="1"/>
  <c r="P784" i="1" s="1"/>
  <c r="S783" i="1"/>
  <c r="P783" i="1" s="1"/>
  <c r="X784" i="1"/>
  <c r="S785" i="1"/>
  <c r="P785" i="1" s="1"/>
  <c r="X785" i="1"/>
  <c r="W785" i="1"/>
  <c r="M786" i="1"/>
  <c r="R789" i="1"/>
  <c r="Q799" i="1"/>
  <c r="Q811" i="1"/>
  <c r="W823" i="1"/>
  <c r="W824" i="1"/>
  <c r="Q836" i="1"/>
  <c r="W839" i="1"/>
  <c r="W840" i="1"/>
  <c r="X847" i="1"/>
  <c r="T865" i="1"/>
  <c r="U865" i="1" s="1"/>
  <c r="V865" i="1" s="1"/>
  <c r="S872" i="1"/>
  <c r="P872" i="1" s="1"/>
  <c r="S871" i="1"/>
  <c r="P871" i="1" s="1"/>
  <c r="X872" i="1"/>
  <c r="W872" i="1"/>
  <c r="X871" i="1"/>
  <c r="T897" i="1"/>
  <c r="U897" i="1" s="1"/>
  <c r="V897" i="1" s="1"/>
  <c r="M897" i="1"/>
  <c r="R897" i="1"/>
  <c r="S904" i="1"/>
  <c r="P904" i="1" s="1"/>
  <c r="S903" i="1"/>
  <c r="P903" i="1" s="1"/>
  <c r="X904" i="1"/>
  <c r="W904" i="1"/>
  <c r="X903" i="1"/>
  <c r="T937" i="1"/>
  <c r="U937" i="1" s="1"/>
  <c r="V937" i="1" s="1"/>
  <c r="M937" i="1"/>
  <c r="R937" i="1"/>
  <c r="Q952" i="1"/>
  <c r="Q981" i="1"/>
  <c r="R997" i="1"/>
  <c r="M997" i="1"/>
  <c r="T997" i="1"/>
  <c r="U997" i="1" s="1"/>
  <c r="V997" i="1" s="1"/>
  <c r="T1096" i="1"/>
  <c r="U1096" i="1" s="1"/>
  <c r="V1096" i="1" s="1"/>
  <c r="M1096" i="1"/>
  <c r="R1096" i="1"/>
  <c r="R1113" i="1"/>
  <c r="M1113" i="1"/>
  <c r="T1113" i="1"/>
  <c r="R1129" i="1"/>
  <c r="M1129" i="1"/>
  <c r="T1129" i="1"/>
  <c r="T1181" i="1"/>
  <c r="U1181" i="1" s="1"/>
  <c r="V1181" i="1" s="1"/>
  <c r="M1181" i="1"/>
  <c r="R1181" i="1"/>
  <c r="S1220" i="1"/>
  <c r="P1220" i="1" s="1"/>
  <c r="X1220" i="1"/>
  <c r="W1220" i="1"/>
  <c r="W1219" i="1"/>
  <c r="T1317" i="1"/>
  <c r="U1317" i="1" s="1"/>
  <c r="V1317" i="1" s="1"/>
  <c r="M1317" i="1"/>
  <c r="R1317" i="1"/>
  <c r="M387" i="1"/>
  <c r="M403" i="1"/>
  <c r="M411" i="1"/>
  <c r="M419" i="1"/>
  <c r="M443" i="1"/>
  <c r="S444" i="1"/>
  <c r="P444" i="1" s="1"/>
  <c r="M451" i="1"/>
  <c r="S452" i="1"/>
  <c r="P452" i="1" s="1"/>
  <c r="M459" i="1"/>
  <c r="M467" i="1"/>
  <c r="S468" i="1"/>
  <c r="P468" i="1" s="1"/>
  <c r="M475" i="1"/>
  <c r="S476" i="1"/>
  <c r="P476" i="1" s="1"/>
  <c r="M483" i="1"/>
  <c r="S484" i="1"/>
  <c r="P484" i="1" s="1"/>
  <c r="M491" i="1"/>
  <c r="S492" i="1"/>
  <c r="P492" i="1" s="1"/>
  <c r="M499" i="1"/>
  <c r="S500" i="1"/>
  <c r="P500" i="1" s="1"/>
  <c r="M507" i="1"/>
  <c r="S508" i="1"/>
  <c r="P508" i="1" s="1"/>
  <c r="M515" i="1"/>
  <c r="S516" i="1"/>
  <c r="P516" i="1" s="1"/>
  <c r="M523" i="1"/>
  <c r="S524" i="1"/>
  <c r="P524" i="1" s="1"/>
  <c r="M531" i="1"/>
  <c r="S532" i="1"/>
  <c r="P532" i="1" s="1"/>
  <c r="M539" i="1"/>
  <c r="S540" i="1"/>
  <c r="P540" i="1" s="1"/>
  <c r="M547" i="1"/>
  <c r="S548" i="1"/>
  <c r="P548" i="1" s="1"/>
  <c r="S556" i="1"/>
  <c r="P556" i="1" s="1"/>
  <c r="M563" i="1"/>
  <c r="S564" i="1"/>
  <c r="P564" i="1" s="1"/>
  <c r="S572" i="1"/>
  <c r="P572" i="1" s="1"/>
  <c r="W582" i="1"/>
  <c r="X581" i="1"/>
  <c r="S582" i="1"/>
  <c r="P582" i="1" s="1"/>
  <c r="T585" i="1"/>
  <c r="U585" i="1" s="1"/>
  <c r="V585" i="1" s="1"/>
  <c r="M585" i="1"/>
  <c r="R585" i="1"/>
  <c r="T590" i="1"/>
  <c r="U590" i="1" s="1"/>
  <c r="V590" i="1" s="1"/>
  <c r="M590" i="1"/>
  <c r="D591" i="1"/>
  <c r="R595" i="1"/>
  <c r="T621" i="1"/>
  <c r="U621" i="1" s="1"/>
  <c r="V621" i="1" s="1"/>
  <c r="M621" i="1"/>
  <c r="S626" i="1"/>
  <c r="P626" i="1" s="1"/>
  <c r="X626" i="1"/>
  <c r="W626" i="1"/>
  <c r="T629" i="1"/>
  <c r="U629" i="1" s="1"/>
  <c r="V629" i="1" s="1"/>
  <c r="M629" i="1"/>
  <c r="S634" i="1"/>
  <c r="P634" i="1" s="1"/>
  <c r="X634" i="1"/>
  <c r="W634" i="1"/>
  <c r="Q644" i="1"/>
  <c r="R645" i="1"/>
  <c r="X649" i="1"/>
  <c r="Q652" i="1"/>
  <c r="Q653" i="1"/>
  <c r="W654" i="1"/>
  <c r="X653" i="1"/>
  <c r="S654" i="1"/>
  <c r="P654" i="1" s="1"/>
  <c r="R661" i="1"/>
  <c r="M666" i="1"/>
  <c r="W673" i="1"/>
  <c r="R675" i="1"/>
  <c r="U675" i="1" s="1"/>
  <c r="V675" i="1" s="1"/>
  <c r="R677" i="1"/>
  <c r="P692" i="1"/>
  <c r="S695" i="1"/>
  <c r="P695" i="1" s="1"/>
  <c r="S703" i="1"/>
  <c r="P703" i="1" s="1"/>
  <c r="T714" i="1"/>
  <c r="U714" i="1" s="1"/>
  <c r="V714" i="1" s="1"/>
  <c r="T718" i="1"/>
  <c r="U718" i="1" s="1"/>
  <c r="V718" i="1" s="1"/>
  <c r="M718" i="1"/>
  <c r="R718" i="1"/>
  <c r="W720" i="1"/>
  <c r="T726" i="1"/>
  <c r="U726" i="1" s="1"/>
  <c r="V726" i="1" s="1"/>
  <c r="M726" i="1"/>
  <c r="R726" i="1"/>
  <c r="T733" i="1"/>
  <c r="U733" i="1" s="1"/>
  <c r="V733" i="1" s="1"/>
  <c r="M733" i="1"/>
  <c r="S737" i="1"/>
  <c r="P737" i="1" s="1"/>
  <c r="X737" i="1"/>
  <c r="W737" i="1"/>
  <c r="Q739" i="1"/>
  <c r="D742" i="1"/>
  <c r="S745" i="1"/>
  <c r="P745" i="1" s="1"/>
  <c r="X745" i="1"/>
  <c r="W745" i="1"/>
  <c r="Q747" i="1"/>
  <c r="S753" i="1"/>
  <c r="P753" i="1" s="1"/>
  <c r="X753" i="1"/>
  <c r="W753" i="1"/>
  <c r="M754" i="1"/>
  <c r="Q755" i="1"/>
  <c r="T760" i="1"/>
  <c r="U760" i="1" s="1"/>
  <c r="V760" i="1" s="1"/>
  <c r="M760" i="1"/>
  <c r="R760" i="1"/>
  <c r="T761" i="1"/>
  <c r="U761" i="1" s="1"/>
  <c r="V761" i="1" s="1"/>
  <c r="M761" i="1"/>
  <c r="R761" i="1"/>
  <c r="T770" i="1"/>
  <c r="U770" i="1" s="1"/>
  <c r="V770" i="1" s="1"/>
  <c r="Q780" i="1"/>
  <c r="Q787" i="1"/>
  <c r="T792" i="1"/>
  <c r="U792" i="1" s="1"/>
  <c r="V792" i="1" s="1"/>
  <c r="M792" i="1"/>
  <c r="R792" i="1"/>
  <c r="T793" i="1"/>
  <c r="U793" i="1" s="1"/>
  <c r="V793" i="1" s="1"/>
  <c r="M793" i="1"/>
  <c r="R793" i="1"/>
  <c r="T816" i="1"/>
  <c r="U816" i="1" s="1"/>
  <c r="V816" i="1" s="1"/>
  <c r="M816" i="1"/>
  <c r="R816" i="1"/>
  <c r="T817" i="1"/>
  <c r="U817" i="1" s="1"/>
  <c r="V817" i="1" s="1"/>
  <c r="M817" i="1"/>
  <c r="R817" i="1"/>
  <c r="X823" i="1"/>
  <c r="Q828" i="1"/>
  <c r="D830" i="1"/>
  <c r="W831" i="1"/>
  <c r="W832" i="1"/>
  <c r="M838" i="1"/>
  <c r="R838" i="1"/>
  <c r="X839" i="1"/>
  <c r="T842" i="1"/>
  <c r="T864" i="1"/>
  <c r="U864" i="1" s="1"/>
  <c r="V864" i="1" s="1"/>
  <c r="M864" i="1"/>
  <c r="R864" i="1"/>
  <c r="R866" i="1"/>
  <c r="U866" i="1" s="1"/>
  <c r="V866" i="1" s="1"/>
  <c r="Q891" i="1"/>
  <c r="T894" i="1"/>
  <c r="M894" i="1"/>
  <c r="R894" i="1"/>
  <c r="T896" i="1"/>
  <c r="U896" i="1" s="1"/>
  <c r="V896" i="1" s="1"/>
  <c r="M896" i="1"/>
  <c r="R896" i="1"/>
  <c r="Q931" i="1"/>
  <c r="T934" i="1"/>
  <c r="T936" i="1"/>
  <c r="U936" i="1" s="1"/>
  <c r="V936" i="1" s="1"/>
  <c r="M936" i="1"/>
  <c r="R936" i="1"/>
  <c r="Q978" i="1"/>
  <c r="S980" i="1"/>
  <c r="P980" i="1" s="1"/>
  <c r="X980" i="1"/>
  <c r="W980" i="1"/>
  <c r="W979" i="1"/>
  <c r="S987" i="1"/>
  <c r="P987" i="1" s="1"/>
  <c r="X987" i="1"/>
  <c r="W987" i="1"/>
  <c r="X986" i="1"/>
  <c r="W986" i="1"/>
  <c r="R1029" i="1"/>
  <c r="M1029" i="1"/>
  <c r="T1029" i="1"/>
  <c r="Q1143" i="1"/>
  <c r="T1194" i="1"/>
  <c r="U1194" i="1" s="1"/>
  <c r="V1194" i="1" s="1"/>
  <c r="M1194" i="1"/>
  <c r="R1194" i="1"/>
  <c r="Q580" i="1"/>
  <c r="Q588" i="1"/>
  <c r="W590" i="1"/>
  <c r="X589" i="1"/>
  <c r="S590" i="1"/>
  <c r="P590" i="1" s="1"/>
  <c r="T593" i="1"/>
  <c r="U593" i="1" s="1"/>
  <c r="V593" i="1" s="1"/>
  <c r="M593" i="1"/>
  <c r="R593" i="1"/>
  <c r="T598" i="1"/>
  <c r="U598" i="1" s="1"/>
  <c r="V598" i="1" s="1"/>
  <c r="M598" i="1"/>
  <c r="D599" i="1"/>
  <c r="T606" i="1"/>
  <c r="U606" i="1" s="1"/>
  <c r="V606" i="1" s="1"/>
  <c r="M606" i="1"/>
  <c r="D607" i="1"/>
  <c r="R611" i="1"/>
  <c r="T614" i="1"/>
  <c r="U614" i="1" s="1"/>
  <c r="V614" i="1" s="1"/>
  <c r="M614" i="1"/>
  <c r="D615" i="1"/>
  <c r="S624" i="1"/>
  <c r="P624" i="1" s="1"/>
  <c r="W625" i="1"/>
  <c r="S632" i="1"/>
  <c r="P632" i="1" s="1"/>
  <c r="W633" i="1"/>
  <c r="R638" i="1"/>
  <c r="T647" i="1"/>
  <c r="M647" i="1"/>
  <c r="R647" i="1"/>
  <c r="T657" i="1"/>
  <c r="U657" i="1" s="1"/>
  <c r="V657" i="1" s="1"/>
  <c r="M657" i="1"/>
  <c r="R657" i="1"/>
  <c r="Q660" i="1"/>
  <c r="S663" i="1"/>
  <c r="P663" i="1" s="1"/>
  <c r="W664" i="1"/>
  <c r="T669" i="1"/>
  <c r="U669" i="1" s="1"/>
  <c r="V669" i="1" s="1"/>
  <c r="M669" i="1"/>
  <c r="S672" i="1"/>
  <c r="P672" i="1" s="1"/>
  <c r="Q676" i="1"/>
  <c r="S679" i="1"/>
  <c r="P679" i="1" s="1"/>
  <c r="W680" i="1"/>
  <c r="T685" i="1"/>
  <c r="U685" i="1" s="1"/>
  <c r="V685" i="1" s="1"/>
  <c r="M685" i="1"/>
  <c r="S688" i="1"/>
  <c r="P688" i="1" s="1"/>
  <c r="X688" i="1"/>
  <c r="W728" i="1"/>
  <c r="T734" i="1"/>
  <c r="U734" i="1" s="1"/>
  <c r="V734" i="1" s="1"/>
  <c r="M734" i="1"/>
  <c r="R734" i="1"/>
  <c r="Q740" i="1"/>
  <c r="D750" i="1"/>
  <c r="D758" i="1"/>
  <c r="S760" i="1"/>
  <c r="P760" i="1" s="1"/>
  <c r="X760" i="1"/>
  <c r="S761" i="1"/>
  <c r="P761" i="1" s="1"/>
  <c r="X761" i="1"/>
  <c r="W761" i="1"/>
  <c r="T781" i="1"/>
  <c r="U781" i="1" s="1"/>
  <c r="V781" i="1" s="1"/>
  <c r="M781" i="1"/>
  <c r="D790" i="1"/>
  <c r="S792" i="1"/>
  <c r="P792" i="1" s="1"/>
  <c r="S791" i="1"/>
  <c r="P791" i="1" s="1"/>
  <c r="X792" i="1"/>
  <c r="S793" i="1"/>
  <c r="P793" i="1" s="1"/>
  <c r="X793" i="1"/>
  <c r="W793" i="1"/>
  <c r="R797" i="1"/>
  <c r="Q812" i="1"/>
  <c r="D814" i="1"/>
  <c r="S816" i="1"/>
  <c r="P816" i="1" s="1"/>
  <c r="S815" i="1"/>
  <c r="P815" i="1" s="1"/>
  <c r="X816" i="1"/>
  <c r="S817" i="1"/>
  <c r="P817" i="1" s="1"/>
  <c r="X817" i="1"/>
  <c r="W817" i="1"/>
  <c r="R830" i="1"/>
  <c r="X831" i="1"/>
  <c r="T856" i="1"/>
  <c r="U856" i="1" s="1"/>
  <c r="V856" i="1" s="1"/>
  <c r="M856" i="1"/>
  <c r="R856" i="1"/>
  <c r="R857" i="1"/>
  <c r="Q866" i="1"/>
  <c r="S864" i="1"/>
  <c r="P864" i="1" s="1"/>
  <c r="S863" i="1"/>
  <c r="P863" i="1" s="1"/>
  <c r="X864" i="1"/>
  <c r="W864" i="1"/>
  <c r="T889" i="1"/>
  <c r="U889" i="1" s="1"/>
  <c r="V889" i="1" s="1"/>
  <c r="M889" i="1"/>
  <c r="R889" i="1"/>
  <c r="S896" i="1"/>
  <c r="P896" i="1" s="1"/>
  <c r="S895" i="1"/>
  <c r="P895" i="1" s="1"/>
  <c r="X896" i="1"/>
  <c r="W896" i="1"/>
  <c r="X895" i="1"/>
  <c r="T929" i="1"/>
  <c r="U929" i="1" s="1"/>
  <c r="V929" i="1" s="1"/>
  <c r="M929" i="1"/>
  <c r="R929" i="1"/>
  <c r="S936" i="1"/>
  <c r="P936" i="1" s="1"/>
  <c r="S935" i="1"/>
  <c r="P935" i="1" s="1"/>
  <c r="X936" i="1"/>
  <c r="W936" i="1"/>
  <c r="X935" i="1"/>
  <c r="R957" i="1"/>
  <c r="M957" i="1"/>
  <c r="T957" i="1"/>
  <c r="U957" i="1" s="1"/>
  <c r="V957" i="1" s="1"/>
  <c r="X967" i="1"/>
  <c r="W967" i="1"/>
  <c r="X966" i="1"/>
  <c r="S966" i="1"/>
  <c r="P966" i="1" s="1"/>
  <c r="S967" i="1"/>
  <c r="P967" i="1" s="1"/>
  <c r="W966" i="1"/>
  <c r="S1052" i="1"/>
  <c r="P1052" i="1" s="1"/>
  <c r="X1052" i="1"/>
  <c r="W1052" i="1"/>
  <c r="W1051" i="1"/>
  <c r="T1056" i="1"/>
  <c r="U1056" i="1" s="1"/>
  <c r="V1056" i="1" s="1"/>
  <c r="M1056" i="1"/>
  <c r="R1056" i="1"/>
  <c r="S1094" i="1"/>
  <c r="P1094" i="1" s="1"/>
  <c r="X1095" i="1"/>
  <c r="W1095" i="1"/>
  <c r="X1094" i="1"/>
  <c r="W1094" i="1"/>
  <c r="S1095" i="1"/>
  <c r="P1095" i="1" s="1"/>
  <c r="Q1111" i="1"/>
  <c r="Q1127" i="1"/>
  <c r="T1149" i="1"/>
  <c r="M1149" i="1"/>
  <c r="R1149" i="1"/>
  <c r="Q1263" i="1"/>
  <c r="S1324" i="1"/>
  <c r="P1324" i="1" s="1"/>
  <c r="X1324" i="1"/>
  <c r="W1324" i="1"/>
  <c r="W1323" i="1"/>
  <c r="Q1335" i="1"/>
  <c r="T971" i="1"/>
  <c r="U971" i="1" s="1"/>
  <c r="V971" i="1" s="1"/>
  <c r="M971" i="1"/>
  <c r="X983" i="1"/>
  <c r="W983" i="1"/>
  <c r="X982" i="1"/>
  <c r="T1000" i="1"/>
  <c r="U1000" i="1" s="1"/>
  <c r="V1000" i="1" s="1"/>
  <c r="M1000" i="1"/>
  <c r="Q1002" i="1"/>
  <c r="S1004" i="1"/>
  <c r="P1004" i="1" s="1"/>
  <c r="X1004" i="1"/>
  <c r="W1004" i="1"/>
  <c r="T1007" i="1"/>
  <c r="U1007" i="1" s="1"/>
  <c r="V1007" i="1" s="1"/>
  <c r="M1007" i="1"/>
  <c r="S1011" i="1"/>
  <c r="P1011" i="1" s="1"/>
  <c r="X1011" i="1"/>
  <c r="Q1014" i="1"/>
  <c r="T1019" i="1"/>
  <c r="U1019" i="1" s="1"/>
  <c r="V1019" i="1" s="1"/>
  <c r="M1019" i="1"/>
  <c r="S1035" i="1"/>
  <c r="P1035" i="1" s="1"/>
  <c r="X1035" i="1"/>
  <c r="T1036" i="1"/>
  <c r="U1036" i="1" s="1"/>
  <c r="V1036" i="1" s="1"/>
  <c r="M1036" i="1"/>
  <c r="R1036" i="1"/>
  <c r="X1039" i="1"/>
  <c r="W1039" i="1"/>
  <c r="X1038" i="1"/>
  <c r="R1041" i="1"/>
  <c r="Q1046" i="1"/>
  <c r="R1053" i="1"/>
  <c r="Q1063" i="1"/>
  <c r="Q1066" i="1"/>
  <c r="S1076" i="1"/>
  <c r="P1076" i="1" s="1"/>
  <c r="X1076" i="1"/>
  <c r="W1076" i="1"/>
  <c r="S1084" i="1"/>
  <c r="P1084" i="1" s="1"/>
  <c r="X1084" i="1"/>
  <c r="W1084" i="1"/>
  <c r="Q1090" i="1"/>
  <c r="S1100" i="1"/>
  <c r="P1100" i="1" s="1"/>
  <c r="X1100" i="1"/>
  <c r="W1100" i="1"/>
  <c r="S1110" i="1"/>
  <c r="P1110" i="1" s="1"/>
  <c r="X1111" i="1"/>
  <c r="W1111" i="1"/>
  <c r="X1110" i="1"/>
  <c r="T1112" i="1"/>
  <c r="U1112" i="1" s="1"/>
  <c r="V1112" i="1" s="1"/>
  <c r="M1112" i="1"/>
  <c r="T1117" i="1"/>
  <c r="M1117" i="1"/>
  <c r="R1117" i="1"/>
  <c r="S1126" i="1"/>
  <c r="P1126" i="1" s="1"/>
  <c r="X1127" i="1"/>
  <c r="W1127" i="1"/>
  <c r="X1126" i="1"/>
  <c r="T1128" i="1"/>
  <c r="U1128" i="1" s="1"/>
  <c r="V1128" i="1" s="1"/>
  <c r="M1128" i="1"/>
  <c r="Q1138" i="1"/>
  <c r="S1142" i="1"/>
  <c r="P1142" i="1" s="1"/>
  <c r="X1143" i="1"/>
  <c r="W1143" i="1"/>
  <c r="X1142" i="1"/>
  <c r="T1144" i="1"/>
  <c r="U1144" i="1" s="1"/>
  <c r="V1144" i="1" s="1"/>
  <c r="M1144" i="1"/>
  <c r="S1148" i="1"/>
  <c r="P1148" i="1" s="1"/>
  <c r="X1148" i="1"/>
  <c r="W1148" i="1"/>
  <c r="Q1154" i="1"/>
  <c r="Q1159" i="1"/>
  <c r="S1180" i="1"/>
  <c r="P1180" i="1" s="1"/>
  <c r="X1180" i="1"/>
  <c r="W1180" i="1"/>
  <c r="R1201" i="1"/>
  <c r="T1202" i="1"/>
  <c r="U1202" i="1" s="1"/>
  <c r="V1202" i="1" s="1"/>
  <c r="M1202" i="1"/>
  <c r="R1202" i="1"/>
  <c r="Q1207" i="1"/>
  <c r="S1228" i="1"/>
  <c r="P1228" i="1" s="1"/>
  <c r="X1228" i="1"/>
  <c r="W1228" i="1"/>
  <c r="T1237" i="1"/>
  <c r="M1237" i="1"/>
  <c r="R1237" i="1"/>
  <c r="T1265" i="1"/>
  <c r="U1265" i="1" s="1"/>
  <c r="V1265" i="1" s="1"/>
  <c r="M1265" i="1"/>
  <c r="R1265" i="1"/>
  <c r="T1266" i="1"/>
  <c r="U1266" i="1" s="1"/>
  <c r="V1266" i="1" s="1"/>
  <c r="M1266" i="1"/>
  <c r="R1266" i="1"/>
  <c r="Q1271" i="1"/>
  <c r="T1297" i="1"/>
  <c r="U1297" i="1" s="1"/>
  <c r="V1297" i="1" s="1"/>
  <c r="M1297" i="1"/>
  <c r="R1297" i="1"/>
  <c r="T1298" i="1"/>
  <c r="U1298" i="1" s="1"/>
  <c r="V1298" i="1" s="1"/>
  <c r="M1298" i="1"/>
  <c r="R1298" i="1"/>
  <c r="T1329" i="1"/>
  <c r="U1329" i="1" s="1"/>
  <c r="V1329" i="1" s="1"/>
  <c r="M1329" i="1"/>
  <c r="R1329" i="1"/>
  <c r="T1330" i="1"/>
  <c r="U1330" i="1" s="1"/>
  <c r="V1330" i="1" s="1"/>
  <c r="M1330" i="1"/>
  <c r="R1330" i="1"/>
  <c r="Q1402" i="1"/>
  <c r="S1484" i="1"/>
  <c r="P1484" i="1" s="1"/>
  <c r="S1483" i="1"/>
  <c r="P1483" i="1" s="1"/>
  <c r="X1484" i="1"/>
  <c r="W1484" i="1"/>
  <c r="W1483" i="1"/>
  <c r="Q1485" i="1"/>
  <c r="Q1637" i="1"/>
  <c r="Q2157" i="1"/>
  <c r="S741" i="1"/>
  <c r="P741" i="1" s="1"/>
  <c r="S749" i="1"/>
  <c r="P749" i="1" s="1"/>
  <c r="S757" i="1"/>
  <c r="P757" i="1" s="1"/>
  <c r="S765" i="1"/>
  <c r="P765" i="1" s="1"/>
  <c r="S773" i="1"/>
  <c r="P773" i="1" s="1"/>
  <c r="S781" i="1"/>
  <c r="P781" i="1" s="1"/>
  <c r="S789" i="1"/>
  <c r="P789" i="1" s="1"/>
  <c r="S797" i="1"/>
  <c r="P797" i="1" s="1"/>
  <c r="W865" i="1"/>
  <c r="W873" i="1"/>
  <c r="W881" i="1"/>
  <c r="W889" i="1"/>
  <c r="W897" i="1"/>
  <c r="W905" i="1"/>
  <c r="W913" i="1"/>
  <c r="W921" i="1"/>
  <c r="W929" i="1"/>
  <c r="W937" i="1"/>
  <c r="W942" i="1"/>
  <c r="X946" i="1"/>
  <c r="M959" i="1"/>
  <c r="S964" i="1"/>
  <c r="P964" i="1" s="1"/>
  <c r="X964" i="1"/>
  <c r="S982" i="1"/>
  <c r="P982" i="1" s="1"/>
  <c r="X1007" i="1"/>
  <c r="W1007" i="1"/>
  <c r="X1006" i="1"/>
  <c r="S1019" i="1"/>
  <c r="P1019" i="1" s="1"/>
  <c r="X1019" i="1"/>
  <c r="Q1022" i="1"/>
  <c r="T1027" i="1"/>
  <c r="U1027" i="1" s="1"/>
  <c r="V1027" i="1" s="1"/>
  <c r="M1027" i="1"/>
  <c r="W1034" i="1"/>
  <c r="S1036" i="1"/>
  <c r="P1036" i="1" s="1"/>
  <c r="X1036" i="1"/>
  <c r="W1036" i="1"/>
  <c r="S1038" i="1"/>
  <c r="P1038" i="1" s="1"/>
  <c r="T1040" i="1"/>
  <c r="U1040" i="1" s="1"/>
  <c r="V1040" i="1" s="1"/>
  <c r="M1040" i="1"/>
  <c r="S1059" i="1"/>
  <c r="P1059" i="1" s="1"/>
  <c r="X1059" i="1"/>
  <c r="T1060" i="1"/>
  <c r="U1060" i="1" s="1"/>
  <c r="V1060" i="1" s="1"/>
  <c r="M1060" i="1"/>
  <c r="R1060" i="1"/>
  <c r="Q1061" i="1"/>
  <c r="X1063" i="1"/>
  <c r="W1063" i="1"/>
  <c r="X1062" i="1"/>
  <c r="R1065" i="1"/>
  <c r="Q1070" i="1"/>
  <c r="R1077" i="1"/>
  <c r="Q1106" i="1"/>
  <c r="S1116" i="1"/>
  <c r="P1116" i="1" s="1"/>
  <c r="X1116" i="1"/>
  <c r="W1116" i="1"/>
  <c r="Q1122" i="1"/>
  <c r="S1132" i="1"/>
  <c r="P1132" i="1" s="1"/>
  <c r="X1132" i="1"/>
  <c r="W1132" i="1"/>
  <c r="T1161" i="1"/>
  <c r="M1161" i="1"/>
  <c r="R1161" i="1"/>
  <c r="T1162" i="1"/>
  <c r="U1162" i="1" s="1"/>
  <c r="V1162" i="1" s="1"/>
  <c r="M1162" i="1"/>
  <c r="R1162" i="1"/>
  <c r="Q1167" i="1"/>
  <c r="S1188" i="1"/>
  <c r="P1188" i="1" s="1"/>
  <c r="X1188" i="1"/>
  <c r="W1188" i="1"/>
  <c r="T1209" i="1"/>
  <c r="M1209" i="1"/>
  <c r="R1209" i="1"/>
  <c r="T1210" i="1"/>
  <c r="U1210" i="1" s="1"/>
  <c r="V1210" i="1" s="1"/>
  <c r="M1210" i="1"/>
  <c r="R1210" i="1"/>
  <c r="Q1215" i="1"/>
  <c r="S1236" i="1"/>
  <c r="P1236" i="1" s="1"/>
  <c r="X1236" i="1"/>
  <c r="W1236" i="1"/>
  <c r="T1245" i="1"/>
  <c r="M1245" i="1"/>
  <c r="R1245" i="1"/>
  <c r="T1274" i="1"/>
  <c r="U1274" i="1" s="1"/>
  <c r="V1274" i="1" s="1"/>
  <c r="M1274" i="1"/>
  <c r="R1274" i="1"/>
  <c r="Q1279" i="1"/>
  <c r="Q1295" i="1"/>
  <c r="R1309" i="1"/>
  <c r="S1316" i="1"/>
  <c r="P1316" i="1" s="1"/>
  <c r="X1316" i="1"/>
  <c r="W1316" i="1"/>
  <c r="Q1327" i="1"/>
  <c r="T1341" i="1"/>
  <c r="U1341" i="1" s="1"/>
  <c r="V1341" i="1" s="1"/>
  <c r="M1341" i="1"/>
  <c r="R1341" i="1"/>
  <c r="S1348" i="1"/>
  <c r="P1348" i="1" s="1"/>
  <c r="X1348" i="1"/>
  <c r="W1348" i="1"/>
  <c r="R1353" i="1"/>
  <c r="M1353" i="1"/>
  <c r="T1353" i="1"/>
  <c r="U1353" i="1" s="1"/>
  <c r="V1353" i="1" s="1"/>
  <c r="R1361" i="1"/>
  <c r="M1361" i="1"/>
  <c r="T1361" i="1"/>
  <c r="U1361" i="1" s="1"/>
  <c r="V1361" i="1" s="1"/>
  <c r="S1396" i="1"/>
  <c r="P1396" i="1" s="1"/>
  <c r="X1396" i="1"/>
  <c r="W1396" i="1"/>
  <c r="W1395" i="1"/>
  <c r="Q1399" i="1"/>
  <c r="T1411" i="1"/>
  <c r="U1411" i="1" s="1"/>
  <c r="V1411" i="1" s="1"/>
  <c r="M1411" i="1"/>
  <c r="R1411" i="1"/>
  <c r="T1523" i="1"/>
  <c r="M1523" i="1"/>
  <c r="R1523" i="1"/>
  <c r="Q584" i="1"/>
  <c r="Q592" i="1"/>
  <c r="Q600" i="1"/>
  <c r="Q608" i="1"/>
  <c r="Q616" i="1"/>
  <c r="Q624" i="1"/>
  <c r="Q632" i="1"/>
  <c r="Q640" i="1"/>
  <c r="Q648" i="1"/>
  <c r="S662" i="1"/>
  <c r="P662" i="1" s="1"/>
  <c r="R663" i="1"/>
  <c r="U663" i="1" s="1"/>
  <c r="V663" i="1" s="1"/>
  <c r="S670" i="1"/>
  <c r="P670" i="1" s="1"/>
  <c r="R671" i="1"/>
  <c r="U671" i="1" s="1"/>
  <c r="V671" i="1" s="1"/>
  <c r="S678" i="1"/>
  <c r="P678" i="1" s="1"/>
  <c r="R679" i="1"/>
  <c r="U679" i="1" s="1"/>
  <c r="V679" i="1" s="1"/>
  <c r="S686" i="1"/>
  <c r="P686" i="1" s="1"/>
  <c r="W690" i="1"/>
  <c r="S694" i="1"/>
  <c r="P694" i="1" s="1"/>
  <c r="R695" i="1"/>
  <c r="U695" i="1" s="1"/>
  <c r="V695" i="1" s="1"/>
  <c r="W698" i="1"/>
  <c r="S702" i="1"/>
  <c r="P702" i="1" s="1"/>
  <c r="W706" i="1"/>
  <c r="S710" i="1"/>
  <c r="P710" i="1" s="1"/>
  <c r="W714" i="1"/>
  <c r="S718" i="1"/>
  <c r="P718" i="1" s="1"/>
  <c r="R719" i="1"/>
  <c r="W722" i="1"/>
  <c r="S726" i="1"/>
  <c r="P726" i="1" s="1"/>
  <c r="R727" i="1"/>
  <c r="W730" i="1"/>
  <c r="S734" i="1"/>
  <c r="P734" i="1" s="1"/>
  <c r="R735" i="1"/>
  <c r="W738" i="1"/>
  <c r="S742" i="1"/>
  <c r="P742" i="1" s="1"/>
  <c r="R743" i="1"/>
  <c r="U743" i="1" s="1"/>
  <c r="V743" i="1" s="1"/>
  <c r="W746" i="1"/>
  <c r="S750" i="1"/>
  <c r="P750" i="1" s="1"/>
  <c r="R751" i="1"/>
  <c r="U751" i="1" s="1"/>
  <c r="V751" i="1" s="1"/>
  <c r="W754" i="1"/>
  <c r="S758" i="1"/>
  <c r="P758" i="1" s="1"/>
  <c r="Q760" i="1"/>
  <c r="W762" i="1"/>
  <c r="S766" i="1"/>
  <c r="P766" i="1" s="1"/>
  <c r="R767" i="1"/>
  <c r="U767" i="1" s="1"/>
  <c r="V767" i="1" s="1"/>
  <c r="Q768" i="1"/>
  <c r="W770" i="1"/>
  <c r="S774" i="1"/>
  <c r="P774" i="1" s="1"/>
  <c r="R775" i="1"/>
  <c r="U775" i="1" s="1"/>
  <c r="V775" i="1" s="1"/>
  <c r="Q776" i="1"/>
  <c r="W778" i="1"/>
  <c r="S782" i="1"/>
  <c r="P782" i="1" s="1"/>
  <c r="Q784" i="1"/>
  <c r="W786" i="1"/>
  <c r="S790" i="1"/>
  <c r="P790" i="1" s="1"/>
  <c r="Q792" i="1"/>
  <c r="W794" i="1"/>
  <c r="S798" i="1"/>
  <c r="P798" i="1" s="1"/>
  <c r="Q800" i="1"/>
  <c r="W802" i="1"/>
  <c r="S806" i="1"/>
  <c r="P806" i="1" s="1"/>
  <c r="Q808" i="1"/>
  <c r="W810" i="1"/>
  <c r="S814" i="1"/>
  <c r="P814" i="1" s="1"/>
  <c r="R815" i="1"/>
  <c r="Q816" i="1"/>
  <c r="W818" i="1"/>
  <c r="S822" i="1"/>
  <c r="P822" i="1" s="1"/>
  <c r="R823" i="1"/>
  <c r="Q824" i="1"/>
  <c r="W826" i="1"/>
  <c r="S830" i="1"/>
  <c r="P830" i="1" s="1"/>
  <c r="Q832" i="1"/>
  <c r="W834" i="1"/>
  <c r="S838" i="1"/>
  <c r="P838" i="1" s="1"/>
  <c r="R839" i="1"/>
  <c r="Q840" i="1"/>
  <c r="W842" i="1"/>
  <c r="S846" i="1"/>
  <c r="P846" i="1" s="1"/>
  <c r="R847" i="1"/>
  <c r="Q848" i="1"/>
  <c r="W850" i="1"/>
  <c r="S854" i="1"/>
  <c r="P854" i="1" s="1"/>
  <c r="R855" i="1"/>
  <c r="Q856" i="1"/>
  <c r="W858" i="1"/>
  <c r="S862" i="1"/>
  <c r="P862" i="1" s="1"/>
  <c r="R863" i="1"/>
  <c r="Q864" i="1"/>
  <c r="X865" i="1"/>
  <c r="W866" i="1"/>
  <c r="S870" i="1"/>
  <c r="P870" i="1" s="1"/>
  <c r="R871" i="1"/>
  <c r="Q872" i="1"/>
  <c r="X873" i="1"/>
  <c r="W874" i="1"/>
  <c r="S878" i="1"/>
  <c r="P878" i="1" s="1"/>
  <c r="R879" i="1"/>
  <c r="Q880" i="1"/>
  <c r="X881" i="1"/>
  <c r="W882" i="1"/>
  <c r="S886" i="1"/>
  <c r="P886" i="1" s="1"/>
  <c r="R887" i="1"/>
  <c r="Q888" i="1"/>
  <c r="X889" i="1"/>
  <c r="W890" i="1"/>
  <c r="S894" i="1"/>
  <c r="P894" i="1" s="1"/>
  <c r="R895" i="1"/>
  <c r="Q896" i="1"/>
  <c r="X897" i="1"/>
  <c r="W898" i="1"/>
  <c r="S902" i="1"/>
  <c r="P902" i="1" s="1"/>
  <c r="Q904" i="1"/>
  <c r="X905" i="1"/>
  <c r="W906" i="1"/>
  <c r="S910" i="1"/>
  <c r="P910" i="1" s="1"/>
  <c r="Q912" i="1"/>
  <c r="X913" i="1"/>
  <c r="W914" i="1"/>
  <c r="Q920" i="1"/>
  <c r="X921" i="1"/>
  <c r="W922" i="1"/>
  <c r="S926" i="1"/>
  <c r="P926" i="1" s="1"/>
  <c r="R927" i="1"/>
  <c r="Q928" i="1"/>
  <c r="X929" i="1"/>
  <c r="W930" i="1"/>
  <c r="S934" i="1"/>
  <c r="P934" i="1" s="1"/>
  <c r="R935" i="1"/>
  <c r="Q936" i="1"/>
  <c r="X937" i="1"/>
  <c r="W938" i="1"/>
  <c r="X942" i="1"/>
  <c r="Q943" i="1"/>
  <c r="S944" i="1"/>
  <c r="P944" i="1" s="1"/>
  <c r="T948" i="1"/>
  <c r="U948" i="1" s="1"/>
  <c r="V948" i="1" s="1"/>
  <c r="X949" i="1"/>
  <c r="T951" i="1"/>
  <c r="U951" i="1" s="1"/>
  <c r="V951" i="1" s="1"/>
  <c r="M956" i="1"/>
  <c r="X959" i="1"/>
  <c r="W959" i="1"/>
  <c r="X958" i="1"/>
  <c r="R967" i="1"/>
  <c r="T984" i="1"/>
  <c r="U984" i="1" s="1"/>
  <c r="V984" i="1" s="1"/>
  <c r="M984" i="1"/>
  <c r="Q986" i="1"/>
  <c r="S988" i="1"/>
  <c r="P988" i="1" s="1"/>
  <c r="X988" i="1"/>
  <c r="W988" i="1"/>
  <c r="S995" i="1"/>
  <c r="P995" i="1" s="1"/>
  <c r="X995" i="1"/>
  <c r="Q998" i="1"/>
  <c r="S1006" i="1"/>
  <c r="P1006" i="1" s="1"/>
  <c r="T1013" i="1"/>
  <c r="W1018" i="1"/>
  <c r="M1020" i="1"/>
  <c r="S1027" i="1"/>
  <c r="P1027" i="1" s="1"/>
  <c r="X1027" i="1"/>
  <c r="Q1030" i="1"/>
  <c r="X1034" i="1"/>
  <c r="D1041" i="1"/>
  <c r="T1041" i="1"/>
  <c r="Q1047" i="1"/>
  <c r="Q1050" i="1"/>
  <c r="W1058" i="1"/>
  <c r="S1060" i="1"/>
  <c r="P1060" i="1" s="1"/>
  <c r="X1060" i="1"/>
  <c r="W1060" i="1"/>
  <c r="S1062" i="1"/>
  <c r="P1062" i="1" s="1"/>
  <c r="Q1087" i="1"/>
  <c r="Q1093" i="1"/>
  <c r="S1111" i="1"/>
  <c r="P1111" i="1" s="1"/>
  <c r="S1127" i="1"/>
  <c r="P1127" i="1" s="1"/>
  <c r="P1136" i="1"/>
  <c r="Q1141" i="1"/>
  <c r="S1143" i="1"/>
  <c r="P1143" i="1" s="1"/>
  <c r="T1169" i="1"/>
  <c r="M1169" i="1"/>
  <c r="R1169" i="1"/>
  <c r="T1170" i="1"/>
  <c r="U1170" i="1" s="1"/>
  <c r="V1170" i="1" s="1"/>
  <c r="M1170" i="1"/>
  <c r="R1170" i="1"/>
  <c r="Q1175" i="1"/>
  <c r="D1185" i="1"/>
  <c r="Q1197" i="1"/>
  <c r="T1218" i="1"/>
  <c r="U1218" i="1" s="1"/>
  <c r="V1218" i="1" s="1"/>
  <c r="M1218" i="1"/>
  <c r="R1218" i="1"/>
  <c r="Q1223" i="1"/>
  <c r="D1233" i="1"/>
  <c r="S1244" i="1"/>
  <c r="P1244" i="1" s="1"/>
  <c r="X1244" i="1"/>
  <c r="W1244" i="1"/>
  <c r="S1251" i="1"/>
  <c r="P1251" i="1" s="1"/>
  <c r="T1253" i="1"/>
  <c r="M1253" i="1"/>
  <c r="R1253" i="1"/>
  <c r="Q1261" i="1"/>
  <c r="T1281" i="1"/>
  <c r="U1281" i="1" s="1"/>
  <c r="V1281" i="1" s="1"/>
  <c r="M1281" i="1"/>
  <c r="R1281" i="1"/>
  <c r="T1282" i="1"/>
  <c r="U1282" i="1" s="1"/>
  <c r="V1282" i="1" s="1"/>
  <c r="M1282" i="1"/>
  <c r="R1282" i="1"/>
  <c r="Q1287" i="1"/>
  <c r="T1289" i="1"/>
  <c r="U1289" i="1" s="1"/>
  <c r="V1289" i="1" s="1"/>
  <c r="M1289" i="1"/>
  <c r="R1289" i="1"/>
  <c r="T1290" i="1"/>
  <c r="U1290" i="1" s="1"/>
  <c r="V1290" i="1" s="1"/>
  <c r="M1290" i="1"/>
  <c r="R1290" i="1"/>
  <c r="S1307" i="1"/>
  <c r="P1307" i="1" s="1"/>
  <c r="T1308" i="1"/>
  <c r="D1313" i="1"/>
  <c r="T1321" i="1"/>
  <c r="U1321" i="1" s="1"/>
  <c r="V1321" i="1" s="1"/>
  <c r="M1321" i="1"/>
  <c r="R1321" i="1"/>
  <c r="T1322" i="1"/>
  <c r="U1322" i="1" s="1"/>
  <c r="V1322" i="1" s="1"/>
  <c r="M1322" i="1"/>
  <c r="R1322" i="1"/>
  <c r="S1339" i="1"/>
  <c r="P1339" i="1" s="1"/>
  <c r="T1340" i="1"/>
  <c r="D1345" i="1"/>
  <c r="S1436" i="1"/>
  <c r="P1436" i="1" s="1"/>
  <c r="X1436" i="1"/>
  <c r="W1436" i="1"/>
  <c r="W1435" i="1"/>
  <c r="R1442" i="1"/>
  <c r="T1442" i="1"/>
  <c r="U1442" i="1" s="1"/>
  <c r="V1442" i="1" s="1"/>
  <c r="M1442" i="1"/>
  <c r="T1490" i="1"/>
  <c r="U1490" i="1" s="1"/>
  <c r="V1490" i="1" s="1"/>
  <c r="M1490" i="1"/>
  <c r="R1490" i="1"/>
  <c r="T1571" i="1"/>
  <c r="M1571" i="1"/>
  <c r="R1571" i="1"/>
  <c r="S1650" i="1"/>
  <c r="P1650" i="1" s="1"/>
  <c r="S1649" i="1"/>
  <c r="P1649" i="1" s="1"/>
  <c r="X1650" i="1"/>
  <c r="W1650" i="1"/>
  <c r="X1649" i="1"/>
  <c r="W1649" i="1"/>
  <c r="W579" i="1"/>
  <c r="W587" i="1"/>
  <c r="W595" i="1"/>
  <c r="W603" i="1"/>
  <c r="W611" i="1"/>
  <c r="W619" i="1"/>
  <c r="W627" i="1"/>
  <c r="W651" i="1"/>
  <c r="W675" i="1"/>
  <c r="X690" i="1"/>
  <c r="W691" i="1"/>
  <c r="X698" i="1"/>
  <c r="W699" i="1"/>
  <c r="X706" i="1"/>
  <c r="W707" i="1"/>
  <c r="X714" i="1"/>
  <c r="W715" i="1"/>
  <c r="X722" i="1"/>
  <c r="W723" i="1"/>
  <c r="X730" i="1"/>
  <c r="W731" i="1"/>
  <c r="X738" i="1"/>
  <c r="W739" i="1"/>
  <c r="X746" i="1"/>
  <c r="X754" i="1"/>
  <c r="X762" i="1"/>
  <c r="X770" i="1"/>
  <c r="X778" i="1"/>
  <c r="X786" i="1"/>
  <c r="X794" i="1"/>
  <c r="X802" i="1"/>
  <c r="X810" i="1"/>
  <c r="X818" i="1"/>
  <c r="X826" i="1"/>
  <c r="X834" i="1"/>
  <c r="X842" i="1"/>
  <c r="X850" i="1"/>
  <c r="X858" i="1"/>
  <c r="X866" i="1"/>
  <c r="X874" i="1"/>
  <c r="X882" i="1"/>
  <c r="X890" i="1"/>
  <c r="X898" i="1"/>
  <c r="X906" i="1"/>
  <c r="X914" i="1"/>
  <c r="X922" i="1"/>
  <c r="X930" i="1"/>
  <c r="X938" i="1"/>
  <c r="W940" i="1"/>
  <c r="W945" i="1"/>
  <c r="S957" i="1"/>
  <c r="P957" i="1" s="1"/>
  <c r="Q958" i="1"/>
  <c r="T963" i="1"/>
  <c r="U963" i="1" s="1"/>
  <c r="V963" i="1" s="1"/>
  <c r="M963" i="1"/>
  <c r="X963" i="1"/>
  <c r="T970" i="1"/>
  <c r="M970" i="1"/>
  <c r="R970" i="1"/>
  <c r="X970" i="1"/>
  <c r="W977" i="1"/>
  <c r="S978" i="1"/>
  <c r="P978" i="1" s="1"/>
  <c r="T979" i="1"/>
  <c r="U979" i="1" s="1"/>
  <c r="V979" i="1" s="1"/>
  <c r="M979" i="1"/>
  <c r="W982" i="1"/>
  <c r="X991" i="1"/>
  <c r="W991" i="1"/>
  <c r="X990" i="1"/>
  <c r="Q1007" i="1"/>
  <c r="T1008" i="1"/>
  <c r="U1008" i="1" s="1"/>
  <c r="V1008" i="1" s="1"/>
  <c r="M1008" i="1"/>
  <c r="Q1010" i="1"/>
  <c r="S1012" i="1"/>
  <c r="P1012" i="1" s="1"/>
  <c r="X1012" i="1"/>
  <c r="W1012" i="1"/>
  <c r="T1015" i="1"/>
  <c r="U1015" i="1" s="1"/>
  <c r="V1015" i="1" s="1"/>
  <c r="M1015" i="1"/>
  <c r="X1018" i="1"/>
  <c r="R1019" i="1"/>
  <c r="W1038" i="1"/>
  <c r="S1039" i="1"/>
  <c r="P1039" i="1" s="1"/>
  <c r="S1043" i="1"/>
  <c r="P1043" i="1" s="1"/>
  <c r="X1043" i="1"/>
  <c r="M1044" i="1"/>
  <c r="Q1045" i="1"/>
  <c r="X1047" i="1"/>
  <c r="W1047" i="1"/>
  <c r="X1046" i="1"/>
  <c r="R1049" i="1"/>
  <c r="Q1054" i="1"/>
  <c r="X1058" i="1"/>
  <c r="D1065" i="1"/>
  <c r="T1065" i="1"/>
  <c r="Q1071" i="1"/>
  <c r="Q1074" i="1"/>
  <c r="W1083" i="1"/>
  <c r="S1086" i="1"/>
  <c r="P1086" i="1" s="1"/>
  <c r="X1087" i="1"/>
  <c r="W1087" i="1"/>
  <c r="X1086" i="1"/>
  <c r="T1088" i="1"/>
  <c r="U1088" i="1" s="1"/>
  <c r="V1088" i="1" s="1"/>
  <c r="M1088" i="1"/>
  <c r="T1093" i="1"/>
  <c r="U1093" i="1" s="1"/>
  <c r="V1093" i="1" s="1"/>
  <c r="M1093" i="1"/>
  <c r="R1093" i="1"/>
  <c r="W1099" i="1"/>
  <c r="Q1103" i="1"/>
  <c r="W1110" i="1"/>
  <c r="Q1119" i="1"/>
  <c r="R1121" i="1"/>
  <c r="U1121" i="1" s="1"/>
  <c r="V1121" i="1" s="1"/>
  <c r="W1126" i="1"/>
  <c r="Q1135" i="1"/>
  <c r="R1137" i="1"/>
  <c r="T1137" i="1"/>
  <c r="W1142" i="1"/>
  <c r="R1145" i="1"/>
  <c r="W1147" i="1"/>
  <c r="Q1151" i="1"/>
  <c r="Q1157" i="1"/>
  <c r="T1178" i="1"/>
  <c r="U1178" i="1" s="1"/>
  <c r="V1178" i="1" s="1"/>
  <c r="M1178" i="1"/>
  <c r="R1178" i="1"/>
  <c r="W1179" i="1"/>
  <c r="Q1183" i="1"/>
  <c r="D1193" i="1"/>
  <c r="S1195" i="1"/>
  <c r="P1195" i="1" s="1"/>
  <c r="T1197" i="1"/>
  <c r="M1197" i="1"/>
  <c r="R1197" i="1"/>
  <c r="Q1205" i="1"/>
  <c r="P1217" i="1"/>
  <c r="T1225" i="1"/>
  <c r="M1225" i="1"/>
  <c r="R1225" i="1"/>
  <c r="T1226" i="1"/>
  <c r="U1226" i="1" s="1"/>
  <c r="V1226" i="1" s="1"/>
  <c r="M1226" i="1"/>
  <c r="R1226" i="1"/>
  <c r="W1227" i="1"/>
  <c r="Q1231" i="1"/>
  <c r="D1241" i="1"/>
  <c r="S1252" i="1"/>
  <c r="P1252" i="1" s="1"/>
  <c r="X1252" i="1"/>
  <c r="W1252" i="1"/>
  <c r="S1259" i="1"/>
  <c r="P1259" i="1" s="1"/>
  <c r="T1261" i="1"/>
  <c r="M1261" i="1"/>
  <c r="R1261" i="1"/>
  <c r="Q1269" i="1"/>
  <c r="T1301" i="1"/>
  <c r="U1301" i="1" s="1"/>
  <c r="V1301" i="1" s="1"/>
  <c r="S1308" i="1"/>
  <c r="P1308" i="1" s="1"/>
  <c r="X1308" i="1"/>
  <c r="W1308" i="1"/>
  <c r="Q1319" i="1"/>
  <c r="T1333" i="1"/>
  <c r="U1333" i="1" s="1"/>
  <c r="V1333" i="1" s="1"/>
  <c r="M1333" i="1"/>
  <c r="R1333" i="1"/>
  <c r="S1340" i="1"/>
  <c r="P1340" i="1" s="1"/>
  <c r="X1340" i="1"/>
  <c r="W1340" i="1"/>
  <c r="Q1351" i="1"/>
  <c r="R1369" i="1"/>
  <c r="M1369" i="1"/>
  <c r="X1380" i="1"/>
  <c r="W1380" i="1"/>
  <c r="S1379" i="1"/>
  <c r="P1379" i="1" s="1"/>
  <c r="T1380" i="1"/>
  <c r="S1380" i="1"/>
  <c r="P1380" i="1" s="1"/>
  <c r="W1379" i="1"/>
  <c r="X1391" i="1"/>
  <c r="S1390" i="1"/>
  <c r="P1390" i="1" s="1"/>
  <c r="W1391" i="1"/>
  <c r="X1390" i="1"/>
  <c r="S1391" i="1"/>
  <c r="P1391" i="1" s="1"/>
  <c r="W1390" i="1"/>
  <c r="T1441" i="1"/>
  <c r="U1441" i="1" s="1"/>
  <c r="V1441" i="1" s="1"/>
  <c r="M1441" i="1"/>
  <c r="R1441" i="1"/>
  <c r="S1452" i="1"/>
  <c r="P1452" i="1" s="1"/>
  <c r="S1451" i="1"/>
  <c r="P1451" i="1" s="1"/>
  <c r="X1452" i="1"/>
  <c r="W1452" i="1"/>
  <c r="W1451" i="1"/>
  <c r="T1570" i="1"/>
  <c r="U1570" i="1" s="1"/>
  <c r="V1570" i="1" s="1"/>
  <c r="M1570" i="1"/>
  <c r="R1570" i="1"/>
  <c r="Q2061" i="1"/>
  <c r="M663" i="1"/>
  <c r="M671" i="1"/>
  <c r="M679" i="1"/>
  <c r="M695" i="1"/>
  <c r="M719" i="1"/>
  <c r="M727" i="1"/>
  <c r="M735" i="1"/>
  <c r="M743" i="1"/>
  <c r="M751" i="1"/>
  <c r="X755" i="1"/>
  <c r="X763" i="1"/>
  <c r="X771" i="1"/>
  <c r="M775" i="1"/>
  <c r="X779" i="1"/>
  <c r="X787" i="1"/>
  <c r="M791" i="1"/>
  <c r="X795" i="1"/>
  <c r="X803" i="1"/>
  <c r="X811" i="1"/>
  <c r="M815" i="1"/>
  <c r="X819" i="1"/>
  <c r="M823" i="1"/>
  <c r="X835" i="1"/>
  <c r="M839" i="1"/>
  <c r="X843" i="1"/>
  <c r="M847" i="1"/>
  <c r="X851" i="1"/>
  <c r="M855" i="1"/>
  <c r="X859" i="1"/>
  <c r="M863" i="1"/>
  <c r="X867" i="1"/>
  <c r="M871" i="1"/>
  <c r="X875" i="1"/>
  <c r="M879" i="1"/>
  <c r="X883" i="1"/>
  <c r="M887" i="1"/>
  <c r="X891" i="1"/>
  <c r="M895" i="1"/>
  <c r="X899" i="1"/>
  <c r="X907" i="1"/>
  <c r="X915" i="1"/>
  <c r="X923" i="1"/>
  <c r="M927" i="1"/>
  <c r="X931" i="1"/>
  <c r="M935" i="1"/>
  <c r="X939" i="1"/>
  <c r="S943" i="1"/>
  <c r="P943" i="1" s="1"/>
  <c r="S945" i="1"/>
  <c r="P945" i="1" s="1"/>
  <c r="X945" i="1"/>
  <c r="S956" i="1"/>
  <c r="P956" i="1" s="1"/>
  <c r="X956" i="1"/>
  <c r="Q959" i="1"/>
  <c r="S961" i="1"/>
  <c r="P961" i="1" s="1"/>
  <c r="D962" i="1"/>
  <c r="S963" i="1"/>
  <c r="P963" i="1" s="1"/>
  <c r="T964" i="1"/>
  <c r="U964" i="1" s="1"/>
  <c r="V964" i="1" s="1"/>
  <c r="X965" i="1"/>
  <c r="T967" i="1"/>
  <c r="U967" i="1" s="1"/>
  <c r="V967" i="1" s="1"/>
  <c r="R971" i="1"/>
  <c r="M972" i="1"/>
  <c r="X975" i="1"/>
  <c r="W975" i="1"/>
  <c r="X974" i="1"/>
  <c r="X977" i="1"/>
  <c r="S979" i="1"/>
  <c r="P979" i="1" s="1"/>
  <c r="X979" i="1"/>
  <c r="Q982" i="1"/>
  <c r="S983" i="1"/>
  <c r="P983" i="1" s="1"/>
  <c r="S990" i="1"/>
  <c r="P990" i="1" s="1"/>
  <c r="W1001" i="1"/>
  <c r="S1002" i="1"/>
  <c r="P1002" i="1" s="1"/>
  <c r="W1006" i="1"/>
  <c r="R1007" i="1"/>
  <c r="D1009" i="1"/>
  <c r="X1015" i="1"/>
  <c r="W1015" i="1"/>
  <c r="X1014" i="1"/>
  <c r="Q1018" i="1"/>
  <c r="S1020" i="1"/>
  <c r="P1020" i="1" s="1"/>
  <c r="X1020" i="1"/>
  <c r="W1020" i="1"/>
  <c r="T1023" i="1"/>
  <c r="U1023" i="1" s="1"/>
  <c r="V1023" i="1" s="1"/>
  <c r="M1023" i="1"/>
  <c r="R1027" i="1"/>
  <c r="Q1031" i="1"/>
  <c r="Q1034" i="1"/>
  <c r="W1035" i="1"/>
  <c r="W1042" i="1"/>
  <c r="S1044" i="1"/>
  <c r="P1044" i="1" s="1"/>
  <c r="X1044" i="1"/>
  <c r="W1044" i="1"/>
  <c r="S1046" i="1"/>
  <c r="P1046" i="1" s="1"/>
  <c r="T1048" i="1"/>
  <c r="U1048" i="1" s="1"/>
  <c r="V1048" i="1" s="1"/>
  <c r="M1048" i="1"/>
  <c r="W1062" i="1"/>
  <c r="S1063" i="1"/>
  <c r="P1063" i="1" s="1"/>
  <c r="S1067" i="1"/>
  <c r="P1067" i="1" s="1"/>
  <c r="X1067" i="1"/>
  <c r="Q1069" i="1"/>
  <c r="X1071" i="1"/>
  <c r="W1071" i="1"/>
  <c r="X1070" i="1"/>
  <c r="R1073" i="1"/>
  <c r="Q1078" i="1"/>
  <c r="Q1082" i="1"/>
  <c r="S1092" i="1"/>
  <c r="P1092" i="1" s="1"/>
  <c r="X1092" i="1"/>
  <c r="W1092" i="1"/>
  <c r="Q1098" i="1"/>
  <c r="S1102" i="1"/>
  <c r="P1102" i="1" s="1"/>
  <c r="X1103" i="1"/>
  <c r="W1103" i="1"/>
  <c r="X1102" i="1"/>
  <c r="T1105" i="1"/>
  <c r="T1109" i="1"/>
  <c r="M1109" i="1"/>
  <c r="R1109" i="1"/>
  <c r="W1115" i="1"/>
  <c r="S1118" i="1"/>
  <c r="P1118" i="1" s="1"/>
  <c r="X1119" i="1"/>
  <c r="W1119" i="1"/>
  <c r="X1118" i="1"/>
  <c r="T1125" i="1"/>
  <c r="M1125" i="1"/>
  <c r="R1125" i="1"/>
  <c r="S1134" i="1"/>
  <c r="P1134" i="1" s="1"/>
  <c r="X1135" i="1"/>
  <c r="W1135" i="1"/>
  <c r="X1134" i="1"/>
  <c r="T1136" i="1"/>
  <c r="U1136" i="1" s="1"/>
  <c r="V1136" i="1" s="1"/>
  <c r="S1140" i="1"/>
  <c r="P1140" i="1" s="1"/>
  <c r="X1140" i="1"/>
  <c r="W1140" i="1"/>
  <c r="R1144" i="1"/>
  <c r="Q1146" i="1"/>
  <c r="S1150" i="1"/>
  <c r="P1150" i="1" s="1"/>
  <c r="X1151" i="1"/>
  <c r="W1151" i="1"/>
  <c r="X1150" i="1"/>
  <c r="T1152" i="1"/>
  <c r="U1152" i="1" s="1"/>
  <c r="V1152" i="1" s="1"/>
  <c r="M1152" i="1"/>
  <c r="T1157" i="1"/>
  <c r="M1157" i="1"/>
  <c r="R1157" i="1"/>
  <c r="T1185" i="1"/>
  <c r="U1185" i="1" s="1"/>
  <c r="V1185" i="1" s="1"/>
  <c r="M1185" i="1"/>
  <c r="R1185" i="1"/>
  <c r="T1186" i="1"/>
  <c r="U1186" i="1" s="1"/>
  <c r="V1186" i="1" s="1"/>
  <c r="M1186" i="1"/>
  <c r="R1186" i="1"/>
  <c r="W1187" i="1"/>
  <c r="Q1191" i="1"/>
  <c r="S1196" i="1"/>
  <c r="P1196" i="1" s="1"/>
  <c r="X1196" i="1"/>
  <c r="W1196" i="1"/>
  <c r="T1205" i="1"/>
  <c r="M1205" i="1"/>
  <c r="R1205" i="1"/>
  <c r="P1225" i="1"/>
  <c r="T1233" i="1"/>
  <c r="M1233" i="1"/>
  <c r="R1233" i="1"/>
  <c r="T1234" i="1"/>
  <c r="U1234" i="1" s="1"/>
  <c r="V1234" i="1" s="1"/>
  <c r="M1234" i="1"/>
  <c r="R1234" i="1"/>
  <c r="W1235" i="1"/>
  <c r="Q1239" i="1"/>
  <c r="S1260" i="1"/>
  <c r="P1260" i="1" s="1"/>
  <c r="X1260" i="1"/>
  <c r="W1260" i="1"/>
  <c r="T1269" i="1"/>
  <c r="U1269" i="1" s="1"/>
  <c r="V1269" i="1" s="1"/>
  <c r="M1269" i="1"/>
  <c r="R1269" i="1"/>
  <c r="T1313" i="1"/>
  <c r="U1313" i="1" s="1"/>
  <c r="V1313" i="1" s="1"/>
  <c r="M1313" i="1"/>
  <c r="R1313" i="1"/>
  <c r="T1314" i="1"/>
  <c r="U1314" i="1" s="1"/>
  <c r="V1314" i="1" s="1"/>
  <c r="M1314" i="1"/>
  <c r="R1314" i="1"/>
  <c r="T1346" i="1"/>
  <c r="U1346" i="1" s="1"/>
  <c r="V1346" i="1" s="1"/>
  <c r="M1346" i="1"/>
  <c r="R1346" i="1"/>
  <c r="S1395" i="1"/>
  <c r="P1395" i="1" s="1"/>
  <c r="W1432" i="1"/>
  <c r="S1432" i="1"/>
  <c r="P1432" i="1" s="1"/>
  <c r="X1432" i="1"/>
  <c r="W1431" i="1"/>
  <c r="S1431" i="1"/>
  <c r="P1431" i="1" s="1"/>
  <c r="M1599" i="1"/>
  <c r="X944" i="1"/>
  <c r="X951" i="1"/>
  <c r="W951" i="1"/>
  <c r="X950" i="1"/>
  <c r="Q954" i="1"/>
  <c r="T960" i="1"/>
  <c r="U960" i="1" s="1"/>
  <c r="V960" i="1" s="1"/>
  <c r="M960" i="1"/>
  <c r="Q974" i="1"/>
  <c r="S977" i="1"/>
  <c r="P977" i="1" s="1"/>
  <c r="W978" i="1"/>
  <c r="T992" i="1"/>
  <c r="U992" i="1" s="1"/>
  <c r="V992" i="1" s="1"/>
  <c r="M992" i="1"/>
  <c r="Q994" i="1"/>
  <c r="S996" i="1"/>
  <c r="P996" i="1" s="1"/>
  <c r="X996" i="1"/>
  <c r="W996" i="1"/>
  <c r="T999" i="1"/>
  <c r="U999" i="1" s="1"/>
  <c r="V999" i="1" s="1"/>
  <c r="M999" i="1"/>
  <c r="R1000" i="1"/>
  <c r="X1001" i="1"/>
  <c r="S1003" i="1"/>
  <c r="P1003" i="1" s="1"/>
  <c r="X1003" i="1"/>
  <c r="Q1006" i="1"/>
  <c r="S1007" i="1"/>
  <c r="P1007" i="1" s="1"/>
  <c r="W1011" i="1"/>
  <c r="R1013" i="1"/>
  <c r="R1017" i="1"/>
  <c r="U1017" i="1" s="1"/>
  <c r="V1017" i="1" s="1"/>
  <c r="X1023" i="1"/>
  <c r="W1023" i="1"/>
  <c r="X1022" i="1"/>
  <c r="Q1026" i="1"/>
  <c r="S1028" i="1"/>
  <c r="P1028" i="1" s="1"/>
  <c r="X1028" i="1"/>
  <c r="W1028" i="1"/>
  <c r="Q1029" i="1"/>
  <c r="X1031" i="1"/>
  <c r="W1031" i="1"/>
  <c r="X1030" i="1"/>
  <c r="R1033" i="1"/>
  <c r="U1033" i="1" s="1"/>
  <c r="V1033" i="1" s="1"/>
  <c r="Q1038" i="1"/>
  <c r="M1041" i="1"/>
  <c r="T1053" i="1"/>
  <c r="Q1055" i="1"/>
  <c r="Q1058" i="1"/>
  <c r="W1059" i="1"/>
  <c r="S1068" i="1"/>
  <c r="P1068" i="1" s="1"/>
  <c r="X1068" i="1"/>
  <c r="W1068" i="1"/>
  <c r="T1072" i="1"/>
  <c r="U1072" i="1" s="1"/>
  <c r="V1072" i="1" s="1"/>
  <c r="M1072" i="1"/>
  <c r="S1087" i="1"/>
  <c r="P1087" i="1" s="1"/>
  <c r="S1108" i="1"/>
  <c r="P1108" i="1" s="1"/>
  <c r="X1108" i="1"/>
  <c r="W1108" i="1"/>
  <c r="Q1114" i="1"/>
  <c r="S1124" i="1"/>
  <c r="P1124" i="1" s="1"/>
  <c r="X1124" i="1"/>
  <c r="W1124" i="1"/>
  <c r="R1128" i="1"/>
  <c r="Q1130" i="1"/>
  <c r="S1156" i="1"/>
  <c r="P1156" i="1" s="1"/>
  <c r="X1156" i="1"/>
  <c r="W1156" i="1"/>
  <c r="T1165" i="1"/>
  <c r="M1165" i="1"/>
  <c r="R1165" i="1"/>
  <c r="Q1173" i="1"/>
  <c r="T1193" i="1"/>
  <c r="U1193" i="1" s="1"/>
  <c r="V1193" i="1" s="1"/>
  <c r="M1193" i="1"/>
  <c r="R1193" i="1"/>
  <c r="S1204" i="1"/>
  <c r="P1204" i="1" s="1"/>
  <c r="X1204" i="1"/>
  <c r="W1204" i="1"/>
  <c r="T1213" i="1"/>
  <c r="M1213" i="1"/>
  <c r="R1213" i="1"/>
  <c r="Q1221" i="1"/>
  <c r="M1241" i="1"/>
  <c r="T1242" i="1"/>
  <c r="U1242" i="1" s="1"/>
  <c r="V1242" i="1" s="1"/>
  <c r="M1242" i="1"/>
  <c r="R1242" i="1"/>
  <c r="Q1247" i="1"/>
  <c r="S1268" i="1"/>
  <c r="P1268" i="1" s="1"/>
  <c r="X1268" i="1"/>
  <c r="W1268" i="1"/>
  <c r="T1277" i="1"/>
  <c r="U1277" i="1" s="1"/>
  <c r="V1277" i="1" s="1"/>
  <c r="M1277" i="1"/>
  <c r="R1277" i="1"/>
  <c r="Q1285" i="1"/>
  <c r="S1300" i="1"/>
  <c r="P1300" i="1" s="1"/>
  <c r="X1300" i="1"/>
  <c r="W1300" i="1"/>
  <c r="Q1311" i="1"/>
  <c r="T1325" i="1"/>
  <c r="U1325" i="1" s="1"/>
  <c r="V1325" i="1" s="1"/>
  <c r="M1325" i="1"/>
  <c r="R1325" i="1"/>
  <c r="S1332" i="1"/>
  <c r="P1332" i="1" s="1"/>
  <c r="X1332" i="1"/>
  <c r="W1332" i="1"/>
  <c r="Q1343" i="1"/>
  <c r="Q1397" i="1"/>
  <c r="R1469" i="1"/>
  <c r="T1469" i="1"/>
  <c r="U1469" i="1" s="1"/>
  <c r="V1469" i="1" s="1"/>
  <c r="M1469" i="1"/>
  <c r="Q1479" i="1"/>
  <c r="Q1597" i="1"/>
  <c r="X661" i="1"/>
  <c r="X669" i="1"/>
  <c r="X677" i="1"/>
  <c r="X685" i="1"/>
  <c r="X693" i="1"/>
  <c r="X701" i="1"/>
  <c r="X709" i="1"/>
  <c r="X717" i="1"/>
  <c r="X725" i="1"/>
  <c r="X733" i="1"/>
  <c r="X741" i="1"/>
  <c r="X749" i="1"/>
  <c r="X757" i="1"/>
  <c r="S942" i="1"/>
  <c r="P942" i="1" s="1"/>
  <c r="S948" i="1"/>
  <c r="P948" i="1" s="1"/>
  <c r="X948" i="1"/>
  <c r="S949" i="1"/>
  <c r="P949" i="1" s="1"/>
  <c r="Q950" i="1"/>
  <c r="X953" i="1"/>
  <c r="T955" i="1"/>
  <c r="U955" i="1" s="1"/>
  <c r="V955" i="1" s="1"/>
  <c r="M955" i="1"/>
  <c r="S959" i="1"/>
  <c r="P959" i="1" s="1"/>
  <c r="S972" i="1"/>
  <c r="P972" i="1" s="1"/>
  <c r="X972" i="1"/>
  <c r="W974" i="1"/>
  <c r="Q975" i="1"/>
  <c r="R979" i="1"/>
  <c r="W985" i="1"/>
  <c r="S986" i="1"/>
  <c r="P986" i="1" s="1"/>
  <c r="T987" i="1"/>
  <c r="U987" i="1" s="1"/>
  <c r="V987" i="1" s="1"/>
  <c r="M987" i="1"/>
  <c r="W990" i="1"/>
  <c r="D993" i="1"/>
  <c r="X999" i="1"/>
  <c r="W999" i="1"/>
  <c r="X998" i="1"/>
  <c r="S1001" i="1"/>
  <c r="P1001" i="1" s="1"/>
  <c r="T1012" i="1"/>
  <c r="U1012" i="1" s="1"/>
  <c r="V1012" i="1" s="1"/>
  <c r="Q1015" i="1"/>
  <c r="W1019" i="1"/>
  <c r="S1022" i="1"/>
  <c r="P1022" i="1" s="1"/>
  <c r="R1025" i="1"/>
  <c r="U1025" i="1" s="1"/>
  <c r="V1025" i="1" s="1"/>
  <c r="S1030" i="1"/>
  <c r="P1030" i="1" s="1"/>
  <c r="T1032" i="1"/>
  <c r="U1032" i="1" s="1"/>
  <c r="V1032" i="1" s="1"/>
  <c r="M1032" i="1"/>
  <c r="R1040" i="1"/>
  <c r="W1046" i="1"/>
  <c r="S1047" i="1"/>
  <c r="P1047" i="1" s="1"/>
  <c r="S1051" i="1"/>
  <c r="P1051" i="1" s="1"/>
  <c r="X1051" i="1"/>
  <c r="Q1053" i="1"/>
  <c r="X1055" i="1"/>
  <c r="W1055" i="1"/>
  <c r="X1054" i="1"/>
  <c r="R1057" i="1"/>
  <c r="Q1062" i="1"/>
  <c r="M1065" i="1"/>
  <c r="X1066" i="1"/>
  <c r="R1069" i="1"/>
  <c r="U1069" i="1" s="1"/>
  <c r="V1069" i="1" s="1"/>
  <c r="D1073" i="1"/>
  <c r="T1073" i="1"/>
  <c r="T1077" i="1"/>
  <c r="Q1079" i="1"/>
  <c r="Q1085" i="1"/>
  <c r="W1086" i="1"/>
  <c r="Q1095" i="1"/>
  <c r="Q1101" i="1"/>
  <c r="S1103" i="1"/>
  <c r="P1103" i="1" s="1"/>
  <c r="S1119" i="1"/>
  <c r="P1119" i="1" s="1"/>
  <c r="S1135" i="1"/>
  <c r="P1135" i="1" s="1"/>
  <c r="Q1149" i="1"/>
  <c r="S1151" i="1"/>
  <c r="P1151" i="1" s="1"/>
  <c r="R1153" i="1"/>
  <c r="S1164" i="1"/>
  <c r="P1164" i="1" s="1"/>
  <c r="X1164" i="1"/>
  <c r="W1164" i="1"/>
  <c r="S1171" i="1"/>
  <c r="P1171" i="1" s="1"/>
  <c r="Q1181" i="1"/>
  <c r="D1201" i="1"/>
  <c r="S1212" i="1"/>
  <c r="P1212" i="1" s="1"/>
  <c r="X1212" i="1"/>
  <c r="W1212" i="1"/>
  <c r="S1219" i="1"/>
  <c r="P1219" i="1" s="1"/>
  <c r="T1221" i="1"/>
  <c r="M1221" i="1"/>
  <c r="R1221" i="1"/>
  <c r="Q1229" i="1"/>
  <c r="P1241" i="1"/>
  <c r="T1249" i="1"/>
  <c r="M1249" i="1"/>
  <c r="R1249" i="1"/>
  <c r="T1250" i="1"/>
  <c r="U1250" i="1" s="1"/>
  <c r="V1250" i="1" s="1"/>
  <c r="M1250" i="1"/>
  <c r="R1250" i="1"/>
  <c r="W1251" i="1"/>
  <c r="Q1255" i="1"/>
  <c r="D1265" i="1"/>
  <c r="S1276" i="1"/>
  <c r="P1276" i="1" s="1"/>
  <c r="X1276" i="1"/>
  <c r="W1276" i="1"/>
  <c r="S1283" i="1"/>
  <c r="P1283" i="1" s="1"/>
  <c r="T1285" i="1"/>
  <c r="U1285" i="1" s="1"/>
  <c r="V1285" i="1" s="1"/>
  <c r="M1285" i="1"/>
  <c r="R1285" i="1"/>
  <c r="S1291" i="1"/>
  <c r="P1291" i="1" s="1"/>
  <c r="T1292" i="1"/>
  <c r="D1297" i="1"/>
  <c r="T1305" i="1"/>
  <c r="U1305" i="1" s="1"/>
  <c r="V1305" i="1" s="1"/>
  <c r="M1305" i="1"/>
  <c r="R1305" i="1"/>
  <c r="T1306" i="1"/>
  <c r="U1306" i="1" s="1"/>
  <c r="V1306" i="1" s="1"/>
  <c r="M1306" i="1"/>
  <c r="R1306" i="1"/>
  <c r="W1307" i="1"/>
  <c r="S1323" i="1"/>
  <c r="P1323" i="1" s="1"/>
  <c r="T1324" i="1"/>
  <c r="D1329" i="1"/>
  <c r="T1337" i="1"/>
  <c r="U1337" i="1" s="1"/>
  <c r="V1337" i="1" s="1"/>
  <c r="M1337" i="1"/>
  <c r="R1337" i="1"/>
  <c r="T1338" i="1"/>
  <c r="U1338" i="1" s="1"/>
  <c r="V1338" i="1" s="1"/>
  <c r="M1338" i="1"/>
  <c r="R1338" i="1"/>
  <c r="W1339" i="1"/>
  <c r="Q1415" i="1"/>
  <c r="Q1429" i="1"/>
  <c r="S1474" i="1"/>
  <c r="P1474" i="1" s="1"/>
  <c r="W1474" i="1"/>
  <c r="X1473" i="1"/>
  <c r="X1474" i="1"/>
  <c r="W1473" i="1"/>
  <c r="S1530" i="1"/>
  <c r="P1530" i="1" s="1"/>
  <c r="S1529" i="1"/>
  <c r="P1529" i="1" s="1"/>
  <c r="W1530" i="1"/>
  <c r="X1530" i="1"/>
  <c r="W1529" i="1"/>
  <c r="S1610" i="1"/>
  <c r="P1610" i="1" s="1"/>
  <c r="S1609" i="1"/>
  <c r="P1609" i="1" s="1"/>
  <c r="X1610" i="1"/>
  <c r="W1610" i="1"/>
  <c r="X1609" i="1"/>
  <c r="W1609" i="1"/>
  <c r="T1784" i="1"/>
  <c r="U1784" i="1" s="1"/>
  <c r="V1784" i="1" s="1"/>
  <c r="M1784" i="1"/>
  <c r="R1784" i="1"/>
  <c r="X1786" i="1"/>
  <c r="W1786" i="1"/>
  <c r="X1785" i="1"/>
  <c r="S1786" i="1"/>
  <c r="P1786" i="1" s="1"/>
  <c r="W1785" i="1"/>
  <c r="X1083" i="1"/>
  <c r="X1091" i="1"/>
  <c r="X1099" i="1"/>
  <c r="X1107" i="1"/>
  <c r="X1115" i="1"/>
  <c r="X1123" i="1"/>
  <c r="X1131" i="1"/>
  <c r="X1139" i="1"/>
  <c r="S1144" i="1"/>
  <c r="P1144" i="1" s="1"/>
  <c r="X1147" i="1"/>
  <c r="X1155" i="1"/>
  <c r="Q1162" i="1"/>
  <c r="X1163" i="1"/>
  <c r="Q1170" i="1"/>
  <c r="X1171" i="1"/>
  <c r="Q1178" i="1"/>
  <c r="X1179" i="1"/>
  <c r="Q1186" i="1"/>
  <c r="X1187" i="1"/>
  <c r="Q1194" i="1"/>
  <c r="X1195" i="1"/>
  <c r="Q1202" i="1"/>
  <c r="X1203" i="1"/>
  <c r="Q1210" i="1"/>
  <c r="X1211" i="1"/>
  <c r="Q1218" i="1"/>
  <c r="X1219" i="1"/>
  <c r="Q1226" i="1"/>
  <c r="X1227" i="1"/>
  <c r="Q1234" i="1"/>
  <c r="X1235" i="1"/>
  <c r="Q1242" i="1"/>
  <c r="X1243" i="1"/>
  <c r="Q1250" i="1"/>
  <c r="X1251" i="1"/>
  <c r="Q1258" i="1"/>
  <c r="X1259" i="1"/>
  <c r="Q1266" i="1"/>
  <c r="X1267" i="1"/>
  <c r="Q1274" i="1"/>
  <c r="X1275" i="1"/>
  <c r="Q1282" i="1"/>
  <c r="X1283" i="1"/>
  <c r="Q1290" i="1"/>
  <c r="X1291" i="1"/>
  <c r="Q1298" i="1"/>
  <c r="X1299" i="1"/>
  <c r="Q1306" i="1"/>
  <c r="X1307" i="1"/>
  <c r="Q1314" i="1"/>
  <c r="X1315" i="1"/>
  <c r="Q1322" i="1"/>
  <c r="X1323" i="1"/>
  <c r="Q1330" i="1"/>
  <c r="X1331" i="1"/>
  <c r="Q1338" i="1"/>
  <c r="X1339" i="1"/>
  <c r="Q1346" i="1"/>
  <c r="X1347" i="1"/>
  <c r="S1353" i="1"/>
  <c r="P1353" i="1" s="1"/>
  <c r="X1353" i="1"/>
  <c r="S1355" i="1"/>
  <c r="P1355" i="1" s="1"/>
  <c r="S1361" i="1"/>
  <c r="P1361" i="1" s="1"/>
  <c r="X1361" i="1"/>
  <c r="S1363" i="1"/>
  <c r="P1363" i="1" s="1"/>
  <c r="S1369" i="1"/>
  <c r="P1369" i="1" s="1"/>
  <c r="X1369" i="1"/>
  <c r="S1371" i="1"/>
  <c r="P1371" i="1" s="1"/>
  <c r="S1378" i="1"/>
  <c r="P1378" i="1" s="1"/>
  <c r="D1383" i="1"/>
  <c r="S1384" i="1"/>
  <c r="P1384" i="1" s="1"/>
  <c r="D1385" i="1"/>
  <c r="T1385" i="1"/>
  <c r="U1385" i="1" s="1"/>
  <c r="V1385" i="1" s="1"/>
  <c r="X1386" i="1"/>
  <c r="R1390" i="1"/>
  <c r="X1399" i="1"/>
  <c r="S1398" i="1"/>
  <c r="P1398" i="1" s="1"/>
  <c r="S1404" i="1"/>
  <c r="P1404" i="1" s="1"/>
  <c r="X1404" i="1"/>
  <c r="W1404" i="1"/>
  <c r="D1409" i="1"/>
  <c r="X1411" i="1"/>
  <c r="X1415" i="1"/>
  <c r="W1424" i="1"/>
  <c r="S1424" i="1"/>
  <c r="P1424" i="1" s="1"/>
  <c r="S1428" i="1"/>
  <c r="P1428" i="1" s="1"/>
  <c r="X1428" i="1"/>
  <c r="W1428" i="1"/>
  <c r="T1433" i="1"/>
  <c r="U1433" i="1" s="1"/>
  <c r="V1433" i="1" s="1"/>
  <c r="M1433" i="1"/>
  <c r="R1433" i="1"/>
  <c r="S1439" i="1"/>
  <c r="P1439" i="1" s="1"/>
  <c r="S1441" i="1"/>
  <c r="P1441" i="1" s="1"/>
  <c r="W1449" i="1"/>
  <c r="D1457" i="1"/>
  <c r="S1473" i="1"/>
  <c r="P1473" i="1" s="1"/>
  <c r="D1481" i="1"/>
  <c r="S1490" i="1"/>
  <c r="P1490" i="1" s="1"/>
  <c r="S1489" i="1"/>
  <c r="P1489" i="1" s="1"/>
  <c r="W1490" i="1"/>
  <c r="X1489" i="1"/>
  <c r="Q1491" i="1"/>
  <c r="T1498" i="1"/>
  <c r="U1498" i="1" s="1"/>
  <c r="V1498" i="1" s="1"/>
  <c r="M1498" i="1"/>
  <c r="R1498" i="1"/>
  <c r="T1508" i="1"/>
  <c r="U1508" i="1" s="1"/>
  <c r="V1508" i="1" s="1"/>
  <c r="X1529" i="1"/>
  <c r="Q1533" i="1"/>
  <c r="Q1539" i="1"/>
  <c r="D1551" i="1"/>
  <c r="T1556" i="1"/>
  <c r="U1556" i="1" s="1"/>
  <c r="V1556" i="1" s="1"/>
  <c r="S1570" i="1"/>
  <c r="P1570" i="1" s="1"/>
  <c r="S1569" i="1"/>
  <c r="P1569" i="1" s="1"/>
  <c r="X1570" i="1"/>
  <c r="W1570" i="1"/>
  <c r="X1569" i="1"/>
  <c r="T1586" i="1"/>
  <c r="U1586" i="1" s="1"/>
  <c r="V1586" i="1" s="1"/>
  <c r="M1586" i="1"/>
  <c r="R1586" i="1"/>
  <c r="T1587" i="1"/>
  <c r="M1587" i="1"/>
  <c r="R1587" i="1"/>
  <c r="Q1603" i="1"/>
  <c r="Q1613" i="1"/>
  <c r="T1626" i="1"/>
  <c r="U1626" i="1" s="1"/>
  <c r="V1626" i="1" s="1"/>
  <c r="M1626" i="1"/>
  <c r="R1626" i="1"/>
  <c r="T1627" i="1"/>
  <c r="M1627" i="1"/>
  <c r="R1627" i="1"/>
  <c r="R1639" i="1"/>
  <c r="T1666" i="1"/>
  <c r="M1666" i="1"/>
  <c r="R1666" i="1"/>
  <c r="T1667" i="1"/>
  <c r="U1667" i="1" s="1"/>
  <c r="V1667" i="1" s="1"/>
  <c r="M1667" i="1"/>
  <c r="R1667" i="1"/>
  <c r="T1682" i="1"/>
  <c r="M1682" i="1"/>
  <c r="R1682" i="1"/>
  <c r="T1683" i="1"/>
  <c r="U1683" i="1" s="1"/>
  <c r="V1683" i="1" s="1"/>
  <c r="M1683" i="1"/>
  <c r="R1683" i="1"/>
  <c r="T1698" i="1"/>
  <c r="M1698" i="1"/>
  <c r="R1698" i="1"/>
  <c r="T1699" i="1"/>
  <c r="U1699" i="1" s="1"/>
  <c r="V1699" i="1" s="1"/>
  <c r="M1699" i="1"/>
  <c r="R1699" i="1"/>
  <c r="T1714" i="1"/>
  <c r="M1714" i="1"/>
  <c r="R1714" i="1"/>
  <c r="Q1738" i="1"/>
  <c r="M1739" i="1"/>
  <c r="T1739" i="1"/>
  <c r="U1739" i="1" s="1"/>
  <c r="V1739" i="1" s="1"/>
  <c r="R1739" i="1"/>
  <c r="Q1765" i="1"/>
  <c r="W1767" i="1"/>
  <c r="S1767" i="1"/>
  <c r="P1767" i="1" s="1"/>
  <c r="X1767" i="1"/>
  <c r="W1766" i="1"/>
  <c r="S1766" i="1"/>
  <c r="P1766" i="1" s="1"/>
  <c r="M1779" i="1"/>
  <c r="T1779" i="1"/>
  <c r="U1779" i="1" s="1"/>
  <c r="V1779" i="1" s="1"/>
  <c r="R1779" i="1"/>
  <c r="T2050" i="1"/>
  <c r="U2050" i="1" s="1"/>
  <c r="V2050" i="1" s="1"/>
  <c r="M2050" i="1"/>
  <c r="R2050" i="1"/>
  <c r="M1168" i="1"/>
  <c r="M1176" i="1"/>
  <c r="M1184" i="1"/>
  <c r="M1192" i="1"/>
  <c r="M1208" i="1"/>
  <c r="M1216" i="1"/>
  <c r="M1224" i="1"/>
  <c r="M1232" i="1"/>
  <c r="M1240" i="1"/>
  <c r="M1248" i="1"/>
  <c r="M1256" i="1"/>
  <c r="M1264" i="1"/>
  <c r="M1272" i="1"/>
  <c r="M1280" i="1"/>
  <c r="W1352" i="1"/>
  <c r="S1354" i="1"/>
  <c r="P1354" i="1" s="1"/>
  <c r="S1359" i="1"/>
  <c r="P1359" i="1" s="1"/>
  <c r="T1360" i="1"/>
  <c r="U1360" i="1" s="1"/>
  <c r="V1360" i="1" s="1"/>
  <c r="M1360" i="1"/>
  <c r="W1360" i="1"/>
  <c r="S1362" i="1"/>
  <c r="P1362" i="1" s="1"/>
  <c r="S1367" i="1"/>
  <c r="P1367" i="1" s="1"/>
  <c r="W1368" i="1"/>
  <c r="S1370" i="1"/>
  <c r="P1370" i="1" s="1"/>
  <c r="S1375" i="1"/>
  <c r="P1375" i="1" s="1"/>
  <c r="S1377" i="1"/>
  <c r="P1377" i="1" s="1"/>
  <c r="X1377" i="1"/>
  <c r="M1379" i="1"/>
  <c r="Q1380" i="1"/>
  <c r="Q1384" i="1"/>
  <c r="R1387" i="1"/>
  <c r="T1390" i="1"/>
  <c r="U1390" i="1" s="1"/>
  <c r="V1390" i="1" s="1"/>
  <c r="Q1391" i="1"/>
  <c r="D1393" i="1"/>
  <c r="R1405" i="1"/>
  <c r="T1405" i="1"/>
  <c r="U1405" i="1" s="1"/>
  <c r="V1405" i="1" s="1"/>
  <c r="M1405" i="1"/>
  <c r="X1407" i="1"/>
  <c r="W1416" i="1"/>
  <c r="S1416" i="1"/>
  <c r="P1416" i="1" s="1"/>
  <c r="S1420" i="1"/>
  <c r="P1420" i="1" s="1"/>
  <c r="X1420" i="1"/>
  <c r="W1420" i="1"/>
  <c r="R1421" i="1"/>
  <c r="T1421" i="1"/>
  <c r="U1421" i="1" s="1"/>
  <c r="V1421" i="1" s="1"/>
  <c r="M1421" i="1"/>
  <c r="T1425" i="1"/>
  <c r="U1425" i="1" s="1"/>
  <c r="V1425" i="1" s="1"/>
  <c r="M1425" i="1"/>
  <c r="R1425" i="1"/>
  <c r="S1433" i="1"/>
  <c r="P1433" i="1" s="1"/>
  <c r="W1439" i="1"/>
  <c r="Q1444" i="1"/>
  <c r="S1442" i="1"/>
  <c r="P1442" i="1" s="1"/>
  <c r="W1442" i="1"/>
  <c r="X1441" i="1"/>
  <c r="D1449" i="1"/>
  <c r="T1466" i="1"/>
  <c r="U1466" i="1" s="1"/>
  <c r="V1466" i="1" s="1"/>
  <c r="M1466" i="1"/>
  <c r="R1466" i="1"/>
  <c r="T1491" i="1"/>
  <c r="M1491" i="1"/>
  <c r="R1491" i="1"/>
  <c r="Q1495" i="1"/>
  <c r="S1498" i="1"/>
  <c r="P1498" i="1" s="1"/>
  <c r="W1498" i="1"/>
  <c r="T1506" i="1"/>
  <c r="U1506" i="1" s="1"/>
  <c r="V1506" i="1" s="1"/>
  <c r="M1506" i="1"/>
  <c r="R1506" i="1"/>
  <c r="D1519" i="1"/>
  <c r="S1524" i="1"/>
  <c r="P1524" i="1" s="1"/>
  <c r="S1523" i="1"/>
  <c r="P1523" i="1" s="1"/>
  <c r="X1524" i="1"/>
  <c r="W1524" i="1"/>
  <c r="X1523" i="1"/>
  <c r="R1525" i="1"/>
  <c r="T1525" i="1"/>
  <c r="U1525" i="1" s="1"/>
  <c r="V1525" i="1" s="1"/>
  <c r="M1525" i="1"/>
  <c r="T1538" i="1"/>
  <c r="U1538" i="1" s="1"/>
  <c r="V1538" i="1" s="1"/>
  <c r="M1538" i="1"/>
  <c r="R1538" i="1"/>
  <c r="T1539" i="1"/>
  <c r="U1539" i="1" s="1"/>
  <c r="V1539" i="1" s="1"/>
  <c r="M1539" i="1"/>
  <c r="R1539" i="1"/>
  <c r="Q1541" i="1"/>
  <c r="T1543" i="1"/>
  <c r="U1543" i="1" s="1"/>
  <c r="V1543" i="1" s="1"/>
  <c r="M1543" i="1"/>
  <c r="R1543" i="1"/>
  <c r="Q1547" i="1"/>
  <c r="D1559" i="1"/>
  <c r="Q1573" i="1"/>
  <c r="T1575" i="1"/>
  <c r="M1575" i="1"/>
  <c r="R1575" i="1"/>
  <c r="S1586" i="1"/>
  <c r="P1586" i="1" s="1"/>
  <c r="S1585" i="1"/>
  <c r="P1585" i="1" s="1"/>
  <c r="X1586" i="1"/>
  <c r="W1586" i="1"/>
  <c r="X1585" i="1"/>
  <c r="T1602" i="1"/>
  <c r="U1602" i="1" s="1"/>
  <c r="V1602" i="1" s="1"/>
  <c r="M1602" i="1"/>
  <c r="R1602" i="1"/>
  <c r="T1603" i="1"/>
  <c r="M1603" i="1"/>
  <c r="R1603" i="1"/>
  <c r="T1615" i="1"/>
  <c r="M1615" i="1"/>
  <c r="R1615" i="1"/>
  <c r="S1626" i="1"/>
  <c r="P1626" i="1" s="1"/>
  <c r="S1625" i="1"/>
  <c r="P1625" i="1" s="1"/>
  <c r="X1626" i="1"/>
  <c r="W1626" i="1"/>
  <c r="X1625" i="1"/>
  <c r="Q1643" i="1"/>
  <c r="S1666" i="1"/>
  <c r="P1666" i="1" s="1"/>
  <c r="X1666" i="1"/>
  <c r="W1666" i="1"/>
  <c r="X1665" i="1"/>
  <c r="S1682" i="1"/>
  <c r="P1682" i="1" s="1"/>
  <c r="X1682" i="1"/>
  <c r="W1682" i="1"/>
  <c r="X1681" i="1"/>
  <c r="S1698" i="1"/>
  <c r="P1698" i="1" s="1"/>
  <c r="X1698" i="1"/>
  <c r="W1698" i="1"/>
  <c r="X1697" i="1"/>
  <c r="S1714" i="1"/>
  <c r="P1714" i="1" s="1"/>
  <c r="X1714" i="1"/>
  <c r="W1714" i="1"/>
  <c r="X1713" i="1"/>
  <c r="R1790" i="1"/>
  <c r="Q1845" i="1"/>
  <c r="X1352" i="1"/>
  <c r="X1360" i="1"/>
  <c r="X1368" i="1"/>
  <c r="T1383" i="1"/>
  <c r="U1383" i="1" s="1"/>
  <c r="V1383" i="1" s="1"/>
  <c r="M1383" i="1"/>
  <c r="R1383" i="1"/>
  <c r="W1392" i="1"/>
  <c r="S1392" i="1"/>
  <c r="P1392" i="1" s="1"/>
  <c r="W1408" i="1"/>
  <c r="S1408" i="1"/>
  <c r="P1408" i="1" s="1"/>
  <c r="S1412" i="1"/>
  <c r="P1412" i="1" s="1"/>
  <c r="X1412" i="1"/>
  <c r="W1412" i="1"/>
  <c r="T1413" i="1"/>
  <c r="U1413" i="1" s="1"/>
  <c r="V1413" i="1" s="1"/>
  <c r="T1417" i="1"/>
  <c r="U1417" i="1" s="1"/>
  <c r="V1417" i="1" s="1"/>
  <c r="M1417" i="1"/>
  <c r="R1417" i="1"/>
  <c r="S1434" i="1"/>
  <c r="P1434" i="1" s="1"/>
  <c r="W1434" i="1"/>
  <c r="X1433" i="1"/>
  <c r="Q1443" i="1"/>
  <c r="T1458" i="1"/>
  <c r="U1458" i="1" s="1"/>
  <c r="V1458" i="1" s="1"/>
  <c r="M1458" i="1"/>
  <c r="R1458" i="1"/>
  <c r="S1466" i="1"/>
  <c r="P1466" i="1" s="1"/>
  <c r="W1466" i="1"/>
  <c r="X1465" i="1"/>
  <c r="T1482" i="1"/>
  <c r="U1482" i="1" s="1"/>
  <c r="V1482" i="1" s="1"/>
  <c r="M1482" i="1"/>
  <c r="R1482" i="1"/>
  <c r="S1506" i="1"/>
  <c r="P1506" i="1" s="1"/>
  <c r="S1505" i="1"/>
  <c r="P1505" i="1" s="1"/>
  <c r="W1506" i="1"/>
  <c r="T1514" i="1"/>
  <c r="U1514" i="1" s="1"/>
  <c r="V1514" i="1" s="1"/>
  <c r="M1514" i="1"/>
  <c r="R1514" i="1"/>
  <c r="S1532" i="1"/>
  <c r="P1532" i="1" s="1"/>
  <c r="S1531" i="1"/>
  <c r="P1531" i="1" s="1"/>
  <c r="X1532" i="1"/>
  <c r="W1532" i="1"/>
  <c r="X1531" i="1"/>
  <c r="S1538" i="1"/>
  <c r="P1538" i="1" s="1"/>
  <c r="S1537" i="1"/>
  <c r="P1537" i="1" s="1"/>
  <c r="X1538" i="1"/>
  <c r="W1538" i="1"/>
  <c r="T1546" i="1"/>
  <c r="U1546" i="1" s="1"/>
  <c r="V1546" i="1" s="1"/>
  <c r="M1546" i="1"/>
  <c r="R1546" i="1"/>
  <c r="T1547" i="1"/>
  <c r="U1547" i="1" s="1"/>
  <c r="V1547" i="1" s="1"/>
  <c r="M1547" i="1"/>
  <c r="R1547" i="1"/>
  <c r="Q1549" i="1"/>
  <c r="M1551" i="1"/>
  <c r="Q1589" i="1"/>
  <c r="S1602" i="1"/>
  <c r="P1602" i="1" s="1"/>
  <c r="S1601" i="1"/>
  <c r="P1601" i="1" s="1"/>
  <c r="X1602" i="1"/>
  <c r="W1602" i="1"/>
  <c r="X1601" i="1"/>
  <c r="Q1629" i="1"/>
  <c r="T1642" i="1"/>
  <c r="U1642" i="1" s="1"/>
  <c r="V1642" i="1" s="1"/>
  <c r="M1642" i="1"/>
  <c r="R1642" i="1"/>
  <c r="T1643" i="1"/>
  <c r="U1643" i="1" s="1"/>
  <c r="V1643" i="1" s="1"/>
  <c r="M1643" i="1"/>
  <c r="R1643" i="1"/>
  <c r="Q1653" i="1"/>
  <c r="T1655" i="1"/>
  <c r="U1655" i="1" s="1"/>
  <c r="V1655" i="1" s="1"/>
  <c r="Q1669" i="1"/>
  <c r="T1671" i="1"/>
  <c r="U1671" i="1" s="1"/>
  <c r="V1671" i="1" s="1"/>
  <c r="M1671" i="1"/>
  <c r="R1671" i="1"/>
  <c r="Q1685" i="1"/>
  <c r="T1687" i="1"/>
  <c r="U1687" i="1" s="1"/>
  <c r="V1687" i="1" s="1"/>
  <c r="M1687" i="1"/>
  <c r="R1687" i="1"/>
  <c r="Q1701" i="1"/>
  <c r="M1703" i="1"/>
  <c r="Q1717" i="1"/>
  <c r="T1719" i="1"/>
  <c r="U1719" i="1" s="1"/>
  <c r="V1719" i="1" s="1"/>
  <c r="M1719" i="1"/>
  <c r="R1719" i="1"/>
  <c r="Q1730" i="1"/>
  <c r="M1731" i="1"/>
  <c r="T1731" i="1"/>
  <c r="U1731" i="1" s="1"/>
  <c r="V1731" i="1" s="1"/>
  <c r="R1731" i="1"/>
  <c r="Q1812" i="1"/>
  <c r="S2082" i="1"/>
  <c r="P2082" i="1" s="1"/>
  <c r="X2082" i="1"/>
  <c r="W2082" i="1"/>
  <c r="W2081" i="1"/>
  <c r="M2118" i="1"/>
  <c r="T2118" i="1"/>
  <c r="U2118" i="1" s="1"/>
  <c r="V2118" i="1" s="1"/>
  <c r="R2118" i="1"/>
  <c r="T2507" i="1"/>
  <c r="M2507" i="1"/>
  <c r="R2507" i="1"/>
  <c r="T2508" i="1"/>
  <c r="U2508" i="1" s="1"/>
  <c r="V2508" i="1" s="1"/>
  <c r="M2508" i="1"/>
  <c r="R2508" i="1"/>
  <c r="R1084" i="1"/>
  <c r="R1092" i="1"/>
  <c r="R1100" i="1"/>
  <c r="R1108" i="1"/>
  <c r="R1116" i="1"/>
  <c r="R1124" i="1"/>
  <c r="R1156" i="1"/>
  <c r="W1159" i="1"/>
  <c r="W1167" i="1"/>
  <c r="W1175" i="1"/>
  <c r="W1183" i="1"/>
  <c r="W1191" i="1"/>
  <c r="R1196" i="1"/>
  <c r="W1199" i="1"/>
  <c r="R1204" i="1"/>
  <c r="W1207" i="1"/>
  <c r="R1212" i="1"/>
  <c r="W1215" i="1"/>
  <c r="W1223" i="1"/>
  <c r="R1228" i="1"/>
  <c r="W1231" i="1"/>
  <c r="R1236" i="1"/>
  <c r="W1239" i="1"/>
  <c r="R1244" i="1"/>
  <c r="W1247" i="1"/>
  <c r="R1252" i="1"/>
  <c r="W1255" i="1"/>
  <c r="R1260" i="1"/>
  <c r="W1263" i="1"/>
  <c r="R1268" i="1"/>
  <c r="W1271" i="1"/>
  <c r="R1276" i="1"/>
  <c r="W1279" i="1"/>
  <c r="R1284" i="1"/>
  <c r="W1287" i="1"/>
  <c r="R1292" i="1"/>
  <c r="W1295" i="1"/>
  <c r="W1303" i="1"/>
  <c r="R1308" i="1"/>
  <c r="W1311" i="1"/>
  <c r="R1316" i="1"/>
  <c r="U1316" i="1" s="1"/>
  <c r="V1316" i="1" s="1"/>
  <c r="W1319" i="1"/>
  <c r="R1324" i="1"/>
  <c r="W1327" i="1"/>
  <c r="R1332" i="1"/>
  <c r="U1332" i="1" s="1"/>
  <c r="V1332" i="1" s="1"/>
  <c r="W1335" i="1"/>
  <c r="R1340" i="1"/>
  <c r="W1343" i="1"/>
  <c r="R1348" i="1"/>
  <c r="U1348" i="1" s="1"/>
  <c r="V1348" i="1" s="1"/>
  <c r="W1351" i="1"/>
  <c r="D1353" i="1"/>
  <c r="X1356" i="1"/>
  <c r="W1356" i="1"/>
  <c r="W1359" i="1"/>
  <c r="D1361" i="1"/>
  <c r="X1364" i="1"/>
  <c r="W1364" i="1"/>
  <c r="R1366" i="1"/>
  <c r="W1367" i="1"/>
  <c r="D1369" i="1"/>
  <c r="X1372" i="1"/>
  <c r="W1372" i="1"/>
  <c r="R1374" i="1"/>
  <c r="T1375" i="1"/>
  <c r="U1375" i="1" s="1"/>
  <c r="V1375" i="1" s="1"/>
  <c r="M1375" i="1"/>
  <c r="W1375" i="1"/>
  <c r="X1379" i="1"/>
  <c r="M1385" i="1"/>
  <c r="T1387" i="1"/>
  <c r="U1387" i="1" s="1"/>
  <c r="V1387" i="1" s="1"/>
  <c r="X1388" i="1"/>
  <c r="W1388" i="1"/>
  <c r="W1400" i="1"/>
  <c r="S1400" i="1"/>
  <c r="P1400" i="1" s="1"/>
  <c r="R1404" i="1"/>
  <c r="M1409" i="1"/>
  <c r="R1409" i="1"/>
  <c r="S1415" i="1"/>
  <c r="P1415" i="1" s="1"/>
  <c r="S1417" i="1"/>
  <c r="P1417" i="1" s="1"/>
  <c r="M1418" i="1"/>
  <c r="W1419" i="1"/>
  <c r="Q1428" i="1"/>
  <c r="S1426" i="1"/>
  <c r="P1426" i="1" s="1"/>
  <c r="W1426" i="1"/>
  <c r="X1425" i="1"/>
  <c r="Q1435" i="1"/>
  <c r="D1445" i="1"/>
  <c r="T1450" i="1"/>
  <c r="U1450" i="1" s="1"/>
  <c r="V1450" i="1" s="1"/>
  <c r="M1450" i="1"/>
  <c r="R1450" i="1"/>
  <c r="S1458" i="1"/>
  <c r="P1458" i="1" s="1"/>
  <c r="W1458" i="1"/>
  <c r="X1457" i="1"/>
  <c r="S1465" i="1"/>
  <c r="P1465" i="1" s="1"/>
  <c r="S1476" i="1"/>
  <c r="P1476" i="1" s="1"/>
  <c r="S1475" i="1"/>
  <c r="P1475" i="1" s="1"/>
  <c r="X1476" i="1"/>
  <c r="W1476" i="1"/>
  <c r="S1482" i="1"/>
  <c r="P1482" i="1" s="1"/>
  <c r="W1482" i="1"/>
  <c r="X1481" i="1"/>
  <c r="Q1483" i="1"/>
  <c r="S1492" i="1"/>
  <c r="P1492" i="1" s="1"/>
  <c r="S1491" i="1"/>
  <c r="P1491" i="1" s="1"/>
  <c r="X1492" i="1"/>
  <c r="W1492" i="1"/>
  <c r="X1505" i="1"/>
  <c r="T1507" i="1"/>
  <c r="M1507" i="1"/>
  <c r="R1507" i="1"/>
  <c r="S1514" i="1"/>
  <c r="P1514" i="1" s="1"/>
  <c r="W1514" i="1"/>
  <c r="Q1515" i="1"/>
  <c r="T1519" i="1"/>
  <c r="M1519" i="1"/>
  <c r="R1519" i="1"/>
  <c r="D1521" i="1"/>
  <c r="W1523" i="1"/>
  <c r="X1537" i="1"/>
  <c r="S1546" i="1"/>
  <c r="P1546" i="1" s="1"/>
  <c r="X1546" i="1"/>
  <c r="W1546" i="1"/>
  <c r="M1548" i="1"/>
  <c r="T1554" i="1"/>
  <c r="U1554" i="1" s="1"/>
  <c r="V1554" i="1" s="1"/>
  <c r="M1554" i="1"/>
  <c r="R1554" i="1"/>
  <c r="T1555" i="1"/>
  <c r="U1555" i="1" s="1"/>
  <c r="V1555" i="1" s="1"/>
  <c r="M1555" i="1"/>
  <c r="R1555" i="1"/>
  <c r="Q1557" i="1"/>
  <c r="R1559" i="1"/>
  <c r="T1578" i="1"/>
  <c r="U1578" i="1" s="1"/>
  <c r="V1578" i="1" s="1"/>
  <c r="M1578" i="1"/>
  <c r="R1578" i="1"/>
  <c r="T1579" i="1"/>
  <c r="M1579" i="1"/>
  <c r="R1579" i="1"/>
  <c r="T1591" i="1"/>
  <c r="M1591" i="1"/>
  <c r="R1591" i="1"/>
  <c r="Q1605" i="1"/>
  <c r="T1618" i="1"/>
  <c r="U1618" i="1" s="1"/>
  <c r="V1618" i="1" s="1"/>
  <c r="M1618" i="1"/>
  <c r="R1618" i="1"/>
  <c r="T1619" i="1"/>
  <c r="M1619" i="1"/>
  <c r="R1619" i="1"/>
  <c r="S1642" i="1"/>
  <c r="P1642" i="1" s="1"/>
  <c r="S1641" i="1"/>
  <c r="P1641" i="1" s="1"/>
  <c r="X1642" i="1"/>
  <c r="W1642" i="1"/>
  <c r="X1641" i="1"/>
  <c r="Q1722" i="1"/>
  <c r="M1723" i="1"/>
  <c r="T1723" i="1"/>
  <c r="U1723" i="1" s="1"/>
  <c r="V1723" i="1" s="1"/>
  <c r="R1723" i="1"/>
  <c r="T1735" i="1"/>
  <c r="U1735" i="1" s="1"/>
  <c r="V1735" i="1" s="1"/>
  <c r="M1735" i="1"/>
  <c r="R1735" i="1"/>
  <c r="T2079" i="1"/>
  <c r="U2079" i="1" s="1"/>
  <c r="V2079" i="1" s="1"/>
  <c r="M2079" i="1"/>
  <c r="R2079" i="1"/>
  <c r="Q2117" i="1"/>
  <c r="M1051" i="1"/>
  <c r="M1059" i="1"/>
  <c r="M1067" i="1"/>
  <c r="M1075" i="1"/>
  <c r="M1099" i="1"/>
  <c r="M1115" i="1"/>
  <c r="M1123" i="1"/>
  <c r="M1139" i="1"/>
  <c r="M1147" i="1"/>
  <c r="M1155" i="1"/>
  <c r="X1159" i="1"/>
  <c r="M1163" i="1"/>
  <c r="X1167" i="1"/>
  <c r="M1171" i="1"/>
  <c r="X1175" i="1"/>
  <c r="M1179" i="1"/>
  <c r="X1183" i="1"/>
  <c r="M1187" i="1"/>
  <c r="X1191" i="1"/>
  <c r="X1199" i="1"/>
  <c r="M1203" i="1"/>
  <c r="X1207" i="1"/>
  <c r="M1211" i="1"/>
  <c r="X1215" i="1"/>
  <c r="M1219" i="1"/>
  <c r="X1223" i="1"/>
  <c r="M1227" i="1"/>
  <c r="X1231" i="1"/>
  <c r="M1235" i="1"/>
  <c r="X1239" i="1"/>
  <c r="M1243" i="1"/>
  <c r="X1247" i="1"/>
  <c r="M1251" i="1"/>
  <c r="X1255" i="1"/>
  <c r="X1263" i="1"/>
  <c r="M1267" i="1"/>
  <c r="X1271" i="1"/>
  <c r="M1275" i="1"/>
  <c r="X1279" i="1"/>
  <c r="M1283" i="1"/>
  <c r="X1287" i="1"/>
  <c r="M1291" i="1"/>
  <c r="X1295" i="1"/>
  <c r="M1299" i="1"/>
  <c r="X1303" i="1"/>
  <c r="M1307" i="1"/>
  <c r="X1311" i="1"/>
  <c r="M1315" i="1"/>
  <c r="X1319" i="1"/>
  <c r="M1323" i="1"/>
  <c r="X1327" i="1"/>
  <c r="M1331" i="1"/>
  <c r="X1335" i="1"/>
  <c r="M1339" i="1"/>
  <c r="X1343" i="1"/>
  <c r="M1347" i="1"/>
  <c r="X1351" i="1"/>
  <c r="M1354" i="1"/>
  <c r="W1355" i="1"/>
  <c r="R1382" i="1"/>
  <c r="X1395" i="1"/>
  <c r="T1403" i="1"/>
  <c r="U1403" i="1" s="1"/>
  <c r="V1403" i="1" s="1"/>
  <c r="M1403" i="1"/>
  <c r="S1407" i="1"/>
  <c r="P1407" i="1" s="1"/>
  <c r="W1411" i="1"/>
  <c r="S1418" i="1"/>
  <c r="P1418" i="1" s="1"/>
  <c r="W1418" i="1"/>
  <c r="X1417" i="1"/>
  <c r="Q1427" i="1"/>
  <c r="T1435" i="1"/>
  <c r="U1435" i="1" s="1"/>
  <c r="V1435" i="1" s="1"/>
  <c r="M1435" i="1"/>
  <c r="R1435" i="1"/>
  <c r="Q1440" i="1"/>
  <c r="X1443" i="1"/>
  <c r="S1450" i="1"/>
  <c r="P1450" i="1" s="1"/>
  <c r="W1450" i="1"/>
  <c r="X1449" i="1"/>
  <c r="T1459" i="1"/>
  <c r="U1459" i="1" s="1"/>
  <c r="V1459" i="1" s="1"/>
  <c r="M1459" i="1"/>
  <c r="R1459" i="1"/>
  <c r="R1477" i="1"/>
  <c r="T1477" i="1"/>
  <c r="U1477" i="1" s="1"/>
  <c r="V1477" i="1" s="1"/>
  <c r="M1477" i="1"/>
  <c r="T1483" i="1"/>
  <c r="M1483" i="1"/>
  <c r="R1483" i="1"/>
  <c r="T1487" i="1"/>
  <c r="M1487" i="1"/>
  <c r="R1487" i="1"/>
  <c r="D1495" i="1"/>
  <c r="S1500" i="1"/>
  <c r="P1500" i="1" s="1"/>
  <c r="S1499" i="1"/>
  <c r="P1499" i="1" s="1"/>
  <c r="X1500" i="1"/>
  <c r="W1500" i="1"/>
  <c r="X1499" i="1"/>
  <c r="M1501" i="1"/>
  <c r="P1513" i="1"/>
  <c r="T1515" i="1"/>
  <c r="M1515" i="1"/>
  <c r="R1515" i="1"/>
  <c r="T1527" i="1"/>
  <c r="M1527" i="1"/>
  <c r="R1527" i="1"/>
  <c r="W1531" i="1"/>
  <c r="P1545" i="1"/>
  <c r="S1554" i="1"/>
  <c r="P1554" i="1" s="1"/>
  <c r="S1553" i="1"/>
  <c r="P1553" i="1" s="1"/>
  <c r="X1554" i="1"/>
  <c r="W1554" i="1"/>
  <c r="X1553" i="1"/>
  <c r="D1567" i="1"/>
  <c r="S1578" i="1"/>
  <c r="P1578" i="1" s="1"/>
  <c r="S1577" i="1"/>
  <c r="P1577" i="1" s="1"/>
  <c r="X1578" i="1"/>
  <c r="W1578" i="1"/>
  <c r="X1577" i="1"/>
  <c r="T1607" i="1"/>
  <c r="M1607" i="1"/>
  <c r="R1607" i="1"/>
  <c r="S1618" i="1"/>
  <c r="P1618" i="1" s="1"/>
  <c r="S1617" i="1"/>
  <c r="P1617" i="1" s="1"/>
  <c r="X1618" i="1"/>
  <c r="W1618" i="1"/>
  <c r="X1617" i="1"/>
  <c r="Q1645" i="1"/>
  <c r="T1647" i="1"/>
  <c r="U1647" i="1" s="1"/>
  <c r="V1647" i="1" s="1"/>
  <c r="M1647" i="1"/>
  <c r="R1647" i="1"/>
  <c r="T1658" i="1"/>
  <c r="M1658" i="1"/>
  <c r="R1658" i="1"/>
  <c r="T1659" i="1"/>
  <c r="U1659" i="1" s="1"/>
  <c r="V1659" i="1" s="1"/>
  <c r="M1659" i="1"/>
  <c r="R1659" i="1"/>
  <c r="T1674" i="1"/>
  <c r="M1674" i="1"/>
  <c r="R1674" i="1"/>
  <c r="T1690" i="1"/>
  <c r="M1690" i="1"/>
  <c r="R1690" i="1"/>
  <c r="T1691" i="1"/>
  <c r="U1691" i="1" s="1"/>
  <c r="V1691" i="1" s="1"/>
  <c r="M1691" i="1"/>
  <c r="R1691" i="1"/>
  <c r="T1706" i="1"/>
  <c r="M1706" i="1"/>
  <c r="R1706" i="1"/>
  <c r="T1707" i="1"/>
  <c r="U1707" i="1" s="1"/>
  <c r="V1707" i="1" s="1"/>
  <c r="M1707" i="1"/>
  <c r="R1707" i="1"/>
  <c r="T1727" i="1"/>
  <c r="U1727" i="1" s="1"/>
  <c r="V1727" i="1" s="1"/>
  <c r="M1727" i="1"/>
  <c r="R1727" i="1"/>
  <c r="W1735" i="1"/>
  <c r="S1735" i="1"/>
  <c r="P1735" i="1" s="1"/>
  <c r="W1734" i="1"/>
  <c r="T1791" i="1"/>
  <c r="U1791" i="1" s="1"/>
  <c r="V1791" i="1" s="1"/>
  <c r="M1791" i="1"/>
  <c r="R1791" i="1"/>
  <c r="T1811" i="1"/>
  <c r="U1811" i="1" s="1"/>
  <c r="V1811" i="1" s="1"/>
  <c r="Q1836" i="1"/>
  <c r="Q2021" i="1"/>
  <c r="S2042" i="1"/>
  <c r="P2042" i="1" s="1"/>
  <c r="X2042" i="1"/>
  <c r="W2042" i="1"/>
  <c r="W2041" i="1"/>
  <c r="T2055" i="1"/>
  <c r="U2055" i="1" s="1"/>
  <c r="V2055" i="1" s="1"/>
  <c r="M2055" i="1"/>
  <c r="R2055" i="1"/>
  <c r="T2078" i="1"/>
  <c r="U2078" i="1" s="1"/>
  <c r="V2078" i="1" s="1"/>
  <c r="M2078" i="1"/>
  <c r="R2078" i="1"/>
  <c r="Q2273" i="1"/>
  <c r="M1084" i="1"/>
  <c r="M1092" i="1"/>
  <c r="M1100" i="1"/>
  <c r="M1108" i="1"/>
  <c r="M1116" i="1"/>
  <c r="M1124" i="1"/>
  <c r="M1148" i="1"/>
  <c r="M1156" i="1"/>
  <c r="M1196" i="1"/>
  <c r="M1204" i="1"/>
  <c r="M1212" i="1"/>
  <c r="M1228" i="1"/>
  <c r="M1236" i="1"/>
  <c r="M1244" i="1"/>
  <c r="M1252" i="1"/>
  <c r="M1260" i="1"/>
  <c r="M1268" i="1"/>
  <c r="M1276" i="1"/>
  <c r="M1284" i="1"/>
  <c r="M1292" i="1"/>
  <c r="M1308" i="1"/>
  <c r="M1316" i="1"/>
  <c r="M1324" i="1"/>
  <c r="M1332" i="1"/>
  <c r="M1340" i="1"/>
  <c r="W1354" i="1"/>
  <c r="W1362" i="1"/>
  <c r="W1370" i="1"/>
  <c r="S1385" i="1"/>
  <c r="P1385" i="1" s="1"/>
  <c r="X1385" i="1"/>
  <c r="D1397" i="1"/>
  <c r="D1399" i="1"/>
  <c r="M1401" i="1"/>
  <c r="W1407" i="1"/>
  <c r="S1410" i="1"/>
  <c r="P1410" i="1" s="1"/>
  <c r="W1410" i="1"/>
  <c r="Q1419" i="1"/>
  <c r="D1429" i="1"/>
  <c r="Q1432" i="1"/>
  <c r="D1433" i="1"/>
  <c r="W1433" i="1"/>
  <c r="X1435" i="1"/>
  <c r="X1439" i="1"/>
  <c r="Q1447" i="1"/>
  <c r="S1449" i="1"/>
  <c r="P1449" i="1" s="1"/>
  <c r="T1451" i="1"/>
  <c r="U1451" i="1" s="1"/>
  <c r="V1451" i="1" s="1"/>
  <c r="M1451" i="1"/>
  <c r="R1451" i="1"/>
  <c r="Q1460" i="1"/>
  <c r="X1459" i="1"/>
  <c r="X1483" i="1"/>
  <c r="D1489" i="1"/>
  <c r="X1498" i="1"/>
  <c r="D1503" i="1"/>
  <c r="S1508" i="1"/>
  <c r="P1508" i="1" s="1"/>
  <c r="S1507" i="1"/>
  <c r="P1507" i="1" s="1"/>
  <c r="X1508" i="1"/>
  <c r="W1508" i="1"/>
  <c r="X1507" i="1"/>
  <c r="R1509" i="1"/>
  <c r="T1509" i="1"/>
  <c r="U1509" i="1" s="1"/>
  <c r="V1509" i="1" s="1"/>
  <c r="M1509" i="1"/>
  <c r="T1522" i="1"/>
  <c r="U1522" i="1" s="1"/>
  <c r="V1522" i="1" s="1"/>
  <c r="M1522" i="1"/>
  <c r="R1522" i="1"/>
  <c r="T1562" i="1"/>
  <c r="U1562" i="1" s="1"/>
  <c r="V1562" i="1" s="1"/>
  <c r="M1562" i="1"/>
  <c r="R1562" i="1"/>
  <c r="T1563" i="1"/>
  <c r="M1563" i="1"/>
  <c r="R1563" i="1"/>
  <c r="Q1565" i="1"/>
  <c r="Q1581" i="1"/>
  <c r="T1594" i="1"/>
  <c r="U1594" i="1" s="1"/>
  <c r="V1594" i="1" s="1"/>
  <c r="M1594" i="1"/>
  <c r="R1594" i="1"/>
  <c r="M1595" i="1"/>
  <c r="Q1621" i="1"/>
  <c r="T1634" i="1"/>
  <c r="U1634" i="1" s="1"/>
  <c r="V1634" i="1" s="1"/>
  <c r="M1634" i="1"/>
  <c r="R1634" i="1"/>
  <c r="S1658" i="1"/>
  <c r="P1658" i="1" s="1"/>
  <c r="X1658" i="1"/>
  <c r="W1658" i="1"/>
  <c r="X1657" i="1"/>
  <c r="W1665" i="1"/>
  <c r="S1674" i="1"/>
  <c r="P1674" i="1" s="1"/>
  <c r="X1674" i="1"/>
  <c r="W1674" i="1"/>
  <c r="X1673" i="1"/>
  <c r="W1681" i="1"/>
  <c r="S1690" i="1"/>
  <c r="P1690" i="1" s="1"/>
  <c r="X1690" i="1"/>
  <c r="W1690" i="1"/>
  <c r="X1689" i="1"/>
  <c r="W1697" i="1"/>
  <c r="S1706" i="1"/>
  <c r="P1706" i="1" s="1"/>
  <c r="X1706" i="1"/>
  <c r="W1706" i="1"/>
  <c r="X1705" i="1"/>
  <c r="W1713" i="1"/>
  <c r="W1727" i="1"/>
  <c r="S1727" i="1"/>
  <c r="P1727" i="1" s="1"/>
  <c r="W1726" i="1"/>
  <c r="T1743" i="1"/>
  <c r="U1743" i="1" s="1"/>
  <c r="V1743" i="1" s="1"/>
  <c r="M1743" i="1"/>
  <c r="R1743" i="1"/>
  <c r="S1753" i="1"/>
  <c r="P1753" i="1" s="1"/>
  <c r="X1753" i="1"/>
  <c r="W1753" i="1"/>
  <c r="X1752" i="1"/>
  <c r="W1752" i="1"/>
  <c r="R1788" i="1"/>
  <c r="M1788" i="1"/>
  <c r="T1788" i="1"/>
  <c r="U1788" i="1" s="1"/>
  <c r="V1788" i="1" s="1"/>
  <c r="T1794" i="1"/>
  <c r="M1794" i="1"/>
  <c r="R1794" i="1"/>
  <c r="Q1820" i="1"/>
  <c r="S1825" i="1"/>
  <c r="P1825" i="1" s="1"/>
  <c r="X1825" i="1"/>
  <c r="W1825" i="1"/>
  <c r="X1824" i="1"/>
  <c r="W1824" i="1"/>
  <c r="T2054" i="1"/>
  <c r="U2054" i="1" s="1"/>
  <c r="V2054" i="1" s="1"/>
  <c r="M2054" i="1"/>
  <c r="R2054" i="1"/>
  <c r="T2206" i="1"/>
  <c r="U2206" i="1" s="1"/>
  <c r="V2206" i="1" s="1"/>
  <c r="M2206" i="1"/>
  <c r="R2206" i="1"/>
  <c r="Q1383" i="1"/>
  <c r="M1389" i="1"/>
  <c r="T1391" i="1"/>
  <c r="U1391" i="1" s="1"/>
  <c r="V1391" i="1" s="1"/>
  <c r="M1391" i="1"/>
  <c r="R1391" i="1"/>
  <c r="Q1394" i="1"/>
  <c r="D1405" i="1"/>
  <c r="D1407" i="1"/>
  <c r="T1419" i="1"/>
  <c r="U1419" i="1" s="1"/>
  <c r="V1419" i="1" s="1"/>
  <c r="M1419" i="1"/>
  <c r="R1419" i="1"/>
  <c r="D1421" i="1"/>
  <c r="D1425" i="1"/>
  <c r="X1431" i="1"/>
  <c r="W1440" i="1"/>
  <c r="S1440" i="1"/>
  <c r="P1440" i="1" s="1"/>
  <c r="S1444" i="1"/>
  <c r="P1444" i="1" s="1"/>
  <c r="X1444" i="1"/>
  <c r="W1444" i="1"/>
  <c r="Q1452" i="1"/>
  <c r="X1451" i="1"/>
  <c r="T1453" i="1"/>
  <c r="U1453" i="1" s="1"/>
  <c r="V1453" i="1" s="1"/>
  <c r="S1460" i="1"/>
  <c r="P1460" i="1" s="1"/>
  <c r="S1459" i="1"/>
  <c r="P1459" i="1" s="1"/>
  <c r="X1460" i="1"/>
  <c r="W1460" i="1"/>
  <c r="W1465" i="1"/>
  <c r="X1466" i="1"/>
  <c r="T1474" i="1"/>
  <c r="U1474" i="1" s="1"/>
  <c r="V1474" i="1" s="1"/>
  <c r="M1474" i="1"/>
  <c r="R1474" i="1"/>
  <c r="T1495" i="1"/>
  <c r="M1495" i="1"/>
  <c r="R1495" i="1"/>
  <c r="D1497" i="1"/>
  <c r="W1505" i="1"/>
  <c r="X1506" i="1"/>
  <c r="D1511" i="1"/>
  <c r="S1516" i="1"/>
  <c r="P1516" i="1" s="1"/>
  <c r="S1515" i="1"/>
  <c r="P1515" i="1" s="1"/>
  <c r="X1516" i="1"/>
  <c r="W1516" i="1"/>
  <c r="X1515" i="1"/>
  <c r="R1517" i="1"/>
  <c r="T1517" i="1"/>
  <c r="U1517" i="1" s="1"/>
  <c r="V1517" i="1" s="1"/>
  <c r="M1517" i="1"/>
  <c r="S1522" i="1"/>
  <c r="P1522" i="1" s="1"/>
  <c r="W1522" i="1"/>
  <c r="T1530" i="1"/>
  <c r="U1530" i="1" s="1"/>
  <c r="V1530" i="1" s="1"/>
  <c r="M1530" i="1"/>
  <c r="R1530" i="1"/>
  <c r="D1535" i="1"/>
  <c r="W1537" i="1"/>
  <c r="S1562" i="1"/>
  <c r="P1562" i="1" s="1"/>
  <c r="X1562" i="1"/>
  <c r="W1562" i="1"/>
  <c r="T1567" i="1"/>
  <c r="M1567" i="1"/>
  <c r="R1567" i="1"/>
  <c r="Q1571" i="1"/>
  <c r="S1594" i="1"/>
  <c r="P1594" i="1" s="1"/>
  <c r="S1593" i="1"/>
  <c r="P1593" i="1" s="1"/>
  <c r="X1594" i="1"/>
  <c r="W1594" i="1"/>
  <c r="X1593" i="1"/>
  <c r="W1601" i="1"/>
  <c r="T1610" i="1"/>
  <c r="U1610" i="1" s="1"/>
  <c r="V1610" i="1" s="1"/>
  <c r="M1610" i="1"/>
  <c r="R1610" i="1"/>
  <c r="S1634" i="1"/>
  <c r="P1634" i="1" s="1"/>
  <c r="S1633" i="1"/>
  <c r="P1633" i="1" s="1"/>
  <c r="X1634" i="1"/>
  <c r="W1634" i="1"/>
  <c r="X1633" i="1"/>
  <c r="T1650" i="1"/>
  <c r="U1650" i="1" s="1"/>
  <c r="V1650" i="1" s="1"/>
  <c r="M1650" i="1"/>
  <c r="R1650" i="1"/>
  <c r="T1651" i="1"/>
  <c r="U1651" i="1" s="1"/>
  <c r="V1651" i="1" s="1"/>
  <c r="M1651" i="1"/>
  <c r="R1651" i="1"/>
  <c r="P1655" i="1"/>
  <c r="Q1661" i="1"/>
  <c r="T1663" i="1"/>
  <c r="U1663" i="1" s="1"/>
  <c r="V1663" i="1" s="1"/>
  <c r="M1663" i="1"/>
  <c r="R1663" i="1"/>
  <c r="Q1677" i="1"/>
  <c r="T1679" i="1"/>
  <c r="U1679" i="1" s="1"/>
  <c r="V1679" i="1" s="1"/>
  <c r="M1679" i="1"/>
  <c r="R1679" i="1"/>
  <c r="Q1693" i="1"/>
  <c r="T1695" i="1"/>
  <c r="U1695" i="1" s="1"/>
  <c r="V1695" i="1" s="1"/>
  <c r="M1695" i="1"/>
  <c r="R1695" i="1"/>
  <c r="P1705" i="1"/>
  <c r="Q1709" i="1"/>
  <c r="T1711" i="1"/>
  <c r="U1711" i="1" s="1"/>
  <c r="V1711" i="1" s="1"/>
  <c r="M1711" i="1"/>
  <c r="R1711" i="1"/>
  <c r="Q1758" i="1"/>
  <c r="Q1770" i="1"/>
  <c r="Q1774" i="1"/>
  <c r="T1802" i="1"/>
  <c r="M1802" i="1"/>
  <c r="M2110" i="1"/>
  <c r="T2110" i="1"/>
  <c r="U2110" i="1" s="1"/>
  <c r="V2110" i="1" s="1"/>
  <c r="R2110" i="1"/>
  <c r="T2380" i="1"/>
  <c r="U2380" i="1" s="1"/>
  <c r="V2380" i="1" s="1"/>
  <c r="M2380" i="1"/>
  <c r="R2380" i="1"/>
  <c r="T2382" i="1"/>
  <c r="U2382" i="1" s="1"/>
  <c r="V2382" i="1" s="1"/>
  <c r="M2382" i="1"/>
  <c r="R2382" i="1"/>
  <c r="X1393" i="1"/>
  <c r="X1401" i="1"/>
  <c r="S1406" i="1"/>
  <c r="P1406" i="1" s="1"/>
  <c r="X1409" i="1"/>
  <c r="S1414" i="1"/>
  <c r="P1414" i="1" s="1"/>
  <c r="S1422" i="1"/>
  <c r="P1422" i="1" s="1"/>
  <c r="S1430" i="1"/>
  <c r="P1430" i="1" s="1"/>
  <c r="S1438" i="1"/>
  <c r="P1438" i="1" s="1"/>
  <c r="S1446" i="1"/>
  <c r="P1446" i="1" s="1"/>
  <c r="S1454" i="1"/>
  <c r="P1454" i="1" s="1"/>
  <c r="S1462" i="1"/>
  <c r="P1462" i="1" s="1"/>
  <c r="S1470" i="1"/>
  <c r="P1470" i="1" s="1"/>
  <c r="S1478" i="1"/>
  <c r="P1478" i="1" s="1"/>
  <c r="S1486" i="1"/>
  <c r="P1486" i="1" s="1"/>
  <c r="S1494" i="1"/>
  <c r="P1494" i="1" s="1"/>
  <c r="X1497" i="1"/>
  <c r="S1502" i="1"/>
  <c r="P1502" i="1" s="1"/>
  <c r="X1513" i="1"/>
  <c r="X1521" i="1"/>
  <c r="X1545" i="1"/>
  <c r="S1550" i="1"/>
  <c r="P1550" i="1" s="1"/>
  <c r="X1561" i="1"/>
  <c r="S1566" i="1"/>
  <c r="P1566" i="1" s="1"/>
  <c r="S1574" i="1"/>
  <c r="P1574" i="1" s="1"/>
  <c r="S1582" i="1"/>
  <c r="P1582" i="1" s="1"/>
  <c r="S1590" i="1"/>
  <c r="P1590" i="1" s="1"/>
  <c r="S1598" i="1"/>
  <c r="P1598" i="1" s="1"/>
  <c r="S1606" i="1"/>
  <c r="P1606" i="1" s="1"/>
  <c r="S1614" i="1"/>
  <c r="P1614" i="1" s="1"/>
  <c r="S1622" i="1"/>
  <c r="P1622" i="1" s="1"/>
  <c r="S1630" i="1"/>
  <c r="P1630" i="1" s="1"/>
  <c r="S1638" i="1"/>
  <c r="P1638" i="1" s="1"/>
  <c r="S1646" i="1"/>
  <c r="P1646" i="1" s="1"/>
  <c r="S1654" i="1"/>
  <c r="P1654" i="1" s="1"/>
  <c r="S1662" i="1"/>
  <c r="P1662" i="1" s="1"/>
  <c r="S1670" i="1"/>
  <c r="P1670" i="1" s="1"/>
  <c r="S1678" i="1"/>
  <c r="P1678" i="1" s="1"/>
  <c r="S1686" i="1"/>
  <c r="P1686" i="1" s="1"/>
  <c r="S1694" i="1"/>
  <c r="P1694" i="1" s="1"/>
  <c r="S1702" i="1"/>
  <c r="P1702" i="1" s="1"/>
  <c r="S1710" i="1"/>
  <c r="P1710" i="1" s="1"/>
  <c r="S1718" i="1"/>
  <c r="P1718" i="1" s="1"/>
  <c r="W1722" i="1"/>
  <c r="S1723" i="1"/>
  <c r="P1723" i="1" s="1"/>
  <c r="X1723" i="1"/>
  <c r="D1724" i="1"/>
  <c r="W1730" i="1"/>
  <c r="S1731" i="1"/>
  <c r="P1731" i="1" s="1"/>
  <c r="X1731" i="1"/>
  <c r="D1732" i="1"/>
  <c r="W1738" i="1"/>
  <c r="S1739" i="1"/>
  <c r="P1739" i="1" s="1"/>
  <c r="X1739" i="1"/>
  <c r="D1740" i="1"/>
  <c r="X1743" i="1"/>
  <c r="D1745" i="1"/>
  <c r="S1745" i="1"/>
  <c r="P1745" i="1" s="1"/>
  <c r="Q1746" i="1"/>
  <c r="M1763" i="1"/>
  <c r="X1768" i="1"/>
  <c r="R1771" i="1"/>
  <c r="S1777" i="1"/>
  <c r="P1777" i="1" s="1"/>
  <c r="S1779" i="1"/>
  <c r="P1779" i="1" s="1"/>
  <c r="X1779" i="1"/>
  <c r="W1779" i="1"/>
  <c r="W1782" i="1"/>
  <c r="Q1789" i="1"/>
  <c r="Q1790" i="1"/>
  <c r="W1791" i="1"/>
  <c r="S1791" i="1"/>
  <c r="P1791" i="1" s="1"/>
  <c r="X1794" i="1"/>
  <c r="W1794" i="1"/>
  <c r="T1799" i="1"/>
  <c r="U1799" i="1" s="1"/>
  <c r="V1799" i="1" s="1"/>
  <c r="M1799" i="1"/>
  <c r="R1799" i="1"/>
  <c r="X1802" i="1"/>
  <c r="W1802" i="1"/>
  <c r="T1807" i="1"/>
  <c r="U1807" i="1" s="1"/>
  <c r="V1807" i="1" s="1"/>
  <c r="M1807" i="1"/>
  <c r="R1807" i="1"/>
  <c r="Q1813" i="1"/>
  <c r="D1815" i="1"/>
  <c r="Q1821" i="1"/>
  <c r="D1823" i="1"/>
  <c r="T1826" i="1"/>
  <c r="U1826" i="1" s="1"/>
  <c r="V1826" i="1" s="1"/>
  <c r="M1826" i="1"/>
  <c r="R1826" i="1"/>
  <c r="Q1837" i="1"/>
  <c r="D1839" i="1"/>
  <c r="X1840" i="1"/>
  <c r="T1851" i="1"/>
  <c r="U1851" i="1" s="1"/>
  <c r="V1851" i="1" s="1"/>
  <c r="T1855" i="1"/>
  <c r="U1855" i="1" s="1"/>
  <c r="V1855" i="1" s="1"/>
  <c r="M1855" i="1"/>
  <c r="R1855" i="1"/>
  <c r="D1863" i="1"/>
  <c r="Q1874" i="1"/>
  <c r="D1879" i="1"/>
  <c r="Q1890" i="1"/>
  <c r="D1895" i="1"/>
  <c r="Q1906" i="1"/>
  <c r="D1911" i="1"/>
  <c r="Q1922" i="1"/>
  <c r="S1929" i="1"/>
  <c r="P1929" i="1" s="1"/>
  <c r="T1930" i="1"/>
  <c r="T1931" i="1"/>
  <c r="U1931" i="1" s="1"/>
  <c r="V1931" i="1" s="1"/>
  <c r="M1931" i="1"/>
  <c r="R1931" i="1"/>
  <c r="Q1933" i="1"/>
  <c r="S1945" i="1"/>
  <c r="P1945" i="1" s="1"/>
  <c r="Q1949" i="1"/>
  <c r="S1961" i="1"/>
  <c r="P1961" i="1" s="1"/>
  <c r="T1962" i="1"/>
  <c r="T1963" i="1"/>
  <c r="U1963" i="1" s="1"/>
  <c r="V1963" i="1" s="1"/>
  <c r="M1963" i="1"/>
  <c r="R1963" i="1"/>
  <c r="Q1965" i="1"/>
  <c r="S1977" i="1"/>
  <c r="P1977" i="1" s="1"/>
  <c r="T1979" i="1"/>
  <c r="U1979" i="1" s="1"/>
  <c r="V1979" i="1" s="1"/>
  <c r="M1979" i="1"/>
  <c r="R1979" i="1"/>
  <c r="Q1981" i="1"/>
  <c r="S1993" i="1"/>
  <c r="P1993" i="1" s="1"/>
  <c r="Q1997" i="1"/>
  <c r="S2009" i="1"/>
  <c r="P2009" i="1" s="1"/>
  <c r="T2011" i="1"/>
  <c r="U2011" i="1" s="1"/>
  <c r="V2011" i="1" s="1"/>
  <c r="M2011" i="1"/>
  <c r="R2011" i="1"/>
  <c r="Q2013" i="1"/>
  <c r="M2022" i="1"/>
  <c r="T2023" i="1"/>
  <c r="U2023" i="1" s="1"/>
  <c r="V2023" i="1" s="1"/>
  <c r="M2023" i="1"/>
  <c r="R2023" i="1"/>
  <c r="D2039" i="1"/>
  <c r="R2049" i="1"/>
  <c r="U2049" i="1" s="1"/>
  <c r="V2049" i="1" s="1"/>
  <c r="S2050" i="1"/>
  <c r="P2050" i="1" s="1"/>
  <c r="X2050" i="1"/>
  <c r="W2050" i="1"/>
  <c r="Q2069" i="1"/>
  <c r="T2074" i="1"/>
  <c r="U2074" i="1" s="1"/>
  <c r="V2074" i="1" s="1"/>
  <c r="M2074" i="1"/>
  <c r="R2074" i="1"/>
  <c r="T2081" i="1"/>
  <c r="M2081" i="1"/>
  <c r="R2081" i="1"/>
  <c r="D2108" i="1"/>
  <c r="Q2417" i="1"/>
  <c r="T2483" i="1"/>
  <c r="M2483" i="1"/>
  <c r="R2483" i="1"/>
  <c r="T2484" i="1"/>
  <c r="U2484" i="1" s="1"/>
  <c r="V2484" i="1" s="1"/>
  <c r="M2484" i="1"/>
  <c r="R2484" i="1"/>
  <c r="X1722" i="1"/>
  <c r="X1730" i="1"/>
  <c r="X1738" i="1"/>
  <c r="S1747" i="1"/>
  <c r="P1747" i="1" s="1"/>
  <c r="X1747" i="1"/>
  <c r="S1755" i="1"/>
  <c r="P1755" i="1" s="1"/>
  <c r="X1755" i="1"/>
  <c r="T1775" i="1"/>
  <c r="U1775" i="1" s="1"/>
  <c r="V1775" i="1" s="1"/>
  <c r="M1775" i="1"/>
  <c r="W1799" i="1"/>
  <c r="S1799" i="1"/>
  <c r="P1799" i="1" s="1"/>
  <c r="S1798" i="1"/>
  <c r="P1798" i="1" s="1"/>
  <c r="W1807" i="1"/>
  <c r="S1807" i="1"/>
  <c r="P1807" i="1" s="1"/>
  <c r="S1806" i="1"/>
  <c r="P1806" i="1" s="1"/>
  <c r="S1826" i="1"/>
  <c r="P1826" i="1" s="1"/>
  <c r="X1826" i="1"/>
  <c r="W1826" i="1"/>
  <c r="S1833" i="1"/>
  <c r="P1833" i="1" s="1"/>
  <c r="X1833" i="1"/>
  <c r="T1847" i="1"/>
  <c r="U1847" i="1" s="1"/>
  <c r="V1847" i="1" s="1"/>
  <c r="M1847" i="1"/>
  <c r="R1847" i="1"/>
  <c r="T1857" i="1"/>
  <c r="U1857" i="1" s="1"/>
  <c r="V1857" i="1" s="1"/>
  <c r="M1857" i="1"/>
  <c r="R1857" i="1"/>
  <c r="T1859" i="1"/>
  <c r="U1859" i="1" s="1"/>
  <c r="V1859" i="1" s="1"/>
  <c r="M1859" i="1"/>
  <c r="R1859" i="1"/>
  <c r="Q1861" i="1"/>
  <c r="T1875" i="1"/>
  <c r="U1875" i="1" s="1"/>
  <c r="V1875" i="1" s="1"/>
  <c r="M1875" i="1"/>
  <c r="R1875" i="1"/>
  <c r="Q1877" i="1"/>
  <c r="Q1893" i="1"/>
  <c r="T1907" i="1"/>
  <c r="U1907" i="1" s="1"/>
  <c r="V1907" i="1" s="1"/>
  <c r="M1907" i="1"/>
  <c r="R1907" i="1"/>
  <c r="Q1909" i="1"/>
  <c r="T1923" i="1"/>
  <c r="U1923" i="1" s="1"/>
  <c r="V1923" i="1" s="1"/>
  <c r="M1923" i="1"/>
  <c r="R1923" i="1"/>
  <c r="Q1925" i="1"/>
  <c r="S1930" i="1"/>
  <c r="P1930" i="1" s="1"/>
  <c r="X1930" i="1"/>
  <c r="W1930" i="1"/>
  <c r="T1934" i="1"/>
  <c r="M1934" i="1"/>
  <c r="T1935" i="1"/>
  <c r="U1935" i="1" s="1"/>
  <c r="V1935" i="1" s="1"/>
  <c r="M1935" i="1"/>
  <c r="R1935" i="1"/>
  <c r="S1946" i="1"/>
  <c r="P1946" i="1" s="1"/>
  <c r="X1946" i="1"/>
  <c r="W1946" i="1"/>
  <c r="T1950" i="1"/>
  <c r="M1950" i="1"/>
  <c r="T1951" i="1"/>
  <c r="U1951" i="1" s="1"/>
  <c r="V1951" i="1" s="1"/>
  <c r="M1951" i="1"/>
  <c r="R1951" i="1"/>
  <c r="S1962" i="1"/>
  <c r="P1962" i="1" s="1"/>
  <c r="X1962" i="1"/>
  <c r="W1962" i="1"/>
  <c r="T1966" i="1"/>
  <c r="M1966" i="1"/>
  <c r="T1967" i="1"/>
  <c r="U1967" i="1" s="1"/>
  <c r="V1967" i="1" s="1"/>
  <c r="M1967" i="1"/>
  <c r="R1967" i="1"/>
  <c r="S1978" i="1"/>
  <c r="P1978" i="1" s="1"/>
  <c r="X1978" i="1"/>
  <c r="W1978" i="1"/>
  <c r="T1982" i="1"/>
  <c r="M1982" i="1"/>
  <c r="T1983" i="1"/>
  <c r="U1983" i="1" s="1"/>
  <c r="V1983" i="1" s="1"/>
  <c r="M1983" i="1"/>
  <c r="R1983" i="1"/>
  <c r="S1994" i="1"/>
  <c r="P1994" i="1" s="1"/>
  <c r="X1994" i="1"/>
  <c r="W1994" i="1"/>
  <c r="T1999" i="1"/>
  <c r="U1999" i="1" s="1"/>
  <c r="V1999" i="1" s="1"/>
  <c r="M1999" i="1"/>
  <c r="R1999" i="1"/>
  <c r="S2010" i="1"/>
  <c r="P2010" i="1" s="1"/>
  <c r="X2010" i="1"/>
  <c r="W2010" i="1"/>
  <c r="T2014" i="1"/>
  <c r="U2014" i="1" s="1"/>
  <c r="V2014" i="1" s="1"/>
  <c r="M2014" i="1"/>
  <c r="T2015" i="1"/>
  <c r="U2015" i="1" s="1"/>
  <c r="V2015" i="1" s="1"/>
  <c r="M2015" i="1"/>
  <c r="R2015" i="1"/>
  <c r="Q2037" i="1"/>
  <c r="T2058" i="1"/>
  <c r="U2058" i="1" s="1"/>
  <c r="V2058" i="1" s="1"/>
  <c r="M2058" i="1"/>
  <c r="R2058" i="1"/>
  <c r="T2059" i="1"/>
  <c r="U2059" i="1" s="1"/>
  <c r="V2059" i="1" s="1"/>
  <c r="M2059" i="1"/>
  <c r="R2059" i="1"/>
  <c r="T2070" i="1"/>
  <c r="U2070" i="1" s="1"/>
  <c r="V2070" i="1" s="1"/>
  <c r="M2070" i="1"/>
  <c r="T2071" i="1"/>
  <c r="U2071" i="1" s="1"/>
  <c r="V2071" i="1" s="1"/>
  <c r="M2071" i="1"/>
  <c r="R2071" i="1"/>
  <c r="S2074" i="1"/>
  <c r="P2074" i="1" s="1"/>
  <c r="X2074" i="1"/>
  <c r="W2074" i="1"/>
  <c r="S2081" i="1"/>
  <c r="P2081" i="1" s="1"/>
  <c r="T2220" i="1"/>
  <c r="M2220" i="1"/>
  <c r="R2220" i="1"/>
  <c r="T2222" i="1"/>
  <c r="U2222" i="1" s="1"/>
  <c r="V2222" i="1" s="1"/>
  <c r="M2222" i="1"/>
  <c r="R2222" i="1"/>
  <c r="S2270" i="1"/>
  <c r="P2270" i="1" s="1"/>
  <c r="S2269" i="1"/>
  <c r="P2269" i="1" s="1"/>
  <c r="X2270" i="1"/>
  <c r="W2270" i="1"/>
  <c r="X2269" i="1"/>
  <c r="W2269" i="1"/>
  <c r="Q2329" i="1"/>
  <c r="T2415" i="1"/>
  <c r="U2415" i="1" s="1"/>
  <c r="V2415" i="1" s="1"/>
  <c r="M2415" i="1"/>
  <c r="Q1410" i="1"/>
  <c r="Q1418" i="1"/>
  <c r="Q1426" i="1"/>
  <c r="Q1434" i="1"/>
  <c r="Q1442" i="1"/>
  <c r="S1448" i="1"/>
  <c r="P1448" i="1" s="1"/>
  <c r="R1449" i="1"/>
  <c r="Q1450" i="1"/>
  <c r="S1456" i="1"/>
  <c r="P1456" i="1" s="1"/>
  <c r="Q1458" i="1"/>
  <c r="S1464" i="1"/>
  <c r="P1464" i="1" s="1"/>
  <c r="R1465" i="1"/>
  <c r="Q1466" i="1"/>
  <c r="S1472" i="1"/>
  <c r="P1472" i="1" s="1"/>
  <c r="Q1474" i="1"/>
  <c r="S1480" i="1"/>
  <c r="P1480" i="1" s="1"/>
  <c r="Q1482" i="1"/>
  <c r="S1488" i="1"/>
  <c r="P1488" i="1" s="1"/>
  <c r="R1489" i="1"/>
  <c r="Q1490" i="1"/>
  <c r="S1496" i="1"/>
  <c r="P1496" i="1" s="1"/>
  <c r="R1497" i="1"/>
  <c r="Q1498" i="1"/>
  <c r="S1504" i="1"/>
  <c r="P1504" i="1" s="1"/>
  <c r="R1505" i="1"/>
  <c r="Q1506" i="1"/>
  <c r="S1512" i="1"/>
  <c r="P1512" i="1" s="1"/>
  <c r="Q1514" i="1"/>
  <c r="S1520" i="1"/>
  <c r="P1520" i="1" s="1"/>
  <c r="R1521" i="1"/>
  <c r="Q1522" i="1"/>
  <c r="S1528" i="1"/>
  <c r="P1528" i="1" s="1"/>
  <c r="R1529" i="1"/>
  <c r="Q1530" i="1"/>
  <c r="S1536" i="1"/>
  <c r="P1536" i="1" s="1"/>
  <c r="R1537" i="1"/>
  <c r="Q1538" i="1"/>
  <c r="X1539" i="1"/>
  <c r="W1540" i="1"/>
  <c r="S1544" i="1"/>
  <c r="P1544" i="1" s="1"/>
  <c r="R1545" i="1"/>
  <c r="Q1546" i="1"/>
  <c r="W1548" i="1"/>
  <c r="S1552" i="1"/>
  <c r="P1552" i="1" s="1"/>
  <c r="R1553" i="1"/>
  <c r="Q1554" i="1"/>
  <c r="W1556" i="1"/>
  <c r="S1560" i="1"/>
  <c r="P1560" i="1" s="1"/>
  <c r="R1561" i="1"/>
  <c r="Q1562" i="1"/>
  <c r="W1564" i="1"/>
  <c r="S1568" i="1"/>
  <c r="P1568" i="1" s="1"/>
  <c r="Q1570" i="1"/>
  <c r="W1572" i="1"/>
  <c r="S1576" i="1"/>
  <c r="P1576" i="1" s="1"/>
  <c r="R1577" i="1"/>
  <c r="Q1578" i="1"/>
  <c r="W1580" i="1"/>
  <c r="S1584" i="1"/>
  <c r="P1584" i="1" s="1"/>
  <c r="R1585" i="1"/>
  <c r="Q1586" i="1"/>
  <c r="W1588" i="1"/>
  <c r="S1592" i="1"/>
  <c r="P1592" i="1" s="1"/>
  <c r="R1593" i="1"/>
  <c r="Q1594" i="1"/>
  <c r="W1596" i="1"/>
  <c r="S1600" i="1"/>
  <c r="P1600" i="1" s="1"/>
  <c r="Q1602" i="1"/>
  <c r="W1604" i="1"/>
  <c r="S1608" i="1"/>
  <c r="P1608" i="1" s="1"/>
  <c r="R1609" i="1"/>
  <c r="Q1610" i="1"/>
  <c r="W1612" i="1"/>
  <c r="S1616" i="1"/>
  <c r="P1616" i="1" s="1"/>
  <c r="R1617" i="1"/>
  <c r="Q1618" i="1"/>
  <c r="W1620" i="1"/>
  <c r="S1624" i="1"/>
  <c r="P1624" i="1" s="1"/>
  <c r="Q1626" i="1"/>
  <c r="W1628" i="1"/>
  <c r="S1632" i="1"/>
  <c r="P1632" i="1" s="1"/>
  <c r="R1633" i="1"/>
  <c r="Q1634" i="1"/>
  <c r="W1636" i="1"/>
  <c r="S1640" i="1"/>
  <c r="P1640" i="1" s="1"/>
  <c r="R1641" i="1"/>
  <c r="Q1642" i="1"/>
  <c r="W1644" i="1"/>
  <c r="S1648" i="1"/>
  <c r="P1648" i="1" s="1"/>
  <c r="R1649" i="1"/>
  <c r="Q1650" i="1"/>
  <c r="W1652" i="1"/>
  <c r="S1656" i="1"/>
  <c r="P1656" i="1" s="1"/>
  <c r="R1657" i="1"/>
  <c r="Q1658" i="1"/>
  <c r="W1660" i="1"/>
  <c r="S1664" i="1"/>
  <c r="P1664" i="1" s="1"/>
  <c r="R1665" i="1"/>
  <c r="Q1666" i="1"/>
  <c r="W1668" i="1"/>
  <c r="S1672" i="1"/>
  <c r="P1672" i="1" s="1"/>
  <c r="Q1674" i="1"/>
  <c r="W1676" i="1"/>
  <c r="S1680" i="1"/>
  <c r="P1680" i="1" s="1"/>
  <c r="R1681" i="1"/>
  <c r="Q1682" i="1"/>
  <c r="W1684" i="1"/>
  <c r="S1688" i="1"/>
  <c r="P1688" i="1" s="1"/>
  <c r="R1689" i="1"/>
  <c r="Q1690" i="1"/>
  <c r="W1692" i="1"/>
  <c r="S1696" i="1"/>
  <c r="P1696" i="1" s="1"/>
  <c r="R1697" i="1"/>
  <c r="Q1698" i="1"/>
  <c r="W1700" i="1"/>
  <c r="S1704" i="1"/>
  <c r="P1704" i="1" s="1"/>
  <c r="Q1706" i="1"/>
  <c r="W1708" i="1"/>
  <c r="S1712" i="1"/>
  <c r="P1712" i="1" s="1"/>
  <c r="Q1714" i="1"/>
  <c r="W1716" i="1"/>
  <c r="W1721" i="1"/>
  <c r="X1726" i="1"/>
  <c r="Q1727" i="1"/>
  <c r="R1728" i="1"/>
  <c r="W1729" i="1"/>
  <c r="X1734" i="1"/>
  <c r="Q1735" i="1"/>
  <c r="R1736" i="1"/>
  <c r="W1737" i="1"/>
  <c r="T1740" i="1"/>
  <c r="U1740" i="1" s="1"/>
  <c r="V1740" i="1" s="1"/>
  <c r="X1746" i="1"/>
  <c r="X1754" i="1"/>
  <c r="T1756" i="1"/>
  <c r="U1756" i="1" s="1"/>
  <c r="V1756" i="1" s="1"/>
  <c r="S1763" i="1"/>
  <c r="P1763" i="1" s="1"/>
  <c r="X1763" i="1"/>
  <c r="W1763" i="1"/>
  <c r="T1764" i="1"/>
  <c r="U1764" i="1" s="1"/>
  <c r="V1764" i="1" s="1"/>
  <c r="S1768" i="1"/>
  <c r="P1768" i="1" s="1"/>
  <c r="Q1773" i="1"/>
  <c r="W1775" i="1"/>
  <c r="S1775" i="1"/>
  <c r="P1775" i="1" s="1"/>
  <c r="W1776" i="1"/>
  <c r="Q1778" i="1"/>
  <c r="M1785" i="1"/>
  <c r="S1790" i="1"/>
  <c r="P1790" i="1" s="1"/>
  <c r="S1794" i="1"/>
  <c r="P1794" i="1" s="1"/>
  <c r="T1800" i="1"/>
  <c r="U1800" i="1" s="1"/>
  <c r="V1800" i="1" s="1"/>
  <c r="M1800" i="1"/>
  <c r="R1800" i="1"/>
  <c r="S1802" i="1"/>
  <c r="P1802" i="1" s="1"/>
  <c r="T1808" i="1"/>
  <c r="U1808" i="1" s="1"/>
  <c r="V1808" i="1" s="1"/>
  <c r="M1808" i="1"/>
  <c r="R1808" i="1"/>
  <c r="T1815" i="1"/>
  <c r="U1815" i="1" s="1"/>
  <c r="V1815" i="1" s="1"/>
  <c r="M1815" i="1"/>
  <c r="R1815" i="1"/>
  <c r="T1822" i="1"/>
  <c r="U1822" i="1" s="1"/>
  <c r="V1822" i="1" s="1"/>
  <c r="M1822" i="1"/>
  <c r="T1823" i="1"/>
  <c r="U1823" i="1" s="1"/>
  <c r="V1823" i="1" s="1"/>
  <c r="M1823" i="1"/>
  <c r="R1823" i="1"/>
  <c r="Q1828" i="1"/>
  <c r="W1832" i="1"/>
  <c r="M1834" i="1"/>
  <c r="T1838" i="1"/>
  <c r="M1838" i="1"/>
  <c r="T1839" i="1"/>
  <c r="U1839" i="1" s="1"/>
  <c r="V1839" i="1" s="1"/>
  <c r="M1839" i="1"/>
  <c r="R1839" i="1"/>
  <c r="Q1850" i="1"/>
  <c r="S1858" i="1"/>
  <c r="P1858" i="1" s="1"/>
  <c r="X1858" i="1"/>
  <c r="W1858" i="1"/>
  <c r="T1863" i="1"/>
  <c r="U1863" i="1" s="1"/>
  <c r="V1863" i="1" s="1"/>
  <c r="M1863" i="1"/>
  <c r="R1863" i="1"/>
  <c r="S1874" i="1"/>
  <c r="P1874" i="1" s="1"/>
  <c r="X1874" i="1"/>
  <c r="W1874" i="1"/>
  <c r="T1879" i="1"/>
  <c r="U1879" i="1" s="1"/>
  <c r="V1879" i="1" s="1"/>
  <c r="M1879" i="1"/>
  <c r="R1879" i="1"/>
  <c r="S1890" i="1"/>
  <c r="P1890" i="1" s="1"/>
  <c r="X1890" i="1"/>
  <c r="W1890" i="1"/>
  <c r="S1906" i="1"/>
  <c r="P1906" i="1" s="1"/>
  <c r="X1906" i="1"/>
  <c r="W1906" i="1"/>
  <c r="T1911" i="1"/>
  <c r="U1911" i="1" s="1"/>
  <c r="V1911" i="1" s="1"/>
  <c r="M1911" i="1"/>
  <c r="R1911" i="1"/>
  <c r="S1922" i="1"/>
  <c r="P1922" i="1" s="1"/>
  <c r="X1922" i="1"/>
  <c r="W1922" i="1"/>
  <c r="P1934" i="1"/>
  <c r="S2034" i="1"/>
  <c r="P2034" i="1" s="1"/>
  <c r="X2034" i="1"/>
  <c r="W2034" i="1"/>
  <c r="T2038" i="1"/>
  <c r="U2038" i="1" s="1"/>
  <c r="V2038" i="1" s="1"/>
  <c r="M2038" i="1"/>
  <c r="T2039" i="1"/>
  <c r="U2039" i="1" s="1"/>
  <c r="V2039" i="1" s="1"/>
  <c r="M2039" i="1"/>
  <c r="R2039" i="1"/>
  <c r="R2057" i="1"/>
  <c r="S2058" i="1"/>
  <c r="P2058" i="1" s="1"/>
  <c r="X2058" i="1"/>
  <c r="W2058" i="1"/>
  <c r="T2066" i="1"/>
  <c r="U2066" i="1" s="1"/>
  <c r="V2066" i="1" s="1"/>
  <c r="M2066" i="1"/>
  <c r="R2066" i="1"/>
  <c r="T2073" i="1"/>
  <c r="M2073" i="1"/>
  <c r="R2073" i="1"/>
  <c r="Q2093" i="1"/>
  <c r="R2113" i="1"/>
  <c r="M2113" i="1"/>
  <c r="T2113" i="1"/>
  <c r="U2113" i="1" s="1"/>
  <c r="V2113" i="1" s="1"/>
  <c r="T2269" i="1"/>
  <c r="U2269" i="1" s="1"/>
  <c r="V2269" i="1" s="1"/>
  <c r="M2269" i="1"/>
  <c r="R2269" i="1"/>
  <c r="T2311" i="1"/>
  <c r="U2311" i="1" s="1"/>
  <c r="V2311" i="1" s="1"/>
  <c r="M2311" i="1"/>
  <c r="R2311" i="1"/>
  <c r="T2414" i="1"/>
  <c r="U2414" i="1" s="1"/>
  <c r="V2414" i="1" s="1"/>
  <c r="M2414" i="1"/>
  <c r="R2414" i="1"/>
  <c r="T2499" i="1"/>
  <c r="M2499" i="1"/>
  <c r="R2499" i="1"/>
  <c r="T2500" i="1"/>
  <c r="U2500" i="1" s="1"/>
  <c r="V2500" i="1" s="1"/>
  <c r="M2500" i="1"/>
  <c r="R2500" i="1"/>
  <c r="R2590" i="1"/>
  <c r="T2590" i="1"/>
  <c r="U2590" i="1" s="1"/>
  <c r="V2590" i="1" s="1"/>
  <c r="M2590" i="1"/>
  <c r="M1472" i="1"/>
  <c r="M1504" i="1"/>
  <c r="M1512" i="1"/>
  <c r="M1520" i="1"/>
  <c r="M1536" i="1"/>
  <c r="X1540" i="1"/>
  <c r="M1544" i="1"/>
  <c r="X1548" i="1"/>
  <c r="M1552" i="1"/>
  <c r="X1556" i="1"/>
  <c r="X1564" i="1"/>
  <c r="X1572" i="1"/>
  <c r="M1576" i="1"/>
  <c r="X1580" i="1"/>
  <c r="M1584" i="1"/>
  <c r="X1588" i="1"/>
  <c r="M1592" i="1"/>
  <c r="X1596" i="1"/>
  <c r="M1600" i="1"/>
  <c r="X1604" i="1"/>
  <c r="M1608" i="1"/>
  <c r="X1612" i="1"/>
  <c r="M1616" i="1"/>
  <c r="X1620" i="1"/>
  <c r="M1624" i="1"/>
  <c r="X1628" i="1"/>
  <c r="M1632" i="1"/>
  <c r="X1636" i="1"/>
  <c r="M1640" i="1"/>
  <c r="X1644" i="1"/>
  <c r="M1648" i="1"/>
  <c r="X1652" i="1"/>
  <c r="M1656" i="1"/>
  <c r="X1660" i="1"/>
  <c r="M1664" i="1"/>
  <c r="X1668" i="1"/>
  <c r="X1676" i="1"/>
  <c r="M1680" i="1"/>
  <c r="X1684" i="1"/>
  <c r="M1688" i="1"/>
  <c r="X1692" i="1"/>
  <c r="M1696" i="1"/>
  <c r="X1700" i="1"/>
  <c r="M1704" i="1"/>
  <c r="X1708" i="1"/>
  <c r="M1712" i="1"/>
  <c r="X1716" i="1"/>
  <c r="W1725" i="1"/>
  <c r="T1728" i="1"/>
  <c r="U1728" i="1" s="1"/>
  <c r="V1728" i="1" s="1"/>
  <c r="W1733" i="1"/>
  <c r="T1736" i="1"/>
  <c r="U1736" i="1" s="1"/>
  <c r="V1736" i="1" s="1"/>
  <c r="M1740" i="1"/>
  <c r="M1745" i="1"/>
  <c r="W1745" i="1"/>
  <c r="T1748" i="1"/>
  <c r="U1748" i="1" s="1"/>
  <c r="V1748" i="1" s="1"/>
  <c r="X1750" i="1"/>
  <c r="S1751" i="1"/>
  <c r="P1751" i="1" s="1"/>
  <c r="S1752" i="1"/>
  <c r="P1752" i="1" s="1"/>
  <c r="D1753" i="1"/>
  <c r="T1753" i="1"/>
  <c r="U1753" i="1" s="1"/>
  <c r="V1753" i="1" s="1"/>
  <c r="T1759" i="1"/>
  <c r="U1759" i="1" s="1"/>
  <c r="V1759" i="1" s="1"/>
  <c r="M1759" i="1"/>
  <c r="D1760" i="1"/>
  <c r="W1769" i="1"/>
  <c r="S1770" i="1"/>
  <c r="P1770" i="1" s="1"/>
  <c r="X1776" i="1"/>
  <c r="X1782" i="1"/>
  <c r="S1785" i="1"/>
  <c r="P1785" i="1" s="1"/>
  <c r="S1787" i="1"/>
  <c r="P1787" i="1" s="1"/>
  <c r="X1787" i="1"/>
  <c r="W1787" i="1"/>
  <c r="W1790" i="1"/>
  <c r="S1792" i="1"/>
  <c r="P1792" i="1" s="1"/>
  <c r="P1795" i="1"/>
  <c r="S1800" i="1"/>
  <c r="P1800" i="1" s="1"/>
  <c r="S1808" i="1"/>
  <c r="P1808" i="1" s="1"/>
  <c r="Q1829" i="1"/>
  <c r="D1831" i="1"/>
  <c r="X1832" i="1"/>
  <c r="T1841" i="1"/>
  <c r="U1841" i="1" s="1"/>
  <c r="V1841" i="1" s="1"/>
  <c r="M1841" i="1"/>
  <c r="R1841" i="1"/>
  <c r="Q1842" i="1"/>
  <c r="S1849" i="1"/>
  <c r="P1849" i="1" s="1"/>
  <c r="X1849" i="1"/>
  <c r="T1850" i="1"/>
  <c r="M1850" i="1"/>
  <c r="R1850" i="1"/>
  <c r="D1927" i="1"/>
  <c r="Q1938" i="1"/>
  <c r="D1943" i="1"/>
  <c r="Q1954" i="1"/>
  <c r="D1959" i="1"/>
  <c r="Q1970" i="1"/>
  <c r="D1975" i="1"/>
  <c r="Q1986" i="1"/>
  <c r="D1991" i="1"/>
  <c r="Q2002" i="1"/>
  <c r="D2007" i="1"/>
  <c r="Q2018" i="1"/>
  <c r="D2031" i="1"/>
  <c r="D2047" i="1"/>
  <c r="S2057" i="1"/>
  <c r="P2057" i="1" s="1"/>
  <c r="S2066" i="1"/>
  <c r="P2066" i="1" s="1"/>
  <c r="X2066" i="1"/>
  <c r="W2066" i="1"/>
  <c r="S2073" i="1"/>
  <c r="P2073" i="1" s="1"/>
  <c r="D2087" i="1"/>
  <c r="T2094" i="1"/>
  <c r="U2094" i="1" s="1"/>
  <c r="V2094" i="1" s="1"/>
  <c r="M2094" i="1"/>
  <c r="T2095" i="1"/>
  <c r="U2095" i="1" s="1"/>
  <c r="V2095" i="1" s="1"/>
  <c r="M2095" i="1"/>
  <c r="R2095" i="1"/>
  <c r="D2100" i="1"/>
  <c r="Q2105" i="1"/>
  <c r="R2140" i="1"/>
  <c r="T2140" i="1"/>
  <c r="M2140" i="1"/>
  <c r="S2326" i="1"/>
  <c r="P2326" i="1" s="1"/>
  <c r="S2325" i="1"/>
  <c r="P2325" i="1" s="1"/>
  <c r="X2326" i="1"/>
  <c r="W2326" i="1"/>
  <c r="X2325" i="1"/>
  <c r="W2325" i="1"/>
  <c r="Q2361" i="1"/>
  <c r="S2390" i="1"/>
  <c r="P2390" i="1" s="1"/>
  <c r="S2389" i="1"/>
  <c r="P2389" i="1" s="1"/>
  <c r="X2390" i="1"/>
  <c r="W2390" i="1"/>
  <c r="X2389" i="1"/>
  <c r="W2389" i="1"/>
  <c r="T2476" i="1"/>
  <c r="U2476" i="1" s="1"/>
  <c r="V2476" i="1" s="1"/>
  <c r="M2476" i="1"/>
  <c r="R2476" i="1"/>
  <c r="M1449" i="1"/>
  <c r="M1465" i="1"/>
  <c r="M1489" i="1"/>
  <c r="M1497" i="1"/>
  <c r="M1505" i="1"/>
  <c r="M1521" i="1"/>
  <c r="M1529" i="1"/>
  <c r="M1537" i="1"/>
  <c r="M1545" i="1"/>
  <c r="M1553" i="1"/>
  <c r="M1561" i="1"/>
  <c r="M1577" i="1"/>
  <c r="M1585" i="1"/>
  <c r="M1593" i="1"/>
  <c r="M1601" i="1"/>
  <c r="M1609" i="1"/>
  <c r="M1617" i="1"/>
  <c r="M1633" i="1"/>
  <c r="M1641" i="1"/>
  <c r="M1649" i="1"/>
  <c r="M1657" i="1"/>
  <c r="M1665" i="1"/>
  <c r="M1681" i="1"/>
  <c r="M1689" i="1"/>
  <c r="M1697" i="1"/>
  <c r="W1720" i="1"/>
  <c r="X1745" i="1"/>
  <c r="M1748" i="1"/>
  <c r="M1756" i="1"/>
  <c r="W1759" i="1"/>
  <c r="S1759" i="1"/>
  <c r="P1759" i="1" s="1"/>
  <c r="Q1762" i="1"/>
  <c r="M1764" i="1"/>
  <c r="D1772" i="1"/>
  <c r="T1783" i="1"/>
  <c r="U1783" i="1" s="1"/>
  <c r="V1783" i="1" s="1"/>
  <c r="D1784" i="1"/>
  <c r="T1809" i="1"/>
  <c r="U1809" i="1" s="1"/>
  <c r="V1809" i="1" s="1"/>
  <c r="M1809" i="1"/>
  <c r="R1809" i="1"/>
  <c r="Q1810" i="1"/>
  <c r="P1813" i="1"/>
  <c r="S1816" i="1"/>
  <c r="P1816" i="1" s="1"/>
  <c r="T1817" i="1"/>
  <c r="U1817" i="1" s="1"/>
  <c r="V1817" i="1" s="1"/>
  <c r="M1817" i="1"/>
  <c r="R1817" i="1"/>
  <c r="Q1818" i="1"/>
  <c r="S1824" i="1"/>
  <c r="P1824" i="1" s="1"/>
  <c r="S1841" i="1"/>
  <c r="P1841" i="1" s="1"/>
  <c r="X1841" i="1"/>
  <c r="T1842" i="1"/>
  <c r="M1842" i="1"/>
  <c r="R1842" i="1"/>
  <c r="S1850" i="1"/>
  <c r="P1850" i="1" s="1"/>
  <c r="X1850" i="1"/>
  <c r="W1850" i="1"/>
  <c r="M1851" i="1"/>
  <c r="D1871" i="1"/>
  <c r="D1887" i="1"/>
  <c r="D1903" i="1"/>
  <c r="D1919" i="1"/>
  <c r="W1929" i="1"/>
  <c r="S1937" i="1"/>
  <c r="P1937" i="1" s="1"/>
  <c r="T1938" i="1"/>
  <c r="T1939" i="1"/>
  <c r="U1939" i="1" s="1"/>
  <c r="V1939" i="1" s="1"/>
  <c r="M1939" i="1"/>
  <c r="R1939" i="1"/>
  <c r="Q1941" i="1"/>
  <c r="W1945" i="1"/>
  <c r="S1953" i="1"/>
  <c r="P1953" i="1" s="1"/>
  <c r="T1954" i="1"/>
  <c r="T1955" i="1"/>
  <c r="U1955" i="1" s="1"/>
  <c r="V1955" i="1" s="1"/>
  <c r="M1955" i="1"/>
  <c r="Q1957" i="1"/>
  <c r="W1961" i="1"/>
  <c r="S1969" i="1"/>
  <c r="P1969" i="1" s="1"/>
  <c r="T1970" i="1"/>
  <c r="T1971" i="1"/>
  <c r="U1971" i="1" s="1"/>
  <c r="V1971" i="1" s="1"/>
  <c r="M1971" i="1"/>
  <c r="R1971" i="1"/>
  <c r="Q1973" i="1"/>
  <c r="W1977" i="1"/>
  <c r="S1985" i="1"/>
  <c r="P1985" i="1" s="1"/>
  <c r="T1986" i="1"/>
  <c r="T1987" i="1"/>
  <c r="U1987" i="1" s="1"/>
  <c r="V1987" i="1" s="1"/>
  <c r="M1987" i="1"/>
  <c r="R1987" i="1"/>
  <c r="Q1989" i="1"/>
  <c r="W1993" i="1"/>
  <c r="S2001" i="1"/>
  <c r="P2001" i="1" s="1"/>
  <c r="T2003" i="1"/>
  <c r="U2003" i="1" s="1"/>
  <c r="V2003" i="1" s="1"/>
  <c r="M2003" i="1"/>
  <c r="R2003" i="1"/>
  <c r="Q2005" i="1"/>
  <c r="W2009" i="1"/>
  <c r="S2017" i="1"/>
  <c r="P2017" i="1" s="1"/>
  <c r="Q2025" i="1"/>
  <c r="T2027" i="1"/>
  <c r="U2027" i="1" s="1"/>
  <c r="V2027" i="1" s="1"/>
  <c r="M2027" i="1"/>
  <c r="R2027" i="1"/>
  <c r="Q2029" i="1"/>
  <c r="Q2045" i="1"/>
  <c r="Q2085" i="1"/>
  <c r="T2090" i="1"/>
  <c r="U2090" i="1" s="1"/>
  <c r="V2090" i="1" s="1"/>
  <c r="M2090" i="1"/>
  <c r="R2090" i="1"/>
  <c r="T2091" i="1"/>
  <c r="U2091" i="1" s="1"/>
  <c r="V2091" i="1" s="1"/>
  <c r="M2091" i="1"/>
  <c r="R2091" i="1"/>
  <c r="Q2104" i="1"/>
  <c r="W2106" i="1"/>
  <c r="X2105" i="1"/>
  <c r="S2105" i="1"/>
  <c r="P2105" i="1" s="1"/>
  <c r="S2106" i="1"/>
  <c r="P2106" i="1" s="1"/>
  <c r="W2105" i="1"/>
  <c r="Q2109" i="1"/>
  <c r="S2124" i="1"/>
  <c r="P2124" i="1" s="1"/>
  <c r="X2124" i="1"/>
  <c r="S2123" i="1"/>
  <c r="P2123" i="1" s="1"/>
  <c r="W2124" i="1"/>
  <c r="T2124" i="1"/>
  <c r="X2123" i="1"/>
  <c r="W2123" i="1"/>
  <c r="X2154" i="1"/>
  <c r="W2154" i="1"/>
  <c r="S2154" i="1"/>
  <c r="P2154" i="1" s="1"/>
  <c r="W2153" i="1"/>
  <c r="S2153" i="1"/>
  <c r="P2153" i="1" s="1"/>
  <c r="T2159" i="1"/>
  <c r="U2159" i="1" s="1"/>
  <c r="V2159" i="1" s="1"/>
  <c r="M2159" i="1"/>
  <c r="R2159" i="1"/>
  <c r="S2174" i="1"/>
  <c r="P2174" i="1" s="1"/>
  <c r="S2173" i="1"/>
  <c r="P2173" i="1" s="1"/>
  <c r="X2174" i="1"/>
  <c r="W2174" i="1"/>
  <c r="X2173" i="1"/>
  <c r="W2173" i="1"/>
  <c r="T2214" i="1"/>
  <c r="U2214" i="1" s="1"/>
  <c r="V2214" i="1" s="1"/>
  <c r="M2214" i="1"/>
  <c r="R2214" i="1"/>
  <c r="S2230" i="1"/>
  <c r="P2230" i="1" s="1"/>
  <c r="S2229" i="1"/>
  <c r="P2229" i="1" s="1"/>
  <c r="X2230" i="1"/>
  <c r="W2230" i="1"/>
  <c r="X2229" i="1"/>
  <c r="W2229" i="1"/>
  <c r="T2325" i="1"/>
  <c r="U2325" i="1" s="1"/>
  <c r="V2325" i="1" s="1"/>
  <c r="M2325" i="1"/>
  <c r="R2325" i="1"/>
  <c r="T2387" i="1"/>
  <c r="U2387" i="1" s="1"/>
  <c r="V2387" i="1" s="1"/>
  <c r="M2387" i="1"/>
  <c r="R2387" i="1"/>
  <c r="T2389" i="1"/>
  <c r="U2389" i="1" s="1"/>
  <c r="V2389" i="1" s="1"/>
  <c r="M2389" i="1"/>
  <c r="R2389" i="1"/>
  <c r="S1539" i="1"/>
  <c r="P1539" i="1" s="1"/>
  <c r="S1547" i="1"/>
  <c r="P1547" i="1" s="1"/>
  <c r="S1555" i="1"/>
  <c r="P1555" i="1" s="1"/>
  <c r="S1563" i="1"/>
  <c r="P1563" i="1" s="1"/>
  <c r="S1571" i="1"/>
  <c r="P1571" i="1" s="1"/>
  <c r="S1579" i="1"/>
  <c r="P1579" i="1" s="1"/>
  <c r="S1587" i="1"/>
  <c r="P1587" i="1" s="1"/>
  <c r="S1595" i="1"/>
  <c r="P1595" i="1" s="1"/>
  <c r="S1603" i="1"/>
  <c r="P1603" i="1" s="1"/>
  <c r="S1611" i="1"/>
  <c r="P1611" i="1" s="1"/>
  <c r="S1619" i="1"/>
  <c r="P1619" i="1" s="1"/>
  <c r="S1627" i="1"/>
  <c r="P1627" i="1" s="1"/>
  <c r="S1635" i="1"/>
  <c r="P1635" i="1" s="1"/>
  <c r="S1643" i="1"/>
  <c r="P1643" i="1" s="1"/>
  <c r="S1659" i="1"/>
  <c r="P1659" i="1" s="1"/>
  <c r="S1667" i="1"/>
  <c r="P1667" i="1" s="1"/>
  <c r="S1675" i="1"/>
  <c r="P1675" i="1" s="1"/>
  <c r="S1683" i="1"/>
  <c r="P1683" i="1" s="1"/>
  <c r="S1691" i="1"/>
  <c r="P1691" i="1" s="1"/>
  <c r="S1699" i="1"/>
  <c r="P1699" i="1" s="1"/>
  <c r="S1707" i="1"/>
  <c r="P1707" i="1" s="1"/>
  <c r="S1715" i="1"/>
  <c r="P1715" i="1" s="1"/>
  <c r="X1724" i="1"/>
  <c r="X1732" i="1"/>
  <c r="X1740" i="1"/>
  <c r="Q1750" i="1"/>
  <c r="T1751" i="1"/>
  <c r="U1751" i="1" s="1"/>
  <c r="V1751" i="1" s="1"/>
  <c r="M1751" i="1"/>
  <c r="R1763" i="1"/>
  <c r="X1766" i="1"/>
  <c r="S1769" i="1"/>
  <c r="P1769" i="1" s="1"/>
  <c r="S1771" i="1"/>
  <c r="P1771" i="1" s="1"/>
  <c r="X1771" i="1"/>
  <c r="W1771" i="1"/>
  <c r="Q1781" i="1"/>
  <c r="W1783" i="1"/>
  <c r="S1783" i="1"/>
  <c r="P1783" i="1" s="1"/>
  <c r="Q1786" i="1"/>
  <c r="T1790" i="1"/>
  <c r="M1790" i="1"/>
  <c r="Q1797" i="1"/>
  <c r="W1798" i="1"/>
  <c r="Q1805" i="1"/>
  <c r="W1806" i="1"/>
  <c r="S1809" i="1"/>
  <c r="P1809" i="1" s="1"/>
  <c r="X1809" i="1"/>
  <c r="T1810" i="1"/>
  <c r="M1810" i="1"/>
  <c r="R1810" i="1"/>
  <c r="S1817" i="1"/>
  <c r="P1817" i="1" s="1"/>
  <c r="X1817" i="1"/>
  <c r="T1818" i="1"/>
  <c r="U1818" i="1" s="1"/>
  <c r="V1818" i="1" s="1"/>
  <c r="M1818" i="1"/>
  <c r="R1818" i="1"/>
  <c r="T1831" i="1"/>
  <c r="U1831" i="1" s="1"/>
  <c r="V1831" i="1" s="1"/>
  <c r="M1831" i="1"/>
  <c r="R1831" i="1"/>
  <c r="S1842" i="1"/>
  <c r="P1842" i="1" s="1"/>
  <c r="X1842" i="1"/>
  <c r="W1842" i="1"/>
  <c r="Q1852" i="1"/>
  <c r="Q1869" i="1"/>
  <c r="M1883" i="1"/>
  <c r="Q1885" i="1"/>
  <c r="T1899" i="1"/>
  <c r="U1899" i="1" s="1"/>
  <c r="V1899" i="1" s="1"/>
  <c r="M1899" i="1"/>
  <c r="R1899" i="1"/>
  <c r="Q1901" i="1"/>
  <c r="R1915" i="1"/>
  <c r="Q1917" i="1"/>
  <c r="T1927" i="1"/>
  <c r="U1927" i="1" s="1"/>
  <c r="V1927" i="1" s="1"/>
  <c r="M1927" i="1"/>
  <c r="R1927" i="1"/>
  <c r="R1934" i="1"/>
  <c r="S1938" i="1"/>
  <c r="P1938" i="1" s="1"/>
  <c r="X1938" i="1"/>
  <c r="W1938" i="1"/>
  <c r="T1943" i="1"/>
  <c r="U1943" i="1" s="1"/>
  <c r="V1943" i="1" s="1"/>
  <c r="M1943" i="1"/>
  <c r="R1943" i="1"/>
  <c r="R1950" i="1"/>
  <c r="S1954" i="1"/>
  <c r="P1954" i="1" s="1"/>
  <c r="X1954" i="1"/>
  <c r="W1954" i="1"/>
  <c r="T1959" i="1"/>
  <c r="U1959" i="1" s="1"/>
  <c r="V1959" i="1" s="1"/>
  <c r="M1959" i="1"/>
  <c r="R1959" i="1"/>
  <c r="R1966" i="1"/>
  <c r="S1970" i="1"/>
  <c r="P1970" i="1" s="1"/>
  <c r="X1970" i="1"/>
  <c r="W1970" i="1"/>
  <c r="R1982" i="1"/>
  <c r="S1986" i="1"/>
  <c r="P1986" i="1" s="1"/>
  <c r="X1986" i="1"/>
  <c r="W1986" i="1"/>
  <c r="T1991" i="1"/>
  <c r="U1991" i="1" s="1"/>
  <c r="V1991" i="1" s="1"/>
  <c r="M1991" i="1"/>
  <c r="R1991" i="1"/>
  <c r="S2002" i="1"/>
  <c r="P2002" i="1" s="1"/>
  <c r="X2002" i="1"/>
  <c r="W2002" i="1"/>
  <c r="R2014" i="1"/>
  <c r="R2025" i="1"/>
  <c r="S2026" i="1"/>
  <c r="P2026" i="1" s="1"/>
  <c r="X2026" i="1"/>
  <c r="W2026" i="1"/>
  <c r="T2030" i="1"/>
  <c r="U2030" i="1" s="1"/>
  <c r="V2030" i="1" s="1"/>
  <c r="M2030" i="1"/>
  <c r="T2046" i="1"/>
  <c r="U2046" i="1" s="1"/>
  <c r="V2046" i="1" s="1"/>
  <c r="M2046" i="1"/>
  <c r="T2047" i="1"/>
  <c r="U2047" i="1" s="1"/>
  <c r="V2047" i="1" s="1"/>
  <c r="M2047" i="1"/>
  <c r="R2047" i="1"/>
  <c r="R2070" i="1"/>
  <c r="W2073" i="1"/>
  <c r="T2086" i="1"/>
  <c r="U2086" i="1" s="1"/>
  <c r="V2086" i="1" s="1"/>
  <c r="M2086" i="1"/>
  <c r="T2087" i="1"/>
  <c r="U2087" i="1" s="1"/>
  <c r="V2087" i="1" s="1"/>
  <c r="M2087" i="1"/>
  <c r="R2087" i="1"/>
  <c r="S2090" i="1"/>
  <c r="P2090" i="1" s="1"/>
  <c r="X2090" i="1"/>
  <c r="W2090" i="1"/>
  <c r="T2097" i="1"/>
  <c r="U2097" i="1" s="1"/>
  <c r="V2097" i="1" s="1"/>
  <c r="M2097" i="1"/>
  <c r="R2097" i="1"/>
  <c r="R2101" i="1"/>
  <c r="M2101" i="1"/>
  <c r="T2101" i="1"/>
  <c r="U2101" i="1" s="1"/>
  <c r="V2101" i="1" s="1"/>
  <c r="R2111" i="1"/>
  <c r="M2111" i="1"/>
  <c r="T2111" i="1"/>
  <c r="U2111" i="1" s="1"/>
  <c r="V2111" i="1" s="1"/>
  <c r="R2119" i="1"/>
  <c r="M2119" i="1"/>
  <c r="T2119" i="1"/>
  <c r="U2119" i="1" s="1"/>
  <c r="V2119" i="1" s="1"/>
  <c r="T2173" i="1"/>
  <c r="U2173" i="1" s="1"/>
  <c r="V2173" i="1" s="1"/>
  <c r="M2173" i="1"/>
  <c r="R2173" i="1"/>
  <c r="T2229" i="1"/>
  <c r="U2229" i="1" s="1"/>
  <c r="V2229" i="1" s="1"/>
  <c r="M2229" i="1"/>
  <c r="R2229" i="1"/>
  <c r="S2358" i="1"/>
  <c r="P2358" i="1" s="1"/>
  <c r="S2357" i="1"/>
  <c r="P2357" i="1" s="1"/>
  <c r="X2358" i="1"/>
  <c r="W2358" i="1"/>
  <c r="X2357" i="1"/>
  <c r="W2357" i="1"/>
  <c r="S2406" i="1"/>
  <c r="P2406" i="1" s="1"/>
  <c r="S2405" i="1"/>
  <c r="P2405" i="1" s="1"/>
  <c r="X2406" i="1"/>
  <c r="W2406" i="1"/>
  <c r="X2405" i="1"/>
  <c r="W2405" i="1"/>
  <c r="T2491" i="1"/>
  <c r="M2491" i="1"/>
  <c r="R2491" i="1"/>
  <c r="T2492" i="1"/>
  <c r="U2492" i="1" s="1"/>
  <c r="V2492" i="1" s="1"/>
  <c r="M2492" i="1"/>
  <c r="R2492" i="1"/>
  <c r="X2524" i="1"/>
  <c r="W2524" i="1"/>
  <c r="S2524" i="1"/>
  <c r="P2524" i="1" s="1"/>
  <c r="X2523" i="1"/>
  <c r="W2523" i="1"/>
  <c r="D1721" i="1"/>
  <c r="S1726" i="1"/>
  <c r="P1726" i="1" s="1"/>
  <c r="Q1729" i="1"/>
  <c r="S1734" i="1"/>
  <c r="P1734" i="1" s="1"/>
  <c r="Q1737" i="1"/>
  <c r="X1748" i="1"/>
  <c r="M1753" i="1"/>
  <c r="S1754" i="1"/>
  <c r="P1754" i="1" s="1"/>
  <c r="X1756" i="1"/>
  <c r="W1756" i="1"/>
  <c r="T1760" i="1"/>
  <c r="U1760" i="1" s="1"/>
  <c r="V1760" i="1" s="1"/>
  <c r="M1760" i="1"/>
  <c r="R1760" i="1"/>
  <c r="T1761" i="1"/>
  <c r="U1761" i="1" s="1"/>
  <c r="V1761" i="1" s="1"/>
  <c r="X1762" i="1"/>
  <c r="T1767" i="1"/>
  <c r="U1767" i="1" s="1"/>
  <c r="V1767" i="1" s="1"/>
  <c r="M1767" i="1"/>
  <c r="D1768" i="1"/>
  <c r="W1770" i="1"/>
  <c r="R1775" i="1"/>
  <c r="W1777" i="1"/>
  <c r="S1778" i="1"/>
  <c r="P1778" i="1" s="1"/>
  <c r="X1790" i="1"/>
  <c r="X1791" i="1"/>
  <c r="S1793" i="1"/>
  <c r="P1793" i="1" s="1"/>
  <c r="X1793" i="1"/>
  <c r="Q1794" i="1"/>
  <c r="D1799" i="1"/>
  <c r="X1799" i="1"/>
  <c r="S1801" i="1"/>
  <c r="P1801" i="1" s="1"/>
  <c r="X1801" i="1"/>
  <c r="Q1802" i="1"/>
  <c r="D1807" i="1"/>
  <c r="X1807" i="1"/>
  <c r="S1810" i="1"/>
  <c r="P1810" i="1" s="1"/>
  <c r="X1810" i="1"/>
  <c r="W1810" i="1"/>
  <c r="S1818" i="1"/>
  <c r="P1818" i="1" s="1"/>
  <c r="X1818" i="1"/>
  <c r="W1818" i="1"/>
  <c r="R1822" i="1"/>
  <c r="W1833" i="1"/>
  <c r="Q1844" i="1"/>
  <c r="Q1853" i="1"/>
  <c r="D1855" i="1"/>
  <c r="S1866" i="1"/>
  <c r="P1866" i="1" s="1"/>
  <c r="X1866" i="1"/>
  <c r="W1866" i="1"/>
  <c r="T1871" i="1"/>
  <c r="U1871" i="1" s="1"/>
  <c r="V1871" i="1" s="1"/>
  <c r="M1871" i="1"/>
  <c r="R1871" i="1"/>
  <c r="S1882" i="1"/>
  <c r="P1882" i="1" s="1"/>
  <c r="X1882" i="1"/>
  <c r="W1882" i="1"/>
  <c r="T1887" i="1"/>
  <c r="U1887" i="1" s="1"/>
  <c r="V1887" i="1" s="1"/>
  <c r="M1887" i="1"/>
  <c r="R1887" i="1"/>
  <c r="S1898" i="1"/>
  <c r="P1898" i="1" s="1"/>
  <c r="X1898" i="1"/>
  <c r="W1898" i="1"/>
  <c r="T1903" i="1"/>
  <c r="U1903" i="1" s="1"/>
  <c r="V1903" i="1" s="1"/>
  <c r="M1903" i="1"/>
  <c r="R1903" i="1"/>
  <c r="S1914" i="1"/>
  <c r="P1914" i="1" s="1"/>
  <c r="X1914" i="1"/>
  <c r="W1914" i="1"/>
  <c r="T1919" i="1"/>
  <c r="U1919" i="1" s="1"/>
  <c r="V1919" i="1" s="1"/>
  <c r="M1919" i="1"/>
  <c r="R1919" i="1"/>
  <c r="P1942" i="1"/>
  <c r="P1958" i="1"/>
  <c r="D2023" i="1"/>
  <c r="Q2041" i="1"/>
  <c r="Q2053" i="1"/>
  <c r="W2057" i="1"/>
  <c r="Q2077" i="1"/>
  <c r="T2082" i="1"/>
  <c r="U2082" i="1" s="1"/>
  <c r="V2082" i="1" s="1"/>
  <c r="M2082" i="1"/>
  <c r="R2082" i="1"/>
  <c r="T2083" i="1"/>
  <c r="U2083" i="1" s="1"/>
  <c r="V2083" i="1" s="1"/>
  <c r="M2083" i="1"/>
  <c r="R2083" i="1"/>
  <c r="X2106" i="1"/>
  <c r="X2153" i="1"/>
  <c r="T2158" i="1"/>
  <c r="U2158" i="1" s="1"/>
  <c r="V2158" i="1" s="1"/>
  <c r="M2158" i="1"/>
  <c r="R2158" i="1"/>
  <c r="R2207" i="1"/>
  <c r="T2356" i="1"/>
  <c r="M2356" i="1"/>
  <c r="R2356" i="1"/>
  <c r="T2357" i="1"/>
  <c r="U2357" i="1" s="1"/>
  <c r="V2357" i="1" s="1"/>
  <c r="M2357" i="1"/>
  <c r="R2357" i="1"/>
  <c r="T2383" i="1"/>
  <c r="U2383" i="1" s="1"/>
  <c r="V2383" i="1" s="1"/>
  <c r="M2383" i="1"/>
  <c r="R2383" i="1"/>
  <c r="Q2519" i="1"/>
  <c r="Q2707" i="1"/>
  <c r="S1814" i="1"/>
  <c r="P1814" i="1" s="1"/>
  <c r="S1822" i="1"/>
  <c r="P1822" i="1" s="1"/>
  <c r="S1846" i="1"/>
  <c r="P1846" i="1" s="1"/>
  <c r="X1857" i="1"/>
  <c r="X1865" i="1"/>
  <c r="X1873" i="1"/>
  <c r="X1881" i="1"/>
  <c r="X1889" i="1"/>
  <c r="X1897" i="1"/>
  <c r="X1905" i="1"/>
  <c r="X1913" i="1"/>
  <c r="X1921" i="1"/>
  <c r="X1929" i="1"/>
  <c r="X1937" i="1"/>
  <c r="X1945" i="1"/>
  <c r="X1953" i="1"/>
  <c r="X1961" i="1"/>
  <c r="X1969" i="1"/>
  <c r="X1977" i="1"/>
  <c r="X1985" i="1"/>
  <c r="X1993" i="1"/>
  <c r="X2001" i="1"/>
  <c r="X2009" i="1"/>
  <c r="X2017" i="1"/>
  <c r="X2025" i="1"/>
  <c r="X2033" i="1"/>
  <c r="X2041" i="1"/>
  <c r="X2049" i="1"/>
  <c r="X2057" i="1"/>
  <c r="X2065" i="1"/>
  <c r="X2073" i="1"/>
  <c r="X2081" i="1"/>
  <c r="S2086" i="1"/>
  <c r="P2086" i="1" s="1"/>
  <c r="X2089" i="1"/>
  <c r="S2094" i="1"/>
  <c r="P2094" i="1" s="1"/>
  <c r="Q2098" i="1"/>
  <c r="R2100" i="1"/>
  <c r="S2110" i="1"/>
  <c r="P2110" i="1" s="1"/>
  <c r="X2110" i="1"/>
  <c r="Q2111" i="1"/>
  <c r="S2112" i="1"/>
  <c r="P2112" i="1" s="1"/>
  <c r="W2114" i="1"/>
  <c r="X2113" i="1"/>
  <c r="X2114" i="1"/>
  <c r="R2116" i="1"/>
  <c r="U2116" i="1" s="1"/>
  <c r="V2116" i="1" s="1"/>
  <c r="W2117" i="1"/>
  <c r="S2118" i="1"/>
  <c r="P2118" i="1" s="1"/>
  <c r="X2118" i="1"/>
  <c r="Q2119" i="1"/>
  <c r="S2120" i="1"/>
  <c r="P2120" i="1" s="1"/>
  <c r="W2121" i="1"/>
  <c r="S2126" i="1"/>
  <c r="P2126" i="1" s="1"/>
  <c r="X2126" i="1"/>
  <c r="W2126" i="1"/>
  <c r="D2135" i="1"/>
  <c r="U2136" i="1"/>
  <c r="V2136" i="1" s="1"/>
  <c r="Q2141" i="1"/>
  <c r="T2142" i="1"/>
  <c r="U2142" i="1" s="1"/>
  <c r="V2142" i="1" s="1"/>
  <c r="M2142" i="1"/>
  <c r="T2143" i="1"/>
  <c r="U2143" i="1" s="1"/>
  <c r="V2143" i="1" s="1"/>
  <c r="M2143" i="1"/>
  <c r="R2143" i="1"/>
  <c r="D2151" i="1"/>
  <c r="S2158" i="1"/>
  <c r="P2158" i="1" s="1"/>
  <c r="X2158" i="1"/>
  <c r="W2158" i="1"/>
  <c r="X2157" i="1"/>
  <c r="R2160" i="1"/>
  <c r="U2160" i="1" s="1"/>
  <c r="V2160" i="1" s="1"/>
  <c r="Q2177" i="1"/>
  <c r="R2199" i="1"/>
  <c r="T2205" i="1"/>
  <c r="U2205" i="1" s="1"/>
  <c r="V2205" i="1" s="1"/>
  <c r="M2205" i="1"/>
  <c r="R2205" i="1"/>
  <c r="S2206" i="1"/>
  <c r="P2206" i="1" s="1"/>
  <c r="S2205" i="1"/>
  <c r="P2205" i="1" s="1"/>
  <c r="X2206" i="1"/>
  <c r="W2206" i="1"/>
  <c r="X2205" i="1"/>
  <c r="R2208" i="1"/>
  <c r="U2208" i="1" s="1"/>
  <c r="V2208" i="1" s="1"/>
  <c r="T2213" i="1"/>
  <c r="U2213" i="1" s="1"/>
  <c r="V2213" i="1" s="1"/>
  <c r="M2213" i="1"/>
  <c r="R2213" i="1"/>
  <c r="S2214" i="1"/>
  <c r="P2214" i="1" s="1"/>
  <c r="S2213" i="1"/>
  <c r="P2213" i="1" s="1"/>
  <c r="X2214" i="1"/>
  <c r="W2214" i="1"/>
  <c r="X2213" i="1"/>
  <c r="T2221" i="1"/>
  <c r="U2221" i="1" s="1"/>
  <c r="V2221" i="1" s="1"/>
  <c r="M2221" i="1"/>
  <c r="R2221" i="1"/>
  <c r="S2222" i="1"/>
  <c r="P2222" i="1" s="1"/>
  <c r="S2221" i="1"/>
  <c r="P2221" i="1" s="1"/>
  <c r="X2222" i="1"/>
  <c r="W2222" i="1"/>
  <c r="X2221" i="1"/>
  <c r="Q2225" i="1"/>
  <c r="T2228" i="1"/>
  <c r="M2228" i="1"/>
  <c r="R2228" i="1"/>
  <c r="Q2248" i="1"/>
  <c r="Q2256" i="1"/>
  <c r="T2260" i="1"/>
  <c r="M2260" i="1"/>
  <c r="R2260" i="1"/>
  <c r="T2262" i="1"/>
  <c r="U2262" i="1" s="1"/>
  <c r="V2262" i="1" s="1"/>
  <c r="M2262" i="1"/>
  <c r="R2262" i="1"/>
  <c r="T2263" i="1"/>
  <c r="U2263" i="1" s="1"/>
  <c r="V2263" i="1" s="1"/>
  <c r="M2263" i="1"/>
  <c r="R2263" i="1"/>
  <c r="T2309" i="1"/>
  <c r="U2309" i="1" s="1"/>
  <c r="V2309" i="1" s="1"/>
  <c r="M2309" i="1"/>
  <c r="R2309" i="1"/>
  <c r="S2310" i="1"/>
  <c r="P2310" i="1" s="1"/>
  <c r="S2309" i="1"/>
  <c r="P2309" i="1" s="1"/>
  <c r="X2310" i="1"/>
  <c r="W2310" i="1"/>
  <c r="X2309" i="1"/>
  <c r="R2312" i="1"/>
  <c r="Q2313" i="1"/>
  <c r="Q2344" i="1"/>
  <c r="Q2352" i="1"/>
  <c r="Q2377" i="1"/>
  <c r="S2382" i="1"/>
  <c r="P2382" i="1" s="1"/>
  <c r="S2381" i="1"/>
  <c r="P2381" i="1" s="1"/>
  <c r="X2382" i="1"/>
  <c r="W2382" i="1"/>
  <c r="X2381" i="1"/>
  <c r="S2414" i="1"/>
  <c r="P2414" i="1" s="1"/>
  <c r="S2413" i="1"/>
  <c r="P2413" i="1" s="1"/>
  <c r="X2414" i="1"/>
  <c r="W2414" i="1"/>
  <c r="X2413" i="1"/>
  <c r="T2422" i="1"/>
  <c r="U2422" i="1" s="1"/>
  <c r="V2422" i="1" s="1"/>
  <c r="M2422" i="1"/>
  <c r="R2422" i="1"/>
  <c r="Q2425" i="1"/>
  <c r="Q2432" i="1"/>
  <c r="T2435" i="1"/>
  <c r="U2435" i="1" s="1"/>
  <c r="V2435" i="1" s="1"/>
  <c r="M2435" i="1"/>
  <c r="R2435" i="1"/>
  <c r="T2436" i="1"/>
  <c r="M2436" i="1"/>
  <c r="R2436" i="1"/>
  <c r="Q2472" i="1"/>
  <c r="Q2473" i="1"/>
  <c r="Q2481" i="1"/>
  <c r="Q2487" i="1"/>
  <c r="Q2489" i="1"/>
  <c r="Q2495" i="1"/>
  <c r="Q2497" i="1"/>
  <c r="Q2505" i="1"/>
  <c r="T2514" i="1"/>
  <c r="U2514" i="1" s="1"/>
  <c r="V2514" i="1" s="1"/>
  <c r="M2514" i="1"/>
  <c r="R2514" i="1"/>
  <c r="R2515" i="1"/>
  <c r="U2515" i="1" s="1"/>
  <c r="V2515" i="1" s="1"/>
  <c r="W2516" i="1"/>
  <c r="S2516" i="1"/>
  <c r="P2516" i="1" s="1"/>
  <c r="W2515" i="1"/>
  <c r="S2547" i="1"/>
  <c r="P2547" i="1" s="1"/>
  <c r="S2546" i="1"/>
  <c r="P2546" i="1" s="1"/>
  <c r="X2547" i="1"/>
  <c r="W2547" i="1"/>
  <c r="X2546" i="1"/>
  <c r="W2546" i="1"/>
  <c r="R2549" i="1"/>
  <c r="M2549" i="1"/>
  <c r="T2549" i="1"/>
  <c r="U2549" i="1" s="1"/>
  <c r="V2549" i="1" s="1"/>
  <c r="X2558" i="1"/>
  <c r="W2558" i="1"/>
  <c r="S2558" i="1"/>
  <c r="P2558" i="1" s="1"/>
  <c r="W2557" i="1"/>
  <c r="R2574" i="1"/>
  <c r="T2574" i="1"/>
  <c r="U2574" i="1" s="1"/>
  <c r="V2574" i="1" s="1"/>
  <c r="M2574" i="1"/>
  <c r="W1795" i="1"/>
  <c r="W1803" i="1"/>
  <c r="W1811" i="1"/>
  <c r="S1815" i="1"/>
  <c r="P1815" i="1" s="1"/>
  <c r="R1816" i="1"/>
  <c r="W1819" i="1"/>
  <c r="S1823" i="1"/>
  <c r="P1823" i="1" s="1"/>
  <c r="R1824" i="1"/>
  <c r="S1831" i="1"/>
  <c r="P1831" i="1" s="1"/>
  <c r="R1832" i="1"/>
  <c r="S1839" i="1"/>
  <c r="P1839" i="1" s="1"/>
  <c r="S1847" i="1"/>
  <c r="P1847" i="1" s="1"/>
  <c r="S1855" i="1"/>
  <c r="P1855" i="1" s="1"/>
  <c r="R1856" i="1"/>
  <c r="S1863" i="1"/>
  <c r="P1863" i="1" s="1"/>
  <c r="R1864" i="1"/>
  <c r="S1871" i="1"/>
  <c r="P1871" i="1" s="1"/>
  <c r="R1872" i="1"/>
  <c r="S1879" i="1"/>
  <c r="P1879" i="1" s="1"/>
  <c r="R1880" i="1"/>
  <c r="S1887" i="1"/>
  <c r="P1887" i="1" s="1"/>
  <c r="R1888" i="1"/>
  <c r="S1895" i="1"/>
  <c r="P1895" i="1" s="1"/>
  <c r="S1903" i="1"/>
  <c r="P1903" i="1" s="1"/>
  <c r="S1911" i="1"/>
  <c r="P1911" i="1" s="1"/>
  <c r="R1912" i="1"/>
  <c r="S1919" i="1"/>
  <c r="P1919" i="1" s="1"/>
  <c r="R1920" i="1"/>
  <c r="S1927" i="1"/>
  <c r="P1927" i="1" s="1"/>
  <c r="R1928" i="1"/>
  <c r="S1935" i="1"/>
  <c r="P1935" i="1" s="1"/>
  <c r="R1936" i="1"/>
  <c r="S1943" i="1"/>
  <c r="P1943" i="1" s="1"/>
  <c r="R1944" i="1"/>
  <c r="S1951" i="1"/>
  <c r="P1951" i="1" s="1"/>
  <c r="R1952" i="1"/>
  <c r="S1959" i="1"/>
  <c r="P1959" i="1" s="1"/>
  <c r="R1960" i="1"/>
  <c r="S1967" i="1"/>
  <c r="P1967" i="1" s="1"/>
  <c r="R1968" i="1"/>
  <c r="S1975" i="1"/>
  <c r="P1975" i="1" s="1"/>
  <c r="R1976" i="1"/>
  <c r="S1983" i="1"/>
  <c r="P1983" i="1" s="1"/>
  <c r="R1984" i="1"/>
  <c r="S1991" i="1"/>
  <c r="P1991" i="1" s="1"/>
  <c r="S1999" i="1"/>
  <c r="P1999" i="1" s="1"/>
  <c r="R2000" i="1"/>
  <c r="S2007" i="1"/>
  <c r="P2007" i="1" s="1"/>
  <c r="S2015" i="1"/>
  <c r="P2015" i="1" s="1"/>
  <c r="R2016" i="1"/>
  <c r="X2117" i="1"/>
  <c r="Q2120" i="1"/>
  <c r="T2121" i="1"/>
  <c r="U2121" i="1" s="1"/>
  <c r="V2121" i="1" s="1"/>
  <c r="M2121" i="1"/>
  <c r="S2142" i="1"/>
  <c r="P2142" i="1" s="1"/>
  <c r="X2142" i="1"/>
  <c r="W2142" i="1"/>
  <c r="X2141" i="1"/>
  <c r="R2164" i="1"/>
  <c r="U2164" i="1" s="1"/>
  <c r="V2164" i="1" s="1"/>
  <c r="T2198" i="1"/>
  <c r="U2198" i="1" s="1"/>
  <c r="V2198" i="1" s="1"/>
  <c r="M2198" i="1"/>
  <c r="R2198" i="1"/>
  <c r="Q2217" i="1"/>
  <c r="T2246" i="1"/>
  <c r="U2246" i="1" s="1"/>
  <c r="V2246" i="1" s="1"/>
  <c r="M2246" i="1"/>
  <c r="R2246" i="1"/>
  <c r="T2247" i="1"/>
  <c r="U2247" i="1" s="1"/>
  <c r="V2247" i="1" s="1"/>
  <c r="M2247" i="1"/>
  <c r="R2247" i="1"/>
  <c r="T2254" i="1"/>
  <c r="U2254" i="1" s="1"/>
  <c r="V2254" i="1" s="1"/>
  <c r="M2254" i="1"/>
  <c r="R2254" i="1"/>
  <c r="T2255" i="1"/>
  <c r="U2255" i="1" s="1"/>
  <c r="V2255" i="1" s="1"/>
  <c r="M2255" i="1"/>
  <c r="R2255" i="1"/>
  <c r="T2261" i="1"/>
  <c r="U2261" i="1" s="1"/>
  <c r="V2261" i="1" s="1"/>
  <c r="M2261" i="1"/>
  <c r="R2261" i="1"/>
  <c r="S2262" i="1"/>
  <c r="P2262" i="1" s="1"/>
  <c r="S2261" i="1"/>
  <c r="P2261" i="1" s="1"/>
  <c r="X2262" i="1"/>
  <c r="W2262" i="1"/>
  <c r="X2261" i="1"/>
  <c r="R2264" i="1"/>
  <c r="U2264" i="1" s="1"/>
  <c r="V2264" i="1" s="1"/>
  <c r="Q2265" i="1"/>
  <c r="T2342" i="1"/>
  <c r="U2342" i="1" s="1"/>
  <c r="V2342" i="1" s="1"/>
  <c r="M2342" i="1"/>
  <c r="T2343" i="1"/>
  <c r="U2343" i="1" s="1"/>
  <c r="V2343" i="1" s="1"/>
  <c r="M2343" i="1"/>
  <c r="R2343" i="1"/>
  <c r="T2350" i="1"/>
  <c r="U2350" i="1" s="1"/>
  <c r="V2350" i="1" s="1"/>
  <c r="T2351" i="1"/>
  <c r="U2351" i="1" s="1"/>
  <c r="V2351" i="1" s="1"/>
  <c r="M2351" i="1"/>
  <c r="R2351" i="1"/>
  <c r="T2374" i="1"/>
  <c r="U2374" i="1" s="1"/>
  <c r="V2374" i="1" s="1"/>
  <c r="M2374" i="1"/>
  <c r="R2374" i="1"/>
  <c r="T2375" i="1"/>
  <c r="U2375" i="1" s="1"/>
  <c r="V2375" i="1" s="1"/>
  <c r="M2375" i="1"/>
  <c r="R2375" i="1"/>
  <c r="T2381" i="1"/>
  <c r="U2381" i="1" s="1"/>
  <c r="V2381" i="1" s="1"/>
  <c r="M2381" i="1"/>
  <c r="R2381" i="1"/>
  <c r="Q2385" i="1"/>
  <c r="S2422" i="1"/>
  <c r="P2422" i="1" s="1"/>
  <c r="S2421" i="1"/>
  <c r="P2421" i="1" s="1"/>
  <c r="X2422" i="1"/>
  <c r="W2422" i="1"/>
  <c r="X2421" i="1"/>
  <c r="T2430" i="1"/>
  <c r="U2430" i="1" s="1"/>
  <c r="V2430" i="1" s="1"/>
  <c r="M2430" i="1"/>
  <c r="R2430" i="1"/>
  <c r="R2431" i="1"/>
  <c r="Q2433" i="1"/>
  <c r="T2443" i="1"/>
  <c r="U2443" i="1" s="1"/>
  <c r="V2443" i="1" s="1"/>
  <c r="M2443" i="1"/>
  <c r="R2443" i="1"/>
  <c r="T2444" i="1"/>
  <c r="M2444" i="1"/>
  <c r="R2444" i="1"/>
  <c r="T2477" i="1"/>
  <c r="U2477" i="1" s="1"/>
  <c r="V2477" i="1" s="1"/>
  <c r="M2477" i="1"/>
  <c r="R2477" i="1"/>
  <c r="M2479" i="1"/>
  <c r="T2485" i="1"/>
  <c r="U2485" i="1" s="1"/>
  <c r="V2485" i="1" s="1"/>
  <c r="M2485" i="1"/>
  <c r="R2485" i="1"/>
  <c r="T2487" i="1"/>
  <c r="M2487" i="1"/>
  <c r="R2487" i="1"/>
  <c r="T2493" i="1"/>
  <c r="U2493" i="1" s="1"/>
  <c r="V2493" i="1" s="1"/>
  <c r="M2493" i="1"/>
  <c r="R2493" i="1"/>
  <c r="T2501" i="1"/>
  <c r="U2501" i="1" s="1"/>
  <c r="V2501" i="1" s="1"/>
  <c r="M2501" i="1"/>
  <c r="R2501" i="1"/>
  <c r="R2534" i="1"/>
  <c r="M2534" i="1"/>
  <c r="T2534" i="1"/>
  <c r="U2534" i="1" s="1"/>
  <c r="V2534" i="1" s="1"/>
  <c r="Q2535" i="1"/>
  <c r="S2589" i="1"/>
  <c r="P2589" i="1" s="1"/>
  <c r="X2589" i="1"/>
  <c r="W2589" i="1"/>
  <c r="X2588" i="1"/>
  <c r="W1764" i="1"/>
  <c r="W1772" i="1"/>
  <c r="W1780" i="1"/>
  <c r="W1788" i="1"/>
  <c r="X1795" i="1"/>
  <c r="W1796" i="1"/>
  <c r="X1803" i="1"/>
  <c r="W1804" i="1"/>
  <c r="X1811" i="1"/>
  <c r="W1812" i="1"/>
  <c r="X1819" i="1"/>
  <c r="W1820" i="1"/>
  <c r="X1827" i="1"/>
  <c r="W1828" i="1"/>
  <c r="X1835" i="1"/>
  <c r="W1836" i="1"/>
  <c r="X1843" i="1"/>
  <c r="W1844" i="1"/>
  <c r="X1851" i="1"/>
  <c r="W1852" i="1"/>
  <c r="X1859" i="1"/>
  <c r="W1860" i="1"/>
  <c r="X1867" i="1"/>
  <c r="W1868" i="1"/>
  <c r="X1875" i="1"/>
  <c r="W1876" i="1"/>
  <c r="X1883" i="1"/>
  <c r="W1884" i="1"/>
  <c r="X1891" i="1"/>
  <c r="W1892" i="1"/>
  <c r="X1899" i="1"/>
  <c r="W1900" i="1"/>
  <c r="X1907" i="1"/>
  <c r="W1908" i="1"/>
  <c r="W1916" i="1"/>
  <c r="X1923" i="1"/>
  <c r="W1924" i="1"/>
  <c r="X1931" i="1"/>
  <c r="W1932" i="1"/>
  <c r="X1939" i="1"/>
  <c r="W1940" i="1"/>
  <c r="X1947" i="1"/>
  <c r="W1948" i="1"/>
  <c r="X1955" i="1"/>
  <c r="W1956" i="1"/>
  <c r="X1963" i="1"/>
  <c r="W1964" i="1"/>
  <c r="X1971" i="1"/>
  <c r="W1972" i="1"/>
  <c r="X1979" i="1"/>
  <c r="W1980" i="1"/>
  <c r="X1987" i="1"/>
  <c r="W1988" i="1"/>
  <c r="X1995" i="1"/>
  <c r="W1996" i="1"/>
  <c r="X2003" i="1"/>
  <c r="W2004" i="1"/>
  <c r="X2011" i="1"/>
  <c r="W2012" i="1"/>
  <c r="X2019" i="1"/>
  <c r="W2020" i="1"/>
  <c r="X2027" i="1"/>
  <c r="W2028" i="1"/>
  <c r="X2035" i="1"/>
  <c r="W2036" i="1"/>
  <c r="X2043" i="1"/>
  <c r="W2044" i="1"/>
  <c r="Q2050" i="1"/>
  <c r="W2052" i="1"/>
  <c r="Q2058" i="1"/>
  <c r="X2059" i="1"/>
  <c r="W2060" i="1"/>
  <c r="Q2066" i="1"/>
  <c r="X2067" i="1"/>
  <c r="W2068" i="1"/>
  <c r="Q2074" i="1"/>
  <c r="X2075" i="1"/>
  <c r="W2076" i="1"/>
  <c r="Q2082" i="1"/>
  <c r="X2083" i="1"/>
  <c r="W2084" i="1"/>
  <c r="Q2090" i="1"/>
  <c r="W2092" i="1"/>
  <c r="S2098" i="1"/>
  <c r="P2098" i="1" s="1"/>
  <c r="Q2106" i="1"/>
  <c r="S2107" i="1"/>
  <c r="P2107" i="1" s="1"/>
  <c r="W2113" i="1"/>
  <c r="R2132" i="1"/>
  <c r="Q2136" i="1"/>
  <c r="Q2145" i="1"/>
  <c r="T2147" i="1"/>
  <c r="U2147" i="1" s="1"/>
  <c r="V2147" i="1" s="1"/>
  <c r="M2147" i="1"/>
  <c r="R2147" i="1"/>
  <c r="Q2152" i="1"/>
  <c r="S2157" i="1"/>
  <c r="P2157" i="1" s="1"/>
  <c r="Q2161" i="1"/>
  <c r="M2164" i="1"/>
  <c r="Q2184" i="1"/>
  <c r="Q2192" i="1"/>
  <c r="T2197" i="1"/>
  <c r="U2197" i="1" s="1"/>
  <c r="V2197" i="1" s="1"/>
  <c r="M2197" i="1"/>
  <c r="R2197" i="1"/>
  <c r="S2198" i="1"/>
  <c r="P2198" i="1" s="1"/>
  <c r="S2197" i="1"/>
  <c r="P2197" i="1" s="1"/>
  <c r="X2198" i="1"/>
  <c r="W2198" i="1"/>
  <c r="X2197" i="1"/>
  <c r="Q2209" i="1"/>
  <c r="T2244" i="1"/>
  <c r="M2244" i="1"/>
  <c r="R2244" i="1"/>
  <c r="T2245" i="1"/>
  <c r="U2245" i="1" s="1"/>
  <c r="V2245" i="1" s="1"/>
  <c r="M2245" i="1"/>
  <c r="R2245" i="1"/>
  <c r="S2246" i="1"/>
  <c r="P2246" i="1" s="1"/>
  <c r="S2245" i="1"/>
  <c r="P2245" i="1" s="1"/>
  <c r="X2246" i="1"/>
  <c r="W2246" i="1"/>
  <c r="X2245" i="1"/>
  <c r="R2248" i="1"/>
  <c r="Q2249" i="1"/>
  <c r="T2252" i="1"/>
  <c r="M2252" i="1"/>
  <c r="R2252" i="1"/>
  <c r="T2253" i="1"/>
  <c r="U2253" i="1" s="1"/>
  <c r="V2253" i="1" s="1"/>
  <c r="M2253" i="1"/>
  <c r="R2253" i="1"/>
  <c r="S2254" i="1"/>
  <c r="P2254" i="1" s="1"/>
  <c r="S2253" i="1"/>
  <c r="P2253" i="1" s="1"/>
  <c r="X2254" i="1"/>
  <c r="W2254" i="1"/>
  <c r="X2253" i="1"/>
  <c r="R2256" i="1"/>
  <c r="Q2257" i="1"/>
  <c r="Q2288" i="1"/>
  <c r="T2303" i="1"/>
  <c r="U2303" i="1" s="1"/>
  <c r="V2303" i="1" s="1"/>
  <c r="T2340" i="1"/>
  <c r="M2340" i="1"/>
  <c r="R2340" i="1"/>
  <c r="T2341" i="1"/>
  <c r="U2341" i="1" s="1"/>
  <c r="V2341" i="1" s="1"/>
  <c r="M2341" i="1"/>
  <c r="R2341" i="1"/>
  <c r="S2342" i="1"/>
  <c r="P2342" i="1" s="1"/>
  <c r="S2341" i="1"/>
  <c r="P2341" i="1" s="1"/>
  <c r="X2342" i="1"/>
  <c r="W2342" i="1"/>
  <c r="X2341" i="1"/>
  <c r="Q2345" i="1"/>
  <c r="T2348" i="1"/>
  <c r="M2348" i="1"/>
  <c r="R2348" i="1"/>
  <c r="T2349" i="1"/>
  <c r="U2349" i="1" s="1"/>
  <c r="V2349" i="1" s="1"/>
  <c r="M2349" i="1"/>
  <c r="R2349" i="1"/>
  <c r="S2350" i="1"/>
  <c r="P2350" i="1" s="1"/>
  <c r="S2349" i="1"/>
  <c r="P2349" i="1" s="1"/>
  <c r="X2350" i="1"/>
  <c r="W2350" i="1"/>
  <c r="X2349" i="1"/>
  <c r="R2352" i="1"/>
  <c r="U2352" i="1" s="1"/>
  <c r="V2352" i="1" s="1"/>
  <c r="Q2353" i="1"/>
  <c r="Q2368" i="1"/>
  <c r="S2374" i="1"/>
  <c r="P2374" i="1" s="1"/>
  <c r="X2374" i="1"/>
  <c r="W2374" i="1"/>
  <c r="X2373" i="1"/>
  <c r="S2430" i="1"/>
  <c r="P2430" i="1" s="1"/>
  <c r="S2429" i="1"/>
  <c r="P2429" i="1" s="1"/>
  <c r="X2430" i="1"/>
  <c r="W2430" i="1"/>
  <c r="X2429" i="1"/>
  <c r="R2432" i="1"/>
  <c r="T2438" i="1"/>
  <c r="U2438" i="1" s="1"/>
  <c r="V2438" i="1" s="1"/>
  <c r="M2438" i="1"/>
  <c r="R2438" i="1"/>
  <c r="T2439" i="1"/>
  <c r="U2439" i="1" s="1"/>
  <c r="V2439" i="1" s="1"/>
  <c r="Q2441" i="1"/>
  <c r="Q2448" i="1"/>
  <c r="T2451" i="1"/>
  <c r="U2451" i="1" s="1"/>
  <c r="V2451" i="1" s="1"/>
  <c r="M2451" i="1"/>
  <c r="R2451" i="1"/>
  <c r="T2452" i="1"/>
  <c r="M2452" i="1"/>
  <c r="R2452" i="1"/>
  <c r="T2459" i="1"/>
  <c r="U2459" i="1" s="1"/>
  <c r="V2459" i="1" s="1"/>
  <c r="M2459" i="1"/>
  <c r="R2459" i="1"/>
  <c r="T2460" i="1"/>
  <c r="U2460" i="1" s="1"/>
  <c r="V2460" i="1" s="1"/>
  <c r="M2460" i="1"/>
  <c r="R2460" i="1"/>
  <c r="T2467" i="1"/>
  <c r="U2467" i="1" s="1"/>
  <c r="V2467" i="1" s="1"/>
  <c r="M2467" i="1"/>
  <c r="R2467" i="1"/>
  <c r="T2468" i="1"/>
  <c r="U2468" i="1" s="1"/>
  <c r="V2468" i="1" s="1"/>
  <c r="M2468" i="1"/>
  <c r="R2468" i="1"/>
  <c r="T2471" i="1"/>
  <c r="U2471" i="1" s="1"/>
  <c r="V2471" i="1" s="1"/>
  <c r="M2471" i="1"/>
  <c r="R2471" i="1"/>
  <c r="S2478" i="1"/>
  <c r="P2478" i="1" s="1"/>
  <c r="X2478" i="1"/>
  <c r="W2478" i="1"/>
  <c r="X2477" i="1"/>
  <c r="S2486" i="1"/>
  <c r="P2486" i="1" s="1"/>
  <c r="X2486" i="1"/>
  <c r="W2486" i="1"/>
  <c r="X2485" i="1"/>
  <c r="S2494" i="1"/>
  <c r="P2494" i="1" s="1"/>
  <c r="X2494" i="1"/>
  <c r="W2494" i="1"/>
  <c r="X2493" i="1"/>
  <c r="S2502" i="1"/>
  <c r="P2502" i="1" s="1"/>
  <c r="X2502" i="1"/>
  <c r="W2502" i="1"/>
  <c r="X2501" i="1"/>
  <c r="Q2511" i="1"/>
  <c r="X2540" i="1"/>
  <c r="W2540" i="1"/>
  <c r="S2540" i="1"/>
  <c r="P2540" i="1" s="1"/>
  <c r="X2539" i="1"/>
  <c r="W2539" i="1"/>
  <c r="S2573" i="1"/>
  <c r="P2573" i="1" s="1"/>
  <c r="X2573" i="1"/>
  <c r="W2573" i="1"/>
  <c r="X2572" i="1"/>
  <c r="W2588" i="1"/>
  <c r="Q2624" i="1"/>
  <c r="M1816" i="1"/>
  <c r="M1824" i="1"/>
  <c r="X1828" i="1"/>
  <c r="M1832" i="1"/>
  <c r="X1836" i="1"/>
  <c r="X1844" i="1"/>
  <c r="X1852" i="1"/>
  <c r="M1856" i="1"/>
  <c r="R1858" i="1"/>
  <c r="U1858" i="1" s="1"/>
  <c r="V1858" i="1" s="1"/>
  <c r="X1860" i="1"/>
  <c r="M1864" i="1"/>
  <c r="R1866" i="1"/>
  <c r="U1866" i="1" s="1"/>
  <c r="V1866" i="1" s="1"/>
  <c r="X1868" i="1"/>
  <c r="M1872" i="1"/>
  <c r="R1874" i="1"/>
  <c r="U1874" i="1" s="1"/>
  <c r="V1874" i="1" s="1"/>
  <c r="X1876" i="1"/>
  <c r="M1880" i="1"/>
  <c r="R1882" i="1"/>
  <c r="U1882" i="1" s="1"/>
  <c r="V1882" i="1" s="1"/>
  <c r="X1884" i="1"/>
  <c r="M1888" i="1"/>
  <c r="R1890" i="1"/>
  <c r="U1890" i="1" s="1"/>
  <c r="V1890" i="1" s="1"/>
  <c r="X1892" i="1"/>
  <c r="R1898" i="1"/>
  <c r="U1898" i="1" s="1"/>
  <c r="V1898" i="1" s="1"/>
  <c r="X1900" i="1"/>
  <c r="R1906" i="1"/>
  <c r="X1908" i="1"/>
  <c r="M1912" i="1"/>
  <c r="R1914" i="1"/>
  <c r="X1916" i="1"/>
  <c r="M1920" i="1"/>
  <c r="R1922" i="1"/>
  <c r="X1924" i="1"/>
  <c r="M1928" i="1"/>
  <c r="R1930" i="1"/>
  <c r="X1932" i="1"/>
  <c r="M1936" i="1"/>
  <c r="R1938" i="1"/>
  <c r="X1940" i="1"/>
  <c r="M1944" i="1"/>
  <c r="R1946" i="1"/>
  <c r="X1948" i="1"/>
  <c r="M1952" i="1"/>
  <c r="R1954" i="1"/>
  <c r="X1956" i="1"/>
  <c r="M1960" i="1"/>
  <c r="R1962" i="1"/>
  <c r="X1964" i="1"/>
  <c r="M1968" i="1"/>
  <c r="R1970" i="1"/>
  <c r="X1972" i="1"/>
  <c r="M1976" i="1"/>
  <c r="R1978" i="1"/>
  <c r="X1980" i="1"/>
  <c r="M1984" i="1"/>
  <c r="R1986" i="1"/>
  <c r="X1988" i="1"/>
  <c r="R1994" i="1"/>
  <c r="X1996" i="1"/>
  <c r="M2000" i="1"/>
  <c r="R2002" i="1"/>
  <c r="X2004" i="1"/>
  <c r="R2010" i="1"/>
  <c r="X2012" i="1"/>
  <c r="M2016" i="1"/>
  <c r="X2020" i="1"/>
  <c r="M2024" i="1"/>
  <c r="S2025" i="1"/>
  <c r="P2025" i="1" s="1"/>
  <c r="X2028" i="1"/>
  <c r="M2032" i="1"/>
  <c r="S2033" i="1"/>
  <c r="P2033" i="1" s="1"/>
  <c r="R2034" i="1"/>
  <c r="X2036" i="1"/>
  <c r="M2040" i="1"/>
  <c r="S2041" i="1"/>
  <c r="P2041" i="1" s="1"/>
  <c r="R2042" i="1"/>
  <c r="X2044" i="1"/>
  <c r="M2048" i="1"/>
  <c r="X2052" i="1"/>
  <c r="M2056" i="1"/>
  <c r="X2060" i="1"/>
  <c r="X2068" i="1"/>
  <c r="M2072" i="1"/>
  <c r="X2076" i="1"/>
  <c r="M2080" i="1"/>
  <c r="X2084" i="1"/>
  <c r="M2088" i="1"/>
  <c r="X2092" i="1"/>
  <c r="M2096" i="1"/>
  <c r="T2099" i="1"/>
  <c r="U2099" i="1" s="1"/>
  <c r="V2099" i="1" s="1"/>
  <c r="M2099" i="1"/>
  <c r="W2103" i="1"/>
  <c r="R2106" i="1"/>
  <c r="Q2114" i="1"/>
  <c r="S2115" i="1"/>
  <c r="P2115" i="1" s="1"/>
  <c r="T2122" i="1"/>
  <c r="U2122" i="1" s="1"/>
  <c r="V2122" i="1" s="1"/>
  <c r="Q2129" i="1"/>
  <c r="T2131" i="1"/>
  <c r="U2131" i="1" s="1"/>
  <c r="V2131" i="1" s="1"/>
  <c r="M2131" i="1"/>
  <c r="R2131" i="1"/>
  <c r="Q2133" i="1"/>
  <c r="T2134" i="1"/>
  <c r="U2134" i="1" s="1"/>
  <c r="V2134" i="1" s="1"/>
  <c r="M2134" i="1"/>
  <c r="T2135" i="1"/>
  <c r="U2135" i="1" s="1"/>
  <c r="V2135" i="1" s="1"/>
  <c r="M2135" i="1"/>
  <c r="R2135" i="1"/>
  <c r="S2141" i="1"/>
  <c r="P2141" i="1" s="1"/>
  <c r="X2146" i="1"/>
  <c r="W2146" i="1"/>
  <c r="S2146" i="1"/>
  <c r="P2146" i="1" s="1"/>
  <c r="Q2149" i="1"/>
  <c r="T2150" i="1"/>
  <c r="U2150" i="1" s="1"/>
  <c r="V2150" i="1" s="1"/>
  <c r="M2150" i="1"/>
  <c r="X2162" i="1"/>
  <c r="W2162" i="1"/>
  <c r="S2162" i="1"/>
  <c r="P2162" i="1" s="1"/>
  <c r="Q2165" i="1"/>
  <c r="T2166" i="1"/>
  <c r="U2166" i="1" s="1"/>
  <c r="V2166" i="1" s="1"/>
  <c r="Q2168" i="1"/>
  <c r="T2183" i="1"/>
  <c r="U2183" i="1" s="1"/>
  <c r="V2183" i="1" s="1"/>
  <c r="M2183" i="1"/>
  <c r="R2183" i="1"/>
  <c r="T2191" i="1"/>
  <c r="U2191" i="1" s="1"/>
  <c r="V2191" i="1" s="1"/>
  <c r="M2191" i="1"/>
  <c r="R2191" i="1"/>
  <c r="Q2201" i="1"/>
  <c r="T2239" i="1"/>
  <c r="M2239" i="1"/>
  <c r="R2239" i="1"/>
  <c r="Q2241" i="1"/>
  <c r="Q2280" i="1"/>
  <c r="T2286" i="1"/>
  <c r="U2286" i="1" s="1"/>
  <c r="V2286" i="1" s="1"/>
  <c r="M2286" i="1"/>
  <c r="R2286" i="1"/>
  <c r="T2287" i="1"/>
  <c r="U2287" i="1" s="1"/>
  <c r="V2287" i="1" s="1"/>
  <c r="M2287" i="1"/>
  <c r="R2287" i="1"/>
  <c r="T2300" i="1"/>
  <c r="M2300" i="1"/>
  <c r="R2300" i="1"/>
  <c r="T2301" i="1"/>
  <c r="U2301" i="1" s="1"/>
  <c r="V2301" i="1" s="1"/>
  <c r="M2301" i="1"/>
  <c r="R2301" i="1"/>
  <c r="S2302" i="1"/>
  <c r="P2302" i="1" s="1"/>
  <c r="S2301" i="1"/>
  <c r="P2301" i="1" s="1"/>
  <c r="X2302" i="1"/>
  <c r="W2302" i="1"/>
  <c r="X2301" i="1"/>
  <c r="R2304" i="1"/>
  <c r="Q2305" i="1"/>
  <c r="Q2320" i="1"/>
  <c r="Q2336" i="1"/>
  <c r="T2366" i="1"/>
  <c r="U2366" i="1" s="1"/>
  <c r="V2366" i="1" s="1"/>
  <c r="M2366" i="1"/>
  <c r="R2366" i="1"/>
  <c r="T2367" i="1"/>
  <c r="U2367" i="1" s="1"/>
  <c r="V2367" i="1" s="1"/>
  <c r="M2367" i="1"/>
  <c r="R2367" i="1"/>
  <c r="T2372" i="1"/>
  <c r="U2372" i="1" s="1"/>
  <c r="V2372" i="1" s="1"/>
  <c r="M2372" i="1"/>
  <c r="R2372" i="1"/>
  <c r="T2373" i="1"/>
  <c r="U2373" i="1" s="1"/>
  <c r="V2373" i="1" s="1"/>
  <c r="M2373" i="1"/>
  <c r="R2373" i="1"/>
  <c r="S2438" i="1"/>
  <c r="P2438" i="1" s="1"/>
  <c r="S2437" i="1"/>
  <c r="P2437" i="1" s="1"/>
  <c r="X2438" i="1"/>
  <c r="W2438" i="1"/>
  <c r="X2437" i="1"/>
  <c r="R2440" i="1"/>
  <c r="U2440" i="1" s="1"/>
  <c r="V2440" i="1" s="1"/>
  <c r="T2446" i="1"/>
  <c r="U2446" i="1" s="1"/>
  <c r="V2446" i="1" s="1"/>
  <c r="M2446" i="1"/>
  <c r="R2446" i="1"/>
  <c r="T2447" i="1"/>
  <c r="U2447" i="1" s="1"/>
  <c r="V2447" i="1" s="1"/>
  <c r="M2447" i="1"/>
  <c r="R2447" i="1"/>
  <c r="Q2449" i="1"/>
  <c r="Q2456" i="1"/>
  <c r="Q2457" i="1"/>
  <c r="Q2464" i="1"/>
  <c r="Q2465" i="1"/>
  <c r="T2469" i="1"/>
  <c r="U2469" i="1" s="1"/>
  <c r="V2469" i="1" s="1"/>
  <c r="M2469" i="1"/>
  <c r="R2469" i="1"/>
  <c r="S2470" i="1"/>
  <c r="P2470" i="1" s="1"/>
  <c r="S2469" i="1"/>
  <c r="P2469" i="1" s="1"/>
  <c r="X2470" i="1"/>
  <c r="W2470" i="1"/>
  <c r="X2469" i="1"/>
  <c r="P2507" i="1"/>
  <c r="W2099" i="1"/>
  <c r="W2100" i="1"/>
  <c r="T2107" i="1"/>
  <c r="U2107" i="1" s="1"/>
  <c r="V2107" i="1" s="1"/>
  <c r="M2107" i="1"/>
  <c r="S2108" i="1"/>
  <c r="P2108" i="1" s="1"/>
  <c r="X2108" i="1"/>
  <c r="X2112" i="1"/>
  <c r="R2114" i="1"/>
  <c r="S2116" i="1"/>
  <c r="P2116" i="1" s="1"/>
  <c r="X2116" i="1"/>
  <c r="X2120" i="1"/>
  <c r="X2130" i="1"/>
  <c r="W2130" i="1"/>
  <c r="S2130" i="1"/>
  <c r="P2130" i="1" s="1"/>
  <c r="S2134" i="1"/>
  <c r="P2134" i="1" s="1"/>
  <c r="X2134" i="1"/>
  <c r="W2134" i="1"/>
  <c r="X2133" i="1"/>
  <c r="Q2137" i="1"/>
  <c r="T2139" i="1"/>
  <c r="U2139" i="1" s="1"/>
  <c r="V2139" i="1" s="1"/>
  <c r="M2139" i="1"/>
  <c r="R2139" i="1"/>
  <c r="W2141" i="1"/>
  <c r="S2150" i="1"/>
  <c r="P2150" i="1" s="1"/>
  <c r="X2150" i="1"/>
  <c r="W2150" i="1"/>
  <c r="X2149" i="1"/>
  <c r="R2152" i="1"/>
  <c r="S2166" i="1"/>
  <c r="P2166" i="1" s="1"/>
  <c r="X2166" i="1"/>
  <c r="W2166" i="1"/>
  <c r="X2165" i="1"/>
  <c r="T2167" i="1"/>
  <c r="U2167" i="1" s="1"/>
  <c r="V2167" i="1" s="1"/>
  <c r="M2167" i="1"/>
  <c r="R2167" i="1"/>
  <c r="Q2176" i="1"/>
  <c r="T2182" i="1"/>
  <c r="U2182" i="1" s="1"/>
  <c r="V2182" i="1" s="1"/>
  <c r="M2182" i="1"/>
  <c r="R2182" i="1"/>
  <c r="T2188" i="1"/>
  <c r="U2188" i="1" s="1"/>
  <c r="V2188" i="1" s="1"/>
  <c r="M2188" i="1"/>
  <c r="R2188" i="1"/>
  <c r="T2190" i="1"/>
  <c r="U2190" i="1" s="1"/>
  <c r="V2190" i="1" s="1"/>
  <c r="M2190" i="1"/>
  <c r="R2190" i="1"/>
  <c r="T2236" i="1"/>
  <c r="U2236" i="1" s="1"/>
  <c r="V2236" i="1" s="1"/>
  <c r="M2236" i="1"/>
  <c r="R2236" i="1"/>
  <c r="T2238" i="1"/>
  <c r="U2238" i="1" s="1"/>
  <c r="V2238" i="1" s="1"/>
  <c r="M2238" i="1"/>
  <c r="R2238" i="1"/>
  <c r="W2261" i="1"/>
  <c r="T2278" i="1"/>
  <c r="U2278" i="1" s="1"/>
  <c r="V2278" i="1" s="1"/>
  <c r="M2278" i="1"/>
  <c r="R2278" i="1"/>
  <c r="T2279" i="1"/>
  <c r="U2279" i="1" s="1"/>
  <c r="V2279" i="1" s="1"/>
  <c r="M2279" i="1"/>
  <c r="R2279" i="1"/>
  <c r="T2284" i="1"/>
  <c r="U2284" i="1" s="1"/>
  <c r="V2284" i="1" s="1"/>
  <c r="M2284" i="1"/>
  <c r="R2284" i="1"/>
  <c r="T2285" i="1"/>
  <c r="U2285" i="1" s="1"/>
  <c r="V2285" i="1" s="1"/>
  <c r="M2285" i="1"/>
  <c r="R2285" i="1"/>
  <c r="S2286" i="1"/>
  <c r="P2286" i="1" s="1"/>
  <c r="S2285" i="1"/>
  <c r="P2285" i="1" s="1"/>
  <c r="X2286" i="1"/>
  <c r="W2286" i="1"/>
  <c r="X2285" i="1"/>
  <c r="Q2289" i="1"/>
  <c r="T2318" i="1"/>
  <c r="U2318" i="1" s="1"/>
  <c r="V2318" i="1" s="1"/>
  <c r="M2318" i="1"/>
  <c r="R2318" i="1"/>
  <c r="T2332" i="1"/>
  <c r="U2332" i="1" s="1"/>
  <c r="V2332" i="1" s="1"/>
  <c r="M2332" i="1"/>
  <c r="R2332" i="1"/>
  <c r="T2334" i="1"/>
  <c r="U2334" i="1" s="1"/>
  <c r="V2334" i="1" s="1"/>
  <c r="M2334" i="1"/>
  <c r="R2334" i="1"/>
  <c r="T2335" i="1"/>
  <c r="U2335" i="1" s="1"/>
  <c r="V2335" i="1" s="1"/>
  <c r="M2335" i="1"/>
  <c r="R2335" i="1"/>
  <c r="T2364" i="1"/>
  <c r="U2364" i="1" s="1"/>
  <c r="V2364" i="1" s="1"/>
  <c r="M2364" i="1"/>
  <c r="R2364" i="1"/>
  <c r="T2365" i="1"/>
  <c r="U2365" i="1" s="1"/>
  <c r="V2365" i="1" s="1"/>
  <c r="M2365" i="1"/>
  <c r="R2365" i="1"/>
  <c r="S2366" i="1"/>
  <c r="P2366" i="1" s="1"/>
  <c r="S2365" i="1"/>
  <c r="P2365" i="1" s="1"/>
  <c r="X2366" i="1"/>
  <c r="W2366" i="1"/>
  <c r="X2365" i="1"/>
  <c r="Q2369" i="1"/>
  <c r="Q2392" i="1"/>
  <c r="T2395" i="1"/>
  <c r="U2395" i="1" s="1"/>
  <c r="V2395" i="1" s="1"/>
  <c r="M2395" i="1"/>
  <c r="R2395" i="1"/>
  <c r="T2403" i="1"/>
  <c r="U2403" i="1" s="1"/>
  <c r="V2403" i="1" s="1"/>
  <c r="M2403" i="1"/>
  <c r="R2403" i="1"/>
  <c r="T2404" i="1"/>
  <c r="M2404" i="1"/>
  <c r="R2404" i="1"/>
  <c r="S2446" i="1"/>
  <c r="P2446" i="1" s="1"/>
  <c r="S2445" i="1"/>
  <c r="P2445" i="1" s="1"/>
  <c r="X2446" i="1"/>
  <c r="W2446" i="1"/>
  <c r="X2445" i="1"/>
  <c r="R2448" i="1"/>
  <c r="U2448" i="1" s="1"/>
  <c r="V2448" i="1" s="1"/>
  <c r="T2454" i="1"/>
  <c r="U2454" i="1" s="1"/>
  <c r="V2454" i="1" s="1"/>
  <c r="M2454" i="1"/>
  <c r="R2454" i="1"/>
  <c r="T2455" i="1"/>
  <c r="U2455" i="1" s="1"/>
  <c r="V2455" i="1" s="1"/>
  <c r="M2455" i="1"/>
  <c r="R2455" i="1"/>
  <c r="T2463" i="1"/>
  <c r="U2463" i="1" s="1"/>
  <c r="V2463" i="1" s="1"/>
  <c r="M2463" i="1"/>
  <c r="R2463" i="1"/>
  <c r="Q2600" i="1"/>
  <c r="R2623" i="1"/>
  <c r="M2623" i="1"/>
  <c r="T2623" i="1"/>
  <c r="U2623" i="1" s="1"/>
  <c r="V2623" i="1" s="1"/>
  <c r="T2634" i="1"/>
  <c r="U2634" i="1" s="1"/>
  <c r="V2634" i="1" s="1"/>
  <c r="M2634" i="1"/>
  <c r="R2634" i="1"/>
  <c r="X1822" i="1"/>
  <c r="X1830" i="1"/>
  <c r="X1838" i="1"/>
  <c r="X1854" i="1"/>
  <c r="M1858" i="1"/>
  <c r="X1862" i="1"/>
  <c r="M1866" i="1"/>
  <c r="X1870" i="1"/>
  <c r="M1874" i="1"/>
  <c r="X1878" i="1"/>
  <c r="M1882" i="1"/>
  <c r="X1886" i="1"/>
  <c r="M1890" i="1"/>
  <c r="X1894" i="1"/>
  <c r="X1902" i="1"/>
  <c r="M1906" i="1"/>
  <c r="X1910" i="1"/>
  <c r="M1914" i="1"/>
  <c r="X1918" i="1"/>
  <c r="M1922" i="1"/>
  <c r="M1930" i="1"/>
  <c r="X1934" i="1"/>
  <c r="M1938" i="1"/>
  <c r="X1942" i="1"/>
  <c r="M1946" i="1"/>
  <c r="X1950" i="1"/>
  <c r="M1954" i="1"/>
  <c r="X1958" i="1"/>
  <c r="M1962" i="1"/>
  <c r="X1966" i="1"/>
  <c r="M1970" i="1"/>
  <c r="X1974" i="1"/>
  <c r="X1982" i="1"/>
  <c r="M1986" i="1"/>
  <c r="X1990" i="1"/>
  <c r="M1994" i="1"/>
  <c r="X1998" i="1"/>
  <c r="M2002" i="1"/>
  <c r="X2006" i="1"/>
  <c r="M2010" i="1"/>
  <c r="X2014" i="1"/>
  <c r="X2022" i="1"/>
  <c r="X2030" i="1"/>
  <c r="M2034" i="1"/>
  <c r="X2038" i="1"/>
  <c r="M2042" i="1"/>
  <c r="S2043" i="1"/>
  <c r="P2043" i="1" s="1"/>
  <c r="X2046" i="1"/>
  <c r="W2047" i="1"/>
  <c r="S2051" i="1"/>
  <c r="P2051" i="1" s="1"/>
  <c r="X2054" i="1"/>
  <c r="W2055" i="1"/>
  <c r="S2059" i="1"/>
  <c r="P2059" i="1" s="1"/>
  <c r="X2062" i="1"/>
  <c r="W2063" i="1"/>
  <c r="S2067" i="1"/>
  <c r="P2067" i="1" s="1"/>
  <c r="X2070" i="1"/>
  <c r="W2071" i="1"/>
  <c r="S2075" i="1"/>
  <c r="P2075" i="1" s="1"/>
  <c r="X2078" i="1"/>
  <c r="W2079" i="1"/>
  <c r="S2083" i="1"/>
  <c r="P2083" i="1" s="1"/>
  <c r="W2087" i="1"/>
  <c r="S2091" i="1"/>
  <c r="P2091" i="1" s="1"/>
  <c r="W2095" i="1"/>
  <c r="X2099" i="1"/>
  <c r="X2100" i="1"/>
  <c r="X2107" i="1"/>
  <c r="D2109" i="1"/>
  <c r="W2111" i="1"/>
  <c r="W2115" i="1"/>
  <c r="D2117" i="1"/>
  <c r="W2119" i="1"/>
  <c r="R2121" i="1"/>
  <c r="D2127" i="1"/>
  <c r="X2138" i="1"/>
  <c r="W2138" i="1"/>
  <c r="S2138" i="1"/>
  <c r="P2138" i="1" s="1"/>
  <c r="D2143" i="1"/>
  <c r="S2145" i="1"/>
  <c r="P2145" i="1" s="1"/>
  <c r="R2168" i="1"/>
  <c r="U2168" i="1" s="1"/>
  <c r="V2168" i="1" s="1"/>
  <c r="Q2169" i="1"/>
  <c r="T2171" i="1"/>
  <c r="U2171" i="1" s="1"/>
  <c r="V2171" i="1" s="1"/>
  <c r="M2171" i="1"/>
  <c r="R2171" i="1"/>
  <c r="T2175" i="1"/>
  <c r="U2175" i="1" s="1"/>
  <c r="V2175" i="1" s="1"/>
  <c r="M2175" i="1"/>
  <c r="R2175" i="1"/>
  <c r="T2180" i="1"/>
  <c r="U2180" i="1" s="1"/>
  <c r="V2180" i="1" s="1"/>
  <c r="M2180" i="1"/>
  <c r="T2181" i="1"/>
  <c r="U2181" i="1" s="1"/>
  <c r="V2181" i="1" s="1"/>
  <c r="M2181" i="1"/>
  <c r="R2181" i="1"/>
  <c r="S2182" i="1"/>
  <c r="P2182" i="1" s="1"/>
  <c r="S2181" i="1"/>
  <c r="P2181" i="1" s="1"/>
  <c r="X2182" i="1"/>
  <c r="W2182" i="1"/>
  <c r="X2181" i="1"/>
  <c r="T2189" i="1"/>
  <c r="U2189" i="1" s="1"/>
  <c r="V2189" i="1" s="1"/>
  <c r="M2189" i="1"/>
  <c r="R2189" i="1"/>
  <c r="S2190" i="1"/>
  <c r="P2190" i="1" s="1"/>
  <c r="S2189" i="1"/>
  <c r="P2189" i="1" s="1"/>
  <c r="X2190" i="1"/>
  <c r="W2190" i="1"/>
  <c r="X2189" i="1"/>
  <c r="Q2193" i="1"/>
  <c r="T2231" i="1"/>
  <c r="M2231" i="1"/>
  <c r="R2231" i="1"/>
  <c r="T2237" i="1"/>
  <c r="U2237" i="1" s="1"/>
  <c r="V2237" i="1" s="1"/>
  <c r="M2237" i="1"/>
  <c r="R2237" i="1"/>
  <c r="S2238" i="1"/>
  <c r="P2238" i="1" s="1"/>
  <c r="S2237" i="1"/>
  <c r="P2237" i="1" s="1"/>
  <c r="X2238" i="1"/>
  <c r="W2238" i="1"/>
  <c r="X2237" i="1"/>
  <c r="Q2272" i="1"/>
  <c r="T2276" i="1"/>
  <c r="U2276" i="1" s="1"/>
  <c r="V2276" i="1" s="1"/>
  <c r="M2276" i="1"/>
  <c r="R2276" i="1"/>
  <c r="T2277" i="1"/>
  <c r="U2277" i="1" s="1"/>
  <c r="V2277" i="1" s="1"/>
  <c r="M2277" i="1"/>
  <c r="R2277" i="1"/>
  <c r="S2278" i="1"/>
  <c r="P2278" i="1" s="1"/>
  <c r="S2277" i="1"/>
  <c r="P2277" i="1" s="1"/>
  <c r="X2278" i="1"/>
  <c r="W2278" i="1"/>
  <c r="X2277" i="1"/>
  <c r="Q2281" i="1"/>
  <c r="T2292" i="1"/>
  <c r="U2292" i="1" s="1"/>
  <c r="V2292" i="1" s="1"/>
  <c r="M2292" i="1"/>
  <c r="R2292" i="1"/>
  <c r="T2294" i="1"/>
  <c r="U2294" i="1" s="1"/>
  <c r="V2294" i="1" s="1"/>
  <c r="M2294" i="1"/>
  <c r="R2294" i="1"/>
  <c r="T2316" i="1"/>
  <c r="M2316" i="1"/>
  <c r="R2316" i="1"/>
  <c r="T2317" i="1"/>
  <c r="U2317" i="1" s="1"/>
  <c r="V2317" i="1" s="1"/>
  <c r="M2317" i="1"/>
  <c r="R2317" i="1"/>
  <c r="S2318" i="1"/>
  <c r="P2318" i="1" s="1"/>
  <c r="S2317" i="1"/>
  <c r="P2317" i="1" s="1"/>
  <c r="X2318" i="1"/>
  <c r="W2318" i="1"/>
  <c r="X2317" i="1"/>
  <c r="R2320" i="1"/>
  <c r="Q2328" i="1"/>
  <c r="T2333" i="1"/>
  <c r="U2333" i="1" s="1"/>
  <c r="V2333" i="1" s="1"/>
  <c r="M2333" i="1"/>
  <c r="R2333" i="1"/>
  <c r="S2334" i="1"/>
  <c r="P2334" i="1" s="1"/>
  <c r="S2333" i="1"/>
  <c r="P2333" i="1" s="1"/>
  <c r="X2334" i="1"/>
  <c r="W2334" i="1"/>
  <c r="X2333" i="1"/>
  <c r="Q2337" i="1"/>
  <c r="P2347" i="1"/>
  <c r="Q2360" i="1"/>
  <c r="T2371" i="1"/>
  <c r="U2371" i="1" s="1"/>
  <c r="V2371" i="1" s="1"/>
  <c r="M2371" i="1"/>
  <c r="R2371" i="1"/>
  <c r="Q2384" i="1"/>
  <c r="Q2393" i="1"/>
  <c r="T2396" i="1"/>
  <c r="M2396" i="1"/>
  <c r="R2396" i="1"/>
  <c r="T2398" i="1"/>
  <c r="U2398" i="1" s="1"/>
  <c r="V2398" i="1" s="1"/>
  <c r="M2398" i="1"/>
  <c r="R2398" i="1"/>
  <c r="Q2401" i="1"/>
  <c r="T2411" i="1"/>
  <c r="U2411" i="1" s="1"/>
  <c r="V2411" i="1" s="1"/>
  <c r="M2411" i="1"/>
  <c r="R2411" i="1"/>
  <c r="T2412" i="1"/>
  <c r="M2412" i="1"/>
  <c r="R2412" i="1"/>
  <c r="W2421" i="1"/>
  <c r="S2454" i="1"/>
  <c r="P2454" i="1" s="1"/>
  <c r="S2453" i="1"/>
  <c r="P2453" i="1" s="1"/>
  <c r="X2454" i="1"/>
  <c r="W2454" i="1"/>
  <c r="X2453" i="1"/>
  <c r="S2462" i="1"/>
  <c r="P2462" i="1" s="1"/>
  <c r="X2462" i="1"/>
  <c r="W2462" i="1"/>
  <c r="X2461" i="1"/>
  <c r="S2531" i="1"/>
  <c r="P2531" i="1" s="1"/>
  <c r="S2530" i="1"/>
  <c r="P2530" i="1" s="1"/>
  <c r="X2531" i="1"/>
  <c r="W2531" i="1"/>
  <c r="T2531" i="1"/>
  <c r="X2530" i="1"/>
  <c r="W2530" i="1"/>
  <c r="S2605" i="1"/>
  <c r="P2605" i="1" s="1"/>
  <c r="X2605" i="1"/>
  <c r="W2605" i="1"/>
  <c r="X2604" i="1"/>
  <c r="W2604" i="1"/>
  <c r="X2662" i="1"/>
  <c r="W2662" i="1"/>
  <c r="S2662" i="1"/>
  <c r="P2662" i="1" s="1"/>
  <c r="D2101" i="1"/>
  <c r="W2122" i="1"/>
  <c r="X2121" i="1"/>
  <c r="S2122" i="1"/>
  <c r="P2122" i="1" s="1"/>
  <c r="D2123" i="1"/>
  <c r="S2129" i="1"/>
  <c r="P2129" i="1" s="1"/>
  <c r="S2133" i="1"/>
  <c r="P2133" i="1" s="1"/>
  <c r="S2149" i="1"/>
  <c r="P2149" i="1" s="1"/>
  <c r="Q2153" i="1"/>
  <c r="T2155" i="1"/>
  <c r="U2155" i="1" s="1"/>
  <c r="V2155" i="1" s="1"/>
  <c r="M2155" i="1"/>
  <c r="R2155" i="1"/>
  <c r="R2156" i="1"/>
  <c r="Q2160" i="1"/>
  <c r="X2170" i="1"/>
  <c r="W2170" i="1"/>
  <c r="S2170" i="1"/>
  <c r="P2170" i="1" s="1"/>
  <c r="T2174" i="1"/>
  <c r="U2174" i="1" s="1"/>
  <c r="V2174" i="1" s="1"/>
  <c r="M2174" i="1"/>
  <c r="R2174" i="1"/>
  <c r="R2176" i="1"/>
  <c r="Q2185" i="1"/>
  <c r="T2215" i="1"/>
  <c r="U2215" i="1" s="1"/>
  <c r="V2215" i="1" s="1"/>
  <c r="M2215" i="1"/>
  <c r="R2215" i="1"/>
  <c r="T2223" i="1"/>
  <c r="U2223" i="1" s="1"/>
  <c r="V2223" i="1" s="1"/>
  <c r="M2223" i="1"/>
  <c r="R2223" i="1"/>
  <c r="T2230" i="1"/>
  <c r="U2230" i="1" s="1"/>
  <c r="V2230" i="1" s="1"/>
  <c r="M2230" i="1"/>
  <c r="R2230" i="1"/>
  <c r="Q2233" i="1"/>
  <c r="T2268" i="1"/>
  <c r="M2268" i="1"/>
  <c r="R2268" i="1"/>
  <c r="T2270" i="1"/>
  <c r="U2270" i="1" s="1"/>
  <c r="V2270" i="1" s="1"/>
  <c r="M2270" i="1"/>
  <c r="R2270" i="1"/>
  <c r="T2271" i="1"/>
  <c r="U2271" i="1" s="1"/>
  <c r="V2271" i="1" s="1"/>
  <c r="M2271" i="1"/>
  <c r="R2271" i="1"/>
  <c r="T2293" i="1"/>
  <c r="U2293" i="1" s="1"/>
  <c r="V2293" i="1" s="1"/>
  <c r="M2293" i="1"/>
  <c r="R2293" i="1"/>
  <c r="S2294" i="1"/>
  <c r="P2294" i="1" s="1"/>
  <c r="S2293" i="1"/>
  <c r="P2293" i="1" s="1"/>
  <c r="X2294" i="1"/>
  <c r="W2294" i="1"/>
  <c r="X2293" i="1"/>
  <c r="Q2297" i="1"/>
  <c r="Q2321" i="1"/>
  <c r="T2324" i="1"/>
  <c r="M2324" i="1"/>
  <c r="R2324" i="1"/>
  <c r="T2326" i="1"/>
  <c r="U2326" i="1" s="1"/>
  <c r="V2326" i="1" s="1"/>
  <c r="M2326" i="1"/>
  <c r="R2326" i="1"/>
  <c r="T2359" i="1"/>
  <c r="U2359" i="1" s="1"/>
  <c r="V2359" i="1" s="1"/>
  <c r="M2359" i="1"/>
  <c r="R2359" i="1"/>
  <c r="T2379" i="1"/>
  <c r="U2379" i="1" s="1"/>
  <c r="V2379" i="1" s="1"/>
  <c r="M2379" i="1"/>
  <c r="R2379" i="1"/>
  <c r="T2388" i="1"/>
  <c r="M2388" i="1"/>
  <c r="R2388" i="1"/>
  <c r="T2390" i="1"/>
  <c r="U2390" i="1" s="1"/>
  <c r="V2390" i="1" s="1"/>
  <c r="M2390" i="1"/>
  <c r="R2390" i="1"/>
  <c r="T2391" i="1"/>
  <c r="U2391" i="1" s="1"/>
  <c r="V2391" i="1" s="1"/>
  <c r="M2391" i="1"/>
  <c r="R2391" i="1"/>
  <c r="R2392" i="1"/>
  <c r="T2397" i="1"/>
  <c r="U2397" i="1" s="1"/>
  <c r="V2397" i="1" s="1"/>
  <c r="M2397" i="1"/>
  <c r="R2397" i="1"/>
  <c r="S2398" i="1"/>
  <c r="P2398" i="1" s="1"/>
  <c r="X2398" i="1"/>
  <c r="W2398" i="1"/>
  <c r="X2397" i="1"/>
  <c r="R2400" i="1"/>
  <c r="T2406" i="1"/>
  <c r="U2406" i="1" s="1"/>
  <c r="V2406" i="1" s="1"/>
  <c r="M2406" i="1"/>
  <c r="R2406" i="1"/>
  <c r="Q2409" i="1"/>
  <c r="Q2416" i="1"/>
  <c r="T2419" i="1"/>
  <c r="U2419" i="1" s="1"/>
  <c r="V2419" i="1" s="1"/>
  <c r="M2419" i="1"/>
  <c r="R2419" i="1"/>
  <c r="T2420" i="1"/>
  <c r="M2420" i="1"/>
  <c r="R2420" i="1"/>
  <c r="S2178" i="1"/>
  <c r="P2178" i="1" s="1"/>
  <c r="S2186" i="1"/>
  <c r="P2186" i="1" s="1"/>
  <c r="R2187" i="1"/>
  <c r="S2194" i="1"/>
  <c r="P2194" i="1" s="1"/>
  <c r="R2195" i="1"/>
  <c r="S2202" i="1"/>
  <c r="P2202" i="1" s="1"/>
  <c r="S2210" i="1"/>
  <c r="P2210" i="1" s="1"/>
  <c r="R2211" i="1"/>
  <c r="U2211" i="1" s="1"/>
  <c r="V2211" i="1" s="1"/>
  <c r="S2218" i="1"/>
  <c r="P2218" i="1" s="1"/>
  <c r="R2219" i="1"/>
  <c r="S2226" i="1"/>
  <c r="P2226" i="1" s="1"/>
  <c r="R2227" i="1"/>
  <c r="S2234" i="1"/>
  <c r="P2234" i="1" s="1"/>
  <c r="R2235" i="1"/>
  <c r="S2242" i="1"/>
  <c r="P2242" i="1" s="1"/>
  <c r="R2243" i="1"/>
  <c r="S2250" i="1"/>
  <c r="P2250" i="1" s="1"/>
  <c r="R2251" i="1"/>
  <c r="S2258" i="1"/>
  <c r="P2258" i="1" s="1"/>
  <c r="R2259" i="1"/>
  <c r="S2266" i="1"/>
  <c r="P2266" i="1" s="1"/>
  <c r="R2267" i="1"/>
  <c r="S2274" i="1"/>
  <c r="P2274" i="1" s="1"/>
  <c r="R2275" i="1"/>
  <c r="S2282" i="1"/>
  <c r="P2282" i="1" s="1"/>
  <c r="R2283" i="1"/>
  <c r="S2290" i="1"/>
  <c r="P2290" i="1" s="1"/>
  <c r="R2291" i="1"/>
  <c r="S2298" i="1"/>
  <c r="P2298" i="1" s="1"/>
  <c r="S2306" i="1"/>
  <c r="P2306" i="1" s="1"/>
  <c r="R2307" i="1"/>
  <c r="S2314" i="1"/>
  <c r="P2314" i="1" s="1"/>
  <c r="R2315" i="1"/>
  <c r="S2322" i="1"/>
  <c r="P2322" i="1" s="1"/>
  <c r="R2323" i="1"/>
  <c r="S2330" i="1"/>
  <c r="P2330" i="1" s="1"/>
  <c r="R2331" i="1"/>
  <c r="U2331" i="1" s="1"/>
  <c r="V2331" i="1" s="1"/>
  <c r="S2338" i="1"/>
  <c r="P2338" i="1" s="1"/>
  <c r="R2339" i="1"/>
  <c r="S2346" i="1"/>
  <c r="P2346" i="1" s="1"/>
  <c r="R2347" i="1"/>
  <c r="S2354" i="1"/>
  <c r="P2354" i="1" s="1"/>
  <c r="R2355" i="1"/>
  <c r="S2362" i="1"/>
  <c r="P2362" i="1" s="1"/>
  <c r="R2363" i="1"/>
  <c r="S2549" i="1"/>
  <c r="P2549" i="1" s="1"/>
  <c r="X2549" i="1"/>
  <c r="Q2569" i="1"/>
  <c r="X2574" i="1"/>
  <c r="W2574" i="1"/>
  <c r="S2574" i="1"/>
  <c r="P2574" i="1" s="1"/>
  <c r="Q2585" i="1"/>
  <c r="X2590" i="1"/>
  <c r="W2590" i="1"/>
  <c r="S2590" i="1"/>
  <c r="P2590" i="1" s="1"/>
  <c r="X2606" i="1"/>
  <c r="W2606" i="1"/>
  <c r="S2606" i="1"/>
  <c r="P2606" i="1" s="1"/>
  <c r="S2613" i="1"/>
  <c r="P2613" i="1" s="1"/>
  <c r="X2613" i="1"/>
  <c r="Q2615" i="1"/>
  <c r="S2637" i="1"/>
  <c r="P2637" i="1" s="1"/>
  <c r="X2637" i="1"/>
  <c r="T2637" i="1"/>
  <c r="X2638" i="1"/>
  <c r="W2638" i="1"/>
  <c r="S2638" i="1"/>
  <c r="P2638" i="1" s="1"/>
  <c r="Q2649" i="1"/>
  <c r="Q2664" i="1"/>
  <c r="S2669" i="1"/>
  <c r="P2669" i="1" s="1"/>
  <c r="X2669" i="1"/>
  <c r="R2670" i="1"/>
  <c r="T2670" i="1"/>
  <c r="U2670" i="1" s="1"/>
  <c r="V2670" i="1" s="1"/>
  <c r="M2670" i="1"/>
  <c r="R2688" i="1"/>
  <c r="M2688" i="1"/>
  <c r="T2688" i="1"/>
  <c r="U2688" i="1" s="1"/>
  <c r="V2688" i="1" s="1"/>
  <c r="W2127" i="1"/>
  <c r="S2131" i="1"/>
  <c r="P2131" i="1" s="1"/>
  <c r="W2135" i="1"/>
  <c r="W2143" i="1"/>
  <c r="S2147" i="1"/>
  <c r="P2147" i="1" s="1"/>
  <c r="W2151" i="1"/>
  <c r="S2155" i="1"/>
  <c r="P2155" i="1" s="1"/>
  <c r="W2159" i="1"/>
  <c r="S2163" i="1"/>
  <c r="P2163" i="1" s="1"/>
  <c r="W2167" i="1"/>
  <c r="S2171" i="1"/>
  <c r="P2171" i="1" s="1"/>
  <c r="Q2173" i="1"/>
  <c r="W2175" i="1"/>
  <c r="S2179" i="1"/>
  <c r="P2179" i="1" s="1"/>
  <c r="Q2181" i="1"/>
  <c r="W2183" i="1"/>
  <c r="S2187" i="1"/>
  <c r="P2187" i="1" s="1"/>
  <c r="Q2189" i="1"/>
  <c r="W2191" i="1"/>
  <c r="S2195" i="1"/>
  <c r="P2195" i="1" s="1"/>
  <c r="Q2197" i="1"/>
  <c r="W2199" i="1"/>
  <c r="S2203" i="1"/>
  <c r="P2203" i="1" s="1"/>
  <c r="Q2205" i="1"/>
  <c r="W2207" i="1"/>
  <c r="S2211" i="1"/>
  <c r="P2211" i="1" s="1"/>
  <c r="Q2213" i="1"/>
  <c r="W2215" i="1"/>
  <c r="Q2221" i="1"/>
  <c r="W2223" i="1"/>
  <c r="Q2229" i="1"/>
  <c r="W2231" i="1"/>
  <c r="S2235" i="1"/>
  <c r="P2235" i="1" s="1"/>
  <c r="Q2237" i="1"/>
  <c r="W2239" i="1"/>
  <c r="Q2245" i="1"/>
  <c r="W2247" i="1"/>
  <c r="Q2253" i="1"/>
  <c r="W2255" i="1"/>
  <c r="Q2261" i="1"/>
  <c r="W2263" i="1"/>
  <c r="S2267" i="1"/>
  <c r="P2267" i="1" s="1"/>
  <c r="Q2269" i="1"/>
  <c r="W2271" i="1"/>
  <c r="Q2277" i="1"/>
  <c r="W2279" i="1"/>
  <c r="Q2285" i="1"/>
  <c r="W2287" i="1"/>
  <c r="Q2293" i="1"/>
  <c r="W2295" i="1"/>
  <c r="S2299" i="1"/>
  <c r="P2299" i="1" s="1"/>
  <c r="Q2301" i="1"/>
  <c r="W2303" i="1"/>
  <c r="S2307" i="1"/>
  <c r="P2307" i="1" s="1"/>
  <c r="Q2309" i="1"/>
  <c r="W2311" i="1"/>
  <c r="S2315" i="1"/>
  <c r="P2315" i="1" s="1"/>
  <c r="Q2317" i="1"/>
  <c r="W2319" i="1"/>
  <c r="Q2325" i="1"/>
  <c r="W2327" i="1"/>
  <c r="S2331" i="1"/>
  <c r="P2331" i="1" s="1"/>
  <c r="Q2333" i="1"/>
  <c r="W2335" i="1"/>
  <c r="S2339" i="1"/>
  <c r="P2339" i="1" s="1"/>
  <c r="Q2341" i="1"/>
  <c r="W2343" i="1"/>
  <c r="Q2349" i="1"/>
  <c r="W2351" i="1"/>
  <c r="S2355" i="1"/>
  <c r="P2355" i="1" s="1"/>
  <c r="Q2357" i="1"/>
  <c r="W2359" i="1"/>
  <c r="S2363" i="1"/>
  <c r="P2363" i="1" s="1"/>
  <c r="Q2365" i="1"/>
  <c r="W2367" i="1"/>
  <c r="S2371" i="1"/>
  <c r="P2371" i="1" s="1"/>
  <c r="Q2373" i="1"/>
  <c r="W2375" i="1"/>
  <c r="Q2381" i="1"/>
  <c r="W2383" i="1"/>
  <c r="W2391" i="1"/>
  <c r="W2399" i="1"/>
  <c r="W2407" i="1"/>
  <c r="W2415" i="1"/>
  <c r="W2423" i="1"/>
  <c r="W2431" i="1"/>
  <c r="W2439" i="1"/>
  <c r="W2447" i="1"/>
  <c r="W2455" i="1"/>
  <c r="W2463" i="1"/>
  <c r="W2471" i="1"/>
  <c r="W2479" i="1"/>
  <c r="W2487" i="1"/>
  <c r="W2495" i="1"/>
  <c r="W2503" i="1"/>
  <c r="M2515" i="1"/>
  <c r="T2521" i="1"/>
  <c r="U2521" i="1" s="1"/>
  <c r="V2521" i="1" s="1"/>
  <c r="M2521" i="1"/>
  <c r="R2523" i="1"/>
  <c r="U2523" i="1" s="1"/>
  <c r="V2523" i="1" s="1"/>
  <c r="X2526" i="1"/>
  <c r="W2526" i="1"/>
  <c r="S2533" i="1"/>
  <c r="P2533" i="1" s="1"/>
  <c r="X2533" i="1"/>
  <c r="T2537" i="1"/>
  <c r="U2537" i="1" s="1"/>
  <c r="V2537" i="1" s="1"/>
  <c r="M2537" i="1"/>
  <c r="X2542" i="1"/>
  <c r="W2542" i="1"/>
  <c r="X2548" i="1"/>
  <c r="T2555" i="1"/>
  <c r="U2555" i="1" s="1"/>
  <c r="V2555" i="1" s="1"/>
  <c r="M2555" i="1"/>
  <c r="R2555" i="1"/>
  <c r="Q2560" i="1"/>
  <c r="R2591" i="1"/>
  <c r="Q2601" i="1"/>
  <c r="R2607" i="1"/>
  <c r="Q2608" i="1"/>
  <c r="W2612" i="1"/>
  <c r="X2614" i="1"/>
  <c r="W2614" i="1"/>
  <c r="S2614" i="1"/>
  <c r="P2614" i="1" s="1"/>
  <c r="Q2622" i="1"/>
  <c r="Q2625" i="1"/>
  <c r="W2636" i="1"/>
  <c r="Q2640" i="1"/>
  <c r="T2650" i="1"/>
  <c r="U2650" i="1" s="1"/>
  <c r="V2650" i="1" s="1"/>
  <c r="M2650" i="1"/>
  <c r="R2653" i="1"/>
  <c r="W2668" i="1"/>
  <c r="X2670" i="1"/>
  <c r="W2670" i="1"/>
  <c r="S2670" i="1"/>
  <c r="P2670" i="1" s="1"/>
  <c r="Q2672" i="1"/>
  <c r="Q2693" i="1"/>
  <c r="X2127" i="1"/>
  <c r="S2132" i="1"/>
  <c r="P2132" i="1" s="1"/>
  <c r="Q2134" i="1"/>
  <c r="X2135" i="1"/>
  <c r="W2136" i="1"/>
  <c r="S2140" i="1"/>
  <c r="P2140" i="1" s="1"/>
  <c r="Q2142" i="1"/>
  <c r="X2143" i="1"/>
  <c r="Q2150" i="1"/>
  <c r="X2151" i="1"/>
  <c r="S2156" i="1"/>
  <c r="P2156" i="1" s="1"/>
  <c r="Q2158" i="1"/>
  <c r="X2159" i="1"/>
  <c r="X2167" i="1"/>
  <c r="W2168" i="1"/>
  <c r="Q2174" i="1"/>
  <c r="X2175" i="1"/>
  <c r="Q2182" i="1"/>
  <c r="X2183" i="1"/>
  <c r="M2187" i="1"/>
  <c r="Q2190" i="1"/>
  <c r="X2191" i="1"/>
  <c r="M2195" i="1"/>
  <c r="Q2198" i="1"/>
  <c r="X2199" i="1"/>
  <c r="S2204" i="1"/>
  <c r="P2204" i="1" s="1"/>
  <c r="X2207" i="1"/>
  <c r="M2211" i="1"/>
  <c r="Q2214" i="1"/>
  <c r="X2215" i="1"/>
  <c r="M2219" i="1"/>
  <c r="Q2222" i="1"/>
  <c r="X2223" i="1"/>
  <c r="M2227" i="1"/>
  <c r="S2228" i="1"/>
  <c r="P2228" i="1" s="1"/>
  <c r="Q2230" i="1"/>
  <c r="X2231" i="1"/>
  <c r="M2235" i="1"/>
  <c r="Q2238" i="1"/>
  <c r="X2239" i="1"/>
  <c r="M2243" i="1"/>
  <c r="X2247" i="1"/>
  <c r="M2251" i="1"/>
  <c r="X2255" i="1"/>
  <c r="M2259" i="1"/>
  <c r="X2263" i="1"/>
  <c r="M2267" i="1"/>
  <c r="X2271" i="1"/>
  <c r="M2275" i="1"/>
  <c r="X2279" i="1"/>
  <c r="M2283" i="1"/>
  <c r="X2287" i="1"/>
  <c r="M2291" i="1"/>
  <c r="X2295" i="1"/>
  <c r="X2303" i="1"/>
  <c r="M2307" i="1"/>
  <c r="X2311" i="1"/>
  <c r="M2315" i="1"/>
  <c r="X2319" i="1"/>
  <c r="X2327" i="1"/>
  <c r="M2331" i="1"/>
  <c r="X2335" i="1"/>
  <c r="M2339" i="1"/>
  <c r="X2343" i="1"/>
  <c r="M2347" i="1"/>
  <c r="X2351" i="1"/>
  <c r="M2355" i="1"/>
  <c r="X2359" i="1"/>
  <c r="M2363" i="1"/>
  <c r="X2367" i="1"/>
  <c r="X2375" i="1"/>
  <c r="X2383" i="1"/>
  <c r="X2391" i="1"/>
  <c r="X2399" i="1"/>
  <c r="X2407" i="1"/>
  <c r="X2415" i="1"/>
  <c r="X2423" i="1"/>
  <c r="X2431" i="1"/>
  <c r="X2439" i="1"/>
  <c r="X2447" i="1"/>
  <c r="X2455" i="1"/>
  <c r="W2456" i="1"/>
  <c r="X2463" i="1"/>
  <c r="W2464" i="1"/>
  <c r="X2471" i="1"/>
  <c r="W2472" i="1"/>
  <c r="X2479" i="1"/>
  <c r="W2480" i="1"/>
  <c r="X2487" i="1"/>
  <c r="W2488" i="1"/>
  <c r="X2495" i="1"/>
  <c r="W2496" i="1"/>
  <c r="X2503" i="1"/>
  <c r="W2504" i="1"/>
  <c r="X2511" i="1"/>
  <c r="S2515" i="1"/>
  <c r="P2515" i="1" s="1"/>
  <c r="X2515" i="1"/>
  <c r="M2523" i="1"/>
  <c r="X2532" i="1"/>
  <c r="M2539" i="1"/>
  <c r="M2544" i="1"/>
  <c r="T2546" i="1"/>
  <c r="U2546" i="1" s="1"/>
  <c r="V2546" i="1" s="1"/>
  <c r="M2546" i="1"/>
  <c r="T2548" i="1"/>
  <c r="U2548" i="1" s="1"/>
  <c r="V2548" i="1" s="1"/>
  <c r="M2548" i="1"/>
  <c r="R2548" i="1"/>
  <c r="M2552" i="1"/>
  <c r="S2565" i="1"/>
  <c r="P2565" i="1" s="1"/>
  <c r="X2565" i="1"/>
  <c r="Q2567" i="1"/>
  <c r="Q2576" i="1"/>
  <c r="Q2592" i="1"/>
  <c r="T2603" i="1"/>
  <c r="U2603" i="1" s="1"/>
  <c r="V2603" i="1" s="1"/>
  <c r="M2603" i="1"/>
  <c r="R2603" i="1"/>
  <c r="X2612" i="1"/>
  <c r="Q2616" i="1"/>
  <c r="S2621" i="1"/>
  <c r="P2621" i="1" s="1"/>
  <c r="X2621" i="1"/>
  <c r="R2622" i="1"/>
  <c r="T2622" i="1"/>
  <c r="U2622" i="1" s="1"/>
  <c r="V2622" i="1" s="1"/>
  <c r="M2622" i="1"/>
  <c r="T2626" i="1"/>
  <c r="U2626" i="1" s="1"/>
  <c r="V2626" i="1" s="1"/>
  <c r="M2626" i="1"/>
  <c r="R2629" i="1"/>
  <c r="M2630" i="1"/>
  <c r="X2636" i="1"/>
  <c r="Q2645" i="1"/>
  <c r="T2647" i="1"/>
  <c r="U2647" i="1" s="1"/>
  <c r="V2647" i="1" s="1"/>
  <c r="S2653" i="1"/>
  <c r="P2653" i="1" s="1"/>
  <c r="X2653" i="1"/>
  <c r="T2653" i="1"/>
  <c r="X2654" i="1"/>
  <c r="W2654" i="1"/>
  <c r="S2654" i="1"/>
  <c r="P2654" i="1" s="1"/>
  <c r="Q2665" i="1"/>
  <c r="X2668" i="1"/>
  <c r="S2696" i="1"/>
  <c r="P2696" i="1" s="1"/>
  <c r="X2696" i="1"/>
  <c r="S2697" i="1"/>
  <c r="P2697" i="1" s="1"/>
  <c r="X2697" i="1"/>
  <c r="X2376" i="1"/>
  <c r="W2377" i="1"/>
  <c r="W2385" i="1"/>
  <c r="X2392" i="1"/>
  <c r="W2393" i="1"/>
  <c r="X2400" i="1"/>
  <c r="W2401" i="1"/>
  <c r="X2408" i="1"/>
  <c r="W2409" i="1"/>
  <c r="X2416" i="1"/>
  <c r="W2417" i="1"/>
  <c r="X2424" i="1"/>
  <c r="W2425" i="1"/>
  <c r="X2432" i="1"/>
  <c r="W2433" i="1"/>
  <c r="X2440" i="1"/>
  <c r="W2441" i="1"/>
  <c r="X2448" i="1"/>
  <c r="W2449" i="1"/>
  <c r="X2456" i="1"/>
  <c r="W2457" i="1"/>
  <c r="X2464" i="1"/>
  <c r="W2465" i="1"/>
  <c r="X2472" i="1"/>
  <c r="W2473" i="1"/>
  <c r="R2478" i="1"/>
  <c r="X2480" i="1"/>
  <c r="W2481" i="1"/>
  <c r="R2486" i="1"/>
  <c r="X2488" i="1"/>
  <c r="W2489" i="1"/>
  <c r="R2494" i="1"/>
  <c r="X2496" i="1"/>
  <c r="W2497" i="1"/>
  <c r="X2504" i="1"/>
  <c r="W2505" i="1"/>
  <c r="S2513" i="1"/>
  <c r="P2513" i="1" s="1"/>
  <c r="W2514" i="1"/>
  <c r="D2516" i="1"/>
  <c r="S2520" i="1"/>
  <c r="P2520" i="1" s="1"/>
  <c r="S2523" i="1"/>
  <c r="P2523" i="1" s="1"/>
  <c r="S2522" i="1"/>
  <c r="P2522" i="1" s="1"/>
  <c r="W2525" i="1"/>
  <c r="Q2527" i="1"/>
  <c r="X2528" i="1"/>
  <c r="S2529" i="1"/>
  <c r="P2529" i="1" s="1"/>
  <c r="D2531" i="1"/>
  <c r="R2533" i="1"/>
  <c r="S2536" i="1"/>
  <c r="P2536" i="1" s="1"/>
  <c r="S2539" i="1"/>
  <c r="P2539" i="1" s="1"/>
  <c r="S2538" i="1"/>
  <c r="P2538" i="1" s="1"/>
  <c r="W2541" i="1"/>
  <c r="Q2543" i="1"/>
  <c r="X2544" i="1"/>
  <c r="S2545" i="1"/>
  <c r="P2545" i="1" s="1"/>
  <c r="D2547" i="1"/>
  <c r="S2548" i="1"/>
  <c r="P2548" i="1" s="1"/>
  <c r="X2550" i="1"/>
  <c r="W2550" i="1"/>
  <c r="S2556" i="1"/>
  <c r="P2556" i="1" s="1"/>
  <c r="Q2561" i="1"/>
  <c r="D2563" i="1"/>
  <c r="X2564" i="1"/>
  <c r="X2566" i="1"/>
  <c r="W2566" i="1"/>
  <c r="S2566" i="1"/>
  <c r="P2566" i="1" s="1"/>
  <c r="M2567" i="1"/>
  <c r="S2581" i="1"/>
  <c r="P2581" i="1" s="1"/>
  <c r="X2581" i="1"/>
  <c r="R2582" i="1"/>
  <c r="T2582" i="1"/>
  <c r="U2582" i="1" s="1"/>
  <c r="V2582" i="1" s="1"/>
  <c r="M2582" i="1"/>
  <c r="Q2583" i="1"/>
  <c r="Q2609" i="1"/>
  <c r="D2619" i="1"/>
  <c r="W2620" i="1"/>
  <c r="S2629" i="1"/>
  <c r="P2629" i="1" s="1"/>
  <c r="X2629" i="1"/>
  <c r="T2629" i="1"/>
  <c r="X2630" i="1"/>
  <c r="W2630" i="1"/>
  <c r="S2630" i="1"/>
  <c r="P2630" i="1" s="1"/>
  <c r="M2631" i="1"/>
  <c r="W2637" i="1"/>
  <c r="Q2641" i="1"/>
  <c r="W2652" i="1"/>
  <c r="Q2656" i="1"/>
  <c r="T2667" i="1"/>
  <c r="M2667" i="1"/>
  <c r="R2667" i="1"/>
  <c r="T2673" i="1"/>
  <c r="U2673" i="1" s="1"/>
  <c r="V2673" i="1" s="1"/>
  <c r="M2673" i="1"/>
  <c r="T2675" i="1"/>
  <c r="M2675" i="1"/>
  <c r="R2675" i="1"/>
  <c r="Q2687" i="1"/>
  <c r="Q2692" i="1"/>
  <c r="X2698" i="1"/>
  <c r="S2698" i="1"/>
  <c r="P2698" i="1" s="1"/>
  <c r="R2704" i="1"/>
  <c r="M2704" i="1"/>
  <c r="T2704" i="1"/>
  <c r="U2704" i="1" s="1"/>
  <c r="V2704" i="1" s="1"/>
  <c r="W2178" i="1"/>
  <c r="W2186" i="1"/>
  <c r="W2194" i="1"/>
  <c r="W2202" i="1"/>
  <c r="W2210" i="1"/>
  <c r="W2218" i="1"/>
  <c r="W2226" i="1"/>
  <c r="W2234" i="1"/>
  <c r="X2241" i="1"/>
  <c r="W2242" i="1"/>
  <c r="W2250" i="1"/>
  <c r="X2257" i="1"/>
  <c r="W2258" i="1"/>
  <c r="X2265" i="1"/>
  <c r="W2266" i="1"/>
  <c r="W2274" i="1"/>
  <c r="W2282" i="1"/>
  <c r="W2290" i="1"/>
  <c r="X2297" i="1"/>
  <c r="W2298" i="1"/>
  <c r="W2306" i="1"/>
  <c r="X2313" i="1"/>
  <c r="W2314" i="1"/>
  <c r="X2321" i="1"/>
  <c r="W2322" i="1"/>
  <c r="X2329" i="1"/>
  <c r="W2330" i="1"/>
  <c r="X2337" i="1"/>
  <c r="W2338" i="1"/>
  <c r="X2345" i="1"/>
  <c r="W2346" i="1"/>
  <c r="X2353" i="1"/>
  <c r="W2354" i="1"/>
  <c r="X2361" i="1"/>
  <c r="W2362" i="1"/>
  <c r="X2369" i="1"/>
  <c r="W2378" i="1"/>
  <c r="W2386" i="1"/>
  <c r="M2405" i="1"/>
  <c r="M2413" i="1"/>
  <c r="M2421" i="1"/>
  <c r="M2429" i="1"/>
  <c r="M2437" i="1"/>
  <c r="M2461" i="1"/>
  <c r="X2510" i="1"/>
  <c r="R2512" i="1"/>
  <c r="X2514" i="1"/>
  <c r="X2518" i="1"/>
  <c r="S2526" i="1"/>
  <c r="P2526" i="1" s="1"/>
  <c r="S2542" i="1"/>
  <c r="P2542" i="1" s="1"/>
  <c r="Q2551" i="1"/>
  <c r="T2559" i="1"/>
  <c r="U2559" i="1" s="1"/>
  <c r="V2559" i="1" s="1"/>
  <c r="S2572" i="1"/>
  <c r="P2572" i="1" s="1"/>
  <c r="Q2577" i="1"/>
  <c r="X2582" i="1"/>
  <c r="W2582" i="1"/>
  <c r="S2582" i="1"/>
  <c r="P2582" i="1" s="1"/>
  <c r="S2588" i="1"/>
  <c r="P2588" i="1" s="1"/>
  <c r="Q2593" i="1"/>
  <c r="S2597" i="1"/>
  <c r="P2597" i="1" s="1"/>
  <c r="X2597" i="1"/>
  <c r="R2598" i="1"/>
  <c r="T2598" i="1"/>
  <c r="U2598" i="1" s="1"/>
  <c r="V2598" i="1" s="1"/>
  <c r="M2598" i="1"/>
  <c r="Q2599" i="1"/>
  <c r="T2611" i="1"/>
  <c r="U2611" i="1" s="1"/>
  <c r="V2611" i="1" s="1"/>
  <c r="M2611" i="1"/>
  <c r="R2611" i="1"/>
  <c r="W2613" i="1"/>
  <c r="Q2617" i="1"/>
  <c r="Q2632" i="1"/>
  <c r="T2642" i="1"/>
  <c r="U2642" i="1" s="1"/>
  <c r="V2642" i="1" s="1"/>
  <c r="M2642" i="1"/>
  <c r="R2645" i="1"/>
  <c r="R2646" i="1"/>
  <c r="T2646" i="1"/>
  <c r="U2646" i="1" s="1"/>
  <c r="V2646" i="1" s="1"/>
  <c r="M2646" i="1"/>
  <c r="S2660" i="1"/>
  <c r="P2660" i="1" s="1"/>
  <c r="T2663" i="1"/>
  <c r="U2663" i="1" s="1"/>
  <c r="V2663" i="1" s="1"/>
  <c r="W2669" i="1"/>
  <c r="R2679" i="1"/>
  <c r="M2679" i="1"/>
  <c r="T2679" i="1"/>
  <c r="U2687" i="1"/>
  <c r="V2687" i="1" s="1"/>
  <c r="Q2691" i="1"/>
  <c r="Q2702" i="1"/>
  <c r="Q2709" i="1"/>
  <c r="W2131" i="1"/>
  <c r="W2147" i="1"/>
  <c r="W2163" i="1"/>
  <c r="W2171" i="1"/>
  <c r="W2179" i="1"/>
  <c r="W2195" i="1"/>
  <c r="W2211" i="1"/>
  <c r="W2219" i="1"/>
  <c r="W2259" i="1"/>
  <c r="W2267" i="1"/>
  <c r="W2275" i="1"/>
  <c r="W2299" i="1"/>
  <c r="W2307" i="1"/>
  <c r="W2315" i="1"/>
  <c r="W2331" i="1"/>
  <c r="W2339" i="1"/>
  <c r="W2355" i="1"/>
  <c r="W2363" i="1"/>
  <c r="W2371" i="1"/>
  <c r="W2387" i="1"/>
  <c r="M2478" i="1"/>
  <c r="X2482" i="1"/>
  <c r="M2486" i="1"/>
  <c r="W2509" i="1"/>
  <c r="S2512" i="1"/>
  <c r="P2512" i="1" s="1"/>
  <c r="W2517" i="1"/>
  <c r="W2520" i="1"/>
  <c r="Q2521" i="1"/>
  <c r="W2522" i="1"/>
  <c r="S2525" i="1"/>
  <c r="P2525" i="1" s="1"/>
  <c r="X2525" i="1"/>
  <c r="T2526" i="1"/>
  <c r="U2526" i="1" s="1"/>
  <c r="V2526" i="1" s="1"/>
  <c r="Q2528" i="1"/>
  <c r="T2529" i="1"/>
  <c r="U2529" i="1" s="1"/>
  <c r="V2529" i="1" s="1"/>
  <c r="M2529" i="1"/>
  <c r="X2529" i="1"/>
  <c r="R2531" i="1"/>
  <c r="X2534" i="1"/>
  <c r="W2534" i="1"/>
  <c r="W2536" i="1"/>
  <c r="Q2537" i="1"/>
  <c r="W2538" i="1"/>
  <c r="S2541" i="1"/>
  <c r="P2541" i="1" s="1"/>
  <c r="X2541" i="1"/>
  <c r="T2542" i="1"/>
  <c r="U2542" i="1" s="1"/>
  <c r="V2542" i="1" s="1"/>
  <c r="Q2544" i="1"/>
  <c r="T2545" i="1"/>
  <c r="U2545" i="1" s="1"/>
  <c r="V2545" i="1" s="1"/>
  <c r="M2545" i="1"/>
  <c r="X2545" i="1"/>
  <c r="W2549" i="1"/>
  <c r="S2550" i="1"/>
  <c r="P2550" i="1" s="1"/>
  <c r="Q2552" i="1"/>
  <c r="T2553" i="1"/>
  <c r="U2553" i="1" s="1"/>
  <c r="V2553" i="1" s="1"/>
  <c r="M2553" i="1"/>
  <c r="T2579" i="1"/>
  <c r="M2579" i="1"/>
  <c r="R2579" i="1"/>
  <c r="R2583" i="1"/>
  <c r="T2591" i="1"/>
  <c r="U2591" i="1" s="1"/>
  <c r="V2591" i="1" s="1"/>
  <c r="M2595" i="1"/>
  <c r="D2595" i="1"/>
  <c r="X2596" i="1"/>
  <c r="X2598" i="1"/>
  <c r="W2598" i="1"/>
  <c r="S2598" i="1"/>
  <c r="P2598" i="1" s="1"/>
  <c r="S2604" i="1"/>
  <c r="P2604" i="1" s="1"/>
  <c r="T2607" i="1"/>
  <c r="U2607" i="1" s="1"/>
  <c r="V2607" i="1" s="1"/>
  <c r="X2628" i="1"/>
  <c r="D2635" i="1"/>
  <c r="S2636" i="1"/>
  <c r="P2636" i="1" s="1"/>
  <c r="Q2637" i="1"/>
  <c r="S2645" i="1"/>
  <c r="P2645" i="1" s="1"/>
  <c r="X2645" i="1"/>
  <c r="T2645" i="1"/>
  <c r="X2646" i="1"/>
  <c r="W2646" i="1"/>
  <c r="S2646" i="1"/>
  <c r="P2646" i="1" s="1"/>
  <c r="M2647" i="1"/>
  <c r="R2650" i="1"/>
  <c r="W2653" i="1"/>
  <c r="Q2657" i="1"/>
  <c r="S2668" i="1"/>
  <c r="P2668" i="1" s="1"/>
  <c r="T2671" i="1"/>
  <c r="S2677" i="1"/>
  <c r="P2677" i="1" s="1"/>
  <c r="S2676" i="1"/>
  <c r="P2676" i="1" s="1"/>
  <c r="X2677" i="1"/>
  <c r="W2677" i="1"/>
  <c r="X2676" i="1"/>
  <c r="T2678" i="1"/>
  <c r="U2678" i="1" s="1"/>
  <c r="V2678" i="1" s="1"/>
  <c r="R2678" i="1"/>
  <c r="M2678" i="1"/>
  <c r="S2680" i="1"/>
  <c r="P2680" i="1" s="1"/>
  <c r="X2680" i="1"/>
  <c r="S2681" i="1"/>
  <c r="P2681" i="1" s="1"/>
  <c r="X2681" i="1"/>
  <c r="W2698" i="1"/>
  <c r="X2411" i="1"/>
  <c r="X2419" i="1"/>
  <c r="X2435" i="1"/>
  <c r="X2451" i="1"/>
  <c r="X2509" i="1"/>
  <c r="S2511" i="1"/>
  <c r="P2511" i="1" s="1"/>
  <c r="X2513" i="1"/>
  <c r="T2516" i="1"/>
  <c r="U2516" i="1" s="1"/>
  <c r="V2516" i="1" s="1"/>
  <c r="M2516" i="1"/>
  <c r="R2516" i="1"/>
  <c r="X2517" i="1"/>
  <c r="S2519" i="1"/>
  <c r="P2519" i="1" s="1"/>
  <c r="R2521" i="1"/>
  <c r="S2532" i="1"/>
  <c r="P2532" i="1" s="1"/>
  <c r="R2537" i="1"/>
  <c r="T2538" i="1"/>
  <c r="U2538" i="1" s="1"/>
  <c r="V2538" i="1" s="1"/>
  <c r="M2538" i="1"/>
  <c r="T2540" i="1"/>
  <c r="U2540" i="1" s="1"/>
  <c r="V2540" i="1" s="1"/>
  <c r="M2540" i="1"/>
  <c r="R2540" i="1"/>
  <c r="S2557" i="1"/>
  <c r="P2557" i="1" s="1"/>
  <c r="X2557" i="1"/>
  <c r="R2558" i="1"/>
  <c r="T2558" i="1"/>
  <c r="U2558" i="1" s="1"/>
  <c r="V2558" i="1" s="1"/>
  <c r="M2558" i="1"/>
  <c r="Q2559" i="1"/>
  <c r="W2565" i="1"/>
  <c r="Q2568" i="1"/>
  <c r="Q2584" i="1"/>
  <c r="R2599" i="1"/>
  <c r="U2599" i="1" s="1"/>
  <c r="V2599" i="1" s="1"/>
  <c r="S2612" i="1"/>
  <c r="P2612" i="1" s="1"/>
  <c r="Q2633" i="1"/>
  <c r="Q2648" i="1"/>
  <c r="T2658" i="1"/>
  <c r="U2658" i="1" s="1"/>
  <c r="V2658" i="1" s="1"/>
  <c r="M2658" i="1"/>
  <c r="S2661" i="1"/>
  <c r="P2661" i="1" s="1"/>
  <c r="X2661" i="1"/>
  <c r="X2682" i="1"/>
  <c r="S2682" i="1"/>
  <c r="P2682" i="1" s="1"/>
  <c r="M2690" i="1"/>
  <c r="T2690" i="1"/>
  <c r="U2690" i="1" s="1"/>
  <c r="V2690" i="1" s="1"/>
  <c r="R2690" i="1"/>
  <c r="Q2708" i="1"/>
  <c r="S2678" i="1"/>
  <c r="P2678" i="1" s="1"/>
  <c r="W2685" i="1"/>
  <c r="Q2690" i="1"/>
  <c r="S2694" i="1"/>
  <c r="P2694" i="1" s="1"/>
  <c r="W2701" i="1"/>
  <c r="Q2706" i="1"/>
  <c r="X2554" i="1"/>
  <c r="W2555" i="1"/>
  <c r="X2562" i="1"/>
  <c r="W2563" i="1"/>
  <c r="X2570" i="1"/>
  <c r="W2571" i="1"/>
  <c r="X2578" i="1"/>
  <c r="W2579" i="1"/>
  <c r="X2586" i="1"/>
  <c r="W2587" i="1"/>
  <c r="W2595" i="1"/>
  <c r="X2602" i="1"/>
  <c r="W2603" i="1"/>
  <c r="X2610" i="1"/>
  <c r="W2611" i="1"/>
  <c r="X2618" i="1"/>
  <c r="W2619" i="1"/>
  <c r="X2626" i="1"/>
  <c r="W2627" i="1"/>
  <c r="X2634" i="1"/>
  <c r="W2635" i="1"/>
  <c r="X2642" i="1"/>
  <c r="W2643" i="1"/>
  <c r="X2650" i="1"/>
  <c r="W2651" i="1"/>
  <c r="X2658" i="1"/>
  <c r="W2659" i="1"/>
  <c r="X2666" i="1"/>
  <c r="W2667" i="1"/>
  <c r="S2671" i="1"/>
  <c r="P2671" i="1" s="1"/>
  <c r="Q2673" i="1"/>
  <c r="X2674" i="1"/>
  <c r="W2675" i="1"/>
  <c r="W2684" i="1"/>
  <c r="X2685" i="1"/>
  <c r="D2688" i="1"/>
  <c r="Q2688" i="1"/>
  <c r="S2693" i="1"/>
  <c r="P2693" i="1" s="1"/>
  <c r="W2700" i="1"/>
  <c r="X2701" i="1"/>
  <c r="D2704" i="1"/>
  <c r="Q2704" i="1"/>
  <c r="S2709" i="1"/>
  <c r="P2709" i="1" s="1"/>
  <c r="W2678" i="1"/>
  <c r="S2679" i="1"/>
  <c r="P2679" i="1" s="1"/>
  <c r="W2679" i="1"/>
  <c r="W2694" i="1"/>
  <c r="S2695" i="1"/>
  <c r="P2695" i="1" s="1"/>
  <c r="W2695" i="1"/>
  <c r="S2554" i="1"/>
  <c r="P2554" i="1" s="1"/>
  <c r="S2562" i="1"/>
  <c r="P2562" i="1" s="1"/>
  <c r="S2570" i="1"/>
  <c r="P2570" i="1" s="1"/>
  <c r="S2578" i="1"/>
  <c r="P2578" i="1" s="1"/>
  <c r="S2586" i="1"/>
  <c r="P2586" i="1" s="1"/>
  <c r="S2594" i="1"/>
  <c r="P2594" i="1" s="1"/>
  <c r="S2602" i="1"/>
  <c r="P2602" i="1" s="1"/>
  <c r="S2610" i="1"/>
  <c r="P2610" i="1" s="1"/>
  <c r="S2618" i="1"/>
  <c r="P2618" i="1" s="1"/>
  <c r="S2626" i="1"/>
  <c r="P2626" i="1" s="1"/>
  <c r="S2634" i="1"/>
  <c r="P2634" i="1" s="1"/>
  <c r="S2642" i="1"/>
  <c r="P2642" i="1" s="1"/>
  <c r="S2650" i="1"/>
  <c r="P2650" i="1" s="1"/>
  <c r="S2658" i="1"/>
  <c r="P2658" i="1" s="1"/>
  <c r="S2666" i="1"/>
  <c r="P2666" i="1" s="1"/>
  <c r="S2674" i="1"/>
  <c r="P2674" i="1" s="1"/>
  <c r="X2679" i="1"/>
  <c r="W2693" i="1"/>
  <c r="X2695" i="1"/>
  <c r="W2709" i="1"/>
  <c r="R2556" i="1"/>
  <c r="M2562" i="1"/>
  <c r="R2564" i="1"/>
  <c r="M2570" i="1"/>
  <c r="R2572" i="1"/>
  <c r="M2578" i="1"/>
  <c r="R2580" i="1"/>
  <c r="M2586" i="1"/>
  <c r="R2588" i="1"/>
  <c r="M2594" i="1"/>
  <c r="R2596" i="1"/>
  <c r="M2602" i="1"/>
  <c r="R2604" i="1"/>
  <c r="W2607" i="1"/>
  <c r="R2612" i="1"/>
  <c r="W2615" i="1"/>
  <c r="R2620" i="1"/>
  <c r="W2623" i="1"/>
  <c r="W2631" i="1"/>
  <c r="R2636" i="1"/>
  <c r="W2639" i="1"/>
  <c r="W2647" i="1"/>
  <c r="R2652" i="1"/>
  <c r="W2655" i="1"/>
  <c r="R2660" i="1"/>
  <c r="U2660" i="1" s="1"/>
  <c r="V2660" i="1" s="1"/>
  <c r="W2663" i="1"/>
  <c r="R2668" i="1"/>
  <c r="W2671" i="1"/>
  <c r="R2676" i="1"/>
  <c r="D2680" i="1"/>
  <c r="S2685" i="1"/>
  <c r="P2685" i="1" s="1"/>
  <c r="W2692" i="1"/>
  <c r="X2693" i="1"/>
  <c r="D2696" i="1"/>
  <c r="R2697" i="1"/>
  <c r="R2698" i="1"/>
  <c r="R2699" i="1"/>
  <c r="R2700" i="1"/>
  <c r="S2701" i="1"/>
  <c r="P2701" i="1" s="1"/>
  <c r="W2708" i="1"/>
  <c r="X2709" i="1"/>
  <c r="T2685" i="1"/>
  <c r="U2685" i="1" s="1"/>
  <c r="V2685" i="1" s="1"/>
  <c r="T2686" i="1"/>
  <c r="U2686" i="1" s="1"/>
  <c r="V2686" i="1" s="1"/>
  <c r="M2686" i="1"/>
  <c r="W2688" i="1"/>
  <c r="W2689" i="1"/>
  <c r="W2690" i="1"/>
  <c r="T2701" i="1"/>
  <c r="U2701" i="1" s="1"/>
  <c r="V2701" i="1" s="1"/>
  <c r="W2704" i="1"/>
  <c r="W2705" i="1"/>
  <c r="W2706" i="1"/>
  <c r="M2564" i="1"/>
  <c r="X2568" i="1"/>
  <c r="M2572" i="1"/>
  <c r="X2576" i="1"/>
  <c r="M2580" i="1"/>
  <c r="X2584" i="1"/>
  <c r="M2588" i="1"/>
  <c r="X2592" i="1"/>
  <c r="M2596" i="1"/>
  <c r="X2600" i="1"/>
  <c r="M2604" i="1"/>
  <c r="X2608" i="1"/>
  <c r="M2612" i="1"/>
  <c r="X2616" i="1"/>
  <c r="M2620" i="1"/>
  <c r="X2624" i="1"/>
  <c r="X2632" i="1"/>
  <c r="M2636" i="1"/>
  <c r="X2640" i="1"/>
  <c r="X2648" i="1"/>
  <c r="M2652" i="1"/>
  <c r="X2656" i="1"/>
  <c r="M2660" i="1"/>
  <c r="X2664" i="1"/>
  <c r="M2668" i="1"/>
  <c r="X2672" i="1"/>
  <c r="M2676" i="1"/>
  <c r="T2680" i="1"/>
  <c r="U2680" i="1" s="1"/>
  <c r="V2680" i="1" s="1"/>
  <c r="M2683" i="1"/>
  <c r="S2687" i="1"/>
  <c r="P2687" i="1" s="1"/>
  <c r="W2687" i="1"/>
  <c r="T2696" i="1"/>
  <c r="U2696" i="1" s="1"/>
  <c r="V2696" i="1" s="1"/>
  <c r="M2699" i="1"/>
  <c r="M2700" i="1"/>
  <c r="S2703" i="1"/>
  <c r="P2703" i="1" s="1"/>
  <c r="W2703" i="1"/>
  <c r="T1241" i="1" l="1"/>
  <c r="T1599" i="1"/>
  <c r="R619" i="1"/>
  <c r="R2630" i="1"/>
  <c r="M2172" i="1"/>
  <c r="R2035" i="1"/>
  <c r="R2524" i="1"/>
  <c r="R2407" i="1"/>
  <c r="R2172" i="1"/>
  <c r="R2007" i="1"/>
  <c r="M2035" i="1"/>
  <c r="R1173" i="1"/>
  <c r="R1203" i="1"/>
  <c r="T1703" i="1"/>
  <c r="U1703" i="1" s="1"/>
  <c r="V1703" i="1" s="1"/>
  <c r="M2524" i="1"/>
  <c r="M2407" i="1"/>
  <c r="M2007" i="1"/>
  <c r="M1173" i="1"/>
  <c r="R882" i="1"/>
  <c r="U882" i="1" s="1"/>
  <c r="V882" i="1" s="1"/>
  <c r="R2587" i="1"/>
  <c r="R2151" i="1"/>
  <c r="R759" i="1"/>
  <c r="U759" i="1" s="1"/>
  <c r="V759" i="1" s="1"/>
  <c r="R1011" i="1"/>
  <c r="M654" i="1"/>
  <c r="M2587" i="1"/>
  <c r="M2151" i="1"/>
  <c r="R1849" i="1"/>
  <c r="M1011" i="1"/>
  <c r="T654" i="1"/>
  <c r="U654" i="1" s="1"/>
  <c r="V654" i="1" s="1"/>
  <c r="M1457" i="1"/>
  <c r="M1849" i="1"/>
  <c r="R1611" i="1"/>
  <c r="U1611" i="1" s="1"/>
  <c r="V1611" i="1" s="1"/>
  <c r="R1471" i="1"/>
  <c r="U1471" i="1" s="1"/>
  <c r="V1471" i="1" s="1"/>
  <c r="M759" i="1"/>
  <c r="T2695" i="1"/>
  <c r="U2695" i="1" s="1"/>
  <c r="V2695" i="1" s="1"/>
  <c r="R2127" i="1"/>
  <c r="M1611" i="1"/>
  <c r="M1471" i="1"/>
  <c r="R825" i="1"/>
  <c r="R540" i="1"/>
  <c r="T2200" i="1"/>
  <c r="U2200" i="1" s="1"/>
  <c r="V2200" i="1" s="1"/>
  <c r="M2695" i="1"/>
  <c r="R2196" i="1"/>
  <c r="M2127" i="1"/>
  <c r="R2075" i="1"/>
  <c r="M1180" i="1"/>
  <c r="M825" i="1"/>
  <c r="M540" i="1"/>
  <c r="M2264" i="1"/>
  <c r="M2200" i="1"/>
  <c r="M2196" i="1"/>
  <c r="M2075" i="1"/>
  <c r="M1172" i="1"/>
  <c r="M506" i="1"/>
  <c r="T619" i="1"/>
  <c r="M2638" i="1"/>
  <c r="U834" i="1"/>
  <c r="V834" i="1" s="1"/>
  <c r="M882" i="1"/>
  <c r="Q60" i="7"/>
  <c r="U2583" i="1"/>
  <c r="V2583" i="1" s="1"/>
  <c r="M2614" i="1"/>
  <c r="T2638" i="1"/>
  <c r="U2638" i="1" s="1"/>
  <c r="V2638" i="1" s="1"/>
  <c r="R2475" i="1"/>
  <c r="R1947" i="1"/>
  <c r="R1068" i="1"/>
  <c r="U208" i="1"/>
  <c r="V208" i="1" s="1"/>
  <c r="U2224" i="1"/>
  <c r="V2224" i="1" s="1"/>
  <c r="T2614" i="1"/>
  <c r="U2614" i="1" s="1"/>
  <c r="V2614" i="1" s="1"/>
  <c r="M2475" i="1"/>
  <c r="M1947" i="1"/>
  <c r="R1180" i="1"/>
  <c r="M1068" i="1"/>
  <c r="R506" i="1"/>
  <c r="U5" i="1"/>
  <c r="M834" i="1"/>
  <c r="M2166" i="1"/>
  <c r="R1172" i="1"/>
  <c r="M1783" i="1"/>
  <c r="M1120" i="1"/>
  <c r="M1309" i="1"/>
  <c r="T1120" i="1"/>
  <c r="U1120" i="1" s="1"/>
  <c r="V1120" i="1" s="1"/>
  <c r="M616" i="1"/>
  <c r="R408" i="1"/>
  <c r="Q33" i="7"/>
  <c r="R898" i="1"/>
  <c r="R520" i="1"/>
  <c r="R272" i="1"/>
  <c r="T308" i="1"/>
  <c r="Q45" i="7"/>
  <c r="M2448" i="1"/>
  <c r="R1635" i="1"/>
  <c r="T1410" i="1"/>
  <c r="U1410" i="1" s="1"/>
  <c r="V1410" i="1" s="1"/>
  <c r="R1177" i="1"/>
  <c r="T616" i="1"/>
  <c r="U616" i="1" s="1"/>
  <c r="V616" i="1" s="1"/>
  <c r="M520" i="1"/>
  <c r="M272" i="1"/>
  <c r="Q6" i="5"/>
  <c r="Q11" i="5"/>
  <c r="Q5" i="5"/>
  <c r="Q10" i="5"/>
  <c r="Q4" i="5"/>
  <c r="Q3" i="5"/>
  <c r="Q9" i="5"/>
  <c r="Q8" i="5"/>
  <c r="Q13" i="5"/>
  <c r="Q7" i="5"/>
  <c r="Q12" i="5"/>
  <c r="Q2" i="5"/>
  <c r="M1635" i="1"/>
  <c r="M1368" i="1"/>
  <c r="M1177" i="1"/>
  <c r="T1368" i="1"/>
  <c r="U1368" i="1" s="1"/>
  <c r="V1368" i="1" s="1"/>
  <c r="M216" i="1"/>
  <c r="R81" i="1"/>
  <c r="R548" i="1"/>
  <c r="T216" i="1"/>
  <c r="R1623" i="1"/>
  <c r="M548" i="1"/>
  <c r="R1457" i="1"/>
  <c r="M1623" i="1"/>
  <c r="M427" i="1"/>
  <c r="R689" i="1"/>
  <c r="R865" i="1"/>
  <c r="R427" i="1"/>
  <c r="M689" i="1"/>
  <c r="M2556" i="1"/>
  <c r="R2479" i="1"/>
  <c r="U2479" i="1" s="1"/>
  <c r="V2479" i="1" s="1"/>
  <c r="R1834" i="1"/>
  <c r="R1044" i="1"/>
  <c r="M346" i="1"/>
  <c r="T284" i="1"/>
  <c r="M898" i="1"/>
  <c r="U595" i="1"/>
  <c r="V595" i="1" s="1"/>
  <c r="R2595" i="1"/>
  <c r="R1220" i="1"/>
  <c r="R791" i="1"/>
  <c r="U791" i="1" s="1"/>
  <c r="V791" i="1" s="1"/>
  <c r="T584" i="1"/>
  <c r="U584" i="1" s="1"/>
  <c r="V584" i="1" s="1"/>
  <c r="T850" i="1"/>
  <c r="Q15" i="7"/>
  <c r="R2350" i="1"/>
  <c r="R2122" i="1"/>
  <c r="R308" i="1"/>
  <c r="M857" i="1"/>
  <c r="R220" i="1"/>
  <c r="M408" i="1"/>
  <c r="M81" i="1"/>
  <c r="R1729" i="1"/>
  <c r="T220" i="1"/>
  <c r="M2563" i="1"/>
  <c r="U2487" i="1"/>
  <c r="V2487" i="1" s="1"/>
  <c r="T2199" i="1"/>
  <c r="U2199" i="1" s="1"/>
  <c r="V2199" i="1" s="1"/>
  <c r="M1974" i="1"/>
  <c r="M1625" i="1"/>
  <c r="M1473" i="1"/>
  <c r="R1501" i="1"/>
  <c r="U1109" i="1"/>
  <c r="V1109" i="1" s="1"/>
  <c r="U599" i="1"/>
  <c r="V599" i="1" s="1"/>
  <c r="R332" i="1"/>
  <c r="T938" i="1"/>
  <c r="M2148" i="1"/>
  <c r="T1974" i="1"/>
  <c r="U1974" i="1" s="1"/>
  <c r="V1974" i="1" s="1"/>
  <c r="R571" i="1"/>
  <c r="R140" i="1"/>
  <c r="R1761" i="1"/>
  <c r="R1367" i="1"/>
  <c r="T2103" i="1"/>
  <c r="U2103" i="1" s="1"/>
  <c r="V2103" i="1" s="1"/>
  <c r="R1673" i="1"/>
  <c r="R1675" i="1"/>
  <c r="M1376" i="1"/>
  <c r="M1104" i="1"/>
  <c r="R846" i="1"/>
  <c r="R204" i="1"/>
  <c r="U204" i="1" s="1"/>
  <c r="V204" i="1" s="1"/>
  <c r="T1404" i="1"/>
  <c r="U1404" i="1" s="1"/>
  <c r="V1404" i="1" s="1"/>
  <c r="R678" i="1"/>
  <c r="R2018" i="1"/>
  <c r="R1705" i="1"/>
  <c r="M2654" i="1"/>
  <c r="M2018" i="1"/>
  <c r="R2043" i="1"/>
  <c r="M2103" i="1"/>
  <c r="M1675" i="1"/>
  <c r="T1376" i="1"/>
  <c r="U1376" i="1" s="1"/>
  <c r="V1376" i="1" s="1"/>
  <c r="T1104" i="1"/>
  <c r="U1104" i="1" s="1"/>
  <c r="V1104" i="1" s="1"/>
  <c r="M846" i="1"/>
  <c r="M164" i="1"/>
  <c r="M2615" i="1"/>
  <c r="R2563" i="1"/>
  <c r="T2654" i="1"/>
  <c r="U2654" i="1" s="1"/>
  <c r="V2654" i="1" s="1"/>
  <c r="M2043" i="1"/>
  <c r="M2006" i="1"/>
  <c r="R1746" i="1"/>
  <c r="M1746" i="1"/>
  <c r="R991" i="1"/>
  <c r="U1599" i="1"/>
  <c r="V1599" i="1" s="1"/>
  <c r="U970" i="1"/>
  <c r="V970" i="1" s="1"/>
  <c r="T2615" i="1"/>
  <c r="U2615" i="1" s="1"/>
  <c r="V2615" i="1" s="1"/>
  <c r="T2006" i="1"/>
  <c r="U2006" i="1" s="1"/>
  <c r="V2006" i="1" s="1"/>
  <c r="M466" i="1"/>
  <c r="M1705" i="1"/>
  <c r="M1164" i="1"/>
  <c r="R1631" i="1"/>
  <c r="M12" i="1"/>
  <c r="R328" i="1"/>
  <c r="U328" i="1" s="1"/>
  <c r="V328" i="1" s="1"/>
  <c r="R468" i="1"/>
  <c r="U468" i="1" s="1"/>
  <c r="V468" i="1" s="1"/>
  <c r="M1631" i="1"/>
  <c r="M442" i="1"/>
  <c r="R466" i="1"/>
  <c r="M328" i="1"/>
  <c r="M468" i="1"/>
  <c r="R2067" i="1"/>
  <c r="M1729" i="1"/>
  <c r="R1453" i="1"/>
  <c r="R2462" i="1"/>
  <c r="M2067" i="1"/>
  <c r="R1164" i="1"/>
  <c r="M140" i="1"/>
  <c r="M364" i="1"/>
  <c r="M2619" i="1"/>
  <c r="R2644" i="1"/>
  <c r="R2179" i="1"/>
  <c r="R1776" i="1"/>
  <c r="M1673" i="1"/>
  <c r="R2033" i="1"/>
  <c r="R1625" i="1"/>
  <c r="R1995" i="1"/>
  <c r="M783" i="1"/>
  <c r="R476" i="1"/>
  <c r="T571" i="1"/>
  <c r="T324" i="1"/>
  <c r="U324" i="1" s="1"/>
  <c r="V324" i="1" s="1"/>
  <c r="T1595" i="1"/>
  <c r="R783" i="1"/>
  <c r="U783" i="1" s="1"/>
  <c r="V783" i="1" s="1"/>
  <c r="M2462" i="1"/>
  <c r="M2179" i="1"/>
  <c r="R2399" i="1"/>
  <c r="R2163" i="1"/>
  <c r="M1776" i="1"/>
  <c r="R1473" i="1"/>
  <c r="M1995" i="1"/>
  <c r="R1535" i="1"/>
  <c r="U1535" i="1" s="1"/>
  <c r="V1535" i="1" s="1"/>
  <c r="T1819" i="1"/>
  <c r="U1819" i="1" s="1"/>
  <c r="V1819" i="1" s="1"/>
  <c r="U1253" i="1"/>
  <c r="V1253" i="1" s="1"/>
  <c r="M991" i="1"/>
  <c r="M476" i="1"/>
  <c r="R164" i="1"/>
  <c r="R12" i="1"/>
  <c r="R2619" i="1"/>
  <c r="M2399" i="1"/>
  <c r="M2163" i="1"/>
  <c r="M1535" i="1"/>
  <c r="M1819" i="1"/>
  <c r="R392" i="1"/>
  <c r="M1896" i="1"/>
  <c r="R1896" i="1"/>
  <c r="U1041" i="1"/>
  <c r="V1041" i="1" s="1"/>
  <c r="T332" i="1"/>
  <c r="M2203" i="1"/>
  <c r="R1840" i="1"/>
  <c r="T2431" i="1"/>
  <c r="U2431" i="1" s="1"/>
  <c r="V2431" i="1" s="1"/>
  <c r="R1904" i="1"/>
  <c r="R2308" i="1"/>
  <c r="U2356" i="1"/>
  <c r="V2356" i="1" s="1"/>
  <c r="T1942" i="1"/>
  <c r="R1895" i="1"/>
  <c r="R1792" i="1"/>
  <c r="T2022" i="1"/>
  <c r="U2022" i="1" s="1"/>
  <c r="V2022" i="1" s="1"/>
  <c r="T1978" i="1"/>
  <c r="U1978" i="1" s="1"/>
  <c r="V1978" i="1" s="1"/>
  <c r="R1749" i="1"/>
  <c r="R1583" i="1"/>
  <c r="U1583" i="1" s="1"/>
  <c r="V1583" i="1" s="1"/>
  <c r="T1389" i="1"/>
  <c r="U1389" i="1" s="1"/>
  <c r="V1389" i="1" s="1"/>
  <c r="M1348" i="1"/>
  <c r="M1220" i="1"/>
  <c r="M1811" i="1"/>
  <c r="U1706" i="1"/>
  <c r="V1706" i="1" s="1"/>
  <c r="M1559" i="1"/>
  <c r="R1148" i="1"/>
  <c r="T1003" i="1"/>
  <c r="U1003" i="1" s="1"/>
  <c r="V1003" i="1" s="1"/>
  <c r="M911" i="1"/>
  <c r="U1049" i="1"/>
  <c r="V1049" i="1" s="1"/>
  <c r="T1045" i="1"/>
  <c r="M1201" i="1"/>
  <c r="M710" i="1"/>
  <c r="M582" i="1"/>
  <c r="R346" i="1"/>
  <c r="M921" i="1"/>
  <c r="R849" i="1"/>
  <c r="R568" i="1"/>
  <c r="R412" i="1"/>
  <c r="U412" i="1" s="1"/>
  <c r="V412" i="1" s="1"/>
  <c r="T121" i="1"/>
  <c r="Q69" i="7"/>
  <c r="M2530" i="1"/>
  <c r="M2308" i="1"/>
  <c r="M1569" i="1"/>
  <c r="M1732" i="1"/>
  <c r="M1895" i="1"/>
  <c r="M1792" i="1"/>
  <c r="M1752" i="1"/>
  <c r="T1724" i="1"/>
  <c r="U1724" i="1" s="1"/>
  <c r="V1724" i="1" s="1"/>
  <c r="M1583" i="1"/>
  <c r="T1406" i="1"/>
  <c r="U1406" i="1" s="1"/>
  <c r="V1406" i="1" s="1"/>
  <c r="R1140" i="1"/>
  <c r="U1615" i="1"/>
  <c r="V1615" i="1" s="1"/>
  <c r="R1715" i="1"/>
  <c r="R1045" i="1"/>
  <c r="R1273" i="1"/>
  <c r="T582" i="1"/>
  <c r="U582" i="1" s="1"/>
  <c r="V582" i="1" s="1"/>
  <c r="R777" i="1"/>
  <c r="R1257" i="1"/>
  <c r="T921" i="1"/>
  <c r="U921" i="1" s="1"/>
  <c r="V921" i="1" s="1"/>
  <c r="M849" i="1"/>
  <c r="M568" i="1"/>
  <c r="R366" i="1"/>
  <c r="R90" i="1"/>
  <c r="M412" i="1"/>
  <c r="Q72" i="7"/>
  <c r="Q156" i="7"/>
  <c r="T799" i="1"/>
  <c r="M1003" i="1"/>
  <c r="U2412" i="1"/>
  <c r="V2412" i="1" s="1"/>
  <c r="M2299" i="1"/>
  <c r="R2684" i="1"/>
  <c r="M2207" i="1"/>
  <c r="M1367" i="1"/>
  <c r="R1132" i="1"/>
  <c r="M1715" i="1"/>
  <c r="M903" i="1"/>
  <c r="M767" i="1"/>
  <c r="R911" i="1"/>
  <c r="M1273" i="1"/>
  <c r="R954" i="1"/>
  <c r="R1189" i="1"/>
  <c r="T706" i="1"/>
  <c r="U706" i="1" s="1"/>
  <c r="V706" i="1" s="1"/>
  <c r="R833" i="1"/>
  <c r="M777" i="1"/>
  <c r="M1257" i="1"/>
  <c r="R913" i="1"/>
  <c r="M188" i="1"/>
  <c r="R188" i="1"/>
  <c r="U188" i="1" s="1"/>
  <c r="V188" i="1" s="1"/>
  <c r="R218" i="1"/>
  <c r="R400" i="1"/>
  <c r="U400" i="1" s="1"/>
  <c r="V400" i="1" s="1"/>
  <c r="R496" i="1"/>
  <c r="Q36" i="7"/>
  <c r="M2701" i="1"/>
  <c r="R799" i="1"/>
  <c r="T2575" i="1"/>
  <c r="M2502" i="1"/>
  <c r="T2530" i="1"/>
  <c r="U2530" i="1" s="1"/>
  <c r="V2530" i="1" s="1"/>
  <c r="R2423" i="1"/>
  <c r="T1752" i="1"/>
  <c r="U1752" i="1" s="1"/>
  <c r="V1752" i="1" s="1"/>
  <c r="R2683" i="1"/>
  <c r="U2683" i="1" s="1"/>
  <c r="V2683" i="1" s="1"/>
  <c r="R2628" i="1"/>
  <c r="M2494" i="1"/>
  <c r="R2671" i="1"/>
  <c r="M2566" i="1"/>
  <c r="M2528" i="1"/>
  <c r="R2539" i="1"/>
  <c r="U2539" i="1" s="1"/>
  <c r="V2539" i="1" s="1"/>
  <c r="R2299" i="1"/>
  <c r="U2235" i="1"/>
  <c r="V2235" i="1" s="1"/>
  <c r="U2152" i="1"/>
  <c r="V2152" i="1" s="1"/>
  <c r="M2423" i="1"/>
  <c r="T1749" i="1"/>
  <c r="U1749" i="1" s="1"/>
  <c r="V1749" i="1" s="1"/>
  <c r="R1499" i="1"/>
  <c r="R1052" i="1"/>
  <c r="R962" i="1"/>
  <c r="U962" i="1" s="1"/>
  <c r="V962" i="1" s="1"/>
  <c r="R1141" i="1"/>
  <c r="U1141" i="1" s="1"/>
  <c r="V1141" i="1" s="1"/>
  <c r="R1217" i="1"/>
  <c r="M954" i="1"/>
  <c r="M1189" i="1"/>
  <c r="R694" i="1"/>
  <c r="M833" i="1"/>
  <c r="M913" i="1"/>
  <c r="M116" i="1"/>
  <c r="M422" i="1"/>
  <c r="M400" i="1"/>
  <c r="M496" i="1"/>
  <c r="R73" i="1"/>
  <c r="Q48" i="7"/>
  <c r="R1548" i="1"/>
  <c r="T2566" i="1"/>
  <c r="U2566" i="1" s="1"/>
  <c r="V2566" i="1" s="1"/>
  <c r="M2008" i="1"/>
  <c r="R2470" i="1"/>
  <c r="R1762" i="1"/>
  <c r="U1762" i="1" s="1"/>
  <c r="V1762" i="1" s="1"/>
  <c r="M1724" i="1"/>
  <c r="M1188" i="1"/>
  <c r="M1499" i="1"/>
  <c r="M1052" i="1"/>
  <c r="M962" i="1"/>
  <c r="M1141" i="1"/>
  <c r="M1217" i="1"/>
  <c r="M694" i="1"/>
  <c r="R435" i="1"/>
  <c r="R1076" i="1"/>
  <c r="M802" i="1"/>
  <c r="T422" i="1"/>
  <c r="U422" i="1" s="1"/>
  <c r="V422" i="1" s="1"/>
  <c r="R116" i="1"/>
  <c r="M254" i="1"/>
  <c r="R33" i="1"/>
  <c r="U33" i="1" s="1"/>
  <c r="V33" i="1" s="1"/>
  <c r="M73" i="1"/>
  <c r="Q27" i="7"/>
  <c r="M2681" i="1"/>
  <c r="R2681" i="1"/>
  <c r="M2470" i="1"/>
  <c r="R2495" i="1"/>
  <c r="U2495" i="1" s="1"/>
  <c r="V2495" i="1" s="1"/>
  <c r="M1762" i="1"/>
  <c r="R711" i="1"/>
  <c r="U711" i="1" s="1"/>
  <c r="V711" i="1" s="1"/>
  <c r="M1076" i="1"/>
  <c r="M706" i="1"/>
  <c r="R591" i="1"/>
  <c r="U591" i="1" s="1"/>
  <c r="V591" i="1" s="1"/>
  <c r="M108" i="1"/>
  <c r="M44" i="1"/>
  <c r="M233" i="1"/>
  <c r="M50" i="1"/>
  <c r="T254" i="1"/>
  <c r="U254" i="1" s="1"/>
  <c r="V254" i="1" s="1"/>
  <c r="M366" i="1"/>
  <c r="M33" i="1"/>
  <c r="Q39" i="7"/>
  <c r="M1840" i="1"/>
  <c r="U2667" i="1"/>
  <c r="V2667" i="1" s="1"/>
  <c r="M2495" i="1"/>
  <c r="R2204" i="1"/>
  <c r="U2204" i="1" s="1"/>
  <c r="V2204" i="1" s="1"/>
  <c r="R2428" i="1"/>
  <c r="U2428" i="1" s="1"/>
  <c r="V2428" i="1" s="1"/>
  <c r="R2310" i="1"/>
  <c r="R1513" i="1"/>
  <c r="R2019" i="1"/>
  <c r="M1300" i="1"/>
  <c r="M1413" i="1"/>
  <c r="R1531" i="1"/>
  <c r="U1531" i="1" s="1"/>
  <c r="V1531" i="1" s="1"/>
  <c r="R673" i="1"/>
  <c r="M591" i="1"/>
  <c r="T233" i="1"/>
  <c r="U233" i="1" s="1"/>
  <c r="V233" i="1" s="1"/>
  <c r="R108" i="1"/>
  <c r="R44" i="1"/>
  <c r="R294" i="1"/>
  <c r="Q51" i="7"/>
  <c r="T2156" i="1"/>
  <c r="U2156" i="1" s="1"/>
  <c r="V2156" i="1" s="1"/>
  <c r="R1942" i="1"/>
  <c r="M2644" i="1"/>
  <c r="T2513" i="1"/>
  <c r="U2513" i="1" s="1"/>
  <c r="V2513" i="1" s="1"/>
  <c r="M2204" i="1"/>
  <c r="R2008" i="1"/>
  <c r="M2428" i="1"/>
  <c r="M2310" i="1"/>
  <c r="M1737" i="1"/>
  <c r="M2019" i="1"/>
  <c r="R1188" i="1"/>
  <c r="M1531" i="1"/>
  <c r="R1475" i="1"/>
  <c r="M1064" i="1"/>
  <c r="R903" i="1"/>
  <c r="R938" i="1"/>
  <c r="M773" i="1"/>
  <c r="T603" i="1"/>
  <c r="M673" i="1"/>
  <c r="R630" i="1"/>
  <c r="M106" i="1"/>
  <c r="M294" i="1"/>
  <c r="Q57" i="7"/>
  <c r="T1755" i="1"/>
  <c r="U1755" i="1" s="1"/>
  <c r="V1755" i="1" s="1"/>
  <c r="R1755" i="1"/>
  <c r="M395" i="1"/>
  <c r="R2575" i="1"/>
  <c r="U2575" i="1" s="1"/>
  <c r="V2575" i="1" s="1"/>
  <c r="U2231" i="1"/>
  <c r="V2231" i="1" s="1"/>
  <c r="R2302" i="1"/>
  <c r="M1513" i="1"/>
  <c r="R2063" i="1"/>
  <c r="U1666" i="1"/>
  <c r="V1666" i="1" s="1"/>
  <c r="M1475" i="1"/>
  <c r="R1345" i="1"/>
  <c r="M807" i="1"/>
  <c r="T1064" i="1"/>
  <c r="U1064" i="1" s="1"/>
  <c r="V1064" i="1" s="1"/>
  <c r="R703" i="1"/>
  <c r="U703" i="1" s="1"/>
  <c r="V703" i="1" s="1"/>
  <c r="T773" i="1"/>
  <c r="U773" i="1" s="1"/>
  <c r="V773" i="1" s="1"/>
  <c r="R681" i="1"/>
  <c r="M630" i="1"/>
  <c r="U300" i="1"/>
  <c r="V300" i="1" s="1"/>
  <c r="R232" i="1"/>
  <c r="U232" i="1" s="1"/>
  <c r="V232" i="1" s="1"/>
  <c r="Q18" i="7"/>
  <c r="R1768" i="1"/>
  <c r="M1359" i="1"/>
  <c r="M1345" i="1"/>
  <c r="R603" i="1"/>
  <c r="M514" i="1"/>
  <c r="T635" i="1"/>
  <c r="U635" i="1" s="1"/>
  <c r="V635" i="1" s="1"/>
  <c r="M232" i="1"/>
  <c r="Q30" i="7"/>
  <c r="R2212" i="1"/>
  <c r="M2063" i="1"/>
  <c r="T1737" i="1"/>
  <c r="U1737" i="1" s="1"/>
  <c r="V1737" i="1" s="1"/>
  <c r="T1835" i="1"/>
  <c r="U1835" i="1" s="1"/>
  <c r="V1835" i="1" s="1"/>
  <c r="M2327" i="1"/>
  <c r="M1904" i="1"/>
  <c r="T2302" i="1"/>
  <c r="U2302" i="1" s="1"/>
  <c r="V2302" i="1" s="1"/>
  <c r="M1915" i="1"/>
  <c r="M2212" i="1"/>
  <c r="M1768" i="1"/>
  <c r="M1835" i="1"/>
  <c r="M1140" i="1"/>
  <c r="M1500" i="1"/>
  <c r="R1467" i="1"/>
  <c r="T1359" i="1"/>
  <c r="U1359" i="1" s="1"/>
  <c r="V1359" i="1" s="1"/>
  <c r="M1639" i="1"/>
  <c r="R1511" i="1"/>
  <c r="M435" i="1"/>
  <c r="R1101" i="1"/>
  <c r="M635" i="1"/>
  <c r="M380" i="1"/>
  <c r="M258" i="1"/>
  <c r="Q42" i="7"/>
  <c r="M874" i="1"/>
  <c r="R2571" i="1"/>
  <c r="U2571" i="1" s="1"/>
  <c r="V2571" i="1" s="1"/>
  <c r="R2706" i="1"/>
  <c r="M2571" i="1"/>
  <c r="M2628" i="1"/>
  <c r="M2323" i="1"/>
  <c r="T2706" i="1"/>
  <c r="U2706" i="1" s="1"/>
  <c r="V2706" i="1" s="1"/>
  <c r="R2203" i="1"/>
  <c r="T2327" i="1"/>
  <c r="U2327" i="1" s="1"/>
  <c r="V2327" i="1" s="1"/>
  <c r="M1898" i="1"/>
  <c r="R2439" i="1"/>
  <c r="T1732" i="1"/>
  <c r="U1732" i="1" s="1"/>
  <c r="V1732" i="1" s="1"/>
  <c r="M1132" i="1"/>
  <c r="M1467" i="1"/>
  <c r="R1300" i="1"/>
  <c r="U1300" i="1" s="1"/>
  <c r="V1300" i="1" s="1"/>
  <c r="R1655" i="1"/>
  <c r="M1511" i="1"/>
  <c r="M711" i="1"/>
  <c r="R1301" i="1"/>
  <c r="R807" i="1"/>
  <c r="R934" i="1"/>
  <c r="U934" i="1" s="1"/>
  <c r="V934" i="1" s="1"/>
  <c r="T802" i="1"/>
  <c r="U802" i="1" s="1"/>
  <c r="V802" i="1" s="1"/>
  <c r="M805" i="1"/>
  <c r="R514" i="1"/>
  <c r="M1101" i="1"/>
  <c r="M218" i="1"/>
  <c r="M90" i="1"/>
  <c r="R1349" i="1"/>
  <c r="R50" i="1"/>
  <c r="Q54" i="7"/>
  <c r="T2662" i="1"/>
  <c r="U2662" i="1" s="1"/>
  <c r="V2662" i="1" s="1"/>
  <c r="M2684" i="1"/>
  <c r="R2502" i="1"/>
  <c r="R1601" i="1"/>
  <c r="R1569" i="1"/>
  <c r="M1136" i="1"/>
  <c r="M703" i="1"/>
  <c r="T805" i="1"/>
  <c r="U805" i="1" s="1"/>
  <c r="V805" i="1" s="1"/>
  <c r="M589" i="1"/>
  <c r="M658" i="1"/>
  <c r="M866" i="1"/>
  <c r="T2114" i="1"/>
  <c r="U2114" i="1" s="1"/>
  <c r="V2114" i="1" s="1"/>
  <c r="U2483" i="1"/>
  <c r="V2483" i="1" s="1"/>
  <c r="U1241" i="1"/>
  <c r="V1241" i="1" s="1"/>
  <c r="U228" i="1"/>
  <c r="V228" i="1" s="1"/>
  <c r="Q141" i="7"/>
  <c r="T2392" i="1"/>
  <c r="U2392" i="1" s="1"/>
  <c r="V2392" i="1" s="1"/>
  <c r="U842" i="1"/>
  <c r="V842" i="1" s="1"/>
  <c r="U288" i="1"/>
  <c r="V288" i="1" s="1"/>
  <c r="U380" i="1"/>
  <c r="V380" i="1" s="1"/>
  <c r="U472" i="1"/>
  <c r="V472" i="1" s="1"/>
  <c r="T1382" i="1"/>
  <c r="U1382" i="1" s="1"/>
  <c r="V1382" i="1" s="1"/>
  <c r="M2248" i="1"/>
  <c r="T2248" i="1"/>
  <c r="U2248" i="1" s="1"/>
  <c r="V2248" i="1" s="1"/>
  <c r="U1595" i="1"/>
  <c r="V1595" i="1" s="1"/>
  <c r="U304" i="1"/>
  <c r="V304" i="1" s="1"/>
  <c r="U480" i="1"/>
  <c r="V480" i="1" s="1"/>
  <c r="U41" i="1"/>
  <c r="V41" i="1" s="1"/>
  <c r="M2312" i="1"/>
  <c r="T2312" i="1"/>
  <c r="U2312" i="1" s="1"/>
  <c r="V2312" i="1" s="1"/>
  <c r="T1648" i="1"/>
  <c r="U1648" i="1" s="1"/>
  <c r="V1648" i="1" s="1"/>
  <c r="R1648" i="1"/>
  <c r="U2629" i="1"/>
  <c r="V2629" i="1" s="1"/>
  <c r="T399" i="1"/>
  <c r="U399" i="1" s="1"/>
  <c r="V399" i="1" s="1"/>
  <c r="R399" i="1"/>
  <c r="M399" i="1"/>
  <c r="T956" i="1"/>
  <c r="U956" i="1" s="1"/>
  <c r="V956" i="1" s="1"/>
  <c r="R956" i="1"/>
  <c r="U886" i="1"/>
  <c r="V886" i="1" s="1"/>
  <c r="U216" i="1"/>
  <c r="V216" i="1" s="1"/>
  <c r="M2680" i="1"/>
  <c r="U2675" i="1"/>
  <c r="V2675" i="1" s="1"/>
  <c r="U2324" i="1"/>
  <c r="V2324" i="1" s="1"/>
  <c r="M1644" i="1"/>
  <c r="T1644" i="1"/>
  <c r="U1644" i="1" s="1"/>
  <c r="V1644" i="1" s="1"/>
  <c r="R1644" i="1"/>
  <c r="T1704" i="1"/>
  <c r="U1704" i="1" s="1"/>
  <c r="V1704" i="1" s="1"/>
  <c r="R1704" i="1"/>
  <c r="M447" i="1"/>
  <c r="T447" i="1"/>
  <c r="U447" i="1" s="1"/>
  <c r="V447" i="1" s="1"/>
  <c r="M2509" i="1"/>
  <c r="T2509" i="1"/>
  <c r="U2509" i="1" s="1"/>
  <c r="V2509" i="1" s="1"/>
  <c r="R2509" i="1"/>
  <c r="T303" i="1"/>
  <c r="U303" i="1" s="1"/>
  <c r="V303" i="1" s="1"/>
  <c r="R303" i="1"/>
  <c r="M303" i="1"/>
  <c r="T2669" i="1"/>
  <c r="U2669" i="1" s="1"/>
  <c r="V2669" i="1" s="1"/>
  <c r="R2669" i="1"/>
  <c r="M2669" i="1"/>
  <c r="M790" i="1"/>
  <c r="T790" i="1"/>
  <c r="U790" i="1" s="1"/>
  <c r="V790" i="1" s="1"/>
  <c r="R790" i="1"/>
  <c r="U2300" i="1"/>
  <c r="V2300" i="1" s="1"/>
  <c r="U2220" i="1"/>
  <c r="V2220" i="1" s="1"/>
  <c r="U500" i="1"/>
  <c r="V500" i="1" s="1"/>
  <c r="U17" i="1"/>
  <c r="V17" i="1" s="1"/>
  <c r="U145" i="1"/>
  <c r="V145" i="1" s="1"/>
  <c r="Q93" i="7"/>
  <c r="R1508" i="1"/>
  <c r="T2661" i="1"/>
  <c r="U2661" i="1" s="1"/>
  <c r="V2661" i="1" s="1"/>
  <c r="R2661" i="1"/>
  <c r="M2661" i="1"/>
  <c r="U1563" i="1"/>
  <c r="V1563" i="1" s="1"/>
  <c r="U894" i="1"/>
  <c r="V894" i="1" s="1"/>
  <c r="U296" i="1"/>
  <c r="V296" i="1" s="1"/>
  <c r="U25" i="1"/>
  <c r="V25" i="1" s="1"/>
  <c r="U97" i="1"/>
  <c r="V97" i="1" s="1"/>
  <c r="U315" i="1"/>
  <c r="V315" i="1" s="1"/>
  <c r="R1745" i="1"/>
  <c r="R959" i="1"/>
  <c r="U2340" i="1"/>
  <c r="V2340" i="1" s="1"/>
  <c r="U1137" i="1"/>
  <c r="V1137" i="1" s="1"/>
  <c r="U1245" i="1"/>
  <c r="V1245" i="1" s="1"/>
  <c r="U858" i="1"/>
  <c r="V858" i="1" s="1"/>
  <c r="R2528" i="1"/>
  <c r="U830" i="1"/>
  <c r="V830" i="1" s="1"/>
  <c r="U878" i="1"/>
  <c r="V878" i="1" s="1"/>
  <c r="T1374" i="1"/>
  <c r="U1374" i="1" s="1"/>
  <c r="V1374" i="1" s="1"/>
  <c r="M2184" i="1"/>
  <c r="T2184" i="1"/>
  <c r="U2184" i="1" s="1"/>
  <c r="V2184" i="1" s="1"/>
  <c r="R2184" i="1"/>
  <c r="R2662" i="1"/>
  <c r="U2268" i="1"/>
  <c r="V2268" i="1" s="1"/>
  <c r="R2031" i="1"/>
  <c r="T1883" i="1"/>
  <c r="U1883" i="1" s="1"/>
  <c r="V1883" i="1" s="1"/>
  <c r="U2499" i="1"/>
  <c r="V2499" i="1" s="1"/>
  <c r="U2073" i="1"/>
  <c r="V2073" i="1" s="1"/>
  <c r="U1515" i="1"/>
  <c r="V1515" i="1" s="1"/>
  <c r="U1483" i="1"/>
  <c r="V1483" i="1" s="1"/>
  <c r="U2507" i="1"/>
  <c r="V2507" i="1" s="1"/>
  <c r="T1551" i="1"/>
  <c r="U1551" i="1" s="1"/>
  <c r="V1551" i="1" s="1"/>
  <c r="U1157" i="1"/>
  <c r="V1157" i="1" s="1"/>
  <c r="U1201" i="1"/>
  <c r="V1201" i="1" s="1"/>
  <c r="M830" i="1"/>
  <c r="U850" i="1"/>
  <c r="V850" i="1" s="1"/>
  <c r="R586" i="1"/>
  <c r="M809" i="1"/>
  <c r="R697" i="1"/>
  <c r="U396" i="1"/>
  <c r="V396" i="1" s="1"/>
  <c r="Q84" i="7"/>
  <c r="Q144" i="7"/>
  <c r="M2605" i="1"/>
  <c r="T2605" i="1"/>
  <c r="U2605" i="1" s="1"/>
  <c r="V2605" i="1" s="1"/>
  <c r="R2605" i="1"/>
  <c r="R2445" i="1"/>
  <c r="T2445" i="1"/>
  <c r="U2445" i="1" s="1"/>
  <c r="V2445" i="1" s="1"/>
  <c r="R1750" i="1"/>
  <c r="U1750" i="1" s="1"/>
  <c r="V1750" i="1" s="1"/>
  <c r="R1544" i="1"/>
  <c r="T1544" i="1"/>
  <c r="U1544" i="1" s="1"/>
  <c r="V1544" i="1" s="1"/>
  <c r="T1793" i="1"/>
  <c r="U1793" i="1" s="1"/>
  <c r="V1793" i="1" s="1"/>
  <c r="M1793" i="1"/>
  <c r="R2124" i="1"/>
  <c r="R1616" i="1"/>
  <c r="T1616" i="1"/>
  <c r="U1616" i="1" s="1"/>
  <c r="V1616" i="1" s="1"/>
  <c r="R2052" i="1"/>
  <c r="R1708" i="1"/>
  <c r="T1708" i="1"/>
  <c r="U1708" i="1" s="1"/>
  <c r="V1708" i="1" s="1"/>
  <c r="M1708" i="1"/>
  <c r="T1532" i="1"/>
  <c r="U1532" i="1" s="1"/>
  <c r="V1532" i="1" s="1"/>
  <c r="M1532" i="1"/>
  <c r="R1379" i="1"/>
  <c r="T1379" i="1"/>
  <c r="U1379" i="1" s="1"/>
  <c r="V1379" i="1" s="1"/>
  <c r="T1358" i="1"/>
  <c r="U1358" i="1" s="1"/>
  <c r="V1358" i="1" s="1"/>
  <c r="R1107" i="1"/>
  <c r="T1107" i="1"/>
  <c r="U1107" i="1" s="1"/>
  <c r="V1107" i="1" s="1"/>
  <c r="T774" i="1"/>
  <c r="U774" i="1" s="1"/>
  <c r="V774" i="1" s="1"/>
  <c r="R774" i="1"/>
  <c r="M774" i="1"/>
  <c r="R1354" i="1"/>
  <c r="T1354" i="1"/>
  <c r="U1354" i="1" s="1"/>
  <c r="V1354" i="1" s="1"/>
  <c r="R650" i="1"/>
  <c r="T650" i="1"/>
  <c r="U650" i="1" s="1"/>
  <c r="V650" i="1" s="1"/>
  <c r="M650" i="1"/>
  <c r="R239" i="1"/>
  <c r="M239" i="1"/>
  <c r="T239" i="1"/>
  <c r="U239" i="1" s="1"/>
  <c r="V239" i="1" s="1"/>
  <c r="R187" i="1"/>
  <c r="M187" i="1"/>
  <c r="T187" i="1"/>
  <c r="U187" i="1" s="1"/>
  <c r="V187" i="1" s="1"/>
  <c r="R235" i="1"/>
  <c r="M235" i="1"/>
  <c r="T1001" i="1"/>
  <c r="U1001" i="1" s="1"/>
  <c r="V1001" i="1" s="1"/>
  <c r="R1001" i="1"/>
  <c r="M1001" i="1"/>
  <c r="R75" i="1"/>
  <c r="T75" i="1"/>
  <c r="U75" i="1" s="1"/>
  <c r="V75" i="1" s="1"/>
  <c r="M75" i="1"/>
  <c r="R337" i="1"/>
  <c r="T337" i="1"/>
  <c r="U337" i="1" s="1"/>
  <c r="V337" i="1" s="1"/>
  <c r="T123" i="1"/>
  <c r="U123" i="1" s="1"/>
  <c r="V123" i="1" s="1"/>
  <c r="R123" i="1"/>
  <c r="M123" i="1"/>
  <c r="M2031" i="1"/>
  <c r="R2427" i="1"/>
  <c r="R1891" i="1"/>
  <c r="U1567" i="1"/>
  <c r="V1567" i="1" s="1"/>
  <c r="U1658" i="1"/>
  <c r="V1658" i="1" s="1"/>
  <c r="M919" i="1"/>
  <c r="M697" i="1"/>
  <c r="U65" i="1"/>
  <c r="V65" i="1" s="1"/>
  <c r="Q66" i="7"/>
  <c r="Q78" i="7"/>
  <c r="Q96" i="7"/>
  <c r="Q147" i="7"/>
  <c r="T2581" i="1"/>
  <c r="U2581" i="1" s="1"/>
  <c r="V2581" i="1" s="1"/>
  <c r="R2581" i="1"/>
  <c r="M2581" i="1"/>
  <c r="M2639" i="1"/>
  <c r="R2639" i="1"/>
  <c r="T2525" i="1"/>
  <c r="U2525" i="1" s="1"/>
  <c r="V2525" i="1" s="1"/>
  <c r="R2525" i="1"/>
  <c r="M2525" i="1"/>
  <c r="T1969" i="1"/>
  <c r="U1969" i="1" s="1"/>
  <c r="V1969" i="1" s="1"/>
  <c r="R1969" i="1"/>
  <c r="M1969" i="1"/>
  <c r="R2048" i="1"/>
  <c r="T2048" i="1"/>
  <c r="U2048" i="1" s="1"/>
  <c r="V2048" i="1" s="1"/>
  <c r="T2659" i="1"/>
  <c r="U2659" i="1" s="1"/>
  <c r="V2659" i="1" s="1"/>
  <c r="R2659" i="1"/>
  <c r="M2659" i="1"/>
  <c r="T1865" i="1"/>
  <c r="U1865" i="1" s="1"/>
  <c r="V1865" i="1" s="1"/>
  <c r="R1865" i="1"/>
  <c r="M1865" i="1"/>
  <c r="T2057" i="1"/>
  <c r="U2057" i="1" s="1"/>
  <c r="V2057" i="1" s="1"/>
  <c r="M2057" i="1"/>
  <c r="T2088" i="1"/>
  <c r="U2088" i="1" s="1"/>
  <c r="V2088" i="1" s="1"/>
  <c r="R2088" i="1"/>
  <c r="T1592" i="1"/>
  <c r="U1592" i="1" s="1"/>
  <c r="V1592" i="1" s="1"/>
  <c r="R1592" i="1"/>
  <c r="T1652" i="1"/>
  <c r="U1652" i="1" s="1"/>
  <c r="V1652" i="1" s="1"/>
  <c r="R1652" i="1"/>
  <c r="M1652" i="1"/>
  <c r="T1692" i="1"/>
  <c r="U1692" i="1" s="1"/>
  <c r="V1692" i="1" s="1"/>
  <c r="R1692" i="1"/>
  <c r="M1692" i="1"/>
  <c r="R1512" i="1"/>
  <c r="T1512" i="1"/>
  <c r="U1512" i="1" s="1"/>
  <c r="V1512" i="1" s="1"/>
  <c r="R1123" i="1"/>
  <c r="T1123" i="1"/>
  <c r="U1123" i="1" s="1"/>
  <c r="V1123" i="1" s="1"/>
  <c r="R1608" i="1"/>
  <c r="T1608" i="1"/>
  <c r="U1608" i="1" s="1"/>
  <c r="V1608" i="1" s="1"/>
  <c r="R1275" i="1"/>
  <c r="T1275" i="1"/>
  <c r="U1275" i="1" s="1"/>
  <c r="V1275" i="1" s="1"/>
  <c r="T752" i="1"/>
  <c r="U752" i="1" s="1"/>
  <c r="V752" i="1" s="1"/>
  <c r="R752" i="1"/>
  <c r="M752" i="1"/>
  <c r="T1488" i="1"/>
  <c r="U1488" i="1" s="1"/>
  <c r="V1488" i="1" s="1"/>
  <c r="R1488" i="1"/>
  <c r="T674" i="1"/>
  <c r="U674" i="1" s="1"/>
  <c r="V674" i="1" s="1"/>
  <c r="R674" i="1"/>
  <c r="M674" i="1"/>
  <c r="R1171" i="1"/>
  <c r="T1171" i="1"/>
  <c r="U1171" i="1" s="1"/>
  <c r="V1171" i="1" s="1"/>
  <c r="T281" i="1"/>
  <c r="U281" i="1" s="1"/>
  <c r="V281" i="1" s="1"/>
  <c r="R281" i="1"/>
  <c r="T51" i="1"/>
  <c r="U51" i="1" s="1"/>
  <c r="V51" i="1" s="1"/>
  <c r="R51" i="1"/>
  <c r="M51" i="1"/>
  <c r="T551" i="1"/>
  <c r="U551" i="1" s="1"/>
  <c r="V551" i="1" s="1"/>
  <c r="R551" i="1"/>
  <c r="M551" i="1"/>
  <c r="T618" i="1"/>
  <c r="U618" i="1" s="1"/>
  <c r="V618" i="1" s="1"/>
  <c r="R618" i="1"/>
  <c r="M618" i="1"/>
  <c r="R2358" i="1"/>
  <c r="R1867" i="1"/>
  <c r="R2065" i="1"/>
  <c r="M2427" i="1"/>
  <c r="M1891" i="1"/>
  <c r="U1077" i="1"/>
  <c r="V1077" i="1" s="1"/>
  <c r="M687" i="1"/>
  <c r="R15" i="1"/>
  <c r="Q105" i="7"/>
  <c r="Q150" i="7"/>
  <c r="T2400" i="1"/>
  <c r="U2400" i="1" s="1"/>
  <c r="V2400" i="1" s="1"/>
  <c r="M2400" i="1"/>
  <c r="T2344" i="1"/>
  <c r="U2344" i="1" s="1"/>
  <c r="V2344" i="1" s="1"/>
  <c r="M2344" i="1"/>
  <c r="R2080" i="1"/>
  <c r="T2080" i="1"/>
  <c r="U2080" i="1" s="1"/>
  <c r="V2080" i="1" s="1"/>
  <c r="T2024" i="1"/>
  <c r="U2024" i="1" s="1"/>
  <c r="V2024" i="1" s="1"/>
  <c r="R2024" i="1"/>
  <c r="M2041" i="1"/>
  <c r="R2041" i="1"/>
  <c r="U2041" i="1" s="1"/>
  <c r="V2041" i="1" s="1"/>
  <c r="T1843" i="1"/>
  <c r="U1843" i="1" s="1"/>
  <c r="V1843" i="1" s="1"/>
  <c r="R1843" i="1"/>
  <c r="M1843" i="1"/>
  <c r="T1945" i="1"/>
  <c r="U1945" i="1" s="1"/>
  <c r="V1945" i="1" s="1"/>
  <c r="R1945" i="1"/>
  <c r="M1945" i="1"/>
  <c r="T1787" i="1"/>
  <c r="U1787" i="1" s="1"/>
  <c r="V1787" i="1" s="1"/>
  <c r="R1787" i="1"/>
  <c r="M1787" i="1"/>
  <c r="T1660" i="1"/>
  <c r="U1660" i="1" s="1"/>
  <c r="V1660" i="1" s="1"/>
  <c r="R1660" i="1"/>
  <c r="M1660" i="1"/>
  <c r="R2032" i="1"/>
  <c r="T2032" i="1"/>
  <c r="U2032" i="1" s="1"/>
  <c r="V2032" i="1" s="1"/>
  <c r="T1833" i="1"/>
  <c r="U1833" i="1" s="1"/>
  <c r="V1833" i="1" s="1"/>
  <c r="R1833" i="1"/>
  <c r="M1833" i="1"/>
  <c r="T1772" i="1"/>
  <c r="U1772" i="1" s="1"/>
  <c r="V1772" i="1" s="1"/>
  <c r="R1772" i="1"/>
  <c r="M1772" i="1"/>
  <c r="M1426" i="1"/>
  <c r="T1426" i="1"/>
  <c r="U1426" i="1" s="1"/>
  <c r="V1426" i="1" s="1"/>
  <c r="T985" i="1"/>
  <c r="U985" i="1" s="1"/>
  <c r="V985" i="1" s="1"/>
  <c r="R985" i="1"/>
  <c r="M985" i="1"/>
  <c r="R1139" i="1"/>
  <c r="T1139" i="1"/>
  <c r="U1139" i="1" s="1"/>
  <c r="V1139" i="1" s="1"/>
  <c r="R1224" i="1"/>
  <c r="T1224" i="1"/>
  <c r="U1224" i="1" s="1"/>
  <c r="V1224" i="1" s="1"/>
  <c r="T680" i="1"/>
  <c r="U680" i="1" s="1"/>
  <c r="V680" i="1" s="1"/>
  <c r="R680" i="1"/>
  <c r="M680" i="1"/>
  <c r="R754" i="1"/>
  <c r="T754" i="1"/>
  <c r="U754" i="1" s="1"/>
  <c r="V754" i="1" s="1"/>
  <c r="R682" i="1"/>
  <c r="T682" i="1"/>
  <c r="U682" i="1" s="1"/>
  <c r="V682" i="1" s="1"/>
  <c r="T656" i="1"/>
  <c r="U656" i="1" s="1"/>
  <c r="V656" i="1" s="1"/>
  <c r="R656" i="1"/>
  <c r="M656" i="1"/>
  <c r="R996" i="1"/>
  <c r="M996" i="1"/>
  <c r="T996" i="1"/>
  <c r="U996" i="1" s="1"/>
  <c r="V996" i="1" s="1"/>
  <c r="R988" i="1"/>
  <c r="M988" i="1"/>
  <c r="R714" i="1"/>
  <c r="M714" i="1"/>
  <c r="T168" i="1"/>
  <c r="U168" i="1" s="1"/>
  <c r="V168" i="1" s="1"/>
  <c r="R168" i="1"/>
  <c r="M168" i="1"/>
  <c r="T231" i="1"/>
  <c r="U231" i="1" s="1"/>
  <c r="V231" i="1" s="1"/>
  <c r="R231" i="1"/>
  <c r="M231" i="1"/>
  <c r="T311" i="1"/>
  <c r="U311" i="1" s="1"/>
  <c r="V311" i="1" s="1"/>
  <c r="R311" i="1"/>
  <c r="M311" i="1"/>
  <c r="T179" i="1"/>
  <c r="U179" i="1" s="1"/>
  <c r="V179" i="1" s="1"/>
  <c r="R179" i="1"/>
  <c r="M179" i="1"/>
  <c r="M2358" i="1"/>
  <c r="M2026" i="1"/>
  <c r="M1867" i="1"/>
  <c r="M2065" i="1"/>
  <c r="M1481" i="1"/>
  <c r="M1750" i="1"/>
  <c r="U1519" i="1"/>
  <c r="V1519" i="1" s="1"/>
  <c r="U1249" i="1"/>
  <c r="V1249" i="1" s="1"/>
  <c r="U1073" i="1"/>
  <c r="V1073" i="1" s="1"/>
  <c r="R1133" i="1"/>
  <c r="U1133" i="1" s="1"/>
  <c r="V1133" i="1" s="1"/>
  <c r="R821" i="1"/>
  <c r="U376" i="1"/>
  <c r="V376" i="1" s="1"/>
  <c r="U240" i="1"/>
  <c r="V240" i="1" s="1"/>
  <c r="U571" i="1"/>
  <c r="V571" i="1" s="1"/>
  <c r="R532" i="1"/>
  <c r="R201" i="1"/>
  <c r="M15" i="1"/>
  <c r="Q117" i="7"/>
  <c r="Q153" i="7"/>
  <c r="M2685" i="1"/>
  <c r="M2541" i="1"/>
  <c r="T2541" i="1"/>
  <c r="U2541" i="1" s="1"/>
  <c r="V2541" i="1" s="1"/>
  <c r="R2541" i="1"/>
  <c r="R2570" i="1"/>
  <c r="T2570" i="1"/>
  <c r="U2570" i="1" s="1"/>
  <c r="V2570" i="1" s="1"/>
  <c r="T2613" i="1"/>
  <c r="U2613" i="1" s="1"/>
  <c r="V2613" i="1" s="1"/>
  <c r="R2613" i="1"/>
  <c r="M2613" i="1"/>
  <c r="T2480" i="1"/>
  <c r="U2480" i="1" s="1"/>
  <c r="V2480" i="1" s="1"/>
  <c r="R2480" i="1"/>
  <c r="M2480" i="1"/>
  <c r="T2520" i="1"/>
  <c r="U2520" i="1" s="1"/>
  <c r="V2520" i="1" s="1"/>
  <c r="R2520" i="1"/>
  <c r="M2520" i="1"/>
  <c r="T2594" i="1"/>
  <c r="U2594" i="1" s="1"/>
  <c r="V2594" i="1" s="1"/>
  <c r="R2594" i="1"/>
  <c r="T1680" i="1"/>
  <c r="U1680" i="1" s="1"/>
  <c r="V1680" i="1" s="1"/>
  <c r="R1680" i="1"/>
  <c r="T1596" i="1"/>
  <c r="U1596" i="1" s="1"/>
  <c r="V1596" i="1" s="1"/>
  <c r="R1596" i="1"/>
  <c r="M1596" i="1"/>
  <c r="R2437" i="1"/>
  <c r="T2437" i="1"/>
  <c r="U2437" i="1" s="1"/>
  <c r="V2437" i="1" s="1"/>
  <c r="R1426" i="1"/>
  <c r="M1476" i="1"/>
  <c r="T1476" i="1"/>
  <c r="U1476" i="1" s="1"/>
  <c r="V1476" i="1" s="1"/>
  <c r="R1476" i="1"/>
  <c r="R1187" i="1"/>
  <c r="T1187" i="1"/>
  <c r="U1187" i="1" s="1"/>
  <c r="V1187" i="1" s="1"/>
  <c r="R1347" i="1"/>
  <c r="T1347" i="1"/>
  <c r="U1347" i="1" s="1"/>
  <c r="V1347" i="1" s="1"/>
  <c r="T930" i="1"/>
  <c r="R930" i="1"/>
  <c r="M930" i="1"/>
  <c r="R1115" i="1"/>
  <c r="T1115" i="1"/>
  <c r="U1115" i="1" s="1"/>
  <c r="V1115" i="1" s="1"/>
  <c r="R1099" i="1"/>
  <c r="T1099" i="1"/>
  <c r="U1099" i="1" s="1"/>
  <c r="V1099" i="1" s="1"/>
  <c r="T980" i="1"/>
  <c r="U980" i="1" s="1"/>
  <c r="V980" i="1" s="1"/>
  <c r="R980" i="1"/>
  <c r="M980" i="1"/>
  <c r="M59" i="1"/>
  <c r="R59" i="1"/>
  <c r="T59" i="1"/>
  <c r="U59" i="1" s="1"/>
  <c r="V59" i="1" s="1"/>
  <c r="R1481" i="1"/>
  <c r="U1966" i="1"/>
  <c r="V1966" i="1" s="1"/>
  <c r="U1934" i="1"/>
  <c r="V1934" i="1" s="1"/>
  <c r="U1491" i="1"/>
  <c r="V1491" i="1" s="1"/>
  <c r="R995" i="1"/>
  <c r="M1133" i="1"/>
  <c r="U647" i="1"/>
  <c r="V647" i="1" s="1"/>
  <c r="M450" i="1"/>
  <c r="R450" i="1"/>
  <c r="U926" i="1"/>
  <c r="V926" i="1" s="1"/>
  <c r="M532" i="1"/>
  <c r="M201" i="1"/>
  <c r="Q108" i="7"/>
  <c r="M2637" i="1"/>
  <c r="R2637" i="1"/>
  <c r="U2637" i="1" s="1"/>
  <c r="V2637" i="1" s="1"/>
  <c r="T2533" i="1"/>
  <c r="U2533" i="1" s="1"/>
  <c r="V2533" i="1" s="1"/>
  <c r="M2533" i="1"/>
  <c r="R2421" i="1"/>
  <c r="T2421" i="1"/>
  <c r="U2421" i="1" s="1"/>
  <c r="V2421" i="1" s="1"/>
  <c r="M2017" i="1"/>
  <c r="T2017" i="1"/>
  <c r="U2017" i="1" s="1"/>
  <c r="V2017" i="1" s="1"/>
  <c r="R2017" i="1"/>
  <c r="M1977" i="1"/>
  <c r="R1977" i="1"/>
  <c r="T1977" i="1"/>
  <c r="U1977" i="1" s="1"/>
  <c r="V1977" i="1" s="1"/>
  <c r="R1827" i="1"/>
  <c r="M1827" i="1"/>
  <c r="T1827" i="1"/>
  <c r="U1827" i="1" s="1"/>
  <c r="V1827" i="1" s="1"/>
  <c r="M1406" i="1"/>
  <c r="T1993" i="1"/>
  <c r="U1993" i="1" s="1"/>
  <c r="V1993" i="1" s="1"/>
  <c r="R1993" i="1"/>
  <c r="M1993" i="1"/>
  <c r="R1520" i="1"/>
  <c r="T1520" i="1"/>
  <c r="U1520" i="1" s="1"/>
  <c r="V1520" i="1" s="1"/>
  <c r="T2001" i="1"/>
  <c r="U2001" i="1" s="1"/>
  <c r="V2001" i="1" s="1"/>
  <c r="R2001" i="1"/>
  <c r="M2001" i="1"/>
  <c r="T1604" i="1"/>
  <c r="U1604" i="1" s="1"/>
  <c r="V1604" i="1" s="1"/>
  <c r="R1604" i="1"/>
  <c r="M1604" i="1"/>
  <c r="R1496" i="1"/>
  <c r="T1496" i="1"/>
  <c r="U1496" i="1" s="1"/>
  <c r="V1496" i="1" s="1"/>
  <c r="M1061" i="1"/>
  <c r="T1061" i="1"/>
  <c r="U1061" i="1" s="1"/>
  <c r="V1061" i="1" s="1"/>
  <c r="R1243" i="1"/>
  <c r="T1243" i="1"/>
  <c r="U1243" i="1" s="1"/>
  <c r="V1243" i="1" s="1"/>
  <c r="M535" i="1"/>
  <c r="T535" i="1"/>
  <c r="U535" i="1" s="1"/>
  <c r="V535" i="1" s="1"/>
  <c r="R535" i="1"/>
  <c r="R922" i="1"/>
  <c r="M922" i="1"/>
  <c r="T922" i="1"/>
  <c r="U922" i="1" s="1"/>
  <c r="V922" i="1" s="1"/>
  <c r="M798" i="1"/>
  <c r="T798" i="1"/>
  <c r="U798" i="1" s="1"/>
  <c r="V798" i="1" s="1"/>
  <c r="R798" i="1"/>
  <c r="R672" i="1"/>
  <c r="M672" i="1"/>
  <c r="T672" i="1"/>
  <c r="U672" i="1" s="1"/>
  <c r="V672" i="1" s="1"/>
  <c r="R1051" i="1"/>
  <c r="T1051" i="1"/>
  <c r="U1051" i="1" s="1"/>
  <c r="V1051" i="1" s="1"/>
  <c r="T738" i="1"/>
  <c r="U738" i="1" s="1"/>
  <c r="V738" i="1" s="1"/>
  <c r="R738" i="1"/>
  <c r="T728" i="1"/>
  <c r="U728" i="1" s="1"/>
  <c r="V728" i="1" s="1"/>
  <c r="R728" i="1"/>
  <c r="M728" i="1"/>
  <c r="R640" i="1"/>
  <c r="R964" i="1"/>
  <c r="M964" i="1"/>
  <c r="T305" i="1"/>
  <c r="U305" i="1" s="1"/>
  <c r="V305" i="1" s="1"/>
  <c r="R305" i="1"/>
  <c r="M279" i="1"/>
  <c r="T279" i="1"/>
  <c r="U279" i="1" s="1"/>
  <c r="V279" i="1" s="1"/>
  <c r="R279" i="1"/>
  <c r="T345" i="1"/>
  <c r="U345" i="1" s="1"/>
  <c r="V345" i="1" s="1"/>
  <c r="R345" i="1"/>
  <c r="T234" i="1"/>
  <c r="U234" i="1" s="1"/>
  <c r="V234" i="1" s="1"/>
  <c r="R234" i="1"/>
  <c r="T163" i="1"/>
  <c r="U163" i="1" s="1"/>
  <c r="V163" i="1" s="1"/>
  <c r="R163" i="1"/>
  <c r="M163" i="1"/>
  <c r="M439" i="1"/>
  <c r="T439" i="1"/>
  <c r="U439" i="1" s="1"/>
  <c r="V439" i="1" s="1"/>
  <c r="R439" i="1"/>
  <c r="R503" i="1"/>
  <c r="T503" i="1"/>
  <c r="U503" i="1" s="1"/>
  <c r="V503" i="1" s="1"/>
  <c r="M503" i="1"/>
  <c r="T243" i="1"/>
  <c r="U243" i="1" s="1"/>
  <c r="V243" i="1" s="1"/>
  <c r="R243" i="1"/>
  <c r="M243" i="1"/>
  <c r="M2655" i="1"/>
  <c r="T2655" i="1"/>
  <c r="U2655" i="1" s="1"/>
  <c r="V2655" i="1" s="1"/>
  <c r="R2655" i="1"/>
  <c r="T2336" i="1"/>
  <c r="M2336" i="1"/>
  <c r="M1937" i="1"/>
  <c r="T1937" i="1"/>
  <c r="U1937" i="1" s="1"/>
  <c r="V1937" i="1" s="1"/>
  <c r="R1937" i="1"/>
  <c r="M1612" i="1"/>
  <c r="T1612" i="1"/>
  <c r="U1612" i="1" s="1"/>
  <c r="V1612" i="1" s="1"/>
  <c r="R1612" i="1"/>
  <c r="T1091" i="1"/>
  <c r="U1091" i="1" s="1"/>
  <c r="V1091" i="1" s="1"/>
  <c r="R1091" i="1"/>
  <c r="R1480" i="1"/>
  <c r="T1480" i="1"/>
  <c r="U1480" i="1" s="1"/>
  <c r="V1480" i="1" s="1"/>
  <c r="R297" i="1"/>
  <c r="T297" i="1"/>
  <c r="U297" i="1" s="1"/>
  <c r="V297" i="1" s="1"/>
  <c r="R343" i="1"/>
  <c r="M343" i="1"/>
  <c r="T343" i="1"/>
  <c r="U343" i="1" s="1"/>
  <c r="V343" i="1" s="1"/>
  <c r="T289" i="1"/>
  <c r="U289" i="1" s="1"/>
  <c r="V289" i="1" s="1"/>
  <c r="R289" i="1"/>
  <c r="R1393" i="1"/>
  <c r="M1393" i="1"/>
  <c r="R826" i="1"/>
  <c r="M826" i="1"/>
  <c r="M1848" i="1"/>
  <c r="U2653" i="1"/>
  <c r="V2653" i="1" s="1"/>
  <c r="R2336" i="1"/>
  <c r="U2444" i="1"/>
  <c r="V2444" i="1" s="1"/>
  <c r="U2308" i="1"/>
  <c r="V2308" i="1" s="1"/>
  <c r="U1810" i="1"/>
  <c r="V1810" i="1" s="1"/>
  <c r="U2595" i="1"/>
  <c r="V2595" i="1" s="1"/>
  <c r="U2140" i="1"/>
  <c r="V2140" i="1" s="1"/>
  <c r="U1690" i="1"/>
  <c r="V1690" i="1" s="1"/>
  <c r="M1091" i="1"/>
  <c r="M204" i="1"/>
  <c r="U280" i="1"/>
  <c r="V280" i="1" s="1"/>
  <c r="Q120" i="7"/>
  <c r="R2552" i="1"/>
  <c r="R2504" i="1"/>
  <c r="M2504" i="1"/>
  <c r="T2504" i="1"/>
  <c r="U2504" i="1" s="1"/>
  <c r="V2504" i="1" s="1"/>
  <c r="R2328" i="1"/>
  <c r="M2328" i="1"/>
  <c r="T2328" i="1"/>
  <c r="T2176" i="1"/>
  <c r="U2176" i="1" s="1"/>
  <c r="V2176" i="1" s="1"/>
  <c r="M2176" i="1"/>
  <c r="T2432" i="1"/>
  <c r="U2432" i="1" s="1"/>
  <c r="V2432" i="1" s="1"/>
  <c r="M2432" i="1"/>
  <c r="R2384" i="1"/>
  <c r="M2384" i="1"/>
  <c r="T2384" i="1"/>
  <c r="U2384" i="1" s="1"/>
  <c r="V2384" i="1" s="1"/>
  <c r="T2280" i="1"/>
  <c r="U2280" i="1" s="1"/>
  <c r="V2280" i="1" s="1"/>
  <c r="R2280" i="1"/>
  <c r="M2280" i="1"/>
  <c r="T2106" i="1"/>
  <c r="U2106" i="1" s="1"/>
  <c r="V2106" i="1" s="1"/>
  <c r="T2132" i="1"/>
  <c r="U2132" i="1" s="1"/>
  <c r="V2132" i="1" s="1"/>
  <c r="M2132" i="1"/>
  <c r="T2635" i="1"/>
  <c r="U2635" i="1" s="1"/>
  <c r="V2635" i="1" s="1"/>
  <c r="R2635" i="1"/>
  <c r="M2635" i="1"/>
  <c r="M1580" i="1"/>
  <c r="T1580" i="1"/>
  <c r="U1580" i="1" s="1"/>
  <c r="V1580" i="1" s="1"/>
  <c r="R1580" i="1"/>
  <c r="T1528" i="1"/>
  <c r="U1528" i="1" s="1"/>
  <c r="V1528" i="1" s="1"/>
  <c r="R1528" i="1"/>
  <c r="T1398" i="1"/>
  <c r="U1398" i="1" s="1"/>
  <c r="V1398" i="1" s="1"/>
  <c r="R1398" i="1"/>
  <c r="M1398" i="1"/>
  <c r="T977" i="1"/>
  <c r="U977" i="1" s="1"/>
  <c r="V977" i="1" s="1"/>
  <c r="R977" i="1"/>
  <c r="M977" i="1"/>
  <c r="T1684" i="1"/>
  <c r="U1684" i="1" s="1"/>
  <c r="V1684" i="1" s="1"/>
  <c r="R1684" i="1"/>
  <c r="M1684" i="1"/>
  <c r="R1208" i="1"/>
  <c r="T1208" i="1"/>
  <c r="U1208" i="1" s="1"/>
  <c r="V1208" i="1" s="1"/>
  <c r="R1712" i="1"/>
  <c r="T1712" i="1"/>
  <c r="U1712" i="1" s="1"/>
  <c r="V1712" i="1" s="1"/>
  <c r="T1057" i="1"/>
  <c r="U1057" i="1" s="1"/>
  <c r="V1057" i="1" s="1"/>
  <c r="M1057" i="1"/>
  <c r="R1248" i="1"/>
  <c r="T1248" i="1"/>
  <c r="U1248" i="1" s="1"/>
  <c r="V1248" i="1" s="1"/>
  <c r="R736" i="1"/>
  <c r="M736" i="1"/>
  <c r="T736" i="1"/>
  <c r="U736" i="1" s="1"/>
  <c r="V736" i="1" s="1"/>
  <c r="R989" i="1"/>
  <c r="T989" i="1"/>
  <c r="U989" i="1" s="1"/>
  <c r="V989" i="1" s="1"/>
  <c r="M989" i="1"/>
  <c r="T624" i="1"/>
  <c r="U624" i="1" s="1"/>
  <c r="V624" i="1" s="1"/>
  <c r="M624" i="1"/>
  <c r="T778" i="1"/>
  <c r="U778" i="1" s="1"/>
  <c r="V778" i="1" s="1"/>
  <c r="R778" i="1"/>
  <c r="M778" i="1"/>
  <c r="T632" i="1"/>
  <c r="U632" i="1" s="1"/>
  <c r="V632" i="1" s="1"/>
  <c r="M632" i="1"/>
  <c r="T696" i="1"/>
  <c r="U696" i="1" s="1"/>
  <c r="V696" i="1" s="1"/>
  <c r="R696" i="1"/>
  <c r="M696" i="1"/>
  <c r="M171" i="1"/>
  <c r="R171" i="1"/>
  <c r="T171" i="1"/>
  <c r="U171" i="1" s="1"/>
  <c r="V171" i="1" s="1"/>
  <c r="T806" i="1"/>
  <c r="U806" i="1" s="1"/>
  <c r="V806" i="1" s="1"/>
  <c r="R806" i="1"/>
  <c r="M806" i="1"/>
  <c r="T335" i="1"/>
  <c r="U335" i="1" s="1"/>
  <c r="V335" i="1" s="1"/>
  <c r="R335" i="1"/>
  <c r="M335" i="1"/>
  <c r="T367" i="1"/>
  <c r="U367" i="1" s="1"/>
  <c r="V367" i="1" s="1"/>
  <c r="R367" i="1"/>
  <c r="M367" i="1"/>
  <c r="U2172" i="1"/>
  <c r="V2172" i="1" s="1"/>
  <c r="M1713" i="1"/>
  <c r="M1480" i="1"/>
  <c r="R1713" i="1"/>
  <c r="U1946" i="1"/>
  <c r="V1946" i="1" s="1"/>
  <c r="U492" i="1"/>
  <c r="V492" i="1" s="1"/>
  <c r="U520" i="1"/>
  <c r="V520" i="1" s="1"/>
  <c r="Q132" i="7"/>
  <c r="R2526" i="1"/>
  <c r="M2526" i="1"/>
  <c r="M2320" i="1"/>
  <c r="T2320" i="1"/>
  <c r="U2320" i="1" s="1"/>
  <c r="V2320" i="1" s="1"/>
  <c r="R2557" i="1"/>
  <c r="M2557" i="1"/>
  <c r="T2557" i="1"/>
  <c r="U2557" i="1" s="1"/>
  <c r="V2557" i="1" s="1"/>
  <c r="R2413" i="1"/>
  <c r="T2413" i="1"/>
  <c r="U2413" i="1" s="1"/>
  <c r="V2413" i="1" s="1"/>
  <c r="T1801" i="1"/>
  <c r="U1801" i="1" s="1"/>
  <c r="V1801" i="1" s="1"/>
  <c r="M1801" i="1"/>
  <c r="T1628" i="1"/>
  <c r="U1628" i="1" s="1"/>
  <c r="V1628" i="1" s="1"/>
  <c r="R1628" i="1"/>
  <c r="M1628" i="1"/>
  <c r="T1518" i="1"/>
  <c r="U1518" i="1" s="1"/>
  <c r="V1518" i="1" s="1"/>
  <c r="R1518" i="1"/>
  <c r="M1518" i="1"/>
  <c r="T1588" i="1"/>
  <c r="U1588" i="1" s="1"/>
  <c r="V1588" i="1" s="1"/>
  <c r="R1588" i="1"/>
  <c r="M1588" i="1"/>
  <c r="M407" i="1"/>
  <c r="T407" i="1"/>
  <c r="U407" i="1" s="1"/>
  <c r="V407" i="1" s="1"/>
  <c r="R407" i="1"/>
  <c r="R1401" i="1"/>
  <c r="T1401" i="1"/>
  <c r="U1401" i="1" s="1"/>
  <c r="V1401" i="1" s="1"/>
  <c r="T1009" i="1"/>
  <c r="U1009" i="1" s="1"/>
  <c r="V1009" i="1" s="1"/>
  <c r="R1009" i="1"/>
  <c r="M1009" i="1"/>
  <c r="T720" i="1"/>
  <c r="U720" i="1" s="1"/>
  <c r="V720" i="1" s="1"/>
  <c r="R720" i="1"/>
  <c r="M720" i="1"/>
  <c r="T814" i="1"/>
  <c r="U814" i="1" s="1"/>
  <c r="V814" i="1" s="1"/>
  <c r="R814" i="1"/>
  <c r="M814" i="1"/>
  <c r="T945" i="1"/>
  <c r="U945" i="1" s="1"/>
  <c r="V945" i="1" s="1"/>
  <c r="R945" i="1"/>
  <c r="M945" i="1"/>
  <c r="M27" i="1"/>
  <c r="T27" i="1"/>
  <c r="U27" i="1" s="1"/>
  <c r="V27" i="1" s="1"/>
  <c r="R27" i="1"/>
  <c r="M356" i="1"/>
  <c r="R356" i="1"/>
  <c r="T610" i="1"/>
  <c r="U610" i="1" s="1"/>
  <c r="V610" i="1" s="1"/>
  <c r="R610" i="1"/>
  <c r="M610" i="1"/>
  <c r="R953" i="1"/>
  <c r="T953" i="1"/>
  <c r="U953" i="1" s="1"/>
  <c r="V953" i="1" s="1"/>
  <c r="M953" i="1"/>
  <c r="T67" i="1"/>
  <c r="U67" i="1" s="1"/>
  <c r="V67" i="1" s="1"/>
  <c r="R67" i="1"/>
  <c r="M67" i="1"/>
  <c r="T128" i="1"/>
  <c r="U128" i="1" s="1"/>
  <c r="V128" i="1" s="1"/>
  <c r="R128" i="1"/>
  <c r="M128" i="1"/>
  <c r="T2052" i="1"/>
  <c r="U2052" i="1" s="1"/>
  <c r="V2052" i="1" s="1"/>
  <c r="M1381" i="1"/>
  <c r="M831" i="1"/>
  <c r="R2051" i="1"/>
  <c r="R530" i="1"/>
  <c r="R504" i="1"/>
  <c r="R516" i="1"/>
  <c r="Q111" i="7"/>
  <c r="Q204" i="7"/>
  <c r="T2651" i="1"/>
  <c r="U2651" i="1" s="1"/>
  <c r="V2651" i="1" s="1"/>
  <c r="R2651" i="1"/>
  <c r="M2651" i="1"/>
  <c r="T2703" i="1"/>
  <c r="U2703" i="1" s="1"/>
  <c r="V2703" i="1" s="1"/>
  <c r="R2703" i="1"/>
  <c r="M2703" i="1"/>
  <c r="M2304" i="1"/>
  <c r="T2304" i="1"/>
  <c r="U2304" i="1" s="1"/>
  <c r="V2304" i="1" s="1"/>
  <c r="T2472" i="1"/>
  <c r="U2472" i="1" s="1"/>
  <c r="V2472" i="1" s="1"/>
  <c r="R2472" i="1"/>
  <c r="M2472" i="1"/>
  <c r="T2272" i="1"/>
  <c r="U2272" i="1" s="1"/>
  <c r="V2272" i="1" s="1"/>
  <c r="R2272" i="1"/>
  <c r="M2272" i="1"/>
  <c r="R2663" i="1"/>
  <c r="M2663" i="1"/>
  <c r="T2597" i="1"/>
  <c r="U2597" i="1" s="1"/>
  <c r="V2597" i="1" s="1"/>
  <c r="R2597" i="1"/>
  <c r="M2597" i="1"/>
  <c r="T1881" i="1"/>
  <c r="U1881" i="1" s="1"/>
  <c r="V1881" i="1" s="1"/>
  <c r="R1881" i="1"/>
  <c r="M1881" i="1"/>
  <c r="M2643" i="1"/>
  <c r="R2643" i="1"/>
  <c r="T2643" i="1"/>
  <c r="U2643" i="1" s="1"/>
  <c r="V2643" i="1" s="1"/>
  <c r="R2232" i="1"/>
  <c r="T2232" i="1"/>
  <c r="U2232" i="1" s="1"/>
  <c r="V2232" i="1" s="1"/>
  <c r="M2232" i="1"/>
  <c r="M2116" i="1"/>
  <c r="T2682" i="1"/>
  <c r="U2682" i="1" s="1"/>
  <c r="V2682" i="1" s="1"/>
  <c r="M2682" i="1"/>
  <c r="R2072" i="1"/>
  <c r="T2072" i="1"/>
  <c r="U2072" i="1" s="1"/>
  <c r="V2072" i="1" s="1"/>
  <c r="T972" i="1"/>
  <c r="U972" i="1" s="1"/>
  <c r="V972" i="1" s="1"/>
  <c r="R972" i="1"/>
  <c r="T1035" i="1"/>
  <c r="U1035" i="1" s="1"/>
  <c r="V1035" i="1" s="1"/>
  <c r="R1035" i="1"/>
  <c r="R1672" i="1"/>
  <c r="T1672" i="1"/>
  <c r="U1672" i="1" s="1"/>
  <c r="V1672" i="1" s="1"/>
  <c r="R1083" i="1"/>
  <c r="T1083" i="1"/>
  <c r="U1083" i="1" s="1"/>
  <c r="V1083" i="1" s="1"/>
  <c r="R1331" i="1"/>
  <c r="T1331" i="1"/>
  <c r="U1331" i="1" s="1"/>
  <c r="V1331" i="1" s="1"/>
  <c r="M479" i="1"/>
  <c r="T479" i="1"/>
  <c r="U479" i="1" s="1"/>
  <c r="V479" i="1" s="1"/>
  <c r="R479" i="1"/>
  <c r="R906" i="1"/>
  <c r="M906" i="1"/>
  <c r="T906" i="1"/>
  <c r="U906" i="1" s="1"/>
  <c r="V906" i="1" s="1"/>
  <c r="M782" i="1"/>
  <c r="T782" i="1"/>
  <c r="U782" i="1" s="1"/>
  <c r="V782" i="1" s="1"/>
  <c r="R782" i="1"/>
  <c r="R1200" i="1"/>
  <c r="T1200" i="1"/>
  <c r="U1200" i="1" s="1"/>
  <c r="V1200" i="1" s="1"/>
  <c r="T766" i="1"/>
  <c r="U766" i="1" s="1"/>
  <c r="V766" i="1" s="1"/>
  <c r="R766" i="1"/>
  <c r="M766" i="1"/>
  <c r="T321" i="1"/>
  <c r="U321" i="1" s="1"/>
  <c r="V321" i="1" s="1"/>
  <c r="R321" i="1"/>
  <c r="M144" i="1"/>
  <c r="T144" i="1"/>
  <c r="U144" i="1" s="1"/>
  <c r="V144" i="1" s="1"/>
  <c r="R144" i="1"/>
  <c r="R219" i="1"/>
  <c r="M219" i="1"/>
  <c r="T219" i="1"/>
  <c r="U219" i="1" s="1"/>
  <c r="V219" i="1" s="1"/>
  <c r="M961" i="1"/>
  <c r="T961" i="1"/>
  <c r="U961" i="1" s="1"/>
  <c r="V961" i="1" s="1"/>
  <c r="R961" i="1"/>
  <c r="R1664" i="1"/>
  <c r="T1664" i="1"/>
  <c r="U1664" i="1" s="1"/>
  <c r="V1664" i="1" s="1"/>
  <c r="R267" i="1"/>
  <c r="M267" i="1"/>
  <c r="U2679" i="1"/>
  <c r="V2679" i="1" s="1"/>
  <c r="T1381" i="1"/>
  <c r="U1381" i="1" s="1"/>
  <c r="V1381" i="1" s="1"/>
  <c r="U1324" i="1"/>
  <c r="V1324" i="1" s="1"/>
  <c r="M2051" i="1"/>
  <c r="R919" i="1"/>
  <c r="U619" i="1"/>
  <c r="V619" i="1" s="1"/>
  <c r="R379" i="1"/>
  <c r="M504" i="1"/>
  <c r="M516" i="1"/>
  <c r="Q63" i="7"/>
  <c r="Q123" i="7"/>
  <c r="T2108" i="1"/>
  <c r="U2108" i="1" s="1"/>
  <c r="V2108" i="1" s="1"/>
  <c r="R2108" i="1"/>
  <c r="M2108" i="1"/>
  <c r="R1785" i="1"/>
  <c r="R2544" i="1"/>
  <c r="T1516" i="1"/>
  <c r="U1516" i="1" s="1"/>
  <c r="V1516" i="1" s="1"/>
  <c r="M1516" i="1"/>
  <c r="T1540" i="1"/>
  <c r="U1540" i="1" s="1"/>
  <c r="V1540" i="1" s="1"/>
  <c r="M1540" i="1"/>
  <c r="T1043" i="1"/>
  <c r="U1043" i="1" s="1"/>
  <c r="V1043" i="1" s="1"/>
  <c r="R1043" i="1"/>
  <c r="R1568" i="1"/>
  <c r="T1568" i="1"/>
  <c r="U1568" i="1" s="1"/>
  <c r="V1568" i="1" s="1"/>
  <c r="T1037" i="1"/>
  <c r="U1037" i="1" s="1"/>
  <c r="V1037" i="1" s="1"/>
  <c r="M1037" i="1"/>
  <c r="R1418" i="1"/>
  <c r="R1105" i="1"/>
  <c r="U1105" i="1" s="1"/>
  <c r="V1105" i="1" s="1"/>
  <c r="M594" i="1"/>
  <c r="T594" i="1"/>
  <c r="U594" i="1" s="1"/>
  <c r="V594" i="1" s="1"/>
  <c r="R594" i="1"/>
  <c r="R1280" i="1"/>
  <c r="T1280" i="1"/>
  <c r="U1280" i="1" s="1"/>
  <c r="V1280" i="1" s="1"/>
  <c r="T712" i="1"/>
  <c r="U712" i="1" s="1"/>
  <c r="V712" i="1" s="1"/>
  <c r="R712" i="1"/>
  <c r="M712" i="1"/>
  <c r="R259" i="1"/>
  <c r="M259" i="1"/>
  <c r="T259" i="1"/>
  <c r="U259" i="1" s="1"/>
  <c r="V259" i="1" s="1"/>
  <c r="R323" i="1"/>
  <c r="T323" i="1"/>
  <c r="U323" i="1" s="1"/>
  <c r="V323" i="1" s="1"/>
  <c r="T626" i="1"/>
  <c r="U626" i="1" s="1"/>
  <c r="V626" i="1" s="1"/>
  <c r="R626" i="1"/>
  <c r="M626" i="1"/>
  <c r="T634" i="1"/>
  <c r="U634" i="1" s="1"/>
  <c r="V634" i="1" s="1"/>
  <c r="R634" i="1"/>
  <c r="M634" i="1"/>
  <c r="T257" i="1"/>
  <c r="U257" i="1" s="1"/>
  <c r="V257" i="1" s="1"/>
  <c r="R257" i="1"/>
  <c r="U2316" i="1"/>
  <c r="V2316" i="1" s="1"/>
  <c r="R1975" i="1"/>
  <c r="U1850" i="1"/>
  <c r="V1850" i="1" s="1"/>
  <c r="M1445" i="1"/>
  <c r="U1507" i="1"/>
  <c r="V1507" i="1" s="1"/>
  <c r="U1165" i="1"/>
  <c r="V1165" i="1" s="1"/>
  <c r="R687" i="1"/>
  <c r="U687" i="1" s="1"/>
  <c r="V687" i="1" s="1"/>
  <c r="M268" i="1"/>
  <c r="U583" i="1"/>
  <c r="V583" i="1" s="1"/>
  <c r="Q75" i="7"/>
  <c r="Q114" i="7"/>
  <c r="M2512" i="1"/>
  <c r="T2512" i="1"/>
  <c r="U2512" i="1" s="1"/>
  <c r="V2512" i="1" s="1"/>
  <c r="R2461" i="1"/>
  <c r="T2461" i="1"/>
  <c r="U2461" i="1" s="1"/>
  <c r="V2461" i="1" s="1"/>
  <c r="R2148" i="1"/>
  <c r="U2148" i="1" s="1"/>
  <c r="V2148" i="1" s="1"/>
  <c r="T2056" i="1"/>
  <c r="U2056" i="1" s="1"/>
  <c r="V2056" i="1" s="1"/>
  <c r="R2056" i="1"/>
  <c r="R1500" i="1"/>
  <c r="R1516" i="1"/>
  <c r="T1744" i="1"/>
  <c r="U1744" i="1" s="1"/>
  <c r="V1744" i="1" s="1"/>
  <c r="R1744" i="1"/>
  <c r="M1744" i="1"/>
  <c r="R1540" i="1"/>
  <c r="T1377" i="1"/>
  <c r="U1377" i="1" s="1"/>
  <c r="V1377" i="1" s="1"/>
  <c r="R1377" i="1"/>
  <c r="M1377" i="1"/>
  <c r="M1145" i="1"/>
  <c r="T1145" i="1"/>
  <c r="U1145" i="1" s="1"/>
  <c r="V1145" i="1" s="1"/>
  <c r="T1366" i="1"/>
  <c r="U1366" i="1" s="1"/>
  <c r="V1366" i="1" s="1"/>
  <c r="T1153" i="1"/>
  <c r="U1153" i="1" s="1"/>
  <c r="V1153" i="1" s="1"/>
  <c r="M1153" i="1"/>
  <c r="R1380" i="1"/>
  <c r="U1380" i="1" s="1"/>
  <c r="V1380" i="1" s="1"/>
  <c r="T890" i="1"/>
  <c r="R890" i="1"/>
  <c r="M890" i="1"/>
  <c r="T1020" i="1"/>
  <c r="U1020" i="1" s="1"/>
  <c r="V1020" i="1" s="1"/>
  <c r="R1020" i="1"/>
  <c r="T313" i="1"/>
  <c r="U313" i="1" s="1"/>
  <c r="V313" i="1" s="1"/>
  <c r="R313" i="1"/>
  <c r="R307" i="1"/>
  <c r="M307" i="1"/>
  <c r="T283" i="1"/>
  <c r="U283" i="1" s="1"/>
  <c r="V283" i="1" s="1"/>
  <c r="R283" i="1"/>
  <c r="M283" i="1"/>
  <c r="T299" i="1"/>
  <c r="U299" i="1" s="1"/>
  <c r="V299" i="1" s="1"/>
  <c r="R299" i="1"/>
  <c r="M299" i="1"/>
  <c r="T155" i="1"/>
  <c r="U155" i="1" s="1"/>
  <c r="V155" i="1" s="1"/>
  <c r="R155" i="1"/>
  <c r="M155" i="1"/>
  <c r="T329" i="1"/>
  <c r="U329" i="1" s="1"/>
  <c r="V329" i="1" s="1"/>
  <c r="R329" i="1"/>
  <c r="R2503" i="1"/>
  <c r="U2503" i="1" s="1"/>
  <c r="V2503" i="1" s="1"/>
  <c r="R1992" i="1"/>
  <c r="M1975" i="1"/>
  <c r="U1838" i="1"/>
  <c r="V1838" i="1" s="1"/>
  <c r="T1445" i="1"/>
  <c r="U1445" i="1" s="1"/>
  <c r="V1445" i="1" s="1"/>
  <c r="R1293" i="1"/>
  <c r="R831" i="1"/>
  <c r="M995" i="1"/>
  <c r="M530" i="1"/>
  <c r="U611" i="1"/>
  <c r="V611" i="1" s="1"/>
  <c r="R601" i="1"/>
  <c r="U476" i="1"/>
  <c r="V476" i="1" s="1"/>
  <c r="Q87" i="7"/>
  <c r="Q135" i="7"/>
  <c r="T2565" i="1"/>
  <c r="U2565" i="1" s="1"/>
  <c r="V2565" i="1" s="1"/>
  <c r="R2565" i="1"/>
  <c r="M2565" i="1"/>
  <c r="R2578" i="1"/>
  <c r="T2578" i="1"/>
  <c r="U2578" i="1" s="1"/>
  <c r="V2578" i="1" s="1"/>
  <c r="R2559" i="1"/>
  <c r="M2559" i="1"/>
  <c r="T2677" i="1"/>
  <c r="U2677" i="1" s="1"/>
  <c r="V2677" i="1" s="1"/>
  <c r="R2677" i="1"/>
  <c r="M2677" i="1"/>
  <c r="T2033" i="1"/>
  <c r="M1777" i="1"/>
  <c r="T1777" i="1"/>
  <c r="U1777" i="1" s="1"/>
  <c r="V1777" i="1" s="1"/>
  <c r="R1600" i="1"/>
  <c r="T1600" i="1"/>
  <c r="U1600" i="1" s="1"/>
  <c r="V1600" i="1" s="1"/>
  <c r="R1504" i="1"/>
  <c r="T1504" i="1"/>
  <c r="U1504" i="1" s="1"/>
  <c r="V1504" i="1" s="1"/>
  <c r="R1632" i="1"/>
  <c r="T1632" i="1"/>
  <c r="U1632" i="1" s="1"/>
  <c r="V1632" i="1" s="1"/>
  <c r="R1291" i="1"/>
  <c r="T1291" i="1"/>
  <c r="U1291" i="1" s="1"/>
  <c r="V1291" i="1" s="1"/>
  <c r="T965" i="1"/>
  <c r="U965" i="1" s="1"/>
  <c r="V965" i="1" s="1"/>
  <c r="R965" i="1"/>
  <c r="M965" i="1"/>
  <c r="T688" i="1"/>
  <c r="U688" i="1" s="1"/>
  <c r="V688" i="1" s="1"/>
  <c r="R688" i="1"/>
  <c r="M688" i="1"/>
  <c r="R423" i="1"/>
  <c r="T423" i="1"/>
  <c r="U423" i="1" s="1"/>
  <c r="V423" i="1" s="1"/>
  <c r="M423" i="1"/>
  <c r="R139" i="1"/>
  <c r="M139" i="1"/>
  <c r="T139" i="1"/>
  <c r="U139" i="1" s="1"/>
  <c r="V139" i="1" s="1"/>
  <c r="T471" i="1"/>
  <c r="U471" i="1" s="1"/>
  <c r="V471" i="1" s="1"/>
  <c r="R471" i="1"/>
  <c r="M471" i="1"/>
  <c r="R265" i="1"/>
  <c r="T265" i="1"/>
  <c r="U265" i="1" s="1"/>
  <c r="V265" i="1" s="1"/>
  <c r="U2124" i="1"/>
  <c r="V2124" i="1" s="1"/>
  <c r="M1293" i="1"/>
  <c r="M555" i="1"/>
  <c r="M601" i="1"/>
  <c r="Q99" i="7"/>
  <c r="Q126" i="7"/>
  <c r="M2513" i="1"/>
  <c r="M2256" i="1"/>
  <c r="T2256" i="1"/>
  <c r="U2256" i="1" s="1"/>
  <c r="V2256" i="1" s="1"/>
  <c r="R2562" i="1"/>
  <c r="T2562" i="1"/>
  <c r="U2562" i="1" s="1"/>
  <c r="V2562" i="1" s="1"/>
  <c r="R2376" i="1"/>
  <c r="M2376" i="1"/>
  <c r="T2376" i="1"/>
  <c r="U2376" i="1" s="1"/>
  <c r="V2376" i="1" s="1"/>
  <c r="T2589" i="1"/>
  <c r="U2589" i="1" s="1"/>
  <c r="V2589" i="1" s="1"/>
  <c r="M2589" i="1"/>
  <c r="R2589" i="1"/>
  <c r="R2098" i="1"/>
  <c r="M2098" i="1"/>
  <c r="T2496" i="1"/>
  <c r="U2496" i="1" s="1"/>
  <c r="V2496" i="1" s="1"/>
  <c r="R2496" i="1"/>
  <c r="M2496" i="1"/>
  <c r="R1777" i="1"/>
  <c r="T2025" i="1"/>
  <c r="U2025" i="1" s="1"/>
  <c r="V2025" i="1" s="1"/>
  <c r="T1905" i="1"/>
  <c r="U1905" i="1" s="1"/>
  <c r="V1905" i="1" s="1"/>
  <c r="R1905" i="1"/>
  <c r="M1905" i="1"/>
  <c r="R1339" i="1"/>
  <c r="T1339" i="1"/>
  <c r="U1339" i="1" s="1"/>
  <c r="V1339" i="1" s="1"/>
  <c r="T2062" i="1"/>
  <c r="U2062" i="1" s="1"/>
  <c r="V2062" i="1" s="1"/>
  <c r="R2062" i="1"/>
  <c r="M2062" i="1"/>
  <c r="T1536" i="1"/>
  <c r="U1536" i="1" s="1"/>
  <c r="V1536" i="1" s="1"/>
  <c r="R1536" i="1"/>
  <c r="T1747" i="1"/>
  <c r="U1747" i="1" s="1"/>
  <c r="V1747" i="1" s="1"/>
  <c r="R1747" i="1"/>
  <c r="M1747" i="1"/>
  <c r="R1640" i="1"/>
  <c r="T1640" i="1"/>
  <c r="U1640" i="1" s="1"/>
  <c r="V1640" i="1" s="1"/>
  <c r="T1370" i="1"/>
  <c r="U1370" i="1" s="1"/>
  <c r="V1370" i="1" s="1"/>
  <c r="R1370" i="1"/>
  <c r="M1370" i="1"/>
  <c r="R1259" i="1"/>
  <c r="T1259" i="1"/>
  <c r="U1259" i="1" s="1"/>
  <c r="V1259" i="1" s="1"/>
  <c r="R1075" i="1"/>
  <c r="T1075" i="1"/>
  <c r="U1075" i="1" s="1"/>
  <c r="V1075" i="1" s="1"/>
  <c r="R1067" i="1"/>
  <c r="T1067" i="1"/>
  <c r="U1067" i="1" s="1"/>
  <c r="V1067" i="1" s="1"/>
  <c r="R1195" i="1"/>
  <c r="T1195" i="1"/>
  <c r="U1195" i="1" s="1"/>
  <c r="V1195" i="1" s="1"/>
  <c r="T519" i="1"/>
  <c r="U519" i="1" s="1"/>
  <c r="V519" i="1" s="1"/>
  <c r="R519" i="1"/>
  <c r="M519" i="1"/>
  <c r="T730" i="1"/>
  <c r="U730" i="1" s="1"/>
  <c r="V730" i="1" s="1"/>
  <c r="R730" i="1"/>
  <c r="M730" i="1"/>
  <c r="T666" i="1"/>
  <c r="U666" i="1" s="1"/>
  <c r="V666" i="1" s="1"/>
  <c r="R666" i="1"/>
  <c r="R104" i="1"/>
  <c r="M104" i="1"/>
  <c r="T104" i="1"/>
  <c r="U104" i="1" s="1"/>
  <c r="V104" i="1" s="1"/>
  <c r="T592" i="1"/>
  <c r="U592" i="1" s="1"/>
  <c r="V592" i="1" s="1"/>
  <c r="M592" i="1"/>
  <c r="T327" i="1"/>
  <c r="U327" i="1" s="1"/>
  <c r="V327" i="1" s="1"/>
  <c r="R327" i="1"/>
  <c r="M327" i="1"/>
  <c r="R1179" i="1"/>
  <c r="T1179" i="1"/>
  <c r="U1179" i="1" s="1"/>
  <c r="V1179" i="1" s="1"/>
  <c r="M2488" i="1"/>
  <c r="T2488" i="1"/>
  <c r="U2488" i="1" s="1"/>
  <c r="V2488" i="1" s="1"/>
  <c r="R2488" i="1"/>
  <c r="T1921" i="1"/>
  <c r="U1921" i="1" s="1"/>
  <c r="V1921" i="1" s="1"/>
  <c r="R1921" i="1"/>
  <c r="M1921" i="1"/>
  <c r="R2064" i="1"/>
  <c r="T2064" i="1"/>
  <c r="U2064" i="1" s="1"/>
  <c r="V2064" i="1" s="1"/>
  <c r="T1564" i="1"/>
  <c r="U1564" i="1" s="1"/>
  <c r="V1564" i="1" s="1"/>
  <c r="M1564" i="1"/>
  <c r="R1131" i="1"/>
  <c r="T1131" i="1"/>
  <c r="U1131" i="1" s="1"/>
  <c r="V1131" i="1" s="1"/>
  <c r="R746" i="1"/>
  <c r="T746" i="1"/>
  <c r="U746" i="1" s="1"/>
  <c r="V746" i="1" s="1"/>
  <c r="R1560" i="1"/>
  <c r="T1560" i="1"/>
  <c r="U1560" i="1" s="1"/>
  <c r="V1560" i="1" s="1"/>
  <c r="T648" i="1"/>
  <c r="U648" i="1" s="1"/>
  <c r="V648" i="1" s="1"/>
  <c r="M648" i="1"/>
  <c r="T664" i="1"/>
  <c r="U664" i="1" s="1"/>
  <c r="V664" i="1" s="1"/>
  <c r="R664" i="1"/>
  <c r="M664" i="1"/>
  <c r="T704" i="1"/>
  <c r="U704" i="1" s="1"/>
  <c r="V704" i="1" s="1"/>
  <c r="R704" i="1"/>
  <c r="M704" i="1"/>
  <c r="T722" i="1"/>
  <c r="U722" i="1" s="1"/>
  <c r="V722" i="1" s="1"/>
  <c r="R722" i="1"/>
  <c r="T319" i="1"/>
  <c r="U319" i="1" s="1"/>
  <c r="V319" i="1" s="1"/>
  <c r="R319" i="1"/>
  <c r="M319" i="1"/>
  <c r="T229" i="1"/>
  <c r="U229" i="1" s="1"/>
  <c r="V229" i="1" s="1"/>
  <c r="R229" i="1"/>
  <c r="T455" i="1"/>
  <c r="U455" i="1" s="1"/>
  <c r="V455" i="1" s="1"/>
  <c r="R455" i="1"/>
  <c r="M455" i="1"/>
  <c r="R2295" i="1"/>
  <c r="R2319" i="1"/>
  <c r="M2606" i="1"/>
  <c r="M2295" i="1"/>
  <c r="M2319" i="1"/>
  <c r="T2606" i="1"/>
  <c r="U2606" i="1" s="1"/>
  <c r="V2606" i="1" s="1"/>
  <c r="M2503" i="1"/>
  <c r="R2089" i="1"/>
  <c r="M2522" i="1"/>
  <c r="M1992" i="1"/>
  <c r="R2123" i="1"/>
  <c r="M2089" i="1"/>
  <c r="U1790" i="1"/>
  <c r="V1790" i="1" s="1"/>
  <c r="U1938" i="1"/>
  <c r="V1938" i="1" s="1"/>
  <c r="U1982" i="1"/>
  <c r="V1982" i="1" s="1"/>
  <c r="U1950" i="1"/>
  <c r="V1950" i="1" s="1"/>
  <c r="U1930" i="1"/>
  <c r="V1930" i="1" s="1"/>
  <c r="U1579" i="1"/>
  <c r="V1579" i="1" s="1"/>
  <c r="R1358" i="1"/>
  <c r="R1384" i="1"/>
  <c r="U1384" i="1" s="1"/>
  <c r="V1384" i="1" s="1"/>
  <c r="M1016" i="1"/>
  <c r="U1197" i="1"/>
  <c r="V1197" i="1" s="1"/>
  <c r="U1523" i="1"/>
  <c r="V1523" i="1" s="1"/>
  <c r="U1209" i="1"/>
  <c r="V1209" i="1" s="1"/>
  <c r="M746" i="1"/>
  <c r="U1113" i="1"/>
  <c r="V1113" i="1" s="1"/>
  <c r="U603" i="1"/>
  <c r="V603" i="1" s="1"/>
  <c r="U615" i="1"/>
  <c r="V615" i="1" s="1"/>
  <c r="T587" i="1"/>
  <c r="U655" i="1"/>
  <c r="V655" i="1" s="1"/>
  <c r="U488" i="1"/>
  <c r="V488" i="1" s="1"/>
  <c r="U312" i="1"/>
  <c r="V312" i="1" s="1"/>
  <c r="T268" i="1"/>
  <c r="U268" i="1" s="1"/>
  <c r="V268" i="1" s="1"/>
  <c r="Q90" i="7"/>
  <c r="Q138" i="7"/>
  <c r="U192" i="1"/>
  <c r="V192" i="1" s="1"/>
  <c r="R270" i="1"/>
  <c r="T2144" i="1"/>
  <c r="R2144" i="1"/>
  <c r="M2144" i="1"/>
  <c r="M2621" i="1"/>
  <c r="T2621" i="1"/>
  <c r="U2621" i="1" s="1"/>
  <c r="V2621" i="1" s="1"/>
  <c r="R2621" i="1"/>
  <c r="T2424" i="1"/>
  <c r="R2424" i="1"/>
  <c r="M2424" i="1"/>
  <c r="T2098" i="1"/>
  <c r="U2098" i="1" s="1"/>
  <c r="V2098" i="1" s="1"/>
  <c r="T1147" i="1"/>
  <c r="U1147" i="1" s="1"/>
  <c r="V1147" i="1" s="1"/>
  <c r="R1147" i="1"/>
  <c r="T1240" i="1"/>
  <c r="U1240" i="1" s="1"/>
  <c r="V1240" i="1" s="1"/>
  <c r="R1240" i="1"/>
  <c r="R1410" i="1"/>
  <c r="R592" i="1"/>
  <c r="T1028" i="1"/>
  <c r="U1028" i="1" s="1"/>
  <c r="V1028" i="1" s="1"/>
  <c r="R1028" i="1"/>
  <c r="M1028" i="1"/>
  <c r="T391" i="1"/>
  <c r="U391" i="1" s="1"/>
  <c r="V391" i="1" s="1"/>
  <c r="R391" i="1"/>
  <c r="M391" i="1"/>
  <c r="T91" i="1"/>
  <c r="U91" i="1" s="1"/>
  <c r="V91" i="1" s="1"/>
  <c r="R91" i="1"/>
  <c r="M91" i="1"/>
  <c r="T2522" i="1"/>
  <c r="U2522" i="1" s="1"/>
  <c r="V2522" i="1" s="1"/>
  <c r="R2303" i="1"/>
  <c r="M2123" i="1"/>
  <c r="U1587" i="1"/>
  <c r="V1587" i="1" s="1"/>
  <c r="M1384" i="1"/>
  <c r="T1016" i="1"/>
  <c r="U1016" i="1" s="1"/>
  <c r="V1016" i="1" s="1"/>
  <c r="U854" i="1"/>
  <c r="V854" i="1" s="1"/>
  <c r="M821" i="1"/>
  <c r="M587" i="1"/>
  <c r="U416" i="1"/>
  <c r="V416" i="1" s="1"/>
  <c r="Q102" i="7"/>
  <c r="Q129" i="7"/>
  <c r="M270" i="1"/>
  <c r="M2573" i="1"/>
  <c r="R2573" i="1"/>
  <c r="T2573" i="1"/>
  <c r="U2573" i="1" s="1"/>
  <c r="V2573" i="1" s="1"/>
  <c r="T2240" i="1"/>
  <c r="U2240" i="1" s="1"/>
  <c r="V2240" i="1" s="1"/>
  <c r="R2240" i="1"/>
  <c r="M2240" i="1"/>
  <c r="R2554" i="1"/>
  <c r="T2554" i="1"/>
  <c r="U2554" i="1" s="1"/>
  <c r="V2554" i="1" s="1"/>
  <c r="T2128" i="1"/>
  <c r="R2128" i="1"/>
  <c r="M2128" i="1"/>
  <c r="T1769" i="1"/>
  <c r="U1769" i="1" s="1"/>
  <c r="V1769" i="1" s="1"/>
  <c r="M1769" i="1"/>
  <c r="T2517" i="1"/>
  <c r="U2517" i="1" s="1"/>
  <c r="V2517" i="1" s="1"/>
  <c r="R2517" i="1"/>
  <c r="M2517" i="1"/>
  <c r="T2627" i="1"/>
  <c r="U2627" i="1" s="1"/>
  <c r="V2627" i="1" s="1"/>
  <c r="R2627" i="1"/>
  <c r="M2627" i="1"/>
  <c r="T2408" i="1"/>
  <c r="R2408" i="1"/>
  <c r="M2408" i="1"/>
  <c r="R2040" i="1"/>
  <c r="T2040" i="1"/>
  <c r="U2040" i="1" s="1"/>
  <c r="V2040" i="1" s="1"/>
  <c r="R1552" i="1"/>
  <c r="T1552" i="1"/>
  <c r="U1552" i="1" s="1"/>
  <c r="V1552" i="1" s="1"/>
  <c r="T2126" i="1"/>
  <c r="U2126" i="1" s="1"/>
  <c r="V2126" i="1" s="1"/>
  <c r="R2126" i="1"/>
  <c r="M2126" i="1"/>
  <c r="T1889" i="1"/>
  <c r="U1889" i="1" s="1"/>
  <c r="V1889" i="1" s="1"/>
  <c r="R1889" i="1"/>
  <c r="M1889" i="1"/>
  <c r="T1676" i="1"/>
  <c r="U1676" i="1" s="1"/>
  <c r="V1676" i="1" s="1"/>
  <c r="R1676" i="1"/>
  <c r="M1676" i="1"/>
  <c r="R1624" i="1"/>
  <c r="T1624" i="1"/>
  <c r="U1624" i="1" s="1"/>
  <c r="V1624" i="1" s="1"/>
  <c r="M1362" i="1"/>
  <c r="T1362" i="1"/>
  <c r="U1362" i="1" s="1"/>
  <c r="V1362" i="1" s="1"/>
  <c r="R1362" i="1"/>
  <c r="T1272" i="1"/>
  <c r="U1272" i="1" s="1"/>
  <c r="V1272" i="1" s="1"/>
  <c r="R1272" i="1"/>
  <c r="R1251" i="1"/>
  <c r="T1251" i="1"/>
  <c r="U1251" i="1" s="1"/>
  <c r="V1251" i="1" s="1"/>
  <c r="R1160" i="1"/>
  <c r="T1160" i="1"/>
  <c r="U1160" i="1" s="1"/>
  <c r="V1160" i="1" s="1"/>
  <c r="M543" i="1"/>
  <c r="T543" i="1"/>
  <c r="U543" i="1" s="1"/>
  <c r="V543" i="1" s="1"/>
  <c r="R543" i="1"/>
  <c r="T271" i="1"/>
  <c r="U271" i="1" s="1"/>
  <c r="V271" i="1" s="1"/>
  <c r="R271" i="1"/>
  <c r="M271" i="1"/>
  <c r="T19" i="1"/>
  <c r="U19" i="1" s="1"/>
  <c r="V19" i="1" s="1"/>
  <c r="R19" i="1"/>
  <c r="M19" i="1"/>
  <c r="T969" i="1"/>
  <c r="U969" i="1" s="1"/>
  <c r="V969" i="1" s="1"/>
  <c r="R969" i="1"/>
  <c r="M969" i="1"/>
  <c r="T195" i="1"/>
  <c r="U195" i="1" s="1"/>
  <c r="V195" i="1" s="1"/>
  <c r="R195" i="1"/>
  <c r="M195" i="1"/>
  <c r="R273" i="1"/>
  <c r="T273" i="1"/>
  <c r="U273" i="1" s="1"/>
  <c r="V273" i="1" s="1"/>
  <c r="T602" i="1"/>
  <c r="U602" i="1" s="1"/>
  <c r="V602" i="1" s="1"/>
  <c r="R602" i="1"/>
  <c r="M602" i="1"/>
  <c r="T245" i="1"/>
  <c r="U245" i="1" s="1"/>
  <c r="V245" i="1" s="1"/>
  <c r="R245" i="1"/>
  <c r="M245" i="1"/>
  <c r="R2026" i="1"/>
  <c r="R1848" i="1"/>
  <c r="T1393" i="1"/>
  <c r="U1393" i="1" s="1"/>
  <c r="V1393" i="1" s="1"/>
  <c r="M379" i="1"/>
  <c r="R555" i="1"/>
  <c r="U555" i="1" s="1"/>
  <c r="V555" i="1" s="1"/>
  <c r="Q81" i="7"/>
  <c r="M2547" i="1"/>
  <c r="T2547" i="1"/>
  <c r="U2547" i="1" s="1"/>
  <c r="V2547" i="1" s="1"/>
  <c r="R2368" i="1"/>
  <c r="M2368" i="1"/>
  <c r="T2368" i="1"/>
  <c r="U2368" i="1" s="1"/>
  <c r="V2368" i="1" s="1"/>
  <c r="T2416" i="1"/>
  <c r="U2416" i="1" s="1"/>
  <c r="V2416" i="1" s="1"/>
  <c r="M2416" i="1"/>
  <c r="R2453" i="1"/>
  <c r="T2453" i="1"/>
  <c r="U2453" i="1" s="1"/>
  <c r="V2453" i="1" s="1"/>
  <c r="M2542" i="1"/>
  <c r="R2542" i="1"/>
  <c r="T1897" i="1"/>
  <c r="U1897" i="1" s="1"/>
  <c r="V1897" i="1" s="1"/>
  <c r="R1897" i="1"/>
  <c r="M1897" i="1"/>
  <c r="T1804" i="1"/>
  <c r="U1804" i="1" s="1"/>
  <c r="V1804" i="1" s="1"/>
  <c r="M1804" i="1"/>
  <c r="T1796" i="1"/>
  <c r="U1796" i="1" s="1"/>
  <c r="V1796" i="1" s="1"/>
  <c r="M1796" i="1"/>
  <c r="R1176" i="1"/>
  <c r="T1176" i="1"/>
  <c r="U1176" i="1" s="1"/>
  <c r="V1176" i="1" s="1"/>
  <c r="M1089" i="1"/>
  <c r="T1089" i="1"/>
  <c r="U1089" i="1" s="1"/>
  <c r="V1089" i="1" s="1"/>
  <c r="M1012" i="1"/>
  <c r="R1012" i="1"/>
  <c r="T1434" i="1"/>
  <c r="U1434" i="1" s="1"/>
  <c r="V1434" i="1" s="1"/>
  <c r="M1434" i="1"/>
  <c r="R1059" i="1"/>
  <c r="T1059" i="1"/>
  <c r="U1059" i="1" s="1"/>
  <c r="V1059" i="1" s="1"/>
  <c r="T287" i="1"/>
  <c r="U287" i="1" s="1"/>
  <c r="V287" i="1" s="1"/>
  <c r="R287" i="1"/>
  <c r="M287" i="1"/>
  <c r="R642" i="1"/>
  <c r="M642" i="1"/>
  <c r="T80" i="1"/>
  <c r="U80" i="1" s="1"/>
  <c r="V80" i="1" s="1"/>
  <c r="R80" i="1"/>
  <c r="M80" i="1"/>
  <c r="V194" i="7"/>
  <c r="N54" i="7"/>
  <c r="V59" i="7"/>
  <c r="N123" i="7"/>
  <c r="V158" i="7"/>
  <c r="Q180" i="7"/>
  <c r="Q195" i="7"/>
  <c r="V35" i="7"/>
  <c r="V5" i="7"/>
  <c r="V20" i="7"/>
  <c r="N63" i="7"/>
  <c r="N81" i="7"/>
  <c r="V125" i="7"/>
  <c r="V170" i="7"/>
  <c r="V185" i="7"/>
  <c r="N9" i="7"/>
  <c r="N24" i="7"/>
  <c r="V71" i="7"/>
  <c r="V89" i="7"/>
  <c r="V86" i="7"/>
  <c r="N129" i="7"/>
  <c r="Q159" i="7"/>
  <c r="V182" i="7"/>
  <c r="V197" i="7"/>
  <c r="N3" i="7"/>
  <c r="V47" i="7"/>
  <c r="V32" i="7"/>
  <c r="N75" i="7"/>
  <c r="N93" i="7"/>
  <c r="N90" i="7"/>
  <c r="V110" i="7"/>
  <c r="V137" i="7"/>
  <c r="V149" i="7"/>
  <c r="Q171" i="7"/>
  <c r="Q186" i="7"/>
  <c r="N138" i="7"/>
  <c r="V11" i="7"/>
  <c r="V17" i="7"/>
  <c r="N36" i="7"/>
  <c r="V101" i="7"/>
  <c r="V98" i="7"/>
  <c r="N114" i="7"/>
  <c r="N141" i="7"/>
  <c r="V161" i="7"/>
  <c r="Q183" i="7"/>
  <c r="Q198" i="7"/>
  <c r="N15" i="7"/>
  <c r="N39" i="7"/>
  <c r="N21" i="7"/>
  <c r="V44" i="7"/>
  <c r="V62" i="7"/>
  <c r="N102" i="7"/>
  <c r="V122" i="7"/>
  <c r="V167" i="7"/>
  <c r="V173" i="7"/>
  <c r="V188" i="7"/>
  <c r="N27" i="7"/>
  <c r="V8" i="7"/>
  <c r="V29" i="7"/>
  <c r="N48" i="7"/>
  <c r="N66" i="7"/>
  <c r="V104" i="7"/>
  <c r="Q189" i="7"/>
  <c r="V200" i="7"/>
  <c r="N33" i="7"/>
  <c r="V56" i="7"/>
  <c r="V74" i="7"/>
  <c r="N84" i="7"/>
  <c r="N108" i="7"/>
  <c r="N132" i="7"/>
  <c r="Q162" i="7"/>
  <c r="Q174" i="7"/>
  <c r="V50" i="7"/>
  <c r="V41" i="7"/>
  <c r="N78" i="7"/>
  <c r="V92" i="7"/>
  <c r="V116" i="7"/>
  <c r="V140" i="7"/>
  <c r="N144" i="7"/>
  <c r="V191" i="7"/>
  <c r="N18" i="7"/>
  <c r="N45" i="7"/>
  <c r="N96" i="7"/>
  <c r="N120" i="7"/>
  <c r="N105" i="7"/>
  <c r="V152" i="7"/>
  <c r="V176" i="7"/>
  <c r="Q168" i="7"/>
  <c r="V2" i="7"/>
  <c r="N57" i="7"/>
  <c r="V53" i="7"/>
  <c r="V113" i="7"/>
  <c r="V164" i="7"/>
  <c r="Q201" i="7"/>
  <c r="N6" i="7"/>
  <c r="V26" i="7"/>
  <c r="V65" i="7"/>
  <c r="N117" i="7"/>
  <c r="Q177" i="7"/>
  <c r="V119" i="7"/>
  <c r="V14" i="7"/>
  <c r="N30" i="7"/>
  <c r="N60" i="7"/>
  <c r="N69" i="7"/>
  <c r="V83" i="7"/>
  <c r="V128" i="7"/>
  <c r="V131" i="7"/>
  <c r="Q165" i="7"/>
  <c r="V203" i="7"/>
  <c r="V146" i="7"/>
  <c r="V23" i="7"/>
  <c r="V38" i="7"/>
  <c r="V68" i="7"/>
  <c r="V77" i="7"/>
  <c r="N87" i="7"/>
  <c r="V107" i="7"/>
  <c r="N126" i="7"/>
  <c r="V143" i="7"/>
  <c r="V155" i="7"/>
  <c r="Q192" i="7"/>
  <c r="N99" i="7"/>
  <c r="N51" i="7"/>
  <c r="N42" i="7"/>
  <c r="N72" i="7"/>
  <c r="V80" i="7"/>
  <c r="V95" i="7"/>
  <c r="N111" i="7"/>
  <c r="V134" i="7"/>
  <c r="V179" i="7"/>
  <c r="R2489" i="1"/>
  <c r="T2489" i="1"/>
  <c r="U2489" i="1" s="1"/>
  <c r="V2489" i="1" s="1"/>
  <c r="M2489" i="1"/>
  <c r="M2689" i="1"/>
  <c r="T2689" i="1"/>
  <c r="U2689" i="1" s="1"/>
  <c r="V2689" i="1" s="1"/>
  <c r="R2689" i="1"/>
  <c r="R2656" i="1"/>
  <c r="M2656" i="1"/>
  <c r="T2656" i="1"/>
  <c r="R2592" i="1"/>
  <c r="M2592" i="1"/>
  <c r="T2592" i="1"/>
  <c r="U2592" i="1" s="1"/>
  <c r="V2592" i="1" s="1"/>
  <c r="T2450" i="1"/>
  <c r="U2450" i="1" s="1"/>
  <c r="V2450" i="1" s="1"/>
  <c r="M2450" i="1"/>
  <c r="R2450" i="1"/>
  <c r="T2418" i="1"/>
  <c r="U2418" i="1" s="1"/>
  <c r="V2418" i="1" s="1"/>
  <c r="M2418" i="1"/>
  <c r="R2418" i="1"/>
  <c r="T2386" i="1"/>
  <c r="U2386" i="1" s="1"/>
  <c r="V2386" i="1" s="1"/>
  <c r="M2386" i="1"/>
  <c r="R2386" i="1"/>
  <c r="T2338" i="1"/>
  <c r="U2338" i="1" s="1"/>
  <c r="V2338" i="1" s="1"/>
  <c r="M2338" i="1"/>
  <c r="R2338" i="1"/>
  <c r="T2274" i="1"/>
  <c r="U2274" i="1" s="1"/>
  <c r="V2274" i="1" s="1"/>
  <c r="M2274" i="1"/>
  <c r="R2274" i="1"/>
  <c r="T2234" i="1"/>
  <c r="U2234" i="1" s="1"/>
  <c r="V2234" i="1" s="1"/>
  <c r="M2234" i="1"/>
  <c r="R2234" i="1"/>
  <c r="T2170" i="1"/>
  <c r="U2170" i="1" s="1"/>
  <c r="V2170" i="1" s="1"/>
  <c r="M2170" i="1"/>
  <c r="R2170" i="1"/>
  <c r="R2321" i="1"/>
  <c r="T2321" i="1"/>
  <c r="U2321" i="1" s="1"/>
  <c r="V2321" i="1" s="1"/>
  <c r="M2321" i="1"/>
  <c r="R2241" i="1"/>
  <c r="T2241" i="1"/>
  <c r="U2241" i="1" s="1"/>
  <c r="V2241" i="1" s="1"/>
  <c r="M2241" i="1"/>
  <c r="R2624" i="1"/>
  <c r="T2624" i="1"/>
  <c r="U2624" i="1" s="1"/>
  <c r="V2624" i="1" s="1"/>
  <c r="M2624" i="1"/>
  <c r="R2013" i="1"/>
  <c r="T2013" i="1"/>
  <c r="U2013" i="1" s="1"/>
  <c r="V2013" i="1" s="1"/>
  <c r="M2013" i="1"/>
  <c r="T1758" i="1"/>
  <c r="R1758" i="1"/>
  <c r="M1758" i="1"/>
  <c r="R1677" i="1"/>
  <c r="T1677" i="1"/>
  <c r="U1677" i="1" s="1"/>
  <c r="V1677" i="1" s="1"/>
  <c r="M1677" i="1"/>
  <c r="T1431" i="1"/>
  <c r="U1431" i="1" s="1"/>
  <c r="V1431" i="1" s="1"/>
  <c r="M1431" i="1"/>
  <c r="R1431" i="1"/>
  <c r="M1363" i="1"/>
  <c r="T1363" i="1"/>
  <c r="U1363" i="1" s="1"/>
  <c r="V1363" i="1" s="1"/>
  <c r="R1363" i="1"/>
  <c r="T1722" i="1"/>
  <c r="U1722" i="1" s="1"/>
  <c r="V1722" i="1" s="1"/>
  <c r="M1722" i="1"/>
  <c r="R1722" i="1"/>
  <c r="R1605" i="1"/>
  <c r="T1605" i="1"/>
  <c r="U1605" i="1" s="1"/>
  <c r="V1605" i="1" s="1"/>
  <c r="M1605" i="1"/>
  <c r="R1493" i="1"/>
  <c r="T1493" i="1"/>
  <c r="U1493" i="1" s="1"/>
  <c r="V1493" i="1" s="1"/>
  <c r="M1493" i="1"/>
  <c r="R1812" i="1"/>
  <c r="T1812" i="1"/>
  <c r="U1812" i="1" s="1"/>
  <c r="V1812" i="1" s="1"/>
  <c r="M1812" i="1"/>
  <c r="R1364" i="1"/>
  <c r="M1364" i="1"/>
  <c r="T1364" i="1"/>
  <c r="U1364" i="1" s="1"/>
  <c r="V1364" i="1" s="1"/>
  <c r="R1388" i="1"/>
  <c r="M1388" i="1"/>
  <c r="T1388" i="1"/>
  <c r="T1407" i="1"/>
  <c r="U1407" i="1" s="1"/>
  <c r="V1407" i="1" s="1"/>
  <c r="M1407" i="1"/>
  <c r="R1407" i="1"/>
  <c r="R1294" i="1"/>
  <c r="T1294" i="1"/>
  <c r="U1294" i="1" s="1"/>
  <c r="V1294" i="1" s="1"/>
  <c r="M1294" i="1"/>
  <c r="R1230" i="1"/>
  <c r="T1230" i="1"/>
  <c r="U1230" i="1" s="1"/>
  <c r="V1230" i="1" s="1"/>
  <c r="M1230" i="1"/>
  <c r="R1166" i="1"/>
  <c r="T1166" i="1"/>
  <c r="U1166" i="1" s="1"/>
  <c r="V1166" i="1" s="1"/>
  <c r="M1166" i="1"/>
  <c r="R1142" i="1"/>
  <c r="T1142" i="1"/>
  <c r="U1142" i="1" s="1"/>
  <c r="V1142" i="1" s="1"/>
  <c r="M1142" i="1"/>
  <c r="R1110" i="1"/>
  <c r="T1110" i="1"/>
  <c r="U1110" i="1" s="1"/>
  <c r="V1110" i="1" s="1"/>
  <c r="M1110" i="1"/>
  <c r="R1429" i="1"/>
  <c r="T1429" i="1"/>
  <c r="U1429" i="1" s="1"/>
  <c r="V1429" i="1" s="1"/>
  <c r="M1429" i="1"/>
  <c r="R1095" i="1"/>
  <c r="T1095" i="1"/>
  <c r="U1095" i="1" s="1"/>
  <c r="V1095" i="1" s="1"/>
  <c r="M1095" i="1"/>
  <c r="R1021" i="1"/>
  <c r="M1021" i="1"/>
  <c r="T1021" i="1"/>
  <c r="R1597" i="1"/>
  <c r="T1597" i="1"/>
  <c r="U1597" i="1" s="1"/>
  <c r="V1597" i="1" s="1"/>
  <c r="M1597" i="1"/>
  <c r="T1058" i="1"/>
  <c r="U1058" i="1" s="1"/>
  <c r="V1058" i="1" s="1"/>
  <c r="M1058" i="1"/>
  <c r="R1058" i="1"/>
  <c r="T978" i="1"/>
  <c r="M978" i="1"/>
  <c r="R978" i="1"/>
  <c r="R931" i="1"/>
  <c r="T931" i="1"/>
  <c r="U931" i="1" s="1"/>
  <c r="V931" i="1" s="1"/>
  <c r="M931" i="1"/>
  <c r="R891" i="1"/>
  <c r="T891" i="1"/>
  <c r="U891" i="1" s="1"/>
  <c r="V891" i="1" s="1"/>
  <c r="M891" i="1"/>
  <c r="R2632" i="1"/>
  <c r="M2632" i="1"/>
  <c r="T2632" i="1"/>
  <c r="U2632" i="1" s="1"/>
  <c r="V2632" i="1" s="1"/>
  <c r="T1778" i="1"/>
  <c r="M1778" i="1"/>
  <c r="R1778" i="1"/>
  <c r="R1757" i="1"/>
  <c r="M1757" i="1"/>
  <c r="T1757" i="1"/>
  <c r="U1757" i="1" s="1"/>
  <c r="V1757" i="1" s="1"/>
  <c r="T1718" i="1"/>
  <c r="M1718" i="1"/>
  <c r="R1718" i="1"/>
  <c r="T1654" i="1"/>
  <c r="M1654" i="1"/>
  <c r="R1654" i="1"/>
  <c r="T1590" i="1"/>
  <c r="U1590" i="1" s="1"/>
  <c r="V1590" i="1" s="1"/>
  <c r="M1590" i="1"/>
  <c r="R1590" i="1"/>
  <c r="R1526" i="1"/>
  <c r="M1526" i="1"/>
  <c r="T1526" i="1"/>
  <c r="U1526" i="1" s="1"/>
  <c r="V1526" i="1" s="1"/>
  <c r="R1159" i="1"/>
  <c r="T1159" i="1"/>
  <c r="U1159" i="1" s="1"/>
  <c r="V1159" i="1" s="1"/>
  <c r="M1159" i="1"/>
  <c r="T1014" i="1"/>
  <c r="U1014" i="1" s="1"/>
  <c r="V1014" i="1" s="1"/>
  <c r="R1014" i="1"/>
  <c r="M1014" i="1"/>
  <c r="T588" i="1"/>
  <c r="U588" i="1" s="1"/>
  <c r="V588" i="1" s="1"/>
  <c r="R588" i="1"/>
  <c r="M588" i="1"/>
  <c r="R1143" i="1"/>
  <c r="T1143" i="1"/>
  <c r="U1143" i="1" s="1"/>
  <c r="V1143" i="1" s="1"/>
  <c r="M1143" i="1"/>
  <c r="U130" i="7"/>
  <c r="T2691" i="1"/>
  <c r="U2691" i="1" s="1"/>
  <c r="V2691" i="1" s="1"/>
  <c r="M2691" i="1"/>
  <c r="R2691" i="1"/>
  <c r="T2569" i="1"/>
  <c r="U2569" i="1" s="1"/>
  <c r="V2569" i="1" s="1"/>
  <c r="M2569" i="1"/>
  <c r="R2569" i="1"/>
  <c r="T708" i="1"/>
  <c r="U708" i="1" s="1"/>
  <c r="V708" i="1" s="1"/>
  <c r="M708" i="1"/>
  <c r="R708" i="1"/>
  <c r="T567" i="1"/>
  <c r="M567" i="1"/>
  <c r="R567" i="1"/>
  <c r="R341" i="1"/>
  <c r="M341" i="1"/>
  <c r="T341" i="1"/>
  <c r="U341" i="1" s="1"/>
  <c r="V341" i="1" s="1"/>
  <c r="T191" i="1"/>
  <c r="U191" i="1" s="1"/>
  <c r="V191" i="1" s="1"/>
  <c r="M191" i="1"/>
  <c r="R191" i="1"/>
  <c r="R159" i="1"/>
  <c r="T159" i="1"/>
  <c r="U159" i="1" s="1"/>
  <c r="V159" i="1" s="1"/>
  <c r="M159" i="1"/>
  <c r="R95" i="1"/>
  <c r="T95" i="1"/>
  <c r="U95" i="1" s="1"/>
  <c r="V95" i="1" s="1"/>
  <c r="M95" i="1"/>
  <c r="R518" i="1"/>
  <c r="T518" i="1"/>
  <c r="U518" i="1" s="1"/>
  <c r="V518" i="1" s="1"/>
  <c r="M518" i="1"/>
  <c r="T334" i="1"/>
  <c r="U334" i="1" s="1"/>
  <c r="V334" i="1" s="1"/>
  <c r="M334" i="1"/>
  <c r="R334" i="1"/>
  <c r="T278" i="1"/>
  <c r="U278" i="1" s="1"/>
  <c r="V278" i="1" s="1"/>
  <c r="M278" i="1"/>
  <c r="R278" i="1"/>
  <c r="R165" i="1"/>
  <c r="T165" i="1"/>
  <c r="U165" i="1" s="1"/>
  <c r="V165" i="1" s="1"/>
  <c r="M165" i="1"/>
  <c r="R101" i="1"/>
  <c r="T101" i="1"/>
  <c r="M101" i="1"/>
  <c r="R37" i="1"/>
  <c r="M37" i="1"/>
  <c r="T37" i="1"/>
  <c r="T2702" i="1"/>
  <c r="U2702" i="1" s="1"/>
  <c r="V2702" i="1" s="1"/>
  <c r="M2702" i="1"/>
  <c r="R2702" i="1"/>
  <c r="T2674" i="1"/>
  <c r="U2674" i="1" s="1"/>
  <c r="V2674" i="1" s="1"/>
  <c r="M2674" i="1"/>
  <c r="R2674" i="1"/>
  <c r="R2584" i="1"/>
  <c r="T2584" i="1"/>
  <c r="U2584" i="1" s="1"/>
  <c r="V2584" i="1" s="1"/>
  <c r="M2584" i="1"/>
  <c r="M2543" i="1"/>
  <c r="T2543" i="1"/>
  <c r="R2543" i="1"/>
  <c r="T2617" i="1"/>
  <c r="U2617" i="1" s="1"/>
  <c r="V2617" i="1" s="1"/>
  <c r="M2617" i="1"/>
  <c r="R2617" i="1"/>
  <c r="R1989" i="1"/>
  <c r="T1989" i="1"/>
  <c r="U1989" i="1" s="1"/>
  <c r="V1989" i="1" s="1"/>
  <c r="M1989" i="1"/>
  <c r="T1328" i="1"/>
  <c r="M1328" i="1"/>
  <c r="R1328" i="1"/>
  <c r="R1295" i="1"/>
  <c r="T1295" i="1"/>
  <c r="U1295" i="1" s="1"/>
  <c r="V1295" i="1" s="1"/>
  <c r="M1295" i="1"/>
  <c r="T1122" i="1"/>
  <c r="U1122" i="1" s="1"/>
  <c r="V1122" i="1" s="1"/>
  <c r="M1122" i="1"/>
  <c r="R1122" i="1"/>
  <c r="T2666" i="1"/>
  <c r="U2666" i="1" s="1"/>
  <c r="V2666" i="1" s="1"/>
  <c r="M2666" i="1"/>
  <c r="R2666" i="1"/>
  <c r="T1050" i="1"/>
  <c r="U1050" i="1" s="1"/>
  <c r="V1050" i="1" s="1"/>
  <c r="M1050" i="1"/>
  <c r="R1050" i="1"/>
  <c r="R1030" i="1"/>
  <c r="M1030" i="1"/>
  <c r="T1030" i="1"/>
  <c r="U1030" i="1" s="1"/>
  <c r="V1030" i="1" s="1"/>
  <c r="R1005" i="1"/>
  <c r="M1005" i="1"/>
  <c r="T1005" i="1"/>
  <c r="U1005" i="1" s="1"/>
  <c r="V1005" i="1" s="1"/>
  <c r="R966" i="1"/>
  <c r="M966" i="1"/>
  <c r="T966" i="1"/>
  <c r="T924" i="1"/>
  <c r="U924" i="1" s="1"/>
  <c r="V924" i="1" s="1"/>
  <c r="M924" i="1"/>
  <c r="R924" i="1"/>
  <c r="T649" i="1"/>
  <c r="U649" i="1" s="1"/>
  <c r="V649" i="1" s="1"/>
  <c r="M649" i="1"/>
  <c r="R649" i="1"/>
  <c r="T804" i="1"/>
  <c r="U804" i="1" s="1"/>
  <c r="V804" i="1" s="1"/>
  <c r="M804" i="1"/>
  <c r="R804" i="1"/>
  <c r="T1503" i="1"/>
  <c r="M1503" i="1"/>
  <c r="R1503" i="1"/>
  <c r="M974" i="1"/>
  <c r="T974" i="1"/>
  <c r="R974" i="1"/>
  <c r="T716" i="1"/>
  <c r="U716" i="1" s="1"/>
  <c r="V716" i="1" s="1"/>
  <c r="M716" i="1"/>
  <c r="R716" i="1"/>
  <c r="M277" i="1"/>
  <c r="T277" i="1"/>
  <c r="U277" i="1" s="1"/>
  <c r="V277" i="1" s="1"/>
  <c r="R277" i="1"/>
  <c r="R795" i="1"/>
  <c r="T795" i="1"/>
  <c r="M795" i="1"/>
  <c r="T2618" i="1"/>
  <c r="U2618" i="1" s="1"/>
  <c r="V2618" i="1" s="1"/>
  <c r="M2618" i="1"/>
  <c r="R2618" i="1"/>
  <c r="R2648" i="1"/>
  <c r="T2648" i="1"/>
  <c r="U2648" i="1" s="1"/>
  <c r="V2648" i="1" s="1"/>
  <c r="M2648" i="1"/>
  <c r="R2568" i="1"/>
  <c r="T2568" i="1"/>
  <c r="U2568" i="1" s="1"/>
  <c r="V2568" i="1" s="1"/>
  <c r="M2568" i="1"/>
  <c r="M2551" i="1"/>
  <c r="T2551" i="1"/>
  <c r="U2551" i="1" s="1"/>
  <c r="V2551" i="1" s="1"/>
  <c r="R2551" i="1"/>
  <c r="T1320" i="1"/>
  <c r="M1320" i="1"/>
  <c r="R1320" i="1"/>
  <c r="M2705" i="1"/>
  <c r="T2705" i="1"/>
  <c r="U2705" i="1" s="1"/>
  <c r="V2705" i="1" s="1"/>
  <c r="R2705" i="1"/>
  <c r="T2601" i="1"/>
  <c r="U2601" i="1" s="1"/>
  <c r="V2601" i="1" s="1"/>
  <c r="M2601" i="1"/>
  <c r="R2601" i="1"/>
  <c r="R2441" i="1"/>
  <c r="T2441" i="1"/>
  <c r="U2441" i="1" s="1"/>
  <c r="V2441" i="1" s="1"/>
  <c r="M2441" i="1"/>
  <c r="R2161" i="1"/>
  <c r="T2161" i="1"/>
  <c r="U2161" i="1" s="1"/>
  <c r="V2161" i="1" s="1"/>
  <c r="M2161" i="1"/>
  <c r="R2145" i="1"/>
  <c r="T2145" i="1"/>
  <c r="U2145" i="1" s="1"/>
  <c r="V2145" i="1" s="1"/>
  <c r="M2145" i="1"/>
  <c r="R2313" i="1"/>
  <c r="T2313" i="1"/>
  <c r="U2313" i="1" s="1"/>
  <c r="V2313" i="1" s="1"/>
  <c r="M2313" i="1"/>
  <c r="T2141" i="1"/>
  <c r="U2141" i="1" s="1"/>
  <c r="V2141" i="1" s="1"/>
  <c r="M2141" i="1"/>
  <c r="R2141" i="1"/>
  <c r="R2036" i="1"/>
  <c r="T2036" i="1"/>
  <c r="U2036" i="1" s="1"/>
  <c r="V2036" i="1" s="1"/>
  <c r="M2036" i="1"/>
  <c r="R2004" i="1"/>
  <c r="M2004" i="1"/>
  <c r="T2004" i="1"/>
  <c r="U2004" i="1" s="1"/>
  <c r="V2004" i="1" s="1"/>
  <c r="R1972" i="1"/>
  <c r="M1972" i="1"/>
  <c r="T1972" i="1"/>
  <c r="U1972" i="1" s="1"/>
  <c r="V1972" i="1" s="1"/>
  <c r="R1940" i="1"/>
  <c r="M1940" i="1"/>
  <c r="T1940" i="1"/>
  <c r="U1940" i="1" s="1"/>
  <c r="V1940" i="1" s="1"/>
  <c r="R1908" i="1"/>
  <c r="T1908" i="1"/>
  <c r="U1908" i="1" s="1"/>
  <c r="V1908" i="1" s="1"/>
  <c r="M1908" i="1"/>
  <c r="R1876" i="1"/>
  <c r="T1876" i="1"/>
  <c r="U1876" i="1" s="1"/>
  <c r="V1876" i="1" s="1"/>
  <c r="M1876" i="1"/>
  <c r="R333" i="1"/>
  <c r="T333" i="1"/>
  <c r="U333" i="1" s="1"/>
  <c r="V333" i="1" s="1"/>
  <c r="M333" i="1"/>
  <c r="Z17" i="7"/>
  <c r="K10" i="7"/>
  <c r="K6" i="7"/>
  <c r="S2" i="7"/>
  <c r="R33" i="7"/>
  <c r="U15" i="7"/>
  <c r="U11" i="7"/>
  <c r="U7" i="7"/>
  <c r="U3" i="7"/>
  <c r="D42" i="7"/>
  <c r="V3" i="7"/>
  <c r="Z5" i="7"/>
  <c r="AD7" i="7"/>
  <c r="D10" i="7"/>
  <c r="H12" i="7"/>
  <c r="L14" i="7"/>
  <c r="S16" i="7"/>
  <c r="J25" i="7"/>
  <c r="L42" i="7"/>
  <c r="AE3" i="7"/>
  <c r="E6" i="7"/>
  <c r="I8" i="7"/>
  <c r="M10" i="7"/>
  <c r="U14" i="7"/>
  <c r="D17" i="7"/>
  <c r="V27" i="7"/>
  <c r="X44" i="7"/>
  <c r="F2" i="7"/>
  <c r="J4" i="7"/>
  <c r="R8" i="7"/>
  <c r="V10" i="7"/>
  <c r="Z12" i="7"/>
  <c r="AD14" i="7"/>
  <c r="R17" i="7"/>
  <c r="D30" i="7"/>
  <c r="F47" i="7"/>
  <c r="O2" i="7"/>
  <c r="S4" i="7"/>
  <c r="W6" i="7"/>
  <c r="AA8" i="7"/>
  <c r="AE10" i="7"/>
  <c r="E13" i="7"/>
  <c r="I15" i="7"/>
  <c r="C18" i="7"/>
  <c r="P32" i="7"/>
  <c r="R49" i="7"/>
  <c r="X2" i="7"/>
  <c r="AB4" i="7"/>
  <c r="AF6" i="7"/>
  <c r="F9" i="7"/>
  <c r="J11" i="7"/>
  <c r="N13" i="7"/>
  <c r="R15" i="7"/>
  <c r="T18" i="7"/>
  <c r="AB34" i="7"/>
  <c r="AD51" i="7"/>
  <c r="C3" i="7"/>
  <c r="G5" i="7"/>
  <c r="K7" i="7"/>
  <c r="O9" i="7"/>
  <c r="AA11" i="7"/>
  <c r="I14" i="7"/>
  <c r="J17" i="7"/>
  <c r="AB30" i="7"/>
  <c r="D50" i="7"/>
  <c r="D3" i="7"/>
  <c r="P5" i="7"/>
  <c r="AB7" i="7"/>
  <c r="J10" i="7"/>
  <c r="AD12" i="7"/>
  <c r="L15" i="7"/>
  <c r="AA18" i="7"/>
  <c r="R37" i="7"/>
  <c r="K79" i="7"/>
  <c r="W19" i="7"/>
  <c r="O23" i="7"/>
  <c r="E26" i="7"/>
  <c r="AA29" i="7"/>
  <c r="K33" i="7"/>
  <c r="AE39" i="7"/>
  <c r="G43" i="7"/>
  <c r="AC46" i="7"/>
  <c r="M50" i="7"/>
  <c r="S53" i="7"/>
  <c r="E57" i="7"/>
  <c r="C71" i="7"/>
  <c r="Z20" i="7"/>
  <c r="AF23" i="7"/>
  <c r="H27" i="7"/>
  <c r="F34" i="7"/>
  <c r="T37" i="7"/>
  <c r="Z40" i="7"/>
  <c r="AF43" i="7"/>
  <c r="H47" i="7"/>
  <c r="AB53" i="7"/>
  <c r="F57" i="7"/>
  <c r="O73" i="7"/>
  <c r="AC21" i="7"/>
  <c r="M25" i="7"/>
  <c r="S28" i="7"/>
  <c r="C32" i="7"/>
  <c r="I35" i="7"/>
  <c r="AE38" i="7"/>
  <c r="O42" i="7"/>
  <c r="U45" i="7"/>
  <c r="G50" i="7"/>
  <c r="Q55" i="7"/>
  <c r="AE77" i="7"/>
  <c r="P26" i="7"/>
  <c r="T32" i="7"/>
  <c r="F37" i="7"/>
  <c r="P42" i="7"/>
  <c r="Z47" i="7"/>
  <c r="AD53" i="7"/>
  <c r="E76" i="7"/>
  <c r="S23" i="7"/>
  <c r="Y38" i="7"/>
  <c r="C47" i="7"/>
  <c r="Z18" i="7"/>
  <c r="H25" i="7"/>
  <c r="F40" i="7"/>
  <c r="L55" i="7"/>
  <c r="M19" i="7"/>
  <c r="AC27" i="7"/>
  <c r="G36" i="7"/>
  <c r="W44" i="7"/>
  <c r="M51" i="7"/>
  <c r="Q70" i="7"/>
  <c r="V64" i="7"/>
  <c r="AD72" i="7"/>
  <c r="K58" i="7"/>
  <c r="AA66" i="7"/>
  <c r="Q73" i="7"/>
  <c r="N59" i="7"/>
  <c r="V67" i="7"/>
  <c r="L74" i="7"/>
  <c r="U62" i="7"/>
  <c r="G71" i="7"/>
  <c r="AA77" i="7"/>
  <c r="T61" i="7"/>
  <c r="AF67" i="7"/>
  <c r="J76" i="7"/>
  <c r="M61" i="7"/>
  <c r="AC69" i="7"/>
  <c r="S76" i="7"/>
  <c r="V61" i="7"/>
  <c r="AD69" i="7"/>
  <c r="AC85" i="7"/>
  <c r="G94" i="7"/>
  <c r="AA100" i="7"/>
  <c r="AD85" i="7"/>
  <c r="AB100" i="7"/>
  <c r="Q86" i="7"/>
  <c r="G93" i="7"/>
  <c r="W101" i="7"/>
  <c r="P85" i="7"/>
  <c r="X93" i="7"/>
  <c r="N100" i="7"/>
  <c r="I85" i="7"/>
  <c r="O100" i="7"/>
  <c r="H84" i="7"/>
  <c r="AB90" i="7"/>
  <c r="F99" i="7"/>
  <c r="I84" i="7"/>
  <c r="Y92" i="7"/>
  <c r="O99" i="7"/>
  <c r="L85" i="7"/>
  <c r="X91" i="7"/>
  <c r="X105" i="7"/>
  <c r="R118" i="7"/>
  <c r="O108" i="7"/>
  <c r="M123" i="7"/>
  <c r="H112" i="7"/>
  <c r="AF124" i="7"/>
  <c r="S117" i="7"/>
  <c r="D109" i="7"/>
  <c r="AB121" i="7"/>
  <c r="AC109" i="7"/>
  <c r="R2616" i="1"/>
  <c r="M2616" i="1"/>
  <c r="T2616" i="1"/>
  <c r="U2616" i="1" s="1"/>
  <c r="V2616" i="1" s="1"/>
  <c r="T2490" i="1"/>
  <c r="U2490" i="1" s="1"/>
  <c r="V2490" i="1" s="1"/>
  <c r="M2490" i="1"/>
  <c r="R2490" i="1"/>
  <c r="T2314" i="1"/>
  <c r="U2314" i="1" s="1"/>
  <c r="V2314" i="1" s="1"/>
  <c r="M2314" i="1"/>
  <c r="R2314" i="1"/>
  <c r="T2250" i="1"/>
  <c r="U2250" i="1" s="1"/>
  <c r="V2250" i="1" s="1"/>
  <c r="M2250" i="1"/>
  <c r="R2250" i="1"/>
  <c r="T2218" i="1"/>
  <c r="U2218" i="1" s="1"/>
  <c r="V2218" i="1" s="1"/>
  <c r="M2218" i="1"/>
  <c r="R2218" i="1"/>
  <c r="T2202" i="1"/>
  <c r="U2202" i="1" s="1"/>
  <c r="V2202" i="1" s="1"/>
  <c r="M2202" i="1"/>
  <c r="R2202" i="1"/>
  <c r="T2186" i="1"/>
  <c r="U2186" i="1" s="1"/>
  <c r="V2186" i="1" s="1"/>
  <c r="M2186" i="1"/>
  <c r="R2186" i="1"/>
  <c r="R2185" i="1"/>
  <c r="T2185" i="1"/>
  <c r="U2185" i="1" s="1"/>
  <c r="V2185" i="1" s="1"/>
  <c r="M2185" i="1"/>
  <c r="R2337" i="1"/>
  <c r="T2337" i="1"/>
  <c r="U2337" i="1" s="1"/>
  <c r="V2337" i="1" s="1"/>
  <c r="M2337" i="1"/>
  <c r="M2112" i="1"/>
  <c r="T2112" i="1"/>
  <c r="R2112" i="1"/>
  <c r="R2257" i="1"/>
  <c r="T2257" i="1"/>
  <c r="U2257" i="1" s="1"/>
  <c r="V2257" i="1" s="1"/>
  <c r="M2257" i="1"/>
  <c r="R2102" i="1"/>
  <c r="M2102" i="1"/>
  <c r="T2102" i="1"/>
  <c r="U2102" i="1" s="1"/>
  <c r="V2102" i="1" s="1"/>
  <c r="R2068" i="1"/>
  <c r="T2068" i="1"/>
  <c r="U2068" i="1" s="1"/>
  <c r="V2068" i="1" s="1"/>
  <c r="M2068" i="1"/>
  <c r="T1853" i="1"/>
  <c r="U1853" i="1" s="1"/>
  <c r="V1853" i="1" s="1"/>
  <c r="M1853" i="1"/>
  <c r="R1853" i="1"/>
  <c r="T1786" i="1"/>
  <c r="M1786" i="1"/>
  <c r="R1786" i="1"/>
  <c r="R1852" i="1"/>
  <c r="M1852" i="1"/>
  <c r="T1852" i="1"/>
  <c r="U1852" i="1" s="1"/>
  <c r="V1852" i="1" s="1"/>
  <c r="R2029" i="1"/>
  <c r="T2029" i="1"/>
  <c r="M2029" i="1"/>
  <c r="R2005" i="1"/>
  <c r="T2005" i="1"/>
  <c r="U2005" i="1" s="1"/>
  <c r="V2005" i="1" s="1"/>
  <c r="M2005" i="1"/>
  <c r="T1990" i="1"/>
  <c r="M1990" i="1"/>
  <c r="R1990" i="1"/>
  <c r="R1973" i="1"/>
  <c r="T1973" i="1"/>
  <c r="U1973" i="1" s="1"/>
  <c r="V1973" i="1" s="1"/>
  <c r="M1973" i="1"/>
  <c r="R1957" i="1"/>
  <c r="T1957" i="1"/>
  <c r="U1957" i="1" s="1"/>
  <c r="V1957" i="1" s="1"/>
  <c r="M1957" i="1"/>
  <c r="T1766" i="1"/>
  <c r="M1766" i="1"/>
  <c r="R1766" i="1"/>
  <c r="M1773" i="1"/>
  <c r="T1773" i="1"/>
  <c r="U1773" i="1" s="1"/>
  <c r="V1773" i="1" s="1"/>
  <c r="R1773" i="1"/>
  <c r="T1678" i="1"/>
  <c r="M1678" i="1"/>
  <c r="R1678" i="1"/>
  <c r="T1614" i="1"/>
  <c r="U1614" i="1" s="1"/>
  <c r="V1614" i="1" s="1"/>
  <c r="M1614" i="1"/>
  <c r="R1614" i="1"/>
  <c r="T1550" i="1"/>
  <c r="U1550" i="1" s="1"/>
  <c r="V1550" i="1" s="1"/>
  <c r="M1550" i="1"/>
  <c r="R1550" i="1"/>
  <c r="R1438" i="1"/>
  <c r="M1438" i="1"/>
  <c r="T1438" i="1"/>
  <c r="U1438" i="1" s="1"/>
  <c r="V1438" i="1" s="1"/>
  <c r="R2037" i="1"/>
  <c r="T2037" i="1"/>
  <c r="M2037" i="1"/>
  <c r="R1909" i="1"/>
  <c r="T1909" i="1"/>
  <c r="U1909" i="1" s="1"/>
  <c r="V1909" i="1" s="1"/>
  <c r="M1909" i="1"/>
  <c r="T1837" i="1"/>
  <c r="U1837" i="1" s="1"/>
  <c r="V1837" i="1" s="1"/>
  <c r="M1837" i="1"/>
  <c r="R1837" i="1"/>
  <c r="R1734" i="1"/>
  <c r="M1734" i="1"/>
  <c r="T1734" i="1"/>
  <c r="U1734" i="1" s="1"/>
  <c r="V1734" i="1" s="1"/>
  <c r="T1432" i="1"/>
  <c r="M1432" i="1"/>
  <c r="R1432" i="1"/>
  <c r="R1669" i="1"/>
  <c r="T1669" i="1"/>
  <c r="U1669" i="1" s="1"/>
  <c r="V1669" i="1" s="1"/>
  <c r="M1669" i="1"/>
  <c r="T1765" i="1"/>
  <c r="U1765" i="1" s="1"/>
  <c r="V1765" i="1" s="1"/>
  <c r="R1765" i="1"/>
  <c r="M1765" i="1"/>
  <c r="T1408" i="1"/>
  <c r="M1408" i="1"/>
  <c r="R1408" i="1"/>
  <c r="R1386" i="1"/>
  <c r="T1386" i="1"/>
  <c r="U1386" i="1" s="1"/>
  <c r="V1386" i="1" s="1"/>
  <c r="M1386" i="1"/>
  <c r="R1334" i="1"/>
  <c r="T1334" i="1"/>
  <c r="U1334" i="1" s="1"/>
  <c r="V1334" i="1" s="1"/>
  <c r="M1334" i="1"/>
  <c r="R1270" i="1"/>
  <c r="T1270" i="1"/>
  <c r="U1270" i="1" s="1"/>
  <c r="V1270" i="1" s="1"/>
  <c r="M1270" i="1"/>
  <c r="R1206" i="1"/>
  <c r="T1206" i="1"/>
  <c r="U1206" i="1" s="1"/>
  <c r="V1206" i="1" s="1"/>
  <c r="M1206" i="1"/>
  <c r="T947" i="1"/>
  <c r="U947" i="1" s="1"/>
  <c r="V947" i="1" s="1"/>
  <c r="M947" i="1"/>
  <c r="R947" i="1"/>
  <c r="R1343" i="1"/>
  <c r="T1343" i="1"/>
  <c r="U1343" i="1" s="1"/>
  <c r="V1343" i="1" s="1"/>
  <c r="M1343" i="1"/>
  <c r="T1055" i="1"/>
  <c r="U1055" i="1" s="1"/>
  <c r="V1055" i="1" s="1"/>
  <c r="M1055" i="1"/>
  <c r="R1055" i="1"/>
  <c r="T1010" i="1"/>
  <c r="U1010" i="1" s="1"/>
  <c r="V1010" i="1" s="1"/>
  <c r="M1010" i="1"/>
  <c r="R1010" i="1"/>
  <c r="T933" i="1"/>
  <c r="U933" i="1" s="1"/>
  <c r="V933" i="1" s="1"/>
  <c r="M933" i="1"/>
  <c r="R933" i="1"/>
  <c r="T901" i="1"/>
  <c r="U901" i="1" s="1"/>
  <c r="V901" i="1" s="1"/>
  <c r="M901" i="1"/>
  <c r="R901" i="1"/>
  <c r="T869" i="1"/>
  <c r="U869" i="1" s="1"/>
  <c r="V869" i="1" s="1"/>
  <c r="M869" i="1"/>
  <c r="R869" i="1"/>
  <c r="T837" i="1"/>
  <c r="U837" i="1" s="1"/>
  <c r="V837" i="1" s="1"/>
  <c r="M837" i="1"/>
  <c r="R837" i="1"/>
  <c r="T1047" i="1"/>
  <c r="U1047" i="1" s="1"/>
  <c r="V1047" i="1" s="1"/>
  <c r="M1047" i="1"/>
  <c r="R1047" i="1"/>
  <c r="R998" i="1"/>
  <c r="M998" i="1"/>
  <c r="T998" i="1"/>
  <c r="U998" i="1" s="1"/>
  <c r="V998" i="1" s="1"/>
  <c r="T900" i="1"/>
  <c r="U900" i="1" s="1"/>
  <c r="V900" i="1" s="1"/>
  <c r="M900" i="1"/>
  <c r="R900" i="1"/>
  <c r="T868" i="1"/>
  <c r="U868" i="1" s="1"/>
  <c r="V868" i="1" s="1"/>
  <c r="M868" i="1"/>
  <c r="R868" i="1"/>
  <c r="T1296" i="1"/>
  <c r="M1296" i="1"/>
  <c r="R1296" i="1"/>
  <c r="R1215" i="1"/>
  <c r="T1215" i="1"/>
  <c r="U1215" i="1" s="1"/>
  <c r="V1215" i="1" s="1"/>
  <c r="M1215" i="1"/>
  <c r="R1111" i="1"/>
  <c r="T1111" i="1"/>
  <c r="U1111" i="1" s="1"/>
  <c r="V1111" i="1" s="1"/>
  <c r="M1111" i="1"/>
  <c r="T660" i="1"/>
  <c r="U660" i="1" s="1"/>
  <c r="V660" i="1" s="1"/>
  <c r="R660" i="1"/>
  <c r="M660" i="1"/>
  <c r="R787" i="1"/>
  <c r="M787" i="1"/>
  <c r="T787" i="1"/>
  <c r="T952" i="1"/>
  <c r="U952" i="1" s="1"/>
  <c r="V952" i="1" s="1"/>
  <c r="M952" i="1"/>
  <c r="R952" i="1"/>
  <c r="R1303" i="1"/>
  <c r="T1303" i="1"/>
  <c r="U1303" i="1" s="1"/>
  <c r="V1303" i="1" s="1"/>
  <c r="M1303" i="1"/>
  <c r="R899" i="1"/>
  <c r="T899" i="1"/>
  <c r="U899" i="1" s="1"/>
  <c r="V899" i="1" s="1"/>
  <c r="M899" i="1"/>
  <c r="T724" i="1"/>
  <c r="U724" i="1" s="1"/>
  <c r="V724" i="1" s="1"/>
  <c r="M724" i="1"/>
  <c r="R724" i="1"/>
  <c r="M668" i="1"/>
  <c r="T668" i="1"/>
  <c r="U668" i="1" s="1"/>
  <c r="V668" i="1" s="1"/>
  <c r="R668" i="1"/>
  <c r="R659" i="1"/>
  <c r="M659" i="1"/>
  <c r="T659" i="1"/>
  <c r="R723" i="1"/>
  <c r="M723" i="1"/>
  <c r="T723" i="1"/>
  <c r="U723" i="1" s="1"/>
  <c r="V723" i="1" s="1"/>
  <c r="R907" i="1"/>
  <c r="T907" i="1"/>
  <c r="U907" i="1" s="1"/>
  <c r="V907" i="1" s="1"/>
  <c r="M907" i="1"/>
  <c r="R875" i="1"/>
  <c r="T875" i="1"/>
  <c r="U875" i="1" s="1"/>
  <c r="V875" i="1" s="1"/>
  <c r="M875" i="1"/>
  <c r="T764" i="1"/>
  <c r="U764" i="1" s="1"/>
  <c r="V764" i="1" s="1"/>
  <c r="M764" i="1"/>
  <c r="R764" i="1"/>
  <c r="R973" i="1"/>
  <c r="T973" i="1"/>
  <c r="U973" i="1" s="1"/>
  <c r="V973" i="1" s="1"/>
  <c r="M973" i="1"/>
  <c r="R946" i="1"/>
  <c r="T946" i="1"/>
  <c r="M946" i="1"/>
  <c r="R691" i="1"/>
  <c r="T691" i="1"/>
  <c r="M691" i="1"/>
  <c r="R667" i="1"/>
  <c r="T667" i="1"/>
  <c r="M667" i="1"/>
  <c r="T990" i="1"/>
  <c r="U990" i="1" s="1"/>
  <c r="V990" i="1" s="1"/>
  <c r="R990" i="1"/>
  <c r="M990" i="1"/>
  <c r="R382" i="1"/>
  <c r="T382" i="1"/>
  <c r="U382" i="1" s="1"/>
  <c r="V382" i="1" s="1"/>
  <c r="M382" i="1"/>
  <c r="T293" i="1"/>
  <c r="U293" i="1" s="1"/>
  <c r="V293" i="1" s="1"/>
  <c r="M293" i="1"/>
  <c r="R293" i="1"/>
  <c r="R859" i="1"/>
  <c r="T859" i="1"/>
  <c r="U859" i="1" s="1"/>
  <c r="V859" i="1" s="1"/>
  <c r="M859" i="1"/>
  <c r="R478" i="1"/>
  <c r="T478" i="1"/>
  <c r="U478" i="1" s="1"/>
  <c r="V478" i="1" s="1"/>
  <c r="M478" i="1"/>
  <c r="R819" i="1"/>
  <c r="T819" i="1"/>
  <c r="U819" i="1" s="1"/>
  <c r="V819" i="1" s="1"/>
  <c r="M819" i="1"/>
  <c r="R227" i="1"/>
  <c r="T227" i="1"/>
  <c r="U227" i="1" s="1"/>
  <c r="V227" i="1" s="1"/>
  <c r="M227" i="1"/>
  <c r="R135" i="1"/>
  <c r="T135" i="1"/>
  <c r="U135" i="1" s="1"/>
  <c r="V135" i="1" s="1"/>
  <c r="M135" i="1"/>
  <c r="R71" i="1"/>
  <c r="T71" i="1"/>
  <c r="U71" i="1" s="1"/>
  <c r="V71" i="1" s="1"/>
  <c r="M71" i="1"/>
  <c r="T578" i="1"/>
  <c r="U578" i="1" s="1"/>
  <c r="V578" i="1" s="1"/>
  <c r="R578" i="1"/>
  <c r="M578" i="1"/>
  <c r="R390" i="1"/>
  <c r="T390" i="1"/>
  <c r="U390" i="1" s="1"/>
  <c r="V390" i="1" s="1"/>
  <c r="M390" i="1"/>
  <c r="R214" i="1"/>
  <c r="T214" i="1"/>
  <c r="U214" i="1" s="1"/>
  <c r="V214" i="1" s="1"/>
  <c r="M214" i="1"/>
  <c r="R198" i="1"/>
  <c r="T198" i="1"/>
  <c r="U198" i="1" s="1"/>
  <c r="V198" i="1" s="1"/>
  <c r="M198" i="1"/>
  <c r="R182" i="1"/>
  <c r="T182" i="1"/>
  <c r="U182" i="1" s="1"/>
  <c r="V182" i="1" s="1"/>
  <c r="M182" i="1"/>
  <c r="R166" i="1"/>
  <c r="T166" i="1"/>
  <c r="U166" i="1" s="1"/>
  <c r="V166" i="1" s="1"/>
  <c r="M166" i="1"/>
  <c r="R150" i="1"/>
  <c r="T150" i="1"/>
  <c r="U150" i="1" s="1"/>
  <c r="V150" i="1" s="1"/>
  <c r="M150" i="1"/>
  <c r="R134" i="1"/>
  <c r="T134" i="1"/>
  <c r="U134" i="1" s="1"/>
  <c r="V134" i="1" s="1"/>
  <c r="M134" i="1"/>
  <c r="R118" i="1"/>
  <c r="T118" i="1"/>
  <c r="U118" i="1" s="1"/>
  <c r="V118" i="1" s="1"/>
  <c r="M118" i="1"/>
  <c r="R102" i="1"/>
  <c r="T102" i="1"/>
  <c r="U102" i="1" s="1"/>
  <c r="V102" i="1" s="1"/>
  <c r="M102" i="1"/>
  <c r="R86" i="1"/>
  <c r="T86" i="1"/>
  <c r="U86" i="1" s="1"/>
  <c r="V86" i="1" s="1"/>
  <c r="M86" i="1"/>
  <c r="R70" i="1"/>
  <c r="T70" i="1"/>
  <c r="U70" i="1" s="1"/>
  <c r="V70" i="1" s="1"/>
  <c r="M70" i="1"/>
  <c r="R54" i="1"/>
  <c r="T54" i="1"/>
  <c r="U54" i="1" s="1"/>
  <c r="V54" i="1" s="1"/>
  <c r="M54" i="1"/>
  <c r="R38" i="1"/>
  <c r="T38" i="1"/>
  <c r="U38" i="1" s="1"/>
  <c r="V38" i="1" s="1"/>
  <c r="M38" i="1"/>
  <c r="R22" i="1"/>
  <c r="M22" i="1"/>
  <c r="T22" i="1"/>
  <c r="U22" i="1" s="1"/>
  <c r="V22" i="1" s="1"/>
  <c r="R6" i="1"/>
  <c r="T6" i="1"/>
  <c r="U6" i="1" s="1"/>
  <c r="V6" i="1" s="1"/>
  <c r="M6" i="1"/>
  <c r="T205" i="1"/>
  <c r="U205" i="1" s="1"/>
  <c r="V205" i="1" s="1"/>
  <c r="R205" i="1"/>
  <c r="M205" i="1"/>
  <c r="R141" i="1"/>
  <c r="M141" i="1"/>
  <c r="T141" i="1"/>
  <c r="R77" i="1"/>
  <c r="M77" i="1"/>
  <c r="T77" i="1"/>
  <c r="U77" i="1" s="1"/>
  <c r="V77" i="1" s="1"/>
  <c r="K2" i="7"/>
  <c r="O12" i="7"/>
  <c r="O8" i="7"/>
  <c r="W4" i="7"/>
  <c r="T50" i="7"/>
  <c r="AB18" i="7"/>
  <c r="Y13" i="7"/>
  <c r="Y9" i="7"/>
  <c r="Y5" i="7"/>
  <c r="M64" i="7"/>
  <c r="AD3" i="7"/>
  <c r="D6" i="7"/>
  <c r="H8" i="7"/>
  <c r="L10" i="7"/>
  <c r="P12" i="7"/>
  <c r="T14" i="7"/>
  <c r="AF16" i="7"/>
  <c r="P44" i="7"/>
  <c r="E2" i="7"/>
  <c r="I4" i="7"/>
  <c r="M6" i="7"/>
  <c r="Q8" i="7"/>
  <c r="U10" i="7"/>
  <c r="Y12" i="7"/>
  <c r="AC14" i="7"/>
  <c r="Q17" i="7"/>
  <c r="Z29" i="7"/>
  <c r="AB46" i="7"/>
  <c r="N2" i="7"/>
  <c r="R4" i="7"/>
  <c r="V6" i="7"/>
  <c r="Z8" i="7"/>
  <c r="AD10" i="7"/>
  <c r="D13" i="7"/>
  <c r="H15" i="7"/>
  <c r="AF17" i="7"/>
  <c r="H32" i="7"/>
  <c r="J49" i="7"/>
  <c r="W2" i="7"/>
  <c r="AA4" i="7"/>
  <c r="AE6" i="7"/>
  <c r="E9" i="7"/>
  <c r="I11" i="7"/>
  <c r="M13" i="7"/>
  <c r="S18" i="7"/>
  <c r="T34" i="7"/>
  <c r="V51" i="7"/>
  <c r="AF2" i="7"/>
  <c r="F5" i="7"/>
  <c r="J7" i="7"/>
  <c r="R11" i="7"/>
  <c r="V13" i="7"/>
  <c r="Z15" i="7"/>
  <c r="AD19" i="7"/>
  <c r="AF36" i="7"/>
  <c r="D54" i="7"/>
  <c r="K3" i="7"/>
  <c r="O5" i="7"/>
  <c r="S7" i="7"/>
  <c r="W9" i="7"/>
  <c r="E12" i="7"/>
  <c r="Y14" i="7"/>
  <c r="X17" i="7"/>
  <c r="AF32" i="7"/>
  <c r="H52" i="7"/>
  <c r="L3" i="7"/>
  <c r="X5" i="7"/>
  <c r="F8" i="7"/>
  <c r="Z10" i="7"/>
  <c r="H13" i="7"/>
  <c r="T15" i="7"/>
  <c r="P20" i="7"/>
  <c r="V39" i="7"/>
  <c r="C17" i="7"/>
  <c r="Q20" i="7"/>
  <c r="W23" i="7"/>
  <c r="AC26" i="7"/>
  <c r="E30" i="7"/>
  <c r="S33" i="7"/>
  <c r="Y36" i="7"/>
  <c r="Q40" i="7"/>
  <c r="AE43" i="7"/>
  <c r="G47" i="7"/>
  <c r="U50" i="7"/>
  <c r="AA53" i="7"/>
  <c r="G73" i="7"/>
  <c r="L21" i="7"/>
  <c r="Z24" i="7"/>
  <c r="X27" i="7"/>
  <c r="H31" i="7"/>
  <c r="N34" i="7"/>
  <c r="AB37" i="7"/>
  <c r="D41" i="7"/>
  <c r="J44" i="7"/>
  <c r="P47" i="7"/>
  <c r="H51" i="7"/>
  <c r="Y57" i="7"/>
  <c r="AA79" i="7"/>
  <c r="G22" i="7"/>
  <c r="U25" i="7"/>
  <c r="AA28" i="7"/>
  <c r="S32" i="7"/>
  <c r="C36" i="7"/>
  <c r="I39" i="7"/>
  <c r="W42" i="7"/>
  <c r="AC45" i="7"/>
  <c r="I51" i="7"/>
  <c r="K56" i="7"/>
  <c r="AB16" i="7"/>
  <c r="AD21" i="7"/>
  <c r="R27" i="7"/>
  <c r="AB32" i="7"/>
  <c r="H38" i="7"/>
  <c r="J43" i="7"/>
  <c r="AB48" i="7"/>
  <c r="H54" i="7"/>
  <c r="G17" i="7"/>
  <c r="AA23" i="7"/>
  <c r="E32" i="7"/>
  <c r="U40" i="7"/>
  <c r="K47" i="7"/>
  <c r="S55" i="7"/>
  <c r="D19" i="7"/>
  <c r="P25" i="7"/>
  <c r="X33" i="7"/>
  <c r="N40" i="7"/>
  <c r="V48" i="7"/>
  <c r="I21" i="7"/>
  <c r="Y29" i="7"/>
  <c r="O36" i="7"/>
  <c r="AE44" i="7"/>
  <c r="I53" i="7"/>
  <c r="AF57" i="7"/>
  <c r="R66" i="7"/>
  <c r="H73" i="7"/>
  <c r="S58" i="7"/>
  <c r="E67" i="7"/>
  <c r="M75" i="7"/>
  <c r="AD67" i="7"/>
  <c r="AC62" i="7"/>
  <c r="O71" i="7"/>
  <c r="W79" i="7"/>
  <c r="AB69" i="7"/>
  <c r="R76" i="7"/>
  <c r="U61" i="7"/>
  <c r="G70" i="7"/>
  <c r="O78" i="7"/>
  <c r="R63" i="7"/>
  <c r="H70" i="7"/>
  <c r="P78" i="7"/>
  <c r="O94" i="7"/>
  <c r="X102" i="7"/>
  <c r="Z87" i="7"/>
  <c r="H94" i="7"/>
  <c r="Y86" i="7"/>
  <c r="C95" i="7"/>
  <c r="L87" i="7"/>
  <c r="AF93" i="7"/>
  <c r="J102" i="7"/>
  <c r="Q85" i="7"/>
  <c r="Y93" i="7"/>
  <c r="K102" i="7"/>
  <c r="P84" i="7"/>
  <c r="X92" i="7"/>
  <c r="C93" i="7"/>
  <c r="K101" i="7"/>
  <c r="AB93" i="7"/>
  <c r="AB107" i="7"/>
  <c r="S110" i="7"/>
  <c r="Y125" i="7"/>
  <c r="L114" i="7"/>
  <c r="AE131" i="7"/>
  <c r="W119" i="7"/>
  <c r="AA124" i="7"/>
  <c r="T2708" i="1"/>
  <c r="U2708" i="1" s="1"/>
  <c r="V2708" i="1" s="1"/>
  <c r="M2708" i="1"/>
  <c r="R2708" i="1"/>
  <c r="U2671" i="1"/>
  <c r="V2671" i="1" s="1"/>
  <c r="R2576" i="1"/>
  <c r="M2576" i="1"/>
  <c r="T2576" i="1"/>
  <c r="U2576" i="1" s="1"/>
  <c r="V2576" i="1" s="1"/>
  <c r="R2550" i="1"/>
  <c r="T2550" i="1"/>
  <c r="U2550" i="1" s="1"/>
  <c r="V2550" i="1" s="1"/>
  <c r="M2550" i="1"/>
  <c r="T2466" i="1"/>
  <c r="U2466" i="1" s="1"/>
  <c r="V2466" i="1" s="1"/>
  <c r="M2466" i="1"/>
  <c r="R2466" i="1"/>
  <c r="T2442" i="1"/>
  <c r="U2442" i="1" s="1"/>
  <c r="V2442" i="1" s="1"/>
  <c r="M2442" i="1"/>
  <c r="R2442" i="1"/>
  <c r="T2410" i="1"/>
  <c r="U2410" i="1" s="1"/>
  <c r="V2410" i="1" s="1"/>
  <c r="M2410" i="1"/>
  <c r="R2410" i="1"/>
  <c r="T2378" i="1"/>
  <c r="U2378" i="1" s="1"/>
  <c r="V2378" i="1" s="1"/>
  <c r="M2378" i="1"/>
  <c r="R2378" i="1"/>
  <c r="T2354" i="1"/>
  <c r="U2354" i="1" s="1"/>
  <c r="V2354" i="1" s="1"/>
  <c r="M2354" i="1"/>
  <c r="R2354" i="1"/>
  <c r="T2290" i="1"/>
  <c r="U2290" i="1" s="1"/>
  <c r="V2290" i="1" s="1"/>
  <c r="M2290" i="1"/>
  <c r="R2290" i="1"/>
  <c r="T2146" i="1"/>
  <c r="U2146" i="1" s="1"/>
  <c r="V2146" i="1" s="1"/>
  <c r="M2146" i="1"/>
  <c r="R2146" i="1"/>
  <c r="R2560" i="1"/>
  <c r="T2560" i="1"/>
  <c r="U2560" i="1" s="1"/>
  <c r="V2560" i="1" s="1"/>
  <c r="M2560" i="1"/>
  <c r="R2281" i="1"/>
  <c r="T2281" i="1"/>
  <c r="U2281" i="1" s="1"/>
  <c r="V2281" i="1" s="1"/>
  <c r="M2281" i="1"/>
  <c r="T2115" i="1"/>
  <c r="U2115" i="1" s="1"/>
  <c r="V2115" i="1" s="1"/>
  <c r="M2115" i="1"/>
  <c r="R2115" i="1"/>
  <c r="U2404" i="1"/>
  <c r="V2404" i="1" s="1"/>
  <c r="R2369" i="1"/>
  <c r="T2369" i="1"/>
  <c r="U2369" i="1" s="1"/>
  <c r="V2369" i="1" s="1"/>
  <c r="M2369" i="1"/>
  <c r="R2457" i="1"/>
  <c r="T2457" i="1"/>
  <c r="U2457" i="1" s="1"/>
  <c r="V2457" i="1" s="1"/>
  <c r="M2457" i="1"/>
  <c r="T2165" i="1"/>
  <c r="U2165" i="1" s="1"/>
  <c r="V2165" i="1" s="1"/>
  <c r="M2165" i="1"/>
  <c r="R2165" i="1"/>
  <c r="U2348" i="1"/>
  <c r="V2348" i="1" s="1"/>
  <c r="R2535" i="1"/>
  <c r="M2535" i="1"/>
  <c r="T2535" i="1"/>
  <c r="R2217" i="1"/>
  <c r="T2217" i="1"/>
  <c r="U2217" i="1" s="1"/>
  <c r="V2217" i="1" s="1"/>
  <c r="M2217" i="1"/>
  <c r="U2436" i="1"/>
  <c r="V2436" i="1" s="1"/>
  <c r="R2377" i="1"/>
  <c r="T2377" i="1"/>
  <c r="U2377" i="1" s="1"/>
  <c r="V2377" i="1" s="1"/>
  <c r="M2377" i="1"/>
  <c r="R2177" i="1"/>
  <c r="T2177" i="1"/>
  <c r="U2177" i="1" s="1"/>
  <c r="V2177" i="1" s="1"/>
  <c r="M2177" i="1"/>
  <c r="R2092" i="1"/>
  <c r="M2092" i="1"/>
  <c r="T2092" i="1"/>
  <c r="U2092" i="1" s="1"/>
  <c r="V2092" i="1" s="1"/>
  <c r="R2028" i="1"/>
  <c r="M2028" i="1"/>
  <c r="T2028" i="1"/>
  <c r="U2028" i="1" s="1"/>
  <c r="V2028" i="1" s="1"/>
  <c r="R1996" i="1"/>
  <c r="T1996" i="1"/>
  <c r="U1996" i="1" s="1"/>
  <c r="V1996" i="1" s="1"/>
  <c r="M1996" i="1"/>
  <c r="R1964" i="1"/>
  <c r="T1964" i="1"/>
  <c r="U1964" i="1" s="1"/>
  <c r="V1964" i="1" s="1"/>
  <c r="M1964" i="1"/>
  <c r="R1932" i="1"/>
  <c r="T1932" i="1"/>
  <c r="U1932" i="1" s="1"/>
  <c r="V1932" i="1" s="1"/>
  <c r="M1932" i="1"/>
  <c r="R1900" i="1"/>
  <c r="M1900" i="1"/>
  <c r="T1900" i="1"/>
  <c r="U1900" i="1" s="1"/>
  <c r="V1900" i="1" s="1"/>
  <c r="R1868" i="1"/>
  <c r="M1868" i="1"/>
  <c r="T1868" i="1"/>
  <c r="U1868" i="1" s="1"/>
  <c r="V1868" i="1" s="1"/>
  <c r="T2707" i="1"/>
  <c r="U2707" i="1" s="1"/>
  <c r="V2707" i="1" s="1"/>
  <c r="M2707" i="1"/>
  <c r="R2707" i="1"/>
  <c r="R2053" i="1"/>
  <c r="T2053" i="1"/>
  <c r="M2053" i="1"/>
  <c r="U2491" i="1"/>
  <c r="V2491" i="1" s="1"/>
  <c r="R1917" i="1"/>
  <c r="T1917" i="1"/>
  <c r="U1917" i="1" s="1"/>
  <c r="V1917" i="1" s="1"/>
  <c r="M1917" i="1"/>
  <c r="R2104" i="1"/>
  <c r="T2104" i="1"/>
  <c r="U2104" i="1" s="1"/>
  <c r="V2104" i="1" s="1"/>
  <c r="M2104" i="1"/>
  <c r="R2085" i="1"/>
  <c r="T2085" i="1"/>
  <c r="M2085" i="1"/>
  <c r="T1958" i="1"/>
  <c r="M1958" i="1"/>
  <c r="R1958" i="1"/>
  <c r="R1941" i="1"/>
  <c r="T1941" i="1"/>
  <c r="U1941" i="1" s="1"/>
  <c r="V1941" i="1" s="1"/>
  <c r="M1941" i="1"/>
  <c r="T1829" i="1"/>
  <c r="U1829" i="1" s="1"/>
  <c r="V1829" i="1" s="1"/>
  <c r="M1829" i="1"/>
  <c r="R1829" i="1"/>
  <c r="T1702" i="1"/>
  <c r="M1702" i="1"/>
  <c r="R1702" i="1"/>
  <c r="T1638" i="1"/>
  <c r="U1638" i="1" s="1"/>
  <c r="V1638" i="1" s="1"/>
  <c r="M1638" i="1"/>
  <c r="R1638" i="1"/>
  <c r="T1574" i="1"/>
  <c r="U1574" i="1" s="1"/>
  <c r="V1574" i="1" s="1"/>
  <c r="M1574" i="1"/>
  <c r="R1574" i="1"/>
  <c r="R1861" i="1"/>
  <c r="T1861" i="1"/>
  <c r="U1861" i="1" s="1"/>
  <c r="V1861" i="1" s="1"/>
  <c r="M1861" i="1"/>
  <c r="U1962" i="1"/>
  <c r="V1962" i="1" s="1"/>
  <c r="T1813" i="1"/>
  <c r="U1813" i="1" s="1"/>
  <c r="V1813" i="1" s="1"/>
  <c r="M1813" i="1"/>
  <c r="R1813" i="1"/>
  <c r="U1802" i="1"/>
  <c r="V1802" i="1" s="1"/>
  <c r="R1693" i="1"/>
  <c r="T1693" i="1"/>
  <c r="U1693" i="1" s="1"/>
  <c r="V1693" i="1" s="1"/>
  <c r="M1693" i="1"/>
  <c r="U1495" i="1"/>
  <c r="V1495" i="1" s="1"/>
  <c r="U1794" i="1"/>
  <c r="V1794" i="1" s="1"/>
  <c r="R2021" i="1"/>
  <c r="T2021" i="1"/>
  <c r="M2021" i="1"/>
  <c r="M1355" i="1"/>
  <c r="T1355" i="1"/>
  <c r="U1355" i="1" s="1"/>
  <c r="V1355" i="1" s="1"/>
  <c r="R1355" i="1"/>
  <c r="R1717" i="1"/>
  <c r="T1717" i="1"/>
  <c r="U1717" i="1" s="1"/>
  <c r="V1717" i="1" s="1"/>
  <c r="M1717" i="1"/>
  <c r="R1549" i="1"/>
  <c r="T1549" i="1"/>
  <c r="U1549" i="1" s="1"/>
  <c r="V1549" i="1" s="1"/>
  <c r="M1549" i="1"/>
  <c r="R1356" i="1"/>
  <c r="M1356" i="1"/>
  <c r="T1356" i="1"/>
  <c r="U1356" i="1" s="1"/>
  <c r="V1356" i="1" s="1"/>
  <c r="U1682" i="1"/>
  <c r="V1682" i="1" s="1"/>
  <c r="R1613" i="1"/>
  <c r="T1613" i="1"/>
  <c r="U1613" i="1" s="1"/>
  <c r="V1613" i="1" s="1"/>
  <c r="M1613" i="1"/>
  <c r="R1310" i="1"/>
  <c r="M1310" i="1"/>
  <c r="T1310" i="1"/>
  <c r="U1310" i="1" s="1"/>
  <c r="V1310" i="1" s="1"/>
  <c r="R1246" i="1"/>
  <c r="M1246" i="1"/>
  <c r="T1246" i="1"/>
  <c r="U1246" i="1" s="1"/>
  <c r="V1246" i="1" s="1"/>
  <c r="R1182" i="1"/>
  <c r="T1182" i="1"/>
  <c r="U1182" i="1" s="1"/>
  <c r="V1182" i="1" s="1"/>
  <c r="M1182" i="1"/>
  <c r="R1134" i="1"/>
  <c r="T1134" i="1"/>
  <c r="U1134" i="1" s="1"/>
  <c r="V1134" i="1" s="1"/>
  <c r="M1134" i="1"/>
  <c r="R1102" i="1"/>
  <c r="T1102" i="1"/>
  <c r="U1102" i="1" s="1"/>
  <c r="V1102" i="1" s="1"/>
  <c r="M1102" i="1"/>
  <c r="U1221" i="1"/>
  <c r="V1221" i="1" s="1"/>
  <c r="T1344" i="1"/>
  <c r="M1344" i="1"/>
  <c r="R1344" i="1"/>
  <c r="R1311" i="1"/>
  <c r="T1311" i="1"/>
  <c r="U1311" i="1" s="1"/>
  <c r="V1311" i="1" s="1"/>
  <c r="M1311" i="1"/>
  <c r="R1247" i="1"/>
  <c r="T1247" i="1"/>
  <c r="U1247" i="1" s="1"/>
  <c r="V1247" i="1" s="1"/>
  <c r="M1247" i="1"/>
  <c r="T1026" i="1"/>
  <c r="U1026" i="1" s="1"/>
  <c r="V1026" i="1" s="1"/>
  <c r="M1026" i="1"/>
  <c r="R1026" i="1"/>
  <c r="M1006" i="1"/>
  <c r="T1006" i="1"/>
  <c r="U1006" i="1" s="1"/>
  <c r="V1006" i="1" s="1"/>
  <c r="R1006" i="1"/>
  <c r="R1239" i="1"/>
  <c r="T1239" i="1"/>
  <c r="U1239" i="1" s="1"/>
  <c r="V1239" i="1" s="1"/>
  <c r="M1239" i="1"/>
  <c r="U1233" i="1"/>
  <c r="V1233" i="1" s="1"/>
  <c r="R1191" i="1"/>
  <c r="T1191" i="1"/>
  <c r="U1191" i="1" s="1"/>
  <c r="V1191" i="1" s="1"/>
  <c r="M1191" i="1"/>
  <c r="U1125" i="1"/>
  <c r="V1125" i="1" s="1"/>
  <c r="R1231" i="1"/>
  <c r="T1231" i="1"/>
  <c r="U1231" i="1" s="1"/>
  <c r="V1231" i="1" s="1"/>
  <c r="M1231" i="1"/>
  <c r="U1225" i="1"/>
  <c r="V1225" i="1" s="1"/>
  <c r="R1183" i="1"/>
  <c r="T1183" i="1"/>
  <c r="U1183" i="1" s="1"/>
  <c r="V1183" i="1" s="1"/>
  <c r="M1183" i="1"/>
  <c r="U1340" i="1"/>
  <c r="V1340" i="1" s="1"/>
  <c r="T932" i="1"/>
  <c r="U932" i="1" s="1"/>
  <c r="V932" i="1" s="1"/>
  <c r="M932" i="1"/>
  <c r="R932" i="1"/>
  <c r="T2157" i="1"/>
  <c r="U2157" i="1" s="1"/>
  <c r="V2157" i="1" s="1"/>
  <c r="M2157" i="1"/>
  <c r="R2157" i="1"/>
  <c r="R1207" i="1"/>
  <c r="T1207" i="1"/>
  <c r="U1207" i="1" s="1"/>
  <c r="V1207" i="1" s="1"/>
  <c r="M1207" i="1"/>
  <c r="U1117" i="1"/>
  <c r="V1117" i="1" s="1"/>
  <c r="R1046" i="1"/>
  <c r="T1046" i="1"/>
  <c r="U1046" i="1" s="1"/>
  <c r="V1046" i="1" s="1"/>
  <c r="M1046" i="1"/>
  <c r="T1002" i="1"/>
  <c r="U1002" i="1" s="1"/>
  <c r="V1002" i="1" s="1"/>
  <c r="M1002" i="1"/>
  <c r="R1002" i="1"/>
  <c r="T950" i="1"/>
  <c r="R950" i="1"/>
  <c r="M950" i="1"/>
  <c r="R1263" i="1"/>
  <c r="T1263" i="1"/>
  <c r="U1263" i="1" s="1"/>
  <c r="V1263" i="1" s="1"/>
  <c r="M1263" i="1"/>
  <c r="T676" i="1"/>
  <c r="U676" i="1" s="1"/>
  <c r="V676" i="1" s="1"/>
  <c r="R676" i="1"/>
  <c r="M676" i="1"/>
  <c r="R739" i="1"/>
  <c r="M739" i="1"/>
  <c r="T739" i="1"/>
  <c r="M652" i="1"/>
  <c r="T652" i="1"/>
  <c r="U652" i="1" s="1"/>
  <c r="V652" i="1" s="1"/>
  <c r="R652" i="1"/>
  <c r="T1304" i="1"/>
  <c r="M1304" i="1"/>
  <c r="R1304" i="1"/>
  <c r="U870" i="1"/>
  <c r="V870" i="1" s="1"/>
  <c r="R779" i="1"/>
  <c r="M779" i="1"/>
  <c r="T779" i="1"/>
  <c r="R651" i="1"/>
  <c r="M651" i="1"/>
  <c r="T651" i="1"/>
  <c r="U862" i="1"/>
  <c r="V862" i="1" s="1"/>
  <c r="T641" i="1"/>
  <c r="U641" i="1" s="1"/>
  <c r="V641" i="1" s="1"/>
  <c r="M641" i="1"/>
  <c r="R641" i="1"/>
  <c r="T1042" i="1"/>
  <c r="U1042" i="1" s="1"/>
  <c r="V1042" i="1" s="1"/>
  <c r="M1042" i="1"/>
  <c r="R1042" i="1"/>
  <c r="T820" i="1"/>
  <c r="U820" i="1" s="1"/>
  <c r="V820" i="1" s="1"/>
  <c r="M820" i="1"/>
  <c r="R820" i="1"/>
  <c r="T700" i="1"/>
  <c r="U700" i="1" s="1"/>
  <c r="V700" i="1" s="1"/>
  <c r="M700" i="1"/>
  <c r="R700" i="1"/>
  <c r="U607" i="1"/>
  <c r="V607" i="1" s="1"/>
  <c r="R683" i="1"/>
  <c r="T683" i="1"/>
  <c r="M683" i="1"/>
  <c r="R620" i="1"/>
  <c r="M620" i="1"/>
  <c r="T620" i="1"/>
  <c r="U620" i="1" s="1"/>
  <c r="V620" i="1" s="1"/>
  <c r="R604" i="1"/>
  <c r="M604" i="1"/>
  <c r="T604" i="1"/>
  <c r="U604" i="1" s="1"/>
  <c r="V604" i="1" s="1"/>
  <c r="T788" i="1"/>
  <c r="U788" i="1" s="1"/>
  <c r="V788" i="1" s="1"/>
  <c r="M788" i="1"/>
  <c r="R788" i="1"/>
  <c r="U428" i="1"/>
  <c r="V428" i="1" s="1"/>
  <c r="T342" i="1"/>
  <c r="U342" i="1" s="1"/>
  <c r="V342" i="1" s="1"/>
  <c r="M342" i="1"/>
  <c r="R342" i="1"/>
  <c r="R526" i="1"/>
  <c r="T526" i="1"/>
  <c r="U526" i="1" s="1"/>
  <c r="V526" i="1" s="1"/>
  <c r="M526" i="1"/>
  <c r="U344" i="1"/>
  <c r="V344" i="1" s="1"/>
  <c r="M236" i="1"/>
  <c r="T236" i="1"/>
  <c r="R236" i="1"/>
  <c r="U504" i="1"/>
  <c r="V504" i="1" s="1"/>
  <c r="U420" i="1"/>
  <c r="V420" i="1" s="1"/>
  <c r="T350" i="1"/>
  <c r="U350" i="1" s="1"/>
  <c r="V350" i="1" s="1"/>
  <c r="M350" i="1"/>
  <c r="R350" i="1"/>
  <c r="R414" i="1"/>
  <c r="T414" i="1"/>
  <c r="U414" i="1" s="1"/>
  <c r="V414" i="1" s="1"/>
  <c r="M414" i="1"/>
  <c r="R285" i="1"/>
  <c r="M285" i="1"/>
  <c r="T285" i="1"/>
  <c r="U285" i="1" s="1"/>
  <c r="V285" i="1" s="1"/>
  <c r="T207" i="1"/>
  <c r="U207" i="1" s="1"/>
  <c r="V207" i="1" s="1"/>
  <c r="M207" i="1"/>
  <c r="R207" i="1"/>
  <c r="R111" i="1"/>
  <c r="T111" i="1"/>
  <c r="U111" i="1" s="1"/>
  <c r="V111" i="1" s="1"/>
  <c r="M111" i="1"/>
  <c r="T47" i="1"/>
  <c r="U47" i="1" s="1"/>
  <c r="V47" i="1" s="1"/>
  <c r="M47" i="1"/>
  <c r="R47" i="1"/>
  <c r="U336" i="1"/>
  <c r="V336" i="1" s="1"/>
  <c r="R486" i="1"/>
  <c r="T486" i="1"/>
  <c r="U486" i="1" s="1"/>
  <c r="V486" i="1" s="1"/>
  <c r="M486" i="1"/>
  <c r="U436" i="1"/>
  <c r="V436" i="1" s="1"/>
  <c r="U384" i="1"/>
  <c r="V384" i="1" s="1"/>
  <c r="R430" i="1"/>
  <c r="T430" i="1"/>
  <c r="U430" i="1" s="1"/>
  <c r="V430" i="1" s="1"/>
  <c r="M430" i="1"/>
  <c r="R349" i="1"/>
  <c r="T349" i="1"/>
  <c r="U349" i="1" s="1"/>
  <c r="V349" i="1" s="1"/>
  <c r="M349" i="1"/>
  <c r="T230" i="1"/>
  <c r="U230" i="1" s="1"/>
  <c r="V230" i="1" s="1"/>
  <c r="M230" i="1"/>
  <c r="R230" i="1"/>
  <c r="R181" i="1"/>
  <c r="M181" i="1"/>
  <c r="T181" i="1"/>
  <c r="U181" i="1" s="1"/>
  <c r="V181" i="1" s="1"/>
  <c r="R117" i="1"/>
  <c r="T117" i="1"/>
  <c r="M117" i="1"/>
  <c r="R53" i="1"/>
  <c r="M53" i="1"/>
  <c r="T53" i="1"/>
  <c r="R21" i="1"/>
  <c r="M21" i="1"/>
  <c r="T21" i="1"/>
  <c r="U57" i="1"/>
  <c r="V57" i="1" s="1"/>
  <c r="N31" i="7"/>
  <c r="S14" i="7"/>
  <c r="S10" i="7"/>
  <c r="AA6" i="7"/>
  <c r="AA2" i="7"/>
  <c r="AC15" i="7"/>
  <c r="AC11" i="7"/>
  <c r="AC7" i="7"/>
  <c r="D2" i="7"/>
  <c r="H4" i="7"/>
  <c r="L6" i="7"/>
  <c r="P8" i="7"/>
  <c r="T10" i="7"/>
  <c r="X12" i="7"/>
  <c r="AB14" i="7"/>
  <c r="P17" i="7"/>
  <c r="R29" i="7"/>
  <c r="T46" i="7"/>
  <c r="M2" i="7"/>
  <c r="Q4" i="7"/>
  <c r="U6" i="7"/>
  <c r="Y8" i="7"/>
  <c r="AC10" i="7"/>
  <c r="C13" i="7"/>
  <c r="G15" i="7"/>
  <c r="AC17" i="7"/>
  <c r="AD31" i="7"/>
  <c r="AF48" i="7"/>
  <c r="Z4" i="7"/>
  <c r="AD6" i="7"/>
  <c r="D9" i="7"/>
  <c r="H11" i="7"/>
  <c r="L13" i="7"/>
  <c r="P15" i="7"/>
  <c r="O18" i="7"/>
  <c r="L34" i="7"/>
  <c r="AE2" i="7"/>
  <c r="E5" i="7"/>
  <c r="I7" i="7"/>
  <c r="M9" i="7"/>
  <c r="Q11" i="7"/>
  <c r="U13" i="7"/>
  <c r="Y15" i="7"/>
  <c r="V19" i="7"/>
  <c r="X36" i="7"/>
  <c r="Z53" i="7"/>
  <c r="J3" i="7"/>
  <c r="N5" i="7"/>
  <c r="R7" i="7"/>
  <c r="V9" i="7"/>
  <c r="Z11" i="7"/>
  <c r="AD13" i="7"/>
  <c r="D16" i="7"/>
  <c r="D22" i="7"/>
  <c r="F39" i="7"/>
  <c r="H56" i="7"/>
  <c r="S3" i="7"/>
  <c r="W5" i="7"/>
  <c r="AA7" i="7"/>
  <c r="AE9" i="7"/>
  <c r="U12" i="7"/>
  <c r="C15" i="7"/>
  <c r="F18" i="7"/>
  <c r="F35" i="7"/>
  <c r="L54" i="7"/>
  <c r="T3" i="7"/>
  <c r="AF5" i="7"/>
  <c r="D11" i="7"/>
  <c r="P13" i="7"/>
  <c r="AB15" i="7"/>
  <c r="T22" i="7"/>
  <c r="Z41" i="7"/>
  <c r="K17" i="7"/>
  <c r="Y20" i="7"/>
  <c r="AE23" i="7"/>
  <c r="G27" i="7"/>
  <c r="M30" i="7"/>
  <c r="E34" i="7"/>
  <c r="S37" i="7"/>
  <c r="Y40" i="7"/>
  <c r="I44" i="7"/>
  <c r="O47" i="7"/>
  <c r="G51" i="7"/>
  <c r="U54" i="7"/>
  <c r="W57" i="7"/>
  <c r="S79" i="7"/>
  <c r="T21" i="7"/>
  <c r="D25" i="7"/>
  <c r="AF27" i="7"/>
  <c r="P31" i="7"/>
  <c r="V34" i="7"/>
  <c r="N38" i="7"/>
  <c r="AB41" i="7"/>
  <c r="Z44" i="7"/>
  <c r="J48" i="7"/>
  <c r="P51" i="7"/>
  <c r="V54" i="7"/>
  <c r="E58" i="7"/>
  <c r="I19" i="7"/>
  <c r="O22" i="7"/>
  <c r="G26" i="7"/>
  <c r="U29" i="7"/>
  <c r="AA32" i="7"/>
  <c r="K36" i="7"/>
  <c r="I43" i="7"/>
  <c r="AE46" i="7"/>
  <c r="S56" i="7"/>
  <c r="H22" i="7"/>
  <c r="L28" i="7"/>
  <c r="AF38" i="7"/>
  <c r="R43" i="7"/>
  <c r="V49" i="7"/>
  <c r="D56" i="7"/>
  <c r="O17" i="7"/>
  <c r="W25" i="7"/>
  <c r="M32" i="7"/>
  <c r="AC40" i="7"/>
  <c r="G49" i="7"/>
  <c r="AA55" i="7"/>
  <c r="L27" i="7"/>
  <c r="AF33" i="7"/>
  <c r="J42" i="7"/>
  <c r="AD48" i="7"/>
  <c r="J57" i="7"/>
  <c r="C30" i="7"/>
  <c r="K38" i="7"/>
  <c r="Q53" i="7"/>
  <c r="J58" i="7"/>
  <c r="Z66" i="7"/>
  <c r="D75" i="7"/>
  <c r="O60" i="7"/>
  <c r="AE68" i="7"/>
  <c r="U75" i="7"/>
  <c r="J61" i="7"/>
  <c r="Z69" i="7"/>
  <c r="H76" i="7"/>
  <c r="Y64" i="7"/>
  <c r="AE79" i="7"/>
  <c r="P63" i="7"/>
  <c r="F70" i="7"/>
  <c r="C72" i="7"/>
  <c r="W78" i="7"/>
  <c r="Z63" i="7"/>
  <c r="D72" i="7"/>
  <c r="X78" i="7"/>
  <c r="Y87" i="7"/>
  <c r="K96" i="7"/>
  <c r="C103" i="7"/>
  <c r="D88" i="7"/>
  <c r="P94" i="7"/>
  <c r="Y102" i="7"/>
  <c r="U88" i="7"/>
  <c r="K95" i="7"/>
  <c r="W103" i="7"/>
  <c r="T87" i="7"/>
  <c r="AB95" i="7"/>
  <c r="R102" i="7"/>
  <c r="M87" i="7"/>
  <c r="C94" i="7"/>
  <c r="S102" i="7"/>
  <c r="L86" i="7"/>
  <c r="AF92" i="7"/>
  <c r="J101" i="7"/>
  <c r="M86" i="7"/>
  <c r="AC94" i="7"/>
  <c r="S101" i="7"/>
  <c r="H87" i="7"/>
  <c r="AF95" i="7"/>
  <c r="V120" i="7"/>
  <c r="W112" i="7"/>
  <c r="P116" i="7"/>
  <c r="AC106" i="7"/>
  <c r="H111" i="7"/>
  <c r="AF123" i="7"/>
  <c r="C112" i="7"/>
  <c r="T2633" i="1"/>
  <c r="M2633" i="1"/>
  <c r="R2633" i="1"/>
  <c r="T2710" i="1"/>
  <c r="U2710" i="1" s="1"/>
  <c r="V2710" i="1" s="1"/>
  <c r="M2710" i="1"/>
  <c r="R2710" i="1"/>
  <c r="T2577" i="1"/>
  <c r="U2577" i="1" s="1"/>
  <c r="V2577" i="1" s="1"/>
  <c r="M2577" i="1"/>
  <c r="R2577" i="1"/>
  <c r="T2641" i="1"/>
  <c r="M2641" i="1"/>
  <c r="R2641" i="1"/>
  <c r="R2518" i="1"/>
  <c r="M2518" i="1"/>
  <c r="T2518" i="1"/>
  <c r="U2518" i="1" s="1"/>
  <c r="V2518" i="1" s="1"/>
  <c r="T2665" i="1"/>
  <c r="U2665" i="1" s="1"/>
  <c r="V2665" i="1" s="1"/>
  <c r="M2665" i="1"/>
  <c r="R2665" i="1"/>
  <c r="T2532" i="1"/>
  <c r="U2532" i="1" s="1"/>
  <c r="V2532" i="1" s="1"/>
  <c r="M2532" i="1"/>
  <c r="R2532" i="1"/>
  <c r="T2506" i="1"/>
  <c r="U2506" i="1" s="1"/>
  <c r="V2506" i="1" s="1"/>
  <c r="M2506" i="1"/>
  <c r="R2506" i="1"/>
  <c r="T2330" i="1"/>
  <c r="U2330" i="1" s="1"/>
  <c r="V2330" i="1" s="1"/>
  <c r="M2330" i="1"/>
  <c r="R2330" i="1"/>
  <c r="T2266" i="1"/>
  <c r="U2266" i="1" s="1"/>
  <c r="V2266" i="1" s="1"/>
  <c r="M2266" i="1"/>
  <c r="R2266" i="1"/>
  <c r="T2162" i="1"/>
  <c r="U2162" i="1" s="1"/>
  <c r="V2162" i="1" s="1"/>
  <c r="M2162" i="1"/>
  <c r="R2162" i="1"/>
  <c r="T2130" i="1"/>
  <c r="U2130" i="1" s="1"/>
  <c r="V2130" i="1" s="1"/>
  <c r="M2130" i="1"/>
  <c r="R2130" i="1"/>
  <c r="T2694" i="1"/>
  <c r="U2694" i="1" s="1"/>
  <c r="V2694" i="1" s="1"/>
  <c r="M2694" i="1"/>
  <c r="R2694" i="1"/>
  <c r="R2640" i="1"/>
  <c r="T2640" i="1"/>
  <c r="U2640" i="1" s="1"/>
  <c r="V2640" i="1" s="1"/>
  <c r="M2640" i="1"/>
  <c r="T2585" i="1"/>
  <c r="U2585" i="1" s="1"/>
  <c r="V2585" i="1" s="1"/>
  <c r="M2585" i="1"/>
  <c r="R2585" i="1"/>
  <c r="R2409" i="1"/>
  <c r="T2409" i="1"/>
  <c r="U2409" i="1" s="1"/>
  <c r="V2409" i="1" s="1"/>
  <c r="M2409" i="1"/>
  <c r="R2297" i="1"/>
  <c r="T2297" i="1"/>
  <c r="U2297" i="1" s="1"/>
  <c r="V2297" i="1" s="1"/>
  <c r="M2297" i="1"/>
  <c r="R2169" i="1"/>
  <c r="T2169" i="1"/>
  <c r="U2169" i="1" s="1"/>
  <c r="V2169" i="1" s="1"/>
  <c r="M2169" i="1"/>
  <c r="R2305" i="1"/>
  <c r="T2305" i="1"/>
  <c r="U2305" i="1" s="1"/>
  <c r="V2305" i="1" s="1"/>
  <c r="M2305" i="1"/>
  <c r="R2129" i="1"/>
  <c r="T2129" i="1"/>
  <c r="U2129" i="1" s="1"/>
  <c r="V2129" i="1" s="1"/>
  <c r="M2129" i="1"/>
  <c r="U2452" i="1"/>
  <c r="V2452" i="1" s="1"/>
  <c r="R2345" i="1"/>
  <c r="T2345" i="1"/>
  <c r="U2345" i="1" s="1"/>
  <c r="V2345" i="1" s="1"/>
  <c r="M2345" i="1"/>
  <c r="R2265" i="1"/>
  <c r="T2265" i="1"/>
  <c r="U2265" i="1" s="1"/>
  <c r="V2265" i="1" s="1"/>
  <c r="M2265" i="1"/>
  <c r="R2505" i="1"/>
  <c r="T2505" i="1"/>
  <c r="U2505" i="1" s="1"/>
  <c r="V2505" i="1" s="1"/>
  <c r="M2505" i="1"/>
  <c r="R2481" i="1"/>
  <c r="T2481" i="1"/>
  <c r="U2481" i="1" s="1"/>
  <c r="V2481" i="1" s="1"/>
  <c r="M2481" i="1"/>
  <c r="U2228" i="1"/>
  <c r="V2228" i="1" s="1"/>
  <c r="R2060" i="1"/>
  <c r="T2060" i="1"/>
  <c r="U2060" i="1" s="1"/>
  <c r="V2060" i="1" s="1"/>
  <c r="M2060" i="1"/>
  <c r="R2519" i="1"/>
  <c r="M2519" i="1"/>
  <c r="T2519" i="1"/>
  <c r="R1844" i="1"/>
  <c r="T1844" i="1"/>
  <c r="U1844" i="1" s="1"/>
  <c r="V1844" i="1" s="1"/>
  <c r="M1844" i="1"/>
  <c r="R1869" i="1"/>
  <c r="T1869" i="1"/>
  <c r="U1869" i="1" s="1"/>
  <c r="V1869" i="1" s="1"/>
  <c r="M1869" i="1"/>
  <c r="T2109" i="1"/>
  <c r="U2109" i="1" s="1"/>
  <c r="V2109" i="1" s="1"/>
  <c r="M2109" i="1"/>
  <c r="R2109" i="1"/>
  <c r="T1830" i="1"/>
  <c r="U1830" i="1" s="1"/>
  <c r="V1830" i="1" s="1"/>
  <c r="M1830" i="1"/>
  <c r="R1830" i="1"/>
  <c r="M1733" i="1"/>
  <c r="T1733" i="1"/>
  <c r="U1733" i="1" s="1"/>
  <c r="V1733" i="1" s="1"/>
  <c r="R1733" i="1"/>
  <c r="T1862" i="1"/>
  <c r="M1862" i="1"/>
  <c r="R1862" i="1"/>
  <c r="T1754" i="1"/>
  <c r="M1754" i="1"/>
  <c r="R1754" i="1"/>
  <c r="T1662" i="1"/>
  <c r="M1662" i="1"/>
  <c r="R1662" i="1"/>
  <c r="T1598" i="1"/>
  <c r="U1598" i="1" s="1"/>
  <c r="V1598" i="1" s="1"/>
  <c r="M1598" i="1"/>
  <c r="R1598" i="1"/>
  <c r="M1502" i="1"/>
  <c r="T1502" i="1"/>
  <c r="U1502" i="1" s="1"/>
  <c r="V1502" i="1" s="1"/>
  <c r="R1502" i="1"/>
  <c r="R1486" i="1"/>
  <c r="M1486" i="1"/>
  <c r="T1486" i="1"/>
  <c r="U1486" i="1" s="1"/>
  <c r="V1486" i="1" s="1"/>
  <c r="T1470" i="1"/>
  <c r="U1470" i="1" s="1"/>
  <c r="V1470" i="1" s="1"/>
  <c r="R1470" i="1"/>
  <c r="M1470" i="1"/>
  <c r="T1454" i="1"/>
  <c r="U1454" i="1" s="1"/>
  <c r="V1454" i="1" s="1"/>
  <c r="R1454" i="1"/>
  <c r="M1454" i="1"/>
  <c r="M1430" i="1"/>
  <c r="T1430" i="1"/>
  <c r="U1430" i="1" s="1"/>
  <c r="V1430" i="1" s="1"/>
  <c r="R1430" i="1"/>
  <c r="R2069" i="1"/>
  <c r="T2069" i="1"/>
  <c r="M2069" i="1"/>
  <c r="R1933" i="1"/>
  <c r="T1933" i="1"/>
  <c r="U1933" i="1" s="1"/>
  <c r="V1933" i="1" s="1"/>
  <c r="M1933" i="1"/>
  <c r="R1789" i="1"/>
  <c r="M1789" i="1"/>
  <c r="T1789" i="1"/>
  <c r="U1789" i="1" s="1"/>
  <c r="V1789" i="1" s="1"/>
  <c r="R1742" i="1"/>
  <c r="M1742" i="1"/>
  <c r="T1742" i="1"/>
  <c r="U1742" i="1" s="1"/>
  <c r="V1742" i="1" s="1"/>
  <c r="R1468" i="1"/>
  <c r="M1468" i="1"/>
  <c r="T1468" i="1"/>
  <c r="U1468" i="1" s="1"/>
  <c r="V1468" i="1" s="1"/>
  <c r="T1423" i="1"/>
  <c r="U1423" i="1" s="1"/>
  <c r="V1423" i="1" s="1"/>
  <c r="M1423" i="1"/>
  <c r="R1423" i="1"/>
  <c r="R1621" i="1"/>
  <c r="T1621" i="1"/>
  <c r="U1621" i="1" s="1"/>
  <c r="V1621" i="1" s="1"/>
  <c r="M1621" i="1"/>
  <c r="R1581" i="1"/>
  <c r="T1581" i="1"/>
  <c r="U1581" i="1" s="1"/>
  <c r="V1581" i="1" s="1"/>
  <c r="M1581" i="1"/>
  <c r="U1674" i="1"/>
  <c r="V1674" i="1" s="1"/>
  <c r="T1428" i="1"/>
  <c r="R1428" i="1"/>
  <c r="M1428" i="1"/>
  <c r="T1443" i="1"/>
  <c r="U1443" i="1" s="1"/>
  <c r="V1443" i="1" s="1"/>
  <c r="M1443" i="1"/>
  <c r="R1443" i="1"/>
  <c r="U1499" i="1"/>
  <c r="V1499" i="1" s="1"/>
  <c r="U1603" i="1"/>
  <c r="V1603" i="1" s="1"/>
  <c r="T1455" i="1"/>
  <c r="U1455" i="1" s="1"/>
  <c r="V1455" i="1" s="1"/>
  <c r="M1455" i="1"/>
  <c r="R1455" i="1"/>
  <c r="U1475" i="1"/>
  <c r="V1475" i="1" s="1"/>
  <c r="R1365" i="1"/>
  <c r="T1365" i="1"/>
  <c r="U1365" i="1" s="1"/>
  <c r="V1365" i="1" s="1"/>
  <c r="M1365" i="1"/>
  <c r="R1350" i="1"/>
  <c r="T1350" i="1"/>
  <c r="U1350" i="1" s="1"/>
  <c r="V1350" i="1" s="1"/>
  <c r="M1350" i="1"/>
  <c r="R1286" i="1"/>
  <c r="T1286" i="1"/>
  <c r="U1286" i="1" s="1"/>
  <c r="V1286" i="1" s="1"/>
  <c r="M1286" i="1"/>
  <c r="R1222" i="1"/>
  <c r="T1222" i="1"/>
  <c r="U1222" i="1" s="1"/>
  <c r="V1222" i="1" s="1"/>
  <c r="M1222" i="1"/>
  <c r="R1158" i="1"/>
  <c r="T1158" i="1"/>
  <c r="U1158" i="1" s="1"/>
  <c r="V1158" i="1" s="1"/>
  <c r="M1158" i="1"/>
  <c r="T1415" i="1"/>
  <c r="U1415" i="1" s="1"/>
  <c r="V1415" i="1" s="1"/>
  <c r="M1415" i="1"/>
  <c r="R1415" i="1"/>
  <c r="U1292" i="1"/>
  <c r="V1292" i="1" s="1"/>
  <c r="T1479" i="1"/>
  <c r="M1479" i="1"/>
  <c r="R1479" i="1"/>
  <c r="T1312" i="1"/>
  <c r="M1312" i="1"/>
  <c r="R1312" i="1"/>
  <c r="T1114" i="1"/>
  <c r="U1114" i="1" s="1"/>
  <c r="V1114" i="1" s="1"/>
  <c r="M1114" i="1"/>
  <c r="R1114" i="1"/>
  <c r="U1053" i="1"/>
  <c r="V1053" i="1" s="1"/>
  <c r="T1082" i="1"/>
  <c r="U1082" i="1" s="1"/>
  <c r="V1082" i="1" s="1"/>
  <c r="M1082" i="1"/>
  <c r="R1082" i="1"/>
  <c r="T1034" i="1"/>
  <c r="U1034" i="1" s="1"/>
  <c r="V1034" i="1" s="1"/>
  <c r="M1034" i="1"/>
  <c r="R1034" i="1"/>
  <c r="M982" i="1"/>
  <c r="T982" i="1"/>
  <c r="R982" i="1"/>
  <c r="R2061" i="1"/>
  <c r="T2061" i="1"/>
  <c r="M2061" i="1"/>
  <c r="R1119" i="1"/>
  <c r="T1119" i="1"/>
  <c r="U1119" i="1" s="1"/>
  <c r="V1119" i="1" s="1"/>
  <c r="M1119" i="1"/>
  <c r="R1054" i="1"/>
  <c r="M1054" i="1"/>
  <c r="T1054" i="1"/>
  <c r="U1054" i="1" s="1"/>
  <c r="V1054" i="1" s="1"/>
  <c r="T925" i="1"/>
  <c r="U925" i="1" s="1"/>
  <c r="V925" i="1" s="1"/>
  <c r="M925" i="1"/>
  <c r="R925" i="1"/>
  <c r="T893" i="1"/>
  <c r="U893" i="1" s="1"/>
  <c r="V893" i="1" s="1"/>
  <c r="M893" i="1"/>
  <c r="R893" i="1"/>
  <c r="T861" i="1"/>
  <c r="U861" i="1" s="1"/>
  <c r="V861" i="1" s="1"/>
  <c r="M861" i="1"/>
  <c r="R861" i="1"/>
  <c r="T829" i="1"/>
  <c r="U829" i="1" s="1"/>
  <c r="V829" i="1" s="1"/>
  <c r="M829" i="1"/>
  <c r="R829" i="1"/>
  <c r="U1308" i="1"/>
  <c r="V1308" i="1" s="1"/>
  <c r="R1287" i="1"/>
  <c r="T1287" i="1"/>
  <c r="U1287" i="1" s="1"/>
  <c r="V1287" i="1" s="1"/>
  <c r="M1287" i="1"/>
  <c r="U1045" i="1"/>
  <c r="V1045" i="1" s="1"/>
  <c r="T986" i="1"/>
  <c r="M986" i="1"/>
  <c r="R986" i="1"/>
  <c r="T908" i="1"/>
  <c r="U908" i="1" s="1"/>
  <c r="V908" i="1" s="1"/>
  <c r="M908" i="1"/>
  <c r="R908" i="1"/>
  <c r="T876" i="1"/>
  <c r="U876" i="1" s="1"/>
  <c r="V876" i="1" s="1"/>
  <c r="M876" i="1"/>
  <c r="R876" i="1"/>
  <c r="R1279" i="1"/>
  <c r="T1279" i="1"/>
  <c r="U1279" i="1" s="1"/>
  <c r="V1279" i="1" s="1"/>
  <c r="M1279" i="1"/>
  <c r="U1161" i="1"/>
  <c r="V1161" i="1" s="1"/>
  <c r="U954" i="1"/>
  <c r="V954" i="1" s="1"/>
  <c r="R1637" i="1"/>
  <c r="T1637" i="1"/>
  <c r="U1637" i="1" s="1"/>
  <c r="V1637" i="1" s="1"/>
  <c r="M1637" i="1"/>
  <c r="T1154" i="1"/>
  <c r="U1154" i="1" s="1"/>
  <c r="V1154" i="1" s="1"/>
  <c r="M1154" i="1"/>
  <c r="R1154" i="1"/>
  <c r="R1335" i="1"/>
  <c r="T1335" i="1"/>
  <c r="U1335" i="1" s="1"/>
  <c r="V1335" i="1" s="1"/>
  <c r="M1335" i="1"/>
  <c r="T812" i="1"/>
  <c r="U812" i="1" s="1"/>
  <c r="V812" i="1" s="1"/>
  <c r="M812" i="1"/>
  <c r="R812" i="1"/>
  <c r="T580" i="1"/>
  <c r="U580" i="1" s="1"/>
  <c r="V580" i="1" s="1"/>
  <c r="R580" i="1"/>
  <c r="M580" i="1"/>
  <c r="U1029" i="1"/>
  <c r="V1029" i="1" s="1"/>
  <c r="U838" i="1"/>
  <c r="V838" i="1" s="1"/>
  <c r="T780" i="1"/>
  <c r="U780" i="1" s="1"/>
  <c r="V780" i="1" s="1"/>
  <c r="M780" i="1"/>
  <c r="R780" i="1"/>
  <c r="R747" i="1"/>
  <c r="M747" i="1"/>
  <c r="T747" i="1"/>
  <c r="R811" i="1"/>
  <c r="M811" i="1"/>
  <c r="T811" i="1"/>
  <c r="U811" i="1" s="1"/>
  <c r="V811" i="1" s="1"/>
  <c r="T732" i="1"/>
  <c r="U732" i="1" s="1"/>
  <c r="V732" i="1" s="1"/>
  <c r="M732" i="1"/>
  <c r="R732" i="1"/>
  <c r="R867" i="1"/>
  <c r="T867" i="1"/>
  <c r="U867" i="1" s="1"/>
  <c r="V867" i="1" s="1"/>
  <c r="M867" i="1"/>
  <c r="R731" i="1"/>
  <c r="M731" i="1"/>
  <c r="T731" i="1"/>
  <c r="U731" i="1" s="1"/>
  <c r="V731" i="1" s="1"/>
  <c r="R577" i="1"/>
  <c r="M577" i="1"/>
  <c r="T577" i="1"/>
  <c r="U577" i="1" s="1"/>
  <c r="V577" i="1" s="1"/>
  <c r="T852" i="1"/>
  <c r="U852" i="1" s="1"/>
  <c r="V852" i="1" s="1"/>
  <c r="M852" i="1"/>
  <c r="R852" i="1"/>
  <c r="T1039" i="1"/>
  <c r="U1039" i="1" s="1"/>
  <c r="V1039" i="1" s="1"/>
  <c r="M1039" i="1"/>
  <c r="R1039" i="1"/>
  <c r="T860" i="1"/>
  <c r="U860" i="1" s="1"/>
  <c r="V860" i="1" s="1"/>
  <c r="M860" i="1"/>
  <c r="R860" i="1"/>
  <c r="R715" i="1"/>
  <c r="T715" i="1"/>
  <c r="U715" i="1" s="1"/>
  <c r="V715" i="1" s="1"/>
  <c r="M715" i="1"/>
  <c r="R628" i="1"/>
  <c r="M628" i="1"/>
  <c r="T628" i="1"/>
  <c r="U628" i="1" s="1"/>
  <c r="V628" i="1" s="1"/>
  <c r="U1257" i="1"/>
  <c r="V1257" i="1" s="1"/>
  <c r="R699" i="1"/>
  <c r="T699" i="1"/>
  <c r="M699" i="1"/>
  <c r="R565" i="1"/>
  <c r="M565" i="1"/>
  <c r="T565" i="1"/>
  <c r="U565" i="1" s="1"/>
  <c r="V565" i="1" s="1"/>
  <c r="R549" i="1"/>
  <c r="T549" i="1"/>
  <c r="U549" i="1" s="1"/>
  <c r="V549" i="1" s="1"/>
  <c r="M549" i="1"/>
  <c r="R533" i="1"/>
  <c r="T533" i="1"/>
  <c r="U533" i="1" s="1"/>
  <c r="V533" i="1" s="1"/>
  <c r="M533" i="1"/>
  <c r="R517" i="1"/>
  <c r="T517" i="1"/>
  <c r="U517" i="1" s="1"/>
  <c r="V517" i="1" s="1"/>
  <c r="M517" i="1"/>
  <c r="R501" i="1"/>
  <c r="T501" i="1"/>
  <c r="U501" i="1" s="1"/>
  <c r="V501" i="1" s="1"/>
  <c r="M501" i="1"/>
  <c r="R485" i="1"/>
  <c r="T485" i="1"/>
  <c r="U485" i="1" s="1"/>
  <c r="V485" i="1" s="1"/>
  <c r="M485" i="1"/>
  <c r="R469" i="1"/>
  <c r="T469" i="1"/>
  <c r="U469" i="1" s="1"/>
  <c r="V469" i="1" s="1"/>
  <c r="M469" i="1"/>
  <c r="R453" i="1"/>
  <c r="T453" i="1"/>
  <c r="U453" i="1" s="1"/>
  <c r="V453" i="1" s="1"/>
  <c r="M453" i="1"/>
  <c r="R437" i="1"/>
  <c r="T437" i="1"/>
  <c r="U437" i="1" s="1"/>
  <c r="V437" i="1" s="1"/>
  <c r="M437" i="1"/>
  <c r="R421" i="1"/>
  <c r="M421" i="1"/>
  <c r="T421" i="1"/>
  <c r="U421" i="1" s="1"/>
  <c r="V421" i="1" s="1"/>
  <c r="R405" i="1"/>
  <c r="M405" i="1"/>
  <c r="T405" i="1"/>
  <c r="U405" i="1" s="1"/>
  <c r="V405" i="1" s="1"/>
  <c r="R389" i="1"/>
  <c r="T389" i="1"/>
  <c r="U389" i="1" s="1"/>
  <c r="V389" i="1" s="1"/>
  <c r="M389" i="1"/>
  <c r="R915" i="1"/>
  <c r="T915" i="1"/>
  <c r="U915" i="1" s="1"/>
  <c r="V915" i="1" s="1"/>
  <c r="M915" i="1"/>
  <c r="N204" i="7"/>
  <c r="J202" i="7"/>
  <c r="F200" i="7"/>
  <c r="AF197" i="7"/>
  <c r="AB195" i="7"/>
  <c r="X193" i="7"/>
  <c r="T191" i="7"/>
  <c r="P189" i="7"/>
  <c r="L187" i="7"/>
  <c r="H185" i="7"/>
  <c r="E204" i="7"/>
  <c r="AE201" i="7"/>
  <c r="AA199" i="7"/>
  <c r="W197" i="7"/>
  <c r="S195" i="7"/>
  <c r="O193" i="7"/>
  <c r="K191" i="7"/>
  <c r="G189" i="7"/>
  <c r="C187" i="7"/>
  <c r="V205" i="7"/>
  <c r="R203" i="7"/>
  <c r="N201" i="7"/>
  <c r="J199" i="7"/>
  <c r="F197" i="7"/>
  <c r="AF194" i="7"/>
  <c r="AB192" i="7"/>
  <c r="X190" i="7"/>
  <c r="T188" i="7"/>
  <c r="P186" i="7"/>
  <c r="L184" i="7"/>
  <c r="AA204" i="7"/>
  <c r="W202" i="7"/>
  <c r="S200" i="7"/>
  <c r="O198" i="7"/>
  <c r="K196" i="7"/>
  <c r="G194" i="7"/>
  <c r="C192" i="7"/>
  <c r="AC189" i="7"/>
  <c r="Y187" i="7"/>
  <c r="U185" i="7"/>
  <c r="Z204" i="7"/>
  <c r="V202" i="7"/>
  <c r="R200" i="7"/>
  <c r="N198" i="7"/>
  <c r="J196" i="7"/>
  <c r="F194" i="7"/>
  <c r="AF191" i="7"/>
  <c r="AB189" i="7"/>
  <c r="X187" i="7"/>
  <c r="T185" i="7"/>
  <c r="M202" i="7"/>
  <c r="I200" i="7"/>
  <c r="E198" i="7"/>
  <c r="AE195" i="7"/>
  <c r="AA193" i="7"/>
  <c r="W191" i="7"/>
  <c r="S189" i="7"/>
  <c r="O187" i="7"/>
  <c r="K185" i="7"/>
  <c r="L198" i="7"/>
  <c r="Z189" i="7"/>
  <c r="AE183" i="7"/>
  <c r="Y181" i="7"/>
  <c r="U179" i="7"/>
  <c r="M175" i="7"/>
  <c r="I173" i="7"/>
  <c r="E171" i="7"/>
  <c r="AE168" i="7"/>
  <c r="S202" i="7"/>
  <c r="C194" i="7"/>
  <c r="Q185" i="7"/>
  <c r="Z182" i="7"/>
  <c r="V180" i="7"/>
  <c r="R178" i="7"/>
  <c r="N176" i="7"/>
  <c r="J174" i="7"/>
  <c r="F172" i="7"/>
  <c r="AF169" i="7"/>
  <c r="R205" i="7"/>
  <c r="AF196" i="7"/>
  <c r="P188" i="7"/>
  <c r="T183" i="7"/>
  <c r="O181" i="7"/>
  <c r="K179" i="7"/>
  <c r="G177" i="7"/>
  <c r="C175" i="7"/>
  <c r="AC172" i="7"/>
  <c r="Y170" i="7"/>
  <c r="U168" i="7"/>
  <c r="O204" i="7"/>
  <c r="AC195" i="7"/>
  <c r="M187" i="7"/>
  <c r="J183" i="7"/>
  <c r="F181" i="7"/>
  <c r="AF178" i="7"/>
  <c r="AB176" i="7"/>
  <c r="X174" i="7"/>
  <c r="T172" i="7"/>
  <c r="P170" i="7"/>
  <c r="L168" i="7"/>
  <c r="AF200" i="7"/>
  <c r="P192" i="7"/>
  <c r="X184" i="7"/>
  <c r="O182" i="7"/>
  <c r="K180" i="7"/>
  <c r="G178" i="7"/>
  <c r="C176" i="7"/>
  <c r="AC173" i="7"/>
  <c r="Y171" i="7"/>
  <c r="U169" i="7"/>
  <c r="G204" i="7"/>
  <c r="U195" i="7"/>
  <c r="E187" i="7"/>
  <c r="H183" i="7"/>
  <c r="D181" i="7"/>
  <c r="AD178" i="7"/>
  <c r="Z176" i="7"/>
  <c r="V174" i="7"/>
  <c r="R172" i="7"/>
  <c r="N170" i="7"/>
  <c r="J168" i="7"/>
  <c r="V199" i="7"/>
  <c r="F191" i="7"/>
  <c r="M184" i="7"/>
  <c r="E182" i="7"/>
  <c r="AE179" i="7"/>
  <c r="AA177" i="7"/>
  <c r="W175" i="7"/>
  <c r="S173" i="7"/>
  <c r="O171" i="7"/>
  <c r="K169" i="7"/>
  <c r="AA202" i="7"/>
  <c r="K194" i="7"/>
  <c r="Y185" i="7"/>
  <c r="AB182" i="7"/>
  <c r="X180" i="7"/>
  <c r="T178" i="7"/>
  <c r="P176" i="7"/>
  <c r="L174" i="7"/>
  <c r="H172" i="7"/>
  <c r="D170" i="7"/>
  <c r="AD167" i="7"/>
  <c r="R165" i="7"/>
  <c r="N163" i="7"/>
  <c r="J161" i="7"/>
  <c r="F159" i="7"/>
  <c r="AF156" i="7"/>
  <c r="AB154" i="7"/>
  <c r="X152" i="7"/>
  <c r="T150" i="7"/>
  <c r="P148" i="7"/>
  <c r="L146" i="7"/>
  <c r="AA166" i="7"/>
  <c r="W164" i="7"/>
  <c r="S162" i="7"/>
  <c r="O160" i="7"/>
  <c r="K158" i="7"/>
  <c r="G156" i="7"/>
  <c r="C154" i="7"/>
  <c r="AC151" i="7"/>
  <c r="Y149" i="7"/>
  <c r="U147" i="7"/>
  <c r="Q145" i="7"/>
  <c r="AF165" i="7"/>
  <c r="AB163" i="7"/>
  <c r="X161" i="7"/>
  <c r="T159" i="7"/>
  <c r="P157" i="7"/>
  <c r="L155" i="7"/>
  <c r="H153" i="7"/>
  <c r="D151" i="7"/>
  <c r="AD148" i="7"/>
  <c r="Z146" i="7"/>
  <c r="V144" i="7"/>
  <c r="AE165" i="7"/>
  <c r="AA163" i="7"/>
  <c r="W161" i="7"/>
  <c r="S159" i="7"/>
  <c r="O157" i="7"/>
  <c r="K155" i="7"/>
  <c r="G153" i="7"/>
  <c r="C151" i="7"/>
  <c r="AC148" i="7"/>
  <c r="Y146" i="7"/>
  <c r="U144" i="7"/>
  <c r="V165" i="7"/>
  <c r="R163" i="7"/>
  <c r="N161" i="7"/>
  <c r="J159" i="7"/>
  <c r="F157" i="7"/>
  <c r="AF154" i="7"/>
  <c r="AB152" i="7"/>
  <c r="X150" i="7"/>
  <c r="T148" i="7"/>
  <c r="P146" i="7"/>
  <c r="AE166" i="7"/>
  <c r="AA164" i="7"/>
  <c r="W162" i="7"/>
  <c r="S160" i="7"/>
  <c r="O158" i="7"/>
  <c r="K156" i="7"/>
  <c r="G154" i="7"/>
  <c r="C152" i="7"/>
  <c r="AC149" i="7"/>
  <c r="Y147" i="7"/>
  <c r="U145" i="7"/>
  <c r="F166" i="7"/>
  <c r="AF163" i="7"/>
  <c r="AB161" i="7"/>
  <c r="X159" i="7"/>
  <c r="T157" i="7"/>
  <c r="P155" i="7"/>
  <c r="L153" i="7"/>
  <c r="H151" i="7"/>
  <c r="D149" i="7"/>
  <c r="AD146" i="7"/>
  <c r="Q167" i="7"/>
  <c r="M150" i="7"/>
  <c r="N143" i="7"/>
  <c r="J141" i="7"/>
  <c r="F139" i="7"/>
  <c r="AF136" i="7"/>
  <c r="AB134" i="7"/>
  <c r="X132" i="7"/>
  <c r="T130" i="7"/>
  <c r="P128" i="7"/>
  <c r="L126" i="7"/>
  <c r="U158" i="7"/>
  <c r="P144" i="7"/>
  <c r="K142" i="7"/>
  <c r="G140" i="7"/>
  <c r="C138" i="7"/>
  <c r="AC135" i="7"/>
  <c r="Y133" i="7"/>
  <c r="U131" i="7"/>
  <c r="AE151" i="7"/>
  <c r="T143" i="7"/>
  <c r="P141" i="7"/>
  <c r="L139" i="7"/>
  <c r="H137" i="7"/>
  <c r="D135" i="7"/>
  <c r="AD132" i="7"/>
  <c r="Z130" i="7"/>
  <c r="Q164" i="7"/>
  <c r="O147" i="7"/>
  <c r="C143" i="7"/>
  <c r="AC140" i="7"/>
  <c r="Y138" i="7"/>
  <c r="U136" i="7"/>
  <c r="Q134" i="7"/>
  <c r="M132" i="7"/>
  <c r="I130" i="7"/>
  <c r="E128" i="7"/>
  <c r="AE125" i="7"/>
  <c r="W155" i="7"/>
  <c r="D144" i="7"/>
  <c r="AD141" i="7"/>
  <c r="Z139" i="7"/>
  <c r="R135" i="7"/>
  <c r="N133" i="7"/>
  <c r="J131" i="7"/>
  <c r="F129" i="7"/>
  <c r="AF126" i="7"/>
  <c r="AA161" i="7"/>
  <c r="AF144" i="7"/>
  <c r="W142" i="7"/>
  <c r="S140" i="7"/>
  <c r="O138" i="7"/>
  <c r="K136" i="7"/>
  <c r="G134" i="7"/>
  <c r="C132" i="7"/>
  <c r="AC129" i="7"/>
  <c r="Y127" i="7"/>
  <c r="U125" i="7"/>
  <c r="AC150" i="7"/>
  <c r="P143" i="7"/>
  <c r="L141" i="7"/>
  <c r="H139" i="7"/>
  <c r="D137" i="7"/>
  <c r="AD134" i="7"/>
  <c r="Z132" i="7"/>
  <c r="V130" i="7"/>
  <c r="R128" i="7"/>
  <c r="K161" i="7"/>
  <c r="AB144" i="7"/>
  <c r="U142" i="7"/>
  <c r="Q140" i="7"/>
  <c r="M138" i="7"/>
  <c r="I136" i="7"/>
  <c r="E134" i="7"/>
  <c r="D127" i="7"/>
  <c r="AA123" i="7"/>
  <c r="W121" i="7"/>
  <c r="S119" i="7"/>
  <c r="O117" i="7"/>
  <c r="K115" i="7"/>
  <c r="G113" i="7"/>
  <c r="C111" i="7"/>
  <c r="AC108" i="7"/>
  <c r="Y106" i="7"/>
  <c r="C133" i="7"/>
  <c r="G125" i="7"/>
  <c r="AF122" i="7"/>
  <c r="AB120" i="7"/>
  <c r="X118" i="7"/>
  <c r="T116" i="7"/>
  <c r="P114" i="7"/>
  <c r="L112" i="7"/>
  <c r="H110" i="7"/>
  <c r="D108" i="7"/>
  <c r="AD105" i="7"/>
  <c r="I128" i="7"/>
  <c r="K124" i="7"/>
  <c r="G122" i="7"/>
  <c r="C120" i="7"/>
  <c r="AC117" i="7"/>
  <c r="Y115" i="7"/>
  <c r="U113" i="7"/>
  <c r="M109" i="7"/>
  <c r="I107" i="7"/>
  <c r="E105" i="7"/>
  <c r="AE102" i="7"/>
  <c r="C126" i="7"/>
  <c r="P123" i="7"/>
  <c r="L121" i="7"/>
  <c r="H119" i="7"/>
  <c r="D117" i="7"/>
  <c r="AD114" i="7"/>
  <c r="Z112" i="7"/>
  <c r="R108" i="7"/>
  <c r="N106" i="7"/>
  <c r="J104" i="7"/>
  <c r="AF125" i="7"/>
  <c r="O123" i="7"/>
  <c r="K121" i="7"/>
  <c r="G119" i="7"/>
  <c r="C117" i="7"/>
  <c r="AC114" i="7"/>
  <c r="Y112" i="7"/>
  <c r="U110" i="7"/>
  <c r="M106" i="7"/>
  <c r="W128" i="7"/>
  <c r="P124" i="7"/>
  <c r="L122" i="7"/>
  <c r="H120" i="7"/>
  <c r="D118" i="7"/>
  <c r="AD115" i="7"/>
  <c r="Z113" i="7"/>
  <c r="V111" i="7"/>
  <c r="R109" i="7"/>
  <c r="N107" i="7"/>
  <c r="W131" i="7"/>
  <c r="AE124" i="7"/>
  <c r="AA122" i="7"/>
  <c r="W120" i="7"/>
  <c r="S118" i="7"/>
  <c r="O116" i="7"/>
  <c r="K114" i="7"/>
  <c r="G112" i="7"/>
  <c r="C110" i="7"/>
  <c r="AC107" i="7"/>
  <c r="Y105" i="7"/>
  <c r="Q128" i="7"/>
  <c r="N124" i="7"/>
  <c r="J122" i="7"/>
  <c r="F120" i="7"/>
  <c r="AF117" i="7"/>
  <c r="AB115" i="7"/>
  <c r="X113" i="7"/>
  <c r="T111" i="7"/>
  <c r="P109" i="7"/>
  <c r="L107" i="7"/>
  <c r="I104" i="7"/>
  <c r="AB101" i="7"/>
  <c r="X99" i="7"/>
  <c r="T97" i="7"/>
  <c r="P95" i="7"/>
  <c r="L93" i="7"/>
  <c r="H91" i="7"/>
  <c r="D89" i="7"/>
  <c r="AD86" i="7"/>
  <c r="Z84" i="7"/>
  <c r="V82" i="7"/>
  <c r="J103" i="7"/>
  <c r="C101" i="7"/>
  <c r="AC98" i="7"/>
  <c r="Y96" i="7"/>
  <c r="U94" i="7"/>
  <c r="Q92" i="7"/>
  <c r="M90" i="7"/>
  <c r="I88" i="7"/>
  <c r="E86" i="7"/>
  <c r="AE83" i="7"/>
  <c r="AA81" i="7"/>
  <c r="H103" i="7"/>
  <c r="AF100" i="7"/>
  <c r="AB98" i="7"/>
  <c r="X96" i="7"/>
  <c r="T94" i="7"/>
  <c r="P92" i="7"/>
  <c r="L90" i="7"/>
  <c r="H88" i="7"/>
  <c r="D86" i="7"/>
  <c r="AD83" i="7"/>
  <c r="Z81" i="7"/>
  <c r="Q104" i="7"/>
  <c r="C102" i="7"/>
  <c r="AC99" i="7"/>
  <c r="Y97" i="7"/>
  <c r="U95" i="7"/>
  <c r="M91" i="7"/>
  <c r="I89" i="7"/>
  <c r="E87" i="7"/>
  <c r="AE84" i="7"/>
  <c r="AA82" i="7"/>
  <c r="P104" i="7"/>
  <c r="AF101" i="7"/>
  <c r="AB99" i="7"/>
  <c r="X97" i="7"/>
  <c r="T95" i="7"/>
  <c r="P93" i="7"/>
  <c r="L91" i="7"/>
  <c r="H89" i="7"/>
  <c r="D87" i="7"/>
  <c r="AD84" i="7"/>
  <c r="Z82" i="7"/>
  <c r="N103" i="7"/>
  <c r="G101" i="7"/>
  <c r="C99" i="7"/>
  <c r="AC96" i="7"/>
  <c r="Y94" i="7"/>
  <c r="U92" i="7"/>
  <c r="M88" i="7"/>
  <c r="I86" i="7"/>
  <c r="E84" i="7"/>
  <c r="AE81" i="7"/>
  <c r="P102" i="7"/>
  <c r="L100" i="7"/>
  <c r="H98" i="7"/>
  <c r="D96" i="7"/>
  <c r="AD93" i="7"/>
  <c r="Z91" i="7"/>
  <c r="R87" i="7"/>
  <c r="N85" i="7"/>
  <c r="J83" i="7"/>
  <c r="F81" i="7"/>
  <c r="O102" i="7"/>
  <c r="K100" i="7"/>
  <c r="G98" i="7"/>
  <c r="C96" i="7"/>
  <c r="AC93" i="7"/>
  <c r="Y91" i="7"/>
  <c r="U89" i="7"/>
  <c r="M85" i="7"/>
  <c r="I83" i="7"/>
  <c r="M80" i="7"/>
  <c r="H78" i="7"/>
  <c r="D76" i="7"/>
  <c r="AD73" i="7"/>
  <c r="Z71" i="7"/>
  <c r="V69" i="7"/>
  <c r="R67" i="7"/>
  <c r="N65" i="7"/>
  <c r="J63" i="7"/>
  <c r="F61" i="7"/>
  <c r="AF58" i="7"/>
  <c r="L80" i="7"/>
  <c r="G78" i="7"/>
  <c r="C76" i="7"/>
  <c r="AC73" i="7"/>
  <c r="Y71" i="7"/>
  <c r="U69" i="7"/>
  <c r="Q67" i="7"/>
  <c r="M65" i="7"/>
  <c r="I63" i="7"/>
  <c r="E61" i="7"/>
  <c r="AE58" i="7"/>
  <c r="K80" i="7"/>
  <c r="F78" i="7"/>
  <c r="AF75" i="7"/>
  <c r="AB73" i="7"/>
  <c r="X71" i="7"/>
  <c r="T69" i="7"/>
  <c r="P67" i="7"/>
  <c r="L65" i="7"/>
  <c r="H63" i="7"/>
  <c r="D61" i="7"/>
  <c r="AD58" i="7"/>
  <c r="Z56" i="7"/>
  <c r="O79" i="7"/>
  <c r="K77" i="7"/>
  <c r="G75" i="7"/>
  <c r="C73" i="7"/>
  <c r="AC70" i="7"/>
  <c r="Y68" i="7"/>
  <c r="U66" i="7"/>
  <c r="Q64" i="7"/>
  <c r="M62" i="7"/>
  <c r="I80" i="7"/>
  <c r="D78" i="7"/>
  <c r="AD75" i="7"/>
  <c r="Z73" i="7"/>
  <c r="R69" i="7"/>
  <c r="N67" i="7"/>
  <c r="J65" i="7"/>
  <c r="F63" i="7"/>
  <c r="AF60" i="7"/>
  <c r="AB58" i="7"/>
  <c r="M79" i="7"/>
  <c r="I77" i="7"/>
  <c r="E75" i="7"/>
  <c r="AE72" i="7"/>
  <c r="AA70" i="7"/>
  <c r="W68" i="7"/>
  <c r="S66" i="7"/>
  <c r="O64" i="7"/>
  <c r="K62" i="7"/>
  <c r="G60" i="7"/>
  <c r="T81" i="7"/>
  <c r="D79" i="7"/>
  <c r="AD76" i="7"/>
  <c r="Z74" i="7"/>
  <c r="V72" i="7"/>
  <c r="R70" i="7"/>
  <c r="N68" i="7"/>
  <c r="J66" i="7"/>
  <c r="F64" i="7"/>
  <c r="AF61" i="7"/>
  <c r="AB59" i="7"/>
  <c r="X57" i="7"/>
  <c r="I66" i="7"/>
  <c r="K57" i="7"/>
  <c r="E55" i="7"/>
  <c r="AE52" i="7"/>
  <c r="AA50" i="7"/>
  <c r="W48" i="7"/>
  <c r="S46" i="7"/>
  <c r="O44" i="7"/>
  <c r="K42" i="7"/>
  <c r="G40" i="7"/>
  <c r="C38" i="7"/>
  <c r="AC35" i="7"/>
  <c r="Y33" i="7"/>
  <c r="U31" i="7"/>
  <c r="Q29" i="7"/>
  <c r="M27" i="7"/>
  <c r="I25" i="7"/>
  <c r="E23" i="7"/>
  <c r="AE20" i="7"/>
  <c r="C81" i="7"/>
  <c r="AA63" i="7"/>
  <c r="AE56" i="7"/>
  <c r="Z54" i="7"/>
  <c r="V52" i="7"/>
  <c r="R50" i="7"/>
  <c r="J46" i="7"/>
  <c r="F44" i="7"/>
  <c r="AF41" i="7"/>
  <c r="AB39" i="7"/>
  <c r="X37" i="7"/>
  <c r="T35" i="7"/>
  <c r="P33" i="7"/>
  <c r="L31" i="7"/>
  <c r="H29" i="7"/>
  <c r="D27" i="7"/>
  <c r="AD24" i="7"/>
  <c r="Z22" i="7"/>
  <c r="R18" i="7"/>
  <c r="AA67" i="7"/>
  <c r="R57" i="7"/>
  <c r="K55" i="7"/>
  <c r="G53" i="7"/>
  <c r="C51" i="7"/>
  <c r="AC48" i="7"/>
  <c r="Y46" i="7"/>
  <c r="U44" i="7"/>
  <c r="M40" i="7"/>
  <c r="I38" i="7"/>
  <c r="E36" i="7"/>
  <c r="AE33" i="7"/>
  <c r="AA31" i="7"/>
  <c r="W29" i="7"/>
  <c r="S27" i="7"/>
  <c r="O25" i="7"/>
  <c r="K23" i="7"/>
  <c r="G21" i="7"/>
  <c r="C19" i="7"/>
  <c r="AC16" i="7"/>
  <c r="AA71" i="7"/>
  <c r="L58" i="7"/>
  <c r="Z55" i="7"/>
  <c r="R51" i="7"/>
  <c r="N49" i="7"/>
  <c r="J47" i="7"/>
  <c r="F45" i="7"/>
  <c r="AF42" i="7"/>
  <c r="AB40" i="7"/>
  <c r="X38" i="7"/>
  <c r="T36" i="7"/>
  <c r="P34" i="7"/>
  <c r="L32" i="7"/>
  <c r="H30" i="7"/>
  <c r="D28" i="7"/>
  <c r="AD25" i="7"/>
  <c r="Z23" i="7"/>
  <c r="V21" i="7"/>
  <c r="R19" i="7"/>
  <c r="N17" i="7"/>
  <c r="W73" i="7"/>
  <c r="C59" i="7"/>
  <c r="C56" i="7"/>
  <c r="AC53" i="7"/>
  <c r="Y51" i="7"/>
  <c r="U49" i="7"/>
  <c r="F204" i="7"/>
  <c r="AF201" i="7"/>
  <c r="AB199" i="7"/>
  <c r="X197" i="7"/>
  <c r="T195" i="7"/>
  <c r="P193" i="7"/>
  <c r="L191" i="7"/>
  <c r="H189" i="7"/>
  <c r="D187" i="7"/>
  <c r="AE205" i="7"/>
  <c r="AA203" i="7"/>
  <c r="W201" i="7"/>
  <c r="S199" i="7"/>
  <c r="O197" i="7"/>
  <c r="K195" i="7"/>
  <c r="G193" i="7"/>
  <c r="C191" i="7"/>
  <c r="AC188" i="7"/>
  <c r="Y186" i="7"/>
  <c r="N205" i="7"/>
  <c r="J203" i="7"/>
  <c r="F201" i="7"/>
  <c r="AF198" i="7"/>
  <c r="AB196" i="7"/>
  <c r="X194" i="7"/>
  <c r="T192" i="7"/>
  <c r="P190" i="7"/>
  <c r="L188" i="7"/>
  <c r="H186" i="7"/>
  <c r="D184" i="7"/>
  <c r="S204" i="7"/>
  <c r="O202" i="7"/>
  <c r="K200" i="7"/>
  <c r="G198" i="7"/>
  <c r="C196" i="7"/>
  <c r="AC193" i="7"/>
  <c r="Y191" i="7"/>
  <c r="U189" i="7"/>
  <c r="Q187" i="7"/>
  <c r="M185" i="7"/>
  <c r="R204" i="7"/>
  <c r="N202" i="7"/>
  <c r="J200" i="7"/>
  <c r="F198" i="7"/>
  <c r="AF195" i="7"/>
  <c r="AB193" i="7"/>
  <c r="X191" i="7"/>
  <c r="T189" i="7"/>
  <c r="P187" i="7"/>
  <c r="L185" i="7"/>
  <c r="I204" i="7"/>
  <c r="E202" i="7"/>
  <c r="AE199" i="7"/>
  <c r="AA197" i="7"/>
  <c r="W195" i="7"/>
  <c r="S193" i="7"/>
  <c r="O191" i="7"/>
  <c r="K189" i="7"/>
  <c r="G187" i="7"/>
  <c r="Z205" i="7"/>
  <c r="J197" i="7"/>
  <c r="X188" i="7"/>
  <c r="V183" i="7"/>
  <c r="Q181" i="7"/>
  <c r="M179" i="7"/>
  <c r="I177" i="7"/>
  <c r="E175" i="7"/>
  <c r="AE172" i="7"/>
  <c r="AA170" i="7"/>
  <c r="W168" i="7"/>
  <c r="AE192" i="7"/>
  <c r="AC184" i="7"/>
  <c r="R182" i="7"/>
  <c r="N180" i="7"/>
  <c r="J178" i="7"/>
  <c r="F176" i="7"/>
  <c r="AF173" i="7"/>
  <c r="AB171" i="7"/>
  <c r="X169" i="7"/>
  <c r="P204" i="7"/>
  <c r="AD195" i="7"/>
  <c r="N187" i="7"/>
  <c r="K183" i="7"/>
  <c r="G181" i="7"/>
  <c r="C179" i="7"/>
  <c r="AC176" i="7"/>
  <c r="Y174" i="7"/>
  <c r="U172" i="7"/>
  <c r="Q170" i="7"/>
  <c r="M168" i="7"/>
  <c r="M203" i="7"/>
  <c r="AA194" i="7"/>
  <c r="K186" i="7"/>
  <c r="AF182" i="7"/>
  <c r="AB180" i="7"/>
  <c r="X178" i="7"/>
  <c r="T176" i="7"/>
  <c r="P174" i="7"/>
  <c r="L172" i="7"/>
  <c r="H170" i="7"/>
  <c r="D168" i="7"/>
  <c r="AD199" i="7"/>
  <c r="N191" i="7"/>
  <c r="O184" i="7"/>
  <c r="G182" i="7"/>
  <c r="C180" i="7"/>
  <c r="AC177" i="7"/>
  <c r="Y175" i="7"/>
  <c r="U173" i="7"/>
  <c r="M169" i="7"/>
  <c r="E203" i="7"/>
  <c r="S194" i="7"/>
  <c r="C186" i="7"/>
  <c r="AD182" i="7"/>
  <c r="Z180" i="7"/>
  <c r="V178" i="7"/>
  <c r="R176" i="7"/>
  <c r="N174" i="7"/>
  <c r="J172" i="7"/>
  <c r="F170" i="7"/>
  <c r="AF167" i="7"/>
  <c r="T198" i="7"/>
  <c r="D190" i="7"/>
  <c r="C184" i="7"/>
  <c r="AA181" i="7"/>
  <c r="W179" i="7"/>
  <c r="S177" i="7"/>
  <c r="O175" i="7"/>
  <c r="K173" i="7"/>
  <c r="G171" i="7"/>
  <c r="C169" i="7"/>
  <c r="Y201" i="7"/>
  <c r="I193" i="7"/>
  <c r="AE184" i="7"/>
  <c r="T182" i="7"/>
  <c r="P180" i="7"/>
  <c r="L178" i="7"/>
  <c r="H176" i="7"/>
  <c r="D174" i="7"/>
  <c r="AD171" i="7"/>
  <c r="Z169" i="7"/>
  <c r="P167" i="7"/>
  <c r="J165" i="7"/>
  <c r="F163" i="7"/>
  <c r="AF160" i="7"/>
  <c r="AB158" i="7"/>
  <c r="X156" i="7"/>
  <c r="T154" i="7"/>
  <c r="P152" i="7"/>
  <c r="L150" i="7"/>
  <c r="H148" i="7"/>
  <c r="D146" i="7"/>
  <c r="S166" i="7"/>
  <c r="O164" i="7"/>
  <c r="K162" i="7"/>
  <c r="G160" i="7"/>
  <c r="C158" i="7"/>
  <c r="AC155" i="7"/>
  <c r="Y153" i="7"/>
  <c r="U151" i="7"/>
  <c r="Q149" i="7"/>
  <c r="M147" i="7"/>
  <c r="I145" i="7"/>
  <c r="X165" i="7"/>
  <c r="T163" i="7"/>
  <c r="P161" i="7"/>
  <c r="L159" i="7"/>
  <c r="H157" i="7"/>
  <c r="D155" i="7"/>
  <c r="AD152" i="7"/>
  <c r="Z150" i="7"/>
  <c r="V148" i="7"/>
  <c r="R146" i="7"/>
  <c r="W165" i="7"/>
  <c r="S163" i="7"/>
  <c r="O161" i="7"/>
  <c r="K159" i="7"/>
  <c r="G157" i="7"/>
  <c r="C155" i="7"/>
  <c r="AC152" i="7"/>
  <c r="Y150" i="7"/>
  <c r="U148" i="7"/>
  <c r="Q146" i="7"/>
  <c r="N165" i="7"/>
  <c r="J163" i="7"/>
  <c r="F161" i="7"/>
  <c r="AF158" i="7"/>
  <c r="AB156" i="7"/>
  <c r="X154" i="7"/>
  <c r="T152" i="7"/>
  <c r="P150" i="7"/>
  <c r="L148" i="7"/>
  <c r="H146" i="7"/>
  <c r="W166" i="7"/>
  <c r="S164" i="7"/>
  <c r="O162" i="7"/>
  <c r="K160" i="7"/>
  <c r="G158" i="7"/>
  <c r="C156" i="7"/>
  <c r="AC153" i="7"/>
  <c r="Y151" i="7"/>
  <c r="U149" i="7"/>
  <c r="M145" i="7"/>
  <c r="AB165" i="7"/>
  <c r="X163" i="7"/>
  <c r="T161" i="7"/>
  <c r="P159" i="7"/>
  <c r="L157" i="7"/>
  <c r="H155" i="7"/>
  <c r="D153" i="7"/>
  <c r="AD150" i="7"/>
  <c r="Z148" i="7"/>
  <c r="K165" i="7"/>
  <c r="I148" i="7"/>
  <c r="F143" i="7"/>
  <c r="AF140" i="7"/>
  <c r="AB138" i="7"/>
  <c r="X136" i="7"/>
  <c r="T134" i="7"/>
  <c r="P132" i="7"/>
  <c r="L130" i="7"/>
  <c r="H128" i="7"/>
  <c r="D126" i="7"/>
  <c r="G144" i="7"/>
  <c r="C142" i="7"/>
  <c r="AC139" i="7"/>
  <c r="Y137" i="7"/>
  <c r="U135" i="7"/>
  <c r="Q133" i="7"/>
  <c r="M131" i="7"/>
  <c r="AC166" i="7"/>
  <c r="AA149" i="7"/>
  <c r="L143" i="7"/>
  <c r="H141" i="7"/>
  <c r="D139" i="7"/>
  <c r="AD136" i="7"/>
  <c r="Z134" i="7"/>
  <c r="V132" i="7"/>
  <c r="R130" i="7"/>
  <c r="M162" i="7"/>
  <c r="K145" i="7"/>
  <c r="Y142" i="7"/>
  <c r="U140" i="7"/>
  <c r="M136" i="7"/>
  <c r="I134" i="7"/>
  <c r="E132" i="7"/>
  <c r="AE129" i="7"/>
  <c r="AA127" i="7"/>
  <c r="W125" i="7"/>
  <c r="S153" i="7"/>
  <c r="Z143" i="7"/>
  <c r="V141" i="7"/>
  <c r="R139" i="7"/>
  <c r="N137" i="7"/>
  <c r="J135" i="7"/>
  <c r="F133" i="7"/>
  <c r="AF130" i="7"/>
  <c r="AB128" i="7"/>
  <c r="X126" i="7"/>
  <c r="W159" i="7"/>
  <c r="T144" i="7"/>
  <c r="O142" i="7"/>
  <c r="K140" i="7"/>
  <c r="G138" i="7"/>
  <c r="C136" i="7"/>
  <c r="AC133" i="7"/>
  <c r="Y131" i="7"/>
  <c r="U129" i="7"/>
  <c r="Q127" i="7"/>
  <c r="AA165" i="7"/>
  <c r="Y148" i="7"/>
  <c r="H143" i="7"/>
  <c r="D141" i="7"/>
  <c r="AD138" i="7"/>
  <c r="Z136" i="7"/>
  <c r="R132" i="7"/>
  <c r="N130" i="7"/>
  <c r="J128" i="7"/>
  <c r="F126" i="7"/>
  <c r="G159" i="7"/>
  <c r="R144" i="7"/>
  <c r="M142" i="7"/>
  <c r="I140" i="7"/>
  <c r="E138" i="7"/>
  <c r="AE135" i="7"/>
  <c r="AA133" i="7"/>
  <c r="K126" i="7"/>
  <c r="S123" i="7"/>
  <c r="O121" i="7"/>
  <c r="K119" i="7"/>
  <c r="G117" i="7"/>
  <c r="C115" i="7"/>
  <c r="AC112" i="7"/>
  <c r="Y110" i="7"/>
  <c r="U108" i="7"/>
  <c r="Q106" i="7"/>
  <c r="AC130" i="7"/>
  <c r="AB124" i="7"/>
  <c r="X122" i="7"/>
  <c r="T120" i="7"/>
  <c r="P118" i="7"/>
  <c r="L116" i="7"/>
  <c r="H114" i="7"/>
  <c r="D112" i="7"/>
  <c r="AD109" i="7"/>
  <c r="Z107" i="7"/>
  <c r="V105" i="7"/>
  <c r="T127" i="7"/>
  <c r="C124" i="7"/>
  <c r="AC121" i="7"/>
  <c r="Y119" i="7"/>
  <c r="U117" i="7"/>
  <c r="Q115" i="7"/>
  <c r="M113" i="7"/>
  <c r="I111" i="7"/>
  <c r="E109" i="7"/>
  <c r="AE106" i="7"/>
  <c r="AA104" i="7"/>
  <c r="W102" i="7"/>
  <c r="N125" i="7"/>
  <c r="H123" i="7"/>
  <c r="D121" i="7"/>
  <c r="AD118" i="7"/>
  <c r="Z116" i="7"/>
  <c r="V114" i="7"/>
  <c r="R112" i="7"/>
  <c r="N110" i="7"/>
  <c r="J108" i="7"/>
  <c r="F106" i="7"/>
  <c r="AF103" i="7"/>
  <c r="M125" i="7"/>
  <c r="G123" i="7"/>
  <c r="C121" i="7"/>
  <c r="AC118" i="7"/>
  <c r="Y116" i="7"/>
  <c r="U114" i="7"/>
  <c r="Q112" i="7"/>
  <c r="M110" i="7"/>
  <c r="I108" i="7"/>
  <c r="E106" i="7"/>
  <c r="AE127" i="7"/>
  <c r="H124" i="7"/>
  <c r="D122" i="7"/>
  <c r="AD119" i="7"/>
  <c r="Z117" i="7"/>
  <c r="V115" i="7"/>
  <c r="R113" i="7"/>
  <c r="J109" i="7"/>
  <c r="F107" i="7"/>
  <c r="S129" i="7"/>
  <c r="W124" i="7"/>
  <c r="S122" i="7"/>
  <c r="O120" i="7"/>
  <c r="K118" i="7"/>
  <c r="G116" i="7"/>
  <c r="C114" i="7"/>
  <c r="AC111" i="7"/>
  <c r="Y109" i="7"/>
  <c r="U107" i="7"/>
  <c r="AB127" i="7"/>
  <c r="F124" i="7"/>
  <c r="AF121" i="7"/>
  <c r="AB119" i="7"/>
  <c r="X117" i="7"/>
  <c r="T115" i="7"/>
  <c r="P113" i="7"/>
  <c r="L111" i="7"/>
  <c r="H109" i="7"/>
  <c r="D107" i="7"/>
  <c r="AC103" i="7"/>
  <c r="T101" i="7"/>
  <c r="P99" i="7"/>
  <c r="L97" i="7"/>
  <c r="H95" i="7"/>
  <c r="D93" i="7"/>
  <c r="AD90" i="7"/>
  <c r="Z88" i="7"/>
  <c r="R84" i="7"/>
  <c r="N82" i="7"/>
  <c r="AD102" i="7"/>
  <c r="Y100" i="7"/>
  <c r="U98" i="7"/>
  <c r="M94" i="7"/>
  <c r="I92" i="7"/>
  <c r="E90" i="7"/>
  <c r="AE87" i="7"/>
  <c r="AA85" i="7"/>
  <c r="W83" i="7"/>
  <c r="S81" i="7"/>
  <c r="AC102" i="7"/>
  <c r="X100" i="7"/>
  <c r="T98" i="7"/>
  <c r="P96" i="7"/>
  <c r="L94" i="7"/>
  <c r="H92" i="7"/>
  <c r="D90" i="7"/>
  <c r="AD87" i="7"/>
  <c r="Z85" i="7"/>
  <c r="R81" i="7"/>
  <c r="F104" i="7"/>
  <c r="Y101" i="7"/>
  <c r="U99" i="7"/>
  <c r="Q97" i="7"/>
  <c r="M95" i="7"/>
  <c r="I93" i="7"/>
  <c r="E91" i="7"/>
  <c r="AE88" i="7"/>
  <c r="AA86" i="7"/>
  <c r="W84" i="7"/>
  <c r="S82" i="7"/>
  <c r="E104" i="7"/>
  <c r="X101" i="7"/>
  <c r="T99" i="7"/>
  <c r="P97" i="7"/>
  <c r="L95" i="7"/>
  <c r="H93" i="7"/>
  <c r="D91" i="7"/>
  <c r="AD88" i="7"/>
  <c r="Z86" i="7"/>
  <c r="V84" i="7"/>
  <c r="R82" i="7"/>
  <c r="E103" i="7"/>
  <c r="AC100" i="7"/>
  <c r="Y98" i="7"/>
  <c r="U96" i="7"/>
  <c r="Q94" i="7"/>
  <c r="M92" i="7"/>
  <c r="I90" i="7"/>
  <c r="E88" i="7"/>
  <c r="AE85" i="7"/>
  <c r="AA83" i="7"/>
  <c r="Y104" i="7"/>
  <c r="H102" i="7"/>
  <c r="D100" i="7"/>
  <c r="AD97" i="7"/>
  <c r="Z95" i="7"/>
  <c r="V93" i="7"/>
  <c r="R91" i="7"/>
  <c r="N89" i="7"/>
  <c r="J87" i="7"/>
  <c r="F85" i="7"/>
  <c r="AF82" i="7"/>
  <c r="X104" i="7"/>
  <c r="G102" i="7"/>
  <c r="C100" i="7"/>
  <c r="AC97" i="7"/>
  <c r="Y95" i="7"/>
  <c r="U93" i="7"/>
  <c r="Q91" i="7"/>
  <c r="M89" i="7"/>
  <c r="I87" i="7"/>
  <c r="E85" i="7"/>
  <c r="AE82" i="7"/>
  <c r="D80" i="7"/>
  <c r="AD77" i="7"/>
  <c r="Z75" i="7"/>
  <c r="V73" i="7"/>
  <c r="R71" i="7"/>
  <c r="J67" i="7"/>
  <c r="F65" i="7"/>
  <c r="AF62" i="7"/>
  <c r="AB60" i="7"/>
  <c r="X58" i="7"/>
  <c r="C80" i="7"/>
  <c r="AC77" i="7"/>
  <c r="Y75" i="7"/>
  <c r="U73" i="7"/>
  <c r="Q71" i="7"/>
  <c r="M69" i="7"/>
  <c r="I67" i="7"/>
  <c r="E65" i="7"/>
  <c r="AE62" i="7"/>
  <c r="AA60" i="7"/>
  <c r="W58" i="7"/>
  <c r="AF79" i="7"/>
  <c r="AB77" i="7"/>
  <c r="X75" i="7"/>
  <c r="T73" i="7"/>
  <c r="P71" i="7"/>
  <c r="L69" i="7"/>
  <c r="H67" i="7"/>
  <c r="D65" i="7"/>
  <c r="AD62" i="7"/>
  <c r="Z60" i="7"/>
  <c r="V58" i="7"/>
  <c r="X81" i="7"/>
  <c r="G79" i="7"/>
  <c r="C77" i="7"/>
  <c r="AC74" i="7"/>
  <c r="Y72" i="7"/>
  <c r="U70" i="7"/>
  <c r="Q68" i="7"/>
  <c r="M66" i="7"/>
  <c r="I64" i="7"/>
  <c r="E62" i="7"/>
  <c r="AD79" i="7"/>
  <c r="Z77" i="7"/>
  <c r="V75" i="7"/>
  <c r="R73" i="7"/>
  <c r="N71" i="7"/>
  <c r="J69" i="7"/>
  <c r="F67" i="7"/>
  <c r="AF64" i="7"/>
  <c r="AB62" i="7"/>
  <c r="X60" i="7"/>
  <c r="U81" i="7"/>
  <c r="E79" i="7"/>
  <c r="AE76" i="7"/>
  <c r="AA74" i="7"/>
  <c r="W72" i="7"/>
  <c r="S70" i="7"/>
  <c r="O68" i="7"/>
  <c r="K66" i="7"/>
  <c r="G64" i="7"/>
  <c r="C62" i="7"/>
  <c r="AC59" i="7"/>
  <c r="D81" i="7"/>
  <c r="Z78" i="7"/>
  <c r="V76" i="7"/>
  <c r="R74" i="7"/>
  <c r="J70" i="7"/>
  <c r="F68" i="7"/>
  <c r="AF65" i="7"/>
  <c r="AB63" i="7"/>
  <c r="X61" i="7"/>
  <c r="T59" i="7"/>
  <c r="P81" i="7"/>
  <c r="E64" i="7"/>
  <c r="AF56" i="7"/>
  <c r="AA54" i="7"/>
  <c r="W52" i="7"/>
  <c r="S50" i="7"/>
  <c r="O48" i="7"/>
  <c r="K46" i="7"/>
  <c r="G44" i="7"/>
  <c r="C42" i="7"/>
  <c r="AC39" i="7"/>
  <c r="Y37" i="7"/>
  <c r="U35" i="7"/>
  <c r="M31" i="7"/>
  <c r="I29" i="7"/>
  <c r="E27" i="7"/>
  <c r="AE24" i="7"/>
  <c r="AA22" i="7"/>
  <c r="W20" i="7"/>
  <c r="Y78" i="7"/>
  <c r="W61" i="7"/>
  <c r="R54" i="7"/>
  <c r="N52" i="7"/>
  <c r="J50" i="7"/>
  <c r="F48" i="7"/>
  <c r="AF45" i="7"/>
  <c r="AB43" i="7"/>
  <c r="X41" i="7"/>
  <c r="T39" i="7"/>
  <c r="P37" i="7"/>
  <c r="L35" i="7"/>
  <c r="H33" i="7"/>
  <c r="D31" i="7"/>
  <c r="AD28" i="7"/>
  <c r="Z26" i="7"/>
  <c r="V24" i="7"/>
  <c r="R22" i="7"/>
  <c r="N20" i="7"/>
  <c r="J18" i="7"/>
  <c r="W65" i="7"/>
  <c r="I57" i="7"/>
  <c r="C55" i="7"/>
  <c r="AC52" i="7"/>
  <c r="Y50" i="7"/>
  <c r="U48" i="7"/>
  <c r="Q46" i="7"/>
  <c r="M44" i="7"/>
  <c r="I42" i="7"/>
  <c r="E40" i="7"/>
  <c r="AE37" i="7"/>
  <c r="AA35" i="7"/>
  <c r="W33" i="7"/>
  <c r="S31" i="7"/>
  <c r="O29" i="7"/>
  <c r="K27" i="7"/>
  <c r="G25" i="7"/>
  <c r="C23" i="7"/>
  <c r="AC20" i="7"/>
  <c r="Y18" i="7"/>
  <c r="U16" i="7"/>
  <c r="W69" i="7"/>
  <c r="AA57" i="7"/>
  <c r="R55" i="7"/>
  <c r="N53" i="7"/>
  <c r="J51" i="7"/>
  <c r="F49" i="7"/>
  <c r="AF46" i="7"/>
  <c r="AB44" i="7"/>
  <c r="X42" i="7"/>
  <c r="T40" i="7"/>
  <c r="P38" i="7"/>
  <c r="L36" i="7"/>
  <c r="H34" i="7"/>
  <c r="D32" i="7"/>
  <c r="AD29" i="7"/>
  <c r="Z27" i="7"/>
  <c r="V25" i="7"/>
  <c r="R23" i="7"/>
  <c r="J19" i="7"/>
  <c r="F17" i="7"/>
  <c r="S71" i="7"/>
  <c r="I58" i="7"/>
  <c r="Y55" i="7"/>
  <c r="U53" i="7"/>
  <c r="M49" i="7"/>
  <c r="I47" i="7"/>
  <c r="E45" i="7"/>
  <c r="AE42" i="7"/>
  <c r="AA40" i="7"/>
  <c r="W38" i="7"/>
  <c r="S36" i="7"/>
  <c r="O34" i="7"/>
  <c r="K32" i="7"/>
  <c r="G30" i="7"/>
  <c r="C28" i="7"/>
  <c r="AC25" i="7"/>
  <c r="Y23" i="7"/>
  <c r="U21" i="7"/>
  <c r="Q19" i="7"/>
  <c r="C67" i="7"/>
  <c r="O57" i="7"/>
  <c r="H55" i="7"/>
  <c r="D53" i="7"/>
  <c r="AD50" i="7"/>
  <c r="Z48" i="7"/>
  <c r="V46" i="7"/>
  <c r="R44" i="7"/>
  <c r="J40" i="7"/>
  <c r="F38" i="7"/>
  <c r="AF35" i="7"/>
  <c r="AB33" i="7"/>
  <c r="X31" i="7"/>
  <c r="T29" i="7"/>
  <c r="P27" i="7"/>
  <c r="L25" i="7"/>
  <c r="H23" i="7"/>
  <c r="D21" i="7"/>
  <c r="AD18" i="7"/>
  <c r="Y66" i="7"/>
  <c r="G55" i="7"/>
  <c r="C53" i="7"/>
  <c r="AC50" i="7"/>
  <c r="Y48" i="7"/>
  <c r="U46" i="7"/>
  <c r="Q44" i="7"/>
  <c r="M42" i="7"/>
  <c r="I40" i="7"/>
  <c r="E38" i="7"/>
  <c r="AE35" i="7"/>
  <c r="AA33" i="7"/>
  <c r="W31" i="7"/>
  <c r="S29" i="7"/>
  <c r="O27" i="7"/>
  <c r="K25" i="7"/>
  <c r="G23" i="7"/>
  <c r="C21" i="7"/>
  <c r="AC18" i="7"/>
  <c r="Y16" i="7"/>
  <c r="D46" i="7"/>
  <c r="AF28" i="7"/>
  <c r="L17" i="7"/>
  <c r="Z14" i="7"/>
  <c r="V12" i="7"/>
  <c r="R10" i="7"/>
  <c r="N8" i="7"/>
  <c r="J6" i="7"/>
  <c r="F4" i="7"/>
  <c r="G77" i="7"/>
  <c r="V43" i="7"/>
  <c r="T26" i="7"/>
  <c r="AA16" i="7"/>
  <c r="Q14" i="7"/>
  <c r="M12" i="7"/>
  <c r="I10" i="7"/>
  <c r="AF205" i="7"/>
  <c r="AB203" i="7"/>
  <c r="X201" i="7"/>
  <c r="T199" i="7"/>
  <c r="P197" i="7"/>
  <c r="L195" i="7"/>
  <c r="H193" i="7"/>
  <c r="D191" i="7"/>
  <c r="AD188" i="7"/>
  <c r="Z186" i="7"/>
  <c r="W205" i="7"/>
  <c r="S203" i="7"/>
  <c r="O201" i="7"/>
  <c r="K199" i="7"/>
  <c r="G197" i="7"/>
  <c r="C195" i="7"/>
  <c r="AC192" i="7"/>
  <c r="Y190" i="7"/>
  <c r="U188" i="7"/>
  <c r="F205" i="7"/>
  <c r="AF202" i="7"/>
  <c r="AB200" i="7"/>
  <c r="X198" i="7"/>
  <c r="T196" i="7"/>
  <c r="P194" i="7"/>
  <c r="L192" i="7"/>
  <c r="H190" i="7"/>
  <c r="D188" i="7"/>
  <c r="AD185" i="7"/>
  <c r="Z183" i="7"/>
  <c r="K204" i="7"/>
  <c r="G202" i="7"/>
  <c r="C200" i="7"/>
  <c r="AC197" i="7"/>
  <c r="Y195" i="7"/>
  <c r="U193" i="7"/>
  <c r="Q191" i="7"/>
  <c r="M189" i="7"/>
  <c r="I187" i="7"/>
  <c r="E185" i="7"/>
  <c r="J204" i="7"/>
  <c r="F202" i="7"/>
  <c r="AF199" i="7"/>
  <c r="AB197" i="7"/>
  <c r="X195" i="7"/>
  <c r="T193" i="7"/>
  <c r="P191" i="7"/>
  <c r="L189" i="7"/>
  <c r="H187" i="7"/>
  <c r="D185" i="7"/>
  <c r="AE203" i="7"/>
  <c r="AA201" i="7"/>
  <c r="W199" i="7"/>
  <c r="S197" i="7"/>
  <c r="O195" i="7"/>
  <c r="K193" i="7"/>
  <c r="G191" i="7"/>
  <c r="C189" i="7"/>
  <c r="AC186" i="7"/>
  <c r="X204" i="7"/>
  <c r="H196" i="7"/>
  <c r="V187" i="7"/>
  <c r="M183" i="7"/>
  <c r="I181" i="7"/>
  <c r="E179" i="7"/>
  <c r="AE176" i="7"/>
  <c r="AA174" i="7"/>
  <c r="W172" i="7"/>
  <c r="S170" i="7"/>
  <c r="O168" i="7"/>
  <c r="O200" i="7"/>
  <c r="AC191" i="7"/>
  <c r="R184" i="7"/>
  <c r="J182" i="7"/>
  <c r="F180" i="7"/>
  <c r="AF177" i="7"/>
  <c r="AB175" i="7"/>
  <c r="X173" i="7"/>
  <c r="T171" i="7"/>
  <c r="P169" i="7"/>
  <c r="N203" i="7"/>
  <c r="AB194" i="7"/>
  <c r="L186" i="7"/>
  <c r="C183" i="7"/>
  <c r="AC180" i="7"/>
  <c r="Y178" i="7"/>
  <c r="U176" i="7"/>
  <c r="M172" i="7"/>
  <c r="I170" i="7"/>
  <c r="E168" i="7"/>
  <c r="K202" i="7"/>
  <c r="Y193" i="7"/>
  <c r="I185" i="7"/>
  <c r="X182" i="7"/>
  <c r="T180" i="7"/>
  <c r="P178" i="7"/>
  <c r="L176" i="7"/>
  <c r="H174" i="7"/>
  <c r="D172" i="7"/>
  <c r="AD169" i="7"/>
  <c r="Z167" i="7"/>
  <c r="AB198" i="7"/>
  <c r="L190" i="7"/>
  <c r="F184" i="7"/>
  <c r="AC181" i="7"/>
  <c r="Y179" i="7"/>
  <c r="U177" i="7"/>
  <c r="Q175" i="7"/>
  <c r="M173" i="7"/>
  <c r="I171" i="7"/>
  <c r="E169" i="7"/>
  <c r="C202" i="7"/>
  <c r="Q193" i="7"/>
  <c r="C185" i="7"/>
  <c r="R180" i="7"/>
  <c r="N178" i="7"/>
  <c r="J176" i="7"/>
  <c r="F174" i="7"/>
  <c r="AF171" i="7"/>
  <c r="AB169" i="7"/>
  <c r="X167" i="7"/>
  <c r="R197" i="7"/>
  <c r="AF188" i="7"/>
  <c r="X183" i="7"/>
  <c r="S181" i="7"/>
  <c r="O179" i="7"/>
  <c r="K177" i="7"/>
  <c r="G175" i="7"/>
  <c r="C173" i="7"/>
  <c r="AC170" i="7"/>
  <c r="Y168" i="7"/>
  <c r="W200" i="7"/>
  <c r="G192" i="7"/>
  <c r="U184" i="7"/>
  <c r="L182" i="7"/>
  <c r="H180" i="7"/>
  <c r="D178" i="7"/>
  <c r="AD175" i="7"/>
  <c r="Z173" i="7"/>
  <c r="V171" i="7"/>
  <c r="R169" i="7"/>
  <c r="G167" i="7"/>
  <c r="AF164" i="7"/>
  <c r="AB162" i="7"/>
  <c r="X160" i="7"/>
  <c r="T158" i="7"/>
  <c r="P156" i="7"/>
  <c r="L154" i="7"/>
  <c r="H152" i="7"/>
  <c r="D150" i="7"/>
  <c r="AD147" i="7"/>
  <c r="Z145" i="7"/>
  <c r="K166" i="7"/>
  <c r="G164" i="7"/>
  <c r="C162" i="7"/>
  <c r="AC159" i="7"/>
  <c r="Y157" i="7"/>
  <c r="U155" i="7"/>
  <c r="M151" i="7"/>
  <c r="I149" i="7"/>
  <c r="E147" i="7"/>
  <c r="Y167" i="7"/>
  <c r="P165" i="7"/>
  <c r="L163" i="7"/>
  <c r="H161" i="7"/>
  <c r="D159" i="7"/>
  <c r="AD156" i="7"/>
  <c r="Z154" i="7"/>
  <c r="R150" i="7"/>
  <c r="N148" i="7"/>
  <c r="J146" i="7"/>
  <c r="W167" i="7"/>
  <c r="O165" i="7"/>
  <c r="K163" i="7"/>
  <c r="G161" i="7"/>
  <c r="C159" i="7"/>
  <c r="AC156" i="7"/>
  <c r="Y154" i="7"/>
  <c r="U152" i="7"/>
  <c r="M148" i="7"/>
  <c r="I146" i="7"/>
  <c r="L167" i="7"/>
  <c r="F165" i="7"/>
  <c r="AF162" i="7"/>
  <c r="AB160" i="7"/>
  <c r="X158" i="7"/>
  <c r="T156" i="7"/>
  <c r="P154" i="7"/>
  <c r="L152" i="7"/>
  <c r="H150" i="7"/>
  <c r="D148" i="7"/>
  <c r="AD145" i="7"/>
  <c r="O166" i="7"/>
  <c r="K164" i="7"/>
  <c r="G162" i="7"/>
  <c r="C160" i="7"/>
  <c r="AC157" i="7"/>
  <c r="Y155" i="7"/>
  <c r="U153" i="7"/>
  <c r="Q151" i="7"/>
  <c r="M149" i="7"/>
  <c r="I147" i="7"/>
  <c r="E145" i="7"/>
  <c r="T165" i="7"/>
  <c r="P163" i="7"/>
  <c r="L161" i="7"/>
  <c r="H159" i="7"/>
  <c r="D157" i="7"/>
  <c r="AD154" i="7"/>
  <c r="Z152" i="7"/>
  <c r="V150" i="7"/>
  <c r="R148" i="7"/>
  <c r="N146" i="7"/>
  <c r="G163" i="7"/>
  <c r="E146" i="7"/>
  <c r="AB142" i="7"/>
  <c r="X140" i="7"/>
  <c r="T138" i="7"/>
  <c r="P136" i="7"/>
  <c r="L134" i="7"/>
  <c r="H132" i="7"/>
  <c r="D130" i="7"/>
  <c r="AD127" i="7"/>
  <c r="Z125" i="7"/>
  <c r="M154" i="7"/>
  <c r="AC143" i="7"/>
  <c r="Y141" i="7"/>
  <c r="U139" i="7"/>
  <c r="Q137" i="7"/>
  <c r="M135" i="7"/>
  <c r="I133" i="7"/>
  <c r="E131" i="7"/>
  <c r="Y164" i="7"/>
  <c r="W147" i="7"/>
  <c r="D143" i="7"/>
  <c r="AD140" i="7"/>
  <c r="Z138" i="7"/>
  <c r="V136" i="7"/>
  <c r="R134" i="7"/>
  <c r="J130" i="7"/>
  <c r="I160" i="7"/>
  <c r="X144" i="7"/>
  <c r="Q142" i="7"/>
  <c r="M140" i="7"/>
  <c r="I138" i="7"/>
  <c r="E136" i="7"/>
  <c r="AE133" i="7"/>
  <c r="AA131" i="7"/>
  <c r="W129" i="7"/>
  <c r="S127" i="7"/>
  <c r="O125" i="7"/>
  <c r="O151" i="7"/>
  <c r="R143" i="7"/>
  <c r="J139" i="7"/>
  <c r="F137" i="7"/>
  <c r="AF134" i="7"/>
  <c r="AB132" i="7"/>
  <c r="X130" i="7"/>
  <c r="T128" i="7"/>
  <c r="P126" i="7"/>
  <c r="S157" i="7"/>
  <c r="K144" i="7"/>
  <c r="G142" i="7"/>
  <c r="C140" i="7"/>
  <c r="AC137" i="7"/>
  <c r="Y135" i="7"/>
  <c r="U133" i="7"/>
  <c r="Q131" i="7"/>
  <c r="M129" i="7"/>
  <c r="I127" i="7"/>
  <c r="W163" i="7"/>
  <c r="U146" i="7"/>
  <c r="AD142" i="7"/>
  <c r="Z140" i="7"/>
  <c r="V138" i="7"/>
  <c r="R136" i="7"/>
  <c r="N134" i="7"/>
  <c r="J132" i="7"/>
  <c r="F130" i="7"/>
  <c r="AF127" i="7"/>
  <c r="AB125" i="7"/>
  <c r="C157" i="7"/>
  <c r="I144" i="7"/>
  <c r="E142" i="7"/>
  <c r="AE139" i="7"/>
  <c r="AA137" i="7"/>
  <c r="W135" i="7"/>
  <c r="S133" i="7"/>
  <c r="S125" i="7"/>
  <c r="K123" i="7"/>
  <c r="G121" i="7"/>
  <c r="C119" i="7"/>
  <c r="AC116" i="7"/>
  <c r="Y114" i="7"/>
  <c r="U112" i="7"/>
  <c r="Q110" i="7"/>
  <c r="M108" i="7"/>
  <c r="I106" i="7"/>
  <c r="C129" i="7"/>
  <c r="T124" i="7"/>
  <c r="P122" i="7"/>
  <c r="L120" i="7"/>
  <c r="H118" i="7"/>
  <c r="D116" i="7"/>
  <c r="AD113" i="7"/>
  <c r="Z111" i="7"/>
  <c r="V109" i="7"/>
  <c r="R107" i="7"/>
  <c r="AA126" i="7"/>
  <c r="Y123" i="7"/>
  <c r="U121" i="7"/>
  <c r="Q119" i="7"/>
  <c r="M117" i="7"/>
  <c r="I115" i="7"/>
  <c r="E113" i="7"/>
  <c r="AE110" i="7"/>
  <c r="AA108" i="7"/>
  <c r="W106" i="7"/>
  <c r="S104" i="7"/>
  <c r="E125" i="7"/>
  <c r="AD122" i="7"/>
  <c r="Z120" i="7"/>
  <c r="V118" i="7"/>
  <c r="R116" i="7"/>
  <c r="J112" i="7"/>
  <c r="F110" i="7"/>
  <c r="AF107" i="7"/>
  <c r="AB105" i="7"/>
  <c r="I132" i="7"/>
  <c r="C125" i="7"/>
  <c r="AC122" i="7"/>
  <c r="Y120" i="7"/>
  <c r="U118" i="7"/>
  <c r="Q116" i="7"/>
  <c r="M114" i="7"/>
  <c r="I112" i="7"/>
  <c r="E110" i="7"/>
  <c r="AE107" i="7"/>
  <c r="AA105" i="7"/>
  <c r="L127" i="7"/>
  <c r="AD123" i="7"/>
  <c r="Z121" i="7"/>
  <c r="R117" i="7"/>
  <c r="N115" i="7"/>
  <c r="J113" i="7"/>
  <c r="F111" i="7"/>
  <c r="AF108" i="7"/>
  <c r="AB106" i="7"/>
  <c r="O124" i="7"/>
  <c r="K122" i="7"/>
  <c r="G120" i="7"/>
  <c r="C118" i="7"/>
  <c r="AC115" i="7"/>
  <c r="Y113" i="7"/>
  <c r="U111" i="7"/>
  <c r="Q109" i="7"/>
  <c r="M107" i="7"/>
  <c r="I105" i="7"/>
  <c r="E127" i="7"/>
  <c r="AB123" i="7"/>
  <c r="X121" i="7"/>
  <c r="T119" i="7"/>
  <c r="P117" i="7"/>
  <c r="L115" i="7"/>
  <c r="H113" i="7"/>
  <c r="D111" i="7"/>
  <c r="AD108" i="7"/>
  <c r="Z106" i="7"/>
  <c r="T103" i="7"/>
  <c r="L101" i="7"/>
  <c r="H99" i="7"/>
  <c r="D97" i="7"/>
  <c r="AD94" i="7"/>
  <c r="Z92" i="7"/>
  <c r="V90" i="7"/>
  <c r="R88" i="7"/>
  <c r="N86" i="7"/>
  <c r="J84" i="7"/>
  <c r="F82" i="7"/>
  <c r="U102" i="7"/>
  <c r="Q100" i="7"/>
  <c r="M98" i="7"/>
  <c r="I96" i="7"/>
  <c r="E94" i="7"/>
  <c r="AE91" i="7"/>
  <c r="AA89" i="7"/>
  <c r="W87" i="7"/>
  <c r="S85" i="7"/>
  <c r="O83" i="7"/>
  <c r="K81" i="7"/>
  <c r="T102" i="7"/>
  <c r="P100" i="7"/>
  <c r="L98" i="7"/>
  <c r="H96" i="7"/>
  <c r="D94" i="7"/>
  <c r="AD91" i="7"/>
  <c r="Z89" i="7"/>
  <c r="V87" i="7"/>
  <c r="R85" i="7"/>
  <c r="N83" i="7"/>
  <c r="J81" i="7"/>
  <c r="Z103" i="7"/>
  <c r="Q101" i="7"/>
  <c r="M99" i="7"/>
  <c r="I97" i="7"/>
  <c r="E95" i="7"/>
  <c r="AE92" i="7"/>
  <c r="AA90" i="7"/>
  <c r="W88" i="7"/>
  <c r="S86" i="7"/>
  <c r="O84" i="7"/>
  <c r="K82" i="7"/>
  <c r="X103" i="7"/>
  <c r="P101" i="7"/>
  <c r="L99" i="7"/>
  <c r="H97" i="7"/>
  <c r="D95" i="7"/>
  <c r="AD92" i="7"/>
  <c r="Z90" i="7"/>
  <c r="V88" i="7"/>
  <c r="R86" i="7"/>
  <c r="J82" i="7"/>
  <c r="Z102" i="7"/>
  <c r="U100" i="7"/>
  <c r="Q98" i="7"/>
  <c r="M96" i="7"/>
  <c r="I94" i="7"/>
  <c r="E92" i="7"/>
  <c r="AE89" i="7"/>
  <c r="AA87" i="7"/>
  <c r="W85" i="7"/>
  <c r="S83" i="7"/>
  <c r="M104" i="7"/>
  <c r="AD101" i="7"/>
  <c r="Z99" i="7"/>
  <c r="V97" i="7"/>
  <c r="R95" i="7"/>
  <c r="J91" i="7"/>
  <c r="F89" i="7"/>
  <c r="AF86" i="7"/>
  <c r="AB84" i="7"/>
  <c r="X82" i="7"/>
  <c r="L104" i="7"/>
  <c r="AC101" i="7"/>
  <c r="Y99" i="7"/>
  <c r="U97" i="7"/>
  <c r="Q95" i="7"/>
  <c r="M93" i="7"/>
  <c r="I91" i="7"/>
  <c r="E89" i="7"/>
  <c r="AE86" i="7"/>
  <c r="AA84" i="7"/>
  <c r="W82" i="7"/>
  <c r="Z79" i="7"/>
  <c r="R75" i="7"/>
  <c r="N73" i="7"/>
  <c r="J71" i="7"/>
  <c r="F69" i="7"/>
  <c r="AF66" i="7"/>
  <c r="AB64" i="7"/>
  <c r="X62" i="7"/>
  <c r="T60" i="7"/>
  <c r="P58" i="7"/>
  <c r="Y79" i="7"/>
  <c r="U77" i="7"/>
  <c r="M73" i="7"/>
  <c r="I71" i="7"/>
  <c r="E69" i="7"/>
  <c r="AE66" i="7"/>
  <c r="AA64" i="7"/>
  <c r="W62" i="7"/>
  <c r="S60" i="7"/>
  <c r="O58" i="7"/>
  <c r="X79" i="7"/>
  <c r="T77" i="7"/>
  <c r="P75" i="7"/>
  <c r="L73" i="7"/>
  <c r="H71" i="7"/>
  <c r="D69" i="7"/>
  <c r="AD66" i="7"/>
  <c r="Z64" i="7"/>
  <c r="R60" i="7"/>
  <c r="N58" i="7"/>
  <c r="H81" i="7"/>
  <c r="AC78" i="7"/>
  <c r="Y76" i="7"/>
  <c r="U74" i="7"/>
  <c r="M70" i="7"/>
  <c r="I68" i="7"/>
  <c r="E66" i="7"/>
  <c r="AE63" i="7"/>
  <c r="AA61" i="7"/>
  <c r="V79" i="7"/>
  <c r="R77" i="7"/>
  <c r="J73" i="7"/>
  <c r="F71" i="7"/>
  <c r="AF68" i="7"/>
  <c r="AB66" i="7"/>
  <c r="X64" i="7"/>
  <c r="T62" i="7"/>
  <c r="P60" i="7"/>
  <c r="E81" i="7"/>
  <c r="AA78" i="7"/>
  <c r="W76" i="7"/>
  <c r="S74" i="7"/>
  <c r="O72" i="7"/>
  <c r="K70" i="7"/>
  <c r="G68" i="7"/>
  <c r="C66" i="7"/>
  <c r="AC63" i="7"/>
  <c r="Y61" i="7"/>
  <c r="U59" i="7"/>
  <c r="Y80" i="7"/>
  <c r="R78" i="7"/>
  <c r="N76" i="7"/>
  <c r="J74" i="7"/>
  <c r="F72" i="7"/>
  <c r="AF69" i="7"/>
  <c r="AB67" i="7"/>
  <c r="X65" i="7"/>
  <c r="T63" i="7"/>
  <c r="P61" i="7"/>
  <c r="L59" i="7"/>
  <c r="C79" i="7"/>
  <c r="AE61" i="7"/>
  <c r="W56" i="7"/>
  <c r="S54" i="7"/>
  <c r="O52" i="7"/>
  <c r="K50" i="7"/>
  <c r="G48" i="7"/>
  <c r="C46" i="7"/>
  <c r="AC43" i="7"/>
  <c r="Y41" i="7"/>
  <c r="U39" i="7"/>
  <c r="Q37" i="7"/>
  <c r="M35" i="7"/>
  <c r="I33" i="7"/>
  <c r="E31" i="7"/>
  <c r="AE28" i="7"/>
  <c r="AA26" i="7"/>
  <c r="W24" i="7"/>
  <c r="S22" i="7"/>
  <c r="O20" i="7"/>
  <c r="U76" i="7"/>
  <c r="N56" i="7"/>
  <c r="J54" i="7"/>
  <c r="F52" i="7"/>
  <c r="AF49" i="7"/>
  <c r="AB47" i="7"/>
  <c r="X45" i="7"/>
  <c r="T43" i="7"/>
  <c r="P41" i="7"/>
  <c r="L39" i="7"/>
  <c r="H37" i="7"/>
  <c r="D35" i="7"/>
  <c r="AD32" i="7"/>
  <c r="Z30" i="7"/>
  <c r="V28" i="7"/>
  <c r="R26" i="7"/>
  <c r="J22" i="7"/>
  <c r="F20" i="7"/>
  <c r="W80" i="7"/>
  <c r="S63" i="7"/>
  <c r="AD56" i="7"/>
  <c r="Y54" i="7"/>
  <c r="U52" i="7"/>
  <c r="Q50" i="7"/>
  <c r="M48" i="7"/>
  <c r="I46" i="7"/>
  <c r="E44" i="7"/>
  <c r="AE41" i="7"/>
  <c r="AA39" i="7"/>
  <c r="W37" i="7"/>
  <c r="S35" i="7"/>
  <c r="O33" i="7"/>
  <c r="K31" i="7"/>
  <c r="G29" i="7"/>
  <c r="C27" i="7"/>
  <c r="AC24" i="7"/>
  <c r="Y22" i="7"/>
  <c r="U20" i="7"/>
  <c r="M16" i="7"/>
  <c r="S67" i="7"/>
  <c r="J55" i="7"/>
  <c r="F53" i="7"/>
  <c r="X205" i="7"/>
  <c r="T203" i="7"/>
  <c r="P201" i="7"/>
  <c r="L199" i="7"/>
  <c r="H197" i="7"/>
  <c r="D195" i="7"/>
  <c r="AD192" i="7"/>
  <c r="Z190" i="7"/>
  <c r="R186" i="7"/>
  <c r="O205" i="7"/>
  <c r="K203" i="7"/>
  <c r="G201" i="7"/>
  <c r="C199" i="7"/>
  <c r="AC196" i="7"/>
  <c r="Y194" i="7"/>
  <c r="U192" i="7"/>
  <c r="Q190" i="7"/>
  <c r="M188" i="7"/>
  <c r="I186" i="7"/>
  <c r="AB204" i="7"/>
  <c r="X202" i="7"/>
  <c r="T200" i="7"/>
  <c r="P198" i="7"/>
  <c r="L196" i="7"/>
  <c r="H194" i="7"/>
  <c r="D192" i="7"/>
  <c r="AD189" i="7"/>
  <c r="Z187" i="7"/>
  <c r="R183" i="7"/>
  <c r="C204" i="7"/>
  <c r="AC201" i="7"/>
  <c r="Y199" i="7"/>
  <c r="U197" i="7"/>
  <c r="M193" i="7"/>
  <c r="I191" i="7"/>
  <c r="E189" i="7"/>
  <c r="AE186" i="7"/>
  <c r="AA184" i="7"/>
  <c r="AF203" i="7"/>
  <c r="AB201" i="7"/>
  <c r="X199" i="7"/>
  <c r="T197" i="7"/>
  <c r="P195" i="7"/>
  <c r="L193" i="7"/>
  <c r="H191" i="7"/>
  <c r="D189" i="7"/>
  <c r="AD186" i="7"/>
  <c r="AA205" i="7"/>
  <c r="W203" i="7"/>
  <c r="S201" i="7"/>
  <c r="O199" i="7"/>
  <c r="K197" i="7"/>
  <c r="G195" i="7"/>
  <c r="C193" i="7"/>
  <c r="AC190" i="7"/>
  <c r="Y188" i="7"/>
  <c r="U186" i="7"/>
  <c r="F195" i="7"/>
  <c r="T186" i="7"/>
  <c r="E183" i="7"/>
  <c r="AE180" i="7"/>
  <c r="AA178" i="7"/>
  <c r="W176" i="7"/>
  <c r="S174" i="7"/>
  <c r="O172" i="7"/>
  <c r="K170" i="7"/>
  <c r="G168" i="7"/>
  <c r="M199" i="7"/>
  <c r="AA190" i="7"/>
  <c r="I184" i="7"/>
  <c r="AF181" i="7"/>
  <c r="AB179" i="7"/>
  <c r="X177" i="7"/>
  <c r="T175" i="7"/>
  <c r="P173" i="7"/>
  <c r="L171" i="7"/>
  <c r="H169" i="7"/>
  <c r="L202" i="7"/>
  <c r="Z193" i="7"/>
  <c r="J185" i="7"/>
  <c r="Y182" i="7"/>
  <c r="U180" i="7"/>
  <c r="Q178" i="7"/>
  <c r="M176" i="7"/>
  <c r="I174" i="7"/>
  <c r="E172" i="7"/>
  <c r="AE169" i="7"/>
  <c r="AA167" i="7"/>
  <c r="I201" i="7"/>
  <c r="W192" i="7"/>
  <c r="Y184" i="7"/>
  <c r="P182" i="7"/>
  <c r="L180" i="7"/>
  <c r="H178" i="7"/>
  <c r="D176" i="7"/>
  <c r="AD173" i="7"/>
  <c r="Z171" i="7"/>
  <c r="V169" i="7"/>
  <c r="R167" i="7"/>
  <c r="Z197" i="7"/>
  <c r="J189" i="7"/>
  <c r="AA183" i="7"/>
  <c r="U181" i="7"/>
  <c r="Q179" i="7"/>
  <c r="M177" i="7"/>
  <c r="I175" i="7"/>
  <c r="E173" i="7"/>
  <c r="AE170" i="7"/>
  <c r="AA168" i="7"/>
  <c r="AE200" i="7"/>
  <c r="O192" i="7"/>
  <c r="W184" i="7"/>
  <c r="N182" i="7"/>
  <c r="J180" i="7"/>
  <c r="F178" i="7"/>
  <c r="AF175" i="7"/>
  <c r="AB173" i="7"/>
  <c r="X171" i="7"/>
  <c r="T169" i="7"/>
  <c r="AF204" i="7"/>
  <c r="P196" i="7"/>
  <c r="AD187" i="7"/>
  <c r="O183" i="7"/>
  <c r="K181" i="7"/>
  <c r="G179" i="7"/>
  <c r="C177" i="7"/>
  <c r="AC174" i="7"/>
  <c r="Y172" i="7"/>
  <c r="U170" i="7"/>
  <c r="U199" i="7"/>
  <c r="E191" i="7"/>
  <c r="K184" i="7"/>
  <c r="D182" i="7"/>
  <c r="AD179" i="7"/>
  <c r="Z177" i="7"/>
  <c r="V175" i="7"/>
  <c r="R173" i="7"/>
  <c r="N171" i="7"/>
  <c r="J169" i="7"/>
  <c r="AB166" i="7"/>
  <c r="X164" i="7"/>
  <c r="T162" i="7"/>
  <c r="P160" i="7"/>
  <c r="L158" i="7"/>
  <c r="H156" i="7"/>
  <c r="D154" i="7"/>
  <c r="AD151" i="7"/>
  <c r="Z149" i="7"/>
  <c r="V147" i="7"/>
  <c r="R145" i="7"/>
  <c r="C166" i="7"/>
  <c r="AC163" i="7"/>
  <c r="Y161" i="7"/>
  <c r="U159" i="7"/>
  <c r="Q157" i="7"/>
  <c r="M155" i="7"/>
  <c r="I153" i="7"/>
  <c r="E151" i="7"/>
  <c r="AE148" i="7"/>
  <c r="AA146" i="7"/>
  <c r="N167" i="7"/>
  <c r="H165" i="7"/>
  <c r="D163" i="7"/>
  <c r="AD160" i="7"/>
  <c r="Z158" i="7"/>
  <c r="V156" i="7"/>
  <c r="R154" i="7"/>
  <c r="N152" i="7"/>
  <c r="J150" i="7"/>
  <c r="F148" i="7"/>
  <c r="AF145" i="7"/>
  <c r="M167" i="7"/>
  <c r="G165" i="7"/>
  <c r="C163" i="7"/>
  <c r="AC160" i="7"/>
  <c r="Y158" i="7"/>
  <c r="U156" i="7"/>
  <c r="Q154" i="7"/>
  <c r="M152" i="7"/>
  <c r="I150" i="7"/>
  <c r="E148" i="7"/>
  <c r="AE145" i="7"/>
  <c r="AF166" i="7"/>
  <c r="AB164" i="7"/>
  <c r="X162" i="7"/>
  <c r="T160" i="7"/>
  <c r="P158" i="7"/>
  <c r="L156" i="7"/>
  <c r="H154" i="7"/>
  <c r="D152" i="7"/>
  <c r="AD149" i="7"/>
  <c r="Z147" i="7"/>
  <c r="V145" i="7"/>
  <c r="G166" i="7"/>
  <c r="C164" i="7"/>
  <c r="AC161" i="7"/>
  <c r="Y159" i="7"/>
  <c r="U157" i="7"/>
  <c r="Q155" i="7"/>
  <c r="M153" i="7"/>
  <c r="I151" i="7"/>
  <c r="E149" i="7"/>
  <c r="AE146" i="7"/>
  <c r="T167" i="7"/>
  <c r="L165" i="7"/>
  <c r="H163" i="7"/>
  <c r="D161" i="7"/>
  <c r="AD158" i="7"/>
  <c r="Z156" i="7"/>
  <c r="V154" i="7"/>
  <c r="R152" i="7"/>
  <c r="N150" i="7"/>
  <c r="J148" i="7"/>
  <c r="F146" i="7"/>
  <c r="C161" i="7"/>
  <c r="AA144" i="7"/>
  <c r="T142" i="7"/>
  <c r="P140" i="7"/>
  <c r="L138" i="7"/>
  <c r="H136" i="7"/>
  <c r="D134" i="7"/>
  <c r="AD131" i="7"/>
  <c r="Z129" i="7"/>
  <c r="V127" i="7"/>
  <c r="R125" i="7"/>
  <c r="I152" i="7"/>
  <c r="U143" i="7"/>
  <c r="M139" i="7"/>
  <c r="I137" i="7"/>
  <c r="E135" i="7"/>
  <c r="AE132" i="7"/>
  <c r="AA130" i="7"/>
  <c r="U162" i="7"/>
  <c r="S145" i="7"/>
  <c r="Z142" i="7"/>
  <c r="R138" i="7"/>
  <c r="N136" i="7"/>
  <c r="J134" i="7"/>
  <c r="F132" i="7"/>
  <c r="AF129" i="7"/>
  <c r="E158" i="7"/>
  <c r="M144" i="7"/>
  <c r="I142" i="7"/>
  <c r="E140" i="7"/>
  <c r="AE137" i="7"/>
  <c r="AA135" i="7"/>
  <c r="W133" i="7"/>
  <c r="S131" i="7"/>
  <c r="O129" i="7"/>
  <c r="K127" i="7"/>
  <c r="M166" i="7"/>
  <c r="K149" i="7"/>
  <c r="J143" i="7"/>
  <c r="F141" i="7"/>
  <c r="AF138" i="7"/>
  <c r="AB136" i="7"/>
  <c r="X134" i="7"/>
  <c r="T132" i="7"/>
  <c r="P130" i="7"/>
  <c r="L128" i="7"/>
  <c r="H126" i="7"/>
  <c r="O155" i="7"/>
  <c r="C144" i="7"/>
  <c r="AC141" i="7"/>
  <c r="Y139" i="7"/>
  <c r="U137" i="7"/>
  <c r="M133" i="7"/>
  <c r="I131" i="7"/>
  <c r="E129" i="7"/>
  <c r="AE126" i="7"/>
  <c r="S161" i="7"/>
  <c r="AE144" i="7"/>
  <c r="V142" i="7"/>
  <c r="R140" i="7"/>
  <c r="J136" i="7"/>
  <c r="F134" i="7"/>
  <c r="AF131" i="7"/>
  <c r="AB129" i="7"/>
  <c r="X127" i="7"/>
  <c r="T125" i="7"/>
  <c r="AC154" i="7"/>
  <c r="AE143" i="7"/>
  <c r="AA141" i="7"/>
  <c r="W139" i="7"/>
  <c r="S137" i="7"/>
  <c r="O135" i="7"/>
  <c r="K133" i="7"/>
  <c r="H125" i="7"/>
  <c r="C123" i="7"/>
  <c r="AC120" i="7"/>
  <c r="Y118" i="7"/>
  <c r="U116" i="7"/>
  <c r="M112" i="7"/>
  <c r="I110" i="7"/>
  <c r="E108" i="7"/>
  <c r="AE105" i="7"/>
  <c r="N128" i="7"/>
  <c r="L124" i="7"/>
  <c r="H122" i="7"/>
  <c r="D120" i="7"/>
  <c r="AD117" i="7"/>
  <c r="Z115" i="7"/>
  <c r="R111" i="7"/>
  <c r="N109" i="7"/>
  <c r="J107" i="7"/>
  <c r="F105" i="7"/>
  <c r="E126" i="7"/>
  <c r="M121" i="7"/>
  <c r="I119" i="7"/>
  <c r="E117" i="7"/>
  <c r="AE114" i="7"/>
  <c r="AA112" i="7"/>
  <c r="W110" i="7"/>
  <c r="S108" i="7"/>
  <c r="O106" i="7"/>
  <c r="K104" i="7"/>
  <c r="M130" i="7"/>
  <c r="Z124" i="7"/>
  <c r="R120" i="7"/>
  <c r="N118" i="7"/>
  <c r="J116" i="7"/>
  <c r="F114" i="7"/>
  <c r="AF111" i="7"/>
  <c r="AB109" i="7"/>
  <c r="X107" i="7"/>
  <c r="T105" i="7"/>
  <c r="E130" i="7"/>
  <c r="Y124" i="7"/>
  <c r="U122" i="7"/>
  <c r="M118" i="7"/>
  <c r="I116" i="7"/>
  <c r="E114" i="7"/>
  <c r="AE111" i="7"/>
  <c r="AA109" i="7"/>
  <c r="W107" i="7"/>
  <c r="S105" i="7"/>
  <c r="S126" i="7"/>
  <c r="V123" i="7"/>
  <c r="R121" i="7"/>
  <c r="N119" i="7"/>
  <c r="J117" i="7"/>
  <c r="F115" i="7"/>
  <c r="AF112" i="7"/>
  <c r="AB110" i="7"/>
  <c r="X108" i="7"/>
  <c r="T106" i="7"/>
  <c r="AC127" i="7"/>
  <c r="G124" i="7"/>
  <c r="C122" i="7"/>
  <c r="AC119" i="7"/>
  <c r="Y117" i="7"/>
  <c r="U115" i="7"/>
  <c r="Q113" i="7"/>
  <c r="M111" i="7"/>
  <c r="I109" i="7"/>
  <c r="E107" i="7"/>
  <c r="AE104" i="7"/>
  <c r="M126" i="7"/>
  <c r="T123" i="7"/>
  <c r="P121" i="7"/>
  <c r="L119" i="7"/>
  <c r="H117" i="7"/>
  <c r="D115" i="7"/>
  <c r="AD112" i="7"/>
  <c r="Z110" i="7"/>
  <c r="V108" i="7"/>
  <c r="R106" i="7"/>
  <c r="K103" i="7"/>
  <c r="D101" i="7"/>
  <c r="AD98" i="7"/>
  <c r="Z96" i="7"/>
  <c r="V94" i="7"/>
  <c r="R92" i="7"/>
  <c r="J88" i="7"/>
  <c r="F86" i="7"/>
  <c r="AF83" i="7"/>
  <c r="P105" i="7"/>
  <c r="M102" i="7"/>
  <c r="I100" i="7"/>
  <c r="E98" i="7"/>
  <c r="AE95" i="7"/>
  <c r="AA93" i="7"/>
  <c r="W91" i="7"/>
  <c r="S89" i="7"/>
  <c r="O87" i="7"/>
  <c r="K85" i="7"/>
  <c r="G83" i="7"/>
  <c r="J105" i="7"/>
  <c r="L102" i="7"/>
  <c r="H100" i="7"/>
  <c r="D98" i="7"/>
  <c r="AD95" i="7"/>
  <c r="Z93" i="7"/>
  <c r="V91" i="7"/>
  <c r="R89" i="7"/>
  <c r="J85" i="7"/>
  <c r="F83" i="7"/>
  <c r="AF80" i="7"/>
  <c r="P103" i="7"/>
  <c r="I101" i="7"/>
  <c r="E99" i="7"/>
  <c r="AE96" i="7"/>
  <c r="AA94" i="7"/>
  <c r="W92" i="7"/>
  <c r="S90" i="7"/>
  <c r="O88" i="7"/>
  <c r="K86" i="7"/>
  <c r="G84" i="7"/>
  <c r="C82" i="7"/>
  <c r="O103" i="7"/>
  <c r="H101" i="7"/>
  <c r="D99" i="7"/>
  <c r="AD96" i="7"/>
  <c r="Z94" i="7"/>
  <c r="R90" i="7"/>
  <c r="N88" i="7"/>
  <c r="J86" i="7"/>
  <c r="F84" i="7"/>
  <c r="AF81" i="7"/>
  <c r="M100" i="7"/>
  <c r="I98" i="7"/>
  <c r="E96" i="7"/>
  <c r="AE93" i="7"/>
  <c r="AA91" i="7"/>
  <c r="W89" i="7"/>
  <c r="S87" i="7"/>
  <c r="O85" i="7"/>
  <c r="K83" i="7"/>
  <c r="AE103" i="7"/>
  <c r="R99" i="7"/>
  <c r="N97" i="7"/>
  <c r="J95" i="7"/>
  <c r="F93" i="7"/>
  <c r="AF90" i="7"/>
  <c r="AB88" i="7"/>
  <c r="X86" i="7"/>
  <c r="T84" i="7"/>
  <c r="P82" i="7"/>
  <c r="AD103" i="7"/>
  <c r="U101" i="7"/>
  <c r="M97" i="7"/>
  <c r="I95" i="7"/>
  <c r="E93" i="7"/>
  <c r="AE90" i="7"/>
  <c r="AA88" i="7"/>
  <c r="W86" i="7"/>
  <c r="S84" i="7"/>
  <c r="O82" i="7"/>
  <c r="R79" i="7"/>
  <c r="N77" i="7"/>
  <c r="J75" i="7"/>
  <c r="F73" i="7"/>
  <c r="AF70" i="7"/>
  <c r="AB68" i="7"/>
  <c r="X66" i="7"/>
  <c r="T64" i="7"/>
  <c r="P62" i="7"/>
  <c r="L60" i="7"/>
  <c r="H58" i="7"/>
  <c r="Q79" i="7"/>
  <c r="M77" i="7"/>
  <c r="I75" i="7"/>
  <c r="E73" i="7"/>
  <c r="AE70" i="7"/>
  <c r="AA68" i="7"/>
  <c r="W66" i="7"/>
  <c r="S64" i="7"/>
  <c r="O62" i="7"/>
  <c r="K60" i="7"/>
  <c r="G58" i="7"/>
  <c r="P79" i="7"/>
  <c r="L77" i="7"/>
  <c r="H75" i="7"/>
  <c r="D73" i="7"/>
  <c r="AD70" i="7"/>
  <c r="Z68" i="7"/>
  <c r="V66" i="7"/>
  <c r="R64" i="7"/>
  <c r="N62" i="7"/>
  <c r="J60" i="7"/>
  <c r="F58" i="7"/>
  <c r="AB80" i="7"/>
  <c r="U78" i="7"/>
  <c r="Q76" i="7"/>
  <c r="M74" i="7"/>
  <c r="I72" i="7"/>
  <c r="E70" i="7"/>
  <c r="AE67" i="7"/>
  <c r="AA65" i="7"/>
  <c r="W63" i="7"/>
  <c r="S61" i="7"/>
  <c r="N79" i="7"/>
  <c r="J77" i="7"/>
  <c r="F75" i="7"/>
  <c r="AF72" i="7"/>
  <c r="AB70" i="7"/>
  <c r="X68" i="7"/>
  <c r="T66" i="7"/>
  <c r="P64" i="7"/>
  <c r="L62" i="7"/>
  <c r="H60" i="7"/>
  <c r="Z80" i="7"/>
  <c r="S78" i="7"/>
  <c r="O76" i="7"/>
  <c r="K74" i="7"/>
  <c r="G72" i="7"/>
  <c r="C70" i="7"/>
  <c r="AC67" i="7"/>
  <c r="Y65" i="7"/>
  <c r="U63" i="7"/>
  <c r="Q61" i="7"/>
  <c r="M59" i="7"/>
  <c r="O80" i="7"/>
  <c r="J78" i="7"/>
  <c r="F76" i="7"/>
  <c r="AF73" i="7"/>
  <c r="AB71" i="7"/>
  <c r="X69" i="7"/>
  <c r="T67" i="7"/>
  <c r="P65" i="7"/>
  <c r="L63" i="7"/>
  <c r="H61" i="7"/>
  <c r="D59" i="7"/>
  <c r="AC76" i="7"/>
  <c r="U60" i="7"/>
  <c r="O56" i="7"/>
  <c r="K54" i="7"/>
  <c r="G52" i="7"/>
  <c r="C50" i="7"/>
  <c r="AC47" i="7"/>
  <c r="Y45" i="7"/>
  <c r="U43" i="7"/>
  <c r="Q41" i="7"/>
  <c r="M39" i="7"/>
  <c r="I37" i="7"/>
  <c r="E35" i="7"/>
  <c r="AE32" i="7"/>
  <c r="AA30" i="7"/>
  <c r="W28" i="7"/>
  <c r="S26" i="7"/>
  <c r="O24" i="7"/>
  <c r="K22" i="7"/>
  <c r="G20" i="7"/>
  <c r="Q74" i="7"/>
  <c r="O59" i="7"/>
  <c r="F56" i="7"/>
  <c r="AF53" i="7"/>
  <c r="AB51" i="7"/>
  <c r="X49" i="7"/>
  <c r="T47" i="7"/>
  <c r="P45" i="7"/>
  <c r="L43" i="7"/>
  <c r="H41" i="7"/>
  <c r="D39" i="7"/>
  <c r="AD36" i="7"/>
  <c r="Z34" i="7"/>
  <c r="R30" i="7"/>
  <c r="N28" i="7"/>
  <c r="J26" i="7"/>
  <c r="F24" i="7"/>
  <c r="AF21" i="7"/>
  <c r="AB19" i="7"/>
  <c r="O61" i="7"/>
  <c r="U56" i="7"/>
  <c r="M52" i="7"/>
  <c r="I50" i="7"/>
  <c r="E48" i="7"/>
  <c r="AE45" i="7"/>
  <c r="AA43" i="7"/>
  <c r="W41" i="7"/>
  <c r="S39" i="7"/>
  <c r="O37" i="7"/>
  <c r="K35" i="7"/>
  <c r="G33" i="7"/>
  <c r="C31" i="7"/>
  <c r="AC28" i="7"/>
  <c r="Y26" i="7"/>
  <c r="U24" i="7"/>
  <c r="Q22" i="7"/>
  <c r="M20" i="7"/>
  <c r="I18" i="7"/>
  <c r="E16" i="7"/>
  <c r="O65" i="7"/>
  <c r="H57" i="7"/>
  <c r="AF54" i="7"/>
  <c r="AB52" i="7"/>
  <c r="X50" i="7"/>
  <c r="T48" i="7"/>
  <c r="P46" i="7"/>
  <c r="L44" i="7"/>
  <c r="H42" i="7"/>
  <c r="D40" i="7"/>
  <c r="AD37" i="7"/>
  <c r="Z35" i="7"/>
  <c r="V33" i="7"/>
  <c r="R31" i="7"/>
  <c r="N29" i="7"/>
  <c r="J27" i="7"/>
  <c r="F25" i="7"/>
  <c r="AF22" i="7"/>
  <c r="AB20" i="7"/>
  <c r="X18" i="7"/>
  <c r="T16" i="7"/>
  <c r="K67" i="7"/>
  <c r="P57" i="7"/>
  <c r="I55" i="7"/>
  <c r="E53" i="7"/>
  <c r="AE50" i="7"/>
  <c r="AA48" i="7"/>
  <c r="W46" i="7"/>
  <c r="P205" i="7"/>
  <c r="L203" i="7"/>
  <c r="H201" i="7"/>
  <c r="D199" i="7"/>
  <c r="AD196" i="7"/>
  <c r="Z194" i="7"/>
  <c r="V192" i="7"/>
  <c r="R190" i="7"/>
  <c r="N188" i="7"/>
  <c r="J186" i="7"/>
  <c r="G205" i="7"/>
  <c r="C203" i="7"/>
  <c r="AC200" i="7"/>
  <c r="Y198" i="7"/>
  <c r="U196" i="7"/>
  <c r="Q194" i="7"/>
  <c r="M192" i="7"/>
  <c r="I190" i="7"/>
  <c r="E188" i="7"/>
  <c r="AE185" i="7"/>
  <c r="T204" i="7"/>
  <c r="P202" i="7"/>
  <c r="L200" i="7"/>
  <c r="H198" i="7"/>
  <c r="D196" i="7"/>
  <c r="AD193" i="7"/>
  <c r="Z191" i="7"/>
  <c r="V189" i="7"/>
  <c r="R187" i="7"/>
  <c r="N185" i="7"/>
  <c r="AC205" i="7"/>
  <c r="Y203" i="7"/>
  <c r="U201" i="7"/>
  <c r="Q199" i="7"/>
  <c r="M197" i="7"/>
  <c r="I195" i="7"/>
  <c r="E193" i="7"/>
  <c r="AE190" i="7"/>
  <c r="AA188" i="7"/>
  <c r="W186" i="7"/>
  <c r="AB205" i="7"/>
  <c r="X203" i="7"/>
  <c r="T201" i="7"/>
  <c r="P199" i="7"/>
  <c r="L197" i="7"/>
  <c r="H195" i="7"/>
  <c r="D193" i="7"/>
  <c r="AD190" i="7"/>
  <c r="Z188" i="7"/>
  <c r="V186" i="7"/>
  <c r="S205" i="7"/>
  <c r="O203" i="7"/>
  <c r="K201" i="7"/>
  <c r="G199" i="7"/>
  <c r="C197" i="7"/>
  <c r="AC194" i="7"/>
  <c r="Y192" i="7"/>
  <c r="U190" i="7"/>
  <c r="Q188" i="7"/>
  <c r="M186" i="7"/>
  <c r="T202" i="7"/>
  <c r="D194" i="7"/>
  <c r="R185" i="7"/>
  <c r="AA182" i="7"/>
  <c r="W180" i="7"/>
  <c r="S178" i="7"/>
  <c r="O176" i="7"/>
  <c r="K174" i="7"/>
  <c r="G172" i="7"/>
  <c r="C170" i="7"/>
  <c r="AC167" i="7"/>
  <c r="K198" i="7"/>
  <c r="Y189" i="7"/>
  <c r="AD183" i="7"/>
  <c r="X181" i="7"/>
  <c r="T179" i="7"/>
  <c r="P177" i="7"/>
  <c r="L175" i="7"/>
  <c r="H173" i="7"/>
  <c r="D171" i="7"/>
  <c r="AD168" i="7"/>
  <c r="J201" i="7"/>
  <c r="X192" i="7"/>
  <c r="Z184" i="7"/>
  <c r="Q182" i="7"/>
  <c r="M180" i="7"/>
  <c r="I178" i="7"/>
  <c r="E176" i="7"/>
  <c r="AE173" i="7"/>
  <c r="AA171" i="7"/>
  <c r="W169" i="7"/>
  <c r="S167" i="7"/>
  <c r="G200" i="7"/>
  <c r="U191" i="7"/>
  <c r="P184" i="7"/>
  <c r="H182" i="7"/>
  <c r="D180" i="7"/>
  <c r="AD177" i="7"/>
  <c r="Z175" i="7"/>
  <c r="R171" i="7"/>
  <c r="N169" i="7"/>
  <c r="J205" i="7"/>
  <c r="X196" i="7"/>
  <c r="H188" i="7"/>
  <c r="M181" i="7"/>
  <c r="I179" i="7"/>
  <c r="E177" i="7"/>
  <c r="AE174" i="7"/>
  <c r="AA172" i="7"/>
  <c r="W170" i="7"/>
  <c r="S168" i="7"/>
  <c r="AC199" i="7"/>
  <c r="M191" i="7"/>
  <c r="N184" i="7"/>
  <c r="F182" i="7"/>
  <c r="AF179" i="7"/>
  <c r="AB177" i="7"/>
  <c r="X175" i="7"/>
  <c r="T173" i="7"/>
  <c r="P171" i="7"/>
  <c r="L169" i="7"/>
  <c r="AD203" i="7"/>
  <c r="N195" i="7"/>
  <c r="AB186" i="7"/>
  <c r="G183" i="7"/>
  <c r="C181" i="7"/>
  <c r="AC178" i="7"/>
  <c r="Y176" i="7"/>
  <c r="U174" i="7"/>
  <c r="Q172" i="7"/>
  <c r="M170" i="7"/>
  <c r="I168" i="7"/>
  <c r="S198" i="7"/>
  <c r="C190" i="7"/>
  <c r="AF183" i="7"/>
  <c r="Z181" i="7"/>
  <c r="R177" i="7"/>
  <c r="N175" i="7"/>
  <c r="J173" i="7"/>
  <c r="F171" i="7"/>
  <c r="AF168" i="7"/>
  <c r="T166" i="7"/>
  <c r="P164" i="7"/>
  <c r="L162" i="7"/>
  <c r="H160" i="7"/>
  <c r="D158" i="7"/>
  <c r="AD155" i="7"/>
  <c r="Z153" i="7"/>
  <c r="V151" i="7"/>
  <c r="R149" i="7"/>
  <c r="N147" i="7"/>
  <c r="J145" i="7"/>
  <c r="Y165" i="7"/>
  <c r="U163" i="7"/>
  <c r="Q161" i="7"/>
  <c r="M159" i="7"/>
  <c r="I157" i="7"/>
  <c r="E155" i="7"/>
  <c r="AE152" i="7"/>
  <c r="AA150" i="7"/>
  <c r="W148" i="7"/>
  <c r="S146" i="7"/>
  <c r="E167" i="7"/>
  <c r="AD164" i="7"/>
  <c r="Z162" i="7"/>
  <c r="V160" i="7"/>
  <c r="R158" i="7"/>
  <c r="N156" i="7"/>
  <c r="J154" i="7"/>
  <c r="F152" i="7"/>
  <c r="AF149" i="7"/>
  <c r="AB147" i="7"/>
  <c r="X145" i="7"/>
  <c r="D167" i="7"/>
  <c r="AC164" i="7"/>
  <c r="Y162" i="7"/>
  <c r="U160" i="7"/>
  <c r="Q158" i="7"/>
  <c r="M156" i="7"/>
  <c r="I154" i="7"/>
  <c r="E152" i="7"/>
  <c r="AE149" i="7"/>
  <c r="AA147" i="7"/>
  <c r="W145" i="7"/>
  <c r="X166" i="7"/>
  <c r="T164" i="7"/>
  <c r="P162" i="7"/>
  <c r="L160" i="7"/>
  <c r="H158" i="7"/>
  <c r="D156" i="7"/>
  <c r="AD153" i="7"/>
  <c r="Z151" i="7"/>
  <c r="R147" i="7"/>
  <c r="N145" i="7"/>
  <c r="AC165" i="7"/>
  <c r="Y163" i="7"/>
  <c r="U161" i="7"/>
  <c r="M157" i="7"/>
  <c r="I155" i="7"/>
  <c r="E153" i="7"/>
  <c r="AE150" i="7"/>
  <c r="AA148" i="7"/>
  <c r="W146" i="7"/>
  <c r="I167" i="7"/>
  <c r="D165" i="7"/>
  <c r="AD162" i="7"/>
  <c r="Z160" i="7"/>
  <c r="R156" i="7"/>
  <c r="N154" i="7"/>
  <c r="J152" i="7"/>
  <c r="F150" i="7"/>
  <c r="AF147" i="7"/>
  <c r="AB145" i="7"/>
  <c r="AC158" i="7"/>
  <c r="L142" i="7"/>
  <c r="H140" i="7"/>
  <c r="D138" i="7"/>
  <c r="AD135" i="7"/>
  <c r="Z133" i="7"/>
  <c r="R129" i="7"/>
  <c r="N127" i="7"/>
  <c r="H167" i="7"/>
  <c r="E150" i="7"/>
  <c r="M143" i="7"/>
  <c r="I141" i="7"/>
  <c r="E139" i="7"/>
  <c r="AE136" i="7"/>
  <c r="AA134" i="7"/>
  <c r="W132" i="7"/>
  <c r="S130" i="7"/>
  <c r="Q160" i="7"/>
  <c r="Y144" i="7"/>
  <c r="R142" i="7"/>
  <c r="N140" i="7"/>
  <c r="J138" i="7"/>
  <c r="F136" i="7"/>
  <c r="AF133" i="7"/>
  <c r="AB131" i="7"/>
  <c r="X129" i="7"/>
  <c r="AE155" i="7"/>
  <c r="E144" i="7"/>
  <c r="AE141" i="7"/>
  <c r="AA139" i="7"/>
  <c r="W137" i="7"/>
  <c r="S135" i="7"/>
  <c r="O133" i="7"/>
  <c r="K131" i="7"/>
  <c r="G129" i="7"/>
  <c r="C127" i="7"/>
  <c r="I164" i="7"/>
  <c r="G147" i="7"/>
  <c r="AF142" i="7"/>
  <c r="AB140" i="7"/>
  <c r="X138" i="7"/>
  <c r="T136" i="7"/>
  <c r="P134" i="7"/>
  <c r="L132" i="7"/>
  <c r="H130" i="7"/>
  <c r="D128" i="7"/>
  <c r="AD125" i="7"/>
  <c r="K153" i="7"/>
  <c r="Y143" i="7"/>
  <c r="U141" i="7"/>
  <c r="Q139" i="7"/>
  <c r="M137" i="7"/>
  <c r="I135" i="7"/>
  <c r="E133" i="7"/>
  <c r="AE130" i="7"/>
  <c r="AA128" i="7"/>
  <c r="W126" i="7"/>
  <c r="O159" i="7"/>
  <c r="S144" i="7"/>
  <c r="N142" i="7"/>
  <c r="J140" i="7"/>
  <c r="F138" i="7"/>
  <c r="AF135" i="7"/>
  <c r="AB133" i="7"/>
  <c r="X131" i="7"/>
  <c r="T129" i="7"/>
  <c r="P127" i="7"/>
  <c r="L125" i="7"/>
  <c r="Y152" i="7"/>
  <c r="W143" i="7"/>
  <c r="S141" i="7"/>
  <c r="O139" i="7"/>
  <c r="K137" i="7"/>
  <c r="G135" i="7"/>
  <c r="G131" i="7"/>
  <c r="AC124" i="7"/>
  <c r="Y122" i="7"/>
  <c r="U120" i="7"/>
  <c r="Q118" i="7"/>
  <c r="M116" i="7"/>
  <c r="I114" i="7"/>
  <c r="E112" i="7"/>
  <c r="AE109" i="7"/>
  <c r="AA107" i="7"/>
  <c r="W105" i="7"/>
  <c r="U127" i="7"/>
  <c r="D124" i="7"/>
  <c r="AD121" i="7"/>
  <c r="Z119" i="7"/>
  <c r="V117" i="7"/>
  <c r="R115" i="7"/>
  <c r="N113" i="7"/>
  <c r="J111" i="7"/>
  <c r="F109" i="7"/>
  <c r="AF106" i="7"/>
  <c r="AB104" i="7"/>
  <c r="P125" i="7"/>
  <c r="I123" i="7"/>
  <c r="E121" i="7"/>
  <c r="AE118" i="7"/>
  <c r="AA116" i="7"/>
  <c r="W114" i="7"/>
  <c r="S112" i="7"/>
  <c r="O110" i="7"/>
  <c r="K108" i="7"/>
  <c r="G106" i="7"/>
  <c r="C104" i="7"/>
  <c r="AD128" i="7"/>
  <c r="R124" i="7"/>
  <c r="N122" i="7"/>
  <c r="J120" i="7"/>
  <c r="F118" i="7"/>
  <c r="AF115" i="7"/>
  <c r="AB113" i="7"/>
  <c r="X111" i="7"/>
  <c r="T109" i="7"/>
  <c r="P107" i="7"/>
  <c r="L105" i="7"/>
  <c r="Y128" i="7"/>
  <c r="Q124" i="7"/>
  <c r="M122" i="7"/>
  <c r="I120" i="7"/>
  <c r="E118" i="7"/>
  <c r="AE115" i="7"/>
  <c r="AA113" i="7"/>
  <c r="W111" i="7"/>
  <c r="S109" i="7"/>
  <c r="O107" i="7"/>
  <c r="K105" i="7"/>
  <c r="AA125" i="7"/>
  <c r="J121" i="7"/>
  <c r="F119" i="7"/>
  <c r="AF116" i="7"/>
  <c r="AB114" i="7"/>
  <c r="X112" i="7"/>
  <c r="T110" i="7"/>
  <c r="P108" i="7"/>
  <c r="L106" i="7"/>
  <c r="G127" i="7"/>
  <c r="AC123" i="7"/>
  <c r="Y121" i="7"/>
  <c r="U119" i="7"/>
  <c r="M115" i="7"/>
  <c r="I113" i="7"/>
  <c r="E111" i="7"/>
  <c r="AE108" i="7"/>
  <c r="AA106" i="7"/>
  <c r="W104" i="7"/>
  <c r="X125" i="7"/>
  <c r="L123" i="7"/>
  <c r="H121" i="7"/>
  <c r="D119" i="7"/>
  <c r="AD116" i="7"/>
  <c r="Z114" i="7"/>
  <c r="V112" i="7"/>
  <c r="R110" i="7"/>
  <c r="J106" i="7"/>
  <c r="AF102" i="7"/>
  <c r="Z100" i="7"/>
  <c r="R96" i="7"/>
  <c r="N94" i="7"/>
  <c r="J92" i="7"/>
  <c r="F90" i="7"/>
  <c r="AF87" i="7"/>
  <c r="AB85" i="7"/>
  <c r="X83" i="7"/>
  <c r="U104" i="7"/>
  <c r="E102" i="7"/>
  <c r="AE99" i="7"/>
  <c r="AA97" i="7"/>
  <c r="W95" i="7"/>
  <c r="S93" i="7"/>
  <c r="O91" i="7"/>
  <c r="K89" i="7"/>
  <c r="G87" i="7"/>
  <c r="C85" i="7"/>
  <c r="AC82" i="7"/>
  <c r="T104" i="7"/>
  <c r="D102" i="7"/>
  <c r="AD99" i="7"/>
  <c r="Z97" i="7"/>
  <c r="R93" i="7"/>
  <c r="N91" i="7"/>
  <c r="J89" i="7"/>
  <c r="F87" i="7"/>
  <c r="AF84" i="7"/>
  <c r="AB82" i="7"/>
  <c r="X80" i="7"/>
  <c r="G103" i="7"/>
  <c r="AE100" i="7"/>
  <c r="AA98" i="7"/>
  <c r="W96" i="7"/>
  <c r="S94" i="7"/>
  <c r="O92" i="7"/>
  <c r="K90" i="7"/>
  <c r="G88" i="7"/>
  <c r="C86" i="7"/>
  <c r="AC83" i="7"/>
  <c r="Y81" i="7"/>
  <c r="F103" i="7"/>
  <c r="AD100" i="7"/>
  <c r="Z98" i="7"/>
  <c r="V96" i="7"/>
  <c r="R94" i="7"/>
  <c r="N92" i="7"/>
  <c r="J90" i="7"/>
  <c r="F88" i="7"/>
  <c r="AF85" i="7"/>
  <c r="AB83" i="7"/>
  <c r="AD104" i="7"/>
  <c r="I102" i="7"/>
  <c r="E100" i="7"/>
  <c r="AE97" i="7"/>
  <c r="AA95" i="7"/>
  <c r="W93" i="7"/>
  <c r="S91" i="7"/>
  <c r="O89" i="7"/>
  <c r="K87" i="7"/>
  <c r="G85" i="7"/>
  <c r="C83" i="7"/>
  <c r="V103" i="7"/>
  <c r="N101" i="7"/>
  <c r="J99" i="7"/>
  <c r="F97" i="7"/>
  <c r="AF94" i="7"/>
  <c r="AB92" i="7"/>
  <c r="X90" i="7"/>
  <c r="T88" i="7"/>
  <c r="P86" i="7"/>
  <c r="L84" i="7"/>
  <c r="H82" i="7"/>
  <c r="U103" i="7"/>
  <c r="M101" i="7"/>
  <c r="I99" i="7"/>
  <c r="E97" i="7"/>
  <c r="AE94" i="7"/>
  <c r="AA92" i="7"/>
  <c r="W90" i="7"/>
  <c r="S88" i="7"/>
  <c r="O86" i="7"/>
  <c r="K84" i="7"/>
  <c r="G82" i="7"/>
  <c r="J79" i="7"/>
  <c r="F77" i="7"/>
  <c r="AF74" i="7"/>
  <c r="AB72" i="7"/>
  <c r="X70" i="7"/>
  <c r="T68" i="7"/>
  <c r="P66" i="7"/>
  <c r="L64" i="7"/>
  <c r="H62" i="7"/>
  <c r="D60" i="7"/>
  <c r="AC81" i="7"/>
  <c r="I79" i="7"/>
  <c r="E77" i="7"/>
  <c r="AE74" i="7"/>
  <c r="AA72" i="7"/>
  <c r="W70" i="7"/>
  <c r="S68" i="7"/>
  <c r="O66" i="7"/>
  <c r="K64" i="7"/>
  <c r="G62" i="7"/>
  <c r="C60" i="7"/>
  <c r="AB81" i="7"/>
  <c r="H79" i="7"/>
  <c r="D77" i="7"/>
  <c r="AD74" i="7"/>
  <c r="Z72" i="7"/>
  <c r="V70" i="7"/>
  <c r="R68" i="7"/>
  <c r="J64" i="7"/>
  <c r="F62" i="7"/>
  <c r="AF59" i="7"/>
  <c r="AB57" i="7"/>
  <c r="S80" i="7"/>
  <c r="M78" i="7"/>
  <c r="I76" i="7"/>
  <c r="E74" i="7"/>
  <c r="AE71" i="7"/>
  <c r="AA69" i="7"/>
  <c r="W67" i="7"/>
  <c r="S65" i="7"/>
  <c r="O63" i="7"/>
  <c r="W81" i="7"/>
  <c r="F79" i="7"/>
  <c r="AF76" i="7"/>
  <c r="AB74" i="7"/>
  <c r="X72" i="7"/>
  <c r="T70" i="7"/>
  <c r="P68" i="7"/>
  <c r="L66" i="7"/>
  <c r="H64" i="7"/>
  <c r="D62" i="7"/>
  <c r="AD59" i="7"/>
  <c r="Q80" i="7"/>
  <c r="K78" i="7"/>
  <c r="G76" i="7"/>
  <c r="C74" i="7"/>
  <c r="AC71" i="7"/>
  <c r="Y69" i="7"/>
  <c r="U67" i="7"/>
  <c r="Q65" i="7"/>
  <c r="M63" i="7"/>
  <c r="I61" i="7"/>
  <c r="E59" i="7"/>
  <c r="F80" i="7"/>
  <c r="AF77" i="7"/>
  <c r="AB75" i="7"/>
  <c r="X73" i="7"/>
  <c r="T71" i="7"/>
  <c r="P69" i="7"/>
  <c r="L67" i="7"/>
  <c r="H65" i="7"/>
  <c r="D63" i="7"/>
  <c r="AD60" i="7"/>
  <c r="Z58" i="7"/>
  <c r="Y74" i="7"/>
  <c r="S59" i="7"/>
  <c r="G56" i="7"/>
  <c r="C54" i="7"/>
  <c r="AC51" i="7"/>
  <c r="Y49" i="7"/>
  <c r="U47" i="7"/>
  <c r="M43" i="7"/>
  <c r="I41" i="7"/>
  <c r="E39" i="7"/>
  <c r="AE36" i="7"/>
  <c r="AA34" i="7"/>
  <c r="W32" i="7"/>
  <c r="S30" i="7"/>
  <c r="O28" i="7"/>
  <c r="K26" i="7"/>
  <c r="G24" i="7"/>
  <c r="C22" i="7"/>
  <c r="AC19" i="7"/>
  <c r="M72" i="7"/>
  <c r="Q58" i="7"/>
  <c r="AB55" i="7"/>
  <c r="X53" i="7"/>
  <c r="T51" i="7"/>
  <c r="P49" i="7"/>
  <c r="L47" i="7"/>
  <c r="H45" i="7"/>
  <c r="D43" i="7"/>
  <c r="AD40" i="7"/>
  <c r="Z38" i="7"/>
  <c r="V36" i="7"/>
  <c r="R34" i="7"/>
  <c r="N32" i="7"/>
  <c r="J30" i="7"/>
  <c r="F28" i="7"/>
  <c r="AF25" i="7"/>
  <c r="AB23" i="7"/>
  <c r="X21" i="7"/>
  <c r="T19" i="7"/>
  <c r="M76" i="7"/>
  <c r="M60" i="7"/>
  <c r="M56" i="7"/>
  <c r="I54" i="7"/>
  <c r="E52" i="7"/>
  <c r="AE49" i="7"/>
  <c r="AA47" i="7"/>
  <c r="W45" i="7"/>
  <c r="S43" i="7"/>
  <c r="O41" i="7"/>
  <c r="K39" i="7"/>
  <c r="G37" i="7"/>
  <c r="C35" i="7"/>
  <c r="AC32" i="7"/>
  <c r="Y30" i="7"/>
  <c r="U28" i="7"/>
  <c r="Q26" i="7"/>
  <c r="M24" i="7"/>
  <c r="I22" i="7"/>
  <c r="E20" i="7"/>
  <c r="AE17" i="7"/>
  <c r="N80" i="7"/>
  <c r="K63" i="7"/>
  <c r="AC56" i="7"/>
  <c r="X54" i="7"/>
  <c r="T52" i="7"/>
  <c r="P50" i="7"/>
  <c r="L48" i="7"/>
  <c r="H46" i="7"/>
  <c r="D44" i="7"/>
  <c r="AD41" i="7"/>
  <c r="Z39" i="7"/>
  <c r="V37" i="7"/>
  <c r="R35" i="7"/>
  <c r="J31" i="7"/>
  <c r="F29" i="7"/>
  <c r="AF26" i="7"/>
  <c r="AB24" i="7"/>
  <c r="X22" i="7"/>
  <c r="T20" i="7"/>
  <c r="P18" i="7"/>
  <c r="L16" i="7"/>
  <c r="G65" i="7"/>
  <c r="G57" i="7"/>
  <c r="AE54" i="7"/>
  <c r="AA52" i="7"/>
  <c r="W50" i="7"/>
  <c r="S48" i="7"/>
  <c r="O46" i="7"/>
  <c r="K44" i="7"/>
  <c r="G42" i="7"/>
  <c r="C40" i="7"/>
  <c r="AC37" i="7"/>
  <c r="Y35" i="7"/>
  <c r="U33" i="7"/>
  <c r="Q31" i="7"/>
  <c r="M29" i="7"/>
  <c r="I27" i="7"/>
  <c r="E25" i="7"/>
  <c r="AE22" i="7"/>
  <c r="AA20" i="7"/>
  <c r="W77" i="7"/>
  <c r="C61" i="7"/>
  <c r="R56" i="7"/>
  <c r="J52" i="7"/>
  <c r="F50" i="7"/>
  <c r="AF47" i="7"/>
  <c r="AB45" i="7"/>
  <c r="X43" i="7"/>
  <c r="T41" i="7"/>
  <c r="P39" i="7"/>
  <c r="L37" i="7"/>
  <c r="H35" i="7"/>
  <c r="D33" i="7"/>
  <c r="AD30" i="7"/>
  <c r="Z28" i="7"/>
  <c r="R24" i="7"/>
  <c r="N22" i="7"/>
  <c r="J20" i="7"/>
  <c r="O77" i="7"/>
  <c r="AC60" i="7"/>
  <c r="Q56" i="7"/>
  <c r="M54" i="7"/>
  <c r="I52" i="7"/>
  <c r="E50" i="7"/>
  <c r="AE47" i="7"/>
  <c r="AA45" i="7"/>
  <c r="W43" i="7"/>
  <c r="S41" i="7"/>
  <c r="O39" i="7"/>
  <c r="K37" i="7"/>
  <c r="G35" i="7"/>
  <c r="C33" i="7"/>
  <c r="AC30" i="7"/>
  <c r="Y28" i="7"/>
  <c r="U26" i="7"/>
  <c r="M22" i="7"/>
  <c r="I20" i="7"/>
  <c r="E18" i="7"/>
  <c r="X56" i="7"/>
  <c r="H205" i="7"/>
  <c r="D203" i="7"/>
  <c r="AD200" i="7"/>
  <c r="Z198" i="7"/>
  <c r="V196" i="7"/>
  <c r="R194" i="7"/>
  <c r="N192" i="7"/>
  <c r="J190" i="7"/>
  <c r="F188" i="7"/>
  <c r="AF185" i="7"/>
  <c r="AC204" i="7"/>
  <c r="Y202" i="7"/>
  <c r="U200" i="7"/>
  <c r="M196" i="7"/>
  <c r="I194" i="7"/>
  <c r="E192" i="7"/>
  <c r="AE189" i="7"/>
  <c r="AA187" i="7"/>
  <c r="W185" i="7"/>
  <c r="L204" i="7"/>
  <c r="H202" i="7"/>
  <c r="D200" i="7"/>
  <c r="AD197" i="7"/>
  <c r="Z195" i="7"/>
  <c r="V193" i="7"/>
  <c r="R191" i="7"/>
  <c r="N189" i="7"/>
  <c r="J187" i="7"/>
  <c r="F185" i="7"/>
  <c r="U205" i="7"/>
  <c r="Q203" i="7"/>
  <c r="M201" i="7"/>
  <c r="I199" i="7"/>
  <c r="E197" i="7"/>
  <c r="AE194" i="7"/>
  <c r="AA192" i="7"/>
  <c r="W190" i="7"/>
  <c r="S188" i="7"/>
  <c r="O186" i="7"/>
  <c r="T205" i="7"/>
  <c r="P203" i="7"/>
  <c r="L201" i="7"/>
  <c r="H199" i="7"/>
  <c r="D197" i="7"/>
  <c r="AD194" i="7"/>
  <c r="Z192" i="7"/>
  <c r="V190" i="7"/>
  <c r="R188" i="7"/>
  <c r="N186" i="7"/>
  <c r="K205" i="7"/>
  <c r="G203" i="7"/>
  <c r="C201" i="7"/>
  <c r="AC198" i="7"/>
  <c r="Y196" i="7"/>
  <c r="U194" i="7"/>
  <c r="M190" i="7"/>
  <c r="I188" i="7"/>
  <c r="E186" i="7"/>
  <c r="R201" i="7"/>
  <c r="AF192" i="7"/>
  <c r="AD184" i="7"/>
  <c r="S182" i="7"/>
  <c r="O180" i="7"/>
  <c r="K178" i="7"/>
  <c r="G176" i="7"/>
  <c r="C174" i="7"/>
  <c r="AC171" i="7"/>
  <c r="Y169" i="7"/>
  <c r="Y205" i="7"/>
  <c r="I197" i="7"/>
  <c r="W188" i="7"/>
  <c r="U183" i="7"/>
  <c r="P181" i="7"/>
  <c r="L179" i="7"/>
  <c r="H177" i="7"/>
  <c r="D175" i="7"/>
  <c r="AD172" i="7"/>
  <c r="Z170" i="7"/>
  <c r="V168" i="7"/>
  <c r="H200" i="7"/>
  <c r="Q184" i="7"/>
  <c r="I182" i="7"/>
  <c r="E180" i="7"/>
  <c r="AE177" i="7"/>
  <c r="AA175" i="7"/>
  <c r="W173" i="7"/>
  <c r="S171" i="7"/>
  <c r="O169" i="7"/>
  <c r="K167" i="7"/>
  <c r="E199" i="7"/>
  <c r="S190" i="7"/>
  <c r="G184" i="7"/>
  <c r="AD181" i="7"/>
  <c r="Z179" i="7"/>
  <c r="V177" i="7"/>
  <c r="R175" i="7"/>
  <c r="N173" i="7"/>
  <c r="J171" i="7"/>
  <c r="F169" i="7"/>
  <c r="H204" i="7"/>
  <c r="V195" i="7"/>
  <c r="F187" i="7"/>
  <c r="I183" i="7"/>
  <c r="E181" i="7"/>
  <c r="AE178" i="7"/>
  <c r="AA176" i="7"/>
  <c r="W174" i="7"/>
  <c r="S172" i="7"/>
  <c r="O170" i="7"/>
  <c r="K168" i="7"/>
  <c r="AA198" i="7"/>
  <c r="K190" i="7"/>
  <c r="E184" i="7"/>
  <c r="AB181" i="7"/>
  <c r="X179" i="7"/>
  <c r="T177" i="7"/>
  <c r="P175" i="7"/>
  <c r="L173" i="7"/>
  <c r="H171" i="7"/>
  <c r="D169" i="7"/>
  <c r="AB202" i="7"/>
  <c r="L194" i="7"/>
  <c r="Z185" i="7"/>
  <c r="AC182" i="7"/>
  <c r="Y180" i="7"/>
  <c r="U178" i="7"/>
  <c r="Q176" i="7"/>
  <c r="M174" i="7"/>
  <c r="I172" i="7"/>
  <c r="E170" i="7"/>
  <c r="AE167" i="7"/>
  <c r="Q197" i="7"/>
  <c r="AE188" i="7"/>
  <c r="W183" i="7"/>
  <c r="R181" i="7"/>
  <c r="N179" i="7"/>
  <c r="J177" i="7"/>
  <c r="F175" i="7"/>
  <c r="AF172" i="7"/>
  <c r="AB170" i="7"/>
  <c r="X168" i="7"/>
  <c r="L166" i="7"/>
  <c r="H164" i="7"/>
  <c r="D162" i="7"/>
  <c r="AD159" i="7"/>
  <c r="Z157" i="7"/>
  <c r="R153" i="7"/>
  <c r="N151" i="7"/>
  <c r="J149" i="7"/>
  <c r="F147" i="7"/>
  <c r="AB167" i="7"/>
  <c r="M163" i="7"/>
  <c r="I161" i="7"/>
  <c r="E159" i="7"/>
  <c r="AE156" i="7"/>
  <c r="AA154" i="7"/>
  <c r="W152" i="7"/>
  <c r="S150" i="7"/>
  <c r="O148" i="7"/>
  <c r="K146" i="7"/>
  <c r="Z166" i="7"/>
  <c r="R162" i="7"/>
  <c r="N160" i="7"/>
  <c r="J158" i="7"/>
  <c r="F156" i="7"/>
  <c r="AF153" i="7"/>
  <c r="AB151" i="7"/>
  <c r="X149" i="7"/>
  <c r="T147" i="7"/>
  <c r="P145" i="7"/>
  <c r="Y166" i="7"/>
  <c r="U164" i="7"/>
  <c r="M160" i="7"/>
  <c r="I158" i="7"/>
  <c r="E156" i="7"/>
  <c r="AE153" i="7"/>
  <c r="AA151" i="7"/>
  <c r="W149" i="7"/>
  <c r="S147" i="7"/>
  <c r="O145" i="7"/>
  <c r="P166" i="7"/>
  <c r="L164" i="7"/>
  <c r="H162" i="7"/>
  <c r="D160" i="7"/>
  <c r="AD157" i="7"/>
  <c r="Z155" i="7"/>
  <c r="V153" i="7"/>
  <c r="R151" i="7"/>
  <c r="N149" i="7"/>
  <c r="J147" i="7"/>
  <c r="F145" i="7"/>
  <c r="U165" i="7"/>
  <c r="Q163" i="7"/>
  <c r="M161" i="7"/>
  <c r="I159" i="7"/>
  <c r="E157" i="7"/>
  <c r="AE154" i="7"/>
  <c r="AA152" i="7"/>
  <c r="W150" i="7"/>
  <c r="S148" i="7"/>
  <c r="O146" i="7"/>
  <c r="AD166" i="7"/>
  <c r="Z164" i="7"/>
  <c r="V162" i="7"/>
  <c r="R160" i="7"/>
  <c r="N158" i="7"/>
  <c r="J156" i="7"/>
  <c r="F154" i="7"/>
  <c r="AF151" i="7"/>
  <c r="AB149" i="7"/>
  <c r="X147" i="7"/>
  <c r="T145" i="7"/>
  <c r="Y156" i="7"/>
  <c r="H144" i="7"/>
  <c r="D142" i="7"/>
  <c r="AD139" i="7"/>
  <c r="Z137" i="7"/>
  <c r="V135" i="7"/>
  <c r="R133" i="7"/>
  <c r="N131" i="7"/>
  <c r="J129" i="7"/>
  <c r="F127" i="7"/>
  <c r="C165" i="7"/>
  <c r="AE147" i="7"/>
  <c r="E143" i="7"/>
  <c r="AE140" i="7"/>
  <c r="AA138" i="7"/>
  <c r="W136" i="7"/>
  <c r="S134" i="7"/>
  <c r="O132" i="7"/>
  <c r="K130" i="7"/>
  <c r="M158" i="7"/>
  <c r="O144" i="7"/>
  <c r="J142" i="7"/>
  <c r="F140" i="7"/>
  <c r="AF137" i="7"/>
  <c r="AB135" i="7"/>
  <c r="X133" i="7"/>
  <c r="T131" i="7"/>
  <c r="P129" i="7"/>
  <c r="AA153" i="7"/>
  <c r="AA143" i="7"/>
  <c r="W141" i="7"/>
  <c r="S139" i="7"/>
  <c r="O137" i="7"/>
  <c r="K135" i="7"/>
  <c r="G133" i="7"/>
  <c r="C131" i="7"/>
  <c r="AC128" i="7"/>
  <c r="Y126" i="7"/>
  <c r="E162" i="7"/>
  <c r="C145" i="7"/>
  <c r="X142" i="7"/>
  <c r="T140" i="7"/>
  <c r="P138" i="7"/>
  <c r="L136" i="7"/>
  <c r="H134" i="7"/>
  <c r="D132" i="7"/>
  <c r="AD129" i="7"/>
  <c r="Z127" i="7"/>
  <c r="G151" i="7"/>
  <c r="Q143" i="7"/>
  <c r="M141" i="7"/>
  <c r="I139" i="7"/>
  <c r="E137" i="7"/>
  <c r="AE134" i="7"/>
  <c r="AA132" i="7"/>
  <c r="W130" i="7"/>
  <c r="S128" i="7"/>
  <c r="O126" i="7"/>
  <c r="K157" i="7"/>
  <c r="J144" i="7"/>
  <c r="F142" i="7"/>
  <c r="AF139" i="7"/>
  <c r="AB137" i="7"/>
  <c r="X135" i="7"/>
  <c r="T133" i="7"/>
  <c r="P131" i="7"/>
  <c r="L129" i="7"/>
  <c r="H127" i="7"/>
  <c r="D125" i="7"/>
  <c r="U150" i="7"/>
  <c r="O143" i="7"/>
  <c r="K141" i="7"/>
  <c r="G139" i="7"/>
  <c r="C137" i="7"/>
  <c r="AC134" i="7"/>
  <c r="I129" i="7"/>
  <c r="U124" i="7"/>
  <c r="Q122" i="7"/>
  <c r="M120" i="7"/>
  <c r="I118" i="7"/>
  <c r="E116" i="7"/>
  <c r="AE113" i="7"/>
  <c r="AA111" i="7"/>
  <c r="W109" i="7"/>
  <c r="S107" i="7"/>
  <c r="O105" i="7"/>
  <c r="AC126" i="7"/>
  <c r="Z123" i="7"/>
  <c r="V121" i="7"/>
  <c r="R119" i="7"/>
  <c r="J115" i="7"/>
  <c r="F113" i="7"/>
  <c r="AF110" i="7"/>
  <c r="AB108" i="7"/>
  <c r="X106" i="7"/>
  <c r="Y132" i="7"/>
  <c r="F125" i="7"/>
  <c r="AE122" i="7"/>
  <c r="AA120" i="7"/>
  <c r="W118" i="7"/>
  <c r="S116" i="7"/>
  <c r="O114" i="7"/>
  <c r="K112" i="7"/>
  <c r="G110" i="7"/>
  <c r="C108" i="7"/>
  <c r="AC105" i="7"/>
  <c r="Y103" i="7"/>
  <c r="G128" i="7"/>
  <c r="J124" i="7"/>
  <c r="F122" i="7"/>
  <c r="AF119" i="7"/>
  <c r="AB117" i="7"/>
  <c r="X115" i="7"/>
  <c r="T113" i="7"/>
  <c r="P111" i="7"/>
  <c r="L109" i="7"/>
  <c r="H107" i="7"/>
  <c r="D105" i="7"/>
  <c r="F128" i="7"/>
  <c r="I124" i="7"/>
  <c r="E122" i="7"/>
  <c r="AE119" i="7"/>
  <c r="AA117" i="7"/>
  <c r="W115" i="7"/>
  <c r="S113" i="7"/>
  <c r="O111" i="7"/>
  <c r="K109" i="7"/>
  <c r="G107" i="7"/>
  <c r="C105" i="7"/>
  <c r="K125" i="7"/>
  <c r="F123" i="7"/>
  <c r="AF120" i="7"/>
  <c r="AB118" i="7"/>
  <c r="X116" i="7"/>
  <c r="T114" i="7"/>
  <c r="P112" i="7"/>
  <c r="L110" i="7"/>
  <c r="H108" i="7"/>
  <c r="D106" i="7"/>
  <c r="R126" i="7"/>
  <c r="U123" i="7"/>
  <c r="Q121" i="7"/>
  <c r="M119" i="7"/>
  <c r="I117" i="7"/>
  <c r="E115" i="7"/>
  <c r="AE112" i="7"/>
  <c r="AA110" i="7"/>
  <c r="W108" i="7"/>
  <c r="S106" i="7"/>
  <c r="O104" i="7"/>
  <c r="I125" i="7"/>
  <c r="D123" i="7"/>
  <c r="AD120" i="7"/>
  <c r="Z118" i="7"/>
  <c r="R114" i="7"/>
  <c r="N112" i="7"/>
  <c r="J110" i="7"/>
  <c r="F108" i="7"/>
  <c r="AF105" i="7"/>
  <c r="V102" i="7"/>
  <c r="R100" i="7"/>
  <c r="N98" i="7"/>
  <c r="J96" i="7"/>
  <c r="F94" i="7"/>
  <c r="AF91" i="7"/>
  <c r="AB89" i="7"/>
  <c r="X87" i="7"/>
  <c r="T85" i="7"/>
  <c r="P83" i="7"/>
  <c r="H104" i="7"/>
  <c r="AA101" i="7"/>
  <c r="W99" i="7"/>
  <c r="S97" i="7"/>
  <c r="O95" i="7"/>
  <c r="K93" i="7"/>
  <c r="G91" i="7"/>
  <c r="C89" i="7"/>
  <c r="AC86" i="7"/>
  <c r="Y84" i="7"/>
  <c r="U82" i="7"/>
  <c r="G104" i="7"/>
  <c r="Z101" i="7"/>
  <c r="V99" i="7"/>
  <c r="R97" i="7"/>
  <c r="N95" i="7"/>
  <c r="J93" i="7"/>
  <c r="F91" i="7"/>
  <c r="AF88" i="7"/>
  <c r="AB86" i="7"/>
  <c r="X84" i="7"/>
  <c r="T82" i="7"/>
  <c r="P80" i="7"/>
  <c r="AB102" i="7"/>
  <c r="W100" i="7"/>
  <c r="S98" i="7"/>
  <c r="O96" i="7"/>
  <c r="K94" i="7"/>
  <c r="G92" i="7"/>
  <c r="C90" i="7"/>
  <c r="AC87" i="7"/>
  <c r="Y85" i="7"/>
  <c r="U83" i="7"/>
  <c r="AA102" i="7"/>
  <c r="V100" i="7"/>
  <c r="R98" i="7"/>
  <c r="J94" i="7"/>
  <c r="F92" i="7"/>
  <c r="AF89" i="7"/>
  <c r="AB87" i="7"/>
  <c r="X85" i="7"/>
  <c r="T83" i="7"/>
  <c r="N104" i="7"/>
  <c r="AE101" i="7"/>
  <c r="AA99" i="7"/>
  <c r="W97" i="7"/>
  <c r="S95" i="7"/>
  <c r="O93" i="7"/>
  <c r="K91" i="7"/>
  <c r="G89" i="7"/>
  <c r="C87" i="7"/>
  <c r="AC84" i="7"/>
  <c r="Y82" i="7"/>
  <c r="M103" i="7"/>
  <c r="F101" i="7"/>
  <c r="AF98" i="7"/>
  <c r="AB96" i="7"/>
  <c r="X94" i="7"/>
  <c r="T92" i="7"/>
  <c r="P90" i="7"/>
  <c r="L88" i="7"/>
  <c r="H86" i="7"/>
  <c r="D84" i="7"/>
  <c r="AD81" i="7"/>
  <c r="L103" i="7"/>
  <c r="E101" i="7"/>
  <c r="AE98" i="7"/>
  <c r="AA96" i="7"/>
  <c r="W94" i="7"/>
  <c r="S92" i="7"/>
  <c r="O90" i="7"/>
  <c r="K88" i="7"/>
  <c r="G86" i="7"/>
  <c r="C84" i="7"/>
  <c r="O81" i="7"/>
  <c r="AF78" i="7"/>
  <c r="AB76" i="7"/>
  <c r="X74" i="7"/>
  <c r="T72" i="7"/>
  <c r="P70" i="7"/>
  <c r="L68" i="7"/>
  <c r="H66" i="7"/>
  <c r="D64" i="7"/>
  <c r="AD61" i="7"/>
  <c r="Z59" i="7"/>
  <c r="M81" i="7"/>
  <c r="AE78" i="7"/>
  <c r="AA76" i="7"/>
  <c r="W74" i="7"/>
  <c r="S72" i="7"/>
  <c r="O70" i="7"/>
  <c r="K68" i="7"/>
  <c r="G66" i="7"/>
  <c r="C64" i="7"/>
  <c r="AC61" i="7"/>
  <c r="Y59" i="7"/>
  <c r="L81" i="7"/>
  <c r="AD78" i="7"/>
  <c r="Z76" i="7"/>
  <c r="R72" i="7"/>
  <c r="N70" i="7"/>
  <c r="J68" i="7"/>
  <c r="F66" i="7"/>
  <c r="AF63" i="7"/>
  <c r="AB61" i="7"/>
  <c r="X59" i="7"/>
  <c r="T57" i="7"/>
  <c r="J80" i="7"/>
  <c r="E78" i="7"/>
  <c r="AE75" i="7"/>
  <c r="AA73" i="7"/>
  <c r="W71" i="7"/>
  <c r="S69" i="7"/>
  <c r="O67" i="7"/>
  <c r="K65" i="7"/>
  <c r="G63" i="7"/>
  <c r="G81" i="7"/>
  <c r="AB78" i="7"/>
  <c r="X76" i="7"/>
  <c r="T74" i="7"/>
  <c r="P72" i="7"/>
  <c r="L70" i="7"/>
  <c r="H68" i="7"/>
  <c r="D66" i="7"/>
  <c r="AD63" i="7"/>
  <c r="Z61" i="7"/>
  <c r="G80" i="7"/>
  <c r="C78" i="7"/>
  <c r="AC75" i="7"/>
  <c r="Y73" i="7"/>
  <c r="U71" i="7"/>
  <c r="M67" i="7"/>
  <c r="I65" i="7"/>
  <c r="E63" i="7"/>
  <c r="AE60" i="7"/>
  <c r="AA58" i="7"/>
  <c r="AB79" i="7"/>
  <c r="X77" i="7"/>
  <c r="T75" i="7"/>
  <c r="P73" i="7"/>
  <c r="L71" i="7"/>
  <c r="H69" i="7"/>
  <c r="D67" i="7"/>
  <c r="AD64" i="7"/>
  <c r="Z62" i="7"/>
  <c r="V60" i="7"/>
  <c r="R58" i="7"/>
  <c r="U72" i="7"/>
  <c r="T58" i="7"/>
  <c r="AC55" i="7"/>
  <c r="Y53" i="7"/>
  <c r="U51" i="7"/>
  <c r="Q49" i="7"/>
  <c r="M47" i="7"/>
  <c r="I45" i="7"/>
  <c r="E43" i="7"/>
  <c r="AE40" i="7"/>
  <c r="AA38" i="7"/>
  <c r="W36" i="7"/>
  <c r="S34" i="7"/>
  <c r="O32" i="7"/>
  <c r="K30" i="7"/>
  <c r="G28" i="7"/>
  <c r="C26" i="7"/>
  <c r="AC23" i="7"/>
  <c r="Y21" i="7"/>
  <c r="U19" i="7"/>
  <c r="I70" i="7"/>
  <c r="AD57" i="7"/>
  <c r="T55" i="7"/>
  <c r="P53" i="7"/>
  <c r="L51" i="7"/>
  <c r="H49" i="7"/>
  <c r="D47" i="7"/>
  <c r="AD44" i="7"/>
  <c r="Z42" i="7"/>
  <c r="V40" i="7"/>
  <c r="R38" i="7"/>
  <c r="J34" i="7"/>
  <c r="F32" i="7"/>
  <c r="AF29" i="7"/>
  <c r="AB27" i="7"/>
  <c r="X25" i="7"/>
  <c r="T23" i="7"/>
  <c r="P21" i="7"/>
  <c r="L19" i="7"/>
  <c r="I74" i="7"/>
  <c r="K59" i="7"/>
  <c r="E56" i="7"/>
  <c r="AE53" i="7"/>
  <c r="AA51" i="7"/>
  <c r="W49" i="7"/>
  <c r="S47" i="7"/>
  <c r="O45" i="7"/>
  <c r="K43" i="7"/>
  <c r="G41" i="7"/>
  <c r="C39" i="7"/>
  <c r="AC36" i="7"/>
  <c r="Y34" i="7"/>
  <c r="U32" i="7"/>
  <c r="M28" i="7"/>
  <c r="I26" i="7"/>
  <c r="E24" i="7"/>
  <c r="AE21" i="7"/>
  <c r="AA19" i="7"/>
  <c r="W17" i="7"/>
  <c r="I78" i="7"/>
  <c r="K61" i="7"/>
  <c r="T56" i="7"/>
  <c r="P54" i="7"/>
  <c r="L52" i="7"/>
  <c r="H50" i="7"/>
  <c r="D48" i="7"/>
  <c r="AD45" i="7"/>
  <c r="Z43" i="7"/>
  <c r="R39" i="7"/>
  <c r="N37" i="7"/>
  <c r="J35" i="7"/>
  <c r="F33" i="7"/>
  <c r="AF30" i="7"/>
  <c r="AB28" i="7"/>
  <c r="X26" i="7"/>
  <c r="T24" i="7"/>
  <c r="P22" i="7"/>
  <c r="L20" i="7"/>
  <c r="H18" i="7"/>
  <c r="E80" i="7"/>
  <c r="C63" i="7"/>
  <c r="AB56" i="7"/>
  <c r="W54" i="7"/>
  <c r="S52" i="7"/>
  <c r="O50" i="7"/>
  <c r="K48" i="7"/>
  <c r="G46" i="7"/>
  <c r="C44" i="7"/>
  <c r="AC41" i="7"/>
  <c r="Y39" i="7"/>
  <c r="U37" i="7"/>
  <c r="Q35" i="7"/>
  <c r="M33" i="7"/>
  <c r="I31" i="7"/>
  <c r="E29" i="7"/>
  <c r="AE26" i="7"/>
  <c r="AA24" i="7"/>
  <c r="W22" i="7"/>
  <c r="S20" i="7"/>
  <c r="S75" i="7"/>
  <c r="AE59" i="7"/>
  <c r="J56" i="7"/>
  <c r="F54" i="7"/>
  <c r="AF51" i="7"/>
  <c r="AB49" i="7"/>
  <c r="X47" i="7"/>
  <c r="T45" i="7"/>
  <c r="P43" i="7"/>
  <c r="L41" i="7"/>
  <c r="H39" i="7"/>
  <c r="D37" i="7"/>
  <c r="AD34" i="7"/>
  <c r="Z32" i="7"/>
  <c r="V30" i="7"/>
  <c r="R28" i="7"/>
  <c r="N26" i="7"/>
  <c r="J24" i="7"/>
  <c r="F22" i="7"/>
  <c r="AF19" i="7"/>
  <c r="K75" i="7"/>
  <c r="AA59" i="7"/>
  <c r="I56" i="7"/>
  <c r="E54" i="7"/>
  <c r="AE51" i="7"/>
  <c r="AA49" i="7"/>
  <c r="W47" i="7"/>
  <c r="S45" i="7"/>
  <c r="O43" i="7"/>
  <c r="K41" i="7"/>
  <c r="G39" i="7"/>
  <c r="C37" i="7"/>
  <c r="AC34" i="7"/>
  <c r="Y32" i="7"/>
  <c r="U30" i="7"/>
  <c r="Q28" i="7"/>
  <c r="M26" i="7"/>
  <c r="I24" i="7"/>
  <c r="E22" i="7"/>
  <c r="AE19" i="7"/>
  <c r="AA17" i="7"/>
  <c r="T54" i="7"/>
  <c r="AD204" i="7"/>
  <c r="Z202" i="7"/>
  <c r="R198" i="7"/>
  <c r="N196" i="7"/>
  <c r="J194" i="7"/>
  <c r="F192" i="7"/>
  <c r="AF189" i="7"/>
  <c r="AB187" i="7"/>
  <c r="X185" i="7"/>
  <c r="U204" i="7"/>
  <c r="Q202" i="7"/>
  <c r="M200" i="7"/>
  <c r="I198" i="7"/>
  <c r="E196" i="7"/>
  <c r="AE193" i="7"/>
  <c r="AA191" i="7"/>
  <c r="W189" i="7"/>
  <c r="S187" i="7"/>
  <c r="O185" i="7"/>
  <c r="D204" i="7"/>
  <c r="AD201" i="7"/>
  <c r="Z199" i="7"/>
  <c r="R195" i="7"/>
  <c r="N193" i="7"/>
  <c r="J191" i="7"/>
  <c r="F189" i="7"/>
  <c r="AF186" i="7"/>
  <c r="AB184" i="7"/>
  <c r="M205" i="7"/>
  <c r="I203" i="7"/>
  <c r="E201" i="7"/>
  <c r="AE198" i="7"/>
  <c r="AA196" i="7"/>
  <c r="W194" i="7"/>
  <c r="S192" i="7"/>
  <c r="O190" i="7"/>
  <c r="K188" i="7"/>
  <c r="G186" i="7"/>
  <c r="L205" i="7"/>
  <c r="H203" i="7"/>
  <c r="D201" i="7"/>
  <c r="AD198" i="7"/>
  <c r="Z196" i="7"/>
  <c r="R192" i="7"/>
  <c r="N190" i="7"/>
  <c r="J188" i="7"/>
  <c r="F186" i="7"/>
  <c r="C205" i="7"/>
  <c r="AC202" i="7"/>
  <c r="Y200" i="7"/>
  <c r="U198" i="7"/>
  <c r="Q196" i="7"/>
  <c r="M194" i="7"/>
  <c r="I192" i="7"/>
  <c r="E190" i="7"/>
  <c r="AE187" i="7"/>
  <c r="AA185" i="7"/>
  <c r="P200" i="7"/>
  <c r="AD191" i="7"/>
  <c r="S184" i="7"/>
  <c r="K182" i="7"/>
  <c r="G180" i="7"/>
  <c r="C178" i="7"/>
  <c r="AC175" i="7"/>
  <c r="Y173" i="7"/>
  <c r="U171" i="7"/>
  <c r="Q169" i="7"/>
  <c r="W204" i="7"/>
  <c r="G196" i="7"/>
  <c r="U187" i="7"/>
  <c r="L183" i="7"/>
  <c r="H181" i="7"/>
  <c r="D179" i="7"/>
  <c r="AD176" i="7"/>
  <c r="Z174" i="7"/>
  <c r="V172" i="7"/>
  <c r="R170" i="7"/>
  <c r="N168" i="7"/>
  <c r="F199" i="7"/>
  <c r="T190" i="7"/>
  <c r="H184" i="7"/>
  <c r="AE181" i="7"/>
  <c r="AA179" i="7"/>
  <c r="W177" i="7"/>
  <c r="S175" i="7"/>
  <c r="O173" i="7"/>
  <c r="K171" i="7"/>
  <c r="G169" i="7"/>
  <c r="C167" i="7"/>
  <c r="C198" i="7"/>
  <c r="AB183" i="7"/>
  <c r="V181" i="7"/>
  <c r="R179" i="7"/>
  <c r="N177" i="7"/>
  <c r="J175" i="7"/>
  <c r="F173" i="7"/>
  <c r="AF170" i="7"/>
  <c r="AB168" i="7"/>
  <c r="F203" i="7"/>
  <c r="T194" i="7"/>
  <c r="D186" i="7"/>
  <c r="AE182" i="7"/>
  <c r="AA180" i="7"/>
  <c r="W178" i="7"/>
  <c r="S176" i="7"/>
  <c r="O174" i="7"/>
  <c r="K172" i="7"/>
  <c r="G170" i="7"/>
  <c r="C168" i="7"/>
  <c r="Y197" i="7"/>
  <c r="I189" i="7"/>
  <c r="Y183" i="7"/>
  <c r="T181" i="7"/>
  <c r="P179" i="7"/>
  <c r="L177" i="7"/>
  <c r="H175" i="7"/>
  <c r="D173" i="7"/>
  <c r="AD170" i="7"/>
  <c r="Z168" i="7"/>
  <c r="Z201" i="7"/>
  <c r="J193" i="7"/>
  <c r="AF184" i="7"/>
  <c r="U182" i="7"/>
  <c r="M178" i="7"/>
  <c r="I176" i="7"/>
  <c r="E174" i="7"/>
  <c r="AE171" i="7"/>
  <c r="AA169" i="7"/>
  <c r="AE204" i="7"/>
  <c r="O196" i="7"/>
  <c r="AC187" i="7"/>
  <c r="N183" i="7"/>
  <c r="J181" i="7"/>
  <c r="F179" i="7"/>
  <c r="AF176" i="7"/>
  <c r="AB174" i="7"/>
  <c r="X172" i="7"/>
  <c r="T170" i="7"/>
  <c r="P168" i="7"/>
  <c r="D166" i="7"/>
  <c r="AD163" i="7"/>
  <c r="Z161" i="7"/>
  <c r="V159" i="7"/>
  <c r="R157" i="7"/>
  <c r="N155" i="7"/>
  <c r="J153" i="7"/>
  <c r="F151" i="7"/>
  <c r="AF148" i="7"/>
  <c r="AB146" i="7"/>
  <c r="O167" i="7"/>
  <c r="I165" i="7"/>
  <c r="E163" i="7"/>
  <c r="AE160" i="7"/>
  <c r="AA158" i="7"/>
  <c r="W156" i="7"/>
  <c r="S154" i="7"/>
  <c r="O152" i="7"/>
  <c r="K150" i="7"/>
  <c r="G148" i="7"/>
  <c r="C146" i="7"/>
  <c r="R166" i="7"/>
  <c r="N164" i="7"/>
  <c r="J162" i="7"/>
  <c r="F160" i="7"/>
  <c r="AF157" i="7"/>
  <c r="AB155" i="7"/>
  <c r="X153" i="7"/>
  <c r="T151" i="7"/>
  <c r="P149" i="7"/>
  <c r="L147" i="7"/>
  <c r="H145" i="7"/>
  <c r="Q166" i="7"/>
  <c r="M164" i="7"/>
  <c r="I162" i="7"/>
  <c r="E160" i="7"/>
  <c r="AE157" i="7"/>
  <c r="AA155" i="7"/>
  <c r="W153" i="7"/>
  <c r="S151" i="7"/>
  <c r="O149" i="7"/>
  <c r="K147" i="7"/>
  <c r="G145" i="7"/>
  <c r="H166" i="7"/>
  <c r="D164" i="7"/>
  <c r="AD161" i="7"/>
  <c r="Z159" i="7"/>
  <c r="V157" i="7"/>
  <c r="R155" i="7"/>
  <c r="N153" i="7"/>
  <c r="J151" i="7"/>
  <c r="F149" i="7"/>
  <c r="AF146" i="7"/>
  <c r="U167" i="7"/>
  <c r="M165" i="7"/>
  <c r="I163" i="7"/>
  <c r="E161" i="7"/>
  <c r="AE158" i="7"/>
  <c r="AA156" i="7"/>
  <c r="W154" i="7"/>
  <c r="S152" i="7"/>
  <c r="O150" i="7"/>
  <c r="K148" i="7"/>
  <c r="G146" i="7"/>
  <c r="V166" i="7"/>
  <c r="R164" i="7"/>
  <c r="N162" i="7"/>
  <c r="J160" i="7"/>
  <c r="F158" i="7"/>
  <c r="AF155" i="7"/>
  <c r="AB153" i="7"/>
  <c r="X151" i="7"/>
  <c r="T149" i="7"/>
  <c r="P147" i="7"/>
  <c r="L145" i="7"/>
  <c r="U154" i="7"/>
  <c r="AD143" i="7"/>
  <c r="Z141" i="7"/>
  <c r="V139" i="7"/>
  <c r="R137" i="7"/>
  <c r="N135" i="7"/>
  <c r="J133" i="7"/>
  <c r="F131" i="7"/>
  <c r="AF128" i="7"/>
  <c r="AB126" i="7"/>
  <c r="AC162" i="7"/>
  <c r="AA145" i="7"/>
  <c r="AA142" i="7"/>
  <c r="W140" i="7"/>
  <c r="S138" i="7"/>
  <c r="O136" i="7"/>
  <c r="K134" i="7"/>
  <c r="G132" i="7"/>
  <c r="C130" i="7"/>
  <c r="I156" i="7"/>
  <c r="F144" i="7"/>
  <c r="AF141" i="7"/>
  <c r="AB139" i="7"/>
  <c r="X137" i="7"/>
  <c r="T135" i="7"/>
  <c r="P133" i="7"/>
  <c r="L131" i="7"/>
  <c r="H129" i="7"/>
  <c r="W151" i="7"/>
  <c r="S143" i="7"/>
  <c r="O141" i="7"/>
  <c r="K139" i="7"/>
  <c r="G137" i="7"/>
  <c r="C135" i="7"/>
  <c r="AC132" i="7"/>
  <c r="Y130" i="7"/>
  <c r="U128" i="7"/>
  <c r="AE159" i="7"/>
  <c r="W144" i="7"/>
  <c r="P142" i="7"/>
  <c r="L140" i="7"/>
  <c r="H138" i="7"/>
  <c r="D136" i="7"/>
  <c r="AD133" i="7"/>
  <c r="Z131" i="7"/>
  <c r="V129" i="7"/>
  <c r="R127" i="7"/>
  <c r="E166" i="7"/>
  <c r="C149" i="7"/>
  <c r="I143" i="7"/>
  <c r="E141" i="7"/>
  <c r="AE138" i="7"/>
  <c r="AA136" i="7"/>
  <c r="W134" i="7"/>
  <c r="S132" i="7"/>
  <c r="O130" i="7"/>
  <c r="K128" i="7"/>
  <c r="G126" i="7"/>
  <c r="G155" i="7"/>
  <c r="AF143" i="7"/>
  <c r="AB141" i="7"/>
  <c r="X139" i="7"/>
  <c r="T137" i="7"/>
  <c r="P135" i="7"/>
  <c r="L133" i="7"/>
  <c r="H131" i="7"/>
  <c r="D129" i="7"/>
  <c r="AD126" i="7"/>
  <c r="S165" i="7"/>
  <c r="Q148" i="7"/>
  <c r="G143" i="7"/>
  <c r="C141" i="7"/>
  <c r="AC138" i="7"/>
  <c r="Y136" i="7"/>
  <c r="U134" i="7"/>
  <c r="O128" i="7"/>
  <c r="M124" i="7"/>
  <c r="I122" i="7"/>
  <c r="E120" i="7"/>
  <c r="AE117" i="7"/>
  <c r="AA115" i="7"/>
  <c r="W113" i="7"/>
  <c r="S111" i="7"/>
  <c r="O109" i="7"/>
  <c r="K107" i="7"/>
  <c r="G105" i="7"/>
  <c r="J126" i="7"/>
  <c r="R123" i="7"/>
  <c r="N121" i="7"/>
  <c r="J119" i="7"/>
  <c r="F117" i="7"/>
  <c r="AF114" i="7"/>
  <c r="AB112" i="7"/>
  <c r="X110" i="7"/>
  <c r="T108" i="7"/>
  <c r="V204" i="7"/>
  <c r="R202" i="7"/>
  <c r="N200" i="7"/>
  <c r="J198" i="7"/>
  <c r="F196" i="7"/>
  <c r="AF193" i="7"/>
  <c r="AB191" i="7"/>
  <c r="X189" i="7"/>
  <c r="T187" i="7"/>
  <c r="P185" i="7"/>
  <c r="M204" i="7"/>
  <c r="I202" i="7"/>
  <c r="E200" i="7"/>
  <c r="AE197" i="7"/>
  <c r="AA195" i="7"/>
  <c r="W193" i="7"/>
  <c r="S191" i="7"/>
  <c r="O189" i="7"/>
  <c r="K187" i="7"/>
  <c r="AD205" i="7"/>
  <c r="Z203" i="7"/>
  <c r="V201" i="7"/>
  <c r="R199" i="7"/>
  <c r="N197" i="7"/>
  <c r="J195" i="7"/>
  <c r="F193" i="7"/>
  <c r="AF190" i="7"/>
  <c r="AB188" i="7"/>
  <c r="X186" i="7"/>
  <c r="T184" i="7"/>
  <c r="E205" i="7"/>
  <c r="AE202" i="7"/>
  <c r="AA200" i="7"/>
  <c r="W198" i="7"/>
  <c r="S196" i="7"/>
  <c r="O194" i="7"/>
  <c r="K192" i="7"/>
  <c r="G190" i="7"/>
  <c r="C188" i="7"/>
  <c r="AC185" i="7"/>
  <c r="D205" i="7"/>
  <c r="AD202" i="7"/>
  <c r="Z200" i="7"/>
  <c r="V198" i="7"/>
  <c r="R196" i="7"/>
  <c r="N194" i="7"/>
  <c r="J192" i="7"/>
  <c r="F190" i="7"/>
  <c r="AF187" i="7"/>
  <c r="AB185" i="7"/>
  <c r="Y204" i="7"/>
  <c r="U202" i="7"/>
  <c r="Q200" i="7"/>
  <c r="M198" i="7"/>
  <c r="I196" i="7"/>
  <c r="E194" i="7"/>
  <c r="AE191" i="7"/>
  <c r="AA189" i="7"/>
  <c r="W187" i="7"/>
  <c r="S185" i="7"/>
  <c r="N199" i="7"/>
  <c r="AB190" i="7"/>
  <c r="J184" i="7"/>
  <c r="C182" i="7"/>
  <c r="AC179" i="7"/>
  <c r="Y177" i="7"/>
  <c r="U175" i="7"/>
  <c r="Q173" i="7"/>
  <c r="M171" i="7"/>
  <c r="I169" i="7"/>
  <c r="U203" i="7"/>
  <c r="E195" i="7"/>
  <c r="S186" i="7"/>
  <c r="D183" i="7"/>
  <c r="AD180" i="7"/>
  <c r="Z178" i="7"/>
  <c r="R174" i="7"/>
  <c r="N172" i="7"/>
  <c r="J170" i="7"/>
  <c r="F168" i="7"/>
  <c r="D198" i="7"/>
  <c r="R189" i="7"/>
  <c r="AC183" i="7"/>
  <c r="W181" i="7"/>
  <c r="S179" i="7"/>
  <c r="O177" i="7"/>
  <c r="K175" i="7"/>
  <c r="G173" i="7"/>
  <c r="C171" i="7"/>
  <c r="AC168" i="7"/>
  <c r="Q205" i="7"/>
  <c r="AE196" i="7"/>
  <c r="O188" i="7"/>
  <c r="S183" i="7"/>
  <c r="N181" i="7"/>
  <c r="J179" i="7"/>
  <c r="F177" i="7"/>
  <c r="AF174" i="7"/>
  <c r="AB172" i="7"/>
  <c r="X170" i="7"/>
  <c r="T168" i="7"/>
  <c r="D202" i="7"/>
  <c r="R193" i="7"/>
  <c r="G185" i="7"/>
  <c r="W182" i="7"/>
  <c r="S180" i="7"/>
  <c r="O178" i="7"/>
  <c r="K176" i="7"/>
  <c r="G174" i="7"/>
  <c r="C172" i="7"/>
  <c r="AC169" i="7"/>
  <c r="I205" i="7"/>
  <c r="W196" i="7"/>
  <c r="G188" i="7"/>
  <c r="P183" i="7"/>
  <c r="L181" i="7"/>
  <c r="H179" i="7"/>
  <c r="D177" i="7"/>
  <c r="AD174" i="7"/>
  <c r="Z172" i="7"/>
  <c r="R168" i="7"/>
  <c r="X200" i="7"/>
  <c r="H192" i="7"/>
  <c r="V184" i="7"/>
  <c r="M182" i="7"/>
  <c r="I180" i="7"/>
  <c r="E178" i="7"/>
  <c r="AE175" i="7"/>
  <c r="AA173" i="7"/>
  <c r="W171" i="7"/>
  <c r="S169" i="7"/>
  <c r="AC203" i="7"/>
  <c r="M195" i="7"/>
  <c r="AA186" i="7"/>
  <c r="F183" i="7"/>
  <c r="AF180" i="7"/>
  <c r="AB178" i="7"/>
  <c r="X176" i="7"/>
  <c r="T174" i="7"/>
  <c r="P172" i="7"/>
  <c r="L170" i="7"/>
  <c r="H168" i="7"/>
  <c r="Z165" i="7"/>
  <c r="V163" i="7"/>
  <c r="R161" i="7"/>
  <c r="N159" i="7"/>
  <c r="J157" i="7"/>
  <c r="F155" i="7"/>
  <c r="AF152" i="7"/>
  <c r="AB150" i="7"/>
  <c r="X148" i="7"/>
  <c r="T146" i="7"/>
  <c r="F167" i="7"/>
  <c r="AE164" i="7"/>
  <c r="AA162" i="7"/>
  <c r="W160" i="7"/>
  <c r="S158" i="7"/>
  <c r="O156" i="7"/>
  <c r="K154" i="7"/>
  <c r="G152" i="7"/>
  <c r="C150" i="7"/>
  <c r="AC147" i="7"/>
  <c r="Y145" i="7"/>
  <c r="J166" i="7"/>
  <c r="F164" i="7"/>
  <c r="AF161" i="7"/>
  <c r="AB159" i="7"/>
  <c r="X157" i="7"/>
  <c r="T155" i="7"/>
  <c r="P153" i="7"/>
  <c r="L151" i="7"/>
  <c r="H149" i="7"/>
  <c r="D147" i="7"/>
  <c r="AD144" i="7"/>
  <c r="I166" i="7"/>
  <c r="E164" i="7"/>
  <c r="AE161" i="7"/>
  <c r="AA159" i="7"/>
  <c r="W157" i="7"/>
  <c r="S155" i="7"/>
  <c r="O153" i="7"/>
  <c r="K151" i="7"/>
  <c r="G149" i="7"/>
  <c r="C147" i="7"/>
  <c r="AC144" i="7"/>
  <c r="AD165" i="7"/>
  <c r="Z163" i="7"/>
  <c r="R159" i="7"/>
  <c r="N157" i="7"/>
  <c r="J155" i="7"/>
  <c r="F153" i="7"/>
  <c r="AF150" i="7"/>
  <c r="AB148" i="7"/>
  <c r="X146" i="7"/>
  <c r="J167" i="7"/>
  <c r="E165" i="7"/>
  <c r="AE162" i="7"/>
  <c r="AA160" i="7"/>
  <c r="W158" i="7"/>
  <c r="S156" i="7"/>
  <c r="O154" i="7"/>
  <c r="K152" i="7"/>
  <c r="G150" i="7"/>
  <c r="C148" i="7"/>
  <c r="AC145" i="7"/>
  <c r="N166" i="7"/>
  <c r="J164" i="7"/>
  <c r="F162" i="7"/>
  <c r="AF159" i="7"/>
  <c r="AB157" i="7"/>
  <c r="X155" i="7"/>
  <c r="T153" i="7"/>
  <c r="P151" i="7"/>
  <c r="L149" i="7"/>
  <c r="H147" i="7"/>
  <c r="D145" i="7"/>
  <c r="Q152" i="7"/>
  <c r="R141" i="7"/>
  <c r="N139" i="7"/>
  <c r="J137" i="7"/>
  <c r="F135" i="7"/>
  <c r="AF132" i="7"/>
  <c r="AB130" i="7"/>
  <c r="X128" i="7"/>
  <c r="T126" i="7"/>
  <c r="Y160" i="7"/>
  <c r="Z144" i="7"/>
  <c r="S142" i="7"/>
  <c r="O140" i="7"/>
  <c r="K138" i="7"/>
  <c r="G136" i="7"/>
  <c r="C134" i="7"/>
  <c r="AC131" i="7"/>
  <c r="Y129" i="7"/>
  <c r="E154" i="7"/>
  <c r="AB143" i="7"/>
  <c r="X141" i="7"/>
  <c r="T139" i="7"/>
  <c r="P137" i="7"/>
  <c r="L135" i="7"/>
  <c r="H133" i="7"/>
  <c r="D131" i="7"/>
  <c r="U166" i="7"/>
  <c r="S149" i="7"/>
  <c r="K143" i="7"/>
  <c r="G141" i="7"/>
  <c r="C139" i="7"/>
  <c r="AC136" i="7"/>
  <c r="Y134" i="7"/>
  <c r="U132" i="7"/>
  <c r="Q130" i="7"/>
  <c r="M128" i="7"/>
  <c r="I126" i="7"/>
  <c r="AA157" i="7"/>
  <c r="L144" i="7"/>
  <c r="H142" i="7"/>
  <c r="D140" i="7"/>
  <c r="AD137" i="7"/>
  <c r="Z135" i="7"/>
  <c r="V133" i="7"/>
  <c r="R131" i="7"/>
  <c r="J127" i="7"/>
  <c r="AE163" i="7"/>
  <c r="AC146" i="7"/>
  <c r="AE142" i="7"/>
  <c r="AA140" i="7"/>
  <c r="W138" i="7"/>
  <c r="S136" i="7"/>
  <c r="O134" i="7"/>
  <c r="K132" i="7"/>
  <c r="G130" i="7"/>
  <c r="C128" i="7"/>
  <c r="AC125" i="7"/>
  <c r="C153" i="7"/>
  <c r="X143" i="7"/>
  <c r="T141" i="7"/>
  <c r="P139" i="7"/>
  <c r="L137" i="7"/>
  <c r="H135" i="7"/>
  <c r="D133" i="7"/>
  <c r="AD130" i="7"/>
  <c r="Z128" i="7"/>
  <c r="V126" i="7"/>
  <c r="O163" i="7"/>
  <c r="M146" i="7"/>
  <c r="AC142" i="7"/>
  <c r="Y140" i="7"/>
  <c r="U138" i="7"/>
  <c r="Q136" i="7"/>
  <c r="M134" i="7"/>
  <c r="W127" i="7"/>
  <c r="E124" i="7"/>
  <c r="AE121" i="7"/>
  <c r="AA119" i="7"/>
  <c r="W117" i="7"/>
  <c r="S115" i="7"/>
  <c r="O113" i="7"/>
  <c r="K111" i="7"/>
  <c r="G109" i="7"/>
  <c r="C107" i="7"/>
  <c r="AC104" i="7"/>
  <c r="Q125" i="7"/>
  <c r="J123" i="7"/>
  <c r="F121" i="7"/>
  <c r="AF118" i="7"/>
  <c r="AB116" i="7"/>
  <c r="X114" i="7"/>
  <c r="T112" i="7"/>
  <c r="P110" i="7"/>
  <c r="L108" i="7"/>
  <c r="H106" i="7"/>
  <c r="AE128" i="7"/>
  <c r="S124" i="7"/>
  <c r="O122" i="7"/>
  <c r="K120" i="7"/>
  <c r="G118" i="7"/>
  <c r="C116" i="7"/>
  <c r="AC113" i="7"/>
  <c r="Y111" i="7"/>
  <c r="U109" i="7"/>
  <c r="Q107" i="7"/>
  <c r="M105" i="7"/>
  <c r="I103" i="7"/>
  <c r="Z126" i="7"/>
  <c r="X123" i="7"/>
  <c r="T121" i="7"/>
  <c r="P119" i="7"/>
  <c r="L117" i="7"/>
  <c r="H115" i="7"/>
  <c r="D113" i="7"/>
  <c r="AD110" i="7"/>
  <c r="Z108" i="7"/>
  <c r="V106" i="7"/>
  <c r="R104" i="7"/>
  <c r="U126" i="7"/>
  <c r="W123" i="7"/>
  <c r="S121" i="7"/>
  <c r="O119" i="7"/>
  <c r="K117" i="7"/>
  <c r="G115" i="7"/>
  <c r="C113" i="7"/>
  <c r="AC110" i="7"/>
  <c r="Y108" i="7"/>
  <c r="U106" i="7"/>
  <c r="AA129" i="7"/>
  <c r="X124" i="7"/>
  <c r="T122" i="7"/>
  <c r="P120" i="7"/>
  <c r="L118" i="7"/>
  <c r="H116" i="7"/>
  <c r="D114" i="7"/>
  <c r="AD111" i="7"/>
  <c r="Z109" i="7"/>
  <c r="R105" i="7"/>
  <c r="J125" i="7"/>
  <c r="E123" i="7"/>
  <c r="AE120" i="7"/>
  <c r="AA118" i="7"/>
  <c r="W116" i="7"/>
  <c r="S114" i="7"/>
  <c r="O112" i="7"/>
  <c r="K110" i="7"/>
  <c r="G108" i="7"/>
  <c r="C106" i="7"/>
  <c r="K129" i="7"/>
  <c r="V124" i="7"/>
  <c r="R122" i="7"/>
  <c r="J118" i="7"/>
  <c r="F116" i="7"/>
  <c r="AF113" i="7"/>
  <c r="AB111" i="7"/>
  <c r="X109" i="7"/>
  <c r="T107" i="7"/>
  <c r="F102" i="7"/>
  <c r="AF99" i="7"/>
  <c r="AB97" i="7"/>
  <c r="X95" i="7"/>
  <c r="T93" i="7"/>
  <c r="U508" i="1"/>
  <c r="V508" i="1" s="1"/>
  <c r="T748" i="1"/>
  <c r="U748" i="1" s="1"/>
  <c r="V748" i="1" s="1"/>
  <c r="M748" i="1"/>
  <c r="R748" i="1"/>
  <c r="T596" i="1"/>
  <c r="U596" i="1" s="1"/>
  <c r="V596" i="1" s="1"/>
  <c r="R596" i="1"/>
  <c r="M596" i="1"/>
  <c r="R398" i="1"/>
  <c r="T398" i="1"/>
  <c r="U398" i="1" s="1"/>
  <c r="V398" i="1" s="1"/>
  <c r="M398" i="1"/>
  <c r="R365" i="1"/>
  <c r="M365" i="1"/>
  <c r="T365" i="1"/>
  <c r="U365" i="1" s="1"/>
  <c r="V365" i="1" s="1"/>
  <c r="T633" i="1"/>
  <c r="U633" i="1" s="1"/>
  <c r="V633" i="1" s="1"/>
  <c r="M633" i="1"/>
  <c r="R633" i="1"/>
  <c r="R574" i="1"/>
  <c r="T574" i="1"/>
  <c r="U574" i="1" s="1"/>
  <c r="V574" i="1" s="1"/>
  <c r="M574" i="1"/>
  <c r="U408" i="1"/>
  <c r="V408" i="1" s="1"/>
  <c r="R261" i="1"/>
  <c r="M261" i="1"/>
  <c r="T261" i="1"/>
  <c r="U261" i="1" s="1"/>
  <c r="V261" i="1" s="1"/>
  <c r="R151" i="1"/>
  <c r="T151" i="1"/>
  <c r="U151" i="1" s="1"/>
  <c r="V151" i="1" s="1"/>
  <c r="M151" i="1"/>
  <c r="R87" i="1"/>
  <c r="T87" i="1"/>
  <c r="U87" i="1" s="1"/>
  <c r="V87" i="1" s="1"/>
  <c r="M87" i="1"/>
  <c r="T309" i="1"/>
  <c r="U309" i="1" s="1"/>
  <c r="V309" i="1" s="1"/>
  <c r="R309" i="1"/>
  <c r="M309" i="1"/>
  <c r="R534" i="1"/>
  <c r="T534" i="1"/>
  <c r="U534" i="1" s="1"/>
  <c r="V534" i="1" s="1"/>
  <c r="M534" i="1"/>
  <c r="U248" i="1"/>
  <c r="V248" i="1" s="1"/>
  <c r="U424" i="1"/>
  <c r="V424" i="1" s="1"/>
  <c r="R221" i="1"/>
  <c r="M221" i="1"/>
  <c r="T221" i="1"/>
  <c r="U221" i="1" s="1"/>
  <c r="V221" i="1" s="1"/>
  <c r="M157" i="1"/>
  <c r="R157" i="1"/>
  <c r="T157" i="1"/>
  <c r="R93" i="1"/>
  <c r="T93" i="1"/>
  <c r="U93" i="1" s="1"/>
  <c r="V93" i="1" s="1"/>
  <c r="M93" i="1"/>
  <c r="U512" i="1"/>
  <c r="V512" i="1" s="1"/>
  <c r="U121" i="1"/>
  <c r="V121" i="1" s="1"/>
  <c r="S6" i="7"/>
  <c r="O4" i="7"/>
  <c r="AE16" i="7"/>
  <c r="W12" i="7"/>
  <c r="AE8" i="7"/>
  <c r="AE4" i="7"/>
  <c r="X52" i="7"/>
  <c r="X20" i="7"/>
  <c r="C14" i="7"/>
  <c r="C10" i="7"/>
  <c r="L2" i="7"/>
  <c r="P4" i="7"/>
  <c r="T6" i="7"/>
  <c r="X8" i="7"/>
  <c r="AB10" i="7"/>
  <c r="AF12" i="7"/>
  <c r="F15" i="7"/>
  <c r="AB17" i="7"/>
  <c r="V31" i="7"/>
  <c r="X48" i="7"/>
  <c r="U2" i="7"/>
  <c r="Y4" i="7"/>
  <c r="AC6" i="7"/>
  <c r="C9" i="7"/>
  <c r="G11" i="7"/>
  <c r="K13" i="7"/>
  <c r="O15" i="7"/>
  <c r="D34" i="7"/>
  <c r="F51" i="7"/>
  <c r="AD2" i="7"/>
  <c r="D5" i="7"/>
  <c r="H7" i="7"/>
  <c r="L9" i="7"/>
  <c r="P11" i="7"/>
  <c r="T13" i="7"/>
  <c r="X15" i="7"/>
  <c r="N19" i="7"/>
  <c r="P36" i="7"/>
  <c r="R53" i="7"/>
  <c r="I3" i="7"/>
  <c r="M5" i="7"/>
  <c r="Q7" i="7"/>
  <c r="U9" i="7"/>
  <c r="Y11" i="7"/>
  <c r="AC13" i="7"/>
  <c r="C16" i="7"/>
  <c r="Z21" i="7"/>
  <c r="AB38" i="7"/>
  <c r="AD55" i="7"/>
  <c r="R3" i="7"/>
  <c r="Z7" i="7"/>
  <c r="AD9" i="7"/>
  <c r="D12" i="7"/>
  <c r="H14" i="7"/>
  <c r="O16" i="7"/>
  <c r="H24" i="7"/>
  <c r="J41" i="7"/>
  <c r="W59" i="7"/>
  <c r="AA3" i="7"/>
  <c r="AE5" i="7"/>
  <c r="E8" i="7"/>
  <c r="Q10" i="7"/>
  <c r="AC12" i="7"/>
  <c r="K15" i="7"/>
  <c r="W18" i="7"/>
  <c r="J37" i="7"/>
  <c r="P56" i="7"/>
  <c r="AB3" i="7"/>
  <c r="R6" i="7"/>
  <c r="AD8" i="7"/>
  <c r="L11" i="7"/>
  <c r="X13" i="7"/>
  <c r="G16" i="7"/>
  <c r="X24" i="7"/>
  <c r="AD43" i="7"/>
  <c r="S17" i="7"/>
  <c r="K21" i="7"/>
  <c r="W27" i="7"/>
  <c r="G31" i="7"/>
  <c r="M34" i="7"/>
  <c r="AA37" i="7"/>
  <c r="C41" i="7"/>
  <c r="Y44" i="7"/>
  <c r="I48" i="7"/>
  <c r="O51" i="7"/>
  <c r="AC54" i="7"/>
  <c r="D58" i="7"/>
  <c r="V18" i="7"/>
  <c r="AB21" i="7"/>
  <c r="T25" i="7"/>
  <c r="J28" i="7"/>
  <c r="AF31" i="7"/>
  <c r="P35" i="7"/>
  <c r="F42" i="7"/>
  <c r="D45" i="7"/>
  <c r="R48" i="7"/>
  <c r="X51" i="7"/>
  <c r="AD54" i="7"/>
  <c r="AC58" i="7"/>
  <c r="Y19" i="7"/>
  <c r="I23" i="7"/>
  <c r="O26" i="7"/>
  <c r="AC29" i="7"/>
  <c r="E33" i="7"/>
  <c r="AA36" i="7"/>
  <c r="K40" i="7"/>
  <c r="Q43" i="7"/>
  <c r="Q47" i="7"/>
  <c r="C52" i="7"/>
  <c r="Z57" i="7"/>
  <c r="AD17" i="7"/>
  <c r="J23" i="7"/>
  <c r="T28" i="7"/>
  <c r="AD33" i="7"/>
  <c r="J39" i="7"/>
  <c r="T44" i="7"/>
  <c r="AD49" i="7"/>
  <c r="L56" i="7"/>
  <c r="AE25" i="7"/>
  <c r="I34" i="7"/>
  <c r="O49" i="7"/>
  <c r="AC57" i="7"/>
  <c r="AD20" i="7"/>
  <c r="T27" i="7"/>
  <c r="AB35" i="7"/>
  <c r="R42" i="7"/>
  <c r="Z50" i="7"/>
  <c r="S57" i="7"/>
  <c r="M23" i="7"/>
  <c r="AC31" i="7"/>
  <c r="S38" i="7"/>
  <c r="AA46" i="7"/>
  <c r="M55" i="7"/>
  <c r="F60" i="7"/>
  <c r="L75" i="7"/>
  <c r="W60" i="7"/>
  <c r="I69" i="7"/>
  <c r="Q77" i="7"/>
  <c r="R61" i="7"/>
  <c r="D70" i="7"/>
  <c r="P76" i="7"/>
  <c r="C65" i="7"/>
  <c r="K73" i="7"/>
  <c r="D57" i="7"/>
  <c r="X63" i="7"/>
  <c r="AF71" i="7"/>
  <c r="V78" i="7"/>
  <c r="Y63" i="7"/>
  <c r="K72" i="7"/>
  <c r="U80" i="7"/>
  <c r="L72" i="7"/>
  <c r="C88" i="7"/>
  <c r="S96" i="7"/>
  <c r="L96" i="7"/>
  <c r="D103" i="7"/>
  <c r="AC88" i="7"/>
  <c r="G97" i="7"/>
  <c r="D104" i="7"/>
  <c r="P89" i="7"/>
  <c r="F96" i="7"/>
  <c r="AF104" i="7"/>
  <c r="U87" i="7"/>
  <c r="AC95" i="7"/>
  <c r="H105" i="7"/>
  <c r="T86" i="7"/>
  <c r="AB94" i="7"/>
  <c r="R101" i="7"/>
  <c r="U86" i="7"/>
  <c r="G95" i="7"/>
  <c r="S103" i="7"/>
  <c r="P87" i="7"/>
  <c r="F98" i="7"/>
  <c r="AF109" i="7"/>
  <c r="Z122" i="7"/>
  <c r="AA114" i="7"/>
  <c r="Z105" i="7"/>
  <c r="T118" i="7"/>
  <c r="AA121" i="7"/>
  <c r="L113" i="7"/>
  <c r="O127" i="7"/>
  <c r="G114" i="7"/>
  <c r="T2610" i="1"/>
  <c r="U2610" i="1" s="1"/>
  <c r="V2610" i="1" s="1"/>
  <c r="M2610" i="1"/>
  <c r="R2610" i="1"/>
  <c r="U2645" i="1"/>
  <c r="V2645" i="1" s="1"/>
  <c r="T2692" i="1"/>
  <c r="U2692" i="1" s="1"/>
  <c r="V2692" i="1" s="1"/>
  <c r="M2692" i="1"/>
  <c r="R2692" i="1"/>
  <c r="T2482" i="1"/>
  <c r="U2482" i="1" s="1"/>
  <c r="V2482" i="1" s="1"/>
  <c r="M2482" i="1"/>
  <c r="R2482" i="1"/>
  <c r="T2434" i="1"/>
  <c r="U2434" i="1" s="1"/>
  <c r="V2434" i="1" s="1"/>
  <c r="M2434" i="1"/>
  <c r="R2434" i="1"/>
  <c r="T2402" i="1"/>
  <c r="U2402" i="1" s="1"/>
  <c r="V2402" i="1" s="1"/>
  <c r="M2402" i="1"/>
  <c r="R2402" i="1"/>
  <c r="T2370" i="1"/>
  <c r="U2370" i="1" s="1"/>
  <c r="V2370" i="1" s="1"/>
  <c r="M2370" i="1"/>
  <c r="R2370" i="1"/>
  <c r="T2306" i="1"/>
  <c r="U2306" i="1" s="1"/>
  <c r="V2306" i="1" s="1"/>
  <c r="M2306" i="1"/>
  <c r="R2306" i="1"/>
  <c r="T2242" i="1"/>
  <c r="U2242" i="1" s="1"/>
  <c r="V2242" i="1" s="1"/>
  <c r="M2242" i="1"/>
  <c r="R2242" i="1"/>
  <c r="U2587" i="1"/>
  <c r="V2587" i="1" s="1"/>
  <c r="U2388" i="1"/>
  <c r="V2388" i="1" s="1"/>
  <c r="R2401" i="1"/>
  <c r="T2401" i="1"/>
  <c r="U2401" i="1" s="1"/>
  <c r="V2401" i="1" s="1"/>
  <c r="M2401" i="1"/>
  <c r="R2600" i="1"/>
  <c r="T2600" i="1"/>
  <c r="U2600" i="1" s="1"/>
  <c r="V2600" i="1" s="1"/>
  <c r="M2600" i="1"/>
  <c r="U2239" i="1"/>
  <c r="V2239" i="1" s="1"/>
  <c r="T2149" i="1"/>
  <c r="U2149" i="1" s="1"/>
  <c r="V2149" i="1" s="1"/>
  <c r="M2149" i="1"/>
  <c r="R2149" i="1"/>
  <c r="U2244" i="1"/>
  <c r="V2244" i="1" s="1"/>
  <c r="T2125" i="1"/>
  <c r="U2125" i="1" s="1"/>
  <c r="V2125" i="1" s="1"/>
  <c r="M2125" i="1"/>
  <c r="R2125" i="1"/>
  <c r="R2385" i="1"/>
  <c r="T2385" i="1"/>
  <c r="U2385" i="1" s="1"/>
  <c r="V2385" i="1" s="1"/>
  <c r="M2385" i="1"/>
  <c r="R2225" i="1"/>
  <c r="T2225" i="1"/>
  <c r="U2225" i="1" s="1"/>
  <c r="V2225" i="1" s="1"/>
  <c r="M2225" i="1"/>
  <c r="R2020" i="1"/>
  <c r="T2020" i="1"/>
  <c r="U2020" i="1" s="1"/>
  <c r="V2020" i="1" s="1"/>
  <c r="M2020" i="1"/>
  <c r="R1988" i="1"/>
  <c r="M1988" i="1"/>
  <c r="T1988" i="1"/>
  <c r="U1988" i="1" s="1"/>
  <c r="V1988" i="1" s="1"/>
  <c r="R1956" i="1"/>
  <c r="M1956" i="1"/>
  <c r="T1956" i="1"/>
  <c r="U1956" i="1" s="1"/>
  <c r="V1956" i="1" s="1"/>
  <c r="R1924" i="1"/>
  <c r="T1924" i="1"/>
  <c r="U1924" i="1" s="1"/>
  <c r="V1924" i="1" s="1"/>
  <c r="M1924" i="1"/>
  <c r="R1892" i="1"/>
  <c r="T1892" i="1"/>
  <c r="U1892" i="1" s="1"/>
  <c r="V1892" i="1" s="1"/>
  <c r="M1892" i="1"/>
  <c r="R1860" i="1"/>
  <c r="T1860" i="1"/>
  <c r="U1860" i="1" s="1"/>
  <c r="V1860" i="1" s="1"/>
  <c r="M1860" i="1"/>
  <c r="T1870" i="1"/>
  <c r="M1870" i="1"/>
  <c r="R1870" i="1"/>
  <c r="T1805" i="1"/>
  <c r="U1805" i="1" s="1"/>
  <c r="V1805" i="1" s="1"/>
  <c r="M1805" i="1"/>
  <c r="R1805" i="1"/>
  <c r="U1842" i="1"/>
  <c r="V1842" i="1" s="1"/>
  <c r="R2093" i="1"/>
  <c r="T2093" i="1"/>
  <c r="U2093" i="1" s="1"/>
  <c r="V2093" i="1" s="1"/>
  <c r="M2093" i="1"/>
  <c r="T1878" i="1"/>
  <c r="M1878" i="1"/>
  <c r="R1878" i="1"/>
  <c r="R1828" i="1"/>
  <c r="M1828" i="1"/>
  <c r="T1828" i="1"/>
  <c r="U1828" i="1" s="1"/>
  <c r="V1828" i="1" s="1"/>
  <c r="T1782" i="1"/>
  <c r="M1782" i="1"/>
  <c r="R1782" i="1"/>
  <c r="T1686" i="1"/>
  <c r="M1686" i="1"/>
  <c r="R1686" i="1"/>
  <c r="T1622" i="1"/>
  <c r="U1622" i="1" s="1"/>
  <c r="V1622" i="1" s="1"/>
  <c r="M1622" i="1"/>
  <c r="R1622" i="1"/>
  <c r="T1558" i="1"/>
  <c r="U1558" i="1" s="1"/>
  <c r="V1558" i="1" s="1"/>
  <c r="M1558" i="1"/>
  <c r="R1558" i="1"/>
  <c r="T1534" i="1"/>
  <c r="U1534" i="1" s="1"/>
  <c r="V1534" i="1" s="1"/>
  <c r="M1534" i="1"/>
  <c r="R1534" i="1"/>
  <c r="R2329" i="1"/>
  <c r="T2329" i="1"/>
  <c r="U2329" i="1" s="1"/>
  <c r="V2329" i="1" s="1"/>
  <c r="M2329" i="1"/>
  <c r="R1925" i="1"/>
  <c r="T1925" i="1"/>
  <c r="U1925" i="1" s="1"/>
  <c r="V1925" i="1" s="1"/>
  <c r="M1925" i="1"/>
  <c r="R1877" i="1"/>
  <c r="T1877" i="1"/>
  <c r="U1877" i="1" s="1"/>
  <c r="V1877" i="1" s="1"/>
  <c r="M1877" i="1"/>
  <c r="U1746" i="1"/>
  <c r="V1746" i="1" s="1"/>
  <c r="U2081" i="1"/>
  <c r="V2081" i="1" s="1"/>
  <c r="U1994" i="1"/>
  <c r="V1994" i="1" s="1"/>
  <c r="R1949" i="1"/>
  <c r="T1949" i="1"/>
  <c r="U1949" i="1" s="1"/>
  <c r="V1949" i="1" s="1"/>
  <c r="M1949" i="1"/>
  <c r="T1774" i="1"/>
  <c r="M1774" i="1"/>
  <c r="R1774" i="1"/>
  <c r="R1709" i="1"/>
  <c r="T1709" i="1"/>
  <c r="U1709" i="1" s="1"/>
  <c r="V1709" i="1" s="1"/>
  <c r="M1709" i="1"/>
  <c r="T1424" i="1"/>
  <c r="M1424" i="1"/>
  <c r="R1424" i="1"/>
  <c r="R1394" i="1"/>
  <c r="T1394" i="1"/>
  <c r="U1394" i="1" s="1"/>
  <c r="V1394" i="1" s="1"/>
  <c r="M1394" i="1"/>
  <c r="R1461" i="1"/>
  <c r="T1461" i="1"/>
  <c r="U1461" i="1" s="1"/>
  <c r="V1461" i="1" s="1"/>
  <c r="M1461" i="1"/>
  <c r="T1427" i="1"/>
  <c r="U1427" i="1" s="1"/>
  <c r="V1427" i="1" s="1"/>
  <c r="M1427" i="1"/>
  <c r="R1427" i="1"/>
  <c r="R1836" i="1"/>
  <c r="T1836" i="1"/>
  <c r="U1836" i="1" s="1"/>
  <c r="V1836" i="1" s="1"/>
  <c r="M1836" i="1"/>
  <c r="U1619" i="1"/>
  <c r="V1619" i="1" s="1"/>
  <c r="U1591" i="1"/>
  <c r="V1591" i="1" s="1"/>
  <c r="M1436" i="1"/>
  <c r="T1436" i="1"/>
  <c r="R1436" i="1"/>
  <c r="R1685" i="1"/>
  <c r="T1685" i="1"/>
  <c r="U1685" i="1" s="1"/>
  <c r="V1685" i="1" s="1"/>
  <c r="M1685" i="1"/>
  <c r="T1845" i="1"/>
  <c r="U1845" i="1" s="1"/>
  <c r="V1845" i="1" s="1"/>
  <c r="M1845" i="1"/>
  <c r="R1845" i="1"/>
  <c r="T1456" i="1"/>
  <c r="U1456" i="1" s="1"/>
  <c r="V1456" i="1" s="1"/>
  <c r="M1456" i="1"/>
  <c r="R1456" i="1"/>
  <c r="U1698" i="1"/>
  <c r="V1698" i="1" s="1"/>
  <c r="T1412" i="1"/>
  <c r="R1412" i="1"/>
  <c r="M1412" i="1"/>
  <c r="R1326" i="1"/>
  <c r="T1326" i="1"/>
  <c r="U1326" i="1" s="1"/>
  <c r="V1326" i="1" s="1"/>
  <c r="M1326" i="1"/>
  <c r="R1262" i="1"/>
  <c r="T1262" i="1"/>
  <c r="U1262" i="1" s="1"/>
  <c r="V1262" i="1" s="1"/>
  <c r="M1262" i="1"/>
  <c r="R1198" i="1"/>
  <c r="T1198" i="1"/>
  <c r="U1198" i="1" s="1"/>
  <c r="V1198" i="1" s="1"/>
  <c r="M1198" i="1"/>
  <c r="R1126" i="1"/>
  <c r="T1126" i="1"/>
  <c r="U1126" i="1" s="1"/>
  <c r="V1126" i="1" s="1"/>
  <c r="M1126" i="1"/>
  <c r="R1094" i="1"/>
  <c r="M1094" i="1"/>
  <c r="T1094" i="1"/>
  <c r="U1094" i="1" s="1"/>
  <c r="V1094" i="1" s="1"/>
  <c r="T1416" i="1"/>
  <c r="M1416" i="1"/>
  <c r="R1416" i="1"/>
  <c r="R1079" i="1"/>
  <c r="T1079" i="1"/>
  <c r="U1079" i="1" s="1"/>
  <c r="V1079" i="1" s="1"/>
  <c r="M1079" i="1"/>
  <c r="R1062" i="1"/>
  <c r="T1062" i="1"/>
  <c r="U1062" i="1" s="1"/>
  <c r="V1062" i="1" s="1"/>
  <c r="M1062" i="1"/>
  <c r="R1078" i="1"/>
  <c r="M1078" i="1"/>
  <c r="T1078" i="1"/>
  <c r="U1078" i="1" s="1"/>
  <c r="V1078" i="1" s="1"/>
  <c r="T1031" i="1"/>
  <c r="U1031" i="1" s="1"/>
  <c r="V1031" i="1" s="1"/>
  <c r="M1031" i="1"/>
  <c r="R1031" i="1"/>
  <c r="U1261" i="1"/>
  <c r="V1261" i="1" s="1"/>
  <c r="T1074" i="1"/>
  <c r="U1074" i="1" s="1"/>
  <c r="V1074" i="1" s="1"/>
  <c r="M1074" i="1"/>
  <c r="R1074" i="1"/>
  <c r="T1288" i="1"/>
  <c r="M1288" i="1"/>
  <c r="R1288" i="1"/>
  <c r="U1217" i="1"/>
  <c r="V1217" i="1" s="1"/>
  <c r="R940" i="1"/>
  <c r="M940" i="1"/>
  <c r="T940" i="1"/>
  <c r="U940" i="1" s="1"/>
  <c r="V940" i="1" s="1"/>
  <c r="R1167" i="1"/>
  <c r="T1167" i="1"/>
  <c r="U1167" i="1" s="1"/>
  <c r="V1167" i="1" s="1"/>
  <c r="M1167" i="1"/>
  <c r="R1022" i="1"/>
  <c r="M1022" i="1"/>
  <c r="T1022" i="1"/>
  <c r="U1022" i="1" s="1"/>
  <c r="V1022" i="1" s="1"/>
  <c r="R1271" i="1"/>
  <c r="T1271" i="1"/>
  <c r="U1271" i="1" s="1"/>
  <c r="V1271" i="1" s="1"/>
  <c r="M1271" i="1"/>
  <c r="T1336" i="1"/>
  <c r="M1336" i="1"/>
  <c r="R1336" i="1"/>
  <c r="U846" i="1"/>
  <c r="V846" i="1" s="1"/>
  <c r="R1199" i="1"/>
  <c r="T1199" i="1"/>
  <c r="U1199" i="1" s="1"/>
  <c r="V1199" i="1" s="1"/>
  <c r="M1199" i="1"/>
  <c r="T844" i="1"/>
  <c r="U844" i="1" s="1"/>
  <c r="V844" i="1" s="1"/>
  <c r="M844" i="1"/>
  <c r="R844" i="1"/>
  <c r="T772" i="1"/>
  <c r="U772" i="1" s="1"/>
  <c r="V772" i="1" s="1"/>
  <c r="M772" i="1"/>
  <c r="R772" i="1"/>
  <c r="T983" i="1"/>
  <c r="U983" i="1" s="1"/>
  <c r="V983" i="1" s="1"/>
  <c r="M983" i="1"/>
  <c r="R983" i="1"/>
  <c r="R803" i="1"/>
  <c r="T803" i="1"/>
  <c r="M803" i="1"/>
  <c r="T692" i="1"/>
  <c r="U692" i="1" s="1"/>
  <c r="V692" i="1" s="1"/>
  <c r="M692" i="1"/>
  <c r="R692" i="1"/>
  <c r="T625" i="1"/>
  <c r="U625" i="1" s="1"/>
  <c r="V625" i="1" s="1"/>
  <c r="M625" i="1"/>
  <c r="R625" i="1"/>
  <c r="R454" i="1"/>
  <c r="T454" i="1"/>
  <c r="U454" i="1" s="1"/>
  <c r="V454" i="1" s="1"/>
  <c r="M454" i="1"/>
  <c r="R494" i="1"/>
  <c r="T494" i="1"/>
  <c r="U494" i="1" s="1"/>
  <c r="V494" i="1" s="1"/>
  <c r="M494" i="1"/>
  <c r="U404" i="1"/>
  <c r="V404" i="1" s="1"/>
  <c r="U528" i="1"/>
  <c r="V528" i="1" s="1"/>
  <c r="U388" i="1"/>
  <c r="V388" i="1" s="1"/>
  <c r="U392" i="1"/>
  <c r="V392" i="1" s="1"/>
  <c r="T575" i="1"/>
  <c r="M575" i="1"/>
  <c r="R575" i="1"/>
  <c r="T223" i="1"/>
  <c r="U223" i="1" s="1"/>
  <c r="V223" i="1" s="1"/>
  <c r="M223" i="1"/>
  <c r="R223" i="1"/>
  <c r="R127" i="1"/>
  <c r="T127" i="1"/>
  <c r="U127" i="1" s="1"/>
  <c r="V127" i="1" s="1"/>
  <c r="M127" i="1"/>
  <c r="T63" i="1"/>
  <c r="U63" i="1" s="1"/>
  <c r="V63" i="1" s="1"/>
  <c r="M63" i="1"/>
  <c r="R63" i="1"/>
  <c r="R643" i="1"/>
  <c r="T643" i="1"/>
  <c r="U643" i="1" s="1"/>
  <c r="V643" i="1" s="1"/>
  <c r="M643" i="1"/>
  <c r="U516" i="1"/>
  <c r="V516" i="1" s="1"/>
  <c r="T374" i="1"/>
  <c r="U374" i="1" s="1"/>
  <c r="V374" i="1" s="1"/>
  <c r="M374" i="1"/>
  <c r="R374" i="1"/>
  <c r="T244" i="1"/>
  <c r="R244" i="1"/>
  <c r="M244" i="1"/>
  <c r="R197" i="1"/>
  <c r="T197" i="1"/>
  <c r="U197" i="1" s="1"/>
  <c r="V197" i="1" s="1"/>
  <c r="M197" i="1"/>
  <c r="R133" i="1"/>
  <c r="M133" i="1"/>
  <c r="T133" i="1"/>
  <c r="R69" i="1"/>
  <c r="M69" i="1"/>
  <c r="T69" i="1"/>
  <c r="R763" i="1"/>
  <c r="T763" i="1"/>
  <c r="M763" i="1"/>
  <c r="U129" i="1"/>
  <c r="V129" i="1" s="1"/>
  <c r="U137" i="1"/>
  <c r="V137" i="1" s="1"/>
  <c r="W8" i="7"/>
  <c r="P48" i="7"/>
  <c r="F27" i="7"/>
  <c r="AA14" i="7"/>
  <c r="E11" i="7"/>
  <c r="E7" i="7"/>
  <c r="E3" i="7"/>
  <c r="Z37" i="7"/>
  <c r="H16" i="7"/>
  <c r="G12" i="7"/>
  <c r="T2" i="7"/>
  <c r="X4" i="7"/>
  <c r="AB6" i="7"/>
  <c r="AF8" i="7"/>
  <c r="F11" i="7"/>
  <c r="J13" i="7"/>
  <c r="L18" i="7"/>
  <c r="Z33" i="7"/>
  <c r="AB50" i="7"/>
  <c r="AC2" i="7"/>
  <c r="C5" i="7"/>
  <c r="G7" i="7"/>
  <c r="K9" i="7"/>
  <c r="O11" i="7"/>
  <c r="S13" i="7"/>
  <c r="W15" i="7"/>
  <c r="F19" i="7"/>
  <c r="H36" i="7"/>
  <c r="J53" i="7"/>
  <c r="H3" i="7"/>
  <c r="L5" i="7"/>
  <c r="P7" i="7"/>
  <c r="T9" i="7"/>
  <c r="X11" i="7"/>
  <c r="AB13" i="7"/>
  <c r="AF15" i="7"/>
  <c r="R21" i="7"/>
  <c r="T38" i="7"/>
  <c r="V55" i="7"/>
  <c r="U5" i="7"/>
  <c r="Y7" i="7"/>
  <c r="AC9" i="7"/>
  <c r="C12" i="7"/>
  <c r="G14" i="7"/>
  <c r="N16" i="7"/>
  <c r="AD23" i="7"/>
  <c r="AF40" i="7"/>
  <c r="U58" i="7"/>
  <c r="Z3" i="7"/>
  <c r="AD5" i="7"/>
  <c r="D8" i="7"/>
  <c r="H10" i="7"/>
  <c r="L12" i="7"/>
  <c r="P14" i="7"/>
  <c r="Z16" i="7"/>
  <c r="L26" i="7"/>
  <c r="N43" i="7"/>
  <c r="C75" i="7"/>
  <c r="E4" i="7"/>
  <c r="I6" i="7"/>
  <c r="M8" i="7"/>
  <c r="Y10" i="7"/>
  <c r="G13" i="7"/>
  <c r="S15" i="7"/>
  <c r="H20" i="7"/>
  <c r="Y60" i="7"/>
  <c r="N4" i="7"/>
  <c r="Z6" i="7"/>
  <c r="H9" i="7"/>
  <c r="T11" i="7"/>
  <c r="AF13" i="7"/>
  <c r="Q16" i="7"/>
  <c r="AB26" i="7"/>
  <c r="H48" i="7"/>
  <c r="M18" i="7"/>
  <c r="S21" i="7"/>
  <c r="Y24" i="7"/>
  <c r="AE27" i="7"/>
  <c r="O31" i="7"/>
  <c r="U34" i="7"/>
  <c r="M38" i="7"/>
  <c r="AA41" i="7"/>
  <c r="C45" i="7"/>
  <c r="W51" i="7"/>
  <c r="O55" i="7"/>
  <c r="Y58" i="7"/>
  <c r="H19" i="7"/>
  <c r="V22" i="7"/>
  <c r="AB25" i="7"/>
  <c r="D29" i="7"/>
  <c r="J32" i="7"/>
  <c r="X35" i="7"/>
  <c r="AD38" i="7"/>
  <c r="L45" i="7"/>
  <c r="D49" i="7"/>
  <c r="R52" i="7"/>
  <c r="P55" i="7"/>
  <c r="Y62" i="7"/>
  <c r="C20" i="7"/>
  <c r="Q23" i="7"/>
  <c r="W26" i="7"/>
  <c r="O30" i="7"/>
  <c r="AC33" i="7"/>
  <c r="E37" i="7"/>
  <c r="S40" i="7"/>
  <c r="Y43" i="7"/>
  <c r="Y47" i="7"/>
  <c r="K52" i="7"/>
  <c r="E60" i="7"/>
  <c r="AF18" i="7"/>
  <c r="D24" i="7"/>
  <c r="X34" i="7"/>
  <c r="L40" i="7"/>
  <c r="AF50" i="7"/>
  <c r="K19" i="7"/>
  <c r="AA27" i="7"/>
  <c r="Q34" i="7"/>
  <c r="Y42" i="7"/>
  <c r="K51" i="7"/>
  <c r="M58" i="7"/>
  <c r="H21" i="7"/>
  <c r="P29" i="7"/>
  <c r="F36" i="7"/>
  <c r="N44" i="7"/>
  <c r="D51" i="7"/>
  <c r="U23" i="7"/>
  <c r="G32" i="7"/>
  <c r="O40" i="7"/>
  <c r="E47" i="7"/>
  <c r="U55" i="7"/>
  <c r="AD68" i="7"/>
  <c r="H77" i="7"/>
  <c r="S62" i="7"/>
  <c r="Y77" i="7"/>
  <c r="L78" i="7"/>
  <c r="AC66" i="7"/>
  <c r="S73" i="7"/>
  <c r="L57" i="7"/>
  <c r="T65" i="7"/>
  <c r="J72" i="7"/>
  <c r="T80" i="7"/>
  <c r="U65" i="7"/>
  <c r="G74" i="7"/>
  <c r="AD80" i="7"/>
  <c r="AD65" i="7"/>
  <c r="H74" i="7"/>
  <c r="AE80" i="7"/>
  <c r="AC89" i="7"/>
  <c r="O98" i="7"/>
  <c r="V81" i="7"/>
  <c r="AD89" i="7"/>
  <c r="T96" i="7"/>
  <c r="I82" i="7"/>
  <c r="O97" i="7"/>
  <c r="D83" i="7"/>
  <c r="X89" i="7"/>
  <c r="I81" i="7"/>
  <c r="Q89" i="7"/>
  <c r="G96" i="7"/>
  <c r="H80" i="7"/>
  <c r="F95" i="7"/>
  <c r="R103" i="7"/>
  <c r="Q88" i="7"/>
  <c r="AB103" i="7"/>
  <c r="L89" i="7"/>
  <c r="F112" i="7"/>
  <c r="AD124" i="7"/>
  <c r="AE116" i="7"/>
  <c r="C109" i="7"/>
  <c r="AE123" i="7"/>
  <c r="K116" i="7"/>
  <c r="P106" i="7"/>
  <c r="T2657" i="1"/>
  <c r="U2657" i="1" s="1"/>
  <c r="V2657" i="1" s="1"/>
  <c r="M2657" i="1"/>
  <c r="R2657" i="1"/>
  <c r="U2579" i="1"/>
  <c r="V2579" i="1" s="1"/>
  <c r="M2709" i="1"/>
  <c r="R2709" i="1"/>
  <c r="T2709" i="1"/>
  <c r="U2709" i="1" s="1"/>
  <c r="V2709" i="1" s="1"/>
  <c r="T2593" i="1"/>
  <c r="U2593" i="1" s="1"/>
  <c r="V2593" i="1" s="1"/>
  <c r="M2593" i="1"/>
  <c r="R2593" i="1"/>
  <c r="T2561" i="1"/>
  <c r="U2561" i="1" s="1"/>
  <c r="V2561" i="1" s="1"/>
  <c r="M2561" i="1"/>
  <c r="R2561" i="1"/>
  <c r="T2458" i="1"/>
  <c r="U2458" i="1" s="1"/>
  <c r="V2458" i="1" s="1"/>
  <c r="M2458" i="1"/>
  <c r="R2458" i="1"/>
  <c r="T2346" i="1"/>
  <c r="U2346" i="1" s="1"/>
  <c r="V2346" i="1" s="1"/>
  <c r="M2346" i="1"/>
  <c r="R2346" i="1"/>
  <c r="T2282" i="1"/>
  <c r="U2282" i="1" s="1"/>
  <c r="V2282" i="1" s="1"/>
  <c r="M2282" i="1"/>
  <c r="R2282" i="1"/>
  <c r="T2226" i="1"/>
  <c r="U2226" i="1" s="1"/>
  <c r="V2226" i="1" s="1"/>
  <c r="M2226" i="1"/>
  <c r="R2226" i="1"/>
  <c r="T2210" i="1"/>
  <c r="U2210" i="1" s="1"/>
  <c r="V2210" i="1" s="1"/>
  <c r="M2210" i="1"/>
  <c r="R2210" i="1"/>
  <c r="T2194" i="1"/>
  <c r="U2194" i="1" s="1"/>
  <c r="V2194" i="1" s="1"/>
  <c r="M2194" i="1"/>
  <c r="R2194" i="1"/>
  <c r="T2178" i="1"/>
  <c r="U2178" i="1" s="1"/>
  <c r="V2178" i="1" s="1"/>
  <c r="M2178" i="1"/>
  <c r="R2178" i="1"/>
  <c r="M2693" i="1"/>
  <c r="R2693" i="1"/>
  <c r="T2693" i="1"/>
  <c r="U2693" i="1" s="1"/>
  <c r="V2693" i="1" s="1"/>
  <c r="R2608" i="1"/>
  <c r="T2608" i="1"/>
  <c r="U2608" i="1" s="1"/>
  <c r="V2608" i="1" s="1"/>
  <c r="M2608" i="1"/>
  <c r="R2664" i="1"/>
  <c r="T2664" i="1"/>
  <c r="M2664" i="1"/>
  <c r="R2449" i="1"/>
  <c r="T2449" i="1"/>
  <c r="U2449" i="1" s="1"/>
  <c r="V2449" i="1" s="1"/>
  <c r="M2449" i="1"/>
  <c r="R2201" i="1"/>
  <c r="T2201" i="1"/>
  <c r="U2201" i="1" s="1"/>
  <c r="V2201" i="1" s="1"/>
  <c r="M2201" i="1"/>
  <c r="R2511" i="1"/>
  <c r="M2511" i="1"/>
  <c r="T2511" i="1"/>
  <c r="R2353" i="1"/>
  <c r="T2353" i="1"/>
  <c r="U2353" i="1" s="1"/>
  <c r="V2353" i="1" s="1"/>
  <c r="M2353" i="1"/>
  <c r="R2209" i="1"/>
  <c r="T2209" i="1"/>
  <c r="U2209" i="1" s="1"/>
  <c r="V2209" i="1" s="1"/>
  <c r="M2209" i="1"/>
  <c r="R2433" i="1"/>
  <c r="T2433" i="1"/>
  <c r="U2433" i="1" s="1"/>
  <c r="V2433" i="1" s="1"/>
  <c r="M2433" i="1"/>
  <c r="R2497" i="1"/>
  <c r="T2497" i="1"/>
  <c r="U2497" i="1" s="1"/>
  <c r="V2497" i="1" s="1"/>
  <c r="M2497" i="1"/>
  <c r="R2473" i="1"/>
  <c r="T2473" i="1"/>
  <c r="U2473" i="1" s="1"/>
  <c r="V2473" i="1" s="1"/>
  <c r="M2473" i="1"/>
  <c r="R2084" i="1"/>
  <c r="M2084" i="1"/>
  <c r="T2084" i="1"/>
  <c r="U2084" i="1" s="1"/>
  <c r="V2084" i="1" s="1"/>
  <c r="T1886" i="1"/>
  <c r="M1886" i="1"/>
  <c r="R1886" i="1"/>
  <c r="R1885" i="1"/>
  <c r="T1885" i="1"/>
  <c r="U1885" i="1" s="1"/>
  <c r="V1885" i="1" s="1"/>
  <c r="M1885" i="1"/>
  <c r="R2105" i="1"/>
  <c r="M2105" i="1"/>
  <c r="T2105" i="1"/>
  <c r="U2105" i="1" s="1"/>
  <c r="V2105" i="1" s="1"/>
  <c r="T1894" i="1"/>
  <c r="M1894" i="1"/>
  <c r="R1894" i="1"/>
  <c r="T1710" i="1"/>
  <c r="M1710" i="1"/>
  <c r="R1710" i="1"/>
  <c r="T1646" i="1"/>
  <c r="U1646" i="1" s="1"/>
  <c r="V1646" i="1" s="1"/>
  <c r="M1646" i="1"/>
  <c r="R1646" i="1"/>
  <c r="T1582" i="1"/>
  <c r="U1582" i="1" s="1"/>
  <c r="V1582" i="1" s="1"/>
  <c r="M1582" i="1"/>
  <c r="R1582" i="1"/>
  <c r="M1422" i="1"/>
  <c r="T1422" i="1"/>
  <c r="U1422" i="1" s="1"/>
  <c r="V1422" i="1" s="1"/>
  <c r="R1422" i="1"/>
  <c r="R1965" i="1"/>
  <c r="T1965" i="1"/>
  <c r="U1965" i="1" s="1"/>
  <c r="V1965" i="1" s="1"/>
  <c r="M1965" i="1"/>
  <c r="T1854" i="1"/>
  <c r="M1854" i="1"/>
  <c r="R1854" i="1"/>
  <c r="T1798" i="1"/>
  <c r="M1798" i="1"/>
  <c r="R1798" i="1"/>
  <c r="R1460" i="1"/>
  <c r="M1460" i="1"/>
  <c r="T1460" i="1"/>
  <c r="U1460" i="1" s="1"/>
  <c r="V1460" i="1" s="1"/>
  <c r="T1770" i="1"/>
  <c r="M1770" i="1"/>
  <c r="R1770" i="1"/>
  <c r="R1565" i="1"/>
  <c r="T1565" i="1"/>
  <c r="U1565" i="1" s="1"/>
  <c r="V1565" i="1" s="1"/>
  <c r="M1565" i="1"/>
  <c r="T1420" i="1"/>
  <c r="R1420" i="1"/>
  <c r="M1420" i="1"/>
  <c r="M1396" i="1"/>
  <c r="T1396" i="1"/>
  <c r="R1396" i="1"/>
  <c r="R2273" i="1"/>
  <c r="T2273" i="1"/>
  <c r="U2273" i="1" s="1"/>
  <c r="V2273" i="1" s="1"/>
  <c r="M2273" i="1"/>
  <c r="R1645" i="1"/>
  <c r="T1645" i="1"/>
  <c r="U1645" i="1" s="1"/>
  <c r="V1645" i="1" s="1"/>
  <c r="M1645" i="1"/>
  <c r="T1439" i="1"/>
  <c r="U1439" i="1" s="1"/>
  <c r="V1439" i="1" s="1"/>
  <c r="M1439" i="1"/>
  <c r="R1439" i="1"/>
  <c r="T2117" i="1"/>
  <c r="U2117" i="1" s="1"/>
  <c r="V2117" i="1" s="1"/>
  <c r="M2117" i="1"/>
  <c r="R2117" i="1"/>
  <c r="T1395" i="1"/>
  <c r="U1395" i="1" s="1"/>
  <c r="V1395" i="1" s="1"/>
  <c r="M1395" i="1"/>
  <c r="R1395" i="1"/>
  <c r="T1730" i="1"/>
  <c r="U1730" i="1" s="1"/>
  <c r="V1730" i="1" s="1"/>
  <c r="M1730" i="1"/>
  <c r="R1730" i="1"/>
  <c r="R1589" i="1"/>
  <c r="T1589" i="1"/>
  <c r="U1589" i="1" s="1"/>
  <c r="V1589" i="1" s="1"/>
  <c r="M1589" i="1"/>
  <c r="T1447" i="1"/>
  <c r="U1447" i="1" s="1"/>
  <c r="V1447" i="1" s="1"/>
  <c r="M1447" i="1"/>
  <c r="R1447" i="1"/>
  <c r="T1392" i="1"/>
  <c r="M1392" i="1"/>
  <c r="R1392" i="1"/>
  <c r="T1463" i="1"/>
  <c r="U1463" i="1" s="1"/>
  <c r="V1463" i="1" s="1"/>
  <c r="M1463" i="1"/>
  <c r="R1463" i="1"/>
  <c r="R1302" i="1"/>
  <c r="T1302" i="1"/>
  <c r="U1302" i="1" s="1"/>
  <c r="V1302" i="1" s="1"/>
  <c r="M1302" i="1"/>
  <c r="R1238" i="1"/>
  <c r="M1238" i="1"/>
  <c r="T1238" i="1"/>
  <c r="U1238" i="1" s="1"/>
  <c r="V1238" i="1" s="1"/>
  <c r="R1174" i="1"/>
  <c r="T1174" i="1"/>
  <c r="U1174" i="1" s="1"/>
  <c r="V1174" i="1" s="1"/>
  <c r="M1174" i="1"/>
  <c r="R1150" i="1"/>
  <c r="T1150" i="1"/>
  <c r="U1150" i="1" s="1"/>
  <c r="V1150" i="1" s="1"/>
  <c r="M1150" i="1"/>
  <c r="R1255" i="1"/>
  <c r="T1255" i="1"/>
  <c r="U1255" i="1" s="1"/>
  <c r="V1255" i="1" s="1"/>
  <c r="M1255" i="1"/>
  <c r="T1130" i="1"/>
  <c r="U1130" i="1" s="1"/>
  <c r="V1130" i="1" s="1"/>
  <c r="M1130" i="1"/>
  <c r="R1130" i="1"/>
  <c r="T1146" i="1"/>
  <c r="U1146" i="1" s="1"/>
  <c r="V1146" i="1" s="1"/>
  <c r="M1146" i="1"/>
  <c r="R1146" i="1"/>
  <c r="T1018" i="1"/>
  <c r="U1018" i="1" s="1"/>
  <c r="V1018" i="1" s="1"/>
  <c r="M1018" i="1"/>
  <c r="R1018" i="1"/>
  <c r="R1351" i="1"/>
  <c r="T1351" i="1"/>
  <c r="U1351" i="1" s="1"/>
  <c r="V1351" i="1" s="1"/>
  <c r="M1351" i="1"/>
  <c r="R1151" i="1"/>
  <c r="T1151" i="1"/>
  <c r="U1151" i="1" s="1"/>
  <c r="V1151" i="1" s="1"/>
  <c r="M1151" i="1"/>
  <c r="T1071" i="1"/>
  <c r="U1071" i="1" s="1"/>
  <c r="V1071" i="1" s="1"/>
  <c r="M1071" i="1"/>
  <c r="R1071" i="1"/>
  <c r="T917" i="1"/>
  <c r="U917" i="1" s="1"/>
  <c r="V917" i="1" s="1"/>
  <c r="M917" i="1"/>
  <c r="R917" i="1"/>
  <c r="T885" i="1"/>
  <c r="U885" i="1" s="1"/>
  <c r="V885" i="1" s="1"/>
  <c r="M885" i="1"/>
  <c r="R885" i="1"/>
  <c r="T853" i="1"/>
  <c r="U853" i="1" s="1"/>
  <c r="V853" i="1" s="1"/>
  <c r="M853" i="1"/>
  <c r="R853" i="1"/>
  <c r="R1223" i="1"/>
  <c r="T1223" i="1"/>
  <c r="U1223" i="1" s="1"/>
  <c r="V1223" i="1" s="1"/>
  <c r="M1223" i="1"/>
  <c r="T916" i="1"/>
  <c r="U916" i="1" s="1"/>
  <c r="V916" i="1" s="1"/>
  <c r="M916" i="1"/>
  <c r="R916" i="1"/>
  <c r="T884" i="1"/>
  <c r="U884" i="1" s="1"/>
  <c r="V884" i="1" s="1"/>
  <c r="M884" i="1"/>
  <c r="R884" i="1"/>
  <c r="T1400" i="1"/>
  <c r="M1400" i="1"/>
  <c r="R1400" i="1"/>
  <c r="T1106" i="1"/>
  <c r="U1106" i="1" s="1"/>
  <c r="V1106" i="1" s="1"/>
  <c r="M1106" i="1"/>
  <c r="R1106" i="1"/>
  <c r="R1485" i="1"/>
  <c r="T1485" i="1"/>
  <c r="U1485" i="1" s="1"/>
  <c r="V1485" i="1" s="1"/>
  <c r="M1485" i="1"/>
  <c r="R1402" i="1"/>
  <c r="T1402" i="1"/>
  <c r="U1402" i="1" s="1"/>
  <c r="V1402" i="1" s="1"/>
  <c r="M1402" i="1"/>
  <c r="T1090" i="1"/>
  <c r="U1090" i="1" s="1"/>
  <c r="V1090" i="1" s="1"/>
  <c r="M1090" i="1"/>
  <c r="R1090" i="1"/>
  <c r="T1066" i="1"/>
  <c r="U1066" i="1" s="1"/>
  <c r="V1066" i="1" s="1"/>
  <c r="M1066" i="1"/>
  <c r="R1066" i="1"/>
  <c r="R755" i="1"/>
  <c r="M755" i="1"/>
  <c r="T755" i="1"/>
  <c r="M684" i="1"/>
  <c r="T684" i="1"/>
  <c r="U684" i="1" s="1"/>
  <c r="V684" i="1" s="1"/>
  <c r="R684" i="1"/>
  <c r="M636" i="1"/>
  <c r="T636" i="1"/>
  <c r="U636" i="1" s="1"/>
  <c r="V636" i="1" s="1"/>
  <c r="R636" i="1"/>
  <c r="R942" i="1"/>
  <c r="M942" i="1"/>
  <c r="T942" i="1"/>
  <c r="R707" i="1"/>
  <c r="T707" i="1"/>
  <c r="M707" i="1"/>
  <c r="R883" i="1"/>
  <c r="T883" i="1"/>
  <c r="U883" i="1" s="1"/>
  <c r="V883" i="1" s="1"/>
  <c r="M883" i="1"/>
  <c r="T637" i="1"/>
  <c r="U637" i="1" s="1"/>
  <c r="V637" i="1" s="1"/>
  <c r="M637" i="1"/>
  <c r="R637" i="1"/>
  <c r="R542" i="1"/>
  <c r="T542" i="1"/>
  <c r="U542" i="1" s="1"/>
  <c r="V542" i="1" s="1"/>
  <c r="M542" i="1"/>
  <c r="T326" i="1"/>
  <c r="U326" i="1" s="1"/>
  <c r="V326" i="1" s="1"/>
  <c r="M326" i="1"/>
  <c r="R326" i="1"/>
  <c r="R292" i="1"/>
  <c r="M292" i="1"/>
  <c r="T292" i="1"/>
  <c r="R252" i="1"/>
  <c r="M252" i="1"/>
  <c r="T252" i="1"/>
  <c r="R446" i="1"/>
  <c r="T446" i="1"/>
  <c r="U446" i="1" s="1"/>
  <c r="V446" i="1" s="1"/>
  <c r="M446" i="1"/>
  <c r="R438" i="1"/>
  <c r="T438" i="1"/>
  <c r="U438" i="1" s="1"/>
  <c r="V438" i="1" s="1"/>
  <c r="M438" i="1"/>
  <c r="T756" i="1"/>
  <c r="U756" i="1" s="1"/>
  <c r="V756" i="1" s="1"/>
  <c r="M756" i="1"/>
  <c r="R756" i="1"/>
  <c r="R357" i="1"/>
  <c r="M357" i="1"/>
  <c r="T357" i="1"/>
  <c r="U357" i="1" s="1"/>
  <c r="V357" i="1" s="1"/>
  <c r="R301" i="1"/>
  <c r="M301" i="1"/>
  <c r="T301" i="1"/>
  <c r="U301" i="1" s="1"/>
  <c r="V301" i="1" s="1"/>
  <c r="R276" i="1"/>
  <c r="T276" i="1"/>
  <c r="U276" i="1" s="1"/>
  <c r="V276" i="1" s="1"/>
  <c r="M276" i="1"/>
  <c r="R199" i="1"/>
  <c r="T199" i="1"/>
  <c r="U199" i="1" s="1"/>
  <c r="V199" i="1" s="1"/>
  <c r="M199" i="1"/>
  <c r="T103" i="1"/>
  <c r="U103" i="1" s="1"/>
  <c r="V103" i="1" s="1"/>
  <c r="M103" i="1"/>
  <c r="R103" i="1"/>
  <c r="T39" i="1"/>
  <c r="U39" i="1" s="1"/>
  <c r="V39" i="1" s="1"/>
  <c r="M39" i="1"/>
  <c r="R39" i="1"/>
  <c r="T29" i="1"/>
  <c r="R29" i="1"/>
  <c r="M29" i="1"/>
  <c r="R502" i="1"/>
  <c r="T502" i="1"/>
  <c r="U502" i="1" s="1"/>
  <c r="V502" i="1" s="1"/>
  <c r="M502" i="1"/>
  <c r="R222" i="1"/>
  <c r="T222" i="1"/>
  <c r="U222" i="1" s="1"/>
  <c r="V222" i="1" s="1"/>
  <c r="M222" i="1"/>
  <c r="R206" i="1"/>
  <c r="T206" i="1"/>
  <c r="U206" i="1" s="1"/>
  <c r="V206" i="1" s="1"/>
  <c r="M206" i="1"/>
  <c r="R190" i="1"/>
  <c r="T190" i="1"/>
  <c r="U190" i="1" s="1"/>
  <c r="V190" i="1" s="1"/>
  <c r="M190" i="1"/>
  <c r="R174" i="1"/>
  <c r="T174" i="1"/>
  <c r="U174" i="1" s="1"/>
  <c r="V174" i="1" s="1"/>
  <c r="M174" i="1"/>
  <c r="R158" i="1"/>
  <c r="T158" i="1"/>
  <c r="U158" i="1" s="1"/>
  <c r="V158" i="1" s="1"/>
  <c r="M158" i="1"/>
  <c r="R142" i="1"/>
  <c r="T142" i="1"/>
  <c r="U142" i="1" s="1"/>
  <c r="V142" i="1" s="1"/>
  <c r="M142" i="1"/>
  <c r="R126" i="1"/>
  <c r="T126" i="1"/>
  <c r="U126" i="1" s="1"/>
  <c r="V126" i="1" s="1"/>
  <c r="M126" i="1"/>
  <c r="R110" i="1"/>
  <c r="T110" i="1"/>
  <c r="U110" i="1" s="1"/>
  <c r="V110" i="1" s="1"/>
  <c r="M110" i="1"/>
  <c r="R94" i="1"/>
  <c r="T94" i="1"/>
  <c r="U94" i="1" s="1"/>
  <c r="V94" i="1" s="1"/>
  <c r="M94" i="1"/>
  <c r="R78" i="1"/>
  <c r="T78" i="1"/>
  <c r="U78" i="1" s="1"/>
  <c r="V78" i="1" s="1"/>
  <c r="M78" i="1"/>
  <c r="R62" i="1"/>
  <c r="T62" i="1"/>
  <c r="U62" i="1" s="1"/>
  <c r="V62" i="1" s="1"/>
  <c r="M62" i="1"/>
  <c r="R46" i="1"/>
  <c r="T46" i="1"/>
  <c r="U46" i="1" s="1"/>
  <c r="V46" i="1" s="1"/>
  <c r="M46" i="1"/>
  <c r="R30" i="1"/>
  <c r="M30" i="1"/>
  <c r="T30" i="1"/>
  <c r="U30" i="1" s="1"/>
  <c r="V30" i="1" s="1"/>
  <c r="R14" i="1"/>
  <c r="M14" i="1"/>
  <c r="T14" i="1"/>
  <c r="U14" i="1" s="1"/>
  <c r="V14" i="1" s="1"/>
  <c r="R173" i="1"/>
  <c r="M173" i="1"/>
  <c r="T173" i="1"/>
  <c r="U173" i="1" s="1"/>
  <c r="V173" i="1" s="1"/>
  <c r="R109" i="1"/>
  <c r="M109" i="1"/>
  <c r="T109" i="1"/>
  <c r="R45" i="1"/>
  <c r="T45" i="1"/>
  <c r="M45" i="1"/>
  <c r="AA10" i="7"/>
  <c r="AC3" i="7"/>
  <c r="H44" i="7"/>
  <c r="M17" i="7"/>
  <c r="I13" i="7"/>
  <c r="I9" i="7"/>
  <c r="I5" i="7"/>
  <c r="AB54" i="7"/>
  <c r="AB22" i="7"/>
  <c r="K14" i="7"/>
  <c r="AB2" i="7"/>
  <c r="AF4" i="7"/>
  <c r="F7" i="7"/>
  <c r="J9" i="7"/>
  <c r="N11" i="7"/>
  <c r="R13" i="7"/>
  <c r="V15" i="7"/>
  <c r="AE18" i="7"/>
  <c r="AD35" i="7"/>
  <c r="AF52" i="7"/>
  <c r="G3" i="7"/>
  <c r="K5" i="7"/>
  <c r="O7" i="7"/>
  <c r="S9" i="7"/>
  <c r="W11" i="7"/>
  <c r="AA13" i="7"/>
  <c r="AE15" i="7"/>
  <c r="J21" i="7"/>
  <c r="L38" i="7"/>
  <c r="N55" i="7"/>
  <c r="P3" i="7"/>
  <c r="T5" i="7"/>
  <c r="X7" i="7"/>
  <c r="AB9" i="7"/>
  <c r="AF11" i="7"/>
  <c r="F14" i="7"/>
  <c r="K16" i="7"/>
  <c r="X40" i="7"/>
  <c r="C58" i="7"/>
  <c r="Y3" i="7"/>
  <c r="AC5" i="7"/>
  <c r="C8" i="7"/>
  <c r="G10" i="7"/>
  <c r="K12" i="7"/>
  <c r="O14" i="7"/>
  <c r="X16" i="7"/>
  <c r="D26" i="7"/>
  <c r="F43" i="7"/>
  <c r="AC72" i="7"/>
  <c r="D4" i="7"/>
  <c r="H6" i="7"/>
  <c r="L8" i="7"/>
  <c r="P10" i="7"/>
  <c r="T12" i="7"/>
  <c r="X14" i="7"/>
  <c r="I17" i="7"/>
  <c r="P28" i="7"/>
  <c r="R45" i="7"/>
  <c r="I2" i="7"/>
  <c r="M4" i="7"/>
  <c r="U8" i="7"/>
  <c r="C11" i="7"/>
  <c r="O13" i="7"/>
  <c r="AA15" i="7"/>
  <c r="L22" i="7"/>
  <c r="R41" i="7"/>
  <c r="J2" i="7"/>
  <c r="V4" i="7"/>
  <c r="D7" i="7"/>
  <c r="P9" i="7"/>
  <c r="AB11" i="7"/>
  <c r="J14" i="7"/>
  <c r="AD16" i="7"/>
  <c r="F31" i="7"/>
  <c r="L50" i="7"/>
  <c r="U18" i="7"/>
  <c r="AA21" i="7"/>
  <c r="C25" i="7"/>
  <c r="I28" i="7"/>
  <c r="AE31" i="7"/>
  <c r="O35" i="7"/>
  <c r="U38" i="7"/>
  <c r="E42" i="7"/>
  <c r="K45" i="7"/>
  <c r="C49" i="7"/>
  <c r="Q52" i="7"/>
  <c r="W55" i="7"/>
  <c r="Q62" i="7"/>
  <c r="P19" i="7"/>
  <c r="AD22" i="7"/>
  <c r="F26" i="7"/>
  <c r="L29" i="7"/>
  <c r="R32" i="7"/>
  <c r="J36" i="7"/>
  <c r="X39" i="7"/>
  <c r="V42" i="7"/>
  <c r="F46" i="7"/>
  <c r="L49" i="7"/>
  <c r="Z52" i="7"/>
  <c r="X55" i="7"/>
  <c r="AC64" i="7"/>
  <c r="K20" i="7"/>
  <c r="C24" i="7"/>
  <c r="W30" i="7"/>
  <c r="G34" i="7"/>
  <c r="M37" i="7"/>
  <c r="E41" i="7"/>
  <c r="S44" i="7"/>
  <c r="C48" i="7"/>
  <c r="M53" i="7"/>
  <c r="G61" i="7"/>
  <c r="Z19" i="7"/>
  <c r="L24" i="7"/>
  <c r="P30" i="7"/>
  <c r="AF34" i="7"/>
  <c r="F41" i="7"/>
  <c r="V45" i="7"/>
  <c r="Z51" i="7"/>
  <c r="G59" i="7"/>
  <c r="S19" i="7"/>
  <c r="E28" i="7"/>
  <c r="M36" i="7"/>
  <c r="C43" i="7"/>
  <c r="S51" i="7"/>
  <c r="AE69" i="7"/>
  <c r="D23" i="7"/>
  <c r="X29" i="7"/>
  <c r="AD52" i="7"/>
  <c r="AE65" i="7"/>
  <c r="Q25" i="7"/>
  <c r="W40" i="7"/>
  <c r="AE48" i="7"/>
  <c r="U57" i="7"/>
  <c r="J62" i="7"/>
  <c r="Z70" i="7"/>
  <c r="P77" i="7"/>
  <c r="AA62" i="7"/>
  <c r="E71" i="7"/>
  <c r="U79" i="7"/>
  <c r="V63" i="7"/>
  <c r="AD71" i="7"/>
  <c r="T78" i="7"/>
  <c r="G67" i="7"/>
  <c r="O75" i="7"/>
  <c r="H59" i="7"/>
  <c r="AB65" i="7"/>
  <c r="F74" i="7"/>
  <c r="AC80" i="7"/>
  <c r="AC65" i="7"/>
  <c r="O74" i="7"/>
  <c r="J59" i="7"/>
  <c r="Z67" i="7"/>
  <c r="P74" i="7"/>
  <c r="Q83" i="7"/>
  <c r="G90" i="7"/>
  <c r="W98" i="7"/>
  <c r="R83" i="7"/>
  <c r="H90" i="7"/>
  <c r="P98" i="7"/>
  <c r="Q82" i="7"/>
  <c r="Y90" i="7"/>
  <c r="K99" i="7"/>
  <c r="L83" i="7"/>
  <c r="T91" i="7"/>
  <c r="AF97" i="7"/>
  <c r="Y89" i="7"/>
  <c r="C98" i="7"/>
  <c r="D82" i="7"/>
  <c r="P88" i="7"/>
  <c r="AA103" i="7"/>
  <c r="Y88" i="7"/>
  <c r="C97" i="7"/>
  <c r="AD82" i="7"/>
  <c r="T89" i="7"/>
  <c r="J100" i="7"/>
  <c r="J114" i="7"/>
  <c r="O131" i="7"/>
  <c r="AD107" i="7"/>
  <c r="X120" i="7"/>
  <c r="G111" i="7"/>
  <c r="M127" i="7"/>
  <c r="P115" i="7"/>
  <c r="Q103" i="7"/>
  <c r="O118" i="7"/>
  <c r="M2527" i="1"/>
  <c r="T2527" i="1"/>
  <c r="R2527" i="1"/>
  <c r="T2498" i="1"/>
  <c r="U2498" i="1" s="1"/>
  <c r="V2498" i="1" s="1"/>
  <c r="M2498" i="1"/>
  <c r="R2498" i="1"/>
  <c r="T2426" i="1"/>
  <c r="U2426" i="1" s="1"/>
  <c r="V2426" i="1" s="1"/>
  <c r="M2426" i="1"/>
  <c r="R2426" i="1"/>
  <c r="T2394" i="1"/>
  <c r="U2394" i="1" s="1"/>
  <c r="V2394" i="1" s="1"/>
  <c r="M2394" i="1"/>
  <c r="R2394" i="1"/>
  <c r="T2322" i="1"/>
  <c r="U2322" i="1" s="1"/>
  <c r="V2322" i="1" s="1"/>
  <c r="M2322" i="1"/>
  <c r="R2322" i="1"/>
  <c r="T2258" i="1"/>
  <c r="U2258" i="1" s="1"/>
  <c r="V2258" i="1" s="1"/>
  <c r="M2258" i="1"/>
  <c r="R2258" i="1"/>
  <c r="T2138" i="1"/>
  <c r="U2138" i="1" s="1"/>
  <c r="V2138" i="1" s="1"/>
  <c r="M2138" i="1"/>
  <c r="R2138" i="1"/>
  <c r="T2625" i="1"/>
  <c r="M2625" i="1"/>
  <c r="R2625" i="1"/>
  <c r="U2420" i="1"/>
  <c r="V2420" i="1" s="1"/>
  <c r="R2233" i="1"/>
  <c r="T2233" i="1"/>
  <c r="U2233" i="1" s="1"/>
  <c r="V2233" i="1" s="1"/>
  <c r="M2233" i="1"/>
  <c r="U2531" i="1"/>
  <c r="V2531" i="1" s="1"/>
  <c r="U2396" i="1"/>
  <c r="V2396" i="1" s="1"/>
  <c r="R2289" i="1"/>
  <c r="T2289" i="1"/>
  <c r="U2289" i="1" s="1"/>
  <c r="V2289" i="1" s="1"/>
  <c r="M2289" i="1"/>
  <c r="R2137" i="1"/>
  <c r="T2137" i="1"/>
  <c r="U2137" i="1" s="1"/>
  <c r="V2137" i="1" s="1"/>
  <c r="M2137" i="1"/>
  <c r="M2120" i="1"/>
  <c r="T2120" i="1"/>
  <c r="R2120" i="1"/>
  <c r="U2252" i="1"/>
  <c r="V2252" i="1" s="1"/>
  <c r="U2260" i="1"/>
  <c r="V2260" i="1" s="1"/>
  <c r="R2044" i="1"/>
  <c r="M2044" i="1"/>
  <c r="T2044" i="1"/>
  <c r="U2044" i="1" s="1"/>
  <c r="V2044" i="1" s="1"/>
  <c r="R2012" i="1"/>
  <c r="T2012" i="1"/>
  <c r="U2012" i="1" s="1"/>
  <c r="V2012" i="1" s="1"/>
  <c r="M2012" i="1"/>
  <c r="R1980" i="1"/>
  <c r="T1980" i="1"/>
  <c r="U1980" i="1" s="1"/>
  <c r="V1980" i="1" s="1"/>
  <c r="M1980" i="1"/>
  <c r="R1948" i="1"/>
  <c r="T1948" i="1"/>
  <c r="U1948" i="1" s="1"/>
  <c r="V1948" i="1" s="1"/>
  <c r="M1948" i="1"/>
  <c r="R1916" i="1"/>
  <c r="M1916" i="1"/>
  <c r="T1916" i="1"/>
  <c r="U1916" i="1" s="1"/>
  <c r="V1916" i="1" s="1"/>
  <c r="R1884" i="1"/>
  <c r="M1884" i="1"/>
  <c r="T1884" i="1"/>
  <c r="U1884" i="1" s="1"/>
  <c r="V1884" i="1" s="1"/>
  <c r="T1902" i="1"/>
  <c r="M1902" i="1"/>
  <c r="R1902" i="1"/>
  <c r="M1781" i="1"/>
  <c r="T1781" i="1"/>
  <c r="U1781" i="1" s="1"/>
  <c r="V1781" i="1" s="1"/>
  <c r="R1781" i="1"/>
  <c r="U2065" i="1"/>
  <c r="V2065" i="1" s="1"/>
  <c r="U1986" i="1"/>
  <c r="V1986" i="1" s="1"/>
  <c r="U1970" i="1"/>
  <c r="V1970" i="1" s="1"/>
  <c r="T1910" i="1"/>
  <c r="U1910" i="1" s="1"/>
  <c r="V1910" i="1" s="1"/>
  <c r="M1910" i="1"/>
  <c r="R1910" i="1"/>
  <c r="T1814" i="1"/>
  <c r="U1814" i="1" s="1"/>
  <c r="V1814" i="1" s="1"/>
  <c r="M1814" i="1"/>
  <c r="R1814" i="1"/>
  <c r="T1670" i="1"/>
  <c r="M1670" i="1"/>
  <c r="R1670" i="1"/>
  <c r="T1606" i="1"/>
  <c r="U1606" i="1" s="1"/>
  <c r="V1606" i="1" s="1"/>
  <c r="M1606" i="1"/>
  <c r="R1606" i="1"/>
  <c r="T1542" i="1"/>
  <c r="U1542" i="1" s="1"/>
  <c r="V1542" i="1" s="1"/>
  <c r="M1542" i="1"/>
  <c r="R1542" i="1"/>
  <c r="R1893" i="1"/>
  <c r="T1893" i="1"/>
  <c r="U1893" i="1" s="1"/>
  <c r="V1893" i="1" s="1"/>
  <c r="M1893" i="1"/>
  <c r="T1846" i="1"/>
  <c r="M1846" i="1"/>
  <c r="R1846" i="1"/>
  <c r="R2417" i="1"/>
  <c r="T2417" i="1"/>
  <c r="U2417" i="1" s="1"/>
  <c r="V2417" i="1" s="1"/>
  <c r="M2417" i="1"/>
  <c r="R1997" i="1"/>
  <c r="T1997" i="1"/>
  <c r="U1997" i="1" s="1"/>
  <c r="V1997" i="1" s="1"/>
  <c r="M1997" i="1"/>
  <c r="R1981" i="1"/>
  <c r="T1981" i="1"/>
  <c r="U1981" i="1" s="1"/>
  <c r="V1981" i="1" s="1"/>
  <c r="M1981" i="1"/>
  <c r="R1661" i="1"/>
  <c r="T1661" i="1"/>
  <c r="U1661" i="1" s="1"/>
  <c r="V1661" i="1" s="1"/>
  <c r="M1661" i="1"/>
  <c r="U1623" i="1"/>
  <c r="V1623" i="1" s="1"/>
  <c r="R1820" i="1"/>
  <c r="T1820" i="1"/>
  <c r="U1820" i="1" s="1"/>
  <c r="V1820" i="1" s="1"/>
  <c r="M1820" i="1"/>
  <c r="U1607" i="1"/>
  <c r="V1607" i="1" s="1"/>
  <c r="U1527" i="1"/>
  <c r="V1527" i="1" s="1"/>
  <c r="U1487" i="1"/>
  <c r="V1487" i="1" s="1"/>
  <c r="T1440" i="1"/>
  <c r="M1440" i="1"/>
  <c r="R1440" i="1"/>
  <c r="R1378" i="1"/>
  <c r="M1378" i="1"/>
  <c r="T1378" i="1"/>
  <c r="U1378" i="1" s="1"/>
  <c r="V1378" i="1" s="1"/>
  <c r="R1557" i="1"/>
  <c r="T1557" i="1"/>
  <c r="U1557" i="1" s="1"/>
  <c r="V1557" i="1" s="1"/>
  <c r="M1557" i="1"/>
  <c r="R1653" i="1"/>
  <c r="T1653" i="1"/>
  <c r="U1653" i="1" s="1"/>
  <c r="V1653" i="1" s="1"/>
  <c r="M1653" i="1"/>
  <c r="R1629" i="1"/>
  <c r="T1629" i="1"/>
  <c r="U1629" i="1" s="1"/>
  <c r="V1629" i="1" s="1"/>
  <c r="M1629" i="1"/>
  <c r="T1448" i="1"/>
  <c r="U1448" i="1" s="1"/>
  <c r="V1448" i="1" s="1"/>
  <c r="M1448" i="1"/>
  <c r="R1448" i="1"/>
  <c r="R1372" i="1"/>
  <c r="M1372" i="1"/>
  <c r="T1372" i="1"/>
  <c r="U1372" i="1" s="1"/>
  <c r="V1372" i="1" s="1"/>
  <c r="U1575" i="1"/>
  <c r="V1575" i="1" s="1"/>
  <c r="R1541" i="1"/>
  <c r="T1541" i="1"/>
  <c r="U1541" i="1" s="1"/>
  <c r="V1541" i="1" s="1"/>
  <c r="M1541" i="1"/>
  <c r="T1738" i="1"/>
  <c r="U1738" i="1" s="1"/>
  <c r="V1738" i="1" s="1"/>
  <c r="M1738" i="1"/>
  <c r="R1738" i="1"/>
  <c r="U1714" i="1"/>
  <c r="V1714" i="1" s="1"/>
  <c r="U1627" i="1"/>
  <c r="V1627" i="1" s="1"/>
  <c r="R1533" i="1"/>
  <c r="T1533" i="1"/>
  <c r="U1533" i="1" s="1"/>
  <c r="V1533" i="1" s="1"/>
  <c r="M1533" i="1"/>
  <c r="U1511" i="1"/>
  <c r="V1511" i="1" s="1"/>
  <c r="T1464" i="1"/>
  <c r="U1464" i="1" s="1"/>
  <c r="V1464" i="1" s="1"/>
  <c r="M1464" i="1"/>
  <c r="R1464" i="1"/>
  <c r="R1342" i="1"/>
  <c r="M1342" i="1"/>
  <c r="T1342" i="1"/>
  <c r="U1342" i="1" s="1"/>
  <c r="V1342" i="1" s="1"/>
  <c r="R1278" i="1"/>
  <c r="T1278" i="1"/>
  <c r="U1278" i="1" s="1"/>
  <c r="V1278" i="1" s="1"/>
  <c r="M1278" i="1"/>
  <c r="R1214" i="1"/>
  <c r="T1214" i="1"/>
  <c r="U1214" i="1" s="1"/>
  <c r="V1214" i="1" s="1"/>
  <c r="M1214" i="1"/>
  <c r="R1118" i="1"/>
  <c r="T1118" i="1"/>
  <c r="U1118" i="1" s="1"/>
  <c r="V1118" i="1" s="1"/>
  <c r="M1118" i="1"/>
  <c r="R1086" i="1"/>
  <c r="T1086" i="1"/>
  <c r="U1086" i="1" s="1"/>
  <c r="V1086" i="1" s="1"/>
  <c r="M1086" i="1"/>
  <c r="U1213" i="1"/>
  <c r="V1213" i="1" s="1"/>
  <c r="T994" i="1"/>
  <c r="U994" i="1" s="1"/>
  <c r="V994" i="1" s="1"/>
  <c r="M994" i="1"/>
  <c r="R994" i="1"/>
  <c r="U1205" i="1"/>
  <c r="V1205" i="1" s="1"/>
  <c r="T1098" i="1"/>
  <c r="U1098" i="1" s="1"/>
  <c r="V1098" i="1" s="1"/>
  <c r="M1098" i="1"/>
  <c r="R1098" i="1"/>
  <c r="T1352" i="1"/>
  <c r="M1352" i="1"/>
  <c r="R1352" i="1"/>
  <c r="R1103" i="1"/>
  <c r="T1103" i="1"/>
  <c r="U1103" i="1" s="1"/>
  <c r="V1103" i="1" s="1"/>
  <c r="M1103" i="1"/>
  <c r="U1571" i="1"/>
  <c r="V1571" i="1" s="1"/>
  <c r="U1169" i="1"/>
  <c r="V1169" i="1" s="1"/>
  <c r="R1087" i="1"/>
  <c r="T1087" i="1"/>
  <c r="U1087" i="1" s="1"/>
  <c r="V1087" i="1" s="1"/>
  <c r="M1087" i="1"/>
  <c r="U1013" i="1"/>
  <c r="V1013" i="1" s="1"/>
  <c r="T968" i="1"/>
  <c r="U968" i="1" s="1"/>
  <c r="V968" i="1" s="1"/>
  <c r="M968" i="1"/>
  <c r="R968" i="1"/>
  <c r="T1399" i="1"/>
  <c r="U1399" i="1" s="1"/>
  <c r="V1399" i="1" s="1"/>
  <c r="M1399" i="1"/>
  <c r="R1399" i="1"/>
  <c r="U1237" i="1"/>
  <c r="V1237" i="1" s="1"/>
  <c r="T1138" i="1"/>
  <c r="U1138" i="1" s="1"/>
  <c r="V1138" i="1" s="1"/>
  <c r="M1138" i="1"/>
  <c r="R1138" i="1"/>
  <c r="T1063" i="1"/>
  <c r="U1063" i="1" s="1"/>
  <c r="V1063" i="1" s="1"/>
  <c r="M1063" i="1"/>
  <c r="R1063" i="1"/>
  <c r="U1149" i="1"/>
  <c r="V1149" i="1" s="1"/>
  <c r="T740" i="1"/>
  <c r="U740" i="1" s="1"/>
  <c r="V740" i="1" s="1"/>
  <c r="M740" i="1"/>
  <c r="R740" i="1"/>
  <c r="M644" i="1"/>
  <c r="T644" i="1"/>
  <c r="U644" i="1" s="1"/>
  <c r="V644" i="1" s="1"/>
  <c r="R644" i="1"/>
  <c r="R941" i="1"/>
  <c r="T941" i="1"/>
  <c r="U941" i="1" s="1"/>
  <c r="V941" i="1" s="1"/>
  <c r="M941" i="1"/>
  <c r="R843" i="1"/>
  <c r="T843" i="1"/>
  <c r="U843" i="1" s="1"/>
  <c r="V843" i="1" s="1"/>
  <c r="M843" i="1"/>
  <c r="T796" i="1"/>
  <c r="U796" i="1" s="1"/>
  <c r="V796" i="1" s="1"/>
  <c r="M796" i="1"/>
  <c r="R796" i="1"/>
  <c r="R851" i="1"/>
  <c r="T851" i="1"/>
  <c r="U851" i="1" s="1"/>
  <c r="V851" i="1" s="1"/>
  <c r="M851" i="1"/>
  <c r="R612" i="1"/>
  <c r="M612" i="1"/>
  <c r="T612" i="1"/>
  <c r="U612" i="1" s="1"/>
  <c r="V612" i="1" s="1"/>
  <c r="U587" i="1"/>
  <c r="V587" i="1" s="1"/>
  <c r="R558" i="1"/>
  <c r="T558" i="1"/>
  <c r="U558" i="1" s="1"/>
  <c r="V558" i="1" s="1"/>
  <c r="M558" i="1"/>
  <c r="U524" i="1"/>
  <c r="V524" i="1" s="1"/>
  <c r="R462" i="1"/>
  <c r="T462" i="1"/>
  <c r="U462" i="1" s="1"/>
  <c r="V462" i="1" s="1"/>
  <c r="M462" i="1"/>
  <c r="T269" i="1"/>
  <c r="U269" i="1" s="1"/>
  <c r="V269" i="1" s="1"/>
  <c r="R269" i="1"/>
  <c r="M269" i="1"/>
  <c r="U432" i="1"/>
  <c r="V432" i="1" s="1"/>
  <c r="U464" i="1"/>
  <c r="V464" i="1" s="1"/>
  <c r="U1229" i="1"/>
  <c r="V1229" i="1" s="1"/>
  <c r="T143" i="1"/>
  <c r="U143" i="1" s="1"/>
  <c r="V143" i="1" s="1"/>
  <c r="M143" i="1"/>
  <c r="R143" i="1"/>
  <c r="R79" i="1"/>
  <c r="T79" i="1"/>
  <c r="U79" i="1" s="1"/>
  <c r="V79" i="1" s="1"/>
  <c r="M79" i="1"/>
  <c r="R550" i="1"/>
  <c r="T550" i="1"/>
  <c r="U550" i="1" s="1"/>
  <c r="V550" i="1" s="1"/>
  <c r="M550" i="1"/>
  <c r="U484" i="1"/>
  <c r="V484" i="1" s="1"/>
  <c r="R325" i="1"/>
  <c r="T325" i="1"/>
  <c r="U325" i="1" s="1"/>
  <c r="V325" i="1" s="1"/>
  <c r="M325" i="1"/>
  <c r="U372" i="1"/>
  <c r="V372" i="1" s="1"/>
  <c r="U320" i="1"/>
  <c r="V320" i="1" s="1"/>
  <c r="T213" i="1"/>
  <c r="U213" i="1" s="1"/>
  <c r="V213" i="1" s="1"/>
  <c r="R213" i="1"/>
  <c r="M213" i="1"/>
  <c r="T149" i="1"/>
  <c r="R149" i="1"/>
  <c r="M149" i="1"/>
  <c r="R85" i="1"/>
  <c r="M85" i="1"/>
  <c r="T85" i="1"/>
  <c r="U85" i="1" s="1"/>
  <c r="V85" i="1" s="1"/>
  <c r="U579" i="1"/>
  <c r="V579" i="1" s="1"/>
  <c r="U496" i="1"/>
  <c r="V496" i="1" s="1"/>
  <c r="U49" i="1"/>
  <c r="V49" i="1" s="1"/>
  <c r="U200" i="1"/>
  <c r="V200" i="1" s="1"/>
  <c r="U224" i="1"/>
  <c r="V224" i="1" s="1"/>
  <c r="AE12" i="7"/>
  <c r="C6" i="7"/>
  <c r="C2" i="7"/>
  <c r="J29" i="7"/>
  <c r="M15" i="7"/>
  <c r="M11" i="7"/>
  <c r="M7" i="7"/>
  <c r="M3" i="7"/>
  <c r="AD39" i="7"/>
  <c r="R16" i="7"/>
  <c r="F3" i="7"/>
  <c r="J5" i="7"/>
  <c r="N7" i="7"/>
  <c r="R9" i="7"/>
  <c r="Z13" i="7"/>
  <c r="AD15" i="7"/>
  <c r="AF20" i="7"/>
  <c r="D38" i="7"/>
  <c r="F55" i="7"/>
  <c r="O3" i="7"/>
  <c r="S5" i="7"/>
  <c r="W7" i="7"/>
  <c r="AA9" i="7"/>
  <c r="AE11" i="7"/>
  <c r="E14" i="7"/>
  <c r="J16" i="7"/>
  <c r="N23" i="7"/>
  <c r="P40" i="7"/>
  <c r="V57" i="7"/>
  <c r="X3" i="7"/>
  <c r="AB5" i="7"/>
  <c r="AF7" i="7"/>
  <c r="F10" i="7"/>
  <c r="J12" i="7"/>
  <c r="N14" i="7"/>
  <c r="W16" i="7"/>
  <c r="Z25" i="7"/>
  <c r="AB42" i="7"/>
  <c r="Y70" i="7"/>
  <c r="C4" i="7"/>
  <c r="G6" i="7"/>
  <c r="K8" i="7"/>
  <c r="O10" i="7"/>
  <c r="S12" i="7"/>
  <c r="W14" i="7"/>
  <c r="H17" i="7"/>
  <c r="H28" i="7"/>
  <c r="J45" i="7"/>
  <c r="H2" i="7"/>
  <c r="L4" i="7"/>
  <c r="P6" i="7"/>
  <c r="T8" i="7"/>
  <c r="X10" i="7"/>
  <c r="AB12" i="7"/>
  <c r="AF14" i="7"/>
  <c r="U17" i="7"/>
  <c r="T30" i="7"/>
  <c r="Q2" i="7"/>
  <c r="U4" i="7"/>
  <c r="Y6" i="7"/>
  <c r="AC8" i="7"/>
  <c r="K11" i="7"/>
  <c r="W13" i="7"/>
  <c r="F16" i="7"/>
  <c r="P24" i="7"/>
  <c r="Z45" i="7"/>
  <c r="R2" i="7"/>
  <c r="AD4" i="7"/>
  <c r="L7" i="7"/>
  <c r="X9" i="7"/>
  <c r="F12" i="7"/>
  <c r="R14" i="7"/>
  <c r="Y17" i="7"/>
  <c r="J33" i="7"/>
  <c r="P52" i="7"/>
  <c r="G19" i="7"/>
  <c r="U22" i="7"/>
  <c r="S25" i="7"/>
  <c r="C29" i="7"/>
  <c r="I32" i="7"/>
  <c r="W35" i="7"/>
  <c r="AC38" i="7"/>
  <c r="U42" i="7"/>
  <c r="E46" i="7"/>
  <c r="K49" i="7"/>
  <c r="Y52" i="7"/>
  <c r="AE55" i="7"/>
  <c r="U64" i="7"/>
  <c r="X19" i="7"/>
  <c r="P23" i="7"/>
  <c r="AB29" i="7"/>
  <c r="L33" i="7"/>
  <c r="R36" i="7"/>
  <c r="AF39" i="7"/>
  <c r="AD42" i="7"/>
  <c r="N46" i="7"/>
  <c r="T49" i="7"/>
  <c r="L53" i="7"/>
  <c r="AF55" i="7"/>
  <c r="G69" i="7"/>
  <c r="E21" i="7"/>
  <c r="K24" i="7"/>
  <c r="Y27" i="7"/>
  <c r="AE30" i="7"/>
  <c r="W34" i="7"/>
  <c r="G38" i="7"/>
  <c r="M41" i="7"/>
  <c r="AA44" i="7"/>
  <c r="E49" i="7"/>
  <c r="G54" i="7"/>
  <c r="O69" i="7"/>
  <c r="D20" i="7"/>
  <c r="N25" i="7"/>
  <c r="X30" i="7"/>
  <c r="D36" i="7"/>
  <c r="N41" i="7"/>
  <c r="X46" i="7"/>
  <c r="D52" i="7"/>
  <c r="I60" i="7"/>
  <c r="O21" i="7"/>
  <c r="AE29" i="7"/>
  <c r="U36" i="7"/>
  <c r="AC44" i="7"/>
  <c r="O53" i="7"/>
  <c r="E72" i="7"/>
  <c r="L23" i="7"/>
  <c r="T31" i="7"/>
  <c r="AF37" i="7"/>
  <c r="R46" i="7"/>
  <c r="H53" i="7"/>
  <c r="E68" i="7"/>
  <c r="Y25" i="7"/>
  <c r="C34" i="7"/>
  <c r="S42" i="7"/>
  <c r="I49" i="7"/>
  <c r="AE57" i="7"/>
  <c r="R62" i="7"/>
  <c r="D71" i="7"/>
  <c r="L79" i="7"/>
  <c r="W64" i="7"/>
  <c r="M71" i="7"/>
  <c r="AC79" i="7"/>
  <c r="R65" i="7"/>
  <c r="H72" i="7"/>
  <c r="R80" i="7"/>
  <c r="C69" i="7"/>
  <c r="W75" i="7"/>
  <c r="P59" i="7"/>
  <c r="N74" i="7"/>
  <c r="I59" i="7"/>
  <c r="Y67" i="7"/>
  <c r="R59" i="7"/>
  <c r="D68" i="7"/>
  <c r="L76" i="7"/>
  <c r="Y83" i="7"/>
  <c r="C92" i="7"/>
  <c r="Z83" i="7"/>
  <c r="D92" i="7"/>
  <c r="X98" i="7"/>
  <c r="M84" i="7"/>
  <c r="C91" i="7"/>
  <c r="S99" i="7"/>
  <c r="AB91" i="7"/>
  <c r="J98" i="7"/>
  <c r="E83" i="7"/>
  <c r="U91" i="7"/>
  <c r="K98" i="7"/>
  <c r="L82" i="7"/>
  <c r="X88" i="7"/>
  <c r="AF96" i="7"/>
  <c r="E82" i="7"/>
  <c r="U90" i="7"/>
  <c r="K97" i="7"/>
  <c r="H83" i="7"/>
  <c r="N116" i="7"/>
  <c r="E119" i="7"/>
  <c r="D110" i="7"/>
  <c r="AB122" i="7"/>
  <c r="K113" i="7"/>
  <c r="Z104" i="7"/>
  <c r="T117" i="7"/>
  <c r="U105" i="7"/>
  <c r="S120" i="7"/>
  <c r="T2609" i="1"/>
  <c r="U2609" i="1" s="1"/>
  <c r="V2609" i="1" s="1"/>
  <c r="M2609" i="1"/>
  <c r="R2609" i="1"/>
  <c r="R2510" i="1"/>
  <c r="M2510" i="1"/>
  <c r="T2510" i="1"/>
  <c r="U2510" i="1" s="1"/>
  <c r="V2510" i="1" s="1"/>
  <c r="T2474" i="1"/>
  <c r="U2474" i="1" s="1"/>
  <c r="V2474" i="1" s="1"/>
  <c r="M2474" i="1"/>
  <c r="R2474" i="1"/>
  <c r="T2362" i="1"/>
  <c r="U2362" i="1" s="1"/>
  <c r="V2362" i="1" s="1"/>
  <c r="M2362" i="1"/>
  <c r="R2362" i="1"/>
  <c r="T2298" i="1"/>
  <c r="U2298" i="1" s="1"/>
  <c r="V2298" i="1" s="1"/>
  <c r="M2298" i="1"/>
  <c r="R2298" i="1"/>
  <c r="T2154" i="1"/>
  <c r="U2154" i="1" s="1"/>
  <c r="V2154" i="1" s="1"/>
  <c r="M2154" i="1"/>
  <c r="R2154" i="1"/>
  <c r="R2672" i="1"/>
  <c r="T2672" i="1"/>
  <c r="U2672" i="1" s="1"/>
  <c r="V2672" i="1" s="1"/>
  <c r="M2672" i="1"/>
  <c r="T2649" i="1"/>
  <c r="M2649" i="1"/>
  <c r="R2649" i="1"/>
  <c r="R2153" i="1"/>
  <c r="T2153" i="1"/>
  <c r="U2153" i="1" s="1"/>
  <c r="V2153" i="1" s="1"/>
  <c r="M2153" i="1"/>
  <c r="R2393" i="1"/>
  <c r="T2393" i="1"/>
  <c r="U2393" i="1" s="1"/>
  <c r="V2393" i="1" s="1"/>
  <c r="M2393" i="1"/>
  <c r="R2193" i="1"/>
  <c r="T2193" i="1"/>
  <c r="U2193" i="1" s="1"/>
  <c r="V2193" i="1" s="1"/>
  <c r="M2193" i="1"/>
  <c r="R2465" i="1"/>
  <c r="T2465" i="1"/>
  <c r="U2465" i="1" s="1"/>
  <c r="V2465" i="1" s="1"/>
  <c r="M2465" i="1"/>
  <c r="T2133" i="1"/>
  <c r="U2133" i="1" s="1"/>
  <c r="V2133" i="1" s="1"/>
  <c r="M2133" i="1"/>
  <c r="R2133" i="1"/>
  <c r="R2249" i="1"/>
  <c r="T2249" i="1"/>
  <c r="U2249" i="1" s="1"/>
  <c r="V2249" i="1" s="1"/>
  <c r="M2249" i="1"/>
  <c r="R2425" i="1"/>
  <c r="T2425" i="1"/>
  <c r="U2425" i="1" s="1"/>
  <c r="V2425" i="1" s="1"/>
  <c r="M2425" i="1"/>
  <c r="R2076" i="1"/>
  <c r="T2076" i="1"/>
  <c r="U2076" i="1" s="1"/>
  <c r="V2076" i="1" s="1"/>
  <c r="M2076" i="1"/>
  <c r="R2077" i="1"/>
  <c r="T2077" i="1"/>
  <c r="M2077" i="1"/>
  <c r="T1918" i="1"/>
  <c r="U1918" i="1" s="1"/>
  <c r="V1918" i="1" s="1"/>
  <c r="M1918" i="1"/>
  <c r="R1918" i="1"/>
  <c r="R1901" i="1"/>
  <c r="T1901" i="1"/>
  <c r="U1901" i="1" s="1"/>
  <c r="V1901" i="1" s="1"/>
  <c r="M1901" i="1"/>
  <c r="T1797" i="1"/>
  <c r="U1797" i="1" s="1"/>
  <c r="V1797" i="1" s="1"/>
  <c r="M1797" i="1"/>
  <c r="R1797" i="1"/>
  <c r="R2045" i="1"/>
  <c r="T2045" i="1"/>
  <c r="M2045" i="1"/>
  <c r="U1954" i="1"/>
  <c r="V1954" i="1" s="1"/>
  <c r="R2361" i="1"/>
  <c r="T2361" i="1"/>
  <c r="U2361" i="1" s="1"/>
  <c r="V2361" i="1" s="1"/>
  <c r="M2361" i="1"/>
  <c r="R1780" i="1"/>
  <c r="M1780" i="1"/>
  <c r="T1780" i="1"/>
  <c r="U1780" i="1" s="1"/>
  <c r="V1780" i="1" s="1"/>
  <c r="M1741" i="1"/>
  <c r="T1741" i="1"/>
  <c r="U1741" i="1" s="1"/>
  <c r="V1741" i="1" s="1"/>
  <c r="R1741" i="1"/>
  <c r="M1725" i="1"/>
  <c r="T1725" i="1"/>
  <c r="U1725" i="1" s="1"/>
  <c r="V1725" i="1" s="1"/>
  <c r="R1725" i="1"/>
  <c r="T1926" i="1"/>
  <c r="U1926" i="1" s="1"/>
  <c r="V1926" i="1" s="1"/>
  <c r="M1926" i="1"/>
  <c r="R1926" i="1"/>
  <c r="R1721" i="1"/>
  <c r="M1721" i="1"/>
  <c r="T1721" i="1"/>
  <c r="U1721" i="1" s="1"/>
  <c r="V1721" i="1" s="1"/>
  <c r="T1694" i="1"/>
  <c r="M1694" i="1"/>
  <c r="R1694" i="1"/>
  <c r="T1630" i="1"/>
  <c r="U1630" i="1" s="1"/>
  <c r="V1630" i="1" s="1"/>
  <c r="M1630" i="1"/>
  <c r="R1630" i="1"/>
  <c r="T1566" i="1"/>
  <c r="U1566" i="1" s="1"/>
  <c r="V1566" i="1" s="1"/>
  <c r="M1566" i="1"/>
  <c r="R1566" i="1"/>
  <c r="T1510" i="1"/>
  <c r="U1510" i="1" s="1"/>
  <c r="V1510" i="1" s="1"/>
  <c r="R1510" i="1"/>
  <c r="M1510" i="1"/>
  <c r="M1494" i="1"/>
  <c r="T1494" i="1"/>
  <c r="U1494" i="1" s="1"/>
  <c r="V1494" i="1" s="1"/>
  <c r="R1494" i="1"/>
  <c r="M1478" i="1"/>
  <c r="T1478" i="1"/>
  <c r="U1478" i="1" s="1"/>
  <c r="V1478" i="1" s="1"/>
  <c r="R1478" i="1"/>
  <c r="T1462" i="1"/>
  <c r="U1462" i="1" s="1"/>
  <c r="V1462" i="1" s="1"/>
  <c r="R1462" i="1"/>
  <c r="M1462" i="1"/>
  <c r="T1446" i="1"/>
  <c r="U1446" i="1" s="1"/>
  <c r="V1446" i="1" s="1"/>
  <c r="R1446" i="1"/>
  <c r="M1446" i="1"/>
  <c r="M1414" i="1"/>
  <c r="T1414" i="1"/>
  <c r="U1414" i="1" s="1"/>
  <c r="V1414" i="1" s="1"/>
  <c r="R1414" i="1"/>
  <c r="T1998" i="1"/>
  <c r="U1998" i="1" s="1"/>
  <c r="V1998" i="1" s="1"/>
  <c r="M1998" i="1"/>
  <c r="R1998" i="1"/>
  <c r="T1821" i="1"/>
  <c r="U1821" i="1" s="1"/>
  <c r="V1821" i="1" s="1"/>
  <c r="M1821" i="1"/>
  <c r="R1821" i="1"/>
  <c r="T1806" i="1"/>
  <c r="M1806" i="1"/>
  <c r="R1806" i="1"/>
  <c r="R1726" i="1"/>
  <c r="M1726" i="1"/>
  <c r="T1726" i="1"/>
  <c r="U1726" i="1" s="1"/>
  <c r="V1726" i="1" s="1"/>
  <c r="R1452" i="1"/>
  <c r="M1452" i="1"/>
  <c r="T1452" i="1"/>
  <c r="U1452" i="1" s="1"/>
  <c r="V1452" i="1" s="1"/>
  <c r="M1371" i="1"/>
  <c r="T1371" i="1"/>
  <c r="U1371" i="1" s="1"/>
  <c r="V1371" i="1" s="1"/>
  <c r="R1371" i="1"/>
  <c r="R1701" i="1"/>
  <c r="T1701" i="1"/>
  <c r="U1701" i="1" s="1"/>
  <c r="V1701" i="1" s="1"/>
  <c r="M1701" i="1"/>
  <c r="M1444" i="1"/>
  <c r="T1444" i="1"/>
  <c r="R1444" i="1"/>
  <c r="R1573" i="1"/>
  <c r="T1573" i="1"/>
  <c r="U1573" i="1" s="1"/>
  <c r="V1573" i="1" s="1"/>
  <c r="M1573" i="1"/>
  <c r="R1373" i="1"/>
  <c r="T1373" i="1"/>
  <c r="U1373" i="1" s="1"/>
  <c r="V1373" i="1" s="1"/>
  <c r="M1373" i="1"/>
  <c r="R1357" i="1"/>
  <c r="M1357" i="1"/>
  <c r="T1357" i="1"/>
  <c r="U1357" i="1" s="1"/>
  <c r="V1357" i="1" s="1"/>
  <c r="R1318" i="1"/>
  <c r="T1318" i="1"/>
  <c r="U1318" i="1" s="1"/>
  <c r="V1318" i="1" s="1"/>
  <c r="M1318" i="1"/>
  <c r="R1254" i="1"/>
  <c r="M1254" i="1"/>
  <c r="T1254" i="1"/>
  <c r="U1254" i="1" s="1"/>
  <c r="V1254" i="1" s="1"/>
  <c r="R1190" i="1"/>
  <c r="M1190" i="1"/>
  <c r="T1190" i="1"/>
  <c r="U1190" i="1" s="1"/>
  <c r="V1190" i="1" s="1"/>
  <c r="R1397" i="1"/>
  <c r="T1397" i="1"/>
  <c r="U1397" i="1" s="1"/>
  <c r="V1397" i="1" s="1"/>
  <c r="M1397" i="1"/>
  <c r="R1038" i="1"/>
  <c r="M1038" i="1"/>
  <c r="T1038" i="1"/>
  <c r="U1038" i="1" s="1"/>
  <c r="V1038" i="1" s="1"/>
  <c r="M958" i="1"/>
  <c r="T958" i="1"/>
  <c r="R958" i="1"/>
  <c r="R1319" i="1"/>
  <c r="T1319" i="1"/>
  <c r="U1319" i="1" s="1"/>
  <c r="V1319" i="1" s="1"/>
  <c r="M1319" i="1"/>
  <c r="R1135" i="1"/>
  <c r="T1135" i="1"/>
  <c r="U1135" i="1" s="1"/>
  <c r="V1135" i="1" s="1"/>
  <c r="M1135" i="1"/>
  <c r="U1065" i="1"/>
  <c r="V1065" i="1" s="1"/>
  <c r="T909" i="1"/>
  <c r="U909" i="1" s="1"/>
  <c r="V909" i="1" s="1"/>
  <c r="M909" i="1"/>
  <c r="R909" i="1"/>
  <c r="T877" i="1"/>
  <c r="U877" i="1" s="1"/>
  <c r="V877" i="1" s="1"/>
  <c r="M877" i="1"/>
  <c r="R877" i="1"/>
  <c r="T845" i="1"/>
  <c r="U845" i="1" s="1"/>
  <c r="V845" i="1" s="1"/>
  <c r="M845" i="1"/>
  <c r="R845" i="1"/>
  <c r="R1175" i="1"/>
  <c r="T1175" i="1"/>
  <c r="U1175" i="1" s="1"/>
  <c r="V1175" i="1" s="1"/>
  <c r="M1175" i="1"/>
  <c r="R949" i="1"/>
  <c r="M949" i="1"/>
  <c r="T949" i="1"/>
  <c r="U949" i="1" s="1"/>
  <c r="V949" i="1" s="1"/>
  <c r="T892" i="1"/>
  <c r="U892" i="1" s="1"/>
  <c r="V892" i="1" s="1"/>
  <c r="M892" i="1"/>
  <c r="R892" i="1"/>
  <c r="R1327" i="1"/>
  <c r="T1327" i="1"/>
  <c r="U1327" i="1" s="1"/>
  <c r="V1327" i="1" s="1"/>
  <c r="M1327" i="1"/>
  <c r="R1070" i="1"/>
  <c r="T1070" i="1"/>
  <c r="U1070" i="1" s="1"/>
  <c r="V1070" i="1" s="1"/>
  <c r="M1070" i="1"/>
  <c r="R1127" i="1"/>
  <c r="T1127" i="1"/>
  <c r="U1127" i="1" s="1"/>
  <c r="V1127" i="1" s="1"/>
  <c r="M1127" i="1"/>
  <c r="T828" i="1"/>
  <c r="U828" i="1" s="1"/>
  <c r="V828" i="1" s="1"/>
  <c r="M828" i="1"/>
  <c r="R828" i="1"/>
  <c r="U1129" i="1"/>
  <c r="V1129" i="1" s="1"/>
  <c r="R981" i="1"/>
  <c r="T981" i="1"/>
  <c r="U981" i="1" s="1"/>
  <c r="V981" i="1" s="1"/>
  <c r="M981" i="1"/>
  <c r="T836" i="1"/>
  <c r="U836" i="1" s="1"/>
  <c r="V836" i="1" s="1"/>
  <c r="M836" i="1"/>
  <c r="R836" i="1"/>
  <c r="R939" i="1"/>
  <c r="T939" i="1"/>
  <c r="U939" i="1" s="1"/>
  <c r="V939" i="1" s="1"/>
  <c r="M939" i="1"/>
  <c r="R835" i="1"/>
  <c r="M835" i="1"/>
  <c r="T835" i="1"/>
  <c r="U835" i="1" s="1"/>
  <c r="V835" i="1" s="1"/>
  <c r="R827" i="1"/>
  <c r="M827" i="1"/>
  <c r="T827" i="1"/>
  <c r="U827" i="1" s="1"/>
  <c r="V827" i="1" s="1"/>
  <c r="R771" i="1"/>
  <c r="T771" i="1"/>
  <c r="M771" i="1"/>
  <c r="R573" i="1"/>
  <c r="M573" i="1"/>
  <c r="T573" i="1"/>
  <c r="U573" i="1" s="1"/>
  <c r="V573" i="1" s="1"/>
  <c r="R557" i="1"/>
  <c r="M557" i="1"/>
  <c r="T557" i="1"/>
  <c r="U557" i="1" s="1"/>
  <c r="V557" i="1" s="1"/>
  <c r="R541" i="1"/>
  <c r="M541" i="1"/>
  <c r="T541" i="1"/>
  <c r="U541" i="1" s="1"/>
  <c r="V541" i="1" s="1"/>
  <c r="R525" i="1"/>
  <c r="M525" i="1"/>
  <c r="T525" i="1"/>
  <c r="U525" i="1" s="1"/>
  <c r="V525" i="1" s="1"/>
  <c r="R509" i="1"/>
  <c r="M509" i="1"/>
  <c r="T509" i="1"/>
  <c r="U509" i="1" s="1"/>
  <c r="V509" i="1" s="1"/>
  <c r="R493" i="1"/>
  <c r="M493" i="1"/>
  <c r="T493" i="1"/>
  <c r="U493" i="1" s="1"/>
  <c r="V493" i="1" s="1"/>
  <c r="R477" i="1"/>
  <c r="M477" i="1"/>
  <c r="T477" i="1"/>
  <c r="U477" i="1" s="1"/>
  <c r="V477" i="1" s="1"/>
  <c r="R461" i="1"/>
  <c r="M461" i="1"/>
  <c r="T461" i="1"/>
  <c r="U461" i="1" s="1"/>
  <c r="V461" i="1" s="1"/>
  <c r="R445" i="1"/>
  <c r="M445" i="1"/>
  <c r="T445" i="1"/>
  <c r="U445" i="1" s="1"/>
  <c r="V445" i="1" s="1"/>
  <c r="R429" i="1"/>
  <c r="T429" i="1"/>
  <c r="U429" i="1" s="1"/>
  <c r="V429" i="1" s="1"/>
  <c r="M429" i="1"/>
  <c r="R413" i="1"/>
  <c r="T413" i="1"/>
  <c r="U413" i="1" s="1"/>
  <c r="V413" i="1" s="1"/>
  <c r="M413" i="1"/>
  <c r="R397" i="1"/>
  <c r="T397" i="1"/>
  <c r="U397" i="1" s="1"/>
  <c r="V397" i="1" s="1"/>
  <c r="M397" i="1"/>
  <c r="R381" i="1"/>
  <c r="M381" i="1"/>
  <c r="T381" i="1"/>
  <c r="U381" i="1" s="1"/>
  <c r="V381" i="1" s="1"/>
  <c r="R373" i="1"/>
  <c r="M373" i="1"/>
  <c r="T373" i="1"/>
  <c r="U373" i="1" s="1"/>
  <c r="V373" i="1" s="1"/>
  <c r="T253" i="1"/>
  <c r="U253" i="1" s="1"/>
  <c r="V253" i="1" s="1"/>
  <c r="R253" i="1"/>
  <c r="M253" i="1"/>
  <c r="T559" i="1"/>
  <c r="M559" i="1"/>
  <c r="R559" i="1"/>
  <c r="R510" i="1"/>
  <c r="T510" i="1"/>
  <c r="U510" i="1" s="1"/>
  <c r="V510" i="1" s="1"/>
  <c r="M510" i="1"/>
  <c r="R566" i="1"/>
  <c r="T566" i="1"/>
  <c r="U566" i="1" s="1"/>
  <c r="V566" i="1" s="1"/>
  <c r="M566" i="1"/>
  <c r="M317" i="1"/>
  <c r="T317" i="1"/>
  <c r="U317" i="1" s="1"/>
  <c r="V317" i="1" s="1"/>
  <c r="R317" i="1"/>
  <c r="R923" i="1"/>
  <c r="T923" i="1"/>
  <c r="U923" i="1" s="1"/>
  <c r="V923" i="1" s="1"/>
  <c r="M923" i="1"/>
  <c r="R316" i="1"/>
  <c r="T316" i="1"/>
  <c r="U316" i="1" s="1"/>
  <c r="V316" i="1" s="1"/>
  <c r="M316" i="1"/>
  <c r="R215" i="1"/>
  <c r="T215" i="1"/>
  <c r="U215" i="1" s="1"/>
  <c r="V215" i="1" s="1"/>
  <c r="M215" i="1"/>
  <c r="R119" i="1"/>
  <c r="T119" i="1"/>
  <c r="U119" i="1" s="1"/>
  <c r="V119" i="1" s="1"/>
  <c r="M119" i="1"/>
  <c r="T55" i="1"/>
  <c r="U55" i="1" s="1"/>
  <c r="V55" i="1" s="1"/>
  <c r="M55" i="1"/>
  <c r="R55" i="1"/>
  <c r="R13" i="1"/>
  <c r="M13" i="1"/>
  <c r="T13" i="1"/>
  <c r="R470" i="1"/>
  <c r="T470" i="1"/>
  <c r="U470" i="1" s="1"/>
  <c r="V470" i="1" s="1"/>
  <c r="M470" i="1"/>
  <c r="U308" i="1"/>
  <c r="V308" i="1" s="1"/>
  <c r="T318" i="1"/>
  <c r="U318" i="1" s="1"/>
  <c r="V318" i="1" s="1"/>
  <c r="M318" i="1"/>
  <c r="R318" i="1"/>
  <c r="R189" i="1"/>
  <c r="T189" i="1"/>
  <c r="U189" i="1" s="1"/>
  <c r="V189" i="1" s="1"/>
  <c r="M189" i="1"/>
  <c r="R125" i="1"/>
  <c r="T125" i="1"/>
  <c r="M125" i="1"/>
  <c r="R61" i="1"/>
  <c r="T61" i="1"/>
  <c r="M61" i="1"/>
  <c r="E15" i="7"/>
  <c r="G8" i="7"/>
  <c r="G4" i="7"/>
  <c r="L46" i="7"/>
  <c r="K18" i="7"/>
  <c r="Q13" i="7"/>
  <c r="Q5" i="7"/>
  <c r="C57" i="7"/>
  <c r="AF24" i="7"/>
  <c r="R5" i="7"/>
  <c r="V7" i="7"/>
  <c r="Z9" i="7"/>
  <c r="AD11" i="7"/>
  <c r="D14" i="7"/>
  <c r="I16" i="7"/>
  <c r="F23" i="7"/>
  <c r="H40" i="7"/>
  <c r="M57" i="7"/>
  <c r="W3" i="7"/>
  <c r="AA5" i="7"/>
  <c r="AE7" i="7"/>
  <c r="E10" i="7"/>
  <c r="I12" i="7"/>
  <c r="M14" i="7"/>
  <c r="V16" i="7"/>
  <c r="R25" i="7"/>
  <c r="T42" i="7"/>
  <c r="U68" i="7"/>
  <c r="AF3" i="7"/>
  <c r="F6" i="7"/>
  <c r="J8" i="7"/>
  <c r="N10" i="7"/>
  <c r="R12" i="7"/>
  <c r="E17" i="7"/>
  <c r="AD27" i="7"/>
  <c r="AF44" i="7"/>
  <c r="G2" i="7"/>
  <c r="K4" i="7"/>
  <c r="O6" i="7"/>
  <c r="S8" i="7"/>
  <c r="W10" i="7"/>
  <c r="AA12" i="7"/>
  <c r="AE14" i="7"/>
  <c r="T17" i="7"/>
  <c r="L30" i="7"/>
  <c r="N47" i="7"/>
  <c r="P2" i="7"/>
  <c r="T4" i="7"/>
  <c r="X6" i="7"/>
  <c r="AB8" i="7"/>
  <c r="AF10" i="7"/>
  <c r="F13" i="7"/>
  <c r="J15" i="7"/>
  <c r="D18" i="7"/>
  <c r="X32" i="7"/>
  <c r="Z49" i="7"/>
  <c r="Y2" i="7"/>
  <c r="AC4" i="7"/>
  <c r="C7" i="7"/>
  <c r="G9" i="7"/>
  <c r="S11" i="7"/>
  <c r="AE13" i="7"/>
  <c r="P16" i="7"/>
  <c r="X28" i="7"/>
  <c r="AD47" i="7"/>
  <c r="Z2" i="7"/>
  <c r="H5" i="7"/>
  <c r="T7" i="7"/>
  <c r="AF9" i="7"/>
  <c r="N12" i="7"/>
  <c r="D15" i="7"/>
  <c r="G18" i="7"/>
  <c r="N35" i="7"/>
  <c r="I62" i="7"/>
  <c r="O19" i="7"/>
  <c r="AC22" i="7"/>
  <c r="AA25" i="7"/>
  <c r="K29" i="7"/>
  <c r="Q32" i="7"/>
  <c r="I36" i="7"/>
  <c r="W39" i="7"/>
  <c r="AC42" i="7"/>
  <c r="M46" i="7"/>
  <c r="S49" i="7"/>
  <c r="K53" i="7"/>
  <c r="Y56" i="7"/>
  <c r="AC68" i="7"/>
  <c r="R20" i="7"/>
  <c r="X23" i="7"/>
  <c r="AD26" i="7"/>
  <c r="F30" i="7"/>
  <c r="T33" i="7"/>
  <c r="Z36" i="7"/>
  <c r="R40" i="7"/>
  <c r="H43" i="7"/>
  <c r="AD46" i="7"/>
  <c r="N50" i="7"/>
  <c r="T53" i="7"/>
  <c r="AA56" i="7"/>
  <c r="K71" i="7"/>
  <c r="M21" i="7"/>
  <c r="S24" i="7"/>
  <c r="K28" i="7"/>
  <c r="Y31" i="7"/>
  <c r="AE34" i="7"/>
  <c r="O38" i="7"/>
  <c r="U41" i="7"/>
  <c r="M45" i="7"/>
  <c r="AC49" i="7"/>
  <c r="O54" i="7"/>
  <c r="AA75" i="7"/>
  <c r="F21" i="7"/>
  <c r="H26" i="7"/>
  <c r="Z31" i="7"/>
  <c r="AB36" i="7"/>
  <c r="R47" i="7"/>
  <c r="AE73" i="7"/>
  <c r="W21" i="7"/>
  <c r="I30" i="7"/>
  <c r="Q38" i="7"/>
  <c r="G45" i="7"/>
  <c r="W53" i="7"/>
  <c r="AB31" i="7"/>
  <c r="J38" i="7"/>
  <c r="Z46" i="7"/>
  <c r="D55" i="7"/>
  <c r="E19" i="7"/>
  <c r="U27" i="7"/>
  <c r="K34" i="7"/>
  <c r="AA42" i="7"/>
  <c r="E51" i="7"/>
  <c r="M68" i="7"/>
  <c r="N64" i="7"/>
  <c r="T79" i="7"/>
  <c r="AE64" i="7"/>
  <c r="I73" i="7"/>
  <c r="F59" i="7"/>
  <c r="Z65" i="7"/>
  <c r="D74" i="7"/>
  <c r="AA80" i="7"/>
  <c r="K69" i="7"/>
  <c r="S77" i="7"/>
  <c r="L61" i="7"/>
  <c r="X67" i="7"/>
  <c r="Q59" i="7"/>
  <c r="C68" i="7"/>
  <c r="K76" i="7"/>
  <c r="N61" i="7"/>
  <c r="T76" i="7"/>
  <c r="U85" i="7"/>
  <c r="K92" i="7"/>
  <c r="S100" i="7"/>
  <c r="V85" i="7"/>
  <c r="L92" i="7"/>
  <c r="T100" i="7"/>
  <c r="U84" i="7"/>
  <c r="AC92" i="7"/>
  <c r="O101" i="7"/>
  <c r="H85" i="7"/>
  <c r="F100" i="7"/>
  <c r="M83" i="7"/>
  <c r="AC91" i="7"/>
  <c r="G100" i="7"/>
  <c r="T90" i="7"/>
  <c r="J97" i="7"/>
  <c r="M82" i="7"/>
  <c r="AC90" i="7"/>
  <c r="G99" i="7"/>
  <c r="D85" i="7"/>
  <c r="P91" i="7"/>
  <c r="K106" i="7"/>
  <c r="I121" i="7"/>
  <c r="O115" i="7"/>
  <c r="AD106" i="7"/>
  <c r="X119" i="7"/>
  <c r="Y107" i="7"/>
  <c r="W122" i="7"/>
  <c r="U161" i="1"/>
  <c r="V161" i="1" s="1"/>
  <c r="U9" i="1"/>
  <c r="V9" i="1" s="1"/>
  <c r="U113" i="1"/>
  <c r="V113" i="1" s="1"/>
  <c r="U153" i="1"/>
  <c r="V153" i="1" s="1"/>
  <c r="U284" i="1"/>
  <c r="V284" i="1" s="1"/>
  <c r="U105" i="1"/>
  <c r="V105" i="1" s="1"/>
  <c r="U332" i="1" l="1"/>
  <c r="V332" i="1" s="1"/>
  <c r="U2033" i="1"/>
  <c r="V2033" i="1" s="1"/>
  <c r="T69" i="5"/>
  <c r="U2511" i="1"/>
  <c r="V2511" i="1" s="1"/>
  <c r="L205" i="5"/>
  <c r="V195" i="5"/>
  <c r="AF182" i="5"/>
  <c r="AF196" i="5"/>
  <c r="H201" i="5"/>
  <c r="G190" i="5"/>
  <c r="U166" i="5"/>
  <c r="N199" i="5"/>
  <c r="V187" i="5"/>
  <c r="AF2" i="5"/>
  <c r="Q197" i="5"/>
  <c r="I185" i="5"/>
  <c r="H205" i="5"/>
  <c r="N195" i="5"/>
  <c r="AE181" i="5"/>
  <c r="I202" i="5"/>
  <c r="Y190" i="5"/>
  <c r="X163" i="5"/>
  <c r="V198" i="5"/>
  <c r="AB185" i="5"/>
  <c r="Q204" i="5"/>
  <c r="AA193" i="5"/>
  <c r="AB179" i="5"/>
  <c r="AD200" i="5"/>
  <c r="C189" i="5"/>
  <c r="M205" i="5"/>
  <c r="AB203" i="5"/>
  <c r="E192" i="5"/>
  <c r="V171" i="5"/>
  <c r="AC197" i="5"/>
  <c r="E184" i="5"/>
  <c r="T202" i="5"/>
  <c r="Z188" i="5"/>
  <c r="F2" i="5"/>
  <c r="AB192" i="5"/>
  <c r="Z169" i="5"/>
  <c r="Z197" i="5"/>
  <c r="M182" i="5"/>
  <c r="K201" i="5"/>
  <c r="K186" i="5"/>
  <c r="AC194" i="5"/>
  <c r="H182" i="5"/>
  <c r="AA167" i="5"/>
  <c r="AA178" i="5"/>
  <c r="I158" i="5"/>
  <c r="G145" i="5"/>
  <c r="Q150" i="5"/>
  <c r="Y132" i="5"/>
  <c r="T104" i="5"/>
  <c r="Y204" i="5"/>
  <c r="AB194" i="5"/>
  <c r="F182" i="5"/>
  <c r="W195" i="5"/>
  <c r="U200" i="5"/>
  <c r="K189" i="5"/>
  <c r="P154" i="5"/>
  <c r="Z198" i="5"/>
  <c r="AC186" i="5"/>
  <c r="O2" i="5"/>
  <c r="AB196" i="5"/>
  <c r="M184" i="5"/>
  <c r="U204" i="5"/>
  <c r="X194" i="5"/>
  <c r="AF180" i="5"/>
  <c r="V201" i="5"/>
  <c r="AC189" i="5"/>
  <c r="P150" i="5"/>
  <c r="C198" i="5"/>
  <c r="J184" i="5"/>
  <c r="AD203" i="5"/>
  <c r="C193" i="5"/>
  <c r="Y178" i="5"/>
  <c r="L200" i="5"/>
  <c r="G188" i="5"/>
  <c r="Z204" i="5"/>
  <c r="J203" i="5"/>
  <c r="L191" i="5"/>
  <c r="AA160" i="5"/>
  <c r="J197" i="5"/>
  <c r="I183" i="5"/>
  <c r="AF201" i="5"/>
  <c r="C188" i="5"/>
  <c r="Q205" i="5"/>
  <c r="AF191" i="5"/>
  <c r="U158" i="5"/>
  <c r="N196" i="5"/>
  <c r="O181" i="5"/>
  <c r="R199" i="5"/>
  <c r="O185" i="5"/>
  <c r="Z193" i="5"/>
  <c r="R180" i="5"/>
  <c r="H167" i="5"/>
  <c r="D169" i="5"/>
  <c r="X125" i="5"/>
  <c r="AA192" i="5"/>
  <c r="AE110" i="5"/>
  <c r="AA118" i="5"/>
  <c r="V53" i="5"/>
  <c r="G204" i="5"/>
  <c r="G194" i="5"/>
  <c r="K181" i="5"/>
  <c r="H194" i="5"/>
  <c r="C200" i="5"/>
  <c r="R188" i="5"/>
  <c r="C178" i="5"/>
  <c r="G198" i="5"/>
  <c r="C186" i="5"/>
  <c r="AA205" i="5"/>
  <c r="H196" i="5"/>
  <c r="U183" i="5"/>
  <c r="C204" i="5"/>
  <c r="C194" i="5"/>
  <c r="C180" i="5"/>
  <c r="D201" i="5"/>
  <c r="F189" i="5"/>
  <c r="G182" i="5"/>
  <c r="Y196" i="5"/>
  <c r="Q183" i="5"/>
  <c r="L203" i="5"/>
  <c r="K192" i="5"/>
  <c r="AD176" i="5"/>
  <c r="Y199" i="5"/>
  <c r="N187" i="5"/>
  <c r="O202" i="5"/>
  <c r="V202" i="5"/>
  <c r="Q190" i="5"/>
  <c r="N185" i="5"/>
  <c r="Q196" i="5"/>
  <c r="P182" i="5"/>
  <c r="N201" i="5"/>
  <c r="H187" i="5"/>
  <c r="AD204" i="5"/>
  <c r="I191" i="5"/>
  <c r="Z127" i="5"/>
  <c r="Y195" i="5"/>
  <c r="O180" i="5"/>
  <c r="AE198" i="5"/>
  <c r="W184" i="5"/>
  <c r="I193" i="5"/>
  <c r="AF179" i="5"/>
  <c r="E165" i="5"/>
  <c r="W157" i="5"/>
  <c r="L166" i="5"/>
  <c r="AF183" i="5"/>
  <c r="H140" i="5"/>
  <c r="AC92" i="5"/>
  <c r="T203" i="5"/>
  <c r="O193" i="5"/>
  <c r="K180" i="5"/>
  <c r="U192" i="5"/>
  <c r="O199" i="5"/>
  <c r="W187" i="5"/>
  <c r="C2" i="5"/>
  <c r="R197" i="5"/>
  <c r="J185" i="5"/>
  <c r="I205" i="5"/>
  <c r="P195" i="5"/>
  <c r="Z182" i="5"/>
  <c r="O203" i="5"/>
  <c r="G193" i="5"/>
  <c r="D179" i="5"/>
  <c r="O200" i="5"/>
  <c r="K188" i="5"/>
  <c r="L2" i="5"/>
  <c r="C196" i="5"/>
  <c r="V182" i="5"/>
  <c r="Y202" i="5"/>
  <c r="O191" i="5"/>
  <c r="AE172" i="5"/>
  <c r="G199" i="5"/>
  <c r="R186" i="5"/>
  <c r="J201" i="5"/>
  <c r="D202" i="5"/>
  <c r="X189" i="5"/>
  <c r="Y2" i="5"/>
  <c r="AB195" i="5"/>
  <c r="T181" i="5"/>
  <c r="I200" i="5"/>
  <c r="N186" i="5"/>
  <c r="F203" i="5"/>
  <c r="M190" i="5"/>
  <c r="C187" i="5"/>
  <c r="E195" i="5"/>
  <c r="P179" i="5"/>
  <c r="M198" i="5"/>
  <c r="AA183" i="5"/>
  <c r="F192" i="5"/>
  <c r="O179" i="5"/>
  <c r="W163" i="5"/>
  <c r="L121" i="5"/>
  <c r="C154" i="5"/>
  <c r="AD174" i="5"/>
  <c r="M130" i="5"/>
  <c r="D156" i="5"/>
  <c r="AF202" i="5"/>
  <c r="T192" i="5"/>
  <c r="K179" i="5"/>
  <c r="AB191" i="5"/>
  <c r="AB198" i="5"/>
  <c r="AD186" i="5"/>
  <c r="P2" i="5"/>
  <c r="AC196" i="5"/>
  <c r="O184" i="5"/>
  <c r="V204" i="5"/>
  <c r="Y194" i="5"/>
  <c r="AF181" i="5"/>
  <c r="AB202" i="5"/>
  <c r="N192" i="5"/>
  <c r="J177" i="5"/>
  <c r="AB199" i="5"/>
  <c r="Z186" i="5"/>
  <c r="X205" i="5"/>
  <c r="L195" i="5"/>
  <c r="AB181" i="5"/>
  <c r="G202" i="5"/>
  <c r="W190" i="5"/>
  <c r="I162" i="5"/>
  <c r="T198" i="5"/>
  <c r="AD184" i="5"/>
  <c r="E200" i="5"/>
  <c r="P201" i="5"/>
  <c r="F188" i="5"/>
  <c r="H2" i="5"/>
  <c r="H195" i="5"/>
  <c r="X180" i="5"/>
  <c r="V199" i="5"/>
  <c r="W185" i="5"/>
  <c r="R202" i="5"/>
  <c r="U189" i="5"/>
  <c r="E2" i="5"/>
  <c r="J194" i="5"/>
  <c r="G169" i="5"/>
  <c r="Y197" i="5"/>
  <c r="D183" i="5"/>
  <c r="T191" i="5"/>
  <c r="AC178" i="5"/>
  <c r="J159" i="5"/>
  <c r="J170" i="5"/>
  <c r="AA180" i="5"/>
  <c r="R164" i="5"/>
  <c r="C118" i="5"/>
  <c r="T145" i="5"/>
  <c r="N202" i="5"/>
  <c r="AA191" i="5"/>
  <c r="AA177" i="5"/>
  <c r="I190" i="5"/>
  <c r="I198" i="5"/>
  <c r="E186" i="5"/>
  <c r="AB205" i="5"/>
  <c r="I196" i="5"/>
  <c r="V183" i="5"/>
  <c r="D204" i="5"/>
  <c r="D194" i="5"/>
  <c r="D181" i="5"/>
  <c r="J202" i="5"/>
  <c r="R191" i="5"/>
  <c r="F174" i="5"/>
  <c r="W198" i="5"/>
  <c r="AD185" i="5"/>
  <c r="F205" i="5"/>
  <c r="V194" i="5"/>
  <c r="AC180" i="5"/>
  <c r="R201" i="5"/>
  <c r="AA189" i="5"/>
  <c r="AA146" i="5"/>
  <c r="AE197" i="5"/>
  <c r="G184" i="5"/>
  <c r="AD198" i="5"/>
  <c r="AC200" i="5"/>
  <c r="M187" i="5"/>
  <c r="T205" i="5"/>
  <c r="Q194" i="5"/>
  <c r="W179" i="5"/>
  <c r="D199" i="5"/>
  <c r="AA184" i="5"/>
  <c r="AE201" i="5"/>
  <c r="Y188" i="5"/>
  <c r="P205" i="5"/>
  <c r="R193" i="5"/>
  <c r="AA157" i="5"/>
  <c r="C197" i="5"/>
  <c r="N181" i="5"/>
  <c r="C191" i="5"/>
  <c r="Z177" i="5"/>
  <c r="Z157" i="5"/>
  <c r="G159" i="5"/>
  <c r="L171" i="5"/>
  <c r="AF151" i="5"/>
  <c r="O93" i="5"/>
  <c r="E135" i="5"/>
  <c r="U938" i="1"/>
  <c r="V938" i="1" s="1"/>
  <c r="AA201" i="5"/>
  <c r="AE190" i="5"/>
  <c r="G175" i="5"/>
  <c r="L180" i="5"/>
  <c r="T197" i="5"/>
  <c r="K185" i="5"/>
  <c r="J205" i="5"/>
  <c r="R195" i="5"/>
  <c r="AD182" i="5"/>
  <c r="P203" i="5"/>
  <c r="H193" i="5"/>
  <c r="G180" i="5"/>
  <c r="W201" i="5"/>
  <c r="Z190" i="5"/>
  <c r="Z151" i="5"/>
  <c r="D198" i="5"/>
  <c r="G185" i="5"/>
  <c r="R204" i="5"/>
  <c r="AE193" i="5"/>
  <c r="AC179" i="5"/>
  <c r="AE200" i="5"/>
  <c r="D189" i="5"/>
  <c r="V184" i="5"/>
  <c r="L197" i="5"/>
  <c r="L183" i="5"/>
  <c r="W197" i="5"/>
  <c r="X199" i="5"/>
  <c r="Q186" i="5"/>
  <c r="AF204" i="5"/>
  <c r="W193" i="5"/>
  <c r="N176" i="5"/>
  <c r="P198" i="5"/>
  <c r="O182" i="5"/>
  <c r="M201" i="5"/>
  <c r="AF187" i="5"/>
  <c r="AB204" i="5"/>
  <c r="X192" i="5"/>
  <c r="G122" i="5"/>
  <c r="M196" i="5"/>
  <c r="N180" i="5"/>
  <c r="M189" i="5"/>
  <c r="I177" i="5"/>
  <c r="V152" i="5"/>
  <c r="W131" i="5"/>
  <c r="M160" i="5"/>
  <c r="Z192" i="5"/>
  <c r="AC147" i="5"/>
  <c r="AB121" i="5"/>
  <c r="I201" i="5"/>
  <c r="H190" i="5"/>
  <c r="I167" i="5"/>
  <c r="AD196" i="5"/>
  <c r="T184" i="5"/>
  <c r="W204" i="5"/>
  <c r="Z194" i="5"/>
  <c r="D182" i="5"/>
  <c r="AC202" i="5"/>
  <c r="O192" i="5"/>
  <c r="F179" i="5"/>
  <c r="E201" i="5"/>
  <c r="G189" i="5"/>
  <c r="J186" i="5"/>
  <c r="O197" i="5"/>
  <c r="K184" i="5"/>
  <c r="AE203" i="5"/>
  <c r="E193" i="5"/>
  <c r="AB178" i="5"/>
  <c r="M200" i="5"/>
  <c r="H188" i="5"/>
  <c r="AA2" i="5"/>
  <c r="V196" i="5"/>
  <c r="R182" i="5"/>
  <c r="L196" i="5"/>
  <c r="F199" i="5"/>
  <c r="Y185" i="5"/>
  <c r="N204" i="5"/>
  <c r="AD192" i="5"/>
  <c r="C171" i="5"/>
  <c r="AB197" i="5"/>
  <c r="R181" i="5"/>
  <c r="Z200" i="5"/>
  <c r="M186" i="5"/>
  <c r="J204" i="5"/>
  <c r="L190" i="5"/>
  <c r="U188" i="5"/>
  <c r="X195" i="5"/>
  <c r="N179" i="5"/>
  <c r="AA188" i="5"/>
  <c r="C176" i="5"/>
  <c r="AC132" i="5"/>
  <c r="AB170" i="5"/>
  <c r="W139" i="5"/>
  <c r="AE183" i="5"/>
  <c r="AE137" i="5"/>
  <c r="V99" i="5"/>
  <c r="V200" i="5"/>
  <c r="L189" i="5"/>
  <c r="M155" i="5"/>
  <c r="AC205" i="5"/>
  <c r="J196" i="5"/>
  <c r="X183" i="5"/>
  <c r="E204" i="5"/>
  <c r="E194" i="5"/>
  <c r="F181" i="5"/>
  <c r="K202" i="5"/>
  <c r="U191" i="5"/>
  <c r="P177" i="5"/>
  <c r="Q200" i="5"/>
  <c r="O188" i="5"/>
  <c r="AD2" i="5"/>
  <c r="Z196" i="5"/>
  <c r="R183" i="5"/>
  <c r="M203" i="5"/>
  <c r="L192" i="5"/>
  <c r="AF176" i="5"/>
  <c r="Z199" i="5"/>
  <c r="O187" i="5"/>
  <c r="J2" i="5"/>
  <c r="AD195" i="5"/>
  <c r="W181" i="5"/>
  <c r="P193" i="5"/>
  <c r="R198" i="5"/>
  <c r="AC184" i="5"/>
  <c r="AA203" i="5"/>
  <c r="K191" i="5"/>
  <c r="C160" i="5"/>
  <c r="H197" i="5"/>
  <c r="T180" i="5"/>
  <c r="H200" i="5"/>
  <c r="R185" i="5"/>
  <c r="W203" i="5"/>
  <c r="T189" i="5"/>
  <c r="U2" i="5"/>
  <c r="I194" i="5"/>
  <c r="E178" i="5"/>
  <c r="J188" i="5"/>
  <c r="N175" i="5"/>
  <c r="F122" i="5"/>
  <c r="AA159" i="5"/>
  <c r="AF169" i="5"/>
  <c r="AC174" i="5"/>
  <c r="AE126" i="5"/>
  <c r="C140" i="5"/>
  <c r="D200" i="5"/>
  <c r="T188" i="5"/>
  <c r="AE205" i="5"/>
  <c r="K205" i="5"/>
  <c r="U195" i="5"/>
  <c r="AE182" i="5"/>
  <c r="Q203" i="5"/>
  <c r="J193" i="5"/>
  <c r="H180" i="5"/>
  <c r="X201" i="5"/>
  <c r="AA190" i="5"/>
  <c r="H174" i="5"/>
  <c r="AC199" i="5"/>
  <c r="T187" i="5"/>
  <c r="M2" i="5"/>
  <c r="E196" i="5"/>
  <c r="W182" i="5"/>
  <c r="Z202" i="5"/>
  <c r="P191" i="5"/>
  <c r="Q173" i="5"/>
  <c r="H199" i="5"/>
  <c r="T186" i="5"/>
  <c r="V205" i="5"/>
  <c r="J195" i="5"/>
  <c r="Z180" i="5"/>
  <c r="AF190" i="5"/>
  <c r="AD197" i="5"/>
  <c r="F184" i="5"/>
  <c r="H203" i="5"/>
  <c r="O190" i="5"/>
  <c r="Q137" i="5"/>
  <c r="G195" i="5"/>
  <c r="V179" i="5"/>
  <c r="U199" i="5"/>
  <c r="Y184" i="5"/>
  <c r="E203" i="5"/>
  <c r="X188" i="5"/>
  <c r="D2" i="5"/>
  <c r="Q193" i="5"/>
  <c r="O175" i="5"/>
  <c r="X187" i="5"/>
  <c r="G174" i="5"/>
  <c r="L170" i="5"/>
  <c r="M136" i="5"/>
  <c r="AB158" i="5"/>
  <c r="Q164" i="5"/>
  <c r="AA110" i="5"/>
  <c r="AA126" i="5"/>
  <c r="P199" i="5"/>
  <c r="Y187" i="5"/>
  <c r="H204" i="5"/>
  <c r="X204" i="5"/>
  <c r="AA194" i="5"/>
  <c r="E182" i="5"/>
  <c r="AD202" i="5"/>
  <c r="P192" i="5"/>
  <c r="H179" i="5"/>
  <c r="F201" i="5"/>
  <c r="E190" i="5"/>
  <c r="I165" i="5"/>
  <c r="K199" i="5"/>
  <c r="AA186" i="5"/>
  <c r="Y205" i="5"/>
  <c r="M195" i="5"/>
  <c r="AC181" i="5"/>
  <c r="H202" i="5"/>
  <c r="X190" i="5"/>
  <c r="C163" i="5"/>
  <c r="U198" i="5"/>
  <c r="AA185" i="5"/>
  <c r="D205" i="5"/>
  <c r="T194" i="5"/>
  <c r="W178" i="5"/>
  <c r="N189" i="5"/>
  <c r="K197" i="5"/>
  <c r="J183" i="5"/>
  <c r="C202" i="5"/>
  <c r="W189" i="5"/>
  <c r="Z183" i="5"/>
  <c r="M194" i="5"/>
  <c r="Q178" i="5"/>
  <c r="O198" i="5"/>
  <c r="C184" i="5"/>
  <c r="L201" i="5"/>
  <c r="AE187" i="5"/>
  <c r="N205" i="5"/>
  <c r="V192" i="5"/>
  <c r="R168" i="5"/>
  <c r="U186" i="5"/>
  <c r="R173" i="5"/>
  <c r="D165" i="5"/>
  <c r="R187" i="5"/>
  <c r="AA129" i="5"/>
  <c r="AB151" i="5"/>
  <c r="AE148" i="5"/>
  <c r="X102" i="5"/>
  <c r="AC198" i="5"/>
  <c r="AE186" i="5"/>
  <c r="C203" i="5"/>
  <c r="F204" i="5"/>
  <c r="F194" i="5"/>
  <c r="J181" i="5"/>
  <c r="L202" i="5"/>
  <c r="Y191" i="5"/>
  <c r="R177" i="5"/>
  <c r="R200" i="5"/>
  <c r="I189" i="5"/>
  <c r="W152" i="5"/>
  <c r="X198" i="5"/>
  <c r="AE185" i="5"/>
  <c r="G205" i="5"/>
  <c r="W194" i="5"/>
  <c r="AE180" i="5"/>
  <c r="U201" i="5"/>
  <c r="AB189" i="5"/>
  <c r="AA148" i="5"/>
  <c r="AF197" i="5"/>
  <c r="AF184" i="5"/>
  <c r="P204" i="5"/>
  <c r="Y193" i="5"/>
  <c r="W176" i="5"/>
  <c r="L181" i="5"/>
  <c r="T196" i="5"/>
  <c r="Q182" i="5"/>
  <c r="O201" i="5"/>
  <c r="AB188" i="5"/>
  <c r="X2" i="5"/>
  <c r="V193" i="5"/>
  <c r="D176" i="5"/>
  <c r="AA197" i="5"/>
  <c r="G183" i="5"/>
  <c r="Y200" i="5"/>
  <c r="E187" i="5"/>
  <c r="I204" i="5"/>
  <c r="AC191" i="5"/>
  <c r="H198" i="5"/>
  <c r="D186" i="5"/>
  <c r="AD172" i="5"/>
  <c r="V163" i="5"/>
  <c r="X178" i="5"/>
  <c r="AC171" i="5"/>
  <c r="L204" i="5"/>
  <c r="C139" i="5"/>
  <c r="V132" i="5"/>
  <c r="U2664" i="1"/>
  <c r="V2664" i="1" s="1"/>
  <c r="I156" i="5"/>
  <c r="K198" i="5"/>
  <c r="I186" i="5"/>
  <c r="AB201" i="5"/>
  <c r="R203" i="5"/>
  <c r="N193" i="5"/>
  <c r="I180" i="5"/>
  <c r="Y201" i="5"/>
  <c r="AC190" i="5"/>
  <c r="Y174" i="5"/>
  <c r="AE199" i="5"/>
  <c r="P188" i="5"/>
  <c r="M175" i="5"/>
  <c r="E198" i="5"/>
  <c r="H185" i="5"/>
  <c r="T204" i="5"/>
  <c r="AF193" i="5"/>
  <c r="AE179" i="5"/>
  <c r="AF200" i="5"/>
  <c r="E189" i="5"/>
  <c r="C183" i="5"/>
  <c r="M197" i="5"/>
  <c r="H184" i="5"/>
  <c r="AC203" i="5"/>
  <c r="G192" i="5"/>
  <c r="J172" i="5"/>
  <c r="Z2" i="5"/>
  <c r="AC195" i="5"/>
  <c r="Y180" i="5"/>
  <c r="AB200" i="5"/>
  <c r="D188" i="5"/>
  <c r="AE204" i="5"/>
  <c r="AC192" i="5"/>
  <c r="N170" i="5"/>
  <c r="F197" i="5"/>
  <c r="N182" i="5"/>
  <c r="G200" i="5"/>
  <c r="L186" i="5"/>
  <c r="V203" i="5"/>
  <c r="D191" i="5"/>
  <c r="V197" i="5"/>
  <c r="AE184" i="5"/>
  <c r="AF170" i="5"/>
  <c r="I159" i="5"/>
  <c r="AC168" i="5"/>
  <c r="AF160" i="5"/>
  <c r="AE194" i="5"/>
  <c r="K128" i="5"/>
  <c r="N134" i="5"/>
  <c r="AB167" i="5"/>
  <c r="U197" i="5"/>
  <c r="M185" i="5"/>
  <c r="W200" i="5"/>
  <c r="AE202" i="5"/>
  <c r="R192" i="5"/>
  <c r="I179" i="5"/>
  <c r="G201" i="5"/>
  <c r="F190" i="5"/>
  <c r="AD165" i="5"/>
  <c r="L199" i="5"/>
  <c r="U187" i="5"/>
  <c r="AE2" i="5"/>
  <c r="P197" i="5"/>
  <c r="L184" i="5"/>
  <c r="AF203" i="5"/>
  <c r="F193" i="5"/>
  <c r="AD178" i="5"/>
  <c r="N200" i="5"/>
  <c r="I188" i="5"/>
  <c r="AB2" i="5"/>
  <c r="X196" i="5"/>
  <c r="P183" i="5"/>
  <c r="X202" i="5"/>
  <c r="M191" i="5"/>
  <c r="Q161" i="5"/>
  <c r="I2" i="5"/>
  <c r="I195" i="5"/>
  <c r="Y179" i="5"/>
  <c r="J200" i="5"/>
  <c r="L187" i="5"/>
  <c r="M204" i="5"/>
  <c r="C192" i="5"/>
  <c r="AD132" i="5"/>
  <c r="O196" i="5"/>
  <c r="U179" i="5"/>
  <c r="T199" i="5"/>
  <c r="P185" i="5"/>
  <c r="D203" i="5"/>
  <c r="J190" i="5"/>
  <c r="E197" i="5"/>
  <c r="N184" i="5"/>
  <c r="M170" i="5"/>
  <c r="U152" i="5"/>
  <c r="T157" i="5"/>
  <c r="AF142" i="5"/>
  <c r="T185" i="5"/>
  <c r="Q113" i="5"/>
  <c r="U126" i="5"/>
  <c r="R2" i="5"/>
  <c r="AE196" i="5"/>
  <c r="U184" i="5"/>
  <c r="Q199" i="5"/>
  <c r="M202" i="5"/>
  <c r="Z191" i="5"/>
  <c r="Y177" i="5"/>
  <c r="T200" i="5"/>
  <c r="J189" i="5"/>
  <c r="V153" i="5"/>
  <c r="Y198" i="5"/>
  <c r="AB186" i="5"/>
  <c r="N2" i="5"/>
  <c r="AA196" i="5"/>
  <c r="T183" i="5"/>
  <c r="N203" i="5"/>
  <c r="M192" i="5"/>
  <c r="H177" i="5"/>
  <c r="AA199" i="5"/>
  <c r="P187" i="5"/>
  <c r="K2" i="5"/>
  <c r="AE195" i="5"/>
  <c r="AA181" i="5"/>
  <c r="E202" i="5"/>
  <c r="V190" i="5"/>
  <c r="U144" i="5"/>
  <c r="U205" i="5"/>
  <c r="X193" i="5"/>
  <c r="V178" i="5"/>
  <c r="W199" i="5"/>
  <c r="X185" i="5"/>
  <c r="Y203" i="5"/>
  <c r="J191" i="5"/>
  <c r="AC187" i="5"/>
  <c r="Z195" i="5"/>
  <c r="M178" i="5"/>
  <c r="AF198" i="5"/>
  <c r="AC183" i="5"/>
  <c r="P202" i="5"/>
  <c r="AD187" i="5"/>
  <c r="R196" i="5"/>
  <c r="K183" i="5"/>
  <c r="Y169" i="5"/>
  <c r="H150" i="5"/>
  <c r="Z119" i="5"/>
  <c r="P172" i="5"/>
  <c r="E176" i="5"/>
  <c r="AF154" i="5"/>
  <c r="J3" i="5"/>
  <c r="C12" i="5"/>
  <c r="AB20" i="5"/>
  <c r="W29" i="5"/>
  <c r="Q38" i="5"/>
  <c r="S198" i="5"/>
  <c r="L20" i="5"/>
  <c r="G29" i="5"/>
  <c r="AF37" i="5"/>
  <c r="S119" i="5"/>
  <c r="Z8" i="5"/>
  <c r="S40" i="5"/>
  <c r="D6" i="5"/>
  <c r="AC14" i="5"/>
  <c r="S57" i="5"/>
  <c r="V6" i="5"/>
  <c r="P15" i="5"/>
  <c r="S58" i="5"/>
  <c r="W6" i="5"/>
  <c r="Q15" i="5"/>
  <c r="S203" i="5"/>
  <c r="W11" i="5"/>
  <c r="Q20" i="5"/>
  <c r="S108" i="5"/>
  <c r="N8" i="5"/>
  <c r="I17" i="5"/>
  <c r="S157" i="5"/>
  <c r="E10" i="5"/>
  <c r="AD18" i="5"/>
  <c r="S126" i="5"/>
  <c r="C9" i="5"/>
  <c r="S95" i="5"/>
  <c r="AE7" i="5"/>
  <c r="Z16" i="5"/>
  <c r="S112" i="5"/>
  <c r="R8" i="5"/>
  <c r="M17" i="5"/>
  <c r="S145" i="5"/>
  <c r="W9" i="5"/>
  <c r="Q18" i="5"/>
  <c r="S114" i="5"/>
  <c r="U8" i="5"/>
  <c r="O17" i="5"/>
  <c r="O25" i="5"/>
  <c r="R35" i="5"/>
  <c r="F45" i="5"/>
  <c r="AE53" i="5"/>
  <c r="S20" i="5"/>
  <c r="M27" i="5"/>
  <c r="Q37" i="5"/>
  <c r="AA46" i="5"/>
  <c r="V55" i="5"/>
  <c r="P64" i="5"/>
  <c r="AB24" i="5"/>
  <c r="AF34" i="5"/>
  <c r="V44" i="5"/>
  <c r="P53" i="5"/>
  <c r="L10" i="5"/>
  <c r="M29" i="5"/>
  <c r="O39" i="5"/>
  <c r="R48" i="5"/>
  <c r="M57" i="5"/>
  <c r="H66" i="5"/>
  <c r="I26" i="5"/>
  <c r="M36" i="5"/>
  <c r="AD21" i="5"/>
  <c r="U32" i="5"/>
  <c r="AF6" i="5"/>
  <c r="V15" i="5"/>
  <c r="O24" i="5"/>
  <c r="P26" i="5"/>
  <c r="R36" i="5"/>
  <c r="AF45" i="5"/>
  <c r="AA54" i="5"/>
  <c r="V63" i="5"/>
  <c r="Q24" i="5"/>
  <c r="X34" i="5"/>
  <c r="M16" i="5"/>
  <c r="L21" i="5"/>
  <c r="I32" i="5"/>
  <c r="S116" i="5"/>
  <c r="Y16" i="5"/>
  <c r="H34" i="5"/>
  <c r="K50" i="5"/>
  <c r="AB62" i="5"/>
  <c r="M72" i="5"/>
  <c r="H81" i="5"/>
  <c r="Z3" i="5"/>
  <c r="T12" i="5"/>
  <c r="N21" i="5"/>
  <c r="I30" i="5"/>
  <c r="D39" i="5"/>
  <c r="K3" i="5"/>
  <c r="D12" i="5"/>
  <c r="AC20" i="5"/>
  <c r="X29" i="5"/>
  <c r="R38" i="5"/>
  <c r="S135" i="5"/>
  <c r="L9" i="5"/>
  <c r="S56" i="5"/>
  <c r="U6" i="5"/>
  <c r="O15" i="5"/>
  <c r="S73" i="5"/>
  <c r="H7" i="5"/>
  <c r="C16" i="5"/>
  <c r="S74" i="5"/>
  <c r="I7" i="5"/>
  <c r="D16" i="5"/>
  <c r="P3" i="5"/>
  <c r="I12" i="5"/>
  <c r="D21" i="5"/>
  <c r="S124" i="5"/>
  <c r="AE8" i="5"/>
  <c r="Z17" i="5"/>
  <c r="S173" i="5"/>
  <c r="V10" i="5"/>
  <c r="P19" i="5"/>
  <c r="S142" i="5"/>
  <c r="T9" i="5"/>
  <c r="S111" i="5"/>
  <c r="L17" i="5"/>
  <c r="S128" i="5"/>
  <c r="E9" i="5"/>
  <c r="AD17" i="5"/>
  <c r="S161" i="5"/>
  <c r="I10" i="5"/>
  <c r="D19" i="5"/>
  <c r="S130" i="5"/>
  <c r="G9" i="5"/>
  <c r="AF17" i="5"/>
  <c r="E26" i="5"/>
  <c r="G36" i="5"/>
  <c r="W45" i="5"/>
  <c r="Q54" i="5"/>
  <c r="S148" i="5"/>
  <c r="AF27" i="5"/>
  <c r="F38" i="5"/>
  <c r="M47" i="5"/>
  <c r="H56" i="5"/>
  <c r="C65" i="5"/>
  <c r="R25" i="5"/>
  <c r="U35" i="5"/>
  <c r="H45" i="5"/>
  <c r="C54" i="5"/>
  <c r="Y14" i="5"/>
  <c r="AF29" i="5"/>
  <c r="D40" i="5"/>
  <c r="E49" i="5"/>
  <c r="AD57" i="5"/>
  <c r="Y66" i="5"/>
  <c r="AB26" i="5"/>
  <c r="AF36" i="5"/>
  <c r="AA22" i="5"/>
  <c r="I33" i="5"/>
  <c r="N11" i="5"/>
  <c r="AB17" i="5"/>
  <c r="E25" i="5"/>
  <c r="E27" i="5"/>
  <c r="G37" i="5"/>
  <c r="R46" i="5"/>
  <c r="M55" i="5"/>
  <c r="H64" i="5"/>
  <c r="G25" i="5"/>
  <c r="L35" i="5"/>
  <c r="J18" i="5"/>
  <c r="L22" i="5"/>
  <c r="AB32" i="5"/>
  <c r="K4" i="5"/>
  <c r="U18" i="5"/>
  <c r="Q35" i="5"/>
  <c r="D51" i="5"/>
  <c r="R63" i="5"/>
  <c r="AD72" i="5"/>
  <c r="Y81" i="5"/>
  <c r="M41" i="5"/>
  <c r="L54" i="5"/>
  <c r="K66" i="5"/>
  <c r="G75" i="5"/>
  <c r="AF83" i="5"/>
  <c r="AC32" i="5"/>
  <c r="Q49" i="5"/>
  <c r="H62" i="5"/>
  <c r="AC71" i="5"/>
  <c r="X80" i="5"/>
  <c r="Y25" i="5"/>
  <c r="T45" i="5"/>
  <c r="Q58" i="5"/>
  <c r="G69" i="5"/>
  <c r="AF77" i="5"/>
  <c r="AA86" i="5"/>
  <c r="Q42" i="5"/>
  <c r="K55" i="5"/>
  <c r="AF66" i="5"/>
  <c r="L4" i="5"/>
  <c r="F13" i="5"/>
  <c r="AE21" i="5"/>
  <c r="Z30" i="5"/>
  <c r="U39" i="5"/>
  <c r="AA3" i="5"/>
  <c r="U12" i="5"/>
  <c r="O21" i="5"/>
  <c r="J30" i="5"/>
  <c r="E39" i="5"/>
  <c r="S151" i="5"/>
  <c r="AC9" i="5"/>
  <c r="S72" i="5"/>
  <c r="G7" i="5"/>
  <c r="AF15" i="5"/>
  <c r="S89" i="5"/>
  <c r="Y7" i="5"/>
  <c r="T16" i="5"/>
  <c r="S90" i="5"/>
  <c r="Z7" i="5"/>
  <c r="U16" i="5"/>
  <c r="AF3" i="5"/>
  <c r="Z12" i="5"/>
  <c r="U21" i="5"/>
  <c r="S140" i="5"/>
  <c r="L18" i="5"/>
  <c r="S189" i="5"/>
  <c r="H11" i="5"/>
  <c r="C20" i="5"/>
  <c r="S158" i="5"/>
  <c r="F10" i="5"/>
  <c r="S127" i="5"/>
  <c r="D9" i="5"/>
  <c r="AC17" i="5"/>
  <c r="S144" i="5"/>
  <c r="V9" i="5"/>
  <c r="P18" i="5"/>
  <c r="S177" i="5"/>
  <c r="Z10" i="5"/>
  <c r="U19" i="5"/>
  <c r="S146" i="5"/>
  <c r="X9" i="5"/>
  <c r="R18" i="5"/>
  <c r="X26" i="5"/>
  <c r="Z36" i="5"/>
  <c r="I46" i="5"/>
  <c r="D55" i="5"/>
  <c r="M5" i="5"/>
  <c r="W28" i="5"/>
  <c r="Y38" i="5"/>
  <c r="AD47" i="5"/>
  <c r="Y56" i="5"/>
  <c r="T65" i="5"/>
  <c r="G26" i="5"/>
  <c r="I36" i="5"/>
  <c r="Y45" i="5"/>
  <c r="T54" i="5"/>
  <c r="P17" i="5"/>
  <c r="U30" i="5"/>
  <c r="W40" i="5"/>
  <c r="V49" i="5"/>
  <c r="P58" i="5"/>
  <c r="S51" i="5"/>
  <c r="R27" i="5"/>
  <c r="U37" i="5"/>
  <c r="T23" i="5"/>
  <c r="AB33" i="5"/>
  <c r="K15" i="5"/>
  <c r="Q19" i="5"/>
  <c r="S84" i="5"/>
  <c r="X27" i="5"/>
  <c r="Z37" i="5"/>
  <c r="E47" i="5"/>
  <c r="AD55" i="5"/>
  <c r="Y64" i="5"/>
  <c r="AC25" i="5"/>
  <c r="AE35" i="5"/>
  <c r="AA19" i="5"/>
  <c r="G23" i="5"/>
  <c r="P33" i="5"/>
  <c r="W8" i="5"/>
  <c r="H20" i="5"/>
  <c r="E37" i="5"/>
  <c r="AD51" i="5"/>
  <c r="I64" i="5"/>
  <c r="P73" i="5"/>
  <c r="K82" i="5"/>
  <c r="S5" i="5"/>
  <c r="AB4" i="5"/>
  <c r="W13" i="5"/>
  <c r="Q22" i="5"/>
  <c r="L31" i="5"/>
  <c r="G40" i="5"/>
  <c r="M4" i="5"/>
  <c r="G13" i="5"/>
  <c r="AF21" i="5"/>
  <c r="AA30" i="5"/>
  <c r="V39" i="5"/>
  <c r="S167" i="5"/>
  <c r="O10" i="5"/>
  <c r="S88" i="5"/>
  <c r="X7" i="5"/>
  <c r="R16" i="5"/>
  <c r="S105" i="5"/>
  <c r="K8" i="5"/>
  <c r="F17" i="5"/>
  <c r="S106" i="5"/>
  <c r="L8" i="5"/>
  <c r="G17" i="5"/>
  <c r="R4" i="5"/>
  <c r="L13" i="5"/>
  <c r="G22" i="5"/>
  <c r="S156" i="5"/>
  <c r="D10" i="5"/>
  <c r="AC18" i="5"/>
  <c r="S205" i="5"/>
  <c r="Y11" i="5"/>
  <c r="T20" i="5"/>
  <c r="S174" i="5"/>
  <c r="W10" i="5"/>
  <c r="S143" i="5"/>
  <c r="U9" i="5"/>
  <c r="O18" i="5"/>
  <c r="S160" i="5"/>
  <c r="H10" i="5"/>
  <c r="C19" i="5"/>
  <c r="S193" i="5"/>
  <c r="L11" i="5"/>
  <c r="G20" i="5"/>
  <c r="S162" i="5"/>
  <c r="J10" i="5"/>
  <c r="S19" i="5"/>
  <c r="L27" i="5"/>
  <c r="P37" i="5"/>
  <c r="Z46" i="5"/>
  <c r="U55" i="5"/>
  <c r="Z9" i="5"/>
  <c r="K29" i="5"/>
  <c r="M39" i="5"/>
  <c r="P48" i="5"/>
  <c r="K57" i="5"/>
  <c r="F66" i="5"/>
  <c r="Z26" i="5"/>
  <c r="AD36" i="5"/>
  <c r="K46" i="5"/>
  <c r="F55" i="5"/>
  <c r="F19" i="5"/>
  <c r="I31" i="5"/>
  <c r="J41" i="5"/>
  <c r="H50" i="5"/>
  <c r="C59" i="5"/>
  <c r="S179" i="5"/>
  <c r="G28" i="5"/>
  <c r="I38" i="5"/>
  <c r="K24" i="5"/>
  <c r="P34" i="5"/>
  <c r="X17" i="5"/>
  <c r="AD20" i="5"/>
  <c r="I3" i="5"/>
  <c r="L28" i="5"/>
  <c r="N38" i="5"/>
  <c r="V47" i="5"/>
  <c r="P56" i="5"/>
  <c r="K65" i="5"/>
  <c r="Q26" i="5"/>
  <c r="T36" i="5"/>
  <c r="K21" i="5"/>
  <c r="AD23" i="5"/>
  <c r="G34" i="5"/>
  <c r="E13" i="5"/>
  <c r="P21" i="5"/>
  <c r="P38" i="5"/>
  <c r="W52" i="5"/>
  <c r="AC64" i="5"/>
  <c r="C74" i="5"/>
  <c r="AB82" i="5"/>
  <c r="F43" i="5"/>
  <c r="AE55" i="5"/>
  <c r="O67" i="5"/>
  <c r="J76" i="5"/>
  <c r="E85" i="5"/>
  <c r="AB35" i="5"/>
  <c r="F51" i="5"/>
  <c r="U63" i="5"/>
  <c r="AF72" i="5"/>
  <c r="AA81" i="5"/>
  <c r="R28" i="5"/>
  <c r="H47" i="5"/>
  <c r="AF59" i="5"/>
  <c r="J70" i="5"/>
  <c r="E79" i="5"/>
  <c r="AD87" i="5"/>
  <c r="AF43" i="5"/>
  <c r="AD56" i="5"/>
  <c r="E68" i="5"/>
  <c r="AE38" i="5"/>
  <c r="V41" i="5"/>
  <c r="V54" i="5"/>
  <c r="P66" i="5"/>
  <c r="C29" i="5"/>
  <c r="D32" i="5"/>
  <c r="E32" i="5"/>
  <c r="G49" i="5"/>
  <c r="AB61" i="5"/>
  <c r="S21" i="5"/>
  <c r="N5" i="5"/>
  <c r="I14" i="5"/>
  <c r="D23" i="5"/>
  <c r="AC31" i="5"/>
  <c r="S6" i="5"/>
  <c r="AC4" i="5"/>
  <c r="X13" i="5"/>
  <c r="R22" i="5"/>
  <c r="M31" i="5"/>
  <c r="H40" i="5"/>
  <c r="S183" i="5"/>
  <c r="AF10" i="5"/>
  <c r="S104" i="5"/>
  <c r="J8" i="5"/>
  <c r="E17" i="5"/>
  <c r="S121" i="5"/>
  <c r="AB8" i="5"/>
  <c r="W17" i="5"/>
  <c r="S122" i="5"/>
  <c r="AC8" i="5"/>
  <c r="S11" i="5"/>
  <c r="D5" i="5"/>
  <c r="AC13" i="5"/>
  <c r="X22" i="5"/>
  <c r="S172" i="5"/>
  <c r="U10" i="5"/>
  <c r="O19" i="5"/>
  <c r="R3" i="5"/>
  <c r="K12" i="5"/>
  <c r="F21" i="5"/>
  <c r="S190" i="5"/>
  <c r="I11" i="5"/>
  <c r="S159" i="5"/>
  <c r="G10" i="5"/>
  <c r="AF18" i="5"/>
  <c r="S176" i="5"/>
  <c r="Y10" i="5"/>
  <c r="T19" i="5"/>
  <c r="F3" i="5"/>
  <c r="AC11" i="5"/>
  <c r="X20" i="5"/>
  <c r="S178" i="5"/>
  <c r="AA10" i="5"/>
  <c r="S147" i="5"/>
  <c r="AE27" i="5"/>
  <c r="E38" i="5"/>
  <c r="L47" i="5"/>
  <c r="G56" i="5"/>
  <c r="H14" i="5"/>
  <c r="AD29" i="5"/>
  <c r="AF39" i="5"/>
  <c r="C49" i="5"/>
  <c r="AB57" i="5"/>
  <c r="S35" i="5"/>
  <c r="N27" i="5"/>
  <c r="R37" i="5"/>
  <c r="AB46" i="5"/>
  <c r="W55" i="5"/>
  <c r="U20" i="5"/>
  <c r="AB31" i="5"/>
  <c r="AC41" i="5"/>
  <c r="Y50" i="5"/>
  <c r="T59" i="5"/>
  <c r="O6" i="5"/>
  <c r="Z28" i="5"/>
  <c r="AB38" i="5"/>
  <c r="AF24" i="5"/>
  <c r="E35" i="5"/>
  <c r="M19" i="5"/>
  <c r="D22" i="5"/>
  <c r="T7" i="5"/>
  <c r="AE28" i="5"/>
  <c r="C39" i="5"/>
  <c r="H48" i="5"/>
  <c r="C57" i="5"/>
  <c r="AB65" i="5"/>
  <c r="F27" i="5"/>
  <c r="H37" i="5"/>
  <c r="K22" i="5"/>
  <c r="T24" i="5"/>
  <c r="Z34" i="5"/>
  <c r="Q16" i="5"/>
  <c r="O22" i="5"/>
  <c r="S37" i="5"/>
  <c r="AE5" i="5"/>
  <c r="Z14" i="5"/>
  <c r="U23" i="5"/>
  <c r="O32" i="5"/>
  <c r="S22" i="5"/>
  <c r="O5" i="5"/>
  <c r="J14" i="5"/>
  <c r="E23" i="5"/>
  <c r="AD31" i="5"/>
  <c r="Y40" i="5"/>
  <c r="S199" i="5"/>
  <c r="R11" i="5"/>
  <c r="S120" i="5"/>
  <c r="AA8" i="5"/>
  <c r="V17" i="5"/>
  <c r="S137" i="5"/>
  <c r="N9" i="5"/>
  <c r="I18" i="5"/>
  <c r="S138" i="5"/>
  <c r="O9" i="5"/>
  <c r="S27" i="5"/>
  <c r="U5" i="5"/>
  <c r="O14" i="5"/>
  <c r="J23" i="5"/>
  <c r="S188" i="5"/>
  <c r="G11" i="5"/>
  <c r="AF19" i="5"/>
  <c r="D4" i="5"/>
  <c r="AB12" i="5"/>
  <c r="W21" i="5"/>
  <c r="C3" i="5"/>
  <c r="Z11" i="5"/>
  <c r="S175" i="5"/>
  <c r="X10" i="5"/>
  <c r="R19" i="5"/>
  <c r="S192" i="5"/>
  <c r="K11" i="5"/>
  <c r="F20" i="5"/>
  <c r="V3" i="5"/>
  <c r="O12" i="5"/>
  <c r="J21" i="5"/>
  <c r="S194" i="5"/>
  <c r="M11" i="5"/>
  <c r="L5" i="5"/>
  <c r="V28" i="5"/>
  <c r="X38" i="5"/>
  <c r="AC47" i="5"/>
  <c r="X56" i="5"/>
  <c r="D17" i="5"/>
  <c r="R30" i="5"/>
  <c r="U40" i="5"/>
  <c r="T49" i="5"/>
  <c r="N58" i="5"/>
  <c r="S163" i="5"/>
  <c r="E28" i="5"/>
  <c r="G38" i="5"/>
  <c r="N47" i="5"/>
  <c r="I56" i="5"/>
  <c r="AB21" i="5"/>
  <c r="R32" i="5"/>
  <c r="P42" i="5"/>
  <c r="K51" i="5"/>
  <c r="F60" i="5"/>
  <c r="AB10" i="5"/>
  <c r="N29" i="5"/>
  <c r="P39" i="5"/>
  <c r="V25" i="5"/>
  <c r="X35" i="5"/>
  <c r="AA20" i="5"/>
  <c r="S83" i="5"/>
  <c r="AF11" i="5"/>
  <c r="T29" i="5"/>
  <c r="X39" i="5"/>
  <c r="Y48" i="5"/>
  <c r="T57" i="5"/>
  <c r="S99" i="5"/>
  <c r="Y27" i="5"/>
  <c r="AA37" i="5"/>
  <c r="F23" i="5"/>
  <c r="I25" i="5"/>
  <c r="N35" i="5"/>
  <c r="T18" i="5"/>
  <c r="I23" i="5"/>
  <c r="S53" i="5"/>
  <c r="L15" i="5"/>
  <c r="G24" i="5"/>
  <c r="AF32" i="5"/>
  <c r="S38" i="5"/>
  <c r="AF5" i="5"/>
  <c r="AA14" i="5"/>
  <c r="V23" i="5"/>
  <c r="P32" i="5"/>
  <c r="K41" i="5"/>
  <c r="L3" i="5"/>
  <c r="E12" i="5"/>
  <c r="S136" i="5"/>
  <c r="M9" i="5"/>
  <c r="H18" i="5"/>
  <c r="S153" i="5"/>
  <c r="AE9" i="5"/>
  <c r="Z18" i="5"/>
  <c r="S154" i="5"/>
  <c r="AF9" i="5"/>
  <c r="S43" i="5"/>
  <c r="G6" i="5"/>
  <c r="AF14" i="5"/>
  <c r="AA23" i="5"/>
  <c r="S204" i="5"/>
  <c r="X11" i="5"/>
  <c r="R20" i="5"/>
  <c r="T4" i="5"/>
  <c r="N13" i="5"/>
  <c r="I22" i="5"/>
  <c r="S3" i="5"/>
  <c r="L12" i="5"/>
  <c r="S191" i="5"/>
  <c r="J11" i="5"/>
  <c r="E20" i="5"/>
  <c r="E3" i="5"/>
  <c r="AB11" i="5"/>
  <c r="W20" i="5"/>
  <c r="H4" i="5"/>
  <c r="AF12" i="5"/>
  <c r="AA21" i="5"/>
  <c r="G3" i="5"/>
  <c r="AD11" i="5"/>
  <c r="Y9" i="5"/>
  <c r="J29" i="5"/>
  <c r="L39" i="5"/>
  <c r="O48" i="5"/>
  <c r="J57" i="5"/>
  <c r="AE18" i="5"/>
  <c r="G31" i="5"/>
  <c r="H41" i="5"/>
  <c r="F50" i="5"/>
  <c r="AE58" i="5"/>
  <c r="AC5" i="5"/>
  <c r="X28" i="5"/>
  <c r="Z38" i="5"/>
  <c r="AE47" i="5"/>
  <c r="Z56" i="5"/>
  <c r="W22" i="5"/>
  <c r="G33" i="5"/>
  <c r="C43" i="5"/>
  <c r="AB51" i="5"/>
  <c r="W60" i="5"/>
  <c r="E15" i="5"/>
  <c r="C30" i="5"/>
  <c r="E40" i="5"/>
  <c r="J26" i="5"/>
  <c r="N36" i="5"/>
  <c r="C22" i="5"/>
  <c r="H3" i="5"/>
  <c r="AB15" i="5"/>
  <c r="H30" i="5"/>
  <c r="L40" i="5"/>
  <c r="K49" i="5"/>
  <c r="F58" i="5"/>
  <c r="X3" i="5"/>
  <c r="M28" i="5"/>
  <c r="O38" i="5"/>
  <c r="AC23" i="5"/>
  <c r="AE25" i="5"/>
  <c r="C36" i="5"/>
  <c r="D20" i="5"/>
  <c r="AF23" i="5"/>
  <c r="H42" i="5"/>
  <c r="S69" i="5"/>
  <c r="D7" i="5"/>
  <c r="AC15" i="5"/>
  <c r="X24" i="5"/>
  <c r="R33" i="5"/>
  <c r="S54" i="5"/>
  <c r="R6" i="5"/>
  <c r="M15" i="5"/>
  <c r="H24" i="5"/>
  <c r="C33" i="5"/>
  <c r="AB41" i="5"/>
  <c r="AB3" i="5"/>
  <c r="V12" i="5"/>
  <c r="S152" i="5"/>
  <c r="AD9" i="5"/>
  <c r="Y18" i="5"/>
  <c r="S169" i="5"/>
  <c r="L19" i="5"/>
  <c r="S170" i="5"/>
  <c r="R10" i="5"/>
  <c r="S59" i="5"/>
  <c r="X6" i="5"/>
  <c r="R15" i="5"/>
  <c r="M24" i="5"/>
  <c r="J12" i="5"/>
  <c r="S13" i="5"/>
  <c r="F5" i="5"/>
  <c r="AE13" i="5"/>
  <c r="Z22" i="5"/>
  <c r="E4" i="5"/>
  <c r="AC12" i="5"/>
  <c r="D3" i="5"/>
  <c r="AA11" i="5"/>
  <c r="V20" i="5"/>
  <c r="U3" i="5"/>
  <c r="N12" i="5"/>
  <c r="I21" i="5"/>
  <c r="X4" i="5"/>
  <c r="R13" i="5"/>
  <c r="M22" i="5"/>
  <c r="W3" i="5"/>
  <c r="P12" i="5"/>
  <c r="G14" i="5"/>
  <c r="AC29" i="5"/>
  <c r="AE39" i="5"/>
  <c r="AF48" i="5"/>
  <c r="AA57" i="5"/>
  <c r="M20" i="5"/>
  <c r="Z31" i="5"/>
  <c r="Z41" i="5"/>
  <c r="W50" i="5"/>
  <c r="Q59" i="5"/>
  <c r="K10" i="5"/>
  <c r="L29" i="5"/>
  <c r="N39" i="5"/>
  <c r="Q48" i="5"/>
  <c r="L57" i="5"/>
  <c r="Q23" i="5"/>
  <c r="Z33" i="5"/>
  <c r="T43" i="5"/>
  <c r="N52" i="5"/>
  <c r="I61" i="5"/>
  <c r="Q17" i="5"/>
  <c r="V30" i="5"/>
  <c r="X40" i="5"/>
  <c r="AC26" i="5"/>
  <c r="C37" i="5"/>
  <c r="AB22" i="5"/>
  <c r="R7" i="5"/>
  <c r="D18" i="5"/>
  <c r="AC30" i="5"/>
  <c r="AD40" i="5"/>
  <c r="AB49" i="5"/>
  <c r="W58" i="5"/>
  <c r="E8" i="5"/>
  <c r="AF28" i="5"/>
  <c r="F39" i="5"/>
  <c r="R24" i="5"/>
  <c r="T26" i="5"/>
  <c r="V36" i="5"/>
  <c r="S85" i="5"/>
  <c r="U7" i="5"/>
  <c r="O16" i="5"/>
  <c r="J25" i="5"/>
  <c r="E34" i="5"/>
  <c r="S70" i="5"/>
  <c r="E7" i="5"/>
  <c r="AD15" i="5"/>
  <c r="Y24" i="5"/>
  <c r="T33" i="5"/>
  <c r="N42" i="5"/>
  <c r="N4" i="5"/>
  <c r="H13" i="5"/>
  <c r="S168" i="5"/>
  <c r="P10" i="5"/>
  <c r="K19" i="5"/>
  <c r="S185" i="5"/>
  <c r="D11" i="5"/>
  <c r="AC19" i="5"/>
  <c r="S186" i="5"/>
  <c r="E11" i="5"/>
  <c r="S75" i="5"/>
  <c r="J7" i="5"/>
  <c r="E16" i="5"/>
  <c r="AD24" i="5"/>
  <c r="C4" i="5"/>
  <c r="AA12" i="5"/>
  <c r="S29" i="5"/>
  <c r="W5" i="5"/>
  <c r="Q14" i="5"/>
  <c r="L23" i="5"/>
  <c r="U4" i="5"/>
  <c r="O13" i="5"/>
  <c r="T3" i="5"/>
  <c r="M12" i="5"/>
  <c r="H21" i="5"/>
  <c r="G4" i="5"/>
  <c r="AE12" i="5"/>
  <c r="S17" i="5"/>
  <c r="J5" i="5"/>
  <c r="E14" i="5"/>
  <c r="AD22" i="5"/>
  <c r="I4" i="5"/>
  <c r="C13" i="5"/>
  <c r="AE16" i="5"/>
  <c r="Q30" i="5"/>
  <c r="T40" i="5"/>
  <c r="R49" i="5"/>
  <c r="M58" i="5"/>
  <c r="X21" i="5"/>
  <c r="N32" i="5"/>
  <c r="M42" i="5"/>
  <c r="I51" i="5"/>
  <c r="D60" i="5"/>
  <c r="X14" i="5"/>
  <c r="AE29" i="5"/>
  <c r="C40" i="5"/>
  <c r="D49" i="5"/>
  <c r="AC57" i="5"/>
  <c r="I24" i="5"/>
  <c r="N34" i="5"/>
  <c r="F44" i="5"/>
  <c r="AE52" i="5"/>
  <c r="Z61" i="5"/>
  <c r="G19" i="5"/>
  <c r="J31" i="5"/>
  <c r="S52" i="5"/>
  <c r="T27" i="5"/>
  <c r="V37" i="5"/>
  <c r="W23" i="5"/>
  <c r="AE11" i="5"/>
  <c r="W19" i="5"/>
  <c r="Q31" i="5"/>
  <c r="Q41" i="5"/>
  <c r="N50" i="5"/>
  <c r="I59" i="5"/>
  <c r="U29" i="5"/>
  <c r="Y39" i="5"/>
  <c r="H25" i="5"/>
  <c r="H27" i="5"/>
  <c r="J37" i="5"/>
  <c r="N22" i="5"/>
  <c r="M25" i="5"/>
  <c r="AB43" i="5"/>
  <c r="V56" i="5"/>
  <c r="S101" i="5"/>
  <c r="G8" i="5"/>
  <c r="AF16" i="5"/>
  <c r="AA25" i="5"/>
  <c r="V34" i="5"/>
  <c r="S86" i="5"/>
  <c r="V7" i="5"/>
  <c r="P16" i="5"/>
  <c r="K25" i="5"/>
  <c r="F34" i="5"/>
  <c r="S7" i="5"/>
  <c r="AD4" i="5"/>
  <c r="Y13" i="5"/>
  <c r="S184" i="5"/>
  <c r="C11" i="5"/>
  <c r="AB19" i="5"/>
  <c r="S201" i="5"/>
  <c r="U11" i="5"/>
  <c r="O20" i="5"/>
  <c r="S202" i="5"/>
  <c r="V11" i="5"/>
  <c r="S91" i="5"/>
  <c r="AA7" i="5"/>
  <c r="V16" i="5"/>
  <c r="P25" i="5"/>
  <c r="S4" i="5"/>
  <c r="M13" i="5"/>
  <c r="S45" i="5"/>
  <c r="I6" i="5"/>
  <c r="D15" i="5"/>
  <c r="S14" i="5"/>
  <c r="G5" i="5"/>
  <c r="AF13" i="5"/>
  <c r="F4" i="5"/>
  <c r="AD12" i="5"/>
  <c r="Y21" i="5"/>
  <c r="W4" i="5"/>
  <c r="S33" i="5"/>
  <c r="AA5" i="5"/>
  <c r="V14" i="5"/>
  <c r="P23" i="5"/>
  <c r="Y4" i="5"/>
  <c r="T13" i="5"/>
  <c r="AA18" i="5"/>
  <c r="F31" i="5"/>
  <c r="G41" i="5"/>
  <c r="E50" i="5"/>
  <c r="AD58" i="5"/>
  <c r="U22" i="5"/>
  <c r="E33" i="5"/>
  <c r="AE42" i="5"/>
  <c r="Z51" i="5"/>
  <c r="U60" i="5"/>
  <c r="K17" i="5"/>
  <c r="T30" i="5"/>
  <c r="V40" i="5"/>
  <c r="U49" i="5"/>
  <c r="O58" i="5"/>
  <c r="AC24" i="5"/>
  <c r="C35" i="5"/>
  <c r="W44" i="5"/>
  <c r="Q53" i="5"/>
  <c r="L62" i="5"/>
  <c r="Y20" i="5"/>
  <c r="AE31" i="5"/>
  <c r="S180" i="5"/>
  <c r="H28" i="5"/>
  <c r="J38" i="5"/>
  <c r="L24" i="5"/>
  <c r="AA15" i="5"/>
  <c r="E21" i="5"/>
  <c r="F32" i="5"/>
  <c r="E42" i="5"/>
  <c r="AE50" i="5"/>
  <c r="Z59" i="5"/>
  <c r="H16" i="5"/>
  <c r="K30" i="5"/>
  <c r="M40" i="5"/>
  <c r="S115" i="5"/>
  <c r="AA27" i="5"/>
  <c r="AC37" i="5"/>
  <c r="H23" i="5"/>
  <c r="S132" i="5"/>
  <c r="X44" i="5"/>
  <c r="Q57" i="5"/>
  <c r="Q68" i="5"/>
  <c r="L77" i="5"/>
  <c r="AB29" i="5"/>
  <c r="AB47" i="5"/>
  <c r="Y60" i="5"/>
  <c r="Y70" i="5"/>
  <c r="T79" i="5"/>
  <c r="N88" i="5"/>
  <c r="G43" i="5"/>
  <c r="AF55" i="5"/>
  <c r="P67" i="5"/>
  <c r="K76" i="5"/>
  <c r="F85" i="5"/>
  <c r="K37" i="5"/>
  <c r="C52" i="5"/>
  <c r="L64" i="5"/>
  <c r="T73" i="5"/>
  <c r="N82" i="5"/>
  <c r="V31" i="5"/>
  <c r="AB48" i="5"/>
  <c r="T61" i="5"/>
  <c r="X18" i="5"/>
  <c r="U27" i="5"/>
  <c r="T46" i="5"/>
  <c r="M59" i="5"/>
  <c r="AA69" i="5"/>
  <c r="X37" i="5"/>
  <c r="R40" i="5"/>
  <c r="AA40" i="5"/>
  <c r="AC53" i="5"/>
  <c r="AE65" i="5"/>
  <c r="S117" i="5"/>
  <c r="X8" i="5"/>
  <c r="R17" i="5"/>
  <c r="M26" i="5"/>
  <c r="H35" i="5"/>
  <c r="S102" i="5"/>
  <c r="H8" i="5"/>
  <c r="C17" i="5"/>
  <c r="AB25" i="5"/>
  <c r="W34" i="5"/>
  <c r="S23" i="5"/>
  <c r="P5" i="5"/>
  <c r="K14" i="5"/>
  <c r="S200" i="5"/>
  <c r="T11" i="5"/>
  <c r="N20" i="5"/>
  <c r="N3" i="5"/>
  <c r="G12" i="5"/>
  <c r="AF20" i="5"/>
  <c r="O3" i="5"/>
  <c r="H12" i="5"/>
  <c r="S107" i="5"/>
  <c r="M8" i="5"/>
  <c r="H17" i="5"/>
  <c r="S12" i="5"/>
  <c r="E5" i="5"/>
  <c r="AD13" i="5"/>
  <c r="S61" i="5"/>
  <c r="Z6" i="5"/>
  <c r="U15" i="5"/>
  <c r="S30" i="5"/>
  <c r="X5" i="5"/>
  <c r="R14" i="5"/>
  <c r="V4" i="5"/>
  <c r="P13" i="5"/>
  <c r="S16" i="5"/>
  <c r="I5" i="5"/>
  <c r="D14" i="5"/>
  <c r="S49" i="5"/>
  <c r="M6" i="5"/>
  <c r="H15" i="5"/>
  <c r="S18" i="5"/>
  <c r="K5" i="5"/>
  <c r="F14" i="5"/>
  <c r="J20" i="5"/>
  <c r="Y31" i="5"/>
  <c r="Y41" i="5"/>
  <c r="V50" i="5"/>
  <c r="P59" i="5"/>
  <c r="N23" i="5"/>
  <c r="X33" i="5"/>
  <c r="Q43" i="5"/>
  <c r="L52" i="5"/>
  <c r="G61" i="5"/>
  <c r="E19" i="5"/>
  <c r="H31" i="5"/>
  <c r="I41" i="5"/>
  <c r="G50" i="5"/>
  <c r="AF58" i="5"/>
  <c r="T25" i="5"/>
  <c r="V35" i="5"/>
  <c r="I45" i="5"/>
  <c r="D54" i="5"/>
  <c r="AC62" i="5"/>
  <c r="AC21" i="5"/>
  <c r="T32" i="5"/>
  <c r="P6" i="5"/>
  <c r="AA28" i="5"/>
  <c r="AC38" i="5"/>
  <c r="C25" i="5"/>
  <c r="C18" i="5"/>
  <c r="H22" i="5"/>
  <c r="Y32" i="5"/>
  <c r="W42" i="5"/>
  <c r="Q51" i="5"/>
  <c r="L60" i="5"/>
  <c r="G18" i="5"/>
  <c r="AD30" i="5"/>
  <c r="AE40" i="5"/>
  <c r="J4" i="5"/>
  <c r="O28" i="5"/>
  <c r="T38" i="5"/>
  <c r="AE23" i="5"/>
  <c r="L25" i="5"/>
  <c r="S133" i="5"/>
  <c r="J9" i="5"/>
  <c r="E18" i="5"/>
  <c r="AD26" i="5"/>
  <c r="Y35" i="5"/>
  <c r="S118" i="5"/>
  <c r="Y8" i="5"/>
  <c r="T17" i="5"/>
  <c r="N26" i="5"/>
  <c r="I35" i="5"/>
  <c r="S39" i="5"/>
  <c r="C6" i="5"/>
  <c r="AB14" i="5"/>
  <c r="M3" i="5"/>
  <c r="F12" i="5"/>
  <c r="AE20" i="5"/>
  <c r="AD3" i="5"/>
  <c r="X12" i="5"/>
  <c r="R21" i="5"/>
  <c r="AE3" i="5"/>
  <c r="Y12" i="5"/>
  <c r="S123" i="5"/>
  <c r="AD8" i="5"/>
  <c r="Y17" i="5"/>
  <c r="S28" i="5"/>
  <c r="V5" i="5"/>
  <c r="P14" i="5"/>
  <c r="S77" i="5"/>
  <c r="L7" i="5"/>
  <c r="G16" i="5"/>
  <c r="S46" i="5"/>
  <c r="J6" i="5"/>
  <c r="S15" i="5"/>
  <c r="H5" i="5"/>
  <c r="C14" i="5"/>
  <c r="S32" i="5"/>
  <c r="Z5" i="5"/>
  <c r="U14" i="5"/>
  <c r="S65" i="5"/>
  <c r="AD6" i="5"/>
  <c r="Y15" i="5"/>
  <c r="S34" i="5"/>
  <c r="AB5" i="5"/>
  <c r="W14" i="5"/>
  <c r="V21" i="5"/>
  <c r="M32" i="5"/>
  <c r="L42" i="5"/>
  <c r="H51" i="5"/>
  <c r="C60" i="5"/>
  <c r="E24" i="5"/>
  <c r="L34" i="5"/>
  <c r="D44" i="5"/>
  <c r="AC52" i="5"/>
  <c r="X61" i="5"/>
  <c r="P20" i="5"/>
  <c r="AA31" i="5"/>
  <c r="AA41" i="5"/>
  <c r="X50" i="5"/>
  <c r="R59" i="5"/>
  <c r="H26" i="5"/>
  <c r="J36" i="5"/>
  <c r="Z45" i="5"/>
  <c r="U54" i="5"/>
  <c r="O63" i="5"/>
  <c r="Y22" i="5"/>
  <c r="H33" i="5"/>
  <c r="AC10" i="5"/>
  <c r="O29" i="5"/>
  <c r="Q39" i="5"/>
  <c r="W25" i="5"/>
  <c r="V19" i="5"/>
  <c r="AF22" i="5"/>
  <c r="M33" i="5"/>
  <c r="I43" i="5"/>
  <c r="D52" i="5"/>
  <c r="AC60" i="5"/>
  <c r="X19" i="5"/>
  <c r="R31" i="5"/>
  <c r="R41" i="5"/>
  <c r="V8" i="5"/>
  <c r="D29" i="5"/>
  <c r="H39" i="5"/>
  <c r="U24" i="5"/>
  <c r="C27" i="5"/>
  <c r="S149" i="5"/>
  <c r="AA9" i="5"/>
  <c r="V18" i="5"/>
  <c r="P27" i="5"/>
  <c r="K36" i="5"/>
  <c r="S134" i="5"/>
  <c r="K9" i="5"/>
  <c r="F18" i="5"/>
  <c r="AE26" i="5"/>
  <c r="Z35" i="5"/>
  <c r="S55" i="5"/>
  <c r="T6" i="5"/>
  <c r="N15" i="5"/>
  <c r="AC3" i="5"/>
  <c r="W12" i="5"/>
  <c r="Q21" i="5"/>
  <c r="P4" i="5"/>
  <c r="J13" i="5"/>
  <c r="E22" i="5"/>
  <c r="K13" i="5"/>
  <c r="S139" i="5"/>
  <c r="P9" i="5"/>
  <c r="K18" i="5"/>
  <c r="S44" i="5"/>
  <c r="H6" i="5"/>
  <c r="C15" i="5"/>
  <c r="S93" i="5"/>
  <c r="AC7" i="5"/>
  <c r="X16" i="5"/>
  <c r="S62" i="5"/>
  <c r="AA6" i="5"/>
  <c r="S31" i="5"/>
  <c r="Y5" i="5"/>
  <c r="T14" i="5"/>
  <c r="S48" i="5"/>
  <c r="L6" i="5"/>
  <c r="G15" i="5"/>
  <c r="S81" i="5"/>
  <c r="P7" i="5"/>
  <c r="K16" i="5"/>
  <c r="S50" i="5"/>
  <c r="N6" i="5"/>
  <c r="I15" i="5"/>
  <c r="T22" i="5"/>
  <c r="D33" i="5"/>
  <c r="AD42" i="5"/>
  <c r="Y51" i="5"/>
  <c r="T60" i="5"/>
  <c r="AA24" i="5"/>
  <c r="AE34" i="5"/>
  <c r="U44" i="5"/>
  <c r="O53" i="5"/>
  <c r="J62" i="5"/>
  <c r="Z21" i="5"/>
  <c r="Q32" i="5"/>
  <c r="O42" i="5"/>
  <c r="J51" i="5"/>
  <c r="E60" i="5"/>
  <c r="AA26" i="5"/>
  <c r="AE36" i="5"/>
  <c r="L46" i="5"/>
  <c r="G55" i="5"/>
  <c r="AF63" i="5"/>
  <c r="R23" i="5"/>
  <c r="AA33" i="5"/>
  <c r="J15" i="5"/>
  <c r="D30" i="5"/>
  <c r="F40" i="5"/>
  <c r="S68" i="5"/>
  <c r="C21" i="5"/>
  <c r="Z23" i="5"/>
  <c r="AF33" i="5"/>
  <c r="Z43" i="5"/>
  <c r="U52" i="5"/>
  <c r="O61" i="5"/>
  <c r="G21" i="5"/>
  <c r="G32" i="5"/>
  <c r="S100" i="5"/>
  <c r="D13" i="5"/>
  <c r="Y29" i="5"/>
  <c r="AA39" i="5"/>
  <c r="S131" i="5"/>
  <c r="N28" i="5"/>
  <c r="S165" i="5"/>
  <c r="M10" i="5"/>
  <c r="H19" i="5"/>
  <c r="C28" i="5"/>
  <c r="AB36" i="5"/>
  <c r="S150" i="5"/>
  <c r="AB9" i="5"/>
  <c r="W18" i="5"/>
  <c r="Q27" i="5"/>
  <c r="L36" i="5"/>
  <c r="S71" i="5"/>
  <c r="F7" i="5"/>
  <c r="AE15" i="5"/>
  <c r="O4" i="5"/>
  <c r="I13" i="5"/>
  <c r="S9" i="5"/>
  <c r="AF4" i="5"/>
  <c r="AA13" i="5"/>
  <c r="S10" i="5"/>
  <c r="C5" i="5"/>
  <c r="AB13" i="5"/>
  <c r="S155" i="5"/>
  <c r="C10" i="5"/>
  <c r="AB18" i="5"/>
  <c r="S60" i="5"/>
  <c r="Y6" i="5"/>
  <c r="T15" i="5"/>
  <c r="S109" i="5"/>
  <c r="O8" i="5"/>
  <c r="J17" i="5"/>
  <c r="S78" i="5"/>
  <c r="M7" i="5"/>
  <c r="S47" i="5"/>
  <c r="K6" i="5"/>
  <c r="F15" i="5"/>
  <c r="S64" i="5"/>
  <c r="AC6" i="5"/>
  <c r="X15" i="5"/>
  <c r="S97" i="5"/>
  <c r="C8" i="5"/>
  <c r="AB16" i="5"/>
  <c r="S66" i="5"/>
  <c r="AE6" i="5"/>
  <c r="Z15" i="5"/>
  <c r="M23" i="5"/>
  <c r="W33" i="5"/>
  <c r="P43" i="5"/>
  <c r="K52" i="5"/>
  <c r="F61" i="5"/>
  <c r="Q25" i="5"/>
  <c r="T35" i="5"/>
  <c r="G45" i="5"/>
  <c r="AF53" i="5"/>
  <c r="AA62" i="5"/>
  <c r="V22" i="5"/>
  <c r="F33" i="5"/>
  <c r="AF42" i="5"/>
  <c r="AA51" i="5"/>
  <c r="S36" i="5"/>
  <c r="O27" i="5"/>
  <c r="T37" i="5"/>
  <c r="AC46" i="5"/>
  <c r="X55" i="5"/>
  <c r="R64" i="5"/>
  <c r="J24" i="5"/>
  <c r="O34" i="5"/>
  <c r="U17" i="5"/>
  <c r="W30" i="5"/>
  <c r="Z40" i="5"/>
  <c r="S196" i="5"/>
  <c r="F22" i="5"/>
  <c r="P24" i="5"/>
  <c r="U34" i="5"/>
  <c r="L44" i="5"/>
  <c r="G53" i="5"/>
  <c r="AF61" i="5"/>
  <c r="J22" i="5"/>
  <c r="Z32" i="5"/>
  <c r="Y3" i="5"/>
  <c r="N16" i="5"/>
  <c r="M30" i="5"/>
  <c r="S181" i="5"/>
  <c r="AD10" i="5"/>
  <c r="Y19" i="5"/>
  <c r="T28" i="5"/>
  <c r="N37" i="5"/>
  <c r="S166" i="5"/>
  <c r="N10" i="5"/>
  <c r="I19" i="5"/>
  <c r="D28" i="5"/>
  <c r="AC36" i="5"/>
  <c r="S87" i="5"/>
  <c r="W7" i="5"/>
  <c r="S8" i="5"/>
  <c r="AE4" i="5"/>
  <c r="Z13" i="5"/>
  <c r="S25" i="5"/>
  <c r="R5" i="5"/>
  <c r="M14" i="5"/>
  <c r="S26" i="5"/>
  <c r="T5" i="5"/>
  <c r="N14" i="5"/>
  <c r="S171" i="5"/>
  <c r="T10" i="5"/>
  <c r="N19" i="5"/>
  <c r="S76" i="5"/>
  <c r="K7" i="5"/>
  <c r="F16" i="5"/>
  <c r="S125" i="5"/>
  <c r="AF8" i="5"/>
  <c r="AA17" i="5"/>
  <c r="S94" i="5"/>
  <c r="AD7" i="5"/>
  <c r="S63" i="5"/>
  <c r="AB6" i="5"/>
  <c r="W15" i="5"/>
  <c r="S80" i="5"/>
  <c r="O7" i="5"/>
  <c r="J16" i="5"/>
  <c r="S113" i="5"/>
  <c r="T8" i="5"/>
  <c r="N17" i="5"/>
  <c r="S82" i="5"/>
  <c r="L16" i="5"/>
  <c r="D24" i="5"/>
  <c r="K34" i="5"/>
  <c r="C44" i="5"/>
  <c r="AB52" i="5"/>
  <c r="W61" i="5"/>
  <c r="F26" i="5"/>
  <c r="H36" i="5"/>
  <c r="X45" i="5"/>
  <c r="R54" i="5"/>
  <c r="M63" i="5"/>
  <c r="O23" i="5"/>
  <c r="Y33" i="5"/>
  <c r="R43" i="5"/>
  <c r="M52" i="5"/>
  <c r="S164" i="5"/>
  <c r="F28" i="5"/>
  <c r="H38" i="5"/>
  <c r="O47" i="5"/>
  <c r="J56" i="5"/>
  <c r="E65" i="5"/>
  <c r="AE24" i="5"/>
  <c r="D35" i="5"/>
  <c r="J19" i="5"/>
  <c r="K31" i="5"/>
  <c r="S67" i="5"/>
  <c r="C7" i="5"/>
  <c r="AE22" i="5"/>
  <c r="F25" i="5"/>
  <c r="K35" i="5"/>
  <c r="AC44" i="5"/>
  <c r="X53" i="5"/>
  <c r="R62" i="5"/>
  <c r="C23" i="5"/>
  <c r="N33" i="5"/>
  <c r="F8" i="5"/>
  <c r="N18" i="5"/>
  <c r="AF30" i="5"/>
  <c r="C41" i="5"/>
  <c r="H9" i="5"/>
  <c r="N31" i="5"/>
  <c r="W48" i="5"/>
  <c r="N61" i="5"/>
  <c r="I8" i="5"/>
  <c r="AA16" i="5"/>
  <c r="E55" i="5"/>
  <c r="S195" i="5"/>
  <c r="M21" i="5"/>
  <c r="C55" i="5"/>
  <c r="J71" i="5"/>
  <c r="D27" i="5"/>
  <c r="P49" i="5"/>
  <c r="J64" i="5"/>
  <c r="X75" i="5"/>
  <c r="Y86" i="5"/>
  <c r="AD43" i="5"/>
  <c r="H59" i="5"/>
  <c r="L71" i="5"/>
  <c r="AD82" i="5"/>
  <c r="AC35" i="5"/>
  <c r="N54" i="5"/>
  <c r="D68" i="5"/>
  <c r="V79" i="5"/>
  <c r="AB28" i="5"/>
  <c r="P50" i="5"/>
  <c r="D65" i="5"/>
  <c r="D36" i="5"/>
  <c r="T42" i="5"/>
  <c r="AF56" i="5"/>
  <c r="J69" i="5"/>
  <c r="Q40" i="5"/>
  <c r="J44" i="5"/>
  <c r="AD45" i="5"/>
  <c r="M60" i="5"/>
  <c r="T71" i="5"/>
  <c r="N80" i="5"/>
  <c r="Y30" i="5"/>
  <c r="L48" i="5"/>
  <c r="E61" i="5"/>
  <c r="D71" i="5"/>
  <c r="U26" i="5"/>
  <c r="D46" i="5"/>
  <c r="AB58" i="5"/>
  <c r="P69" i="5"/>
  <c r="AB42" i="5"/>
  <c r="Q44" i="5"/>
  <c r="AD67" i="5"/>
  <c r="X47" i="5"/>
  <c r="R72" i="5"/>
  <c r="K85" i="5"/>
  <c r="AA43" i="5"/>
  <c r="V70" i="5"/>
  <c r="AB83" i="5"/>
  <c r="Z93" i="5"/>
  <c r="U102" i="5"/>
  <c r="O111" i="5"/>
  <c r="V60" i="5"/>
  <c r="K78" i="5"/>
  <c r="AE89" i="5"/>
  <c r="Z98" i="5"/>
  <c r="U107" i="5"/>
  <c r="O116" i="5"/>
  <c r="Q62" i="5"/>
  <c r="H79" i="5"/>
  <c r="S24" i="5"/>
  <c r="AB7" i="5"/>
  <c r="S129" i="5"/>
  <c r="AD63" i="5"/>
  <c r="O11" i="5"/>
  <c r="Z4" i="5"/>
  <c r="AC55" i="5"/>
  <c r="AA71" i="5"/>
  <c r="P28" i="5"/>
  <c r="L50" i="5"/>
  <c r="AD64" i="5"/>
  <c r="AA76" i="5"/>
  <c r="K87" i="5"/>
  <c r="Z44" i="5"/>
  <c r="AE59" i="5"/>
  <c r="O72" i="5"/>
  <c r="P83" i="5"/>
  <c r="W38" i="5"/>
  <c r="J55" i="5"/>
  <c r="U68" i="5"/>
  <c r="H80" i="5"/>
  <c r="G30" i="5"/>
  <c r="L51" i="5"/>
  <c r="Y65" i="5"/>
  <c r="M37" i="5"/>
  <c r="L43" i="5"/>
  <c r="Y57" i="5"/>
  <c r="M70" i="5"/>
  <c r="W41" i="5"/>
  <c r="AC22" i="5"/>
  <c r="W46" i="5"/>
  <c r="D61" i="5"/>
  <c r="F72" i="5"/>
  <c r="AE80" i="5"/>
  <c r="H32" i="5"/>
  <c r="H49" i="5"/>
  <c r="AC61" i="5"/>
  <c r="X23" i="5"/>
  <c r="AD27" i="5"/>
  <c r="AD46" i="5"/>
  <c r="X59" i="5"/>
  <c r="C70" i="5"/>
  <c r="W24" i="5"/>
  <c r="D25" i="5"/>
  <c r="K69" i="5"/>
  <c r="N49" i="5"/>
  <c r="M73" i="5"/>
  <c r="C86" i="5"/>
  <c r="C46" i="5"/>
  <c r="W71" i="5"/>
  <c r="V84" i="5"/>
  <c r="L94" i="5"/>
  <c r="G103" i="5"/>
  <c r="AF111" i="5"/>
  <c r="P62" i="5"/>
  <c r="G79" i="5"/>
  <c r="Q90" i="5"/>
  <c r="L99" i="5"/>
  <c r="G108" i="5"/>
  <c r="AF116" i="5"/>
  <c r="E64" i="5"/>
  <c r="AE79" i="5"/>
  <c r="E91" i="5"/>
  <c r="AF60" i="5"/>
  <c r="AC65" i="5"/>
  <c r="AC80" i="5"/>
  <c r="X91" i="5"/>
  <c r="P57" i="5"/>
  <c r="K61" i="5"/>
  <c r="T64" i="5"/>
  <c r="J80" i="5"/>
  <c r="J91" i="5"/>
  <c r="E100" i="5"/>
  <c r="AD108" i="5"/>
  <c r="E56" i="5"/>
  <c r="H76" i="5"/>
  <c r="Q88" i="5"/>
  <c r="R52" i="5"/>
  <c r="G58" i="5"/>
  <c r="G77" i="5"/>
  <c r="G89" i="5"/>
  <c r="W54" i="5"/>
  <c r="J60" i="5"/>
  <c r="AB85" i="5"/>
  <c r="M100" i="5"/>
  <c r="J111" i="5"/>
  <c r="AD120" i="5"/>
  <c r="Y129" i="5"/>
  <c r="AB77" i="5"/>
  <c r="C97" i="5"/>
  <c r="AD107" i="5"/>
  <c r="G118" i="5"/>
  <c r="C127" i="5"/>
  <c r="N74" i="5"/>
  <c r="Y95" i="5"/>
  <c r="U106" i="5"/>
  <c r="C117" i="5"/>
  <c r="F9" i="5"/>
  <c r="F24" i="5"/>
  <c r="Y23" i="5"/>
  <c r="U13" i="5"/>
  <c r="J58" i="5"/>
  <c r="T74" i="5"/>
  <c r="O31" i="5"/>
  <c r="E51" i="5"/>
  <c r="U65" i="5"/>
  <c r="M77" i="5"/>
  <c r="AB87" i="5"/>
  <c r="R45" i="5"/>
  <c r="Z60" i="5"/>
  <c r="R73" i="5"/>
  <c r="C84" i="5"/>
  <c r="J40" i="5"/>
  <c r="C56" i="5"/>
  <c r="X69" i="5"/>
  <c r="Y80" i="5"/>
  <c r="AE32" i="5"/>
  <c r="E52" i="5"/>
  <c r="N66" i="5"/>
  <c r="N40" i="5"/>
  <c r="H44" i="5"/>
  <c r="U58" i="5"/>
  <c r="AD70" i="5"/>
  <c r="U42" i="5"/>
  <c r="L26" i="5"/>
  <c r="R47" i="5"/>
  <c r="T62" i="5"/>
  <c r="W72" i="5"/>
  <c r="Q81" i="5"/>
  <c r="U33" i="5"/>
  <c r="AE49" i="5"/>
  <c r="U62" i="5"/>
  <c r="R26" i="5"/>
  <c r="Q29" i="5"/>
  <c r="W47" i="5"/>
  <c r="P60" i="5"/>
  <c r="T70" i="5"/>
  <c r="W26" i="5"/>
  <c r="V43" i="5"/>
  <c r="R70" i="5"/>
  <c r="O51" i="5"/>
  <c r="I74" i="5"/>
  <c r="X86" i="5"/>
  <c r="Y47" i="5"/>
  <c r="U72" i="5"/>
  <c r="L85" i="5"/>
  <c r="AC94" i="5"/>
  <c r="X103" i="5"/>
  <c r="R112" i="5"/>
  <c r="C64" i="5"/>
  <c r="AD79" i="5"/>
  <c r="D91" i="5"/>
  <c r="AC99" i="5"/>
  <c r="X108" i="5"/>
  <c r="R117" i="5"/>
  <c r="Q65" i="5"/>
  <c r="AA80" i="5"/>
  <c r="V91" i="5"/>
  <c r="V62" i="5"/>
  <c r="I67" i="5"/>
  <c r="V81" i="5"/>
  <c r="J92" i="5"/>
  <c r="N59" i="5"/>
  <c r="Z62" i="5"/>
  <c r="E66" i="5"/>
  <c r="C81" i="5"/>
  <c r="AA91" i="5"/>
  <c r="V100" i="5"/>
  <c r="P109" i="5"/>
  <c r="AE57" i="5"/>
  <c r="D77" i="5"/>
  <c r="E89" i="5"/>
  <c r="I54" i="5"/>
  <c r="AB59" i="5"/>
  <c r="C78" i="5"/>
  <c r="X89" i="5"/>
  <c r="O56" i="5"/>
  <c r="AD61" i="5"/>
  <c r="I87" i="5"/>
  <c r="E101" i="5"/>
  <c r="AD111" i="5"/>
  <c r="P121" i="5"/>
  <c r="K130" i="5"/>
  <c r="X79" i="5"/>
  <c r="Y97" i="5"/>
  <c r="T108" i="5"/>
  <c r="Y118" i="5"/>
  <c r="T127" i="5"/>
  <c r="F76" i="5"/>
  <c r="N96" i="5"/>
  <c r="K107" i="5"/>
  <c r="U117" i="5"/>
  <c r="L70" i="5"/>
  <c r="J94" i="5"/>
  <c r="J105" i="5"/>
  <c r="N70" i="5"/>
  <c r="P76" i="5"/>
  <c r="Q96" i="5"/>
  <c r="N107" i="5"/>
  <c r="X81" i="5"/>
  <c r="Q86" i="5"/>
  <c r="J73" i="5"/>
  <c r="K95" i="5"/>
  <c r="I106" i="5"/>
  <c r="W116" i="5"/>
  <c r="F82" i="5"/>
  <c r="AA98" i="5"/>
  <c r="V109" i="5"/>
  <c r="U119" i="5"/>
  <c r="O128" i="5"/>
  <c r="S197" i="5"/>
  <c r="L14" i="5"/>
  <c r="W16" i="5"/>
  <c r="AE17" i="5"/>
  <c r="M34" i="5"/>
  <c r="Z25" i="5"/>
  <c r="V24" i="5"/>
  <c r="F59" i="5"/>
  <c r="F75" i="5"/>
  <c r="AA32" i="5"/>
  <c r="AE51" i="5"/>
  <c r="AC66" i="5"/>
  <c r="AD77" i="5"/>
  <c r="AE88" i="5"/>
  <c r="N46" i="5"/>
  <c r="Q61" i="5"/>
  <c r="E74" i="5"/>
  <c r="T84" i="5"/>
  <c r="O41" i="5"/>
  <c r="AC56" i="5"/>
  <c r="AA70" i="5"/>
  <c r="K81" i="5"/>
  <c r="R34" i="5"/>
  <c r="AA52" i="5"/>
  <c r="R67" i="5"/>
  <c r="T41" i="5"/>
  <c r="AE44" i="5"/>
  <c r="I60" i="5"/>
  <c r="P71" i="5"/>
  <c r="P22" i="5"/>
  <c r="Z27" i="5"/>
  <c r="K48" i="5"/>
  <c r="I63" i="5"/>
  <c r="I73" i="5"/>
  <c r="D82" i="5"/>
  <c r="F35" i="5"/>
  <c r="AA50" i="5"/>
  <c r="J63" i="5"/>
  <c r="AC27" i="5"/>
  <c r="AE30" i="5"/>
  <c r="N48" i="5"/>
  <c r="J61" i="5"/>
  <c r="N24" i="5"/>
  <c r="J28" i="5"/>
  <c r="AB45" i="5"/>
  <c r="U71" i="5"/>
  <c r="I53" i="5"/>
  <c r="AF74" i="5"/>
  <c r="P87" i="5"/>
  <c r="Y49" i="5"/>
  <c r="N73" i="5"/>
  <c r="D86" i="5"/>
  <c r="O95" i="5"/>
  <c r="J104" i="5"/>
  <c r="E113" i="5"/>
  <c r="P65" i="5"/>
  <c r="Z80" i="5"/>
  <c r="U91" i="5"/>
  <c r="O100" i="5"/>
  <c r="J109" i="5"/>
  <c r="E118" i="5"/>
  <c r="E67" i="5"/>
  <c r="T81" i="5"/>
  <c r="H92" i="5"/>
  <c r="F64" i="5"/>
  <c r="O68" i="5"/>
  <c r="Q82" i="5"/>
  <c r="AA92" i="5"/>
  <c r="H61" i="5"/>
  <c r="Q64" i="5"/>
  <c r="M67" i="5"/>
  <c r="AC81" i="5"/>
  <c r="M92" i="5"/>
  <c r="H101" i="5"/>
  <c r="C110" i="5"/>
  <c r="Y59" i="5"/>
  <c r="AA77" i="5"/>
  <c r="V89" i="5"/>
  <c r="K56" i="5"/>
  <c r="Y61" i="5"/>
  <c r="Z78" i="5"/>
  <c r="S41" i="5"/>
  <c r="S141" i="5"/>
  <c r="S98" i="5"/>
  <c r="E44" i="5"/>
  <c r="AD35" i="5"/>
  <c r="AA29" i="5"/>
  <c r="AC59" i="5"/>
  <c r="W75" i="5"/>
  <c r="I34" i="5"/>
  <c r="X52" i="5"/>
  <c r="AF67" i="5"/>
  <c r="P78" i="5"/>
  <c r="I9" i="5"/>
  <c r="G47" i="5"/>
  <c r="AE62" i="5"/>
  <c r="V74" i="5"/>
  <c r="W85" i="5"/>
  <c r="K42" i="5"/>
  <c r="V57" i="5"/>
  <c r="M71" i="5"/>
  <c r="AB81" i="5"/>
  <c r="AF35" i="5"/>
  <c r="W53" i="5"/>
  <c r="V68" i="5"/>
  <c r="R42" i="5"/>
  <c r="AA45" i="5"/>
  <c r="AE60" i="5"/>
  <c r="C72" i="5"/>
  <c r="K26" i="5"/>
  <c r="H29" i="5"/>
  <c r="AD49" i="5"/>
  <c r="AC63" i="5"/>
  <c r="Z73" i="5"/>
  <c r="U82" i="5"/>
  <c r="Q36" i="5"/>
  <c r="T51" i="5"/>
  <c r="AE63" i="5"/>
  <c r="P29" i="5"/>
  <c r="K32" i="5"/>
  <c r="J49" i="5"/>
  <c r="AE61" i="5"/>
  <c r="V26" i="5"/>
  <c r="V29" i="5"/>
  <c r="U47" i="5"/>
  <c r="Q72" i="5"/>
  <c r="AE54" i="5"/>
  <c r="AB75" i="5"/>
  <c r="F88" i="5"/>
  <c r="P51" i="5"/>
  <c r="J74" i="5"/>
  <c r="AB86" i="5"/>
  <c r="AF95" i="5"/>
  <c r="AA104" i="5"/>
  <c r="V113" i="5"/>
  <c r="C67" i="5"/>
  <c r="R81" i="5"/>
  <c r="G92" i="5"/>
  <c r="AF100" i="5"/>
  <c r="AA109" i="5"/>
  <c r="V118" i="5"/>
  <c r="L68" i="5"/>
  <c r="O82" i="5"/>
  <c r="Y92" i="5"/>
  <c r="D34" i="5"/>
  <c r="Z69" i="5"/>
  <c r="J83" i="5"/>
  <c r="M93" i="5"/>
  <c r="Y62" i="5"/>
  <c r="C66" i="5"/>
  <c r="Y68" i="5"/>
  <c r="V82" i="5"/>
  <c r="AD92" i="5"/>
  <c r="Y101" i="5"/>
  <c r="T110" i="5"/>
  <c r="M61" i="5"/>
  <c r="W78" i="5"/>
  <c r="H90" i="5"/>
  <c r="D58" i="5"/>
  <c r="K63" i="5"/>
  <c r="Q79" i="5"/>
  <c r="AA90" i="5"/>
  <c r="H60" i="5"/>
  <c r="F65" i="5"/>
  <c r="P11" i="5"/>
  <c r="E6" i="5"/>
  <c r="R9" i="5"/>
  <c r="AD52" i="5"/>
  <c r="O45" i="5"/>
  <c r="X32" i="5"/>
  <c r="X60" i="5"/>
  <c r="I76" i="5"/>
  <c r="AA35" i="5"/>
  <c r="T53" i="5"/>
  <c r="R68" i="5"/>
  <c r="C79" i="5"/>
  <c r="X25" i="5"/>
  <c r="C48" i="5"/>
  <c r="K64" i="5"/>
  <c r="H75" i="5"/>
  <c r="I86" i="5"/>
  <c r="H43" i="5"/>
  <c r="J59" i="5"/>
  <c r="AD71" i="5"/>
  <c r="AE82" i="5"/>
  <c r="L37" i="5"/>
  <c r="O54" i="5"/>
  <c r="H69" i="5"/>
  <c r="I20" i="5"/>
  <c r="K47" i="5"/>
  <c r="V61" i="5"/>
  <c r="T72" i="5"/>
  <c r="W27" i="5"/>
  <c r="X30" i="5"/>
  <c r="Z50" i="5"/>
  <c r="U64" i="5"/>
  <c r="L74" i="5"/>
  <c r="G83" i="5"/>
  <c r="AD37" i="5"/>
  <c r="O52" i="5"/>
  <c r="V64" i="5"/>
  <c r="AB30" i="5"/>
  <c r="AC33" i="5"/>
  <c r="C50" i="5"/>
  <c r="W62" i="5"/>
  <c r="I28" i="5"/>
  <c r="D31" i="5"/>
  <c r="M49" i="5"/>
  <c r="L73" i="5"/>
  <c r="AE56" i="5"/>
  <c r="U76" i="5"/>
  <c r="Y88" i="5"/>
  <c r="K53" i="5"/>
  <c r="C75" i="5"/>
  <c r="Q87" i="5"/>
  <c r="R96" i="5"/>
  <c r="M105" i="5"/>
  <c r="H114" i="5"/>
  <c r="I68" i="5"/>
  <c r="J82" i="5"/>
  <c r="X92" i="5"/>
  <c r="R101" i="5"/>
  <c r="M110" i="5"/>
  <c r="E31" i="5"/>
  <c r="R69" i="5"/>
  <c r="H83" i="5"/>
  <c r="K93" i="5"/>
  <c r="P44" i="5"/>
  <c r="AF70" i="5"/>
  <c r="E84" i="5"/>
  <c r="AD93" i="5"/>
  <c r="N64" i="5"/>
  <c r="M38" i="5"/>
  <c r="AF69" i="5"/>
  <c r="M83" i="5"/>
  <c r="P93" i="5"/>
  <c r="K102" i="5"/>
  <c r="F111" i="5"/>
  <c r="G63" i="5"/>
  <c r="O79" i="5"/>
  <c r="Y90" i="5"/>
  <c r="AA59" i="5"/>
  <c r="AA64" i="5"/>
  <c r="M80" i="5"/>
  <c r="M91" i="5"/>
  <c r="AA61" i="5"/>
  <c r="K20" i="5"/>
  <c r="M18" i="5"/>
  <c r="D8" i="5"/>
  <c r="AD5" i="5"/>
  <c r="J54" i="5"/>
  <c r="AC39" i="5"/>
  <c r="F62" i="5"/>
  <c r="Z76" i="5"/>
  <c r="F37" i="5"/>
  <c r="H55" i="5"/>
  <c r="E69" i="5"/>
  <c r="F80" i="5"/>
  <c r="G27" i="5"/>
  <c r="Z48" i="5"/>
  <c r="AE64" i="5"/>
  <c r="Y75" i="5"/>
  <c r="Z86" i="5"/>
  <c r="AE43" i="5"/>
  <c r="AA60" i="5"/>
  <c r="P72" i="5"/>
  <c r="Q83" i="5"/>
  <c r="AD38" i="5"/>
  <c r="D56" i="5"/>
  <c r="Y69" i="5"/>
  <c r="C26" i="5"/>
  <c r="G48" i="5"/>
  <c r="O62" i="5"/>
  <c r="F73" i="5"/>
  <c r="E29" i="5"/>
  <c r="Q33" i="5"/>
  <c r="R51" i="5"/>
  <c r="J65" i="5"/>
  <c r="AC74" i="5"/>
  <c r="X83" i="5"/>
  <c r="K39" i="5"/>
  <c r="H53" i="5"/>
  <c r="L65" i="5"/>
  <c r="J32" i="5"/>
  <c r="J35" i="5"/>
  <c r="AC50" i="5"/>
  <c r="L63" i="5"/>
  <c r="R29" i="5"/>
  <c r="V32" i="5"/>
  <c r="M51" i="5"/>
  <c r="H74" i="5"/>
  <c r="X58" i="5"/>
  <c r="P77" i="5"/>
  <c r="L89" i="5"/>
  <c r="AF54" i="5"/>
  <c r="AC75" i="5"/>
  <c r="G88" i="5"/>
  <c r="E97" i="5"/>
  <c r="AD105" i="5"/>
  <c r="Z29" i="5"/>
  <c r="Q69" i="5"/>
  <c r="F83" i="5"/>
  <c r="J93" i="5"/>
  <c r="E102" i="5"/>
  <c r="AD110" i="5"/>
  <c r="I44" i="5"/>
  <c r="AC70" i="5"/>
  <c r="AD83" i="5"/>
  <c r="AB93" i="5"/>
  <c r="Q46" i="5"/>
  <c r="AE71" i="5"/>
  <c r="Z84" i="5"/>
  <c r="P94" i="5"/>
  <c r="AD65" i="5"/>
  <c r="AF44" i="5"/>
  <c r="G71" i="5"/>
  <c r="H84" i="5"/>
  <c r="C94" i="5"/>
  <c r="AB102" i="5"/>
  <c r="W111" i="5"/>
  <c r="W64" i="5"/>
  <c r="K80" i="5"/>
  <c r="K91" i="5"/>
  <c r="U61" i="5"/>
  <c r="O66" i="5"/>
  <c r="F81" i="5"/>
  <c r="AD91" i="5"/>
  <c r="N63" i="5"/>
  <c r="M43" i="5"/>
  <c r="AE91" i="5"/>
  <c r="AA103" i="5"/>
  <c r="F29" i="5"/>
  <c r="AD14" i="5"/>
  <c r="S110" i="5"/>
  <c r="AC16" i="5"/>
  <c r="Y28" i="5"/>
  <c r="E63" i="5"/>
  <c r="L41" i="5"/>
  <c r="R65" i="5"/>
  <c r="AC77" i="5"/>
  <c r="U38" i="5"/>
  <c r="W56" i="5"/>
  <c r="V69" i="5"/>
  <c r="W80" i="5"/>
  <c r="Q28" i="5"/>
  <c r="M50" i="5"/>
  <c r="W65" i="5"/>
  <c r="AB76" i="5"/>
  <c r="L87" i="5"/>
  <c r="AA44" i="5"/>
  <c r="R61" i="5"/>
  <c r="C73" i="5"/>
  <c r="D84" i="5"/>
  <c r="K40" i="5"/>
  <c r="W57" i="5"/>
  <c r="K70" i="5"/>
  <c r="AD28" i="5"/>
  <c r="AD48" i="5"/>
  <c r="F63" i="5"/>
  <c r="T21" i="5"/>
  <c r="P30" i="5"/>
  <c r="AC34" i="5"/>
  <c r="J52" i="5"/>
  <c r="T66" i="5"/>
  <c r="O75" i="5"/>
  <c r="J84" i="5"/>
  <c r="AB40" i="5"/>
  <c r="AD53" i="5"/>
  <c r="AF65" i="5"/>
  <c r="V33" i="5"/>
  <c r="W36" i="5"/>
  <c r="V51" i="5"/>
  <c r="D64" i="5"/>
  <c r="C31" i="5"/>
  <c r="AE33" i="5"/>
  <c r="E53" i="5"/>
  <c r="AE74" i="5"/>
  <c r="Q60" i="5"/>
  <c r="I78" i="5"/>
  <c r="AC89" i="5"/>
  <c r="D57" i="5"/>
  <c r="V76" i="5"/>
  <c r="Z88" i="5"/>
  <c r="V97" i="5"/>
  <c r="P106" i="5"/>
  <c r="G44" i="5"/>
  <c r="W70" i="5"/>
  <c r="AC83" i="5"/>
  <c r="AA93" i="5"/>
  <c r="V102" i="5"/>
  <c r="P111" i="5"/>
  <c r="F46" i="5"/>
  <c r="Y71" i="5"/>
  <c r="X84" i="5"/>
  <c r="W32" i="5"/>
  <c r="J48" i="5"/>
  <c r="Z72" i="5"/>
  <c r="Q85" i="5"/>
  <c r="C95" i="5"/>
  <c r="D37" i="5"/>
  <c r="Y46" i="5"/>
  <c r="E72" i="5"/>
  <c r="AD84" i="5"/>
  <c r="T94" i="5"/>
  <c r="N103" i="5"/>
  <c r="I112" i="5"/>
  <c r="G66" i="5"/>
  <c r="D81" i="5"/>
  <c r="AB91" i="5"/>
  <c r="AE37" i="5"/>
  <c r="S42" i="5"/>
  <c r="P8" i="5"/>
  <c r="Z24" i="5"/>
  <c r="AA38" i="5"/>
  <c r="E43" i="5"/>
  <c r="J66" i="5"/>
  <c r="O78" i="5"/>
  <c r="AD39" i="5"/>
  <c r="R57" i="5"/>
  <c r="H70" i="5"/>
  <c r="I81" i="5"/>
  <c r="E30" i="5"/>
  <c r="AF51" i="5"/>
  <c r="L66" i="5"/>
  <c r="N77" i="5"/>
  <c r="AC87" i="5"/>
  <c r="O46" i="5"/>
  <c r="K62" i="5"/>
  <c r="F74" i="5"/>
  <c r="U84" i="5"/>
  <c r="P41" i="5"/>
  <c r="R58" i="5"/>
  <c r="AB70" i="5"/>
  <c r="N30" i="5"/>
  <c r="Z49" i="5"/>
  <c r="Z63" i="5"/>
  <c r="D26" i="5"/>
  <c r="O33" i="5"/>
  <c r="P36" i="5"/>
  <c r="F53" i="5"/>
  <c r="G67" i="5"/>
  <c r="AF75" i="5"/>
  <c r="AA84" i="5"/>
  <c r="AE41" i="5"/>
  <c r="Z54" i="5"/>
  <c r="U66" i="5"/>
  <c r="G35" i="5"/>
  <c r="D38" i="5"/>
  <c r="Q52" i="5"/>
  <c r="X64" i="5"/>
  <c r="L32" i="5"/>
  <c r="O35" i="5"/>
  <c r="AD54" i="5"/>
  <c r="AA75" i="5"/>
  <c r="E62" i="5"/>
  <c r="AE78" i="5"/>
  <c r="O90" i="5"/>
  <c r="AA58" i="5"/>
  <c r="Q77" i="5"/>
  <c r="M89" i="5"/>
  <c r="H98" i="5"/>
  <c r="C107" i="5"/>
  <c r="E46" i="5"/>
  <c r="X71" i="5"/>
  <c r="W84" i="5"/>
  <c r="M94" i="5"/>
  <c r="H103" i="5"/>
  <c r="C112" i="5"/>
  <c r="F48" i="5"/>
  <c r="X72" i="5"/>
  <c r="O85" i="5"/>
  <c r="N44" i="5"/>
  <c r="D50" i="5"/>
  <c r="W73" i="5"/>
  <c r="K86" i="5"/>
  <c r="T95" i="5"/>
  <c r="AD44" i="5"/>
  <c r="U48" i="5"/>
  <c r="AC72" i="5"/>
  <c r="U85" i="5"/>
  <c r="F95" i="5"/>
  <c r="AE103" i="5"/>
  <c r="Z112" i="5"/>
  <c r="T67" i="5"/>
  <c r="AD81" i="5"/>
  <c r="N92" i="5"/>
  <c r="Z64" i="5"/>
  <c r="AE68" i="5"/>
  <c r="Y82" i="5"/>
  <c r="C93" i="5"/>
  <c r="K43" i="5"/>
  <c r="AB69" i="5"/>
  <c r="S182" i="5"/>
  <c r="S79" i="5"/>
  <c r="AD34" i="5"/>
  <c r="AF47" i="5"/>
  <c r="AB23" i="5"/>
  <c r="P45" i="5"/>
  <c r="AB66" i="5"/>
  <c r="AF78" i="5"/>
  <c r="I42" i="5"/>
  <c r="K58" i="5"/>
  <c r="K71" i="5"/>
  <c r="Z81" i="5"/>
  <c r="P31" i="5"/>
  <c r="Y52" i="5"/>
  <c r="AD66" i="5"/>
  <c r="AE77" i="5"/>
  <c r="O88" i="5"/>
  <c r="D48" i="5"/>
  <c r="AF62" i="5"/>
  <c r="W74" i="5"/>
  <c r="G85" i="5"/>
  <c r="J43" i="5"/>
  <c r="K59" i="5"/>
  <c r="AF25" i="5"/>
  <c r="X31" i="5"/>
  <c r="R50" i="5"/>
  <c r="O64" i="5"/>
  <c r="V27" i="5"/>
  <c r="AB34" i="5"/>
  <c r="AB37" i="5"/>
  <c r="Y54" i="5"/>
  <c r="X67" i="5"/>
  <c r="R76" i="5"/>
  <c r="M85" i="5"/>
  <c r="Y42" i="5"/>
  <c r="R55" i="5"/>
  <c r="H67" i="5"/>
  <c r="U36" i="5"/>
  <c r="T39" i="5"/>
  <c r="J53" i="5"/>
  <c r="N65" i="5"/>
  <c r="AD33" i="5"/>
  <c r="Y36" i="5"/>
  <c r="U56" i="5"/>
  <c r="T76" i="5"/>
  <c r="AA63" i="5"/>
  <c r="AA79" i="5"/>
  <c r="AF90" i="5"/>
  <c r="R60" i="5"/>
  <c r="J78" i="5"/>
  <c r="AD89" i="5"/>
  <c r="Y98" i="5"/>
  <c r="T107" i="5"/>
  <c r="Z47" i="5"/>
  <c r="V72" i="5"/>
  <c r="N85" i="5"/>
  <c r="AD94" i="5"/>
  <c r="Y103" i="5"/>
  <c r="T112" i="5"/>
  <c r="AC49" i="5"/>
  <c r="U73" i="5"/>
  <c r="F86" i="5"/>
  <c r="G46" i="5"/>
  <c r="AC51" i="5"/>
  <c r="O74" i="5"/>
  <c r="AF86" i="5"/>
  <c r="P35" i="5"/>
  <c r="V46" i="5"/>
  <c r="Q50" i="5"/>
  <c r="AA73" i="5"/>
  <c r="N86" i="5"/>
  <c r="W95" i="5"/>
  <c r="Q104" i="5"/>
  <c r="L113" i="5"/>
  <c r="Z68" i="5"/>
  <c r="W82" i="5"/>
  <c r="AE92" i="5"/>
  <c r="G42" i="5"/>
  <c r="F70" i="5"/>
  <c r="U83" i="5"/>
  <c r="T93" i="5"/>
  <c r="N45" i="5"/>
  <c r="H72" i="5"/>
  <c r="AB94" i="5"/>
  <c r="AA105" i="5"/>
  <c r="L116" i="5"/>
  <c r="L125" i="5"/>
  <c r="G134" i="5"/>
  <c r="Z89" i="5"/>
  <c r="P102" i="5"/>
  <c r="M113" i="5"/>
  <c r="U122" i="5"/>
  <c r="O131" i="5"/>
  <c r="N87" i="5"/>
  <c r="G101" i="5"/>
  <c r="D112" i="5"/>
  <c r="R121" i="5"/>
  <c r="C83" i="5"/>
  <c r="G99" i="5"/>
  <c r="D110" i="5"/>
  <c r="I83" i="5"/>
  <c r="W87" i="5"/>
  <c r="K101" i="5"/>
  <c r="G112" i="5"/>
  <c r="E71" i="5"/>
  <c r="X78" i="5"/>
  <c r="H85" i="5"/>
  <c r="F100" i="5"/>
  <c r="AF110" i="5"/>
  <c r="AE10" i="5"/>
  <c r="F6" i="5"/>
  <c r="N7" i="5"/>
  <c r="T44" i="5"/>
  <c r="AA56" i="5"/>
  <c r="C34" i="5"/>
  <c r="H46" i="5"/>
  <c r="N67" i="5"/>
  <c r="R79" i="5"/>
  <c r="AC43" i="5"/>
  <c r="G59" i="5"/>
  <c r="AB71" i="5"/>
  <c r="L82" i="5"/>
  <c r="J34" i="5"/>
  <c r="U53" i="5"/>
  <c r="C68" i="5"/>
  <c r="Q78" i="5"/>
  <c r="V13" i="5"/>
  <c r="AA48" i="5"/>
  <c r="W63" i="5"/>
  <c r="I75" i="5"/>
  <c r="X85" i="5"/>
  <c r="AB44" i="5"/>
  <c r="G60" i="5"/>
  <c r="K27" i="5"/>
  <c r="K33" i="5"/>
  <c r="N51" i="5"/>
  <c r="G65" i="5"/>
  <c r="O30" i="5"/>
  <c r="O36" i="5"/>
  <c r="J39" i="5"/>
  <c r="Q55" i="5"/>
  <c r="J68" i="5"/>
  <c r="E77" i="5"/>
  <c r="AD85" i="5"/>
  <c r="U43" i="5"/>
  <c r="N56" i="5"/>
  <c r="Y67" i="5"/>
  <c r="C38" i="5"/>
  <c r="AF40" i="5"/>
  <c r="F54" i="5"/>
  <c r="D66" i="5"/>
  <c r="M35" i="5"/>
  <c r="L38" i="5"/>
  <c r="V58" i="5"/>
  <c r="K77" i="5"/>
  <c r="M65" i="5"/>
  <c r="T80" i="5"/>
  <c r="R91" i="5"/>
  <c r="N62" i="5"/>
  <c r="F79" i="5"/>
  <c r="P90" i="5"/>
  <c r="K99" i="5"/>
  <c r="F108" i="5"/>
  <c r="AA49" i="5"/>
  <c r="O73" i="5"/>
  <c r="E86" i="5"/>
  <c r="P95" i="5"/>
  <c r="K104" i="5"/>
  <c r="F113" i="5"/>
  <c r="W51" i="5"/>
  <c r="M74" i="5"/>
  <c r="AD86" i="5"/>
  <c r="I48" i="5"/>
  <c r="AA53" i="5"/>
  <c r="K75" i="5"/>
  <c r="V87" i="5"/>
  <c r="R44" i="5"/>
  <c r="T48" i="5"/>
  <c r="I52" i="5"/>
  <c r="R74" i="5"/>
  <c r="E87" i="5"/>
  <c r="I96" i="5"/>
  <c r="D105" i="5"/>
  <c r="AB39" i="5"/>
  <c r="D70" i="5"/>
  <c r="R83" i="5"/>
  <c r="Q93" i="5"/>
  <c r="L45" i="5"/>
  <c r="N71" i="5"/>
  <c r="L84" i="5"/>
  <c r="F94" i="5"/>
  <c r="P47" i="5"/>
  <c r="AF73" i="5"/>
  <c r="AE14" i="5"/>
  <c r="N53" i="5"/>
  <c r="V65" i="5"/>
  <c r="R12" i="5"/>
  <c r="D47" i="5"/>
  <c r="AE67" i="5"/>
  <c r="E80" i="5"/>
  <c r="Y44" i="5"/>
  <c r="AD59" i="5"/>
  <c r="N72" i="5"/>
  <c r="AC82" i="5"/>
  <c r="I37" i="5"/>
  <c r="M54" i="5"/>
  <c r="T68" i="5"/>
  <c r="D79" i="5"/>
  <c r="I27" i="5"/>
  <c r="W49" i="5"/>
  <c r="AF64" i="5"/>
  <c r="Z75" i="5"/>
  <c r="J86" i="5"/>
  <c r="U45" i="5"/>
  <c r="AB60" i="5"/>
  <c r="AC28" i="5"/>
  <c r="Y34" i="5"/>
  <c r="G52" i="5"/>
  <c r="AA65" i="5"/>
  <c r="C32" i="5"/>
  <c r="Y37" i="5"/>
  <c r="AD41" i="5"/>
  <c r="M56" i="5"/>
  <c r="AA68" i="5"/>
  <c r="V77" i="5"/>
  <c r="P86" i="5"/>
  <c r="M44" i="5"/>
  <c r="G57" i="5"/>
  <c r="K68" i="5"/>
  <c r="R39" i="5"/>
  <c r="C42" i="5"/>
  <c r="AC54" i="5"/>
  <c r="W66" i="5"/>
  <c r="X36" i="5"/>
  <c r="Z39" i="5"/>
  <c r="O60" i="5"/>
  <c r="G78" i="5"/>
  <c r="Z66" i="5"/>
  <c r="O81" i="5"/>
  <c r="E92" i="5"/>
  <c r="AB63" i="5"/>
  <c r="AC79" i="5"/>
  <c r="C91" i="5"/>
  <c r="AB99" i="5"/>
  <c r="W108" i="5"/>
  <c r="U51" i="5"/>
  <c r="K74" i="5"/>
  <c r="AC86" i="5"/>
  <c r="C96" i="5"/>
  <c r="AB104" i="5"/>
  <c r="W113" i="5"/>
  <c r="M53" i="5"/>
  <c r="E75" i="5"/>
  <c r="T87" i="5"/>
  <c r="AF49" i="5"/>
  <c r="T55" i="5"/>
  <c r="D76" i="5"/>
  <c r="K88" i="5"/>
  <c r="U46" i="5"/>
  <c r="J50" i="5"/>
  <c r="G54" i="5"/>
  <c r="N75" i="5"/>
  <c r="Y87" i="5"/>
  <c r="Z96" i="5"/>
  <c r="U105" i="5"/>
  <c r="C45" i="5"/>
  <c r="H71" i="5"/>
  <c r="I84" i="5"/>
  <c r="D94" i="5"/>
  <c r="C47" i="5"/>
  <c r="I72" i="5"/>
  <c r="C85" i="5"/>
  <c r="D43" i="5"/>
  <c r="I49" i="5"/>
  <c r="Z19" i="5"/>
  <c r="S187" i="5"/>
  <c r="I16" i="5"/>
  <c r="I62" i="5"/>
  <c r="U25" i="5"/>
  <c r="AD19" i="5"/>
  <c r="AA47" i="5"/>
  <c r="D69" i="5"/>
  <c r="V80" i="5"/>
  <c r="Q45" i="5"/>
  <c r="P61" i="5"/>
  <c r="AE72" i="5"/>
  <c r="O83" i="5"/>
  <c r="V38" i="5"/>
  <c r="I55" i="5"/>
  <c r="F69" i="5"/>
  <c r="U79" i="5"/>
  <c r="F30" i="5"/>
  <c r="O50" i="5"/>
  <c r="X65" i="5"/>
  <c r="L76" i="5"/>
  <c r="M87" i="5"/>
  <c r="P46" i="5"/>
  <c r="M62" i="5"/>
  <c r="L30" i="5"/>
  <c r="E36" i="5"/>
  <c r="C53" i="5"/>
  <c r="D67" i="5"/>
  <c r="L33" i="5"/>
  <c r="I39" i="5"/>
  <c r="X42" i="5"/>
  <c r="F57" i="5"/>
  <c r="M69" i="5"/>
  <c r="H78" i="5"/>
  <c r="K23" i="5"/>
  <c r="E45" i="5"/>
  <c r="C58" i="5"/>
  <c r="AB68" i="5"/>
  <c r="AC40" i="5"/>
  <c r="AA42" i="5"/>
  <c r="Y55" i="5"/>
  <c r="J67" i="5"/>
  <c r="K38" i="5"/>
  <c r="E41" i="5"/>
  <c r="D62" i="5"/>
  <c r="AD78" i="5"/>
  <c r="F68" i="5"/>
  <c r="H82" i="5"/>
  <c r="V92" i="5"/>
  <c r="O65" i="5"/>
  <c r="U80" i="5"/>
  <c r="T91" i="5"/>
  <c r="N100" i="5"/>
  <c r="I109" i="5"/>
  <c r="L53" i="5"/>
  <c r="D75" i="5"/>
  <c r="R87" i="5"/>
  <c r="T96" i="5"/>
  <c r="N105" i="5"/>
  <c r="I114" i="5"/>
  <c r="O55" i="5"/>
  <c r="AE75" i="5"/>
  <c r="I88" i="5"/>
  <c r="X51" i="5"/>
  <c r="O57" i="5"/>
  <c r="AD76" i="5"/>
  <c r="AD88" i="5"/>
  <c r="M48" i="5"/>
  <c r="H52" i="5"/>
  <c r="AB55" i="5"/>
  <c r="G76" i="5"/>
  <c r="P88" i="5"/>
  <c r="L97" i="5"/>
  <c r="G106" i="5"/>
  <c r="AE46" i="5"/>
  <c r="G72" i="5"/>
  <c r="AE84" i="5"/>
  <c r="F41" i="5"/>
  <c r="AE48" i="5"/>
  <c r="G73" i="5"/>
  <c r="AA85" i="5"/>
  <c r="M45" i="5"/>
  <c r="AF50" i="5"/>
  <c r="Y77" i="5"/>
  <c r="AF96" i="5"/>
  <c r="AC107" i="5"/>
  <c r="U28" i="5"/>
  <c r="F11" i="5"/>
  <c r="S96" i="5"/>
  <c r="Y26" i="5"/>
  <c r="W35" i="5"/>
  <c r="U31" i="5"/>
  <c r="O49" i="5"/>
  <c r="U69" i="5"/>
  <c r="N83" i="5"/>
  <c r="M46" i="5"/>
  <c r="G62" i="5"/>
  <c r="Q73" i="5"/>
  <c r="R84" i="5"/>
  <c r="I40" i="5"/>
  <c r="AB56" i="5"/>
  <c r="W69" i="5"/>
  <c r="G80" i="5"/>
  <c r="T31" i="5"/>
  <c r="G51" i="5"/>
  <c r="M66" i="5"/>
  <c r="AC76" i="5"/>
  <c r="AD16" i="5"/>
  <c r="I47" i="5"/>
  <c r="C63" i="5"/>
  <c r="W31" i="5"/>
  <c r="W37" i="5"/>
  <c r="Z53" i="5"/>
  <c r="U67" i="5"/>
  <c r="AA34" i="5"/>
  <c r="X41" i="5"/>
  <c r="O43" i="5"/>
  <c r="AF57" i="5"/>
  <c r="AD69" i="5"/>
  <c r="Y78" i="5"/>
  <c r="O26" i="5"/>
  <c r="AE45" i="5"/>
  <c r="Z58" i="5"/>
  <c r="N69" i="5"/>
  <c r="AF41" i="5"/>
  <c r="W43" i="5"/>
  <c r="Q56" i="5"/>
  <c r="AA67" i="5"/>
  <c r="W39" i="5"/>
  <c r="F42" i="5"/>
  <c r="Y63" i="5"/>
  <c r="AF26" i="5"/>
  <c r="L69" i="5"/>
  <c r="D83" i="5"/>
  <c r="H93" i="5"/>
  <c r="AA66" i="5"/>
  <c r="P81" i="5"/>
  <c r="F92" i="5"/>
  <c r="AE100" i="5"/>
  <c r="Z109" i="5"/>
  <c r="L55" i="5"/>
  <c r="AD75" i="5"/>
  <c r="H88" i="5"/>
  <c r="F97" i="5"/>
  <c r="AE105" i="5"/>
  <c r="Z114" i="5"/>
  <c r="H57" i="5"/>
  <c r="X76" i="5"/>
  <c r="AB88" i="5"/>
  <c r="Y53" i="5"/>
  <c r="L59" i="5"/>
  <c r="W77" i="5"/>
  <c r="Q89" i="5"/>
  <c r="I50" i="5"/>
  <c r="E54" i="5"/>
  <c r="Z57" i="5"/>
  <c r="C77" i="5"/>
  <c r="D89" i="5"/>
  <c r="AC97" i="5"/>
  <c r="X106" i="5"/>
  <c r="V48" i="5"/>
  <c r="D73" i="5"/>
  <c r="Y85" i="5"/>
  <c r="O37" i="5"/>
  <c r="AE19" i="5"/>
  <c r="AF7" i="5"/>
  <c r="AA36" i="5"/>
  <c r="Z20" i="5"/>
  <c r="O40" i="5"/>
  <c r="R53" i="5"/>
  <c r="G70" i="5"/>
  <c r="AA4" i="5"/>
  <c r="F47" i="5"/>
  <c r="AD62" i="5"/>
  <c r="D74" i="5"/>
  <c r="V85" i="5"/>
  <c r="N41" i="5"/>
  <c r="U57" i="5"/>
  <c r="I70" i="5"/>
  <c r="J81" i="5"/>
  <c r="AD32" i="5"/>
  <c r="Z52" i="5"/>
  <c r="AE66" i="5"/>
  <c r="O77" i="5"/>
  <c r="AD25" i="5"/>
  <c r="E48" i="5"/>
  <c r="X63" i="5"/>
  <c r="J33" i="5"/>
  <c r="AF38" i="5"/>
  <c r="N55" i="5"/>
  <c r="G68" i="5"/>
  <c r="F36" i="5"/>
  <c r="V42" i="5"/>
  <c r="K44" i="5"/>
  <c r="Y58" i="5"/>
  <c r="P70" i="5"/>
  <c r="K79" i="5"/>
  <c r="AB27" i="5"/>
  <c r="X46" i="5"/>
  <c r="V59" i="5"/>
  <c r="AE69" i="5"/>
  <c r="Z42" i="5"/>
  <c r="O44" i="5"/>
  <c r="I57" i="5"/>
  <c r="M68" i="5"/>
  <c r="D41" i="5"/>
  <c r="AC42" i="5"/>
  <c r="I65" i="5"/>
  <c r="X43" i="5"/>
  <c r="U70" i="5"/>
  <c r="AA83" i="5"/>
  <c r="Y93" i="5"/>
  <c r="H68" i="5"/>
  <c r="I82" i="5"/>
  <c r="W92" i="5"/>
  <c r="Q101" i="5"/>
  <c r="L110" i="5"/>
  <c r="E57" i="5"/>
  <c r="W76" i="5"/>
  <c r="AA88" i="5"/>
  <c r="W97" i="5"/>
  <c r="Q106" i="5"/>
  <c r="L115" i="5"/>
  <c r="D59" i="5"/>
  <c r="T77" i="5"/>
  <c r="O89" i="5"/>
  <c r="P55" i="5"/>
  <c r="C61" i="5"/>
  <c r="N78" i="5"/>
  <c r="D90" i="5"/>
  <c r="F52" i="5"/>
  <c r="AA55" i="5"/>
  <c r="W59" i="5"/>
  <c r="Z77" i="5"/>
  <c r="U89" i="5"/>
  <c r="O98" i="5"/>
  <c r="J107" i="5"/>
  <c r="T50" i="5"/>
  <c r="AB73" i="5"/>
  <c r="O86" i="5"/>
  <c r="AF46" i="5"/>
  <c r="T52" i="5"/>
  <c r="Z74" i="5"/>
  <c r="H87" i="5"/>
  <c r="F49" i="5"/>
  <c r="X54" i="5"/>
  <c r="AF31" i="5"/>
  <c r="Q67" i="5"/>
  <c r="T47" i="5"/>
  <c r="I93" i="5"/>
  <c r="G64" i="5"/>
  <c r="R99" i="5"/>
  <c r="W67" i="5"/>
  <c r="R56" i="5"/>
  <c r="L96" i="5"/>
  <c r="V112" i="5"/>
  <c r="W123" i="5"/>
  <c r="X134" i="5"/>
  <c r="H94" i="5"/>
  <c r="I107" i="5"/>
  <c r="N120" i="5"/>
  <c r="AC130" i="5"/>
  <c r="AD90" i="5"/>
  <c r="I105" i="5"/>
  <c r="Z118" i="5"/>
  <c r="E78" i="5"/>
  <c r="Q98" i="5"/>
  <c r="M111" i="5"/>
  <c r="D53" i="5"/>
  <c r="N94" i="5"/>
  <c r="Y106" i="5"/>
  <c r="AC84" i="5"/>
  <c r="H73" i="5"/>
  <c r="W83" i="5"/>
  <c r="O101" i="5"/>
  <c r="X113" i="5"/>
  <c r="L75" i="5"/>
  <c r="Y96" i="5"/>
  <c r="K108" i="5"/>
  <c r="D119" i="5"/>
  <c r="AF128" i="5"/>
  <c r="Q91" i="5"/>
  <c r="T103" i="5"/>
  <c r="H65" i="5"/>
  <c r="Y73" i="5"/>
  <c r="Q95" i="5"/>
  <c r="M106" i="5"/>
  <c r="AF80" i="5"/>
  <c r="O106" i="5"/>
  <c r="AC122" i="5"/>
  <c r="T133" i="5"/>
  <c r="Q142" i="5"/>
  <c r="L151" i="5"/>
  <c r="G160" i="5"/>
  <c r="AF168" i="5"/>
  <c r="C89" i="5"/>
  <c r="AB114" i="5"/>
  <c r="H127" i="5"/>
  <c r="C137" i="5"/>
  <c r="AB145" i="5"/>
  <c r="W154" i="5"/>
  <c r="Q163" i="5"/>
  <c r="L172" i="5"/>
  <c r="C102" i="5"/>
  <c r="Z120" i="5"/>
  <c r="Z131" i="5"/>
  <c r="AD140" i="5"/>
  <c r="Y149" i="5"/>
  <c r="T158" i="5"/>
  <c r="H89" i="5"/>
  <c r="AF114" i="5"/>
  <c r="J127" i="5"/>
  <c r="E137" i="5"/>
  <c r="AD145" i="5"/>
  <c r="T97" i="5"/>
  <c r="N118" i="5"/>
  <c r="AF129" i="5"/>
  <c r="L139" i="5"/>
  <c r="G148" i="5"/>
  <c r="P105" i="5"/>
  <c r="N122" i="5"/>
  <c r="H133" i="5"/>
  <c r="F142" i="5"/>
  <c r="AE150" i="5"/>
  <c r="H110" i="5"/>
  <c r="V124" i="5"/>
  <c r="AF134" i="5"/>
  <c r="AA143" i="5"/>
  <c r="K96" i="5"/>
  <c r="Y117" i="5"/>
  <c r="P129" i="5"/>
  <c r="AC138" i="5"/>
  <c r="R78" i="5"/>
  <c r="N60" i="5"/>
  <c r="D102" i="5"/>
  <c r="J79" i="5"/>
  <c r="AA107" i="5"/>
  <c r="AD73" i="5"/>
  <c r="I58" i="5"/>
  <c r="X97" i="5"/>
  <c r="K113" i="5"/>
  <c r="I124" i="5"/>
  <c r="V45" i="5"/>
  <c r="AE94" i="5"/>
  <c r="K109" i="5"/>
  <c r="AE120" i="5"/>
  <c r="AF131" i="5"/>
  <c r="C92" i="5"/>
  <c r="AC105" i="5"/>
  <c r="L119" i="5"/>
  <c r="Z79" i="5"/>
  <c r="AA99" i="5"/>
  <c r="E112" i="5"/>
  <c r="Z67" i="5"/>
  <c r="G95" i="5"/>
  <c r="D108" i="5"/>
  <c r="M86" i="5"/>
  <c r="AD74" i="5"/>
  <c r="U86" i="5"/>
  <c r="G102" i="5"/>
  <c r="L114" i="5"/>
  <c r="F77" i="5"/>
  <c r="O97" i="5"/>
  <c r="AF108" i="5"/>
  <c r="G120" i="5"/>
  <c r="Q63" i="5"/>
  <c r="U92" i="5"/>
  <c r="I104" i="5"/>
  <c r="AF68" i="5"/>
  <c r="T75" i="5"/>
  <c r="H96" i="5"/>
  <c r="E107" i="5"/>
  <c r="T82" i="5"/>
  <c r="E108" i="5"/>
  <c r="U123" i="5"/>
  <c r="H134" i="5"/>
  <c r="D143" i="5"/>
  <c r="AC151" i="5"/>
  <c r="X160" i="5"/>
  <c r="R169" i="5"/>
  <c r="N91" i="5"/>
  <c r="W115" i="5"/>
  <c r="AB127" i="5"/>
  <c r="T137" i="5"/>
  <c r="N146" i="5"/>
  <c r="I155" i="5"/>
  <c r="D164" i="5"/>
  <c r="AC172" i="5"/>
  <c r="U103" i="5"/>
  <c r="T121" i="5"/>
  <c r="N132" i="5"/>
  <c r="P141" i="5"/>
  <c r="K150" i="5"/>
  <c r="F159" i="5"/>
  <c r="Z91" i="5"/>
  <c r="AB115" i="5"/>
  <c r="AE127" i="5"/>
  <c r="V137" i="5"/>
  <c r="P146" i="5"/>
  <c r="H99" i="5"/>
  <c r="I119" i="5"/>
  <c r="U130" i="5"/>
  <c r="AC139" i="5"/>
  <c r="X148" i="5"/>
  <c r="AF106" i="5"/>
  <c r="E123" i="5"/>
  <c r="Z133" i="5"/>
  <c r="W142" i="5"/>
  <c r="Q151" i="5"/>
  <c r="Z111" i="5"/>
  <c r="N125" i="5"/>
  <c r="R135" i="5"/>
  <c r="M144" i="5"/>
  <c r="AE97" i="5"/>
  <c r="T118" i="5"/>
  <c r="E130" i="5"/>
  <c r="O139" i="5"/>
  <c r="F104" i="5"/>
  <c r="Z121" i="5"/>
  <c r="W132" i="5"/>
  <c r="W141" i="5"/>
  <c r="U96" i="5"/>
  <c r="AA117" i="5"/>
  <c r="R129" i="5"/>
  <c r="AE138" i="5"/>
  <c r="Z147" i="5"/>
  <c r="U156" i="5"/>
  <c r="O165" i="5"/>
  <c r="H112" i="5"/>
  <c r="R125" i="5"/>
  <c r="W135" i="5"/>
  <c r="Q144" i="5"/>
  <c r="L153" i="5"/>
  <c r="O104" i="5"/>
  <c r="U41" i="5"/>
  <c r="J27" i="5"/>
  <c r="Q70" i="5"/>
  <c r="AC110" i="5"/>
  <c r="C80" i="5"/>
  <c r="M108" i="5"/>
  <c r="R75" i="5"/>
  <c r="P63" i="5"/>
  <c r="M98" i="5"/>
  <c r="AE113" i="5"/>
  <c r="Z124" i="5"/>
  <c r="F67" i="5"/>
  <c r="X95" i="5"/>
  <c r="AE109" i="5"/>
  <c r="Q121" i="5"/>
  <c r="R132" i="5"/>
  <c r="F93" i="5"/>
  <c r="AE107" i="5"/>
  <c r="AC119" i="5"/>
  <c r="N81" i="5"/>
  <c r="R100" i="5"/>
  <c r="Y112" i="5"/>
  <c r="O70" i="5"/>
  <c r="AB95" i="5"/>
  <c r="Z108" i="5"/>
  <c r="X87" i="5"/>
  <c r="AE76" i="5"/>
  <c r="C88" i="5"/>
  <c r="AA102" i="5"/>
  <c r="AD114" i="5"/>
  <c r="AB78" i="5"/>
  <c r="E98" i="5"/>
  <c r="K110" i="5"/>
  <c r="X120" i="5"/>
  <c r="AC68" i="5"/>
  <c r="X93" i="5"/>
  <c r="AE104" i="5"/>
  <c r="R71" i="5"/>
  <c r="J77" i="5"/>
  <c r="AC96" i="5"/>
  <c r="Y107" i="5"/>
  <c r="G84" i="5"/>
  <c r="T109" i="5"/>
  <c r="N124" i="5"/>
  <c r="Z134" i="5"/>
  <c r="U143" i="5"/>
  <c r="O152" i="5"/>
  <c r="J161" i="5"/>
  <c r="E170" i="5"/>
  <c r="AF93" i="5"/>
  <c r="T116" i="5"/>
  <c r="R128" i="5"/>
  <c r="F138" i="5"/>
  <c r="AE146" i="5"/>
  <c r="Z155" i="5"/>
  <c r="U164" i="5"/>
  <c r="O173" i="5"/>
  <c r="F105" i="5"/>
  <c r="J122" i="5"/>
  <c r="C133" i="5"/>
  <c r="C142" i="5"/>
  <c r="AB150" i="5"/>
  <c r="W159" i="5"/>
  <c r="K94" i="5"/>
  <c r="V116" i="5"/>
  <c r="U128" i="5"/>
  <c r="H138" i="5"/>
  <c r="C147" i="5"/>
  <c r="X100" i="5"/>
  <c r="D120" i="5"/>
  <c r="I131" i="5"/>
  <c r="O140" i="5"/>
  <c r="J149" i="5"/>
  <c r="Q108" i="5"/>
  <c r="AC123" i="5"/>
  <c r="M134" i="5"/>
  <c r="I143" i="5"/>
  <c r="D152" i="5"/>
  <c r="G113" i="5"/>
  <c r="D126" i="5"/>
  <c r="E136" i="5"/>
  <c r="AD144" i="5"/>
  <c r="N99" i="5"/>
  <c r="O119" i="5"/>
  <c r="X130" i="5"/>
  <c r="AF139" i="5"/>
  <c r="Y105" i="5"/>
  <c r="Q122" i="5"/>
  <c r="K133" i="5"/>
  <c r="I142" i="5"/>
  <c r="C98" i="5"/>
  <c r="W118" i="5"/>
  <c r="G130" i="5"/>
  <c r="Q139" i="5"/>
  <c r="L148" i="5"/>
  <c r="G157" i="5"/>
  <c r="AF165" i="5"/>
  <c r="P113" i="5"/>
  <c r="H126" i="5"/>
  <c r="I136" i="5"/>
  <c r="D145" i="5"/>
  <c r="AC153" i="5"/>
  <c r="E106" i="5"/>
  <c r="X122" i="5"/>
  <c r="N133" i="5"/>
  <c r="L142" i="5"/>
  <c r="G151" i="5"/>
  <c r="R113" i="5"/>
  <c r="K126" i="5"/>
  <c r="K136" i="5"/>
  <c r="F145" i="5"/>
  <c r="AE153" i="5"/>
  <c r="H106" i="5"/>
  <c r="Z122" i="5"/>
  <c r="P133" i="5"/>
  <c r="M88" i="5"/>
  <c r="X114" i="5"/>
  <c r="X152" i="5"/>
  <c r="J165" i="5"/>
  <c r="P175" i="5"/>
  <c r="P184" i="5"/>
  <c r="K193" i="5"/>
  <c r="F202" i="5"/>
  <c r="K54" i="5"/>
  <c r="X49" i="5"/>
  <c r="C24" i="5"/>
  <c r="AC58" i="5"/>
  <c r="U90" i="5"/>
  <c r="P52" i="5"/>
  <c r="N76" i="5"/>
  <c r="R66" i="5"/>
  <c r="D99" i="5"/>
  <c r="T114" i="5"/>
  <c r="AC125" i="5"/>
  <c r="AC69" i="5"/>
  <c r="M96" i="5"/>
  <c r="V110" i="5"/>
  <c r="D122" i="5"/>
  <c r="E133" i="5"/>
  <c r="I94" i="5"/>
  <c r="U108" i="5"/>
  <c r="O120" i="5"/>
  <c r="P84" i="5"/>
  <c r="I101" i="5"/>
  <c r="O113" i="5"/>
  <c r="AA72" i="5"/>
  <c r="I97" i="5"/>
  <c r="O109" i="5"/>
  <c r="T56" i="5"/>
  <c r="O80" i="5"/>
  <c r="I89" i="5"/>
  <c r="Q103" i="5"/>
  <c r="Q115" i="5"/>
  <c r="Q80" i="5"/>
  <c r="P99" i="5"/>
  <c r="C111" i="5"/>
  <c r="J121" i="5"/>
  <c r="Q71" i="5"/>
  <c r="W94" i="5"/>
  <c r="V105" i="5"/>
  <c r="X73" i="5"/>
  <c r="L79" i="5"/>
  <c r="R97" i="5"/>
  <c r="O108" i="5"/>
  <c r="T85" i="5"/>
  <c r="H111" i="5"/>
  <c r="E125" i="5"/>
  <c r="L135" i="5"/>
  <c r="G144" i="5"/>
  <c r="AF152" i="5"/>
  <c r="AA161" i="5"/>
  <c r="V170" i="5"/>
  <c r="AA95" i="5"/>
  <c r="N117" i="5"/>
  <c r="J129" i="5"/>
  <c r="W138" i="5"/>
  <c r="Q147" i="5"/>
  <c r="L156" i="5"/>
  <c r="G165" i="5"/>
  <c r="AF173" i="5"/>
  <c r="Z106" i="5"/>
  <c r="AF122" i="5"/>
  <c r="W133" i="5"/>
  <c r="T142" i="5"/>
  <c r="N151" i="5"/>
  <c r="I160" i="5"/>
  <c r="AD95" i="5"/>
  <c r="P117" i="5"/>
  <c r="L129" i="5"/>
  <c r="Y138" i="5"/>
  <c r="T147" i="5"/>
  <c r="J102" i="5"/>
  <c r="AB120" i="5"/>
  <c r="AB131" i="5"/>
  <c r="AF140" i="5"/>
  <c r="AA149" i="5"/>
  <c r="G110" i="5"/>
  <c r="U124" i="5"/>
  <c r="AE134" i="5"/>
  <c r="Z143" i="5"/>
  <c r="P79" i="5"/>
  <c r="J114" i="5"/>
  <c r="X126" i="5"/>
  <c r="V136" i="5"/>
  <c r="P145" i="5"/>
  <c r="C101" i="5"/>
  <c r="I120" i="5"/>
  <c r="L131" i="5"/>
  <c r="X70" i="5"/>
  <c r="M64" i="5"/>
  <c r="K45" i="5"/>
  <c r="R77" i="5"/>
  <c r="G91" i="5"/>
  <c r="H54" i="5"/>
  <c r="AF81" i="5"/>
  <c r="V66" i="5"/>
  <c r="X99" i="5"/>
  <c r="G115" i="5"/>
  <c r="O126" i="5"/>
  <c r="J72" i="5"/>
  <c r="N98" i="5"/>
  <c r="K111" i="5"/>
  <c r="G123" i="5"/>
  <c r="Q47" i="5"/>
  <c r="AF94" i="5"/>
  <c r="L109" i="5"/>
  <c r="AF120" i="5"/>
  <c r="AF85" i="5"/>
  <c r="AC101" i="5"/>
  <c r="D114" i="5"/>
  <c r="Y74" i="5"/>
  <c r="AD97" i="5"/>
  <c r="F110" i="5"/>
  <c r="AC67" i="5"/>
  <c r="C82" i="5"/>
  <c r="L90" i="5"/>
  <c r="G104" i="5"/>
  <c r="E116" i="5"/>
  <c r="Y83" i="5"/>
  <c r="G100" i="5"/>
  <c r="X111" i="5"/>
  <c r="AA121" i="5"/>
  <c r="V73" i="5"/>
  <c r="M95" i="5"/>
  <c r="K106" i="5"/>
  <c r="Q75" i="5"/>
  <c r="AD80" i="5"/>
  <c r="J98" i="5"/>
  <c r="E109" i="5"/>
  <c r="D87" i="5"/>
  <c r="U112" i="5"/>
  <c r="Z125" i="5"/>
  <c r="AC135" i="5"/>
  <c r="X144" i="5"/>
  <c r="R153" i="5"/>
  <c r="M162" i="5"/>
  <c r="H171" i="5"/>
  <c r="K97" i="5"/>
  <c r="K118" i="5"/>
  <c r="AC129" i="5"/>
  <c r="I139" i="5"/>
  <c r="D148" i="5"/>
  <c r="AC156" i="5"/>
  <c r="X165" i="5"/>
  <c r="R174" i="5"/>
  <c r="I108" i="5"/>
  <c r="Z123" i="5"/>
  <c r="J134" i="5"/>
  <c r="F143" i="5"/>
  <c r="AE151" i="5"/>
  <c r="Z160" i="5"/>
  <c r="Q97" i="5"/>
  <c r="M118" i="5"/>
  <c r="AE129" i="5"/>
  <c r="K139" i="5"/>
  <c r="F148" i="5"/>
  <c r="Z103" i="5"/>
  <c r="V121" i="5"/>
  <c r="P132" i="5"/>
  <c r="R141" i="5"/>
  <c r="M150" i="5"/>
  <c r="U111" i="5"/>
  <c r="K125" i="5"/>
  <c r="Q135" i="5"/>
  <c r="L144" i="5"/>
  <c r="W89" i="5"/>
  <c r="E115" i="5"/>
  <c r="N127" i="5"/>
  <c r="H137" i="5"/>
  <c r="C146" i="5"/>
  <c r="T102" i="5"/>
  <c r="D121" i="5"/>
  <c r="C132" i="5"/>
  <c r="S103" i="5"/>
  <c r="N25" i="5"/>
  <c r="T34" i="5"/>
  <c r="E58" i="5"/>
  <c r="N89" i="5"/>
  <c r="AB53" i="5"/>
  <c r="X74" i="5"/>
  <c r="R86" i="5"/>
  <c r="C76" i="5"/>
  <c r="Z101" i="5"/>
  <c r="Y115" i="5"/>
  <c r="AF126" i="5"/>
  <c r="G74" i="5"/>
  <c r="E99" i="5"/>
  <c r="AE111" i="5"/>
  <c r="X123" i="5"/>
  <c r="K67" i="5"/>
  <c r="D97" i="5"/>
  <c r="AF109" i="5"/>
  <c r="E122" i="5"/>
  <c r="O87" i="5"/>
  <c r="R102" i="5"/>
  <c r="C51" i="5"/>
  <c r="M78" i="5"/>
  <c r="T98" i="5"/>
  <c r="Z110" i="5"/>
  <c r="E73" i="5"/>
  <c r="V83" i="5"/>
  <c r="O91" i="5"/>
  <c r="AC104" i="5"/>
  <c r="J117" i="5"/>
  <c r="I85" i="5"/>
  <c r="AA100" i="5"/>
  <c r="M112" i="5"/>
  <c r="M122" i="5"/>
  <c r="M75" i="5"/>
  <c r="F96" i="5"/>
  <c r="AE106" i="5"/>
  <c r="I77" i="5"/>
  <c r="R82" i="5"/>
  <c r="AD98" i="5"/>
  <c r="Y109" i="5"/>
  <c r="Q66" i="5"/>
  <c r="AB113" i="5"/>
  <c r="Q126" i="5"/>
  <c r="O136" i="5"/>
  <c r="J145" i="5"/>
  <c r="E154" i="5"/>
  <c r="AD162" i="5"/>
  <c r="Y171" i="5"/>
  <c r="AC98" i="5"/>
  <c r="F119" i="5"/>
  <c r="Q130" i="5"/>
  <c r="Z139" i="5"/>
  <c r="U148" i="5"/>
  <c r="O157" i="5"/>
  <c r="J166" i="5"/>
  <c r="E175" i="5"/>
  <c r="AB109" i="5"/>
  <c r="P124" i="5"/>
  <c r="AB134" i="5"/>
  <c r="W143" i="5"/>
  <c r="Q152" i="5"/>
  <c r="L161" i="5"/>
  <c r="C99" i="5"/>
  <c r="H119" i="5"/>
  <c r="T130" i="5"/>
  <c r="AB139" i="5"/>
  <c r="W148" i="5"/>
  <c r="O105" i="5"/>
  <c r="L122" i="5"/>
  <c r="G133" i="5"/>
  <c r="E142" i="5"/>
  <c r="AD150" i="5"/>
  <c r="AE112" i="5"/>
  <c r="C126" i="5"/>
  <c r="D136" i="5"/>
  <c r="AC144" i="5"/>
  <c r="L92" i="5"/>
  <c r="AF115" i="5"/>
  <c r="D128" i="5"/>
  <c r="Y137" i="5"/>
  <c r="T146" i="5"/>
  <c r="E104" i="5"/>
  <c r="X48" i="5"/>
  <c r="P40" i="5"/>
  <c r="AD68" i="5"/>
  <c r="I98" i="5"/>
  <c r="Z55" i="5"/>
  <c r="P75" i="5"/>
  <c r="AE87" i="5"/>
  <c r="W79" i="5"/>
  <c r="O102" i="5"/>
  <c r="AD116" i="5"/>
  <c r="R127" i="5"/>
  <c r="E76" i="5"/>
  <c r="Y99" i="5"/>
  <c r="W112" i="5"/>
  <c r="J124" i="5"/>
  <c r="E70" i="5"/>
  <c r="Z97" i="5"/>
  <c r="W110" i="5"/>
  <c r="V122" i="5"/>
  <c r="X88" i="5"/>
  <c r="J103" i="5"/>
  <c r="V67" i="5"/>
  <c r="D80" i="5"/>
  <c r="I99" i="5"/>
  <c r="Q111" i="5"/>
  <c r="AB74" i="5"/>
  <c r="D85" i="5"/>
  <c r="R92" i="5"/>
  <c r="R105" i="5"/>
  <c r="AB117" i="5"/>
  <c r="V86" i="5"/>
  <c r="P101" i="5"/>
  <c r="C113" i="5"/>
  <c r="AD122" i="5"/>
  <c r="H77" i="5"/>
  <c r="AA96" i="5"/>
  <c r="W107" i="5"/>
  <c r="I79" i="5"/>
  <c r="F84" i="5"/>
  <c r="U99" i="5"/>
  <c r="P110" i="5"/>
  <c r="AC88" i="5"/>
  <c r="AA114" i="5"/>
  <c r="G127" i="5"/>
  <c r="AF136" i="5"/>
  <c r="AA145" i="5"/>
  <c r="V154" i="5"/>
  <c r="P163" i="5"/>
  <c r="K172" i="5"/>
  <c r="L100" i="5"/>
  <c r="AE119" i="5"/>
  <c r="F131" i="5"/>
  <c r="L140" i="5"/>
  <c r="G149" i="5"/>
  <c r="AF157" i="5"/>
  <c r="AA166" i="5"/>
  <c r="V175" i="5"/>
  <c r="N111" i="5"/>
  <c r="H125" i="5"/>
  <c r="N135" i="5"/>
  <c r="I144" i="5"/>
  <c r="D153" i="5"/>
  <c r="AC161" i="5"/>
  <c r="W100" i="5"/>
  <c r="C120" i="5"/>
  <c r="H131" i="5"/>
  <c r="N140" i="5"/>
  <c r="I149" i="5"/>
  <c r="AB106" i="5"/>
  <c r="D123" i="5"/>
  <c r="Y133" i="5"/>
  <c r="V142" i="5"/>
  <c r="X77" i="5"/>
  <c r="G114" i="5"/>
  <c r="W126" i="5"/>
  <c r="U136" i="5"/>
  <c r="O145" i="5"/>
  <c r="R94" i="5"/>
  <c r="AA116" i="5"/>
  <c r="Z128" i="5"/>
  <c r="K138" i="5"/>
  <c r="F147" i="5"/>
  <c r="W105" i="5"/>
  <c r="P122" i="5"/>
  <c r="J133" i="5"/>
  <c r="H142" i="5"/>
  <c r="AC111" i="5"/>
  <c r="P125" i="5"/>
  <c r="U135" i="5"/>
  <c r="T63" i="5"/>
  <c r="F56" i="5"/>
  <c r="D42" i="5"/>
  <c r="D107" i="5"/>
  <c r="X57" i="5"/>
  <c r="F87" i="5"/>
  <c r="T88" i="5"/>
  <c r="G81" i="5"/>
  <c r="E103" i="5"/>
  <c r="Q117" i="5"/>
  <c r="E128" i="5"/>
  <c r="L81" i="5"/>
  <c r="P100" i="5"/>
  <c r="AF113" i="5"/>
  <c r="AA124" i="5"/>
  <c r="K72" i="5"/>
  <c r="P98" i="5"/>
  <c r="L111" i="5"/>
  <c r="H123" i="5"/>
  <c r="AB89" i="5"/>
  <c r="AD103" i="5"/>
  <c r="Y72" i="5"/>
  <c r="W81" i="5"/>
  <c r="AE99" i="5"/>
  <c r="AB54" i="5"/>
  <c r="Y76" i="5"/>
  <c r="T86" i="5"/>
  <c r="V93" i="5"/>
  <c r="AC106" i="5"/>
  <c r="O118" i="5"/>
  <c r="D88" i="5"/>
  <c r="H102" i="5"/>
  <c r="Y113" i="5"/>
  <c r="P123" i="5"/>
  <c r="AC78" i="5"/>
  <c r="P97" i="5"/>
  <c r="L108" i="5"/>
  <c r="AB80" i="5"/>
  <c r="R85" i="5"/>
  <c r="J100" i="5"/>
  <c r="G111" i="5"/>
  <c r="L91" i="5"/>
  <c r="V115" i="5"/>
  <c r="AA127" i="5"/>
  <c r="R137" i="5"/>
  <c r="M146" i="5"/>
  <c r="H155" i="5"/>
  <c r="C164" i="5"/>
  <c r="AB172" i="5"/>
  <c r="AF101" i="5"/>
  <c r="Y120" i="5"/>
  <c r="Y131" i="5"/>
  <c r="AC140" i="5"/>
  <c r="X149" i="5"/>
  <c r="R158" i="5"/>
  <c r="M167" i="5"/>
  <c r="H176" i="5"/>
  <c r="AB112" i="5"/>
  <c r="AB125" i="5"/>
  <c r="AE135" i="5"/>
  <c r="Z144" i="5"/>
  <c r="U153" i="5"/>
  <c r="O162" i="5"/>
  <c r="F102" i="5"/>
  <c r="AA120" i="5"/>
  <c r="AA131" i="5"/>
  <c r="AE140" i="5"/>
  <c r="Z149" i="5"/>
  <c r="P108" i="5"/>
  <c r="AB123" i="5"/>
  <c r="L134" i="5"/>
  <c r="H143" i="5"/>
  <c r="T89" i="5"/>
  <c r="D115" i="5"/>
  <c r="M127" i="5"/>
  <c r="G137" i="5"/>
  <c r="AF145" i="5"/>
  <c r="J96" i="5"/>
  <c r="X117" i="5"/>
  <c r="O129" i="5"/>
  <c r="U74" i="5"/>
  <c r="X68" i="5"/>
  <c r="Y43" i="5"/>
  <c r="AC115" i="5"/>
  <c r="O59" i="5"/>
  <c r="Z87" i="5"/>
  <c r="J90" i="5"/>
  <c r="Z82" i="5"/>
  <c r="P104" i="5"/>
  <c r="F118" i="5"/>
  <c r="V128" i="5"/>
  <c r="AA82" i="5"/>
  <c r="F101" i="5"/>
  <c r="U114" i="5"/>
  <c r="M125" i="5"/>
  <c r="D78" i="5"/>
  <c r="F99" i="5"/>
  <c r="X112" i="5"/>
  <c r="Y123" i="5"/>
  <c r="AE90" i="5"/>
  <c r="U104" i="5"/>
  <c r="Q74" i="5"/>
  <c r="K83" i="5"/>
  <c r="U100" i="5"/>
  <c r="AB67" i="5"/>
  <c r="U78" i="5"/>
  <c r="K60" i="5"/>
  <c r="U94" i="5"/>
  <c r="R107" i="5"/>
  <c r="C119" i="5"/>
  <c r="J89" i="5"/>
  <c r="AC102" i="5"/>
  <c r="M114" i="5"/>
  <c r="C124" i="5"/>
  <c r="R80" i="5"/>
  <c r="F98" i="5"/>
  <c r="C109" i="5"/>
  <c r="P82" i="5"/>
  <c r="C87" i="5"/>
  <c r="AD100" i="5"/>
  <c r="AA111" i="5"/>
  <c r="AC93" i="5"/>
  <c r="R116" i="5"/>
  <c r="Q128" i="5"/>
  <c r="E138" i="5"/>
  <c r="AD146" i="5"/>
  <c r="Y155" i="5"/>
  <c r="T164" i="5"/>
  <c r="N173" i="5"/>
  <c r="P103" i="5"/>
  <c r="O121" i="5"/>
  <c r="M132" i="5"/>
  <c r="O141" i="5"/>
  <c r="J150" i="5"/>
  <c r="E159" i="5"/>
  <c r="AD167" i="5"/>
  <c r="D72" i="5"/>
  <c r="AD113" i="5"/>
  <c r="T126" i="5"/>
  <c r="Q136" i="5"/>
  <c r="L145" i="5"/>
  <c r="G154" i="5"/>
  <c r="AF162" i="5"/>
  <c r="W103" i="5"/>
  <c r="U121" i="5"/>
  <c r="O132" i="5"/>
  <c r="Q141" i="5"/>
  <c r="L150" i="5"/>
  <c r="E110" i="5"/>
  <c r="R124" i="5"/>
  <c r="AD134" i="5"/>
  <c r="Y143" i="5"/>
  <c r="I92" i="5"/>
  <c r="AE115" i="5"/>
  <c r="C128" i="5"/>
  <c r="X137" i="5"/>
  <c r="R146" i="5"/>
  <c r="AB97" i="5"/>
  <c r="R118" i="5"/>
  <c r="D130" i="5"/>
  <c r="N139" i="5"/>
  <c r="I148" i="5"/>
  <c r="AA108" i="5"/>
  <c r="AE123" i="5"/>
  <c r="O134" i="5"/>
  <c r="S92" i="5"/>
  <c r="H86" i="5"/>
  <c r="G39" i="5"/>
  <c r="X66" i="5"/>
  <c r="AD60" i="5"/>
  <c r="L61" i="5"/>
  <c r="J45" i="5"/>
  <c r="P92" i="5"/>
  <c r="M84" i="5"/>
  <c r="G105" i="5"/>
  <c r="X118" i="5"/>
  <c r="H129" i="5"/>
  <c r="N84" i="5"/>
  <c r="AA101" i="5"/>
  <c r="H115" i="5"/>
  <c r="AD125" i="5"/>
  <c r="Y79" i="5"/>
  <c r="Z99" i="5"/>
  <c r="N113" i="5"/>
  <c r="K124" i="5"/>
  <c r="D92" i="5"/>
  <c r="AF105" i="5"/>
  <c r="O76" i="5"/>
  <c r="AB84" i="5"/>
  <c r="AE101" i="5"/>
  <c r="AE70" i="5"/>
  <c r="L80" i="5"/>
  <c r="P68" i="5"/>
  <c r="D96" i="5"/>
  <c r="J108" i="5"/>
  <c r="T119" i="5"/>
  <c r="M90" i="5"/>
  <c r="R103" i="5"/>
  <c r="AE114" i="5"/>
  <c r="T124" i="5"/>
  <c r="G82" i="5"/>
  <c r="AB98" i="5"/>
  <c r="W109" i="5"/>
  <c r="AE83" i="5"/>
  <c r="L88" i="5"/>
  <c r="V101" i="5"/>
  <c r="I66" i="5"/>
  <c r="U95" i="5"/>
  <c r="M117" i="5"/>
  <c r="G129" i="5"/>
  <c r="V138" i="5"/>
  <c r="P147" i="5"/>
  <c r="K156" i="5"/>
  <c r="F165" i="5"/>
  <c r="AE173" i="5"/>
  <c r="E105" i="5"/>
  <c r="I122" i="5"/>
  <c r="AF132" i="5"/>
  <c r="AF141" i="5"/>
  <c r="AA150" i="5"/>
  <c r="V159" i="5"/>
  <c r="P168" i="5"/>
  <c r="F89" i="5"/>
  <c r="AC114" i="5"/>
  <c r="I127" i="5"/>
  <c r="D137" i="5"/>
  <c r="AC145" i="5"/>
  <c r="X154" i="5"/>
  <c r="R163" i="5"/>
  <c r="K105" i="5"/>
  <c r="K122" i="5"/>
  <c r="F133" i="5"/>
  <c r="D142" i="5"/>
  <c r="AC150" i="5"/>
  <c r="T111" i="5"/>
  <c r="J125" i="5"/>
  <c r="P135" i="5"/>
  <c r="K144" i="5"/>
  <c r="Q94" i="5"/>
  <c r="Z116" i="5"/>
  <c r="Y128" i="5"/>
  <c r="J138" i="5"/>
  <c r="E147" i="5"/>
  <c r="M99" i="5"/>
  <c r="N119" i="5"/>
  <c r="W130" i="5"/>
  <c r="AE139" i="5"/>
  <c r="Z148" i="5"/>
  <c r="I110" i="5"/>
  <c r="W124" i="5"/>
  <c r="C135" i="5"/>
  <c r="F90" i="5"/>
  <c r="J115" i="5"/>
  <c r="P127" i="5"/>
  <c r="J137" i="5"/>
  <c r="E146" i="5"/>
  <c r="AC108" i="5"/>
  <c r="D124" i="5"/>
  <c r="Q134" i="5"/>
  <c r="M143" i="5"/>
  <c r="H152" i="5"/>
  <c r="C161" i="5"/>
  <c r="W99" i="5"/>
  <c r="R119" i="5"/>
  <c r="AA130" i="5"/>
  <c r="E140" i="5"/>
  <c r="AD148" i="5"/>
  <c r="T90" i="5"/>
  <c r="N115" i="5"/>
  <c r="V127" i="5"/>
  <c r="M137" i="5"/>
  <c r="H146" i="5"/>
  <c r="AF99" i="5"/>
  <c r="W119" i="5"/>
  <c r="AE130" i="5"/>
  <c r="G140" i="5"/>
  <c r="AF148" i="5"/>
  <c r="Z90" i="5"/>
  <c r="P115" i="5"/>
  <c r="J42" i="5"/>
  <c r="N43" i="5"/>
  <c r="AC45" i="5"/>
  <c r="L78" i="5"/>
  <c r="D63" i="5"/>
  <c r="AC48" i="5"/>
  <c r="J47" i="5"/>
  <c r="U88" i="5"/>
  <c r="R106" i="5"/>
  <c r="J119" i="5"/>
  <c r="AB130" i="5"/>
  <c r="AC85" i="5"/>
  <c r="F103" i="5"/>
  <c r="Z115" i="5"/>
  <c r="P126" i="5"/>
  <c r="M81" i="5"/>
  <c r="Q100" i="5"/>
  <c r="C114" i="5"/>
  <c r="AB124" i="5"/>
  <c r="G93" i="5"/>
  <c r="V106" i="5"/>
  <c r="F78" i="5"/>
  <c r="L86" i="5"/>
  <c r="W102" i="5"/>
  <c r="AB72" i="5"/>
  <c r="AE81" i="5"/>
  <c r="I71" i="5"/>
  <c r="X96" i="5"/>
  <c r="AE108" i="5"/>
  <c r="F120" i="5"/>
  <c r="P91" i="5"/>
  <c r="H104" i="5"/>
  <c r="R115" i="5"/>
  <c r="F125" i="5"/>
  <c r="Z83" i="5"/>
  <c r="Q99" i="5"/>
  <c r="N110" i="5"/>
  <c r="P85" i="5"/>
  <c r="R89" i="5"/>
  <c r="L102" i="5"/>
  <c r="I69" i="5"/>
  <c r="J97" i="5"/>
  <c r="J118" i="5"/>
  <c r="AB129" i="5"/>
  <c r="H139" i="5"/>
  <c r="C148" i="5"/>
  <c r="AB156" i="5"/>
  <c r="W165" i="5"/>
  <c r="Q174" i="5"/>
  <c r="W106" i="5"/>
  <c r="AE122" i="5"/>
  <c r="V133" i="5"/>
  <c r="R142" i="5"/>
  <c r="M151" i="5"/>
  <c r="H160" i="5"/>
  <c r="C169" i="5"/>
  <c r="W91" i="5"/>
  <c r="X115" i="5"/>
  <c r="AD127" i="5"/>
  <c r="U137" i="5"/>
  <c r="O146" i="5"/>
  <c r="J155" i="5"/>
  <c r="E164" i="5"/>
  <c r="AA106" i="5"/>
  <c r="C123" i="5"/>
  <c r="X133" i="5"/>
  <c r="U142" i="5"/>
  <c r="O151" i="5"/>
  <c r="AD112" i="5"/>
  <c r="AF125" i="5"/>
  <c r="C136" i="5"/>
  <c r="AB144" i="5"/>
  <c r="G96" i="5"/>
  <c r="W117" i="5"/>
  <c r="N129" i="5"/>
  <c r="AA138" i="5"/>
  <c r="V147" i="5"/>
  <c r="AC100" i="5"/>
  <c r="H120" i="5"/>
  <c r="K131" i="5"/>
  <c r="Q140" i="5"/>
  <c r="L149" i="5"/>
  <c r="AB111" i="5"/>
  <c r="L58" i="5"/>
  <c r="D45" i="5"/>
  <c r="V71" i="5"/>
  <c r="AF89" i="5"/>
  <c r="V78" i="5"/>
  <c r="U50" i="5"/>
  <c r="AD50" i="5"/>
  <c r="Y89" i="5"/>
  <c r="H107" i="5"/>
  <c r="AA119" i="5"/>
  <c r="N131" i="5"/>
  <c r="J87" i="5"/>
  <c r="AB103" i="5"/>
  <c r="M116" i="5"/>
  <c r="F128" i="5"/>
  <c r="AF82" i="5"/>
  <c r="AB101" i="5"/>
  <c r="V114" i="5"/>
  <c r="L49" i="5"/>
  <c r="D95" i="5"/>
  <c r="L107" i="5"/>
  <c r="AF79" i="5"/>
  <c r="AF88" i="5"/>
  <c r="L103" i="5"/>
  <c r="AA74" i="5"/>
  <c r="T83" i="5"/>
  <c r="J75" i="5"/>
  <c r="N97" i="5"/>
  <c r="U109" i="5"/>
  <c r="W120" i="5"/>
  <c r="T92" i="5"/>
  <c r="AD104" i="5"/>
  <c r="F116" i="5"/>
  <c r="W125" i="5"/>
  <c r="J85" i="5"/>
  <c r="H100" i="5"/>
  <c r="D111" i="5"/>
  <c r="AE86" i="5"/>
  <c r="V90" i="5"/>
  <c r="AF102" i="5"/>
  <c r="AF71" i="5"/>
  <c r="W98" i="5"/>
  <c r="E119" i="5"/>
  <c r="P130" i="5"/>
  <c r="Y139" i="5"/>
  <c r="T148" i="5"/>
  <c r="N157" i="5"/>
  <c r="I166" i="5"/>
  <c r="D175" i="5"/>
  <c r="H108" i="5"/>
  <c r="V123" i="5"/>
  <c r="I134" i="5"/>
  <c r="E143" i="5"/>
  <c r="AD151" i="5"/>
  <c r="Y160" i="5"/>
  <c r="T169" i="5"/>
  <c r="E94" i="5"/>
  <c r="U116" i="5"/>
  <c r="T128" i="5"/>
  <c r="G138" i="5"/>
  <c r="AF146" i="5"/>
  <c r="AA155" i="5"/>
  <c r="V164" i="5"/>
  <c r="N108" i="5"/>
  <c r="AA123" i="5"/>
  <c r="K134" i="5"/>
  <c r="G143" i="5"/>
  <c r="V75" i="5"/>
  <c r="F114" i="5"/>
  <c r="V126" i="5"/>
  <c r="T136" i="5"/>
  <c r="N145" i="5"/>
  <c r="U97" i="5"/>
  <c r="Q118" i="5"/>
  <c r="C130" i="5"/>
  <c r="M139" i="5"/>
  <c r="H148" i="5"/>
  <c r="N102" i="5"/>
  <c r="C121" i="5"/>
  <c r="AD131" i="5"/>
  <c r="D141" i="5"/>
  <c r="AC149" i="5"/>
  <c r="H113" i="5"/>
  <c r="Z70" i="5"/>
  <c r="U59" i="5"/>
  <c r="Q84" i="5"/>
  <c r="R90" i="5"/>
  <c r="N79" i="5"/>
  <c r="H63" i="5"/>
  <c r="V52" i="5"/>
  <c r="AB90" i="5"/>
  <c r="R108" i="5"/>
  <c r="M120" i="5"/>
  <c r="AE131" i="5"/>
  <c r="V88" i="5"/>
  <c r="R104" i="5"/>
  <c r="AE116" i="5"/>
  <c r="W128" i="5"/>
  <c r="O84" i="5"/>
  <c r="Q102" i="5"/>
  <c r="I115" i="5"/>
  <c r="L67" i="5"/>
  <c r="Z95" i="5"/>
  <c r="AF107" i="5"/>
  <c r="U81" i="5"/>
  <c r="E90" i="5"/>
  <c r="C104" i="5"/>
  <c r="Q76" i="5"/>
  <c r="AF84" i="5"/>
  <c r="AF76" i="5"/>
  <c r="D98" i="5"/>
  <c r="J110" i="5"/>
  <c r="C62" i="5"/>
  <c r="W93" i="5"/>
  <c r="T105" i="5"/>
  <c r="X116" i="5"/>
  <c r="I126" i="5"/>
  <c r="W86" i="5"/>
  <c r="AB100" i="5"/>
  <c r="Y111" i="5"/>
  <c r="J88" i="5"/>
  <c r="Y91" i="5"/>
  <c r="V103" i="5"/>
  <c r="AC73" i="5"/>
  <c r="K100" i="5"/>
  <c r="AD119" i="5"/>
  <c r="E131" i="5"/>
  <c r="K140" i="5"/>
  <c r="F149" i="5"/>
  <c r="AE157" i="5"/>
  <c r="Z166" i="5"/>
  <c r="U175" i="5"/>
  <c r="X109" i="5"/>
  <c r="O124" i="5"/>
  <c r="AA134" i="5"/>
  <c r="V143" i="5"/>
  <c r="P152" i="5"/>
  <c r="K161" i="5"/>
  <c r="F170" i="5"/>
  <c r="AC95" i="5"/>
  <c r="O117" i="5"/>
  <c r="K129" i="5"/>
  <c r="X138" i="5"/>
  <c r="R147" i="5"/>
  <c r="M156" i="5"/>
  <c r="H165" i="5"/>
  <c r="AC109" i="5"/>
  <c r="Q124" i="5"/>
  <c r="AC134" i="5"/>
  <c r="X143" i="5"/>
  <c r="P89" i="5"/>
  <c r="C115" i="5"/>
  <c r="K127" i="5"/>
  <c r="F137" i="5"/>
  <c r="AE145" i="5"/>
  <c r="J99" i="5"/>
  <c r="M119" i="5"/>
  <c r="V130" i="5"/>
  <c r="AD139" i="5"/>
  <c r="Y148" i="5"/>
  <c r="D104" i="5"/>
  <c r="X121" i="5"/>
  <c r="U132" i="5"/>
  <c r="U141" i="5"/>
  <c r="E81" i="5"/>
  <c r="K114" i="5"/>
  <c r="Y126" i="5"/>
  <c r="W136" i="5"/>
  <c r="P96" i="5"/>
  <c r="Z117" i="5"/>
  <c r="Q129" i="5"/>
  <c r="M82" i="5"/>
  <c r="C71" i="5"/>
  <c r="K28" i="5"/>
  <c r="N57" i="5"/>
  <c r="G90" i="5"/>
  <c r="AB50" i="5"/>
  <c r="H58" i="5"/>
  <c r="D93" i="5"/>
  <c r="H109" i="5"/>
  <c r="C122" i="5"/>
  <c r="Q132" i="5"/>
  <c r="AC90" i="5"/>
  <c r="H105" i="5"/>
  <c r="T117" i="5"/>
  <c r="I129" i="5"/>
  <c r="AE85" i="5"/>
  <c r="I103" i="5"/>
  <c r="AA115" i="5"/>
  <c r="L72" i="5"/>
  <c r="O96" i="5"/>
  <c r="V108" i="5"/>
  <c r="Y84" i="5"/>
  <c r="H91" i="5"/>
  <c r="W104" i="5"/>
  <c r="T78" i="5"/>
  <c r="T58" i="5"/>
  <c r="AA78" i="5"/>
  <c r="X98" i="5"/>
  <c r="V111" i="5"/>
  <c r="W68" i="5"/>
  <c r="V94" i="5"/>
  <c r="J106" i="5"/>
  <c r="K117" i="5"/>
  <c r="Z126" i="5"/>
  <c r="E88" i="5"/>
  <c r="T101" i="5"/>
  <c r="N112" i="5"/>
  <c r="Z65" i="5"/>
  <c r="AB92" i="5"/>
  <c r="M104" i="5"/>
  <c r="U75" i="5"/>
  <c r="AD101" i="5"/>
  <c r="V120" i="5"/>
  <c r="X131" i="5"/>
  <c r="AB140" i="5"/>
  <c r="W149" i="5"/>
  <c r="Q158" i="5"/>
  <c r="L167" i="5"/>
  <c r="G176" i="5"/>
  <c r="I111" i="5"/>
  <c r="G125" i="5"/>
  <c r="M135" i="5"/>
  <c r="H144" i="5"/>
  <c r="C153" i="5"/>
  <c r="AB161" i="5"/>
  <c r="W170" i="5"/>
  <c r="M97" i="5"/>
  <c r="L118" i="5"/>
  <c r="AD129" i="5"/>
  <c r="J139" i="5"/>
  <c r="E148" i="5"/>
  <c r="AD156" i="5"/>
  <c r="Y165" i="5"/>
  <c r="R111" i="5"/>
  <c r="I125" i="5"/>
  <c r="O135" i="5"/>
  <c r="J144" i="5"/>
  <c r="AC91" i="5"/>
  <c r="AD115" i="5"/>
  <c r="AF127" i="5"/>
  <c r="W137" i="5"/>
  <c r="Q146" i="5"/>
  <c r="Y100" i="5"/>
  <c r="E120" i="5"/>
  <c r="J131" i="5"/>
  <c r="P140" i="5"/>
  <c r="K149" i="5"/>
  <c r="Q105" i="5"/>
  <c r="O122" i="5"/>
  <c r="Q34" i="5"/>
  <c r="AB79" i="5"/>
  <c r="O69" i="5"/>
  <c r="E59" i="5"/>
  <c r="X90" i="5"/>
  <c r="P54" i="5"/>
  <c r="AB64" i="5"/>
  <c r="G94" i="5"/>
  <c r="AD109" i="5"/>
  <c r="T122" i="5"/>
  <c r="D133" i="5"/>
  <c r="AF91" i="5"/>
  <c r="AB105" i="5"/>
  <c r="K119" i="5"/>
  <c r="Z129" i="5"/>
  <c r="W88" i="5"/>
  <c r="AC103" i="5"/>
  <c r="N116" i="5"/>
  <c r="P74" i="5"/>
  <c r="G97" i="5"/>
  <c r="M109" i="5"/>
  <c r="G86" i="5"/>
  <c r="K92" i="5"/>
  <c r="L105" i="5"/>
  <c r="I80" i="5"/>
  <c r="N68" i="5"/>
  <c r="P80" i="5"/>
  <c r="O99" i="5"/>
  <c r="L112" i="5"/>
  <c r="O71" i="5"/>
  <c r="L95" i="5"/>
  <c r="AD106" i="5"/>
  <c r="AC117" i="5"/>
  <c r="L127" i="5"/>
  <c r="K89" i="5"/>
  <c r="I102" i="5"/>
  <c r="D113" i="5"/>
  <c r="C69" i="5"/>
  <c r="AE93" i="5"/>
  <c r="C105" i="5"/>
  <c r="U77" i="5"/>
  <c r="O103" i="5"/>
  <c r="N121" i="5"/>
  <c r="L132" i="5"/>
  <c r="N141" i="5"/>
  <c r="I150" i="5"/>
  <c r="D159" i="5"/>
  <c r="AC167" i="5"/>
  <c r="X176" i="5"/>
  <c r="AA112" i="5"/>
  <c r="AA125" i="5"/>
  <c r="AD135" i="5"/>
  <c r="Y144" i="5"/>
  <c r="T153" i="5"/>
  <c r="N162" i="5"/>
  <c r="I171" i="5"/>
  <c r="AE98" i="5"/>
  <c r="G119" i="5"/>
  <c r="R130" i="5"/>
  <c r="AA139" i="5"/>
  <c r="V148" i="5"/>
  <c r="P157" i="5"/>
  <c r="K166" i="5"/>
  <c r="AC112" i="5"/>
  <c r="AE125" i="5"/>
  <c r="AF135" i="5"/>
  <c r="AA144" i="5"/>
  <c r="O94" i="5"/>
  <c r="Y116" i="5"/>
  <c r="X128" i="5"/>
  <c r="I138" i="5"/>
  <c r="D147" i="5"/>
  <c r="M102" i="5"/>
  <c r="AC120" i="5"/>
  <c r="AC131" i="5"/>
  <c r="C141" i="5"/>
  <c r="AB149" i="5"/>
  <c r="F107" i="5"/>
  <c r="I123" i="5"/>
  <c r="AA133" i="5"/>
  <c r="X142" i="5"/>
  <c r="O92" i="5"/>
  <c r="C116" i="5"/>
  <c r="G128" i="5"/>
  <c r="Z137" i="5"/>
  <c r="I29" i="5"/>
  <c r="H118" i="5"/>
  <c r="AC127" i="5"/>
  <c r="AC113" i="5"/>
  <c r="R136" i="5"/>
  <c r="AB138" i="5"/>
  <c r="AB133" i="5"/>
  <c r="M107" i="5"/>
  <c r="H128" i="5"/>
  <c r="T140" i="5"/>
  <c r="J101" i="5"/>
  <c r="R122" i="5"/>
  <c r="V135" i="5"/>
  <c r="F146" i="5"/>
  <c r="X157" i="5"/>
  <c r="E95" i="5"/>
  <c r="L120" i="5"/>
  <c r="M133" i="5"/>
  <c r="AE143" i="5"/>
  <c r="R155" i="5"/>
  <c r="Q114" i="5"/>
  <c r="AE128" i="5"/>
  <c r="T139" i="5"/>
  <c r="Q149" i="5"/>
  <c r="K112" i="5"/>
  <c r="W127" i="5"/>
  <c r="Q138" i="5"/>
  <c r="O148" i="5"/>
  <c r="J95" i="5"/>
  <c r="AD118" i="5"/>
  <c r="AF130" i="5"/>
  <c r="Y140" i="5"/>
  <c r="P112" i="5"/>
  <c r="AA151" i="5"/>
  <c r="AE165" i="5"/>
  <c r="Y176" i="5"/>
  <c r="F186" i="5"/>
  <c r="Q195" i="5"/>
  <c r="AC204" i="5"/>
  <c r="AA152" i="5"/>
  <c r="K165" i="5"/>
  <c r="Q175" i="5"/>
  <c r="Q184" i="5"/>
  <c r="L193" i="5"/>
  <c r="AC152" i="5"/>
  <c r="L165" i="5"/>
  <c r="R175" i="5"/>
  <c r="R184" i="5"/>
  <c r="M193" i="5"/>
  <c r="M147" i="5"/>
  <c r="P162" i="5"/>
  <c r="E173" i="5"/>
  <c r="H145" i="5"/>
  <c r="X161" i="5"/>
  <c r="Q172" i="5"/>
  <c r="Y134" i="5"/>
  <c r="R159" i="5"/>
  <c r="U170" i="5"/>
  <c r="K143" i="5"/>
  <c r="E161" i="5"/>
  <c r="AE171" i="5"/>
  <c r="M181" i="5"/>
  <c r="AC154" i="5"/>
  <c r="AE166" i="5"/>
  <c r="C131" i="5"/>
  <c r="AE158" i="5"/>
  <c r="G170" i="5"/>
  <c r="Y125" i="5"/>
  <c r="K158" i="5"/>
  <c r="Q169" i="5"/>
  <c r="J179" i="5"/>
  <c r="E188" i="5"/>
  <c r="Z140" i="5"/>
  <c r="R160" i="5"/>
  <c r="P171" i="5"/>
  <c r="N136" i="5"/>
  <c r="AB159" i="5"/>
  <c r="AC170" i="5"/>
  <c r="E127" i="5"/>
  <c r="N158" i="5"/>
  <c r="W169" i="5"/>
  <c r="M179" i="5"/>
  <c r="P153" i="5"/>
  <c r="AB165" i="5"/>
  <c r="P137" i="5"/>
  <c r="AF159" i="5"/>
  <c r="E83" i="5"/>
  <c r="M76" i="5"/>
  <c r="N90" i="5"/>
  <c r="R126" i="5"/>
  <c r="M145" i="5"/>
  <c r="G142" i="5"/>
  <c r="T135" i="5"/>
  <c r="AB108" i="5"/>
  <c r="AB128" i="5"/>
  <c r="F141" i="5"/>
  <c r="Y102" i="5"/>
  <c r="L123" i="5"/>
  <c r="H136" i="5"/>
  <c r="W146" i="5"/>
  <c r="J158" i="5"/>
  <c r="V96" i="5"/>
  <c r="G121" i="5"/>
  <c r="AE133" i="5"/>
  <c r="U145" i="5"/>
  <c r="E156" i="5"/>
  <c r="I116" i="5"/>
  <c r="U129" i="5"/>
  <c r="F140" i="5"/>
  <c r="D150" i="5"/>
  <c r="R114" i="5"/>
  <c r="L128" i="5"/>
  <c r="D139" i="5"/>
  <c r="R149" i="5"/>
  <c r="AD96" i="5"/>
  <c r="X119" i="5"/>
  <c r="U131" i="5"/>
  <c r="K141" i="5"/>
  <c r="U113" i="5"/>
  <c r="W153" i="5"/>
  <c r="V166" i="5"/>
  <c r="K177" i="5"/>
  <c r="W186" i="5"/>
  <c r="D196" i="5"/>
  <c r="O205" i="5"/>
  <c r="X153" i="5"/>
  <c r="C166" i="5"/>
  <c r="F176" i="5"/>
  <c r="D185" i="5"/>
  <c r="AC193" i="5"/>
  <c r="Y153" i="5"/>
  <c r="D166" i="5"/>
  <c r="I176" i="5"/>
  <c r="E185" i="5"/>
  <c r="AD193" i="5"/>
  <c r="E149" i="5"/>
  <c r="G163" i="5"/>
  <c r="X173" i="5"/>
  <c r="N147" i="5"/>
  <c r="Q162" i="5"/>
  <c r="F173" i="5"/>
  <c r="G139" i="5"/>
  <c r="L160" i="5"/>
  <c r="K171" i="5"/>
  <c r="Q145" i="5"/>
  <c r="Z161" i="5"/>
  <c r="T172" i="5"/>
  <c r="AD181" i="5"/>
  <c r="AB155" i="5"/>
  <c r="T167" i="5"/>
  <c r="AA135" i="5"/>
  <c r="Y159" i="5"/>
  <c r="Z170" i="5"/>
  <c r="D131" i="5"/>
  <c r="AF158" i="5"/>
  <c r="H170" i="5"/>
  <c r="AA179" i="5"/>
  <c r="V188" i="5"/>
  <c r="AB143" i="5"/>
  <c r="I161" i="5"/>
  <c r="E172" i="5"/>
  <c r="AA140" i="5"/>
  <c r="T160" i="5"/>
  <c r="Q171" i="5"/>
  <c r="J132" i="5"/>
  <c r="H159" i="5"/>
  <c r="K170" i="5"/>
  <c r="AD179" i="5"/>
  <c r="L154" i="5"/>
  <c r="R166" i="5"/>
  <c r="AC141" i="5"/>
  <c r="W160" i="5"/>
  <c r="U171" i="5"/>
  <c r="E181" i="5"/>
  <c r="AD189" i="5"/>
  <c r="AA113" i="5"/>
  <c r="W188" i="5"/>
  <c r="F200" i="5"/>
  <c r="Z175" i="5"/>
  <c r="H191" i="5"/>
  <c r="AD201" i="5"/>
  <c r="Q180" i="5"/>
  <c r="T193" i="5"/>
  <c r="X203" i="5"/>
  <c r="H183" i="5"/>
  <c r="AA195" i="5"/>
  <c r="R205" i="5"/>
  <c r="X62" i="5"/>
  <c r="AA97" i="5"/>
  <c r="AD102" i="5"/>
  <c r="P136" i="5"/>
  <c r="AE95" i="5"/>
  <c r="J143" i="5"/>
  <c r="F136" i="5"/>
  <c r="O110" i="5"/>
  <c r="F130" i="5"/>
  <c r="Z142" i="5"/>
  <c r="L104" i="5"/>
  <c r="Y124" i="5"/>
  <c r="Y136" i="5"/>
  <c r="I147" i="5"/>
  <c r="AA158" i="5"/>
  <c r="G98" i="5"/>
  <c r="AC121" i="5"/>
  <c r="R134" i="5"/>
  <c r="G146" i="5"/>
  <c r="V156" i="5"/>
  <c r="F117" i="5"/>
  <c r="I130" i="5"/>
  <c r="W140" i="5"/>
  <c r="U150" i="5"/>
  <c r="O115" i="5"/>
  <c r="C129" i="5"/>
  <c r="U139" i="5"/>
  <c r="E150" i="5"/>
  <c r="R98" i="5"/>
  <c r="R120" i="5"/>
  <c r="I132" i="5"/>
  <c r="AB141" i="5"/>
  <c r="T115" i="5"/>
  <c r="R154" i="5"/>
  <c r="J167" i="5"/>
  <c r="AB177" i="5"/>
  <c r="I187" i="5"/>
  <c r="U196" i="5"/>
  <c r="AF205" i="5"/>
  <c r="T154" i="5"/>
  <c r="W166" i="5"/>
  <c r="Z176" i="5"/>
  <c r="U185" i="5"/>
  <c r="O194" i="5"/>
  <c r="U154" i="5"/>
  <c r="X166" i="5"/>
  <c r="AA176" i="5"/>
  <c r="V185" i="5"/>
  <c r="P194" i="5"/>
  <c r="Y150" i="5"/>
  <c r="AC163" i="5"/>
  <c r="L174" i="5"/>
  <c r="M149" i="5"/>
  <c r="H163" i="5"/>
  <c r="Y173" i="5"/>
  <c r="C143" i="5"/>
  <c r="D161" i="5"/>
  <c r="AD171" i="5"/>
  <c r="X147" i="5"/>
  <c r="T162" i="5"/>
  <c r="H173" i="5"/>
  <c r="X101" i="5"/>
  <c r="W156" i="5"/>
  <c r="H168" i="5"/>
  <c r="I140" i="5"/>
  <c r="O160" i="5"/>
  <c r="N171" i="5"/>
  <c r="AB135" i="5"/>
  <c r="Z159" i="5"/>
  <c r="AA170" i="5"/>
  <c r="M180" i="5"/>
  <c r="H189" i="5"/>
  <c r="D146" i="5"/>
  <c r="C162" i="5"/>
  <c r="X172" i="5"/>
  <c r="D144" i="5"/>
  <c r="M161" i="5"/>
  <c r="F172" i="5"/>
  <c r="AD136" i="5"/>
  <c r="AC159" i="5"/>
  <c r="AD170" i="5"/>
  <c r="P180" i="5"/>
  <c r="K155" i="5"/>
  <c r="G167" i="5"/>
  <c r="N144" i="5"/>
  <c r="P161" i="5"/>
  <c r="I172" i="5"/>
  <c r="V181" i="5"/>
  <c r="P190" i="5"/>
  <c r="E157" i="5"/>
  <c r="R189" i="5"/>
  <c r="X200" i="5"/>
  <c r="K178" i="5"/>
  <c r="AD191" i="5"/>
  <c r="Q202" i="5"/>
  <c r="Q181" i="5"/>
  <c r="K194" i="5"/>
  <c r="K204" i="5"/>
  <c r="D184" i="5"/>
  <c r="P196" i="5"/>
  <c r="G2" i="5"/>
  <c r="P186" i="5"/>
  <c r="Q198" i="5"/>
  <c r="AD141" i="5"/>
  <c r="AF188" i="5"/>
  <c r="K200" i="5"/>
  <c r="AD194" i="5"/>
  <c r="Z179" i="5"/>
  <c r="AF192" i="5"/>
  <c r="K203" i="5"/>
  <c r="U182" i="5"/>
  <c r="K195" i="5"/>
  <c r="E205" i="5"/>
  <c r="F185" i="5"/>
  <c r="N197" i="5"/>
  <c r="AC2" i="5"/>
  <c r="Q187" i="5"/>
  <c r="J199" i="5"/>
  <c r="O164" i="5"/>
  <c r="AE189" i="5"/>
  <c r="AF98" i="5"/>
  <c r="X110" i="5"/>
  <c r="Z113" i="5"/>
  <c r="K145" i="5"/>
  <c r="V117" i="5"/>
  <c r="W147" i="5"/>
  <c r="I137" i="5"/>
  <c r="I113" i="5"/>
  <c r="Y130" i="5"/>
  <c r="L143" i="5"/>
  <c r="Z105" i="5"/>
  <c r="Q125" i="5"/>
  <c r="K137" i="5"/>
  <c r="AC148" i="5"/>
  <c r="M159" i="5"/>
  <c r="L101" i="5"/>
  <c r="W122" i="5"/>
  <c r="F135" i="5"/>
  <c r="X146" i="5"/>
  <c r="G87" i="5"/>
  <c r="AE117" i="5"/>
  <c r="AD130" i="5"/>
  <c r="I141" i="5"/>
  <c r="AA87" i="5"/>
  <c r="J116" i="5"/>
  <c r="V129" i="5"/>
  <c r="X140" i="5"/>
  <c r="V150" i="5"/>
  <c r="C100" i="5"/>
  <c r="K121" i="5"/>
  <c r="AB132" i="5"/>
  <c r="F91" i="5"/>
  <c r="P116" i="5"/>
  <c r="N155" i="5"/>
  <c r="AE167" i="5"/>
  <c r="N178" i="5"/>
  <c r="Z187" i="5"/>
  <c r="G197" i="5"/>
  <c r="S2" i="5"/>
  <c r="O155" i="5"/>
  <c r="K167" i="5"/>
  <c r="L177" i="5"/>
  <c r="G186" i="5"/>
  <c r="AF194" i="5"/>
  <c r="P155" i="5"/>
  <c r="N167" i="5"/>
  <c r="M177" i="5"/>
  <c r="H186" i="5"/>
  <c r="C195" i="5"/>
  <c r="C152" i="5"/>
  <c r="W164" i="5"/>
  <c r="AE174" i="5"/>
  <c r="AF150" i="5"/>
  <c r="AD163" i="5"/>
  <c r="M174" i="5"/>
  <c r="I145" i="5"/>
  <c r="Y161" i="5"/>
  <c r="R172" i="5"/>
  <c r="T149" i="5"/>
  <c r="K163" i="5"/>
  <c r="AA173" i="5"/>
  <c r="AF118" i="5"/>
  <c r="Q157" i="5"/>
  <c r="AA168" i="5"/>
  <c r="R143" i="5"/>
  <c r="G161" i="5"/>
  <c r="C172" i="5"/>
  <c r="J140" i="5"/>
  <c r="Q160" i="5"/>
  <c r="O171" i="5"/>
  <c r="AD180" i="5"/>
  <c r="Y189" i="5"/>
  <c r="J148" i="5"/>
  <c r="Y162" i="5"/>
  <c r="L173" i="5"/>
  <c r="J146" i="5"/>
  <c r="D162" i="5"/>
  <c r="Y172" i="5"/>
  <c r="L141" i="5"/>
  <c r="U160" i="5"/>
  <c r="R171" i="5"/>
  <c r="C181" i="5"/>
  <c r="F156" i="5"/>
  <c r="Z167" i="5"/>
  <c r="U146" i="5"/>
  <c r="H162" i="5"/>
  <c r="L56" i="5"/>
  <c r="U87" i="5"/>
  <c r="Z71" i="5"/>
  <c r="F154" i="5"/>
  <c r="M129" i="5"/>
  <c r="C90" i="5"/>
  <c r="L138" i="5"/>
  <c r="N114" i="5"/>
  <c r="M131" i="5"/>
  <c r="AC143" i="5"/>
  <c r="O107" i="5"/>
  <c r="G126" i="5"/>
  <c r="AB137" i="5"/>
  <c r="O149" i="5"/>
  <c r="AD159" i="5"/>
  <c r="Z102" i="5"/>
  <c r="M123" i="5"/>
  <c r="Z136" i="5"/>
  <c r="J147" i="5"/>
  <c r="AF92" i="5"/>
  <c r="AB118" i="5"/>
  <c r="R131" i="5"/>
  <c r="Z141" i="5"/>
  <c r="W90" i="5"/>
  <c r="G117" i="5"/>
  <c r="J130" i="5"/>
  <c r="J141" i="5"/>
  <c r="H151" i="5"/>
  <c r="U101" i="5"/>
  <c r="AF121" i="5"/>
  <c r="D134" i="5"/>
  <c r="R93" i="5"/>
  <c r="I117" i="5"/>
  <c r="J156" i="5"/>
  <c r="T168" i="5"/>
  <c r="AE178" i="5"/>
  <c r="L188" i="5"/>
  <c r="X197" i="5"/>
  <c r="I91" i="5"/>
  <c r="N156" i="5"/>
  <c r="AF167" i="5"/>
  <c r="AC177" i="5"/>
  <c r="X186" i="5"/>
  <c r="U93" i="5"/>
  <c r="O156" i="5"/>
  <c r="C168" i="5"/>
  <c r="AD177" i="5"/>
  <c r="Y186" i="5"/>
  <c r="T195" i="5"/>
  <c r="AD152" i="5"/>
  <c r="M165" i="5"/>
  <c r="T175" i="5"/>
  <c r="E152" i="5"/>
  <c r="X164" i="5"/>
  <c r="AF174" i="5"/>
  <c r="O147" i="5"/>
  <c r="R162" i="5"/>
  <c r="G173" i="5"/>
  <c r="D151" i="5"/>
  <c r="AF163" i="5"/>
  <c r="O174" i="5"/>
  <c r="D125" i="5"/>
  <c r="H158" i="5"/>
  <c r="O169" i="5"/>
  <c r="Y145" i="5"/>
  <c r="AE161" i="5"/>
  <c r="V172" i="5"/>
  <c r="T143" i="5"/>
  <c r="H161" i="5"/>
  <c r="D172" i="5"/>
  <c r="P181" i="5"/>
  <c r="K190" i="5"/>
  <c r="AE149" i="5"/>
  <c r="O163" i="5"/>
  <c r="C174" i="5"/>
  <c r="K148" i="5"/>
  <c r="Z162" i="5"/>
  <c r="M173" i="5"/>
  <c r="E144" i="5"/>
  <c r="N161" i="5"/>
  <c r="G172" i="5"/>
  <c r="E111" i="5"/>
  <c r="C157" i="5"/>
  <c r="N168" i="5"/>
  <c r="R148" i="5"/>
  <c r="AC162" i="5"/>
  <c r="AF52" i="5"/>
  <c r="N93" i="5"/>
  <c r="Y94" i="5"/>
  <c r="AE162" i="5"/>
  <c r="Z138" i="5"/>
  <c r="X94" i="5"/>
  <c r="R140" i="5"/>
  <c r="D116" i="5"/>
  <c r="D132" i="5"/>
  <c r="O144" i="5"/>
  <c r="Q110" i="5"/>
  <c r="AB126" i="5"/>
  <c r="N138" i="5"/>
  <c r="AF149" i="5"/>
  <c r="P160" i="5"/>
  <c r="N104" i="5"/>
  <c r="E124" i="5"/>
  <c r="L137" i="5"/>
  <c r="AA147" i="5"/>
  <c r="H95" i="5"/>
  <c r="V119" i="5"/>
  <c r="G132" i="5"/>
  <c r="AC142" i="5"/>
  <c r="L93" i="5"/>
  <c r="AF117" i="5"/>
  <c r="T131" i="5"/>
  <c r="AA141" i="5"/>
  <c r="Y151" i="5"/>
  <c r="D103" i="5"/>
  <c r="Q123" i="5"/>
  <c r="V134" i="5"/>
  <c r="N95" i="5"/>
  <c r="R88" i="5"/>
  <c r="F157" i="5"/>
  <c r="H169" i="5"/>
  <c r="Q179" i="5"/>
  <c r="AC188" i="5"/>
  <c r="J198" i="5"/>
  <c r="U115" i="5"/>
  <c r="H157" i="5"/>
  <c r="U168" i="5"/>
  <c r="O178" i="5"/>
  <c r="J187" i="5"/>
  <c r="Q116" i="5"/>
  <c r="I157" i="5"/>
  <c r="V168" i="5"/>
  <c r="P178" i="5"/>
  <c r="K187" i="5"/>
  <c r="F196" i="5"/>
  <c r="Z153" i="5"/>
  <c r="E166" i="5"/>
  <c r="J176" i="5"/>
  <c r="AE152" i="5"/>
  <c r="N165" i="5"/>
  <c r="W175" i="5"/>
  <c r="N149" i="5"/>
  <c r="J163" i="5"/>
  <c r="Z173" i="5"/>
  <c r="G152" i="5"/>
  <c r="Z164" i="5"/>
  <c r="F175" i="5"/>
  <c r="O130" i="5"/>
  <c r="AD158" i="5"/>
  <c r="D170" i="5"/>
  <c r="AE147" i="5"/>
  <c r="V162" i="5"/>
  <c r="J173" i="5"/>
  <c r="Z145" i="5"/>
  <c r="AF161" i="5"/>
  <c r="W172" i="5"/>
  <c r="C182" i="5"/>
  <c r="AB190" i="5"/>
  <c r="P151" i="5"/>
  <c r="I164" i="5"/>
  <c r="V174" i="5"/>
  <c r="F150" i="5"/>
  <c r="T163" i="5"/>
  <c r="D174" i="5"/>
  <c r="K146" i="5"/>
  <c r="E162" i="5"/>
  <c r="Z172" i="5"/>
  <c r="M121" i="5"/>
  <c r="Y157" i="5"/>
  <c r="E169" i="5"/>
  <c r="O150" i="5"/>
  <c r="V95" i="5"/>
  <c r="D106" i="5"/>
  <c r="X105" i="5"/>
  <c r="Z171" i="5"/>
  <c r="U147" i="5"/>
  <c r="G107" i="5"/>
  <c r="E141" i="5"/>
  <c r="AC116" i="5"/>
  <c r="AC133" i="5"/>
  <c r="AF144" i="5"/>
  <c r="F112" i="5"/>
  <c r="Q127" i="5"/>
  <c r="D140" i="5"/>
  <c r="R150" i="5"/>
  <c r="T161" i="5"/>
  <c r="C106" i="5"/>
  <c r="AC124" i="5"/>
  <c r="AC137" i="5"/>
  <c r="M148" i="5"/>
  <c r="W96" i="5"/>
  <c r="P120" i="5"/>
  <c r="Z132" i="5"/>
  <c r="O143" i="5"/>
  <c r="I95" i="5"/>
  <c r="AC118" i="5"/>
  <c r="H132" i="5"/>
  <c r="M142" i="5"/>
  <c r="K152" i="5"/>
  <c r="X104" i="5"/>
  <c r="H124" i="5"/>
  <c r="I135" i="5"/>
  <c r="AE96" i="5"/>
  <c r="Y114" i="5"/>
  <c r="AB157" i="5"/>
  <c r="AA169" i="5"/>
  <c r="D180" i="5"/>
  <c r="O189" i="5"/>
  <c r="AA198" i="5"/>
  <c r="AB122" i="5"/>
  <c r="AC157" i="5"/>
  <c r="I169" i="5"/>
  <c r="AF178" i="5"/>
  <c r="AA187" i="5"/>
  <c r="R123" i="5"/>
  <c r="AD157" i="5"/>
  <c r="J169" i="5"/>
  <c r="C179" i="5"/>
  <c r="AB187" i="5"/>
  <c r="W196" i="5"/>
  <c r="Y154" i="5"/>
  <c r="Y166" i="5"/>
  <c r="AB176" i="5"/>
  <c r="AA153" i="5"/>
  <c r="F166" i="5"/>
  <c r="K176" i="5"/>
  <c r="C151" i="5"/>
  <c r="AE163" i="5"/>
  <c r="N174" i="5"/>
  <c r="F153" i="5"/>
  <c r="Q165" i="5"/>
  <c r="Y175" i="5"/>
  <c r="K135" i="5"/>
  <c r="X159" i="5"/>
  <c r="Y170" i="5"/>
  <c r="V149" i="5"/>
  <c r="M163" i="5"/>
  <c r="AC173" i="5"/>
  <c r="AF147" i="5"/>
  <c r="X162" i="5"/>
  <c r="K173" i="5"/>
  <c r="T182" i="5"/>
  <c r="N191" i="5"/>
  <c r="N152" i="5"/>
  <c r="AE164" i="5"/>
  <c r="J175" i="5"/>
  <c r="R151" i="5"/>
  <c r="J164" i="5"/>
  <c r="W174" i="5"/>
  <c r="P148" i="5"/>
  <c r="AA162" i="5"/>
  <c r="P173" i="5"/>
  <c r="F127" i="5"/>
  <c r="O158" i="5"/>
  <c r="X169" i="5"/>
  <c r="X151" i="5"/>
  <c r="N164" i="5"/>
  <c r="Z174" i="5"/>
  <c r="AB183" i="5"/>
  <c r="W192" i="5"/>
  <c r="U110" i="5"/>
  <c r="L83" i="5"/>
  <c r="M79" i="5"/>
  <c r="T100" i="5"/>
  <c r="AF103" i="5"/>
  <c r="F115" i="5"/>
  <c r="V141" i="5"/>
  <c r="U118" i="5"/>
  <c r="P134" i="5"/>
  <c r="R145" i="5"/>
  <c r="J113" i="5"/>
  <c r="I128" i="5"/>
  <c r="U140" i="5"/>
  <c r="E151" i="5"/>
  <c r="F162" i="5"/>
  <c r="P107" i="5"/>
  <c r="AC126" i="5"/>
  <c r="O138" i="5"/>
  <c r="P149" i="5"/>
  <c r="K98" i="5"/>
  <c r="H121" i="5"/>
  <c r="AF133" i="5"/>
  <c r="AF143" i="5"/>
  <c r="AB96" i="5"/>
  <c r="Q120" i="5"/>
  <c r="AA132" i="5"/>
  <c r="AD142" i="5"/>
  <c r="AB152" i="5"/>
  <c r="Z107" i="5"/>
  <c r="AF124" i="5"/>
  <c r="Z135" i="5"/>
  <c r="U98" i="5"/>
  <c r="AA122" i="5"/>
  <c r="V158" i="5"/>
  <c r="O170" i="5"/>
  <c r="U180" i="5"/>
  <c r="AF189" i="5"/>
  <c r="M199" i="5"/>
  <c r="P128" i="5"/>
  <c r="W158" i="5"/>
  <c r="AB169" i="5"/>
  <c r="R179" i="5"/>
  <c r="M188" i="5"/>
  <c r="E129" i="5"/>
  <c r="X158" i="5"/>
  <c r="AC169" i="5"/>
  <c r="T179" i="5"/>
  <c r="N188" i="5"/>
  <c r="I197" i="5"/>
  <c r="T155" i="5"/>
  <c r="O167" i="5"/>
  <c r="N177" i="5"/>
  <c r="Z154" i="5"/>
  <c r="AB166" i="5"/>
  <c r="AC176" i="5"/>
  <c r="F152" i="5"/>
  <c r="Y164" i="5"/>
  <c r="C175" i="5"/>
  <c r="AF153" i="5"/>
  <c r="H166" i="5"/>
  <c r="M176" i="5"/>
  <c r="X139" i="5"/>
  <c r="N160" i="5"/>
  <c r="M171" i="5"/>
  <c r="J151" i="5"/>
  <c r="G164" i="5"/>
  <c r="T174" i="5"/>
  <c r="AD149" i="5"/>
  <c r="N163" i="5"/>
  <c r="AD173" i="5"/>
  <c r="F183" i="5"/>
  <c r="AE191" i="5"/>
  <c r="J153" i="5"/>
  <c r="V165" i="5"/>
  <c r="AC175" i="5"/>
  <c r="R152" i="5"/>
  <c r="AF164" i="5"/>
  <c r="K175" i="5"/>
  <c r="G150" i="5"/>
  <c r="U163" i="5"/>
  <c r="E174" i="5"/>
  <c r="F123" i="5"/>
  <c r="F71" i="5"/>
  <c r="AF104" i="5"/>
  <c r="AF119" i="5"/>
  <c r="W121" i="5"/>
  <c r="AB116" i="5"/>
  <c r="Y142" i="5"/>
  <c r="P119" i="5"/>
  <c r="D135" i="5"/>
  <c r="V146" i="5"/>
  <c r="O114" i="5"/>
  <c r="AC128" i="5"/>
  <c r="G141" i="5"/>
  <c r="V151" i="5"/>
  <c r="W162" i="5"/>
  <c r="D109" i="5"/>
  <c r="U127" i="5"/>
  <c r="AF138" i="5"/>
  <c r="C150" i="5"/>
  <c r="AD99" i="5"/>
  <c r="AD121" i="5"/>
  <c r="T134" i="5"/>
  <c r="R144" i="5"/>
  <c r="L98" i="5"/>
  <c r="I121" i="5"/>
  <c r="O133" i="5"/>
  <c r="P143" i="5"/>
  <c r="N153" i="5"/>
  <c r="N109" i="5"/>
  <c r="V125" i="5"/>
  <c r="L136" i="5"/>
  <c r="D100" i="5"/>
  <c r="N128" i="5"/>
  <c r="L159" i="5"/>
  <c r="D171" i="5"/>
  <c r="G181" i="5"/>
  <c r="R190" i="5"/>
  <c r="AD199" i="5"/>
  <c r="R133" i="5"/>
  <c r="N159" i="5"/>
  <c r="P170" i="5"/>
  <c r="E180" i="5"/>
  <c r="AD188" i="5"/>
  <c r="E134" i="5"/>
  <c r="O159" i="5"/>
  <c r="Q170" i="5"/>
  <c r="F180" i="5"/>
  <c r="AE188" i="5"/>
  <c r="R95" i="5"/>
  <c r="P156" i="5"/>
  <c r="D168" i="5"/>
  <c r="AE177" i="5"/>
  <c r="V155" i="5"/>
  <c r="P167" i="5"/>
  <c r="O177" i="5"/>
  <c r="E153" i="5"/>
  <c r="P165" i="5"/>
  <c r="X175" i="5"/>
  <c r="AB154" i="5"/>
  <c r="AD166" i="5"/>
  <c r="AE176" i="5"/>
  <c r="Q143" i="5"/>
  <c r="F161" i="5"/>
  <c r="AF171" i="5"/>
  <c r="L152" i="5"/>
  <c r="AB164" i="5"/>
  <c r="H175" i="5"/>
  <c r="K151" i="5"/>
  <c r="H164" i="5"/>
  <c r="U174" i="5"/>
  <c r="W183" i="5"/>
  <c r="Q192" i="5"/>
  <c r="I154" i="5"/>
  <c r="O166" i="5"/>
  <c r="Q176" i="5"/>
  <c r="M153" i="5"/>
  <c r="Z165" i="5"/>
  <c r="AD175" i="5"/>
  <c r="T151" i="5"/>
  <c r="K164" i="5"/>
  <c r="X174" i="5"/>
  <c r="AE136" i="5"/>
  <c r="AE159" i="5"/>
  <c r="AE170" i="5"/>
  <c r="Q153" i="5"/>
  <c r="AC165" i="5"/>
  <c r="U133" i="5"/>
  <c r="E82" i="5"/>
  <c r="H122" i="5"/>
  <c r="G131" i="5"/>
  <c r="T132" i="5"/>
  <c r="Y121" i="5"/>
  <c r="X82" i="5"/>
  <c r="J120" i="5"/>
  <c r="G136" i="5"/>
  <c r="H147" i="5"/>
  <c r="K115" i="5"/>
  <c r="Z130" i="5"/>
  <c r="X141" i="5"/>
  <c r="Y152" i="5"/>
  <c r="I163" i="5"/>
  <c r="R110" i="5"/>
  <c r="J128" i="5"/>
  <c r="R139" i="5"/>
  <c r="T150" i="5"/>
  <c r="M101" i="5"/>
  <c r="N123" i="5"/>
  <c r="G135" i="5"/>
  <c r="E145" i="5"/>
  <c r="N101" i="5"/>
  <c r="AE121" i="5"/>
  <c r="C134" i="5"/>
  <c r="C144" i="5"/>
  <c r="Q154" i="5"/>
  <c r="AB110" i="5"/>
  <c r="L126" i="5"/>
  <c r="AC136" i="5"/>
  <c r="W101" i="5"/>
  <c r="Q133" i="5"/>
  <c r="D160" i="5"/>
  <c r="W171" i="5"/>
  <c r="X181" i="5"/>
  <c r="E191" i="5"/>
  <c r="P200" i="5"/>
  <c r="D138" i="5"/>
  <c r="E160" i="5"/>
  <c r="E171" i="5"/>
  <c r="V180" i="5"/>
  <c r="P189" i="5"/>
  <c r="T138" i="5"/>
  <c r="F160" i="5"/>
  <c r="F171" i="5"/>
  <c r="W180" i="5"/>
  <c r="Q189" i="5"/>
  <c r="L117" i="5"/>
  <c r="J157" i="5"/>
  <c r="W168" i="5"/>
  <c r="H97" i="5"/>
  <c r="Q156" i="5"/>
  <c r="E168" i="5"/>
  <c r="AF177" i="5"/>
  <c r="AD153" i="5"/>
  <c r="G166" i="5"/>
  <c r="L176" i="5"/>
  <c r="X155" i="5"/>
  <c r="R167" i="5"/>
  <c r="Q177" i="5"/>
  <c r="X145" i="5"/>
  <c r="AD161" i="5"/>
  <c r="U172" i="5"/>
  <c r="H153" i="5"/>
  <c r="T165" i="5"/>
  <c r="AA175" i="5"/>
  <c r="M152" i="5"/>
  <c r="AD164" i="5"/>
  <c r="I175" i="5"/>
  <c r="I184" i="5"/>
  <c r="D193" i="5"/>
  <c r="E155" i="5"/>
  <c r="D167" i="5"/>
  <c r="E177" i="5"/>
  <c r="J154" i="5"/>
  <c r="P166" i="5"/>
  <c r="R176" i="5"/>
  <c r="T152" i="5"/>
  <c r="C165" i="5"/>
  <c r="L175" i="5"/>
  <c r="M141" i="5"/>
  <c r="V160" i="5"/>
  <c r="T171" i="5"/>
  <c r="M154" i="5"/>
  <c r="T166" i="5"/>
  <c r="V176" i="5"/>
  <c r="Q185" i="5"/>
  <c r="L194" i="5"/>
  <c r="I182" i="5"/>
  <c r="D195" i="5"/>
  <c r="AA204" i="5"/>
  <c r="X184" i="5"/>
  <c r="D197" i="5"/>
  <c r="V2" i="5"/>
  <c r="F187" i="5"/>
  <c r="C199" i="5"/>
  <c r="K159" i="5"/>
  <c r="V189" i="5"/>
  <c r="AA200" i="5"/>
  <c r="T178" i="5"/>
  <c r="D192" i="5"/>
  <c r="U202" i="5"/>
  <c r="U181" i="5"/>
  <c r="R194" i="5"/>
  <c r="O204" i="5"/>
  <c r="U203" i="5"/>
  <c r="Z185" i="5"/>
  <c r="E93" i="5"/>
  <c r="Z100" i="5"/>
  <c r="AE132" i="5"/>
  <c r="M140" i="5"/>
  <c r="T141" i="5"/>
  <c r="J123" i="5"/>
  <c r="Q92" i="5"/>
  <c r="E121" i="5"/>
  <c r="X136" i="5"/>
  <c r="Y147" i="5"/>
  <c r="G116" i="5"/>
  <c r="P131" i="5"/>
  <c r="J142" i="5"/>
  <c r="K153" i="5"/>
  <c r="Z163" i="5"/>
  <c r="P114" i="5"/>
  <c r="AD128" i="5"/>
  <c r="V140" i="5"/>
  <c r="F151" i="5"/>
  <c r="AE102" i="5"/>
  <c r="F124" i="5"/>
  <c r="X135" i="5"/>
  <c r="V145" i="5"/>
  <c r="C103" i="5"/>
  <c r="Y122" i="5"/>
  <c r="U134" i="5"/>
  <c r="T144" i="5"/>
  <c r="D155" i="5"/>
  <c r="O112" i="5"/>
  <c r="D127" i="5"/>
  <c r="O137" i="5"/>
  <c r="K103" i="5"/>
  <c r="C138" i="5"/>
  <c r="AB160" i="5"/>
  <c r="M172" i="5"/>
  <c r="J182" i="5"/>
  <c r="V191" i="5"/>
  <c r="C201" i="5"/>
  <c r="O142" i="5"/>
  <c r="AC160" i="5"/>
  <c r="X171" i="5"/>
  <c r="H181" i="5"/>
  <c r="C190" i="5"/>
  <c r="P142" i="5"/>
  <c r="AD160" i="5"/>
  <c r="AA171" i="5"/>
  <c r="I181" i="5"/>
  <c r="D190" i="5"/>
  <c r="T123" i="5"/>
  <c r="D158" i="5"/>
  <c r="K169" i="5"/>
  <c r="D118" i="5"/>
  <c r="K157" i="5"/>
  <c r="X168" i="5"/>
  <c r="R178" i="5"/>
  <c r="AA154" i="5"/>
  <c r="AC166" i="5"/>
  <c r="I100" i="5"/>
  <c r="T156" i="5"/>
  <c r="G168" i="5"/>
  <c r="D178" i="5"/>
  <c r="AD147" i="5"/>
  <c r="U162" i="5"/>
  <c r="I173" i="5"/>
  <c r="D154" i="5"/>
  <c r="M166" i="5"/>
  <c r="O176" i="5"/>
  <c r="I153" i="5"/>
  <c r="U165" i="5"/>
  <c r="AB175" i="5"/>
  <c r="Z184" i="5"/>
  <c r="U193" i="5"/>
  <c r="AE155" i="5"/>
  <c r="W167" i="5"/>
  <c r="V177" i="5"/>
  <c r="F155" i="5"/>
  <c r="E167" i="5"/>
  <c r="F177" i="5"/>
  <c r="O153" i="5"/>
  <c r="AA165" i="5"/>
  <c r="AE175" i="5"/>
  <c r="F144" i="5"/>
  <c r="O161" i="5"/>
  <c r="H172" i="5"/>
  <c r="L155" i="5"/>
  <c r="T106" i="5"/>
  <c r="AF112" i="5"/>
  <c r="AE141" i="5"/>
  <c r="H149" i="5"/>
  <c r="N150" i="5"/>
  <c r="O125" i="5"/>
  <c r="Z94" i="5"/>
  <c r="K123" i="5"/>
  <c r="AA137" i="5"/>
  <c r="K84" i="5"/>
  <c r="D117" i="5"/>
  <c r="E132" i="5"/>
  <c r="AA142" i="5"/>
  <c r="AB153" i="5"/>
  <c r="L164" i="5"/>
  <c r="M115" i="5"/>
  <c r="T129" i="5"/>
  <c r="H141" i="5"/>
  <c r="W151" i="5"/>
  <c r="Q107" i="5"/>
  <c r="AD124" i="5"/>
  <c r="J136" i="5"/>
  <c r="Y146" i="5"/>
  <c r="V104" i="5"/>
  <c r="O123" i="5"/>
  <c r="H135" i="5"/>
  <c r="W145" i="5"/>
  <c r="U155" i="5"/>
  <c r="T113" i="5"/>
  <c r="X127" i="5"/>
  <c r="AF137" i="5"/>
  <c r="Y104" i="5"/>
  <c r="N142" i="5"/>
  <c r="R161" i="5"/>
  <c r="AF172" i="5"/>
  <c r="AA182" i="5"/>
  <c r="H192" i="5"/>
  <c r="T201" i="5"/>
  <c r="W144" i="5"/>
  <c r="U161" i="5"/>
  <c r="N172" i="5"/>
  <c r="Y181" i="5"/>
  <c r="T190" i="5"/>
  <c r="AE144" i="5"/>
  <c r="V161" i="5"/>
  <c r="O172" i="5"/>
  <c r="Z181" i="5"/>
  <c r="U190" i="5"/>
  <c r="F129" i="5"/>
  <c r="Y158" i="5"/>
  <c r="AD169" i="5"/>
  <c r="L124" i="5"/>
  <c r="E158" i="5"/>
  <c r="L169" i="5"/>
  <c r="E179" i="5"/>
  <c r="W155" i="5"/>
  <c r="Q167" i="5"/>
  <c r="AE118" i="5"/>
  <c r="M157" i="5"/>
  <c r="Z168" i="5"/>
  <c r="U178" i="5"/>
  <c r="U149" i="5"/>
  <c r="L163" i="5"/>
  <c r="AB173" i="5"/>
  <c r="AD154" i="5"/>
  <c r="AF166" i="5"/>
  <c r="C177" i="5"/>
  <c r="H154" i="5"/>
  <c r="N166" i="5"/>
  <c r="P176" i="5"/>
  <c r="L185" i="5"/>
  <c r="N106" i="5"/>
  <c r="AA156" i="5"/>
  <c r="K168" i="5"/>
  <c r="H178" i="5"/>
  <c r="AF155" i="5"/>
  <c r="X167" i="5"/>
  <c r="W177" i="5"/>
  <c r="K154" i="5"/>
  <c r="Q166" i="5"/>
  <c r="T176" i="5"/>
  <c r="L146" i="5"/>
  <c r="G162" i="5"/>
  <c r="AA172" i="5"/>
  <c r="H156" i="5"/>
  <c r="AB119" i="5"/>
  <c r="K73" i="5"/>
  <c r="Z150" i="5"/>
  <c r="C158" i="5"/>
  <c r="Y108" i="5"/>
  <c r="E126" i="5"/>
  <c r="AF97" i="5"/>
  <c r="AF123" i="5"/>
  <c r="M138" i="5"/>
  <c r="I90" i="5"/>
  <c r="Q119" i="5"/>
  <c r="X132" i="5"/>
  <c r="AD143" i="5"/>
  <c r="N154" i="5"/>
  <c r="AC164" i="5"/>
  <c r="H116" i="5"/>
  <c r="H130" i="5"/>
  <c r="Y141" i="5"/>
  <c r="I152" i="5"/>
  <c r="F109" i="5"/>
  <c r="T125" i="5"/>
  <c r="AA136" i="5"/>
  <c r="K147" i="5"/>
  <c r="F106" i="5"/>
  <c r="G124" i="5"/>
  <c r="Y135" i="5"/>
  <c r="I146" i="5"/>
  <c r="G156" i="5"/>
  <c r="W114" i="5"/>
  <c r="M128" i="5"/>
  <c r="R138" i="5"/>
  <c r="L106" i="5"/>
  <c r="V144" i="5"/>
  <c r="J162" i="5"/>
  <c r="U173" i="5"/>
  <c r="M183" i="5"/>
  <c r="Y192" i="5"/>
  <c r="W202" i="5"/>
  <c r="AC146" i="5"/>
  <c r="K162" i="5"/>
  <c r="C173" i="5"/>
  <c r="K182" i="5"/>
  <c r="F191" i="5"/>
  <c r="G147" i="5"/>
  <c r="L162" i="5"/>
  <c r="D173" i="5"/>
  <c r="L182" i="5"/>
  <c r="G191" i="5"/>
  <c r="F134" i="5"/>
  <c r="P159" i="5"/>
  <c r="R170" i="5"/>
  <c r="X129" i="5"/>
  <c r="Z158" i="5"/>
  <c r="AE169" i="5"/>
  <c r="V98" i="5"/>
  <c r="R156" i="5"/>
  <c r="F168" i="5"/>
  <c r="C125" i="5"/>
  <c r="G158" i="5"/>
  <c r="N169" i="5"/>
  <c r="G179" i="5"/>
  <c r="I151" i="5"/>
  <c r="F164" i="5"/>
  <c r="P174" i="5"/>
  <c r="AC155" i="5"/>
  <c r="U167" i="5"/>
  <c r="T177" i="5"/>
  <c r="C155" i="5"/>
  <c r="C167" i="5"/>
  <c r="D177" i="5"/>
  <c r="AC185" i="5"/>
  <c r="T120" i="5"/>
  <c r="U157" i="5"/>
  <c r="AD168" i="5"/>
  <c r="C108" i="5"/>
  <c r="AE156" i="5"/>
  <c r="L168" i="5"/>
  <c r="I178" i="5"/>
  <c r="G155" i="5"/>
  <c r="F167" i="5"/>
  <c r="G177" i="5"/>
  <c r="Q148" i="5"/>
  <c r="AB162" i="5"/>
  <c r="Q112" i="5"/>
  <c r="D157" i="5"/>
  <c r="Q168" i="5"/>
  <c r="L178" i="5"/>
  <c r="G187" i="5"/>
  <c r="AF195" i="5"/>
  <c r="J46" i="5"/>
  <c r="L130" i="5"/>
  <c r="E96" i="5"/>
  <c r="U159" i="5"/>
  <c r="AE73" i="5"/>
  <c r="AD123" i="5"/>
  <c r="O127" i="5"/>
  <c r="T99" i="5"/>
  <c r="X124" i="5"/>
  <c r="AD138" i="5"/>
  <c r="Z92" i="5"/>
  <c r="K120" i="5"/>
  <c r="L133" i="5"/>
  <c r="P144" i="5"/>
  <c r="AE154" i="5"/>
  <c r="Z85" i="5"/>
  <c r="E117" i="5"/>
  <c r="Q131" i="5"/>
  <c r="K142" i="5"/>
  <c r="Z152" i="5"/>
  <c r="Y110" i="5"/>
  <c r="J126" i="5"/>
  <c r="AD137" i="5"/>
  <c r="AB147" i="5"/>
  <c r="X107" i="5"/>
  <c r="AE124" i="5"/>
  <c r="AB136" i="5"/>
  <c r="Z146" i="5"/>
  <c r="X156" i="5"/>
  <c r="K116" i="5"/>
  <c r="D129" i="5"/>
  <c r="E139" i="5"/>
  <c r="AB107" i="5"/>
  <c r="AB146" i="5"/>
  <c r="D163" i="5"/>
  <c r="I174" i="5"/>
  <c r="AD183" i="5"/>
  <c r="AB193" i="5"/>
  <c r="I203" i="5"/>
  <c r="C149" i="5"/>
  <c r="E163" i="5"/>
  <c r="V173" i="5"/>
  <c r="AB182" i="5"/>
  <c r="W191" i="5"/>
  <c r="D149" i="5"/>
  <c r="F163" i="5"/>
  <c r="W173" i="5"/>
  <c r="AC182" i="5"/>
  <c r="X191" i="5"/>
  <c r="U138" i="5"/>
  <c r="J160" i="5"/>
  <c r="G171" i="5"/>
  <c r="W134" i="5"/>
  <c r="Q159" i="5"/>
  <c r="T170" i="5"/>
  <c r="I118" i="5"/>
  <c r="L157" i="5"/>
  <c r="Y168" i="5"/>
  <c r="N130" i="5"/>
  <c r="AC158" i="5"/>
  <c r="C170" i="5"/>
  <c r="X179" i="5"/>
  <c r="J152" i="5"/>
  <c r="AA164" i="5"/>
  <c r="M103" i="5"/>
  <c r="Y156" i="5"/>
  <c r="I168" i="5"/>
  <c r="F178" i="5"/>
  <c r="AD155" i="5"/>
  <c r="V167" i="5"/>
  <c r="U177" i="5"/>
  <c r="O186" i="5"/>
  <c r="M126" i="5"/>
  <c r="L158" i="5"/>
  <c r="U169" i="5"/>
  <c r="U120" i="5"/>
  <c r="V157" i="5"/>
  <c r="AE168" i="5"/>
  <c r="Z178" i="5"/>
  <c r="C156" i="5"/>
  <c r="Y167" i="5"/>
  <c r="X177" i="5"/>
  <c r="AA89" i="5"/>
  <c r="V107" i="5"/>
  <c r="O168" i="5"/>
  <c r="E114" i="5"/>
  <c r="I133" i="5"/>
  <c r="AA128" i="5"/>
  <c r="D101" i="5"/>
  <c r="F126" i="5"/>
  <c r="P139" i="5"/>
  <c r="AA94" i="5"/>
  <c r="F121" i="5"/>
  <c r="AD133" i="5"/>
  <c r="C145" i="5"/>
  <c r="Q155" i="5"/>
  <c r="K90" i="5"/>
  <c r="AD117" i="5"/>
  <c r="F132" i="5"/>
  <c r="AB142" i="5"/>
  <c r="O154" i="5"/>
  <c r="J112" i="5"/>
  <c r="AD126" i="5"/>
  <c r="P138" i="5"/>
  <c r="N148" i="5"/>
  <c r="G109" i="5"/>
  <c r="U125" i="5"/>
  <c r="N137" i="5"/>
  <c r="L147" i="5"/>
  <c r="AF87" i="5"/>
  <c r="H117" i="5"/>
  <c r="W129" i="5"/>
  <c r="V139" i="5"/>
  <c r="Q109" i="5"/>
  <c r="AB148" i="5"/>
  <c r="Y163" i="5"/>
  <c r="AB174" i="5"/>
  <c r="C185" i="5"/>
  <c r="N194" i="5"/>
  <c r="Z203" i="5"/>
  <c r="W150" i="5"/>
  <c r="AA163" i="5"/>
  <c r="J174" i="5"/>
  <c r="N183" i="5"/>
  <c r="I192" i="5"/>
  <c r="X150" i="5"/>
  <c r="AB163" i="5"/>
  <c r="K174" i="5"/>
  <c r="O183" i="5"/>
  <c r="J192" i="5"/>
  <c r="AE142" i="5"/>
  <c r="AE160" i="5"/>
  <c r="AB171" i="5"/>
  <c r="F139" i="5"/>
  <c r="K160" i="5"/>
  <c r="J171" i="5"/>
  <c r="M124" i="5"/>
  <c r="F158" i="5"/>
  <c r="M169" i="5"/>
  <c r="J135" i="5"/>
  <c r="T159" i="5"/>
  <c r="X170" i="5"/>
  <c r="J180" i="5"/>
  <c r="G153" i="5"/>
  <c r="R165" i="5"/>
  <c r="Y119" i="5"/>
  <c r="R157" i="5"/>
  <c r="AB168" i="5"/>
  <c r="Z104" i="5"/>
  <c r="Z156" i="5"/>
  <c r="J168" i="5"/>
  <c r="G178" i="5"/>
  <c r="AF186" i="5"/>
  <c r="V131" i="5"/>
  <c r="C159" i="5"/>
  <c r="I170" i="5"/>
  <c r="N126" i="5"/>
  <c r="M158" i="5"/>
  <c r="V169" i="5"/>
  <c r="R109" i="5"/>
  <c r="AF156" i="5"/>
  <c r="M168" i="5"/>
  <c r="J178" i="5"/>
  <c r="U151" i="5"/>
  <c r="M164" i="5"/>
  <c r="Y127" i="5"/>
  <c r="P158" i="5"/>
  <c r="AD205" i="5"/>
  <c r="K196" i="5"/>
  <c r="Y183" i="5"/>
  <c r="L198" i="5"/>
  <c r="Z201" i="5"/>
  <c r="AD190" i="5"/>
  <c r="AA174" i="5"/>
  <c r="AF199" i="5"/>
  <c r="Q188" i="5"/>
  <c r="L179" i="5"/>
  <c r="F198" i="5"/>
  <c r="AF185" i="5"/>
  <c r="Z205" i="5"/>
  <c r="G196" i="5"/>
  <c r="X182" i="5"/>
  <c r="AA202" i="5"/>
  <c r="Q191" i="5"/>
  <c r="T173" i="5"/>
  <c r="I199" i="5"/>
  <c r="V186" i="5"/>
  <c r="W205" i="5"/>
  <c r="U194" i="5"/>
  <c r="AB180" i="5"/>
  <c r="Q201" i="5"/>
  <c r="Z189" i="5"/>
  <c r="T2" i="5"/>
  <c r="C205" i="5"/>
  <c r="AE192" i="5"/>
  <c r="U176" i="5"/>
  <c r="E199" i="5"/>
  <c r="AB184" i="5"/>
  <c r="G203" i="5"/>
  <c r="N190" i="5"/>
  <c r="W2" i="5"/>
  <c r="F195" i="5"/>
  <c r="AF175" i="5"/>
  <c r="N198" i="5"/>
  <c r="E183" i="5"/>
  <c r="AC201" i="5"/>
  <c r="D187" i="5"/>
  <c r="O195" i="5"/>
  <c r="Y182" i="5"/>
  <c r="F169" i="5"/>
  <c r="K132" i="5"/>
  <c r="P169" i="5"/>
  <c r="W161" i="5"/>
  <c r="P164" i="5"/>
  <c r="N143" i="5"/>
  <c r="P118" i="5"/>
  <c r="U1408" i="1"/>
  <c r="V1408" i="1" s="1"/>
  <c r="U1990" i="1"/>
  <c r="V1990" i="1" s="1"/>
  <c r="U1328" i="1"/>
  <c r="V1328" i="1" s="1"/>
  <c r="U2408" i="1"/>
  <c r="V2408" i="1" s="1"/>
  <c r="U755" i="1"/>
  <c r="V755" i="1" s="1"/>
  <c r="U109" i="1"/>
  <c r="V109" i="1" s="1"/>
  <c r="U1778" i="1"/>
  <c r="V1778" i="1" s="1"/>
  <c r="U220" i="1"/>
  <c r="V220" i="1" s="1"/>
  <c r="U799" i="1"/>
  <c r="V799" i="1" s="1"/>
  <c r="U2336" i="1"/>
  <c r="V2336" i="1" s="1"/>
  <c r="U1942" i="1"/>
  <c r="V1942" i="1" s="1"/>
  <c r="U2144" i="1"/>
  <c r="V2144" i="1" s="1"/>
  <c r="U2535" i="1"/>
  <c r="V2535" i="1" s="1"/>
  <c r="U659" i="1"/>
  <c r="V659" i="1" s="1"/>
  <c r="U1296" i="1"/>
  <c r="V1296" i="1" s="1"/>
  <c r="U2085" i="1"/>
  <c r="V2085" i="1" s="1"/>
  <c r="U1392" i="1"/>
  <c r="V1392" i="1" s="1"/>
  <c r="U930" i="1"/>
  <c r="V930" i="1" s="1"/>
  <c r="U575" i="1"/>
  <c r="V575" i="1" s="1"/>
  <c r="U1786" i="1"/>
  <c r="V1786" i="1" s="1"/>
  <c r="U1400" i="1"/>
  <c r="V1400" i="1" s="1"/>
  <c r="U2424" i="1"/>
  <c r="V2424" i="1" s="1"/>
  <c r="U292" i="1"/>
  <c r="V292" i="1" s="1"/>
  <c r="U707" i="1"/>
  <c r="V707" i="1" s="1"/>
  <c r="U1886" i="1"/>
  <c r="V1886" i="1" s="1"/>
  <c r="U779" i="1"/>
  <c r="V779" i="1" s="1"/>
  <c r="U1894" i="1"/>
  <c r="V1894" i="1" s="1"/>
  <c r="U101" i="1"/>
  <c r="V101" i="1" s="1"/>
  <c r="U1336" i="1"/>
  <c r="V1336" i="1" s="1"/>
  <c r="U787" i="1"/>
  <c r="V787" i="1" s="1"/>
  <c r="U1288" i="1"/>
  <c r="V1288" i="1" s="1"/>
  <c r="U890" i="1"/>
  <c r="V890" i="1" s="1"/>
  <c r="U53" i="1"/>
  <c r="V53" i="1" s="1"/>
  <c r="U1770" i="1"/>
  <c r="V1770" i="1" s="1"/>
  <c r="U651" i="1"/>
  <c r="V651" i="1" s="1"/>
  <c r="U795" i="1"/>
  <c r="V795" i="1" s="1"/>
  <c r="U1654" i="1"/>
  <c r="V1654" i="1" s="1"/>
  <c r="U1416" i="1"/>
  <c r="V1416" i="1" s="1"/>
  <c r="U1424" i="1"/>
  <c r="V1424" i="1" s="1"/>
  <c r="U2527" i="1"/>
  <c r="V2527" i="1" s="1"/>
  <c r="U1686" i="1"/>
  <c r="V1686" i="1" s="1"/>
  <c r="U141" i="1"/>
  <c r="V141" i="1" s="1"/>
  <c r="U2037" i="1"/>
  <c r="V2037" i="1" s="1"/>
  <c r="U37" i="1"/>
  <c r="V37" i="1" s="1"/>
  <c r="U567" i="1"/>
  <c r="V567" i="1" s="1"/>
  <c r="U2029" i="1"/>
  <c r="V2029" i="1" s="1"/>
  <c r="U2061" i="1"/>
  <c r="V2061" i="1" s="1"/>
  <c r="U117" i="1"/>
  <c r="V117" i="1" s="1"/>
  <c r="U1758" i="1"/>
  <c r="V1758" i="1" s="1"/>
  <c r="U1846" i="1"/>
  <c r="V1846" i="1" s="1"/>
  <c r="U1782" i="1"/>
  <c r="V1782" i="1" s="1"/>
  <c r="U699" i="1"/>
  <c r="V699" i="1" s="1"/>
  <c r="U1662" i="1"/>
  <c r="V1662" i="1" s="1"/>
  <c r="U2120" i="1"/>
  <c r="V2120" i="1" s="1"/>
  <c r="U1396" i="1"/>
  <c r="V1396" i="1" s="1"/>
  <c r="U2543" i="1"/>
  <c r="V2543" i="1" s="1"/>
  <c r="U1710" i="1"/>
  <c r="V1710" i="1" s="1"/>
  <c r="U1344" i="1"/>
  <c r="V1344" i="1" s="1"/>
  <c r="U2112" i="1"/>
  <c r="V2112" i="1" s="1"/>
  <c r="U1670" i="1"/>
  <c r="V1670" i="1" s="1"/>
  <c r="U1754" i="1"/>
  <c r="V1754" i="1" s="1"/>
  <c r="U2328" i="1"/>
  <c r="V2328" i="1" s="1"/>
  <c r="U2625" i="1"/>
  <c r="V2625" i="1" s="1"/>
  <c r="U1870" i="1"/>
  <c r="V1870" i="1" s="1"/>
  <c r="U763" i="1"/>
  <c r="V763" i="1" s="1"/>
  <c r="U946" i="1"/>
  <c r="V946" i="1" s="1"/>
  <c r="U2128" i="1"/>
  <c r="V2128" i="1" s="1"/>
  <c r="U1444" i="1"/>
  <c r="V1444" i="1" s="1"/>
  <c r="U1806" i="1"/>
  <c r="V1806" i="1" s="1"/>
  <c r="U1352" i="1"/>
  <c r="V1352" i="1" s="1"/>
  <c r="U29" i="1"/>
  <c r="V29" i="1" s="1"/>
  <c r="U133" i="1"/>
  <c r="V133" i="1" s="1"/>
  <c r="U244" i="1"/>
  <c r="V244" i="1" s="1"/>
  <c r="U1436" i="1"/>
  <c r="V1436" i="1" s="1"/>
  <c r="U1774" i="1"/>
  <c r="V1774" i="1" s="1"/>
  <c r="U747" i="1"/>
  <c r="V747" i="1" s="1"/>
  <c r="U982" i="1"/>
  <c r="V982" i="1" s="1"/>
  <c r="U1428" i="1"/>
  <c r="V1428" i="1" s="1"/>
  <c r="U21" i="1"/>
  <c r="V21" i="1" s="1"/>
  <c r="U236" i="1"/>
  <c r="V236" i="1" s="1"/>
  <c r="U1503" i="1"/>
  <c r="V1503" i="1" s="1"/>
  <c r="U1388" i="1"/>
  <c r="V1388" i="1" s="1"/>
  <c r="U13" i="1"/>
  <c r="V13" i="1" s="1"/>
  <c r="U1694" i="1"/>
  <c r="V1694" i="1" s="1"/>
  <c r="U149" i="1"/>
  <c r="V149" i="1" s="1"/>
  <c r="U45" i="1"/>
  <c r="V45" i="1" s="1"/>
  <c r="U942" i="1"/>
  <c r="V942" i="1" s="1"/>
  <c r="U1798" i="1"/>
  <c r="V1798" i="1" s="1"/>
  <c r="U1479" i="1"/>
  <c r="V1479" i="1" s="1"/>
  <c r="U2069" i="1"/>
  <c r="V2069" i="1" s="1"/>
  <c r="U739" i="1"/>
  <c r="V739" i="1" s="1"/>
  <c r="U667" i="1"/>
  <c r="V667" i="1" s="1"/>
  <c r="U61" i="1"/>
  <c r="V61" i="1" s="1"/>
  <c r="U2077" i="1"/>
  <c r="V2077" i="1" s="1"/>
  <c r="U157" i="1"/>
  <c r="V157" i="1" s="1"/>
  <c r="U2053" i="1"/>
  <c r="V2053" i="1" s="1"/>
  <c r="U1766" i="1"/>
  <c r="V1766" i="1" s="1"/>
  <c r="U966" i="1"/>
  <c r="V966" i="1" s="1"/>
  <c r="U2656" i="1"/>
  <c r="V2656" i="1" s="1"/>
  <c r="U1440" i="1"/>
  <c r="V1440" i="1" s="1"/>
  <c r="U252" i="1"/>
  <c r="V252" i="1" s="1"/>
  <c r="U1854" i="1"/>
  <c r="V1854" i="1" s="1"/>
  <c r="U1412" i="1"/>
  <c r="V1412" i="1" s="1"/>
  <c r="U1878" i="1"/>
  <c r="V1878" i="1" s="1"/>
  <c r="U986" i="1"/>
  <c r="V986" i="1" s="1"/>
  <c r="U2641" i="1"/>
  <c r="V2641" i="1" s="1"/>
  <c r="U683" i="1"/>
  <c r="V683" i="1" s="1"/>
  <c r="U950" i="1"/>
  <c r="V950" i="1" s="1"/>
  <c r="U691" i="1"/>
  <c r="V691" i="1" s="1"/>
  <c r="U1432" i="1"/>
  <c r="V1432" i="1" s="1"/>
  <c r="U1678" i="1"/>
  <c r="V1678" i="1" s="1"/>
  <c r="U974" i="1"/>
  <c r="V974" i="1" s="1"/>
  <c r="U125" i="1"/>
  <c r="V125" i="1" s="1"/>
  <c r="U771" i="1"/>
  <c r="V771" i="1" s="1"/>
  <c r="U958" i="1"/>
  <c r="V958" i="1" s="1"/>
  <c r="U1902" i="1"/>
  <c r="V1902" i="1" s="1"/>
  <c r="U1420" i="1"/>
  <c r="V1420" i="1" s="1"/>
  <c r="U69" i="1"/>
  <c r="V69" i="1" s="1"/>
  <c r="U803" i="1"/>
  <c r="V803" i="1" s="1"/>
  <c r="U1862" i="1"/>
  <c r="V1862" i="1" s="1"/>
  <c r="U2519" i="1"/>
  <c r="V2519" i="1" s="1"/>
  <c r="U2633" i="1"/>
  <c r="V2633" i="1" s="1"/>
  <c r="U1304" i="1"/>
  <c r="V1304" i="1" s="1"/>
  <c r="U1702" i="1"/>
  <c r="V1702" i="1" s="1"/>
  <c r="U1718" i="1"/>
  <c r="V1718" i="1" s="1"/>
  <c r="U978" i="1"/>
  <c r="V978" i="1" s="1"/>
  <c r="U1021" i="1"/>
  <c r="V1021" i="1" s="1"/>
  <c r="U559" i="1"/>
  <c r="V559" i="1" s="1"/>
  <c r="U2045" i="1"/>
  <c r="V2045" i="1" s="1"/>
  <c r="U2649" i="1"/>
  <c r="V2649" i="1" s="1"/>
  <c r="U1312" i="1"/>
  <c r="V1312" i="1" s="1"/>
  <c r="U2021" i="1"/>
  <c r="V2021" i="1" s="1"/>
  <c r="U1958" i="1"/>
  <c r="V1958" i="1" s="1"/>
  <c r="U1320" i="1"/>
  <c r="V1320" i="1" s="1"/>
</calcChain>
</file>

<file path=xl/sharedStrings.xml><?xml version="1.0" encoding="utf-8"?>
<sst xmlns="http://schemas.openxmlformats.org/spreadsheetml/2006/main" count="2853" uniqueCount="58">
  <si>
    <t>Ticker</t>
  </si>
  <si>
    <t>연도</t>
  </si>
  <si>
    <t>월</t>
  </si>
  <si>
    <t>임시</t>
  </si>
  <si>
    <t>Ex-Dividend Date</t>
  </si>
  <si>
    <t>Dividend</t>
  </si>
  <si>
    <t>Payment Date</t>
  </si>
  <si>
    <t>Yield</t>
  </si>
  <si>
    <t>Increased Rate</t>
  </si>
  <si>
    <t>Div Change</t>
  </si>
  <si>
    <t>임시2</t>
  </si>
  <si>
    <t>현재가치 배당금</t>
  </si>
  <si>
    <t>배당수익률</t>
  </si>
  <si>
    <t>연평균배당</t>
  </si>
  <si>
    <t>5년산술평균</t>
  </si>
  <si>
    <t>배당성장률</t>
  </si>
  <si>
    <t>5년기하평균</t>
  </si>
  <si>
    <t>배당금 변화</t>
  </si>
  <si>
    <t>배당금 변화율</t>
  </si>
  <si>
    <t>JNJ</t>
  </si>
  <si>
    <t>요구수익률</t>
  </si>
  <si>
    <t>X</t>
  </si>
  <si>
    <t>gi</t>
  </si>
  <si>
    <t>ki</t>
  </si>
  <si>
    <t>고든계수</t>
  </si>
  <si>
    <t>HRL</t>
  </si>
  <si>
    <t>EMR</t>
  </si>
  <si>
    <t>CAT</t>
  </si>
  <si>
    <t>PG</t>
  </si>
  <si>
    <t>SWK</t>
  </si>
  <si>
    <t>ADP</t>
  </si>
  <si>
    <t>PH</t>
  </si>
  <si>
    <t>BKH</t>
  </si>
  <si>
    <t>NFG</t>
  </si>
  <si>
    <t>LOW</t>
  </si>
  <si>
    <t>ATO</t>
  </si>
  <si>
    <t>CVX</t>
  </si>
  <si>
    <t>CWT</t>
  </si>
  <si>
    <t>LEG</t>
  </si>
  <si>
    <t>ITW</t>
  </si>
  <si>
    <t>DOV</t>
  </si>
  <si>
    <t>TGT</t>
  </si>
  <si>
    <t>XOM</t>
  </si>
  <si>
    <t>PPG</t>
  </si>
  <si>
    <t>WBA</t>
  </si>
  <si>
    <t>ABT</t>
  </si>
  <si>
    <t>APD</t>
  </si>
  <si>
    <t>GPC</t>
  </si>
  <si>
    <t>ABM</t>
  </si>
  <si>
    <t>GD</t>
  </si>
  <si>
    <t>TNC</t>
  </si>
  <si>
    <t>ADM</t>
  </si>
  <si>
    <t>AOS</t>
  </si>
  <si>
    <t>BEN</t>
  </si>
  <si>
    <t/>
  </si>
  <si>
    <t>연도</t>
    <phoneticPr fontId="3" type="noConversion"/>
  </si>
  <si>
    <t>연도2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</si>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</sst>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Calibri"/>
      <family val="2"/>
      <scheme val="minor"/>
    </font>
    <font>
      <b/>
      <sz val="11"/>
      <color theme="1"/>
      <name val="Malgun Gothic"/>
      <family val="3"/>
      <charset val="129"/>
    </font>
    <font>
      <b/>
      <sz val="11"/>
      <color theme="1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</cellXfs>
  <cellStyles count="1">
    <cellStyle name="표준" xfId="0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10"/>
  <sheetViews>
    <sheetView tabSelected="1" zoomScale="70" zoomScaleNormal="70" workbookViewId="0">
      <pane ySplit="1" topLeftCell="A2" activePane="bottomLeft" state="frozen"/>
      <selection pane="bottomLeft" activeCell="G4" sqref="G4"/>
    </sheetView>
  </sheetViews>
  <sheetFormatPr defaultColWidth="14.44140625" defaultRowHeight="15" customHeight="1"/>
  <cols>
    <col min="1" max="3" width="8.77734375" style="4" customWidth="1"/>
    <col min="4" max="4" width="12.44140625" style="21" bestFit="1" customWidth="1"/>
    <col min="5" max="5" width="20" style="4" bestFit="1" customWidth="1"/>
    <col min="6" max="6" width="10.21875" style="4" bestFit="1" customWidth="1"/>
    <col min="7" max="7" width="14.44140625" style="18" bestFit="1" customWidth="1"/>
    <col min="8" max="8" width="9" style="4" customWidth="1"/>
    <col min="9" max="9" width="14.77734375" bestFit="1" customWidth="1"/>
    <col min="10" max="10" width="11.5546875" customWidth="1"/>
    <col min="11" max="12" width="8.77734375" style="4" customWidth="1"/>
    <col min="13" max="13" width="10.21875" style="21" bestFit="1" customWidth="1"/>
    <col min="14" max="14" width="17.44140625" bestFit="1" customWidth="1"/>
    <col min="15" max="15" width="12.21875" bestFit="1" customWidth="1"/>
    <col min="16" max="16" width="7.6640625" bestFit="1" customWidth="1"/>
    <col min="17" max="17" width="12.21875" bestFit="1" customWidth="1"/>
    <col min="18" max="18" width="13.5546875" bestFit="1" customWidth="1"/>
    <col min="19" max="19" width="12.21875" bestFit="1" customWidth="1"/>
    <col min="20" max="20" width="13.5546875" customWidth="1"/>
    <col min="21" max="21" width="12.21875" customWidth="1"/>
    <col min="22" max="22" width="9.6640625" style="27" customWidth="1"/>
    <col min="23" max="23" width="13.44140625" bestFit="1" customWidth="1"/>
    <col min="24" max="24" width="15.109375" bestFit="1" customWidth="1"/>
  </cols>
  <sheetData>
    <row r="1" spans="1:24" s="1" customFormat="1" ht="16.5" customHeight="1">
      <c r="A1" s="8" t="s">
        <v>0</v>
      </c>
      <c r="B1" s="8" t="s">
        <v>1</v>
      </c>
      <c r="C1" s="8" t="s">
        <v>2</v>
      </c>
      <c r="D1" s="8" t="s">
        <v>3</v>
      </c>
      <c r="E1" s="11" t="s">
        <v>4</v>
      </c>
      <c r="F1" s="8" t="s">
        <v>5</v>
      </c>
      <c r="G1" s="17" t="s">
        <v>6</v>
      </c>
      <c r="H1" s="8" t="s">
        <v>7</v>
      </c>
      <c r="I1" s="8" t="s">
        <v>8</v>
      </c>
      <c r="J1" s="8" t="s">
        <v>9</v>
      </c>
      <c r="K1" s="19" t="s">
        <v>57</v>
      </c>
      <c r="L1" s="7" t="s">
        <v>56</v>
      </c>
      <c r="M1" s="8" t="s">
        <v>10</v>
      </c>
      <c r="N1" s="8" t="s">
        <v>11</v>
      </c>
      <c r="O1" s="8" t="s">
        <v>12</v>
      </c>
      <c r="P1" s="8" t="s">
        <v>57</v>
      </c>
      <c r="Q1" s="8" t="s">
        <v>13</v>
      </c>
      <c r="R1" s="12" t="s">
        <v>14</v>
      </c>
      <c r="S1" s="8" t="s">
        <v>15</v>
      </c>
      <c r="T1" s="13" t="s">
        <v>16</v>
      </c>
      <c r="U1" s="13"/>
      <c r="V1" s="24"/>
      <c r="W1" s="8" t="s">
        <v>17</v>
      </c>
      <c r="X1" s="8" t="s">
        <v>18</v>
      </c>
    </row>
    <row r="2" spans="1:24" ht="16.5" customHeight="1">
      <c r="A2" s="3" t="s">
        <v>19</v>
      </c>
      <c r="B2" s="3">
        <f t="shared" ref="B2:B256" si="0">YEAR(E2)</f>
        <v>2022</v>
      </c>
      <c r="C2" s="3">
        <f t="shared" ref="C2:C256" si="1">MONTH(E2)</f>
        <v>11</v>
      </c>
      <c r="D2" s="20" t="str">
        <f t="shared" ref="D2:D256" si="2">A2&amp;B2&amp;C2</f>
        <v>JNJ202211</v>
      </c>
      <c r="E2" s="2">
        <v>44886</v>
      </c>
      <c r="F2" s="3">
        <v>1.1299999999999999</v>
      </c>
      <c r="G2" s="2">
        <v>44901</v>
      </c>
      <c r="H2" s="3">
        <v>2.58E-2</v>
      </c>
      <c r="I2" s="3">
        <v>0</v>
      </c>
      <c r="J2" s="3">
        <v>0</v>
      </c>
      <c r="K2" s="3">
        <f t="shared" ref="K2:K256" si="3">IF(YEAR(E2)=YEAR(E3),YEAR(E2),0)</f>
        <v>2022</v>
      </c>
      <c r="L2" s="3">
        <f t="shared" ref="L2:L256" si="4">IF(K2=0,K1,0)</f>
        <v>0</v>
      </c>
      <c r="M2" s="20" t="str">
        <f>A2&amp;L2</f>
        <v>JNJ0</v>
      </c>
      <c r="N2" s="3">
        <f>F2</f>
        <v>1.1299999999999999</v>
      </c>
      <c r="O2" s="9">
        <f>H2</f>
        <v>2.58E-2</v>
      </c>
      <c r="P2" s="10">
        <f t="shared" ref="P2:P256" si="5">IF(S2&gt;0,SUM(O2:O5)/4,0)</f>
        <v>0</v>
      </c>
      <c r="Q2" s="3">
        <v>0</v>
      </c>
      <c r="R2" s="23" t="s">
        <v>12</v>
      </c>
      <c r="S2" s="10">
        <f>IF(A2=A3,(N2-N3)/N3,0)</f>
        <v>0</v>
      </c>
      <c r="T2" s="22" t="s">
        <v>15</v>
      </c>
      <c r="U2" s="22" t="s">
        <v>20</v>
      </c>
      <c r="V2" s="25"/>
      <c r="W2" s="3">
        <f>IF(A2=A3,N2-N3,0)</f>
        <v>0</v>
      </c>
      <c r="X2" s="10">
        <f>IF(A2=A3,(N2-N3)/N3,0)</f>
        <v>0</v>
      </c>
    </row>
    <row r="3" spans="1:24" ht="16.5" customHeight="1">
      <c r="A3" s="3" t="s">
        <v>19</v>
      </c>
      <c r="B3" s="3">
        <f t="shared" si="0"/>
        <v>2022</v>
      </c>
      <c r="C3" s="3">
        <f t="shared" si="1"/>
        <v>8</v>
      </c>
      <c r="D3" s="20" t="str">
        <f t="shared" si="2"/>
        <v>JNJ20228</v>
      </c>
      <c r="E3" s="2">
        <v>44795</v>
      </c>
      <c r="F3" s="3">
        <v>1.1299999999999999</v>
      </c>
      <c r="G3" s="2">
        <v>44810</v>
      </c>
      <c r="H3" s="3">
        <v>2.6700000000000002E-2</v>
      </c>
      <c r="I3" s="3">
        <v>0</v>
      </c>
      <c r="J3" s="3">
        <v>0</v>
      </c>
      <c r="K3" s="3">
        <f t="shared" si="3"/>
        <v>2022</v>
      </c>
      <c r="L3" s="3">
        <f t="shared" si="4"/>
        <v>0</v>
      </c>
      <c r="M3" s="20" t="str">
        <f>A3&amp;L3</f>
        <v>JNJ0</v>
      </c>
      <c r="N3" s="3">
        <f>F3</f>
        <v>1.1299999999999999</v>
      </c>
      <c r="O3" s="9">
        <f>H3</f>
        <v>2.6700000000000002E-2</v>
      </c>
      <c r="P3" s="10">
        <f t="shared" si="5"/>
        <v>0</v>
      </c>
      <c r="Q3" s="3">
        <v>0</v>
      </c>
      <c r="R3" s="9" t="s">
        <v>21</v>
      </c>
      <c r="S3" s="10">
        <f>IF(A3=A4,(N3-N4)/N4,0)</f>
        <v>0</v>
      </c>
      <c r="T3" s="22" t="s">
        <v>22</v>
      </c>
      <c r="U3" s="22" t="s">
        <v>23</v>
      </c>
      <c r="V3" s="24" t="s">
        <v>24</v>
      </c>
      <c r="W3" s="3">
        <f>IF(A3=A4,N3-N4,0)</f>
        <v>0</v>
      </c>
      <c r="X3" s="10">
        <f>IF(A3=A4,(N3-N4)/N4,0)</f>
        <v>0</v>
      </c>
    </row>
    <row r="4" spans="1:24" ht="16.5" customHeight="1">
      <c r="A4" s="3" t="s">
        <v>19</v>
      </c>
      <c r="B4" s="3">
        <f t="shared" si="0"/>
        <v>2022</v>
      </c>
      <c r="C4" s="3">
        <f t="shared" si="1"/>
        <v>5</v>
      </c>
      <c r="D4" s="20" t="str">
        <f t="shared" si="2"/>
        <v>JNJ20225</v>
      </c>
      <c r="E4" s="2">
        <v>44704</v>
      </c>
      <c r="F4" s="3">
        <v>1.1299999999999999</v>
      </c>
      <c r="G4" s="2">
        <v>44719</v>
      </c>
      <c r="H4" s="3">
        <v>2.5499999999999998E-2</v>
      </c>
      <c r="I4" s="3">
        <v>6.6037736E-2</v>
      </c>
      <c r="J4" s="3">
        <v>7.0000000000000007E-2</v>
      </c>
      <c r="K4" s="3">
        <f t="shared" si="3"/>
        <v>2022</v>
      </c>
      <c r="L4" s="3">
        <f t="shared" si="4"/>
        <v>0</v>
      </c>
      <c r="M4" s="20" t="str">
        <f>A4&amp;L4</f>
        <v>JNJ0</v>
      </c>
      <c r="N4" s="3">
        <f>F4</f>
        <v>1.1299999999999999</v>
      </c>
      <c r="O4" s="9">
        <f>H4</f>
        <v>2.5499999999999998E-2</v>
      </c>
      <c r="P4" s="10">
        <f t="shared" si="5"/>
        <v>2.5149999999999999E-2</v>
      </c>
      <c r="Q4" s="3">
        <v>0</v>
      </c>
      <c r="R4" s="9"/>
      <c r="S4" s="10">
        <f>IF(A4=A5,(N4-N5)/N5,0)</f>
        <v>6.603773584905645E-2</v>
      </c>
      <c r="T4" s="10"/>
      <c r="U4" s="10"/>
      <c r="V4" s="25"/>
      <c r="W4" s="3">
        <f>IF(A4=A5,N4-N5,0)</f>
        <v>6.999999999999984E-2</v>
      </c>
      <c r="X4" s="10">
        <f>IF(A4=A5,(N4-N5)/N5,0)</f>
        <v>6.603773584905645E-2</v>
      </c>
    </row>
    <row r="5" spans="1:24" ht="16.5" customHeight="1">
      <c r="A5" s="3" t="s">
        <v>19</v>
      </c>
      <c r="B5" s="3">
        <f t="shared" si="0"/>
        <v>2022</v>
      </c>
      <c r="C5" s="3">
        <f t="shared" si="1"/>
        <v>2</v>
      </c>
      <c r="D5" s="20" t="str">
        <f t="shared" si="2"/>
        <v>JNJ20222</v>
      </c>
      <c r="E5" s="2">
        <v>44610</v>
      </c>
      <c r="F5" s="3">
        <v>1.06</v>
      </c>
      <c r="G5" s="2">
        <v>44628</v>
      </c>
      <c r="H5" s="3">
        <v>2.5499999999999998E-2</v>
      </c>
      <c r="I5" s="3">
        <v>0</v>
      </c>
      <c r="J5" s="3">
        <v>0</v>
      </c>
      <c r="K5" s="3">
        <f t="shared" si="3"/>
        <v>0</v>
      </c>
      <c r="L5" s="3">
        <f t="shared" si="4"/>
        <v>2022</v>
      </c>
      <c r="M5" s="20" t="str">
        <f>A5&amp;L5</f>
        <v>JNJ2022</v>
      </c>
      <c r="N5" s="3">
        <f>F5</f>
        <v>1.06</v>
      </c>
      <c r="O5" s="9">
        <f>H5</f>
        <v>2.5499999999999998E-2</v>
      </c>
      <c r="P5" s="10">
        <f t="shared" si="5"/>
        <v>0</v>
      </c>
      <c r="Q5" s="10">
        <f>IF(K5=0,IF(A2=A5,AVERAGE(O2:O5),"x"),0)</f>
        <v>2.5874999999999999E-2</v>
      </c>
      <c r="R5" s="9">
        <f>IF(L5&gt;2005,AVERAGE(O2:O21),0)</f>
        <v>2.6355E-2</v>
      </c>
      <c r="S5" s="10">
        <f>IF(A5=A6,(N5-N6)/N6,0)</f>
        <v>0</v>
      </c>
      <c r="T5" s="10">
        <f>IF(L5&gt;2005,(((N5-N25)/N25)+1)^(1/5)-1,0)</f>
        <v>5.7896488705653448E-2</v>
      </c>
      <c r="U5" s="10">
        <f t="shared" ref="U5:U259" si="6">IF(T5&gt;0,R5+T5,0)</f>
        <v>8.4251488705653452E-2</v>
      </c>
      <c r="V5" s="26">
        <f t="shared" ref="V5:V259" si="7">IF(U5&gt;0,(1+T5)*(1-((1+T5)/(1+U5))^5)/(U5-T5),0)</f>
        <v>4.6469969872558661</v>
      </c>
      <c r="W5" s="3">
        <f>IF(A5=A6,N5-N6,0)</f>
        <v>0</v>
      </c>
      <c r="X5" s="10">
        <f>IF(A5=A6,(N5-N6)/N6,0)</f>
        <v>0</v>
      </c>
    </row>
    <row r="6" spans="1:24" ht="16.5" customHeight="1">
      <c r="A6" s="3" t="s">
        <v>19</v>
      </c>
      <c r="B6" s="3">
        <f t="shared" si="0"/>
        <v>2021</v>
      </c>
      <c r="C6" s="3">
        <f t="shared" si="1"/>
        <v>11</v>
      </c>
      <c r="D6" s="20" t="str">
        <f t="shared" si="2"/>
        <v>JNJ202111</v>
      </c>
      <c r="E6" s="2">
        <v>44522</v>
      </c>
      <c r="F6" s="3">
        <v>1.06</v>
      </c>
      <c r="G6" s="2">
        <v>44537</v>
      </c>
      <c r="H6" s="3">
        <v>2.5999999999999999E-2</v>
      </c>
      <c r="I6" s="3">
        <v>0</v>
      </c>
      <c r="J6" s="3">
        <v>0</v>
      </c>
      <c r="K6" s="3">
        <f t="shared" si="3"/>
        <v>2021</v>
      </c>
      <c r="L6" s="3">
        <f t="shared" si="4"/>
        <v>0</v>
      </c>
      <c r="M6" s="20" t="str">
        <f>A6&amp;L6</f>
        <v>JNJ0</v>
      </c>
      <c r="N6" s="3">
        <f>F6</f>
        <v>1.06</v>
      </c>
      <c r="O6" s="9">
        <f>H6</f>
        <v>2.5999999999999999E-2</v>
      </c>
      <c r="P6" s="10">
        <f t="shared" si="5"/>
        <v>0</v>
      </c>
      <c r="Q6" s="10">
        <f>IF(K6=0,IF(A3=A6,AVERAGE(O3:O6),"x"),0)</f>
        <v>0</v>
      </c>
      <c r="R6" s="9">
        <f>IF(L6&gt;2005,AVERAGE(O3:O22),0)</f>
        <v>0</v>
      </c>
      <c r="S6" s="10">
        <f>IF(A6=A7,(N6-N7)/N7,0)</f>
        <v>0</v>
      </c>
      <c r="T6" s="10">
        <f>IF(L6&gt;2005,(((N6-N26)/N26)+1)^(1/5)-1,0)</f>
        <v>0</v>
      </c>
      <c r="U6" s="10">
        <f t="shared" si="6"/>
        <v>0</v>
      </c>
      <c r="V6" s="26">
        <f t="shared" si="7"/>
        <v>0</v>
      </c>
      <c r="W6" s="3">
        <f>IF(A6=A7,N6-N7,0)</f>
        <v>0</v>
      </c>
      <c r="X6" s="10">
        <f>IF(A6=A7,(N6-N7)/N7,0)</f>
        <v>0</v>
      </c>
    </row>
    <row r="7" spans="1:24" ht="16.5" customHeight="1">
      <c r="A7" s="3" t="s">
        <v>19</v>
      </c>
      <c r="B7" s="3">
        <f t="shared" si="0"/>
        <v>2021</v>
      </c>
      <c r="C7" s="3">
        <f t="shared" si="1"/>
        <v>8</v>
      </c>
      <c r="D7" s="20" t="str">
        <f t="shared" si="2"/>
        <v>JNJ20218</v>
      </c>
      <c r="E7" s="2">
        <v>44431</v>
      </c>
      <c r="F7" s="3">
        <v>1.06</v>
      </c>
      <c r="G7" s="2">
        <v>44446</v>
      </c>
      <c r="H7" s="3">
        <v>2.3599999999999999E-2</v>
      </c>
      <c r="I7" s="3">
        <v>0</v>
      </c>
      <c r="J7" s="3">
        <v>0</v>
      </c>
      <c r="K7" s="3">
        <f t="shared" si="3"/>
        <v>2021</v>
      </c>
      <c r="L7" s="3">
        <f t="shared" si="4"/>
        <v>0</v>
      </c>
      <c r="M7" s="20" t="str">
        <f>A7&amp;L7</f>
        <v>JNJ0</v>
      </c>
      <c r="N7" s="3">
        <f>F7</f>
        <v>1.06</v>
      </c>
      <c r="O7" s="9">
        <f>H7</f>
        <v>2.3599999999999999E-2</v>
      </c>
      <c r="P7" s="10">
        <f t="shared" si="5"/>
        <v>0</v>
      </c>
      <c r="Q7" s="10">
        <f>IF(K7=0,IF(A4=A7,AVERAGE(O4:O7),"x"),0)</f>
        <v>0</v>
      </c>
      <c r="R7" s="9">
        <f>IF(L7&gt;2005,AVERAGE(O4:O23),0)</f>
        <v>0</v>
      </c>
      <c r="S7" s="10">
        <f>IF(A7=A8,(N7-N8)/N8,0)</f>
        <v>0</v>
      </c>
      <c r="T7" s="10">
        <f>IF(L7&gt;2005,(((N7-N27)/N27)+1)^(1/5)-1,0)</f>
        <v>0</v>
      </c>
      <c r="U7" s="10">
        <f t="shared" si="6"/>
        <v>0</v>
      </c>
      <c r="V7" s="26">
        <f t="shared" si="7"/>
        <v>0</v>
      </c>
      <c r="W7" s="3">
        <f>IF(A7=A8,N7-N8,0)</f>
        <v>0</v>
      </c>
      <c r="X7" s="10">
        <f>IF(A7=A8,(N7-N8)/N8,0)</f>
        <v>0</v>
      </c>
    </row>
    <row r="8" spans="1:24" ht="16.5" customHeight="1">
      <c r="A8" s="3" t="s">
        <v>19</v>
      </c>
      <c r="B8" s="3">
        <f t="shared" si="0"/>
        <v>2021</v>
      </c>
      <c r="C8" s="3">
        <f t="shared" si="1"/>
        <v>5</v>
      </c>
      <c r="D8" s="20" t="str">
        <f t="shared" si="2"/>
        <v>JNJ20215</v>
      </c>
      <c r="E8" s="2">
        <v>44340</v>
      </c>
      <c r="F8" s="3">
        <v>1.06</v>
      </c>
      <c r="G8" s="2">
        <v>44355</v>
      </c>
      <c r="H8" s="3">
        <v>2.4799999999999999E-2</v>
      </c>
      <c r="I8" s="3">
        <v>4.9504949999999999E-2</v>
      </c>
      <c r="J8" s="3">
        <v>0.05</v>
      </c>
      <c r="K8" s="3">
        <f t="shared" si="3"/>
        <v>2021</v>
      </c>
      <c r="L8" s="3">
        <f t="shared" si="4"/>
        <v>0</v>
      </c>
      <c r="M8" s="20" t="str">
        <f>A8&amp;L8</f>
        <v>JNJ0</v>
      </c>
      <c r="N8" s="3">
        <f>F8</f>
        <v>1.06</v>
      </c>
      <c r="O8" s="9">
        <f>H8</f>
        <v>2.4799999999999999E-2</v>
      </c>
      <c r="P8" s="10">
        <f t="shared" si="5"/>
        <v>2.5899999999999999E-2</v>
      </c>
      <c r="Q8" s="10">
        <f>IF(K8=0,IF(A5=A8,AVERAGE(O5:O8),"x"),0)</f>
        <v>0</v>
      </c>
      <c r="R8" s="9">
        <f>IF(L8&gt;2005,AVERAGE(O5:O24),0)</f>
        <v>0</v>
      </c>
      <c r="S8" s="10">
        <f>IF(A8=A9,(N8-N9)/N9,0)</f>
        <v>4.9504950495049549E-2</v>
      </c>
      <c r="T8" s="10">
        <f>IF(L8&gt;2005,(((N8-N28)/N28)+1)^(1/5)-1,0)</f>
        <v>0</v>
      </c>
      <c r="U8" s="10">
        <f t="shared" si="6"/>
        <v>0</v>
      </c>
      <c r="V8" s="26">
        <f t="shared" si="7"/>
        <v>0</v>
      </c>
      <c r="W8" s="3">
        <f>IF(A8=A9,N8-N9,0)</f>
        <v>5.0000000000000044E-2</v>
      </c>
      <c r="X8" s="10">
        <f>IF(A8=A9,(N8-N9)/N9,0)</f>
        <v>4.9504950495049549E-2</v>
      </c>
    </row>
    <row r="9" spans="1:24" ht="16.5" customHeight="1">
      <c r="A9" s="3" t="s">
        <v>19</v>
      </c>
      <c r="B9" s="3">
        <f t="shared" si="0"/>
        <v>2021</v>
      </c>
      <c r="C9" s="3">
        <f t="shared" si="1"/>
        <v>2</v>
      </c>
      <c r="D9" s="20" t="str">
        <f t="shared" si="2"/>
        <v>JNJ20212</v>
      </c>
      <c r="E9" s="2">
        <v>44249</v>
      </c>
      <c r="F9" s="3">
        <v>1.01</v>
      </c>
      <c r="G9" s="2">
        <v>44264</v>
      </c>
      <c r="H9" s="3">
        <v>2.4799999999999999E-2</v>
      </c>
      <c r="I9" s="3">
        <v>0</v>
      </c>
      <c r="J9" s="3">
        <v>0</v>
      </c>
      <c r="K9" s="3">
        <f t="shared" si="3"/>
        <v>0</v>
      </c>
      <c r="L9" s="3">
        <f t="shared" si="4"/>
        <v>2021</v>
      </c>
      <c r="M9" s="20" t="str">
        <f>A9&amp;L9</f>
        <v>JNJ2021</v>
      </c>
      <c r="N9" s="3">
        <f>F9</f>
        <v>1.01</v>
      </c>
      <c r="O9" s="9">
        <f>H9</f>
        <v>2.4799999999999999E-2</v>
      </c>
      <c r="P9" s="10">
        <f t="shared" si="5"/>
        <v>0</v>
      </c>
      <c r="Q9" s="10">
        <f>IF(K9=0,IF(A6=A9,AVERAGE(O6:O9),"x"),0)</f>
        <v>2.4799999999999999E-2</v>
      </c>
      <c r="R9" s="9">
        <f>IF(L9&gt;2005,AVERAGE(O6:O25),0)</f>
        <v>2.6294999999999995E-2</v>
      </c>
      <c r="S9" s="10">
        <f>IF(A9=A10,(N9-N10)/N10,0)</f>
        <v>0</v>
      </c>
      <c r="T9" s="10">
        <f>IF(L9&gt;2005,(((N9-N29)/N29)+1)^(1/5)-1,0)</f>
        <v>6.1333865429709977E-2</v>
      </c>
      <c r="U9" s="10">
        <f t="shared" si="6"/>
        <v>8.7628865429709976E-2</v>
      </c>
      <c r="V9" s="26">
        <f t="shared" si="7"/>
        <v>4.6488334021138771</v>
      </c>
      <c r="W9" s="3">
        <f>IF(A9=A10,N9-N10,0)</f>
        <v>0</v>
      </c>
      <c r="X9" s="10">
        <f>IF(A9=A10,(N9-N10)/N10,0)</f>
        <v>0</v>
      </c>
    </row>
    <row r="10" spans="1:24" ht="16.5" customHeight="1">
      <c r="A10" s="3" t="s">
        <v>19</v>
      </c>
      <c r="B10" s="3">
        <f t="shared" si="0"/>
        <v>2020</v>
      </c>
      <c r="C10" s="3">
        <f t="shared" si="1"/>
        <v>11</v>
      </c>
      <c r="D10" s="20" t="str">
        <f t="shared" si="2"/>
        <v>JNJ202011</v>
      </c>
      <c r="E10" s="2">
        <v>44158</v>
      </c>
      <c r="F10" s="3">
        <v>1.01</v>
      </c>
      <c r="G10" s="2">
        <v>44173</v>
      </c>
      <c r="H10" s="3">
        <v>2.76E-2</v>
      </c>
      <c r="I10" s="3">
        <v>0</v>
      </c>
      <c r="J10" s="3">
        <v>0</v>
      </c>
      <c r="K10" s="3">
        <f t="shared" si="3"/>
        <v>2020</v>
      </c>
      <c r="L10" s="3">
        <f t="shared" si="4"/>
        <v>0</v>
      </c>
      <c r="M10" s="20" t="str">
        <f>A10&amp;L10</f>
        <v>JNJ0</v>
      </c>
      <c r="N10" s="3">
        <f>F10</f>
        <v>1.01</v>
      </c>
      <c r="O10" s="9">
        <f>H10</f>
        <v>2.76E-2</v>
      </c>
      <c r="P10" s="10">
        <f t="shared" si="5"/>
        <v>0</v>
      </c>
      <c r="Q10" s="10">
        <f>IF(K10=0,IF(A7=A10,AVERAGE(O7:O10),"x"),0)</f>
        <v>0</v>
      </c>
      <c r="R10" s="9">
        <f>IF(L10&gt;2005,AVERAGE(O7:O26),0)</f>
        <v>0</v>
      </c>
      <c r="S10" s="10">
        <f>IF(A10=A11,(N10-N11)/N11,0)</f>
        <v>0</v>
      </c>
      <c r="T10" s="10">
        <f>IF(L10&gt;2005,(((N10-N30)/N30)+1)^(1/5)-1,0)</f>
        <v>0</v>
      </c>
      <c r="U10" s="10">
        <f t="shared" si="6"/>
        <v>0</v>
      </c>
      <c r="V10" s="26">
        <f t="shared" si="7"/>
        <v>0</v>
      </c>
      <c r="W10" s="3">
        <f>IF(A10=A11,N10-N11,0)</f>
        <v>0</v>
      </c>
      <c r="X10" s="10">
        <f>IF(A10=A11,(N10-N11)/N11,0)</f>
        <v>0</v>
      </c>
    </row>
    <row r="11" spans="1:24" ht="16.5" customHeight="1">
      <c r="A11" s="3" t="s">
        <v>19</v>
      </c>
      <c r="B11" s="3">
        <f t="shared" si="0"/>
        <v>2020</v>
      </c>
      <c r="C11" s="3">
        <f t="shared" si="1"/>
        <v>8</v>
      </c>
      <c r="D11" s="20" t="str">
        <f t="shared" si="2"/>
        <v>JNJ20208</v>
      </c>
      <c r="E11" s="2">
        <v>44067</v>
      </c>
      <c r="F11" s="3">
        <v>1.01</v>
      </c>
      <c r="G11" s="2">
        <v>44082</v>
      </c>
      <c r="H11" s="3">
        <v>2.64E-2</v>
      </c>
      <c r="I11" s="3">
        <v>0</v>
      </c>
      <c r="J11" s="3">
        <v>0</v>
      </c>
      <c r="K11" s="3">
        <f t="shared" si="3"/>
        <v>2020</v>
      </c>
      <c r="L11" s="3">
        <f t="shared" si="4"/>
        <v>0</v>
      </c>
      <c r="M11" s="20" t="str">
        <f>A11&amp;L11</f>
        <v>JNJ0</v>
      </c>
      <c r="N11" s="3">
        <f>F11</f>
        <v>1.01</v>
      </c>
      <c r="O11" s="9">
        <f>H11</f>
        <v>2.64E-2</v>
      </c>
      <c r="P11" s="10">
        <f t="shared" si="5"/>
        <v>0</v>
      </c>
      <c r="Q11" s="10">
        <f>IF(K11=0,IF(A8=A11,AVERAGE(O8:O11),"x"),0)</f>
        <v>0</v>
      </c>
      <c r="R11" s="9">
        <f>IF(L11&gt;2005,AVERAGE(O8:O27),0)</f>
        <v>0</v>
      </c>
      <c r="S11" s="10">
        <f>IF(A11=A12,(N11-N12)/N12,0)</f>
        <v>0</v>
      </c>
      <c r="T11" s="10">
        <f>IF(L11&gt;2005,(((N11-N31)/N31)+1)^(1/5)-1,0)</f>
        <v>0</v>
      </c>
      <c r="U11" s="10">
        <f t="shared" si="6"/>
        <v>0</v>
      </c>
      <c r="V11" s="26">
        <f t="shared" si="7"/>
        <v>0</v>
      </c>
      <c r="W11" s="3">
        <f>IF(A11=A12,N11-N12,0)</f>
        <v>0</v>
      </c>
      <c r="X11" s="10">
        <f>IF(A11=A12,(N11-N12)/N12,0)</f>
        <v>0</v>
      </c>
    </row>
    <row r="12" spans="1:24" ht="16.5" customHeight="1">
      <c r="A12" s="3" t="s">
        <v>19</v>
      </c>
      <c r="B12" s="3">
        <f t="shared" si="0"/>
        <v>2020</v>
      </c>
      <c r="C12" s="3">
        <f t="shared" si="1"/>
        <v>5</v>
      </c>
      <c r="D12" s="20" t="str">
        <f t="shared" si="2"/>
        <v>JNJ20205</v>
      </c>
      <c r="E12" s="2">
        <v>43973</v>
      </c>
      <c r="F12" s="3">
        <v>1.01</v>
      </c>
      <c r="G12" s="2">
        <v>43991</v>
      </c>
      <c r="H12" s="3">
        <v>2.75E-2</v>
      </c>
      <c r="I12" s="3">
        <v>6.3157895000000006E-2</v>
      </c>
      <c r="J12" s="3">
        <v>0.06</v>
      </c>
      <c r="K12" s="3">
        <f t="shared" si="3"/>
        <v>2020</v>
      </c>
      <c r="L12" s="3">
        <f t="shared" si="4"/>
        <v>0</v>
      </c>
      <c r="M12" s="20" t="str">
        <f>A12&amp;L12</f>
        <v>JNJ0</v>
      </c>
      <c r="N12" s="3">
        <f>F12</f>
        <v>1.01</v>
      </c>
      <c r="O12" s="9">
        <f>H12</f>
        <v>2.75E-2</v>
      </c>
      <c r="P12" s="10">
        <f t="shared" si="5"/>
        <v>2.7525000000000001E-2</v>
      </c>
      <c r="Q12" s="10">
        <f>IF(K12=0,IF(A9=A12,AVERAGE(O9:O12),"x"),0)</f>
        <v>0</v>
      </c>
      <c r="R12" s="9">
        <f>IF(L12&gt;2005,AVERAGE(O9:O28),0)</f>
        <v>0</v>
      </c>
      <c r="S12" s="10">
        <f>IF(A12=A13,(N12-N13)/N13,0)</f>
        <v>6.3157894736842163E-2</v>
      </c>
      <c r="T12" s="10">
        <f>IF(L12&gt;2005,(((N12-N32)/N32)+1)^(1/5)-1,0)</f>
        <v>0</v>
      </c>
      <c r="U12" s="10">
        <f t="shared" si="6"/>
        <v>0</v>
      </c>
      <c r="V12" s="26">
        <f t="shared" si="7"/>
        <v>0</v>
      </c>
      <c r="W12" s="3">
        <f>IF(A12=A13,N12-N13,0)</f>
        <v>6.0000000000000053E-2</v>
      </c>
      <c r="X12" s="10">
        <f>IF(A12=A13,(N12-N13)/N13,0)</f>
        <v>6.3157894736842163E-2</v>
      </c>
    </row>
    <row r="13" spans="1:24" ht="16.5" customHeight="1">
      <c r="A13" s="3" t="s">
        <v>19</v>
      </c>
      <c r="B13" s="3">
        <f t="shared" si="0"/>
        <v>2020</v>
      </c>
      <c r="C13" s="3">
        <f t="shared" si="1"/>
        <v>2</v>
      </c>
      <c r="D13" s="20" t="str">
        <f t="shared" si="2"/>
        <v>JNJ20202</v>
      </c>
      <c r="E13" s="2">
        <v>43885</v>
      </c>
      <c r="F13" s="3">
        <v>0.95</v>
      </c>
      <c r="G13" s="2">
        <v>43900</v>
      </c>
      <c r="H13" s="3">
        <v>2.53E-2</v>
      </c>
      <c r="I13" s="3">
        <v>0</v>
      </c>
      <c r="J13" s="3">
        <v>0</v>
      </c>
      <c r="K13" s="3">
        <f t="shared" si="3"/>
        <v>0</v>
      </c>
      <c r="L13" s="3">
        <f t="shared" si="4"/>
        <v>2020</v>
      </c>
      <c r="M13" s="20" t="str">
        <f>A13&amp;L13</f>
        <v>JNJ2020</v>
      </c>
      <c r="N13" s="3">
        <f>F13</f>
        <v>0.95</v>
      </c>
      <c r="O13" s="9">
        <f>H13</f>
        <v>2.53E-2</v>
      </c>
      <c r="P13" s="10">
        <f t="shared" si="5"/>
        <v>0</v>
      </c>
      <c r="Q13" s="10">
        <f>IF(K13=0,IF(A10=A13,AVERAGE(O10:O13),"x"),0)</f>
        <v>2.6700000000000002E-2</v>
      </c>
      <c r="R13" s="9">
        <f>IF(L13&gt;2005,AVERAGE(O10:O29),0)</f>
        <v>2.6895000000000002E-2</v>
      </c>
      <c r="S13" s="10">
        <f>IF(A13=A14,(N13-N14)/N14,0)</f>
        <v>0</v>
      </c>
      <c r="T13" s="10">
        <f>IF(L13&gt;2005,(((N13-N33)/N33)+1)^(1/5)-1,0)</f>
        <v>6.2980048262344379E-2</v>
      </c>
      <c r="U13" s="10">
        <f t="shared" si="6"/>
        <v>8.9875048262344381E-2</v>
      </c>
      <c r="V13" s="26">
        <f t="shared" si="7"/>
        <v>4.6417989183276793</v>
      </c>
      <c r="W13" s="3">
        <f>IF(A13=A14,N13-N14,0)</f>
        <v>0</v>
      </c>
      <c r="X13" s="10">
        <f>IF(A13=A14,(N13-N14)/N14,0)</f>
        <v>0</v>
      </c>
    </row>
    <row r="14" spans="1:24" ht="16.5" customHeight="1">
      <c r="A14" s="3" t="s">
        <v>19</v>
      </c>
      <c r="B14" s="3">
        <f t="shared" si="0"/>
        <v>2019</v>
      </c>
      <c r="C14" s="3">
        <f t="shared" si="1"/>
        <v>11</v>
      </c>
      <c r="D14" s="20" t="str">
        <f t="shared" si="2"/>
        <v>JNJ201911</v>
      </c>
      <c r="E14" s="2">
        <v>43794</v>
      </c>
      <c r="F14" s="3">
        <v>0.95</v>
      </c>
      <c r="G14" s="2">
        <v>43809</v>
      </c>
      <c r="H14" s="3">
        <v>2.75E-2</v>
      </c>
      <c r="I14" s="3">
        <v>0</v>
      </c>
      <c r="J14" s="3">
        <v>0</v>
      </c>
      <c r="K14" s="3">
        <f t="shared" si="3"/>
        <v>2019</v>
      </c>
      <c r="L14" s="3">
        <f t="shared" si="4"/>
        <v>0</v>
      </c>
      <c r="M14" s="20" t="str">
        <f>A14&amp;L14</f>
        <v>JNJ0</v>
      </c>
      <c r="N14" s="3">
        <f>F14</f>
        <v>0.95</v>
      </c>
      <c r="O14" s="9">
        <f>H14</f>
        <v>2.75E-2</v>
      </c>
      <c r="P14" s="10">
        <f t="shared" si="5"/>
        <v>0</v>
      </c>
      <c r="Q14" s="10">
        <f>IF(K14=0,IF(A11=A14,AVERAGE(O11:O14),"x"),0)</f>
        <v>0</v>
      </c>
      <c r="R14" s="9">
        <f>IF(L14&gt;2005,AVERAGE(O11:O30),0)</f>
        <v>0</v>
      </c>
      <c r="S14" s="10">
        <f>IF(A14=A15,(N14-N15)/N15,0)</f>
        <v>0</v>
      </c>
      <c r="T14" s="10">
        <f>IF(L14&gt;2005,(((N14-N34)/N34)+1)^(1/5)-1,0)</f>
        <v>0</v>
      </c>
      <c r="U14" s="10">
        <f t="shared" si="6"/>
        <v>0</v>
      </c>
      <c r="V14" s="26">
        <f t="shared" si="7"/>
        <v>0</v>
      </c>
      <c r="W14" s="3">
        <f>IF(A14=A15,N14-N15,0)</f>
        <v>0</v>
      </c>
      <c r="X14" s="10">
        <f>IF(A14=A15,(N14-N15)/N15,0)</f>
        <v>0</v>
      </c>
    </row>
    <row r="15" spans="1:24" ht="16.5" customHeight="1">
      <c r="A15" s="3" t="s">
        <v>19</v>
      </c>
      <c r="B15" s="3">
        <f t="shared" si="0"/>
        <v>2019</v>
      </c>
      <c r="C15" s="3">
        <f t="shared" si="1"/>
        <v>8</v>
      </c>
      <c r="D15" s="20" t="str">
        <f t="shared" si="2"/>
        <v>JNJ20198</v>
      </c>
      <c r="E15" s="2">
        <v>43703</v>
      </c>
      <c r="F15" s="3">
        <v>0.95</v>
      </c>
      <c r="G15" s="2">
        <v>43718</v>
      </c>
      <c r="H15" s="3">
        <v>2.98E-2</v>
      </c>
      <c r="I15" s="3">
        <v>0</v>
      </c>
      <c r="J15" s="3">
        <v>0</v>
      </c>
      <c r="K15" s="3">
        <f t="shared" si="3"/>
        <v>2019</v>
      </c>
      <c r="L15" s="3">
        <f t="shared" si="4"/>
        <v>0</v>
      </c>
      <c r="M15" s="20" t="str">
        <f>A15&amp;L15</f>
        <v>JNJ0</v>
      </c>
      <c r="N15" s="3">
        <f>F15</f>
        <v>0.95</v>
      </c>
      <c r="O15" s="9">
        <f>H15</f>
        <v>2.98E-2</v>
      </c>
      <c r="P15" s="10">
        <f t="shared" si="5"/>
        <v>0</v>
      </c>
      <c r="Q15" s="10">
        <f>IF(K15=0,IF(A12=A15,AVERAGE(O12:O15),"x"),0)</f>
        <v>0</v>
      </c>
      <c r="R15" s="9">
        <f>IF(L15&gt;2005,AVERAGE(O12:O31),0)</f>
        <v>0</v>
      </c>
      <c r="S15" s="10">
        <f>IF(A15=A16,(N15-N16)/N16,0)</f>
        <v>0</v>
      </c>
      <c r="T15" s="10">
        <f>IF(L15&gt;2005,(((N15-N35)/N35)+1)^(1/5)-1,0)</f>
        <v>0</v>
      </c>
      <c r="U15" s="10">
        <f t="shared" si="6"/>
        <v>0</v>
      </c>
      <c r="V15" s="26">
        <f t="shared" si="7"/>
        <v>0</v>
      </c>
      <c r="W15" s="3">
        <f>IF(A15=A16,N15-N16,0)</f>
        <v>0</v>
      </c>
      <c r="X15" s="10">
        <f>IF(A15=A16,(N15-N16)/N16,0)</f>
        <v>0</v>
      </c>
    </row>
    <row r="16" spans="1:24" ht="16.5" customHeight="1">
      <c r="A16" s="3" t="s">
        <v>19</v>
      </c>
      <c r="B16" s="3">
        <f t="shared" si="0"/>
        <v>2019</v>
      </c>
      <c r="C16" s="3">
        <f t="shared" si="1"/>
        <v>5</v>
      </c>
      <c r="D16" s="20" t="str">
        <f t="shared" si="2"/>
        <v>JNJ20195</v>
      </c>
      <c r="E16" s="2">
        <v>43609</v>
      </c>
      <c r="F16" s="3">
        <v>0.95</v>
      </c>
      <c r="G16" s="2">
        <v>43627</v>
      </c>
      <c r="H16" s="3">
        <v>2.7199999999999998E-2</v>
      </c>
      <c r="I16" s="3">
        <v>5.5555555999999999E-2</v>
      </c>
      <c r="J16" s="3">
        <v>0.05</v>
      </c>
      <c r="K16" s="3">
        <f t="shared" si="3"/>
        <v>2019</v>
      </c>
      <c r="L16" s="3">
        <f t="shared" si="4"/>
        <v>0</v>
      </c>
      <c r="M16" s="20" t="str">
        <f>A16&amp;L16</f>
        <v>JNJ0</v>
      </c>
      <c r="N16" s="3">
        <f>F16</f>
        <v>0.95</v>
      </c>
      <c r="O16" s="9">
        <f>H16</f>
        <v>2.7199999999999998E-2</v>
      </c>
      <c r="P16" s="10">
        <f t="shared" si="5"/>
        <v>2.6349999999999998E-2</v>
      </c>
      <c r="Q16" s="10">
        <f>IF(K16=0,IF(A13=A16,AVERAGE(O13:O16),"x"),0)</f>
        <v>0</v>
      </c>
      <c r="R16" s="9">
        <f>IF(L16&gt;2005,AVERAGE(O13:O32),0)</f>
        <v>0</v>
      </c>
      <c r="S16" s="10">
        <f>IF(A16=A17,(N16-N17)/N17,0)</f>
        <v>5.5555555555555483E-2</v>
      </c>
      <c r="T16" s="10">
        <f>IF(L16&gt;2005,(((N16-N36)/N36)+1)^(1/5)-1,0)</f>
        <v>0</v>
      </c>
      <c r="U16" s="10">
        <f t="shared" si="6"/>
        <v>0</v>
      </c>
      <c r="V16" s="26">
        <f t="shared" si="7"/>
        <v>0</v>
      </c>
      <c r="W16" s="3">
        <f>IF(A16=A17,N16-N17,0)</f>
        <v>4.9999999999999933E-2</v>
      </c>
      <c r="X16" s="10">
        <f>IF(A16=A17,(N16-N17)/N17,0)</f>
        <v>5.5555555555555483E-2</v>
      </c>
    </row>
    <row r="17" spans="1:24" ht="16.5" customHeight="1">
      <c r="A17" s="3" t="s">
        <v>19</v>
      </c>
      <c r="B17" s="3">
        <f t="shared" si="0"/>
        <v>2019</v>
      </c>
      <c r="C17" s="3">
        <f t="shared" si="1"/>
        <v>2</v>
      </c>
      <c r="D17" s="20" t="str">
        <f t="shared" si="2"/>
        <v>JNJ20192</v>
      </c>
      <c r="E17" s="2">
        <v>43521</v>
      </c>
      <c r="F17" s="3">
        <v>0.9</v>
      </c>
      <c r="G17" s="2">
        <v>43536</v>
      </c>
      <c r="H17" s="3">
        <v>2.64E-2</v>
      </c>
      <c r="I17" s="3">
        <v>0</v>
      </c>
      <c r="J17" s="3">
        <v>0</v>
      </c>
      <c r="K17" s="3">
        <f t="shared" si="3"/>
        <v>0</v>
      </c>
      <c r="L17" s="3">
        <f t="shared" si="4"/>
        <v>2019</v>
      </c>
      <c r="M17" s="20" t="str">
        <f>A17&amp;L17</f>
        <v>JNJ2019</v>
      </c>
      <c r="N17" s="3">
        <f>F17</f>
        <v>0.9</v>
      </c>
      <c r="O17" s="9">
        <f>H17</f>
        <v>2.64E-2</v>
      </c>
      <c r="P17" s="10">
        <f t="shared" si="5"/>
        <v>0</v>
      </c>
      <c r="Q17" s="10">
        <f>IF(K17=0,IF(A14=A17,AVERAGE(O14:O17),"x"),0)</f>
        <v>2.7725E-2</v>
      </c>
      <c r="R17" s="9">
        <f>IF(L17&gt;2005,AVERAGE(O14:O33),0)</f>
        <v>2.7229999999999997E-2</v>
      </c>
      <c r="S17" s="10">
        <f>IF(A17=A18,(N17-N18)/N18,0)</f>
        <v>0</v>
      </c>
      <c r="T17" s="10">
        <f>IF(L17&gt;2005,(((N17-N37)/N37)+1)^(1/5)-1,0)</f>
        <v>6.3995312815083638E-2</v>
      </c>
      <c r="U17" s="10">
        <f t="shared" si="6"/>
        <v>9.1225312815083642E-2</v>
      </c>
      <c r="V17" s="26">
        <f t="shared" si="7"/>
        <v>4.637918886922785</v>
      </c>
      <c r="W17" s="3">
        <f>IF(A17=A18,N17-N18,0)</f>
        <v>0</v>
      </c>
      <c r="X17" s="10">
        <f>IF(A17=A18,(N17-N18)/N18,0)</f>
        <v>0</v>
      </c>
    </row>
    <row r="18" spans="1:24" ht="16.5" customHeight="1">
      <c r="A18" s="3" t="s">
        <v>19</v>
      </c>
      <c r="B18" s="3">
        <f t="shared" si="0"/>
        <v>2018</v>
      </c>
      <c r="C18" s="3">
        <f t="shared" si="1"/>
        <v>11</v>
      </c>
      <c r="D18" s="20" t="str">
        <f t="shared" si="2"/>
        <v>JNJ201811</v>
      </c>
      <c r="E18" s="2">
        <v>43430</v>
      </c>
      <c r="F18" s="3">
        <v>0.9</v>
      </c>
      <c r="G18" s="2">
        <v>43445</v>
      </c>
      <c r="H18" s="3">
        <v>2.53E-2</v>
      </c>
      <c r="I18" s="3">
        <v>0</v>
      </c>
      <c r="J18" s="3">
        <v>0</v>
      </c>
      <c r="K18" s="3">
        <f t="shared" si="3"/>
        <v>2018</v>
      </c>
      <c r="L18" s="3">
        <f t="shared" si="4"/>
        <v>0</v>
      </c>
      <c r="M18" s="20" t="str">
        <f>A18&amp;L18</f>
        <v>JNJ0</v>
      </c>
      <c r="N18" s="3">
        <f>F18</f>
        <v>0.9</v>
      </c>
      <c r="O18" s="9">
        <f>H18</f>
        <v>2.53E-2</v>
      </c>
      <c r="P18" s="10">
        <f t="shared" si="5"/>
        <v>0</v>
      </c>
      <c r="Q18" s="10">
        <f>IF(K18=0,IF(A15=A18,AVERAGE(O15:O18),"x"),0)</f>
        <v>0</v>
      </c>
      <c r="R18" s="9">
        <f>IF(L18&gt;2005,AVERAGE(O15:O34),0)</f>
        <v>0</v>
      </c>
      <c r="S18" s="10">
        <f>IF(A18=A19,(N18-N19)/N19,0)</f>
        <v>0</v>
      </c>
      <c r="T18" s="10">
        <f>IF(L18&gt;2005,(((N18-N38)/N38)+1)^(1/5)-1,0)</f>
        <v>0</v>
      </c>
      <c r="U18" s="10">
        <f t="shared" si="6"/>
        <v>0</v>
      </c>
      <c r="V18" s="26">
        <f t="shared" si="7"/>
        <v>0</v>
      </c>
      <c r="W18" s="3">
        <f>IF(A18=A19,N18-N19,0)</f>
        <v>0</v>
      </c>
      <c r="X18" s="10">
        <f>IF(A18=A19,(N18-N19)/N19,0)</f>
        <v>0</v>
      </c>
    </row>
    <row r="19" spans="1:24" ht="16.5" customHeight="1">
      <c r="A19" s="3" t="s">
        <v>19</v>
      </c>
      <c r="B19" s="3">
        <f t="shared" si="0"/>
        <v>2018</v>
      </c>
      <c r="C19" s="3">
        <f t="shared" si="1"/>
        <v>8</v>
      </c>
      <c r="D19" s="20" t="str">
        <f t="shared" si="2"/>
        <v>JNJ20188</v>
      </c>
      <c r="E19" s="2">
        <v>43339</v>
      </c>
      <c r="F19" s="3">
        <v>0.9</v>
      </c>
      <c r="G19" s="2">
        <v>43354</v>
      </c>
      <c r="H19" s="3">
        <v>2.6499999999999999E-2</v>
      </c>
      <c r="I19" s="3">
        <v>0</v>
      </c>
      <c r="J19" s="3">
        <v>0</v>
      </c>
      <c r="K19" s="3">
        <f t="shared" si="3"/>
        <v>2018</v>
      </c>
      <c r="L19" s="3">
        <f t="shared" si="4"/>
        <v>0</v>
      </c>
      <c r="M19" s="20" t="str">
        <f>A19&amp;L19</f>
        <v>JNJ0</v>
      </c>
      <c r="N19" s="3">
        <f>F19</f>
        <v>0.9</v>
      </c>
      <c r="O19" s="9">
        <f>H19</f>
        <v>2.6499999999999999E-2</v>
      </c>
      <c r="P19" s="10">
        <f t="shared" si="5"/>
        <v>0</v>
      </c>
      <c r="Q19" s="10">
        <f>IF(K19=0,IF(A16=A19,AVERAGE(O16:O19),"x"),0)</f>
        <v>0</v>
      </c>
      <c r="R19" s="9">
        <f>IF(L19&gt;2005,AVERAGE(O16:O35),0)</f>
        <v>0</v>
      </c>
      <c r="S19" s="10">
        <f>IF(A19=A20,(N19-N20)/N20,0)</f>
        <v>0</v>
      </c>
      <c r="T19" s="10">
        <f>IF(L19&gt;2005,(((N19-N39)/N39)+1)^(1/5)-1,0)</f>
        <v>0</v>
      </c>
      <c r="U19" s="10">
        <f t="shared" si="6"/>
        <v>0</v>
      </c>
      <c r="V19" s="26">
        <f t="shared" si="7"/>
        <v>0</v>
      </c>
      <c r="W19" s="3">
        <f>IF(A19=A20,N19-N20,0)</f>
        <v>0</v>
      </c>
      <c r="X19" s="10">
        <f>IF(A19=A20,(N19-N20)/N20,0)</f>
        <v>0</v>
      </c>
    </row>
    <row r="20" spans="1:24" ht="16.5" customHeight="1">
      <c r="A20" s="3" t="s">
        <v>19</v>
      </c>
      <c r="B20" s="3">
        <f t="shared" si="0"/>
        <v>2018</v>
      </c>
      <c r="C20" s="3">
        <f t="shared" si="1"/>
        <v>5</v>
      </c>
      <c r="D20" s="20" t="str">
        <f t="shared" si="2"/>
        <v>JNJ20185</v>
      </c>
      <c r="E20" s="2">
        <v>43245</v>
      </c>
      <c r="F20" s="3">
        <v>0.9</v>
      </c>
      <c r="G20" s="2">
        <v>43263</v>
      </c>
      <c r="H20" s="3">
        <v>2.9399999999999999E-2</v>
      </c>
      <c r="I20" s="3">
        <v>7.1428570999999996E-2</v>
      </c>
      <c r="J20" s="3">
        <v>0.06</v>
      </c>
      <c r="K20" s="3">
        <f t="shared" si="3"/>
        <v>2018</v>
      </c>
      <c r="L20" s="3">
        <f t="shared" si="4"/>
        <v>0</v>
      </c>
      <c r="M20" s="20" t="str">
        <f>A20&amp;L20</f>
        <v>JNJ0</v>
      </c>
      <c r="N20" s="3">
        <f>F20</f>
        <v>0.9</v>
      </c>
      <c r="O20" s="9">
        <f>H20</f>
        <v>2.9399999999999999E-2</v>
      </c>
      <c r="P20" s="10">
        <f t="shared" si="5"/>
        <v>2.6124999999999999E-2</v>
      </c>
      <c r="Q20" s="10">
        <f>IF(K20=0,IF(A17=A20,AVERAGE(O17:O20),"x"),0)</f>
        <v>0</v>
      </c>
      <c r="R20" s="9">
        <f>IF(L20&gt;2005,AVERAGE(O17:O36),0)</f>
        <v>0</v>
      </c>
      <c r="S20" s="10">
        <f>IF(A20=A21,(N20-N21)/N21,0)</f>
        <v>7.1428571428571494E-2</v>
      </c>
      <c r="T20" s="10">
        <f>IF(L20&gt;2005,(((N20-N40)/N40)+1)^(1/5)-1,0)</f>
        <v>0</v>
      </c>
      <c r="U20" s="10">
        <f t="shared" si="6"/>
        <v>0</v>
      </c>
      <c r="V20" s="26">
        <f t="shared" si="7"/>
        <v>0</v>
      </c>
      <c r="W20" s="3">
        <f>IF(A20=A21,N20-N21,0)</f>
        <v>6.0000000000000053E-2</v>
      </c>
      <c r="X20" s="10">
        <f>IF(A20=A21,(N20-N21)/N21,0)</f>
        <v>7.1428571428571494E-2</v>
      </c>
    </row>
    <row r="21" spans="1:24" ht="16.5" customHeight="1">
      <c r="A21" s="3" t="s">
        <v>19</v>
      </c>
      <c r="B21" s="3">
        <f t="shared" si="0"/>
        <v>2018</v>
      </c>
      <c r="C21" s="3">
        <f t="shared" si="1"/>
        <v>2</v>
      </c>
      <c r="D21" s="20" t="str">
        <f t="shared" si="2"/>
        <v>JNJ20182</v>
      </c>
      <c r="E21" s="2">
        <v>43157</v>
      </c>
      <c r="F21" s="3">
        <v>0.84</v>
      </c>
      <c r="G21" s="2">
        <v>43172</v>
      </c>
      <c r="H21" s="3">
        <v>2.5499999999999998E-2</v>
      </c>
      <c r="I21" s="3">
        <v>0</v>
      </c>
      <c r="J21" s="3">
        <v>0</v>
      </c>
      <c r="K21" s="3">
        <f t="shared" si="3"/>
        <v>0</v>
      </c>
      <c r="L21" s="3">
        <f t="shared" si="4"/>
        <v>2018</v>
      </c>
      <c r="M21" s="20" t="str">
        <f>A21&amp;L21</f>
        <v>JNJ2018</v>
      </c>
      <c r="N21" s="3">
        <f>F21</f>
        <v>0.84</v>
      </c>
      <c r="O21" s="9">
        <f>H21</f>
        <v>2.5499999999999998E-2</v>
      </c>
      <c r="P21" s="10">
        <f t="shared" si="5"/>
        <v>0</v>
      </c>
      <c r="Q21" s="10">
        <f>IF(K21=0,IF(A18=A21,AVERAGE(O18:O21),"x"),0)</f>
        <v>2.6674999999999997E-2</v>
      </c>
      <c r="R21" s="9">
        <f>IF(L21&gt;2005,AVERAGE(O18:O37),0)</f>
        <v>2.7019999999999995E-2</v>
      </c>
      <c r="S21" s="10">
        <f>IF(A21=A22,(N21-N22)/N22,0)</f>
        <v>0</v>
      </c>
      <c r="T21" s="10">
        <f>IF(L21&gt;2005,(((N21-N41)/N41)+1)^(1/5)-1,0)</f>
        <v>6.6080231448029991E-2</v>
      </c>
      <c r="U21" s="10">
        <f t="shared" si="6"/>
        <v>9.310023144802998E-2</v>
      </c>
      <c r="V21" s="26">
        <f t="shared" si="7"/>
        <v>4.6412156756296206</v>
      </c>
      <c r="W21" s="3">
        <f>IF(A21=A22,N21-N22,0)</f>
        <v>0</v>
      </c>
      <c r="X21" s="10">
        <f>IF(A21=A22,(N21-N22)/N22,0)</f>
        <v>0</v>
      </c>
    </row>
    <row r="22" spans="1:24" ht="16.5" customHeight="1">
      <c r="A22" s="3" t="s">
        <v>19</v>
      </c>
      <c r="B22" s="3">
        <f t="shared" si="0"/>
        <v>2017</v>
      </c>
      <c r="C22" s="3">
        <f t="shared" si="1"/>
        <v>11</v>
      </c>
      <c r="D22" s="20" t="str">
        <f t="shared" si="2"/>
        <v>JNJ201711</v>
      </c>
      <c r="E22" s="2">
        <v>43066</v>
      </c>
      <c r="F22" s="3">
        <v>0.84</v>
      </c>
      <c r="G22" s="2">
        <v>43081</v>
      </c>
      <c r="H22" s="3">
        <v>2.4299999999999999E-2</v>
      </c>
      <c r="I22" s="3">
        <v>0</v>
      </c>
      <c r="J22" s="3">
        <v>0</v>
      </c>
      <c r="K22" s="3">
        <f t="shared" si="3"/>
        <v>2017</v>
      </c>
      <c r="L22" s="3">
        <f t="shared" si="4"/>
        <v>0</v>
      </c>
      <c r="M22" s="20" t="str">
        <f>A22&amp;L22</f>
        <v>JNJ0</v>
      </c>
      <c r="N22" s="3">
        <f>F22</f>
        <v>0.84</v>
      </c>
      <c r="O22" s="9">
        <f>H22</f>
        <v>2.4299999999999999E-2</v>
      </c>
      <c r="P22" s="10">
        <f t="shared" si="5"/>
        <v>0</v>
      </c>
      <c r="Q22" s="10">
        <f>IF(K22=0,IF(A19=A22,AVERAGE(O19:O22),"x"),0)</f>
        <v>0</v>
      </c>
      <c r="R22" s="9">
        <f>IF(L22&gt;2005,AVERAGE(O19:O38),0)</f>
        <v>0</v>
      </c>
      <c r="S22" s="10">
        <f>IF(A22=A23,(N22-N23)/N23,0)</f>
        <v>0</v>
      </c>
      <c r="T22" s="10">
        <f>IF(L22&gt;2005,(((N22-N42)/N42)+1)^(1/5)-1,0)</f>
        <v>0</v>
      </c>
      <c r="U22" s="10">
        <f t="shared" si="6"/>
        <v>0</v>
      </c>
      <c r="V22" s="26">
        <f t="shared" si="7"/>
        <v>0</v>
      </c>
      <c r="W22" s="3">
        <f>IF(A22=A23,N22-N23,0)</f>
        <v>0</v>
      </c>
      <c r="X22" s="10">
        <f>IF(A22=A23,(N22-N23)/N23,0)</f>
        <v>0</v>
      </c>
    </row>
    <row r="23" spans="1:24" ht="16.5" customHeight="1">
      <c r="A23" s="3" t="s">
        <v>19</v>
      </c>
      <c r="B23" s="3">
        <f t="shared" si="0"/>
        <v>2017</v>
      </c>
      <c r="C23" s="3">
        <f t="shared" si="1"/>
        <v>8</v>
      </c>
      <c r="D23" s="20" t="str">
        <f t="shared" si="2"/>
        <v>JNJ20178</v>
      </c>
      <c r="E23" s="2">
        <v>42972</v>
      </c>
      <c r="F23" s="3">
        <v>0.84</v>
      </c>
      <c r="G23" s="2">
        <v>42990</v>
      </c>
      <c r="H23" s="3">
        <v>2.53E-2</v>
      </c>
      <c r="I23" s="3">
        <v>0</v>
      </c>
      <c r="J23" s="3">
        <v>0</v>
      </c>
      <c r="K23" s="3">
        <f t="shared" si="3"/>
        <v>2017</v>
      </c>
      <c r="L23" s="3">
        <f t="shared" si="4"/>
        <v>0</v>
      </c>
      <c r="M23" s="20" t="str">
        <f>A23&amp;L23</f>
        <v>JNJ0</v>
      </c>
      <c r="N23" s="3">
        <f>F23</f>
        <v>0.84</v>
      </c>
      <c r="O23" s="9">
        <f>H23</f>
        <v>2.53E-2</v>
      </c>
      <c r="P23" s="10">
        <f t="shared" si="5"/>
        <v>0</v>
      </c>
      <c r="Q23" s="10">
        <f>IF(K23=0,IF(A20=A23,AVERAGE(O20:O23),"x"),0)</f>
        <v>0</v>
      </c>
      <c r="R23" s="9">
        <f>IF(L23&gt;2005,AVERAGE(O20:O39),0)</f>
        <v>0</v>
      </c>
      <c r="S23" s="10">
        <f>IF(A23=A24,(N23-N24)/N24,0)</f>
        <v>0</v>
      </c>
      <c r="T23" s="10">
        <f>IF(L23&gt;2005,(((N23-N43)/N43)+1)^(1/5)-1,0)</f>
        <v>0</v>
      </c>
      <c r="U23" s="10">
        <f t="shared" si="6"/>
        <v>0</v>
      </c>
      <c r="V23" s="26">
        <f t="shared" si="7"/>
        <v>0</v>
      </c>
      <c r="W23" s="3">
        <f>IF(A23=A24,N23-N24,0)</f>
        <v>0</v>
      </c>
      <c r="X23" s="10">
        <f>IF(A23=A24,(N23-N24)/N24,0)</f>
        <v>0</v>
      </c>
    </row>
    <row r="24" spans="1:24" ht="16.5" customHeight="1">
      <c r="A24" s="3" t="s">
        <v>19</v>
      </c>
      <c r="B24" s="3">
        <f t="shared" si="0"/>
        <v>2017</v>
      </c>
      <c r="C24" s="3">
        <f t="shared" si="1"/>
        <v>5</v>
      </c>
      <c r="D24" s="20" t="str">
        <f t="shared" si="2"/>
        <v>JNJ20175</v>
      </c>
      <c r="E24" s="2">
        <v>42880</v>
      </c>
      <c r="F24" s="3">
        <v>0.84</v>
      </c>
      <c r="G24" s="2">
        <v>42899</v>
      </c>
      <c r="H24" s="3">
        <v>2.64E-2</v>
      </c>
      <c r="I24" s="3">
        <v>0.05</v>
      </c>
      <c r="J24" s="3">
        <v>0.04</v>
      </c>
      <c r="K24" s="3">
        <f t="shared" si="3"/>
        <v>2017</v>
      </c>
      <c r="L24" s="3">
        <f t="shared" si="4"/>
        <v>0</v>
      </c>
      <c r="M24" s="20" t="str">
        <f>A24&amp;L24</f>
        <v>JNJ0</v>
      </c>
      <c r="N24" s="3">
        <f>F24</f>
        <v>0.84</v>
      </c>
      <c r="O24" s="9">
        <f>H24</f>
        <v>2.64E-2</v>
      </c>
      <c r="P24" s="10">
        <f t="shared" si="5"/>
        <v>2.6674999999999997E-2</v>
      </c>
      <c r="Q24" s="10">
        <f>IF(K24=0,IF(A21=A24,AVERAGE(O21:O24),"x"),0)</f>
        <v>0</v>
      </c>
      <c r="R24" s="9">
        <f>IF(L24&gt;2005,AVERAGE(O21:O40),0)</f>
        <v>0</v>
      </c>
      <c r="S24" s="10">
        <f>IF(A24=A25,(N24-N25)/N25,0)</f>
        <v>4.9999999999999906E-2</v>
      </c>
      <c r="T24" s="10">
        <f>IF(L24&gt;2005,(((N24-N44)/N44)+1)^(1/5)-1,0)</f>
        <v>0</v>
      </c>
      <c r="U24" s="10">
        <f t="shared" si="6"/>
        <v>0</v>
      </c>
      <c r="V24" s="26">
        <f t="shared" si="7"/>
        <v>0</v>
      </c>
      <c r="W24" s="3">
        <f>IF(A24=A25,N24-N25,0)</f>
        <v>3.9999999999999925E-2</v>
      </c>
      <c r="X24" s="10">
        <f>IF(A24=A25,(N24-N25)/N25,0)</f>
        <v>4.9999999999999906E-2</v>
      </c>
    </row>
    <row r="25" spans="1:24" ht="16.5" customHeight="1">
      <c r="A25" s="3" t="s">
        <v>19</v>
      </c>
      <c r="B25" s="3">
        <f t="shared" si="0"/>
        <v>2017</v>
      </c>
      <c r="C25" s="3">
        <f t="shared" si="1"/>
        <v>2</v>
      </c>
      <c r="D25" s="20" t="str">
        <f t="shared" si="2"/>
        <v>JNJ20172</v>
      </c>
      <c r="E25" s="2">
        <v>42790</v>
      </c>
      <c r="F25" s="3">
        <v>0.8</v>
      </c>
      <c r="G25" s="2">
        <v>42808</v>
      </c>
      <c r="H25" s="3">
        <v>2.63E-2</v>
      </c>
      <c r="I25" s="3">
        <v>0</v>
      </c>
      <c r="J25" s="3">
        <v>0</v>
      </c>
      <c r="K25" s="3">
        <f t="shared" si="3"/>
        <v>0</v>
      </c>
      <c r="L25" s="3">
        <f t="shared" si="4"/>
        <v>2017</v>
      </c>
      <c r="M25" s="20" t="str">
        <f>A25&amp;L25</f>
        <v>JNJ2017</v>
      </c>
      <c r="N25" s="3">
        <f>F25</f>
        <v>0.8</v>
      </c>
      <c r="O25" s="9">
        <f>H25</f>
        <v>2.63E-2</v>
      </c>
      <c r="P25" s="10">
        <f t="shared" si="5"/>
        <v>0</v>
      </c>
      <c r="Q25" s="10">
        <f>IF(K25=0,IF(A22=A25,AVERAGE(O22:O25),"x"),0)</f>
        <v>2.5575000000000001E-2</v>
      </c>
      <c r="R25" s="9">
        <f>IF(L25&gt;2005,AVERAGE(O22:O41),0)</f>
        <v>2.7474999999999999E-2</v>
      </c>
      <c r="S25" s="10">
        <f>IF(A25=A26,(N25-N26)/N26,0)</f>
        <v>0</v>
      </c>
      <c r="T25" s="10">
        <f>IF(L25&gt;2005,(((N25-N45)/N45)+1)^(1/5)-1,0)</f>
        <v>7.0145984594375044E-2</v>
      </c>
      <c r="U25" s="10">
        <f t="shared" si="6"/>
        <v>9.7620984594375043E-2</v>
      </c>
      <c r="V25" s="26">
        <f t="shared" si="7"/>
        <v>4.6368273773121453</v>
      </c>
      <c r="W25" s="3">
        <f>IF(A25=A26,N25-N26,0)</f>
        <v>0</v>
      </c>
      <c r="X25" s="10">
        <f>IF(A25=A26,(N25-N26)/N26,0)</f>
        <v>0</v>
      </c>
    </row>
    <row r="26" spans="1:24" ht="16.5" customHeight="1">
      <c r="A26" s="3" t="s">
        <v>19</v>
      </c>
      <c r="B26" s="3">
        <f t="shared" si="0"/>
        <v>2016</v>
      </c>
      <c r="C26" s="3">
        <f t="shared" si="1"/>
        <v>11</v>
      </c>
      <c r="D26" s="20" t="str">
        <f t="shared" si="2"/>
        <v>JNJ201611</v>
      </c>
      <c r="E26" s="2">
        <v>42692</v>
      </c>
      <c r="F26" s="3">
        <v>0.8</v>
      </c>
      <c r="G26" s="2">
        <v>42710</v>
      </c>
      <c r="H26" s="3">
        <v>2.75E-2</v>
      </c>
      <c r="I26" s="3">
        <v>0</v>
      </c>
      <c r="J26" s="3">
        <v>0</v>
      </c>
      <c r="K26" s="3">
        <f t="shared" si="3"/>
        <v>2016</v>
      </c>
      <c r="L26" s="3">
        <f t="shared" si="4"/>
        <v>0</v>
      </c>
      <c r="M26" s="20" t="str">
        <f>A26&amp;L26</f>
        <v>JNJ0</v>
      </c>
      <c r="N26" s="3">
        <f>F26</f>
        <v>0.8</v>
      </c>
      <c r="O26" s="9">
        <f>H26</f>
        <v>2.75E-2</v>
      </c>
      <c r="P26" s="10">
        <f t="shared" si="5"/>
        <v>0</v>
      </c>
      <c r="Q26" s="10">
        <f>IF(K26=0,IF(A23=A26,AVERAGE(O23:O26),"x"),0)</f>
        <v>0</v>
      </c>
      <c r="R26" s="9">
        <f>IF(L26&gt;2005,AVERAGE(O23:O42),0)</f>
        <v>0</v>
      </c>
      <c r="S26" s="10">
        <f>IF(A26=A27,(N26-N27)/N27,0)</f>
        <v>0</v>
      </c>
      <c r="T26" s="10">
        <f>IF(L26&gt;2005,(((N26-N46)/N46)+1)^(1/5)-1,0)</f>
        <v>0</v>
      </c>
      <c r="U26" s="10">
        <f t="shared" si="6"/>
        <v>0</v>
      </c>
      <c r="V26" s="26">
        <f t="shared" si="7"/>
        <v>0</v>
      </c>
      <c r="W26" s="3">
        <f>IF(A26=A27,N26-N27,0)</f>
        <v>0</v>
      </c>
      <c r="X26" s="10">
        <f>IF(A26=A27,(N26-N27)/N27,0)</f>
        <v>0</v>
      </c>
    </row>
    <row r="27" spans="1:24" ht="16.5" customHeight="1">
      <c r="A27" s="3" t="s">
        <v>19</v>
      </c>
      <c r="B27" s="3">
        <f t="shared" si="0"/>
        <v>2016</v>
      </c>
      <c r="C27" s="3">
        <f t="shared" si="1"/>
        <v>8</v>
      </c>
      <c r="D27" s="20" t="str">
        <f t="shared" si="2"/>
        <v>JNJ20168</v>
      </c>
      <c r="E27" s="2">
        <v>42601</v>
      </c>
      <c r="F27" s="3">
        <v>0.8</v>
      </c>
      <c r="G27" s="2">
        <v>42619</v>
      </c>
      <c r="H27" s="3">
        <v>2.6499999999999999E-2</v>
      </c>
      <c r="I27" s="3">
        <v>0</v>
      </c>
      <c r="J27" s="3">
        <v>0</v>
      </c>
      <c r="K27" s="3">
        <f t="shared" si="3"/>
        <v>2016</v>
      </c>
      <c r="L27" s="3">
        <f t="shared" si="4"/>
        <v>0</v>
      </c>
      <c r="M27" s="20" t="str">
        <f>A27&amp;L27</f>
        <v>JNJ0</v>
      </c>
      <c r="N27" s="3">
        <f>F27</f>
        <v>0.8</v>
      </c>
      <c r="O27" s="9">
        <f>H27</f>
        <v>2.6499999999999999E-2</v>
      </c>
      <c r="P27" s="10">
        <f t="shared" si="5"/>
        <v>0</v>
      </c>
      <c r="Q27" s="10">
        <f>IF(K27=0,IF(A24=A27,AVERAGE(O24:O27),"x"),0)</f>
        <v>0</v>
      </c>
      <c r="R27" s="9">
        <f>IF(L27&gt;2005,AVERAGE(O24:O43),0)</f>
        <v>0</v>
      </c>
      <c r="S27" s="10">
        <f>IF(A27=A28,(N27-N28)/N28,0)</f>
        <v>0</v>
      </c>
      <c r="T27" s="10">
        <f>IF(L27&gt;2005,(((N27-N47)/N47)+1)^(1/5)-1,0)</f>
        <v>0</v>
      </c>
      <c r="U27" s="10">
        <f t="shared" si="6"/>
        <v>0</v>
      </c>
      <c r="V27" s="26">
        <f t="shared" si="7"/>
        <v>0</v>
      </c>
      <c r="W27" s="3">
        <f>IF(A27=A28,N27-N28,0)</f>
        <v>0</v>
      </c>
      <c r="X27" s="10">
        <f>IF(A27=A28,(N27-N28)/N28,0)</f>
        <v>0</v>
      </c>
    </row>
    <row r="28" spans="1:24" ht="16.5" customHeight="1">
      <c r="A28" s="3" t="s">
        <v>19</v>
      </c>
      <c r="B28" s="3">
        <f t="shared" si="0"/>
        <v>2016</v>
      </c>
      <c r="C28" s="3">
        <f t="shared" si="1"/>
        <v>5</v>
      </c>
      <c r="D28" s="20" t="str">
        <f t="shared" si="2"/>
        <v>JNJ20165</v>
      </c>
      <c r="E28" s="2">
        <v>42510</v>
      </c>
      <c r="F28" s="3">
        <v>0.8</v>
      </c>
      <c r="G28" s="2">
        <v>42528</v>
      </c>
      <c r="H28" s="3">
        <v>2.8400000000000002E-2</v>
      </c>
      <c r="I28" s="3">
        <v>6.6666666999999999E-2</v>
      </c>
      <c r="J28" s="3">
        <v>0.05</v>
      </c>
      <c r="K28" s="3">
        <f t="shared" si="3"/>
        <v>2016</v>
      </c>
      <c r="L28" s="3">
        <f t="shared" si="4"/>
        <v>0</v>
      </c>
      <c r="M28" s="20" t="str">
        <f>A28&amp;L28</f>
        <v>JNJ0</v>
      </c>
      <c r="N28" s="3">
        <f>F28</f>
        <v>0.8</v>
      </c>
      <c r="O28" s="9">
        <f>H28</f>
        <v>2.8400000000000002E-2</v>
      </c>
      <c r="P28" s="10">
        <f t="shared" si="5"/>
        <v>2.8849999999999997E-2</v>
      </c>
      <c r="Q28" s="10">
        <f>IF(K28=0,IF(A25=A28,AVERAGE(O25:O28),"x"),0)</f>
        <v>0</v>
      </c>
      <c r="R28" s="9">
        <f>IF(L28&gt;2005,AVERAGE(O25:O44),0)</f>
        <v>0</v>
      </c>
      <c r="S28" s="10">
        <f>IF(A28=A29,(N28-N29)/N29,0)</f>
        <v>6.6666666666666721E-2</v>
      </c>
      <c r="T28" s="10">
        <f>IF(L28&gt;2005,(((N28-N48)/N48)+1)^(1/5)-1,0)</f>
        <v>0</v>
      </c>
      <c r="U28" s="10">
        <f t="shared" si="6"/>
        <v>0</v>
      </c>
      <c r="V28" s="26">
        <f t="shared" si="7"/>
        <v>0</v>
      </c>
      <c r="W28" s="3">
        <f>IF(A28=A29,N28-N29,0)</f>
        <v>5.0000000000000044E-2</v>
      </c>
      <c r="X28" s="10">
        <f>IF(A28=A29,(N28-N29)/N29,0)</f>
        <v>6.6666666666666721E-2</v>
      </c>
    </row>
    <row r="29" spans="1:24" ht="16.5" customHeight="1">
      <c r="A29" s="3" t="s">
        <v>19</v>
      </c>
      <c r="B29" s="3">
        <f t="shared" si="0"/>
        <v>2016</v>
      </c>
      <c r="C29" s="3">
        <f t="shared" si="1"/>
        <v>2</v>
      </c>
      <c r="D29" s="20" t="str">
        <f t="shared" si="2"/>
        <v>JNJ20162</v>
      </c>
      <c r="E29" s="2">
        <v>42419</v>
      </c>
      <c r="F29" s="3">
        <v>0.75</v>
      </c>
      <c r="G29" s="2">
        <v>42437</v>
      </c>
      <c r="H29" s="3">
        <v>2.8799999999999999E-2</v>
      </c>
      <c r="I29" s="3">
        <v>0</v>
      </c>
      <c r="J29" s="3">
        <v>0</v>
      </c>
      <c r="K29" s="3">
        <f t="shared" si="3"/>
        <v>0</v>
      </c>
      <c r="L29" s="3">
        <f t="shared" si="4"/>
        <v>2016</v>
      </c>
      <c r="M29" s="20" t="str">
        <f>A29&amp;L29</f>
        <v>JNJ2016</v>
      </c>
      <c r="N29" s="3">
        <f>F29</f>
        <v>0.75</v>
      </c>
      <c r="O29" s="9">
        <f>H29</f>
        <v>2.8799999999999999E-2</v>
      </c>
      <c r="P29" s="10">
        <f t="shared" si="5"/>
        <v>0</v>
      </c>
      <c r="Q29" s="10">
        <f>IF(K29=0,IF(A26=A29,AVERAGE(O26:O29),"x"),0)</f>
        <v>2.7799999999999998E-2</v>
      </c>
      <c r="R29" s="9">
        <f>IF(L29&gt;2005,AVERAGE(O26:O45),0)</f>
        <v>2.9409999999999999E-2</v>
      </c>
      <c r="S29" s="10">
        <f>IF(A29=A30,(N29-N30)/N30,0)</f>
        <v>0</v>
      </c>
      <c r="T29" s="10">
        <f>IF(L29&gt;2005,(((N29-N49)/N49)+1)^(1/5)-1,0)</f>
        <v>6.790716584560208E-2</v>
      </c>
      <c r="U29" s="10">
        <f t="shared" si="6"/>
        <v>9.7317165845602072E-2</v>
      </c>
      <c r="V29" s="26">
        <f t="shared" si="7"/>
        <v>4.6120549780909199</v>
      </c>
      <c r="W29" s="3">
        <f>IF(A29=A30,N29-N30,0)</f>
        <v>0</v>
      </c>
      <c r="X29" s="10">
        <f>IF(A29=A30,(N29-N30)/N30,0)</f>
        <v>0</v>
      </c>
    </row>
    <row r="30" spans="1:24" ht="16.5" customHeight="1">
      <c r="A30" s="3" t="s">
        <v>19</v>
      </c>
      <c r="B30" s="3">
        <f t="shared" si="0"/>
        <v>2015</v>
      </c>
      <c r="C30" s="3">
        <f t="shared" si="1"/>
        <v>11</v>
      </c>
      <c r="D30" s="20" t="str">
        <f t="shared" si="2"/>
        <v>JNJ201511</v>
      </c>
      <c r="E30" s="2">
        <v>42328</v>
      </c>
      <c r="F30" s="3">
        <v>0.75</v>
      </c>
      <c r="G30" s="2">
        <v>42346</v>
      </c>
      <c r="H30" s="3">
        <v>2.8799999999999999E-2</v>
      </c>
      <c r="I30" s="3">
        <v>0</v>
      </c>
      <c r="J30" s="3">
        <v>0</v>
      </c>
      <c r="K30" s="3">
        <f t="shared" si="3"/>
        <v>2015</v>
      </c>
      <c r="L30" s="3">
        <f t="shared" si="4"/>
        <v>0</v>
      </c>
      <c r="M30" s="20" t="str">
        <f>A30&amp;L30</f>
        <v>JNJ0</v>
      </c>
      <c r="N30" s="3">
        <f>F30</f>
        <v>0.75</v>
      </c>
      <c r="O30" s="9">
        <f>H30</f>
        <v>2.8799999999999999E-2</v>
      </c>
      <c r="P30" s="10">
        <f t="shared" si="5"/>
        <v>0</v>
      </c>
      <c r="Q30" s="10">
        <f>IF(K30=0,IF(A27=A30,AVERAGE(O27:O30),"x"),0)</f>
        <v>0</v>
      </c>
      <c r="R30" s="9">
        <f>IF(L30&gt;2005,AVERAGE(O27:O46),0)</f>
        <v>0</v>
      </c>
      <c r="S30" s="10">
        <f>IF(A30=A31,(N30-N31)/N31,0)</f>
        <v>0</v>
      </c>
      <c r="T30" s="10">
        <f>IF(L30&gt;2005,(((N30-N50)/N50)+1)^(1/5)-1,0)</f>
        <v>0</v>
      </c>
      <c r="U30" s="10">
        <f t="shared" si="6"/>
        <v>0</v>
      </c>
      <c r="V30" s="26">
        <f t="shared" si="7"/>
        <v>0</v>
      </c>
      <c r="W30" s="3">
        <f>IF(A30=A31,N30-N31,0)</f>
        <v>0</v>
      </c>
      <c r="X30" s="10">
        <f>IF(A30=A31,(N30-N31)/N31,0)</f>
        <v>0</v>
      </c>
    </row>
    <row r="31" spans="1:24" ht="16.5" customHeight="1">
      <c r="A31" s="3" t="s">
        <v>19</v>
      </c>
      <c r="B31" s="3">
        <f t="shared" si="0"/>
        <v>2015</v>
      </c>
      <c r="C31" s="3">
        <f t="shared" si="1"/>
        <v>8</v>
      </c>
      <c r="D31" s="20" t="str">
        <f t="shared" si="2"/>
        <v>JNJ20158</v>
      </c>
      <c r="E31" s="2">
        <v>42237</v>
      </c>
      <c r="F31" s="3">
        <v>0.75</v>
      </c>
      <c r="G31" s="2">
        <v>42255</v>
      </c>
      <c r="H31" s="3">
        <v>2.9399999999999999E-2</v>
      </c>
      <c r="I31" s="3">
        <v>0</v>
      </c>
      <c r="J31" s="3">
        <v>0</v>
      </c>
      <c r="K31" s="3">
        <f t="shared" si="3"/>
        <v>2015</v>
      </c>
      <c r="L31" s="3">
        <f t="shared" si="4"/>
        <v>0</v>
      </c>
      <c r="M31" s="20" t="str">
        <f>A31&amp;L31</f>
        <v>JNJ0</v>
      </c>
      <c r="N31" s="3">
        <f>F31</f>
        <v>0.75</v>
      </c>
      <c r="O31" s="9">
        <f>H31</f>
        <v>2.9399999999999999E-2</v>
      </c>
      <c r="P31" s="10">
        <f t="shared" si="5"/>
        <v>0</v>
      </c>
      <c r="Q31" s="10">
        <f>IF(K31=0,IF(A28=A31,AVERAGE(O28:O31),"x"),0)</f>
        <v>0</v>
      </c>
      <c r="R31" s="9">
        <f>IF(L31&gt;2005,AVERAGE(O28:O47),0)</f>
        <v>0</v>
      </c>
      <c r="S31" s="10">
        <f>IF(A31=A32,(N31-N32)/N32,0)</f>
        <v>0</v>
      </c>
      <c r="T31" s="10">
        <f>IF(L31&gt;2005,(((N31-N51)/N51)+1)^(1/5)-1,0)</f>
        <v>0</v>
      </c>
      <c r="U31" s="10">
        <f t="shared" si="6"/>
        <v>0</v>
      </c>
      <c r="V31" s="26">
        <f t="shared" si="7"/>
        <v>0</v>
      </c>
      <c r="W31" s="3">
        <f>IF(A31=A32,N31-N32,0)</f>
        <v>0</v>
      </c>
      <c r="X31" s="10">
        <f>IF(A31=A32,(N31-N32)/N32,0)</f>
        <v>0</v>
      </c>
    </row>
    <row r="32" spans="1:24" ht="16.5" customHeight="1">
      <c r="A32" s="3" t="s">
        <v>19</v>
      </c>
      <c r="B32" s="3">
        <f t="shared" si="0"/>
        <v>2015</v>
      </c>
      <c r="C32" s="3">
        <f t="shared" si="1"/>
        <v>5</v>
      </c>
      <c r="D32" s="20" t="str">
        <f t="shared" si="2"/>
        <v>JNJ20155</v>
      </c>
      <c r="E32" s="2">
        <v>42145</v>
      </c>
      <c r="F32" s="3">
        <v>0.75</v>
      </c>
      <c r="G32" s="2">
        <v>42164</v>
      </c>
      <c r="H32" s="3">
        <v>2.75E-2</v>
      </c>
      <c r="I32" s="3">
        <v>7.1428570999999996E-2</v>
      </c>
      <c r="J32" s="3">
        <v>0.05</v>
      </c>
      <c r="K32" s="3">
        <f t="shared" si="3"/>
        <v>2015</v>
      </c>
      <c r="L32" s="3">
        <f t="shared" si="4"/>
        <v>0</v>
      </c>
      <c r="M32" s="20" t="str">
        <f>A32&amp;L32</f>
        <v>JNJ0</v>
      </c>
      <c r="N32" s="3">
        <f>F32</f>
        <v>0.75</v>
      </c>
      <c r="O32" s="9">
        <f>H32</f>
        <v>2.75E-2</v>
      </c>
      <c r="P32" s="10">
        <f t="shared" si="5"/>
        <v>2.6724999999999999E-2</v>
      </c>
      <c r="Q32" s="10">
        <f>IF(K32=0,IF(A29=A32,AVERAGE(O29:O32),"x"),0)</f>
        <v>0</v>
      </c>
      <c r="R32" s="9">
        <f>IF(L32&gt;2005,AVERAGE(O29:O48),0)</f>
        <v>0</v>
      </c>
      <c r="S32" s="10">
        <f>IF(A32=A33,(N32-N33)/N33,0)</f>
        <v>7.1428571428571494E-2</v>
      </c>
      <c r="T32" s="10">
        <f>IF(L32&gt;2005,(((N32-N52)/N52)+1)^(1/5)-1,0)</f>
        <v>0</v>
      </c>
      <c r="U32" s="10">
        <f t="shared" si="6"/>
        <v>0</v>
      </c>
      <c r="V32" s="26">
        <f t="shared" si="7"/>
        <v>0</v>
      </c>
      <c r="W32" s="3">
        <f>IF(A32=A33,N32-N33,0)</f>
        <v>5.0000000000000044E-2</v>
      </c>
      <c r="X32" s="10">
        <f>IF(A32=A33,(N32-N33)/N33,0)</f>
        <v>7.1428571428571494E-2</v>
      </c>
    </row>
    <row r="33" spans="1:24" ht="16.5" customHeight="1">
      <c r="A33" s="3" t="s">
        <v>19</v>
      </c>
      <c r="B33" s="3">
        <f t="shared" si="0"/>
        <v>2015</v>
      </c>
      <c r="C33" s="3">
        <f t="shared" si="1"/>
        <v>2</v>
      </c>
      <c r="D33" s="20" t="str">
        <f t="shared" si="2"/>
        <v>JNJ20152</v>
      </c>
      <c r="E33" s="2">
        <v>42055</v>
      </c>
      <c r="F33" s="3">
        <v>0.7</v>
      </c>
      <c r="G33" s="2">
        <v>42073</v>
      </c>
      <c r="H33" s="3">
        <v>2.7799999999999998E-2</v>
      </c>
      <c r="I33" s="3">
        <v>0</v>
      </c>
      <c r="J33" s="3">
        <v>0</v>
      </c>
      <c r="K33" s="3">
        <f t="shared" si="3"/>
        <v>0</v>
      </c>
      <c r="L33" s="3">
        <f t="shared" si="4"/>
        <v>2015</v>
      </c>
      <c r="M33" s="20" t="str">
        <f>A33&amp;L33</f>
        <v>JNJ2015</v>
      </c>
      <c r="N33" s="3">
        <f>F33</f>
        <v>0.7</v>
      </c>
      <c r="O33" s="9">
        <f>H33</f>
        <v>2.7799999999999998E-2</v>
      </c>
      <c r="P33" s="10">
        <f t="shared" si="5"/>
        <v>0</v>
      </c>
      <c r="Q33" s="10">
        <f>IF(K33=0,IF(A30=A33,AVERAGE(O30:O33),"x"),0)</f>
        <v>2.8374999999999997E-2</v>
      </c>
      <c r="R33" s="9">
        <f>IF(L33&gt;2005,AVERAGE(O30:O49),0)</f>
        <v>3.0830000000000007E-2</v>
      </c>
      <c r="S33" s="10">
        <f>IF(A33=A34,(N33-N34)/N34,0)</f>
        <v>0</v>
      </c>
      <c r="T33" s="10">
        <f>IF(L33&gt;2005,(((N33-N53)/N53)+1)^(1/5)-1,0)</f>
        <v>7.3940923785779322E-2</v>
      </c>
      <c r="U33" s="10">
        <f t="shared" si="6"/>
        <v>0.10477092378577933</v>
      </c>
      <c r="V33" s="26">
        <f t="shared" si="7"/>
        <v>4.5966592353220079</v>
      </c>
      <c r="W33" s="3">
        <f>IF(A33=A34,N33-N34,0)</f>
        <v>0</v>
      </c>
      <c r="X33" s="10">
        <f>IF(A33=A34,(N33-N34)/N34,0)</f>
        <v>0</v>
      </c>
    </row>
    <row r="34" spans="1:24" ht="16.5" customHeight="1">
      <c r="A34" s="3" t="s">
        <v>19</v>
      </c>
      <c r="B34" s="3">
        <f t="shared" si="0"/>
        <v>2014</v>
      </c>
      <c r="C34" s="3">
        <f t="shared" si="1"/>
        <v>11</v>
      </c>
      <c r="D34" s="20" t="str">
        <f t="shared" si="2"/>
        <v>JNJ201411</v>
      </c>
      <c r="E34" s="2">
        <v>41964</v>
      </c>
      <c r="F34" s="3">
        <v>0.7</v>
      </c>
      <c r="G34" s="2">
        <v>41982</v>
      </c>
      <c r="H34" s="3">
        <v>2.5499999999999998E-2</v>
      </c>
      <c r="I34" s="3">
        <v>0</v>
      </c>
      <c r="J34" s="3">
        <v>0</v>
      </c>
      <c r="K34" s="3">
        <f t="shared" si="3"/>
        <v>2014</v>
      </c>
      <c r="L34" s="3">
        <f t="shared" si="4"/>
        <v>0</v>
      </c>
      <c r="M34" s="20" t="str">
        <f>A34&amp;L34</f>
        <v>JNJ0</v>
      </c>
      <c r="N34" s="3">
        <f>F34</f>
        <v>0.7</v>
      </c>
      <c r="O34" s="9">
        <f>H34</f>
        <v>2.5499999999999998E-2</v>
      </c>
      <c r="P34" s="10">
        <f t="shared" si="5"/>
        <v>0</v>
      </c>
      <c r="Q34" s="10">
        <f>IF(K34=0,IF(A31=A34,AVERAGE(O31:O34),"x"),0)</f>
        <v>0</v>
      </c>
      <c r="R34" s="9">
        <f>IF(L34&gt;2005,AVERAGE(O31:O50),0)</f>
        <v>0</v>
      </c>
      <c r="S34" s="10">
        <f>IF(A34=A35,(N34-N35)/N35,0)</f>
        <v>0</v>
      </c>
      <c r="T34" s="10">
        <f>IF(L34&gt;2005,(((N34-N54)/N54)+1)^(1/5)-1,0)</f>
        <v>0</v>
      </c>
      <c r="U34" s="10">
        <f t="shared" si="6"/>
        <v>0</v>
      </c>
      <c r="V34" s="26">
        <f t="shared" si="7"/>
        <v>0</v>
      </c>
      <c r="W34" s="3">
        <f>IF(A34=A35,N34-N35,0)</f>
        <v>0</v>
      </c>
      <c r="X34" s="10">
        <f>IF(A34=A35,(N34-N35)/N35,0)</f>
        <v>0</v>
      </c>
    </row>
    <row r="35" spans="1:24" ht="16.5" customHeight="1">
      <c r="A35" s="3" t="s">
        <v>19</v>
      </c>
      <c r="B35" s="3">
        <f t="shared" si="0"/>
        <v>2014</v>
      </c>
      <c r="C35" s="3">
        <f t="shared" si="1"/>
        <v>8</v>
      </c>
      <c r="D35" s="20" t="str">
        <f t="shared" si="2"/>
        <v>JNJ20148</v>
      </c>
      <c r="E35" s="2">
        <v>41873</v>
      </c>
      <c r="F35" s="3">
        <v>0.7</v>
      </c>
      <c r="G35" s="2">
        <v>41891</v>
      </c>
      <c r="H35" s="3">
        <v>2.6100000000000002E-2</v>
      </c>
      <c r="I35" s="3">
        <v>0</v>
      </c>
      <c r="J35" s="3">
        <v>0</v>
      </c>
      <c r="K35" s="3">
        <f t="shared" si="3"/>
        <v>2014</v>
      </c>
      <c r="L35" s="3">
        <f t="shared" si="4"/>
        <v>0</v>
      </c>
      <c r="M35" s="20" t="str">
        <f>A35&amp;L35</f>
        <v>JNJ0</v>
      </c>
      <c r="N35" s="3">
        <f>F35</f>
        <v>0.7</v>
      </c>
      <c r="O35" s="9">
        <f>H35</f>
        <v>2.6100000000000002E-2</v>
      </c>
      <c r="P35" s="10">
        <f t="shared" si="5"/>
        <v>0</v>
      </c>
      <c r="Q35" s="10">
        <f>IF(K35=0,IF(A32=A35,AVERAGE(O32:O35),"x"),0)</f>
        <v>0</v>
      </c>
      <c r="R35" s="9">
        <f>IF(L35&gt;2005,AVERAGE(O32:O51),0)</f>
        <v>0</v>
      </c>
      <c r="S35" s="10">
        <f>IF(A35=A36,(N35-N36)/N36,0)</f>
        <v>0</v>
      </c>
      <c r="T35" s="10">
        <f>IF(L35&gt;2005,(((N35-N55)/N55)+1)^(1/5)-1,0)</f>
        <v>0</v>
      </c>
      <c r="U35" s="10">
        <f t="shared" si="6"/>
        <v>0</v>
      </c>
      <c r="V35" s="26">
        <f t="shared" si="7"/>
        <v>0</v>
      </c>
      <c r="W35" s="3">
        <f>IF(A35=A36,N35-N36,0)</f>
        <v>0</v>
      </c>
      <c r="X35" s="10">
        <f>IF(A35=A36,(N35-N36)/N36,0)</f>
        <v>0</v>
      </c>
    </row>
    <row r="36" spans="1:24" ht="16.5" customHeight="1">
      <c r="A36" s="3" t="s">
        <v>19</v>
      </c>
      <c r="B36" s="3">
        <f t="shared" si="0"/>
        <v>2014</v>
      </c>
      <c r="C36" s="3">
        <f t="shared" si="1"/>
        <v>5</v>
      </c>
      <c r="D36" s="20" t="str">
        <f t="shared" si="2"/>
        <v>JNJ20145</v>
      </c>
      <c r="E36" s="2">
        <v>41781</v>
      </c>
      <c r="F36" s="3">
        <v>0.7</v>
      </c>
      <c r="G36" s="2">
        <v>41800</v>
      </c>
      <c r="H36" s="3">
        <v>2.6499999999999999E-2</v>
      </c>
      <c r="I36" s="3">
        <v>6.0606061000000003E-2</v>
      </c>
      <c r="J36" s="3">
        <v>0.04</v>
      </c>
      <c r="K36" s="3">
        <f t="shared" si="3"/>
        <v>2014</v>
      </c>
      <c r="L36" s="3">
        <f t="shared" si="4"/>
        <v>0</v>
      </c>
      <c r="M36" s="20" t="str">
        <f>A36&amp;L36</f>
        <v>JNJ0</v>
      </c>
      <c r="N36" s="3">
        <f>F36</f>
        <v>0.7</v>
      </c>
      <c r="O36" s="9">
        <f>H36</f>
        <v>2.6499999999999999E-2</v>
      </c>
      <c r="P36" s="10">
        <f t="shared" si="5"/>
        <v>2.7775000000000001E-2</v>
      </c>
      <c r="Q36" s="10">
        <f>IF(K36=0,IF(A33=A36,AVERAGE(O33:O36),"x"),0)</f>
        <v>0</v>
      </c>
      <c r="R36" s="9">
        <f>IF(L36&gt;2005,AVERAGE(O33:O52),0)</f>
        <v>0</v>
      </c>
      <c r="S36" s="10">
        <f>IF(A36=A37,(N36-N37)/N37,0)</f>
        <v>6.060606060606049E-2</v>
      </c>
      <c r="T36" s="10">
        <f>IF(L36&gt;2005,(((N36-N56)/N56)+1)^(1/5)-1,0)</f>
        <v>0</v>
      </c>
      <c r="U36" s="10">
        <f t="shared" si="6"/>
        <v>0</v>
      </c>
      <c r="V36" s="26">
        <f t="shared" si="7"/>
        <v>0</v>
      </c>
      <c r="W36" s="3">
        <f>IF(A36=A37,N36-N37,0)</f>
        <v>3.9999999999999925E-2</v>
      </c>
      <c r="X36" s="10">
        <f>IF(A36=A37,(N36-N37)/N37,0)</f>
        <v>6.060606060606049E-2</v>
      </c>
    </row>
    <row r="37" spans="1:24" ht="16.5" customHeight="1">
      <c r="A37" s="3" t="s">
        <v>19</v>
      </c>
      <c r="B37" s="3">
        <f t="shared" si="0"/>
        <v>2014</v>
      </c>
      <c r="C37" s="3">
        <f t="shared" si="1"/>
        <v>2</v>
      </c>
      <c r="D37" s="20" t="str">
        <f t="shared" si="2"/>
        <v>JNJ20142</v>
      </c>
      <c r="E37" s="2">
        <v>41691</v>
      </c>
      <c r="F37" s="3">
        <v>0.66</v>
      </c>
      <c r="G37" s="2">
        <v>41709</v>
      </c>
      <c r="H37" s="3">
        <v>2.86E-2</v>
      </c>
      <c r="I37" s="3">
        <v>0</v>
      </c>
      <c r="J37" s="3">
        <v>0</v>
      </c>
      <c r="K37" s="3">
        <f t="shared" si="3"/>
        <v>0</v>
      </c>
      <c r="L37" s="3">
        <f t="shared" si="4"/>
        <v>2014</v>
      </c>
      <c r="M37" s="20" t="str">
        <f>A37&amp;L37</f>
        <v>JNJ2014</v>
      </c>
      <c r="N37" s="3">
        <f>F37</f>
        <v>0.66</v>
      </c>
      <c r="O37" s="9">
        <f>H37</f>
        <v>2.86E-2</v>
      </c>
      <c r="P37" s="10">
        <f t="shared" si="5"/>
        <v>0</v>
      </c>
      <c r="Q37" s="10">
        <f>IF(K37=0,IF(A34=A37,AVERAGE(O34:O37),"x"),0)</f>
        <v>2.6675000000000001E-2</v>
      </c>
      <c r="R37" s="9">
        <f>IF(L37&gt;2005,AVERAGE(O34:O53),0)</f>
        <v>3.1805E-2</v>
      </c>
      <c r="S37" s="10">
        <f>IF(A37=A38,(N37-N38)/N38,0)</f>
        <v>0</v>
      </c>
      <c r="T37" s="10">
        <f>IF(L37&gt;2005,(((N37-N57)/N57)+1)^(1/5)-1,0)</f>
        <v>7.4873165575328748E-2</v>
      </c>
      <c r="U37" s="10">
        <f t="shared" si="6"/>
        <v>0.10667816557532875</v>
      </c>
      <c r="V37" s="26">
        <f t="shared" si="7"/>
        <v>4.5850794186708148</v>
      </c>
      <c r="W37" s="3">
        <f>IF(A37=A38,N37-N38,0)</f>
        <v>0</v>
      </c>
      <c r="X37" s="10">
        <f>IF(A37=A38,(N37-N38)/N38,0)</f>
        <v>0</v>
      </c>
    </row>
    <row r="38" spans="1:24" ht="16.5" customHeight="1">
      <c r="A38" s="3" t="s">
        <v>19</v>
      </c>
      <c r="B38" s="3">
        <f t="shared" si="0"/>
        <v>2013</v>
      </c>
      <c r="C38" s="3">
        <f t="shared" si="1"/>
        <v>11</v>
      </c>
      <c r="D38" s="20" t="str">
        <f t="shared" si="2"/>
        <v>JNJ201311</v>
      </c>
      <c r="E38" s="2">
        <v>41600</v>
      </c>
      <c r="F38" s="3">
        <v>0.66</v>
      </c>
      <c r="G38" s="2">
        <v>41618</v>
      </c>
      <c r="H38" s="3">
        <v>2.7199999999999998E-2</v>
      </c>
      <c r="I38" s="3">
        <v>0</v>
      </c>
      <c r="J38" s="3">
        <v>0</v>
      </c>
      <c r="K38" s="3">
        <f t="shared" si="3"/>
        <v>2013</v>
      </c>
      <c r="L38" s="3">
        <f t="shared" si="4"/>
        <v>0</v>
      </c>
      <c r="M38" s="20" t="str">
        <f>A38&amp;L38</f>
        <v>JNJ0</v>
      </c>
      <c r="N38" s="3">
        <f>F38</f>
        <v>0.66</v>
      </c>
      <c r="O38" s="9">
        <f>H38</f>
        <v>2.7199999999999998E-2</v>
      </c>
      <c r="P38" s="10">
        <f t="shared" si="5"/>
        <v>0</v>
      </c>
      <c r="Q38" s="10">
        <f>IF(K38=0,IF(A35=A38,AVERAGE(O35:O38),"x"),0)</f>
        <v>0</v>
      </c>
      <c r="R38" s="9">
        <f>IF(L38&gt;2005,AVERAGE(O35:O54),0)</f>
        <v>0</v>
      </c>
      <c r="S38" s="10">
        <f>IF(A38=A39,(N38-N39)/N39,0)</f>
        <v>0</v>
      </c>
      <c r="T38" s="10">
        <f>IF(L38&gt;2005,(((N38-N58)/N58)+1)^(1/5)-1,0)</f>
        <v>0</v>
      </c>
      <c r="U38" s="10">
        <f t="shared" si="6"/>
        <v>0</v>
      </c>
      <c r="V38" s="26">
        <f t="shared" si="7"/>
        <v>0</v>
      </c>
      <c r="W38" s="3">
        <f>IF(A38=A39,N38-N39,0)</f>
        <v>0</v>
      </c>
      <c r="X38" s="10">
        <f>IF(A38=A39,(N38-N39)/N39,0)</f>
        <v>0</v>
      </c>
    </row>
    <row r="39" spans="1:24" ht="16.5" customHeight="1">
      <c r="A39" s="3" t="s">
        <v>19</v>
      </c>
      <c r="B39" s="3">
        <f t="shared" si="0"/>
        <v>2013</v>
      </c>
      <c r="C39" s="3">
        <f t="shared" si="1"/>
        <v>8</v>
      </c>
      <c r="D39" s="20" t="str">
        <f t="shared" si="2"/>
        <v>JNJ20138</v>
      </c>
      <c r="E39" s="2">
        <v>41509</v>
      </c>
      <c r="F39" s="3">
        <v>0.66</v>
      </c>
      <c r="G39" s="2">
        <v>41527</v>
      </c>
      <c r="H39" s="3">
        <v>2.8799999999999999E-2</v>
      </c>
      <c r="I39" s="3">
        <v>0</v>
      </c>
      <c r="J39" s="3">
        <v>0</v>
      </c>
      <c r="K39" s="3">
        <f t="shared" si="3"/>
        <v>2013</v>
      </c>
      <c r="L39" s="3">
        <f t="shared" si="4"/>
        <v>0</v>
      </c>
      <c r="M39" s="20" t="str">
        <f>A39&amp;L39</f>
        <v>JNJ0</v>
      </c>
      <c r="N39" s="3">
        <f>F39</f>
        <v>0.66</v>
      </c>
      <c r="O39" s="9">
        <f>H39</f>
        <v>2.8799999999999999E-2</v>
      </c>
      <c r="P39" s="10">
        <f t="shared" si="5"/>
        <v>0</v>
      </c>
      <c r="Q39" s="10">
        <f>IF(K39=0,IF(A36=A39,AVERAGE(O36:O39),"x"),0)</f>
        <v>0</v>
      </c>
      <c r="R39" s="9">
        <f>IF(L39&gt;2005,AVERAGE(O36:O55),0)</f>
        <v>0</v>
      </c>
      <c r="S39" s="10">
        <f>IF(A39=A40,(N39-N40)/N40,0)</f>
        <v>0</v>
      </c>
      <c r="T39" s="10">
        <f>IF(L39&gt;2005,(((N39-N59)/N59)+1)^(1/5)-1,0)</f>
        <v>0</v>
      </c>
      <c r="U39" s="10">
        <f t="shared" si="6"/>
        <v>0</v>
      </c>
      <c r="V39" s="26">
        <f t="shared" si="7"/>
        <v>0</v>
      </c>
      <c r="W39" s="3">
        <f>IF(A39=A40,N39-N40,0)</f>
        <v>0</v>
      </c>
      <c r="X39" s="10">
        <f>IF(A39=A40,(N39-N40)/N40,0)</f>
        <v>0</v>
      </c>
    </row>
    <row r="40" spans="1:24" ht="16.5" customHeight="1">
      <c r="A40" s="3" t="s">
        <v>19</v>
      </c>
      <c r="B40" s="3">
        <f t="shared" si="0"/>
        <v>2013</v>
      </c>
      <c r="C40" s="3">
        <f t="shared" si="1"/>
        <v>5</v>
      </c>
      <c r="D40" s="20" t="str">
        <f t="shared" si="2"/>
        <v>JNJ20135</v>
      </c>
      <c r="E40" s="2">
        <v>41417</v>
      </c>
      <c r="F40" s="3">
        <v>0.66</v>
      </c>
      <c r="G40" s="2">
        <v>41436</v>
      </c>
      <c r="H40" s="3">
        <v>2.81E-2</v>
      </c>
      <c r="I40" s="3">
        <v>8.1967212999999997E-2</v>
      </c>
      <c r="J40" s="3">
        <v>0.05</v>
      </c>
      <c r="K40" s="3">
        <f t="shared" si="3"/>
        <v>2013</v>
      </c>
      <c r="L40" s="3">
        <f t="shared" si="4"/>
        <v>0</v>
      </c>
      <c r="M40" s="20" t="str">
        <f>A40&amp;L40</f>
        <v>JNJ0</v>
      </c>
      <c r="N40" s="3">
        <f>F40</f>
        <v>0.66</v>
      </c>
      <c r="O40" s="9">
        <f>H40</f>
        <v>2.81E-2</v>
      </c>
      <c r="P40" s="10">
        <f t="shared" si="5"/>
        <v>3.2274999999999998E-2</v>
      </c>
      <c r="Q40" s="10">
        <f>IF(K40=0,IF(A37=A40,AVERAGE(O37:O40),"x"),0)</f>
        <v>0</v>
      </c>
      <c r="R40" s="9">
        <f>IF(L40&gt;2005,AVERAGE(O37:O56),0)</f>
        <v>0</v>
      </c>
      <c r="S40" s="10">
        <f>IF(A40=A41,(N40-N41)/N41,0)</f>
        <v>8.1967213114754175E-2</v>
      </c>
      <c r="T40" s="10">
        <f>IF(L40&gt;2005,(((N40-N60)/N60)+1)^(1/5)-1,0)</f>
        <v>0</v>
      </c>
      <c r="U40" s="10">
        <f t="shared" si="6"/>
        <v>0</v>
      </c>
      <c r="V40" s="26">
        <f t="shared" si="7"/>
        <v>0</v>
      </c>
      <c r="W40" s="3">
        <f>IF(A40=A41,N40-N41,0)</f>
        <v>5.0000000000000044E-2</v>
      </c>
      <c r="X40" s="10">
        <f>IF(A40=A41,(N40-N41)/N41,0)</f>
        <v>8.1967213114754175E-2</v>
      </c>
    </row>
    <row r="41" spans="1:24" ht="16.5" customHeight="1">
      <c r="A41" s="3" t="s">
        <v>19</v>
      </c>
      <c r="B41" s="3">
        <f t="shared" si="0"/>
        <v>2013</v>
      </c>
      <c r="C41" s="3">
        <f t="shared" si="1"/>
        <v>2</v>
      </c>
      <c r="D41" s="20" t="str">
        <f t="shared" si="2"/>
        <v>JNJ20132</v>
      </c>
      <c r="E41" s="2">
        <v>41327</v>
      </c>
      <c r="F41" s="3">
        <v>0.61</v>
      </c>
      <c r="G41" s="2">
        <v>41345</v>
      </c>
      <c r="H41" s="3">
        <v>3.1699999999999999E-2</v>
      </c>
      <c r="I41" s="3">
        <v>0</v>
      </c>
      <c r="J41" s="3">
        <v>0</v>
      </c>
      <c r="K41" s="3">
        <f t="shared" si="3"/>
        <v>0</v>
      </c>
      <c r="L41" s="3">
        <f t="shared" si="4"/>
        <v>2013</v>
      </c>
      <c r="M41" s="20" t="str">
        <f>A41&amp;L41</f>
        <v>JNJ2013</v>
      </c>
      <c r="N41" s="3">
        <f>F41</f>
        <v>0.61</v>
      </c>
      <c r="O41" s="9">
        <f>H41</f>
        <v>3.1699999999999999E-2</v>
      </c>
      <c r="P41" s="10">
        <f t="shared" si="5"/>
        <v>0</v>
      </c>
      <c r="Q41" s="10">
        <f>IF(K41=0,IF(A38=A41,AVERAGE(O38:O41),"x"),0)</f>
        <v>2.8949999999999997E-2</v>
      </c>
      <c r="R41" s="9">
        <f>IF(L41&gt;2005,AVERAGE(O38:O57),0)</f>
        <v>3.2895000000000008E-2</v>
      </c>
      <c r="S41" s="10">
        <f>IF(A41=A42,(N41-N42)/N42,0)</f>
        <v>0</v>
      </c>
      <c r="T41" s="10">
        <f>IF(L41&gt;2005,(((N41-N61)/N61)+1)^(1/5)-1,0)</f>
        <v>8.0081052992623247E-2</v>
      </c>
      <c r="U41" s="10">
        <f t="shared" si="6"/>
        <v>0.11297605299262325</v>
      </c>
      <c r="V41" s="26">
        <f t="shared" si="7"/>
        <v>4.5737499127142049</v>
      </c>
      <c r="W41" s="3">
        <f>IF(A41=A42,N41-N42,0)</f>
        <v>0</v>
      </c>
      <c r="X41" s="10">
        <f>IF(A41=A42,(N41-N42)/N42,0)</f>
        <v>0</v>
      </c>
    </row>
    <row r="42" spans="1:24" ht="16.5" customHeight="1">
      <c r="A42" s="3" t="s">
        <v>19</v>
      </c>
      <c r="B42" s="3">
        <f t="shared" si="0"/>
        <v>2012</v>
      </c>
      <c r="C42" s="3">
        <f t="shared" si="1"/>
        <v>11</v>
      </c>
      <c r="D42" s="20" t="str">
        <f t="shared" si="2"/>
        <v>JNJ201211</v>
      </c>
      <c r="E42" s="2">
        <v>41236</v>
      </c>
      <c r="F42" s="3">
        <v>0.61</v>
      </c>
      <c r="G42" s="2">
        <v>41254</v>
      </c>
      <c r="H42" s="3">
        <v>3.4500000000000003E-2</v>
      </c>
      <c r="I42" s="3">
        <v>0</v>
      </c>
      <c r="J42" s="3">
        <v>0</v>
      </c>
      <c r="K42" s="3">
        <f t="shared" si="3"/>
        <v>2012</v>
      </c>
      <c r="L42" s="3">
        <f t="shared" si="4"/>
        <v>0</v>
      </c>
      <c r="M42" s="20" t="str">
        <f>A42&amp;L42</f>
        <v>JNJ0</v>
      </c>
      <c r="N42" s="3">
        <f>F42</f>
        <v>0.61</v>
      </c>
      <c r="O42" s="9">
        <f>H42</f>
        <v>3.4500000000000003E-2</v>
      </c>
      <c r="P42" s="10">
        <f t="shared" si="5"/>
        <v>0</v>
      </c>
      <c r="Q42" s="10">
        <f>IF(K42=0,IF(A39=A42,AVERAGE(O39:O42),"x"),0)</f>
        <v>0</v>
      </c>
      <c r="R42" s="9">
        <f>IF(L42&gt;2005,AVERAGE(O39:O58),0)</f>
        <v>0</v>
      </c>
      <c r="S42" s="10">
        <f>IF(A42=A43,(N42-N43)/N43,0)</f>
        <v>0</v>
      </c>
      <c r="T42" s="10">
        <f>IF(L42&gt;2005,(((N42-N62)/N62)+1)^(1/5)-1,0)</f>
        <v>0</v>
      </c>
      <c r="U42" s="10">
        <f t="shared" si="6"/>
        <v>0</v>
      </c>
      <c r="V42" s="26">
        <f t="shared" si="7"/>
        <v>0</v>
      </c>
      <c r="W42" s="3">
        <f>IF(A42=A43,N42-N43,0)</f>
        <v>0</v>
      </c>
      <c r="X42" s="10">
        <f>IF(A42=A43,(N42-N43)/N43,0)</f>
        <v>0</v>
      </c>
    </row>
    <row r="43" spans="1:24" ht="16.5" customHeight="1">
      <c r="A43" s="3" t="s">
        <v>19</v>
      </c>
      <c r="B43" s="3">
        <f t="shared" si="0"/>
        <v>2012</v>
      </c>
      <c r="C43" s="3">
        <f t="shared" si="1"/>
        <v>8</v>
      </c>
      <c r="D43" s="20" t="str">
        <f t="shared" si="2"/>
        <v>JNJ20128</v>
      </c>
      <c r="E43" s="2">
        <v>41145</v>
      </c>
      <c r="F43" s="3">
        <v>0.61</v>
      </c>
      <c r="G43" s="2">
        <v>41163</v>
      </c>
      <c r="H43" s="3">
        <v>3.4799999999999998E-2</v>
      </c>
      <c r="I43" s="3">
        <v>0</v>
      </c>
      <c r="J43" s="3">
        <v>0</v>
      </c>
      <c r="K43" s="3">
        <f t="shared" si="3"/>
        <v>2012</v>
      </c>
      <c r="L43" s="3">
        <f t="shared" si="4"/>
        <v>0</v>
      </c>
      <c r="M43" s="20" t="str">
        <f>A43&amp;L43</f>
        <v>JNJ0</v>
      </c>
      <c r="N43" s="3">
        <f>F43</f>
        <v>0.61</v>
      </c>
      <c r="O43" s="9">
        <f>H43</f>
        <v>3.4799999999999998E-2</v>
      </c>
      <c r="P43" s="10">
        <f t="shared" si="5"/>
        <v>0</v>
      </c>
      <c r="Q43" s="10">
        <f>IF(K43=0,IF(A40=A43,AVERAGE(O40:O43),"x"),0)</f>
        <v>0</v>
      </c>
      <c r="R43" s="9">
        <f>IF(L43&gt;2005,AVERAGE(O40:O59),0)</f>
        <v>0</v>
      </c>
      <c r="S43" s="10">
        <f>IF(A43=A44,(N43-N44)/N44,0)</f>
        <v>0</v>
      </c>
      <c r="T43" s="10">
        <f>IF(L43&gt;2005,(((N43-N63)/N63)+1)^(1/5)-1,0)</f>
        <v>0</v>
      </c>
      <c r="U43" s="10">
        <f t="shared" si="6"/>
        <v>0</v>
      </c>
      <c r="V43" s="26">
        <f t="shared" si="7"/>
        <v>0</v>
      </c>
      <c r="W43" s="3">
        <f>IF(A43=A44,N43-N44,0)</f>
        <v>0</v>
      </c>
      <c r="X43" s="10">
        <f>IF(A43=A44,(N43-N44)/N44,0)</f>
        <v>0</v>
      </c>
    </row>
    <row r="44" spans="1:24" ht="16.5" customHeight="1">
      <c r="A44" s="3" t="s">
        <v>19</v>
      </c>
      <c r="B44" s="3">
        <f t="shared" si="0"/>
        <v>2012</v>
      </c>
      <c r="C44" s="3">
        <f t="shared" si="1"/>
        <v>5</v>
      </c>
      <c r="D44" s="20" t="str">
        <f t="shared" si="2"/>
        <v>JNJ20125</v>
      </c>
      <c r="E44" s="2">
        <v>41053</v>
      </c>
      <c r="F44" s="3">
        <v>0.61</v>
      </c>
      <c r="G44" s="2">
        <v>41072</v>
      </c>
      <c r="H44" s="3">
        <v>3.6700000000000003E-2</v>
      </c>
      <c r="I44" s="3">
        <v>7.0175439000000006E-2</v>
      </c>
      <c r="J44" s="3">
        <v>0.04</v>
      </c>
      <c r="K44" s="3">
        <f t="shared" si="3"/>
        <v>2012</v>
      </c>
      <c r="L44" s="3">
        <f t="shared" si="4"/>
        <v>0</v>
      </c>
      <c r="M44" s="20" t="str">
        <f>A44&amp;L44</f>
        <v>JNJ0</v>
      </c>
      <c r="N44" s="3">
        <f>F44</f>
        <v>0.61</v>
      </c>
      <c r="O44" s="9">
        <f>H44</f>
        <v>3.6700000000000003E-2</v>
      </c>
      <c r="P44" s="10">
        <f t="shared" si="5"/>
        <v>3.5600000000000007E-2</v>
      </c>
      <c r="Q44" s="10">
        <f>IF(K44=0,IF(A41=A44,AVERAGE(O41:O44),"x"),0)</f>
        <v>0</v>
      </c>
      <c r="R44" s="9">
        <f>IF(L44&gt;2005,AVERAGE(O41:O60),0)</f>
        <v>0</v>
      </c>
      <c r="S44" s="10">
        <f>IF(A44=A45,(N44-N45)/N45,0)</f>
        <v>7.0175438596491294E-2</v>
      </c>
      <c r="T44" s="10">
        <f>IF(L44&gt;2005,(((N44-N64)/N64)+1)^(1/5)-1,0)</f>
        <v>0</v>
      </c>
      <c r="U44" s="10">
        <f t="shared" si="6"/>
        <v>0</v>
      </c>
      <c r="V44" s="26">
        <f t="shared" si="7"/>
        <v>0</v>
      </c>
      <c r="W44" s="3">
        <f>IF(A44=A45,N44-N45,0)</f>
        <v>4.0000000000000036E-2</v>
      </c>
      <c r="X44" s="10">
        <f>IF(A44=A45,(N44-N45)/N45,0)</f>
        <v>7.0175438596491294E-2</v>
      </c>
    </row>
    <row r="45" spans="1:24" ht="16.5" customHeight="1">
      <c r="A45" s="3" t="s">
        <v>19</v>
      </c>
      <c r="B45" s="3">
        <f t="shared" si="0"/>
        <v>2012</v>
      </c>
      <c r="C45" s="3">
        <f t="shared" si="1"/>
        <v>2</v>
      </c>
      <c r="D45" s="20" t="str">
        <f t="shared" si="2"/>
        <v>JNJ20122</v>
      </c>
      <c r="E45" s="2">
        <v>40963</v>
      </c>
      <c r="F45" s="3">
        <v>0.56999999999999995</v>
      </c>
      <c r="G45" s="2">
        <v>40981</v>
      </c>
      <c r="H45" s="3">
        <v>3.5000000000000003E-2</v>
      </c>
      <c r="I45" s="3">
        <v>0</v>
      </c>
      <c r="J45" s="3">
        <v>0</v>
      </c>
      <c r="K45" s="3">
        <f t="shared" si="3"/>
        <v>0</v>
      </c>
      <c r="L45" s="3">
        <f t="shared" si="4"/>
        <v>2012</v>
      </c>
      <c r="M45" s="20" t="str">
        <f>A45&amp;L45</f>
        <v>JNJ2012</v>
      </c>
      <c r="N45" s="3">
        <f>F45</f>
        <v>0.56999999999999995</v>
      </c>
      <c r="O45" s="9">
        <f>H45</f>
        <v>3.5000000000000003E-2</v>
      </c>
      <c r="P45" s="10">
        <f t="shared" si="5"/>
        <v>0</v>
      </c>
      <c r="Q45" s="10">
        <f>IF(K45=0,IF(A42=A45,AVERAGE(O42:O45),"x"),0)</f>
        <v>3.5250000000000004E-2</v>
      </c>
      <c r="R45" s="9">
        <f>IF(L45&gt;2005,AVERAGE(O42:O61),0)</f>
        <v>3.2559999999999999E-2</v>
      </c>
      <c r="S45" s="10">
        <f>IF(A45=A46,(N45-N46)/N46,0)</f>
        <v>0</v>
      </c>
      <c r="T45" s="10">
        <f>IF(L45&gt;2005,(((N45-N65)/N65)+1)^(1/5)-1,0)</f>
        <v>8.7348394571074905E-2</v>
      </c>
      <c r="U45" s="10">
        <f t="shared" si="6"/>
        <v>0.11990839457107491</v>
      </c>
      <c r="V45" s="26">
        <f t="shared" si="7"/>
        <v>4.5804342574682559</v>
      </c>
      <c r="W45" s="3">
        <f>IF(A45=A46,N45-N46,0)</f>
        <v>0</v>
      </c>
      <c r="X45" s="10">
        <f>IF(A45=A46,(N45-N46)/N46,0)</f>
        <v>0</v>
      </c>
    </row>
    <row r="46" spans="1:24" ht="16.5" customHeight="1">
      <c r="A46" s="3" t="s">
        <v>19</v>
      </c>
      <c r="B46" s="3">
        <f t="shared" si="0"/>
        <v>2011</v>
      </c>
      <c r="C46" s="3">
        <f t="shared" si="1"/>
        <v>11</v>
      </c>
      <c r="D46" s="20" t="str">
        <f t="shared" si="2"/>
        <v>JNJ201111</v>
      </c>
      <c r="E46" s="2">
        <v>40872</v>
      </c>
      <c r="F46" s="3">
        <v>0.56999999999999995</v>
      </c>
      <c r="G46" s="2">
        <v>40890</v>
      </c>
      <c r="H46" s="3">
        <v>3.6299999999999999E-2</v>
      </c>
      <c r="I46" s="3">
        <v>0</v>
      </c>
      <c r="J46" s="3">
        <v>0</v>
      </c>
      <c r="K46" s="3">
        <f t="shared" si="3"/>
        <v>2011</v>
      </c>
      <c r="L46" s="3">
        <f t="shared" si="4"/>
        <v>0</v>
      </c>
      <c r="M46" s="20" t="str">
        <f>A46&amp;L46</f>
        <v>JNJ0</v>
      </c>
      <c r="N46" s="3">
        <f>F46</f>
        <v>0.56999999999999995</v>
      </c>
      <c r="O46" s="9">
        <f>H46</f>
        <v>3.6299999999999999E-2</v>
      </c>
      <c r="P46" s="10">
        <f t="shared" si="5"/>
        <v>0</v>
      </c>
      <c r="Q46" s="10">
        <f>IF(K46=0,IF(A43=A46,AVERAGE(O43:O46),"x"),0)</f>
        <v>0</v>
      </c>
      <c r="R46" s="9">
        <f>IF(L46&gt;2005,AVERAGE(O43:O62),0)</f>
        <v>0</v>
      </c>
      <c r="S46" s="10">
        <f>IF(A46=A47,(N46-N47)/N47,0)</f>
        <v>0</v>
      </c>
      <c r="T46" s="10">
        <f>IF(L46&gt;2005,(((N46-N66)/N66)+1)^(1/5)-1,0)</f>
        <v>0</v>
      </c>
      <c r="U46" s="10">
        <f t="shared" si="6"/>
        <v>0</v>
      </c>
      <c r="V46" s="26">
        <f t="shared" si="7"/>
        <v>0</v>
      </c>
      <c r="W46" s="3">
        <f>IF(A46=A47,N46-N47,0)</f>
        <v>0</v>
      </c>
      <c r="X46" s="10">
        <f>IF(A46=A47,(N46-N47)/N47,0)</f>
        <v>0</v>
      </c>
    </row>
    <row r="47" spans="1:24" ht="16.5" customHeight="1">
      <c r="A47" s="3" t="s">
        <v>19</v>
      </c>
      <c r="B47" s="3">
        <f t="shared" si="0"/>
        <v>2011</v>
      </c>
      <c r="C47" s="3">
        <f t="shared" si="1"/>
        <v>8</v>
      </c>
      <c r="D47" s="20" t="str">
        <f t="shared" si="2"/>
        <v>JNJ20118</v>
      </c>
      <c r="E47" s="2">
        <v>40781</v>
      </c>
      <c r="F47" s="3">
        <v>0.56999999999999995</v>
      </c>
      <c r="G47" s="2">
        <v>40799</v>
      </c>
      <c r="H47" s="3">
        <v>3.44E-2</v>
      </c>
      <c r="I47" s="3">
        <v>0</v>
      </c>
      <c r="J47" s="3">
        <v>0</v>
      </c>
      <c r="K47" s="3">
        <f t="shared" si="3"/>
        <v>2011</v>
      </c>
      <c r="L47" s="3">
        <f t="shared" si="4"/>
        <v>0</v>
      </c>
      <c r="M47" s="20" t="str">
        <f>A47&amp;L47</f>
        <v>JNJ0</v>
      </c>
      <c r="N47" s="3">
        <f>F47</f>
        <v>0.56999999999999995</v>
      </c>
      <c r="O47" s="9">
        <f>H47</f>
        <v>3.44E-2</v>
      </c>
      <c r="P47" s="10">
        <f t="shared" si="5"/>
        <v>0</v>
      </c>
      <c r="Q47" s="10">
        <f>IF(K47=0,IF(A44=A47,AVERAGE(O44:O47),"x"),0)</f>
        <v>0</v>
      </c>
      <c r="R47" s="9">
        <f>IF(L47&gt;2005,AVERAGE(O44:O63),0)</f>
        <v>0</v>
      </c>
      <c r="S47" s="10">
        <f>IF(A47=A48,(N47-N48)/N48,0)</f>
        <v>0</v>
      </c>
      <c r="T47" s="10">
        <f>IF(L47&gt;2005,(((N47-N67)/N67)+1)^(1/5)-1,0)</f>
        <v>0</v>
      </c>
      <c r="U47" s="10">
        <f t="shared" si="6"/>
        <v>0</v>
      </c>
      <c r="V47" s="26">
        <f t="shared" si="7"/>
        <v>0</v>
      </c>
      <c r="W47" s="3">
        <f>IF(A47=A48,N47-N48,0)</f>
        <v>0</v>
      </c>
      <c r="X47" s="10">
        <f>IF(A47=A48,(N47-N48)/N48,0)</f>
        <v>0</v>
      </c>
    </row>
    <row r="48" spans="1:24" ht="16.5" customHeight="1">
      <c r="A48" s="3" t="s">
        <v>19</v>
      </c>
      <c r="B48" s="3">
        <f t="shared" si="0"/>
        <v>2011</v>
      </c>
      <c r="C48" s="3">
        <f t="shared" si="1"/>
        <v>5</v>
      </c>
      <c r="D48" s="20" t="str">
        <f t="shared" si="2"/>
        <v>JNJ20115</v>
      </c>
      <c r="E48" s="2">
        <v>40689</v>
      </c>
      <c r="F48" s="3">
        <v>0.56999999999999995</v>
      </c>
      <c r="G48" s="2">
        <v>40708</v>
      </c>
      <c r="H48" s="3">
        <v>3.3000000000000002E-2</v>
      </c>
      <c r="I48" s="3">
        <v>5.5555555999999999E-2</v>
      </c>
      <c r="J48" s="3">
        <v>0.03</v>
      </c>
      <c r="K48" s="3">
        <f t="shared" si="3"/>
        <v>2011</v>
      </c>
      <c r="L48" s="3">
        <f t="shared" si="4"/>
        <v>0</v>
      </c>
      <c r="M48" s="20" t="str">
        <f>A48&amp;L48</f>
        <v>JNJ0</v>
      </c>
      <c r="N48" s="3">
        <f>F48</f>
        <v>0.56999999999999995</v>
      </c>
      <c r="O48" s="9">
        <f>H48</f>
        <v>3.3000000000000002E-2</v>
      </c>
      <c r="P48" s="10">
        <f t="shared" si="5"/>
        <v>3.4450000000000001E-2</v>
      </c>
      <c r="Q48" s="10">
        <f>IF(K48=0,IF(A45=A48,AVERAGE(O45:O48),"x"),0)</f>
        <v>0</v>
      </c>
      <c r="R48" s="9">
        <f>IF(L48&gt;2005,AVERAGE(O45:O64),0)</f>
        <v>0</v>
      </c>
      <c r="S48" s="10">
        <f>IF(A48=A49,(N48-N49)/N49,0)</f>
        <v>5.5555555555555393E-2</v>
      </c>
      <c r="T48" s="10">
        <f>IF(L48&gt;2005,(((N48-N68)/N68)+1)^(1/5)-1,0)</f>
        <v>0</v>
      </c>
      <c r="U48" s="10">
        <f t="shared" si="6"/>
        <v>0</v>
      </c>
      <c r="V48" s="26">
        <f t="shared" si="7"/>
        <v>0</v>
      </c>
      <c r="W48" s="3">
        <f>IF(A48=A49,N48-N49,0)</f>
        <v>2.9999999999999916E-2</v>
      </c>
      <c r="X48" s="10">
        <f>IF(A48=A49,(N48-N49)/N49,0)</f>
        <v>5.5555555555555393E-2</v>
      </c>
    </row>
    <row r="49" spans="1:24" ht="16.5" customHeight="1">
      <c r="A49" s="3" t="s">
        <v>19</v>
      </c>
      <c r="B49" s="3">
        <f t="shared" si="0"/>
        <v>2011</v>
      </c>
      <c r="C49" s="3">
        <f t="shared" si="1"/>
        <v>2</v>
      </c>
      <c r="D49" s="20" t="str">
        <f t="shared" si="2"/>
        <v>JNJ20112</v>
      </c>
      <c r="E49" s="2">
        <v>40599</v>
      </c>
      <c r="F49" s="3">
        <v>0.54</v>
      </c>
      <c r="G49" s="2">
        <v>40617</v>
      </c>
      <c r="H49" s="3">
        <v>3.5900000000000001E-2</v>
      </c>
      <c r="I49" s="3">
        <v>0</v>
      </c>
      <c r="J49" s="3">
        <v>0</v>
      </c>
      <c r="K49" s="3">
        <f t="shared" si="3"/>
        <v>0</v>
      </c>
      <c r="L49" s="3">
        <f t="shared" si="4"/>
        <v>2011</v>
      </c>
      <c r="M49" s="20" t="str">
        <f>A49&amp;L49</f>
        <v>JNJ2011</v>
      </c>
      <c r="N49" s="3">
        <f>F49</f>
        <v>0.54</v>
      </c>
      <c r="O49" s="9">
        <f>H49</f>
        <v>3.5900000000000001E-2</v>
      </c>
      <c r="P49" s="10">
        <f t="shared" si="5"/>
        <v>0</v>
      </c>
      <c r="Q49" s="10">
        <f>IF(K49=0,IF(A46=A49,AVERAGE(O46:O49),"x"),0)</f>
        <v>3.49E-2</v>
      </c>
      <c r="R49" s="9">
        <f>IF(L49&gt;2005,AVERAGE(O46:O65),0)</f>
        <v>3.0349999999999999E-2</v>
      </c>
      <c r="S49" s="10">
        <f>IF(A49=A50,(N49-N50)/N50,0)</f>
        <v>0</v>
      </c>
      <c r="T49" s="10">
        <f>IF(L49&gt;2005,(((N49-N69)/N69)+1)^(1/5)-1,0)</f>
        <v>0.10350921459993478</v>
      </c>
      <c r="U49" s="10">
        <f t="shared" si="6"/>
        <v>0.13385921459993477</v>
      </c>
      <c r="V49" s="26">
        <f t="shared" si="7"/>
        <v>4.6125399629978867</v>
      </c>
      <c r="W49" s="3">
        <f>IF(A49=A50,N49-N50,0)</f>
        <v>0</v>
      </c>
      <c r="X49" s="10">
        <f>IF(A49=A50,(N49-N50)/N50,0)</f>
        <v>0</v>
      </c>
    </row>
    <row r="50" spans="1:24" ht="16.5" customHeight="1">
      <c r="A50" s="3" t="s">
        <v>19</v>
      </c>
      <c r="B50" s="3">
        <f t="shared" si="0"/>
        <v>2010</v>
      </c>
      <c r="C50" s="3">
        <f t="shared" si="1"/>
        <v>11</v>
      </c>
      <c r="D50" s="20" t="str">
        <f t="shared" si="2"/>
        <v>JNJ201011</v>
      </c>
      <c r="E50" s="2">
        <v>40508</v>
      </c>
      <c r="F50" s="3">
        <v>0.54</v>
      </c>
      <c r="G50" s="2">
        <v>40526</v>
      </c>
      <c r="H50" s="3">
        <v>3.3300000000000003E-2</v>
      </c>
      <c r="I50" s="3">
        <v>0</v>
      </c>
      <c r="J50" s="3">
        <v>0</v>
      </c>
      <c r="K50" s="3">
        <f t="shared" si="3"/>
        <v>2010</v>
      </c>
      <c r="L50" s="3">
        <f t="shared" si="4"/>
        <v>0</v>
      </c>
      <c r="M50" s="20" t="str">
        <f>A50&amp;L50</f>
        <v>JNJ0</v>
      </c>
      <c r="N50" s="3">
        <f>F50</f>
        <v>0.54</v>
      </c>
      <c r="O50" s="9">
        <f>H50</f>
        <v>3.3300000000000003E-2</v>
      </c>
      <c r="P50" s="10">
        <f t="shared" si="5"/>
        <v>0</v>
      </c>
      <c r="Q50" s="10">
        <f>IF(K50=0,IF(A47=A50,AVERAGE(O47:O50),"x"),0)</f>
        <v>0</v>
      </c>
      <c r="R50" s="9">
        <f>IF(L50&gt;2005,AVERAGE(O47:O66),0)</f>
        <v>0</v>
      </c>
      <c r="S50" s="10">
        <f>IF(A50=A51,(N50-N51)/N51,0)</f>
        <v>0</v>
      </c>
      <c r="T50" s="10">
        <f>IF(L50&gt;2005,(((N50-N70)/N70)+1)^(1/5)-1,0)</f>
        <v>0</v>
      </c>
      <c r="U50" s="10">
        <f t="shared" si="6"/>
        <v>0</v>
      </c>
      <c r="V50" s="26">
        <f t="shared" si="7"/>
        <v>0</v>
      </c>
      <c r="W50" s="3">
        <f>IF(A50=A51,N50-N51,0)</f>
        <v>0</v>
      </c>
      <c r="X50" s="10">
        <f>IF(A50=A51,(N50-N51)/N51,0)</f>
        <v>0</v>
      </c>
    </row>
    <row r="51" spans="1:24" ht="16.5" customHeight="1">
      <c r="A51" s="3" t="s">
        <v>19</v>
      </c>
      <c r="B51" s="3">
        <f t="shared" si="0"/>
        <v>2010</v>
      </c>
      <c r="C51" s="3">
        <f t="shared" si="1"/>
        <v>8</v>
      </c>
      <c r="D51" s="20" t="str">
        <f t="shared" si="2"/>
        <v>JNJ20108</v>
      </c>
      <c r="E51" s="2">
        <v>40417</v>
      </c>
      <c r="F51" s="3">
        <v>0.54</v>
      </c>
      <c r="G51" s="2">
        <v>40435</v>
      </c>
      <c r="H51" s="3">
        <v>3.56E-2</v>
      </c>
      <c r="I51" s="3">
        <v>0</v>
      </c>
      <c r="J51" s="3">
        <v>0</v>
      </c>
      <c r="K51" s="3">
        <f t="shared" si="3"/>
        <v>2010</v>
      </c>
      <c r="L51" s="3">
        <f t="shared" si="4"/>
        <v>0</v>
      </c>
      <c r="M51" s="20" t="str">
        <f>A51&amp;L51</f>
        <v>JNJ0</v>
      </c>
      <c r="N51" s="3">
        <f>F51</f>
        <v>0.54</v>
      </c>
      <c r="O51" s="9">
        <f>H51</f>
        <v>3.56E-2</v>
      </c>
      <c r="P51" s="10">
        <f t="shared" si="5"/>
        <v>0</v>
      </c>
      <c r="Q51" s="10">
        <f>IF(K51=0,IF(A48=A51,AVERAGE(O48:O51),"x"),0)</f>
        <v>0</v>
      </c>
      <c r="R51" s="9">
        <f>IF(L51&gt;2005,AVERAGE(O48:O67),0)</f>
        <v>0</v>
      </c>
      <c r="S51" s="10">
        <f>IF(A51=A52,(N51-N52)/N52,0)</f>
        <v>0</v>
      </c>
      <c r="T51" s="10">
        <f>IF(L51&gt;2005,(((N51-N71)/N71)+1)^(1/5)-1,0)</f>
        <v>0</v>
      </c>
      <c r="U51" s="10">
        <f t="shared" si="6"/>
        <v>0</v>
      </c>
      <c r="V51" s="26">
        <f t="shared" si="7"/>
        <v>0</v>
      </c>
      <c r="W51" s="3">
        <f>IF(A51=A52,N51-N52,0)</f>
        <v>0</v>
      </c>
      <c r="X51" s="10">
        <f>IF(A51=A52,(N51-N52)/N52,0)</f>
        <v>0</v>
      </c>
    </row>
    <row r="52" spans="1:24" ht="16.5" customHeight="1">
      <c r="A52" s="3" t="s">
        <v>19</v>
      </c>
      <c r="B52" s="3">
        <f t="shared" si="0"/>
        <v>2010</v>
      </c>
      <c r="C52" s="3">
        <f t="shared" si="1"/>
        <v>5</v>
      </c>
      <c r="D52" s="20" t="str">
        <f t="shared" si="2"/>
        <v>JNJ20105</v>
      </c>
      <c r="E52" s="2">
        <v>40325</v>
      </c>
      <c r="F52" s="3">
        <v>0.54</v>
      </c>
      <c r="G52" s="2">
        <v>40344</v>
      </c>
      <c r="H52" s="3">
        <v>3.3700000000000001E-2</v>
      </c>
      <c r="I52" s="3">
        <v>0.10204081600000001</v>
      </c>
      <c r="J52" s="3">
        <v>0.05</v>
      </c>
      <c r="K52" s="3">
        <f t="shared" si="3"/>
        <v>2010</v>
      </c>
      <c r="L52" s="3">
        <f t="shared" si="4"/>
        <v>0</v>
      </c>
      <c r="M52" s="20" t="str">
        <f>A52&amp;L52</f>
        <v>JNJ0</v>
      </c>
      <c r="N52" s="3">
        <f>F52</f>
        <v>0.54</v>
      </c>
      <c r="O52" s="9">
        <f>H52</f>
        <v>3.3700000000000001E-2</v>
      </c>
      <c r="P52" s="10">
        <f t="shared" si="5"/>
        <v>3.1550000000000002E-2</v>
      </c>
      <c r="Q52" s="10">
        <f>IF(K52=0,IF(A49=A52,AVERAGE(O49:O52),"x"),0)</f>
        <v>0</v>
      </c>
      <c r="R52" s="9">
        <f>IF(L52&gt;2005,AVERAGE(O49:O68),0)</f>
        <v>0</v>
      </c>
      <c r="S52" s="10">
        <f>IF(A52=A53,(N52-N53)/N53,0)</f>
        <v>0.10204081632653071</v>
      </c>
      <c r="T52" s="10">
        <f>IF(L52&gt;2005,(((N52-N72)/N72)+1)^(1/5)-1,0)</f>
        <v>0</v>
      </c>
      <c r="U52" s="10">
        <f t="shared" si="6"/>
        <v>0</v>
      </c>
      <c r="V52" s="26">
        <f t="shared" si="7"/>
        <v>0</v>
      </c>
      <c r="W52" s="3">
        <f>IF(A52=A53,N52-N53,0)</f>
        <v>5.0000000000000044E-2</v>
      </c>
      <c r="X52" s="10">
        <f>IF(A52=A53,(N52-N53)/N53,0)</f>
        <v>0.10204081632653071</v>
      </c>
    </row>
    <row r="53" spans="1:24" ht="16.5" customHeight="1">
      <c r="A53" s="3" t="s">
        <v>19</v>
      </c>
      <c r="B53" s="3">
        <f t="shared" si="0"/>
        <v>2010</v>
      </c>
      <c r="C53" s="3">
        <f t="shared" si="1"/>
        <v>2</v>
      </c>
      <c r="D53" s="20" t="str">
        <f t="shared" si="2"/>
        <v>JNJ20102</v>
      </c>
      <c r="E53" s="2">
        <v>40228</v>
      </c>
      <c r="F53" s="3">
        <v>0.49</v>
      </c>
      <c r="G53" s="2">
        <v>40246</v>
      </c>
      <c r="H53" s="3">
        <v>3.04E-2</v>
      </c>
      <c r="I53" s="3">
        <v>0</v>
      </c>
      <c r="J53" s="3">
        <v>0</v>
      </c>
      <c r="K53" s="3">
        <f t="shared" si="3"/>
        <v>0</v>
      </c>
      <c r="L53" s="3">
        <f t="shared" si="4"/>
        <v>2010</v>
      </c>
      <c r="M53" s="20" t="str">
        <f>A53&amp;L53</f>
        <v>JNJ2010</v>
      </c>
      <c r="N53" s="3">
        <f>F53</f>
        <v>0.49</v>
      </c>
      <c r="O53" s="9">
        <f>H53</f>
        <v>3.04E-2</v>
      </c>
      <c r="P53" s="10">
        <f t="shared" si="5"/>
        <v>0</v>
      </c>
      <c r="Q53" s="10">
        <f>IF(K53=0,IF(A50=A53,AVERAGE(O50:O53),"x"),0)</f>
        <v>3.3250000000000002E-2</v>
      </c>
      <c r="R53" s="9">
        <f>IF(L53&gt;2005,AVERAGE(O50:O69),0)</f>
        <v>2.7794999999999997E-2</v>
      </c>
      <c r="S53" s="10">
        <f>IF(A53=A54,(N53-N54)/N54,0)</f>
        <v>0</v>
      </c>
      <c r="T53" s="10">
        <f>IF(L53&gt;2005,(((N53-N73)/N73)+1)^(1/5)-1,0)</f>
        <v>0.11447477728186639</v>
      </c>
      <c r="U53" s="10">
        <f t="shared" si="6"/>
        <v>0.14226977728186638</v>
      </c>
      <c r="V53" s="26">
        <f t="shared" si="7"/>
        <v>4.646631041667483</v>
      </c>
      <c r="W53" s="3">
        <f>IF(A53=A54,N53-N54,0)</f>
        <v>0</v>
      </c>
      <c r="X53" s="10">
        <f>IF(A53=A54,(N53-N54)/N54,0)</f>
        <v>0</v>
      </c>
    </row>
    <row r="54" spans="1:24" ht="16.5" customHeight="1">
      <c r="A54" s="3" t="s">
        <v>19</v>
      </c>
      <c r="B54" s="3">
        <f t="shared" si="0"/>
        <v>2009</v>
      </c>
      <c r="C54" s="3">
        <f t="shared" si="1"/>
        <v>11</v>
      </c>
      <c r="D54" s="20" t="str">
        <f t="shared" si="2"/>
        <v>JNJ200911</v>
      </c>
      <c r="E54" s="2">
        <v>40137</v>
      </c>
      <c r="F54" s="3">
        <v>0.49</v>
      </c>
      <c r="G54" s="2">
        <v>40155</v>
      </c>
      <c r="H54" s="3">
        <v>3.09E-2</v>
      </c>
      <c r="I54" s="3">
        <v>0</v>
      </c>
      <c r="J54" s="3">
        <v>0</v>
      </c>
      <c r="K54" s="3">
        <f t="shared" si="3"/>
        <v>2009</v>
      </c>
      <c r="L54" s="3">
        <f t="shared" si="4"/>
        <v>0</v>
      </c>
      <c r="M54" s="20" t="str">
        <f>A54&amp;L54</f>
        <v>JNJ0</v>
      </c>
      <c r="N54" s="3">
        <f>F54</f>
        <v>0.49</v>
      </c>
      <c r="O54" s="9">
        <f>H54</f>
        <v>3.09E-2</v>
      </c>
      <c r="P54" s="10">
        <f t="shared" si="5"/>
        <v>0</v>
      </c>
      <c r="Q54" s="10">
        <f>IF(K54=0,IF(A51=A54,AVERAGE(O51:O54),"x"),0)</f>
        <v>0</v>
      </c>
      <c r="R54" s="9">
        <f>IF(L54&gt;2005,AVERAGE(O51:O70),0)</f>
        <v>0</v>
      </c>
      <c r="S54" s="10">
        <f>IF(A54=A55,(N54-N55)/N55,0)</f>
        <v>0</v>
      </c>
      <c r="T54" s="10">
        <f>IF(L54&gt;2005,(((N54-N74)/N74)+1)^(1/5)-1,0)</f>
        <v>0</v>
      </c>
      <c r="U54" s="10">
        <f t="shared" si="6"/>
        <v>0</v>
      </c>
      <c r="V54" s="26">
        <f t="shared" si="7"/>
        <v>0</v>
      </c>
      <c r="W54" s="3">
        <f>IF(A54=A55,N54-N55,0)</f>
        <v>0</v>
      </c>
      <c r="X54" s="10">
        <f>IF(A54=A55,(N54-N55)/N55,0)</f>
        <v>0</v>
      </c>
    </row>
    <row r="55" spans="1:24" ht="16.5" customHeight="1">
      <c r="A55" s="3" t="s">
        <v>19</v>
      </c>
      <c r="B55" s="3">
        <f t="shared" si="0"/>
        <v>2009</v>
      </c>
      <c r="C55" s="3">
        <f t="shared" si="1"/>
        <v>8</v>
      </c>
      <c r="D55" s="20" t="str">
        <f t="shared" si="2"/>
        <v>JNJ20098</v>
      </c>
      <c r="E55" s="2">
        <v>40046</v>
      </c>
      <c r="F55" s="3">
        <v>0.49</v>
      </c>
      <c r="G55" s="2">
        <v>40064</v>
      </c>
      <c r="H55" s="3">
        <v>3.1199999999999999E-2</v>
      </c>
      <c r="I55" s="3">
        <v>0</v>
      </c>
      <c r="J55" s="3">
        <v>0</v>
      </c>
      <c r="K55" s="3">
        <f t="shared" si="3"/>
        <v>2009</v>
      </c>
      <c r="L55" s="3">
        <f t="shared" si="4"/>
        <v>0</v>
      </c>
      <c r="M55" s="20" t="str">
        <f>A55&amp;L55</f>
        <v>JNJ0</v>
      </c>
      <c r="N55" s="3">
        <f>F55</f>
        <v>0.49</v>
      </c>
      <c r="O55" s="9">
        <f>H55</f>
        <v>3.1199999999999999E-2</v>
      </c>
      <c r="P55" s="10">
        <f t="shared" si="5"/>
        <v>0</v>
      </c>
      <c r="Q55" s="10">
        <f>IF(K55=0,IF(A52=A55,AVERAGE(O52:O55),"x"),0)</f>
        <v>0</v>
      </c>
      <c r="R55" s="9">
        <f>IF(L55&gt;2005,AVERAGE(O52:O71),0)</f>
        <v>0</v>
      </c>
      <c r="S55" s="10">
        <f>IF(A55=A56,(N55-N56)/N56,0)</f>
        <v>0</v>
      </c>
      <c r="T55" s="10">
        <f>IF(L55&gt;2005,(((N55-N75)/N75)+1)^(1/5)-1,0)</f>
        <v>0</v>
      </c>
      <c r="U55" s="10">
        <f t="shared" si="6"/>
        <v>0</v>
      </c>
      <c r="V55" s="26">
        <f t="shared" si="7"/>
        <v>0</v>
      </c>
      <c r="W55" s="3">
        <f>IF(A55=A56,N55-N56,0)</f>
        <v>0</v>
      </c>
      <c r="X55" s="10">
        <f>IF(A55=A56,(N55-N56)/N56,0)</f>
        <v>0</v>
      </c>
    </row>
    <row r="56" spans="1:24" ht="16.5" customHeight="1">
      <c r="A56" s="3" t="s">
        <v>19</v>
      </c>
      <c r="B56" s="3">
        <f t="shared" si="0"/>
        <v>2009</v>
      </c>
      <c r="C56" s="3">
        <f t="shared" si="1"/>
        <v>5</v>
      </c>
      <c r="D56" s="20" t="str">
        <f t="shared" si="2"/>
        <v>JNJ20095</v>
      </c>
      <c r="E56" s="2">
        <v>39954</v>
      </c>
      <c r="F56" s="3">
        <v>0.49</v>
      </c>
      <c r="G56" s="2">
        <v>39973</v>
      </c>
      <c r="H56" s="3">
        <v>3.3500000000000002E-2</v>
      </c>
      <c r="I56" s="3">
        <v>6.5217391E-2</v>
      </c>
      <c r="J56" s="3">
        <v>0.03</v>
      </c>
      <c r="K56" s="3">
        <f t="shared" si="3"/>
        <v>2009</v>
      </c>
      <c r="L56" s="3">
        <f t="shared" si="4"/>
        <v>0</v>
      </c>
      <c r="M56" s="20" t="str">
        <f>A56&amp;L56</f>
        <v>JNJ0</v>
      </c>
      <c r="N56" s="3">
        <f>F56</f>
        <v>0.49</v>
      </c>
      <c r="O56" s="9">
        <f>H56</f>
        <v>3.3500000000000002E-2</v>
      </c>
      <c r="P56" s="10">
        <f t="shared" si="5"/>
        <v>3.0799999999999998E-2</v>
      </c>
      <c r="Q56" s="10">
        <f>IF(K56=0,IF(A53=A56,AVERAGE(O53:O56),"x"),0)</f>
        <v>0</v>
      </c>
      <c r="R56" s="9">
        <f>IF(L56&gt;2005,AVERAGE(O53:O72),0)</f>
        <v>0</v>
      </c>
      <c r="S56" s="10">
        <f>IF(A56=A57,(N56-N57)/N57,0)</f>
        <v>6.5217391304347755E-2</v>
      </c>
      <c r="T56" s="10">
        <f>IF(L56&gt;2005,(((N56-N76)/N76)+1)^(1/5)-1,0)</f>
        <v>0</v>
      </c>
      <c r="U56" s="10">
        <f t="shared" si="6"/>
        <v>0</v>
      </c>
      <c r="V56" s="26">
        <f t="shared" si="7"/>
        <v>0</v>
      </c>
      <c r="W56" s="3">
        <f>IF(A56=A57,N56-N57,0)</f>
        <v>2.9999999999999971E-2</v>
      </c>
      <c r="X56" s="10">
        <f>IF(A56=A57,(N56-N57)/N57,0)</f>
        <v>6.5217391304347755E-2</v>
      </c>
    </row>
    <row r="57" spans="1:24" ht="16.5" customHeight="1">
      <c r="A57" s="3" t="s">
        <v>19</v>
      </c>
      <c r="B57" s="3">
        <f t="shared" si="0"/>
        <v>2009</v>
      </c>
      <c r="C57" s="3">
        <f t="shared" si="1"/>
        <v>2</v>
      </c>
      <c r="D57" s="20" t="str">
        <f t="shared" si="2"/>
        <v>JNJ20092</v>
      </c>
      <c r="E57" s="2">
        <v>39864</v>
      </c>
      <c r="F57" s="3">
        <v>0.46</v>
      </c>
      <c r="G57" s="2">
        <v>39882</v>
      </c>
      <c r="H57" s="3">
        <v>3.2899999999999999E-2</v>
      </c>
      <c r="I57" s="3">
        <v>0</v>
      </c>
      <c r="J57" s="3">
        <v>0</v>
      </c>
      <c r="K57" s="3">
        <f t="shared" si="3"/>
        <v>0</v>
      </c>
      <c r="L57" s="3">
        <f t="shared" si="4"/>
        <v>2009</v>
      </c>
      <c r="M57" s="20" t="str">
        <f>A57&amp;L57</f>
        <v>JNJ2009</v>
      </c>
      <c r="N57" s="3">
        <f>F57</f>
        <v>0.46</v>
      </c>
      <c r="O57" s="9">
        <f>H57</f>
        <v>3.2899999999999999E-2</v>
      </c>
      <c r="P57" s="10">
        <f t="shared" si="5"/>
        <v>0</v>
      </c>
      <c r="Q57" s="10">
        <f>IF(K57=0,IF(A54=A57,AVERAGE(O54:O57),"x"),0)</f>
        <v>3.2125000000000001E-2</v>
      </c>
      <c r="R57" s="9">
        <f>IF(L57&gt;2005,AVERAGE(O54:O73),0)</f>
        <v>2.4840000000000004E-2</v>
      </c>
      <c r="S57" s="10">
        <f>IF(A57=A58,(N57-N58)/N58,0)</f>
        <v>0</v>
      </c>
      <c r="T57" s="10">
        <f>IF(L57&gt;2005,(((N57-N77)/N77)+1)^(1/5)-1,0)</f>
        <v>0.13896221858789914</v>
      </c>
      <c r="U57" s="10">
        <f t="shared" si="6"/>
        <v>0.16380221858789915</v>
      </c>
      <c r="V57" s="26">
        <f t="shared" si="7"/>
        <v>4.6888090816407484</v>
      </c>
      <c r="W57" s="3">
        <f>IF(A57=A58,N57-N58,0)</f>
        <v>0</v>
      </c>
      <c r="X57" s="10">
        <f>IF(A57=A58,(N57-N58)/N58,0)</f>
        <v>0</v>
      </c>
    </row>
    <row r="58" spans="1:24" ht="16.5" customHeight="1">
      <c r="A58" s="3" t="s">
        <v>19</v>
      </c>
      <c r="B58" s="3">
        <f t="shared" si="0"/>
        <v>2008</v>
      </c>
      <c r="C58" s="3">
        <f t="shared" si="1"/>
        <v>11</v>
      </c>
      <c r="D58" s="20" t="str">
        <f t="shared" si="2"/>
        <v>JNJ200811</v>
      </c>
      <c r="E58" s="2">
        <v>39773</v>
      </c>
      <c r="F58" s="3">
        <v>0.46</v>
      </c>
      <c r="G58" s="2">
        <v>39791</v>
      </c>
      <c r="H58" s="3">
        <v>3.2199999999999999E-2</v>
      </c>
      <c r="I58" s="3">
        <v>0</v>
      </c>
      <c r="J58" s="3">
        <v>0</v>
      </c>
      <c r="K58" s="3">
        <f t="shared" si="3"/>
        <v>2008</v>
      </c>
      <c r="L58" s="3">
        <f t="shared" si="4"/>
        <v>0</v>
      </c>
      <c r="M58" s="20" t="str">
        <f>A58&amp;L58</f>
        <v>JNJ0</v>
      </c>
      <c r="N58" s="3">
        <f>F58</f>
        <v>0.46</v>
      </c>
      <c r="O58" s="9">
        <f>H58</f>
        <v>3.2199999999999999E-2</v>
      </c>
      <c r="P58" s="10">
        <f t="shared" si="5"/>
        <v>0</v>
      </c>
      <c r="Q58" s="10">
        <f>IF(K58=0,IF(A55=A58,AVERAGE(O55:O58),"x"),0)</f>
        <v>0</v>
      </c>
      <c r="R58" s="9">
        <f>IF(L58&gt;2005,AVERAGE(O55:O74),0)</f>
        <v>0</v>
      </c>
      <c r="S58" s="10">
        <f>IF(A58=A59,(N58-N59)/N59,0)</f>
        <v>0</v>
      </c>
      <c r="T58" s="10">
        <f>IF(L58&gt;2005,(((N58-N78)/N78)+1)^(1/5)-1,0)</f>
        <v>0</v>
      </c>
      <c r="U58" s="10">
        <f t="shared" si="6"/>
        <v>0</v>
      </c>
      <c r="V58" s="26">
        <f t="shared" si="7"/>
        <v>0</v>
      </c>
      <c r="W58" s="3">
        <f>IF(A58=A59,N58-N59,0)</f>
        <v>0</v>
      </c>
      <c r="X58" s="10">
        <f>IF(A58=A59,(N58-N59)/N59,0)</f>
        <v>0</v>
      </c>
    </row>
    <row r="59" spans="1:24" ht="16.5" customHeight="1">
      <c r="A59" s="3" t="s">
        <v>19</v>
      </c>
      <c r="B59" s="3">
        <f t="shared" si="0"/>
        <v>2008</v>
      </c>
      <c r="C59" s="3">
        <f t="shared" si="1"/>
        <v>8</v>
      </c>
      <c r="D59" s="20" t="str">
        <f t="shared" si="2"/>
        <v>JNJ20088</v>
      </c>
      <c r="E59" s="2">
        <v>39682</v>
      </c>
      <c r="F59" s="3">
        <v>0.46</v>
      </c>
      <c r="G59" s="2">
        <v>39700</v>
      </c>
      <c r="H59" s="3">
        <v>2.46E-2</v>
      </c>
      <c r="I59" s="3">
        <v>0</v>
      </c>
      <c r="J59" s="3">
        <v>0</v>
      </c>
      <c r="K59" s="3">
        <f t="shared" si="3"/>
        <v>2008</v>
      </c>
      <c r="L59" s="3">
        <f t="shared" si="4"/>
        <v>0</v>
      </c>
      <c r="M59" s="20" t="str">
        <f>A59&amp;L59</f>
        <v>JNJ0</v>
      </c>
      <c r="N59" s="3">
        <f>F59</f>
        <v>0.46</v>
      </c>
      <c r="O59" s="9">
        <f>H59</f>
        <v>2.46E-2</v>
      </c>
      <c r="P59" s="10">
        <f t="shared" si="5"/>
        <v>0</v>
      </c>
      <c r="Q59" s="10">
        <f>IF(K59=0,IF(A56=A59,AVERAGE(O56:O59),"x"),0)</f>
        <v>0</v>
      </c>
      <c r="R59" s="9">
        <f>IF(L59&gt;2005,AVERAGE(O56:O75),0)</f>
        <v>0</v>
      </c>
      <c r="S59" s="10">
        <f>IF(A59=A60,(N59-N60)/N60,0)</f>
        <v>0</v>
      </c>
      <c r="T59" s="10">
        <f>IF(L59&gt;2005,(((N59-N79)/N79)+1)^(1/5)-1,0)</f>
        <v>0</v>
      </c>
      <c r="U59" s="10">
        <f t="shared" si="6"/>
        <v>0</v>
      </c>
      <c r="V59" s="26">
        <f t="shared" si="7"/>
        <v>0</v>
      </c>
      <c r="W59" s="3">
        <f>IF(A59=A60,N59-N60,0)</f>
        <v>0</v>
      </c>
      <c r="X59" s="10">
        <f>IF(A59=A60,(N59-N60)/N60,0)</f>
        <v>0</v>
      </c>
    </row>
    <row r="60" spans="1:24" ht="16.5" customHeight="1">
      <c r="A60" s="3" t="s">
        <v>19</v>
      </c>
      <c r="B60" s="3">
        <f t="shared" si="0"/>
        <v>2008</v>
      </c>
      <c r="C60" s="3">
        <f t="shared" si="1"/>
        <v>5</v>
      </c>
      <c r="D60" s="20" t="str">
        <f t="shared" si="2"/>
        <v>JNJ20085</v>
      </c>
      <c r="E60" s="2">
        <v>39590</v>
      </c>
      <c r="F60" s="3">
        <v>0.46</v>
      </c>
      <c r="G60" s="2">
        <v>39609</v>
      </c>
      <c r="H60" s="3">
        <v>2.5899999999999999E-2</v>
      </c>
      <c r="I60" s="3">
        <v>0.108433735</v>
      </c>
      <c r="J60" s="3">
        <v>4.4999999999999998E-2</v>
      </c>
      <c r="K60" s="3">
        <f t="shared" si="3"/>
        <v>2008</v>
      </c>
      <c r="L60" s="3">
        <f t="shared" si="4"/>
        <v>0</v>
      </c>
      <c r="M60" s="20" t="str">
        <f>A60&amp;L60</f>
        <v>JNJ0</v>
      </c>
      <c r="N60" s="3">
        <f>F60</f>
        <v>0.46</v>
      </c>
      <c r="O60" s="9">
        <f>H60</f>
        <v>2.5899999999999999E-2</v>
      </c>
      <c r="P60" s="10">
        <f t="shared" si="5"/>
        <v>2.545E-2</v>
      </c>
      <c r="Q60" s="10">
        <f>IF(K60=0,IF(A57=A60,AVERAGE(O57:O60),"x"),0)</f>
        <v>0</v>
      </c>
      <c r="R60" s="9">
        <f>IF(L60&gt;2005,AVERAGE(O57:O76),0)</f>
        <v>0</v>
      </c>
      <c r="S60" s="10">
        <f>IF(A60=A61,(N60-N61)/N61,0)</f>
        <v>0.10843373493975914</v>
      </c>
      <c r="T60" s="10">
        <f>IF(L60&gt;2005,(((N60-N80)/N80)+1)^(1/5)-1,0)</f>
        <v>0</v>
      </c>
      <c r="U60" s="10">
        <f t="shared" si="6"/>
        <v>0</v>
      </c>
      <c r="V60" s="26">
        <f t="shared" si="7"/>
        <v>0</v>
      </c>
      <c r="W60" s="3">
        <f>IF(A60=A61,N60-N61,0)</f>
        <v>4.500000000000004E-2</v>
      </c>
      <c r="X60" s="10">
        <f>IF(A60=A61,(N60-N61)/N61,0)</f>
        <v>0.10843373493975914</v>
      </c>
    </row>
    <row r="61" spans="1:24" ht="16.5" customHeight="1">
      <c r="A61" s="3" t="s">
        <v>19</v>
      </c>
      <c r="B61" s="3">
        <f t="shared" si="0"/>
        <v>2008</v>
      </c>
      <c r="C61" s="3">
        <f t="shared" si="1"/>
        <v>2</v>
      </c>
      <c r="D61" s="20" t="str">
        <f t="shared" si="2"/>
        <v>JNJ20082</v>
      </c>
      <c r="E61" s="2">
        <v>39500</v>
      </c>
      <c r="F61" s="3">
        <v>0.41499999999999998</v>
      </c>
      <c r="G61" s="2">
        <v>39518</v>
      </c>
      <c r="H61" s="3">
        <v>2.64E-2</v>
      </c>
      <c r="I61" s="3">
        <v>0</v>
      </c>
      <c r="J61" s="3">
        <v>0</v>
      </c>
      <c r="K61" s="3">
        <f t="shared" si="3"/>
        <v>0</v>
      </c>
      <c r="L61" s="3">
        <f t="shared" si="4"/>
        <v>2008</v>
      </c>
      <c r="M61" s="20" t="str">
        <f>A61&amp;L61</f>
        <v>JNJ2008</v>
      </c>
      <c r="N61" s="3">
        <f>F61</f>
        <v>0.41499999999999998</v>
      </c>
      <c r="O61" s="9">
        <f>H61</f>
        <v>2.64E-2</v>
      </c>
      <c r="P61" s="10">
        <f t="shared" si="5"/>
        <v>0</v>
      </c>
      <c r="Q61" s="10">
        <f>IF(K61=0,IF(A58=A61,AVERAGE(O58:O61),"x"),0)</f>
        <v>2.7275000000000001E-2</v>
      </c>
      <c r="R61" s="9">
        <f>IF(L61&gt;2005,AVERAGE(O58:O77),0)</f>
        <v>2.2050000000000004E-2</v>
      </c>
      <c r="S61" s="10">
        <f>IF(A61=A62,(N61-N62)/N62,0)</f>
        <v>0</v>
      </c>
      <c r="T61" s="10">
        <f>IF(L61&gt;2005,(((N61-N81)/N81)+1)^(1/5)-1,0)</f>
        <v>0.15148649061198993</v>
      </c>
      <c r="U61" s="10">
        <f t="shared" si="6"/>
        <v>0.17353649061198995</v>
      </c>
      <c r="V61" s="26">
        <f t="shared" si="7"/>
        <v>4.7251216405976022</v>
      </c>
      <c r="W61" s="3">
        <f>IF(A61=A62,N61-N62,0)</f>
        <v>0</v>
      </c>
      <c r="X61" s="10">
        <f>IF(A61=A62,(N61-N62)/N62,0)</f>
        <v>0</v>
      </c>
    </row>
    <row r="62" spans="1:24" ht="16.5" customHeight="1">
      <c r="A62" s="3" t="s">
        <v>19</v>
      </c>
      <c r="B62" s="3">
        <f t="shared" si="0"/>
        <v>2007</v>
      </c>
      <c r="C62" s="3">
        <f t="shared" si="1"/>
        <v>11</v>
      </c>
      <c r="D62" s="20" t="str">
        <f t="shared" si="2"/>
        <v>JNJ200711</v>
      </c>
      <c r="E62" s="2">
        <v>39409</v>
      </c>
      <c r="F62" s="3">
        <v>0.41499999999999998</v>
      </c>
      <c r="G62" s="2">
        <v>39427</v>
      </c>
      <c r="H62" s="3">
        <v>2.41E-2</v>
      </c>
      <c r="I62" s="3">
        <v>0</v>
      </c>
      <c r="J62" s="3">
        <v>0</v>
      </c>
      <c r="K62" s="3">
        <f t="shared" si="3"/>
        <v>2007</v>
      </c>
      <c r="L62" s="3">
        <f t="shared" si="4"/>
        <v>0</v>
      </c>
      <c r="M62" s="20" t="str">
        <f>A62&amp;L62</f>
        <v>JNJ0</v>
      </c>
      <c r="N62" s="3">
        <f>F62</f>
        <v>0.41499999999999998</v>
      </c>
      <c r="O62" s="9">
        <f>H62</f>
        <v>2.41E-2</v>
      </c>
      <c r="P62" s="10">
        <f t="shared" si="5"/>
        <v>0</v>
      </c>
      <c r="Q62" s="10">
        <f>IF(K62=0,IF(A59=A62,AVERAGE(O59:O62),"x"),0)</f>
        <v>0</v>
      </c>
      <c r="R62" s="9">
        <f>IF(L62&gt;2005,AVERAGE(O59:O78),0)</f>
        <v>0</v>
      </c>
      <c r="S62" s="10">
        <f>IF(A62=A63,(N62-N63)/N63,0)</f>
        <v>0</v>
      </c>
      <c r="T62" s="10">
        <f>IF(L62&gt;2005,(((N62-N82)/N82)+1)^(1/5)-1,0)</f>
        <v>0</v>
      </c>
      <c r="U62" s="10">
        <f t="shared" si="6"/>
        <v>0</v>
      </c>
      <c r="V62" s="26">
        <f t="shared" si="7"/>
        <v>0</v>
      </c>
      <c r="W62" s="3">
        <f>IF(A62=A63,N62-N63,0)</f>
        <v>0</v>
      </c>
      <c r="X62" s="10">
        <f>IF(A62=A63,(N62-N63)/N63,0)</f>
        <v>0</v>
      </c>
    </row>
    <row r="63" spans="1:24" ht="16.5" customHeight="1">
      <c r="A63" s="3" t="s">
        <v>19</v>
      </c>
      <c r="B63" s="3">
        <f t="shared" si="0"/>
        <v>2007</v>
      </c>
      <c r="C63" s="3">
        <f t="shared" si="1"/>
        <v>8</v>
      </c>
      <c r="D63" s="20" t="str">
        <f t="shared" si="2"/>
        <v>JNJ20078</v>
      </c>
      <c r="E63" s="2">
        <v>39318</v>
      </c>
      <c r="F63" s="3">
        <v>0.41499999999999998</v>
      </c>
      <c r="G63" s="2">
        <v>39336</v>
      </c>
      <c r="H63" s="3">
        <v>2.5399999999999999E-2</v>
      </c>
      <c r="I63" s="3">
        <v>0</v>
      </c>
      <c r="J63" s="3">
        <v>0</v>
      </c>
      <c r="K63" s="3">
        <f t="shared" si="3"/>
        <v>2007</v>
      </c>
      <c r="L63" s="3">
        <f t="shared" si="4"/>
        <v>0</v>
      </c>
      <c r="M63" s="20" t="str">
        <f>A63&amp;L63</f>
        <v>JNJ0</v>
      </c>
      <c r="N63" s="3">
        <f>F63</f>
        <v>0.41499999999999998</v>
      </c>
      <c r="O63" s="9">
        <f>H63</f>
        <v>2.5399999999999999E-2</v>
      </c>
      <c r="P63" s="10">
        <f t="shared" si="5"/>
        <v>0</v>
      </c>
      <c r="Q63" s="10">
        <f>IF(K63=0,IF(A60=A63,AVERAGE(O60:O63),"x"),0)</f>
        <v>0</v>
      </c>
      <c r="R63" s="9">
        <f>IF(L63&gt;2005,AVERAGE(O60:O79),0)</f>
        <v>0</v>
      </c>
      <c r="S63" s="10">
        <f>IF(A63=A64,(N63-N64)/N64,0)</f>
        <v>0</v>
      </c>
      <c r="T63" s="10">
        <f>IF(L63&gt;2005,(((N63-N83)/N83)+1)^(1/5)-1,0)</f>
        <v>0</v>
      </c>
      <c r="U63" s="10">
        <f t="shared" si="6"/>
        <v>0</v>
      </c>
      <c r="V63" s="26">
        <f t="shared" si="7"/>
        <v>0</v>
      </c>
      <c r="W63" s="3">
        <f>IF(A63=A64,N63-N64,0)</f>
        <v>0</v>
      </c>
      <c r="X63" s="10">
        <f>IF(A63=A64,(N63-N64)/N64,0)</f>
        <v>0</v>
      </c>
    </row>
    <row r="64" spans="1:24" ht="16.5" customHeight="1">
      <c r="A64" s="3" t="s">
        <v>19</v>
      </c>
      <c r="B64" s="3">
        <f t="shared" si="0"/>
        <v>2007</v>
      </c>
      <c r="C64" s="3">
        <f t="shared" si="1"/>
        <v>5</v>
      </c>
      <c r="D64" s="20" t="str">
        <f t="shared" si="2"/>
        <v>JNJ20075</v>
      </c>
      <c r="E64" s="2">
        <v>39226</v>
      </c>
      <c r="F64" s="3">
        <v>0.41499999999999998</v>
      </c>
      <c r="G64" s="2">
        <v>39245</v>
      </c>
      <c r="H64" s="3">
        <v>2.41E-2</v>
      </c>
      <c r="I64" s="3">
        <v>0.10666666700000001</v>
      </c>
      <c r="J64" s="3">
        <v>0.04</v>
      </c>
      <c r="K64" s="3">
        <f t="shared" si="3"/>
        <v>2007</v>
      </c>
      <c r="L64" s="3">
        <f t="shared" si="4"/>
        <v>0</v>
      </c>
      <c r="M64" s="20" t="str">
        <f>A64&amp;L64</f>
        <v>JNJ0</v>
      </c>
      <c r="N64" s="3">
        <f>F64</f>
        <v>0.41499999999999998</v>
      </c>
      <c r="O64" s="9">
        <f>H64</f>
        <v>2.41E-2</v>
      </c>
      <c r="P64" s="10">
        <f t="shared" si="5"/>
        <v>2.2699999999999998E-2</v>
      </c>
      <c r="Q64" s="10">
        <f>IF(K64=0,IF(A61=A64,AVERAGE(O61:O64),"x"),0)</f>
        <v>0</v>
      </c>
      <c r="R64" s="9">
        <f>IF(L64&gt;2005,AVERAGE(O61:O80),0)</f>
        <v>0</v>
      </c>
      <c r="S64" s="10">
        <f>IF(A64=A65,(N64-N65)/N65,0)</f>
        <v>0.10666666666666662</v>
      </c>
      <c r="T64" s="10">
        <f>IF(L64&gt;2005,(((N64-N84)/N84)+1)^(1/5)-1,0)</f>
        <v>0</v>
      </c>
      <c r="U64" s="10">
        <f t="shared" si="6"/>
        <v>0</v>
      </c>
      <c r="V64" s="26">
        <f t="shared" si="7"/>
        <v>0</v>
      </c>
      <c r="W64" s="3">
        <f>IF(A64=A65,N64-N65,0)</f>
        <v>3.999999999999998E-2</v>
      </c>
      <c r="X64" s="10">
        <f>IF(A64=A65,(N64-N65)/N65,0)</f>
        <v>0.10666666666666662</v>
      </c>
    </row>
    <row r="65" spans="1:24" ht="16.5" customHeight="1">
      <c r="A65" s="3" t="s">
        <v>19</v>
      </c>
      <c r="B65" s="3">
        <f t="shared" si="0"/>
        <v>2007</v>
      </c>
      <c r="C65" s="3">
        <f t="shared" si="1"/>
        <v>2</v>
      </c>
      <c r="D65" s="20" t="str">
        <f t="shared" si="2"/>
        <v>JNJ20072</v>
      </c>
      <c r="E65" s="2">
        <v>39136</v>
      </c>
      <c r="F65" s="3">
        <v>0.375</v>
      </c>
      <c r="G65" s="2">
        <v>39154</v>
      </c>
      <c r="H65" s="3">
        <v>2.3199999999999998E-2</v>
      </c>
      <c r="I65" s="3">
        <v>0</v>
      </c>
      <c r="J65" s="3">
        <v>0</v>
      </c>
      <c r="K65" s="3">
        <f t="shared" si="3"/>
        <v>0</v>
      </c>
      <c r="L65" s="3">
        <f t="shared" si="4"/>
        <v>2007</v>
      </c>
      <c r="M65" s="20" t="str">
        <f>A65&amp;L65</f>
        <v>JNJ2007</v>
      </c>
      <c r="N65" s="3">
        <f>F65</f>
        <v>0.375</v>
      </c>
      <c r="O65" s="9">
        <f>H65</f>
        <v>2.3199999999999998E-2</v>
      </c>
      <c r="P65" s="10">
        <f t="shared" si="5"/>
        <v>0</v>
      </c>
      <c r="Q65" s="10">
        <f>IF(K65=0,IF(A62=A65,AVERAGE(O62:O65),"x"),0)</f>
        <v>2.4199999999999999E-2</v>
      </c>
      <c r="R65" s="9">
        <f>IF(L65&gt;2005,AVERAGE(O62:O81),0)</f>
        <v>1.9980000000000001E-2</v>
      </c>
      <c r="S65" s="10">
        <f>IF(A65=A66,(N65-N66)/N66,0)</f>
        <v>0</v>
      </c>
      <c r="T65" s="10">
        <f>IF(L65&gt;2005,(((N65-N85)/N85)+1)^(1/5)-1,0)</f>
        <v>0.15811517561929445</v>
      </c>
      <c r="U65" s="10">
        <f t="shared" si="6"/>
        <v>0.17809517561929444</v>
      </c>
      <c r="V65" s="26">
        <f t="shared" si="7"/>
        <v>4.7512861639009767</v>
      </c>
      <c r="W65" s="3">
        <f>IF(A65=A66,N65-N66,0)</f>
        <v>0</v>
      </c>
      <c r="X65" s="10">
        <f>IF(A65=A66,(N65-N66)/N66,0)</f>
        <v>0</v>
      </c>
    </row>
    <row r="66" spans="1:24" ht="16.5" customHeight="1">
      <c r="A66" s="3" t="s">
        <v>19</v>
      </c>
      <c r="B66" s="3">
        <f t="shared" si="0"/>
        <v>2006</v>
      </c>
      <c r="C66" s="3">
        <f t="shared" si="1"/>
        <v>11</v>
      </c>
      <c r="D66" s="20" t="str">
        <f t="shared" si="2"/>
        <v>JNJ200611</v>
      </c>
      <c r="E66" s="2">
        <v>39045</v>
      </c>
      <c r="F66" s="3">
        <v>0.375</v>
      </c>
      <c r="G66" s="2">
        <v>39063</v>
      </c>
      <c r="H66" s="3">
        <v>2.18E-2</v>
      </c>
      <c r="I66" s="3">
        <v>0</v>
      </c>
      <c r="J66" s="3">
        <v>0</v>
      </c>
      <c r="K66" s="3">
        <f t="shared" si="3"/>
        <v>2006</v>
      </c>
      <c r="L66" s="3">
        <f t="shared" si="4"/>
        <v>0</v>
      </c>
      <c r="M66" s="20" t="str">
        <f>A66&amp;L66</f>
        <v>JNJ0</v>
      </c>
      <c r="N66" s="3">
        <f>F66</f>
        <v>0.375</v>
      </c>
      <c r="O66" s="9">
        <f>H66</f>
        <v>2.18E-2</v>
      </c>
      <c r="P66" s="10">
        <f t="shared" si="5"/>
        <v>0</v>
      </c>
      <c r="Q66" s="10">
        <f>IF(K66=0,IF(A63=A66,AVERAGE(O63:O66),"x"),0)</f>
        <v>0</v>
      </c>
      <c r="R66" s="9">
        <f>IF(L66&gt;2005,AVERAGE(O63:O82),0)</f>
        <v>0</v>
      </c>
      <c r="S66" s="10">
        <f>IF(A66=A67,(N66-N67)/N67,0)</f>
        <v>0</v>
      </c>
      <c r="T66" s="10">
        <f>IF(L66&gt;2005,(((N66-N86)/N86)+1)^(1/5)-1,0)</f>
        <v>0</v>
      </c>
      <c r="U66" s="10">
        <f t="shared" si="6"/>
        <v>0</v>
      </c>
      <c r="V66" s="26">
        <f t="shared" si="7"/>
        <v>0</v>
      </c>
      <c r="W66" s="3">
        <f>IF(A66=A67,N66-N67,0)</f>
        <v>0</v>
      </c>
      <c r="X66" s="10">
        <f>IF(A66=A67,(N66-N67)/N67,0)</f>
        <v>0</v>
      </c>
    </row>
    <row r="67" spans="1:24" ht="16.5" customHeight="1">
      <c r="A67" s="3" t="s">
        <v>19</v>
      </c>
      <c r="B67" s="3">
        <f t="shared" si="0"/>
        <v>2006</v>
      </c>
      <c r="C67" s="3">
        <f t="shared" si="1"/>
        <v>8</v>
      </c>
      <c r="D67" s="20" t="str">
        <f t="shared" si="2"/>
        <v>JNJ20068</v>
      </c>
      <c r="E67" s="2">
        <v>38954</v>
      </c>
      <c r="F67" s="3">
        <v>0.375</v>
      </c>
      <c r="G67" s="2">
        <v>38972</v>
      </c>
      <c r="H67" s="3">
        <v>2.1700000000000001E-2</v>
      </c>
      <c r="I67" s="3">
        <v>0</v>
      </c>
      <c r="J67" s="3">
        <v>0</v>
      </c>
      <c r="K67" s="3">
        <f t="shared" si="3"/>
        <v>2006</v>
      </c>
      <c r="L67" s="3">
        <f t="shared" si="4"/>
        <v>0</v>
      </c>
      <c r="M67" s="20" t="str">
        <f>A67&amp;L67</f>
        <v>JNJ0</v>
      </c>
      <c r="N67" s="3">
        <f>F67</f>
        <v>0.375</v>
      </c>
      <c r="O67" s="9">
        <f>H67</f>
        <v>2.1700000000000001E-2</v>
      </c>
      <c r="P67" s="10">
        <f t="shared" si="5"/>
        <v>0</v>
      </c>
      <c r="Q67" s="10">
        <f>IF(K67=0,IF(A64=A67,AVERAGE(O64:O67),"x"),0)</f>
        <v>0</v>
      </c>
      <c r="R67" s="9">
        <f>IF(L67&gt;2005,AVERAGE(O64:O83),0)</f>
        <v>0</v>
      </c>
      <c r="S67" s="10">
        <f>IF(A67=A68,(N67-N68)/N68,0)</f>
        <v>0</v>
      </c>
      <c r="T67" s="10">
        <f>IF(L67&gt;2005,(((N67-N87)/N87)+1)^(1/5)-1,0)</f>
        <v>0</v>
      </c>
      <c r="U67" s="10">
        <f t="shared" si="6"/>
        <v>0</v>
      </c>
      <c r="V67" s="26">
        <f t="shared" si="7"/>
        <v>0</v>
      </c>
      <c r="W67" s="3">
        <f>IF(A67=A68,N67-N68,0)</f>
        <v>0</v>
      </c>
      <c r="X67" s="10">
        <f>IF(A67=A68,(N67-N68)/N68,0)</f>
        <v>0</v>
      </c>
    </row>
    <row r="68" spans="1:24" ht="16.5" customHeight="1">
      <c r="A68" s="3" t="s">
        <v>19</v>
      </c>
      <c r="B68" s="3">
        <f t="shared" si="0"/>
        <v>2006</v>
      </c>
      <c r="C68" s="3">
        <f t="shared" si="1"/>
        <v>5</v>
      </c>
      <c r="D68" s="20" t="str">
        <f t="shared" si="2"/>
        <v>JNJ20065</v>
      </c>
      <c r="E68" s="2">
        <v>38862</v>
      </c>
      <c r="F68" s="3">
        <v>0.375</v>
      </c>
      <c r="G68" s="2">
        <v>38881</v>
      </c>
      <c r="H68" s="3">
        <v>2.2499999999999999E-2</v>
      </c>
      <c r="I68" s="3">
        <v>0.13636363600000001</v>
      </c>
      <c r="J68" s="3">
        <v>4.4999999999999998E-2</v>
      </c>
      <c r="K68" s="3">
        <f t="shared" si="3"/>
        <v>2006</v>
      </c>
      <c r="L68" s="3">
        <f t="shared" si="4"/>
        <v>0</v>
      </c>
      <c r="M68" s="20" t="str">
        <f>A68&amp;L68</f>
        <v>JNJ0</v>
      </c>
      <c r="N68" s="3">
        <f>F68</f>
        <v>0.375</v>
      </c>
      <c r="O68" s="9">
        <f>H68</f>
        <v>2.2499999999999999E-2</v>
      </c>
      <c r="P68" s="10">
        <f t="shared" si="5"/>
        <v>2.1049999999999999E-2</v>
      </c>
      <c r="Q68" s="10">
        <f>IF(K68=0,IF(A65=A68,AVERAGE(O65:O68),"x"),0)</f>
        <v>0</v>
      </c>
      <c r="R68" s="9">
        <f>IF(L68&gt;2005,AVERAGE(O65:O84),0)</f>
        <v>0</v>
      </c>
      <c r="S68" s="10">
        <f>IF(A68=A69,(N68-N69)/N69,0)</f>
        <v>0.1363636363636363</v>
      </c>
      <c r="T68" s="10">
        <f>IF(L68&gt;2005,(((N68-N88)/N88)+1)^(1/5)-1,0)</f>
        <v>0</v>
      </c>
      <c r="U68" s="10">
        <f t="shared" si="6"/>
        <v>0</v>
      </c>
      <c r="V68" s="26">
        <f t="shared" si="7"/>
        <v>0</v>
      </c>
      <c r="W68" s="3">
        <f>IF(A68=A69,N68-N69,0)</f>
        <v>4.4999999999999984E-2</v>
      </c>
      <c r="X68" s="10">
        <f>IF(A68=A69,(N68-N69)/N69,0)</f>
        <v>0.1363636363636363</v>
      </c>
    </row>
    <row r="69" spans="1:24" ht="16.5" customHeight="1">
      <c r="A69" s="3" t="s">
        <v>19</v>
      </c>
      <c r="B69" s="3">
        <f t="shared" si="0"/>
        <v>2006</v>
      </c>
      <c r="C69" s="3">
        <f t="shared" si="1"/>
        <v>2</v>
      </c>
      <c r="D69" s="20" t="str">
        <f t="shared" si="2"/>
        <v>JNJ20062</v>
      </c>
      <c r="E69" s="2">
        <v>38772</v>
      </c>
      <c r="F69" s="3">
        <v>0.33</v>
      </c>
      <c r="G69" s="2">
        <v>38790</v>
      </c>
      <c r="H69" s="3">
        <v>2.2499999999999999E-2</v>
      </c>
      <c r="I69" s="3">
        <v>0</v>
      </c>
      <c r="J69" s="3">
        <v>0</v>
      </c>
      <c r="K69" s="3">
        <f t="shared" si="3"/>
        <v>0</v>
      </c>
      <c r="L69" s="3">
        <f t="shared" si="4"/>
        <v>2006</v>
      </c>
      <c r="M69" s="20" t="str">
        <f>A69&amp;L69</f>
        <v>JNJ2006</v>
      </c>
      <c r="N69" s="3">
        <f>F69</f>
        <v>0.33</v>
      </c>
      <c r="O69" s="9">
        <f>H69</f>
        <v>2.2499999999999999E-2</v>
      </c>
      <c r="P69" s="10">
        <f t="shared" si="5"/>
        <v>0</v>
      </c>
      <c r="Q69" s="10">
        <f>IF(K69=0,IF(A66=A69,AVERAGE(O66:O69),"x"),0)</f>
        <v>2.2124999999999999E-2</v>
      </c>
      <c r="R69" s="9">
        <f>IF(L69&gt;2005,AVERAGE(O66:O85),0)</f>
        <v>1.7720000000000003E-2</v>
      </c>
      <c r="S69" s="10">
        <f>IF(A69=A70,(N69-N70)/N70,0)</f>
        <v>0</v>
      </c>
      <c r="T69" s="10">
        <f>IF(L69&gt;2005,(((N69-N89)/N89)+1)^(1/5)-1,0)</f>
        <v>0.15578962436501453</v>
      </c>
      <c r="U69" s="10">
        <f t="shared" si="6"/>
        <v>0.17350962436501455</v>
      </c>
      <c r="V69" s="26">
        <f t="shared" si="7"/>
        <v>4.7780088095260735</v>
      </c>
      <c r="W69" s="3">
        <f>IF(A69=A70,N69-N70,0)</f>
        <v>0</v>
      </c>
      <c r="X69" s="10">
        <f>IF(A69=A70,(N69-N70)/N70,0)</f>
        <v>0</v>
      </c>
    </row>
    <row r="70" spans="1:24" ht="16.5" customHeight="1">
      <c r="A70" s="3" t="s">
        <v>19</v>
      </c>
      <c r="B70" s="3">
        <f t="shared" si="0"/>
        <v>2005</v>
      </c>
      <c r="C70" s="3">
        <f t="shared" si="1"/>
        <v>11</v>
      </c>
      <c r="D70" s="20" t="str">
        <f t="shared" si="2"/>
        <v>JNJ200511</v>
      </c>
      <c r="E70" s="2">
        <v>38674</v>
      </c>
      <c r="F70" s="3">
        <v>0.33</v>
      </c>
      <c r="G70" s="2">
        <v>38699</v>
      </c>
      <c r="H70" s="3">
        <v>2.01E-2</v>
      </c>
      <c r="I70" s="3">
        <v>0</v>
      </c>
      <c r="J70" s="3">
        <v>0</v>
      </c>
      <c r="K70" s="3">
        <f t="shared" si="3"/>
        <v>2005</v>
      </c>
      <c r="L70" s="3">
        <f t="shared" si="4"/>
        <v>0</v>
      </c>
      <c r="M70" s="20" t="str">
        <f>A70&amp;L70</f>
        <v>JNJ0</v>
      </c>
      <c r="N70" s="3">
        <f>F70</f>
        <v>0.33</v>
      </c>
      <c r="O70" s="9">
        <f>H70</f>
        <v>2.01E-2</v>
      </c>
      <c r="P70" s="10">
        <f t="shared" si="5"/>
        <v>0</v>
      </c>
      <c r="Q70" s="10">
        <f>IF(K70=0,IF(A67=A70,AVERAGE(O67:O70),"x"),0)</f>
        <v>0</v>
      </c>
      <c r="R70" s="9">
        <f>IF(L70&gt;2005,AVERAGE(O67:O86),0)</f>
        <v>0</v>
      </c>
      <c r="S70" s="10">
        <f>IF(A70=A71,(N70-N71)/N71,0)</f>
        <v>0</v>
      </c>
      <c r="T70" s="10">
        <f>IF(L70&gt;2005,(((N70-N90)/N90)+1)^(1/5)-1,0)</f>
        <v>0</v>
      </c>
      <c r="U70" s="10">
        <f t="shared" si="6"/>
        <v>0</v>
      </c>
      <c r="V70" s="26">
        <f t="shared" si="7"/>
        <v>0</v>
      </c>
      <c r="W70" s="3">
        <f>IF(A70=A71,N70-N71,0)</f>
        <v>0</v>
      </c>
      <c r="X70" s="10">
        <f>IF(A70=A71,(N70-N71)/N71,0)</f>
        <v>0</v>
      </c>
    </row>
    <row r="71" spans="1:24" ht="16.5" customHeight="1">
      <c r="A71" s="3" t="s">
        <v>19</v>
      </c>
      <c r="B71" s="3">
        <f t="shared" si="0"/>
        <v>2005</v>
      </c>
      <c r="C71" s="3">
        <f t="shared" si="1"/>
        <v>8</v>
      </c>
      <c r="D71" s="20" t="str">
        <f t="shared" si="2"/>
        <v>JNJ20058</v>
      </c>
      <c r="E71" s="2">
        <v>38583</v>
      </c>
      <c r="F71" s="3">
        <v>0.33</v>
      </c>
      <c r="G71" s="2">
        <v>38608</v>
      </c>
      <c r="H71" s="3">
        <v>1.9099999999999999E-2</v>
      </c>
      <c r="I71" s="3">
        <v>0</v>
      </c>
      <c r="J71" s="3">
        <v>0</v>
      </c>
      <c r="K71" s="3">
        <f t="shared" si="3"/>
        <v>2005</v>
      </c>
      <c r="L71" s="3">
        <f t="shared" si="4"/>
        <v>0</v>
      </c>
      <c r="M71" s="20" t="str">
        <f>A71&amp;L71</f>
        <v>JNJ0</v>
      </c>
      <c r="N71" s="3">
        <f>F71</f>
        <v>0.33</v>
      </c>
      <c r="O71" s="9">
        <f>H71</f>
        <v>1.9099999999999999E-2</v>
      </c>
      <c r="P71" s="10">
        <f t="shared" si="5"/>
        <v>0</v>
      </c>
      <c r="Q71" s="10">
        <f>IF(K71=0,IF(A68=A71,AVERAGE(O68:O71),"x"),0)</f>
        <v>0</v>
      </c>
      <c r="R71" s="9">
        <f>IF(L71&gt;2005,AVERAGE(O68:O87),0)</f>
        <v>0</v>
      </c>
      <c r="S71" s="10">
        <f>IF(A71=A72,(N71-N72)/N72,0)</f>
        <v>0</v>
      </c>
      <c r="T71" s="10">
        <f>IF(L71&gt;2005,(((N71-N91)/N91)+1)^(1/5)-1,0)</f>
        <v>0</v>
      </c>
      <c r="U71" s="10">
        <f t="shared" si="6"/>
        <v>0</v>
      </c>
      <c r="V71" s="26">
        <f t="shared" si="7"/>
        <v>0</v>
      </c>
      <c r="W71" s="3">
        <f>IF(A71=A72,N71-N72,0)</f>
        <v>0</v>
      </c>
      <c r="X71" s="10">
        <f>IF(A71=A72,(N71-N72)/N72,0)</f>
        <v>0</v>
      </c>
    </row>
    <row r="72" spans="1:24" ht="16.5" customHeight="1">
      <c r="A72" s="3" t="s">
        <v>19</v>
      </c>
      <c r="B72" s="3">
        <f t="shared" si="0"/>
        <v>2005</v>
      </c>
      <c r="C72" s="3">
        <f t="shared" si="1"/>
        <v>5</v>
      </c>
      <c r="D72" s="20" t="str">
        <f t="shared" si="2"/>
        <v>JNJ20055</v>
      </c>
      <c r="E72" s="2">
        <v>38485</v>
      </c>
      <c r="F72" s="3">
        <v>0.33</v>
      </c>
      <c r="G72" s="2">
        <v>38510</v>
      </c>
      <c r="H72" s="3">
        <v>1.7500000000000002E-2</v>
      </c>
      <c r="I72" s="3">
        <v>0.15789473700000001</v>
      </c>
      <c r="J72" s="3">
        <v>4.4999999999999998E-2</v>
      </c>
      <c r="K72" s="3">
        <f t="shared" si="3"/>
        <v>2005</v>
      </c>
      <c r="L72" s="3">
        <f t="shared" si="4"/>
        <v>0</v>
      </c>
      <c r="M72" s="20" t="str">
        <f>A72&amp;L72</f>
        <v>JNJ0</v>
      </c>
      <c r="N72" s="3">
        <f>F72</f>
        <v>0.33</v>
      </c>
      <c r="O72" s="9">
        <f>H72</f>
        <v>1.7500000000000002E-2</v>
      </c>
      <c r="P72" s="10">
        <f t="shared" si="5"/>
        <v>1.7875000000000002E-2</v>
      </c>
      <c r="Q72" s="10">
        <f>IF(K72=0,IF(A69=A72,AVERAGE(O69:O72),"x"),0)</f>
        <v>0</v>
      </c>
      <c r="R72" s="9">
        <f>IF(L72&gt;2005,AVERAGE(O69:O88),0)</f>
        <v>0</v>
      </c>
      <c r="S72" s="10">
        <f>IF(A72=A73,(N72-N73)/N73,0)</f>
        <v>0.15789473684210542</v>
      </c>
      <c r="T72" s="10">
        <f>IF(L72&gt;2005,(((N72-N92)/N92)+1)^(1/5)-1,0)</f>
        <v>0</v>
      </c>
      <c r="U72" s="10">
        <f t="shared" si="6"/>
        <v>0</v>
      </c>
      <c r="V72" s="26">
        <f t="shared" si="7"/>
        <v>0</v>
      </c>
      <c r="W72" s="3">
        <f>IF(A72=A73,N72-N73,0)</f>
        <v>4.500000000000004E-2</v>
      </c>
      <c r="X72" s="10">
        <f>IF(A72=A73,(N72-N73)/N73,0)</f>
        <v>0.15789473684210542</v>
      </c>
    </row>
    <row r="73" spans="1:24" ht="16.5" customHeight="1">
      <c r="A73" s="3" t="s">
        <v>19</v>
      </c>
      <c r="B73" s="3">
        <f t="shared" si="0"/>
        <v>2005</v>
      </c>
      <c r="C73" s="3">
        <f t="shared" si="1"/>
        <v>2</v>
      </c>
      <c r="D73" s="20" t="str">
        <f t="shared" si="2"/>
        <v>JNJ20052</v>
      </c>
      <c r="E73" s="2">
        <v>38394</v>
      </c>
      <c r="F73" s="3">
        <v>0.28499999999999998</v>
      </c>
      <c r="G73" s="2">
        <v>38419</v>
      </c>
      <c r="H73" s="3">
        <v>1.72E-2</v>
      </c>
      <c r="I73" s="3">
        <v>0</v>
      </c>
      <c r="J73" s="3">
        <v>0</v>
      </c>
      <c r="K73" s="3">
        <f t="shared" si="3"/>
        <v>0</v>
      </c>
      <c r="L73" s="3">
        <f t="shared" si="4"/>
        <v>2005</v>
      </c>
      <c r="M73" s="20" t="str">
        <f>A73&amp;L73</f>
        <v>JNJ2005</v>
      </c>
      <c r="N73" s="3">
        <f>F73</f>
        <v>0.28499999999999998</v>
      </c>
      <c r="O73" s="9">
        <f>H73</f>
        <v>1.72E-2</v>
      </c>
      <c r="P73" s="10">
        <f t="shared" si="5"/>
        <v>0</v>
      </c>
      <c r="Q73" s="10">
        <f>IF(K73=0,IF(A70=A73,AVERAGE(O70:O73),"x"),0)</f>
        <v>1.8474999999999998E-2</v>
      </c>
      <c r="R73" s="9">
        <f>IF(IF(L73-2000,)*L73&gt;2005,AVERAGE(O70:O89),0)</f>
        <v>0</v>
      </c>
      <c r="S73" s="10">
        <f>IF(A73=A74,(N73-N74)/N74,0)</f>
        <v>0</v>
      </c>
      <c r="T73" s="10">
        <f>IF(L73&gt;2005,(((N73-N93)/N93)+1)^(1/5)-1,0)</f>
        <v>0</v>
      </c>
      <c r="U73" s="10">
        <f t="shared" si="6"/>
        <v>0</v>
      </c>
      <c r="V73" s="26">
        <f t="shared" si="7"/>
        <v>0</v>
      </c>
      <c r="W73" s="3">
        <f>IF(A73=A74,N73-N74,0)</f>
        <v>0</v>
      </c>
      <c r="X73" s="10">
        <f>IF(A73=A74,(N73-N74)/N74,0)</f>
        <v>0</v>
      </c>
    </row>
    <row r="74" spans="1:24" ht="16.5" customHeight="1">
      <c r="A74" s="3" t="s">
        <v>19</v>
      </c>
      <c r="B74" s="3">
        <f t="shared" si="0"/>
        <v>2004</v>
      </c>
      <c r="C74" s="3">
        <f t="shared" si="1"/>
        <v>11</v>
      </c>
      <c r="D74" s="20" t="str">
        <f t="shared" si="2"/>
        <v>JNJ200411</v>
      </c>
      <c r="E74" s="2">
        <v>38303</v>
      </c>
      <c r="F74" s="3">
        <v>0.28499999999999998</v>
      </c>
      <c r="G74" s="2">
        <v>38328</v>
      </c>
      <c r="H74" s="3">
        <v>1.8100000000000002E-2</v>
      </c>
      <c r="I74" s="3">
        <v>0</v>
      </c>
      <c r="J74" s="3">
        <v>0</v>
      </c>
      <c r="K74" s="3">
        <f t="shared" si="3"/>
        <v>2004</v>
      </c>
      <c r="L74" s="3">
        <f t="shared" si="4"/>
        <v>0</v>
      </c>
      <c r="M74" s="20" t="str">
        <f>A74&amp;L74</f>
        <v>JNJ0</v>
      </c>
      <c r="N74" s="3">
        <f>F74</f>
        <v>0.28499999999999998</v>
      </c>
      <c r="O74" s="9">
        <f>H74</f>
        <v>1.8100000000000002E-2</v>
      </c>
      <c r="P74" s="10">
        <f t="shared" si="5"/>
        <v>0</v>
      </c>
      <c r="Q74" s="10">
        <f>IF(K74=0,IF(A71=A74,AVERAGE(O71:O74),"x"),0)</f>
        <v>0</v>
      </c>
      <c r="R74" s="9">
        <f>IF(L74&gt;2005,AVERAGE(O71:O90),0)</f>
        <v>0</v>
      </c>
      <c r="S74" s="10">
        <f>IF(A74=A75,(N74-N75)/N75,0)</f>
        <v>0</v>
      </c>
      <c r="T74" s="10">
        <f>IF(L74&gt;2005,(((N74-N94)/N94)+1)^(1/5)-1,0)</f>
        <v>0</v>
      </c>
      <c r="U74" s="10">
        <f t="shared" si="6"/>
        <v>0</v>
      </c>
      <c r="V74" s="26">
        <f t="shared" si="7"/>
        <v>0</v>
      </c>
      <c r="W74" s="3">
        <f>IF(A74=A75,N74-N75,0)</f>
        <v>0</v>
      </c>
      <c r="X74" s="10">
        <f>IF(A74=A75,(N74-N75)/N75,0)</f>
        <v>0</v>
      </c>
    </row>
    <row r="75" spans="1:24" ht="16.5" customHeight="1">
      <c r="A75" s="3" t="s">
        <v>19</v>
      </c>
      <c r="B75" s="3">
        <f t="shared" si="0"/>
        <v>2004</v>
      </c>
      <c r="C75" s="3">
        <f t="shared" si="1"/>
        <v>8</v>
      </c>
      <c r="D75" s="20" t="str">
        <f t="shared" si="2"/>
        <v>JNJ20048</v>
      </c>
      <c r="E75" s="2">
        <v>38212</v>
      </c>
      <c r="F75" s="3">
        <v>0.28499999999999998</v>
      </c>
      <c r="G75" s="2">
        <v>38237</v>
      </c>
      <c r="H75" s="3">
        <v>1.8700000000000001E-2</v>
      </c>
      <c r="I75" s="3">
        <v>0</v>
      </c>
      <c r="J75" s="3">
        <v>0</v>
      </c>
      <c r="K75" s="3">
        <f t="shared" si="3"/>
        <v>2004</v>
      </c>
      <c r="L75" s="3">
        <f t="shared" si="4"/>
        <v>0</v>
      </c>
      <c r="M75" s="20" t="str">
        <f>A75&amp;L75</f>
        <v>JNJ0</v>
      </c>
      <c r="N75" s="3">
        <f>F75</f>
        <v>0.28499999999999998</v>
      </c>
      <c r="O75" s="9">
        <f>H75</f>
        <v>1.8700000000000001E-2</v>
      </c>
      <c r="P75" s="10">
        <f t="shared" si="5"/>
        <v>0</v>
      </c>
      <c r="Q75" s="10">
        <f>IF(K75=0,IF(A72=A75,AVERAGE(O72:O75),"x"),0)</f>
        <v>0</v>
      </c>
      <c r="R75" s="9">
        <f>IF(L75&gt;2005,AVERAGE(O72:O91),0)</f>
        <v>0</v>
      </c>
      <c r="S75" s="10">
        <f>IF(A75=A76,(N75-N76)/N76,0)</f>
        <v>0</v>
      </c>
      <c r="T75" s="10">
        <f>IF(L75&gt;2005,(((N75-N95)/N95)+1)^(1/5)-1,0)</f>
        <v>0</v>
      </c>
      <c r="U75" s="10">
        <f t="shared" si="6"/>
        <v>0</v>
      </c>
      <c r="V75" s="26">
        <f t="shared" si="7"/>
        <v>0</v>
      </c>
      <c r="W75" s="3">
        <f>IF(A75=A76,N75-N76,0)</f>
        <v>0</v>
      </c>
      <c r="X75" s="10">
        <f>IF(A75=A76,(N75-N76)/N76,0)</f>
        <v>0</v>
      </c>
    </row>
    <row r="76" spans="1:24" ht="16.5" customHeight="1">
      <c r="A76" s="3" t="s">
        <v>19</v>
      </c>
      <c r="B76" s="3">
        <f t="shared" si="0"/>
        <v>2004</v>
      </c>
      <c r="C76" s="3">
        <f t="shared" si="1"/>
        <v>5</v>
      </c>
      <c r="D76" s="20" t="str">
        <f t="shared" si="2"/>
        <v>JNJ20045</v>
      </c>
      <c r="E76" s="2">
        <v>38121</v>
      </c>
      <c r="F76" s="3">
        <v>0.28499999999999998</v>
      </c>
      <c r="G76" s="2">
        <v>38146</v>
      </c>
      <c r="H76" s="3">
        <v>1.83E-2</v>
      </c>
      <c r="I76" s="3">
        <v>0.1875</v>
      </c>
      <c r="J76" s="3">
        <v>4.4999999999999998E-2</v>
      </c>
      <c r="K76" s="3">
        <f t="shared" si="3"/>
        <v>2004</v>
      </c>
      <c r="L76" s="3">
        <f t="shared" si="4"/>
        <v>0</v>
      </c>
      <c r="M76" s="20" t="str">
        <f>A76&amp;L76</f>
        <v>JNJ0</v>
      </c>
      <c r="N76" s="3">
        <f>F76</f>
        <v>0.28499999999999998</v>
      </c>
      <c r="O76" s="9">
        <f>H76</f>
        <v>1.83E-2</v>
      </c>
      <c r="P76" s="10">
        <f t="shared" si="5"/>
        <v>1.7950000000000001E-2</v>
      </c>
      <c r="Q76" s="10">
        <f>IF(K76=0,IF(A73=A76,AVERAGE(O73:O76),"x"),0)</f>
        <v>0</v>
      </c>
      <c r="R76" s="9">
        <f>IF(L76&gt;2005,AVERAGE(O73:O92),0)</f>
        <v>0</v>
      </c>
      <c r="S76" s="10">
        <f>IF(A76=A77,(N76-N77)/N77,0)</f>
        <v>0.18749999999999994</v>
      </c>
      <c r="T76" s="10">
        <f>IF(L76&gt;2005,(((N76-N96)/N96)+1)^(1/5)-1,0)</f>
        <v>0</v>
      </c>
      <c r="U76" s="10">
        <f t="shared" si="6"/>
        <v>0</v>
      </c>
      <c r="V76" s="26">
        <f t="shared" si="7"/>
        <v>0</v>
      </c>
      <c r="W76" s="3">
        <f>IF(A76=A77,N76-N77,0)</f>
        <v>4.4999999999999984E-2</v>
      </c>
      <c r="X76" s="10">
        <f>IF(A76=A77,(N76-N77)/N77,0)</f>
        <v>0.18749999999999994</v>
      </c>
    </row>
    <row r="77" spans="1:24" ht="16.5" customHeight="1">
      <c r="A77" s="3" t="s">
        <v>19</v>
      </c>
      <c r="B77" s="3">
        <f t="shared" si="0"/>
        <v>2004</v>
      </c>
      <c r="C77" s="3">
        <f t="shared" si="1"/>
        <v>2</v>
      </c>
      <c r="D77" s="20" t="str">
        <f t="shared" si="2"/>
        <v>JNJ20042</v>
      </c>
      <c r="E77" s="2">
        <v>38029</v>
      </c>
      <c r="F77" s="3">
        <v>0.24</v>
      </c>
      <c r="G77" s="2">
        <v>38055</v>
      </c>
      <c r="H77" s="3">
        <v>1.7600000000000001E-2</v>
      </c>
      <c r="I77" s="3">
        <v>0</v>
      </c>
      <c r="J77" s="3">
        <v>0</v>
      </c>
      <c r="K77" s="3">
        <f t="shared" si="3"/>
        <v>0</v>
      </c>
      <c r="L77" s="3">
        <f t="shared" si="4"/>
        <v>2004</v>
      </c>
      <c r="M77" s="20" t="str">
        <f>A77&amp;L77</f>
        <v>JNJ2004</v>
      </c>
      <c r="N77" s="3">
        <f>F77</f>
        <v>0.24</v>
      </c>
      <c r="O77" s="9">
        <f>H77</f>
        <v>1.7600000000000001E-2</v>
      </c>
      <c r="P77" s="10">
        <f t="shared" si="5"/>
        <v>0</v>
      </c>
      <c r="Q77" s="10">
        <f>IF(K77=0,IF(A74=A77,AVERAGE(O74:O77),"x"),0)</f>
        <v>1.8175E-2</v>
      </c>
      <c r="R77" s="9">
        <f>IF(L77&gt;2005,AVERAGE(O74:O93),0)</f>
        <v>0</v>
      </c>
      <c r="S77" s="10">
        <f>IF(A77=A78,(N77-N78)/N78,0)</f>
        <v>0</v>
      </c>
      <c r="T77" s="10">
        <f>IF(L77&gt;2005,(((N77-N97)/N97)+1)^(1/5)-1,0)</f>
        <v>0</v>
      </c>
      <c r="U77" s="10">
        <f t="shared" si="6"/>
        <v>0</v>
      </c>
      <c r="V77" s="26">
        <f t="shared" si="7"/>
        <v>0</v>
      </c>
      <c r="W77" s="3">
        <f>IF(A77=A78,N77-N78,0)</f>
        <v>0</v>
      </c>
      <c r="X77" s="10">
        <f>IF(A77=A78,(N77-N78)/N78,0)</f>
        <v>0</v>
      </c>
    </row>
    <row r="78" spans="1:24" ht="16.5" customHeight="1">
      <c r="A78" s="3" t="s">
        <v>19</v>
      </c>
      <c r="B78" s="3">
        <f t="shared" si="0"/>
        <v>2003</v>
      </c>
      <c r="C78" s="3">
        <f t="shared" si="1"/>
        <v>11</v>
      </c>
      <c r="D78" s="20" t="str">
        <f t="shared" si="2"/>
        <v>JNJ200311</v>
      </c>
      <c r="E78" s="2">
        <v>37939</v>
      </c>
      <c r="F78" s="3">
        <v>0.24</v>
      </c>
      <c r="G78" s="2">
        <v>37964</v>
      </c>
      <c r="H78" s="3">
        <v>1.84E-2</v>
      </c>
      <c r="I78" s="3">
        <v>0</v>
      </c>
      <c r="J78" s="3">
        <v>0</v>
      </c>
      <c r="K78" s="3">
        <f t="shared" si="3"/>
        <v>2003</v>
      </c>
      <c r="L78" s="3">
        <f t="shared" si="4"/>
        <v>0</v>
      </c>
      <c r="M78" s="20" t="str">
        <f>A78&amp;L78</f>
        <v>JNJ0</v>
      </c>
      <c r="N78" s="3">
        <f>F78</f>
        <v>0.24</v>
      </c>
      <c r="O78" s="9">
        <f>H78</f>
        <v>1.84E-2</v>
      </c>
      <c r="P78" s="10">
        <f t="shared" si="5"/>
        <v>0</v>
      </c>
      <c r="Q78" s="10">
        <f>IF(K78=0,IF(A75=A78,AVERAGE(O75:O78),"x"),0)</f>
        <v>0</v>
      </c>
      <c r="R78" s="9">
        <f>IF(L78&gt;2005,AVERAGE(O75:O94),0)</f>
        <v>0</v>
      </c>
      <c r="S78" s="10">
        <f>IF(A78=A79,(N78-N79)/N79,0)</f>
        <v>0</v>
      </c>
      <c r="T78" s="10">
        <f>IF(L78&gt;2005,(((N78-N98)/N98)+1)^(1/5)-1,0)</f>
        <v>0</v>
      </c>
      <c r="U78" s="10">
        <f t="shared" si="6"/>
        <v>0</v>
      </c>
      <c r="V78" s="26">
        <f t="shared" si="7"/>
        <v>0</v>
      </c>
      <c r="W78" s="3">
        <f>IF(A78=A79,N78-N79,0)</f>
        <v>0</v>
      </c>
      <c r="X78" s="10">
        <f>IF(A78=A79,(N78-N79)/N79,0)</f>
        <v>0</v>
      </c>
    </row>
    <row r="79" spans="1:24" ht="16.5" customHeight="1">
      <c r="A79" s="3" t="s">
        <v>19</v>
      </c>
      <c r="B79" s="3">
        <f t="shared" si="0"/>
        <v>2003</v>
      </c>
      <c r="C79" s="3">
        <f t="shared" si="1"/>
        <v>8</v>
      </c>
      <c r="D79" s="20" t="str">
        <f t="shared" si="2"/>
        <v>JNJ20038</v>
      </c>
      <c r="E79" s="2">
        <v>37848</v>
      </c>
      <c r="F79" s="3">
        <v>0.24</v>
      </c>
      <c r="G79" s="2">
        <v>37873</v>
      </c>
      <c r="H79" s="3">
        <v>1.7500000000000002E-2</v>
      </c>
      <c r="I79" s="3">
        <v>0</v>
      </c>
      <c r="J79" s="3">
        <v>0</v>
      </c>
      <c r="K79" s="3">
        <f t="shared" si="3"/>
        <v>2003</v>
      </c>
      <c r="L79" s="3">
        <f t="shared" si="4"/>
        <v>0</v>
      </c>
      <c r="M79" s="20" t="str">
        <f>A79&amp;L79</f>
        <v>JNJ0</v>
      </c>
      <c r="N79" s="3">
        <f>F79</f>
        <v>0.24</v>
      </c>
      <c r="O79" s="9">
        <f>H79</f>
        <v>1.7500000000000002E-2</v>
      </c>
      <c r="P79" s="10">
        <f t="shared" si="5"/>
        <v>0</v>
      </c>
      <c r="Q79" s="10">
        <f>IF(K79=0,IF(A76=A79,AVERAGE(O76:O79),"x"),0)</f>
        <v>0</v>
      </c>
      <c r="R79" s="9">
        <f>IF(L79&gt;2005,AVERAGE(O76:O95),0)</f>
        <v>0</v>
      </c>
      <c r="S79" s="10">
        <f>IF(A79=A80,(N79-N80)/N80,0)</f>
        <v>0</v>
      </c>
      <c r="T79" s="10">
        <f>IF(L79&gt;2005,(((N79-N99)/N99)+1)^(1/5)-1,0)</f>
        <v>0</v>
      </c>
      <c r="U79" s="10">
        <f t="shared" si="6"/>
        <v>0</v>
      </c>
      <c r="V79" s="26">
        <f t="shared" si="7"/>
        <v>0</v>
      </c>
      <c r="W79" s="3">
        <f>IF(A79=A80,N79-N80,0)</f>
        <v>0</v>
      </c>
      <c r="X79" s="10">
        <f>IF(A79=A80,(N79-N80)/N80,0)</f>
        <v>0</v>
      </c>
    </row>
    <row r="80" spans="1:24" ht="16.5" customHeight="1">
      <c r="A80" s="3" t="s">
        <v>19</v>
      </c>
      <c r="B80" s="3">
        <f t="shared" si="0"/>
        <v>2003</v>
      </c>
      <c r="C80" s="3">
        <f t="shared" si="1"/>
        <v>5</v>
      </c>
      <c r="D80" s="20" t="str">
        <f t="shared" si="2"/>
        <v>JNJ20035</v>
      </c>
      <c r="E80" s="2">
        <v>37757</v>
      </c>
      <c r="F80" s="3">
        <v>0.24</v>
      </c>
      <c r="G80" s="2">
        <v>37782</v>
      </c>
      <c r="H80" s="3">
        <v>1.54E-2</v>
      </c>
      <c r="I80" s="3">
        <v>0.17073170700000001</v>
      </c>
      <c r="J80" s="3">
        <v>3.5000000000000003E-2</v>
      </c>
      <c r="K80" s="3">
        <f t="shared" si="3"/>
        <v>2003</v>
      </c>
      <c r="L80" s="3">
        <f t="shared" si="4"/>
        <v>0</v>
      </c>
      <c r="M80" s="20" t="str">
        <f>A80&amp;L80</f>
        <v>JNJ0</v>
      </c>
      <c r="N80" s="3">
        <f>F80</f>
        <v>0.24</v>
      </c>
      <c r="O80" s="9">
        <f>H80</f>
        <v>1.54E-2</v>
      </c>
      <c r="P80" s="10">
        <f t="shared" si="5"/>
        <v>1.4675000000000001E-2</v>
      </c>
      <c r="Q80" s="10">
        <f>IF(K80=0,IF(A77=A80,AVERAGE(O77:O80),"x"),0)</f>
        <v>0</v>
      </c>
      <c r="R80" s="9">
        <f>IF(L80&gt;2005,AVERAGE(O77:O96),0)</f>
        <v>0</v>
      </c>
      <c r="S80" s="10">
        <f>IF(A80=A81,(N80-N81)/N81,0)</f>
        <v>0.17073170731707318</v>
      </c>
      <c r="T80" s="10">
        <f>IF(L80&gt;2005,(((N80-N100)/N100)+1)^(1/5)-1,0)</f>
        <v>0</v>
      </c>
      <c r="U80" s="10">
        <f t="shared" si="6"/>
        <v>0</v>
      </c>
      <c r="V80" s="26">
        <f t="shared" si="7"/>
        <v>0</v>
      </c>
      <c r="W80" s="3">
        <f>IF(A80=A81,N80-N81,0)</f>
        <v>3.5000000000000003E-2</v>
      </c>
      <c r="X80" s="10">
        <f>IF(A80=A81,(N80-N81)/N81,0)</f>
        <v>0.17073170731707318</v>
      </c>
    </row>
    <row r="81" spans="1:24" ht="16.5" customHeight="1">
      <c r="A81" s="3" t="s">
        <v>19</v>
      </c>
      <c r="B81" s="3">
        <f t="shared" si="0"/>
        <v>2003</v>
      </c>
      <c r="C81" s="3">
        <f t="shared" si="1"/>
        <v>2</v>
      </c>
      <c r="D81" s="20" t="str">
        <f t="shared" si="2"/>
        <v>JNJ20032</v>
      </c>
      <c r="E81" s="2">
        <v>37665</v>
      </c>
      <c r="F81" s="3">
        <v>0.20499999999999999</v>
      </c>
      <c r="G81" s="2">
        <v>37691</v>
      </c>
      <c r="H81" s="3">
        <v>1.6400000000000001E-2</v>
      </c>
      <c r="I81" s="3">
        <v>0</v>
      </c>
      <c r="J81" s="3">
        <v>0</v>
      </c>
      <c r="K81" s="3">
        <f t="shared" si="3"/>
        <v>0</v>
      </c>
      <c r="L81" s="3">
        <f t="shared" si="4"/>
        <v>2003</v>
      </c>
      <c r="M81" s="20" t="str">
        <f>A81&amp;L81</f>
        <v>JNJ2003</v>
      </c>
      <c r="N81" s="3">
        <f>F81</f>
        <v>0.20499999999999999</v>
      </c>
      <c r="O81" s="9">
        <f>H81</f>
        <v>1.6400000000000001E-2</v>
      </c>
      <c r="P81" s="10">
        <f t="shared" si="5"/>
        <v>0</v>
      </c>
      <c r="Q81" s="10">
        <f>IF(K81=0,IF(A78=A81,AVERAGE(O78:O81),"x"),0)</f>
        <v>1.6924999999999999E-2</v>
      </c>
      <c r="R81" s="9">
        <f>IF(L81&gt;2005,AVERAGE(O78:O97),0)</f>
        <v>0</v>
      </c>
      <c r="S81" s="10">
        <f>IF(A81=A82,(N81-N82)/N82,0)</f>
        <v>0</v>
      </c>
      <c r="T81" s="10">
        <f>IF(L81&gt;2005,(((N81-N101)/N101)+1)^(1/5)-1,0)</f>
        <v>0</v>
      </c>
      <c r="U81" s="10">
        <f t="shared" si="6"/>
        <v>0</v>
      </c>
      <c r="V81" s="26">
        <f t="shared" si="7"/>
        <v>0</v>
      </c>
      <c r="W81" s="3">
        <f>IF(A81=A82,N81-N82,0)</f>
        <v>0</v>
      </c>
      <c r="X81" s="10">
        <f>IF(A81=A82,(N81-N82)/N82,0)</f>
        <v>0</v>
      </c>
    </row>
    <row r="82" spans="1:24" ht="16.5" customHeight="1">
      <c r="A82" s="3" t="s">
        <v>19</v>
      </c>
      <c r="B82" s="3">
        <f t="shared" si="0"/>
        <v>2002</v>
      </c>
      <c r="C82" s="3">
        <f t="shared" si="1"/>
        <v>11</v>
      </c>
      <c r="D82" s="20" t="str">
        <f t="shared" si="2"/>
        <v>JNJ200211</v>
      </c>
      <c r="E82" s="2">
        <v>37575</v>
      </c>
      <c r="F82" s="3">
        <v>0.20499999999999999</v>
      </c>
      <c r="G82" s="2">
        <v>37600</v>
      </c>
      <c r="H82" s="3">
        <v>1.3100000000000001E-2</v>
      </c>
      <c r="I82" s="3">
        <v>0</v>
      </c>
      <c r="J82" s="3">
        <v>0</v>
      </c>
      <c r="K82" s="3">
        <f t="shared" si="3"/>
        <v>2002</v>
      </c>
      <c r="L82" s="3">
        <f t="shared" si="4"/>
        <v>0</v>
      </c>
      <c r="M82" s="20" t="str">
        <f>A82&amp;L82</f>
        <v>JNJ0</v>
      </c>
      <c r="N82" s="3">
        <f>F82</f>
        <v>0.20499999999999999</v>
      </c>
      <c r="O82" s="9">
        <f>H82</f>
        <v>1.3100000000000001E-2</v>
      </c>
      <c r="P82" s="10">
        <f t="shared" si="5"/>
        <v>0</v>
      </c>
      <c r="Q82" s="10">
        <f>IF(K82=0,IF(A79=A82,AVERAGE(O79:O82),"x"),0)</f>
        <v>0</v>
      </c>
      <c r="R82" s="9">
        <f>IF(L82&gt;2005,AVERAGE(O79:O98),0)</f>
        <v>0</v>
      </c>
      <c r="S82" s="10">
        <f>IF(A82=A83,(N82-N83)/N83,0)</f>
        <v>0</v>
      </c>
      <c r="T82" s="10">
        <f>IF(L82&gt;2005,(((N82-N102)/N102)+1)^(1/5)-1,0)</f>
        <v>0</v>
      </c>
      <c r="U82" s="10">
        <f t="shared" si="6"/>
        <v>0</v>
      </c>
      <c r="V82" s="26">
        <f t="shared" si="7"/>
        <v>0</v>
      </c>
      <c r="W82" s="3">
        <f>IF(A82=A83,N82-N83,0)</f>
        <v>0</v>
      </c>
      <c r="X82" s="10">
        <f>IF(A82=A83,(N82-N83)/N83,0)</f>
        <v>0</v>
      </c>
    </row>
    <row r="83" spans="1:24" ht="16.5" customHeight="1">
      <c r="A83" s="3" t="s">
        <v>19</v>
      </c>
      <c r="B83" s="3">
        <f t="shared" si="0"/>
        <v>2002</v>
      </c>
      <c r="C83" s="3">
        <f t="shared" si="1"/>
        <v>8</v>
      </c>
      <c r="D83" s="20" t="str">
        <f t="shared" si="2"/>
        <v>JNJ20028</v>
      </c>
      <c r="E83" s="2">
        <v>37484</v>
      </c>
      <c r="F83" s="3">
        <v>0.20499999999999999</v>
      </c>
      <c r="G83" s="2">
        <v>37509</v>
      </c>
      <c r="H83" s="3">
        <v>1.38E-2</v>
      </c>
      <c r="I83" s="3">
        <v>0</v>
      </c>
      <c r="J83" s="3">
        <v>0</v>
      </c>
      <c r="K83" s="3">
        <f t="shared" si="3"/>
        <v>2002</v>
      </c>
      <c r="L83" s="3">
        <f t="shared" si="4"/>
        <v>0</v>
      </c>
      <c r="M83" s="20" t="str">
        <f>A83&amp;L83</f>
        <v>JNJ0</v>
      </c>
      <c r="N83" s="3">
        <f>F83</f>
        <v>0.20499999999999999</v>
      </c>
      <c r="O83" s="9">
        <f>H83</f>
        <v>1.38E-2</v>
      </c>
      <c r="P83" s="10">
        <f t="shared" si="5"/>
        <v>0</v>
      </c>
      <c r="Q83" s="10">
        <f>IF(K83=0,IF(A80=A83,AVERAGE(O80:O83),"x"),0)</f>
        <v>0</v>
      </c>
      <c r="R83" s="9">
        <f>IF(L83&gt;2005,AVERAGE(O80:O99),0)</f>
        <v>0</v>
      </c>
      <c r="S83" s="10">
        <f>IF(A83=A84,(N83-N84)/N84,0)</f>
        <v>0</v>
      </c>
      <c r="T83" s="10">
        <f>IF(L83&gt;2005,(((N83-N103)/N103)+1)^(1/5)-1,0)</f>
        <v>0</v>
      </c>
      <c r="U83" s="10">
        <f t="shared" si="6"/>
        <v>0</v>
      </c>
      <c r="V83" s="26">
        <f t="shared" si="7"/>
        <v>0</v>
      </c>
      <c r="W83" s="3">
        <f>IF(A83=A84,N83-N84,0)</f>
        <v>0</v>
      </c>
      <c r="X83" s="10">
        <f>IF(A83=A84,(N83-N84)/N84,0)</f>
        <v>0</v>
      </c>
    </row>
    <row r="84" spans="1:24" ht="16.5" customHeight="1">
      <c r="A84" s="3" t="s">
        <v>19</v>
      </c>
      <c r="B84" s="3">
        <f t="shared" si="0"/>
        <v>2002</v>
      </c>
      <c r="C84" s="3">
        <f t="shared" si="1"/>
        <v>5</v>
      </c>
      <c r="D84" s="20" t="str">
        <f t="shared" si="2"/>
        <v>JNJ20025</v>
      </c>
      <c r="E84" s="2">
        <v>37393</v>
      </c>
      <c r="F84" s="3">
        <v>0.20499999999999999</v>
      </c>
      <c r="G84" s="2">
        <v>37418</v>
      </c>
      <c r="H84" s="3">
        <v>1.23E-2</v>
      </c>
      <c r="I84" s="3">
        <v>0.13888888899999999</v>
      </c>
      <c r="J84" s="3">
        <v>2.5000000000000001E-2</v>
      </c>
      <c r="K84" s="3">
        <f t="shared" si="3"/>
        <v>2002</v>
      </c>
      <c r="L84" s="3">
        <f t="shared" si="4"/>
        <v>0</v>
      </c>
      <c r="M84" s="20" t="str">
        <f>A84&amp;L84</f>
        <v>JNJ0</v>
      </c>
      <c r="N84" s="3">
        <f>F84</f>
        <v>0.20499999999999999</v>
      </c>
      <c r="O84" s="9">
        <f>H84</f>
        <v>1.23E-2</v>
      </c>
      <c r="P84" s="10">
        <f t="shared" si="5"/>
        <v>1.2200000000000001E-2</v>
      </c>
      <c r="Q84" s="10">
        <f>IF(K84=0,IF(A81=A84,AVERAGE(O81:O84),"x"),0)</f>
        <v>0</v>
      </c>
      <c r="R84" s="9">
        <f>IF(L84&gt;2005,AVERAGE(O81:O100),0)</f>
        <v>0</v>
      </c>
      <c r="S84" s="10">
        <f>IF(A84=A85,(N84-N85)/N85,0)</f>
        <v>0.13888888888888887</v>
      </c>
      <c r="T84" s="10">
        <f>IF(L84&gt;2005,(((N84-N104)/N104)+1)^(1/5)-1,0)</f>
        <v>0</v>
      </c>
      <c r="U84" s="10">
        <f t="shared" si="6"/>
        <v>0</v>
      </c>
      <c r="V84" s="26">
        <f t="shared" si="7"/>
        <v>0</v>
      </c>
      <c r="W84" s="3">
        <f>IF(A84=A85,N84-N85,0)</f>
        <v>2.4999999999999994E-2</v>
      </c>
      <c r="X84" s="10">
        <f>IF(A84=A85,(N84-N85)/N85,0)</f>
        <v>0.13888888888888887</v>
      </c>
    </row>
    <row r="85" spans="1:24" ht="16.5" customHeight="1">
      <c r="A85" s="3" t="s">
        <v>19</v>
      </c>
      <c r="B85" s="3">
        <f t="shared" si="0"/>
        <v>2002</v>
      </c>
      <c r="C85" s="3">
        <f t="shared" si="1"/>
        <v>2</v>
      </c>
      <c r="D85" s="20" t="str">
        <f t="shared" si="2"/>
        <v>JNJ20022</v>
      </c>
      <c r="E85" s="2">
        <v>37301</v>
      </c>
      <c r="F85" s="3">
        <v>0.18</v>
      </c>
      <c r="G85" s="2">
        <v>37327</v>
      </c>
      <c r="H85" s="3">
        <v>1.24E-2</v>
      </c>
      <c r="I85" s="3">
        <v>0</v>
      </c>
      <c r="J85" s="3">
        <v>0</v>
      </c>
      <c r="K85" s="3">
        <f t="shared" si="3"/>
        <v>0</v>
      </c>
      <c r="L85" s="3">
        <f t="shared" si="4"/>
        <v>2002</v>
      </c>
      <c r="M85" s="20" t="str">
        <f>A85&amp;L85</f>
        <v>JNJ2002</v>
      </c>
      <c r="N85" s="3">
        <f>F85</f>
        <v>0.18</v>
      </c>
      <c r="O85" s="9">
        <f>H85</f>
        <v>1.24E-2</v>
      </c>
      <c r="P85" s="10">
        <f t="shared" si="5"/>
        <v>0</v>
      </c>
      <c r="Q85" s="10">
        <f>IF(K85=0,IF(A82=A85,AVERAGE(O82:O85),"x"),0)</f>
        <v>1.29E-2</v>
      </c>
      <c r="R85" s="9">
        <f>IF(L85&gt;2005,AVERAGE(O82:O101),0)</f>
        <v>0</v>
      </c>
      <c r="S85" s="10">
        <f>IF(A85=A86,(N85-N86)/N86,0)</f>
        <v>0</v>
      </c>
      <c r="T85" s="10">
        <f>IF(L85&gt;2005,(((N85-N105)/N105)+1)^(1/5)-1,0)</f>
        <v>0</v>
      </c>
      <c r="U85" s="10">
        <f t="shared" si="6"/>
        <v>0</v>
      </c>
      <c r="V85" s="26">
        <f t="shared" si="7"/>
        <v>0</v>
      </c>
      <c r="W85" s="3">
        <f>IF(A85=A86,N85-N86,0)</f>
        <v>0</v>
      </c>
      <c r="X85" s="10">
        <f>IF(A85=A86,(N85-N86)/N86,0)</f>
        <v>0</v>
      </c>
    </row>
    <row r="86" spans="1:24" ht="16.5" customHeight="1">
      <c r="A86" s="3" t="s">
        <v>19</v>
      </c>
      <c r="B86" s="3">
        <f t="shared" si="0"/>
        <v>2001</v>
      </c>
      <c r="C86" s="3">
        <f t="shared" si="1"/>
        <v>11</v>
      </c>
      <c r="D86" s="20" t="str">
        <f t="shared" si="2"/>
        <v>JNJ200111</v>
      </c>
      <c r="E86" s="2">
        <v>37211</v>
      </c>
      <c r="F86" s="3">
        <v>0.18</v>
      </c>
      <c r="G86" s="2">
        <v>37236</v>
      </c>
      <c r="H86" s="3">
        <v>1.17E-2</v>
      </c>
      <c r="I86" s="3">
        <v>0</v>
      </c>
      <c r="J86" s="3">
        <v>0</v>
      </c>
      <c r="K86" s="3">
        <f t="shared" si="3"/>
        <v>2001</v>
      </c>
      <c r="L86" s="3">
        <f t="shared" si="4"/>
        <v>0</v>
      </c>
      <c r="M86" s="20" t="str">
        <f>A86&amp;L86</f>
        <v>JNJ0</v>
      </c>
      <c r="N86" s="3">
        <f>F86</f>
        <v>0.18</v>
      </c>
      <c r="O86" s="9">
        <f>H86</f>
        <v>1.17E-2</v>
      </c>
      <c r="P86" s="10">
        <f t="shared" si="5"/>
        <v>0</v>
      </c>
      <c r="Q86" s="10">
        <f>IF(K86=0,IF(A83=A86,AVERAGE(O83:O86),"x"),0)</f>
        <v>0</v>
      </c>
      <c r="R86" s="9">
        <f>IF(L86&gt;2005,AVERAGE(O83:O102),0)</f>
        <v>0</v>
      </c>
      <c r="S86" s="10">
        <f>IF(A86=A87,(N86-N87)/N87,0)</f>
        <v>0</v>
      </c>
      <c r="T86" s="10">
        <f>IF(L86&gt;2005,(((N86-N106)/N106)+1)^(1/5)-1,0)</f>
        <v>0</v>
      </c>
      <c r="U86" s="10">
        <f t="shared" si="6"/>
        <v>0</v>
      </c>
      <c r="V86" s="26">
        <f t="shared" si="7"/>
        <v>0</v>
      </c>
      <c r="W86" s="3">
        <f>IF(A86=A87,N86-N87,0)</f>
        <v>0</v>
      </c>
      <c r="X86" s="10">
        <f>IF(A86=A87,(N86-N87)/N87,0)</f>
        <v>0</v>
      </c>
    </row>
    <row r="87" spans="1:24" ht="16.5" customHeight="1">
      <c r="A87" s="3" t="s">
        <v>19</v>
      </c>
      <c r="B87" s="3">
        <f t="shared" si="0"/>
        <v>2001</v>
      </c>
      <c r="C87" s="3">
        <f t="shared" si="1"/>
        <v>8</v>
      </c>
      <c r="D87" s="20" t="str">
        <f t="shared" si="2"/>
        <v>JNJ20018</v>
      </c>
      <c r="E87" s="2">
        <v>37120</v>
      </c>
      <c r="F87" s="3">
        <v>0.18</v>
      </c>
      <c r="G87" s="2">
        <v>37145</v>
      </c>
      <c r="H87" s="3">
        <v>1.24E-2</v>
      </c>
      <c r="I87" s="3">
        <v>-0.5</v>
      </c>
      <c r="J87" s="3">
        <v>-0.18</v>
      </c>
      <c r="K87" s="3">
        <f t="shared" si="3"/>
        <v>2001</v>
      </c>
      <c r="L87" s="3">
        <f t="shared" si="4"/>
        <v>0</v>
      </c>
      <c r="M87" s="20" t="str">
        <f>A87&amp;L87</f>
        <v>JNJ0</v>
      </c>
      <c r="N87" s="3">
        <f>F87</f>
        <v>0.18</v>
      </c>
      <c r="O87" s="9">
        <f>H87</f>
        <v>1.24E-2</v>
      </c>
      <c r="P87" s="10">
        <f t="shared" si="5"/>
        <v>0</v>
      </c>
      <c r="Q87" s="10">
        <f>IF(K87=0,IF(A84=A87,AVERAGE(O84:O87),"x"),0)</f>
        <v>0</v>
      </c>
      <c r="R87" s="9">
        <f>IF(L87&gt;2005,AVERAGE(O84:O103),0)</f>
        <v>0</v>
      </c>
      <c r="S87" s="10">
        <f>IF(A87=A88,(N87-N88)/N88,0)</f>
        <v>0</v>
      </c>
      <c r="T87" s="10">
        <f>IF(L87&gt;2005,(((N87-N107)/N107)+1)^(1/5)-1,0)</f>
        <v>0</v>
      </c>
      <c r="U87" s="10">
        <f t="shared" si="6"/>
        <v>0</v>
      </c>
      <c r="V87" s="26">
        <f t="shared" si="7"/>
        <v>0</v>
      </c>
      <c r="W87" s="3">
        <f>IF(A87=A88,N87-N88,0)</f>
        <v>0</v>
      </c>
      <c r="X87" s="10">
        <f>IF(A87=A88,(N87-N88)/N88,0)</f>
        <v>0</v>
      </c>
    </row>
    <row r="88" spans="1:24" ht="16.5" customHeight="1">
      <c r="A88" s="3" t="s">
        <v>19</v>
      </c>
      <c r="B88" s="3">
        <f t="shared" si="0"/>
        <v>2001</v>
      </c>
      <c r="C88" s="3">
        <f t="shared" si="1"/>
        <v>5</v>
      </c>
      <c r="D88" s="20" t="str">
        <f t="shared" si="2"/>
        <v>JNJ20015</v>
      </c>
      <c r="E88" s="2">
        <v>37029</v>
      </c>
      <c r="F88" s="3">
        <v>0.36</v>
      </c>
      <c r="G88" s="2">
        <v>37054</v>
      </c>
      <c r="H88" s="3">
        <v>1.3100000000000001E-2</v>
      </c>
      <c r="I88" s="3">
        <v>0.125</v>
      </c>
      <c r="J88" s="3">
        <v>0.04</v>
      </c>
      <c r="K88" s="3">
        <f t="shared" si="3"/>
        <v>2001</v>
      </c>
      <c r="L88" s="3">
        <f t="shared" si="4"/>
        <v>0</v>
      </c>
      <c r="M88" s="20" t="str">
        <f>A88&amp;L88</f>
        <v>JNJ0</v>
      </c>
      <c r="N88" s="3">
        <f>F88/2</f>
        <v>0.18</v>
      </c>
      <c r="O88" s="9">
        <f>H88</f>
        <v>1.3100000000000001E-2</v>
      </c>
      <c r="P88" s="10">
        <f t="shared" si="5"/>
        <v>1.3025E-2</v>
      </c>
      <c r="Q88" s="10">
        <f>IF(K88=0,IF(A85=A88,AVERAGE(O85:O88),"x"),0)</f>
        <v>0</v>
      </c>
      <c r="R88" s="9">
        <f>IF(L88&gt;2005,AVERAGE(O85:O104),0)</f>
        <v>0</v>
      </c>
      <c r="S88" s="10">
        <f>IF(A88=A89,(N88-N89)/N89,0)</f>
        <v>0.12499999999999993</v>
      </c>
      <c r="T88" s="10">
        <f>IF(L88&gt;2005,(((N88-N108)/N108)+1)^(1/5)-1,0)</f>
        <v>0</v>
      </c>
      <c r="U88" s="10">
        <f t="shared" si="6"/>
        <v>0</v>
      </c>
      <c r="V88" s="26">
        <f t="shared" si="7"/>
        <v>0</v>
      </c>
      <c r="W88" s="3">
        <f>IF(A88=A89,N88-N89,0)</f>
        <v>1.999999999999999E-2</v>
      </c>
      <c r="X88" s="10">
        <f>IF(A88=A89,(N88-N89)/N89,0)</f>
        <v>0.12499999999999993</v>
      </c>
    </row>
    <row r="89" spans="1:24" ht="16.5" customHeight="1">
      <c r="A89" s="3" t="s">
        <v>19</v>
      </c>
      <c r="B89" s="3">
        <f t="shared" si="0"/>
        <v>2001</v>
      </c>
      <c r="C89" s="3">
        <f t="shared" si="1"/>
        <v>2</v>
      </c>
      <c r="D89" s="20" t="str">
        <f t="shared" si="2"/>
        <v>JNJ20012</v>
      </c>
      <c r="E89" s="2">
        <v>36937</v>
      </c>
      <c r="F89" s="3">
        <v>0.32</v>
      </c>
      <c r="G89" s="2">
        <v>36963</v>
      </c>
      <c r="H89" s="3">
        <v>1.34E-2</v>
      </c>
      <c r="I89" s="3">
        <v>0</v>
      </c>
      <c r="J89" s="3">
        <v>0</v>
      </c>
      <c r="K89" s="3">
        <f t="shared" si="3"/>
        <v>0</v>
      </c>
      <c r="L89" s="3">
        <f t="shared" si="4"/>
        <v>2001</v>
      </c>
      <c r="M89" s="20" t="str">
        <f>A89&amp;L89</f>
        <v>JNJ2001</v>
      </c>
      <c r="N89" s="3">
        <f>F89/2</f>
        <v>0.16</v>
      </c>
      <c r="O89" s="9">
        <f>H89</f>
        <v>1.34E-2</v>
      </c>
      <c r="P89" s="10">
        <f t="shared" si="5"/>
        <v>0</v>
      </c>
      <c r="Q89" s="10">
        <f>IF(K89=0,IF(A86=A89,AVERAGE(O86:O89),"x"),0)</f>
        <v>1.265E-2</v>
      </c>
      <c r="R89" s="9">
        <f>IF(L89&gt;2005,AVERAGE(O86:O105),0)</f>
        <v>0</v>
      </c>
      <c r="S89" s="10">
        <f>IF(A89=A90,(N89-N90)/N90,0)</f>
        <v>0</v>
      </c>
      <c r="T89" s="10">
        <f>IF(L89&gt;2005,(((N89-N109)/N109)+1)^(1/5)-1,0)</f>
        <v>0</v>
      </c>
      <c r="U89" s="10">
        <f t="shared" si="6"/>
        <v>0</v>
      </c>
      <c r="V89" s="26">
        <f t="shared" si="7"/>
        <v>0</v>
      </c>
      <c r="W89" s="3">
        <f>IF(A89=A90,N89-N90,0)</f>
        <v>0</v>
      </c>
      <c r="X89" s="10">
        <f>IF(A89=A90,(N89-N90)/N90,0)</f>
        <v>0</v>
      </c>
    </row>
    <row r="90" spans="1:24" ht="16.5" customHeight="1">
      <c r="A90" s="3" t="s">
        <v>19</v>
      </c>
      <c r="B90" s="3">
        <f t="shared" si="0"/>
        <v>2000</v>
      </c>
      <c r="C90" s="3">
        <f t="shared" si="1"/>
        <v>11</v>
      </c>
      <c r="D90" s="20" t="str">
        <f t="shared" si="2"/>
        <v>JNJ200011</v>
      </c>
      <c r="E90" s="2">
        <v>36847</v>
      </c>
      <c r="F90" s="3">
        <v>0.32</v>
      </c>
      <c r="G90" s="2">
        <v>36872</v>
      </c>
      <c r="H90" s="3">
        <v>1.32E-2</v>
      </c>
      <c r="I90" s="3">
        <v>0</v>
      </c>
      <c r="J90" s="3">
        <v>0</v>
      </c>
      <c r="K90" s="3">
        <f t="shared" si="3"/>
        <v>2000</v>
      </c>
      <c r="L90" s="3">
        <f t="shared" si="4"/>
        <v>0</v>
      </c>
      <c r="M90" s="20" t="str">
        <f>A90&amp;L90</f>
        <v>JNJ0</v>
      </c>
      <c r="N90" s="3">
        <f>F90/2</f>
        <v>0.16</v>
      </c>
      <c r="O90" s="9">
        <f>H90</f>
        <v>1.32E-2</v>
      </c>
      <c r="P90" s="10">
        <f t="shared" si="5"/>
        <v>0</v>
      </c>
      <c r="Q90" s="10">
        <f>IF(K90=0,IF(A87=A90,AVERAGE(O87:O90),"x"),0)</f>
        <v>0</v>
      </c>
      <c r="R90" s="9">
        <f>IF(L90&gt;2005,AVERAGE(O87:O106),0)</f>
        <v>0</v>
      </c>
      <c r="S90" s="10">
        <f>IF(A90=A91,(N90-N91)/N91,0)</f>
        <v>0</v>
      </c>
      <c r="T90" s="10">
        <f>IF(L90&gt;2005,(((N90-N110)/N110)+1)^(1/5)-1,0)</f>
        <v>0</v>
      </c>
      <c r="U90" s="10">
        <f t="shared" si="6"/>
        <v>0</v>
      </c>
      <c r="V90" s="26">
        <f t="shared" si="7"/>
        <v>0</v>
      </c>
      <c r="W90" s="3">
        <f>IF(A90=A91,N90-N91,0)</f>
        <v>0</v>
      </c>
      <c r="X90" s="10">
        <f>IF(A90=A91,(N90-N91)/N91,0)</f>
        <v>0</v>
      </c>
    </row>
    <row r="91" spans="1:24" ht="16.5" customHeight="1">
      <c r="A91" s="3" t="s">
        <v>19</v>
      </c>
      <c r="B91" s="3">
        <f t="shared" si="0"/>
        <v>2000</v>
      </c>
      <c r="C91" s="3">
        <f t="shared" si="1"/>
        <v>8</v>
      </c>
      <c r="D91" s="20" t="str">
        <f t="shared" si="2"/>
        <v>JNJ20008</v>
      </c>
      <c r="E91" s="2">
        <v>36756</v>
      </c>
      <c r="F91" s="3">
        <v>0.32</v>
      </c>
      <c r="G91" s="2">
        <v>36781</v>
      </c>
      <c r="H91" s="3">
        <v>1.24E-2</v>
      </c>
      <c r="I91" s="3">
        <v>0</v>
      </c>
      <c r="J91" s="3">
        <v>0</v>
      </c>
      <c r="K91" s="3">
        <f t="shared" si="3"/>
        <v>2000</v>
      </c>
      <c r="L91" s="3">
        <f t="shared" si="4"/>
        <v>0</v>
      </c>
      <c r="M91" s="20" t="str">
        <f>A91&amp;L91</f>
        <v>JNJ0</v>
      </c>
      <c r="N91" s="3">
        <f>F91/2</f>
        <v>0.16</v>
      </c>
      <c r="O91" s="9">
        <f>H91</f>
        <v>1.24E-2</v>
      </c>
      <c r="P91" s="10">
        <f t="shared" si="5"/>
        <v>0</v>
      </c>
      <c r="Q91" s="10">
        <f>IF(K91=0,IF(A88=A91,AVERAGE(O88:O91),"x"),0)</f>
        <v>0</v>
      </c>
      <c r="R91" s="9">
        <f>IF(L91&gt;2005,AVERAGE(O88:O107),0)</f>
        <v>0</v>
      </c>
      <c r="S91" s="10">
        <f>IF(A91=A92,(N91-N92)/N92,0)</f>
        <v>0</v>
      </c>
      <c r="T91" s="10">
        <f>IF(L91&gt;2005,(((N91-N111)/N111)+1)^(1/5)-1,0)</f>
        <v>0</v>
      </c>
      <c r="U91" s="10">
        <f t="shared" si="6"/>
        <v>0</v>
      </c>
      <c r="V91" s="26">
        <f t="shared" si="7"/>
        <v>0</v>
      </c>
      <c r="W91" s="3">
        <f>IF(A91=A92,N91-N92,0)</f>
        <v>0</v>
      </c>
      <c r="X91" s="10">
        <f>IF(A91=A92,(N91-N92)/N92,0)</f>
        <v>0</v>
      </c>
    </row>
    <row r="92" spans="1:24" ht="16.5" customHeight="1">
      <c r="A92" s="3" t="s">
        <v>19</v>
      </c>
      <c r="B92" s="3">
        <f t="shared" si="0"/>
        <v>2000</v>
      </c>
      <c r="C92" s="3">
        <f t="shared" si="1"/>
        <v>5</v>
      </c>
      <c r="D92" s="20" t="str">
        <f t="shared" si="2"/>
        <v>JNJ20005</v>
      </c>
      <c r="E92" s="2">
        <v>36665</v>
      </c>
      <c r="F92" s="3">
        <v>0.32</v>
      </c>
      <c r="G92" s="2">
        <v>36690</v>
      </c>
      <c r="H92" s="3">
        <v>1.3100000000000001E-2</v>
      </c>
      <c r="I92" s="3">
        <v>0.14285714299999999</v>
      </c>
      <c r="J92" s="3">
        <v>0.04</v>
      </c>
      <c r="K92" s="3">
        <f t="shared" si="3"/>
        <v>2000</v>
      </c>
      <c r="L92" s="3">
        <f t="shared" si="4"/>
        <v>0</v>
      </c>
      <c r="M92" s="20" t="str">
        <f>A92&amp;L92</f>
        <v>JNJ0</v>
      </c>
      <c r="N92" s="3">
        <f>F92/2</f>
        <v>0.16</v>
      </c>
      <c r="O92" s="9">
        <f>H92</f>
        <v>1.3100000000000001E-2</v>
      </c>
      <c r="P92" s="10">
        <f t="shared" si="5"/>
        <v>1.7899999999999999E-2</v>
      </c>
      <c r="Q92" s="10">
        <f>IF(K92=0,IF(A89=A92,AVERAGE(O89:O92),"x"),0)</f>
        <v>0</v>
      </c>
      <c r="R92" s="9">
        <f>IF(L92&gt;2005,AVERAGE(O89:O108),0)</f>
        <v>0</v>
      </c>
      <c r="S92" s="10">
        <f>IF(A92=A93,(N92-N93)/N93,0)</f>
        <v>0.14285714285714277</v>
      </c>
      <c r="T92" s="10">
        <f>IF(L92&gt;2005,(((N92-N112)/N112)+1)^(1/5)-1,0)</f>
        <v>0</v>
      </c>
      <c r="U92" s="10">
        <f t="shared" si="6"/>
        <v>0</v>
      </c>
      <c r="V92" s="26">
        <f t="shared" si="7"/>
        <v>0</v>
      </c>
      <c r="W92" s="3">
        <f>IF(A92=A93,N92-N93,0)</f>
        <v>1.999999999999999E-2</v>
      </c>
      <c r="X92" s="10">
        <f>IF(A92=A93,(N92-N93)/N93,0)</f>
        <v>0.14285714285714277</v>
      </c>
    </row>
    <row r="93" spans="1:24" ht="16.5" customHeight="1">
      <c r="A93" s="14" t="s">
        <v>19</v>
      </c>
      <c r="B93" s="3">
        <f t="shared" si="0"/>
        <v>2000</v>
      </c>
      <c r="C93" s="3">
        <f t="shared" si="1"/>
        <v>2</v>
      </c>
      <c r="D93" s="20" t="str">
        <f t="shared" si="2"/>
        <v>JNJ20002</v>
      </c>
      <c r="E93" s="15">
        <v>36567</v>
      </c>
      <c r="F93" s="14">
        <v>0.28000000000000003</v>
      </c>
      <c r="G93" s="15">
        <v>36592</v>
      </c>
      <c r="H93" s="14">
        <v>1.44E-2</v>
      </c>
      <c r="I93" s="14">
        <v>0</v>
      </c>
      <c r="J93" s="14">
        <v>0</v>
      </c>
      <c r="K93" s="3">
        <f t="shared" si="3"/>
        <v>0</v>
      </c>
      <c r="L93" s="3">
        <f t="shared" si="4"/>
        <v>2000</v>
      </c>
      <c r="M93" s="20" t="str">
        <f>A93&amp;L93</f>
        <v>JNJ2000</v>
      </c>
      <c r="N93" s="14">
        <f>F93/2</f>
        <v>0.14000000000000001</v>
      </c>
      <c r="O93" s="9">
        <f>H93</f>
        <v>1.44E-2</v>
      </c>
      <c r="P93" s="10">
        <f t="shared" si="5"/>
        <v>0</v>
      </c>
      <c r="Q93" s="10">
        <f>IF(K93=0,IF(A90=A93,AVERAGE(O90:O93),"x"),0)</f>
        <v>1.3274999999999999E-2</v>
      </c>
      <c r="R93" s="9">
        <f>IF(L93&gt;2005,AVERAGE(O90:O109),0)</f>
        <v>0</v>
      </c>
      <c r="S93" s="10">
        <f>IF(A93=A94,(N93-N94)/N94,0)</f>
        <v>0</v>
      </c>
      <c r="T93" s="10">
        <f>IF(L93&gt;2005,(((N93-N113)/N113)+1)^(1/5)-1,0)</f>
        <v>0</v>
      </c>
      <c r="U93" s="10">
        <f t="shared" si="6"/>
        <v>0</v>
      </c>
      <c r="V93" s="26">
        <f t="shared" si="7"/>
        <v>0</v>
      </c>
      <c r="W93" s="3">
        <f>IF(A93=A94,N93-N94,0)</f>
        <v>0</v>
      </c>
      <c r="X93" s="10">
        <f>IF(A93=A94,(N93-N94)/N94,0)</f>
        <v>0</v>
      </c>
    </row>
    <row r="94" spans="1:24" ht="16.5" customHeight="1">
      <c r="A94" s="3" t="s">
        <v>25</v>
      </c>
      <c r="B94" s="3">
        <f t="shared" si="0"/>
        <v>2022</v>
      </c>
      <c r="C94" s="3">
        <f t="shared" si="1"/>
        <v>10</v>
      </c>
      <c r="D94" s="20" t="str">
        <f t="shared" si="2"/>
        <v>HRL202210</v>
      </c>
      <c r="E94" s="2">
        <v>44848</v>
      </c>
      <c r="F94" s="3">
        <v>0.26</v>
      </c>
      <c r="G94" s="2">
        <v>44880</v>
      </c>
      <c r="H94" s="3">
        <v>2.2599999999999999E-2</v>
      </c>
      <c r="I94" s="3">
        <v>0</v>
      </c>
      <c r="J94" s="3">
        <v>0</v>
      </c>
      <c r="K94" s="3">
        <f t="shared" si="3"/>
        <v>2022</v>
      </c>
      <c r="L94" s="3">
        <f t="shared" si="4"/>
        <v>0</v>
      </c>
      <c r="M94" s="20" t="str">
        <f>A94&amp;L94</f>
        <v>HRL0</v>
      </c>
      <c r="N94" s="3">
        <f>F94</f>
        <v>0.26</v>
      </c>
      <c r="O94" s="9">
        <f>H94</f>
        <v>2.2599999999999999E-2</v>
      </c>
      <c r="P94" s="10">
        <f t="shared" si="5"/>
        <v>0</v>
      </c>
      <c r="Q94" s="10">
        <f>IF(K94=0,IF(A91=A94,AVERAGE(O91:O94),"x"),0)</f>
        <v>0</v>
      </c>
      <c r="R94" s="9">
        <f>IF(L94&gt;2005,AVERAGE(O91:O110),0)</f>
        <v>0</v>
      </c>
      <c r="S94" s="10">
        <f>IF(A94=A95,(N94-N95)/N95,0)</f>
        <v>0</v>
      </c>
      <c r="T94" s="10">
        <f>IF(L94&gt;2005,(((N94-N114)/N114)+1)^(1/5)-1,0)</f>
        <v>0</v>
      </c>
      <c r="U94" s="10">
        <f t="shared" si="6"/>
        <v>0</v>
      </c>
      <c r="V94" s="26">
        <f t="shared" si="7"/>
        <v>0</v>
      </c>
      <c r="W94" s="3">
        <f>IF(A94=A95,N94-N95,0)</f>
        <v>0</v>
      </c>
      <c r="X94" s="10">
        <f>IF(A94=A95,(N94-N95)/N95,0)</f>
        <v>0</v>
      </c>
    </row>
    <row r="95" spans="1:24" ht="16.5" customHeight="1">
      <c r="A95" s="3" t="s">
        <v>25</v>
      </c>
      <c r="B95" s="3">
        <f t="shared" si="0"/>
        <v>2022</v>
      </c>
      <c r="C95" s="3">
        <f t="shared" si="1"/>
        <v>7</v>
      </c>
      <c r="D95" s="20" t="str">
        <f t="shared" si="2"/>
        <v>HRL20227</v>
      </c>
      <c r="E95" s="2">
        <v>44750</v>
      </c>
      <c r="F95" s="3">
        <v>0.26</v>
      </c>
      <c r="G95" s="2">
        <v>44788</v>
      </c>
      <c r="H95" s="3">
        <v>2.1499999999999998E-2</v>
      </c>
      <c r="I95" s="3">
        <v>0</v>
      </c>
      <c r="J95" s="3">
        <v>0</v>
      </c>
      <c r="K95" s="3">
        <f t="shared" si="3"/>
        <v>2022</v>
      </c>
      <c r="L95" s="3">
        <f t="shared" si="4"/>
        <v>0</v>
      </c>
      <c r="M95" s="20" t="str">
        <f>A95&amp;L95</f>
        <v>HRL0</v>
      </c>
      <c r="N95" s="3">
        <f>F95</f>
        <v>0.26</v>
      </c>
      <c r="O95" s="9">
        <f>H95</f>
        <v>2.1499999999999998E-2</v>
      </c>
      <c r="P95" s="10">
        <f t="shared" si="5"/>
        <v>0</v>
      </c>
      <c r="Q95" s="10">
        <f>IF(K95=0,IF(A92=A95,AVERAGE(O92:O95),"x"),0)</f>
        <v>0</v>
      </c>
      <c r="R95" s="9">
        <f>IF(L95&gt;2005,AVERAGE(O92:O111),0)</f>
        <v>0</v>
      </c>
      <c r="S95" s="10">
        <f>IF(A95=A96,(N95-N96)/N96,0)</f>
        <v>0</v>
      </c>
      <c r="T95" s="10">
        <f>IF(L95&gt;2005,(((N95-N115)/N115)+1)^(1/5)-1,0)</f>
        <v>0</v>
      </c>
      <c r="U95" s="10">
        <f t="shared" si="6"/>
        <v>0</v>
      </c>
      <c r="V95" s="26">
        <f t="shared" si="7"/>
        <v>0</v>
      </c>
      <c r="W95" s="3">
        <f>IF(A95=A96,N95-N96,0)</f>
        <v>0</v>
      </c>
      <c r="X95" s="10">
        <f>IF(A95=A96,(N95-N96)/N96,0)</f>
        <v>0</v>
      </c>
    </row>
    <row r="96" spans="1:24" ht="16.5" customHeight="1">
      <c r="A96" s="3" t="s">
        <v>25</v>
      </c>
      <c r="B96" s="3">
        <f t="shared" si="0"/>
        <v>2022</v>
      </c>
      <c r="C96" s="3">
        <f t="shared" si="1"/>
        <v>4</v>
      </c>
      <c r="D96" s="20" t="str">
        <f t="shared" si="2"/>
        <v>HRL20224</v>
      </c>
      <c r="E96" s="2">
        <v>44659</v>
      </c>
      <c r="F96" s="3">
        <v>0.26</v>
      </c>
      <c r="G96" s="2">
        <v>44697</v>
      </c>
      <c r="H96" s="3">
        <v>1.9699999999999999E-2</v>
      </c>
      <c r="I96" s="3">
        <v>0</v>
      </c>
      <c r="J96" s="3">
        <v>0</v>
      </c>
      <c r="K96" s="3">
        <f t="shared" si="3"/>
        <v>2022</v>
      </c>
      <c r="L96" s="3">
        <f t="shared" si="4"/>
        <v>0</v>
      </c>
      <c r="M96" s="20" t="str">
        <f>A96&amp;L96</f>
        <v>HRL0</v>
      </c>
      <c r="N96" s="3">
        <f>F96</f>
        <v>0.26</v>
      </c>
      <c r="O96" s="9">
        <f>H96</f>
        <v>1.9699999999999999E-2</v>
      </c>
      <c r="P96" s="10">
        <f t="shared" si="5"/>
        <v>0</v>
      </c>
      <c r="Q96" s="10">
        <f>IF(K96=0,IF(A93=A96,AVERAGE(O93:O96),"x"),0)</f>
        <v>0</v>
      </c>
      <c r="R96" s="9">
        <f>IF(L96&gt;2005,AVERAGE(O93:O112),0)</f>
        <v>0</v>
      </c>
      <c r="S96" s="10">
        <f>IF(A96=A97,(N96-N97)/N97,0)</f>
        <v>0</v>
      </c>
      <c r="T96" s="10">
        <f>IF(L96&gt;2005,(((N96-N116)/N116)+1)^(1/5)-1,0)</f>
        <v>0</v>
      </c>
      <c r="U96" s="10">
        <f t="shared" si="6"/>
        <v>0</v>
      </c>
      <c r="V96" s="26">
        <f t="shared" si="7"/>
        <v>0</v>
      </c>
      <c r="W96" s="3">
        <f>IF(A96=A97,N96-N97,0)</f>
        <v>0</v>
      </c>
      <c r="X96" s="10">
        <f>IF(A96=A97,(N96-N97)/N97,0)</f>
        <v>0</v>
      </c>
    </row>
    <row r="97" spans="1:24" ht="16.5" customHeight="1">
      <c r="A97" s="3" t="s">
        <v>25</v>
      </c>
      <c r="B97" s="3">
        <f t="shared" si="0"/>
        <v>2022</v>
      </c>
      <c r="C97" s="3">
        <f t="shared" si="1"/>
        <v>1</v>
      </c>
      <c r="D97" s="20" t="str">
        <f t="shared" si="2"/>
        <v>HRL20221</v>
      </c>
      <c r="E97" s="2">
        <v>44575</v>
      </c>
      <c r="F97" s="3">
        <v>0.26</v>
      </c>
      <c r="G97" s="2">
        <v>44607</v>
      </c>
      <c r="H97" s="3">
        <v>2.1000000000000001E-2</v>
      </c>
      <c r="I97" s="3">
        <v>6.1224489999999999E-2</v>
      </c>
      <c r="J97" s="3">
        <v>1.4999999999999999E-2</v>
      </c>
      <c r="K97" s="3">
        <f t="shared" si="3"/>
        <v>0</v>
      </c>
      <c r="L97" s="3">
        <f t="shared" si="4"/>
        <v>2022</v>
      </c>
      <c r="M97" s="20" t="str">
        <f>A97&amp;L97</f>
        <v>HRL2022</v>
      </c>
      <c r="N97" s="3">
        <f>F97</f>
        <v>0.26</v>
      </c>
      <c r="O97" s="9">
        <f>H97</f>
        <v>2.1000000000000001E-2</v>
      </c>
      <c r="P97" s="10">
        <f t="shared" si="5"/>
        <v>2.1299999999999999E-2</v>
      </c>
      <c r="Q97" s="10">
        <f>IF(K97=0,IF(A94=A97,AVERAGE(O94:O97),"x"),0)</f>
        <v>2.12E-2</v>
      </c>
      <c r="R97" s="9">
        <f>IF(L97&gt;2005,AVERAGE(O94:O113),0)</f>
        <v>2.0524999999999998E-2</v>
      </c>
      <c r="S97" s="10">
        <f>IF(A97=A98,(N97-N98)/N98,0)</f>
        <v>6.1224489795918421E-2</v>
      </c>
      <c r="T97" s="10">
        <f>IF(L97&gt;2005,(((N97-N117)/N117)+1)^(1/5)-1,0)</f>
        <v>8.8691633250776114E-2</v>
      </c>
      <c r="U97" s="10">
        <f t="shared" si="6"/>
        <v>0.10921663325077612</v>
      </c>
      <c r="V97" s="26">
        <f t="shared" si="7"/>
        <v>4.7291929123679592</v>
      </c>
      <c r="W97" s="3">
        <f>IF(A97=A98,N97-N98,0)</f>
        <v>1.5000000000000013E-2</v>
      </c>
      <c r="X97" s="10">
        <f>IF(A97=A98,(N97-N98)/N98,0)</f>
        <v>6.1224489795918421E-2</v>
      </c>
    </row>
    <row r="98" spans="1:24" ht="16.5" customHeight="1">
      <c r="A98" s="3" t="s">
        <v>25</v>
      </c>
      <c r="B98" s="3">
        <f t="shared" si="0"/>
        <v>2021</v>
      </c>
      <c r="C98" s="3">
        <f t="shared" si="1"/>
        <v>10</v>
      </c>
      <c r="D98" s="20" t="str">
        <f t="shared" si="2"/>
        <v>HRL202110</v>
      </c>
      <c r="E98" s="2">
        <v>44484</v>
      </c>
      <c r="F98" s="3">
        <v>0.245</v>
      </c>
      <c r="G98" s="2">
        <v>44515</v>
      </c>
      <c r="H98" s="3">
        <v>2.29E-2</v>
      </c>
      <c r="I98" s="3">
        <v>0</v>
      </c>
      <c r="J98" s="3">
        <v>0</v>
      </c>
      <c r="K98" s="3">
        <f t="shared" si="3"/>
        <v>2021</v>
      </c>
      <c r="L98" s="3">
        <f t="shared" si="4"/>
        <v>0</v>
      </c>
      <c r="M98" s="20" t="str">
        <f>A98&amp;L98</f>
        <v>HRL0</v>
      </c>
      <c r="N98" s="3">
        <f>F98</f>
        <v>0.245</v>
      </c>
      <c r="O98" s="9">
        <f>H98</f>
        <v>2.29E-2</v>
      </c>
      <c r="P98" s="10">
        <f t="shared" si="5"/>
        <v>0</v>
      </c>
      <c r="Q98" s="10">
        <f>IF(K98=0,IF(A95=A98,AVERAGE(O95:O98),"x"),0)</f>
        <v>0</v>
      </c>
      <c r="R98" s="9">
        <f>IF(L98&gt;2005,AVERAGE(O95:O114),0)</f>
        <v>0</v>
      </c>
      <c r="S98" s="10">
        <f>IF(A98=A99,(N98-N99)/N99,0)</f>
        <v>0</v>
      </c>
      <c r="T98" s="10">
        <f>IF(L98&gt;2005,(((N98-N118)/N118)+1)^(1/5)-1,0)</f>
        <v>0</v>
      </c>
      <c r="U98" s="10">
        <f t="shared" si="6"/>
        <v>0</v>
      </c>
      <c r="V98" s="26">
        <f t="shared" si="7"/>
        <v>0</v>
      </c>
      <c r="W98" s="3">
        <f>IF(A98=A99,N98-N99,0)</f>
        <v>0</v>
      </c>
      <c r="X98" s="10">
        <f>IF(A98=A99,(N98-N99)/N99,0)</f>
        <v>0</v>
      </c>
    </row>
    <row r="99" spans="1:24" ht="16.5" customHeight="1">
      <c r="A99" s="3" t="s">
        <v>25</v>
      </c>
      <c r="B99" s="3">
        <f t="shared" si="0"/>
        <v>2021</v>
      </c>
      <c r="C99" s="3">
        <f t="shared" si="1"/>
        <v>7</v>
      </c>
      <c r="D99" s="20" t="str">
        <f t="shared" si="2"/>
        <v>HRL20217</v>
      </c>
      <c r="E99" s="2">
        <v>44386</v>
      </c>
      <c r="F99" s="3">
        <v>0.245</v>
      </c>
      <c r="G99" s="2">
        <v>44424</v>
      </c>
      <c r="H99" s="3">
        <v>2.0500000000000001E-2</v>
      </c>
      <c r="I99" s="3">
        <v>0</v>
      </c>
      <c r="J99" s="3">
        <v>0</v>
      </c>
      <c r="K99" s="3">
        <f t="shared" si="3"/>
        <v>2021</v>
      </c>
      <c r="L99" s="3">
        <f t="shared" si="4"/>
        <v>0</v>
      </c>
      <c r="M99" s="20" t="str">
        <f>A99&amp;L99</f>
        <v>HRL0</v>
      </c>
      <c r="N99" s="3">
        <f>F99</f>
        <v>0.245</v>
      </c>
      <c r="O99" s="9">
        <f>H99</f>
        <v>2.0500000000000001E-2</v>
      </c>
      <c r="P99" s="10">
        <f t="shared" si="5"/>
        <v>0</v>
      </c>
      <c r="Q99" s="10">
        <f>IF(K99=0,IF(A96=A99,AVERAGE(O96:O99),"x"),0)</f>
        <v>0</v>
      </c>
      <c r="R99" s="9">
        <f>IF(L99&gt;2005,AVERAGE(O96:O115),0)</f>
        <v>0</v>
      </c>
      <c r="S99" s="10">
        <f>IF(A99=A100,(N99-N100)/N100,0)</f>
        <v>0</v>
      </c>
      <c r="T99" s="10">
        <f>IF(L99&gt;2005,(((N99-N119)/N119)+1)^(1/5)-1,0)</f>
        <v>0</v>
      </c>
      <c r="U99" s="10">
        <f t="shared" si="6"/>
        <v>0</v>
      </c>
      <c r="V99" s="26">
        <f t="shared" si="7"/>
        <v>0</v>
      </c>
      <c r="W99" s="3">
        <f>IF(A99=A100,N99-N100,0)</f>
        <v>0</v>
      </c>
      <c r="X99" s="10">
        <f>IF(A99=A100,(N99-N100)/N100,0)</f>
        <v>0</v>
      </c>
    </row>
    <row r="100" spans="1:24" ht="16.5" customHeight="1">
      <c r="A100" s="3" t="s">
        <v>25</v>
      </c>
      <c r="B100" s="3">
        <f t="shared" si="0"/>
        <v>2021</v>
      </c>
      <c r="C100" s="3">
        <f t="shared" si="1"/>
        <v>4</v>
      </c>
      <c r="D100" s="20" t="str">
        <f t="shared" si="2"/>
        <v>HRL20214</v>
      </c>
      <c r="E100" s="2">
        <v>44295</v>
      </c>
      <c r="F100" s="3">
        <v>0.245</v>
      </c>
      <c r="G100" s="2">
        <v>44333</v>
      </c>
      <c r="H100" s="3">
        <v>2.0799999999999999E-2</v>
      </c>
      <c r="I100" s="3">
        <v>0</v>
      </c>
      <c r="J100" s="3">
        <v>0</v>
      </c>
      <c r="K100" s="3">
        <f t="shared" si="3"/>
        <v>2021</v>
      </c>
      <c r="L100" s="3">
        <f t="shared" si="4"/>
        <v>0</v>
      </c>
      <c r="M100" s="20" t="str">
        <f>A100&amp;L100</f>
        <v>HRL0</v>
      </c>
      <c r="N100" s="3">
        <f>F100</f>
        <v>0.245</v>
      </c>
      <c r="O100" s="9">
        <f>H100</f>
        <v>2.0799999999999999E-2</v>
      </c>
      <c r="P100" s="10">
        <f t="shared" si="5"/>
        <v>0</v>
      </c>
      <c r="Q100" s="10">
        <f>IF(K100=0,IF(A97=A100,AVERAGE(O97:O100),"x"),0)</f>
        <v>0</v>
      </c>
      <c r="R100" s="9">
        <f>IF(L100&gt;2005,AVERAGE(O97:O116),0)</f>
        <v>0</v>
      </c>
      <c r="S100" s="10">
        <f>IF(A100=A101,(N100-N101)/N101,0)</f>
        <v>0</v>
      </c>
      <c r="T100" s="10">
        <f>IF(L100&gt;2005,(((N100-N120)/N120)+1)^(1/5)-1,0)</f>
        <v>0</v>
      </c>
      <c r="U100" s="10">
        <f t="shared" si="6"/>
        <v>0</v>
      </c>
      <c r="V100" s="26">
        <f t="shared" si="7"/>
        <v>0</v>
      </c>
      <c r="W100" s="3">
        <f>IF(A100=A101,N100-N101,0)</f>
        <v>0</v>
      </c>
      <c r="X100" s="10">
        <f>IF(A100=A101,(N100-N101)/N101,0)</f>
        <v>0</v>
      </c>
    </row>
    <row r="101" spans="1:24" ht="16.5" customHeight="1">
      <c r="A101" s="3" t="s">
        <v>25</v>
      </c>
      <c r="B101" s="3">
        <f t="shared" si="0"/>
        <v>2021</v>
      </c>
      <c r="C101" s="3">
        <f t="shared" si="1"/>
        <v>1</v>
      </c>
      <c r="D101" s="20" t="str">
        <f t="shared" si="2"/>
        <v>HRL20211</v>
      </c>
      <c r="E101" s="2">
        <v>44204</v>
      </c>
      <c r="F101" s="3">
        <v>0.245</v>
      </c>
      <c r="G101" s="2">
        <v>44243</v>
      </c>
      <c r="H101" s="3">
        <v>2.1399999999999999E-2</v>
      </c>
      <c r="I101" s="3">
        <v>5.3763441000000002E-2</v>
      </c>
      <c r="J101" s="3">
        <v>1.2500000000000001E-2</v>
      </c>
      <c r="K101" s="3">
        <f t="shared" si="3"/>
        <v>0</v>
      </c>
      <c r="L101" s="3">
        <f t="shared" si="4"/>
        <v>2021</v>
      </c>
      <c r="M101" s="20" t="str">
        <f>A101&amp;L101</f>
        <v>HRL2021</v>
      </c>
      <c r="N101" s="3">
        <f>F101</f>
        <v>0.245</v>
      </c>
      <c r="O101" s="9">
        <f>H101</f>
        <v>2.1399999999999999E-2</v>
      </c>
      <c r="P101" s="10">
        <f t="shared" si="5"/>
        <v>1.9799999999999998E-2</v>
      </c>
      <c r="Q101" s="10">
        <f>IF(K101=0,IF(A98=A101,AVERAGE(O98:O101),"x"),0)</f>
        <v>2.1400000000000002E-2</v>
      </c>
      <c r="R101" s="9">
        <f>IF(L101&gt;2005,AVERAGE(O98:O117),0)</f>
        <v>2.0399999999999995E-2</v>
      </c>
      <c r="S101" s="10">
        <f>IF(A101=A102,(N101-N102)/N102,0)</f>
        <v>5.3763440860214978E-2</v>
      </c>
      <c r="T101" s="10">
        <f>IF(L101&gt;2005,(((N101-N121)/N121)+1)^(1/5)-1,0)</f>
        <v>0.11060497971884509</v>
      </c>
      <c r="U101" s="10">
        <f t="shared" si="6"/>
        <v>0.13100497971884509</v>
      </c>
      <c r="V101" s="26">
        <f t="shared" si="7"/>
        <v>4.735863481507752</v>
      </c>
      <c r="W101" s="3">
        <f>IF(A101=A102,N101-N102,0)</f>
        <v>1.2499999999999983E-2</v>
      </c>
      <c r="X101" s="10">
        <f>IF(A101=A102,(N101-N102)/N102,0)</f>
        <v>5.3763440860214978E-2</v>
      </c>
    </row>
    <row r="102" spans="1:24" ht="16.5" customHeight="1">
      <c r="A102" s="3" t="s">
        <v>25</v>
      </c>
      <c r="B102" s="3">
        <f t="shared" si="0"/>
        <v>2020</v>
      </c>
      <c r="C102" s="3">
        <f t="shared" si="1"/>
        <v>10</v>
      </c>
      <c r="D102" s="20" t="str">
        <f t="shared" si="2"/>
        <v>HRL202010</v>
      </c>
      <c r="E102" s="2">
        <v>44120</v>
      </c>
      <c r="F102" s="3">
        <v>0.23250000000000001</v>
      </c>
      <c r="G102" s="2">
        <v>44151</v>
      </c>
      <c r="H102" s="3">
        <v>1.84E-2</v>
      </c>
      <c r="I102" s="3">
        <v>0</v>
      </c>
      <c r="J102" s="3">
        <v>0</v>
      </c>
      <c r="K102" s="3">
        <f t="shared" si="3"/>
        <v>2020</v>
      </c>
      <c r="L102" s="3">
        <f t="shared" si="4"/>
        <v>0</v>
      </c>
      <c r="M102" s="20" t="str">
        <f>A102&amp;L102</f>
        <v>HRL0</v>
      </c>
      <c r="N102" s="3">
        <f>F102</f>
        <v>0.23250000000000001</v>
      </c>
      <c r="O102" s="9">
        <f>H102</f>
        <v>1.84E-2</v>
      </c>
      <c r="P102" s="10">
        <f t="shared" si="5"/>
        <v>0</v>
      </c>
      <c r="Q102" s="10">
        <f>IF(K102=0,IF(A99=A102,AVERAGE(O99:O102),"x"),0)</f>
        <v>0</v>
      </c>
      <c r="R102" s="9">
        <f>IF(L102&gt;2005,AVERAGE(O99:O118),0)</f>
        <v>0</v>
      </c>
      <c r="S102" s="10">
        <f>IF(A102=A103,(N102-N103)/N103,0)</f>
        <v>0</v>
      </c>
      <c r="T102" s="10">
        <f>IF(L102&gt;2005,(((N102-N122)/N122)+1)^(1/5)-1,0)</f>
        <v>0</v>
      </c>
      <c r="U102" s="10">
        <f t="shared" si="6"/>
        <v>0</v>
      </c>
      <c r="V102" s="26">
        <f t="shared" si="7"/>
        <v>0</v>
      </c>
      <c r="W102" s="3">
        <f>IF(A102=A103,N102-N103,0)</f>
        <v>0</v>
      </c>
      <c r="X102" s="10">
        <f>IF(A102=A103,(N102-N103)/N103,0)</f>
        <v>0</v>
      </c>
    </row>
    <row r="103" spans="1:24" ht="16.5" customHeight="1">
      <c r="A103" s="3" t="s">
        <v>25</v>
      </c>
      <c r="B103" s="3">
        <f t="shared" si="0"/>
        <v>2020</v>
      </c>
      <c r="C103" s="3">
        <f t="shared" si="1"/>
        <v>7</v>
      </c>
      <c r="D103" s="20" t="str">
        <f t="shared" si="2"/>
        <v>HRL20207</v>
      </c>
      <c r="E103" s="2">
        <v>44022</v>
      </c>
      <c r="F103" s="3">
        <v>0.23250000000000001</v>
      </c>
      <c r="G103" s="2">
        <v>44060</v>
      </c>
      <c r="H103" s="3">
        <v>1.9800000000000002E-2</v>
      </c>
      <c r="I103" s="3">
        <v>0</v>
      </c>
      <c r="J103" s="3">
        <v>0</v>
      </c>
      <c r="K103" s="3">
        <f t="shared" si="3"/>
        <v>2020</v>
      </c>
      <c r="L103" s="3">
        <f t="shared" si="4"/>
        <v>0</v>
      </c>
      <c r="M103" s="20" t="str">
        <f>A103&amp;L103</f>
        <v>HRL0</v>
      </c>
      <c r="N103" s="3">
        <f>F103</f>
        <v>0.23250000000000001</v>
      </c>
      <c r="O103" s="9">
        <f>H103</f>
        <v>1.9800000000000002E-2</v>
      </c>
      <c r="P103" s="10">
        <f t="shared" si="5"/>
        <v>0</v>
      </c>
      <c r="Q103" s="10">
        <f>IF(K103=0,IF(A100=A103,AVERAGE(O100:O103),"x"),0)</f>
        <v>0</v>
      </c>
      <c r="R103" s="9">
        <f>IF(L103&gt;2005,AVERAGE(O100:O119),0)</f>
        <v>0</v>
      </c>
      <c r="S103" s="10">
        <f>IF(A103=A104,(N103-N104)/N104,0)</f>
        <v>0</v>
      </c>
      <c r="T103" s="10">
        <f>IF(L103&gt;2005,(((N103-N123)/N123)+1)^(1/5)-1,0)</f>
        <v>0</v>
      </c>
      <c r="U103" s="10">
        <f t="shared" si="6"/>
        <v>0</v>
      </c>
      <c r="V103" s="26">
        <f t="shared" si="7"/>
        <v>0</v>
      </c>
      <c r="W103" s="3">
        <f>IF(A103=A104,N103-N104,0)</f>
        <v>0</v>
      </c>
      <c r="X103" s="10">
        <f>IF(A103=A104,(N103-N104)/N104,0)</f>
        <v>0</v>
      </c>
    </row>
    <row r="104" spans="1:24" ht="16.5" customHeight="1">
      <c r="A104" s="3" t="s">
        <v>25</v>
      </c>
      <c r="B104" s="3">
        <f t="shared" si="0"/>
        <v>2020</v>
      </c>
      <c r="C104" s="3">
        <f t="shared" si="1"/>
        <v>4</v>
      </c>
      <c r="D104" s="20" t="str">
        <f t="shared" si="2"/>
        <v>HRL20204</v>
      </c>
      <c r="E104" s="2">
        <v>43930</v>
      </c>
      <c r="F104" s="3">
        <v>0.23250000000000001</v>
      </c>
      <c r="G104" s="2">
        <v>43966</v>
      </c>
      <c r="H104" s="3">
        <v>1.9599999999999999E-2</v>
      </c>
      <c r="I104" s="3">
        <v>0</v>
      </c>
      <c r="J104" s="3">
        <v>0</v>
      </c>
      <c r="K104" s="3">
        <f t="shared" si="3"/>
        <v>2020</v>
      </c>
      <c r="L104" s="3">
        <f t="shared" si="4"/>
        <v>0</v>
      </c>
      <c r="M104" s="20" t="str">
        <f>A104&amp;L104</f>
        <v>HRL0</v>
      </c>
      <c r="N104" s="3">
        <f>F104</f>
        <v>0.23250000000000001</v>
      </c>
      <c r="O104" s="9">
        <f>H104</f>
        <v>1.9599999999999999E-2</v>
      </c>
      <c r="P104" s="10">
        <f t="shared" si="5"/>
        <v>0</v>
      </c>
      <c r="Q104" s="10">
        <f>IF(K104=0,IF(A101=A104,AVERAGE(O101:O104),"x"),0)</f>
        <v>0</v>
      </c>
      <c r="R104" s="9">
        <f>IF(L104&gt;2005,AVERAGE(O101:O120),0)</f>
        <v>0</v>
      </c>
      <c r="S104" s="10">
        <f>IF(A104=A105,(N104-N105)/N105,0)</f>
        <v>0</v>
      </c>
      <c r="T104" s="10">
        <f>IF(L104&gt;2005,(((N104-N124)/N124)+1)^(1/5)-1,0)</f>
        <v>0</v>
      </c>
      <c r="U104" s="10">
        <f t="shared" si="6"/>
        <v>0</v>
      </c>
      <c r="V104" s="26">
        <f t="shared" si="7"/>
        <v>0</v>
      </c>
      <c r="W104" s="3">
        <f>IF(A104=A105,N104-N105,0)</f>
        <v>0</v>
      </c>
      <c r="X104" s="10">
        <f>IF(A104=A105,(N104-N105)/N105,0)</f>
        <v>0</v>
      </c>
    </row>
    <row r="105" spans="1:24" ht="16.5" customHeight="1">
      <c r="A105" s="3" t="s">
        <v>25</v>
      </c>
      <c r="B105" s="3">
        <f t="shared" si="0"/>
        <v>2020</v>
      </c>
      <c r="C105" s="3">
        <f t="shared" si="1"/>
        <v>1</v>
      </c>
      <c r="D105" s="20" t="str">
        <f t="shared" si="2"/>
        <v>HRL20201</v>
      </c>
      <c r="E105" s="2">
        <v>43840</v>
      </c>
      <c r="F105" s="3">
        <v>0.23250000000000001</v>
      </c>
      <c r="G105" s="2">
        <v>43879</v>
      </c>
      <c r="H105" s="3">
        <v>2.0899999999999998E-2</v>
      </c>
      <c r="I105" s="3">
        <v>0.10714285699999999</v>
      </c>
      <c r="J105" s="3">
        <v>2.2499999999999999E-2</v>
      </c>
      <c r="K105" s="3">
        <f t="shared" si="3"/>
        <v>0</v>
      </c>
      <c r="L105" s="3">
        <f t="shared" si="4"/>
        <v>2020</v>
      </c>
      <c r="M105" s="20" t="str">
        <f>A105&amp;L105</f>
        <v>HRL2020</v>
      </c>
      <c r="N105" s="3">
        <f>F105</f>
        <v>0.23250000000000001</v>
      </c>
      <c r="O105" s="9">
        <f>H105</f>
        <v>2.0899999999999998E-2</v>
      </c>
      <c r="P105" s="10">
        <f t="shared" si="5"/>
        <v>2.0524999999999998E-2</v>
      </c>
      <c r="Q105" s="10">
        <f>IF(K105=0,IF(A102=A105,AVERAGE(O102:O105),"x"),0)</f>
        <v>1.9674999999999998E-2</v>
      </c>
      <c r="R105" s="9">
        <f>IF(L105&gt;2005,AVERAGE(O102:O121),0)</f>
        <v>1.8734999999999995E-2</v>
      </c>
      <c r="S105" s="10">
        <f>IF(A105=A106,(N105-N106)/N106,0)</f>
        <v>0.10714285714285725</v>
      </c>
      <c r="T105" s="10">
        <f>IF(L105&gt;2005,(((N105-N125)/N125)+1)^(1/5)-1,0)</f>
        <v>0.13214639717455645</v>
      </c>
      <c r="U105" s="10">
        <f t="shared" si="6"/>
        <v>0.15088139717455645</v>
      </c>
      <c r="V105" s="26">
        <f t="shared" si="7"/>
        <v>4.76105330053415</v>
      </c>
      <c r="W105" s="3">
        <f>IF(A105=A106,N105-N106,0)</f>
        <v>2.250000000000002E-2</v>
      </c>
      <c r="X105" s="10">
        <f>IF(A105=A106,(N105-N106)/N106,0)</f>
        <v>0.10714285714285725</v>
      </c>
    </row>
    <row r="106" spans="1:24" ht="16.5" customHeight="1">
      <c r="A106" s="3" t="s">
        <v>25</v>
      </c>
      <c r="B106" s="3">
        <f t="shared" si="0"/>
        <v>2019</v>
      </c>
      <c r="C106" s="3">
        <f t="shared" si="1"/>
        <v>10</v>
      </c>
      <c r="D106" s="20" t="str">
        <f t="shared" si="2"/>
        <v>HRL201910</v>
      </c>
      <c r="E106" s="2">
        <v>43756</v>
      </c>
      <c r="F106" s="3">
        <v>0.21</v>
      </c>
      <c r="G106" s="2">
        <v>43784</v>
      </c>
      <c r="H106" s="3">
        <v>2.06E-2</v>
      </c>
      <c r="I106" s="3">
        <v>0</v>
      </c>
      <c r="J106" s="3">
        <v>0</v>
      </c>
      <c r="K106" s="3">
        <f t="shared" si="3"/>
        <v>2019</v>
      </c>
      <c r="L106" s="3">
        <f t="shared" si="4"/>
        <v>0</v>
      </c>
      <c r="M106" s="20" t="str">
        <f>A106&amp;L106</f>
        <v>HRL0</v>
      </c>
      <c r="N106" s="3">
        <f>F106</f>
        <v>0.21</v>
      </c>
      <c r="O106" s="9">
        <f>H106</f>
        <v>2.06E-2</v>
      </c>
      <c r="P106" s="10">
        <f t="shared" si="5"/>
        <v>0</v>
      </c>
      <c r="Q106" s="10">
        <f>IF(K106=0,IF(A103=A106,AVERAGE(O103:O106),"x"),0)</f>
        <v>0</v>
      </c>
      <c r="R106" s="9">
        <f>IF(L106&gt;2005,AVERAGE(O103:O122),0)</f>
        <v>0</v>
      </c>
      <c r="S106" s="10">
        <f>IF(A106=A107,(N106-N107)/N107,0)</f>
        <v>0</v>
      </c>
      <c r="T106" s="10">
        <f>IF(L106&gt;2005,(((N106-N126)/N126)+1)^(1/5)-1,0)</f>
        <v>0</v>
      </c>
      <c r="U106" s="10">
        <f t="shared" si="6"/>
        <v>0</v>
      </c>
      <c r="V106" s="26">
        <f t="shared" si="7"/>
        <v>0</v>
      </c>
      <c r="W106" s="3">
        <f>IF(A106=A107,N106-N107,0)</f>
        <v>0</v>
      </c>
      <c r="X106" s="10">
        <f>IF(A106=A107,(N106-N107)/N107,0)</f>
        <v>0</v>
      </c>
    </row>
    <row r="107" spans="1:24" ht="16.5" customHeight="1">
      <c r="A107" s="3" t="s">
        <v>25</v>
      </c>
      <c r="B107" s="3">
        <f t="shared" si="0"/>
        <v>2019</v>
      </c>
      <c r="C107" s="3">
        <f t="shared" si="1"/>
        <v>7</v>
      </c>
      <c r="D107" s="20" t="str">
        <f t="shared" si="2"/>
        <v>HRL20197</v>
      </c>
      <c r="E107" s="2">
        <v>43658</v>
      </c>
      <c r="F107" s="3">
        <v>0.21</v>
      </c>
      <c r="G107" s="2">
        <v>43692</v>
      </c>
      <c r="H107" s="3">
        <v>2.0400000000000001E-2</v>
      </c>
      <c r="I107" s="3">
        <v>0</v>
      </c>
      <c r="J107" s="3">
        <v>0</v>
      </c>
      <c r="K107" s="3">
        <f t="shared" si="3"/>
        <v>2019</v>
      </c>
      <c r="L107" s="3">
        <f t="shared" si="4"/>
        <v>0</v>
      </c>
      <c r="M107" s="20" t="str">
        <f>A107&amp;L107</f>
        <v>HRL0</v>
      </c>
      <c r="N107" s="3">
        <f>F107</f>
        <v>0.21</v>
      </c>
      <c r="O107" s="9">
        <f>H107</f>
        <v>2.0400000000000001E-2</v>
      </c>
      <c r="P107" s="10">
        <f t="shared" si="5"/>
        <v>0</v>
      </c>
      <c r="Q107" s="10">
        <f>IF(K107=0,IF(A104=A107,AVERAGE(O104:O107),"x"),0)</f>
        <v>0</v>
      </c>
      <c r="R107" s="9">
        <f>IF(L107&gt;2005,AVERAGE(O104:O123),0)</f>
        <v>0</v>
      </c>
      <c r="S107" s="10">
        <f>IF(A107=A108,(N107-N108)/N108,0)</f>
        <v>0</v>
      </c>
      <c r="T107" s="10">
        <f>IF(L107&gt;2005,(((N107-N127)/N127)+1)^(1/5)-1,0)</f>
        <v>0</v>
      </c>
      <c r="U107" s="10">
        <f t="shared" si="6"/>
        <v>0</v>
      </c>
      <c r="V107" s="26">
        <f t="shared" si="7"/>
        <v>0</v>
      </c>
      <c r="W107" s="3">
        <f>IF(A107=A108,N107-N108,0)</f>
        <v>0</v>
      </c>
      <c r="X107" s="10">
        <f>IF(A107=A108,(N107-N108)/N108,0)</f>
        <v>0</v>
      </c>
    </row>
    <row r="108" spans="1:24" ht="16.5" customHeight="1">
      <c r="A108" s="3" t="s">
        <v>25</v>
      </c>
      <c r="B108" s="3">
        <f t="shared" si="0"/>
        <v>2019</v>
      </c>
      <c r="C108" s="3">
        <f t="shared" si="1"/>
        <v>4</v>
      </c>
      <c r="D108" s="20" t="str">
        <f t="shared" si="2"/>
        <v>HRL20194</v>
      </c>
      <c r="E108" s="2">
        <v>43567</v>
      </c>
      <c r="F108" s="3">
        <v>0.21</v>
      </c>
      <c r="G108" s="2">
        <v>43600</v>
      </c>
      <c r="H108" s="3">
        <v>2.0199999999999999E-2</v>
      </c>
      <c r="I108" s="3">
        <v>0</v>
      </c>
      <c r="J108" s="3">
        <v>0</v>
      </c>
      <c r="K108" s="3">
        <f t="shared" si="3"/>
        <v>2019</v>
      </c>
      <c r="L108" s="3">
        <f t="shared" si="4"/>
        <v>0</v>
      </c>
      <c r="M108" s="20" t="str">
        <f>A108&amp;L108</f>
        <v>HRL0</v>
      </c>
      <c r="N108" s="3">
        <f>F108</f>
        <v>0.21</v>
      </c>
      <c r="O108" s="9">
        <f>H108</f>
        <v>2.0199999999999999E-2</v>
      </c>
      <c r="P108" s="10">
        <f t="shared" si="5"/>
        <v>0</v>
      </c>
      <c r="Q108" s="10">
        <f>IF(K108=0,IF(A105=A108,AVERAGE(O105:O108),"x"),0)</f>
        <v>0</v>
      </c>
      <c r="R108" s="9">
        <f>IF(L108&gt;2005,AVERAGE(O105:O124),0)</f>
        <v>0</v>
      </c>
      <c r="S108" s="10">
        <f>IF(A108=A109,(N108-N109)/N109,0)</f>
        <v>0</v>
      </c>
      <c r="T108" s="10">
        <f>IF(L108&gt;2005,(((N108-N128)/N128)+1)^(1/5)-1,0)</f>
        <v>0</v>
      </c>
      <c r="U108" s="10">
        <f t="shared" si="6"/>
        <v>0</v>
      </c>
      <c r="V108" s="26">
        <f t="shared" si="7"/>
        <v>0</v>
      </c>
      <c r="W108" s="3">
        <f>IF(A108=A109,N108-N109,0)</f>
        <v>0</v>
      </c>
      <c r="X108" s="10">
        <f>IF(A108=A109,(N108-N109)/N109,0)</f>
        <v>0</v>
      </c>
    </row>
    <row r="109" spans="1:24" ht="16.5" customHeight="1">
      <c r="A109" s="3" t="s">
        <v>25</v>
      </c>
      <c r="B109" s="3">
        <f t="shared" si="0"/>
        <v>2019</v>
      </c>
      <c r="C109" s="3">
        <f t="shared" si="1"/>
        <v>1</v>
      </c>
      <c r="D109" s="20" t="str">
        <f t="shared" si="2"/>
        <v>HRL20191</v>
      </c>
      <c r="E109" s="2">
        <v>43476</v>
      </c>
      <c r="F109" s="3">
        <v>0.21</v>
      </c>
      <c r="G109" s="2">
        <v>43511</v>
      </c>
      <c r="H109" s="3">
        <v>1.9400000000000001E-2</v>
      </c>
      <c r="I109" s="3">
        <v>0.12</v>
      </c>
      <c r="J109" s="3">
        <v>2.2499999999999999E-2</v>
      </c>
      <c r="K109" s="3">
        <f t="shared" si="3"/>
        <v>0</v>
      </c>
      <c r="L109" s="3">
        <f t="shared" si="4"/>
        <v>2019</v>
      </c>
      <c r="M109" s="20" t="str">
        <f>A109&amp;L109</f>
        <v>HRL2019</v>
      </c>
      <c r="N109" s="3">
        <f>F109</f>
        <v>0.21</v>
      </c>
      <c r="O109" s="9">
        <f>H109</f>
        <v>1.9400000000000001E-2</v>
      </c>
      <c r="P109" s="10">
        <f t="shared" si="5"/>
        <v>1.975E-2</v>
      </c>
      <c r="Q109" s="10">
        <f>IF(K109=0,IF(A106=A109,AVERAGE(O106:O109),"x"),0)</f>
        <v>2.0150000000000001E-2</v>
      </c>
      <c r="R109" s="9">
        <f>IF(L109&gt;2005,AVERAGE(O106:O125),0)</f>
        <v>1.6404999999999996E-2</v>
      </c>
      <c r="S109" s="10">
        <f>IF(A109=A110,(N109-N110)/N110,0)</f>
        <v>0.11999999999999995</v>
      </c>
      <c r="T109" s="10">
        <f>IF(L109&gt;2005,(((N109-N129)/N129)+1)^(1/5)-1,0)</f>
        <v>0.15996225865400127</v>
      </c>
      <c r="U109" s="10">
        <f t="shared" si="6"/>
        <v>0.17636725865400127</v>
      </c>
      <c r="V109" s="26">
        <f t="shared" si="7"/>
        <v>4.7946669483105167</v>
      </c>
      <c r="W109" s="3">
        <f>IF(A109=A110,N109-N110,0)</f>
        <v>2.2499999999999992E-2</v>
      </c>
      <c r="X109" s="10">
        <f>IF(A109=A110,(N109-N110)/N110,0)</f>
        <v>0.11999999999999995</v>
      </c>
    </row>
    <row r="110" spans="1:24" ht="16.5" customHeight="1">
      <c r="A110" s="3" t="s">
        <v>25</v>
      </c>
      <c r="B110" s="3">
        <f t="shared" si="0"/>
        <v>2018</v>
      </c>
      <c r="C110" s="3">
        <f t="shared" si="1"/>
        <v>10</v>
      </c>
      <c r="D110" s="20" t="str">
        <f t="shared" si="2"/>
        <v>HRL201810</v>
      </c>
      <c r="E110" s="2">
        <v>43392</v>
      </c>
      <c r="F110" s="3">
        <v>0.1875</v>
      </c>
      <c r="G110" s="2">
        <v>43419</v>
      </c>
      <c r="H110" s="3">
        <v>1.8200000000000001E-2</v>
      </c>
      <c r="I110" s="3">
        <v>0</v>
      </c>
      <c r="J110" s="3">
        <v>0</v>
      </c>
      <c r="K110" s="3">
        <f t="shared" si="3"/>
        <v>2018</v>
      </c>
      <c r="L110" s="3">
        <f t="shared" si="4"/>
        <v>0</v>
      </c>
      <c r="M110" s="20" t="str">
        <f>A110&amp;L110</f>
        <v>HRL0</v>
      </c>
      <c r="N110" s="3">
        <f>F110</f>
        <v>0.1875</v>
      </c>
      <c r="O110" s="9">
        <f>H110</f>
        <v>1.8200000000000001E-2</v>
      </c>
      <c r="P110" s="10">
        <f t="shared" si="5"/>
        <v>0</v>
      </c>
      <c r="Q110" s="10">
        <f>IF(K110=0,IF(A107=A110,AVERAGE(O107:O110),"x"),0)</f>
        <v>0</v>
      </c>
      <c r="R110" s="9">
        <f>IF(L110&gt;2005,AVERAGE(O107:O126),0)</f>
        <v>0</v>
      </c>
      <c r="S110" s="10">
        <f>IF(A110=A111,(N110-N111)/N111,0)</f>
        <v>0</v>
      </c>
      <c r="T110" s="10">
        <f>IF(L110&gt;2005,(((N110-N130)/N130)+1)^(1/5)-1,0)</f>
        <v>0</v>
      </c>
      <c r="U110" s="10">
        <f t="shared" si="6"/>
        <v>0</v>
      </c>
      <c r="V110" s="26">
        <f t="shared" si="7"/>
        <v>0</v>
      </c>
      <c r="W110" s="3">
        <f>IF(A110=A111,N110-N111,0)</f>
        <v>0</v>
      </c>
      <c r="X110" s="10">
        <f>IF(A110=A111,(N110-N111)/N111,0)</f>
        <v>0</v>
      </c>
    </row>
    <row r="111" spans="1:24" ht="16.5" customHeight="1">
      <c r="A111" s="3" t="s">
        <v>25</v>
      </c>
      <c r="B111" s="3">
        <f t="shared" si="0"/>
        <v>2018</v>
      </c>
      <c r="C111" s="3">
        <f t="shared" si="1"/>
        <v>7</v>
      </c>
      <c r="D111" s="20" t="str">
        <f t="shared" si="2"/>
        <v>HRL20187</v>
      </c>
      <c r="E111" s="2">
        <v>43294</v>
      </c>
      <c r="F111" s="3">
        <v>0.1875</v>
      </c>
      <c r="G111" s="2">
        <v>43327</v>
      </c>
      <c r="H111" s="3">
        <v>0.02</v>
      </c>
      <c r="I111" s="3">
        <v>0</v>
      </c>
      <c r="J111" s="3">
        <v>0</v>
      </c>
      <c r="K111" s="3">
        <f t="shared" si="3"/>
        <v>2018</v>
      </c>
      <c r="L111" s="3">
        <f t="shared" si="4"/>
        <v>0</v>
      </c>
      <c r="M111" s="20" t="str">
        <f>A111&amp;L111</f>
        <v>HRL0</v>
      </c>
      <c r="N111" s="3">
        <f>F111</f>
        <v>0.1875</v>
      </c>
      <c r="O111" s="9">
        <f>H111</f>
        <v>0.02</v>
      </c>
      <c r="P111" s="10">
        <f t="shared" si="5"/>
        <v>0</v>
      </c>
      <c r="Q111" s="10">
        <f>IF(K111=0,IF(A108=A111,AVERAGE(O108:O111),"x"),0)</f>
        <v>0</v>
      </c>
      <c r="R111" s="9">
        <f>IF(L111&gt;2005,AVERAGE(O108:O127),0)</f>
        <v>0</v>
      </c>
      <c r="S111" s="10">
        <f>IF(A111=A112,(N111-N112)/N112,0)</f>
        <v>0</v>
      </c>
      <c r="T111" s="10">
        <f>IF(L111&gt;2005,(((N111-N131)/N131)+1)^(1/5)-1,0)</f>
        <v>0</v>
      </c>
      <c r="U111" s="10">
        <f t="shared" si="6"/>
        <v>0</v>
      </c>
      <c r="V111" s="26">
        <f t="shared" si="7"/>
        <v>0</v>
      </c>
      <c r="W111" s="3">
        <f>IF(A111=A112,N111-N112,0)</f>
        <v>0</v>
      </c>
      <c r="X111" s="10">
        <f>IF(A111=A112,(N111-N112)/N112,0)</f>
        <v>0</v>
      </c>
    </row>
    <row r="112" spans="1:24" ht="16.5" customHeight="1">
      <c r="A112" s="3" t="s">
        <v>25</v>
      </c>
      <c r="B112" s="3">
        <f t="shared" si="0"/>
        <v>2018</v>
      </c>
      <c r="C112" s="3">
        <f t="shared" si="1"/>
        <v>4</v>
      </c>
      <c r="D112" s="20" t="str">
        <f t="shared" si="2"/>
        <v>HRL20184</v>
      </c>
      <c r="E112" s="2">
        <v>43203</v>
      </c>
      <c r="F112" s="3">
        <v>0.1875</v>
      </c>
      <c r="G112" s="2">
        <v>43235</v>
      </c>
      <c r="H112" s="3">
        <v>2.1399999999999999E-2</v>
      </c>
      <c r="I112" s="3">
        <v>0</v>
      </c>
      <c r="J112" s="3">
        <v>0</v>
      </c>
      <c r="K112" s="3">
        <f t="shared" si="3"/>
        <v>2018</v>
      </c>
      <c r="L112" s="3">
        <f t="shared" si="4"/>
        <v>0</v>
      </c>
      <c r="M112" s="20" t="str">
        <f>A112&amp;L112</f>
        <v>HRL0</v>
      </c>
      <c r="N112" s="3">
        <f>F112</f>
        <v>0.1875</v>
      </c>
      <c r="O112" s="9">
        <f>H112</f>
        <v>2.1399999999999999E-2</v>
      </c>
      <c r="P112" s="10">
        <f t="shared" si="5"/>
        <v>0</v>
      </c>
      <c r="Q112" s="10">
        <f>IF(K112=0,IF(A109=A112,AVERAGE(O109:O112),"x"),0)</f>
        <v>0</v>
      </c>
      <c r="R112" s="9">
        <f>IF(L112&gt;2005,AVERAGE(O109:O128),0)</f>
        <v>0</v>
      </c>
      <c r="S112" s="10">
        <f>IF(A112=A113,(N112-N113)/N113,0)</f>
        <v>0</v>
      </c>
      <c r="T112" s="10">
        <f>IF(L112&gt;2005,(((N112-N132)/N132)+1)^(1/5)-1,0)</f>
        <v>0</v>
      </c>
      <c r="U112" s="10">
        <f t="shared" si="6"/>
        <v>0</v>
      </c>
      <c r="V112" s="26">
        <f t="shared" si="7"/>
        <v>0</v>
      </c>
      <c r="W112" s="3">
        <f>IF(A112=A113,N112-N113,0)</f>
        <v>0</v>
      </c>
      <c r="X112" s="10">
        <f>IF(A112=A113,(N112-N113)/N113,0)</f>
        <v>0</v>
      </c>
    </row>
    <row r="113" spans="1:24" ht="16.5" customHeight="1">
      <c r="A113" s="3" t="s">
        <v>25</v>
      </c>
      <c r="B113" s="3">
        <f t="shared" si="0"/>
        <v>2018</v>
      </c>
      <c r="C113" s="3">
        <f t="shared" si="1"/>
        <v>1</v>
      </c>
      <c r="D113" s="20" t="str">
        <f t="shared" si="2"/>
        <v>HRL20181</v>
      </c>
      <c r="E113" s="2">
        <v>43111</v>
      </c>
      <c r="F113" s="3">
        <v>0.1875</v>
      </c>
      <c r="G113" s="2">
        <v>43146</v>
      </c>
      <c r="H113" s="3">
        <v>2.12E-2</v>
      </c>
      <c r="I113" s="3">
        <v>0.102941176</v>
      </c>
      <c r="J113" s="3">
        <v>1.7500000000000002E-2</v>
      </c>
      <c r="K113" s="3">
        <f t="shared" si="3"/>
        <v>0</v>
      </c>
      <c r="L113" s="3">
        <f t="shared" si="4"/>
        <v>2018</v>
      </c>
      <c r="M113" s="20" t="str">
        <f>A113&amp;L113</f>
        <v>HRL2018</v>
      </c>
      <c r="N113" s="3">
        <f>F113</f>
        <v>0.1875</v>
      </c>
      <c r="O113" s="9">
        <f>H113</f>
        <v>2.12E-2</v>
      </c>
      <c r="P113" s="10">
        <f t="shared" si="5"/>
        <v>2.1025000000000002E-2</v>
      </c>
      <c r="Q113" s="10">
        <f>IF(K113=0,IF(A110=A113,AVERAGE(O110:O113),"x"),0)</f>
        <v>2.0199999999999999E-2</v>
      </c>
      <c r="R113" s="9">
        <f>IF(L113&gt;2005,AVERAGE(O110:O129),0)</f>
        <v>1.3939999999999999E-2</v>
      </c>
      <c r="S113" s="10">
        <f>IF(A113=A114,(N113-N114)/N114,0)</f>
        <v>0.10294117647058816</v>
      </c>
      <c r="T113" s="10">
        <f>IF(L113&gt;2005,(((N113-N133)/N133)+1)^(1/5)-1,0)</f>
        <v>0.17143034329661333</v>
      </c>
      <c r="U113" s="10">
        <f t="shared" si="6"/>
        <v>0.18537034329661334</v>
      </c>
      <c r="V113" s="26">
        <f t="shared" si="7"/>
        <v>4.8263411219247923</v>
      </c>
      <c r="W113" s="3">
        <f>IF(A113=A114,N113-N114,0)</f>
        <v>1.7499999999999988E-2</v>
      </c>
      <c r="X113" s="10">
        <f>IF(A113=A114,(N113-N114)/N114,0)</f>
        <v>0.10294117647058816</v>
      </c>
    </row>
    <row r="114" spans="1:24" ht="16.5" customHeight="1">
      <c r="A114" s="3" t="s">
        <v>25</v>
      </c>
      <c r="B114" s="3">
        <f t="shared" si="0"/>
        <v>2017</v>
      </c>
      <c r="C114" s="3">
        <f t="shared" si="1"/>
        <v>10</v>
      </c>
      <c r="D114" s="20" t="str">
        <f t="shared" si="2"/>
        <v>HRL201710</v>
      </c>
      <c r="E114" s="2">
        <v>43028</v>
      </c>
      <c r="F114" s="3">
        <v>0.17</v>
      </c>
      <c r="G114" s="2">
        <v>43054</v>
      </c>
      <c r="H114" s="3">
        <v>2.2200000000000001E-2</v>
      </c>
      <c r="I114" s="3">
        <v>0</v>
      </c>
      <c r="J114" s="3">
        <v>0</v>
      </c>
      <c r="K114" s="3">
        <f t="shared" si="3"/>
        <v>2017</v>
      </c>
      <c r="L114" s="3">
        <f t="shared" si="4"/>
        <v>0</v>
      </c>
      <c r="M114" s="20" t="str">
        <f>A114&amp;L114</f>
        <v>HRL0</v>
      </c>
      <c r="N114" s="3">
        <f>F114</f>
        <v>0.17</v>
      </c>
      <c r="O114" s="9">
        <f>H114</f>
        <v>2.2200000000000001E-2</v>
      </c>
      <c r="P114" s="10">
        <f t="shared" si="5"/>
        <v>0</v>
      </c>
      <c r="Q114" s="10">
        <f>IF(K114=0,IF(A111=A114,AVERAGE(O111:O114),"x"),0)</f>
        <v>0</v>
      </c>
      <c r="R114" s="9">
        <f>IF(L114&gt;2005,AVERAGE(O111:O130),0)</f>
        <v>0</v>
      </c>
      <c r="S114" s="10">
        <f>IF(A114=A115,(N114-N115)/N115,0)</f>
        <v>0</v>
      </c>
      <c r="T114" s="10">
        <f>IF(L114&gt;2005,(((N114-N134)/N134)+1)^(1/5)-1,0)</f>
        <v>0</v>
      </c>
      <c r="U114" s="10">
        <f t="shared" si="6"/>
        <v>0</v>
      </c>
      <c r="V114" s="26">
        <f t="shared" si="7"/>
        <v>0</v>
      </c>
      <c r="W114" s="3">
        <f>IF(A114=A115,N114-N115,0)</f>
        <v>0</v>
      </c>
      <c r="X114" s="10">
        <f>IF(A114=A115,(N114-N115)/N115,0)</f>
        <v>0</v>
      </c>
    </row>
    <row r="115" spans="1:24" ht="16.5" customHeight="1">
      <c r="A115" s="3" t="s">
        <v>25</v>
      </c>
      <c r="B115" s="3">
        <f t="shared" si="0"/>
        <v>2017</v>
      </c>
      <c r="C115" s="3">
        <f t="shared" si="1"/>
        <v>7</v>
      </c>
      <c r="D115" s="20" t="str">
        <f t="shared" si="2"/>
        <v>HRL20177</v>
      </c>
      <c r="E115" s="2">
        <v>42929</v>
      </c>
      <c r="F115" s="3">
        <v>0.17</v>
      </c>
      <c r="G115" s="2">
        <v>42962</v>
      </c>
      <c r="H115" s="3">
        <v>2.0799999999999999E-2</v>
      </c>
      <c r="I115" s="3">
        <v>0</v>
      </c>
      <c r="J115" s="3">
        <v>0</v>
      </c>
      <c r="K115" s="3">
        <f t="shared" si="3"/>
        <v>2017</v>
      </c>
      <c r="L115" s="3">
        <f t="shared" si="4"/>
        <v>0</v>
      </c>
      <c r="M115" s="20" t="str">
        <f>A115&amp;L115</f>
        <v>HRL0</v>
      </c>
      <c r="N115" s="3">
        <f>F115</f>
        <v>0.17</v>
      </c>
      <c r="O115" s="9">
        <f>H115</f>
        <v>2.0799999999999999E-2</v>
      </c>
      <c r="P115" s="10">
        <f t="shared" si="5"/>
        <v>0</v>
      </c>
      <c r="Q115" s="10">
        <f>IF(K115=0,IF(A112=A115,AVERAGE(O112:O115),"x"),0)</f>
        <v>0</v>
      </c>
      <c r="R115" s="9">
        <f>IF(L115&gt;2005,AVERAGE(O112:O131),0)</f>
        <v>0</v>
      </c>
      <c r="S115" s="10">
        <f>IF(A115=A116,(N115-N116)/N116,0)</f>
        <v>0</v>
      </c>
      <c r="T115" s="10">
        <f>IF(L115&gt;2005,(((N115-N135)/N135)+1)^(1/5)-1,0)</f>
        <v>0</v>
      </c>
      <c r="U115" s="10">
        <f t="shared" si="6"/>
        <v>0</v>
      </c>
      <c r="V115" s="26">
        <f t="shared" si="7"/>
        <v>0</v>
      </c>
      <c r="W115" s="3">
        <f>IF(A115=A116,N115-N116,0)</f>
        <v>0</v>
      </c>
      <c r="X115" s="10">
        <f>IF(A115=A116,(N115-N116)/N116,0)</f>
        <v>0</v>
      </c>
    </row>
    <row r="116" spans="1:24" ht="16.5" customHeight="1">
      <c r="A116" s="3" t="s">
        <v>25</v>
      </c>
      <c r="B116" s="3">
        <f t="shared" si="0"/>
        <v>2017</v>
      </c>
      <c r="C116" s="3">
        <f t="shared" si="1"/>
        <v>4</v>
      </c>
      <c r="D116" s="20" t="str">
        <f t="shared" si="2"/>
        <v>HRL20174</v>
      </c>
      <c r="E116" s="2">
        <v>42838</v>
      </c>
      <c r="F116" s="3">
        <v>0.17</v>
      </c>
      <c r="G116" s="2">
        <v>42870</v>
      </c>
      <c r="H116" s="3">
        <v>1.9900000000000001E-2</v>
      </c>
      <c r="I116" s="3">
        <v>0</v>
      </c>
      <c r="J116" s="3">
        <v>0</v>
      </c>
      <c r="K116" s="3">
        <f t="shared" si="3"/>
        <v>2017</v>
      </c>
      <c r="L116" s="3">
        <f t="shared" si="4"/>
        <v>0</v>
      </c>
      <c r="M116" s="20" t="str">
        <f>A116&amp;L116</f>
        <v>HRL0</v>
      </c>
      <c r="N116" s="3">
        <f>F116</f>
        <v>0.17</v>
      </c>
      <c r="O116" s="9">
        <f>H116</f>
        <v>1.9900000000000001E-2</v>
      </c>
      <c r="P116" s="10">
        <f t="shared" si="5"/>
        <v>0</v>
      </c>
      <c r="Q116" s="10">
        <f>IF(K116=0,IF(A113=A116,AVERAGE(O113:O116),"x"),0)</f>
        <v>0</v>
      </c>
      <c r="R116" s="9">
        <f>IF(L116&gt;2005,AVERAGE(O113:O132),0)</f>
        <v>0</v>
      </c>
      <c r="S116" s="10">
        <f>IF(A116=A117,(N116-N117)/N117,0)</f>
        <v>0</v>
      </c>
      <c r="T116" s="10">
        <f>IF(L116&gt;2005,(((N116-N136)/N136)+1)^(1/5)-1,0)</f>
        <v>0</v>
      </c>
      <c r="U116" s="10">
        <f t="shared" si="6"/>
        <v>0</v>
      </c>
      <c r="V116" s="26">
        <f t="shared" si="7"/>
        <v>0</v>
      </c>
      <c r="W116" s="3">
        <f>IF(A116=A117,N116-N117,0)</f>
        <v>0</v>
      </c>
      <c r="X116" s="10">
        <f>IF(A116=A117,(N116-N117)/N117,0)</f>
        <v>0</v>
      </c>
    </row>
    <row r="117" spans="1:24" ht="16.5" customHeight="1">
      <c r="A117" s="3" t="s">
        <v>25</v>
      </c>
      <c r="B117" s="3">
        <f t="shared" si="0"/>
        <v>2017</v>
      </c>
      <c r="C117" s="3">
        <f t="shared" si="1"/>
        <v>1</v>
      </c>
      <c r="D117" s="20" t="str">
        <f t="shared" si="2"/>
        <v>HRL20171</v>
      </c>
      <c r="E117" s="2">
        <v>42747</v>
      </c>
      <c r="F117" s="3">
        <v>0.17</v>
      </c>
      <c r="G117" s="2">
        <v>42781</v>
      </c>
      <c r="H117" s="3">
        <v>1.9400000000000001E-2</v>
      </c>
      <c r="I117" s="3">
        <v>0.17241379300000001</v>
      </c>
      <c r="J117" s="3">
        <v>2.5000000000000001E-2</v>
      </c>
      <c r="K117" s="3">
        <f t="shared" si="3"/>
        <v>0</v>
      </c>
      <c r="L117" s="3">
        <f t="shared" si="4"/>
        <v>2017</v>
      </c>
      <c r="M117" s="20" t="str">
        <f>A117&amp;L117</f>
        <v>HRL2017</v>
      </c>
      <c r="N117" s="3">
        <f>F117</f>
        <v>0.17</v>
      </c>
      <c r="O117" s="9">
        <f>H117</f>
        <v>1.9400000000000001E-2</v>
      </c>
      <c r="P117" s="10">
        <f t="shared" si="5"/>
        <v>1.6275000000000001E-2</v>
      </c>
      <c r="Q117" s="10">
        <f>IF(K117=0,IF(A114=A117,AVERAGE(O114:O117),"x"),0)</f>
        <v>2.0575E-2</v>
      </c>
      <c r="R117" s="9">
        <f>IF(L117&gt;2005,AVERAGE(O114:O133),0)</f>
        <v>1.1535E-2</v>
      </c>
      <c r="S117" s="10">
        <f>IF(A117=A118,(N117-N118)/N118,0)</f>
        <v>0.17241379310344845</v>
      </c>
      <c r="T117" s="10">
        <f>IF(L117&gt;2005,(((N117-N137)/N137)+1)^(1/5)-1,0)</f>
        <v>0.17781622215659043</v>
      </c>
      <c r="U117" s="10">
        <f t="shared" si="6"/>
        <v>0.18935122215659042</v>
      </c>
      <c r="V117" s="26">
        <f t="shared" si="7"/>
        <v>4.8563891389118261</v>
      </c>
      <c r="W117" s="3">
        <f>IF(A117=A118,N117-N118,0)</f>
        <v>2.5000000000000022E-2</v>
      </c>
      <c r="X117" s="10">
        <f>IF(A117=A118,(N117-N118)/N118,0)</f>
        <v>0.17241379310344845</v>
      </c>
    </row>
    <row r="118" spans="1:24" ht="16.5" customHeight="1">
      <c r="A118" s="3" t="s">
        <v>25</v>
      </c>
      <c r="B118" s="3">
        <f t="shared" si="0"/>
        <v>2016</v>
      </c>
      <c r="C118" s="3">
        <f t="shared" si="1"/>
        <v>10</v>
      </c>
      <c r="D118" s="20" t="str">
        <f t="shared" si="2"/>
        <v>HRL201610</v>
      </c>
      <c r="E118" s="2">
        <v>42663</v>
      </c>
      <c r="F118" s="3">
        <v>0.14499999999999999</v>
      </c>
      <c r="G118" s="2">
        <v>42689</v>
      </c>
      <c r="H118" s="3">
        <v>1.52E-2</v>
      </c>
      <c r="I118" s="3">
        <v>0</v>
      </c>
      <c r="J118" s="3">
        <v>0</v>
      </c>
      <c r="K118" s="3">
        <f t="shared" si="3"/>
        <v>2016</v>
      </c>
      <c r="L118" s="3">
        <f t="shared" si="4"/>
        <v>0</v>
      </c>
      <c r="M118" s="20" t="str">
        <f>A118&amp;L118</f>
        <v>HRL0</v>
      </c>
      <c r="N118" s="3">
        <f>F118</f>
        <v>0.14499999999999999</v>
      </c>
      <c r="O118" s="9">
        <f>H118</f>
        <v>1.52E-2</v>
      </c>
      <c r="P118" s="10">
        <f t="shared" si="5"/>
        <v>0</v>
      </c>
      <c r="Q118" s="10">
        <f>IF(K118=0,IF(A115=A118,AVERAGE(O115:O118),"x"),0)</f>
        <v>0</v>
      </c>
      <c r="R118" s="9">
        <f>IF(L118&gt;2005,AVERAGE(O115:O134),0)</f>
        <v>0</v>
      </c>
      <c r="S118" s="10">
        <f>IF(A118=A119,(N118-N119)/N119,0)</f>
        <v>0</v>
      </c>
      <c r="T118" s="10">
        <f>IF(L118&gt;2005,(((N118-N138)/N138)+1)^(1/5)-1,0)</f>
        <v>0</v>
      </c>
      <c r="U118" s="10">
        <f t="shared" si="6"/>
        <v>0</v>
      </c>
      <c r="V118" s="26">
        <f t="shared" si="7"/>
        <v>0</v>
      </c>
      <c r="W118" s="3">
        <f>IF(A118=A119,N118-N119,0)</f>
        <v>0</v>
      </c>
      <c r="X118" s="10">
        <f>IF(A118=A119,(N118-N119)/N119,0)</f>
        <v>0</v>
      </c>
    </row>
    <row r="119" spans="1:24" ht="16.5" customHeight="1">
      <c r="A119" s="3" t="s">
        <v>25</v>
      </c>
      <c r="B119" s="3">
        <f t="shared" si="0"/>
        <v>2016</v>
      </c>
      <c r="C119" s="3">
        <f t="shared" si="1"/>
        <v>7</v>
      </c>
      <c r="D119" s="20" t="str">
        <f t="shared" si="2"/>
        <v>HRL20167</v>
      </c>
      <c r="E119" s="2">
        <v>42565</v>
      </c>
      <c r="F119" s="3">
        <v>0.14499999999999999</v>
      </c>
      <c r="G119" s="2">
        <v>42597</v>
      </c>
      <c r="H119" s="3">
        <v>1.5900000000000001E-2</v>
      </c>
      <c r="I119" s="3">
        <v>0</v>
      </c>
      <c r="J119" s="3">
        <v>0</v>
      </c>
      <c r="K119" s="3">
        <f t="shared" si="3"/>
        <v>2016</v>
      </c>
      <c r="L119" s="3">
        <f t="shared" si="4"/>
        <v>0</v>
      </c>
      <c r="M119" s="20" t="str">
        <f>A119&amp;L119</f>
        <v>HRL0</v>
      </c>
      <c r="N119" s="3">
        <f>F119</f>
        <v>0.14499999999999999</v>
      </c>
      <c r="O119" s="9">
        <f>H119</f>
        <v>1.5900000000000001E-2</v>
      </c>
      <c r="P119" s="10">
        <f t="shared" si="5"/>
        <v>0</v>
      </c>
      <c r="Q119" s="10">
        <f>IF(K119=0,IF(A116=A119,AVERAGE(O116:O119),"x"),0)</f>
        <v>0</v>
      </c>
      <c r="R119" s="9">
        <f>IF(L119&gt;2005,AVERAGE(O116:O135),0)</f>
        <v>0</v>
      </c>
      <c r="S119" s="10">
        <f>IF(A119=A120,(N119-N120)/N120,0)</f>
        <v>0</v>
      </c>
      <c r="T119" s="10">
        <f>IF(L119&gt;2005,(((N119-N139)/N139)+1)^(1/5)-1,0)</f>
        <v>0</v>
      </c>
      <c r="U119" s="10">
        <f t="shared" si="6"/>
        <v>0</v>
      </c>
      <c r="V119" s="26">
        <f t="shared" si="7"/>
        <v>0</v>
      </c>
      <c r="W119" s="3">
        <f>IF(A119=A120,N119-N120,0)</f>
        <v>0</v>
      </c>
      <c r="X119" s="10">
        <f>IF(A119=A120,(N119-N120)/N120,0)</f>
        <v>0</v>
      </c>
    </row>
    <row r="120" spans="1:24" ht="16.5" customHeight="1">
      <c r="A120" s="3" t="s">
        <v>25</v>
      </c>
      <c r="B120" s="3">
        <f t="shared" si="0"/>
        <v>2016</v>
      </c>
      <c r="C120" s="3">
        <f t="shared" si="1"/>
        <v>4</v>
      </c>
      <c r="D120" s="20" t="str">
        <f t="shared" si="2"/>
        <v>HRL20164</v>
      </c>
      <c r="E120" s="2">
        <v>42474</v>
      </c>
      <c r="F120" s="3">
        <v>0.14499999999999999</v>
      </c>
      <c r="G120" s="2">
        <v>42506</v>
      </c>
      <c r="H120" s="3">
        <v>1.46E-2</v>
      </c>
      <c r="I120" s="3">
        <v>-0.5</v>
      </c>
      <c r="J120" s="3">
        <v>-0.14499999999999999</v>
      </c>
      <c r="K120" s="3">
        <f t="shared" si="3"/>
        <v>2016</v>
      </c>
      <c r="L120" s="3">
        <f t="shared" si="4"/>
        <v>0</v>
      </c>
      <c r="M120" s="20" t="str">
        <f>A120&amp;L120</f>
        <v>HRL0</v>
      </c>
      <c r="N120" s="3">
        <f>F120</f>
        <v>0.14499999999999999</v>
      </c>
      <c r="O120" s="9">
        <f>H120</f>
        <v>1.46E-2</v>
      </c>
      <c r="P120" s="10">
        <f t="shared" si="5"/>
        <v>0</v>
      </c>
      <c r="Q120" s="10">
        <f>IF(K120=0,IF(A117=A120,AVERAGE(O117:O120),"x"),0)</f>
        <v>0</v>
      </c>
      <c r="R120" s="9">
        <f>IF(L120&gt;2005,AVERAGE(O117:O136),0)</f>
        <v>0</v>
      </c>
      <c r="S120" s="10">
        <f>IF(A120=A121,(N120-N121)/N121,0)</f>
        <v>0</v>
      </c>
      <c r="T120" s="10">
        <f>IF(L120&gt;2005,(((N120-N140)/N140)+1)^(1/5)-1,0)</f>
        <v>0</v>
      </c>
      <c r="U120" s="10">
        <f t="shared" si="6"/>
        <v>0</v>
      </c>
      <c r="V120" s="26">
        <f t="shared" si="7"/>
        <v>0</v>
      </c>
      <c r="W120" s="3">
        <f>IF(A120=A121,N120-N121,0)</f>
        <v>0</v>
      </c>
      <c r="X120" s="10">
        <f>IF(A120=A121,(N120-N121)/N121,0)</f>
        <v>0</v>
      </c>
    </row>
    <row r="121" spans="1:24" ht="16.5" customHeight="1">
      <c r="A121" s="3" t="s">
        <v>25</v>
      </c>
      <c r="B121" s="3">
        <f t="shared" si="0"/>
        <v>2016</v>
      </c>
      <c r="C121" s="3">
        <f t="shared" si="1"/>
        <v>1</v>
      </c>
      <c r="D121" s="20" t="str">
        <f t="shared" si="2"/>
        <v>HRL20161</v>
      </c>
      <c r="E121" s="2">
        <v>42383</v>
      </c>
      <c r="F121" s="3">
        <v>0.28999999999999998</v>
      </c>
      <c r="G121" s="2">
        <v>42416</v>
      </c>
      <c r="H121" s="3">
        <v>6.6E-3</v>
      </c>
      <c r="I121" s="3">
        <v>0.16</v>
      </c>
      <c r="J121" s="3">
        <v>0.04</v>
      </c>
      <c r="K121" s="3">
        <f t="shared" si="3"/>
        <v>0</v>
      </c>
      <c r="L121" s="3">
        <f t="shared" si="4"/>
        <v>2016</v>
      </c>
      <c r="M121" s="20" t="str">
        <f>A121&amp;L121</f>
        <v>HRL2016</v>
      </c>
      <c r="N121" s="3">
        <f>F121/2</f>
        <v>0.14499999999999999</v>
      </c>
      <c r="O121" s="9">
        <f>H121</f>
        <v>6.6E-3</v>
      </c>
      <c r="P121" s="10">
        <f t="shared" si="5"/>
        <v>7.5750000000000001E-3</v>
      </c>
      <c r="Q121" s="10">
        <f>IF(K121=0,IF(A118=A121,AVERAGE(O118:O121),"x"),0)</f>
        <v>1.3075000000000002E-2</v>
      </c>
      <c r="R121" s="9">
        <f>IF(L121&gt;2005,AVERAGE(O118:O137),0)</f>
        <v>9.3700000000000016E-3</v>
      </c>
      <c r="S121" s="10">
        <f>IF(A121=A122,(N121-N122)/N122,0)</f>
        <v>0.15999999999999992</v>
      </c>
      <c r="T121" s="10">
        <f>IF(L121&gt;2005,(((N121-N141)/N141)+1)^(1/5)-1,0)</f>
        <v>0.17863019406178493</v>
      </c>
      <c r="U121" s="10">
        <f t="shared" si="6"/>
        <v>0.18800019406178492</v>
      </c>
      <c r="V121" s="26">
        <f t="shared" si="7"/>
        <v>4.8829287617696568</v>
      </c>
      <c r="W121" s="3">
        <f>IF(A121=A122,N121-N122,0)</f>
        <v>1.999999999999999E-2</v>
      </c>
      <c r="X121" s="10">
        <f>IF(A121=A122,(N121-N122)/N122,0)</f>
        <v>0.15999999999999992</v>
      </c>
    </row>
    <row r="122" spans="1:24" ht="16.5" customHeight="1">
      <c r="A122" s="3" t="s">
        <v>25</v>
      </c>
      <c r="B122" s="3">
        <f t="shared" si="0"/>
        <v>2015</v>
      </c>
      <c r="C122" s="3">
        <f t="shared" si="1"/>
        <v>10</v>
      </c>
      <c r="D122" s="20" t="str">
        <f t="shared" si="2"/>
        <v>HRL201510</v>
      </c>
      <c r="E122" s="2">
        <v>42292</v>
      </c>
      <c r="F122" s="3">
        <v>0.25</v>
      </c>
      <c r="G122" s="2">
        <v>42324</v>
      </c>
      <c r="H122" s="3">
        <v>7.7000000000000002E-3</v>
      </c>
      <c r="I122" s="3">
        <v>0</v>
      </c>
      <c r="J122" s="3">
        <v>0</v>
      </c>
      <c r="K122" s="3">
        <f t="shared" si="3"/>
        <v>2015</v>
      </c>
      <c r="L122" s="3">
        <f t="shared" si="4"/>
        <v>0</v>
      </c>
      <c r="M122" s="20" t="str">
        <f>A122&amp;L122</f>
        <v>HRL0</v>
      </c>
      <c r="N122" s="3">
        <f>F122/2</f>
        <v>0.125</v>
      </c>
      <c r="O122" s="9">
        <f>H122</f>
        <v>7.7000000000000002E-3</v>
      </c>
      <c r="P122" s="10">
        <f t="shared" si="5"/>
        <v>0</v>
      </c>
      <c r="Q122" s="10">
        <f>IF(K122=0,IF(A119=A122,AVERAGE(O119:O122),"x"),0)</f>
        <v>0</v>
      </c>
      <c r="R122" s="9">
        <f>IF(L122&gt;2005,AVERAGE(O119:O138),0)</f>
        <v>0</v>
      </c>
      <c r="S122" s="10">
        <f>IF(A122=A123,(N122-N123)/N123,0)</f>
        <v>0</v>
      </c>
      <c r="T122" s="10">
        <f>IF(L122&gt;2005,(((N122-N142)/N142)+1)^(1/5)-1,0)</f>
        <v>0</v>
      </c>
      <c r="U122" s="10">
        <f t="shared" si="6"/>
        <v>0</v>
      </c>
      <c r="V122" s="26">
        <f t="shared" si="7"/>
        <v>0</v>
      </c>
      <c r="W122" s="3">
        <f>IF(A122=A123,N122-N123,0)</f>
        <v>0</v>
      </c>
      <c r="X122" s="10">
        <f>IF(A122=A123,(N122-N123)/N123,0)</f>
        <v>0</v>
      </c>
    </row>
    <row r="123" spans="1:24" ht="16.5" customHeight="1">
      <c r="A123" s="3" t="s">
        <v>25</v>
      </c>
      <c r="B123" s="3">
        <f t="shared" si="0"/>
        <v>2015</v>
      </c>
      <c r="C123" s="3">
        <f t="shared" si="1"/>
        <v>7</v>
      </c>
      <c r="D123" s="20" t="str">
        <f t="shared" si="2"/>
        <v>HRL20157</v>
      </c>
      <c r="E123" s="2">
        <v>42201</v>
      </c>
      <c r="F123" s="3">
        <v>0.25</v>
      </c>
      <c r="G123" s="2">
        <v>42233</v>
      </c>
      <c r="H123" s="3">
        <v>8.2000000000000007E-3</v>
      </c>
      <c r="I123" s="3">
        <v>0</v>
      </c>
      <c r="J123" s="3">
        <v>0</v>
      </c>
      <c r="K123" s="3">
        <f t="shared" si="3"/>
        <v>2015</v>
      </c>
      <c r="L123" s="3">
        <f t="shared" si="4"/>
        <v>0</v>
      </c>
      <c r="M123" s="20" t="str">
        <f>A123&amp;L123</f>
        <v>HRL0</v>
      </c>
      <c r="N123" s="3">
        <f>F123/2</f>
        <v>0.125</v>
      </c>
      <c r="O123" s="9">
        <f>H123</f>
        <v>8.2000000000000007E-3</v>
      </c>
      <c r="P123" s="10">
        <f t="shared" si="5"/>
        <v>0</v>
      </c>
      <c r="Q123" s="10">
        <f>IF(K123=0,IF(A120=A123,AVERAGE(O120:O123),"x"),0)</f>
        <v>0</v>
      </c>
      <c r="R123" s="9">
        <f>IF(L123&gt;2005,AVERAGE(O120:O139),0)</f>
        <v>0</v>
      </c>
      <c r="S123" s="10">
        <f>IF(A123=A124,(N123-N124)/N124,0)</f>
        <v>0</v>
      </c>
      <c r="T123" s="10">
        <f>IF(L123&gt;2005,(((N123-N143)/N143)+1)^(1/5)-1,0)</f>
        <v>0</v>
      </c>
      <c r="U123" s="10">
        <f t="shared" si="6"/>
        <v>0</v>
      </c>
      <c r="V123" s="26">
        <f t="shared" si="7"/>
        <v>0</v>
      </c>
      <c r="W123" s="3">
        <f>IF(A123=A124,N123-N124,0)</f>
        <v>0</v>
      </c>
      <c r="X123" s="10">
        <f>IF(A123=A124,(N123-N124)/N124,0)</f>
        <v>0</v>
      </c>
    </row>
    <row r="124" spans="1:24" ht="16.5" customHeight="1">
      <c r="A124" s="3" t="s">
        <v>25</v>
      </c>
      <c r="B124" s="3">
        <f t="shared" si="0"/>
        <v>2015</v>
      </c>
      <c r="C124" s="3">
        <f t="shared" si="1"/>
        <v>4</v>
      </c>
      <c r="D124" s="20" t="str">
        <f t="shared" si="2"/>
        <v>HRL20154</v>
      </c>
      <c r="E124" s="2">
        <v>42110</v>
      </c>
      <c r="F124" s="3">
        <v>0.25</v>
      </c>
      <c r="G124" s="2">
        <v>42139</v>
      </c>
      <c r="H124" s="3">
        <v>7.7999999999999996E-3</v>
      </c>
      <c r="I124" s="3">
        <v>0</v>
      </c>
      <c r="J124" s="3">
        <v>0</v>
      </c>
      <c r="K124" s="3">
        <f t="shared" si="3"/>
        <v>2015</v>
      </c>
      <c r="L124" s="3">
        <f t="shared" si="4"/>
        <v>0</v>
      </c>
      <c r="M124" s="20" t="str">
        <f>A124&amp;L124</f>
        <v>HRL0</v>
      </c>
      <c r="N124" s="3">
        <f>F124/2</f>
        <v>0.125</v>
      </c>
      <c r="O124" s="9">
        <f>H124</f>
        <v>7.7999999999999996E-3</v>
      </c>
      <c r="P124" s="10">
        <f t="shared" si="5"/>
        <v>0</v>
      </c>
      <c r="Q124" s="10">
        <f>IF(K124=0,IF(A121=A124,AVERAGE(O121:O124),"x"),0)</f>
        <v>0</v>
      </c>
      <c r="R124" s="9">
        <f>IF(L124&gt;2005,AVERAGE(O121:O140),0)</f>
        <v>0</v>
      </c>
      <c r="S124" s="10">
        <f>IF(A124=A125,(N124-N125)/N125,0)</f>
        <v>0</v>
      </c>
      <c r="T124" s="10">
        <f>IF(L124&gt;2005,(((N124-N144)/N144)+1)^(1/5)-1,0)</f>
        <v>0</v>
      </c>
      <c r="U124" s="10">
        <f t="shared" si="6"/>
        <v>0</v>
      </c>
      <c r="V124" s="26">
        <f t="shared" si="7"/>
        <v>0</v>
      </c>
      <c r="W124" s="3">
        <f>IF(A124=A125,N124-N125,0)</f>
        <v>0</v>
      </c>
      <c r="X124" s="10">
        <f>IF(A124=A125,(N124-N125)/N125,0)</f>
        <v>0</v>
      </c>
    </row>
    <row r="125" spans="1:24" ht="16.5" customHeight="1">
      <c r="A125" s="3" t="s">
        <v>25</v>
      </c>
      <c r="B125" s="3">
        <f t="shared" si="0"/>
        <v>2015</v>
      </c>
      <c r="C125" s="3">
        <f t="shared" si="1"/>
        <v>1</v>
      </c>
      <c r="D125" s="20" t="str">
        <f t="shared" si="2"/>
        <v>HRL20151</v>
      </c>
      <c r="E125" s="2">
        <v>42019</v>
      </c>
      <c r="F125" s="3">
        <v>0.25</v>
      </c>
      <c r="G125" s="2">
        <v>42052</v>
      </c>
      <c r="H125" s="3">
        <v>8.3999999999999995E-3</v>
      </c>
      <c r="I125" s="3">
        <v>0.25</v>
      </c>
      <c r="J125" s="3">
        <v>0.05</v>
      </c>
      <c r="K125" s="3">
        <f t="shared" si="3"/>
        <v>0</v>
      </c>
      <c r="L125" s="3">
        <f t="shared" si="4"/>
        <v>2015</v>
      </c>
      <c r="M125" s="20" t="str">
        <f>A125&amp;L125</f>
        <v>HRL2015</v>
      </c>
      <c r="N125" s="3">
        <f>F125/2</f>
        <v>0.125</v>
      </c>
      <c r="O125" s="9">
        <f>H125</f>
        <v>8.3999999999999995E-3</v>
      </c>
      <c r="P125" s="10">
        <f t="shared" si="5"/>
        <v>8.0250000000000009E-3</v>
      </c>
      <c r="Q125" s="10">
        <f>IF(K125=0,IF(A122=A125,AVERAGE(O122:O125),"x"),0)</f>
        <v>8.0249999999999991E-3</v>
      </c>
      <c r="R125" s="9">
        <f>IF(L125&gt;2005,AVERAGE(O122:O141),0)</f>
        <v>8.4449999999999994E-3</v>
      </c>
      <c r="S125" s="10">
        <f>IF(A125=A126,(N125-N126)/N126,0)</f>
        <v>0.24999999999999994</v>
      </c>
      <c r="T125" s="10">
        <f>IF(L125&gt;2005,(((N125-N145)/N145)+1)^(1/5)-1,0)</f>
        <v>0.18946082182210611</v>
      </c>
      <c r="U125" s="10">
        <f t="shared" si="6"/>
        <v>0.19790582182210611</v>
      </c>
      <c r="V125" s="26">
        <f t="shared" si="7"/>
        <v>4.8952417093440532</v>
      </c>
      <c r="W125" s="3">
        <f>IF(A125=A126,N125-N126,0)</f>
        <v>2.4999999999999994E-2</v>
      </c>
      <c r="X125" s="10">
        <f>IF(A125=A126,(N125-N126)/N126,0)</f>
        <v>0.24999999999999994</v>
      </c>
    </row>
    <row r="126" spans="1:24" ht="16.5" customHeight="1">
      <c r="A126" s="3" t="s">
        <v>25</v>
      </c>
      <c r="B126" s="3">
        <f t="shared" si="0"/>
        <v>2014</v>
      </c>
      <c r="C126" s="3">
        <f t="shared" si="1"/>
        <v>10</v>
      </c>
      <c r="D126" s="20" t="str">
        <f t="shared" si="2"/>
        <v>HRL201410</v>
      </c>
      <c r="E126" s="2">
        <v>41928</v>
      </c>
      <c r="F126" s="3">
        <v>0.2</v>
      </c>
      <c r="G126" s="2">
        <v>41957</v>
      </c>
      <c r="H126" s="3">
        <v>7.9000000000000008E-3</v>
      </c>
      <c r="I126" s="3">
        <v>0</v>
      </c>
      <c r="J126" s="3">
        <v>0</v>
      </c>
      <c r="K126" s="3">
        <f t="shared" si="3"/>
        <v>2014</v>
      </c>
      <c r="L126" s="3">
        <f t="shared" si="4"/>
        <v>0</v>
      </c>
      <c r="M126" s="20" t="str">
        <f>A126&amp;L126</f>
        <v>HRL0</v>
      </c>
      <c r="N126" s="3">
        <f>F126/2</f>
        <v>0.1</v>
      </c>
      <c r="O126" s="9">
        <f>H126</f>
        <v>7.9000000000000008E-3</v>
      </c>
      <c r="P126" s="10">
        <f t="shared" si="5"/>
        <v>0</v>
      </c>
      <c r="Q126" s="10">
        <f>IF(K126=0,IF(A123=A126,AVERAGE(O123:O126),"x"),0)</f>
        <v>0</v>
      </c>
      <c r="R126" s="9">
        <f>IF(L126&gt;2005,AVERAGE(O123:O142),0)</f>
        <v>0</v>
      </c>
      <c r="S126" s="10">
        <f>IF(A126=A127,(N126-N127)/N127,0)</f>
        <v>0</v>
      </c>
      <c r="T126" s="10">
        <f>IF(L126&gt;2005,(((N126-N146)/N146)+1)^(1/5)-1,0)</f>
        <v>0</v>
      </c>
      <c r="U126" s="10">
        <f t="shared" si="6"/>
        <v>0</v>
      </c>
      <c r="V126" s="26">
        <f t="shared" si="7"/>
        <v>0</v>
      </c>
      <c r="W126" s="3">
        <f>IF(A126=A127,N126-N127,0)</f>
        <v>0</v>
      </c>
      <c r="X126" s="10">
        <f>IF(A126=A127,(N126-N127)/N127,0)</f>
        <v>0</v>
      </c>
    </row>
    <row r="127" spans="1:24" ht="16.5" customHeight="1">
      <c r="A127" s="3" t="s">
        <v>25</v>
      </c>
      <c r="B127" s="3">
        <f t="shared" si="0"/>
        <v>2014</v>
      </c>
      <c r="C127" s="3">
        <f t="shared" si="1"/>
        <v>7</v>
      </c>
      <c r="D127" s="20" t="str">
        <f t="shared" si="2"/>
        <v>HRL20147</v>
      </c>
      <c r="E127" s="2">
        <v>41837</v>
      </c>
      <c r="F127" s="3">
        <v>0.2</v>
      </c>
      <c r="G127" s="2">
        <v>41866</v>
      </c>
      <c r="H127" s="3">
        <v>8.0000000000000002E-3</v>
      </c>
      <c r="I127" s="3">
        <v>0</v>
      </c>
      <c r="J127" s="3">
        <v>0</v>
      </c>
      <c r="K127" s="3">
        <f t="shared" si="3"/>
        <v>2014</v>
      </c>
      <c r="L127" s="3">
        <f t="shared" si="4"/>
        <v>0</v>
      </c>
      <c r="M127" s="20" t="str">
        <f>A127&amp;L127</f>
        <v>HRL0</v>
      </c>
      <c r="N127" s="3">
        <f>F127/2</f>
        <v>0.1</v>
      </c>
      <c r="O127" s="9">
        <f>H127</f>
        <v>8.0000000000000002E-3</v>
      </c>
      <c r="P127" s="10">
        <f t="shared" si="5"/>
        <v>0</v>
      </c>
      <c r="Q127" s="10">
        <f>IF(K127=0,IF(A124=A127,AVERAGE(O124:O127),"x"),0)</f>
        <v>0</v>
      </c>
      <c r="R127" s="9">
        <f>IF(L127&gt;2005,AVERAGE(O124:O143),0)</f>
        <v>0</v>
      </c>
      <c r="S127" s="10">
        <f>IF(A127=A128,(N127-N128)/N128,0)</f>
        <v>0</v>
      </c>
      <c r="T127" s="10">
        <f>IF(L127&gt;2005,(((N127-N147)/N147)+1)^(1/5)-1,0)</f>
        <v>0</v>
      </c>
      <c r="U127" s="10">
        <f t="shared" si="6"/>
        <v>0</v>
      </c>
      <c r="V127" s="26">
        <f t="shared" si="7"/>
        <v>0</v>
      </c>
      <c r="W127" s="3">
        <f>IF(A127=A128,N127-N128,0)</f>
        <v>0</v>
      </c>
      <c r="X127" s="10">
        <f>IF(A127=A128,(N127-N128)/N128,0)</f>
        <v>0</v>
      </c>
    </row>
    <row r="128" spans="1:24" ht="16.5" customHeight="1">
      <c r="A128" s="3" t="s">
        <v>25</v>
      </c>
      <c r="B128" s="3">
        <f t="shared" si="0"/>
        <v>2014</v>
      </c>
      <c r="C128" s="3">
        <f t="shared" si="1"/>
        <v>4</v>
      </c>
      <c r="D128" s="20" t="str">
        <f t="shared" si="2"/>
        <v>HRL20144</v>
      </c>
      <c r="E128" s="2">
        <v>41745</v>
      </c>
      <c r="F128" s="3">
        <v>0.2</v>
      </c>
      <c r="G128" s="2">
        <v>41774</v>
      </c>
      <c r="H128" s="3">
        <v>7.7999999999999996E-3</v>
      </c>
      <c r="I128" s="3">
        <v>0</v>
      </c>
      <c r="J128" s="3">
        <v>0</v>
      </c>
      <c r="K128" s="3">
        <f t="shared" si="3"/>
        <v>2014</v>
      </c>
      <c r="L128" s="3">
        <f t="shared" si="4"/>
        <v>0</v>
      </c>
      <c r="M128" s="20" t="str">
        <f>A128&amp;L128</f>
        <v>HRL0</v>
      </c>
      <c r="N128" s="3">
        <f>F128/2</f>
        <v>0.1</v>
      </c>
      <c r="O128" s="9">
        <f>H128</f>
        <v>7.7999999999999996E-3</v>
      </c>
      <c r="P128" s="10">
        <f t="shared" si="5"/>
        <v>0</v>
      </c>
      <c r="Q128" s="10">
        <f>IF(K128=0,IF(A125=A128,AVERAGE(O125:O128),"x"),0)</f>
        <v>0</v>
      </c>
      <c r="R128" s="9">
        <f>IF(L128&gt;2005,AVERAGE(O125:O144),0)</f>
        <v>0</v>
      </c>
      <c r="S128" s="10">
        <f>IF(A128=A129,(N128-N129)/N129,0)</f>
        <v>0</v>
      </c>
      <c r="T128" s="10">
        <f>IF(L128&gt;2005,(((N128-N148)/N148)+1)^(1/5)-1,0)</f>
        <v>0</v>
      </c>
      <c r="U128" s="10">
        <f t="shared" si="6"/>
        <v>0</v>
      </c>
      <c r="V128" s="26">
        <f t="shared" si="7"/>
        <v>0</v>
      </c>
      <c r="W128" s="3">
        <f>IF(A128=A129,N128-N129,0)</f>
        <v>0</v>
      </c>
      <c r="X128" s="10">
        <f>IF(A128=A129,(N128-N129)/N129,0)</f>
        <v>0</v>
      </c>
    </row>
    <row r="129" spans="1:24" ht="16.5" customHeight="1">
      <c r="A129" s="3" t="s">
        <v>25</v>
      </c>
      <c r="B129" s="3">
        <f t="shared" si="0"/>
        <v>2014</v>
      </c>
      <c r="C129" s="3">
        <f t="shared" si="1"/>
        <v>1</v>
      </c>
      <c r="D129" s="20" t="str">
        <f t="shared" si="2"/>
        <v>HRL20141</v>
      </c>
      <c r="E129" s="2">
        <v>41656</v>
      </c>
      <c r="F129" s="3">
        <v>0.2</v>
      </c>
      <c r="G129" s="2">
        <v>41684</v>
      </c>
      <c r="H129" s="3">
        <v>7.6E-3</v>
      </c>
      <c r="I129" s="3">
        <v>0.17647058800000001</v>
      </c>
      <c r="J129" s="3">
        <v>0.03</v>
      </c>
      <c r="K129" s="3">
        <f t="shared" si="3"/>
        <v>0</v>
      </c>
      <c r="L129" s="3">
        <f t="shared" si="4"/>
        <v>2014</v>
      </c>
      <c r="M129" s="20" t="str">
        <f>A129&amp;L129</f>
        <v>HRL2014</v>
      </c>
      <c r="N129" s="3">
        <f>F129/2</f>
        <v>0.1</v>
      </c>
      <c r="O129" s="9">
        <f>H129</f>
        <v>7.6E-3</v>
      </c>
      <c r="P129" s="10">
        <f t="shared" si="5"/>
        <v>7.8250000000000004E-3</v>
      </c>
      <c r="Q129" s="10">
        <f>IF(K129=0,IF(A126=A129,AVERAGE(O126:O129),"x"),0)</f>
        <v>7.8250000000000004E-3</v>
      </c>
      <c r="R129" s="9">
        <f>IF(L129&gt;2005,AVERAGE(O126:O145),0)</f>
        <v>8.7649999999999985E-3</v>
      </c>
      <c r="S129" s="10">
        <f>IF(A129=A130,(N129-N130)/N130,0)</f>
        <v>0.1764705882352941</v>
      </c>
      <c r="T129" s="10">
        <f>IF(L129&gt;2005,(((N129-N149)/N149)+1)^(1/5)-1,0)</f>
        <v>0.16054311135316701</v>
      </c>
      <c r="U129" s="10">
        <f t="shared" si="6"/>
        <v>0.16930811135316701</v>
      </c>
      <c r="V129" s="26">
        <f t="shared" si="7"/>
        <v>4.8886791811324253</v>
      </c>
      <c r="W129" s="3">
        <f>IF(A129=A130,N129-N130,0)</f>
        <v>1.4999999999999999E-2</v>
      </c>
      <c r="X129" s="10">
        <f>IF(A129=A130,(N129-N130)/N130,0)</f>
        <v>0.1764705882352941</v>
      </c>
    </row>
    <row r="130" spans="1:24" ht="16.5" customHeight="1">
      <c r="A130" s="3" t="s">
        <v>25</v>
      </c>
      <c r="B130" s="3">
        <f t="shared" si="0"/>
        <v>2013</v>
      </c>
      <c r="C130" s="3">
        <f t="shared" si="1"/>
        <v>10</v>
      </c>
      <c r="D130" s="20" t="str">
        <f t="shared" si="2"/>
        <v>HRL201310</v>
      </c>
      <c r="E130" s="2">
        <v>41564</v>
      </c>
      <c r="F130" s="3">
        <v>0.17</v>
      </c>
      <c r="G130" s="2">
        <v>41593</v>
      </c>
      <c r="H130" s="3">
        <v>7.9000000000000008E-3</v>
      </c>
      <c r="I130" s="3">
        <v>0</v>
      </c>
      <c r="J130" s="3">
        <v>0</v>
      </c>
      <c r="K130" s="3">
        <f t="shared" si="3"/>
        <v>2013</v>
      </c>
      <c r="L130" s="3">
        <f t="shared" si="4"/>
        <v>0</v>
      </c>
      <c r="M130" s="20" t="str">
        <f>A130&amp;L130</f>
        <v>HRL0</v>
      </c>
      <c r="N130" s="3">
        <f>F130/2</f>
        <v>8.5000000000000006E-2</v>
      </c>
      <c r="O130" s="9">
        <f>H130</f>
        <v>7.9000000000000008E-3</v>
      </c>
      <c r="P130" s="10">
        <f t="shared" si="5"/>
        <v>0</v>
      </c>
      <c r="Q130" s="10">
        <f>IF(K130=0,IF(A127=A130,AVERAGE(O127:O130),"x"),0)</f>
        <v>0</v>
      </c>
      <c r="R130" s="9">
        <f>IF(L130&gt;2005,AVERAGE(O127:O146),0)</f>
        <v>0</v>
      </c>
      <c r="S130" s="10">
        <f>IF(A130=A131,(N130-N131)/N131,0)</f>
        <v>0</v>
      </c>
      <c r="T130" s="10">
        <f>IF(L130&gt;2005,(((N130-N150)/N150)+1)^(1/5)-1,0)</f>
        <v>0</v>
      </c>
      <c r="U130" s="10">
        <f t="shared" si="6"/>
        <v>0</v>
      </c>
      <c r="V130" s="26">
        <f t="shared" si="7"/>
        <v>0</v>
      </c>
      <c r="W130" s="3">
        <f>IF(A130=A131,N130-N131,0)</f>
        <v>0</v>
      </c>
      <c r="X130" s="10">
        <f>IF(A130=A131,(N130-N131)/N131,0)</f>
        <v>0</v>
      </c>
    </row>
    <row r="131" spans="1:24" ht="16.5" customHeight="1">
      <c r="A131" s="3" t="s">
        <v>25</v>
      </c>
      <c r="B131" s="3">
        <f t="shared" si="0"/>
        <v>2013</v>
      </c>
      <c r="C131" s="3">
        <f t="shared" si="1"/>
        <v>7</v>
      </c>
      <c r="D131" s="20" t="str">
        <f t="shared" si="2"/>
        <v>HRL20137</v>
      </c>
      <c r="E131" s="2">
        <v>41473</v>
      </c>
      <c r="F131" s="3">
        <v>0.17</v>
      </c>
      <c r="G131" s="2">
        <v>41501</v>
      </c>
      <c r="H131" s="3">
        <v>8.0000000000000002E-3</v>
      </c>
      <c r="I131" s="3">
        <v>0</v>
      </c>
      <c r="J131" s="3">
        <v>0</v>
      </c>
      <c r="K131" s="3">
        <f t="shared" si="3"/>
        <v>2013</v>
      </c>
      <c r="L131" s="3">
        <f t="shared" si="4"/>
        <v>0</v>
      </c>
      <c r="M131" s="20" t="str">
        <f>A131&amp;L131</f>
        <v>HRL0</v>
      </c>
      <c r="N131" s="3">
        <f>F131/2</f>
        <v>8.5000000000000006E-2</v>
      </c>
      <c r="O131" s="9">
        <f>H131</f>
        <v>8.0000000000000002E-3</v>
      </c>
      <c r="P131" s="10">
        <f t="shared" si="5"/>
        <v>0</v>
      </c>
      <c r="Q131" s="10">
        <f>IF(K131=0,IF(A128=A131,AVERAGE(O128:O131),"x"),0)</f>
        <v>0</v>
      </c>
      <c r="R131" s="9">
        <f>IF(L131&gt;2005,AVERAGE(O128:O147),0)</f>
        <v>0</v>
      </c>
      <c r="S131" s="10">
        <f>IF(A131=A132,(N131-N132)/N132,0)</f>
        <v>0</v>
      </c>
      <c r="T131" s="10">
        <f>IF(L131&gt;2005,(((N131-N151)/N151)+1)^(1/5)-1,0)</f>
        <v>0</v>
      </c>
      <c r="U131" s="10">
        <f t="shared" si="6"/>
        <v>0</v>
      </c>
      <c r="V131" s="26">
        <f t="shared" si="7"/>
        <v>0</v>
      </c>
      <c r="W131" s="3">
        <f>IF(A131=A132,N131-N132,0)</f>
        <v>0</v>
      </c>
      <c r="X131" s="10">
        <f>IF(A131=A132,(N131-N132)/N132,0)</f>
        <v>0</v>
      </c>
    </row>
    <row r="132" spans="1:24" ht="16.5" customHeight="1">
      <c r="A132" s="3" t="s">
        <v>25</v>
      </c>
      <c r="B132" s="3">
        <f t="shared" si="0"/>
        <v>2013</v>
      </c>
      <c r="C132" s="3">
        <f t="shared" si="1"/>
        <v>4</v>
      </c>
      <c r="D132" s="20" t="str">
        <f t="shared" si="2"/>
        <v>HRL20134</v>
      </c>
      <c r="E132" s="2">
        <v>41382</v>
      </c>
      <c r="F132" s="3">
        <v>0.17</v>
      </c>
      <c r="G132" s="2">
        <v>41409</v>
      </c>
      <c r="H132" s="3">
        <v>7.7999999999999996E-3</v>
      </c>
      <c r="I132" s="3">
        <v>0</v>
      </c>
      <c r="J132" s="3">
        <v>0</v>
      </c>
      <c r="K132" s="3">
        <f t="shared" si="3"/>
        <v>2013</v>
      </c>
      <c r="L132" s="3">
        <f t="shared" si="4"/>
        <v>0</v>
      </c>
      <c r="M132" s="20" t="str">
        <f>A132&amp;L132</f>
        <v>HRL0</v>
      </c>
      <c r="N132" s="3">
        <f>F132/2</f>
        <v>8.5000000000000006E-2</v>
      </c>
      <c r="O132" s="9">
        <f>H132</f>
        <v>7.7999999999999996E-3</v>
      </c>
      <c r="P132" s="10">
        <f t="shared" si="5"/>
        <v>0</v>
      </c>
      <c r="Q132" s="10">
        <f>IF(K132=0,IF(A129=A132,AVERAGE(O129:O132),"x"),0)</f>
        <v>0</v>
      </c>
      <c r="R132" s="9">
        <f>IF(L132&gt;2005,AVERAGE(O129:O148),0)</f>
        <v>0</v>
      </c>
      <c r="S132" s="10">
        <f>IF(A132=A133,(N132-N133)/N133,0)</f>
        <v>0</v>
      </c>
      <c r="T132" s="10">
        <f>IF(L132&gt;2005,(((N132-N152)/N152)+1)^(1/5)-1,0)</f>
        <v>0</v>
      </c>
      <c r="U132" s="10">
        <f t="shared" si="6"/>
        <v>0</v>
      </c>
      <c r="V132" s="26">
        <f t="shared" si="7"/>
        <v>0</v>
      </c>
      <c r="W132" s="3">
        <f>IF(A132=A133,N132-N133,0)</f>
        <v>0</v>
      </c>
      <c r="X132" s="10">
        <f>IF(A132=A133,(N132-N133)/N133,0)</f>
        <v>0</v>
      </c>
    </row>
    <row r="133" spans="1:24" ht="16.5" customHeight="1">
      <c r="A133" s="3" t="s">
        <v>25</v>
      </c>
      <c r="B133" s="3">
        <f t="shared" si="0"/>
        <v>2013</v>
      </c>
      <c r="C133" s="3">
        <f t="shared" si="1"/>
        <v>1</v>
      </c>
      <c r="D133" s="20" t="str">
        <f t="shared" si="2"/>
        <v>HRL20131</v>
      </c>
      <c r="E133" s="2">
        <v>41290</v>
      </c>
      <c r="F133" s="3">
        <v>0.17</v>
      </c>
      <c r="G133" s="2">
        <v>41320</v>
      </c>
      <c r="H133" s="3">
        <v>8.9999999999999993E-3</v>
      </c>
      <c r="I133" s="3">
        <v>0.133333333</v>
      </c>
      <c r="J133" s="3">
        <v>0.02</v>
      </c>
      <c r="K133" s="3">
        <f t="shared" si="3"/>
        <v>0</v>
      </c>
      <c r="L133" s="3">
        <f t="shared" si="4"/>
        <v>2013</v>
      </c>
      <c r="M133" s="20" t="str">
        <f>A133&amp;L133</f>
        <v>HRL2013</v>
      </c>
      <c r="N133" s="3">
        <f>F133/2</f>
        <v>8.5000000000000006E-2</v>
      </c>
      <c r="O133" s="9">
        <f>H133</f>
        <v>8.9999999999999993E-3</v>
      </c>
      <c r="P133" s="10">
        <f t="shared" si="5"/>
        <v>9.725000000000001E-3</v>
      </c>
      <c r="Q133" s="10">
        <f>IF(K133=0,IF(A130=A133,AVERAGE(O130:O133),"x"),0)</f>
        <v>8.175E-3</v>
      </c>
      <c r="R133" s="9">
        <f>IF(L133&gt;2005,AVERAGE(O130:O149),0)</f>
        <v>9.470000000000001E-3</v>
      </c>
      <c r="S133" s="10">
        <f>IF(A133=A134,(N133-N134)/N134,0)</f>
        <v>0.13333333333333347</v>
      </c>
      <c r="T133" s="10">
        <f>IF(L133&gt;2005,(((N133-N153)/N153)+1)^(1/5)-1,0)</f>
        <v>0.1294355091763042</v>
      </c>
      <c r="U133" s="10">
        <f t="shared" si="6"/>
        <v>0.1389055091763042</v>
      </c>
      <c r="V133" s="26">
        <f t="shared" si="7"/>
        <v>4.8766491808483794</v>
      </c>
      <c r="W133" s="3">
        <f>IF(A133=A134,N133-N134,0)</f>
        <v>1.0000000000000009E-2</v>
      </c>
      <c r="X133" s="10">
        <f>IF(A133=A134,(N133-N134)/N134,0)</f>
        <v>0.13333333333333347</v>
      </c>
    </row>
    <row r="134" spans="1:24" ht="16.5" customHeight="1">
      <c r="A134" s="3" t="s">
        <v>25</v>
      </c>
      <c r="B134" s="3">
        <f t="shared" si="0"/>
        <v>2012</v>
      </c>
      <c r="C134" s="3">
        <f t="shared" si="1"/>
        <v>10</v>
      </c>
      <c r="D134" s="20" t="str">
        <f t="shared" si="2"/>
        <v>HRL201210</v>
      </c>
      <c r="E134" s="2">
        <v>41200</v>
      </c>
      <c r="F134" s="3">
        <v>0.15</v>
      </c>
      <c r="G134" s="2">
        <v>41228</v>
      </c>
      <c r="H134" s="3">
        <v>1.01E-2</v>
      </c>
      <c r="I134" s="3">
        <v>0</v>
      </c>
      <c r="J134" s="3">
        <v>0</v>
      </c>
      <c r="K134" s="3">
        <f t="shared" si="3"/>
        <v>2012</v>
      </c>
      <c r="L134" s="3">
        <f t="shared" si="4"/>
        <v>0</v>
      </c>
      <c r="M134" s="20" t="str">
        <f>A134&amp;L134</f>
        <v>HRL0</v>
      </c>
      <c r="N134" s="3">
        <f>F134/2</f>
        <v>7.4999999999999997E-2</v>
      </c>
      <c r="O134" s="9">
        <f>H134</f>
        <v>1.01E-2</v>
      </c>
      <c r="P134" s="10">
        <f t="shared" si="5"/>
        <v>0</v>
      </c>
      <c r="Q134" s="10">
        <f>IF(K134=0,IF(A131=A134,AVERAGE(O131:O134),"x"),0)</f>
        <v>0</v>
      </c>
      <c r="R134" s="9">
        <f>IF(L134&gt;2005,AVERAGE(O131:O150),0)</f>
        <v>0</v>
      </c>
      <c r="S134" s="10">
        <f>IF(A134=A135,(N134-N135)/N135,0)</f>
        <v>0</v>
      </c>
      <c r="T134" s="10">
        <f>IF(L134&gt;2005,(((N134-N154)/N154)+1)^(1/5)-1,0)</f>
        <v>0</v>
      </c>
      <c r="U134" s="10">
        <f t="shared" si="6"/>
        <v>0</v>
      </c>
      <c r="V134" s="26">
        <f t="shared" si="7"/>
        <v>0</v>
      </c>
      <c r="W134" s="3">
        <f>IF(A134=A135,N134-N135,0)</f>
        <v>0</v>
      </c>
      <c r="X134" s="10">
        <f>IF(A134=A135,(N134-N135)/N135,0)</f>
        <v>0</v>
      </c>
    </row>
    <row r="135" spans="1:24" ht="16.5" customHeight="1">
      <c r="A135" s="3" t="s">
        <v>25</v>
      </c>
      <c r="B135" s="3">
        <f t="shared" si="0"/>
        <v>2012</v>
      </c>
      <c r="C135" s="3">
        <f t="shared" si="1"/>
        <v>7</v>
      </c>
      <c r="D135" s="20" t="str">
        <f t="shared" si="2"/>
        <v>HRL20127</v>
      </c>
      <c r="E135" s="2">
        <v>41109</v>
      </c>
      <c r="F135" s="3">
        <v>0.15</v>
      </c>
      <c r="G135" s="2">
        <v>41136</v>
      </c>
      <c r="H135" s="3">
        <v>0.01</v>
      </c>
      <c r="I135" s="3">
        <v>0</v>
      </c>
      <c r="J135" s="3">
        <v>0</v>
      </c>
      <c r="K135" s="3">
        <f t="shared" si="3"/>
        <v>2012</v>
      </c>
      <c r="L135" s="3">
        <f t="shared" si="4"/>
        <v>0</v>
      </c>
      <c r="M135" s="20" t="str">
        <f>A135&amp;L135</f>
        <v>HRL0</v>
      </c>
      <c r="N135" s="3">
        <f>F135/2</f>
        <v>7.4999999999999997E-2</v>
      </c>
      <c r="O135" s="9">
        <f>H135</f>
        <v>0.01</v>
      </c>
      <c r="P135" s="10">
        <f t="shared" si="5"/>
        <v>0</v>
      </c>
      <c r="Q135" s="10">
        <f>IF(K135=0,IF(A132=A135,AVERAGE(O132:O135),"x"),0)</f>
        <v>0</v>
      </c>
      <c r="R135" s="9">
        <f>IF(L135&gt;2005,AVERAGE(O132:O151),0)</f>
        <v>0</v>
      </c>
      <c r="S135" s="10">
        <f>IF(A135=A136,(N135-N136)/N136,0)</f>
        <v>0</v>
      </c>
      <c r="T135" s="10">
        <f>IF(L135&gt;2005,(((N135-N155)/N155)+1)^(1/5)-1,0)</f>
        <v>0</v>
      </c>
      <c r="U135" s="10">
        <f t="shared" si="6"/>
        <v>0</v>
      </c>
      <c r="V135" s="26">
        <f t="shared" si="7"/>
        <v>0</v>
      </c>
      <c r="W135" s="3">
        <f>IF(A135=A136,N135-N136,0)</f>
        <v>0</v>
      </c>
      <c r="X135" s="10">
        <f>IF(A135=A136,(N135-N136)/N136,0)</f>
        <v>0</v>
      </c>
    </row>
    <row r="136" spans="1:24" ht="16.5" customHeight="1">
      <c r="A136" s="3" t="s">
        <v>25</v>
      </c>
      <c r="B136" s="3">
        <f t="shared" si="0"/>
        <v>2012</v>
      </c>
      <c r="C136" s="3">
        <f t="shared" si="1"/>
        <v>4</v>
      </c>
      <c r="D136" s="20" t="str">
        <f t="shared" si="2"/>
        <v>HRL20124</v>
      </c>
      <c r="E136" s="2">
        <v>41018</v>
      </c>
      <c r="F136" s="3">
        <v>0.15</v>
      </c>
      <c r="G136" s="2">
        <v>41044</v>
      </c>
      <c r="H136" s="3">
        <v>9.7999999999999997E-3</v>
      </c>
      <c r="I136" s="3">
        <v>0</v>
      </c>
      <c r="J136" s="3">
        <v>0</v>
      </c>
      <c r="K136" s="3">
        <f t="shared" si="3"/>
        <v>2012</v>
      </c>
      <c r="L136" s="3">
        <f t="shared" si="4"/>
        <v>0</v>
      </c>
      <c r="M136" s="20" t="str">
        <f>A136&amp;L136</f>
        <v>HRL0</v>
      </c>
      <c r="N136" s="3">
        <f>F136/2</f>
        <v>7.4999999999999997E-2</v>
      </c>
      <c r="O136" s="9">
        <f>H136</f>
        <v>9.7999999999999997E-3</v>
      </c>
      <c r="P136" s="10">
        <f t="shared" si="5"/>
        <v>0</v>
      </c>
      <c r="Q136" s="10">
        <f>IF(K136=0,IF(A133=A136,AVERAGE(O133:O136),"x"),0)</f>
        <v>0</v>
      </c>
      <c r="R136" s="9">
        <f>IF(L136&gt;2005,AVERAGE(O133:O152),0)</f>
        <v>0</v>
      </c>
      <c r="S136" s="10">
        <f>IF(A136=A137,(N136-N137)/N137,0)</f>
        <v>0</v>
      </c>
      <c r="T136" s="10">
        <f>IF(L136&gt;2005,(((N136-N156)/N156)+1)^(1/5)-1,0)</f>
        <v>0</v>
      </c>
      <c r="U136" s="10">
        <f t="shared" si="6"/>
        <v>0</v>
      </c>
      <c r="V136" s="26">
        <f t="shared" si="7"/>
        <v>0</v>
      </c>
      <c r="W136" s="3">
        <f>IF(A136=A137,N136-N137,0)</f>
        <v>0</v>
      </c>
      <c r="X136" s="10">
        <f>IF(A136=A137,(N136-N137)/N137,0)</f>
        <v>0</v>
      </c>
    </row>
    <row r="137" spans="1:24" ht="16.5" customHeight="1">
      <c r="A137" s="3" t="s">
        <v>25</v>
      </c>
      <c r="B137" s="3">
        <f t="shared" si="0"/>
        <v>2012</v>
      </c>
      <c r="C137" s="3">
        <f t="shared" si="1"/>
        <v>1</v>
      </c>
      <c r="D137" s="20" t="str">
        <f t="shared" si="2"/>
        <v>HRL20121</v>
      </c>
      <c r="E137" s="2">
        <v>40927</v>
      </c>
      <c r="F137" s="3">
        <v>0.15</v>
      </c>
      <c r="G137" s="2">
        <v>40954</v>
      </c>
      <c r="H137" s="3">
        <v>9.1000000000000004E-3</v>
      </c>
      <c r="I137" s="3">
        <v>0.17647058800000001</v>
      </c>
      <c r="J137" s="3">
        <v>2.2499999999999999E-2</v>
      </c>
      <c r="K137" s="3">
        <f t="shared" si="3"/>
        <v>0</v>
      </c>
      <c r="L137" s="3">
        <f t="shared" si="4"/>
        <v>2012</v>
      </c>
      <c r="M137" s="20" t="str">
        <f>A137&amp;L137</f>
        <v>HRL2012</v>
      </c>
      <c r="N137" s="3">
        <f>F137/2</f>
        <v>7.4999999999999997E-2</v>
      </c>
      <c r="O137" s="9">
        <f>H137</f>
        <v>9.1000000000000004E-3</v>
      </c>
      <c r="P137" s="10">
        <f t="shared" si="5"/>
        <v>8.5500000000000003E-3</v>
      </c>
      <c r="Q137" s="10">
        <f>IF(K137=0,IF(A134=A137,AVERAGE(O134:O137),"x"),0)</f>
        <v>9.75E-3</v>
      </c>
      <c r="R137" s="9">
        <f>IF(L137&gt;2005,AVERAGE(O134:O153),0)</f>
        <v>9.7000000000000003E-3</v>
      </c>
      <c r="S137" s="10">
        <f>IF(A137=A138,(N137-N138)/N138,0)</f>
        <v>0.17647058823529405</v>
      </c>
      <c r="T137" s="10">
        <f>IF(L137&gt;2005,(((N137-N157)/N157)+1)^(1/5)-1,0)</f>
        <v>0.1486983549970351</v>
      </c>
      <c r="U137" s="10">
        <f t="shared" si="6"/>
        <v>0.15839835499703508</v>
      </c>
      <c r="V137" s="26">
        <f t="shared" si="7"/>
        <v>4.8757891160425615</v>
      </c>
      <c r="W137" s="3">
        <f>IF(A137=A138,N137-N138,0)</f>
        <v>1.1249999999999996E-2</v>
      </c>
      <c r="X137" s="10">
        <f>IF(A137=A138,(N137-N138)/N138,0)</f>
        <v>0.17647058823529405</v>
      </c>
    </row>
    <row r="138" spans="1:24" ht="16.5" customHeight="1">
      <c r="A138" s="3" t="s">
        <v>25</v>
      </c>
      <c r="B138" s="3">
        <f t="shared" si="0"/>
        <v>2011</v>
      </c>
      <c r="C138" s="3">
        <f t="shared" si="1"/>
        <v>10</v>
      </c>
      <c r="D138" s="20" t="str">
        <f t="shared" si="2"/>
        <v>HRL201110</v>
      </c>
      <c r="E138" s="2">
        <v>40835</v>
      </c>
      <c r="F138" s="3">
        <v>0.1275</v>
      </c>
      <c r="G138" s="2">
        <v>40862</v>
      </c>
      <c r="H138" s="3">
        <v>8.8000000000000005E-3</v>
      </c>
      <c r="I138" s="3">
        <v>0</v>
      </c>
      <c r="J138" s="3">
        <v>0</v>
      </c>
      <c r="K138" s="3">
        <f t="shared" si="3"/>
        <v>2011</v>
      </c>
      <c r="L138" s="3">
        <f t="shared" si="4"/>
        <v>0</v>
      </c>
      <c r="M138" s="20" t="str">
        <f>A138&amp;L138</f>
        <v>HRL0</v>
      </c>
      <c r="N138" s="3">
        <f>F138/2</f>
        <v>6.3750000000000001E-2</v>
      </c>
      <c r="O138" s="9">
        <f>H138</f>
        <v>8.8000000000000005E-3</v>
      </c>
      <c r="P138" s="10">
        <f t="shared" si="5"/>
        <v>0</v>
      </c>
      <c r="Q138" s="10">
        <f>IF(K138=0,IF(A135=A138,AVERAGE(O135:O138),"x"),0)</f>
        <v>0</v>
      </c>
      <c r="R138" s="9">
        <f>IF(L138&gt;2005,AVERAGE(O135:O154),0)</f>
        <v>0</v>
      </c>
      <c r="S138" s="10">
        <f>IF(A138=A139,(N138-N139)/N139,0)</f>
        <v>0</v>
      </c>
      <c r="T138" s="10">
        <f>IF(L138&gt;2005,(((N138-N158)/N158)+1)^(1/5)-1,0)</f>
        <v>0</v>
      </c>
      <c r="U138" s="10">
        <f t="shared" si="6"/>
        <v>0</v>
      </c>
      <c r="V138" s="26">
        <f t="shared" si="7"/>
        <v>0</v>
      </c>
      <c r="W138" s="3">
        <f>IF(A138=A139,N138-N139,0)</f>
        <v>0</v>
      </c>
      <c r="X138" s="10">
        <f>IF(A138=A139,(N138-N139)/N139,0)</f>
        <v>0</v>
      </c>
    </row>
    <row r="139" spans="1:24" ht="16.5" customHeight="1">
      <c r="A139" s="3" t="s">
        <v>25</v>
      </c>
      <c r="B139" s="3">
        <f t="shared" si="0"/>
        <v>2011</v>
      </c>
      <c r="C139" s="3">
        <f t="shared" si="1"/>
        <v>7</v>
      </c>
      <c r="D139" s="20" t="str">
        <f t="shared" si="2"/>
        <v>HRL20117</v>
      </c>
      <c r="E139" s="2">
        <v>40744</v>
      </c>
      <c r="F139" s="3">
        <v>0.1275</v>
      </c>
      <c r="G139" s="2">
        <v>40770</v>
      </c>
      <c r="H139" s="3">
        <v>8.0999999999999996E-3</v>
      </c>
      <c r="I139" s="3">
        <v>0</v>
      </c>
      <c r="J139" s="3">
        <v>0</v>
      </c>
      <c r="K139" s="3">
        <f t="shared" si="3"/>
        <v>2011</v>
      </c>
      <c r="L139" s="3">
        <f t="shared" si="4"/>
        <v>0</v>
      </c>
      <c r="M139" s="20" t="str">
        <f>A139&amp;L139</f>
        <v>HRL0</v>
      </c>
      <c r="N139" s="3">
        <f>F139/2</f>
        <v>6.3750000000000001E-2</v>
      </c>
      <c r="O139" s="9">
        <f>H139</f>
        <v>8.0999999999999996E-3</v>
      </c>
      <c r="P139" s="10">
        <f t="shared" si="5"/>
        <v>0</v>
      </c>
      <c r="Q139" s="10">
        <f>IF(K139=0,IF(A136=A139,AVERAGE(O136:O139),"x"),0)</f>
        <v>0</v>
      </c>
      <c r="R139" s="9">
        <f>IF(L139&gt;2005,AVERAGE(O136:O155),0)</f>
        <v>0</v>
      </c>
      <c r="S139" s="10">
        <f>IF(A139=A140,(N139-N140)/N140,0)</f>
        <v>0</v>
      </c>
      <c r="T139" s="10">
        <f>IF(L139&gt;2005,(((N139-N159)/N159)+1)^(1/5)-1,0)</f>
        <v>0</v>
      </c>
      <c r="U139" s="10">
        <f t="shared" si="6"/>
        <v>0</v>
      </c>
      <c r="V139" s="26">
        <f t="shared" si="7"/>
        <v>0</v>
      </c>
      <c r="W139" s="3">
        <f>IF(A139=A140,N139-N140,0)</f>
        <v>0</v>
      </c>
      <c r="X139" s="10">
        <f>IF(A139=A140,(N139-N140)/N140,0)</f>
        <v>0</v>
      </c>
    </row>
    <row r="140" spans="1:24" ht="16.5" customHeight="1">
      <c r="A140" s="3" t="s">
        <v>25</v>
      </c>
      <c r="B140" s="3">
        <f t="shared" si="0"/>
        <v>2011</v>
      </c>
      <c r="C140" s="3">
        <f t="shared" si="1"/>
        <v>4</v>
      </c>
      <c r="D140" s="20" t="str">
        <f t="shared" si="2"/>
        <v>HRL20114</v>
      </c>
      <c r="E140" s="2">
        <v>40652</v>
      </c>
      <c r="F140" s="3">
        <v>0.1275</v>
      </c>
      <c r="G140" s="2">
        <v>40678</v>
      </c>
      <c r="H140" s="3">
        <v>8.2000000000000007E-3</v>
      </c>
      <c r="I140" s="3">
        <v>-0.5</v>
      </c>
      <c r="J140" s="3">
        <v>-0.1275</v>
      </c>
      <c r="K140" s="3">
        <f t="shared" si="3"/>
        <v>2011</v>
      </c>
      <c r="L140" s="3">
        <f t="shared" si="4"/>
        <v>0</v>
      </c>
      <c r="M140" s="20" t="str">
        <f>A140&amp;L140</f>
        <v>HRL0</v>
      </c>
      <c r="N140" s="3">
        <f>F140/2</f>
        <v>6.3750000000000001E-2</v>
      </c>
      <c r="O140" s="9">
        <f>H140</f>
        <v>8.2000000000000007E-3</v>
      </c>
      <c r="P140" s="10">
        <f t="shared" si="5"/>
        <v>0</v>
      </c>
      <c r="Q140" s="10">
        <f>IF(K140=0,IF(A137=A140,AVERAGE(O137:O140),"x"),0)</f>
        <v>0</v>
      </c>
      <c r="R140" s="9">
        <f>IF(L140&gt;2005,AVERAGE(O137:O156),0)</f>
        <v>0</v>
      </c>
      <c r="S140" s="10">
        <f>IF(A140=A141,(N140-N141)/N141,0)</f>
        <v>0</v>
      </c>
      <c r="T140" s="10">
        <f>IF(L140&gt;2005,(((N140-N160)/N160)+1)^(1/5)-1,0)</f>
        <v>0</v>
      </c>
      <c r="U140" s="10">
        <f t="shared" si="6"/>
        <v>0</v>
      </c>
      <c r="V140" s="26">
        <f t="shared" si="7"/>
        <v>0</v>
      </c>
      <c r="W140" s="3">
        <f>IF(A140=A141,N140-N141,0)</f>
        <v>0</v>
      </c>
      <c r="X140" s="10">
        <f>IF(A140=A141,(N140-N141)/N141,0)</f>
        <v>0</v>
      </c>
    </row>
    <row r="141" spans="1:24" ht="16.5" customHeight="1">
      <c r="A141" s="3" t="s">
        <v>25</v>
      </c>
      <c r="B141" s="3">
        <f t="shared" si="0"/>
        <v>2011</v>
      </c>
      <c r="C141" s="3">
        <f t="shared" si="1"/>
        <v>1</v>
      </c>
      <c r="D141" s="20" t="str">
        <f t="shared" si="2"/>
        <v>HRL20111</v>
      </c>
      <c r="E141" s="2">
        <v>40562</v>
      </c>
      <c r="F141" s="3">
        <v>0.255</v>
      </c>
      <c r="G141" s="2">
        <v>40589</v>
      </c>
      <c r="H141" s="3">
        <v>8.6999999999999994E-3</v>
      </c>
      <c r="I141" s="3">
        <v>0.21428571399999999</v>
      </c>
      <c r="J141" s="3">
        <v>4.4999999999999998E-2</v>
      </c>
      <c r="K141" s="3">
        <f t="shared" si="3"/>
        <v>0</v>
      </c>
      <c r="L141" s="3">
        <f t="shared" si="4"/>
        <v>2011</v>
      </c>
      <c r="M141" s="20" t="str">
        <f>A141&amp;L141</f>
        <v>HRL2011</v>
      </c>
      <c r="N141" s="3">
        <f>F141/4</f>
        <v>6.3750000000000001E-2</v>
      </c>
      <c r="O141" s="9">
        <f>H141</f>
        <v>8.6999999999999994E-3</v>
      </c>
      <c r="P141" s="10">
        <f t="shared" si="5"/>
        <v>9.2999999999999992E-3</v>
      </c>
      <c r="Q141" s="10">
        <f>IF(K141=0,IF(A138=A141,AVERAGE(O138:O141),"x"),0)</f>
        <v>8.4499999999999992E-3</v>
      </c>
      <c r="R141" s="9">
        <f>IF(L141&gt;2005,AVERAGE(O138:O157),0)</f>
        <v>9.3250000000000017E-3</v>
      </c>
      <c r="S141" s="10">
        <f>IF(A141=A142,(N141-N142)/N142,0)</f>
        <v>0.21428571428571436</v>
      </c>
      <c r="T141" s="10">
        <f>IF(L141&gt;2005,(((N141-N161)/N161)+1)^(1/5)-1,0)</f>
        <v>0.12741141818969504</v>
      </c>
      <c r="U141" s="10">
        <f t="shared" si="6"/>
        <v>0.13673641818969504</v>
      </c>
      <c r="V141" s="26">
        <f t="shared" si="7"/>
        <v>4.8782879983299585</v>
      </c>
      <c r="W141" s="3">
        <f>IF(A141=A142,N141-N142,0)</f>
        <v>1.1250000000000003E-2</v>
      </c>
      <c r="X141" s="10">
        <f>IF(A141=A142,(N141-N142)/N142,0)</f>
        <v>0.21428571428571436</v>
      </c>
    </row>
    <row r="142" spans="1:24" ht="16.5" customHeight="1">
      <c r="A142" s="3" t="s">
        <v>25</v>
      </c>
      <c r="B142" s="3">
        <f t="shared" si="0"/>
        <v>2010</v>
      </c>
      <c r="C142" s="3">
        <f t="shared" si="1"/>
        <v>10</v>
      </c>
      <c r="D142" s="20" t="str">
        <f t="shared" si="2"/>
        <v>HRL201010</v>
      </c>
      <c r="E142" s="2">
        <v>40471</v>
      </c>
      <c r="F142" s="3">
        <v>0.21</v>
      </c>
      <c r="G142" s="2">
        <v>40497</v>
      </c>
      <c r="H142" s="3">
        <v>9.4000000000000004E-3</v>
      </c>
      <c r="I142" s="3">
        <v>0</v>
      </c>
      <c r="J142" s="3">
        <v>0</v>
      </c>
      <c r="K142" s="3">
        <f t="shared" si="3"/>
        <v>2010</v>
      </c>
      <c r="L142" s="3">
        <f t="shared" si="4"/>
        <v>0</v>
      </c>
      <c r="M142" s="20" t="str">
        <f>A142&amp;L142</f>
        <v>HRL0</v>
      </c>
      <c r="N142" s="3">
        <f>F142/4</f>
        <v>5.2499999999999998E-2</v>
      </c>
      <c r="O142" s="9">
        <f>H142</f>
        <v>9.4000000000000004E-3</v>
      </c>
      <c r="P142" s="10">
        <f t="shared" si="5"/>
        <v>0</v>
      </c>
      <c r="Q142" s="10">
        <f>IF(K142=0,IF(A139=A142,AVERAGE(O139:O142),"x"),0)</f>
        <v>0</v>
      </c>
      <c r="R142" s="9">
        <f>IF(L142&gt;2005,AVERAGE(O139:O158),0)</f>
        <v>0</v>
      </c>
      <c r="S142" s="10">
        <f>IF(A142=A143,(N142-N143)/N143,0)</f>
        <v>0</v>
      </c>
      <c r="T142" s="10">
        <f>IF(L142&gt;2005,(((N142-N162)/N162)+1)^(1/5)-1,0)</f>
        <v>0</v>
      </c>
      <c r="U142" s="10">
        <f t="shared" si="6"/>
        <v>0</v>
      </c>
      <c r="V142" s="26">
        <f t="shared" si="7"/>
        <v>0</v>
      </c>
      <c r="W142" s="3">
        <f>IF(A142=A143,N142-N143,0)</f>
        <v>0</v>
      </c>
      <c r="X142" s="10">
        <f>IF(A142=A143,(N142-N143)/N143,0)</f>
        <v>0</v>
      </c>
    </row>
    <row r="143" spans="1:24" ht="16.5" customHeight="1">
      <c r="A143" s="3" t="s">
        <v>25</v>
      </c>
      <c r="B143" s="3">
        <f t="shared" si="0"/>
        <v>2010</v>
      </c>
      <c r="C143" s="3">
        <f t="shared" si="1"/>
        <v>7</v>
      </c>
      <c r="D143" s="20" t="str">
        <f t="shared" si="2"/>
        <v>HRL20107</v>
      </c>
      <c r="E143" s="2">
        <v>40380</v>
      </c>
      <c r="F143" s="3">
        <v>0.21</v>
      </c>
      <c r="G143" s="2">
        <v>40405</v>
      </c>
      <c r="H143" s="3">
        <v>9.5999999999999992E-3</v>
      </c>
      <c r="I143" s="3">
        <v>0</v>
      </c>
      <c r="J143" s="3">
        <v>0</v>
      </c>
      <c r="K143" s="3">
        <f t="shared" si="3"/>
        <v>2010</v>
      </c>
      <c r="L143" s="3">
        <f t="shared" si="4"/>
        <v>0</v>
      </c>
      <c r="M143" s="20" t="str">
        <f>A143&amp;L143</f>
        <v>HRL0</v>
      </c>
      <c r="N143" s="3">
        <f>F143/4</f>
        <v>5.2499999999999998E-2</v>
      </c>
      <c r="O143" s="9">
        <f>H143</f>
        <v>9.5999999999999992E-3</v>
      </c>
      <c r="P143" s="10">
        <f t="shared" si="5"/>
        <v>0</v>
      </c>
      <c r="Q143" s="10">
        <f>IF(K143=0,IF(A140=A143,AVERAGE(O140:O143),"x"),0)</f>
        <v>0</v>
      </c>
      <c r="R143" s="9">
        <f>IF(L143&gt;2005,AVERAGE(O140:O159),0)</f>
        <v>0</v>
      </c>
      <c r="S143" s="10">
        <f>IF(A143=A144,(N143-N144)/N144,0)</f>
        <v>0</v>
      </c>
      <c r="T143" s="10">
        <f>IF(L143&gt;2005,(((N143-N163)/N163)+1)^(1/5)-1,0)</f>
        <v>0</v>
      </c>
      <c r="U143" s="10">
        <f t="shared" si="6"/>
        <v>0</v>
      </c>
      <c r="V143" s="26">
        <f t="shared" si="7"/>
        <v>0</v>
      </c>
      <c r="W143" s="3">
        <f>IF(A143=A144,N143-N144,0)</f>
        <v>0</v>
      </c>
      <c r="X143" s="10">
        <f>IF(A143=A144,(N143-N144)/N144,0)</f>
        <v>0</v>
      </c>
    </row>
    <row r="144" spans="1:24" ht="16.5" customHeight="1">
      <c r="A144" s="3" t="s">
        <v>25</v>
      </c>
      <c r="B144" s="3">
        <f t="shared" si="0"/>
        <v>2010</v>
      </c>
      <c r="C144" s="3">
        <f t="shared" si="1"/>
        <v>4</v>
      </c>
      <c r="D144" s="20" t="str">
        <f t="shared" si="2"/>
        <v>HRL20104</v>
      </c>
      <c r="E144" s="2">
        <v>40282</v>
      </c>
      <c r="F144" s="3">
        <v>0.21</v>
      </c>
      <c r="G144" s="2">
        <v>40313</v>
      </c>
      <c r="H144" s="3">
        <v>9.4999999999999998E-3</v>
      </c>
      <c r="I144" s="3">
        <v>0</v>
      </c>
      <c r="J144" s="3">
        <v>0</v>
      </c>
      <c r="K144" s="3">
        <f t="shared" si="3"/>
        <v>2010</v>
      </c>
      <c r="L144" s="3">
        <f t="shared" si="4"/>
        <v>0</v>
      </c>
      <c r="M144" s="20" t="str">
        <f>A144&amp;L144</f>
        <v>HRL0</v>
      </c>
      <c r="N144" s="3">
        <f>F144/4</f>
        <v>5.2499999999999998E-2</v>
      </c>
      <c r="O144" s="9">
        <f>H144</f>
        <v>9.4999999999999998E-3</v>
      </c>
      <c r="P144" s="10">
        <f t="shared" si="5"/>
        <v>0</v>
      </c>
      <c r="Q144" s="10">
        <f>IF(K144=0,IF(A141=A144,AVERAGE(O141:O144),"x"),0)</f>
        <v>0</v>
      </c>
      <c r="R144" s="9">
        <f>IF(L144&gt;2005,AVERAGE(O141:O160),0)</f>
        <v>0</v>
      </c>
      <c r="S144" s="10">
        <f>IF(A144=A145,(N144-N145)/N145,0)</f>
        <v>0</v>
      </c>
      <c r="T144" s="10">
        <f>IF(L144&gt;2005,(((N144-N164)/N164)+1)^(1/5)-1,0)</f>
        <v>0</v>
      </c>
      <c r="U144" s="10">
        <f t="shared" si="6"/>
        <v>0</v>
      </c>
      <c r="V144" s="26">
        <f t="shared" si="7"/>
        <v>0</v>
      </c>
      <c r="W144" s="3">
        <f>IF(A144=A145,N144-N145,0)</f>
        <v>0</v>
      </c>
      <c r="X144" s="10">
        <f>IF(A144=A145,(N144-N145)/N145,0)</f>
        <v>0</v>
      </c>
    </row>
    <row r="145" spans="1:24" ht="16.5" customHeight="1">
      <c r="A145" s="3" t="s">
        <v>25</v>
      </c>
      <c r="B145" s="3">
        <f t="shared" si="0"/>
        <v>2010</v>
      </c>
      <c r="C145" s="3">
        <f t="shared" si="1"/>
        <v>1</v>
      </c>
      <c r="D145" s="20" t="str">
        <f t="shared" si="2"/>
        <v>HRL20101</v>
      </c>
      <c r="E145" s="2">
        <v>40198</v>
      </c>
      <c r="F145" s="3">
        <v>0.21</v>
      </c>
      <c r="G145" s="2">
        <v>40224</v>
      </c>
      <c r="H145" s="3">
        <v>0.01</v>
      </c>
      <c r="I145" s="3">
        <v>0.105263158</v>
      </c>
      <c r="J145" s="3">
        <v>0.02</v>
      </c>
      <c r="K145" s="3">
        <f t="shared" si="3"/>
        <v>0</v>
      </c>
      <c r="L145" s="3">
        <f t="shared" si="4"/>
        <v>2010</v>
      </c>
      <c r="M145" s="20" t="str">
        <f>A145&amp;L145</f>
        <v>HRL2010</v>
      </c>
      <c r="N145" s="3">
        <f>F145/4</f>
        <v>5.2499999999999998E-2</v>
      </c>
      <c r="O145" s="9">
        <f>H145</f>
        <v>0.01</v>
      </c>
      <c r="P145" s="10">
        <f t="shared" si="5"/>
        <v>1.0825000000000001E-2</v>
      </c>
      <c r="Q145" s="10">
        <f>IF(K145=0,IF(A142=A145,AVERAGE(O142:O145),"x"),0)</f>
        <v>9.6249999999999999E-3</v>
      </c>
      <c r="R145" s="9">
        <f>IF(L145&gt;2005,AVERAGE(O142:O161),0)</f>
        <v>9.1900000000000003E-3</v>
      </c>
      <c r="S145" s="10">
        <f>IF(A145=A146,(N145-N146)/N146,0)</f>
        <v>0.10526315789473679</v>
      </c>
      <c r="T145" s="10">
        <f>IF(L145&gt;2005,(((N145-N165)/N165)+1)^(1/5)-1,0)</f>
        <v>0.10066508085209658</v>
      </c>
      <c r="U145" s="10">
        <f t="shared" si="6"/>
        <v>0.10985508085209658</v>
      </c>
      <c r="V145" s="26">
        <f t="shared" si="7"/>
        <v>4.8771573942787905</v>
      </c>
      <c r="W145" s="3">
        <f>IF(A145=A146,N145-N146,0)</f>
        <v>4.9999999999999975E-3</v>
      </c>
      <c r="X145" s="10">
        <f>IF(A145=A146,(N145-N146)/N146,0)</f>
        <v>0.10526315789473679</v>
      </c>
    </row>
    <row r="146" spans="1:24" ht="16.5" customHeight="1">
      <c r="A146" s="3" t="s">
        <v>25</v>
      </c>
      <c r="B146" s="3">
        <f t="shared" si="0"/>
        <v>2009</v>
      </c>
      <c r="C146" s="3">
        <f t="shared" si="1"/>
        <v>10</v>
      </c>
      <c r="D146" s="20" t="str">
        <f t="shared" si="2"/>
        <v>HRL200910</v>
      </c>
      <c r="E146" s="2">
        <v>40107</v>
      </c>
      <c r="F146" s="3">
        <v>0.19</v>
      </c>
      <c r="G146" s="2">
        <v>40132</v>
      </c>
      <c r="H146" s="3">
        <v>1.04E-2</v>
      </c>
      <c r="I146" s="3">
        <v>0</v>
      </c>
      <c r="J146" s="3">
        <v>0</v>
      </c>
      <c r="K146" s="3">
        <f t="shared" si="3"/>
        <v>2009</v>
      </c>
      <c r="L146" s="3">
        <f t="shared" si="4"/>
        <v>0</v>
      </c>
      <c r="M146" s="20" t="str">
        <f>A146&amp;L146</f>
        <v>HRL0</v>
      </c>
      <c r="N146" s="3">
        <f>F146/4</f>
        <v>4.7500000000000001E-2</v>
      </c>
      <c r="O146" s="9">
        <f>H146</f>
        <v>1.04E-2</v>
      </c>
      <c r="P146" s="10">
        <f t="shared" si="5"/>
        <v>0</v>
      </c>
      <c r="Q146" s="10">
        <f>IF(K146=0,IF(A143=A146,AVERAGE(O143:O146),"x"),0)</f>
        <v>0</v>
      </c>
      <c r="R146" s="9">
        <f>IF(L146&gt;2005,AVERAGE(O143:O162),0)</f>
        <v>0</v>
      </c>
      <c r="S146" s="10">
        <f>IF(A146=A147,(N146-N147)/N147,0)</f>
        <v>0</v>
      </c>
      <c r="T146" s="10">
        <f>IF(L146&gt;2005,(((N146-N166)/N166)+1)^(1/5)-1,0)</f>
        <v>0</v>
      </c>
      <c r="U146" s="10">
        <f t="shared" si="6"/>
        <v>0</v>
      </c>
      <c r="V146" s="26">
        <f t="shared" si="7"/>
        <v>0</v>
      </c>
      <c r="W146" s="3">
        <f>IF(A146=A147,N146-N147,0)</f>
        <v>0</v>
      </c>
      <c r="X146" s="10">
        <f>IF(A146=A147,(N146-N147)/N147,0)</f>
        <v>0</v>
      </c>
    </row>
    <row r="147" spans="1:24" ht="16.5" customHeight="1">
      <c r="A147" s="3" t="s">
        <v>25</v>
      </c>
      <c r="B147" s="3">
        <f t="shared" si="0"/>
        <v>2009</v>
      </c>
      <c r="C147" s="3">
        <f t="shared" si="1"/>
        <v>7</v>
      </c>
      <c r="D147" s="20" t="str">
        <f t="shared" si="2"/>
        <v>HRL20097</v>
      </c>
      <c r="E147" s="2">
        <v>40009</v>
      </c>
      <c r="F147" s="3">
        <v>0.19</v>
      </c>
      <c r="G147" s="2">
        <v>40040</v>
      </c>
      <c r="H147" s="3">
        <v>1.09E-2</v>
      </c>
      <c r="I147" s="3">
        <v>0</v>
      </c>
      <c r="J147" s="3">
        <v>0</v>
      </c>
      <c r="K147" s="3">
        <f t="shared" si="3"/>
        <v>2009</v>
      </c>
      <c r="L147" s="3">
        <f t="shared" si="4"/>
        <v>0</v>
      </c>
      <c r="M147" s="20" t="str">
        <f>A147&amp;L147</f>
        <v>HRL0</v>
      </c>
      <c r="N147" s="3">
        <f>F147/4</f>
        <v>4.7500000000000001E-2</v>
      </c>
      <c r="O147" s="9">
        <f>H147</f>
        <v>1.09E-2</v>
      </c>
      <c r="P147" s="10">
        <f t="shared" si="5"/>
        <v>0</v>
      </c>
      <c r="Q147" s="10">
        <f>IF(K147=0,IF(A144=A147,AVERAGE(O144:O147),"x"),0)</f>
        <v>0</v>
      </c>
      <c r="R147" s="9">
        <f>IF(L147&gt;2005,AVERAGE(O144:O163),0)</f>
        <v>0</v>
      </c>
      <c r="S147" s="10">
        <f>IF(A147=A148,(N147-N148)/N148,0)</f>
        <v>0</v>
      </c>
      <c r="T147" s="10">
        <f>IF(L147&gt;2005,(((N147-N167)/N167)+1)^(1/5)-1,0)</f>
        <v>0</v>
      </c>
      <c r="U147" s="10">
        <f t="shared" si="6"/>
        <v>0</v>
      </c>
      <c r="V147" s="26">
        <f t="shared" si="7"/>
        <v>0</v>
      </c>
      <c r="W147" s="3">
        <f>IF(A147=A148,N147-N148,0)</f>
        <v>0</v>
      </c>
      <c r="X147" s="10">
        <f>IF(A147=A148,(N147-N148)/N148,0)</f>
        <v>0</v>
      </c>
    </row>
    <row r="148" spans="1:24" ht="16.5" customHeight="1">
      <c r="A148" s="3" t="s">
        <v>25</v>
      </c>
      <c r="B148" s="3">
        <f t="shared" si="0"/>
        <v>2009</v>
      </c>
      <c r="C148" s="3">
        <f t="shared" si="1"/>
        <v>4</v>
      </c>
      <c r="D148" s="20" t="str">
        <f t="shared" si="2"/>
        <v>HRL20094</v>
      </c>
      <c r="E148" s="2">
        <v>39918</v>
      </c>
      <c r="F148" s="3">
        <v>0.19</v>
      </c>
      <c r="G148" s="2">
        <v>39948</v>
      </c>
      <c r="H148" s="3">
        <v>1.2E-2</v>
      </c>
      <c r="I148" s="3">
        <v>0</v>
      </c>
      <c r="J148" s="3">
        <v>0</v>
      </c>
      <c r="K148" s="3">
        <f t="shared" si="3"/>
        <v>2009</v>
      </c>
      <c r="L148" s="3">
        <f t="shared" si="4"/>
        <v>0</v>
      </c>
      <c r="M148" s="20" t="str">
        <f>A148&amp;L148</f>
        <v>HRL0</v>
      </c>
      <c r="N148" s="3">
        <f>F148/4</f>
        <v>4.7500000000000001E-2</v>
      </c>
      <c r="O148" s="9">
        <f>H148</f>
        <v>1.2E-2</v>
      </c>
      <c r="P148" s="10">
        <f t="shared" si="5"/>
        <v>0</v>
      </c>
      <c r="Q148" s="10">
        <f>IF(K148=0,IF(A145=A148,AVERAGE(O145:O148),"x"),0)</f>
        <v>0</v>
      </c>
      <c r="R148" s="9">
        <f>IF(L148&gt;2005,AVERAGE(O145:O164),0)</f>
        <v>0</v>
      </c>
      <c r="S148" s="10">
        <f>IF(A148=A149,(N148-N149)/N149,0)</f>
        <v>0</v>
      </c>
      <c r="T148" s="10">
        <f>IF(L148&gt;2005,(((N148-N168)/N168)+1)^(1/5)-1,0)</f>
        <v>0</v>
      </c>
      <c r="U148" s="10">
        <f t="shared" si="6"/>
        <v>0</v>
      </c>
      <c r="V148" s="26">
        <f t="shared" si="7"/>
        <v>0</v>
      </c>
      <c r="W148" s="3">
        <f>IF(A148=A149,N148-N149,0)</f>
        <v>0</v>
      </c>
      <c r="X148" s="10">
        <f>IF(A148=A149,(N148-N149)/N149,0)</f>
        <v>0</v>
      </c>
    </row>
    <row r="149" spans="1:24" ht="16.5" customHeight="1">
      <c r="A149" s="3" t="s">
        <v>25</v>
      </c>
      <c r="B149" s="3">
        <f t="shared" si="0"/>
        <v>2009</v>
      </c>
      <c r="C149" s="3">
        <f t="shared" si="1"/>
        <v>1</v>
      </c>
      <c r="D149" s="20" t="str">
        <f t="shared" si="2"/>
        <v>HRL20091</v>
      </c>
      <c r="E149" s="2">
        <v>39834</v>
      </c>
      <c r="F149" s="3">
        <v>0.19</v>
      </c>
      <c r="G149" s="2">
        <v>39859</v>
      </c>
      <c r="H149" s="3">
        <v>1.21E-2</v>
      </c>
      <c r="I149" s="3">
        <v>2.7027026999999999E-2</v>
      </c>
      <c r="J149" s="3">
        <v>5.0000000000000001E-3</v>
      </c>
      <c r="K149" s="3">
        <f t="shared" si="3"/>
        <v>0</v>
      </c>
      <c r="L149" s="3">
        <f t="shared" si="4"/>
        <v>2009</v>
      </c>
      <c r="M149" s="20" t="str">
        <f>A149&amp;L149</f>
        <v>HRL2009</v>
      </c>
      <c r="N149" s="3">
        <f>F149/4</f>
        <v>4.7500000000000001E-2</v>
      </c>
      <c r="O149" s="9">
        <f>H149</f>
        <v>1.21E-2</v>
      </c>
      <c r="P149" s="10">
        <f t="shared" si="5"/>
        <v>1.035E-2</v>
      </c>
      <c r="Q149" s="10">
        <f>IF(K149=0,IF(A146=A149,AVERAGE(O146:O149),"x"),0)</f>
        <v>1.1349999999999999E-2</v>
      </c>
      <c r="R149" s="9">
        <f>IF(L149&gt;2005,AVERAGE(O146:O165),0)</f>
        <v>8.8749999999999975E-3</v>
      </c>
      <c r="S149" s="10">
        <f>IF(A149=A150,(N149-N150)/N150,0)</f>
        <v>2.7027027027027053E-2</v>
      </c>
      <c r="T149" s="10">
        <f>IF(L149&gt;2005,(((N149-N169)/N169)+1)^(1/5)-1,0)</f>
        <v>0.11050422629436896</v>
      </c>
      <c r="U149" s="10">
        <f t="shared" si="6"/>
        <v>0.11937922629436895</v>
      </c>
      <c r="V149" s="26">
        <f t="shared" si="7"/>
        <v>4.8823222463360452</v>
      </c>
      <c r="W149" s="3">
        <f>IF(A149=A150,N149-N150,0)</f>
        <v>1.2500000000000011E-3</v>
      </c>
      <c r="X149" s="10">
        <f>IF(A149=A150,(N149-N150)/N150,0)</f>
        <v>2.7027027027027053E-2</v>
      </c>
    </row>
    <row r="150" spans="1:24" ht="16.5" customHeight="1">
      <c r="A150" s="3" t="s">
        <v>25</v>
      </c>
      <c r="B150" s="3">
        <f t="shared" si="0"/>
        <v>2008</v>
      </c>
      <c r="C150" s="3">
        <f t="shared" si="1"/>
        <v>10</v>
      </c>
      <c r="D150" s="20" t="str">
        <f t="shared" si="2"/>
        <v>HRL200810</v>
      </c>
      <c r="E150" s="2">
        <v>39736</v>
      </c>
      <c r="F150" s="3">
        <v>0.185</v>
      </c>
      <c r="G150" s="2">
        <v>39767</v>
      </c>
      <c r="H150" s="3">
        <v>1.09E-2</v>
      </c>
      <c r="I150" s="3">
        <v>0</v>
      </c>
      <c r="J150" s="3">
        <v>0</v>
      </c>
      <c r="K150" s="3">
        <f t="shared" si="3"/>
        <v>2008</v>
      </c>
      <c r="L150" s="3">
        <f t="shared" si="4"/>
        <v>0</v>
      </c>
      <c r="M150" s="20" t="str">
        <f>A150&amp;L150</f>
        <v>HRL0</v>
      </c>
      <c r="N150" s="3">
        <f>F150/4</f>
        <v>4.6249999999999999E-2</v>
      </c>
      <c r="O150" s="9">
        <f>H150</f>
        <v>1.09E-2</v>
      </c>
      <c r="P150" s="10">
        <f t="shared" si="5"/>
        <v>0</v>
      </c>
      <c r="Q150" s="10">
        <f>IF(K150=0,IF(A147=A150,AVERAGE(O147:O150),"x"),0)</f>
        <v>0</v>
      </c>
      <c r="R150" s="9">
        <f>IF(L150&gt;2005,AVERAGE(O147:O166),0)</f>
        <v>0</v>
      </c>
      <c r="S150" s="10">
        <f>IF(A150=A151,(N150-N151)/N151,0)</f>
        <v>0</v>
      </c>
      <c r="T150" s="10">
        <f>IF(L150&gt;2005,(((N150-N170)/N170)+1)^(1/5)-1,0)</f>
        <v>0</v>
      </c>
      <c r="U150" s="10">
        <f t="shared" si="6"/>
        <v>0</v>
      </c>
      <c r="V150" s="26">
        <f t="shared" si="7"/>
        <v>0</v>
      </c>
      <c r="W150" s="3">
        <f>IF(A150=A151,N150-N151,0)</f>
        <v>0</v>
      </c>
      <c r="X150" s="10">
        <f>IF(A150=A151,(N150-N151)/N151,0)</f>
        <v>0</v>
      </c>
    </row>
    <row r="151" spans="1:24" ht="16.5" customHeight="1">
      <c r="A151" s="3" t="s">
        <v>25</v>
      </c>
      <c r="B151" s="3">
        <f t="shared" si="0"/>
        <v>2008</v>
      </c>
      <c r="C151" s="3">
        <f t="shared" si="1"/>
        <v>7</v>
      </c>
      <c r="D151" s="20" t="str">
        <f t="shared" si="2"/>
        <v>HRL20087</v>
      </c>
      <c r="E151" s="2">
        <v>39645</v>
      </c>
      <c r="F151" s="3">
        <v>0.185</v>
      </c>
      <c r="G151" s="2">
        <v>39675</v>
      </c>
      <c r="H151" s="3">
        <v>0.01</v>
      </c>
      <c r="I151" s="3">
        <v>0</v>
      </c>
      <c r="J151" s="3">
        <v>0</v>
      </c>
      <c r="K151" s="3">
        <f t="shared" si="3"/>
        <v>2008</v>
      </c>
      <c r="L151" s="3">
        <f t="shared" si="4"/>
        <v>0</v>
      </c>
      <c r="M151" s="20" t="str">
        <f>A151&amp;L151</f>
        <v>HRL0</v>
      </c>
      <c r="N151" s="3">
        <f>F151/4</f>
        <v>4.6249999999999999E-2</v>
      </c>
      <c r="O151" s="9">
        <f>H151</f>
        <v>0.01</v>
      </c>
      <c r="P151" s="10">
        <f t="shared" si="5"/>
        <v>0</v>
      </c>
      <c r="Q151" s="10">
        <f>IF(K151=0,IF(A148=A151,AVERAGE(O148:O151),"x"),0)</f>
        <v>0</v>
      </c>
      <c r="R151" s="9">
        <f>IF(L151&gt;2005,AVERAGE(O148:O167),0)</f>
        <v>0</v>
      </c>
      <c r="S151" s="10">
        <f>IF(A151=A152,(N151-N152)/N152,0)</f>
        <v>0</v>
      </c>
      <c r="T151" s="10">
        <f>IF(L151&gt;2005,(((N151-N171)/N171)+1)^(1/5)-1,0)</f>
        <v>0</v>
      </c>
      <c r="U151" s="10">
        <f t="shared" si="6"/>
        <v>0</v>
      </c>
      <c r="V151" s="26">
        <f t="shared" si="7"/>
        <v>0</v>
      </c>
      <c r="W151" s="3">
        <f>IF(A151=A152,N151-N152,0)</f>
        <v>0</v>
      </c>
      <c r="X151" s="10">
        <f>IF(A151=A152,(N151-N152)/N152,0)</f>
        <v>0</v>
      </c>
    </row>
    <row r="152" spans="1:24" ht="16.5" customHeight="1">
      <c r="A152" s="3" t="s">
        <v>25</v>
      </c>
      <c r="B152" s="3">
        <f t="shared" si="0"/>
        <v>2008</v>
      </c>
      <c r="C152" s="3">
        <f t="shared" si="1"/>
        <v>4</v>
      </c>
      <c r="D152" s="20" t="str">
        <f t="shared" si="2"/>
        <v>HRL20084</v>
      </c>
      <c r="E152" s="2">
        <v>39554</v>
      </c>
      <c r="F152" s="3">
        <v>0.185</v>
      </c>
      <c r="G152" s="2">
        <v>39583</v>
      </c>
      <c r="H152" s="3">
        <v>8.3999999999999995E-3</v>
      </c>
      <c r="I152" s="3">
        <v>0</v>
      </c>
      <c r="J152" s="3">
        <v>0</v>
      </c>
      <c r="K152" s="3">
        <f t="shared" si="3"/>
        <v>2008</v>
      </c>
      <c r="L152" s="3">
        <f t="shared" si="4"/>
        <v>0</v>
      </c>
      <c r="M152" s="20" t="str">
        <f>A152&amp;L152</f>
        <v>HRL0</v>
      </c>
      <c r="N152" s="3">
        <f>F152/4</f>
        <v>4.6249999999999999E-2</v>
      </c>
      <c r="O152" s="9">
        <f>H152</f>
        <v>8.3999999999999995E-3</v>
      </c>
      <c r="P152" s="10">
        <f t="shared" si="5"/>
        <v>0</v>
      </c>
      <c r="Q152" s="10">
        <f>IF(K152=0,IF(A149=A152,AVERAGE(O149:O152),"x"),0)</f>
        <v>0</v>
      </c>
      <c r="R152" s="9">
        <f>IF(L152&gt;2005,AVERAGE(O149:O168),0)</f>
        <v>0</v>
      </c>
      <c r="S152" s="10">
        <f>IF(A152=A153,(N152-N153)/N153,0)</f>
        <v>0</v>
      </c>
      <c r="T152" s="10">
        <f>IF(L152&gt;2005,(((N152-N172)/N172)+1)^(1/5)-1,0)</f>
        <v>0</v>
      </c>
      <c r="U152" s="10">
        <f t="shared" si="6"/>
        <v>0</v>
      </c>
      <c r="V152" s="26">
        <f t="shared" si="7"/>
        <v>0</v>
      </c>
      <c r="W152" s="3">
        <f>IF(A152=A153,N152-N153,0)</f>
        <v>0</v>
      </c>
      <c r="X152" s="10">
        <f>IF(A152=A153,(N152-N153)/N153,0)</f>
        <v>0</v>
      </c>
    </row>
    <row r="153" spans="1:24" ht="16.5" customHeight="1">
      <c r="A153" s="3" t="s">
        <v>25</v>
      </c>
      <c r="B153" s="3">
        <f t="shared" si="0"/>
        <v>2008</v>
      </c>
      <c r="C153" s="3">
        <f t="shared" si="1"/>
        <v>1</v>
      </c>
      <c r="D153" s="20" t="str">
        <f t="shared" si="2"/>
        <v>HRL20081</v>
      </c>
      <c r="E153" s="2">
        <v>39463</v>
      </c>
      <c r="F153" s="3">
        <v>0.185</v>
      </c>
      <c r="G153" s="2">
        <v>39493</v>
      </c>
      <c r="H153" s="3">
        <v>8.0000000000000002E-3</v>
      </c>
      <c r="I153" s="3">
        <v>0.233333333</v>
      </c>
      <c r="J153" s="3">
        <v>3.5000000000000003E-2</v>
      </c>
      <c r="K153" s="3">
        <f t="shared" si="3"/>
        <v>0</v>
      </c>
      <c r="L153" s="3">
        <f t="shared" si="4"/>
        <v>2008</v>
      </c>
      <c r="M153" s="20" t="str">
        <f>A153&amp;L153</f>
        <v>HRL2008</v>
      </c>
      <c r="N153" s="3">
        <f>F153/4</f>
        <v>4.6249999999999999E-2</v>
      </c>
      <c r="O153" s="9">
        <f>H153</f>
        <v>8.0000000000000002E-3</v>
      </c>
      <c r="P153" s="10">
        <f t="shared" si="5"/>
        <v>7.9749999999999995E-3</v>
      </c>
      <c r="Q153" s="10">
        <f>IF(K153=0,IF(A150=A153,AVERAGE(O150:O153),"x"),0)</f>
        <v>9.325E-3</v>
      </c>
      <c r="R153" s="9">
        <f>IF(L153&gt;2005,AVERAGE(O150:O169),0)</f>
        <v>8.1700000000000002E-3</v>
      </c>
      <c r="S153" s="10">
        <f>IF(A153=A154,(N153-N154)/N154,0)</f>
        <v>0.23333333333333336</v>
      </c>
      <c r="T153" s="10">
        <f>IF(L153&gt;2005,(((N153-N173)/N173)+1)^(1/5)-1,0)</f>
        <v>0.11994446021554528</v>
      </c>
      <c r="U153" s="10">
        <f t="shared" si="6"/>
        <v>0.12811446021554529</v>
      </c>
      <c r="V153" s="26">
        <f t="shared" si="7"/>
        <v>4.8924107063066495</v>
      </c>
      <c r="W153" s="3">
        <f>IF(A153=A154,N153-N154,0)</f>
        <v>8.7500000000000008E-3</v>
      </c>
      <c r="X153" s="10">
        <f>IF(A153=A154,(N153-N154)/N154,0)</f>
        <v>0.23333333333333336</v>
      </c>
    </row>
    <row r="154" spans="1:24" ht="16.5" customHeight="1">
      <c r="A154" s="3" t="s">
        <v>25</v>
      </c>
      <c r="B154" s="3">
        <f t="shared" si="0"/>
        <v>2007</v>
      </c>
      <c r="C154" s="3">
        <f t="shared" si="1"/>
        <v>10</v>
      </c>
      <c r="D154" s="20" t="str">
        <f t="shared" si="2"/>
        <v>HRL200710</v>
      </c>
      <c r="E154" s="2">
        <v>39372</v>
      </c>
      <c r="F154" s="3">
        <v>0.15</v>
      </c>
      <c r="G154" s="2">
        <v>39401</v>
      </c>
      <c r="H154" s="3">
        <v>8.2000000000000007E-3</v>
      </c>
      <c r="I154" s="3">
        <v>0</v>
      </c>
      <c r="J154" s="3">
        <v>0</v>
      </c>
      <c r="K154" s="3">
        <f t="shared" si="3"/>
        <v>2007</v>
      </c>
      <c r="L154" s="3">
        <f t="shared" si="4"/>
        <v>0</v>
      </c>
      <c r="M154" s="20" t="str">
        <f>A154&amp;L154</f>
        <v>HRL0</v>
      </c>
      <c r="N154" s="3">
        <f>F154/4</f>
        <v>3.7499999999999999E-2</v>
      </c>
      <c r="O154" s="9">
        <f>H154</f>
        <v>8.2000000000000007E-3</v>
      </c>
      <c r="P154" s="10">
        <f t="shared" si="5"/>
        <v>0</v>
      </c>
      <c r="Q154" s="10">
        <f>IF(K154=0,IF(A151=A154,AVERAGE(O151:O154),"x"),0)</f>
        <v>0</v>
      </c>
      <c r="R154" s="9">
        <f>IF(L154&gt;2005,AVERAGE(O151:O170),0)</f>
        <v>0</v>
      </c>
      <c r="S154" s="10">
        <f>IF(A154=A155,(N154-N155)/N155,0)</f>
        <v>0</v>
      </c>
      <c r="T154" s="10">
        <f>IF(L154&gt;2005,(((N154-N174)/N174)+1)^(1/5)-1,0)</f>
        <v>0</v>
      </c>
      <c r="U154" s="10">
        <f t="shared" si="6"/>
        <v>0</v>
      </c>
      <c r="V154" s="26">
        <f t="shared" si="7"/>
        <v>0</v>
      </c>
      <c r="W154" s="3">
        <f>IF(A154=A155,N154-N155,0)</f>
        <v>0</v>
      </c>
      <c r="X154" s="10">
        <f>IF(A154=A155,(N154-N155)/N155,0)</f>
        <v>0</v>
      </c>
    </row>
    <row r="155" spans="1:24" ht="16.5" customHeight="1">
      <c r="A155" s="3" t="s">
        <v>25</v>
      </c>
      <c r="B155" s="3">
        <f t="shared" si="0"/>
        <v>2007</v>
      </c>
      <c r="C155" s="3">
        <f t="shared" si="1"/>
        <v>7</v>
      </c>
      <c r="D155" s="20" t="str">
        <f t="shared" si="2"/>
        <v>HRL20077</v>
      </c>
      <c r="E155" s="2">
        <v>39281</v>
      </c>
      <c r="F155" s="3">
        <v>0.15</v>
      </c>
      <c r="G155" s="2">
        <v>39309</v>
      </c>
      <c r="H155" s="3">
        <v>8.0000000000000002E-3</v>
      </c>
      <c r="I155" s="3">
        <v>0</v>
      </c>
      <c r="J155" s="3">
        <v>0</v>
      </c>
      <c r="K155" s="3">
        <f t="shared" si="3"/>
        <v>2007</v>
      </c>
      <c r="L155" s="3">
        <f t="shared" si="4"/>
        <v>0</v>
      </c>
      <c r="M155" s="20" t="str">
        <f>A155&amp;L155</f>
        <v>HRL0</v>
      </c>
      <c r="N155" s="3">
        <f>F155/4</f>
        <v>3.7499999999999999E-2</v>
      </c>
      <c r="O155" s="9">
        <f>H155</f>
        <v>8.0000000000000002E-3</v>
      </c>
      <c r="P155" s="10">
        <f t="shared" si="5"/>
        <v>0</v>
      </c>
      <c r="Q155" s="10">
        <f>IF(K155=0,IF(A152=A155,AVERAGE(O152:O155),"x"),0)</f>
        <v>0</v>
      </c>
      <c r="R155" s="9">
        <f>IF(L155&gt;2005,AVERAGE(O152:O171),0)</f>
        <v>0</v>
      </c>
      <c r="S155" s="10">
        <f>IF(A155=A156,(N155-N156)/N156,0)</f>
        <v>0</v>
      </c>
      <c r="T155" s="10">
        <f>IF(L155&gt;2005,(((N155-N175)/N175)+1)^(1/5)-1,0)</f>
        <v>0</v>
      </c>
      <c r="U155" s="10">
        <f t="shared" si="6"/>
        <v>0</v>
      </c>
      <c r="V155" s="26">
        <f t="shared" si="7"/>
        <v>0</v>
      </c>
      <c r="W155" s="3">
        <f>IF(A155=A156,N155-N156,0)</f>
        <v>0</v>
      </c>
      <c r="X155" s="10">
        <f>IF(A155=A156,(N155-N156)/N156,0)</f>
        <v>0</v>
      </c>
    </row>
    <row r="156" spans="1:24" ht="16.5" customHeight="1">
      <c r="A156" s="3" t="s">
        <v>25</v>
      </c>
      <c r="B156" s="3">
        <f t="shared" si="0"/>
        <v>2007</v>
      </c>
      <c r="C156" s="3">
        <f t="shared" si="1"/>
        <v>4</v>
      </c>
      <c r="D156" s="20" t="str">
        <f t="shared" si="2"/>
        <v>HRL20074</v>
      </c>
      <c r="E156" s="2">
        <v>39190</v>
      </c>
      <c r="F156" s="3">
        <v>0.15</v>
      </c>
      <c r="G156" s="2">
        <v>39217</v>
      </c>
      <c r="H156" s="3">
        <v>7.7000000000000002E-3</v>
      </c>
      <c r="I156" s="3">
        <v>0</v>
      </c>
      <c r="J156" s="3">
        <v>0</v>
      </c>
      <c r="K156" s="3">
        <f t="shared" si="3"/>
        <v>2007</v>
      </c>
      <c r="L156" s="3">
        <f t="shared" si="4"/>
        <v>0</v>
      </c>
      <c r="M156" s="20" t="str">
        <f>A156&amp;L156</f>
        <v>HRL0</v>
      </c>
      <c r="N156" s="3">
        <f>F156/4</f>
        <v>3.7499999999999999E-2</v>
      </c>
      <c r="O156" s="9">
        <f>H156</f>
        <v>7.7000000000000002E-3</v>
      </c>
      <c r="P156" s="10">
        <f t="shared" si="5"/>
        <v>0</v>
      </c>
      <c r="Q156" s="10">
        <f>IF(K156=0,IF(A153=A156,AVERAGE(O153:O156),"x"),0)</f>
        <v>0</v>
      </c>
      <c r="R156" s="9">
        <f>IF(L156&gt;2005,AVERAGE(O153:O172),0)</f>
        <v>0</v>
      </c>
      <c r="S156" s="10">
        <f>IF(A156=A157,(N156-N157)/N157,0)</f>
        <v>0</v>
      </c>
      <c r="T156" s="10">
        <f>IF(L156&gt;2005,(((N156-N176)/N176)+1)^(1/5)-1,0)</f>
        <v>0</v>
      </c>
      <c r="U156" s="10">
        <f t="shared" si="6"/>
        <v>0</v>
      </c>
      <c r="V156" s="26">
        <f t="shared" si="7"/>
        <v>0</v>
      </c>
      <c r="W156" s="3">
        <f>IF(A156=A157,N156-N157,0)</f>
        <v>0</v>
      </c>
      <c r="X156" s="10">
        <f>IF(A156=A157,(N156-N157)/N157,0)</f>
        <v>0</v>
      </c>
    </row>
    <row r="157" spans="1:24" ht="16.5" customHeight="1">
      <c r="A157" s="3" t="s">
        <v>25</v>
      </c>
      <c r="B157" s="3">
        <f t="shared" si="0"/>
        <v>2007</v>
      </c>
      <c r="C157" s="3">
        <f t="shared" si="1"/>
        <v>1</v>
      </c>
      <c r="D157" s="20" t="str">
        <f t="shared" si="2"/>
        <v>HRL20071</v>
      </c>
      <c r="E157" s="2">
        <v>39099</v>
      </c>
      <c r="F157" s="3">
        <v>0.15</v>
      </c>
      <c r="G157" s="2">
        <v>39128</v>
      </c>
      <c r="H157" s="3">
        <v>7.6E-3</v>
      </c>
      <c r="I157" s="3">
        <v>7.1428570999999996E-2</v>
      </c>
      <c r="J157" s="3">
        <v>0.01</v>
      </c>
      <c r="K157" s="3">
        <f t="shared" si="3"/>
        <v>0</v>
      </c>
      <c r="L157" s="3">
        <f t="shared" si="4"/>
        <v>2007</v>
      </c>
      <c r="M157" s="20" t="str">
        <f>A157&amp;L157</f>
        <v>HRL2007</v>
      </c>
      <c r="N157" s="3">
        <f>F157/4</f>
        <v>3.7499999999999999E-2</v>
      </c>
      <c r="O157" s="9">
        <f>H157</f>
        <v>7.6E-3</v>
      </c>
      <c r="P157" s="10">
        <f t="shared" si="5"/>
        <v>7.7000000000000002E-3</v>
      </c>
      <c r="Q157" s="10">
        <f>IF(K157=0,IF(A154=A157,AVERAGE(O154:O157),"x"),0)</f>
        <v>7.8750000000000001E-3</v>
      </c>
      <c r="R157" s="9">
        <f>IF(L157&gt;2005,AVERAGE(O154:O173),0)</f>
        <v>8.0549999999999979E-3</v>
      </c>
      <c r="S157" s="10">
        <f>IF(A157=A158,(N157-N158)/N158,0)</f>
        <v>7.1428571428571286E-2</v>
      </c>
      <c r="T157" s="10">
        <f>IF(L157&gt;2005,(((N157-N177)/N177)+1)^(1/5)-1,0)</f>
        <v>8.9976987048345336E-2</v>
      </c>
      <c r="U157" s="10">
        <f t="shared" si="6"/>
        <v>9.8031987048345329E-2</v>
      </c>
      <c r="V157" s="26">
        <f t="shared" si="7"/>
        <v>4.8910326121793091</v>
      </c>
      <c r="W157" s="3">
        <f>IF(A157=A158,N157-N158,0)</f>
        <v>2.4999999999999953E-3</v>
      </c>
      <c r="X157" s="10">
        <f>IF(A157=A158,(N157-N158)/N158,0)</f>
        <v>7.1428571428571286E-2</v>
      </c>
    </row>
    <row r="158" spans="1:24" ht="16.5" customHeight="1">
      <c r="A158" s="3" t="s">
        <v>25</v>
      </c>
      <c r="B158" s="3">
        <f t="shared" si="0"/>
        <v>2006</v>
      </c>
      <c r="C158" s="3">
        <f t="shared" si="1"/>
        <v>10</v>
      </c>
      <c r="D158" s="20" t="str">
        <f t="shared" si="2"/>
        <v>HRL200610</v>
      </c>
      <c r="E158" s="2">
        <v>39008</v>
      </c>
      <c r="F158" s="3">
        <v>0.14000000000000001</v>
      </c>
      <c r="G158" s="2">
        <v>39036</v>
      </c>
      <c r="H158" s="3">
        <v>7.7999999999999996E-3</v>
      </c>
      <c r="I158" s="3">
        <v>0</v>
      </c>
      <c r="J158" s="3">
        <v>0</v>
      </c>
      <c r="K158" s="3">
        <f t="shared" si="3"/>
        <v>2006</v>
      </c>
      <c r="L158" s="3">
        <f t="shared" si="4"/>
        <v>0</v>
      </c>
      <c r="M158" s="20" t="str">
        <f>A158&amp;L158</f>
        <v>HRL0</v>
      </c>
      <c r="N158" s="3">
        <f>F158/4</f>
        <v>3.5000000000000003E-2</v>
      </c>
      <c r="O158" s="9">
        <f>H158</f>
        <v>7.7999999999999996E-3</v>
      </c>
      <c r="P158" s="10">
        <f t="shared" si="5"/>
        <v>0</v>
      </c>
      <c r="Q158" s="10">
        <f>IF(K158=0,IF(A155=A158,AVERAGE(O155:O158),"x"),0)</f>
        <v>0</v>
      </c>
      <c r="R158" s="9">
        <f>IF(L158&gt;2005,AVERAGE(O155:O174),0)</f>
        <v>0</v>
      </c>
      <c r="S158" s="10">
        <f>IF(A158=A159,(N158-N159)/N159,0)</f>
        <v>0</v>
      </c>
      <c r="T158" s="10">
        <f>IF(L158&gt;2005,(((N158-N178)/N178)+1)^(1/5)-1,0)</f>
        <v>0</v>
      </c>
      <c r="U158" s="10">
        <f t="shared" si="6"/>
        <v>0</v>
      </c>
      <c r="V158" s="26">
        <f t="shared" si="7"/>
        <v>0</v>
      </c>
      <c r="W158" s="3">
        <f>IF(A158=A159,N158-N159,0)</f>
        <v>0</v>
      </c>
      <c r="X158" s="10">
        <f>IF(A158=A159,(N158-N159)/N159,0)</f>
        <v>0</v>
      </c>
    </row>
    <row r="159" spans="1:24" ht="16.5" customHeight="1">
      <c r="A159" s="3" t="s">
        <v>25</v>
      </c>
      <c r="B159" s="3">
        <f t="shared" si="0"/>
        <v>2006</v>
      </c>
      <c r="C159" s="3">
        <f t="shared" si="1"/>
        <v>7</v>
      </c>
      <c r="D159" s="20" t="str">
        <f t="shared" si="2"/>
        <v>HRL20067</v>
      </c>
      <c r="E159" s="2">
        <v>38917</v>
      </c>
      <c r="F159" s="3">
        <v>0.14000000000000001</v>
      </c>
      <c r="G159" s="2">
        <v>38944</v>
      </c>
      <c r="H159" s="3">
        <v>7.4999999999999997E-3</v>
      </c>
      <c r="I159" s="3">
        <v>0</v>
      </c>
      <c r="J159" s="3">
        <v>0</v>
      </c>
      <c r="K159" s="3">
        <f t="shared" si="3"/>
        <v>2006</v>
      </c>
      <c r="L159" s="3">
        <f t="shared" si="4"/>
        <v>0</v>
      </c>
      <c r="M159" s="20" t="str">
        <f>A159&amp;L159</f>
        <v>HRL0</v>
      </c>
      <c r="N159" s="3">
        <f>F159/4</f>
        <v>3.5000000000000003E-2</v>
      </c>
      <c r="O159" s="9">
        <f>H159</f>
        <v>7.4999999999999997E-3</v>
      </c>
      <c r="P159" s="10">
        <f t="shared" si="5"/>
        <v>0</v>
      </c>
      <c r="Q159" s="10">
        <f>IF(K159=0,IF(A156=A159,AVERAGE(O156:O159),"x"),0)</f>
        <v>0</v>
      </c>
      <c r="R159" s="9">
        <f>IF(L159&gt;2005,AVERAGE(O156:O175),0)</f>
        <v>0</v>
      </c>
      <c r="S159" s="10">
        <f>IF(A159=A160,(N159-N160)/N160,0)</f>
        <v>0</v>
      </c>
      <c r="T159" s="10">
        <f>IF(L159&gt;2005,(((N159-N179)/N179)+1)^(1/5)-1,0)</f>
        <v>0</v>
      </c>
      <c r="U159" s="10">
        <f t="shared" si="6"/>
        <v>0</v>
      </c>
      <c r="V159" s="26">
        <f t="shared" si="7"/>
        <v>0</v>
      </c>
      <c r="W159" s="3">
        <f>IF(A159=A160,N159-N160,0)</f>
        <v>0</v>
      </c>
      <c r="X159" s="10">
        <f>IF(A159=A160,(N159-N160)/N160,0)</f>
        <v>0</v>
      </c>
    </row>
    <row r="160" spans="1:24" ht="16.5" customHeight="1">
      <c r="A160" s="3" t="s">
        <v>25</v>
      </c>
      <c r="B160" s="3">
        <f t="shared" si="0"/>
        <v>2006</v>
      </c>
      <c r="C160" s="3">
        <f t="shared" si="1"/>
        <v>4</v>
      </c>
      <c r="D160" s="20" t="str">
        <f t="shared" si="2"/>
        <v>HRL20064</v>
      </c>
      <c r="E160" s="2">
        <v>38826</v>
      </c>
      <c r="F160" s="3">
        <v>0.14000000000000001</v>
      </c>
      <c r="G160" s="2">
        <v>38852</v>
      </c>
      <c r="H160" s="3">
        <v>7.9000000000000008E-3</v>
      </c>
      <c r="I160" s="3">
        <v>0</v>
      </c>
      <c r="J160" s="3">
        <v>0</v>
      </c>
      <c r="K160" s="3">
        <f t="shared" si="3"/>
        <v>2006</v>
      </c>
      <c r="L160" s="3">
        <f t="shared" si="4"/>
        <v>0</v>
      </c>
      <c r="M160" s="20" t="str">
        <f>A160&amp;L160</f>
        <v>HRL0</v>
      </c>
      <c r="N160" s="3">
        <f>F160/4</f>
        <v>3.5000000000000003E-2</v>
      </c>
      <c r="O160" s="9">
        <f>H160</f>
        <v>7.9000000000000008E-3</v>
      </c>
      <c r="P160" s="10">
        <f t="shared" si="5"/>
        <v>0</v>
      </c>
      <c r="Q160" s="10">
        <f>IF(K160=0,IF(A157=A160,AVERAGE(O157:O160),"x"),0)</f>
        <v>0</v>
      </c>
      <c r="R160" s="9">
        <f>IF(L160&gt;2005,AVERAGE(O157:O176),0)</f>
        <v>0</v>
      </c>
      <c r="S160" s="10">
        <f>IF(A160=A161,(N160-N161)/N161,0)</f>
        <v>0</v>
      </c>
      <c r="T160" s="10">
        <f>IF(L160&gt;2005,(((N160-N180)/N180)+1)^(1/5)-1,0)</f>
        <v>0</v>
      </c>
      <c r="U160" s="10">
        <f t="shared" si="6"/>
        <v>0</v>
      </c>
      <c r="V160" s="26">
        <f t="shared" si="7"/>
        <v>0</v>
      </c>
      <c r="W160" s="3">
        <f>IF(A160=A161,N160-N161,0)</f>
        <v>0</v>
      </c>
      <c r="X160" s="10">
        <f>IF(A160=A161,(N160-N161)/N161,0)</f>
        <v>0</v>
      </c>
    </row>
    <row r="161" spans="1:24" ht="16.5" customHeight="1">
      <c r="A161" s="3" t="s">
        <v>25</v>
      </c>
      <c r="B161" s="3">
        <f t="shared" si="0"/>
        <v>2006</v>
      </c>
      <c r="C161" s="3">
        <f t="shared" si="1"/>
        <v>1</v>
      </c>
      <c r="D161" s="20" t="str">
        <f t="shared" si="2"/>
        <v>HRL20061</v>
      </c>
      <c r="E161" s="2">
        <v>38735</v>
      </c>
      <c r="F161" s="3">
        <v>0.14000000000000001</v>
      </c>
      <c r="G161" s="2">
        <v>38763</v>
      </c>
      <c r="H161" s="3">
        <v>7.9000000000000008E-3</v>
      </c>
      <c r="I161" s="3">
        <v>7.6923077000000006E-2</v>
      </c>
      <c r="J161" s="3">
        <v>0.01</v>
      </c>
      <c r="K161" s="3">
        <f t="shared" si="3"/>
        <v>0</v>
      </c>
      <c r="L161" s="3">
        <f t="shared" si="4"/>
        <v>2006</v>
      </c>
      <c r="M161" s="20" t="str">
        <f>A161&amp;L161</f>
        <v>HRL2006</v>
      </c>
      <c r="N161" s="3">
        <f>F161/4</f>
        <v>3.5000000000000003E-2</v>
      </c>
      <c r="O161" s="9">
        <f>H161</f>
        <v>7.9000000000000008E-3</v>
      </c>
      <c r="P161" s="10">
        <f t="shared" si="5"/>
        <v>8.1250000000000003E-3</v>
      </c>
      <c r="Q161" s="10">
        <f>IF(K161=0,IF(A158=A161,AVERAGE(O158:O161),"x"),0)</f>
        <v>7.7749999999999998E-3</v>
      </c>
      <c r="R161" s="9">
        <f>IF(L161&gt;2005,AVERAGE(O158:O177),0)</f>
        <v>8.0299999999999989E-3</v>
      </c>
      <c r="S161" s="10">
        <f>IF(A161=A162,(N161-N162)/N162,0)</f>
        <v>7.6923076923076983E-2</v>
      </c>
      <c r="T161" s="10">
        <f>IF(L161&gt;2005,(((N161-N181)/N181)+1)^(1/5)-1,0)</f>
        <v>8.6418770759613572E-2</v>
      </c>
      <c r="U161" s="10">
        <f t="shared" si="6"/>
        <v>9.4448770759613568E-2</v>
      </c>
      <c r="V161" s="26">
        <f t="shared" si="7"/>
        <v>4.8910153296062315</v>
      </c>
      <c r="W161" s="3">
        <f>IF(A161=A162,N161-N162,0)</f>
        <v>2.5000000000000022E-3</v>
      </c>
      <c r="X161" s="10">
        <f>IF(A161=A162,(N161-N162)/N162,0)</f>
        <v>7.6923076923076983E-2</v>
      </c>
    </row>
    <row r="162" spans="1:24" ht="16.5" customHeight="1">
      <c r="A162" s="3" t="s">
        <v>25</v>
      </c>
      <c r="B162" s="3">
        <f t="shared" si="0"/>
        <v>2005</v>
      </c>
      <c r="C162" s="3">
        <f t="shared" si="1"/>
        <v>10</v>
      </c>
      <c r="D162" s="20" t="str">
        <f t="shared" si="2"/>
        <v>HRL200510</v>
      </c>
      <c r="E162" s="2">
        <v>38644</v>
      </c>
      <c r="F162" s="3">
        <v>0.13</v>
      </c>
      <c r="G162" s="2">
        <v>38671</v>
      </c>
      <c r="H162" s="3">
        <v>8.0999999999999996E-3</v>
      </c>
      <c r="I162" s="3">
        <v>0</v>
      </c>
      <c r="J162" s="3">
        <v>0</v>
      </c>
      <c r="K162" s="3">
        <f t="shared" si="3"/>
        <v>2005</v>
      </c>
      <c r="L162" s="3">
        <f t="shared" si="4"/>
        <v>0</v>
      </c>
      <c r="M162" s="20" t="str">
        <f>A162&amp;L162</f>
        <v>HRL0</v>
      </c>
      <c r="N162" s="3">
        <f>F162/4</f>
        <v>3.2500000000000001E-2</v>
      </c>
      <c r="O162" s="9">
        <f>H162</f>
        <v>8.0999999999999996E-3</v>
      </c>
      <c r="P162" s="10">
        <f t="shared" si="5"/>
        <v>0</v>
      </c>
      <c r="Q162" s="10">
        <f>IF(K162=0,IF(A159=A162,AVERAGE(O159:O162),"x"),0)</f>
        <v>0</v>
      </c>
      <c r="R162" s="9">
        <f>IF(L162&gt;2005,AVERAGE(O159:O178),0)</f>
        <v>0</v>
      </c>
      <c r="S162" s="10">
        <f>IF(A162=A163,(N162-N163)/N163,0)</f>
        <v>0</v>
      </c>
      <c r="T162" s="10">
        <f>IF(L162&gt;2005,(((N162-N182)/N182)+1)^(1/5)-1,0)</f>
        <v>0</v>
      </c>
      <c r="U162" s="10">
        <f t="shared" si="6"/>
        <v>0</v>
      </c>
      <c r="V162" s="26">
        <f t="shared" si="7"/>
        <v>0</v>
      </c>
      <c r="W162" s="3">
        <f>IF(A162=A163,N162-N163,0)</f>
        <v>0</v>
      </c>
      <c r="X162" s="10">
        <f>IF(A162=A163,(N162-N163)/N163,0)</f>
        <v>0</v>
      </c>
    </row>
    <row r="163" spans="1:24" ht="16.5" customHeight="1">
      <c r="A163" s="3" t="s">
        <v>25</v>
      </c>
      <c r="B163" s="3">
        <f t="shared" si="0"/>
        <v>2005</v>
      </c>
      <c r="C163" s="3">
        <f t="shared" si="1"/>
        <v>7</v>
      </c>
      <c r="D163" s="20" t="str">
        <f t="shared" si="2"/>
        <v>HRL20057</v>
      </c>
      <c r="E163" s="2">
        <v>38553</v>
      </c>
      <c r="F163" s="3">
        <v>0.13</v>
      </c>
      <c r="G163" s="2">
        <v>38579</v>
      </c>
      <c r="H163" s="3">
        <v>8.3000000000000001E-3</v>
      </c>
      <c r="I163" s="3">
        <v>0</v>
      </c>
      <c r="J163" s="3">
        <v>0</v>
      </c>
      <c r="K163" s="3">
        <f t="shared" si="3"/>
        <v>2005</v>
      </c>
      <c r="L163" s="3">
        <f t="shared" si="4"/>
        <v>0</v>
      </c>
      <c r="M163" s="20" t="str">
        <f>A163&amp;L163</f>
        <v>HRL0</v>
      </c>
      <c r="N163" s="3">
        <f>F163/4</f>
        <v>3.2500000000000001E-2</v>
      </c>
      <c r="O163" s="9">
        <f>H163</f>
        <v>8.3000000000000001E-3</v>
      </c>
      <c r="P163" s="10">
        <f t="shared" si="5"/>
        <v>0</v>
      </c>
      <c r="Q163" s="10">
        <f>IF(K163=0,IF(A160=A163,AVERAGE(O160:O163),"x"),0)</f>
        <v>0</v>
      </c>
      <c r="R163" s="9">
        <f>IF(L163&gt;2005,AVERAGE(O160:O179),0)</f>
        <v>0</v>
      </c>
      <c r="S163" s="10">
        <f>IF(A163=A164,(N163-N164)/N164,0)</f>
        <v>0</v>
      </c>
      <c r="T163" s="10">
        <f>IF(L163&gt;2005,(((N163-N183)/N183)+1)^(1/5)-1,0)</f>
        <v>0</v>
      </c>
      <c r="U163" s="10">
        <f t="shared" si="6"/>
        <v>0</v>
      </c>
      <c r="V163" s="26">
        <f t="shared" si="7"/>
        <v>0</v>
      </c>
      <c r="W163" s="3">
        <f>IF(A163=A164,N163-N164,0)</f>
        <v>0</v>
      </c>
      <c r="X163" s="10">
        <f>IF(A163=A164,(N163-N164)/N164,0)</f>
        <v>0</v>
      </c>
    </row>
    <row r="164" spans="1:24" ht="16.5" customHeight="1">
      <c r="A164" s="3" t="s">
        <v>25</v>
      </c>
      <c r="B164" s="3">
        <f t="shared" si="0"/>
        <v>2005</v>
      </c>
      <c r="C164" s="3">
        <f t="shared" si="1"/>
        <v>4</v>
      </c>
      <c r="D164" s="20" t="str">
        <f t="shared" si="2"/>
        <v>HRL20054</v>
      </c>
      <c r="E164" s="2">
        <v>38462</v>
      </c>
      <c r="F164" s="3">
        <v>0.13</v>
      </c>
      <c r="G164" s="2">
        <v>38487</v>
      </c>
      <c r="H164" s="3">
        <v>8.2000000000000007E-3</v>
      </c>
      <c r="I164" s="3">
        <v>0</v>
      </c>
      <c r="J164" s="3">
        <v>0</v>
      </c>
      <c r="K164" s="3">
        <f t="shared" si="3"/>
        <v>2005</v>
      </c>
      <c r="L164" s="3">
        <f t="shared" si="4"/>
        <v>0</v>
      </c>
      <c r="M164" s="20" t="str">
        <f>A164&amp;L164</f>
        <v>HRL0</v>
      </c>
      <c r="N164" s="3">
        <f>F164/4</f>
        <v>3.2500000000000001E-2</v>
      </c>
      <c r="O164" s="9">
        <f>H164</f>
        <v>8.2000000000000007E-3</v>
      </c>
      <c r="P164" s="10">
        <f t="shared" si="5"/>
        <v>0</v>
      </c>
      <c r="Q164" s="10">
        <f>IF(K164=0,IF(A161=A164,AVERAGE(O161:O164),"x"),0)</f>
        <v>0</v>
      </c>
      <c r="R164" s="9">
        <f>IF(L164&gt;2005,AVERAGE(O161:O180),0)</f>
        <v>0</v>
      </c>
      <c r="S164" s="10">
        <f>IF(A164=A165,(N164-N165)/N165,0)</f>
        <v>0</v>
      </c>
      <c r="T164" s="10">
        <f>IF(L164&gt;2005,(((N164-N184)/N184)+1)^(1/5)-1,0)</f>
        <v>0</v>
      </c>
      <c r="U164" s="10">
        <f t="shared" si="6"/>
        <v>0</v>
      </c>
      <c r="V164" s="26">
        <f t="shared" si="7"/>
        <v>0</v>
      </c>
      <c r="W164" s="3">
        <f>IF(A164=A165,N164-N165,0)</f>
        <v>0</v>
      </c>
      <c r="X164" s="10">
        <f>IF(A164=A165,(N164-N165)/N165,0)</f>
        <v>0</v>
      </c>
    </row>
    <row r="165" spans="1:24" ht="16.5" customHeight="1">
      <c r="A165" s="3" t="s">
        <v>25</v>
      </c>
      <c r="B165" s="3">
        <f t="shared" si="0"/>
        <v>2005</v>
      </c>
      <c r="C165" s="3">
        <f t="shared" si="1"/>
        <v>1</v>
      </c>
      <c r="D165" s="20" t="str">
        <f t="shared" si="2"/>
        <v>HRL20051</v>
      </c>
      <c r="E165" s="2">
        <v>38371</v>
      </c>
      <c r="F165" s="3">
        <v>0.13</v>
      </c>
      <c r="G165" s="2">
        <v>38398</v>
      </c>
      <c r="H165" s="3">
        <v>7.6E-3</v>
      </c>
      <c r="I165" s="3">
        <v>0.15555555600000001</v>
      </c>
      <c r="J165" s="3">
        <v>1.7500000000000002E-2</v>
      </c>
      <c r="K165" s="3">
        <f t="shared" si="3"/>
        <v>0</v>
      </c>
      <c r="L165" s="3">
        <f t="shared" si="4"/>
        <v>2005</v>
      </c>
      <c r="M165" s="20" t="str">
        <f>A165&amp;L165</f>
        <v>HRL2005</v>
      </c>
      <c r="N165" s="3">
        <f>F165/4</f>
        <v>3.2500000000000001E-2</v>
      </c>
      <c r="O165" s="9">
        <f>H165</f>
        <v>7.6E-3</v>
      </c>
      <c r="P165" s="10">
        <f t="shared" si="5"/>
        <v>7.6500000000000005E-3</v>
      </c>
      <c r="Q165" s="10">
        <f>IF(K165=0,IF(A162=A165,AVERAGE(O162:O165),"x"),0)</f>
        <v>8.0499999999999999E-3</v>
      </c>
      <c r="R165" s="9">
        <f>IF(L165&gt;2005,AVERAGE(O162:O181),0)</f>
        <v>0</v>
      </c>
      <c r="S165" s="10">
        <f>IF(A165=A166,(N165-N166)/N166,0)</f>
        <v>0.15555555555555556</v>
      </c>
      <c r="T165" s="10">
        <f>IF(L165&gt;2005,(((N165-N185)/N185)+1)^(1/5)-1,0)</f>
        <v>0</v>
      </c>
      <c r="U165" s="10">
        <f t="shared" si="6"/>
        <v>0</v>
      </c>
      <c r="V165" s="26">
        <f t="shared" si="7"/>
        <v>0</v>
      </c>
      <c r="W165" s="3">
        <f>IF(A165=A166,N165-N166,0)</f>
        <v>4.3750000000000004E-3</v>
      </c>
      <c r="X165" s="10">
        <f>IF(A165=A166,(N165-N166)/N166,0)</f>
        <v>0.15555555555555556</v>
      </c>
    </row>
    <row r="166" spans="1:24" ht="16.5" customHeight="1">
      <c r="A166" s="3" t="s">
        <v>25</v>
      </c>
      <c r="B166" s="3">
        <f t="shared" si="0"/>
        <v>2004</v>
      </c>
      <c r="C166" s="3">
        <f t="shared" si="1"/>
        <v>10</v>
      </c>
      <c r="D166" s="20" t="str">
        <f t="shared" si="2"/>
        <v>HRL200410</v>
      </c>
      <c r="E166" s="2">
        <v>38280</v>
      </c>
      <c r="F166" s="3">
        <v>0.1125</v>
      </c>
      <c r="G166" s="2">
        <v>38306</v>
      </c>
      <c r="H166" s="3">
        <v>8.3999999999999995E-3</v>
      </c>
      <c r="I166" s="3">
        <v>0</v>
      </c>
      <c r="J166" s="3">
        <v>0</v>
      </c>
      <c r="K166" s="3">
        <f t="shared" si="3"/>
        <v>2004</v>
      </c>
      <c r="L166" s="3">
        <f t="shared" si="4"/>
        <v>0</v>
      </c>
      <c r="M166" s="20" t="str">
        <f>A166&amp;L166</f>
        <v>HRL0</v>
      </c>
      <c r="N166" s="3">
        <f>F166/4</f>
        <v>2.8125000000000001E-2</v>
      </c>
      <c r="O166" s="9">
        <f>H166</f>
        <v>8.3999999999999995E-3</v>
      </c>
      <c r="P166" s="10">
        <f t="shared" si="5"/>
        <v>0</v>
      </c>
      <c r="Q166" s="10">
        <f>IF(K166=0,IF(A163=A166,AVERAGE(O163:O166),"x"),0)</f>
        <v>0</v>
      </c>
      <c r="R166" s="9">
        <f>IF(L166&gt;2005,AVERAGE(O163:O182),0)</f>
        <v>0</v>
      </c>
      <c r="S166" s="10">
        <f>IF(A166=A167,(N166-N167)/N167,0)</f>
        <v>0</v>
      </c>
      <c r="T166" s="10">
        <f>IF(L166&gt;2005,(((N166-N186)/N186)+1)^(1/5)-1,0)</f>
        <v>0</v>
      </c>
      <c r="U166" s="10">
        <f t="shared" si="6"/>
        <v>0</v>
      </c>
      <c r="V166" s="26">
        <f t="shared" si="7"/>
        <v>0</v>
      </c>
      <c r="W166" s="3">
        <f>IF(A166=A167,N166-N167,0)</f>
        <v>0</v>
      </c>
      <c r="X166" s="10">
        <f>IF(A166=A167,(N166-N167)/N167,0)</f>
        <v>0</v>
      </c>
    </row>
    <row r="167" spans="1:24" ht="16.5" customHeight="1">
      <c r="A167" s="3" t="s">
        <v>25</v>
      </c>
      <c r="B167" s="3">
        <f t="shared" si="0"/>
        <v>2004</v>
      </c>
      <c r="C167" s="3">
        <f t="shared" si="1"/>
        <v>7</v>
      </c>
      <c r="D167" s="20" t="str">
        <f t="shared" si="2"/>
        <v>HRL20047</v>
      </c>
      <c r="E167" s="2">
        <v>38189</v>
      </c>
      <c r="F167" s="3">
        <v>0.1125</v>
      </c>
      <c r="G167" s="2">
        <v>38214</v>
      </c>
      <c r="H167" s="3">
        <v>7.3000000000000001E-3</v>
      </c>
      <c r="I167" s="3">
        <v>0</v>
      </c>
      <c r="J167" s="3">
        <v>0</v>
      </c>
      <c r="K167" s="3">
        <f t="shared" si="3"/>
        <v>2004</v>
      </c>
      <c r="L167" s="3">
        <f t="shared" si="4"/>
        <v>0</v>
      </c>
      <c r="M167" s="20" t="str">
        <f>A167&amp;L167</f>
        <v>HRL0</v>
      </c>
      <c r="N167" s="3">
        <f>F167/4</f>
        <v>2.8125000000000001E-2</v>
      </c>
      <c r="O167" s="9">
        <f>H167</f>
        <v>7.3000000000000001E-3</v>
      </c>
      <c r="P167" s="10">
        <f t="shared" si="5"/>
        <v>0</v>
      </c>
      <c r="Q167" s="10">
        <f>IF(K167=0,IF(A164=A167,AVERAGE(O164:O167),"x"),0)</f>
        <v>0</v>
      </c>
      <c r="R167" s="9">
        <f>IF(L167&gt;2005,AVERAGE(O164:O183),0)</f>
        <v>0</v>
      </c>
      <c r="S167" s="10">
        <f>IF(A167=A168,(N167-N168)/N168,0)</f>
        <v>0</v>
      </c>
      <c r="T167" s="10">
        <f>IF(L167&gt;2005,(((N167-N187)/N187)+1)^(1/5)-1,0)</f>
        <v>0</v>
      </c>
      <c r="U167" s="10">
        <f t="shared" si="6"/>
        <v>0</v>
      </c>
      <c r="V167" s="26">
        <f t="shared" si="7"/>
        <v>0</v>
      </c>
      <c r="W167" s="3">
        <f>IF(A167=A168,N167-N168,0)</f>
        <v>0</v>
      </c>
      <c r="X167" s="10">
        <f>IF(A167=A168,(N167-N168)/N168,0)</f>
        <v>0</v>
      </c>
    </row>
    <row r="168" spans="1:24" ht="16.5" customHeight="1">
      <c r="A168" s="3" t="s">
        <v>25</v>
      </c>
      <c r="B168" s="3">
        <f t="shared" si="0"/>
        <v>2004</v>
      </c>
      <c r="C168" s="3">
        <f t="shared" si="1"/>
        <v>4</v>
      </c>
      <c r="D168" s="20" t="str">
        <f t="shared" si="2"/>
        <v>HRL20044</v>
      </c>
      <c r="E168" s="2">
        <v>38091</v>
      </c>
      <c r="F168" s="3">
        <v>0.1125</v>
      </c>
      <c r="G168" s="2">
        <v>38122</v>
      </c>
      <c r="H168" s="3">
        <v>7.3000000000000001E-3</v>
      </c>
      <c r="I168" s="3">
        <v>0</v>
      </c>
      <c r="J168" s="3">
        <v>0</v>
      </c>
      <c r="K168" s="3">
        <f t="shared" si="3"/>
        <v>2004</v>
      </c>
      <c r="L168" s="3">
        <f t="shared" si="4"/>
        <v>0</v>
      </c>
      <c r="M168" s="20" t="str">
        <f>A168&amp;L168</f>
        <v>HRL0</v>
      </c>
      <c r="N168" s="3">
        <f>F168/4</f>
        <v>2.8125000000000001E-2</v>
      </c>
      <c r="O168" s="9">
        <f>H168</f>
        <v>7.3000000000000001E-3</v>
      </c>
      <c r="P168" s="10">
        <f t="shared" si="5"/>
        <v>0</v>
      </c>
      <c r="Q168" s="10">
        <f>IF(K168=0,IF(A165=A168,AVERAGE(O165:O168),"x"),0)</f>
        <v>0</v>
      </c>
      <c r="R168" s="9">
        <f>IF(L168&gt;2005,AVERAGE(O165:O184),0)</f>
        <v>0</v>
      </c>
      <c r="S168" s="10">
        <f>IF(A168=A169,(N168-N169)/N169,0)</f>
        <v>0</v>
      </c>
      <c r="T168" s="10">
        <f>IF(L168&gt;2005,(((N168-N188)/N188)+1)^(1/5)-1,0)</f>
        <v>0</v>
      </c>
      <c r="U168" s="10">
        <f t="shared" si="6"/>
        <v>0</v>
      </c>
      <c r="V168" s="26">
        <f t="shared" si="7"/>
        <v>0</v>
      </c>
      <c r="W168" s="3">
        <f>IF(A168=A169,N168-N169,0)</f>
        <v>0</v>
      </c>
      <c r="X168" s="10">
        <f>IF(A168=A169,(N168-N169)/N169,0)</f>
        <v>0</v>
      </c>
    </row>
    <row r="169" spans="1:24" ht="16.5" customHeight="1">
      <c r="A169" s="3" t="s">
        <v>25</v>
      </c>
      <c r="B169" s="3">
        <f t="shared" si="0"/>
        <v>2004</v>
      </c>
      <c r="C169" s="3">
        <f t="shared" si="1"/>
        <v>1</v>
      </c>
      <c r="D169" s="20" t="str">
        <f t="shared" si="2"/>
        <v>HRL20041</v>
      </c>
      <c r="E169" s="2">
        <v>38007</v>
      </c>
      <c r="F169" s="3">
        <v>0.1125</v>
      </c>
      <c r="G169" s="2">
        <v>38032</v>
      </c>
      <c r="H169" s="3">
        <v>8.3000000000000001E-3</v>
      </c>
      <c r="I169" s="3">
        <v>7.1428570999999996E-2</v>
      </c>
      <c r="J169" s="3">
        <v>7.4999999999999997E-3</v>
      </c>
      <c r="K169" s="3">
        <f t="shared" si="3"/>
        <v>0</v>
      </c>
      <c r="L169" s="3">
        <f t="shared" si="4"/>
        <v>2004</v>
      </c>
      <c r="M169" s="20" t="str">
        <f>A169&amp;L169</f>
        <v>HRL2004</v>
      </c>
      <c r="N169" s="3">
        <f>F169/4</f>
        <v>2.8125000000000001E-2</v>
      </c>
      <c r="O169" s="9">
        <f>H169</f>
        <v>8.3000000000000001E-3</v>
      </c>
      <c r="P169" s="10">
        <f t="shared" si="5"/>
        <v>8.6999999999999994E-3</v>
      </c>
      <c r="Q169" s="10">
        <f>IF(K169=0,IF(A166=A169,AVERAGE(O166:O169),"x"),0)</f>
        <v>7.8250000000000004E-3</v>
      </c>
      <c r="R169" s="9">
        <f>IF(L169&gt;2005,AVERAGE(O166:O185),0)</f>
        <v>0</v>
      </c>
      <c r="S169" s="10">
        <f>IF(A169=A170,(N169-N170)/N170,0)</f>
        <v>7.1428571428571494E-2</v>
      </c>
      <c r="T169" s="10">
        <f>IF(L169&gt;2005,(((N169-N189)/N189)+1)^(1/5)-1,0)</f>
        <v>0</v>
      </c>
      <c r="U169" s="10">
        <f t="shared" si="6"/>
        <v>0</v>
      </c>
      <c r="V169" s="26">
        <f t="shared" si="7"/>
        <v>0</v>
      </c>
      <c r="W169" s="3">
        <f>IF(A169=A170,N169-N170,0)</f>
        <v>1.8750000000000017E-3</v>
      </c>
      <c r="X169" s="10">
        <f>IF(A169=A170,(N169-N170)/N170,0)</f>
        <v>7.1428571428571494E-2</v>
      </c>
    </row>
    <row r="170" spans="1:24" ht="16.5" customHeight="1">
      <c r="A170" s="3" t="s">
        <v>25</v>
      </c>
      <c r="B170" s="3">
        <f t="shared" si="0"/>
        <v>2003</v>
      </c>
      <c r="C170" s="3">
        <f t="shared" si="1"/>
        <v>10</v>
      </c>
      <c r="D170" s="20" t="str">
        <f t="shared" si="2"/>
        <v>HRL200310</v>
      </c>
      <c r="E170" s="2">
        <v>37909</v>
      </c>
      <c r="F170" s="3">
        <v>0.105</v>
      </c>
      <c r="G170" s="2">
        <v>37940</v>
      </c>
      <c r="H170" s="3">
        <v>8.6999999999999994E-3</v>
      </c>
      <c r="I170" s="3">
        <v>0</v>
      </c>
      <c r="J170" s="3">
        <v>0</v>
      </c>
      <c r="K170" s="3">
        <f t="shared" si="3"/>
        <v>2003</v>
      </c>
      <c r="L170" s="3">
        <f t="shared" si="4"/>
        <v>0</v>
      </c>
      <c r="M170" s="20" t="str">
        <f>A170&amp;L170</f>
        <v>HRL0</v>
      </c>
      <c r="N170" s="3">
        <f>F170/4</f>
        <v>2.6249999999999999E-2</v>
      </c>
      <c r="O170" s="9">
        <f>H170</f>
        <v>8.6999999999999994E-3</v>
      </c>
      <c r="P170" s="10">
        <f t="shared" si="5"/>
        <v>0</v>
      </c>
      <c r="Q170" s="10">
        <f>IF(K170=0,IF(A167=A170,AVERAGE(O167:O170),"x"),0)</f>
        <v>0</v>
      </c>
      <c r="R170" s="9">
        <f>IF(L170&gt;2005,AVERAGE(O167:O186),0)</f>
        <v>0</v>
      </c>
      <c r="S170" s="10">
        <f>IF(A170=A171,(N170-N171)/N171,0)</f>
        <v>0</v>
      </c>
      <c r="T170" s="10">
        <f>IF(L170&gt;2005,(((N170-N190)/N190)+1)^(1/5)-1,0)</f>
        <v>0</v>
      </c>
      <c r="U170" s="10">
        <f t="shared" si="6"/>
        <v>0</v>
      </c>
      <c r="V170" s="26">
        <f t="shared" si="7"/>
        <v>0</v>
      </c>
      <c r="W170" s="3">
        <f>IF(A170=A171,N170-N171,0)</f>
        <v>0</v>
      </c>
      <c r="X170" s="10">
        <f>IF(A170=A171,(N170-N171)/N171,0)</f>
        <v>0</v>
      </c>
    </row>
    <row r="171" spans="1:24" ht="16.5" customHeight="1">
      <c r="A171" s="3" t="s">
        <v>25</v>
      </c>
      <c r="B171" s="3">
        <f t="shared" si="0"/>
        <v>2003</v>
      </c>
      <c r="C171" s="3">
        <f t="shared" si="1"/>
        <v>7</v>
      </c>
      <c r="D171" s="20" t="str">
        <f t="shared" si="2"/>
        <v>HRL20037</v>
      </c>
      <c r="E171" s="2">
        <v>37818</v>
      </c>
      <c r="F171" s="3">
        <v>0.105</v>
      </c>
      <c r="G171" s="2">
        <v>37848</v>
      </c>
      <c r="H171" s="3">
        <v>8.6999999999999994E-3</v>
      </c>
      <c r="I171" s="3">
        <v>0</v>
      </c>
      <c r="J171" s="3">
        <v>0</v>
      </c>
      <c r="K171" s="3">
        <f t="shared" si="3"/>
        <v>2003</v>
      </c>
      <c r="L171" s="3">
        <f t="shared" si="4"/>
        <v>0</v>
      </c>
      <c r="M171" s="20" t="str">
        <f>A171&amp;L171</f>
        <v>HRL0</v>
      </c>
      <c r="N171" s="3">
        <f>F171/4</f>
        <v>2.6249999999999999E-2</v>
      </c>
      <c r="O171" s="9">
        <f>H171</f>
        <v>8.6999999999999994E-3</v>
      </c>
      <c r="P171" s="10">
        <f t="shared" si="5"/>
        <v>0</v>
      </c>
      <c r="Q171" s="10">
        <f>IF(K171=0,IF(A168=A171,AVERAGE(O168:O171),"x"),0)</f>
        <v>0</v>
      </c>
      <c r="R171" s="9">
        <f>IF(L171&gt;2005,AVERAGE(O168:O187),0)</f>
        <v>0</v>
      </c>
      <c r="S171" s="10">
        <f>IF(A171=A172,(N171-N172)/N172,0)</f>
        <v>0</v>
      </c>
      <c r="T171" s="10">
        <f>IF(L171&gt;2005,(((N171-N191)/N191)+1)^(1/5)-1,0)</f>
        <v>0</v>
      </c>
      <c r="U171" s="10">
        <f t="shared" si="6"/>
        <v>0</v>
      </c>
      <c r="V171" s="26">
        <f t="shared" si="7"/>
        <v>0</v>
      </c>
      <c r="W171" s="3">
        <f>IF(A171=A172,N171-N172,0)</f>
        <v>0</v>
      </c>
      <c r="X171" s="10">
        <f>IF(A171=A172,(N171-N172)/N172,0)</f>
        <v>0</v>
      </c>
    </row>
    <row r="172" spans="1:24" ht="16.5" customHeight="1">
      <c r="A172" s="3" t="s">
        <v>25</v>
      </c>
      <c r="B172" s="3">
        <f t="shared" si="0"/>
        <v>2003</v>
      </c>
      <c r="C172" s="3">
        <f t="shared" si="1"/>
        <v>4</v>
      </c>
      <c r="D172" s="20" t="str">
        <f t="shared" si="2"/>
        <v>HRL20034</v>
      </c>
      <c r="E172" s="2">
        <v>37726</v>
      </c>
      <c r="F172" s="3">
        <v>0.105</v>
      </c>
      <c r="G172" s="2">
        <v>37756</v>
      </c>
      <c r="H172" s="3">
        <v>9.1000000000000004E-3</v>
      </c>
      <c r="I172" s="3">
        <v>0</v>
      </c>
      <c r="J172" s="3">
        <v>0</v>
      </c>
      <c r="K172" s="3">
        <f t="shared" si="3"/>
        <v>2003</v>
      </c>
      <c r="L172" s="3">
        <f t="shared" si="4"/>
        <v>0</v>
      </c>
      <c r="M172" s="20" t="str">
        <f>A172&amp;L172</f>
        <v>HRL0</v>
      </c>
      <c r="N172" s="3">
        <f>F172/4</f>
        <v>2.6249999999999999E-2</v>
      </c>
      <c r="O172" s="9">
        <f>H172</f>
        <v>9.1000000000000004E-3</v>
      </c>
      <c r="P172" s="10">
        <f t="shared" si="5"/>
        <v>0</v>
      </c>
      <c r="Q172" s="10">
        <f>IF(K172=0,IF(A169=A172,AVERAGE(O169:O172),"x"),0)</f>
        <v>0</v>
      </c>
      <c r="R172" s="9">
        <f>IF(L172&gt;2005,AVERAGE(O169:O188),0)</f>
        <v>0</v>
      </c>
      <c r="S172" s="10">
        <f>IF(A172=A173,(N172-N173)/N173,0)</f>
        <v>0</v>
      </c>
      <c r="T172" s="10">
        <f>IF(L172&gt;2005,(((N172-N192)/N192)+1)^(1/5)-1,0)</f>
        <v>0</v>
      </c>
      <c r="U172" s="10">
        <f t="shared" si="6"/>
        <v>0</v>
      </c>
      <c r="V172" s="26">
        <f t="shared" si="7"/>
        <v>0</v>
      </c>
      <c r="W172" s="3">
        <f>IF(A172=A173,N172-N173,0)</f>
        <v>0</v>
      </c>
      <c r="X172" s="10">
        <f>IF(A172=A173,(N172-N173)/N173,0)</f>
        <v>0</v>
      </c>
    </row>
    <row r="173" spans="1:24" ht="16.5" customHeight="1">
      <c r="A173" s="3" t="s">
        <v>25</v>
      </c>
      <c r="B173" s="3">
        <f t="shared" si="0"/>
        <v>2003</v>
      </c>
      <c r="C173" s="3">
        <f t="shared" si="1"/>
        <v>1</v>
      </c>
      <c r="D173" s="20" t="str">
        <f t="shared" si="2"/>
        <v>HRL20031</v>
      </c>
      <c r="E173" s="2">
        <v>37636</v>
      </c>
      <c r="F173" s="3">
        <v>0.105</v>
      </c>
      <c r="G173" s="2">
        <v>37667</v>
      </c>
      <c r="H173" s="3">
        <v>8.5000000000000006E-3</v>
      </c>
      <c r="I173" s="3">
        <v>7.6923077000000006E-2</v>
      </c>
      <c r="J173" s="3">
        <v>7.4999999999999997E-3</v>
      </c>
      <c r="K173" s="3">
        <f t="shared" si="3"/>
        <v>0</v>
      </c>
      <c r="L173" s="3">
        <f t="shared" si="4"/>
        <v>2003</v>
      </c>
      <c r="M173" s="20" t="str">
        <f>A173&amp;L173</f>
        <v>HRL2003</v>
      </c>
      <c r="N173" s="3">
        <f>F173/4</f>
        <v>2.6249999999999999E-2</v>
      </c>
      <c r="O173" s="9">
        <f>H173</f>
        <v>8.5000000000000006E-3</v>
      </c>
      <c r="P173" s="10">
        <f t="shared" si="5"/>
        <v>8.0999999999999996E-3</v>
      </c>
      <c r="Q173" s="10">
        <f>IF(K173=0,IF(A170=A173,AVERAGE(O170:O173),"x"),0)</f>
        <v>8.7500000000000008E-3</v>
      </c>
      <c r="R173" s="9">
        <f>IF(L173&gt;2005,AVERAGE(O170:O189),0)</f>
        <v>0</v>
      </c>
      <c r="S173" s="10">
        <f>IF(A173=A174,(N173-N174)/N174,0)</f>
        <v>7.6923076923076844E-2</v>
      </c>
      <c r="T173" s="10">
        <f>IF(L173&gt;2005,(((N173-N193)/N193)+1)^(1/5)-1,0)</f>
        <v>0</v>
      </c>
      <c r="U173" s="10">
        <f t="shared" si="6"/>
        <v>0</v>
      </c>
      <c r="V173" s="26">
        <f t="shared" si="7"/>
        <v>0</v>
      </c>
      <c r="W173" s="3">
        <f>IF(A173=A174,N173-N174,0)</f>
        <v>1.8749999999999982E-3</v>
      </c>
      <c r="X173" s="10">
        <f>IF(A173=A174,(N173-N174)/N174,0)</f>
        <v>7.6923076923076844E-2</v>
      </c>
    </row>
    <row r="174" spans="1:24" ht="16.5" customHeight="1">
      <c r="A174" s="3" t="s">
        <v>25</v>
      </c>
      <c r="B174" s="3">
        <f t="shared" si="0"/>
        <v>2002</v>
      </c>
      <c r="C174" s="3">
        <f t="shared" si="1"/>
        <v>10</v>
      </c>
      <c r="D174" s="20" t="str">
        <f t="shared" si="2"/>
        <v>HRL200210</v>
      </c>
      <c r="E174" s="2">
        <v>37545</v>
      </c>
      <c r="F174" s="3">
        <v>9.7500000000000003E-2</v>
      </c>
      <c r="G174" s="2">
        <v>37575</v>
      </c>
      <c r="H174" s="3">
        <v>8.0000000000000002E-3</v>
      </c>
      <c r="I174" s="3">
        <v>0</v>
      </c>
      <c r="J174" s="3">
        <v>0</v>
      </c>
      <c r="K174" s="3">
        <f t="shared" si="3"/>
        <v>2002</v>
      </c>
      <c r="L174" s="3">
        <f t="shared" si="4"/>
        <v>0</v>
      </c>
      <c r="M174" s="20" t="str">
        <f>A174&amp;L174</f>
        <v>HRL0</v>
      </c>
      <c r="N174" s="3">
        <f>F174/4</f>
        <v>2.4375000000000001E-2</v>
      </c>
      <c r="O174" s="9">
        <f>H174</f>
        <v>8.0000000000000002E-3</v>
      </c>
      <c r="P174" s="10">
        <f t="shared" si="5"/>
        <v>0</v>
      </c>
      <c r="Q174" s="10">
        <f>IF(K174=0,IF(A171=A174,AVERAGE(O171:O174),"x"),0)</f>
        <v>0</v>
      </c>
      <c r="R174" s="9">
        <f>IF(L174&gt;2005,AVERAGE(O171:O190),0)</f>
        <v>0</v>
      </c>
      <c r="S174" s="10">
        <f>IF(A174=A175,(N174-N175)/N175,0)</f>
        <v>0</v>
      </c>
      <c r="T174" s="10">
        <f>IF(L174&gt;2005,(((N174-N194)/N194)+1)^(1/5)-1,0)</f>
        <v>0</v>
      </c>
      <c r="U174" s="10">
        <f t="shared" si="6"/>
        <v>0</v>
      </c>
      <c r="V174" s="26">
        <f t="shared" si="7"/>
        <v>0</v>
      </c>
      <c r="W174" s="3">
        <f>IF(A174=A175,N174-N175,0)</f>
        <v>0</v>
      </c>
      <c r="X174" s="10">
        <f>IF(A174=A175,(N174-N175)/N175,0)</f>
        <v>0</v>
      </c>
    </row>
    <row r="175" spans="1:24" ht="16.5" customHeight="1">
      <c r="A175" s="3" t="s">
        <v>25</v>
      </c>
      <c r="B175" s="3">
        <f t="shared" si="0"/>
        <v>2002</v>
      </c>
      <c r="C175" s="3">
        <f t="shared" si="1"/>
        <v>7</v>
      </c>
      <c r="D175" s="20" t="str">
        <f t="shared" si="2"/>
        <v>HRL20027</v>
      </c>
      <c r="E175" s="2">
        <v>37454</v>
      </c>
      <c r="F175" s="3">
        <v>9.7500000000000003E-2</v>
      </c>
      <c r="G175" s="2">
        <v>37483</v>
      </c>
      <c r="H175" s="3">
        <v>8.8999999999999999E-3</v>
      </c>
      <c r="I175" s="3">
        <v>0</v>
      </c>
      <c r="J175" s="3">
        <v>0</v>
      </c>
      <c r="K175" s="3">
        <f t="shared" si="3"/>
        <v>2002</v>
      </c>
      <c r="L175" s="3">
        <f t="shared" si="4"/>
        <v>0</v>
      </c>
      <c r="M175" s="20" t="str">
        <f>A175&amp;L175</f>
        <v>HRL0</v>
      </c>
      <c r="N175" s="3">
        <f>F175/4</f>
        <v>2.4375000000000001E-2</v>
      </c>
      <c r="O175" s="9">
        <f>H175</f>
        <v>8.8999999999999999E-3</v>
      </c>
      <c r="P175" s="10">
        <f t="shared" si="5"/>
        <v>0</v>
      </c>
      <c r="Q175" s="10">
        <f>IF(K175=0,IF(A172=A175,AVERAGE(O172:O175),"x"),0)</f>
        <v>0</v>
      </c>
      <c r="R175" s="9">
        <f>IF(L175&gt;2005,AVERAGE(O172:O191),0)</f>
        <v>0</v>
      </c>
      <c r="S175" s="10">
        <f>IF(A175=A176,(N175-N176)/N176,0)</f>
        <v>0</v>
      </c>
      <c r="T175" s="10">
        <f>IF(L175&gt;2005,(((N175-N195)/N195)+1)^(1/5)-1,0)</f>
        <v>0</v>
      </c>
      <c r="U175" s="10">
        <f t="shared" si="6"/>
        <v>0</v>
      </c>
      <c r="V175" s="26">
        <f t="shared" si="7"/>
        <v>0</v>
      </c>
      <c r="W175" s="3">
        <f>IF(A175=A176,N175-N176,0)</f>
        <v>0</v>
      </c>
      <c r="X175" s="10">
        <f>IF(A175=A176,(N175-N176)/N176,0)</f>
        <v>0</v>
      </c>
    </row>
    <row r="176" spans="1:24" ht="16.5" customHeight="1">
      <c r="A176" s="3" t="s">
        <v>25</v>
      </c>
      <c r="B176" s="3">
        <f t="shared" si="0"/>
        <v>2002</v>
      </c>
      <c r="C176" s="3">
        <f t="shared" si="1"/>
        <v>4</v>
      </c>
      <c r="D176" s="20" t="str">
        <f t="shared" si="2"/>
        <v>HRL20024</v>
      </c>
      <c r="E176" s="2">
        <v>37363</v>
      </c>
      <c r="F176" s="3">
        <v>9.7500000000000003E-2</v>
      </c>
      <c r="G176" s="2">
        <v>37391</v>
      </c>
      <c r="H176" s="3">
        <v>7.0000000000000001E-3</v>
      </c>
      <c r="I176" s="3">
        <v>0</v>
      </c>
      <c r="J176" s="3">
        <v>0</v>
      </c>
      <c r="K176" s="3">
        <f t="shared" si="3"/>
        <v>2002</v>
      </c>
      <c r="L176" s="3">
        <f t="shared" si="4"/>
        <v>0</v>
      </c>
      <c r="M176" s="20" t="str">
        <f>A176&amp;L176</f>
        <v>HRL0</v>
      </c>
      <c r="N176" s="3">
        <f>F176/4</f>
        <v>2.4375000000000001E-2</v>
      </c>
      <c r="O176" s="9">
        <f>H176</f>
        <v>7.0000000000000001E-3</v>
      </c>
      <c r="P176" s="10">
        <f t="shared" si="5"/>
        <v>0</v>
      </c>
      <c r="Q176" s="10">
        <f>IF(K176=0,IF(A173=A176,AVERAGE(O173:O176),"x"),0)</f>
        <v>0</v>
      </c>
      <c r="R176" s="9">
        <f>IF(L176&gt;2005,AVERAGE(O173:O192),0)</f>
        <v>0</v>
      </c>
      <c r="S176" s="10">
        <f>IF(A176=A177,(N176-N177)/N177,0)</f>
        <v>0</v>
      </c>
      <c r="T176" s="10">
        <f>IF(L176&gt;2005,(((N176-N196)/N196)+1)^(1/5)-1,0)</f>
        <v>0</v>
      </c>
      <c r="U176" s="10">
        <f t="shared" si="6"/>
        <v>0</v>
      </c>
      <c r="V176" s="26">
        <f t="shared" si="7"/>
        <v>0</v>
      </c>
      <c r="W176" s="3">
        <f>IF(A176=A177,N176-N177,0)</f>
        <v>0</v>
      </c>
      <c r="X176" s="10">
        <f>IF(A176=A177,(N176-N177)/N177,0)</f>
        <v>0</v>
      </c>
    </row>
    <row r="177" spans="1:24" ht="16.5" customHeight="1">
      <c r="A177" s="3" t="s">
        <v>25</v>
      </c>
      <c r="B177" s="3">
        <f t="shared" si="0"/>
        <v>2002</v>
      </c>
      <c r="C177" s="3">
        <f t="shared" si="1"/>
        <v>1</v>
      </c>
      <c r="D177" s="20" t="str">
        <f t="shared" si="2"/>
        <v>HRL20021</v>
      </c>
      <c r="E177" s="2">
        <v>37272</v>
      </c>
      <c r="F177" s="3">
        <v>9.7500000000000003E-2</v>
      </c>
      <c r="G177" s="2">
        <v>37301</v>
      </c>
      <c r="H177" s="3">
        <v>7.1000000000000004E-3</v>
      </c>
      <c r="I177" s="3">
        <v>5.4054053999999997E-2</v>
      </c>
      <c r="J177" s="3">
        <v>5.0000000000000001E-3</v>
      </c>
      <c r="K177" s="3">
        <f t="shared" si="3"/>
        <v>0</v>
      </c>
      <c r="L177" s="3">
        <f t="shared" si="4"/>
        <v>2002</v>
      </c>
      <c r="M177" s="20" t="str">
        <f>A177&amp;L177</f>
        <v>HRL2002</v>
      </c>
      <c r="N177" s="3">
        <f>F177/4</f>
        <v>2.4375000000000001E-2</v>
      </c>
      <c r="O177" s="9">
        <f>H177</f>
        <v>7.1000000000000004E-3</v>
      </c>
      <c r="P177" s="10">
        <f t="shared" si="5"/>
        <v>8.0000000000000002E-3</v>
      </c>
      <c r="Q177" s="10">
        <f>IF(K177=0,IF(A174=A177,AVERAGE(O174:O177),"x"),0)</f>
        <v>7.7499999999999999E-3</v>
      </c>
      <c r="R177" s="9">
        <f>IF(L177&gt;2005,AVERAGE(O174:O193),0)</f>
        <v>0</v>
      </c>
      <c r="S177" s="10">
        <f>IF(A177=A178,(N177-N178)/N178,0)</f>
        <v>5.4054054054054106E-2</v>
      </c>
      <c r="T177" s="10">
        <f>IF(L177&gt;2005,(((N177-N197)/N197)+1)^(1/5)-1,0)</f>
        <v>0</v>
      </c>
      <c r="U177" s="10">
        <f t="shared" si="6"/>
        <v>0</v>
      </c>
      <c r="V177" s="26">
        <f t="shared" si="7"/>
        <v>0</v>
      </c>
      <c r="W177" s="3">
        <f>IF(A177=A178,N177-N178,0)</f>
        <v>1.2500000000000011E-3</v>
      </c>
      <c r="X177" s="10">
        <f>IF(A177=A178,(N177-N178)/N178,0)</f>
        <v>5.4054054054054106E-2</v>
      </c>
    </row>
    <row r="178" spans="1:24" ht="16.5" customHeight="1">
      <c r="A178" s="3" t="s">
        <v>25</v>
      </c>
      <c r="B178" s="3">
        <f t="shared" si="0"/>
        <v>2001</v>
      </c>
      <c r="C178" s="3">
        <f t="shared" si="1"/>
        <v>10</v>
      </c>
      <c r="D178" s="20" t="str">
        <f t="shared" si="2"/>
        <v>HRL200110</v>
      </c>
      <c r="E178" s="2">
        <v>37181</v>
      </c>
      <c r="F178" s="3">
        <v>9.2499999999999999E-2</v>
      </c>
      <c r="G178" s="2">
        <v>37210</v>
      </c>
      <c r="H178" s="3">
        <v>8.3000000000000001E-3</v>
      </c>
      <c r="I178" s="3">
        <v>0</v>
      </c>
      <c r="J178" s="3">
        <v>0</v>
      </c>
      <c r="K178" s="3">
        <f t="shared" si="3"/>
        <v>2001</v>
      </c>
      <c r="L178" s="3">
        <f t="shared" si="4"/>
        <v>0</v>
      </c>
      <c r="M178" s="20" t="str">
        <f>A178&amp;L178</f>
        <v>HRL0</v>
      </c>
      <c r="N178" s="3">
        <f>F178/4</f>
        <v>2.3125E-2</v>
      </c>
      <c r="O178" s="9">
        <f>H178</f>
        <v>8.3000000000000001E-3</v>
      </c>
      <c r="P178" s="10">
        <f t="shared" si="5"/>
        <v>0</v>
      </c>
      <c r="Q178" s="10">
        <f>IF(K178=0,IF(A175=A178,AVERAGE(O175:O178),"x"),0)</f>
        <v>0</v>
      </c>
      <c r="R178" s="9">
        <f>IF(L178&gt;2005,AVERAGE(O175:O194),0)</f>
        <v>0</v>
      </c>
      <c r="S178" s="10">
        <f>IF(A178=A179,(N178-N179)/N179,0)</f>
        <v>0</v>
      </c>
      <c r="T178" s="10">
        <f>IF(L178&gt;2005,(((N178-N198)/N198)+1)^(1/5)-1,0)</f>
        <v>0</v>
      </c>
      <c r="U178" s="10">
        <f t="shared" si="6"/>
        <v>0</v>
      </c>
      <c r="V178" s="26">
        <f t="shared" si="7"/>
        <v>0</v>
      </c>
      <c r="W178" s="3">
        <f>IF(A178=A179,N178-N179,0)</f>
        <v>0</v>
      </c>
      <c r="X178" s="10">
        <f>IF(A178=A179,(N178-N179)/N179,0)</f>
        <v>0</v>
      </c>
    </row>
    <row r="179" spans="1:24" ht="16.5" customHeight="1">
      <c r="A179" s="3" t="s">
        <v>25</v>
      </c>
      <c r="B179" s="3">
        <f t="shared" si="0"/>
        <v>2001</v>
      </c>
      <c r="C179" s="3">
        <f t="shared" si="1"/>
        <v>7</v>
      </c>
      <c r="D179" s="20" t="str">
        <f t="shared" si="2"/>
        <v>HRL20017</v>
      </c>
      <c r="E179" s="2">
        <v>37090</v>
      </c>
      <c r="F179" s="3">
        <v>9.2499999999999999E-2</v>
      </c>
      <c r="G179" s="2">
        <v>37118</v>
      </c>
      <c r="H179" s="3">
        <v>7.4000000000000003E-3</v>
      </c>
      <c r="I179" s="3">
        <v>0</v>
      </c>
      <c r="J179" s="3">
        <v>0</v>
      </c>
      <c r="K179" s="3">
        <f t="shared" si="3"/>
        <v>2001</v>
      </c>
      <c r="L179" s="3">
        <f t="shared" si="4"/>
        <v>0</v>
      </c>
      <c r="M179" s="20" t="str">
        <f>A179&amp;L179</f>
        <v>HRL0</v>
      </c>
      <c r="N179" s="3">
        <f>F179/4</f>
        <v>2.3125E-2</v>
      </c>
      <c r="O179" s="9">
        <f>H179</f>
        <v>7.4000000000000003E-3</v>
      </c>
      <c r="P179" s="10">
        <f t="shared" si="5"/>
        <v>0</v>
      </c>
      <c r="Q179" s="10">
        <f>IF(K179=0,IF(A176=A179,AVERAGE(O176:O179),"x"),0)</f>
        <v>0</v>
      </c>
      <c r="R179" s="9">
        <f>IF(L179&gt;2005,AVERAGE(O176:O195),0)</f>
        <v>0</v>
      </c>
      <c r="S179" s="10">
        <f>IF(A179=A180,(N179-N180)/N180,0)</f>
        <v>0</v>
      </c>
      <c r="T179" s="10">
        <f>IF(L179&gt;2005,(((N179-N199)/N199)+1)^(1/5)-1,0)</f>
        <v>0</v>
      </c>
      <c r="U179" s="10">
        <f t="shared" si="6"/>
        <v>0</v>
      </c>
      <c r="V179" s="26">
        <f t="shared" si="7"/>
        <v>0</v>
      </c>
      <c r="W179" s="3">
        <f>IF(A179=A180,N179-N180,0)</f>
        <v>0</v>
      </c>
      <c r="X179" s="10">
        <f>IF(A179=A180,(N179-N180)/N180,0)</f>
        <v>0</v>
      </c>
    </row>
    <row r="180" spans="1:24" ht="16.5" customHeight="1">
      <c r="A180" s="3" t="s">
        <v>25</v>
      </c>
      <c r="B180" s="3">
        <f t="shared" si="0"/>
        <v>2001</v>
      </c>
      <c r="C180" s="3">
        <f t="shared" si="1"/>
        <v>4</v>
      </c>
      <c r="D180" s="20" t="str">
        <f t="shared" si="2"/>
        <v>HRL20014</v>
      </c>
      <c r="E180" s="2">
        <v>36999</v>
      </c>
      <c r="F180" s="3">
        <v>9.2499999999999999E-2</v>
      </c>
      <c r="G180" s="2">
        <v>37026</v>
      </c>
      <c r="H180" s="3">
        <v>9.1999999999999998E-3</v>
      </c>
      <c r="I180" s="3">
        <v>0</v>
      </c>
      <c r="J180" s="3">
        <v>0</v>
      </c>
      <c r="K180" s="3">
        <f t="shared" si="3"/>
        <v>2001</v>
      </c>
      <c r="L180" s="3">
        <f t="shared" si="4"/>
        <v>0</v>
      </c>
      <c r="M180" s="20" t="str">
        <f>A180&amp;L180</f>
        <v>HRL0</v>
      </c>
      <c r="N180" s="3">
        <f>F180/4</f>
        <v>2.3125E-2</v>
      </c>
      <c r="O180" s="9">
        <f>H180</f>
        <v>9.1999999999999998E-3</v>
      </c>
      <c r="P180" s="10">
        <f t="shared" si="5"/>
        <v>0</v>
      </c>
      <c r="Q180" s="10">
        <f>IF(K180=0,IF(A177=A180,AVERAGE(O177:O180),"x"),0)</f>
        <v>0</v>
      </c>
      <c r="R180" s="9">
        <f>IF(L180&gt;2005,AVERAGE(O177:O196),0)</f>
        <v>0</v>
      </c>
      <c r="S180" s="10">
        <f>IF(A180=A181,(N180-N181)/N181,0)</f>
        <v>0</v>
      </c>
      <c r="T180" s="10">
        <f>IF(L180&gt;2005,(((N180-N200)/N200)+1)^(1/5)-1,0)</f>
        <v>0</v>
      </c>
      <c r="U180" s="10">
        <f t="shared" si="6"/>
        <v>0</v>
      </c>
      <c r="V180" s="26">
        <f t="shared" si="7"/>
        <v>0</v>
      </c>
      <c r="W180" s="3">
        <f>IF(A180=A181,N180-N181,0)</f>
        <v>0</v>
      </c>
      <c r="X180" s="10">
        <f>IF(A180=A181,(N180-N181)/N181,0)</f>
        <v>0</v>
      </c>
    </row>
    <row r="181" spans="1:24" ht="16.5" customHeight="1">
      <c r="A181" s="3" t="s">
        <v>25</v>
      </c>
      <c r="B181" s="3">
        <f t="shared" si="0"/>
        <v>2001</v>
      </c>
      <c r="C181" s="3">
        <f t="shared" si="1"/>
        <v>1</v>
      </c>
      <c r="D181" s="20" t="str">
        <f t="shared" si="2"/>
        <v>HRL20011</v>
      </c>
      <c r="E181" s="2">
        <v>36908</v>
      </c>
      <c r="F181" s="3">
        <v>9.2499999999999999E-2</v>
      </c>
      <c r="G181" s="2">
        <v>36937</v>
      </c>
      <c r="H181" s="3">
        <v>9.9000000000000008E-3</v>
      </c>
      <c r="I181" s="3">
        <v>5.7142856999999998E-2</v>
      </c>
      <c r="J181" s="3">
        <v>5.0000000000000001E-3</v>
      </c>
      <c r="K181" s="3">
        <f t="shared" si="3"/>
        <v>0</v>
      </c>
      <c r="L181" s="3">
        <f t="shared" si="4"/>
        <v>2001</v>
      </c>
      <c r="M181" s="20" t="str">
        <f>A181&amp;L181</f>
        <v>HRL2001</v>
      </c>
      <c r="N181" s="3">
        <f>F181/4</f>
        <v>2.3125E-2</v>
      </c>
      <c r="O181" s="9">
        <f>H181</f>
        <v>9.9000000000000008E-3</v>
      </c>
      <c r="P181" s="10">
        <f t="shared" si="5"/>
        <v>1.0325000000000001E-2</v>
      </c>
      <c r="Q181" s="10">
        <f>IF(K181=0,IF(A178=A181,AVERAGE(O178:O181),"x"),0)</f>
        <v>8.6999999999999994E-3</v>
      </c>
      <c r="R181" s="9">
        <f>IF(L181&gt;2005,AVERAGE(O178:O197),0)</f>
        <v>0</v>
      </c>
      <c r="S181" s="10">
        <f>IF(A181=A182,(N181-N182)/N182,0)</f>
        <v>5.7142857142857197E-2</v>
      </c>
      <c r="T181" s="10">
        <f>IF(L181&gt;2005,(((N181-N201)/N201)+1)^(1/5)-1,0)</f>
        <v>0</v>
      </c>
      <c r="U181" s="10">
        <f t="shared" si="6"/>
        <v>0</v>
      </c>
      <c r="V181" s="26">
        <f t="shared" si="7"/>
        <v>0</v>
      </c>
      <c r="W181" s="3">
        <f>IF(A181=A182,N181-N182,0)</f>
        <v>1.2500000000000011E-3</v>
      </c>
      <c r="X181" s="10">
        <f>IF(A181=A182,(N181-N182)/N182,0)</f>
        <v>5.7142857142857197E-2</v>
      </c>
    </row>
    <row r="182" spans="1:24" ht="16.5" customHeight="1">
      <c r="A182" s="3" t="s">
        <v>25</v>
      </c>
      <c r="B182" s="3">
        <f t="shared" si="0"/>
        <v>2000</v>
      </c>
      <c r="C182" s="3">
        <f t="shared" si="1"/>
        <v>10</v>
      </c>
      <c r="D182" s="20" t="str">
        <f t="shared" si="2"/>
        <v>HRL200010</v>
      </c>
      <c r="E182" s="2">
        <v>36817</v>
      </c>
      <c r="F182" s="3">
        <v>8.7499999999999994E-2</v>
      </c>
      <c r="G182" s="2">
        <v>36845</v>
      </c>
      <c r="H182" s="3">
        <v>1.06E-2</v>
      </c>
      <c r="I182" s="3">
        <v>0</v>
      </c>
      <c r="J182" s="3">
        <v>0</v>
      </c>
      <c r="K182" s="3">
        <f t="shared" si="3"/>
        <v>2000</v>
      </c>
      <c r="L182" s="3">
        <f t="shared" si="4"/>
        <v>0</v>
      </c>
      <c r="M182" s="20" t="str">
        <f>A182&amp;L182</f>
        <v>HRL0</v>
      </c>
      <c r="N182" s="3">
        <f>F182/4</f>
        <v>2.1874999999999999E-2</v>
      </c>
      <c r="O182" s="9">
        <f>H182</f>
        <v>1.06E-2</v>
      </c>
      <c r="P182" s="10">
        <f t="shared" si="5"/>
        <v>0</v>
      </c>
      <c r="Q182" s="10">
        <f>IF(K182=0,IF(A179=A182,AVERAGE(O179:O182),"x"),0)</f>
        <v>0</v>
      </c>
      <c r="R182" s="9">
        <f>IF(L182&gt;2005,AVERAGE(O179:O198),0)</f>
        <v>0</v>
      </c>
      <c r="S182" s="10">
        <f>IF(A182=A183,(N182-N183)/N183,0)</f>
        <v>0</v>
      </c>
      <c r="T182" s="10">
        <f>IF(L182&gt;2005,(((N182-N202)/N202)+1)^(1/5)-1,0)</f>
        <v>0</v>
      </c>
      <c r="U182" s="10">
        <f t="shared" si="6"/>
        <v>0</v>
      </c>
      <c r="V182" s="26">
        <f t="shared" si="7"/>
        <v>0</v>
      </c>
      <c r="W182" s="3">
        <f>IF(A182=A183,N182-N183,0)</f>
        <v>0</v>
      </c>
      <c r="X182" s="10">
        <f>IF(A182=A183,(N182-N183)/N183,0)</f>
        <v>0</v>
      </c>
    </row>
    <row r="183" spans="1:24" ht="16.5" customHeight="1">
      <c r="A183" s="3" t="s">
        <v>25</v>
      </c>
      <c r="B183" s="3">
        <f t="shared" si="0"/>
        <v>2000</v>
      </c>
      <c r="C183" s="3">
        <f t="shared" si="1"/>
        <v>7</v>
      </c>
      <c r="D183" s="20" t="str">
        <f t="shared" si="2"/>
        <v>HRL20007</v>
      </c>
      <c r="E183" s="2">
        <v>36726</v>
      </c>
      <c r="F183" s="3">
        <v>8.7499999999999994E-2</v>
      </c>
      <c r="G183" s="2">
        <v>36753</v>
      </c>
      <c r="H183" s="3">
        <v>1.0500000000000001E-2</v>
      </c>
      <c r="I183" s="3">
        <v>0</v>
      </c>
      <c r="J183" s="3">
        <v>0</v>
      </c>
      <c r="K183" s="3">
        <f t="shared" si="3"/>
        <v>2000</v>
      </c>
      <c r="L183" s="3">
        <f t="shared" si="4"/>
        <v>0</v>
      </c>
      <c r="M183" s="20" t="str">
        <f>A183&amp;L183</f>
        <v>HRL0</v>
      </c>
      <c r="N183" s="3">
        <f>F183/4</f>
        <v>2.1874999999999999E-2</v>
      </c>
      <c r="O183" s="9">
        <f>H183</f>
        <v>1.0500000000000001E-2</v>
      </c>
      <c r="P183" s="10">
        <f t="shared" si="5"/>
        <v>0</v>
      </c>
      <c r="Q183" s="10">
        <f>IF(K183=0,IF(A180=A183,AVERAGE(O180:O183),"x"),0)</f>
        <v>0</v>
      </c>
      <c r="R183" s="9">
        <f>IF(L183&gt;2005,AVERAGE(O180:O199),0)</f>
        <v>0</v>
      </c>
      <c r="S183" s="10">
        <f>IF(A183=A184,(N183-N184)/N184,0)</f>
        <v>0</v>
      </c>
      <c r="T183" s="10">
        <f>IF(L183&gt;2005,(((N183-N203)/N203)+1)^(1/5)-1,0)</f>
        <v>0</v>
      </c>
      <c r="U183" s="10">
        <f t="shared" si="6"/>
        <v>0</v>
      </c>
      <c r="V183" s="26">
        <f t="shared" si="7"/>
        <v>0</v>
      </c>
      <c r="W183" s="3">
        <f>IF(A183=A184,N183-N184,0)</f>
        <v>0</v>
      </c>
      <c r="X183" s="10">
        <f>IF(A183=A184,(N183-N184)/N184,0)</f>
        <v>0</v>
      </c>
    </row>
    <row r="184" spans="1:24" ht="16.5" customHeight="1">
      <c r="A184" s="3" t="s">
        <v>25</v>
      </c>
      <c r="B184" s="3">
        <f t="shared" si="0"/>
        <v>2000</v>
      </c>
      <c r="C184" s="3">
        <f t="shared" si="1"/>
        <v>4</v>
      </c>
      <c r="D184" s="20" t="str">
        <f t="shared" si="2"/>
        <v>HRL20004</v>
      </c>
      <c r="E184" s="2">
        <v>36634</v>
      </c>
      <c r="F184" s="3">
        <v>8.7499999999999994E-2</v>
      </c>
      <c r="G184" s="2">
        <v>36661</v>
      </c>
      <c r="H184" s="3">
        <v>1.03E-2</v>
      </c>
      <c r="I184" s="3">
        <v>-0.5</v>
      </c>
      <c r="J184" s="3">
        <v>-8.7499999999999994E-2</v>
      </c>
      <c r="K184" s="3">
        <f t="shared" si="3"/>
        <v>2000</v>
      </c>
      <c r="L184" s="3">
        <f t="shared" si="4"/>
        <v>0</v>
      </c>
      <c r="M184" s="20" t="str">
        <f>A184&amp;L184</f>
        <v>HRL0</v>
      </c>
      <c r="N184" s="3">
        <f>F184/4</f>
        <v>2.1874999999999999E-2</v>
      </c>
      <c r="O184" s="9">
        <f>H184</f>
        <v>1.03E-2</v>
      </c>
      <c r="P184" s="10">
        <f t="shared" si="5"/>
        <v>0</v>
      </c>
      <c r="Q184" s="10">
        <f>IF(K184=0,IF(A181=A184,AVERAGE(O181:O184),"x"),0)</f>
        <v>0</v>
      </c>
      <c r="R184" s="9">
        <f>IF(L184&gt;2005,AVERAGE(O181:O200),0)</f>
        <v>0</v>
      </c>
      <c r="S184" s="10">
        <f>IF(A184=A185,(N184-N185)/N185,0)</f>
        <v>0</v>
      </c>
      <c r="T184" s="10">
        <f>IF(L184&gt;2005,(((N184-N204)/N204)+1)^(1/5)-1,0)</f>
        <v>0</v>
      </c>
      <c r="U184" s="10">
        <f t="shared" si="6"/>
        <v>0</v>
      </c>
      <c r="V184" s="26">
        <f t="shared" si="7"/>
        <v>0</v>
      </c>
      <c r="W184" s="3">
        <f>IF(A184=A185,N184-N185,0)</f>
        <v>0</v>
      </c>
      <c r="X184" s="10">
        <f>IF(A184=A185,(N184-N185)/N185,0)</f>
        <v>0</v>
      </c>
    </row>
    <row r="185" spans="1:24" ht="16.5" customHeight="1">
      <c r="A185" s="14" t="s">
        <v>25</v>
      </c>
      <c r="B185" s="3">
        <f t="shared" si="0"/>
        <v>2000</v>
      </c>
      <c r="C185" s="3">
        <f t="shared" si="1"/>
        <v>1</v>
      </c>
      <c r="D185" s="20" t="str">
        <f t="shared" si="2"/>
        <v>HRL20001</v>
      </c>
      <c r="E185" s="15">
        <v>36544</v>
      </c>
      <c r="F185" s="14">
        <v>0.17499999999999999</v>
      </c>
      <c r="G185" s="15">
        <v>36571</v>
      </c>
      <c r="H185" s="14">
        <v>8.2000000000000007E-3</v>
      </c>
      <c r="I185" s="14">
        <v>0</v>
      </c>
      <c r="J185" s="14">
        <v>0</v>
      </c>
      <c r="K185" s="3">
        <f t="shared" si="3"/>
        <v>0</v>
      </c>
      <c r="L185" s="3">
        <f t="shared" si="4"/>
        <v>2000</v>
      </c>
      <c r="M185" s="20" t="str">
        <f>A185&amp;L185</f>
        <v>HRL2000</v>
      </c>
      <c r="N185" s="14">
        <f>F185/8</f>
        <v>2.1874999999999999E-2</v>
      </c>
      <c r="O185" s="9">
        <f>H185</f>
        <v>8.2000000000000007E-3</v>
      </c>
      <c r="P185" s="10">
        <f t="shared" si="5"/>
        <v>0</v>
      </c>
      <c r="Q185" s="10">
        <f>IF(K185=0,IF(A182=A185,AVERAGE(O182:O185),"x"),0)</f>
        <v>9.8999999999999991E-3</v>
      </c>
      <c r="R185" s="9">
        <f>IF(L185&gt;2005,AVERAGE(O182:O201),0)</f>
        <v>0</v>
      </c>
      <c r="S185" s="10">
        <f>IF(A185=A186,(N185-N186)/N186,0)</f>
        <v>0</v>
      </c>
      <c r="T185" s="10">
        <f>IF(L185&gt;2005,(((N185-N205)/N205)+1)^(1/5)-1,0)</f>
        <v>0</v>
      </c>
      <c r="U185" s="10">
        <f t="shared" si="6"/>
        <v>0</v>
      </c>
      <c r="V185" s="26">
        <f t="shared" si="7"/>
        <v>0</v>
      </c>
      <c r="W185" s="3">
        <f>IF(A185=A186,N185-N186,0)</f>
        <v>0</v>
      </c>
      <c r="X185" s="10">
        <f>IF(A185=A186,(N185-N186)/N186,0)</f>
        <v>0</v>
      </c>
    </row>
    <row r="186" spans="1:24" ht="16.5" customHeight="1">
      <c r="A186" s="3" t="s">
        <v>26</v>
      </c>
      <c r="B186" s="3">
        <f t="shared" si="0"/>
        <v>2022</v>
      </c>
      <c r="C186" s="3">
        <f t="shared" si="1"/>
        <v>8</v>
      </c>
      <c r="D186" s="20" t="str">
        <f t="shared" si="2"/>
        <v>EMR20228</v>
      </c>
      <c r="E186" s="2">
        <v>44784</v>
      </c>
      <c r="F186" s="3">
        <v>0.51500000000000001</v>
      </c>
      <c r="G186" s="2">
        <v>44813</v>
      </c>
      <c r="H186" s="3">
        <v>2.35E-2</v>
      </c>
      <c r="I186" s="3">
        <v>0</v>
      </c>
      <c r="J186" s="3">
        <v>0</v>
      </c>
      <c r="K186" s="3">
        <f t="shared" si="3"/>
        <v>2022</v>
      </c>
      <c r="L186" s="3">
        <f t="shared" si="4"/>
        <v>0</v>
      </c>
      <c r="M186" s="20" t="str">
        <f>A186&amp;L186</f>
        <v>EMR0</v>
      </c>
      <c r="N186" s="3">
        <f>F186</f>
        <v>0.51500000000000001</v>
      </c>
      <c r="O186" s="9">
        <f>H186</f>
        <v>2.35E-2</v>
      </c>
      <c r="P186" s="10">
        <f t="shared" si="5"/>
        <v>0</v>
      </c>
      <c r="Q186" s="10">
        <f>IF(K186=0,IF(A183=A186,AVERAGE(O183:O186),"x"),0)</f>
        <v>0</v>
      </c>
      <c r="R186" s="9">
        <f>IF(L186&gt;2005,AVERAGE(O183:O202),0)</f>
        <v>0</v>
      </c>
      <c r="S186" s="10">
        <f>IF(A186=A187,(N186-N187)/N187,0)</f>
        <v>0</v>
      </c>
      <c r="T186" s="10">
        <f>IF(L186&gt;2005,(((N186-N206)/N206)+1)^(1/5)-1,0)</f>
        <v>0</v>
      </c>
      <c r="U186" s="10">
        <f t="shared" si="6"/>
        <v>0</v>
      </c>
      <c r="V186" s="26">
        <f t="shared" si="7"/>
        <v>0</v>
      </c>
      <c r="W186" s="3">
        <f>IF(A186=A187,N186-N187,0)</f>
        <v>0</v>
      </c>
      <c r="X186" s="10">
        <f>IF(A186=A187,(N186-N187)/N187,0)</f>
        <v>0</v>
      </c>
    </row>
    <row r="187" spans="1:24" ht="16.5" customHeight="1">
      <c r="A187" s="3" t="s">
        <v>26</v>
      </c>
      <c r="B187" s="3">
        <f t="shared" si="0"/>
        <v>2022</v>
      </c>
      <c r="C187" s="3">
        <f t="shared" si="1"/>
        <v>5</v>
      </c>
      <c r="D187" s="20" t="str">
        <f t="shared" si="2"/>
        <v>EMR20225</v>
      </c>
      <c r="E187" s="2">
        <v>44693</v>
      </c>
      <c r="F187" s="3">
        <v>0.51500000000000001</v>
      </c>
      <c r="G187" s="2">
        <v>44722</v>
      </c>
      <c r="H187" s="3">
        <v>2.4799999999999999E-2</v>
      </c>
      <c r="I187" s="3">
        <v>0</v>
      </c>
      <c r="J187" s="3">
        <v>0</v>
      </c>
      <c r="K187" s="3">
        <f t="shared" si="3"/>
        <v>2022</v>
      </c>
      <c r="L187" s="3">
        <f t="shared" si="4"/>
        <v>0</v>
      </c>
      <c r="M187" s="20" t="str">
        <f>A187&amp;L187</f>
        <v>EMR0</v>
      </c>
      <c r="N187" s="3">
        <f>F187</f>
        <v>0.51500000000000001</v>
      </c>
      <c r="O187" s="9">
        <f>H187</f>
        <v>2.4799999999999999E-2</v>
      </c>
      <c r="P187" s="10">
        <f t="shared" si="5"/>
        <v>0</v>
      </c>
      <c r="Q187" s="10">
        <f>IF(K187=0,IF(A184=A187,AVERAGE(O184:O187),"x"),0)</f>
        <v>0</v>
      </c>
      <c r="R187" s="9">
        <f>IF(L187&gt;2005,AVERAGE(O184:O203),0)</f>
        <v>0</v>
      </c>
      <c r="S187" s="10">
        <f>IF(A187=A188,(N187-N188)/N188,0)</f>
        <v>0</v>
      </c>
      <c r="T187" s="10">
        <f>IF(L187&gt;2005,(((N187-N207)/N207)+1)^(1/5)-1,0)</f>
        <v>0</v>
      </c>
      <c r="U187" s="10">
        <f t="shared" si="6"/>
        <v>0</v>
      </c>
      <c r="V187" s="26">
        <f t="shared" si="7"/>
        <v>0</v>
      </c>
      <c r="W187" s="3">
        <f>IF(A187=A188,N187-N188,0)</f>
        <v>0</v>
      </c>
      <c r="X187" s="10">
        <f>IF(A187=A188,(N187-N188)/N188,0)</f>
        <v>0</v>
      </c>
    </row>
    <row r="188" spans="1:24" ht="16.5" customHeight="1">
      <c r="A188" s="3" t="s">
        <v>26</v>
      </c>
      <c r="B188" s="3">
        <f t="shared" si="0"/>
        <v>2022</v>
      </c>
      <c r="C188" s="3">
        <f t="shared" si="1"/>
        <v>2</v>
      </c>
      <c r="D188" s="20" t="str">
        <f t="shared" si="2"/>
        <v>EMR20222</v>
      </c>
      <c r="E188" s="2">
        <v>44602</v>
      </c>
      <c r="F188" s="3">
        <v>0.51500000000000001</v>
      </c>
      <c r="G188" s="2">
        <v>44630</v>
      </c>
      <c r="H188" s="3">
        <v>2.0899999999999998E-2</v>
      </c>
      <c r="I188" s="3">
        <v>0</v>
      </c>
      <c r="J188" s="3">
        <v>0</v>
      </c>
      <c r="K188" s="3">
        <f t="shared" si="3"/>
        <v>0</v>
      </c>
      <c r="L188" s="3">
        <f t="shared" si="4"/>
        <v>2022</v>
      </c>
      <c r="M188" s="20" t="str">
        <f>A188&amp;L188</f>
        <v>EMR2022</v>
      </c>
      <c r="N188" s="3">
        <f>F188</f>
        <v>0.51500000000000001</v>
      </c>
      <c r="O188" s="9">
        <f>H188</f>
        <v>2.0899999999999998E-2</v>
      </c>
      <c r="P188" s="10">
        <f t="shared" si="5"/>
        <v>0</v>
      </c>
      <c r="Q188" s="10" t="str">
        <f>IF(K188=0,IF(A185=A188,AVERAGE(O185:O188),"x"),0)</f>
        <v>x</v>
      </c>
      <c r="R188" s="9">
        <f>IF(L188&gt;2005,AVERAGE(O185:O204),0)</f>
        <v>2.5645000000000001E-2</v>
      </c>
      <c r="S188" s="10">
        <f>IF(A188=A189,(N188-N189)/N189,0)</f>
        <v>0</v>
      </c>
      <c r="T188" s="10">
        <f>IF(L188&gt;2005,(((N188-N208)/N208)+1)^(1/5)-1,0)</f>
        <v>1.4175694961439778E-2</v>
      </c>
      <c r="U188" s="10">
        <f t="shared" si="6"/>
        <v>3.9820694961439779E-2</v>
      </c>
      <c r="V188" s="26">
        <f t="shared" si="7"/>
        <v>4.6419987786684542</v>
      </c>
      <c r="W188" s="3">
        <f>IF(A188=A189,N188-N189,0)</f>
        <v>0</v>
      </c>
      <c r="X188" s="10">
        <f>IF(A188=A189,(N188-N189)/N189,0)</f>
        <v>0</v>
      </c>
    </row>
    <row r="189" spans="1:24" ht="16.5" customHeight="1">
      <c r="A189" s="3" t="s">
        <v>26</v>
      </c>
      <c r="B189" s="3">
        <f t="shared" si="0"/>
        <v>2021</v>
      </c>
      <c r="C189" s="3">
        <f t="shared" si="1"/>
        <v>11</v>
      </c>
      <c r="D189" s="20" t="str">
        <f t="shared" si="2"/>
        <v>EMR202111</v>
      </c>
      <c r="E189" s="2">
        <v>44510</v>
      </c>
      <c r="F189" s="3">
        <v>0.51500000000000001</v>
      </c>
      <c r="G189" s="2">
        <v>44540</v>
      </c>
      <c r="H189" s="3">
        <v>2.1100000000000001E-2</v>
      </c>
      <c r="I189" s="3">
        <v>1.980198E-2</v>
      </c>
      <c r="J189" s="3">
        <v>0.01</v>
      </c>
      <c r="K189" s="3">
        <f t="shared" si="3"/>
        <v>2021</v>
      </c>
      <c r="L189" s="3">
        <f t="shared" si="4"/>
        <v>0</v>
      </c>
      <c r="M189" s="20" t="str">
        <f>A189&amp;L189</f>
        <v>EMR0</v>
      </c>
      <c r="N189" s="3">
        <f>F189</f>
        <v>0.51500000000000001</v>
      </c>
      <c r="O189" s="9">
        <f>H189</f>
        <v>2.1100000000000001E-2</v>
      </c>
      <c r="P189" s="10">
        <f t="shared" si="5"/>
        <v>2.145E-2</v>
      </c>
      <c r="Q189" s="10">
        <f>IF(K189=0,IF(A186=A189,AVERAGE(O186:O189),"x"),0)</f>
        <v>0</v>
      </c>
      <c r="R189" s="9">
        <f>IF(L189&gt;2005,AVERAGE(O186:O205),0)</f>
        <v>0</v>
      </c>
      <c r="S189" s="10">
        <f>IF(A189=A190,(N189-N190)/N190,0)</f>
        <v>1.980198019801982E-2</v>
      </c>
      <c r="T189" s="10">
        <f>IF(L189&gt;2005,(((N189-N209)/N209)+1)^(1/5)-1,0)</f>
        <v>0</v>
      </c>
      <c r="U189" s="10">
        <f t="shared" si="6"/>
        <v>0</v>
      </c>
      <c r="V189" s="26">
        <f t="shared" si="7"/>
        <v>0</v>
      </c>
      <c r="W189" s="3">
        <f>IF(A189=A190,N189-N190,0)</f>
        <v>1.0000000000000009E-2</v>
      </c>
      <c r="X189" s="10">
        <f>IF(A189=A190,(N189-N190)/N190,0)</f>
        <v>1.980198019801982E-2</v>
      </c>
    </row>
    <row r="190" spans="1:24" ht="16.5" customHeight="1">
      <c r="A190" s="3" t="s">
        <v>26</v>
      </c>
      <c r="B190" s="3">
        <f t="shared" si="0"/>
        <v>2021</v>
      </c>
      <c r="C190" s="3">
        <f t="shared" si="1"/>
        <v>8</v>
      </c>
      <c r="D190" s="20" t="str">
        <f t="shared" si="2"/>
        <v>EMR20218</v>
      </c>
      <c r="E190" s="2">
        <v>44420</v>
      </c>
      <c r="F190" s="3">
        <v>0.505</v>
      </c>
      <c r="G190" s="2">
        <v>44449</v>
      </c>
      <c r="H190" s="3">
        <v>1.9400000000000001E-2</v>
      </c>
      <c r="I190" s="3">
        <v>0</v>
      </c>
      <c r="J190" s="3">
        <v>0</v>
      </c>
      <c r="K190" s="3">
        <f t="shared" si="3"/>
        <v>2021</v>
      </c>
      <c r="L190" s="3">
        <f t="shared" si="4"/>
        <v>0</v>
      </c>
      <c r="M190" s="20" t="str">
        <f>A190&amp;L190</f>
        <v>EMR0</v>
      </c>
      <c r="N190" s="3">
        <f>F190</f>
        <v>0.505</v>
      </c>
      <c r="O190" s="9">
        <f>H190</f>
        <v>1.9400000000000001E-2</v>
      </c>
      <c r="P190" s="10">
        <f t="shared" si="5"/>
        <v>0</v>
      </c>
      <c r="Q190" s="10">
        <f>IF(K190=0,IF(A187=A190,AVERAGE(O187:O190),"x"),0)</f>
        <v>0</v>
      </c>
      <c r="R190" s="9">
        <f>IF(L190&gt;2005,AVERAGE(O187:O206),0)</f>
        <v>0</v>
      </c>
      <c r="S190" s="10">
        <f>IF(A190=A191,(N190-N191)/N191,0)</f>
        <v>0</v>
      </c>
      <c r="T190" s="10">
        <f>IF(L190&gt;2005,(((N190-N210)/N210)+1)^(1/5)-1,0)</f>
        <v>0</v>
      </c>
      <c r="U190" s="10">
        <f t="shared" si="6"/>
        <v>0</v>
      </c>
      <c r="V190" s="26">
        <f t="shared" si="7"/>
        <v>0</v>
      </c>
      <c r="W190" s="3">
        <f>IF(A190=A191,N190-N191,0)</f>
        <v>0</v>
      </c>
      <c r="X190" s="10">
        <f>IF(A190=A191,(N190-N191)/N191,0)</f>
        <v>0</v>
      </c>
    </row>
    <row r="191" spans="1:24" ht="16.5" customHeight="1">
      <c r="A191" s="3" t="s">
        <v>26</v>
      </c>
      <c r="B191" s="3">
        <f t="shared" si="0"/>
        <v>2021</v>
      </c>
      <c r="C191" s="3">
        <f t="shared" si="1"/>
        <v>5</v>
      </c>
      <c r="D191" s="20" t="str">
        <f t="shared" si="2"/>
        <v>EMR20215</v>
      </c>
      <c r="E191" s="2">
        <v>44329</v>
      </c>
      <c r="F191" s="3">
        <v>0.505</v>
      </c>
      <c r="G191" s="2">
        <v>44357</v>
      </c>
      <c r="H191" s="3">
        <v>2.1600000000000001E-2</v>
      </c>
      <c r="I191" s="3">
        <v>0</v>
      </c>
      <c r="J191" s="3">
        <v>0</v>
      </c>
      <c r="K191" s="3">
        <f t="shared" si="3"/>
        <v>2021</v>
      </c>
      <c r="L191" s="3">
        <f t="shared" si="4"/>
        <v>0</v>
      </c>
      <c r="M191" s="20" t="str">
        <f>A191&amp;L191</f>
        <v>EMR0</v>
      </c>
      <c r="N191" s="3">
        <f>F191</f>
        <v>0.505</v>
      </c>
      <c r="O191" s="9">
        <f>H191</f>
        <v>2.1600000000000001E-2</v>
      </c>
      <c r="P191" s="10">
        <f t="shared" si="5"/>
        <v>0</v>
      </c>
      <c r="Q191" s="10">
        <f>IF(K191=0,IF(A188=A191,AVERAGE(O188:O191),"x"),0)</f>
        <v>0</v>
      </c>
      <c r="R191" s="9">
        <f>IF(L191&gt;2005,AVERAGE(O188:O207),0)</f>
        <v>0</v>
      </c>
      <c r="S191" s="10">
        <f>IF(A191=A192,(N191-N192)/N192,0)</f>
        <v>0</v>
      </c>
      <c r="T191" s="10">
        <f>IF(L191&gt;2005,(((N191-N211)/N211)+1)^(1/5)-1,0)</f>
        <v>0</v>
      </c>
      <c r="U191" s="10">
        <f t="shared" si="6"/>
        <v>0</v>
      </c>
      <c r="V191" s="26">
        <f t="shared" si="7"/>
        <v>0</v>
      </c>
      <c r="W191" s="3">
        <f>IF(A191=A192,N191-N192,0)</f>
        <v>0</v>
      </c>
      <c r="X191" s="10">
        <f>IF(A191=A192,(N191-N192)/N192,0)</f>
        <v>0</v>
      </c>
    </row>
    <row r="192" spans="1:24" ht="16.5" customHeight="1">
      <c r="A192" s="3" t="s">
        <v>26</v>
      </c>
      <c r="B192" s="3">
        <f t="shared" si="0"/>
        <v>2021</v>
      </c>
      <c r="C192" s="3">
        <f t="shared" si="1"/>
        <v>2</v>
      </c>
      <c r="D192" s="20" t="str">
        <f t="shared" si="2"/>
        <v>EMR20212</v>
      </c>
      <c r="E192" s="2">
        <v>44238</v>
      </c>
      <c r="F192" s="3">
        <v>0.505</v>
      </c>
      <c r="G192" s="2">
        <v>44265</v>
      </c>
      <c r="H192" s="3">
        <v>2.3699999999999999E-2</v>
      </c>
      <c r="I192" s="3">
        <v>0</v>
      </c>
      <c r="J192" s="3">
        <v>0</v>
      </c>
      <c r="K192" s="3">
        <f t="shared" si="3"/>
        <v>0</v>
      </c>
      <c r="L192" s="3">
        <f t="shared" si="4"/>
        <v>2021</v>
      </c>
      <c r="M192" s="20" t="str">
        <f>A192&amp;L192</f>
        <v>EMR2021</v>
      </c>
      <c r="N192" s="3">
        <f>F192</f>
        <v>0.505</v>
      </c>
      <c r="O192" s="9">
        <f>H192</f>
        <v>2.3699999999999999E-2</v>
      </c>
      <c r="P192" s="10">
        <f t="shared" si="5"/>
        <v>0</v>
      </c>
      <c r="Q192" s="10">
        <f>IF(K192=0,IF(A189=A192,AVERAGE(O189:O192),"x"),0)</f>
        <v>2.145E-2</v>
      </c>
      <c r="R192" s="9">
        <f>IF(L192&gt;2005,AVERAGE(O189:O208),0)</f>
        <v>2.8119999999999999E-2</v>
      </c>
      <c r="S192" s="10">
        <f>IF(A192=A193,(N192-N193)/N193,0)</f>
        <v>0</v>
      </c>
      <c r="T192" s="10">
        <f>IF(L192&gt;2005,(((N192-N212)/N212)+1)^(1/5)-1,0)</f>
        <v>1.2324047902942281E-2</v>
      </c>
      <c r="U192" s="10">
        <f t="shared" si="6"/>
        <v>4.044404790294228E-2</v>
      </c>
      <c r="V192" s="26">
        <f t="shared" si="7"/>
        <v>4.6089123198777804</v>
      </c>
      <c r="W192" s="3">
        <f>IF(A192=A193,N192-N193,0)</f>
        <v>0</v>
      </c>
      <c r="X192" s="10">
        <f>IF(A192=A193,(N192-N193)/N193,0)</f>
        <v>0</v>
      </c>
    </row>
    <row r="193" spans="1:24" ht="16.5" customHeight="1">
      <c r="A193" s="3" t="s">
        <v>26</v>
      </c>
      <c r="B193" s="3">
        <f t="shared" si="0"/>
        <v>2020</v>
      </c>
      <c r="C193" s="3">
        <f t="shared" si="1"/>
        <v>11</v>
      </c>
      <c r="D193" s="20" t="str">
        <f t="shared" si="2"/>
        <v>EMR202011</v>
      </c>
      <c r="E193" s="2">
        <v>44147</v>
      </c>
      <c r="F193" s="3">
        <v>0.505</v>
      </c>
      <c r="G193" s="2">
        <v>44175</v>
      </c>
      <c r="H193" s="3">
        <v>2.7E-2</v>
      </c>
      <c r="I193" s="3">
        <v>0.01</v>
      </c>
      <c r="J193" s="3">
        <v>5.0000000000000001E-3</v>
      </c>
      <c r="K193" s="3">
        <f t="shared" si="3"/>
        <v>2020</v>
      </c>
      <c r="L193" s="3">
        <f t="shared" si="4"/>
        <v>0</v>
      </c>
      <c r="M193" s="20" t="str">
        <f>A193&amp;L193</f>
        <v>EMR0</v>
      </c>
      <c r="N193" s="3">
        <f>F193</f>
        <v>0.505</v>
      </c>
      <c r="O193" s="9">
        <f>H193</f>
        <v>2.7E-2</v>
      </c>
      <c r="P193" s="10">
        <f t="shared" si="5"/>
        <v>2.9975000000000002E-2</v>
      </c>
      <c r="Q193" s="10">
        <f>IF(K193=0,IF(A190=A193,AVERAGE(O190:O193),"x"),0)</f>
        <v>0</v>
      </c>
      <c r="R193" s="9">
        <f>IF(L193&gt;2005,AVERAGE(O190:O209),0)</f>
        <v>0</v>
      </c>
      <c r="S193" s="10">
        <f>IF(A193=A194,(N193-N194)/N194,0)</f>
        <v>1.0000000000000009E-2</v>
      </c>
      <c r="T193" s="10">
        <f>IF(L193&gt;2005,(((N193-N213)/N213)+1)^(1/5)-1,0)</f>
        <v>0</v>
      </c>
      <c r="U193" s="10">
        <f t="shared" si="6"/>
        <v>0</v>
      </c>
      <c r="V193" s="26">
        <f t="shared" si="7"/>
        <v>0</v>
      </c>
      <c r="W193" s="3">
        <f>IF(A193=A194,N193-N194,0)</f>
        <v>5.0000000000000044E-3</v>
      </c>
      <c r="X193" s="10">
        <f>IF(A193=A194,(N193-N194)/N194,0)</f>
        <v>1.0000000000000009E-2</v>
      </c>
    </row>
    <row r="194" spans="1:24" ht="16.5" customHeight="1">
      <c r="A194" s="3" t="s">
        <v>26</v>
      </c>
      <c r="B194" s="3">
        <f t="shared" si="0"/>
        <v>2020</v>
      </c>
      <c r="C194" s="3">
        <f t="shared" si="1"/>
        <v>8</v>
      </c>
      <c r="D194" s="20" t="str">
        <f t="shared" si="2"/>
        <v>EMR20208</v>
      </c>
      <c r="E194" s="2">
        <v>44056</v>
      </c>
      <c r="F194" s="3">
        <v>0.5</v>
      </c>
      <c r="G194" s="2">
        <v>44084</v>
      </c>
      <c r="H194" s="3">
        <v>2.7900000000000001E-2</v>
      </c>
      <c r="I194" s="3">
        <v>0</v>
      </c>
      <c r="J194" s="3">
        <v>0</v>
      </c>
      <c r="K194" s="3">
        <f t="shared" si="3"/>
        <v>2020</v>
      </c>
      <c r="L194" s="3">
        <f t="shared" si="4"/>
        <v>0</v>
      </c>
      <c r="M194" s="20" t="str">
        <f>A194&amp;L194</f>
        <v>EMR0</v>
      </c>
      <c r="N194" s="3">
        <f>F194</f>
        <v>0.5</v>
      </c>
      <c r="O194" s="9">
        <f>H194</f>
        <v>2.7900000000000001E-2</v>
      </c>
      <c r="P194" s="10">
        <f t="shared" si="5"/>
        <v>0</v>
      </c>
      <c r="Q194" s="10">
        <f>IF(K194=0,IF(A191=A194,AVERAGE(O191:O194),"x"),0)</f>
        <v>0</v>
      </c>
      <c r="R194" s="9">
        <f>IF(L194&gt;2005,AVERAGE(O191:O210),0)</f>
        <v>0</v>
      </c>
      <c r="S194" s="10">
        <f>IF(A194=A195,(N194-N195)/N195,0)</f>
        <v>0</v>
      </c>
      <c r="T194" s="10">
        <f>IF(L194&gt;2005,(((N194-N214)/N214)+1)^(1/5)-1,0)</f>
        <v>0</v>
      </c>
      <c r="U194" s="10">
        <f t="shared" si="6"/>
        <v>0</v>
      </c>
      <c r="V194" s="26">
        <f t="shared" si="7"/>
        <v>0</v>
      </c>
      <c r="W194" s="3">
        <f>IF(A194=A195,N194-N195,0)</f>
        <v>0</v>
      </c>
      <c r="X194" s="10">
        <f>IF(A194=A195,(N194-N195)/N195,0)</f>
        <v>0</v>
      </c>
    </row>
    <row r="195" spans="1:24" ht="16.5" customHeight="1">
      <c r="A195" s="3" t="s">
        <v>26</v>
      </c>
      <c r="B195" s="3">
        <f t="shared" si="0"/>
        <v>2020</v>
      </c>
      <c r="C195" s="3">
        <f t="shared" si="1"/>
        <v>5</v>
      </c>
      <c r="D195" s="20" t="str">
        <f t="shared" si="2"/>
        <v>EMR20205</v>
      </c>
      <c r="E195" s="2">
        <v>43965</v>
      </c>
      <c r="F195" s="3">
        <v>0.5</v>
      </c>
      <c r="G195" s="2">
        <v>43992</v>
      </c>
      <c r="H195" s="3">
        <v>3.85E-2</v>
      </c>
      <c r="I195" s="3">
        <v>0</v>
      </c>
      <c r="J195" s="3">
        <v>0</v>
      </c>
      <c r="K195" s="3">
        <f t="shared" si="3"/>
        <v>2020</v>
      </c>
      <c r="L195" s="3">
        <f t="shared" si="4"/>
        <v>0</v>
      </c>
      <c r="M195" s="20" t="str">
        <f>A195&amp;L195</f>
        <v>EMR0</v>
      </c>
      <c r="N195" s="3">
        <f>F195</f>
        <v>0.5</v>
      </c>
      <c r="O195" s="9">
        <f>H195</f>
        <v>3.85E-2</v>
      </c>
      <c r="P195" s="10">
        <f t="shared" si="5"/>
        <v>0</v>
      </c>
      <c r="Q195" s="10">
        <f>IF(K195=0,IF(A192=A195,AVERAGE(O192:O195),"x"),0)</f>
        <v>0</v>
      </c>
      <c r="R195" s="9">
        <f>IF(L195&gt;2005,AVERAGE(O192:O211),0)</f>
        <v>0</v>
      </c>
      <c r="S195" s="10">
        <f>IF(A195=A196,(N195-N196)/N196,0)</f>
        <v>0</v>
      </c>
      <c r="T195" s="10">
        <f>IF(L195&gt;2005,(((N195-N215)/N215)+1)^(1/5)-1,0)</f>
        <v>0</v>
      </c>
      <c r="U195" s="10">
        <f t="shared" si="6"/>
        <v>0</v>
      </c>
      <c r="V195" s="26">
        <f t="shared" si="7"/>
        <v>0</v>
      </c>
      <c r="W195" s="3">
        <f>IF(A195=A196,N195-N196,0)</f>
        <v>0</v>
      </c>
      <c r="X195" s="10">
        <f>IF(A195=A196,(N195-N196)/N196,0)</f>
        <v>0</v>
      </c>
    </row>
    <row r="196" spans="1:24" ht="16.5" customHeight="1">
      <c r="A196" s="3" t="s">
        <v>26</v>
      </c>
      <c r="B196" s="3">
        <f t="shared" si="0"/>
        <v>2020</v>
      </c>
      <c r="C196" s="3">
        <f t="shared" si="1"/>
        <v>2</v>
      </c>
      <c r="D196" s="20" t="str">
        <f t="shared" si="2"/>
        <v>EMR20202</v>
      </c>
      <c r="E196" s="2">
        <v>43874</v>
      </c>
      <c r="F196" s="3">
        <v>0.5</v>
      </c>
      <c r="G196" s="2">
        <v>43900</v>
      </c>
      <c r="H196" s="3">
        <v>2.6499999999999999E-2</v>
      </c>
      <c r="I196" s="3">
        <v>0</v>
      </c>
      <c r="J196" s="3">
        <v>0</v>
      </c>
      <c r="K196" s="3">
        <f t="shared" si="3"/>
        <v>0</v>
      </c>
      <c r="L196" s="3">
        <f t="shared" si="4"/>
        <v>2020</v>
      </c>
      <c r="M196" s="20" t="str">
        <f>A196&amp;L196</f>
        <v>EMR2020</v>
      </c>
      <c r="N196" s="3">
        <f>F196</f>
        <v>0.5</v>
      </c>
      <c r="O196" s="9">
        <f>H196</f>
        <v>2.6499999999999999E-2</v>
      </c>
      <c r="P196" s="10">
        <f t="shared" si="5"/>
        <v>0</v>
      </c>
      <c r="Q196" s="10">
        <f>IF(K196=0,IF(A193=A196,AVERAGE(O193:O196),"x"),0)</f>
        <v>2.9975000000000002E-2</v>
      </c>
      <c r="R196" s="9">
        <f>IF(L196&gt;2005,AVERAGE(O193:O212),0)</f>
        <v>3.1285E-2</v>
      </c>
      <c r="S196" s="10">
        <f>IF(A196=A197,(N196-N197)/N197,0)</f>
        <v>0</v>
      </c>
      <c r="T196" s="10">
        <f>IF(L196&gt;2005,(((N196-N216)/N216)+1)^(1/5)-1,0)</f>
        <v>1.2451968893662624E-2</v>
      </c>
      <c r="U196" s="10">
        <f t="shared" si="6"/>
        <v>4.3736968893662624E-2</v>
      </c>
      <c r="V196" s="26">
        <f t="shared" si="7"/>
        <v>4.5679593120316246</v>
      </c>
      <c r="W196" s="3">
        <f>IF(A196=A197,N196-N197,0)</f>
        <v>0</v>
      </c>
      <c r="X196" s="10">
        <f>IF(A196=A197,(N196-N197)/N197,0)</f>
        <v>0</v>
      </c>
    </row>
    <row r="197" spans="1:24" ht="16.5" customHeight="1">
      <c r="A197" s="3" t="s">
        <v>26</v>
      </c>
      <c r="B197" s="3">
        <f t="shared" si="0"/>
        <v>2019</v>
      </c>
      <c r="C197" s="3">
        <f t="shared" si="1"/>
        <v>11</v>
      </c>
      <c r="D197" s="20" t="str">
        <f t="shared" si="2"/>
        <v>EMR201911</v>
      </c>
      <c r="E197" s="2">
        <v>43783</v>
      </c>
      <c r="F197" s="3">
        <v>0.5</v>
      </c>
      <c r="G197" s="2">
        <v>43809</v>
      </c>
      <c r="H197" s="3">
        <v>2.7199999999999998E-2</v>
      </c>
      <c r="I197" s="3">
        <v>2.0408163E-2</v>
      </c>
      <c r="J197" s="3">
        <v>0.01</v>
      </c>
      <c r="K197" s="3">
        <f t="shared" si="3"/>
        <v>2019</v>
      </c>
      <c r="L197" s="3">
        <f t="shared" si="4"/>
        <v>0</v>
      </c>
      <c r="M197" s="20" t="str">
        <f>A197&amp;L197</f>
        <v>EMR0</v>
      </c>
      <c r="N197" s="3">
        <f>F197</f>
        <v>0.5</v>
      </c>
      <c r="O197" s="9">
        <f>H197</f>
        <v>2.7199999999999998E-2</v>
      </c>
      <c r="P197" s="10">
        <f t="shared" si="5"/>
        <v>3.0025E-2</v>
      </c>
      <c r="Q197" s="10">
        <f>IF(K197=0,IF(A194=A197,AVERAGE(O194:O197),"x"),0)</f>
        <v>0</v>
      </c>
      <c r="R197" s="9">
        <f>IF(L197&gt;2005,AVERAGE(O194:O213),0)</f>
        <v>0</v>
      </c>
      <c r="S197" s="10">
        <f>IF(A197=A198,(N197-N198)/N198,0)</f>
        <v>2.0408163265306142E-2</v>
      </c>
      <c r="T197" s="10">
        <f>IF(L197&gt;2005,(((N197-N217)/N217)+1)^(1/5)-1,0)</f>
        <v>0</v>
      </c>
      <c r="U197" s="10">
        <f t="shared" si="6"/>
        <v>0</v>
      </c>
      <c r="V197" s="26">
        <f t="shared" si="7"/>
        <v>0</v>
      </c>
      <c r="W197" s="3">
        <f>IF(A197=A198,N197-N198,0)</f>
        <v>1.0000000000000009E-2</v>
      </c>
      <c r="X197" s="10">
        <f>IF(A197=A198,(N197-N198)/N198,0)</f>
        <v>2.0408163265306142E-2</v>
      </c>
    </row>
    <row r="198" spans="1:24" ht="16.5" customHeight="1">
      <c r="A198" s="3" t="s">
        <v>26</v>
      </c>
      <c r="B198" s="3">
        <f t="shared" si="0"/>
        <v>2019</v>
      </c>
      <c r="C198" s="3">
        <f t="shared" si="1"/>
        <v>8</v>
      </c>
      <c r="D198" s="20" t="str">
        <f t="shared" si="2"/>
        <v>EMR20198</v>
      </c>
      <c r="E198" s="2">
        <v>43692</v>
      </c>
      <c r="F198" s="3">
        <v>0.49</v>
      </c>
      <c r="G198" s="2">
        <v>43718</v>
      </c>
      <c r="H198" s="3">
        <v>3.4299999999999997E-2</v>
      </c>
      <c r="I198" s="3">
        <v>0</v>
      </c>
      <c r="J198" s="3">
        <v>0</v>
      </c>
      <c r="K198" s="3">
        <f t="shared" si="3"/>
        <v>2019</v>
      </c>
      <c r="L198" s="3">
        <f t="shared" si="4"/>
        <v>0</v>
      </c>
      <c r="M198" s="20" t="str">
        <f>A198&amp;L198</f>
        <v>EMR0</v>
      </c>
      <c r="N198" s="3">
        <f>F198</f>
        <v>0.49</v>
      </c>
      <c r="O198" s="9">
        <f>H198</f>
        <v>3.4299999999999997E-2</v>
      </c>
      <c r="P198" s="10">
        <f t="shared" si="5"/>
        <v>0</v>
      </c>
      <c r="Q198" s="10">
        <f>IF(K198=0,IF(A195=A198,AVERAGE(O195:O198),"x"),0)</f>
        <v>0</v>
      </c>
      <c r="R198" s="9">
        <f>IF(L198&gt;2005,AVERAGE(O195:O214),0)</f>
        <v>0</v>
      </c>
      <c r="S198" s="10">
        <f>IF(A198=A199,(N198-N199)/N199,0)</f>
        <v>0</v>
      </c>
      <c r="T198" s="10">
        <f>IF(L198&gt;2005,(((N198-N218)/N218)+1)^(1/5)-1,0)</f>
        <v>0</v>
      </c>
      <c r="U198" s="10">
        <f t="shared" si="6"/>
        <v>0</v>
      </c>
      <c r="V198" s="26">
        <f t="shared" si="7"/>
        <v>0</v>
      </c>
      <c r="W198" s="3">
        <f>IF(A198=A199,N198-N199,0)</f>
        <v>0</v>
      </c>
      <c r="X198" s="10">
        <f>IF(A198=A199,(N198-N199)/N199,0)</f>
        <v>0</v>
      </c>
    </row>
    <row r="199" spans="1:24" ht="16.5" customHeight="1">
      <c r="A199" s="3" t="s">
        <v>26</v>
      </c>
      <c r="B199" s="3">
        <f t="shared" si="0"/>
        <v>2019</v>
      </c>
      <c r="C199" s="3">
        <f t="shared" si="1"/>
        <v>5</v>
      </c>
      <c r="D199" s="20" t="str">
        <f t="shared" si="2"/>
        <v>EMR20195</v>
      </c>
      <c r="E199" s="2">
        <v>43601</v>
      </c>
      <c r="F199" s="3">
        <v>0.49</v>
      </c>
      <c r="G199" s="2">
        <v>43626</v>
      </c>
      <c r="H199" s="3">
        <v>2.9899999999999999E-2</v>
      </c>
      <c r="I199" s="3">
        <v>0</v>
      </c>
      <c r="J199" s="3">
        <v>0</v>
      </c>
      <c r="K199" s="3">
        <f t="shared" si="3"/>
        <v>2019</v>
      </c>
      <c r="L199" s="3">
        <f t="shared" si="4"/>
        <v>0</v>
      </c>
      <c r="M199" s="20" t="str">
        <f>A199&amp;L199</f>
        <v>EMR0</v>
      </c>
      <c r="N199" s="3">
        <f>F199</f>
        <v>0.49</v>
      </c>
      <c r="O199" s="9">
        <f>H199</f>
        <v>2.9899999999999999E-2</v>
      </c>
      <c r="P199" s="10">
        <f t="shared" si="5"/>
        <v>0</v>
      </c>
      <c r="Q199" s="10">
        <f>IF(K199=0,IF(A196=A199,AVERAGE(O196:O199),"x"),0)</f>
        <v>0</v>
      </c>
      <c r="R199" s="9">
        <f>IF(L199&gt;2005,AVERAGE(O196:O215),0)</f>
        <v>0</v>
      </c>
      <c r="S199" s="10">
        <f>IF(A199=A200,(N199-N200)/N200,0)</f>
        <v>0</v>
      </c>
      <c r="T199" s="10">
        <f>IF(L199&gt;2005,(((N199-N219)/N219)+1)^(1/5)-1,0)</f>
        <v>0</v>
      </c>
      <c r="U199" s="10">
        <f t="shared" si="6"/>
        <v>0</v>
      </c>
      <c r="V199" s="26">
        <f t="shared" si="7"/>
        <v>0</v>
      </c>
      <c r="W199" s="3">
        <f>IF(A199=A200,N199-N200,0)</f>
        <v>0</v>
      </c>
      <c r="X199" s="10">
        <f>IF(A199=A200,(N199-N200)/N200,0)</f>
        <v>0</v>
      </c>
    </row>
    <row r="200" spans="1:24" ht="16.5" customHeight="1">
      <c r="A200" s="3" t="s">
        <v>26</v>
      </c>
      <c r="B200" s="3">
        <f t="shared" si="0"/>
        <v>2019</v>
      </c>
      <c r="C200" s="3">
        <f t="shared" si="1"/>
        <v>2</v>
      </c>
      <c r="D200" s="20" t="str">
        <f t="shared" si="2"/>
        <v>EMR20192</v>
      </c>
      <c r="E200" s="2">
        <v>43510</v>
      </c>
      <c r="F200" s="3">
        <v>0.49</v>
      </c>
      <c r="G200" s="2">
        <v>43535</v>
      </c>
      <c r="H200" s="3">
        <v>2.87E-2</v>
      </c>
      <c r="I200" s="3">
        <v>0</v>
      </c>
      <c r="J200" s="3">
        <v>0</v>
      </c>
      <c r="K200" s="3">
        <f t="shared" si="3"/>
        <v>0</v>
      </c>
      <c r="L200" s="3">
        <f t="shared" si="4"/>
        <v>2019</v>
      </c>
      <c r="M200" s="20" t="str">
        <f>A200&amp;L200</f>
        <v>EMR2019</v>
      </c>
      <c r="N200" s="3">
        <f>F200</f>
        <v>0.49</v>
      </c>
      <c r="O200" s="9">
        <f>H200</f>
        <v>2.87E-2</v>
      </c>
      <c r="P200" s="10">
        <f t="shared" si="5"/>
        <v>0</v>
      </c>
      <c r="Q200" s="10">
        <f>IF(K200=0,IF(A197=A200,AVERAGE(O197:O200),"x"),0)</f>
        <v>3.0025E-2</v>
      </c>
      <c r="R200" s="9">
        <f>IF(L200&gt;2005,AVERAGE(O197:O216),0)</f>
        <v>3.2240000000000005E-2</v>
      </c>
      <c r="S200" s="10">
        <f>IF(A200=A201,(N200-N201)/N201,0)</f>
        <v>0</v>
      </c>
      <c r="T200" s="10">
        <f>IF(L200&gt;2005,(((N200-N220)/N220)+1)^(1/5)-1,0)</f>
        <v>2.6468260090952711E-2</v>
      </c>
      <c r="U200" s="10">
        <f t="shared" si="6"/>
        <v>5.8708260090952716E-2</v>
      </c>
      <c r="V200" s="26">
        <f t="shared" si="7"/>
        <v>4.5613452152548115</v>
      </c>
      <c r="W200" s="3">
        <f>IF(A200=A201,N200-N201,0)</f>
        <v>0</v>
      </c>
      <c r="X200" s="10">
        <f>IF(A200=A201,(N200-N201)/N201,0)</f>
        <v>0</v>
      </c>
    </row>
    <row r="201" spans="1:24" ht="16.5" customHeight="1">
      <c r="A201" s="3" t="s">
        <v>26</v>
      </c>
      <c r="B201" s="3">
        <f t="shared" si="0"/>
        <v>2018</v>
      </c>
      <c r="C201" s="3">
        <f t="shared" si="1"/>
        <v>11</v>
      </c>
      <c r="D201" s="20" t="str">
        <f t="shared" si="2"/>
        <v>EMR201811</v>
      </c>
      <c r="E201" s="2">
        <v>43419</v>
      </c>
      <c r="F201" s="3">
        <v>0.49</v>
      </c>
      <c r="G201" s="2">
        <v>43444</v>
      </c>
      <c r="H201" s="3">
        <v>2.9100000000000001E-2</v>
      </c>
      <c r="I201" s="3">
        <v>1.0309278E-2</v>
      </c>
      <c r="J201" s="3">
        <v>5.0000000000000001E-3</v>
      </c>
      <c r="K201" s="3">
        <f t="shared" si="3"/>
        <v>2018</v>
      </c>
      <c r="L201" s="3">
        <f t="shared" si="4"/>
        <v>0</v>
      </c>
      <c r="M201" s="20" t="str">
        <f>A201&amp;L201</f>
        <v>EMR0</v>
      </c>
      <c r="N201" s="3">
        <f>F201</f>
        <v>0.49</v>
      </c>
      <c r="O201" s="9">
        <f>H201</f>
        <v>2.9100000000000001E-2</v>
      </c>
      <c r="P201" s="10">
        <f t="shared" si="5"/>
        <v>2.7425000000000001E-2</v>
      </c>
      <c r="Q201" s="10">
        <f>IF(K201=0,IF(A198=A201,AVERAGE(O198:O201),"x"),0)</f>
        <v>0</v>
      </c>
      <c r="R201" s="9">
        <f>IF(L201&gt;2005,AVERAGE(O198:O217),0)</f>
        <v>0</v>
      </c>
      <c r="S201" s="10">
        <f>IF(A201=A202,(N201-N202)/N202,0)</f>
        <v>1.0309278350515474E-2</v>
      </c>
      <c r="T201" s="10">
        <f>IF(L201&gt;2005,(((N201-N221)/N221)+1)^(1/5)-1,0)</f>
        <v>0</v>
      </c>
      <c r="U201" s="10">
        <f t="shared" si="6"/>
        <v>0</v>
      </c>
      <c r="V201" s="26">
        <f t="shared" si="7"/>
        <v>0</v>
      </c>
      <c r="W201" s="3">
        <f>IF(A201=A202,N201-N202,0)</f>
        <v>5.0000000000000044E-3</v>
      </c>
      <c r="X201" s="10">
        <f>IF(A201=A202,(N201-N202)/N202,0)</f>
        <v>1.0309278350515474E-2</v>
      </c>
    </row>
    <row r="202" spans="1:24" ht="16.5" customHeight="1">
      <c r="A202" s="3" t="s">
        <v>26</v>
      </c>
      <c r="B202" s="3">
        <f t="shared" si="0"/>
        <v>2018</v>
      </c>
      <c r="C202" s="3">
        <f t="shared" si="1"/>
        <v>8</v>
      </c>
      <c r="D202" s="20" t="str">
        <f t="shared" si="2"/>
        <v>EMR20188</v>
      </c>
      <c r="E202" s="2">
        <v>43328</v>
      </c>
      <c r="F202" s="3">
        <v>0.48499999999999999</v>
      </c>
      <c r="G202" s="2">
        <v>43353</v>
      </c>
      <c r="H202" s="3">
        <v>2.64E-2</v>
      </c>
      <c r="I202" s="3">
        <v>0</v>
      </c>
      <c r="J202" s="3">
        <v>0</v>
      </c>
      <c r="K202" s="3">
        <f t="shared" si="3"/>
        <v>2018</v>
      </c>
      <c r="L202" s="3">
        <f t="shared" si="4"/>
        <v>0</v>
      </c>
      <c r="M202" s="20" t="str">
        <f>A202&amp;L202</f>
        <v>EMR0</v>
      </c>
      <c r="N202" s="3">
        <f>F202</f>
        <v>0.48499999999999999</v>
      </c>
      <c r="O202" s="9">
        <f>H202</f>
        <v>2.64E-2</v>
      </c>
      <c r="P202" s="10">
        <f t="shared" si="5"/>
        <v>0</v>
      </c>
      <c r="Q202" s="10">
        <f>IF(K202=0,IF(A199=A202,AVERAGE(O199:O202),"x"),0)</f>
        <v>0</v>
      </c>
      <c r="R202" s="9">
        <f>IF(L202&gt;2005,AVERAGE(O199:O218),0)</f>
        <v>0</v>
      </c>
      <c r="S202" s="10">
        <f>IF(A202=A203,(N202-N203)/N203,0)</f>
        <v>0</v>
      </c>
      <c r="T202" s="10">
        <f>IF(L202&gt;2005,(((N202-N222)/N222)+1)^(1/5)-1,0)</f>
        <v>0</v>
      </c>
      <c r="U202" s="10">
        <f t="shared" si="6"/>
        <v>0</v>
      </c>
      <c r="V202" s="26">
        <f t="shared" si="7"/>
        <v>0</v>
      </c>
      <c r="W202" s="3">
        <f>IF(A202=A203,N202-N203,0)</f>
        <v>0</v>
      </c>
      <c r="X202" s="10">
        <f>IF(A202=A203,(N202-N203)/N203,0)</f>
        <v>0</v>
      </c>
    </row>
    <row r="203" spans="1:24" ht="16.5" customHeight="1">
      <c r="A203" s="3" t="s">
        <v>26</v>
      </c>
      <c r="B203" s="3">
        <f t="shared" si="0"/>
        <v>2018</v>
      </c>
      <c r="C203" s="3">
        <f t="shared" si="1"/>
        <v>5</v>
      </c>
      <c r="D203" s="20" t="str">
        <f t="shared" si="2"/>
        <v>EMR20185</v>
      </c>
      <c r="E203" s="2">
        <v>43230</v>
      </c>
      <c r="F203" s="3">
        <v>0.48499999999999999</v>
      </c>
      <c r="G203" s="2">
        <v>43262</v>
      </c>
      <c r="H203" s="3">
        <v>2.7E-2</v>
      </c>
      <c r="I203" s="3">
        <v>0</v>
      </c>
      <c r="J203" s="3">
        <v>0</v>
      </c>
      <c r="K203" s="3">
        <f t="shared" si="3"/>
        <v>2018</v>
      </c>
      <c r="L203" s="3">
        <f t="shared" si="4"/>
        <v>0</v>
      </c>
      <c r="M203" s="20" t="str">
        <f>A203&amp;L203</f>
        <v>EMR0</v>
      </c>
      <c r="N203" s="3">
        <f>F203</f>
        <v>0.48499999999999999</v>
      </c>
      <c r="O203" s="9">
        <f>H203</f>
        <v>2.7E-2</v>
      </c>
      <c r="P203" s="10">
        <f t="shared" si="5"/>
        <v>0</v>
      </c>
      <c r="Q203" s="10">
        <f>IF(K203=0,IF(A200=A203,AVERAGE(O200:O203),"x"),0)</f>
        <v>0</v>
      </c>
      <c r="R203" s="9">
        <f>IF(L203&gt;2005,AVERAGE(O200:O219),0)</f>
        <v>0</v>
      </c>
      <c r="S203" s="10">
        <f>IF(A203=A204,(N203-N204)/N204,0)</f>
        <v>0</v>
      </c>
      <c r="T203" s="10">
        <f>IF(L203&gt;2005,(((N203-N223)/N223)+1)^(1/5)-1,0)</f>
        <v>0</v>
      </c>
      <c r="U203" s="10">
        <f t="shared" si="6"/>
        <v>0</v>
      </c>
      <c r="V203" s="26">
        <f t="shared" si="7"/>
        <v>0</v>
      </c>
      <c r="W203" s="3">
        <f>IF(A203=A204,N203-N204,0)</f>
        <v>0</v>
      </c>
      <c r="X203" s="10">
        <f>IF(A203=A204,(N203-N204)/N204,0)</f>
        <v>0</v>
      </c>
    </row>
    <row r="204" spans="1:24" ht="16.5" customHeight="1">
      <c r="A204" s="3" t="s">
        <v>26</v>
      </c>
      <c r="B204" s="3">
        <f t="shared" si="0"/>
        <v>2018</v>
      </c>
      <c r="C204" s="3">
        <f t="shared" si="1"/>
        <v>2</v>
      </c>
      <c r="D204" s="20" t="str">
        <f t="shared" si="2"/>
        <v>EMR20182</v>
      </c>
      <c r="E204" s="2">
        <v>43146</v>
      </c>
      <c r="F204" s="3">
        <v>0.48499999999999999</v>
      </c>
      <c r="G204" s="2">
        <v>43168</v>
      </c>
      <c r="H204" s="3">
        <v>2.7199999999999998E-2</v>
      </c>
      <c r="I204" s="3">
        <v>0</v>
      </c>
      <c r="J204" s="3">
        <v>0</v>
      </c>
      <c r="K204" s="3">
        <f t="shared" si="3"/>
        <v>0</v>
      </c>
      <c r="L204" s="3">
        <f t="shared" si="4"/>
        <v>2018</v>
      </c>
      <c r="M204" s="20" t="str">
        <f>A204&amp;L204</f>
        <v>EMR2018</v>
      </c>
      <c r="N204" s="3">
        <f>F204</f>
        <v>0.48499999999999999</v>
      </c>
      <c r="O204" s="9">
        <f>H204</f>
        <v>2.7199999999999998E-2</v>
      </c>
      <c r="P204" s="10">
        <f t="shared" si="5"/>
        <v>0</v>
      </c>
      <c r="Q204" s="10">
        <f>IF(K204=0,IF(A201=A204,AVERAGE(O201:O204),"x"),0)</f>
        <v>2.7425000000000001E-2</v>
      </c>
      <c r="R204" s="9">
        <f>IF(L204&gt;2005,AVERAGE(O201:O220),0)</f>
        <v>3.1509999999999996E-2</v>
      </c>
      <c r="S204" s="10">
        <f>IF(A204=A205,(N204-N205)/N205,0)</f>
        <v>0</v>
      </c>
      <c r="T204" s="10">
        <f>IF(L204&gt;2005,(((N204-N224)/N224)+1)^(1/5)-1,0)</f>
        <v>3.4169145380274157E-2</v>
      </c>
      <c r="U204" s="10">
        <f t="shared" si="6"/>
        <v>6.5679145380274154E-2</v>
      </c>
      <c r="V204" s="26">
        <f t="shared" si="7"/>
        <v>4.5735821538194497</v>
      </c>
      <c r="W204" s="3">
        <f>IF(A204=A205,N204-N205,0)</f>
        <v>0</v>
      </c>
      <c r="X204" s="10">
        <f>IF(A204=A205,(N204-N205)/N205,0)</f>
        <v>0</v>
      </c>
    </row>
    <row r="205" spans="1:24" ht="16.5" customHeight="1">
      <c r="A205" s="3" t="s">
        <v>26</v>
      </c>
      <c r="B205" s="3">
        <f t="shared" si="0"/>
        <v>2017</v>
      </c>
      <c r="C205" s="3">
        <f t="shared" si="1"/>
        <v>11</v>
      </c>
      <c r="D205" s="20" t="str">
        <f t="shared" si="2"/>
        <v>EMR201711</v>
      </c>
      <c r="E205" s="2">
        <v>43055</v>
      </c>
      <c r="F205" s="3">
        <v>0.48499999999999999</v>
      </c>
      <c r="G205" s="2">
        <v>43080</v>
      </c>
      <c r="H205" s="3">
        <v>3.2599999999999997E-2</v>
      </c>
      <c r="I205" s="3">
        <v>1.0416666999999999E-2</v>
      </c>
      <c r="J205" s="3">
        <v>5.0000000000000001E-3</v>
      </c>
      <c r="K205" s="3">
        <f t="shared" si="3"/>
        <v>2017</v>
      </c>
      <c r="L205" s="3">
        <f t="shared" si="4"/>
        <v>0</v>
      </c>
      <c r="M205" s="20" t="str">
        <f>A205&amp;L205</f>
        <v>EMR0</v>
      </c>
      <c r="N205" s="3">
        <f>F205</f>
        <v>0.48499999999999999</v>
      </c>
      <c r="O205" s="9">
        <f>H205</f>
        <v>3.2599999999999997E-2</v>
      </c>
      <c r="P205" s="10">
        <f t="shared" si="5"/>
        <v>3.1725000000000003E-2</v>
      </c>
      <c r="Q205" s="10">
        <f>IF(K205=0,IF(A202=A205,AVERAGE(O202:O205),"x"),0)</f>
        <v>0</v>
      </c>
      <c r="R205" s="9">
        <f>IF(L205&gt;2005,AVERAGE(O202:O221),0)</f>
        <v>0</v>
      </c>
      <c r="S205" s="10">
        <f>IF(A205=A206,(N205-N206)/N206,0)</f>
        <v>1.0416666666666676E-2</v>
      </c>
      <c r="T205" s="10">
        <f>IF(L205&gt;2005,(((N205-N225)/N225)+1)^(1/5)-1,0)</f>
        <v>0</v>
      </c>
      <c r="U205" s="10">
        <f t="shared" si="6"/>
        <v>0</v>
      </c>
      <c r="V205" s="26">
        <f t="shared" si="7"/>
        <v>0</v>
      </c>
      <c r="W205" s="3">
        <f>IF(A205=A206,N205-N206,0)</f>
        <v>5.0000000000000044E-3</v>
      </c>
      <c r="X205" s="10">
        <f>IF(A205=A206,(N205-N206)/N206,0)</f>
        <v>1.0416666666666676E-2</v>
      </c>
    </row>
    <row r="206" spans="1:24" ht="16.5" customHeight="1">
      <c r="A206" s="3" t="s">
        <v>26</v>
      </c>
      <c r="B206" s="3">
        <f t="shared" si="0"/>
        <v>2017</v>
      </c>
      <c r="C206" s="3">
        <f t="shared" si="1"/>
        <v>8</v>
      </c>
      <c r="D206" s="20" t="str">
        <f t="shared" si="2"/>
        <v>EMR20178</v>
      </c>
      <c r="E206" s="2">
        <v>42956</v>
      </c>
      <c r="F206" s="3">
        <v>0.48</v>
      </c>
      <c r="G206" s="2">
        <v>42989</v>
      </c>
      <c r="H206" s="3">
        <v>3.1800000000000002E-2</v>
      </c>
      <c r="I206" s="3">
        <v>0</v>
      </c>
      <c r="J206" s="3">
        <v>0</v>
      </c>
      <c r="K206" s="3">
        <f t="shared" si="3"/>
        <v>2017</v>
      </c>
      <c r="L206" s="3">
        <f t="shared" si="4"/>
        <v>0</v>
      </c>
      <c r="M206" s="20" t="str">
        <f>A206&amp;L206</f>
        <v>EMR0</v>
      </c>
      <c r="N206" s="3">
        <f>F206</f>
        <v>0.48</v>
      </c>
      <c r="O206" s="9">
        <f>H206</f>
        <v>3.1800000000000002E-2</v>
      </c>
      <c r="P206" s="10">
        <f t="shared" si="5"/>
        <v>0</v>
      </c>
      <c r="Q206" s="10">
        <f>IF(K206=0,IF(A203=A206,AVERAGE(O203:O206),"x"),0)</f>
        <v>0</v>
      </c>
      <c r="R206" s="9">
        <f>IF(L206&gt;2005,AVERAGE(O203:O222),0)</f>
        <v>0</v>
      </c>
      <c r="S206" s="10">
        <f>IF(A206=A207,(N206-N207)/N207,0)</f>
        <v>0</v>
      </c>
      <c r="T206" s="10">
        <f>IF(L206&gt;2005,(((N206-N226)/N226)+1)^(1/5)-1,0)</f>
        <v>0</v>
      </c>
      <c r="U206" s="10">
        <f t="shared" si="6"/>
        <v>0</v>
      </c>
      <c r="V206" s="26">
        <f t="shared" si="7"/>
        <v>0</v>
      </c>
      <c r="W206" s="3">
        <f>IF(A206=A207,N206-N207,0)</f>
        <v>0</v>
      </c>
      <c r="X206" s="10">
        <f>IF(A206=A207,(N206-N207)/N207,0)</f>
        <v>0</v>
      </c>
    </row>
    <row r="207" spans="1:24" ht="16.5" customHeight="1">
      <c r="A207" s="3" t="s">
        <v>26</v>
      </c>
      <c r="B207" s="3">
        <f t="shared" si="0"/>
        <v>2017</v>
      </c>
      <c r="C207" s="3">
        <f t="shared" si="1"/>
        <v>5</v>
      </c>
      <c r="D207" s="20" t="str">
        <f t="shared" si="2"/>
        <v>EMR20175</v>
      </c>
      <c r="E207" s="2">
        <v>42865</v>
      </c>
      <c r="F207" s="3">
        <v>0.48</v>
      </c>
      <c r="G207" s="2">
        <v>42895</v>
      </c>
      <c r="H207" s="3">
        <v>3.2599999999999997E-2</v>
      </c>
      <c r="I207" s="3">
        <v>0</v>
      </c>
      <c r="J207" s="3">
        <v>0</v>
      </c>
      <c r="K207" s="3">
        <f t="shared" si="3"/>
        <v>2017</v>
      </c>
      <c r="L207" s="3">
        <f t="shared" si="4"/>
        <v>0</v>
      </c>
      <c r="M207" s="20" t="str">
        <f>A207&amp;L207</f>
        <v>EMR0</v>
      </c>
      <c r="N207" s="3">
        <f>F207</f>
        <v>0.48</v>
      </c>
      <c r="O207" s="9">
        <f>H207</f>
        <v>3.2599999999999997E-2</v>
      </c>
      <c r="P207" s="10">
        <f t="shared" si="5"/>
        <v>0</v>
      </c>
      <c r="Q207" s="10">
        <f>IF(K207=0,IF(A204=A207,AVERAGE(O204:O207),"x"),0)</f>
        <v>0</v>
      </c>
      <c r="R207" s="9">
        <f>IF(L207&gt;2005,AVERAGE(O204:O223),0)</f>
        <v>0</v>
      </c>
      <c r="S207" s="10">
        <f>IF(A207=A208,(N207-N208)/N208,0)</f>
        <v>0</v>
      </c>
      <c r="T207" s="10">
        <f>IF(L207&gt;2005,(((N207-N227)/N227)+1)^(1/5)-1,0)</f>
        <v>0</v>
      </c>
      <c r="U207" s="10">
        <f t="shared" si="6"/>
        <v>0</v>
      </c>
      <c r="V207" s="26">
        <f t="shared" si="7"/>
        <v>0</v>
      </c>
      <c r="W207" s="3">
        <f>IF(A207=A208,N207-N208,0)</f>
        <v>0</v>
      </c>
      <c r="X207" s="10">
        <f>IF(A207=A208,(N207-N208)/N208,0)</f>
        <v>0</v>
      </c>
    </row>
    <row r="208" spans="1:24" ht="16.5" customHeight="1">
      <c r="A208" s="3" t="s">
        <v>26</v>
      </c>
      <c r="B208" s="3">
        <f t="shared" si="0"/>
        <v>2017</v>
      </c>
      <c r="C208" s="3">
        <f t="shared" si="1"/>
        <v>2</v>
      </c>
      <c r="D208" s="20" t="str">
        <f t="shared" si="2"/>
        <v>EMR20172</v>
      </c>
      <c r="E208" s="2">
        <v>42781</v>
      </c>
      <c r="F208" s="3">
        <v>0.48</v>
      </c>
      <c r="G208" s="2">
        <v>42804</v>
      </c>
      <c r="H208" s="3">
        <v>2.9899999999999999E-2</v>
      </c>
      <c r="I208" s="3">
        <v>0</v>
      </c>
      <c r="J208" s="3">
        <v>0</v>
      </c>
      <c r="K208" s="3">
        <f t="shared" si="3"/>
        <v>0</v>
      </c>
      <c r="L208" s="3">
        <f t="shared" si="4"/>
        <v>2017</v>
      </c>
      <c r="M208" s="20" t="str">
        <f>A208&amp;L208</f>
        <v>EMR2017</v>
      </c>
      <c r="N208" s="3">
        <f>F208</f>
        <v>0.48</v>
      </c>
      <c r="O208" s="9">
        <f>H208</f>
        <v>2.9899999999999999E-2</v>
      </c>
      <c r="P208" s="10">
        <f t="shared" si="5"/>
        <v>0</v>
      </c>
      <c r="Q208" s="10">
        <f>IF(K208=0,IF(A205=A208,AVERAGE(O205:O208),"x"),0)</f>
        <v>3.1725000000000003E-2</v>
      </c>
      <c r="R208" s="9">
        <f>IF(L208&gt;2005,AVERAGE(O205:O224),0)</f>
        <v>3.1364999999999997E-2</v>
      </c>
      <c r="S208" s="10">
        <f>IF(A208=A209,(N208-N209)/N209,0)</f>
        <v>0</v>
      </c>
      <c r="T208" s="10">
        <f>IF(L208&gt;2005,(((N208-N228)/N228)+1)^(1/5)-1,0)</f>
        <v>3.7137289336648172E-2</v>
      </c>
      <c r="U208" s="10">
        <f t="shared" si="6"/>
        <v>6.8502289336648176E-2</v>
      </c>
      <c r="V208" s="26">
        <f t="shared" si="7"/>
        <v>4.5765457980907893</v>
      </c>
      <c r="W208" s="3">
        <f>IF(A208=A209,N208-N209,0)</f>
        <v>0</v>
      </c>
      <c r="X208" s="10">
        <f>IF(A208=A209,(N208-N209)/N209,0)</f>
        <v>0</v>
      </c>
    </row>
    <row r="209" spans="1:24" ht="16.5" customHeight="1">
      <c r="A209" s="3" t="s">
        <v>26</v>
      </c>
      <c r="B209" s="3">
        <f t="shared" si="0"/>
        <v>2016</v>
      </c>
      <c r="C209" s="3">
        <f t="shared" si="1"/>
        <v>11</v>
      </c>
      <c r="D209" s="20" t="str">
        <f t="shared" si="2"/>
        <v>EMR201611</v>
      </c>
      <c r="E209" s="2">
        <v>42682</v>
      </c>
      <c r="F209" s="3">
        <v>0.48</v>
      </c>
      <c r="G209" s="2">
        <v>42713</v>
      </c>
      <c r="H209" s="3">
        <v>3.8100000000000002E-2</v>
      </c>
      <c r="I209" s="3">
        <v>1.0526316000000001E-2</v>
      </c>
      <c r="J209" s="3">
        <v>5.0000000000000001E-3</v>
      </c>
      <c r="K209" s="3">
        <f t="shared" si="3"/>
        <v>2016</v>
      </c>
      <c r="L209" s="3">
        <f t="shared" si="4"/>
        <v>0</v>
      </c>
      <c r="M209" s="20" t="str">
        <f>A209&amp;L209</f>
        <v>EMR0</v>
      </c>
      <c r="N209" s="3">
        <f>F209</f>
        <v>0.48</v>
      </c>
      <c r="O209" s="9">
        <f>H209</f>
        <v>3.8100000000000002E-2</v>
      </c>
      <c r="P209" s="10">
        <f t="shared" si="5"/>
        <v>3.7275000000000003E-2</v>
      </c>
      <c r="Q209" s="10">
        <f>IF(K209=0,IF(A206=A209,AVERAGE(O206:O209),"x"),0)</f>
        <v>0</v>
      </c>
      <c r="R209" s="9">
        <f>IF(L209&gt;2005,AVERAGE(O206:O225),0)</f>
        <v>0</v>
      </c>
      <c r="S209" s="10">
        <f>IF(A209=A210,(N209-N210)/N210,0)</f>
        <v>1.0526315789473694E-2</v>
      </c>
      <c r="T209" s="10">
        <f>IF(L209&gt;2005,(((N209-N229)/N229)+1)^(1/5)-1,0)</f>
        <v>0</v>
      </c>
      <c r="U209" s="10">
        <f t="shared" si="6"/>
        <v>0</v>
      </c>
      <c r="V209" s="26">
        <f t="shared" si="7"/>
        <v>0</v>
      </c>
      <c r="W209" s="3">
        <f>IF(A209=A210,N209-N210,0)</f>
        <v>5.0000000000000044E-3</v>
      </c>
      <c r="X209" s="10">
        <f>IF(A209=A210,(N209-N210)/N210,0)</f>
        <v>1.0526315789473694E-2</v>
      </c>
    </row>
    <row r="210" spans="1:24" ht="16.5" customHeight="1">
      <c r="A210" s="3" t="s">
        <v>26</v>
      </c>
      <c r="B210" s="3">
        <f t="shared" si="0"/>
        <v>2016</v>
      </c>
      <c r="C210" s="3">
        <f t="shared" si="1"/>
        <v>8</v>
      </c>
      <c r="D210" s="20" t="str">
        <f t="shared" si="2"/>
        <v>EMR20168</v>
      </c>
      <c r="E210" s="2">
        <v>42592</v>
      </c>
      <c r="F210" s="3">
        <v>0.47499999999999998</v>
      </c>
      <c r="G210" s="2">
        <v>42622</v>
      </c>
      <c r="H210" s="3">
        <v>3.5000000000000003E-2</v>
      </c>
      <c r="I210" s="3">
        <v>0</v>
      </c>
      <c r="J210" s="3">
        <v>0</v>
      </c>
      <c r="K210" s="3">
        <f t="shared" si="3"/>
        <v>2016</v>
      </c>
      <c r="L210" s="3">
        <f t="shared" si="4"/>
        <v>0</v>
      </c>
      <c r="M210" s="20" t="str">
        <f>A210&amp;L210</f>
        <v>EMR0</v>
      </c>
      <c r="N210" s="3">
        <f>F210</f>
        <v>0.47499999999999998</v>
      </c>
      <c r="O210" s="9">
        <f>H210</f>
        <v>3.5000000000000003E-2</v>
      </c>
      <c r="P210" s="10">
        <f t="shared" si="5"/>
        <v>0</v>
      </c>
      <c r="Q210" s="10">
        <f>IF(K210=0,IF(A207=A210,AVERAGE(O207:O210),"x"),0)</f>
        <v>0</v>
      </c>
      <c r="R210" s="9">
        <f>IF(L210&gt;2005,AVERAGE(O207:O226),0)</f>
        <v>0</v>
      </c>
      <c r="S210" s="10">
        <f>IF(A210=A211,(N210-N211)/N211,0)</f>
        <v>0</v>
      </c>
      <c r="T210" s="10">
        <f>IF(L210&gt;2005,(((N210-N230)/N230)+1)^(1/5)-1,0)</f>
        <v>0</v>
      </c>
      <c r="U210" s="10">
        <f t="shared" si="6"/>
        <v>0</v>
      </c>
      <c r="V210" s="26">
        <f t="shared" si="7"/>
        <v>0</v>
      </c>
      <c r="W210" s="3">
        <f>IF(A210=A211,N210-N211,0)</f>
        <v>0</v>
      </c>
      <c r="X210" s="10">
        <f>IF(A210=A211,(N210-N211)/N211,0)</f>
        <v>0</v>
      </c>
    </row>
    <row r="211" spans="1:24" ht="16.5" customHeight="1">
      <c r="A211" s="3" t="s">
        <v>26</v>
      </c>
      <c r="B211" s="3">
        <f t="shared" si="0"/>
        <v>2016</v>
      </c>
      <c r="C211" s="3">
        <f t="shared" si="1"/>
        <v>5</v>
      </c>
      <c r="D211" s="20" t="str">
        <f t="shared" si="2"/>
        <v>EMR20165</v>
      </c>
      <c r="E211" s="2">
        <v>42501</v>
      </c>
      <c r="F211" s="3">
        <v>0.47499999999999998</v>
      </c>
      <c r="G211" s="2">
        <v>42531</v>
      </c>
      <c r="H211" s="3">
        <v>3.5499999999999997E-2</v>
      </c>
      <c r="I211" s="3">
        <v>0</v>
      </c>
      <c r="J211" s="3">
        <v>0</v>
      </c>
      <c r="K211" s="3">
        <f t="shared" si="3"/>
        <v>2016</v>
      </c>
      <c r="L211" s="3">
        <f t="shared" si="4"/>
        <v>0</v>
      </c>
      <c r="M211" s="20" t="str">
        <f>A211&amp;L211</f>
        <v>EMR0</v>
      </c>
      <c r="N211" s="3">
        <f>F211</f>
        <v>0.47499999999999998</v>
      </c>
      <c r="O211" s="9">
        <f>H211</f>
        <v>3.5499999999999997E-2</v>
      </c>
      <c r="P211" s="10">
        <f t="shared" si="5"/>
        <v>0</v>
      </c>
      <c r="Q211" s="10">
        <f>IF(K211=0,IF(A208=A211,AVERAGE(O208:O211),"x"),0)</f>
        <v>0</v>
      </c>
      <c r="R211" s="9">
        <f>IF(L211&gt;2005,AVERAGE(O208:O227),0)</f>
        <v>0</v>
      </c>
      <c r="S211" s="10">
        <f>IF(A211=A212,(N211-N212)/N212,0)</f>
        <v>0</v>
      </c>
      <c r="T211" s="10">
        <f>IF(L211&gt;2005,(((N211-N231)/N231)+1)^(1/5)-1,0)</f>
        <v>0</v>
      </c>
      <c r="U211" s="10">
        <f t="shared" si="6"/>
        <v>0</v>
      </c>
      <c r="V211" s="26">
        <f t="shared" si="7"/>
        <v>0</v>
      </c>
      <c r="W211" s="3">
        <f>IF(A211=A212,N211-N212,0)</f>
        <v>0</v>
      </c>
      <c r="X211" s="10">
        <f>IF(A211=A212,(N211-N212)/N212,0)</f>
        <v>0</v>
      </c>
    </row>
    <row r="212" spans="1:24" ht="16.5" customHeight="1">
      <c r="A212" s="3" t="s">
        <v>26</v>
      </c>
      <c r="B212" s="3">
        <f t="shared" si="0"/>
        <v>2016</v>
      </c>
      <c r="C212" s="3">
        <f t="shared" si="1"/>
        <v>2</v>
      </c>
      <c r="D212" s="20" t="str">
        <f t="shared" si="2"/>
        <v>EMR20162</v>
      </c>
      <c r="E212" s="2">
        <v>42410</v>
      </c>
      <c r="F212" s="3">
        <v>0.47499999999999998</v>
      </c>
      <c r="G212" s="2">
        <v>42439</v>
      </c>
      <c r="H212" s="3">
        <v>4.0500000000000001E-2</v>
      </c>
      <c r="I212" s="3">
        <v>0</v>
      </c>
      <c r="J212" s="3">
        <v>0</v>
      </c>
      <c r="K212" s="3">
        <f t="shared" si="3"/>
        <v>0</v>
      </c>
      <c r="L212" s="3">
        <f t="shared" si="4"/>
        <v>2016</v>
      </c>
      <c r="M212" s="20" t="str">
        <f>A212&amp;L212</f>
        <v>EMR2016</v>
      </c>
      <c r="N212" s="3">
        <f>F212</f>
        <v>0.47499999999999998</v>
      </c>
      <c r="O212" s="9">
        <f>H212</f>
        <v>4.0500000000000001E-2</v>
      </c>
      <c r="P212" s="10">
        <f t="shared" si="5"/>
        <v>0</v>
      </c>
      <c r="Q212" s="10">
        <f>IF(K212=0,IF(A209=A212,AVERAGE(O209:O212),"x"),0)</f>
        <v>3.7275000000000003E-2</v>
      </c>
      <c r="R212" s="9">
        <f>IF(L212&gt;2005,AVERAGE(O209:O228),0)</f>
        <v>3.1195000000000001E-2</v>
      </c>
      <c r="S212" s="10">
        <f>IF(A212=A213,(N212-N213)/N213,0)</f>
        <v>0</v>
      </c>
      <c r="T212" s="10">
        <f>IF(L212&gt;2005,(((N212-N232)/N232)+1)^(1/5)-1,0)</f>
        <v>6.6043442151529463E-2</v>
      </c>
      <c r="U212" s="10">
        <f t="shared" si="6"/>
        <v>9.7238442151529464E-2</v>
      </c>
      <c r="V212" s="26">
        <f t="shared" si="7"/>
        <v>4.589368040689453</v>
      </c>
      <c r="W212" s="3">
        <f>IF(A212=A213,N212-N213,0)</f>
        <v>0</v>
      </c>
      <c r="X212" s="10">
        <f>IF(A212=A213,(N212-N213)/N213,0)</f>
        <v>0</v>
      </c>
    </row>
    <row r="213" spans="1:24" ht="16.5" customHeight="1">
      <c r="A213" s="3" t="s">
        <v>26</v>
      </c>
      <c r="B213" s="3">
        <f t="shared" si="0"/>
        <v>2015</v>
      </c>
      <c r="C213" s="3">
        <f t="shared" si="1"/>
        <v>11</v>
      </c>
      <c r="D213" s="20" t="str">
        <f t="shared" si="2"/>
        <v>EMR201511</v>
      </c>
      <c r="E213" s="2">
        <v>42318</v>
      </c>
      <c r="F213" s="3">
        <v>0.47499999999999998</v>
      </c>
      <c r="G213" s="2">
        <v>42348</v>
      </c>
      <c r="H213" s="3">
        <v>3.9E-2</v>
      </c>
      <c r="I213" s="3">
        <v>1.0638297999999999E-2</v>
      </c>
      <c r="J213" s="3">
        <v>5.0000000000000001E-3</v>
      </c>
      <c r="K213" s="3">
        <f t="shared" si="3"/>
        <v>2015</v>
      </c>
      <c r="L213" s="3">
        <f t="shared" si="4"/>
        <v>0</v>
      </c>
      <c r="M213" s="20" t="str">
        <f>A213&amp;L213</f>
        <v>EMR0</v>
      </c>
      <c r="N213" s="3">
        <f>F213</f>
        <v>0.47499999999999998</v>
      </c>
      <c r="O213" s="9">
        <f>H213</f>
        <v>3.9E-2</v>
      </c>
      <c r="P213" s="10">
        <f t="shared" si="5"/>
        <v>3.4750000000000003E-2</v>
      </c>
      <c r="Q213" s="10">
        <f>IF(K213=0,IF(A210=A213,AVERAGE(O210:O213),"x"),0)</f>
        <v>0</v>
      </c>
      <c r="R213" s="9">
        <f>IF(L213&gt;2005,AVERAGE(O210:O229),0)</f>
        <v>0</v>
      </c>
      <c r="S213" s="10">
        <f>IF(A213=A214,(N213-N214)/N214,0)</f>
        <v>1.0638297872340436E-2</v>
      </c>
      <c r="T213" s="10">
        <f>IF(L213&gt;2005,(((N213-N233)/N233)+1)^(1/5)-1,0)</f>
        <v>0</v>
      </c>
      <c r="U213" s="10">
        <f t="shared" si="6"/>
        <v>0</v>
      </c>
      <c r="V213" s="26">
        <f t="shared" si="7"/>
        <v>0</v>
      </c>
      <c r="W213" s="3">
        <f>IF(A213=A214,N213-N214,0)</f>
        <v>5.0000000000000044E-3</v>
      </c>
      <c r="X213" s="10">
        <f>IF(A213=A214,(N213-N214)/N214,0)</f>
        <v>1.0638297872340436E-2</v>
      </c>
    </row>
    <row r="214" spans="1:24" ht="16.5" customHeight="1">
      <c r="A214" s="3" t="s">
        <v>26</v>
      </c>
      <c r="B214" s="3">
        <f t="shared" si="0"/>
        <v>2015</v>
      </c>
      <c r="C214" s="3">
        <f t="shared" si="1"/>
        <v>8</v>
      </c>
      <c r="D214" s="20" t="str">
        <f t="shared" si="2"/>
        <v>EMR20158</v>
      </c>
      <c r="E214" s="2">
        <v>42228</v>
      </c>
      <c r="F214" s="3">
        <v>0.47</v>
      </c>
      <c r="G214" s="2">
        <v>42257</v>
      </c>
      <c r="H214" s="3">
        <v>3.8399999999999997E-2</v>
      </c>
      <c r="I214" s="3">
        <v>0</v>
      </c>
      <c r="J214" s="3">
        <v>0</v>
      </c>
      <c r="K214" s="3">
        <f t="shared" si="3"/>
        <v>2015</v>
      </c>
      <c r="L214" s="3">
        <f t="shared" si="4"/>
        <v>0</v>
      </c>
      <c r="M214" s="20" t="str">
        <f>A214&amp;L214</f>
        <v>EMR0</v>
      </c>
      <c r="N214" s="3">
        <f>F214</f>
        <v>0.47</v>
      </c>
      <c r="O214" s="9">
        <f>H214</f>
        <v>3.8399999999999997E-2</v>
      </c>
      <c r="P214" s="10">
        <f t="shared" si="5"/>
        <v>0</v>
      </c>
      <c r="Q214" s="10">
        <f>IF(K214=0,IF(A211=A214,AVERAGE(O211:O214),"x"),0)</f>
        <v>0</v>
      </c>
      <c r="R214" s="9">
        <f>IF(L214&gt;2005,AVERAGE(O211:O230),0)</f>
        <v>0</v>
      </c>
      <c r="S214" s="10">
        <f>IF(A214=A215,(N214-N215)/N215,0)</f>
        <v>0</v>
      </c>
      <c r="T214" s="10">
        <f>IF(L214&gt;2005,(((N214-N234)/N234)+1)^(1/5)-1,0)</f>
        <v>0</v>
      </c>
      <c r="U214" s="10">
        <f t="shared" si="6"/>
        <v>0</v>
      </c>
      <c r="V214" s="26">
        <f t="shared" si="7"/>
        <v>0</v>
      </c>
      <c r="W214" s="3">
        <f>IF(A214=A215,N214-N215,0)</f>
        <v>0</v>
      </c>
      <c r="X214" s="10">
        <f>IF(A214=A215,(N214-N215)/N215,0)</f>
        <v>0</v>
      </c>
    </row>
    <row r="215" spans="1:24" ht="16.5" customHeight="1">
      <c r="A215" s="3" t="s">
        <v>26</v>
      </c>
      <c r="B215" s="3">
        <f t="shared" si="0"/>
        <v>2015</v>
      </c>
      <c r="C215" s="3">
        <f t="shared" si="1"/>
        <v>5</v>
      </c>
      <c r="D215" s="20" t="str">
        <f t="shared" si="2"/>
        <v>EMR20155</v>
      </c>
      <c r="E215" s="2">
        <v>42137</v>
      </c>
      <c r="F215" s="3">
        <v>0.47</v>
      </c>
      <c r="G215" s="2">
        <v>42165</v>
      </c>
      <c r="H215" s="3">
        <v>3.0599999999999999E-2</v>
      </c>
      <c r="I215" s="3">
        <v>0</v>
      </c>
      <c r="J215" s="3">
        <v>0</v>
      </c>
      <c r="K215" s="3">
        <f t="shared" si="3"/>
        <v>2015</v>
      </c>
      <c r="L215" s="3">
        <f t="shared" si="4"/>
        <v>0</v>
      </c>
      <c r="M215" s="20" t="str">
        <f>A215&amp;L215</f>
        <v>EMR0</v>
      </c>
      <c r="N215" s="3">
        <f>F215</f>
        <v>0.47</v>
      </c>
      <c r="O215" s="9">
        <f>H215</f>
        <v>3.0599999999999999E-2</v>
      </c>
      <c r="P215" s="10">
        <f t="shared" si="5"/>
        <v>0</v>
      </c>
      <c r="Q215" s="10">
        <f>IF(K215=0,IF(A212=A215,AVERAGE(O212:O215),"x"),0)</f>
        <v>0</v>
      </c>
      <c r="R215" s="9">
        <f>IF(L215&gt;2005,AVERAGE(O212:O231),0)</f>
        <v>0</v>
      </c>
      <c r="S215" s="10">
        <f>IF(A215=A216,(N215-N216)/N216,0)</f>
        <v>0</v>
      </c>
      <c r="T215" s="10">
        <f>IF(L215&gt;2005,(((N215-N235)/N235)+1)^(1/5)-1,0)</f>
        <v>0</v>
      </c>
      <c r="U215" s="10">
        <f t="shared" si="6"/>
        <v>0</v>
      </c>
      <c r="V215" s="26">
        <f t="shared" si="7"/>
        <v>0</v>
      </c>
      <c r="W215" s="3">
        <f>IF(A215=A216,N215-N216,0)</f>
        <v>0</v>
      </c>
      <c r="X215" s="10">
        <f>IF(A215=A216,(N215-N216)/N216,0)</f>
        <v>0</v>
      </c>
    </row>
    <row r="216" spans="1:24" ht="16.5" customHeight="1">
      <c r="A216" s="3" t="s">
        <v>26</v>
      </c>
      <c r="B216" s="3">
        <f t="shared" si="0"/>
        <v>2015</v>
      </c>
      <c r="C216" s="3">
        <f t="shared" si="1"/>
        <v>2</v>
      </c>
      <c r="D216" s="20" t="str">
        <f t="shared" si="2"/>
        <v>EMR20152</v>
      </c>
      <c r="E216" s="2">
        <v>42046</v>
      </c>
      <c r="F216" s="3">
        <v>0.47</v>
      </c>
      <c r="G216" s="2">
        <v>42073</v>
      </c>
      <c r="H216" s="3">
        <v>3.1E-2</v>
      </c>
      <c r="I216" s="3">
        <v>0</v>
      </c>
      <c r="J216" s="3">
        <v>0</v>
      </c>
      <c r="K216" s="3">
        <f t="shared" si="3"/>
        <v>0</v>
      </c>
      <c r="L216" s="3">
        <f t="shared" si="4"/>
        <v>2015</v>
      </c>
      <c r="M216" s="20" t="str">
        <f>A216&amp;L216</f>
        <v>EMR2015</v>
      </c>
      <c r="N216" s="3">
        <f>F216</f>
        <v>0.47</v>
      </c>
      <c r="O216" s="9">
        <f>H216</f>
        <v>3.1E-2</v>
      </c>
      <c r="P216" s="10">
        <f t="shared" si="5"/>
        <v>0</v>
      </c>
      <c r="Q216" s="10">
        <f>IF(K216=0,IF(A213=A216,AVERAGE(O213:O216),"x"),0)</f>
        <v>3.4750000000000003E-2</v>
      </c>
      <c r="R216" s="9">
        <f>IF(L216&gt;2005,AVERAGE(O213:O232),0)</f>
        <v>2.904E-2</v>
      </c>
      <c r="S216" s="10">
        <f>IF(A216=A217,(N216-N217)/N217,0)</f>
        <v>0</v>
      </c>
      <c r="T216" s="10">
        <f>IF(L216&gt;2005,(((N216-N236)/N236)+1)^(1/5)-1,0)</f>
        <v>7.0066111031416467E-2</v>
      </c>
      <c r="U216" s="10">
        <f t="shared" si="6"/>
        <v>9.9106111031416463E-2</v>
      </c>
      <c r="V216" s="26">
        <f t="shared" si="7"/>
        <v>4.6173660616581538</v>
      </c>
      <c r="W216" s="3">
        <f>IF(A216=A217,N216-N217,0)</f>
        <v>0</v>
      </c>
      <c r="X216" s="10">
        <f>IF(A216=A217,(N216-N217)/N217,0)</f>
        <v>0</v>
      </c>
    </row>
    <row r="217" spans="1:24" ht="16.5" customHeight="1">
      <c r="A217" s="3" t="s">
        <v>26</v>
      </c>
      <c r="B217" s="3">
        <f t="shared" si="0"/>
        <v>2014</v>
      </c>
      <c r="C217" s="3">
        <f t="shared" si="1"/>
        <v>11</v>
      </c>
      <c r="D217" s="20" t="str">
        <f t="shared" si="2"/>
        <v>EMR201411</v>
      </c>
      <c r="E217" s="2">
        <v>41955</v>
      </c>
      <c r="F217" s="3">
        <v>0.47</v>
      </c>
      <c r="G217" s="2">
        <v>41983</v>
      </c>
      <c r="H217" s="3">
        <v>2.7300000000000001E-2</v>
      </c>
      <c r="I217" s="3">
        <v>9.3023255999999999E-2</v>
      </c>
      <c r="J217" s="3">
        <v>0.04</v>
      </c>
      <c r="K217" s="3">
        <f t="shared" si="3"/>
        <v>2014</v>
      </c>
      <c r="L217" s="3">
        <f t="shared" si="4"/>
        <v>0</v>
      </c>
      <c r="M217" s="20" t="str">
        <f>A217&amp;L217</f>
        <v>EMR0</v>
      </c>
      <c r="N217" s="3">
        <f>F217</f>
        <v>0.47</v>
      </c>
      <c r="O217" s="9">
        <f>H217</f>
        <v>2.7300000000000001E-2</v>
      </c>
      <c r="P217" s="10">
        <f t="shared" si="5"/>
        <v>2.6375000000000003E-2</v>
      </c>
      <c r="Q217" s="10">
        <f>IF(K217=0,IF(A214=A217,AVERAGE(O214:O217),"x"),0)</f>
        <v>0</v>
      </c>
      <c r="R217" s="9">
        <f>IF(L217&gt;2005,AVERAGE(O214:O233),0)</f>
        <v>0</v>
      </c>
      <c r="S217" s="10">
        <f>IF(A217=A218,(N217-N218)/N218,0)</f>
        <v>9.3023255813953445E-2</v>
      </c>
      <c r="T217" s="10">
        <f>IF(L217&gt;2005,(((N217-N237)/N237)+1)^(1/5)-1,0)</f>
        <v>0</v>
      </c>
      <c r="U217" s="10">
        <f t="shared" si="6"/>
        <v>0</v>
      </c>
      <c r="V217" s="26">
        <f t="shared" si="7"/>
        <v>0</v>
      </c>
      <c r="W217" s="3">
        <f>IF(A217=A218,N217-N218,0)</f>
        <v>3.999999999999998E-2</v>
      </c>
      <c r="X217" s="10">
        <f>IF(A217=A218,(N217-N218)/N218,0)</f>
        <v>9.3023255813953445E-2</v>
      </c>
    </row>
    <row r="218" spans="1:24" ht="16.5" customHeight="1">
      <c r="A218" s="3" t="s">
        <v>26</v>
      </c>
      <c r="B218" s="3">
        <f t="shared" si="0"/>
        <v>2014</v>
      </c>
      <c r="C218" s="3">
        <f t="shared" si="1"/>
        <v>8</v>
      </c>
      <c r="D218" s="20" t="str">
        <f t="shared" si="2"/>
        <v>EMR20148</v>
      </c>
      <c r="E218" s="2">
        <v>41864</v>
      </c>
      <c r="F218" s="3">
        <v>0.43</v>
      </c>
      <c r="G218" s="2">
        <v>41892</v>
      </c>
      <c r="H218" s="3">
        <v>2.7400000000000001E-2</v>
      </c>
      <c r="I218" s="3">
        <v>0</v>
      </c>
      <c r="J218" s="3">
        <v>0</v>
      </c>
      <c r="K218" s="3">
        <f t="shared" si="3"/>
        <v>2014</v>
      </c>
      <c r="L218" s="3">
        <f t="shared" si="4"/>
        <v>0</v>
      </c>
      <c r="M218" s="20" t="str">
        <f>A218&amp;L218</f>
        <v>EMR0</v>
      </c>
      <c r="N218" s="3">
        <f>F218</f>
        <v>0.43</v>
      </c>
      <c r="O218" s="9">
        <f>H218</f>
        <v>2.7400000000000001E-2</v>
      </c>
      <c r="P218" s="10">
        <f t="shared" si="5"/>
        <v>0</v>
      </c>
      <c r="Q218" s="10">
        <f>IF(K218=0,IF(A215=A218,AVERAGE(O215:O218),"x"),0)</f>
        <v>0</v>
      </c>
      <c r="R218" s="9">
        <f>IF(L218&gt;2005,AVERAGE(O215:O234),0)</f>
        <v>0</v>
      </c>
      <c r="S218" s="10">
        <f>IF(A218=A219,(N218-N219)/N219,0)</f>
        <v>0</v>
      </c>
      <c r="T218" s="10">
        <f>IF(L218&gt;2005,(((N218-N238)/N238)+1)^(1/5)-1,0)</f>
        <v>0</v>
      </c>
      <c r="U218" s="10">
        <f t="shared" si="6"/>
        <v>0</v>
      </c>
      <c r="V218" s="26">
        <f t="shared" si="7"/>
        <v>0</v>
      </c>
      <c r="W218" s="3">
        <f>IF(A218=A219,N218-N219,0)</f>
        <v>0</v>
      </c>
      <c r="X218" s="10">
        <f>IF(A218=A219,(N218-N219)/N219,0)</f>
        <v>0</v>
      </c>
    </row>
    <row r="219" spans="1:24" ht="16.5" customHeight="1">
      <c r="A219" s="3" t="s">
        <v>26</v>
      </c>
      <c r="B219" s="3">
        <f t="shared" si="0"/>
        <v>2014</v>
      </c>
      <c r="C219" s="3">
        <f t="shared" si="1"/>
        <v>5</v>
      </c>
      <c r="D219" s="20" t="str">
        <f t="shared" si="2"/>
        <v>EMR20145</v>
      </c>
      <c r="E219" s="2">
        <v>41773</v>
      </c>
      <c r="F219" s="3">
        <v>0.43</v>
      </c>
      <c r="G219" s="2">
        <v>41800</v>
      </c>
      <c r="H219" s="3">
        <v>2.4899999999999999E-2</v>
      </c>
      <c r="I219" s="3">
        <v>0</v>
      </c>
      <c r="J219" s="3">
        <v>0</v>
      </c>
      <c r="K219" s="3">
        <f t="shared" si="3"/>
        <v>2014</v>
      </c>
      <c r="L219" s="3">
        <f t="shared" si="4"/>
        <v>0</v>
      </c>
      <c r="M219" s="20" t="str">
        <f>A219&amp;L219</f>
        <v>EMR0</v>
      </c>
      <c r="N219" s="3">
        <f>F219</f>
        <v>0.43</v>
      </c>
      <c r="O219" s="9">
        <f>H219</f>
        <v>2.4899999999999999E-2</v>
      </c>
      <c r="P219" s="10">
        <f t="shared" si="5"/>
        <v>0</v>
      </c>
      <c r="Q219" s="10">
        <f>IF(K219=0,IF(A216=A219,AVERAGE(O216:O219),"x"),0)</f>
        <v>0</v>
      </c>
      <c r="R219" s="9">
        <f>IF(L219&gt;2005,AVERAGE(O216:O235),0)</f>
        <v>0</v>
      </c>
      <c r="S219" s="10">
        <f>IF(A219=A220,(N219-N220)/N220,0)</f>
        <v>0</v>
      </c>
      <c r="T219" s="10">
        <f>IF(L219&gt;2005,(((N219-N239)/N239)+1)^(1/5)-1,0)</f>
        <v>0</v>
      </c>
      <c r="U219" s="10">
        <f t="shared" si="6"/>
        <v>0</v>
      </c>
      <c r="V219" s="26">
        <f t="shared" si="7"/>
        <v>0</v>
      </c>
      <c r="W219" s="3">
        <f>IF(A219=A220,N219-N220,0)</f>
        <v>0</v>
      </c>
      <c r="X219" s="10">
        <f>IF(A219=A220,(N219-N220)/N220,0)</f>
        <v>0</v>
      </c>
    </row>
    <row r="220" spans="1:24" ht="16.5" customHeight="1">
      <c r="A220" s="3" t="s">
        <v>26</v>
      </c>
      <c r="B220" s="3">
        <f t="shared" si="0"/>
        <v>2014</v>
      </c>
      <c r="C220" s="3">
        <f t="shared" si="1"/>
        <v>2</v>
      </c>
      <c r="D220" s="20" t="str">
        <f t="shared" si="2"/>
        <v>EMR20142</v>
      </c>
      <c r="E220" s="2">
        <v>41682</v>
      </c>
      <c r="F220" s="3">
        <v>0.43</v>
      </c>
      <c r="G220" s="2">
        <v>41708</v>
      </c>
      <c r="H220" s="3">
        <v>2.5899999999999999E-2</v>
      </c>
      <c r="I220" s="3">
        <v>0</v>
      </c>
      <c r="J220" s="3">
        <v>0</v>
      </c>
      <c r="K220" s="3">
        <f t="shared" si="3"/>
        <v>0</v>
      </c>
      <c r="L220" s="3">
        <f t="shared" si="4"/>
        <v>2014</v>
      </c>
      <c r="M220" s="20" t="str">
        <f>A220&amp;L220</f>
        <v>EMR2014</v>
      </c>
      <c r="N220" s="3">
        <f>F220</f>
        <v>0.43</v>
      </c>
      <c r="O220" s="9">
        <f>H220</f>
        <v>2.5899999999999999E-2</v>
      </c>
      <c r="P220" s="10">
        <f t="shared" si="5"/>
        <v>0</v>
      </c>
      <c r="Q220" s="10">
        <f>IF(K220=0,IF(A217=A220,AVERAGE(O217:O220),"x"),0)</f>
        <v>2.6375000000000003E-2</v>
      </c>
      <c r="R220" s="9">
        <f>IF(L220&gt;2005,AVERAGE(O217:O236),0)</f>
        <v>2.7385E-2</v>
      </c>
      <c r="S220" s="10">
        <f>IF(A220=A221,(N220-N221)/N221,0)</f>
        <v>0</v>
      </c>
      <c r="T220" s="10">
        <f>IF(L220&gt;2005,(((N220-N240)/N240)+1)^(1/5)-1,0)</f>
        <v>5.4364811125223733E-2</v>
      </c>
      <c r="U220" s="10">
        <f t="shared" si="6"/>
        <v>8.1749811125223726E-2</v>
      </c>
      <c r="V220" s="26">
        <f t="shared" si="7"/>
        <v>4.6328445676835699</v>
      </c>
      <c r="W220" s="3">
        <f>IF(A220=A221,N220-N221,0)</f>
        <v>0</v>
      </c>
      <c r="X220" s="10">
        <f>IF(A220=A221,(N220-N221)/N221,0)</f>
        <v>0</v>
      </c>
    </row>
    <row r="221" spans="1:24" ht="16.5" customHeight="1">
      <c r="A221" s="3" t="s">
        <v>26</v>
      </c>
      <c r="B221" s="3">
        <f t="shared" si="0"/>
        <v>2013</v>
      </c>
      <c r="C221" s="3">
        <f t="shared" si="1"/>
        <v>11</v>
      </c>
      <c r="D221" s="20" t="str">
        <f t="shared" si="2"/>
        <v>EMR201311</v>
      </c>
      <c r="E221" s="2">
        <v>41591</v>
      </c>
      <c r="F221" s="3">
        <v>0.43</v>
      </c>
      <c r="G221" s="2">
        <v>41618</v>
      </c>
      <c r="H221" s="3">
        <v>2.5000000000000001E-2</v>
      </c>
      <c r="I221" s="3">
        <v>4.8780487999999997E-2</v>
      </c>
      <c r="J221" s="3">
        <v>0.02</v>
      </c>
      <c r="K221" s="3">
        <f t="shared" si="3"/>
        <v>2013</v>
      </c>
      <c r="L221" s="3">
        <f t="shared" si="4"/>
        <v>0</v>
      </c>
      <c r="M221" s="20" t="str">
        <f>A221&amp;L221</f>
        <v>EMR0</v>
      </c>
      <c r="N221" s="3">
        <f>F221</f>
        <v>0.43</v>
      </c>
      <c r="O221" s="9">
        <f>H221</f>
        <v>2.5000000000000001E-2</v>
      </c>
      <c r="P221" s="10">
        <f t="shared" si="5"/>
        <v>2.6700000000000002E-2</v>
      </c>
      <c r="Q221" s="10">
        <f>IF(K221=0,IF(A218=A221,AVERAGE(O218:O221),"x"),0)</f>
        <v>0</v>
      </c>
      <c r="R221" s="9">
        <f>IF(L221&gt;2005,AVERAGE(O218:O237),0)</f>
        <v>0</v>
      </c>
      <c r="S221" s="10">
        <f>IF(A221=A222,(N221-N222)/N222,0)</f>
        <v>4.8780487804878092E-2</v>
      </c>
      <c r="T221" s="10">
        <f>IF(L221&gt;2005,(((N221-N241)/N241)+1)^(1/5)-1,0)</f>
        <v>0</v>
      </c>
      <c r="U221" s="10">
        <f t="shared" si="6"/>
        <v>0</v>
      </c>
      <c r="V221" s="26">
        <f t="shared" si="7"/>
        <v>0</v>
      </c>
      <c r="W221" s="3">
        <f>IF(A221=A222,N221-N222,0)</f>
        <v>2.0000000000000018E-2</v>
      </c>
      <c r="X221" s="10">
        <f>IF(A221=A222,(N221-N222)/N222,0)</f>
        <v>4.8780487804878092E-2</v>
      </c>
    </row>
    <row r="222" spans="1:24" ht="16.5" customHeight="1">
      <c r="A222" s="3" t="s">
        <v>26</v>
      </c>
      <c r="B222" s="3">
        <f t="shared" si="0"/>
        <v>2013</v>
      </c>
      <c r="C222" s="3">
        <f t="shared" si="1"/>
        <v>8</v>
      </c>
      <c r="D222" s="20" t="str">
        <f t="shared" si="2"/>
        <v>EMR20138</v>
      </c>
      <c r="E222" s="2">
        <v>41500</v>
      </c>
      <c r="F222" s="3">
        <v>0.41</v>
      </c>
      <c r="G222" s="2">
        <v>41527</v>
      </c>
      <c r="H222" s="3">
        <v>2.63E-2</v>
      </c>
      <c r="I222" s="3">
        <v>0</v>
      </c>
      <c r="J222" s="3">
        <v>0</v>
      </c>
      <c r="K222" s="3">
        <f t="shared" si="3"/>
        <v>2013</v>
      </c>
      <c r="L222" s="3">
        <f t="shared" si="4"/>
        <v>0</v>
      </c>
      <c r="M222" s="20" t="str">
        <f>A222&amp;L222</f>
        <v>EMR0</v>
      </c>
      <c r="N222" s="3">
        <f>F222</f>
        <v>0.41</v>
      </c>
      <c r="O222" s="9">
        <f>H222</f>
        <v>2.63E-2</v>
      </c>
      <c r="P222" s="10">
        <f t="shared" si="5"/>
        <v>0</v>
      </c>
      <c r="Q222" s="10">
        <f>IF(K222=0,IF(A219=A222,AVERAGE(O219:O222),"x"),0)</f>
        <v>0</v>
      </c>
      <c r="R222" s="9">
        <f>IF(L222&gt;2005,AVERAGE(O219:O238),0)</f>
        <v>0</v>
      </c>
      <c r="S222" s="10">
        <f>IF(A222=A223,(N222-N223)/N223,0)</f>
        <v>0</v>
      </c>
      <c r="T222" s="10">
        <f>IF(L222&gt;2005,(((N222-N242)/N242)+1)^(1/5)-1,0)</f>
        <v>0</v>
      </c>
      <c r="U222" s="10">
        <f t="shared" si="6"/>
        <v>0</v>
      </c>
      <c r="V222" s="26">
        <f t="shared" si="7"/>
        <v>0</v>
      </c>
      <c r="W222" s="3">
        <f>IF(A222=A223,N222-N223,0)</f>
        <v>0</v>
      </c>
      <c r="X222" s="10">
        <f>IF(A222=A223,(N222-N223)/N223,0)</f>
        <v>0</v>
      </c>
    </row>
    <row r="223" spans="1:24" ht="16.5" customHeight="1">
      <c r="A223" s="3" t="s">
        <v>26</v>
      </c>
      <c r="B223" s="3">
        <f t="shared" si="0"/>
        <v>2013</v>
      </c>
      <c r="C223" s="3">
        <f t="shared" si="1"/>
        <v>5</v>
      </c>
      <c r="D223" s="20" t="str">
        <f t="shared" si="2"/>
        <v>EMR20135</v>
      </c>
      <c r="E223" s="2">
        <v>41409</v>
      </c>
      <c r="F223" s="3">
        <v>0.41</v>
      </c>
      <c r="G223" s="2">
        <v>41435</v>
      </c>
      <c r="H223" s="3">
        <v>2.76E-2</v>
      </c>
      <c r="I223" s="3">
        <v>0</v>
      </c>
      <c r="J223" s="3">
        <v>0</v>
      </c>
      <c r="K223" s="3">
        <f t="shared" si="3"/>
        <v>2013</v>
      </c>
      <c r="L223" s="3">
        <f t="shared" si="4"/>
        <v>0</v>
      </c>
      <c r="M223" s="20" t="str">
        <f>A223&amp;L223</f>
        <v>EMR0</v>
      </c>
      <c r="N223" s="3">
        <f>F223</f>
        <v>0.41</v>
      </c>
      <c r="O223" s="9">
        <f>H223</f>
        <v>2.76E-2</v>
      </c>
      <c r="P223" s="10">
        <f t="shared" si="5"/>
        <v>0</v>
      </c>
      <c r="Q223" s="10">
        <f>IF(K223=0,IF(A220=A223,AVERAGE(O220:O223),"x"),0)</f>
        <v>0</v>
      </c>
      <c r="R223" s="9">
        <f>IF(L223&gt;2005,AVERAGE(O220:O239),0)</f>
        <v>0</v>
      </c>
      <c r="S223" s="10">
        <f>IF(A223=A224,(N223-N224)/N224,0)</f>
        <v>0</v>
      </c>
      <c r="T223" s="10">
        <f>IF(L223&gt;2005,(((N223-N243)/N243)+1)^(1/5)-1,0)</f>
        <v>0</v>
      </c>
      <c r="U223" s="10">
        <f t="shared" si="6"/>
        <v>0</v>
      </c>
      <c r="V223" s="26">
        <f t="shared" si="7"/>
        <v>0</v>
      </c>
      <c r="W223" s="3">
        <f>IF(A223=A224,N223-N224,0)</f>
        <v>0</v>
      </c>
      <c r="X223" s="10">
        <f>IF(A223=A224,(N223-N224)/N224,0)</f>
        <v>0</v>
      </c>
    </row>
    <row r="224" spans="1:24" ht="16.5" customHeight="1">
      <c r="A224" s="3" t="s">
        <v>26</v>
      </c>
      <c r="B224" s="3">
        <f t="shared" si="0"/>
        <v>2013</v>
      </c>
      <c r="C224" s="3">
        <f t="shared" si="1"/>
        <v>2</v>
      </c>
      <c r="D224" s="20" t="str">
        <f t="shared" si="2"/>
        <v>EMR20132</v>
      </c>
      <c r="E224" s="2">
        <v>41318</v>
      </c>
      <c r="F224" s="3">
        <v>0.41</v>
      </c>
      <c r="G224" s="2">
        <v>41344</v>
      </c>
      <c r="H224" s="3">
        <v>2.7900000000000001E-2</v>
      </c>
      <c r="I224" s="3">
        <v>0</v>
      </c>
      <c r="J224" s="3">
        <v>0</v>
      </c>
      <c r="K224" s="3">
        <f t="shared" si="3"/>
        <v>0</v>
      </c>
      <c r="L224" s="3">
        <f t="shared" si="4"/>
        <v>2013</v>
      </c>
      <c r="M224" s="20" t="str">
        <f>A224&amp;L224</f>
        <v>EMR2013</v>
      </c>
      <c r="N224" s="3">
        <f>F224</f>
        <v>0.41</v>
      </c>
      <c r="O224" s="9">
        <f>H224</f>
        <v>2.7900000000000001E-2</v>
      </c>
      <c r="P224" s="10">
        <f t="shared" si="5"/>
        <v>0</v>
      </c>
      <c r="Q224" s="10">
        <f>IF(K224=0,IF(A221=A224,AVERAGE(O221:O224),"x"),0)</f>
        <v>2.6700000000000002E-2</v>
      </c>
      <c r="R224" s="9">
        <f>IF(L224&gt;2005,AVERAGE(O221:O240),0)</f>
        <v>2.9269999999999997E-2</v>
      </c>
      <c r="S224" s="10">
        <f>IF(A224=A225,(N224-N225)/N225,0)</f>
        <v>0</v>
      </c>
      <c r="T224" s="10">
        <f>IF(L224&gt;2005,(((N224-N244)/N244)+1)^(1/5)-1,0)</f>
        <v>6.4467779836540062E-2</v>
      </c>
      <c r="U224" s="10">
        <f t="shared" si="6"/>
        <v>9.3737779836540053E-2</v>
      </c>
      <c r="V224" s="26">
        <f t="shared" si="7"/>
        <v>4.6126174432441349</v>
      </c>
      <c r="W224" s="3">
        <f>IF(A224=A225,N224-N225,0)</f>
        <v>0</v>
      </c>
      <c r="X224" s="10">
        <f>IF(A224=A225,(N224-N225)/N225,0)</f>
        <v>0</v>
      </c>
    </row>
    <row r="225" spans="1:24" ht="16.5" customHeight="1">
      <c r="A225" s="3" t="s">
        <v>26</v>
      </c>
      <c r="B225" s="3">
        <f t="shared" si="0"/>
        <v>2012</v>
      </c>
      <c r="C225" s="3">
        <f t="shared" si="1"/>
        <v>11</v>
      </c>
      <c r="D225" s="20" t="str">
        <f t="shared" si="2"/>
        <v>EMR201211</v>
      </c>
      <c r="E225" s="2">
        <v>41227</v>
      </c>
      <c r="F225" s="3">
        <v>0.41</v>
      </c>
      <c r="G225" s="2">
        <v>41253</v>
      </c>
      <c r="H225" s="3">
        <v>3.2300000000000002E-2</v>
      </c>
      <c r="I225" s="3">
        <v>2.5000000000000001E-2</v>
      </c>
      <c r="J225" s="3">
        <v>0.01</v>
      </c>
      <c r="K225" s="3">
        <f t="shared" si="3"/>
        <v>2012</v>
      </c>
      <c r="L225" s="3">
        <f t="shared" si="4"/>
        <v>0</v>
      </c>
      <c r="M225" s="20" t="str">
        <f>A225&amp;L225</f>
        <v>EMR0</v>
      </c>
      <c r="N225" s="3">
        <f>F225</f>
        <v>0.41</v>
      </c>
      <c r="O225" s="9">
        <f>H225</f>
        <v>3.2300000000000002E-2</v>
      </c>
      <c r="P225" s="10">
        <f t="shared" si="5"/>
        <v>3.0875E-2</v>
      </c>
      <c r="Q225" s="10">
        <f>IF(K225=0,IF(A222=A225,AVERAGE(O222:O225),"x"),0)</f>
        <v>0</v>
      </c>
      <c r="R225" s="9">
        <f>IF(L225&gt;2005,AVERAGE(O222:O241),0)</f>
        <v>0</v>
      </c>
      <c r="S225" s="10">
        <f>IF(A225=A226,(N225-N226)/N226,0)</f>
        <v>2.4999999999999883E-2</v>
      </c>
      <c r="T225" s="10">
        <f>IF(L225&gt;2005,(((N225-N245)/N245)+1)^(1/5)-1,0)</f>
        <v>0</v>
      </c>
      <c r="U225" s="10">
        <f t="shared" si="6"/>
        <v>0</v>
      </c>
      <c r="V225" s="26">
        <f t="shared" si="7"/>
        <v>0</v>
      </c>
      <c r="W225" s="3">
        <f>IF(A225=A226,N225-N226,0)</f>
        <v>9.9999999999999534E-3</v>
      </c>
      <c r="X225" s="10">
        <f>IF(A225=A226,(N225-N226)/N226,0)</f>
        <v>2.4999999999999883E-2</v>
      </c>
    </row>
    <row r="226" spans="1:24" ht="16.5" customHeight="1">
      <c r="A226" s="3" t="s">
        <v>26</v>
      </c>
      <c r="B226" s="3">
        <f t="shared" si="0"/>
        <v>2012</v>
      </c>
      <c r="C226" s="3">
        <f t="shared" si="1"/>
        <v>8</v>
      </c>
      <c r="D226" s="20" t="str">
        <f t="shared" si="2"/>
        <v>EMR20128</v>
      </c>
      <c r="E226" s="2">
        <v>41136</v>
      </c>
      <c r="F226" s="3">
        <v>0.4</v>
      </c>
      <c r="G226" s="2">
        <v>41162</v>
      </c>
      <c r="H226" s="3">
        <v>3.09E-2</v>
      </c>
      <c r="I226" s="3">
        <v>0</v>
      </c>
      <c r="J226" s="3">
        <v>0</v>
      </c>
      <c r="K226" s="3">
        <f t="shared" si="3"/>
        <v>2012</v>
      </c>
      <c r="L226" s="3">
        <f t="shared" si="4"/>
        <v>0</v>
      </c>
      <c r="M226" s="20" t="str">
        <f>A226&amp;L226</f>
        <v>EMR0</v>
      </c>
      <c r="N226" s="3">
        <f>F226</f>
        <v>0.4</v>
      </c>
      <c r="O226" s="9">
        <f>H226</f>
        <v>3.09E-2</v>
      </c>
      <c r="P226" s="10">
        <f t="shared" si="5"/>
        <v>0</v>
      </c>
      <c r="Q226" s="10">
        <f>IF(K226=0,IF(A223=A226,AVERAGE(O223:O226),"x"),0)</f>
        <v>0</v>
      </c>
      <c r="R226" s="9">
        <f>IF(L226&gt;2005,AVERAGE(O223:O242),0)</f>
        <v>0</v>
      </c>
      <c r="S226" s="10">
        <f>IF(A226=A227,(N226-N227)/N227,0)</f>
        <v>0</v>
      </c>
      <c r="T226" s="10">
        <f>IF(L226&gt;2005,(((N226-N246)/N246)+1)^(1/5)-1,0)</f>
        <v>0</v>
      </c>
      <c r="U226" s="10">
        <f t="shared" si="6"/>
        <v>0</v>
      </c>
      <c r="V226" s="26">
        <f t="shared" si="7"/>
        <v>0</v>
      </c>
      <c r="W226" s="3">
        <f>IF(A226=A227,N226-N227,0)</f>
        <v>0</v>
      </c>
      <c r="X226" s="10">
        <f>IF(A226=A227,(N226-N227)/N227,0)</f>
        <v>0</v>
      </c>
    </row>
    <row r="227" spans="1:24" ht="16.5" customHeight="1">
      <c r="A227" s="3" t="s">
        <v>26</v>
      </c>
      <c r="B227" s="3">
        <f t="shared" si="0"/>
        <v>2012</v>
      </c>
      <c r="C227" s="3">
        <f t="shared" si="1"/>
        <v>5</v>
      </c>
      <c r="D227" s="20" t="str">
        <f t="shared" si="2"/>
        <v>EMR20125</v>
      </c>
      <c r="E227" s="2">
        <v>41038</v>
      </c>
      <c r="F227" s="3">
        <v>0.4</v>
      </c>
      <c r="G227" s="2">
        <v>41071</v>
      </c>
      <c r="H227" s="3">
        <v>3.1399999999999997E-2</v>
      </c>
      <c r="I227" s="3">
        <v>0</v>
      </c>
      <c r="J227" s="3">
        <v>0</v>
      </c>
      <c r="K227" s="3">
        <f t="shared" si="3"/>
        <v>2012</v>
      </c>
      <c r="L227" s="3">
        <f t="shared" si="4"/>
        <v>0</v>
      </c>
      <c r="M227" s="20" t="str">
        <f>A227&amp;L227</f>
        <v>EMR0</v>
      </c>
      <c r="N227" s="3">
        <f>F227</f>
        <v>0.4</v>
      </c>
      <c r="O227" s="9">
        <f>H227</f>
        <v>3.1399999999999997E-2</v>
      </c>
      <c r="P227" s="10">
        <f t="shared" si="5"/>
        <v>0</v>
      </c>
      <c r="Q227" s="10">
        <f>IF(K227=0,IF(A224=A227,AVERAGE(O224:O227),"x"),0)</f>
        <v>0</v>
      </c>
      <c r="R227" s="9">
        <f>IF(L227&gt;2005,AVERAGE(O224:O243),0)</f>
        <v>0</v>
      </c>
      <c r="S227" s="10">
        <f>IF(A227=A228,(N227-N228)/N228,0)</f>
        <v>0</v>
      </c>
      <c r="T227" s="10">
        <f>IF(L227&gt;2005,(((N227-N247)/N247)+1)^(1/5)-1,0)</f>
        <v>0</v>
      </c>
      <c r="U227" s="10">
        <f t="shared" si="6"/>
        <v>0</v>
      </c>
      <c r="V227" s="26">
        <f t="shared" si="7"/>
        <v>0</v>
      </c>
      <c r="W227" s="3">
        <f>IF(A227=A228,N227-N228,0)</f>
        <v>0</v>
      </c>
      <c r="X227" s="10">
        <f>IF(A227=A228,(N227-N228)/N228,0)</f>
        <v>0</v>
      </c>
    </row>
    <row r="228" spans="1:24" ht="16.5" customHeight="1">
      <c r="A228" s="3" t="s">
        <v>26</v>
      </c>
      <c r="B228" s="3">
        <f t="shared" si="0"/>
        <v>2012</v>
      </c>
      <c r="C228" s="3">
        <f t="shared" si="1"/>
        <v>2</v>
      </c>
      <c r="D228" s="20" t="str">
        <f t="shared" si="2"/>
        <v>EMR20122</v>
      </c>
      <c r="E228" s="2">
        <v>40954</v>
      </c>
      <c r="F228" s="3">
        <v>0.4</v>
      </c>
      <c r="G228" s="2">
        <v>40977</v>
      </c>
      <c r="H228" s="3">
        <v>2.8899999999999999E-2</v>
      </c>
      <c r="I228" s="3">
        <v>0</v>
      </c>
      <c r="J228" s="3">
        <v>0</v>
      </c>
      <c r="K228" s="3">
        <f t="shared" si="3"/>
        <v>0</v>
      </c>
      <c r="L228" s="3">
        <f t="shared" si="4"/>
        <v>2012</v>
      </c>
      <c r="M228" s="20" t="str">
        <f>A228&amp;L228</f>
        <v>EMR2012</v>
      </c>
      <c r="N228" s="3">
        <f>F228</f>
        <v>0.4</v>
      </c>
      <c r="O228" s="9">
        <f>H228</f>
        <v>2.8899999999999999E-2</v>
      </c>
      <c r="P228" s="10">
        <f t="shared" si="5"/>
        <v>0</v>
      </c>
      <c r="Q228" s="10">
        <f>IF(K228=0,IF(A225=A228,AVERAGE(O225:O228),"x"),0)</f>
        <v>3.0875E-2</v>
      </c>
      <c r="R228" s="9">
        <f>IF(L228&gt;2005,AVERAGE(O225:O244),0)</f>
        <v>2.9204999999999998E-2</v>
      </c>
      <c r="S228" s="10">
        <f>IF(A228=A229,(N228-N229)/N229,0)</f>
        <v>0</v>
      </c>
      <c r="T228" s="10">
        <f>IF(L228&gt;2005,(((N228-N248)/N248)+1)^(1/5)-1,0)</f>
        <v>8.7892885777757002E-2</v>
      </c>
      <c r="U228" s="10">
        <f t="shared" si="6"/>
        <v>0.117097885777757</v>
      </c>
      <c r="V228" s="26">
        <f t="shared" si="7"/>
        <v>4.6212500174978173</v>
      </c>
      <c r="W228" s="3">
        <f>IF(A228=A229,N228-N229,0)</f>
        <v>0</v>
      </c>
      <c r="X228" s="10">
        <f>IF(A228=A229,(N228-N229)/N229,0)</f>
        <v>0</v>
      </c>
    </row>
    <row r="229" spans="1:24" ht="16.5" customHeight="1">
      <c r="A229" s="3" t="s">
        <v>26</v>
      </c>
      <c r="B229" s="3">
        <f t="shared" si="0"/>
        <v>2011</v>
      </c>
      <c r="C229" s="3">
        <f t="shared" si="1"/>
        <v>11</v>
      </c>
      <c r="D229" s="20" t="str">
        <f t="shared" si="2"/>
        <v>EMR201111</v>
      </c>
      <c r="E229" s="2">
        <v>40855</v>
      </c>
      <c r="F229" s="3">
        <v>0.4</v>
      </c>
      <c r="G229" s="2">
        <v>40886</v>
      </c>
      <c r="H229" s="3">
        <v>2.8199999999999999E-2</v>
      </c>
      <c r="I229" s="3">
        <v>0.15942028999999999</v>
      </c>
      <c r="J229" s="3">
        <v>5.5E-2</v>
      </c>
      <c r="K229" s="3">
        <f t="shared" si="3"/>
        <v>2011</v>
      </c>
      <c r="L229" s="3">
        <f t="shared" si="4"/>
        <v>0</v>
      </c>
      <c r="M229" s="20" t="str">
        <f>A229&amp;L229</f>
        <v>EMR0</v>
      </c>
      <c r="N229" s="3">
        <f>F229</f>
        <v>0.4</v>
      </c>
      <c r="O229" s="9">
        <f>H229</f>
        <v>2.8199999999999999E-2</v>
      </c>
      <c r="P229" s="10">
        <f t="shared" si="5"/>
        <v>2.6499999999999999E-2</v>
      </c>
      <c r="Q229" s="10">
        <f>IF(K229=0,IF(A226=A229,AVERAGE(O226:O229),"x"),0)</f>
        <v>0</v>
      </c>
      <c r="R229" s="9">
        <f>IF(L229&gt;2005,AVERAGE(O226:O245),0)</f>
        <v>0</v>
      </c>
      <c r="S229" s="10">
        <f>IF(A229=A230,(N229-N230)/N230,0)</f>
        <v>0.15942028985507262</v>
      </c>
      <c r="T229" s="10">
        <f>IF(L229&gt;2005,(((N229-N249)/N249)+1)^(1/5)-1,0)</f>
        <v>0</v>
      </c>
      <c r="U229" s="10">
        <f t="shared" si="6"/>
        <v>0</v>
      </c>
      <c r="V229" s="26">
        <f t="shared" si="7"/>
        <v>0</v>
      </c>
      <c r="W229" s="3">
        <f>IF(A229=A230,N229-N230,0)</f>
        <v>5.5000000000000049E-2</v>
      </c>
      <c r="X229" s="10">
        <f>IF(A229=A230,(N229-N230)/N230,0)</f>
        <v>0.15942028985507262</v>
      </c>
    </row>
    <row r="230" spans="1:24" ht="16.5" customHeight="1">
      <c r="A230" s="3" t="s">
        <v>26</v>
      </c>
      <c r="B230" s="3">
        <f t="shared" si="0"/>
        <v>2011</v>
      </c>
      <c r="C230" s="3">
        <f t="shared" si="1"/>
        <v>8</v>
      </c>
      <c r="D230" s="20" t="str">
        <f t="shared" si="2"/>
        <v>EMR20118</v>
      </c>
      <c r="E230" s="2">
        <v>40765</v>
      </c>
      <c r="F230" s="3">
        <v>0.34499999999999997</v>
      </c>
      <c r="G230" s="2">
        <v>40795</v>
      </c>
      <c r="H230" s="3">
        <v>3.09E-2</v>
      </c>
      <c r="I230" s="3">
        <v>0</v>
      </c>
      <c r="J230" s="3">
        <v>0</v>
      </c>
      <c r="K230" s="3">
        <f t="shared" si="3"/>
        <v>2011</v>
      </c>
      <c r="L230" s="3">
        <f t="shared" si="4"/>
        <v>0</v>
      </c>
      <c r="M230" s="20" t="str">
        <f>A230&amp;L230</f>
        <v>EMR0</v>
      </c>
      <c r="N230" s="3">
        <f>F230</f>
        <v>0.34499999999999997</v>
      </c>
      <c r="O230" s="9">
        <f>H230</f>
        <v>3.09E-2</v>
      </c>
      <c r="P230" s="10">
        <f t="shared" si="5"/>
        <v>0</v>
      </c>
      <c r="Q230" s="10">
        <f>IF(K230=0,IF(A227=A230,AVERAGE(O227:O230),"x"),0)</f>
        <v>0</v>
      </c>
      <c r="R230" s="9">
        <f>IF(L230&gt;2005,AVERAGE(O227:O246),0)</f>
        <v>0</v>
      </c>
      <c r="S230" s="10">
        <f>IF(A230=A231,(N230-N231)/N231,0)</f>
        <v>0</v>
      </c>
      <c r="T230" s="10">
        <f>IF(L230&gt;2005,(((N230-N250)/N250)+1)^(1/5)-1,0)</f>
        <v>0</v>
      </c>
      <c r="U230" s="10">
        <f t="shared" si="6"/>
        <v>0</v>
      </c>
      <c r="V230" s="26">
        <f t="shared" si="7"/>
        <v>0</v>
      </c>
      <c r="W230" s="3">
        <f>IF(A230=A231,N230-N231,0)</f>
        <v>0</v>
      </c>
      <c r="X230" s="10">
        <f>IF(A230=A231,(N230-N231)/N231,0)</f>
        <v>0</v>
      </c>
    </row>
    <row r="231" spans="1:24" ht="16.5" customHeight="1">
      <c r="A231" s="3" t="s">
        <v>26</v>
      </c>
      <c r="B231" s="3">
        <f t="shared" si="0"/>
        <v>2011</v>
      </c>
      <c r="C231" s="3">
        <f t="shared" si="1"/>
        <v>5</v>
      </c>
      <c r="D231" s="20" t="str">
        <f t="shared" si="2"/>
        <v>EMR20115</v>
      </c>
      <c r="E231" s="2">
        <v>40674</v>
      </c>
      <c r="F231" s="3">
        <v>0.34499999999999997</v>
      </c>
      <c r="G231" s="2">
        <v>40704</v>
      </c>
      <c r="H231" s="3">
        <v>2.47E-2</v>
      </c>
      <c r="I231" s="3">
        <v>0</v>
      </c>
      <c r="J231" s="3">
        <v>0</v>
      </c>
      <c r="K231" s="3">
        <f t="shared" si="3"/>
        <v>2011</v>
      </c>
      <c r="L231" s="3">
        <f t="shared" si="4"/>
        <v>0</v>
      </c>
      <c r="M231" s="20" t="str">
        <f>A231&amp;L231</f>
        <v>EMR0</v>
      </c>
      <c r="N231" s="3">
        <f>F231</f>
        <v>0.34499999999999997</v>
      </c>
      <c r="O231" s="9">
        <f>H231</f>
        <v>2.47E-2</v>
      </c>
      <c r="P231" s="10">
        <f t="shared" si="5"/>
        <v>0</v>
      </c>
      <c r="Q231" s="10">
        <f>IF(K231=0,IF(A228=A231,AVERAGE(O228:O231),"x"),0)</f>
        <v>0</v>
      </c>
      <c r="R231" s="9">
        <f>IF(L231&gt;2005,AVERAGE(O228:O247),0)</f>
        <v>0</v>
      </c>
      <c r="S231" s="10">
        <f>IF(A231=A232,(N231-N232)/N232,0)</f>
        <v>0</v>
      </c>
      <c r="T231" s="10">
        <f>IF(L231&gt;2005,(((N231-N251)/N251)+1)^(1/5)-1,0)</f>
        <v>0</v>
      </c>
      <c r="U231" s="10">
        <f t="shared" si="6"/>
        <v>0</v>
      </c>
      <c r="V231" s="26">
        <f t="shared" si="7"/>
        <v>0</v>
      </c>
      <c r="W231" s="3">
        <f>IF(A231=A232,N231-N232,0)</f>
        <v>0</v>
      </c>
      <c r="X231" s="10">
        <f>IF(A231=A232,(N231-N232)/N232,0)</f>
        <v>0</v>
      </c>
    </row>
    <row r="232" spans="1:24" ht="16.5" customHeight="1">
      <c r="A232" s="3" t="s">
        <v>26</v>
      </c>
      <c r="B232" s="3">
        <f t="shared" si="0"/>
        <v>2011</v>
      </c>
      <c r="C232" s="3">
        <f t="shared" si="1"/>
        <v>2</v>
      </c>
      <c r="D232" s="20" t="str">
        <f t="shared" si="2"/>
        <v>EMR20112</v>
      </c>
      <c r="E232" s="2">
        <v>40583</v>
      </c>
      <c r="F232" s="3">
        <v>0.34499999999999997</v>
      </c>
      <c r="G232" s="2">
        <v>40612</v>
      </c>
      <c r="H232" s="3">
        <v>2.2200000000000001E-2</v>
      </c>
      <c r="I232" s="3">
        <v>0</v>
      </c>
      <c r="J232" s="3">
        <v>0</v>
      </c>
      <c r="K232" s="3">
        <f t="shared" si="3"/>
        <v>0</v>
      </c>
      <c r="L232" s="3">
        <f t="shared" si="4"/>
        <v>2011</v>
      </c>
      <c r="M232" s="20" t="str">
        <f>A232&amp;L232</f>
        <v>EMR2011</v>
      </c>
      <c r="N232" s="3">
        <f>F232</f>
        <v>0.34499999999999997</v>
      </c>
      <c r="O232" s="9">
        <f>H232</f>
        <v>2.2200000000000001E-2</v>
      </c>
      <c r="P232" s="10">
        <f t="shared" si="5"/>
        <v>0</v>
      </c>
      <c r="Q232" s="10">
        <f>IF(K232=0,IF(A229=A232,AVERAGE(O229:O232),"x"),0)</f>
        <v>2.6499999999999999E-2</v>
      </c>
      <c r="R232" s="9">
        <f>IF(L232&gt;2005,AVERAGE(O229:O248),0)</f>
        <v>2.7289999999999998E-2</v>
      </c>
      <c r="S232" s="10">
        <f>IF(A232=A233,(N232-N233)/N233,0)</f>
        <v>0</v>
      </c>
      <c r="T232" s="10">
        <f>IF(L232&gt;2005,(((N232-N252)/N252)+1)^(1/5)-1,0)</f>
        <v>9.1686188751501918E-2</v>
      </c>
      <c r="U232" s="10">
        <f t="shared" si="6"/>
        <v>0.11897618875150191</v>
      </c>
      <c r="V232" s="26">
        <f t="shared" si="7"/>
        <v>4.6458548922476943</v>
      </c>
      <c r="W232" s="3">
        <f>IF(A232=A233,N232-N233,0)</f>
        <v>0</v>
      </c>
      <c r="X232" s="10">
        <f>IF(A232=A233,(N232-N233)/N233,0)</f>
        <v>0</v>
      </c>
    </row>
    <row r="233" spans="1:24" ht="16.5" customHeight="1">
      <c r="A233" s="3" t="s">
        <v>26</v>
      </c>
      <c r="B233" s="3">
        <f t="shared" si="0"/>
        <v>2010</v>
      </c>
      <c r="C233" s="3">
        <f t="shared" si="1"/>
        <v>11</v>
      </c>
      <c r="D233" s="20" t="str">
        <f t="shared" si="2"/>
        <v>EMR201011</v>
      </c>
      <c r="E233" s="2">
        <v>40491</v>
      </c>
      <c r="F233" s="3">
        <v>0.34499999999999997</v>
      </c>
      <c r="G233" s="2">
        <v>40522</v>
      </c>
      <c r="H233" s="3">
        <v>2.3699999999999999E-2</v>
      </c>
      <c r="I233" s="3">
        <v>2.9850746000000001E-2</v>
      </c>
      <c r="J233" s="3">
        <v>0.01</v>
      </c>
      <c r="K233" s="3">
        <f t="shared" si="3"/>
        <v>2010</v>
      </c>
      <c r="L233" s="3">
        <f t="shared" si="4"/>
        <v>0</v>
      </c>
      <c r="M233" s="20" t="str">
        <f>A233&amp;L233</f>
        <v>EMR0</v>
      </c>
      <c r="N233" s="3">
        <f>F233</f>
        <v>0.34499999999999997</v>
      </c>
      <c r="O233" s="9">
        <f>H233</f>
        <v>2.3699999999999999E-2</v>
      </c>
      <c r="P233" s="10">
        <f t="shared" si="5"/>
        <v>2.6474999999999999E-2</v>
      </c>
      <c r="Q233" s="10">
        <f>IF(K233=0,IF(A230=A233,AVERAGE(O230:O233),"x"),0)</f>
        <v>0</v>
      </c>
      <c r="R233" s="9">
        <f>IF(L233&gt;2005,AVERAGE(O230:O249),0)</f>
        <v>0</v>
      </c>
      <c r="S233" s="10">
        <f>IF(A233=A234,(N233-N234)/N234,0)</f>
        <v>2.9850746268656577E-2</v>
      </c>
      <c r="T233" s="10">
        <f>IF(L233&gt;2005,(((N233-N253)/N253)+1)^(1/5)-1,0)</f>
        <v>0</v>
      </c>
      <c r="U233" s="10">
        <f t="shared" si="6"/>
        <v>0</v>
      </c>
      <c r="V233" s="26">
        <f t="shared" si="7"/>
        <v>0</v>
      </c>
      <c r="W233" s="3">
        <f>IF(A233=A234,N233-N234,0)</f>
        <v>9.9999999999999534E-3</v>
      </c>
      <c r="X233" s="10">
        <f>IF(A233=A234,(N233-N234)/N234,0)</f>
        <v>2.9850746268656577E-2</v>
      </c>
    </row>
    <row r="234" spans="1:24" ht="16.5" customHeight="1">
      <c r="A234" s="3" t="s">
        <v>26</v>
      </c>
      <c r="B234" s="3">
        <f t="shared" si="0"/>
        <v>2010</v>
      </c>
      <c r="C234" s="3">
        <f t="shared" si="1"/>
        <v>8</v>
      </c>
      <c r="D234" s="20" t="str">
        <f t="shared" si="2"/>
        <v>EMR20108</v>
      </c>
      <c r="E234" s="2">
        <v>40401</v>
      </c>
      <c r="F234" s="3">
        <v>0.33500000000000002</v>
      </c>
      <c r="G234" s="2">
        <v>40431</v>
      </c>
      <c r="H234" s="3">
        <v>2.64E-2</v>
      </c>
      <c r="I234" s="3">
        <v>0</v>
      </c>
      <c r="J234" s="3">
        <v>0</v>
      </c>
      <c r="K234" s="3">
        <f t="shared" si="3"/>
        <v>2010</v>
      </c>
      <c r="L234" s="3">
        <f t="shared" si="4"/>
        <v>0</v>
      </c>
      <c r="M234" s="20" t="str">
        <f>A234&amp;L234</f>
        <v>EMR0</v>
      </c>
      <c r="N234" s="3">
        <f>F234</f>
        <v>0.33500000000000002</v>
      </c>
      <c r="O234" s="9">
        <f>H234</f>
        <v>2.64E-2</v>
      </c>
      <c r="P234" s="10">
        <f t="shared" si="5"/>
        <v>0</v>
      </c>
      <c r="Q234" s="10">
        <f>IF(K234=0,IF(A231=A234,AVERAGE(O231:O234),"x"),0)</f>
        <v>0</v>
      </c>
      <c r="R234" s="9">
        <f>IF(L234&gt;2005,AVERAGE(O231:O250),0)</f>
        <v>0</v>
      </c>
      <c r="S234" s="10">
        <f>IF(A234=A235,(N234-N235)/N235,0)</f>
        <v>0</v>
      </c>
      <c r="T234" s="10">
        <f>IF(L234&gt;2005,(((N234-N254)/N254)+1)^(1/5)-1,0)</f>
        <v>0</v>
      </c>
      <c r="U234" s="10">
        <f t="shared" si="6"/>
        <v>0</v>
      </c>
      <c r="V234" s="26">
        <f t="shared" si="7"/>
        <v>0</v>
      </c>
      <c r="W234" s="3">
        <f>IF(A234=A235,N234-N235,0)</f>
        <v>0</v>
      </c>
      <c r="X234" s="10">
        <f>IF(A234=A235,(N234-N235)/N235,0)</f>
        <v>0</v>
      </c>
    </row>
    <row r="235" spans="1:24" ht="16.5" customHeight="1">
      <c r="A235" s="3" t="s">
        <v>26</v>
      </c>
      <c r="B235" s="3">
        <f t="shared" si="0"/>
        <v>2010</v>
      </c>
      <c r="C235" s="3">
        <f t="shared" si="1"/>
        <v>5</v>
      </c>
      <c r="D235" s="20" t="str">
        <f t="shared" si="2"/>
        <v>EMR20105</v>
      </c>
      <c r="E235" s="2">
        <v>40310</v>
      </c>
      <c r="F235" s="3">
        <v>0.33500000000000002</v>
      </c>
      <c r="G235" s="2">
        <v>40339</v>
      </c>
      <c r="H235" s="3">
        <v>2.6800000000000001E-2</v>
      </c>
      <c r="I235" s="3">
        <v>0</v>
      </c>
      <c r="J235" s="3">
        <v>0</v>
      </c>
      <c r="K235" s="3">
        <f t="shared" si="3"/>
        <v>2010</v>
      </c>
      <c r="L235" s="3">
        <f t="shared" si="4"/>
        <v>0</v>
      </c>
      <c r="M235" s="20" t="str">
        <f>A235&amp;L235</f>
        <v>EMR0</v>
      </c>
      <c r="N235" s="3">
        <f>F235</f>
        <v>0.33500000000000002</v>
      </c>
      <c r="O235" s="9">
        <f>H235</f>
        <v>2.6800000000000001E-2</v>
      </c>
      <c r="P235" s="10">
        <f t="shared" si="5"/>
        <v>0</v>
      </c>
      <c r="Q235" s="10">
        <f>IF(K235=0,IF(A232=A235,AVERAGE(O232:O235),"x"),0)</f>
        <v>0</v>
      </c>
      <c r="R235" s="9">
        <f>IF(L235&gt;2005,AVERAGE(O232:O251),0)</f>
        <v>0</v>
      </c>
      <c r="S235" s="10">
        <f>IF(A235=A236,(N235-N236)/N236,0)</f>
        <v>0</v>
      </c>
      <c r="T235" s="10">
        <f>IF(L235&gt;2005,(((N235-N255)/N255)+1)^(1/5)-1,0)</f>
        <v>0</v>
      </c>
      <c r="U235" s="10">
        <f t="shared" si="6"/>
        <v>0</v>
      </c>
      <c r="V235" s="26">
        <f t="shared" si="7"/>
        <v>0</v>
      </c>
      <c r="W235" s="3">
        <f>IF(A235=A236,N235-N236,0)</f>
        <v>0</v>
      </c>
      <c r="X235" s="10">
        <f>IF(A235=A236,(N235-N236)/N236,0)</f>
        <v>0</v>
      </c>
    </row>
    <row r="236" spans="1:24" ht="16.5" customHeight="1">
      <c r="A236" s="3" t="s">
        <v>26</v>
      </c>
      <c r="B236" s="3">
        <f t="shared" si="0"/>
        <v>2010</v>
      </c>
      <c r="C236" s="3">
        <f t="shared" si="1"/>
        <v>2</v>
      </c>
      <c r="D236" s="20" t="str">
        <f t="shared" si="2"/>
        <v>EMR20102</v>
      </c>
      <c r="E236" s="2">
        <v>40219</v>
      </c>
      <c r="F236" s="3">
        <v>0.33500000000000002</v>
      </c>
      <c r="G236" s="2">
        <v>40247</v>
      </c>
      <c r="H236" s="3">
        <v>2.9000000000000001E-2</v>
      </c>
      <c r="I236" s="3">
        <v>0</v>
      </c>
      <c r="J236" s="3">
        <v>0</v>
      </c>
      <c r="K236" s="3">
        <f t="shared" si="3"/>
        <v>0</v>
      </c>
      <c r="L236" s="3">
        <f t="shared" si="4"/>
        <v>2010</v>
      </c>
      <c r="M236" s="20" t="str">
        <f>A236&amp;L236</f>
        <v>EMR2010</v>
      </c>
      <c r="N236" s="3">
        <f>F236</f>
        <v>0.33500000000000002</v>
      </c>
      <c r="O236" s="9">
        <f>H236</f>
        <v>2.9000000000000001E-2</v>
      </c>
      <c r="P236" s="10">
        <f t="shared" si="5"/>
        <v>0</v>
      </c>
      <c r="Q236" s="10">
        <f>IF(K236=0,IF(A233=A236,AVERAGE(O233:O236),"x"),0)</f>
        <v>2.6474999999999999E-2</v>
      </c>
      <c r="R236" s="9">
        <f>IF(L236&gt;2005,AVERAGE(O233:O252),0)</f>
        <v>2.6189999999999998E-2</v>
      </c>
      <c r="S236" s="10">
        <f>IF(A236=A237,(N236-N237)/N237,0)</f>
        <v>0</v>
      </c>
      <c r="T236" s="10">
        <f>IF(L236&gt;2005,(((N236-N256)/N256)+1)^(1/5)-1,0)</f>
        <v>0.10053875638178189</v>
      </c>
      <c r="U236" s="10">
        <f t="shared" si="6"/>
        <v>0.12672875638178188</v>
      </c>
      <c r="V236" s="26">
        <f t="shared" si="7"/>
        <v>4.6619550774314016</v>
      </c>
      <c r="W236" s="3">
        <f>IF(A236=A237,N236-N237,0)</f>
        <v>0</v>
      </c>
      <c r="X236" s="10">
        <f>IF(A236=A237,(N236-N237)/N237,0)</f>
        <v>0</v>
      </c>
    </row>
    <row r="237" spans="1:24" ht="16.5" customHeight="1">
      <c r="A237" s="3" t="s">
        <v>26</v>
      </c>
      <c r="B237" s="3">
        <f t="shared" si="0"/>
        <v>2009</v>
      </c>
      <c r="C237" s="3">
        <f t="shared" si="1"/>
        <v>11</v>
      </c>
      <c r="D237" s="20" t="str">
        <f t="shared" si="2"/>
        <v>EMR200911</v>
      </c>
      <c r="E237" s="2">
        <v>40127</v>
      </c>
      <c r="F237" s="3">
        <v>0.33500000000000002</v>
      </c>
      <c r="G237" s="2">
        <v>40157</v>
      </c>
      <c r="H237" s="3">
        <v>3.1699999999999999E-2</v>
      </c>
      <c r="I237" s="3">
        <v>1.5151515000000001E-2</v>
      </c>
      <c r="J237" s="3">
        <v>5.0000000000000001E-3</v>
      </c>
      <c r="K237" s="3">
        <f t="shared" si="3"/>
        <v>2009</v>
      </c>
      <c r="L237" s="3">
        <f t="shared" si="4"/>
        <v>0</v>
      </c>
      <c r="M237" s="20" t="str">
        <f>A237&amp;L237</f>
        <v>EMR0</v>
      </c>
      <c r="N237" s="3">
        <f>F237</f>
        <v>0.33500000000000002</v>
      </c>
      <c r="O237" s="9">
        <f>H237</f>
        <v>3.1699999999999999E-2</v>
      </c>
      <c r="P237" s="10">
        <f t="shared" si="5"/>
        <v>3.5799999999999998E-2</v>
      </c>
      <c r="Q237" s="10">
        <f>IF(K237=0,IF(A234=A237,AVERAGE(O234:O237),"x"),0)</f>
        <v>0</v>
      </c>
      <c r="R237" s="9">
        <f>IF(L237&gt;2005,AVERAGE(O234:O253),0)</f>
        <v>0</v>
      </c>
      <c r="S237" s="10">
        <f>IF(A237=A238,(N237-N238)/N238,0)</f>
        <v>1.5151515151515164E-2</v>
      </c>
      <c r="T237" s="10">
        <f>IF(L237&gt;2005,(((N237-N257)/N257)+1)^(1/5)-1,0)</f>
        <v>0</v>
      </c>
      <c r="U237" s="10">
        <f t="shared" si="6"/>
        <v>0</v>
      </c>
      <c r="V237" s="26">
        <f t="shared" si="7"/>
        <v>0</v>
      </c>
      <c r="W237" s="3">
        <f>IF(A237=A238,N237-N238,0)</f>
        <v>5.0000000000000044E-3</v>
      </c>
      <c r="X237" s="10">
        <f>IF(A237=A238,(N237-N238)/N238,0)</f>
        <v>1.5151515151515164E-2</v>
      </c>
    </row>
    <row r="238" spans="1:24" ht="16.5" customHeight="1">
      <c r="A238" s="3" t="s">
        <v>26</v>
      </c>
      <c r="B238" s="3">
        <f t="shared" si="0"/>
        <v>2009</v>
      </c>
      <c r="C238" s="3">
        <f t="shared" si="1"/>
        <v>8</v>
      </c>
      <c r="D238" s="20" t="str">
        <f t="shared" si="2"/>
        <v>EMR20098</v>
      </c>
      <c r="E238" s="2">
        <v>40037</v>
      </c>
      <c r="F238" s="3">
        <v>0.33</v>
      </c>
      <c r="G238" s="2">
        <v>40066</v>
      </c>
      <c r="H238" s="3">
        <v>3.6700000000000003E-2</v>
      </c>
      <c r="I238" s="3">
        <v>0</v>
      </c>
      <c r="J238" s="3">
        <v>0</v>
      </c>
      <c r="K238" s="3">
        <f t="shared" si="3"/>
        <v>2009</v>
      </c>
      <c r="L238" s="3">
        <f t="shared" si="4"/>
        <v>0</v>
      </c>
      <c r="M238" s="20" t="str">
        <f>A238&amp;L238</f>
        <v>EMR0</v>
      </c>
      <c r="N238" s="3">
        <f>F238</f>
        <v>0.33</v>
      </c>
      <c r="O238" s="9">
        <f>H238</f>
        <v>3.6700000000000003E-2</v>
      </c>
      <c r="P238" s="10">
        <f t="shared" si="5"/>
        <v>0</v>
      </c>
      <c r="Q238" s="10">
        <f>IF(K238=0,IF(A235=A238,AVERAGE(O235:O238),"x"),0)</f>
        <v>0</v>
      </c>
      <c r="R238" s="9">
        <f>IF(L238&gt;2005,AVERAGE(O235:O254),0)</f>
        <v>0</v>
      </c>
      <c r="S238" s="10">
        <f>IF(A238=A239,(N238-N239)/N239,0)</f>
        <v>0</v>
      </c>
      <c r="T238" s="10">
        <f>IF(L238&gt;2005,(((N238-N258)/N258)+1)^(1/5)-1,0)</f>
        <v>0</v>
      </c>
      <c r="U238" s="10">
        <f t="shared" si="6"/>
        <v>0</v>
      </c>
      <c r="V238" s="26">
        <f t="shared" si="7"/>
        <v>0</v>
      </c>
      <c r="W238" s="3">
        <f>IF(A238=A239,N238-N239,0)</f>
        <v>0</v>
      </c>
      <c r="X238" s="10">
        <f>IF(A238=A239,(N238-N239)/N239,0)</f>
        <v>0</v>
      </c>
    </row>
    <row r="239" spans="1:24" ht="16.5" customHeight="1">
      <c r="A239" s="3" t="s">
        <v>26</v>
      </c>
      <c r="B239" s="3">
        <f t="shared" si="0"/>
        <v>2009</v>
      </c>
      <c r="C239" s="3">
        <f t="shared" si="1"/>
        <v>5</v>
      </c>
      <c r="D239" s="20" t="str">
        <f t="shared" si="2"/>
        <v>EMR20095</v>
      </c>
      <c r="E239" s="2">
        <v>39946</v>
      </c>
      <c r="F239" s="3">
        <v>0.33</v>
      </c>
      <c r="G239" s="2">
        <v>39974</v>
      </c>
      <c r="H239" s="3">
        <v>3.6400000000000002E-2</v>
      </c>
      <c r="I239" s="3">
        <v>0</v>
      </c>
      <c r="J239" s="3">
        <v>0</v>
      </c>
      <c r="K239" s="3">
        <f t="shared" si="3"/>
        <v>2009</v>
      </c>
      <c r="L239" s="3">
        <f t="shared" si="4"/>
        <v>0</v>
      </c>
      <c r="M239" s="20" t="str">
        <f>A239&amp;L239</f>
        <v>EMR0</v>
      </c>
      <c r="N239" s="3">
        <f>F239</f>
        <v>0.33</v>
      </c>
      <c r="O239" s="9">
        <f>H239</f>
        <v>3.6400000000000002E-2</v>
      </c>
      <c r="P239" s="10">
        <f t="shared" si="5"/>
        <v>0</v>
      </c>
      <c r="Q239" s="10">
        <f>IF(K239=0,IF(A236=A239,AVERAGE(O236:O239),"x"),0)</f>
        <v>0</v>
      </c>
      <c r="R239" s="9">
        <f>IF(L239&gt;2005,AVERAGE(O236:O255),0)</f>
        <v>0</v>
      </c>
      <c r="S239" s="10">
        <f>IF(A239=A240,(N239-N240)/N240,0)</f>
        <v>0</v>
      </c>
      <c r="T239" s="10">
        <f>IF(L239&gt;2005,(((N239-N259)/N259)+1)^(1/5)-1,0)</f>
        <v>0</v>
      </c>
      <c r="U239" s="10">
        <f t="shared" si="6"/>
        <v>0</v>
      </c>
      <c r="V239" s="26">
        <f t="shared" si="7"/>
        <v>0</v>
      </c>
      <c r="W239" s="3">
        <f>IF(A239=A240,N239-N240,0)</f>
        <v>0</v>
      </c>
      <c r="X239" s="10">
        <f>IF(A239=A240,(N239-N240)/N240,0)</f>
        <v>0</v>
      </c>
    </row>
    <row r="240" spans="1:24" ht="16.5" customHeight="1">
      <c r="A240" s="3" t="s">
        <v>26</v>
      </c>
      <c r="B240" s="3">
        <f t="shared" si="0"/>
        <v>2009</v>
      </c>
      <c r="C240" s="3">
        <f t="shared" si="1"/>
        <v>2</v>
      </c>
      <c r="D240" s="20" t="str">
        <f t="shared" si="2"/>
        <v>EMR20092</v>
      </c>
      <c r="E240" s="2">
        <v>39855</v>
      </c>
      <c r="F240" s="3">
        <v>0.33</v>
      </c>
      <c r="G240" s="2">
        <v>39882</v>
      </c>
      <c r="H240" s="3">
        <v>3.8399999999999997E-2</v>
      </c>
      <c r="I240" s="3">
        <v>0</v>
      </c>
      <c r="J240" s="3">
        <v>0</v>
      </c>
      <c r="K240" s="3">
        <f t="shared" si="3"/>
        <v>0</v>
      </c>
      <c r="L240" s="3">
        <f t="shared" si="4"/>
        <v>2009</v>
      </c>
      <c r="M240" s="20" t="str">
        <f>A240&amp;L240</f>
        <v>EMR2009</v>
      </c>
      <c r="N240" s="3">
        <f>F240</f>
        <v>0.33</v>
      </c>
      <c r="O240" s="9">
        <f>H240</f>
        <v>3.8399999999999997E-2</v>
      </c>
      <c r="P240" s="10">
        <f t="shared" si="5"/>
        <v>0</v>
      </c>
      <c r="Q240" s="10">
        <f>IF(K240=0,IF(A237=A240,AVERAGE(O237:O240),"x"),0)</f>
        <v>3.5799999999999998E-2</v>
      </c>
      <c r="R240" s="9">
        <f>IF(L240&gt;2005,AVERAGE(O237:O256),0)</f>
        <v>2.5714999999999998E-2</v>
      </c>
      <c r="S240" s="10">
        <f>IF(A240=A241,(N240-N241)/N241,0)</f>
        <v>0</v>
      </c>
      <c r="T240" s="10">
        <f>IF(L240&gt;2005,(((N240-N260)/N260)+1)^(1/5)-1,0)</f>
        <v>0.10534229649286941</v>
      </c>
      <c r="U240" s="10">
        <f t="shared" si="6"/>
        <v>0.1310572964928694</v>
      </c>
      <c r="V240" s="26">
        <f t="shared" si="7"/>
        <v>4.6691327867701853</v>
      </c>
      <c r="W240" s="3">
        <f>IF(A240=A241,N240-N241,0)</f>
        <v>0</v>
      </c>
      <c r="X240" s="10">
        <f>IF(A240=A241,(N240-N241)/N241,0)</f>
        <v>0</v>
      </c>
    </row>
    <row r="241" spans="1:24" ht="16.5" customHeight="1">
      <c r="A241" s="3" t="s">
        <v>26</v>
      </c>
      <c r="B241" s="3">
        <f t="shared" si="0"/>
        <v>2008</v>
      </c>
      <c r="C241" s="3">
        <f t="shared" si="1"/>
        <v>11</v>
      </c>
      <c r="D241" s="20" t="str">
        <f t="shared" si="2"/>
        <v>EMR200811</v>
      </c>
      <c r="E241" s="2">
        <v>39764</v>
      </c>
      <c r="F241" s="3">
        <v>0.33</v>
      </c>
      <c r="G241" s="2">
        <v>39792</v>
      </c>
      <c r="H241" s="3">
        <v>3.8699999999999998E-2</v>
      </c>
      <c r="I241" s="3">
        <v>0.1</v>
      </c>
      <c r="J241" s="3">
        <v>0.03</v>
      </c>
      <c r="K241" s="3">
        <f t="shared" si="3"/>
        <v>2008</v>
      </c>
      <c r="L241" s="3">
        <f t="shared" si="4"/>
        <v>0</v>
      </c>
      <c r="M241" s="20" t="str">
        <f>A241&amp;L241</f>
        <v>EMR0</v>
      </c>
      <c r="N241" s="3">
        <f>F241</f>
        <v>0.33</v>
      </c>
      <c r="O241" s="9">
        <f>H241</f>
        <v>3.8699999999999998E-2</v>
      </c>
      <c r="P241" s="10">
        <f t="shared" si="5"/>
        <v>2.6374999999999999E-2</v>
      </c>
      <c r="Q241" s="10">
        <f>IF(K241=0,IF(A238=A241,AVERAGE(O238:O241),"x"),0)</f>
        <v>0</v>
      </c>
      <c r="R241" s="9">
        <f>IF(L241&gt;2005,AVERAGE(O238:O257),0)</f>
        <v>0</v>
      </c>
      <c r="S241" s="10">
        <f>IF(A241=A242,(N241-N242)/N242,0)</f>
        <v>0.10000000000000009</v>
      </c>
      <c r="T241" s="10">
        <f>IF(L241&gt;2005,(((N241-N261)/N261)+1)^(1/5)-1,0)</f>
        <v>0</v>
      </c>
      <c r="U241" s="10">
        <f t="shared" si="6"/>
        <v>0</v>
      </c>
      <c r="V241" s="26">
        <f t="shared" si="7"/>
        <v>0</v>
      </c>
      <c r="W241" s="3">
        <f>IF(A241=A242,N241-N242,0)</f>
        <v>3.0000000000000027E-2</v>
      </c>
      <c r="X241" s="10">
        <f>IF(A241=A242,(N241-N242)/N242,0)</f>
        <v>0.10000000000000009</v>
      </c>
    </row>
    <row r="242" spans="1:24" ht="16.5" customHeight="1">
      <c r="A242" s="3" t="s">
        <v>26</v>
      </c>
      <c r="B242" s="3">
        <f t="shared" si="0"/>
        <v>2008</v>
      </c>
      <c r="C242" s="3">
        <f t="shared" si="1"/>
        <v>8</v>
      </c>
      <c r="D242" s="20" t="str">
        <f t="shared" si="2"/>
        <v>EMR20088</v>
      </c>
      <c r="E242" s="2">
        <v>39673</v>
      </c>
      <c r="F242" s="3">
        <v>0.3</v>
      </c>
      <c r="G242" s="2">
        <v>39701</v>
      </c>
      <c r="H242" s="3">
        <v>2.4400000000000002E-2</v>
      </c>
      <c r="I242" s="3">
        <v>0</v>
      </c>
      <c r="J242" s="3">
        <v>0</v>
      </c>
      <c r="K242" s="3">
        <f t="shared" si="3"/>
        <v>2008</v>
      </c>
      <c r="L242" s="3">
        <f t="shared" si="4"/>
        <v>0</v>
      </c>
      <c r="M242" s="20" t="str">
        <f>A242&amp;L242</f>
        <v>EMR0</v>
      </c>
      <c r="N242" s="3">
        <f>F242</f>
        <v>0.3</v>
      </c>
      <c r="O242" s="9">
        <f>H242</f>
        <v>2.4400000000000002E-2</v>
      </c>
      <c r="P242" s="10">
        <f t="shared" si="5"/>
        <v>0</v>
      </c>
      <c r="Q242" s="10">
        <f>IF(K242=0,IF(A239=A242,AVERAGE(O239:O242),"x"),0)</f>
        <v>0</v>
      </c>
      <c r="R242" s="9">
        <f>IF(L242&gt;2005,AVERAGE(O239:O258),0)</f>
        <v>0</v>
      </c>
      <c r="S242" s="10">
        <f>IF(A242=A243,(N242-N243)/N243,0)</f>
        <v>0</v>
      </c>
      <c r="T242" s="10">
        <f>IF(L242&gt;2005,(((N242-N262)/N262)+1)^(1/5)-1,0)</f>
        <v>0</v>
      </c>
      <c r="U242" s="10">
        <f t="shared" si="6"/>
        <v>0</v>
      </c>
      <c r="V242" s="26">
        <f t="shared" si="7"/>
        <v>0</v>
      </c>
      <c r="W242" s="3">
        <f>IF(A242=A243,N242-N243,0)</f>
        <v>0</v>
      </c>
      <c r="X242" s="10">
        <f>IF(A242=A243,(N242-N243)/N243,0)</f>
        <v>0</v>
      </c>
    </row>
    <row r="243" spans="1:24" ht="16.5" customHeight="1">
      <c r="A243" s="3" t="s">
        <v>26</v>
      </c>
      <c r="B243" s="3">
        <f t="shared" si="0"/>
        <v>2008</v>
      </c>
      <c r="C243" s="3">
        <f t="shared" si="1"/>
        <v>5</v>
      </c>
      <c r="D243" s="20" t="str">
        <f t="shared" si="2"/>
        <v>EMR20085</v>
      </c>
      <c r="E243" s="2">
        <v>39582</v>
      </c>
      <c r="F243" s="3">
        <v>0.3</v>
      </c>
      <c r="G243" s="2">
        <v>39609</v>
      </c>
      <c r="H243" s="3">
        <v>2.06E-2</v>
      </c>
      <c r="I243" s="3">
        <v>0</v>
      </c>
      <c r="J243" s="3">
        <v>0</v>
      </c>
      <c r="K243" s="3">
        <f t="shared" si="3"/>
        <v>2008</v>
      </c>
      <c r="L243" s="3">
        <f t="shared" si="4"/>
        <v>0</v>
      </c>
      <c r="M243" s="20" t="str">
        <f>A243&amp;L243</f>
        <v>EMR0</v>
      </c>
      <c r="N243" s="3">
        <f>F243</f>
        <v>0.3</v>
      </c>
      <c r="O243" s="9">
        <f>H243</f>
        <v>2.06E-2</v>
      </c>
      <c r="P243" s="10">
        <f t="shared" si="5"/>
        <v>0</v>
      </c>
      <c r="Q243" s="10">
        <f>IF(K243=0,IF(A240=A243,AVERAGE(O240:O243),"x"),0)</f>
        <v>0</v>
      </c>
      <c r="R243" s="9">
        <f>IF(L243&gt;2005,AVERAGE(O240:O259),0)</f>
        <v>0</v>
      </c>
      <c r="S243" s="10">
        <f>IF(A243=A244,(N243-N244)/N244,0)</f>
        <v>0</v>
      </c>
      <c r="T243" s="10">
        <f>IF(L243&gt;2005,(((N243-N263)/N263)+1)^(1/5)-1,0)</f>
        <v>0</v>
      </c>
      <c r="U243" s="10">
        <f t="shared" si="6"/>
        <v>0</v>
      </c>
      <c r="V243" s="26">
        <f t="shared" si="7"/>
        <v>0</v>
      </c>
      <c r="W243" s="3">
        <f>IF(A243=A244,N243-N244,0)</f>
        <v>0</v>
      </c>
      <c r="X243" s="10">
        <f>IF(A243=A244,(N243-N244)/N244,0)</f>
        <v>0</v>
      </c>
    </row>
    <row r="244" spans="1:24" ht="16.5" customHeight="1">
      <c r="A244" s="3" t="s">
        <v>26</v>
      </c>
      <c r="B244" s="3">
        <f t="shared" si="0"/>
        <v>2008</v>
      </c>
      <c r="C244" s="3">
        <f t="shared" si="1"/>
        <v>2</v>
      </c>
      <c r="D244" s="20" t="str">
        <f t="shared" si="2"/>
        <v>EMR20082</v>
      </c>
      <c r="E244" s="2">
        <v>39491</v>
      </c>
      <c r="F244" s="3">
        <v>0.3</v>
      </c>
      <c r="G244" s="2">
        <v>39517</v>
      </c>
      <c r="H244" s="3">
        <v>2.18E-2</v>
      </c>
      <c r="I244" s="3">
        <v>0</v>
      </c>
      <c r="J244" s="3">
        <v>0</v>
      </c>
      <c r="K244" s="3">
        <f t="shared" si="3"/>
        <v>0</v>
      </c>
      <c r="L244" s="3">
        <f t="shared" si="4"/>
        <v>2008</v>
      </c>
      <c r="M244" s="20" t="str">
        <f>A244&amp;L244</f>
        <v>EMR2008</v>
      </c>
      <c r="N244" s="3">
        <f>F244</f>
        <v>0.3</v>
      </c>
      <c r="O244" s="9">
        <f>H244</f>
        <v>2.18E-2</v>
      </c>
      <c r="P244" s="10">
        <f t="shared" si="5"/>
        <v>0</v>
      </c>
      <c r="Q244" s="10">
        <f>IF(K244=0,IF(A241=A244,AVERAGE(O241:O244),"x"),0)</f>
        <v>2.6374999999999999E-2</v>
      </c>
      <c r="R244" s="9">
        <f>IF(L244&gt;2005,AVERAGE(O241:O260),0)</f>
        <v>2.3654999999999995E-2</v>
      </c>
      <c r="S244" s="10">
        <f>IF(A244=A245,(N244-N245)/N245,0)</f>
        <v>0</v>
      </c>
      <c r="T244" s="10">
        <f>IF(L244&gt;2005,(((N244-N264)/N264)+1)^(1/5)-1,0)</f>
        <v>8.8584930158139841E-2</v>
      </c>
      <c r="U244" s="10">
        <f t="shared" si="6"/>
        <v>0.11223993015813984</v>
      </c>
      <c r="V244" s="26">
        <f t="shared" si="7"/>
        <v>4.6898849920051537</v>
      </c>
      <c r="W244" s="3">
        <f>IF(A244=A245,N244-N245,0)</f>
        <v>0</v>
      </c>
      <c r="X244" s="10">
        <f>IF(A244=A245,(N244-N245)/N245,0)</f>
        <v>0</v>
      </c>
    </row>
    <row r="245" spans="1:24" ht="16.5" customHeight="1">
      <c r="A245" s="3" t="s">
        <v>26</v>
      </c>
      <c r="B245" s="3">
        <f t="shared" si="0"/>
        <v>2007</v>
      </c>
      <c r="C245" s="3">
        <f t="shared" si="1"/>
        <v>11</v>
      </c>
      <c r="D245" s="20" t="str">
        <f t="shared" si="2"/>
        <v>EMR200711</v>
      </c>
      <c r="E245" s="2">
        <v>39400</v>
      </c>
      <c r="F245" s="3">
        <v>0.3</v>
      </c>
      <c r="G245" s="2">
        <v>39426</v>
      </c>
      <c r="H245" s="3">
        <v>1.9599999999999999E-2</v>
      </c>
      <c r="I245" s="3">
        <v>0.14285714299999999</v>
      </c>
      <c r="J245" s="3">
        <v>3.7499999999999999E-2</v>
      </c>
      <c r="K245" s="3">
        <f t="shared" si="3"/>
        <v>2007</v>
      </c>
      <c r="L245" s="3">
        <f t="shared" si="4"/>
        <v>0</v>
      </c>
      <c r="M245" s="20" t="str">
        <f>A245&amp;L245</f>
        <v>EMR0</v>
      </c>
      <c r="N245" s="3">
        <f>F245</f>
        <v>0.3</v>
      </c>
      <c r="O245" s="9">
        <f>H245</f>
        <v>1.9599999999999999E-2</v>
      </c>
      <c r="P245" s="10">
        <f t="shared" si="5"/>
        <v>2.1299999999999999E-2</v>
      </c>
      <c r="Q245" s="10">
        <f>IF(K245=0,IF(A242=A245,AVERAGE(O242:O245),"x"),0)</f>
        <v>0</v>
      </c>
      <c r="R245" s="9">
        <f>IF(L245&gt;2005,AVERAGE(O242:O261),0)</f>
        <v>0</v>
      </c>
      <c r="S245" s="10">
        <f>IF(A245=A246,(N245-N246)/N246,0)</f>
        <v>0.14285714285714277</v>
      </c>
      <c r="T245" s="10">
        <f>IF(L245&gt;2005,(((N245-N265)/N265)+1)^(1/5)-1,0)</f>
        <v>0</v>
      </c>
      <c r="U245" s="10">
        <f t="shared" si="6"/>
        <v>0</v>
      </c>
      <c r="V245" s="26">
        <f t="shared" si="7"/>
        <v>0</v>
      </c>
      <c r="W245" s="3">
        <f>IF(A245=A246,N245-N246,0)</f>
        <v>3.7499999999999978E-2</v>
      </c>
      <c r="X245" s="10">
        <f>IF(A245=A246,(N245-N246)/N246,0)</f>
        <v>0.14285714285714277</v>
      </c>
    </row>
    <row r="246" spans="1:24" ht="16.5" customHeight="1">
      <c r="A246" s="3" t="s">
        <v>26</v>
      </c>
      <c r="B246" s="3">
        <f t="shared" si="0"/>
        <v>2007</v>
      </c>
      <c r="C246" s="3">
        <f t="shared" si="1"/>
        <v>8</v>
      </c>
      <c r="D246" s="20" t="str">
        <f t="shared" si="2"/>
        <v>EMR20078</v>
      </c>
      <c r="E246" s="2">
        <v>39309</v>
      </c>
      <c r="F246" s="3">
        <v>0.26250000000000001</v>
      </c>
      <c r="G246" s="2">
        <v>39335</v>
      </c>
      <c r="H246" s="3">
        <v>2.23E-2</v>
      </c>
      <c r="I246" s="3">
        <v>0</v>
      </c>
      <c r="J246" s="3">
        <v>0</v>
      </c>
      <c r="K246" s="3">
        <f t="shared" si="3"/>
        <v>2007</v>
      </c>
      <c r="L246" s="3">
        <f t="shared" si="4"/>
        <v>0</v>
      </c>
      <c r="M246" s="20" t="str">
        <f>A246&amp;L246</f>
        <v>EMR0</v>
      </c>
      <c r="N246" s="3">
        <f>F246</f>
        <v>0.26250000000000001</v>
      </c>
      <c r="O246" s="9">
        <f>H246</f>
        <v>2.23E-2</v>
      </c>
      <c r="P246" s="10">
        <f t="shared" si="5"/>
        <v>0</v>
      </c>
      <c r="Q246" s="10">
        <f>IF(K246=0,IF(A243=A246,AVERAGE(O243:O246),"x"),0)</f>
        <v>0</v>
      </c>
      <c r="R246" s="9">
        <f>IF(L246&gt;2005,AVERAGE(O243:O262),0)</f>
        <v>0</v>
      </c>
      <c r="S246" s="10">
        <f>IF(A246=A247,(N246-N247)/N247,0)</f>
        <v>0</v>
      </c>
      <c r="T246" s="10">
        <f>IF(L246&gt;2005,(((N246-N266)/N266)+1)^(1/5)-1,0)</f>
        <v>0</v>
      </c>
      <c r="U246" s="10">
        <f t="shared" si="6"/>
        <v>0</v>
      </c>
      <c r="V246" s="26">
        <f t="shared" si="7"/>
        <v>0</v>
      </c>
      <c r="W246" s="3">
        <f>IF(A246=A247,N246-N247,0)</f>
        <v>0</v>
      </c>
      <c r="X246" s="10">
        <f>IF(A246=A247,(N246-N247)/N247,0)</f>
        <v>0</v>
      </c>
    </row>
    <row r="247" spans="1:24" ht="16.5" customHeight="1">
      <c r="A247" s="3" t="s">
        <v>26</v>
      </c>
      <c r="B247" s="3">
        <f t="shared" si="0"/>
        <v>2007</v>
      </c>
      <c r="C247" s="3">
        <f t="shared" si="1"/>
        <v>5</v>
      </c>
      <c r="D247" s="20" t="str">
        <f t="shared" si="2"/>
        <v>EMR20075</v>
      </c>
      <c r="E247" s="2">
        <v>39211</v>
      </c>
      <c r="F247" s="3">
        <v>0.26250000000000001</v>
      </c>
      <c r="G247" s="2">
        <v>39244</v>
      </c>
      <c r="H247" s="3">
        <v>2.1600000000000001E-2</v>
      </c>
      <c r="I247" s="3">
        <v>0</v>
      </c>
      <c r="J247" s="3">
        <v>0</v>
      </c>
      <c r="K247" s="3">
        <f t="shared" si="3"/>
        <v>2007</v>
      </c>
      <c r="L247" s="3">
        <f t="shared" si="4"/>
        <v>0</v>
      </c>
      <c r="M247" s="20" t="str">
        <f>A247&amp;L247</f>
        <v>EMR0</v>
      </c>
      <c r="N247" s="3">
        <f>F247</f>
        <v>0.26250000000000001</v>
      </c>
      <c r="O247" s="9">
        <f>H247</f>
        <v>2.1600000000000001E-2</v>
      </c>
      <c r="P247" s="10">
        <f t="shared" si="5"/>
        <v>0</v>
      </c>
      <c r="Q247" s="10">
        <f>IF(K247=0,IF(A244=A247,AVERAGE(O244:O247),"x"),0)</f>
        <v>0</v>
      </c>
      <c r="R247" s="9">
        <f>IF(L247&gt;2005,AVERAGE(O244:O263),0)</f>
        <v>0</v>
      </c>
      <c r="S247" s="10">
        <f>IF(A247=A248,(N247-N248)/N248,0)</f>
        <v>0</v>
      </c>
      <c r="T247" s="10">
        <f>IF(L247&gt;2005,(((N247-N267)/N267)+1)^(1/5)-1,0)</f>
        <v>0</v>
      </c>
      <c r="U247" s="10">
        <f t="shared" si="6"/>
        <v>0</v>
      </c>
      <c r="V247" s="26">
        <f t="shared" si="7"/>
        <v>0</v>
      </c>
      <c r="W247" s="3">
        <f>IF(A247=A248,N247-N248,0)</f>
        <v>0</v>
      </c>
      <c r="X247" s="10">
        <f>IF(A247=A248,(N247-N248)/N248,0)</f>
        <v>0</v>
      </c>
    </row>
    <row r="248" spans="1:24" ht="16.5" customHeight="1">
      <c r="A248" s="3" t="s">
        <v>26</v>
      </c>
      <c r="B248" s="3">
        <f t="shared" si="0"/>
        <v>2007</v>
      </c>
      <c r="C248" s="3">
        <f t="shared" si="1"/>
        <v>2</v>
      </c>
      <c r="D248" s="20" t="str">
        <f t="shared" si="2"/>
        <v>EMR20072</v>
      </c>
      <c r="E248" s="2">
        <v>39127</v>
      </c>
      <c r="F248" s="3">
        <v>0.26250000000000001</v>
      </c>
      <c r="G248" s="2">
        <v>39150</v>
      </c>
      <c r="H248" s="3">
        <v>2.1700000000000001E-2</v>
      </c>
      <c r="I248" s="3">
        <v>-0.5</v>
      </c>
      <c r="J248" s="3">
        <v>-0.26250000000000001</v>
      </c>
      <c r="K248" s="3">
        <f t="shared" si="3"/>
        <v>0</v>
      </c>
      <c r="L248" s="3">
        <f t="shared" si="4"/>
        <v>2007</v>
      </c>
      <c r="M248" s="20" t="str">
        <f>A248&amp;L248</f>
        <v>EMR2007</v>
      </c>
      <c r="N248" s="3">
        <f>F248</f>
        <v>0.26250000000000001</v>
      </c>
      <c r="O248" s="9">
        <f>H248</f>
        <v>2.1700000000000001E-2</v>
      </c>
      <c r="P248" s="10">
        <f t="shared" si="5"/>
        <v>0</v>
      </c>
      <c r="Q248" s="10">
        <f>IF(K248=0,IF(A245=A248,AVERAGE(O245:O248),"x"),0)</f>
        <v>2.1299999999999999E-2</v>
      </c>
      <c r="R248" s="9">
        <f>IF(L248&gt;2005,AVERAGE(O245:O264),0)</f>
        <v>2.4474999999999997E-2</v>
      </c>
      <c r="S248" s="10">
        <f>IF(A248=A249,(N248-N249)/N249,0)</f>
        <v>0</v>
      </c>
      <c r="T248" s="10">
        <f>IF(L248&gt;2005,(((N248-N268)/N268)+1)^(1/5)-1,0)</f>
        <v>6.2618858899870622E-2</v>
      </c>
      <c r="U248" s="10">
        <f t="shared" si="6"/>
        <v>8.7093858899870619E-2</v>
      </c>
      <c r="V248" s="26">
        <f t="shared" si="7"/>
        <v>4.672255767591821</v>
      </c>
      <c r="W248" s="3">
        <f>IF(A248=A249,N248-N249,0)</f>
        <v>0</v>
      </c>
      <c r="X248" s="10">
        <f>IF(A248=A249,(N248-N249)/N249,0)</f>
        <v>0</v>
      </c>
    </row>
    <row r="249" spans="1:24" ht="16.5" customHeight="1">
      <c r="A249" s="3" t="s">
        <v>26</v>
      </c>
      <c r="B249" s="3">
        <f t="shared" si="0"/>
        <v>2006</v>
      </c>
      <c r="C249" s="3">
        <f t="shared" si="1"/>
        <v>11</v>
      </c>
      <c r="D249" s="20" t="str">
        <f t="shared" si="2"/>
        <v>EMR200611</v>
      </c>
      <c r="E249" s="2">
        <v>39036</v>
      </c>
      <c r="F249" s="3">
        <v>0.52500000000000002</v>
      </c>
      <c r="G249" s="2">
        <v>39062</v>
      </c>
      <c r="H249" s="3">
        <v>2.12E-2</v>
      </c>
      <c r="I249" s="3">
        <v>0.17977528100000001</v>
      </c>
      <c r="J249" s="3">
        <v>0.08</v>
      </c>
      <c r="K249" s="3">
        <f t="shared" si="3"/>
        <v>2006</v>
      </c>
      <c r="L249" s="3">
        <f t="shared" si="4"/>
        <v>0</v>
      </c>
      <c r="M249" s="20" t="str">
        <f>A249&amp;L249</f>
        <v>EMR0</v>
      </c>
      <c r="N249" s="3">
        <f>F249/2</f>
        <v>0.26250000000000001</v>
      </c>
      <c r="O249" s="9">
        <f>H249</f>
        <v>2.12E-2</v>
      </c>
      <c r="P249" s="10">
        <f t="shared" si="5"/>
        <v>2.1000000000000001E-2</v>
      </c>
      <c r="Q249" s="10">
        <f>IF(K249=0,IF(A246=A249,AVERAGE(O246:O249),"x"),0)</f>
        <v>0</v>
      </c>
      <c r="R249" s="9">
        <f>IF(L249&gt;2005,AVERAGE(O246:O265),0)</f>
        <v>0</v>
      </c>
      <c r="S249" s="10">
        <f>IF(A249=A250,(N249-N250)/N250,0)</f>
        <v>0.17977528089887643</v>
      </c>
      <c r="T249" s="10">
        <f>IF(L249&gt;2005,(((N249-N269)/N269)+1)^(1/5)-1,0)</f>
        <v>0</v>
      </c>
      <c r="U249" s="10">
        <f t="shared" si="6"/>
        <v>0</v>
      </c>
      <c r="V249" s="26">
        <f t="shared" si="7"/>
        <v>0</v>
      </c>
      <c r="W249" s="3">
        <f>IF(A249=A250,N249-N250,0)</f>
        <v>4.0000000000000008E-2</v>
      </c>
      <c r="X249" s="10">
        <f>IF(A249=A250,(N249-N250)/N250,0)</f>
        <v>0.17977528089887643</v>
      </c>
    </row>
    <row r="250" spans="1:24" ht="16.5" customHeight="1">
      <c r="A250" s="3" t="s">
        <v>26</v>
      </c>
      <c r="B250" s="3">
        <f t="shared" si="0"/>
        <v>2006</v>
      </c>
      <c r="C250" s="3">
        <f t="shared" si="1"/>
        <v>8</v>
      </c>
      <c r="D250" s="20" t="str">
        <f t="shared" si="2"/>
        <v>EMR20068</v>
      </c>
      <c r="E250" s="2">
        <v>38938</v>
      </c>
      <c r="F250" s="3">
        <v>0.44500000000000001</v>
      </c>
      <c r="G250" s="2">
        <v>38971</v>
      </c>
      <c r="H250" s="3">
        <v>2.24E-2</v>
      </c>
      <c r="I250" s="3">
        <v>0</v>
      </c>
      <c r="J250" s="3">
        <v>0</v>
      </c>
      <c r="K250" s="3">
        <f t="shared" si="3"/>
        <v>2006</v>
      </c>
      <c r="L250" s="3">
        <f t="shared" si="4"/>
        <v>0</v>
      </c>
      <c r="M250" s="20" t="str">
        <f>A250&amp;L250</f>
        <v>EMR0</v>
      </c>
      <c r="N250" s="3">
        <f>F250/2</f>
        <v>0.2225</v>
      </c>
      <c r="O250" s="9">
        <f>H250</f>
        <v>2.24E-2</v>
      </c>
      <c r="P250" s="10">
        <f t="shared" si="5"/>
        <v>0</v>
      </c>
      <c r="Q250" s="10">
        <f>IF(K250=0,IF(A247=A250,AVERAGE(O247:O250),"x"),0)</f>
        <v>0</v>
      </c>
      <c r="R250" s="9">
        <f>IF(L250&gt;2005,AVERAGE(O247:O266),0)</f>
        <v>0</v>
      </c>
      <c r="S250" s="10">
        <f>IF(A250=A251,(N250-N251)/N251,0)</f>
        <v>0</v>
      </c>
      <c r="T250" s="10">
        <f>IF(L250&gt;2005,(((N250-N270)/N270)+1)^(1/5)-1,0)</f>
        <v>0</v>
      </c>
      <c r="U250" s="10">
        <f t="shared" si="6"/>
        <v>0</v>
      </c>
      <c r="V250" s="26">
        <f t="shared" si="7"/>
        <v>0</v>
      </c>
      <c r="W250" s="3">
        <f>IF(A250=A251,N250-N251,0)</f>
        <v>0</v>
      </c>
      <c r="X250" s="10">
        <f>IF(A250=A251,(N250-N251)/N251,0)</f>
        <v>0</v>
      </c>
    </row>
    <row r="251" spans="1:24" ht="16.5" customHeight="1">
      <c r="A251" s="3" t="s">
        <v>26</v>
      </c>
      <c r="B251" s="3">
        <f t="shared" si="0"/>
        <v>2006</v>
      </c>
      <c r="C251" s="3">
        <f t="shared" si="1"/>
        <v>5</v>
      </c>
      <c r="D251" s="20" t="str">
        <f t="shared" si="2"/>
        <v>EMR20065</v>
      </c>
      <c r="E251" s="2">
        <v>38847</v>
      </c>
      <c r="F251" s="3">
        <v>0.44500000000000001</v>
      </c>
      <c r="G251" s="2">
        <v>38877</v>
      </c>
      <c r="H251" s="3">
        <v>0.02</v>
      </c>
      <c r="I251" s="3">
        <v>0</v>
      </c>
      <c r="J251" s="3">
        <v>0</v>
      </c>
      <c r="K251" s="3">
        <f t="shared" si="3"/>
        <v>2006</v>
      </c>
      <c r="L251" s="3">
        <f t="shared" si="4"/>
        <v>0</v>
      </c>
      <c r="M251" s="20" t="str">
        <f>A251&amp;L251</f>
        <v>EMR0</v>
      </c>
      <c r="N251" s="3">
        <f>F251/2</f>
        <v>0.2225</v>
      </c>
      <c r="O251" s="9">
        <f>H251</f>
        <v>0.02</v>
      </c>
      <c r="P251" s="10">
        <f t="shared" si="5"/>
        <v>0</v>
      </c>
      <c r="Q251" s="10">
        <f>IF(K251=0,IF(A248=A251,AVERAGE(O248:O251),"x"),0)</f>
        <v>0</v>
      </c>
      <c r="R251" s="9">
        <f>IF(L251&gt;2005,AVERAGE(O248:O267),0)</f>
        <v>0</v>
      </c>
      <c r="S251" s="10">
        <f>IF(A251=A252,(N251-N252)/N252,0)</f>
        <v>0</v>
      </c>
      <c r="T251" s="10">
        <f>IF(L251&gt;2005,(((N251-N271)/N271)+1)^(1/5)-1,0)</f>
        <v>0</v>
      </c>
      <c r="U251" s="10">
        <f t="shared" si="6"/>
        <v>0</v>
      </c>
      <c r="V251" s="26">
        <f t="shared" si="7"/>
        <v>0</v>
      </c>
      <c r="W251" s="3">
        <f>IF(A251=A252,N251-N252,0)</f>
        <v>0</v>
      </c>
      <c r="X251" s="10">
        <f>IF(A251=A252,(N251-N252)/N252,0)</f>
        <v>0</v>
      </c>
    </row>
    <row r="252" spans="1:24" ht="16.5" customHeight="1">
      <c r="A252" s="3" t="s">
        <v>26</v>
      </c>
      <c r="B252" s="3">
        <f t="shared" si="0"/>
        <v>2006</v>
      </c>
      <c r="C252" s="3">
        <f t="shared" si="1"/>
        <v>2</v>
      </c>
      <c r="D252" s="20" t="str">
        <f t="shared" si="2"/>
        <v>EMR20062</v>
      </c>
      <c r="E252" s="2">
        <v>38763</v>
      </c>
      <c r="F252" s="3">
        <v>0.44500000000000001</v>
      </c>
      <c r="G252" s="2">
        <v>38786</v>
      </c>
      <c r="H252" s="3">
        <v>2.0400000000000001E-2</v>
      </c>
      <c r="I252" s="3">
        <v>0</v>
      </c>
      <c r="J252" s="3">
        <v>0</v>
      </c>
      <c r="K252" s="3">
        <f t="shared" si="3"/>
        <v>0</v>
      </c>
      <c r="L252" s="3">
        <f t="shared" si="4"/>
        <v>2006</v>
      </c>
      <c r="M252" s="20" t="str">
        <f>A252&amp;L252</f>
        <v>EMR2006</v>
      </c>
      <c r="N252" s="3">
        <f>F252/2</f>
        <v>0.2225</v>
      </c>
      <c r="O252" s="9">
        <f>H252</f>
        <v>2.0400000000000001E-2</v>
      </c>
      <c r="P252" s="10">
        <f t="shared" si="5"/>
        <v>0</v>
      </c>
      <c r="Q252" s="10">
        <f>IF(K252=0,IF(A249=A252,AVERAGE(O249:O252),"x"),0)</f>
        <v>2.1000000000000001E-2</v>
      </c>
      <c r="R252" s="9">
        <f>IF(L252&gt;2005,AVERAGE(O249:O268),0)</f>
        <v>2.6055000000000005E-2</v>
      </c>
      <c r="S252" s="10">
        <f>IF(A252=A253,(N252-N253)/N253,0)</f>
        <v>0</v>
      </c>
      <c r="T252" s="10">
        <f>IF(L252&gt;2005,(((N252-N272)/N272)+1)^(1/5)-1,0)</f>
        <v>3.0731893154231082E-2</v>
      </c>
      <c r="U252" s="10">
        <f t="shared" si="6"/>
        <v>5.6786893154231091E-2</v>
      </c>
      <c r="V252" s="26">
        <f t="shared" si="7"/>
        <v>4.6421108574638357</v>
      </c>
      <c r="W252" s="3">
        <f>IF(A252=A253,N252-N253,0)</f>
        <v>0</v>
      </c>
      <c r="X252" s="10">
        <f>IF(A252=A253,(N252-N253)/N253,0)</f>
        <v>0</v>
      </c>
    </row>
    <row r="253" spans="1:24" ht="16.5" customHeight="1">
      <c r="A253" s="3" t="s">
        <v>26</v>
      </c>
      <c r="B253" s="3">
        <f t="shared" si="0"/>
        <v>2005</v>
      </c>
      <c r="C253" s="3">
        <f t="shared" si="1"/>
        <v>11</v>
      </c>
      <c r="D253" s="20" t="str">
        <f t="shared" si="2"/>
        <v>EMR200511</v>
      </c>
      <c r="E253" s="2">
        <v>38664</v>
      </c>
      <c r="F253" s="3">
        <v>0.44500000000000001</v>
      </c>
      <c r="G253" s="2">
        <v>38695</v>
      </c>
      <c r="H253" s="3">
        <v>2.3800000000000002E-2</v>
      </c>
      <c r="I253" s="3">
        <v>7.2289157000000007E-2</v>
      </c>
      <c r="J253" s="3">
        <v>0.03</v>
      </c>
      <c r="K253" s="3">
        <f t="shared" si="3"/>
        <v>2005</v>
      </c>
      <c r="L253" s="3">
        <f t="shared" si="4"/>
        <v>0</v>
      </c>
      <c r="M253" s="20" t="str">
        <f>A253&amp;L253</f>
        <v>EMR0</v>
      </c>
      <c r="N253" s="3">
        <f>F253/2</f>
        <v>0.2225</v>
      </c>
      <c r="O253" s="9">
        <f>H253</f>
        <v>2.3800000000000002E-2</v>
      </c>
      <c r="P253" s="10">
        <f t="shared" si="5"/>
        <v>2.41E-2</v>
      </c>
      <c r="Q253" s="10">
        <f>IF(K253=0,IF(A250=A253,AVERAGE(O250:O253),"x"),0)</f>
        <v>0</v>
      </c>
      <c r="R253" s="9">
        <f>IF(L253&gt;2005,AVERAGE(O250:O269),0)</f>
        <v>0</v>
      </c>
      <c r="S253" s="10">
        <f>IF(A253=A254,(N253-N254)/N254,0)</f>
        <v>7.228915662650609E-2</v>
      </c>
      <c r="T253" s="10">
        <f>IF(L253&gt;2005,(((N253-N273)/N273)+1)^(1/5)-1,0)</f>
        <v>0</v>
      </c>
      <c r="U253" s="10">
        <f t="shared" si="6"/>
        <v>0</v>
      </c>
      <c r="V253" s="26">
        <f t="shared" si="7"/>
        <v>0</v>
      </c>
      <c r="W253" s="3">
        <f>IF(A253=A254,N253-N254,0)</f>
        <v>1.5000000000000013E-2</v>
      </c>
      <c r="X253" s="10">
        <f>IF(A253=A254,(N253-N254)/N254,0)</f>
        <v>7.228915662650609E-2</v>
      </c>
    </row>
    <row r="254" spans="1:24" ht="16.5" customHeight="1">
      <c r="A254" s="3" t="s">
        <v>26</v>
      </c>
      <c r="B254" s="3">
        <f t="shared" si="0"/>
        <v>2005</v>
      </c>
      <c r="C254" s="3">
        <f t="shared" si="1"/>
        <v>8</v>
      </c>
      <c r="D254" s="20" t="str">
        <f t="shared" si="2"/>
        <v>EMR20058</v>
      </c>
      <c r="E254" s="2">
        <v>38574</v>
      </c>
      <c r="F254" s="3">
        <v>0.41499999999999998</v>
      </c>
      <c r="G254" s="2">
        <v>38604</v>
      </c>
      <c r="H254" s="3">
        <v>2.4199999999999999E-2</v>
      </c>
      <c r="I254" s="3">
        <v>0</v>
      </c>
      <c r="J254" s="3">
        <v>0</v>
      </c>
      <c r="K254" s="3">
        <f t="shared" si="3"/>
        <v>2005</v>
      </c>
      <c r="L254" s="3">
        <f t="shared" si="4"/>
        <v>0</v>
      </c>
      <c r="M254" s="20" t="str">
        <f>A254&amp;L254</f>
        <v>EMR0</v>
      </c>
      <c r="N254" s="3">
        <f>F254/2</f>
        <v>0.20749999999999999</v>
      </c>
      <c r="O254" s="9">
        <f>H254</f>
        <v>2.4199999999999999E-2</v>
      </c>
      <c r="P254" s="10">
        <f t="shared" si="5"/>
        <v>0</v>
      </c>
      <c r="Q254" s="10">
        <f>IF(K254=0,IF(A251=A254,AVERAGE(O251:O254),"x"),0)</f>
        <v>0</v>
      </c>
      <c r="R254" s="9">
        <f>IF(L254&gt;2005,AVERAGE(O251:O270),0)</f>
        <v>0</v>
      </c>
      <c r="S254" s="10">
        <f>IF(A254=A255,(N254-N255)/N255,0)</f>
        <v>0</v>
      </c>
      <c r="T254" s="10">
        <f>IF(L254&gt;2005,(((N254-N274)/N274)+1)^(1/5)-1,0)</f>
        <v>0</v>
      </c>
      <c r="U254" s="10">
        <f t="shared" si="6"/>
        <v>0</v>
      </c>
      <c r="V254" s="26">
        <f t="shared" si="7"/>
        <v>0</v>
      </c>
      <c r="W254" s="3">
        <f>IF(A254=A255,N254-N255,0)</f>
        <v>0</v>
      </c>
      <c r="X254" s="10">
        <f>IF(A254=A255,(N254-N255)/N255,0)</f>
        <v>0</v>
      </c>
    </row>
    <row r="255" spans="1:24" ht="16.5" customHeight="1">
      <c r="A255" s="3" t="s">
        <v>26</v>
      </c>
      <c r="B255" s="3">
        <f t="shared" si="0"/>
        <v>2005</v>
      </c>
      <c r="C255" s="3">
        <f t="shared" si="1"/>
        <v>5</v>
      </c>
      <c r="D255" s="20" t="str">
        <f t="shared" si="2"/>
        <v>EMR20055</v>
      </c>
      <c r="E255" s="2">
        <v>38483</v>
      </c>
      <c r="F255" s="3">
        <v>0.41499999999999998</v>
      </c>
      <c r="G255" s="2">
        <v>38513</v>
      </c>
      <c r="H255" s="3">
        <v>2.47E-2</v>
      </c>
      <c r="I255" s="3">
        <v>0</v>
      </c>
      <c r="J255" s="3">
        <v>0</v>
      </c>
      <c r="K255" s="3">
        <f t="shared" si="3"/>
        <v>2005</v>
      </c>
      <c r="L255" s="3">
        <f t="shared" si="4"/>
        <v>0</v>
      </c>
      <c r="M255" s="20" t="str">
        <f>A255&amp;L255</f>
        <v>EMR0</v>
      </c>
      <c r="N255" s="3">
        <f>F255/2</f>
        <v>0.20749999999999999</v>
      </c>
      <c r="O255" s="9">
        <f>H255</f>
        <v>2.47E-2</v>
      </c>
      <c r="P255" s="10">
        <f t="shared" si="5"/>
        <v>0</v>
      </c>
      <c r="Q255" s="10">
        <f>IF(K255=0,IF(A252=A255,AVERAGE(O252:O255),"x"),0)</f>
        <v>0</v>
      </c>
      <c r="R255" s="9">
        <f>IF(L255&gt;2005,AVERAGE(O252:O271),0)</f>
        <v>0</v>
      </c>
      <c r="S255" s="10">
        <f>IF(A255=A256,(N255-N256)/N256,0)</f>
        <v>0</v>
      </c>
      <c r="T255" s="10">
        <f>IF(L255&gt;2005,(((N255-N275)/N275)+1)^(1/5)-1,0)</f>
        <v>0</v>
      </c>
      <c r="U255" s="10">
        <f t="shared" si="6"/>
        <v>0</v>
      </c>
      <c r="V255" s="26">
        <f t="shared" si="7"/>
        <v>0</v>
      </c>
      <c r="W255" s="3">
        <f>IF(A255=A256,N255-N256,0)</f>
        <v>0</v>
      </c>
      <c r="X255" s="10">
        <f>IF(A255=A256,(N255-N256)/N256,0)</f>
        <v>0</v>
      </c>
    </row>
    <row r="256" spans="1:24" ht="16.5" customHeight="1">
      <c r="A256" s="3" t="s">
        <v>26</v>
      </c>
      <c r="B256" s="3">
        <f t="shared" si="0"/>
        <v>2005</v>
      </c>
      <c r="C256" s="3">
        <f t="shared" si="1"/>
        <v>2</v>
      </c>
      <c r="D256" s="20" t="str">
        <f t="shared" si="2"/>
        <v>EMR20052</v>
      </c>
      <c r="E256" s="2">
        <v>38392</v>
      </c>
      <c r="F256" s="3">
        <v>0.41499999999999998</v>
      </c>
      <c r="G256" s="2">
        <v>38421</v>
      </c>
      <c r="H256" s="3">
        <v>2.3699999999999999E-2</v>
      </c>
      <c r="I256" s="3">
        <v>0</v>
      </c>
      <c r="J256" s="3">
        <v>0</v>
      </c>
      <c r="K256" s="3">
        <f t="shared" si="3"/>
        <v>0</v>
      </c>
      <c r="L256" s="3">
        <f t="shared" si="4"/>
        <v>2005</v>
      </c>
      <c r="M256" s="20" t="str">
        <f>A256&amp;L256</f>
        <v>EMR2005</v>
      </c>
      <c r="N256" s="3">
        <f>F256/2</f>
        <v>0.20749999999999999</v>
      </c>
      <c r="O256" s="9">
        <f>H256</f>
        <v>2.3699999999999999E-2</v>
      </c>
      <c r="P256" s="10">
        <f t="shared" si="5"/>
        <v>0</v>
      </c>
      <c r="Q256" s="10">
        <f>IF(K256=0,IF(A253=A256,AVERAGE(O253:O256),"x"),0)</f>
        <v>2.41E-2</v>
      </c>
      <c r="R256" s="9">
        <f>IF(L256&gt;2005,AVERAGE(O253:O272),0)</f>
        <v>0</v>
      </c>
      <c r="S256" s="10">
        <f>IF(A256=A257,(N256-N257)/N257,0)</f>
        <v>0</v>
      </c>
      <c r="T256" s="10">
        <f>IF(L256&gt;2005,(((N256-N276)/N276)+1)^(1/5)-1,0)</f>
        <v>0</v>
      </c>
      <c r="U256" s="10">
        <f t="shared" si="6"/>
        <v>0</v>
      </c>
      <c r="V256" s="26">
        <f t="shared" si="7"/>
        <v>0</v>
      </c>
      <c r="W256" s="3">
        <f>IF(A256=A257,N256-N257,0)</f>
        <v>0</v>
      </c>
      <c r="X256" s="10">
        <f>IF(A256=A257,(N256-N257)/N257,0)</f>
        <v>0</v>
      </c>
    </row>
    <row r="257" spans="1:24" ht="16.5" customHeight="1">
      <c r="A257" s="3" t="s">
        <v>26</v>
      </c>
      <c r="B257" s="3">
        <f t="shared" ref="B257:B511" si="8">YEAR(E257)</f>
        <v>2004</v>
      </c>
      <c r="C257" s="3">
        <f t="shared" ref="C257:C511" si="9">MONTH(E257)</f>
        <v>11</v>
      </c>
      <c r="D257" s="20" t="str">
        <f t="shared" ref="D257:D511" si="10">A257&amp;B257&amp;C257</f>
        <v>EMR200411</v>
      </c>
      <c r="E257" s="2">
        <v>38300</v>
      </c>
      <c r="F257" s="3">
        <v>0.41499999999999998</v>
      </c>
      <c r="G257" s="2">
        <v>38331</v>
      </c>
      <c r="H257" s="3">
        <v>2.3800000000000002E-2</v>
      </c>
      <c r="I257" s="3">
        <v>3.7499999999999999E-2</v>
      </c>
      <c r="J257" s="3">
        <v>1.4999999999999999E-2</v>
      </c>
      <c r="K257" s="3">
        <f t="shared" ref="K257:K511" si="11">IF(YEAR(E257)=YEAR(E258),YEAR(E257),0)</f>
        <v>2004</v>
      </c>
      <c r="L257" s="3">
        <f t="shared" ref="L257:L511" si="12">IF(K257=0,K256,0)</f>
        <v>0</v>
      </c>
      <c r="M257" s="20" t="str">
        <f>A257&amp;L257</f>
        <v>EMR0</v>
      </c>
      <c r="N257" s="3">
        <f>F257/2</f>
        <v>0.20749999999999999</v>
      </c>
      <c r="O257" s="9">
        <f>H257</f>
        <v>2.3800000000000002E-2</v>
      </c>
      <c r="P257" s="10">
        <f t="shared" ref="P257:P511" si="13">IF(S257&gt;0,SUM(O257:O260)/4,0)</f>
        <v>2.5500000000000002E-2</v>
      </c>
      <c r="Q257" s="10">
        <f>IF(K257=0,IF(A254=A257,AVERAGE(O254:O257),"x"),0)</f>
        <v>0</v>
      </c>
      <c r="R257" s="9">
        <f>IF(L257&gt;2005,AVERAGE(O254:O273),0)</f>
        <v>0</v>
      </c>
      <c r="S257" s="10">
        <f>IF(A257=A258,(N257-N258)/N258,0)</f>
        <v>3.7499999999999895E-2</v>
      </c>
      <c r="T257" s="10">
        <f>IF(L257&gt;2005,(((N257-N277)/N277)+1)^(1/5)-1,0)</f>
        <v>0</v>
      </c>
      <c r="U257" s="10">
        <f t="shared" si="6"/>
        <v>0</v>
      </c>
      <c r="V257" s="26">
        <f t="shared" si="7"/>
        <v>0</v>
      </c>
      <c r="W257" s="3">
        <f>IF(A257=A258,N257-N258,0)</f>
        <v>7.4999999999999789E-3</v>
      </c>
      <c r="X257" s="10">
        <f>IF(A257=A258,(N257-N258)/N258,0)</f>
        <v>3.7499999999999895E-2</v>
      </c>
    </row>
    <row r="258" spans="1:24" ht="16.5" customHeight="1">
      <c r="A258" s="3" t="s">
        <v>26</v>
      </c>
      <c r="B258" s="3">
        <f t="shared" si="8"/>
        <v>2004</v>
      </c>
      <c r="C258" s="3">
        <f t="shared" si="9"/>
        <v>8</v>
      </c>
      <c r="D258" s="20" t="str">
        <f t="shared" si="10"/>
        <v>EMR20048</v>
      </c>
      <c r="E258" s="2">
        <v>38210</v>
      </c>
      <c r="F258" s="3">
        <v>0.4</v>
      </c>
      <c r="G258" s="2">
        <v>38240</v>
      </c>
      <c r="H258" s="3">
        <v>2.6100000000000002E-2</v>
      </c>
      <c r="I258" s="3">
        <v>0</v>
      </c>
      <c r="J258" s="3">
        <v>0</v>
      </c>
      <c r="K258" s="3">
        <f t="shared" si="11"/>
        <v>2004</v>
      </c>
      <c r="L258" s="3">
        <f t="shared" si="12"/>
        <v>0</v>
      </c>
      <c r="M258" s="20" t="str">
        <f>A258&amp;L258</f>
        <v>EMR0</v>
      </c>
      <c r="N258" s="3">
        <f>F258/2</f>
        <v>0.2</v>
      </c>
      <c r="O258" s="9">
        <f>H258</f>
        <v>2.6100000000000002E-2</v>
      </c>
      <c r="P258" s="10">
        <f t="shared" si="13"/>
        <v>0</v>
      </c>
      <c r="Q258" s="10">
        <f>IF(K258=0,IF(A255=A258,AVERAGE(O255:O258),"x"),0)</f>
        <v>0</v>
      </c>
      <c r="R258" s="9">
        <f>IF(L258&gt;2005,AVERAGE(O255:O274),0)</f>
        <v>0</v>
      </c>
      <c r="S258" s="10">
        <f>IF(A258=A259,(N258-N259)/N259,0)</f>
        <v>0</v>
      </c>
      <c r="T258" s="10">
        <f>IF(L258&gt;2005,(((N258-N278)/N278)+1)^(1/5)-1,0)</f>
        <v>0</v>
      </c>
      <c r="U258" s="10">
        <f t="shared" si="6"/>
        <v>0</v>
      </c>
      <c r="V258" s="26">
        <f t="shared" si="7"/>
        <v>0</v>
      </c>
      <c r="W258" s="3">
        <f>IF(A258=A259,N258-N259,0)</f>
        <v>0</v>
      </c>
      <c r="X258" s="10">
        <f>IF(A258=A259,(N258-N259)/N259,0)</f>
        <v>0</v>
      </c>
    </row>
    <row r="259" spans="1:24" ht="16.5" customHeight="1">
      <c r="A259" s="3" t="s">
        <v>26</v>
      </c>
      <c r="B259" s="3">
        <f t="shared" si="8"/>
        <v>2004</v>
      </c>
      <c r="C259" s="3">
        <f t="shared" si="9"/>
        <v>5</v>
      </c>
      <c r="D259" s="20" t="str">
        <f t="shared" si="10"/>
        <v>EMR20045</v>
      </c>
      <c r="E259" s="2">
        <v>38119</v>
      </c>
      <c r="F259" s="3">
        <v>0.4</v>
      </c>
      <c r="G259" s="2">
        <v>38148</v>
      </c>
      <c r="H259" s="3">
        <v>2.7400000000000001E-2</v>
      </c>
      <c r="I259" s="3">
        <v>0</v>
      </c>
      <c r="J259" s="3">
        <v>0</v>
      </c>
      <c r="K259" s="3">
        <f t="shared" si="11"/>
        <v>2004</v>
      </c>
      <c r="L259" s="3">
        <f t="shared" si="12"/>
        <v>0</v>
      </c>
      <c r="M259" s="20" t="str">
        <f>A259&amp;L259</f>
        <v>EMR0</v>
      </c>
      <c r="N259" s="3">
        <f>F259/2</f>
        <v>0.2</v>
      </c>
      <c r="O259" s="9">
        <f>H259</f>
        <v>2.7400000000000001E-2</v>
      </c>
      <c r="P259" s="10">
        <f t="shared" si="13"/>
        <v>0</v>
      </c>
      <c r="Q259" s="10">
        <f>IF(K259=0,IF(A256=A259,AVERAGE(O256:O259),"x"),0)</f>
        <v>0</v>
      </c>
      <c r="R259" s="9">
        <f>IF(L259&gt;2005,AVERAGE(O256:O275),0)</f>
        <v>0</v>
      </c>
      <c r="S259" s="10">
        <f>IF(A259=A260,(N259-N260)/N260,0)</f>
        <v>0</v>
      </c>
      <c r="T259" s="10">
        <f>IF(L259&gt;2005,(((N259-N279)/N279)+1)^(1/5)-1,0)</f>
        <v>0</v>
      </c>
      <c r="U259" s="10">
        <f t="shared" si="6"/>
        <v>0</v>
      </c>
      <c r="V259" s="26">
        <f t="shared" si="7"/>
        <v>0</v>
      </c>
      <c r="W259" s="3">
        <f>IF(A259=A260,N259-N260,0)</f>
        <v>0</v>
      </c>
      <c r="X259" s="10">
        <f>IF(A259=A260,(N259-N260)/N260,0)</f>
        <v>0</v>
      </c>
    </row>
    <row r="260" spans="1:24" ht="16.5" customHeight="1">
      <c r="A260" s="3" t="s">
        <v>26</v>
      </c>
      <c r="B260" s="3">
        <f t="shared" si="8"/>
        <v>2004</v>
      </c>
      <c r="C260" s="3">
        <f t="shared" si="9"/>
        <v>2</v>
      </c>
      <c r="D260" s="20" t="str">
        <f t="shared" si="10"/>
        <v>EMR20042</v>
      </c>
      <c r="E260" s="2">
        <v>38028</v>
      </c>
      <c r="F260" s="3">
        <v>0.4</v>
      </c>
      <c r="G260" s="2">
        <v>38056</v>
      </c>
      <c r="H260" s="3">
        <v>2.47E-2</v>
      </c>
      <c r="I260" s="3">
        <v>0</v>
      </c>
      <c r="J260" s="3">
        <v>0</v>
      </c>
      <c r="K260" s="3">
        <f t="shared" si="11"/>
        <v>0</v>
      </c>
      <c r="L260" s="3">
        <f t="shared" si="12"/>
        <v>2004</v>
      </c>
      <c r="M260" s="20" t="str">
        <f>A260&amp;L260</f>
        <v>EMR2004</v>
      </c>
      <c r="N260" s="3">
        <f>F260/2</f>
        <v>0.2</v>
      </c>
      <c r="O260" s="9">
        <f>H260</f>
        <v>2.47E-2</v>
      </c>
      <c r="P260" s="10">
        <f t="shared" si="13"/>
        <v>0</v>
      </c>
      <c r="Q260" s="10">
        <f>IF(K260=0,IF(A257=A260,AVERAGE(O257:O260),"x"),0)</f>
        <v>2.5500000000000002E-2</v>
      </c>
      <c r="R260" s="9">
        <f>IF(L260&gt;2005,AVERAGE(O257:O276),0)</f>
        <v>0</v>
      </c>
      <c r="S260" s="10">
        <f>IF(A260=A261,(N260-N261)/N261,0)</f>
        <v>0</v>
      </c>
      <c r="T260" s="10">
        <f>IF(L260&gt;2005,(((N260-N280)/N280)+1)^(1/5)-1,0)</f>
        <v>0</v>
      </c>
      <c r="U260" s="10">
        <f t="shared" ref="U260:U514" si="14">IF(T260&gt;0,R260+T260,0)</f>
        <v>0</v>
      </c>
      <c r="V260" s="26">
        <f t="shared" ref="V260:V514" si="15">IF(U260&gt;0,(1+T260)*(1-((1+T260)/(1+U260))^5)/(U260-T260),0)</f>
        <v>0</v>
      </c>
      <c r="W260" s="3">
        <f>IF(A260=A261,N260-N261,0)</f>
        <v>0</v>
      </c>
      <c r="X260" s="10">
        <f>IF(A260=A261,(N260-N261)/N261,0)</f>
        <v>0</v>
      </c>
    </row>
    <row r="261" spans="1:24" ht="16.5" customHeight="1">
      <c r="A261" s="3" t="s">
        <v>26</v>
      </c>
      <c r="B261" s="3">
        <f t="shared" si="8"/>
        <v>2003</v>
      </c>
      <c r="C261" s="3">
        <f t="shared" si="9"/>
        <v>11</v>
      </c>
      <c r="D261" s="20" t="str">
        <f t="shared" si="10"/>
        <v>EMR200311</v>
      </c>
      <c r="E261" s="2">
        <v>37937</v>
      </c>
      <c r="F261" s="3">
        <v>0.4</v>
      </c>
      <c r="G261" s="2">
        <v>37965</v>
      </c>
      <c r="H261" s="3">
        <v>2.64E-2</v>
      </c>
      <c r="I261" s="3">
        <v>1.9108279999999998E-2</v>
      </c>
      <c r="J261" s="3">
        <v>7.4999999999999997E-3</v>
      </c>
      <c r="K261" s="3">
        <f t="shared" si="11"/>
        <v>2003</v>
      </c>
      <c r="L261" s="3">
        <f t="shared" si="12"/>
        <v>0</v>
      </c>
      <c r="M261" s="20" t="str">
        <f>A261&amp;L261</f>
        <v>EMR0</v>
      </c>
      <c r="N261" s="3">
        <f>F261/2</f>
        <v>0.2</v>
      </c>
      <c r="O261" s="9">
        <f>H261</f>
        <v>2.64E-2</v>
      </c>
      <c r="P261" s="10">
        <f t="shared" si="13"/>
        <v>3.0475000000000002E-2</v>
      </c>
      <c r="Q261" s="10">
        <f>IF(K261=0,IF(A258=A261,AVERAGE(O258:O261),"x"),0)</f>
        <v>0</v>
      </c>
      <c r="R261" s="9">
        <f>IF(L261&gt;2005,AVERAGE(O258:O277),0)</f>
        <v>0</v>
      </c>
      <c r="S261" s="10">
        <f>IF(A261=A262,(N261-N262)/N262,0)</f>
        <v>1.9108280254777087E-2</v>
      </c>
      <c r="T261" s="10">
        <f>IF(L261&gt;2005,(((N261-N281)/N281)+1)^(1/5)-1,0)</f>
        <v>0</v>
      </c>
      <c r="U261" s="10">
        <f t="shared" si="14"/>
        <v>0</v>
      </c>
      <c r="V261" s="26">
        <f t="shared" si="15"/>
        <v>0</v>
      </c>
      <c r="W261" s="3">
        <f>IF(A261=A262,N261-N262,0)</f>
        <v>3.7500000000000033E-3</v>
      </c>
      <c r="X261" s="10">
        <f>IF(A261=A262,(N261-N262)/N262,0)</f>
        <v>1.9108280254777087E-2</v>
      </c>
    </row>
    <row r="262" spans="1:24" ht="16.5" customHeight="1">
      <c r="A262" s="3" t="s">
        <v>26</v>
      </c>
      <c r="B262" s="3">
        <f t="shared" si="8"/>
        <v>2003</v>
      </c>
      <c r="C262" s="3">
        <f t="shared" si="9"/>
        <v>8</v>
      </c>
      <c r="D262" s="20" t="str">
        <f t="shared" si="10"/>
        <v>EMR20038</v>
      </c>
      <c r="E262" s="2">
        <v>37846</v>
      </c>
      <c r="F262" s="3">
        <v>0.39250000000000002</v>
      </c>
      <c r="G262" s="2">
        <v>37874</v>
      </c>
      <c r="H262" s="3">
        <v>2.9899999999999999E-2</v>
      </c>
      <c r="I262" s="3">
        <v>0</v>
      </c>
      <c r="J262" s="3">
        <v>0</v>
      </c>
      <c r="K262" s="3">
        <f t="shared" si="11"/>
        <v>2003</v>
      </c>
      <c r="L262" s="3">
        <f t="shared" si="12"/>
        <v>0</v>
      </c>
      <c r="M262" s="20" t="str">
        <f>A262&amp;L262</f>
        <v>EMR0</v>
      </c>
      <c r="N262" s="3">
        <f>F262/2</f>
        <v>0.19625000000000001</v>
      </c>
      <c r="O262" s="9">
        <f>H262</f>
        <v>2.9899999999999999E-2</v>
      </c>
      <c r="P262" s="10">
        <f t="shared" si="13"/>
        <v>0</v>
      </c>
      <c r="Q262" s="10">
        <f>IF(K262=0,IF(A259=A262,AVERAGE(O259:O262),"x"),0)</f>
        <v>0</v>
      </c>
      <c r="R262" s="9">
        <f>IF(L262&gt;2005,AVERAGE(O259:O278),0)</f>
        <v>0</v>
      </c>
      <c r="S262" s="10">
        <f>IF(A262=A263,(N262-N263)/N263,0)</f>
        <v>0</v>
      </c>
      <c r="T262" s="10">
        <f>IF(L262&gt;2005,(((N262-N282)/N282)+1)^(1/5)-1,0)</f>
        <v>0</v>
      </c>
      <c r="U262" s="10">
        <f t="shared" si="14"/>
        <v>0</v>
      </c>
      <c r="V262" s="26">
        <f t="shared" si="15"/>
        <v>0</v>
      </c>
      <c r="W262" s="3">
        <f>IF(A262=A263,N262-N263,0)</f>
        <v>0</v>
      </c>
      <c r="X262" s="10">
        <f>IF(A262=A263,(N262-N263)/N263,0)</f>
        <v>0</v>
      </c>
    </row>
    <row r="263" spans="1:24" ht="16.5" customHeight="1">
      <c r="A263" s="3" t="s">
        <v>26</v>
      </c>
      <c r="B263" s="3">
        <f t="shared" si="8"/>
        <v>2003</v>
      </c>
      <c r="C263" s="3">
        <f t="shared" si="9"/>
        <v>5</v>
      </c>
      <c r="D263" s="20" t="str">
        <f t="shared" si="10"/>
        <v>EMR20035</v>
      </c>
      <c r="E263" s="2">
        <v>37755</v>
      </c>
      <c r="F263" s="3">
        <v>0.39250000000000002</v>
      </c>
      <c r="G263" s="2">
        <v>37782</v>
      </c>
      <c r="H263" s="3">
        <v>3.1600000000000003E-2</v>
      </c>
      <c r="I263" s="3">
        <v>0</v>
      </c>
      <c r="J263" s="3">
        <v>0</v>
      </c>
      <c r="K263" s="3">
        <f t="shared" si="11"/>
        <v>2003</v>
      </c>
      <c r="L263" s="3">
        <f t="shared" si="12"/>
        <v>0</v>
      </c>
      <c r="M263" s="20" t="str">
        <f>A263&amp;L263</f>
        <v>EMR0</v>
      </c>
      <c r="N263" s="3">
        <f>F263/2</f>
        <v>0.19625000000000001</v>
      </c>
      <c r="O263" s="9">
        <f>H263</f>
        <v>3.1600000000000003E-2</v>
      </c>
      <c r="P263" s="10">
        <f t="shared" si="13"/>
        <v>0</v>
      </c>
      <c r="Q263" s="10">
        <f>IF(K263=0,IF(A260=A263,AVERAGE(O260:O263),"x"),0)</f>
        <v>0</v>
      </c>
      <c r="R263" s="9">
        <f>IF(L263&gt;2005,AVERAGE(O260:O279),0)</f>
        <v>0</v>
      </c>
      <c r="S263" s="10">
        <f>IF(A263=A264,(N263-N264)/N264,0)</f>
        <v>0</v>
      </c>
      <c r="T263" s="10">
        <f>IF(L263&gt;2005,(((N263-N283)/N283)+1)^(1/5)-1,0)</f>
        <v>0</v>
      </c>
      <c r="U263" s="10">
        <f t="shared" si="14"/>
        <v>0</v>
      </c>
      <c r="V263" s="26">
        <f t="shared" si="15"/>
        <v>0</v>
      </c>
      <c r="W263" s="3">
        <f>IF(A263=A264,N263-N264,0)</f>
        <v>0</v>
      </c>
      <c r="X263" s="10">
        <f>IF(A263=A264,(N263-N264)/N264,0)</f>
        <v>0</v>
      </c>
    </row>
    <row r="264" spans="1:24" ht="16.5" customHeight="1">
      <c r="A264" s="3" t="s">
        <v>26</v>
      </c>
      <c r="B264" s="3">
        <f t="shared" si="8"/>
        <v>2003</v>
      </c>
      <c r="C264" s="3">
        <f t="shared" si="9"/>
        <v>2</v>
      </c>
      <c r="D264" s="20" t="str">
        <f t="shared" si="10"/>
        <v>EMR20032</v>
      </c>
      <c r="E264" s="2">
        <v>37664</v>
      </c>
      <c r="F264" s="3">
        <v>0.39250000000000002</v>
      </c>
      <c r="G264" s="2">
        <v>37690</v>
      </c>
      <c r="H264" s="3">
        <v>3.4000000000000002E-2</v>
      </c>
      <c r="I264" s="3">
        <v>0</v>
      </c>
      <c r="J264" s="3">
        <v>0</v>
      </c>
      <c r="K264" s="3">
        <f t="shared" si="11"/>
        <v>0</v>
      </c>
      <c r="L264" s="3">
        <f t="shared" si="12"/>
        <v>2003</v>
      </c>
      <c r="M264" s="20" t="str">
        <f>A264&amp;L264</f>
        <v>EMR2003</v>
      </c>
      <c r="N264" s="3">
        <f>F264/2</f>
        <v>0.19625000000000001</v>
      </c>
      <c r="O264" s="9">
        <f>H264</f>
        <v>3.4000000000000002E-2</v>
      </c>
      <c r="P264" s="10">
        <f t="shared" si="13"/>
        <v>0</v>
      </c>
      <c r="Q264" s="10">
        <f>IF(K264=0,IF(A261=A264,AVERAGE(O261:O264),"x"),0)</f>
        <v>3.0475000000000002E-2</v>
      </c>
      <c r="R264" s="9">
        <f>IF(L264&gt;2005,AVERAGE(O261:O280),0)</f>
        <v>0</v>
      </c>
      <c r="S264" s="10">
        <f>IF(A264=A265,(N264-N265)/N265,0)</f>
        <v>0</v>
      </c>
      <c r="T264" s="10">
        <f>IF(L264&gt;2005,(((N264-N284)/N284)+1)^(1/5)-1,0)</f>
        <v>0</v>
      </c>
      <c r="U264" s="10">
        <f t="shared" si="14"/>
        <v>0</v>
      </c>
      <c r="V264" s="26">
        <f t="shared" si="15"/>
        <v>0</v>
      </c>
      <c r="W264" s="3">
        <f>IF(A264=A265,N264-N265,0)</f>
        <v>0</v>
      </c>
      <c r="X264" s="10">
        <f>IF(A264=A265,(N264-N265)/N265,0)</f>
        <v>0</v>
      </c>
    </row>
    <row r="265" spans="1:24" ht="16.5" customHeight="1">
      <c r="A265" s="3" t="s">
        <v>26</v>
      </c>
      <c r="B265" s="3">
        <f t="shared" si="8"/>
        <v>2002</v>
      </c>
      <c r="C265" s="3">
        <f t="shared" si="9"/>
        <v>11</v>
      </c>
      <c r="D265" s="20" t="str">
        <f t="shared" si="10"/>
        <v>EMR200211</v>
      </c>
      <c r="E265" s="2">
        <v>37573</v>
      </c>
      <c r="F265" s="3">
        <v>0.39250000000000002</v>
      </c>
      <c r="G265" s="2">
        <v>37600</v>
      </c>
      <c r="H265" s="3">
        <v>3.1E-2</v>
      </c>
      <c r="I265" s="3">
        <v>1.2903226E-2</v>
      </c>
      <c r="J265" s="3">
        <v>5.0000000000000001E-3</v>
      </c>
      <c r="K265" s="3">
        <f t="shared" si="11"/>
        <v>2002</v>
      </c>
      <c r="L265" s="3">
        <f t="shared" si="12"/>
        <v>0</v>
      </c>
      <c r="M265" s="20" t="str">
        <f>A265&amp;L265</f>
        <v>EMR0</v>
      </c>
      <c r="N265" s="3">
        <f>F265/2</f>
        <v>0.19625000000000001</v>
      </c>
      <c r="O265" s="9">
        <f>H265</f>
        <v>3.1E-2</v>
      </c>
      <c r="P265" s="10">
        <f t="shared" si="13"/>
        <v>2.9199999999999997E-2</v>
      </c>
      <c r="Q265" s="10">
        <f>IF(K265=0,IF(A262=A265,AVERAGE(O262:O265),"x"),0)</f>
        <v>0</v>
      </c>
      <c r="R265" s="9">
        <f>IF(L265&gt;2005,AVERAGE(O262:O281),0)</f>
        <v>0</v>
      </c>
      <c r="S265" s="10">
        <f>IF(A265=A266,(N265-N266)/N266,0)</f>
        <v>1.2903225806451623E-2</v>
      </c>
      <c r="T265" s="10">
        <f>IF(L265&gt;2005,(((N265-N285)/N285)+1)^(1/5)-1,0)</f>
        <v>0</v>
      </c>
      <c r="U265" s="10">
        <f t="shared" si="14"/>
        <v>0</v>
      </c>
      <c r="V265" s="26">
        <f t="shared" si="15"/>
        <v>0</v>
      </c>
      <c r="W265" s="3">
        <f>IF(A265=A266,N265-N266,0)</f>
        <v>2.5000000000000022E-3</v>
      </c>
      <c r="X265" s="10">
        <f>IF(A265=A266,(N265-N266)/N266,0)</f>
        <v>1.2903225806451623E-2</v>
      </c>
    </row>
    <row r="266" spans="1:24" ht="16.5" customHeight="1">
      <c r="A266" s="3" t="s">
        <v>26</v>
      </c>
      <c r="B266" s="3">
        <f t="shared" si="8"/>
        <v>2002</v>
      </c>
      <c r="C266" s="3">
        <f t="shared" si="9"/>
        <v>8</v>
      </c>
      <c r="D266" s="20" t="str">
        <f t="shared" si="10"/>
        <v>EMR20028</v>
      </c>
      <c r="E266" s="2">
        <v>37482</v>
      </c>
      <c r="F266" s="3">
        <v>0.38750000000000001</v>
      </c>
      <c r="G266" s="2">
        <v>37509</v>
      </c>
      <c r="H266" s="3">
        <v>3.3099999999999997E-2</v>
      </c>
      <c r="I266" s="3">
        <v>0</v>
      </c>
      <c r="J266" s="3">
        <v>0</v>
      </c>
      <c r="K266" s="3">
        <f t="shared" si="11"/>
        <v>2002</v>
      </c>
      <c r="L266" s="3">
        <f t="shared" si="12"/>
        <v>0</v>
      </c>
      <c r="M266" s="20" t="str">
        <f>A266&amp;L266</f>
        <v>EMR0</v>
      </c>
      <c r="N266" s="3">
        <f>F266/2</f>
        <v>0.19375000000000001</v>
      </c>
      <c r="O266" s="9">
        <f>H266</f>
        <v>3.3099999999999997E-2</v>
      </c>
      <c r="P266" s="10">
        <f t="shared" si="13"/>
        <v>0</v>
      </c>
      <c r="Q266" s="10">
        <f>IF(K266=0,IF(A263=A266,AVERAGE(O263:O266),"x"),0)</f>
        <v>0</v>
      </c>
      <c r="R266" s="9">
        <f>IF(L266&gt;2005,AVERAGE(O263:O282),0)</f>
        <v>0</v>
      </c>
      <c r="S266" s="10">
        <f>IF(A266=A267,(N266-N267)/N267,0)</f>
        <v>0</v>
      </c>
      <c r="T266" s="10">
        <f>IF(L266&gt;2005,(((N266-N286)/N286)+1)^(1/5)-1,0)</f>
        <v>0</v>
      </c>
      <c r="U266" s="10">
        <f t="shared" si="14"/>
        <v>0</v>
      </c>
      <c r="V266" s="26">
        <f t="shared" si="15"/>
        <v>0</v>
      </c>
      <c r="W266" s="3">
        <f>IF(A266=A267,N266-N267,0)</f>
        <v>0</v>
      </c>
      <c r="X266" s="10">
        <f>IF(A266=A267,(N266-N267)/N267,0)</f>
        <v>0</v>
      </c>
    </row>
    <row r="267" spans="1:24" ht="16.5" customHeight="1">
      <c r="A267" s="3" t="s">
        <v>26</v>
      </c>
      <c r="B267" s="3">
        <f t="shared" si="8"/>
        <v>2002</v>
      </c>
      <c r="C267" s="3">
        <f t="shared" si="9"/>
        <v>5</v>
      </c>
      <c r="D267" s="20" t="str">
        <f t="shared" si="10"/>
        <v>EMR20025</v>
      </c>
      <c r="E267" s="2">
        <v>37391</v>
      </c>
      <c r="F267" s="3">
        <v>0.38750000000000001</v>
      </c>
      <c r="G267" s="2">
        <v>37417</v>
      </c>
      <c r="H267" s="3">
        <v>2.5999999999999999E-2</v>
      </c>
      <c r="I267" s="3">
        <v>0</v>
      </c>
      <c r="J267" s="3">
        <v>0</v>
      </c>
      <c r="K267" s="3">
        <f t="shared" si="11"/>
        <v>2002</v>
      </c>
      <c r="L267" s="3">
        <f t="shared" si="12"/>
        <v>0</v>
      </c>
      <c r="M267" s="20" t="str">
        <f>A267&amp;L267</f>
        <v>EMR0</v>
      </c>
      <c r="N267" s="3">
        <f>F267/2</f>
        <v>0.19375000000000001</v>
      </c>
      <c r="O267" s="9">
        <f>H267</f>
        <v>2.5999999999999999E-2</v>
      </c>
      <c r="P267" s="10">
        <f t="shared" si="13"/>
        <v>0</v>
      </c>
      <c r="Q267" s="10">
        <f>IF(K267=0,IF(A264=A267,AVERAGE(O264:O267),"x"),0)</f>
        <v>0</v>
      </c>
      <c r="R267" s="9">
        <f>IF(L267&gt;2005,AVERAGE(O264:O283),0)</f>
        <v>0</v>
      </c>
      <c r="S267" s="10">
        <f>IF(A267=A268,(N267-N268)/N268,0)</f>
        <v>0</v>
      </c>
      <c r="T267" s="10">
        <f>IF(L267&gt;2005,(((N267-N287)/N287)+1)^(1/5)-1,0)</f>
        <v>0</v>
      </c>
      <c r="U267" s="10">
        <f t="shared" si="14"/>
        <v>0</v>
      </c>
      <c r="V267" s="26">
        <f t="shared" si="15"/>
        <v>0</v>
      </c>
      <c r="W267" s="3">
        <f>IF(A267=A268,N267-N268,0)</f>
        <v>0</v>
      </c>
      <c r="X267" s="10">
        <f>IF(A267=A268,(N267-N268)/N268,0)</f>
        <v>0</v>
      </c>
    </row>
    <row r="268" spans="1:24" ht="16.5" customHeight="1">
      <c r="A268" s="3" t="s">
        <v>26</v>
      </c>
      <c r="B268" s="3">
        <f t="shared" si="8"/>
        <v>2002</v>
      </c>
      <c r="C268" s="3">
        <f t="shared" si="9"/>
        <v>2</v>
      </c>
      <c r="D268" s="20" t="str">
        <f t="shared" si="10"/>
        <v>EMR20022</v>
      </c>
      <c r="E268" s="2">
        <v>37300</v>
      </c>
      <c r="F268" s="3">
        <v>0.38750000000000001</v>
      </c>
      <c r="G268" s="2">
        <v>37326</v>
      </c>
      <c r="H268" s="3">
        <v>2.6700000000000002E-2</v>
      </c>
      <c r="I268" s="3">
        <v>0</v>
      </c>
      <c r="J268" s="3">
        <v>0</v>
      </c>
      <c r="K268" s="3">
        <f t="shared" si="11"/>
        <v>0</v>
      </c>
      <c r="L268" s="3">
        <f t="shared" si="12"/>
        <v>2002</v>
      </c>
      <c r="M268" s="20" t="str">
        <f>A268&amp;L268</f>
        <v>EMR2002</v>
      </c>
      <c r="N268" s="3">
        <f>F268/2</f>
        <v>0.19375000000000001</v>
      </c>
      <c r="O268" s="9">
        <f>H268</f>
        <v>2.6700000000000002E-2</v>
      </c>
      <c r="P268" s="10">
        <f t="shared" si="13"/>
        <v>0</v>
      </c>
      <c r="Q268" s="10">
        <f>IF(K268=0,IF(A265=A268,AVERAGE(O265:O268),"x"),0)</f>
        <v>2.9199999999999997E-2</v>
      </c>
      <c r="R268" s="9">
        <f>IF(L268&gt;2005,AVERAGE(O265:O284),0)</f>
        <v>0</v>
      </c>
      <c r="S268" s="10">
        <f>IF(A268=A269,(N268-N269)/N269,0)</f>
        <v>0</v>
      </c>
      <c r="T268" s="10">
        <f>IF(L268&gt;2005,(((N268-N288)/N288)+1)^(1/5)-1,0)</f>
        <v>0</v>
      </c>
      <c r="U268" s="10">
        <f t="shared" si="14"/>
        <v>0</v>
      </c>
      <c r="V268" s="26">
        <f t="shared" si="15"/>
        <v>0</v>
      </c>
      <c r="W268" s="3">
        <f>IF(A268=A269,N268-N269,0)</f>
        <v>0</v>
      </c>
      <c r="X268" s="10">
        <f>IF(A268=A269,(N268-N269)/N269,0)</f>
        <v>0</v>
      </c>
    </row>
    <row r="269" spans="1:24" ht="16.5" customHeight="1">
      <c r="A269" s="3" t="s">
        <v>26</v>
      </c>
      <c r="B269" s="3">
        <f t="shared" si="8"/>
        <v>2001</v>
      </c>
      <c r="C269" s="3">
        <f t="shared" si="9"/>
        <v>11</v>
      </c>
      <c r="D269" s="20" t="str">
        <f t="shared" si="10"/>
        <v>EMR200111</v>
      </c>
      <c r="E269" s="2">
        <v>37209</v>
      </c>
      <c r="F269" s="3">
        <v>0.38750000000000001</v>
      </c>
      <c r="G269" s="2">
        <v>37235</v>
      </c>
      <c r="H269" s="3">
        <v>2.86E-2</v>
      </c>
      <c r="I269" s="3">
        <v>1.3071895E-2</v>
      </c>
      <c r="J269" s="3">
        <v>5.0000000000000001E-3</v>
      </c>
      <c r="K269" s="3">
        <f t="shared" si="11"/>
        <v>2001</v>
      </c>
      <c r="L269" s="3">
        <f t="shared" si="12"/>
        <v>0</v>
      </c>
      <c r="M269" s="20" t="str">
        <f>A269&amp;L269</f>
        <v>EMR0</v>
      </c>
      <c r="N269" s="3">
        <f>F269/2</f>
        <v>0.19375000000000001</v>
      </c>
      <c r="O269" s="9">
        <f>H269</f>
        <v>2.86E-2</v>
      </c>
      <c r="P269" s="10">
        <f t="shared" si="13"/>
        <v>2.5000000000000001E-2</v>
      </c>
      <c r="Q269" s="10">
        <f>IF(K269=0,IF(A266=A269,AVERAGE(O266:O269),"x"),0)</f>
        <v>0</v>
      </c>
      <c r="R269" s="9">
        <f>IF(L269&gt;2005,AVERAGE(O266:O285),0)</f>
        <v>0</v>
      </c>
      <c r="S269" s="10">
        <f>IF(A269=A270,(N269-N270)/N270,0)</f>
        <v>1.3071895424836612E-2</v>
      </c>
      <c r="T269" s="10">
        <f>IF(L269&gt;2005,(((N269-N289)/N289)+1)^(1/5)-1,0)</f>
        <v>0</v>
      </c>
      <c r="U269" s="10">
        <f t="shared" si="14"/>
        <v>0</v>
      </c>
      <c r="V269" s="26">
        <f t="shared" si="15"/>
        <v>0</v>
      </c>
      <c r="W269" s="3">
        <f>IF(A269=A270,N269-N270,0)</f>
        <v>2.5000000000000022E-3</v>
      </c>
      <c r="X269" s="10">
        <f>IF(A269=A270,(N269-N270)/N270,0)</f>
        <v>1.3071895424836612E-2</v>
      </c>
    </row>
    <row r="270" spans="1:24" ht="16.5" customHeight="1">
      <c r="A270" s="3" t="s">
        <v>26</v>
      </c>
      <c r="B270" s="3">
        <f t="shared" si="8"/>
        <v>2001</v>
      </c>
      <c r="C270" s="3">
        <f t="shared" si="9"/>
        <v>8</v>
      </c>
      <c r="D270" s="20" t="str">
        <f t="shared" si="10"/>
        <v>EMR20018</v>
      </c>
      <c r="E270" s="2">
        <v>37118</v>
      </c>
      <c r="F270" s="3">
        <v>0.38250000000000001</v>
      </c>
      <c r="G270" s="2">
        <v>37144</v>
      </c>
      <c r="H270" s="3">
        <v>2.7400000000000001E-2</v>
      </c>
      <c r="I270" s="3">
        <v>0</v>
      </c>
      <c r="J270" s="3">
        <v>0</v>
      </c>
      <c r="K270" s="3">
        <f t="shared" si="11"/>
        <v>2001</v>
      </c>
      <c r="L270" s="3">
        <f t="shared" si="12"/>
        <v>0</v>
      </c>
      <c r="M270" s="20" t="str">
        <f>A270&amp;L270</f>
        <v>EMR0</v>
      </c>
      <c r="N270" s="3">
        <f>F270/2</f>
        <v>0.19125</v>
      </c>
      <c r="O270" s="9">
        <f>H270</f>
        <v>2.7400000000000001E-2</v>
      </c>
      <c r="P270" s="10">
        <f t="shared" si="13"/>
        <v>0</v>
      </c>
      <c r="Q270" s="10">
        <f>IF(K270=0,IF(A267=A270,AVERAGE(O267:O270),"x"),0)</f>
        <v>0</v>
      </c>
      <c r="R270" s="9">
        <f>IF(L270&gt;2005,AVERAGE(O267:O286),0)</f>
        <v>0</v>
      </c>
      <c r="S270" s="10">
        <f>IF(A270=A271,(N270-N271)/N271,0)</f>
        <v>0</v>
      </c>
      <c r="T270" s="10">
        <f>IF(L270&gt;2005,(((N270-N290)/N290)+1)^(1/5)-1,0)</f>
        <v>0</v>
      </c>
      <c r="U270" s="10">
        <f t="shared" si="14"/>
        <v>0</v>
      </c>
      <c r="V270" s="26">
        <f t="shared" si="15"/>
        <v>0</v>
      </c>
      <c r="W270" s="3">
        <f>IF(A270=A271,N270-N271,0)</f>
        <v>0</v>
      </c>
      <c r="X270" s="10">
        <f>IF(A270=A271,(N270-N271)/N271,0)</f>
        <v>0</v>
      </c>
    </row>
    <row r="271" spans="1:24" ht="16.5" customHeight="1">
      <c r="A271" s="3" t="s">
        <v>26</v>
      </c>
      <c r="B271" s="3">
        <f t="shared" si="8"/>
        <v>2001</v>
      </c>
      <c r="C271" s="3">
        <f t="shared" si="9"/>
        <v>5</v>
      </c>
      <c r="D271" s="20" t="str">
        <f t="shared" si="10"/>
        <v>EMR20015</v>
      </c>
      <c r="E271" s="2">
        <v>37020</v>
      </c>
      <c r="F271" s="3">
        <v>0.38250000000000001</v>
      </c>
      <c r="G271" s="2">
        <v>37053</v>
      </c>
      <c r="H271" s="3">
        <v>2.29E-2</v>
      </c>
      <c r="I271" s="3">
        <v>0</v>
      </c>
      <c r="J271" s="3">
        <v>0</v>
      </c>
      <c r="K271" s="3">
        <f t="shared" si="11"/>
        <v>2001</v>
      </c>
      <c r="L271" s="3">
        <f t="shared" si="12"/>
        <v>0</v>
      </c>
      <c r="M271" s="20" t="str">
        <f>A271&amp;L271</f>
        <v>EMR0</v>
      </c>
      <c r="N271" s="3">
        <f>F271/2</f>
        <v>0.19125</v>
      </c>
      <c r="O271" s="9">
        <f>H271</f>
        <v>2.29E-2</v>
      </c>
      <c r="P271" s="10">
        <f t="shared" si="13"/>
        <v>0</v>
      </c>
      <c r="Q271" s="10">
        <f>IF(K271=0,IF(A268=A271,AVERAGE(O268:O271),"x"),0)</f>
        <v>0</v>
      </c>
      <c r="R271" s="9">
        <f>IF(L271&gt;2005,AVERAGE(O268:O287),0)</f>
        <v>0</v>
      </c>
      <c r="S271" s="10">
        <f>IF(A271=A272,(N271-N272)/N272,0)</f>
        <v>0</v>
      </c>
      <c r="T271" s="10">
        <f>IF(L271&gt;2005,(((N271-N291)/N291)+1)^(1/5)-1,0)</f>
        <v>0</v>
      </c>
      <c r="U271" s="10">
        <f t="shared" si="14"/>
        <v>0</v>
      </c>
      <c r="V271" s="26">
        <f t="shared" si="15"/>
        <v>0</v>
      </c>
      <c r="W271" s="3">
        <f>IF(A271=A272,N271-N272,0)</f>
        <v>0</v>
      </c>
      <c r="X271" s="10">
        <f>IF(A271=A272,(N271-N272)/N272,0)</f>
        <v>0</v>
      </c>
    </row>
    <row r="272" spans="1:24" ht="16.5" customHeight="1">
      <c r="A272" s="3" t="s">
        <v>26</v>
      </c>
      <c r="B272" s="3">
        <f t="shared" si="8"/>
        <v>2001</v>
      </c>
      <c r="C272" s="3">
        <f t="shared" si="9"/>
        <v>2</v>
      </c>
      <c r="D272" s="20" t="str">
        <f t="shared" si="10"/>
        <v>EMR20012</v>
      </c>
      <c r="E272" s="2">
        <v>36936</v>
      </c>
      <c r="F272" s="3">
        <v>0.38250000000000001</v>
      </c>
      <c r="G272" s="2">
        <v>36959</v>
      </c>
      <c r="H272" s="3">
        <v>2.1100000000000001E-2</v>
      </c>
      <c r="I272" s="3">
        <v>0</v>
      </c>
      <c r="J272" s="3">
        <v>0</v>
      </c>
      <c r="K272" s="3">
        <f t="shared" si="11"/>
        <v>0</v>
      </c>
      <c r="L272" s="3">
        <f t="shared" si="12"/>
        <v>2001</v>
      </c>
      <c r="M272" s="20" t="str">
        <f>A272&amp;L272</f>
        <v>EMR2001</v>
      </c>
      <c r="N272" s="3">
        <f>F272/2</f>
        <v>0.19125</v>
      </c>
      <c r="O272" s="9">
        <f>H272</f>
        <v>2.1100000000000001E-2</v>
      </c>
      <c r="P272" s="10">
        <f t="shared" si="13"/>
        <v>0</v>
      </c>
      <c r="Q272" s="10">
        <f>IF(K272=0,IF(A269=A272,AVERAGE(O269:O272),"x"),0)</f>
        <v>2.5000000000000001E-2</v>
      </c>
      <c r="R272" s="9">
        <f>IF(L272&gt;2005,AVERAGE(O269:O288),0)</f>
        <v>0</v>
      </c>
      <c r="S272" s="10">
        <f>IF(A272=A273,(N272-N273)/N273,0)</f>
        <v>0</v>
      </c>
      <c r="T272" s="10">
        <f>IF(L272&gt;2005,(((N272-N292)/N292)+1)^(1/5)-1,0)</f>
        <v>0</v>
      </c>
      <c r="U272" s="10">
        <f t="shared" si="14"/>
        <v>0</v>
      </c>
      <c r="V272" s="26">
        <f t="shared" si="15"/>
        <v>0</v>
      </c>
      <c r="W272" s="3">
        <f>IF(A272=A273,N272-N273,0)</f>
        <v>0</v>
      </c>
      <c r="X272" s="10">
        <f>IF(A272=A273,(N272-N273)/N273,0)</f>
        <v>0</v>
      </c>
    </row>
    <row r="273" spans="1:24" ht="16.5" customHeight="1">
      <c r="A273" s="3" t="s">
        <v>26</v>
      </c>
      <c r="B273" s="3">
        <f t="shared" si="8"/>
        <v>2000</v>
      </c>
      <c r="C273" s="3">
        <f t="shared" si="9"/>
        <v>11</v>
      </c>
      <c r="D273" s="20" t="str">
        <f t="shared" si="10"/>
        <v>EMR200011</v>
      </c>
      <c r="E273" s="2">
        <v>36845</v>
      </c>
      <c r="F273" s="3">
        <v>0.38250000000000001</v>
      </c>
      <c r="G273" s="2">
        <v>36871</v>
      </c>
      <c r="H273" s="3">
        <v>0.02</v>
      </c>
      <c r="I273" s="3">
        <v>6.9930069999999997E-2</v>
      </c>
      <c r="J273" s="3">
        <v>2.5000000000000001E-2</v>
      </c>
      <c r="K273" s="3">
        <f t="shared" si="11"/>
        <v>2000</v>
      </c>
      <c r="L273" s="3">
        <f t="shared" si="12"/>
        <v>0</v>
      </c>
      <c r="M273" s="20" t="str">
        <f>A273&amp;L273</f>
        <v>EMR0</v>
      </c>
      <c r="N273" s="3">
        <f>F273/2</f>
        <v>0.19125</v>
      </c>
      <c r="O273" s="9">
        <f>H273</f>
        <v>0.02</v>
      </c>
      <c r="P273" s="10">
        <f t="shared" si="13"/>
        <v>2.3699999999999999E-2</v>
      </c>
      <c r="Q273" s="10">
        <f>IF(K273=0,IF(A270=A273,AVERAGE(O270:O273),"x"),0)</f>
        <v>0</v>
      </c>
      <c r="R273" s="9">
        <f>IF(L273&gt;2005,AVERAGE(O270:O289),0)</f>
        <v>0</v>
      </c>
      <c r="S273" s="10">
        <f>IF(A273=A274,(N273-N274)/N274,0)</f>
        <v>6.9930069930069991E-2</v>
      </c>
      <c r="T273" s="10">
        <f>IF(L273&gt;2005,(((N273-N293)/N293)+1)^(1/5)-1,0)</f>
        <v>0</v>
      </c>
      <c r="U273" s="10">
        <f t="shared" si="14"/>
        <v>0</v>
      </c>
      <c r="V273" s="26">
        <f t="shared" si="15"/>
        <v>0</v>
      </c>
      <c r="W273" s="3">
        <f>IF(A273=A274,N273-N274,0)</f>
        <v>1.2500000000000011E-2</v>
      </c>
      <c r="X273" s="10">
        <f>IF(A273=A274,(N273-N274)/N274,0)</f>
        <v>6.9930069930069991E-2</v>
      </c>
    </row>
    <row r="274" spans="1:24" ht="16.5" customHeight="1">
      <c r="A274" s="3" t="s">
        <v>26</v>
      </c>
      <c r="B274" s="3">
        <f t="shared" si="8"/>
        <v>2000</v>
      </c>
      <c r="C274" s="3">
        <f t="shared" si="9"/>
        <v>8</v>
      </c>
      <c r="D274" s="20" t="str">
        <f t="shared" si="10"/>
        <v>EMR20008</v>
      </c>
      <c r="E274" s="2">
        <v>36747</v>
      </c>
      <c r="F274" s="3">
        <v>0.35749999999999998</v>
      </c>
      <c r="G274" s="2">
        <v>36780</v>
      </c>
      <c r="H274" s="3">
        <v>2.12E-2</v>
      </c>
      <c r="I274" s="3">
        <v>0</v>
      </c>
      <c r="J274" s="3">
        <v>0</v>
      </c>
      <c r="K274" s="3">
        <f t="shared" si="11"/>
        <v>2000</v>
      </c>
      <c r="L274" s="3">
        <f t="shared" si="12"/>
        <v>0</v>
      </c>
      <c r="M274" s="20" t="str">
        <f>A274&amp;L274</f>
        <v>EMR0</v>
      </c>
      <c r="N274" s="3">
        <f>F274/2</f>
        <v>0.17874999999999999</v>
      </c>
      <c r="O274" s="9">
        <f>H274</f>
        <v>2.12E-2</v>
      </c>
      <c r="P274" s="10">
        <f t="shared" si="13"/>
        <v>0</v>
      </c>
      <c r="Q274" s="10">
        <f>IF(K274=0,IF(A271=A274,AVERAGE(O271:O274),"x"),0)</f>
        <v>0</v>
      </c>
      <c r="R274" s="9">
        <f>IF(L274&gt;2005,AVERAGE(O271:O290),0)</f>
        <v>0</v>
      </c>
      <c r="S274" s="10">
        <f>IF(A274=A275,(N274-N275)/N275,0)</f>
        <v>0</v>
      </c>
      <c r="T274" s="10">
        <f>IF(L274&gt;2005,(((N274-N294)/N294)+1)^(1/5)-1,0)</f>
        <v>0</v>
      </c>
      <c r="U274" s="10">
        <f t="shared" si="14"/>
        <v>0</v>
      </c>
      <c r="V274" s="26">
        <f t="shared" si="15"/>
        <v>0</v>
      </c>
      <c r="W274" s="3">
        <f>IF(A274=A275,N274-N275,0)</f>
        <v>0</v>
      </c>
      <c r="X274" s="10">
        <f>IF(A274=A275,(N274-N275)/N275,0)</f>
        <v>0</v>
      </c>
    </row>
    <row r="275" spans="1:24" ht="16.5" customHeight="1">
      <c r="A275" s="3" t="s">
        <v>26</v>
      </c>
      <c r="B275" s="3">
        <f t="shared" si="8"/>
        <v>2000</v>
      </c>
      <c r="C275" s="3">
        <f t="shared" si="9"/>
        <v>5</v>
      </c>
      <c r="D275" s="20" t="str">
        <f t="shared" si="10"/>
        <v>EMR20005</v>
      </c>
      <c r="E275" s="2">
        <v>36656</v>
      </c>
      <c r="F275" s="3">
        <v>0.35749999999999998</v>
      </c>
      <c r="G275" s="2">
        <v>36686</v>
      </c>
      <c r="H275" s="3">
        <v>2.5100000000000001E-2</v>
      </c>
      <c r="I275" s="3">
        <v>0</v>
      </c>
      <c r="J275" s="3">
        <v>0</v>
      </c>
      <c r="K275" s="3">
        <f t="shared" si="11"/>
        <v>2000</v>
      </c>
      <c r="L275" s="3">
        <f t="shared" si="12"/>
        <v>0</v>
      </c>
      <c r="M275" s="20" t="str">
        <f>A275&amp;L275</f>
        <v>EMR0</v>
      </c>
      <c r="N275" s="3">
        <f>F275/2</f>
        <v>0.17874999999999999</v>
      </c>
      <c r="O275" s="9">
        <f>H275</f>
        <v>2.5100000000000001E-2</v>
      </c>
      <c r="P275" s="10">
        <f t="shared" si="13"/>
        <v>0</v>
      </c>
      <c r="Q275" s="10">
        <f>IF(K275=0,IF(A272=A275,AVERAGE(O272:O275),"x"),0)</f>
        <v>0</v>
      </c>
      <c r="R275" s="9">
        <f>IF(L275&gt;2005,AVERAGE(O272:O291),0)</f>
        <v>0</v>
      </c>
      <c r="S275" s="10">
        <f>IF(A275=A276,(N275-N276)/N276,0)</f>
        <v>0</v>
      </c>
      <c r="T275" s="10">
        <f>IF(L275&gt;2005,(((N275-N295)/N295)+1)^(1/5)-1,0)</f>
        <v>0</v>
      </c>
      <c r="U275" s="10">
        <f t="shared" si="14"/>
        <v>0</v>
      </c>
      <c r="V275" s="26">
        <f t="shared" si="15"/>
        <v>0</v>
      </c>
      <c r="W275" s="3">
        <f>IF(A275=A276,N275-N276,0)</f>
        <v>0</v>
      </c>
      <c r="X275" s="10">
        <f>IF(A275=A276,(N275-N276)/N276,0)</f>
        <v>0</v>
      </c>
    </row>
    <row r="276" spans="1:24" ht="16.5" customHeight="1">
      <c r="A276" s="14" t="s">
        <v>26</v>
      </c>
      <c r="B276" s="3">
        <f t="shared" si="8"/>
        <v>2000</v>
      </c>
      <c r="C276" s="3">
        <f t="shared" si="9"/>
        <v>2</v>
      </c>
      <c r="D276" s="20" t="str">
        <f t="shared" si="10"/>
        <v>EMR20002</v>
      </c>
      <c r="E276" s="15">
        <v>36572</v>
      </c>
      <c r="F276" s="14">
        <v>0.35749999999999998</v>
      </c>
      <c r="G276" s="15">
        <v>36595</v>
      </c>
      <c r="H276" s="14">
        <v>2.8500000000000001E-2</v>
      </c>
      <c r="I276" s="14">
        <v>0</v>
      </c>
      <c r="J276" s="14">
        <v>0</v>
      </c>
      <c r="K276" s="3">
        <f t="shared" si="11"/>
        <v>0</v>
      </c>
      <c r="L276" s="3">
        <f t="shared" si="12"/>
        <v>2000</v>
      </c>
      <c r="M276" s="20" t="str">
        <f>A276&amp;L276</f>
        <v>EMR2000</v>
      </c>
      <c r="N276" s="14">
        <f>F276/2</f>
        <v>0.17874999999999999</v>
      </c>
      <c r="O276" s="9">
        <f>H276</f>
        <v>2.8500000000000001E-2</v>
      </c>
      <c r="P276" s="10">
        <f t="shared" si="13"/>
        <v>0</v>
      </c>
      <c r="Q276" s="10">
        <f>IF(K276=0,IF(A273=A276,AVERAGE(O273:O276),"x"),0)</f>
        <v>2.3699999999999999E-2</v>
      </c>
      <c r="R276" s="9">
        <f>IF(L276&gt;2005,AVERAGE(O273:O292),0)</f>
        <v>0</v>
      </c>
      <c r="S276" s="10">
        <f>IF(A276=A277,(N276-N277)/N277,0)</f>
        <v>0</v>
      </c>
      <c r="T276" s="10">
        <f>IF(L276&gt;2005,(((N276-N296)/N296)+1)^(1/5)-1,0)</f>
        <v>0</v>
      </c>
      <c r="U276" s="10">
        <f t="shared" si="14"/>
        <v>0</v>
      </c>
      <c r="V276" s="26">
        <f t="shared" si="15"/>
        <v>0</v>
      </c>
      <c r="W276" s="3">
        <f>IF(A276=A277,N276-N277,0)</f>
        <v>0</v>
      </c>
      <c r="X276" s="10">
        <f>IF(A276=A277,(N276-N277)/N277,0)</f>
        <v>0</v>
      </c>
    </row>
    <row r="277" spans="1:24" ht="16.5" customHeight="1">
      <c r="A277" s="3" t="s">
        <v>27</v>
      </c>
      <c r="B277" s="3">
        <f t="shared" si="8"/>
        <v>2022</v>
      </c>
      <c r="C277" s="3">
        <f t="shared" si="9"/>
        <v>10</v>
      </c>
      <c r="D277" s="20" t="str">
        <f t="shared" si="10"/>
        <v>CAT202210</v>
      </c>
      <c r="E277" s="2">
        <v>44855</v>
      </c>
      <c r="F277" s="3">
        <v>1.2</v>
      </c>
      <c r="G277" s="2">
        <v>44883</v>
      </c>
      <c r="H277" s="3">
        <v>2.6599999999999999E-2</v>
      </c>
      <c r="I277" s="3">
        <v>0</v>
      </c>
      <c r="J277" s="3">
        <v>0</v>
      </c>
      <c r="K277" s="3">
        <f t="shared" si="11"/>
        <v>2022</v>
      </c>
      <c r="L277" s="3">
        <f t="shared" si="12"/>
        <v>0</v>
      </c>
      <c r="M277" s="20" t="str">
        <f>A277&amp;L277</f>
        <v>CAT0</v>
      </c>
      <c r="N277" s="3">
        <f>F277</f>
        <v>1.2</v>
      </c>
      <c r="O277" s="9">
        <f>H277</f>
        <v>2.6599999999999999E-2</v>
      </c>
      <c r="P277" s="10">
        <f t="shared" si="13"/>
        <v>0</v>
      </c>
      <c r="Q277" s="10">
        <f>IF(K277=0,IF(A274=A277,AVERAGE(O274:O277),"x"),0)</f>
        <v>0</v>
      </c>
      <c r="R277" s="9">
        <f>IF(L277&gt;2005,AVERAGE(O274:O293),0)</f>
        <v>0</v>
      </c>
      <c r="S277" s="10">
        <f>IF(A277=A278,(N277-N278)/N278,0)</f>
        <v>0</v>
      </c>
      <c r="T277" s="10">
        <f>IF(L277&gt;2005,(((N277-N297)/N297)+1)^(1/5)-1,0)</f>
        <v>0</v>
      </c>
      <c r="U277" s="10">
        <f t="shared" si="14"/>
        <v>0</v>
      </c>
      <c r="V277" s="26">
        <f t="shared" si="15"/>
        <v>0</v>
      </c>
      <c r="W277" s="3">
        <f>IF(A277=A278,N277-N278,0)</f>
        <v>0</v>
      </c>
      <c r="X277" s="10">
        <f>IF(A277=A278,(N277-N278)/N278,0)</f>
        <v>0</v>
      </c>
    </row>
    <row r="278" spans="1:24" ht="16.5" customHeight="1">
      <c r="A278" s="3" t="s">
        <v>27</v>
      </c>
      <c r="B278" s="3">
        <f t="shared" si="8"/>
        <v>2022</v>
      </c>
      <c r="C278" s="3">
        <f t="shared" si="9"/>
        <v>7</v>
      </c>
      <c r="D278" s="20" t="str">
        <f t="shared" si="10"/>
        <v>CAT20227</v>
      </c>
      <c r="E278" s="2">
        <v>44761</v>
      </c>
      <c r="F278" s="3">
        <v>1.2</v>
      </c>
      <c r="G278" s="2">
        <v>44792</v>
      </c>
      <c r="H278" s="3">
        <v>2.7699999999999999E-2</v>
      </c>
      <c r="I278" s="3">
        <v>8.1081080999999999E-2</v>
      </c>
      <c r="J278" s="3">
        <v>0.09</v>
      </c>
      <c r="K278" s="3">
        <f t="shared" si="11"/>
        <v>2022</v>
      </c>
      <c r="L278" s="3">
        <f t="shared" si="12"/>
        <v>0</v>
      </c>
      <c r="M278" s="20" t="str">
        <f>A278&amp;L278</f>
        <v>CAT0</v>
      </c>
      <c r="N278" s="3">
        <f>F278</f>
        <v>1.2</v>
      </c>
      <c r="O278" s="9">
        <f>H278</f>
        <v>2.7699999999999999E-2</v>
      </c>
      <c r="P278" s="10">
        <f t="shared" si="13"/>
        <v>2.2024999999999996E-2</v>
      </c>
      <c r="Q278" s="10">
        <f>IF(K278=0,IF(A275=A278,AVERAGE(O275:O278),"x"),0)</f>
        <v>0</v>
      </c>
      <c r="R278" s="9">
        <f>IF(L278&gt;2005,AVERAGE(O275:O294),0)</f>
        <v>0</v>
      </c>
      <c r="S278" s="10">
        <f>IF(A278=A279,(N278-N279)/N279,0)</f>
        <v>8.1081081081080947E-2</v>
      </c>
      <c r="T278" s="10">
        <f>IF(L278&gt;2005,(((N278-N298)/N298)+1)^(1/5)-1,0)</f>
        <v>0</v>
      </c>
      <c r="U278" s="10">
        <f t="shared" si="14"/>
        <v>0</v>
      </c>
      <c r="V278" s="26">
        <f t="shared" si="15"/>
        <v>0</v>
      </c>
      <c r="W278" s="3">
        <f>IF(A278=A279,N278-N279,0)</f>
        <v>8.9999999999999858E-2</v>
      </c>
      <c r="X278" s="10">
        <f>IF(A278=A279,(N278-N279)/N279,0)</f>
        <v>8.1081081081080947E-2</v>
      </c>
    </row>
    <row r="279" spans="1:24" ht="16.5" customHeight="1">
      <c r="A279" s="3" t="s">
        <v>27</v>
      </c>
      <c r="B279" s="3">
        <f t="shared" si="8"/>
        <v>2022</v>
      </c>
      <c r="C279" s="3">
        <f t="shared" si="9"/>
        <v>4</v>
      </c>
      <c r="D279" s="20" t="str">
        <f t="shared" si="10"/>
        <v>CAT20224</v>
      </c>
      <c r="E279" s="2">
        <v>44673</v>
      </c>
      <c r="F279" s="3">
        <v>1.1100000000000001</v>
      </c>
      <c r="G279" s="2">
        <v>44701</v>
      </c>
      <c r="H279" s="3">
        <v>1.9099999999999999E-2</v>
      </c>
      <c r="I279" s="3">
        <v>0</v>
      </c>
      <c r="J279" s="3">
        <v>0</v>
      </c>
      <c r="K279" s="3">
        <f t="shared" si="11"/>
        <v>2022</v>
      </c>
      <c r="L279" s="3">
        <f t="shared" si="12"/>
        <v>0</v>
      </c>
      <c r="M279" s="20" t="str">
        <f>A279&amp;L279</f>
        <v>CAT0</v>
      </c>
      <c r="N279" s="3">
        <f>F279</f>
        <v>1.1100000000000001</v>
      </c>
      <c r="O279" s="9">
        <f>H279</f>
        <v>1.9099999999999999E-2</v>
      </c>
      <c r="P279" s="10">
        <f t="shared" si="13"/>
        <v>0</v>
      </c>
      <c r="Q279" s="10">
        <f>IF(K279=0,IF(A276=A279,AVERAGE(O276:O279),"x"),0)</f>
        <v>0</v>
      </c>
      <c r="R279" s="9">
        <f>IF(L279&gt;2005,AVERAGE(O276:O295),0)</f>
        <v>0</v>
      </c>
      <c r="S279" s="10">
        <f>IF(A279=A280,(N279-N280)/N280,0)</f>
        <v>0</v>
      </c>
      <c r="T279" s="10">
        <f>IF(L279&gt;2005,(((N279-N299)/N299)+1)^(1/5)-1,0)</f>
        <v>0</v>
      </c>
      <c r="U279" s="10">
        <f t="shared" si="14"/>
        <v>0</v>
      </c>
      <c r="V279" s="26">
        <f t="shared" si="15"/>
        <v>0</v>
      </c>
      <c r="W279" s="3">
        <f>IF(A279=A280,N279-N280,0)</f>
        <v>0</v>
      </c>
      <c r="X279" s="10">
        <f>IF(A279=A280,(N279-N280)/N280,0)</f>
        <v>0</v>
      </c>
    </row>
    <row r="280" spans="1:24" ht="16.5" customHeight="1">
      <c r="A280" s="3" t="s">
        <v>27</v>
      </c>
      <c r="B280" s="3">
        <f t="shared" si="8"/>
        <v>2022</v>
      </c>
      <c r="C280" s="3">
        <f t="shared" si="9"/>
        <v>1</v>
      </c>
      <c r="D280" s="20" t="str">
        <f t="shared" si="10"/>
        <v>CAT20221</v>
      </c>
      <c r="E280" s="2">
        <v>44580</v>
      </c>
      <c r="F280" s="3">
        <v>1.1100000000000001</v>
      </c>
      <c r="G280" s="2">
        <v>44610</v>
      </c>
      <c r="H280" s="3">
        <v>1.9300000000000001E-2</v>
      </c>
      <c r="I280" s="3">
        <v>0</v>
      </c>
      <c r="J280" s="3">
        <v>0</v>
      </c>
      <c r="K280" s="3">
        <f t="shared" si="11"/>
        <v>0</v>
      </c>
      <c r="L280" s="3">
        <f t="shared" si="12"/>
        <v>2022</v>
      </c>
      <c r="M280" s="20" t="str">
        <f>A280&amp;L280</f>
        <v>CAT2022</v>
      </c>
      <c r="N280" s="3">
        <f>F280</f>
        <v>1.1100000000000001</v>
      </c>
      <c r="O280" s="9">
        <f>H280</f>
        <v>1.9300000000000001E-2</v>
      </c>
      <c r="P280" s="10">
        <f t="shared" si="13"/>
        <v>0</v>
      </c>
      <c r="Q280" s="10">
        <f>IF(K280=0,IF(A277=A280,AVERAGE(O277:O280),"x"),0)</f>
        <v>2.3174999999999998E-2</v>
      </c>
      <c r="R280" s="9">
        <f>IF(L280&gt;2005,AVERAGE(O277:O296),0)</f>
        <v>2.4659999999999998E-2</v>
      </c>
      <c r="S280" s="10">
        <f>IF(A280=A281,(N280-N281)/N281,0)</f>
        <v>0</v>
      </c>
      <c r="T280" s="10">
        <f>IF(L280&gt;2005,(((N280-N300)/N300)+1)^(1/5)-1,0)</f>
        <v>7.5886481696227692E-2</v>
      </c>
      <c r="U280" s="10">
        <f t="shared" si="14"/>
        <v>0.10054648169622769</v>
      </c>
      <c r="V280" s="26">
        <f t="shared" si="15"/>
        <v>4.6737685245813569</v>
      </c>
      <c r="W280" s="3">
        <f>IF(A280=A281,N280-N281,0)</f>
        <v>0</v>
      </c>
      <c r="X280" s="10">
        <f>IF(A280=A281,(N280-N281)/N281,0)</f>
        <v>0</v>
      </c>
    </row>
    <row r="281" spans="1:24" ht="16.5" customHeight="1">
      <c r="A281" s="3" t="s">
        <v>27</v>
      </c>
      <c r="B281" s="3">
        <f t="shared" si="8"/>
        <v>2021</v>
      </c>
      <c r="C281" s="3">
        <f t="shared" si="9"/>
        <v>10</v>
      </c>
      <c r="D281" s="20" t="str">
        <f t="shared" si="10"/>
        <v>CAT202110</v>
      </c>
      <c r="E281" s="2">
        <v>44491</v>
      </c>
      <c r="F281" s="3">
        <v>1.1100000000000001</v>
      </c>
      <c r="G281" s="2">
        <v>44519</v>
      </c>
      <c r="H281" s="3">
        <v>2.1999999999999999E-2</v>
      </c>
      <c r="I281" s="3">
        <v>0</v>
      </c>
      <c r="J281" s="3">
        <v>0</v>
      </c>
      <c r="K281" s="3">
        <f t="shared" si="11"/>
        <v>2021</v>
      </c>
      <c r="L281" s="3">
        <f t="shared" si="12"/>
        <v>0</v>
      </c>
      <c r="M281" s="20" t="str">
        <f>A281&amp;L281</f>
        <v>CAT0</v>
      </c>
      <c r="N281" s="3">
        <f>F281</f>
        <v>1.1100000000000001</v>
      </c>
      <c r="O281" s="9">
        <f>H281</f>
        <v>2.1999999999999999E-2</v>
      </c>
      <c r="P281" s="10">
        <f t="shared" si="13"/>
        <v>0</v>
      </c>
      <c r="Q281" s="10">
        <f>IF(K281=0,IF(A278=A281,AVERAGE(O278:O281),"x"),0)</f>
        <v>0</v>
      </c>
      <c r="R281" s="9">
        <f>IF(L281&gt;2005,AVERAGE(O278:O297),0)</f>
        <v>0</v>
      </c>
      <c r="S281" s="10">
        <f>IF(A281=A282,(N281-N282)/N282,0)</f>
        <v>0</v>
      </c>
      <c r="T281" s="10">
        <f>IF(L281&gt;2005,(((N281-N301)/N301)+1)^(1/5)-1,0)</f>
        <v>0</v>
      </c>
      <c r="U281" s="10">
        <f t="shared" si="14"/>
        <v>0</v>
      </c>
      <c r="V281" s="26">
        <f t="shared" si="15"/>
        <v>0</v>
      </c>
      <c r="W281" s="3">
        <f>IF(A281=A282,N281-N282,0)</f>
        <v>0</v>
      </c>
      <c r="X281" s="10">
        <f>IF(A281=A282,(N281-N282)/N282,0)</f>
        <v>0</v>
      </c>
    </row>
    <row r="282" spans="1:24" ht="16.5" customHeight="1">
      <c r="A282" s="3" t="s">
        <v>27</v>
      </c>
      <c r="B282" s="3">
        <f t="shared" si="8"/>
        <v>2021</v>
      </c>
      <c r="C282" s="3">
        <f t="shared" si="9"/>
        <v>7</v>
      </c>
      <c r="D282" s="20" t="str">
        <f t="shared" si="10"/>
        <v>CAT20217</v>
      </c>
      <c r="E282" s="2">
        <v>44396</v>
      </c>
      <c r="F282" s="3">
        <v>1.1100000000000001</v>
      </c>
      <c r="G282" s="2">
        <v>44428</v>
      </c>
      <c r="H282" s="3">
        <v>2.1399999999999999E-2</v>
      </c>
      <c r="I282" s="3">
        <v>7.7669902999999998E-2</v>
      </c>
      <c r="J282" s="3">
        <v>0.08</v>
      </c>
      <c r="K282" s="3">
        <f t="shared" si="11"/>
        <v>2021</v>
      </c>
      <c r="L282" s="3">
        <f t="shared" si="12"/>
        <v>0</v>
      </c>
      <c r="M282" s="20" t="str">
        <f>A282&amp;L282</f>
        <v>CAT0</v>
      </c>
      <c r="N282" s="3">
        <f>F282</f>
        <v>1.1100000000000001</v>
      </c>
      <c r="O282" s="9">
        <f>H282</f>
        <v>2.1399999999999999E-2</v>
      </c>
      <c r="P282" s="10">
        <f t="shared" si="13"/>
        <v>2.1225000000000001E-2</v>
      </c>
      <c r="Q282" s="10">
        <f>IF(K282=0,IF(A279=A282,AVERAGE(O279:O282),"x"),0)</f>
        <v>0</v>
      </c>
      <c r="R282" s="9">
        <f>IF(L282&gt;2005,AVERAGE(O279:O298),0)</f>
        <v>0</v>
      </c>
      <c r="S282" s="10">
        <f>IF(A282=A283,(N282-N283)/N283,0)</f>
        <v>7.7669902912621422E-2</v>
      </c>
      <c r="T282" s="10">
        <f>IF(L282&gt;2005,(((N282-N302)/N302)+1)^(1/5)-1,0)</f>
        <v>0</v>
      </c>
      <c r="U282" s="10">
        <f t="shared" si="14"/>
        <v>0</v>
      </c>
      <c r="V282" s="26">
        <f t="shared" si="15"/>
        <v>0</v>
      </c>
      <c r="W282" s="3">
        <f>IF(A282=A283,N282-N283,0)</f>
        <v>8.0000000000000071E-2</v>
      </c>
      <c r="X282" s="10">
        <f>IF(A282=A283,(N282-N283)/N283,0)</f>
        <v>7.7669902912621422E-2</v>
      </c>
    </row>
    <row r="283" spans="1:24" ht="16.5" customHeight="1">
      <c r="A283" s="3" t="s">
        <v>27</v>
      </c>
      <c r="B283" s="3">
        <f t="shared" si="8"/>
        <v>2021</v>
      </c>
      <c r="C283" s="3">
        <f t="shared" si="9"/>
        <v>4</v>
      </c>
      <c r="D283" s="20" t="str">
        <f t="shared" si="10"/>
        <v>CAT20214</v>
      </c>
      <c r="E283" s="2">
        <v>44309</v>
      </c>
      <c r="F283" s="3">
        <v>1.03</v>
      </c>
      <c r="G283" s="2">
        <v>44336</v>
      </c>
      <c r="H283" s="3">
        <v>1.7999999999999999E-2</v>
      </c>
      <c r="I283" s="3">
        <v>0</v>
      </c>
      <c r="J283" s="3">
        <v>0</v>
      </c>
      <c r="K283" s="3">
        <f t="shared" si="11"/>
        <v>2021</v>
      </c>
      <c r="L283" s="3">
        <f t="shared" si="12"/>
        <v>0</v>
      </c>
      <c r="M283" s="20" t="str">
        <f>A283&amp;L283</f>
        <v>CAT0</v>
      </c>
      <c r="N283" s="3">
        <f>F283</f>
        <v>1.03</v>
      </c>
      <c r="O283" s="9">
        <f>H283</f>
        <v>1.7999999999999999E-2</v>
      </c>
      <c r="P283" s="10">
        <f t="shared" si="13"/>
        <v>0</v>
      </c>
      <c r="Q283" s="10">
        <f>IF(K283=0,IF(A280=A283,AVERAGE(O280:O283),"x"),0)</f>
        <v>0</v>
      </c>
      <c r="R283" s="9">
        <f>IF(L283&gt;2005,AVERAGE(O280:O299),0)</f>
        <v>0</v>
      </c>
      <c r="S283" s="10">
        <f>IF(A283=A284,(N283-N284)/N284,0)</f>
        <v>0</v>
      </c>
      <c r="T283" s="10">
        <f>IF(L283&gt;2005,(((N283-N303)/N303)+1)^(1/5)-1,0)</f>
        <v>0</v>
      </c>
      <c r="U283" s="10">
        <f t="shared" si="14"/>
        <v>0</v>
      </c>
      <c r="V283" s="26">
        <f t="shared" si="15"/>
        <v>0</v>
      </c>
      <c r="W283" s="3">
        <f>IF(A283=A284,N283-N284,0)</f>
        <v>0</v>
      </c>
      <c r="X283" s="10">
        <f>IF(A283=A284,(N283-N284)/N284,0)</f>
        <v>0</v>
      </c>
    </row>
    <row r="284" spans="1:24" ht="16.5" customHeight="1">
      <c r="A284" s="3" t="s">
        <v>27</v>
      </c>
      <c r="B284" s="3">
        <f t="shared" si="8"/>
        <v>2021</v>
      </c>
      <c r="C284" s="3">
        <f t="shared" si="9"/>
        <v>1</v>
      </c>
      <c r="D284" s="20" t="str">
        <f t="shared" si="10"/>
        <v>CAT20211</v>
      </c>
      <c r="E284" s="2">
        <v>44215</v>
      </c>
      <c r="F284" s="3">
        <v>1.03</v>
      </c>
      <c r="G284" s="2">
        <v>44246</v>
      </c>
      <c r="H284" s="3">
        <v>2.12E-2</v>
      </c>
      <c r="I284" s="3">
        <v>0</v>
      </c>
      <c r="J284" s="3">
        <v>0</v>
      </c>
      <c r="K284" s="3">
        <f t="shared" si="11"/>
        <v>0</v>
      </c>
      <c r="L284" s="3">
        <f t="shared" si="12"/>
        <v>2021</v>
      </c>
      <c r="M284" s="20" t="str">
        <f>A284&amp;L284</f>
        <v>CAT2021</v>
      </c>
      <c r="N284" s="3">
        <f>F284</f>
        <v>1.03</v>
      </c>
      <c r="O284" s="9">
        <f>H284</f>
        <v>2.12E-2</v>
      </c>
      <c r="P284" s="10">
        <f t="shared" si="13"/>
        <v>0</v>
      </c>
      <c r="Q284" s="10">
        <f>IF(K284=0,IF(A281=A284,AVERAGE(O281:O284),"x"),0)</f>
        <v>2.0649999999999998E-2</v>
      </c>
      <c r="R284" s="9">
        <f>IF(L284&gt;2005,AVERAGE(O281:O300),0)</f>
        <v>2.5940000000000001E-2</v>
      </c>
      <c r="S284" s="10">
        <f>IF(A284=A285,(N284-N285)/N285,0)</f>
        <v>0</v>
      </c>
      <c r="T284" s="10">
        <f>IF(L284&gt;2005,(((N284-N304)/N304)+1)^(1/5)-1,0)</f>
        <v>5.9910757217231492E-2</v>
      </c>
      <c r="U284" s="10">
        <f t="shared" si="14"/>
        <v>8.5850757217231496E-2</v>
      </c>
      <c r="V284" s="26">
        <f t="shared" si="15"/>
        <v>4.652874694907009</v>
      </c>
      <c r="W284" s="3">
        <f>IF(A284=A285,N284-N285,0)</f>
        <v>0</v>
      </c>
      <c r="X284" s="10">
        <f>IF(A284=A285,(N284-N285)/N285,0)</f>
        <v>0</v>
      </c>
    </row>
    <row r="285" spans="1:24" ht="16.5" customHeight="1">
      <c r="A285" s="3" t="s">
        <v>27</v>
      </c>
      <c r="B285" s="3">
        <f t="shared" si="8"/>
        <v>2020</v>
      </c>
      <c r="C285" s="3">
        <f t="shared" si="9"/>
        <v>10</v>
      </c>
      <c r="D285" s="20" t="str">
        <f t="shared" si="10"/>
        <v>CAT202010</v>
      </c>
      <c r="E285" s="2">
        <v>44127</v>
      </c>
      <c r="F285" s="3">
        <v>1.03</v>
      </c>
      <c r="G285" s="2">
        <v>44155</v>
      </c>
      <c r="H285" s="3">
        <v>2.4299999999999999E-2</v>
      </c>
      <c r="I285" s="3">
        <v>0</v>
      </c>
      <c r="J285" s="3">
        <v>0</v>
      </c>
      <c r="K285" s="3">
        <f t="shared" si="11"/>
        <v>2020</v>
      </c>
      <c r="L285" s="3">
        <f t="shared" si="12"/>
        <v>0</v>
      </c>
      <c r="M285" s="20" t="str">
        <f>A285&amp;L285</f>
        <v>CAT0</v>
      </c>
      <c r="N285" s="3">
        <f>F285</f>
        <v>1.03</v>
      </c>
      <c r="O285" s="9">
        <f>H285</f>
        <v>2.4299999999999999E-2</v>
      </c>
      <c r="P285" s="10">
        <f t="shared" si="13"/>
        <v>0</v>
      </c>
      <c r="Q285" s="10">
        <f>IF(K285=0,IF(A282=A285,AVERAGE(O282:O285),"x"),0)</f>
        <v>0</v>
      </c>
      <c r="R285" s="9">
        <f>IF(L285&gt;2005,AVERAGE(O282:O301),0)</f>
        <v>0</v>
      </c>
      <c r="S285" s="10">
        <f>IF(A285=A286,(N285-N286)/N286,0)</f>
        <v>0</v>
      </c>
      <c r="T285" s="10">
        <f>IF(L285&gt;2005,(((N285-N305)/N305)+1)^(1/5)-1,0)</f>
        <v>0</v>
      </c>
      <c r="U285" s="10">
        <f t="shared" si="14"/>
        <v>0</v>
      </c>
      <c r="V285" s="26">
        <f t="shared" si="15"/>
        <v>0</v>
      </c>
      <c r="W285" s="3">
        <f>IF(A285=A286,N285-N286,0)</f>
        <v>0</v>
      </c>
      <c r="X285" s="10">
        <f>IF(A285=A286,(N285-N286)/N286,0)</f>
        <v>0</v>
      </c>
    </row>
    <row r="286" spans="1:24" ht="16.5" customHeight="1">
      <c r="A286" s="3" t="s">
        <v>27</v>
      </c>
      <c r="B286" s="3">
        <f t="shared" si="8"/>
        <v>2020</v>
      </c>
      <c r="C286" s="3">
        <f t="shared" si="9"/>
        <v>7</v>
      </c>
      <c r="D286" s="20" t="str">
        <f t="shared" si="10"/>
        <v>CAT20207</v>
      </c>
      <c r="E286" s="2">
        <v>44029</v>
      </c>
      <c r="F286" s="3">
        <v>1.03</v>
      </c>
      <c r="G286" s="2">
        <v>44063</v>
      </c>
      <c r="H286" s="3">
        <v>2.9700000000000001E-2</v>
      </c>
      <c r="I286" s="3">
        <v>0</v>
      </c>
      <c r="J286" s="3">
        <v>0</v>
      </c>
      <c r="K286" s="3">
        <f t="shared" si="11"/>
        <v>2020</v>
      </c>
      <c r="L286" s="3">
        <f t="shared" si="12"/>
        <v>0</v>
      </c>
      <c r="M286" s="20" t="str">
        <f>A286&amp;L286</f>
        <v>CAT0</v>
      </c>
      <c r="N286" s="3">
        <f>F286</f>
        <v>1.03</v>
      </c>
      <c r="O286" s="9">
        <f>H286</f>
        <v>2.9700000000000001E-2</v>
      </c>
      <c r="P286" s="10">
        <f t="shared" si="13"/>
        <v>0</v>
      </c>
      <c r="Q286" s="10">
        <f>IF(K286=0,IF(A283=A286,AVERAGE(O283:O286),"x"),0)</f>
        <v>0</v>
      </c>
      <c r="R286" s="9">
        <f>IF(L286&gt;2005,AVERAGE(O283:O302),0)</f>
        <v>0</v>
      </c>
      <c r="S286" s="10">
        <f>IF(A286=A287,(N286-N287)/N287,0)</f>
        <v>0</v>
      </c>
      <c r="T286" s="10">
        <f>IF(L286&gt;2005,(((N286-N306)/N306)+1)^(1/5)-1,0)</f>
        <v>0</v>
      </c>
      <c r="U286" s="10">
        <f t="shared" si="14"/>
        <v>0</v>
      </c>
      <c r="V286" s="26">
        <f t="shared" si="15"/>
        <v>0</v>
      </c>
      <c r="W286" s="3">
        <f>IF(A286=A287,N286-N287,0)</f>
        <v>0</v>
      </c>
      <c r="X286" s="10">
        <f>IF(A286=A287,(N286-N287)/N287,0)</f>
        <v>0</v>
      </c>
    </row>
    <row r="287" spans="1:24" ht="16.5" customHeight="1">
      <c r="A287" s="3" t="s">
        <v>27</v>
      </c>
      <c r="B287" s="3">
        <f t="shared" si="8"/>
        <v>2020</v>
      </c>
      <c r="C287" s="3">
        <f t="shared" si="9"/>
        <v>4</v>
      </c>
      <c r="D287" s="20" t="str">
        <f t="shared" si="10"/>
        <v>CAT20204</v>
      </c>
      <c r="E287" s="2">
        <v>43938</v>
      </c>
      <c r="F287" s="3">
        <v>1.03</v>
      </c>
      <c r="G287" s="2">
        <v>43971</v>
      </c>
      <c r="H287" s="3">
        <v>3.6400000000000002E-2</v>
      </c>
      <c r="I287" s="3">
        <v>0</v>
      </c>
      <c r="J287" s="3">
        <v>0</v>
      </c>
      <c r="K287" s="3">
        <f t="shared" si="11"/>
        <v>2020</v>
      </c>
      <c r="L287" s="3">
        <f t="shared" si="12"/>
        <v>0</v>
      </c>
      <c r="M287" s="20" t="str">
        <f>A287&amp;L287</f>
        <v>CAT0</v>
      </c>
      <c r="N287" s="3">
        <f>F287</f>
        <v>1.03</v>
      </c>
      <c r="O287" s="9">
        <f>H287</f>
        <v>3.6400000000000002E-2</v>
      </c>
      <c r="P287" s="10">
        <f t="shared" si="13"/>
        <v>0</v>
      </c>
      <c r="Q287" s="10">
        <f>IF(K287=0,IF(A284=A287,AVERAGE(O284:O287),"x"),0)</f>
        <v>0</v>
      </c>
      <c r="R287" s="9">
        <f>IF(L287&gt;2005,AVERAGE(O284:O303),0)</f>
        <v>0</v>
      </c>
      <c r="S287" s="10">
        <f>IF(A287=A288,(N287-N288)/N288,0)</f>
        <v>0</v>
      </c>
      <c r="T287" s="10">
        <f>IF(L287&gt;2005,(((N287-N307)/N307)+1)^(1/5)-1,0)</f>
        <v>0</v>
      </c>
      <c r="U287" s="10">
        <f t="shared" si="14"/>
        <v>0</v>
      </c>
      <c r="V287" s="26">
        <f t="shared" si="15"/>
        <v>0</v>
      </c>
      <c r="W287" s="3">
        <f>IF(A287=A288,N287-N288,0)</f>
        <v>0</v>
      </c>
      <c r="X287" s="10">
        <f>IF(A287=A288,(N287-N288)/N288,0)</f>
        <v>0</v>
      </c>
    </row>
    <row r="288" spans="1:24" ht="16.5" customHeight="1">
      <c r="A288" s="3" t="s">
        <v>27</v>
      </c>
      <c r="B288" s="3">
        <f t="shared" si="8"/>
        <v>2020</v>
      </c>
      <c r="C288" s="3">
        <f t="shared" si="9"/>
        <v>1</v>
      </c>
      <c r="D288" s="20" t="str">
        <f t="shared" si="10"/>
        <v>CAT20201</v>
      </c>
      <c r="E288" s="2">
        <v>43847</v>
      </c>
      <c r="F288" s="3">
        <v>1.03</v>
      </c>
      <c r="G288" s="2">
        <v>43881</v>
      </c>
      <c r="H288" s="3">
        <v>2.7900000000000001E-2</v>
      </c>
      <c r="I288" s="3">
        <v>0</v>
      </c>
      <c r="J288" s="3">
        <v>0</v>
      </c>
      <c r="K288" s="3">
        <f t="shared" si="11"/>
        <v>0</v>
      </c>
      <c r="L288" s="3">
        <f t="shared" si="12"/>
        <v>2020</v>
      </c>
      <c r="M288" s="20" t="str">
        <f>A288&amp;L288</f>
        <v>CAT2020</v>
      </c>
      <c r="N288" s="3">
        <f>F288</f>
        <v>1.03</v>
      </c>
      <c r="O288" s="9">
        <f>H288</f>
        <v>2.7900000000000001E-2</v>
      </c>
      <c r="P288" s="10">
        <f t="shared" si="13"/>
        <v>0</v>
      </c>
      <c r="Q288" s="10">
        <f>IF(K288=0,IF(A285=A288,AVERAGE(O285:O288),"x"),0)</f>
        <v>2.9575000000000004E-2</v>
      </c>
      <c r="R288" s="9">
        <f>IF(L288&gt;2005,AVERAGE(O285:O304),0)</f>
        <v>2.9875000000000002E-2</v>
      </c>
      <c r="S288" s="10">
        <f>IF(A288=A289,(N288-N289)/N289,0)</f>
        <v>0</v>
      </c>
      <c r="T288" s="10">
        <f>IF(L288&gt;2005,(((N288-N308)/N308)+1)^(1/5)-1,0)</f>
        <v>8.0308608831843431E-2</v>
      </c>
      <c r="U288" s="10">
        <f t="shared" si="14"/>
        <v>0.11018360883184343</v>
      </c>
      <c r="V288" s="26">
        <f t="shared" si="15"/>
        <v>4.6105443061620202</v>
      </c>
      <c r="W288" s="3">
        <f>IF(A288=A289,N288-N289,0)</f>
        <v>0</v>
      </c>
      <c r="X288" s="10">
        <f>IF(A288=A289,(N288-N289)/N289,0)</f>
        <v>0</v>
      </c>
    </row>
    <row r="289" spans="1:24" ht="16.5" customHeight="1">
      <c r="A289" s="3" t="s">
        <v>27</v>
      </c>
      <c r="B289" s="3">
        <f t="shared" si="8"/>
        <v>2019</v>
      </c>
      <c r="C289" s="3">
        <f t="shared" si="9"/>
        <v>10</v>
      </c>
      <c r="D289" s="20" t="str">
        <f t="shared" si="10"/>
        <v>CAT201910</v>
      </c>
      <c r="E289" s="2">
        <v>43756</v>
      </c>
      <c r="F289" s="3">
        <v>1.03</v>
      </c>
      <c r="G289" s="2">
        <v>43789</v>
      </c>
      <c r="H289" s="3">
        <v>3.1199999999999999E-2</v>
      </c>
      <c r="I289" s="3">
        <v>0</v>
      </c>
      <c r="J289" s="3">
        <v>0</v>
      </c>
      <c r="K289" s="3">
        <f t="shared" si="11"/>
        <v>2019</v>
      </c>
      <c r="L289" s="3">
        <f t="shared" si="12"/>
        <v>0</v>
      </c>
      <c r="M289" s="20" t="str">
        <f>A289&amp;L289</f>
        <v>CAT0</v>
      </c>
      <c r="N289" s="3">
        <f>F289</f>
        <v>1.03</v>
      </c>
      <c r="O289" s="9">
        <f>H289</f>
        <v>3.1199999999999999E-2</v>
      </c>
      <c r="P289" s="10">
        <f t="shared" si="13"/>
        <v>0</v>
      </c>
      <c r="Q289" s="10">
        <f>IF(K289=0,IF(A286=A289,AVERAGE(O286:O289),"x"),0)</f>
        <v>0</v>
      </c>
      <c r="R289" s="9">
        <f>IF(L289&gt;2005,AVERAGE(O286:O305),0)</f>
        <v>0</v>
      </c>
      <c r="S289" s="10">
        <f>IF(A289=A290,(N289-N290)/N290,0)</f>
        <v>0</v>
      </c>
      <c r="T289" s="10">
        <f>IF(L289&gt;2005,(((N289-N309)/N309)+1)^(1/5)-1,0)</f>
        <v>0</v>
      </c>
      <c r="U289" s="10">
        <f t="shared" si="14"/>
        <v>0</v>
      </c>
      <c r="V289" s="26">
        <f t="shared" si="15"/>
        <v>0</v>
      </c>
      <c r="W289" s="3">
        <f>IF(A289=A290,N289-N290,0)</f>
        <v>0</v>
      </c>
      <c r="X289" s="10">
        <f>IF(A289=A290,(N289-N290)/N290,0)</f>
        <v>0</v>
      </c>
    </row>
    <row r="290" spans="1:24" ht="16.5" customHeight="1">
      <c r="A290" s="3" t="s">
        <v>27</v>
      </c>
      <c r="B290" s="3">
        <f t="shared" si="8"/>
        <v>2019</v>
      </c>
      <c r="C290" s="3">
        <f t="shared" si="9"/>
        <v>7</v>
      </c>
      <c r="D290" s="20" t="str">
        <f t="shared" si="10"/>
        <v>CAT20197</v>
      </c>
      <c r="E290" s="2">
        <v>43665</v>
      </c>
      <c r="F290" s="3">
        <v>1.03</v>
      </c>
      <c r="G290" s="2">
        <v>43697</v>
      </c>
      <c r="H290" s="3">
        <v>3.0499999999999999E-2</v>
      </c>
      <c r="I290" s="3">
        <v>0.19767441899999999</v>
      </c>
      <c r="J290" s="3">
        <v>0.17</v>
      </c>
      <c r="K290" s="3">
        <f t="shared" si="11"/>
        <v>2019</v>
      </c>
      <c r="L290" s="3">
        <f t="shared" si="12"/>
        <v>0</v>
      </c>
      <c r="M290" s="20" t="str">
        <f>A290&amp;L290</f>
        <v>CAT0</v>
      </c>
      <c r="N290" s="3">
        <f>F290</f>
        <v>1.03</v>
      </c>
      <c r="O290" s="9">
        <f>H290</f>
        <v>3.0499999999999999E-2</v>
      </c>
      <c r="P290" s="10">
        <f t="shared" si="13"/>
        <v>2.6374999999999999E-2</v>
      </c>
      <c r="Q290" s="10">
        <f>IF(K290=0,IF(A287=A290,AVERAGE(O287:O290),"x"),0)</f>
        <v>0</v>
      </c>
      <c r="R290" s="9">
        <f>IF(L290&gt;2005,AVERAGE(O287:O306),0)</f>
        <v>0</v>
      </c>
      <c r="S290" s="10">
        <f>IF(A290=A291,(N290-N291)/N291,0)</f>
        <v>0.19767441860465121</v>
      </c>
      <c r="T290" s="10">
        <f>IF(L290&gt;2005,(((N290-N310)/N310)+1)^(1/5)-1,0)</f>
        <v>0</v>
      </c>
      <c r="U290" s="10">
        <f t="shared" si="14"/>
        <v>0</v>
      </c>
      <c r="V290" s="26">
        <f t="shared" si="15"/>
        <v>0</v>
      </c>
      <c r="W290" s="3">
        <f>IF(A290=A291,N290-N291,0)</f>
        <v>0.17000000000000004</v>
      </c>
      <c r="X290" s="10">
        <f>IF(A290=A291,(N290-N291)/N291,0)</f>
        <v>0.19767441860465121</v>
      </c>
    </row>
    <row r="291" spans="1:24" ht="16.5" customHeight="1">
      <c r="A291" s="3" t="s">
        <v>27</v>
      </c>
      <c r="B291" s="3">
        <f t="shared" si="8"/>
        <v>2019</v>
      </c>
      <c r="C291" s="3">
        <f t="shared" si="9"/>
        <v>4</v>
      </c>
      <c r="D291" s="20" t="str">
        <f t="shared" si="10"/>
        <v>CAT20194</v>
      </c>
      <c r="E291" s="2">
        <v>43573</v>
      </c>
      <c r="F291" s="3">
        <v>0.86</v>
      </c>
      <c r="G291" s="2">
        <v>43605</v>
      </c>
      <c r="H291" s="3">
        <v>2.41E-2</v>
      </c>
      <c r="I291" s="3">
        <v>0</v>
      </c>
      <c r="J291" s="3">
        <v>0</v>
      </c>
      <c r="K291" s="3">
        <f t="shared" si="11"/>
        <v>2019</v>
      </c>
      <c r="L291" s="3">
        <f t="shared" si="12"/>
        <v>0</v>
      </c>
      <c r="M291" s="20" t="str">
        <f>A291&amp;L291</f>
        <v>CAT0</v>
      </c>
      <c r="N291" s="3">
        <f>F291</f>
        <v>0.86</v>
      </c>
      <c r="O291" s="9">
        <f>H291</f>
        <v>2.41E-2</v>
      </c>
      <c r="P291" s="10">
        <f t="shared" si="13"/>
        <v>0</v>
      </c>
      <c r="Q291" s="10">
        <f>IF(K291=0,IF(A288=A291,AVERAGE(O288:O291),"x"),0)</f>
        <v>0</v>
      </c>
      <c r="R291" s="9">
        <f>IF(L291&gt;2005,AVERAGE(O288:O307),0)</f>
        <v>0</v>
      </c>
      <c r="S291" s="10">
        <f>IF(A291=A292,(N291-N292)/N292,0)</f>
        <v>0</v>
      </c>
      <c r="T291" s="10">
        <f>IF(L291&gt;2005,(((N291-N311)/N311)+1)^(1/5)-1,0)</f>
        <v>0</v>
      </c>
      <c r="U291" s="10">
        <f t="shared" si="14"/>
        <v>0</v>
      </c>
      <c r="V291" s="26">
        <f t="shared" si="15"/>
        <v>0</v>
      </c>
      <c r="W291" s="3">
        <f>IF(A291=A292,N291-N292,0)</f>
        <v>0</v>
      </c>
      <c r="X291" s="10">
        <f>IF(A291=A292,(N291-N292)/N292,0)</f>
        <v>0</v>
      </c>
    </row>
    <row r="292" spans="1:24" ht="16.5" customHeight="1">
      <c r="A292" s="3" t="s">
        <v>27</v>
      </c>
      <c r="B292" s="3">
        <f t="shared" si="8"/>
        <v>2019</v>
      </c>
      <c r="C292" s="3">
        <f t="shared" si="9"/>
        <v>1</v>
      </c>
      <c r="D292" s="20" t="str">
        <f t="shared" si="10"/>
        <v>CAT20191</v>
      </c>
      <c r="E292" s="2">
        <v>43483</v>
      </c>
      <c r="F292" s="3">
        <v>0.86</v>
      </c>
      <c r="G292" s="2">
        <v>43516</v>
      </c>
      <c r="H292" s="3">
        <v>2.5600000000000001E-2</v>
      </c>
      <c r="I292" s="3">
        <v>0</v>
      </c>
      <c r="J292" s="3">
        <v>0</v>
      </c>
      <c r="K292" s="3">
        <f t="shared" si="11"/>
        <v>0</v>
      </c>
      <c r="L292" s="3">
        <f t="shared" si="12"/>
        <v>2019</v>
      </c>
      <c r="M292" s="20" t="str">
        <f>A292&amp;L292</f>
        <v>CAT2019</v>
      </c>
      <c r="N292" s="3">
        <f>F292</f>
        <v>0.86</v>
      </c>
      <c r="O292" s="9">
        <f>H292</f>
        <v>2.5600000000000001E-2</v>
      </c>
      <c r="P292" s="10">
        <f t="shared" si="13"/>
        <v>0</v>
      </c>
      <c r="Q292" s="10">
        <f>IF(K292=0,IF(A289=A292,AVERAGE(O289:O292),"x"),0)</f>
        <v>2.785E-2</v>
      </c>
      <c r="R292" s="9">
        <f>IF(L292&gt;2005,AVERAGE(O289:O308),0)</f>
        <v>3.0989999999999997E-2</v>
      </c>
      <c r="S292" s="10">
        <f>IF(A292=A293,(N292-N293)/N293,0)</f>
        <v>0</v>
      </c>
      <c r="T292" s="10">
        <f>IF(L292&gt;2005,(((N292-N312)/N312)+1)^(1/5)-1,0)</f>
        <v>7.4655931692266808E-2</v>
      </c>
      <c r="U292" s="10">
        <f t="shared" si="14"/>
        <v>0.1056459316922668</v>
      </c>
      <c r="V292" s="26">
        <f t="shared" si="15"/>
        <v>4.5949527639360861</v>
      </c>
      <c r="W292" s="3">
        <f>IF(A292=A293,N292-N293,0)</f>
        <v>0</v>
      </c>
      <c r="X292" s="10">
        <f>IF(A292=A293,(N292-N293)/N293,0)</f>
        <v>0</v>
      </c>
    </row>
    <row r="293" spans="1:24" ht="16.5" customHeight="1">
      <c r="A293" s="3" t="s">
        <v>27</v>
      </c>
      <c r="B293" s="3">
        <f t="shared" si="8"/>
        <v>2018</v>
      </c>
      <c r="C293" s="3">
        <f t="shared" si="9"/>
        <v>10</v>
      </c>
      <c r="D293" s="20" t="str">
        <f t="shared" si="10"/>
        <v>CAT201810</v>
      </c>
      <c r="E293" s="2">
        <v>43392</v>
      </c>
      <c r="F293" s="3">
        <v>0.86</v>
      </c>
      <c r="G293" s="2">
        <v>43424</v>
      </c>
      <c r="H293" s="3">
        <v>2.53E-2</v>
      </c>
      <c r="I293" s="3">
        <v>0</v>
      </c>
      <c r="J293" s="3">
        <v>0</v>
      </c>
      <c r="K293" s="3">
        <f t="shared" si="11"/>
        <v>2018</v>
      </c>
      <c r="L293" s="3">
        <f t="shared" si="12"/>
        <v>0</v>
      </c>
      <c r="M293" s="20" t="str">
        <f>A293&amp;L293</f>
        <v>CAT0</v>
      </c>
      <c r="N293" s="3">
        <f>F293</f>
        <v>0.86</v>
      </c>
      <c r="O293" s="9">
        <f>H293</f>
        <v>2.53E-2</v>
      </c>
      <c r="P293" s="10">
        <f t="shared" si="13"/>
        <v>0</v>
      </c>
      <c r="Q293" s="10">
        <f>IF(K293=0,IF(A290=A293,AVERAGE(O290:O293),"x"),0)</f>
        <v>0</v>
      </c>
      <c r="R293" s="9">
        <f>IF(L293&gt;2005,AVERAGE(O290:O309),0)</f>
        <v>0</v>
      </c>
      <c r="S293" s="10">
        <f>IF(A293=A294,(N293-N294)/N294,0)</f>
        <v>0</v>
      </c>
      <c r="T293" s="10">
        <f>IF(L293&gt;2005,(((N293-N313)/N313)+1)^(1/5)-1,0)</f>
        <v>0</v>
      </c>
      <c r="U293" s="10">
        <f t="shared" si="14"/>
        <v>0</v>
      </c>
      <c r="V293" s="26">
        <f t="shared" si="15"/>
        <v>0</v>
      </c>
      <c r="W293" s="3">
        <f>IF(A293=A294,N293-N294,0)</f>
        <v>0</v>
      </c>
      <c r="X293" s="10">
        <f>IF(A293=A294,(N293-N294)/N294,0)</f>
        <v>0</v>
      </c>
    </row>
    <row r="294" spans="1:24" ht="16.5" customHeight="1">
      <c r="A294" s="3" t="s">
        <v>27</v>
      </c>
      <c r="B294" s="3">
        <f t="shared" si="8"/>
        <v>2018</v>
      </c>
      <c r="C294" s="3">
        <f t="shared" si="9"/>
        <v>7</v>
      </c>
      <c r="D294" s="20" t="str">
        <f t="shared" si="10"/>
        <v>CAT20187</v>
      </c>
      <c r="E294" s="2">
        <v>43300</v>
      </c>
      <c r="F294" s="3">
        <v>0.86</v>
      </c>
      <c r="G294" s="2">
        <v>43332</v>
      </c>
      <c r="H294" s="3">
        <v>2.4400000000000002E-2</v>
      </c>
      <c r="I294" s="3">
        <v>0.102564103</v>
      </c>
      <c r="J294" s="3">
        <v>0.08</v>
      </c>
      <c r="K294" s="3">
        <f t="shared" si="11"/>
        <v>2018</v>
      </c>
      <c r="L294" s="3">
        <f t="shared" si="12"/>
        <v>0</v>
      </c>
      <c r="M294" s="20" t="str">
        <f>A294&amp;L294</f>
        <v>CAT0</v>
      </c>
      <c r="N294" s="3">
        <f>F294</f>
        <v>0.86</v>
      </c>
      <c r="O294" s="9">
        <f>H294</f>
        <v>2.4400000000000002E-2</v>
      </c>
      <c r="P294" s="10">
        <f t="shared" si="13"/>
        <v>2.1649999999999999E-2</v>
      </c>
      <c r="Q294" s="10">
        <f>IF(K294=0,IF(A291=A294,AVERAGE(O291:O294),"x"),0)</f>
        <v>0</v>
      </c>
      <c r="R294" s="9">
        <f>IF(L294&gt;2005,AVERAGE(O291:O310),0)</f>
        <v>0</v>
      </c>
      <c r="S294" s="10">
        <f>IF(A294=A295,(N294-N295)/N295,0)</f>
        <v>0.10256410256410251</v>
      </c>
      <c r="T294" s="10">
        <f>IF(L294&gt;2005,(((N294-N314)/N314)+1)^(1/5)-1,0)</f>
        <v>0</v>
      </c>
      <c r="U294" s="10">
        <f t="shared" si="14"/>
        <v>0</v>
      </c>
      <c r="V294" s="26">
        <f t="shared" si="15"/>
        <v>0</v>
      </c>
      <c r="W294" s="3">
        <f>IF(A294=A295,N294-N295,0)</f>
        <v>7.999999999999996E-2</v>
      </c>
      <c r="X294" s="10">
        <f>IF(A294=A295,(N294-N295)/N295,0)</f>
        <v>0.10256410256410251</v>
      </c>
    </row>
    <row r="295" spans="1:24" ht="16.5" customHeight="1">
      <c r="A295" s="3" t="s">
        <v>27</v>
      </c>
      <c r="B295" s="3">
        <f t="shared" si="8"/>
        <v>2018</v>
      </c>
      <c r="C295" s="3">
        <f t="shared" si="9"/>
        <v>4</v>
      </c>
      <c r="D295" s="20" t="str">
        <f t="shared" si="10"/>
        <v>CAT20184</v>
      </c>
      <c r="E295" s="2">
        <v>43210</v>
      </c>
      <c r="F295" s="3">
        <v>0.78</v>
      </c>
      <c r="G295" s="2">
        <v>43239</v>
      </c>
      <c r="H295" s="3">
        <v>0.02</v>
      </c>
      <c r="I295" s="3">
        <v>0</v>
      </c>
      <c r="J295" s="3">
        <v>0</v>
      </c>
      <c r="K295" s="3">
        <f t="shared" si="11"/>
        <v>2018</v>
      </c>
      <c r="L295" s="3">
        <f t="shared" si="12"/>
        <v>0</v>
      </c>
      <c r="M295" s="20" t="str">
        <f>A295&amp;L295</f>
        <v>CAT0</v>
      </c>
      <c r="N295" s="3">
        <f>F295</f>
        <v>0.78</v>
      </c>
      <c r="O295" s="9">
        <f>H295</f>
        <v>0.02</v>
      </c>
      <c r="P295" s="10">
        <f t="shared" si="13"/>
        <v>0</v>
      </c>
      <c r="Q295" s="10">
        <f>IF(K295=0,IF(A292=A295,AVERAGE(O292:O295),"x"),0)</f>
        <v>0</v>
      </c>
      <c r="R295" s="9">
        <f>IF(L295&gt;2005,AVERAGE(O292:O311),0)</f>
        <v>0</v>
      </c>
      <c r="S295" s="10">
        <f>IF(A295=A296,(N295-N296)/N296,0)</f>
        <v>0</v>
      </c>
      <c r="T295" s="10">
        <f>IF(L295&gt;2005,(((N295-N315)/N315)+1)^(1/5)-1,0)</f>
        <v>0</v>
      </c>
      <c r="U295" s="10">
        <f t="shared" si="14"/>
        <v>0</v>
      </c>
      <c r="V295" s="26">
        <f t="shared" si="15"/>
        <v>0</v>
      </c>
      <c r="W295" s="3">
        <f>IF(A295=A296,N295-N296,0)</f>
        <v>0</v>
      </c>
      <c r="X295" s="10">
        <f>IF(A295=A296,(N295-N296)/N296,0)</f>
        <v>0</v>
      </c>
    </row>
    <row r="296" spans="1:24" ht="16.5" customHeight="1">
      <c r="A296" s="3" t="s">
        <v>27</v>
      </c>
      <c r="B296" s="3">
        <f t="shared" si="8"/>
        <v>2018</v>
      </c>
      <c r="C296" s="3">
        <f t="shared" si="9"/>
        <v>1</v>
      </c>
      <c r="D296" s="20" t="str">
        <f t="shared" si="10"/>
        <v>CAT20181</v>
      </c>
      <c r="E296" s="2">
        <v>43119</v>
      </c>
      <c r="F296" s="3">
        <v>0.78</v>
      </c>
      <c r="G296" s="2">
        <v>43151</v>
      </c>
      <c r="H296" s="3">
        <v>1.8499999999999999E-2</v>
      </c>
      <c r="I296" s="3">
        <v>0</v>
      </c>
      <c r="J296" s="3">
        <v>0</v>
      </c>
      <c r="K296" s="3">
        <f t="shared" si="11"/>
        <v>0</v>
      </c>
      <c r="L296" s="3">
        <f t="shared" si="12"/>
        <v>2018</v>
      </c>
      <c r="M296" s="20" t="str">
        <f>A296&amp;L296</f>
        <v>CAT2018</v>
      </c>
      <c r="N296" s="3">
        <f>F296</f>
        <v>0.78</v>
      </c>
      <c r="O296" s="9">
        <f>H296</f>
        <v>1.8499999999999999E-2</v>
      </c>
      <c r="P296" s="10">
        <f t="shared" si="13"/>
        <v>0</v>
      </c>
      <c r="Q296" s="10">
        <f>IF(K296=0,IF(A293=A296,AVERAGE(O293:O296),"x"),0)</f>
        <v>2.205E-2</v>
      </c>
      <c r="R296" s="9">
        <f>IF(L296&gt;2005,AVERAGE(O293:O312),0)</f>
        <v>3.0370000000000001E-2</v>
      </c>
      <c r="S296" s="10">
        <f>IF(A296=A297,(N296-N297)/N297,0)</f>
        <v>0</v>
      </c>
      <c r="T296" s="10">
        <f>IF(L296&gt;2005,(((N296-N316)/N316)+1)^(1/5)-1,0)</f>
        <v>8.4471771197698553E-2</v>
      </c>
      <c r="U296" s="10">
        <f t="shared" si="14"/>
        <v>0.11484177119769856</v>
      </c>
      <c r="V296" s="26">
        <f t="shared" si="15"/>
        <v>4.6059190633442428</v>
      </c>
      <c r="W296" s="3">
        <f>IF(A296=A297,N296-N297,0)</f>
        <v>0</v>
      </c>
      <c r="X296" s="10">
        <f>IF(A296=A297,(N296-N297)/N297,0)</f>
        <v>0</v>
      </c>
    </row>
    <row r="297" spans="1:24" ht="16.5" customHeight="1">
      <c r="A297" s="3" t="s">
        <v>27</v>
      </c>
      <c r="B297" s="3">
        <f t="shared" si="8"/>
        <v>2017</v>
      </c>
      <c r="C297" s="3">
        <f t="shared" si="9"/>
        <v>10</v>
      </c>
      <c r="D297" s="20" t="str">
        <f t="shared" si="10"/>
        <v>CAT201710</v>
      </c>
      <c r="E297" s="2">
        <v>43028</v>
      </c>
      <c r="F297" s="3">
        <v>0.78</v>
      </c>
      <c r="G297" s="2">
        <v>43059</v>
      </c>
      <c r="H297" s="3">
        <v>2.3699999999999999E-2</v>
      </c>
      <c r="I297" s="3">
        <v>0</v>
      </c>
      <c r="J297" s="3">
        <v>0</v>
      </c>
      <c r="K297" s="3">
        <f t="shared" si="11"/>
        <v>2017</v>
      </c>
      <c r="L297" s="3">
        <f t="shared" si="12"/>
        <v>0</v>
      </c>
      <c r="M297" s="20" t="str">
        <f>A297&amp;L297</f>
        <v>CAT0</v>
      </c>
      <c r="N297" s="3">
        <f>F297</f>
        <v>0.78</v>
      </c>
      <c r="O297" s="9">
        <f>H297</f>
        <v>2.3699999999999999E-2</v>
      </c>
      <c r="P297" s="10">
        <f t="shared" si="13"/>
        <v>0</v>
      </c>
      <c r="Q297" s="10">
        <f>IF(K297=0,IF(A294=A297,AVERAGE(O294:O297),"x"),0)</f>
        <v>0</v>
      </c>
      <c r="R297" s="9">
        <f>IF(L297&gt;2005,AVERAGE(O294:O313),0)</f>
        <v>0</v>
      </c>
      <c r="S297" s="10">
        <f>IF(A297=A298,(N297-N298)/N298,0)</f>
        <v>0</v>
      </c>
      <c r="T297" s="10">
        <f>IF(L297&gt;2005,(((N297-N317)/N317)+1)^(1/5)-1,0)</f>
        <v>0</v>
      </c>
      <c r="U297" s="10">
        <f t="shared" si="14"/>
        <v>0</v>
      </c>
      <c r="V297" s="26">
        <f t="shared" si="15"/>
        <v>0</v>
      </c>
      <c r="W297" s="3">
        <f>IF(A297=A298,N297-N298,0)</f>
        <v>0</v>
      </c>
      <c r="X297" s="10">
        <f>IF(A297=A298,(N297-N298)/N298,0)</f>
        <v>0</v>
      </c>
    </row>
    <row r="298" spans="1:24" ht="16.5" customHeight="1">
      <c r="A298" s="3" t="s">
        <v>27</v>
      </c>
      <c r="B298" s="3">
        <f t="shared" si="8"/>
        <v>2017</v>
      </c>
      <c r="C298" s="3">
        <f t="shared" si="9"/>
        <v>7</v>
      </c>
      <c r="D298" s="20" t="str">
        <f t="shared" si="10"/>
        <v>CAT20177</v>
      </c>
      <c r="E298" s="2">
        <v>42934</v>
      </c>
      <c r="F298" s="3">
        <v>0.78</v>
      </c>
      <c r="G298" s="2">
        <v>42966</v>
      </c>
      <c r="H298" s="3">
        <v>2.87E-2</v>
      </c>
      <c r="I298" s="3">
        <v>1.2987013E-2</v>
      </c>
      <c r="J298" s="3">
        <v>0.01</v>
      </c>
      <c r="K298" s="3">
        <f t="shared" si="11"/>
        <v>2017</v>
      </c>
      <c r="L298" s="3">
        <f t="shared" si="12"/>
        <v>0</v>
      </c>
      <c r="M298" s="20" t="str">
        <f>A298&amp;L298</f>
        <v>CAT0</v>
      </c>
      <c r="N298" s="3">
        <f>F298</f>
        <v>0.78</v>
      </c>
      <c r="O298" s="9">
        <f>H298</f>
        <v>2.87E-2</v>
      </c>
      <c r="P298" s="10">
        <f t="shared" si="13"/>
        <v>3.2399999999999998E-2</v>
      </c>
      <c r="Q298" s="10">
        <f>IF(K298=0,IF(A295=A298,AVERAGE(O295:O298),"x"),0)</f>
        <v>0</v>
      </c>
      <c r="R298" s="9">
        <f>IF(L298&gt;2005,AVERAGE(O295:O314),0)</f>
        <v>0</v>
      </c>
      <c r="S298" s="10">
        <f>IF(A298=A299,(N298-N299)/N299,0)</f>
        <v>1.2987012987012998E-2</v>
      </c>
      <c r="T298" s="10">
        <f>IF(L298&gt;2005,(((N298-N318)/N318)+1)^(1/5)-1,0)</f>
        <v>0</v>
      </c>
      <c r="U298" s="10">
        <f t="shared" si="14"/>
        <v>0</v>
      </c>
      <c r="V298" s="26">
        <f t="shared" si="15"/>
        <v>0</v>
      </c>
      <c r="W298" s="3">
        <f>IF(A298=A299,N298-N299,0)</f>
        <v>1.0000000000000009E-2</v>
      </c>
      <c r="X298" s="10">
        <f>IF(A298=A299,(N298-N299)/N299,0)</f>
        <v>1.2987012987012998E-2</v>
      </c>
    </row>
    <row r="299" spans="1:24" ht="16.5" customHeight="1">
      <c r="A299" s="3" t="s">
        <v>27</v>
      </c>
      <c r="B299" s="3">
        <f t="shared" si="8"/>
        <v>2017</v>
      </c>
      <c r="C299" s="3">
        <f t="shared" si="9"/>
        <v>4</v>
      </c>
      <c r="D299" s="20" t="str">
        <f t="shared" si="10"/>
        <v>CAT20174</v>
      </c>
      <c r="E299" s="2">
        <v>42845</v>
      </c>
      <c r="F299" s="3">
        <v>0.77</v>
      </c>
      <c r="G299" s="2">
        <v>42875</v>
      </c>
      <c r="H299" s="3">
        <v>3.3000000000000002E-2</v>
      </c>
      <c r="I299" s="3">
        <v>0</v>
      </c>
      <c r="J299" s="3">
        <v>0</v>
      </c>
      <c r="K299" s="3">
        <f t="shared" si="11"/>
        <v>2017</v>
      </c>
      <c r="L299" s="3">
        <f t="shared" si="12"/>
        <v>0</v>
      </c>
      <c r="M299" s="20" t="str">
        <f>A299&amp;L299</f>
        <v>CAT0</v>
      </c>
      <c r="N299" s="3">
        <f>F299</f>
        <v>0.77</v>
      </c>
      <c r="O299" s="9">
        <f>H299</f>
        <v>3.3000000000000002E-2</v>
      </c>
      <c r="P299" s="10">
        <f t="shared" si="13"/>
        <v>0</v>
      </c>
      <c r="Q299" s="10">
        <f>IF(K299=0,IF(A296=A299,AVERAGE(O296:O299),"x"),0)</f>
        <v>0</v>
      </c>
      <c r="R299" s="9">
        <f>IF(L299&gt;2005,AVERAGE(O296:O315),0)</f>
        <v>0</v>
      </c>
      <c r="S299" s="10">
        <f>IF(A299=A300,(N299-N300)/N300,0)</f>
        <v>0</v>
      </c>
      <c r="T299" s="10">
        <f>IF(L299&gt;2005,(((N299-N319)/N319)+1)^(1/5)-1,0)</f>
        <v>0</v>
      </c>
      <c r="U299" s="10">
        <f t="shared" si="14"/>
        <v>0</v>
      </c>
      <c r="V299" s="26">
        <f t="shared" si="15"/>
        <v>0</v>
      </c>
      <c r="W299" s="3">
        <f>IF(A299=A300,N299-N300,0)</f>
        <v>0</v>
      </c>
      <c r="X299" s="10">
        <f>IF(A299=A300,(N299-N300)/N300,0)</f>
        <v>0</v>
      </c>
    </row>
    <row r="300" spans="1:24" ht="16.5" customHeight="1">
      <c r="A300" s="3" t="s">
        <v>27</v>
      </c>
      <c r="B300" s="3">
        <f t="shared" si="8"/>
        <v>2017</v>
      </c>
      <c r="C300" s="3">
        <f t="shared" si="9"/>
        <v>1</v>
      </c>
      <c r="D300" s="20" t="str">
        <f t="shared" si="10"/>
        <v>CAT20171</v>
      </c>
      <c r="E300" s="2">
        <v>42753</v>
      </c>
      <c r="F300" s="3">
        <v>0.77</v>
      </c>
      <c r="G300" s="2">
        <v>42784</v>
      </c>
      <c r="H300" s="3">
        <v>3.2899999999999999E-2</v>
      </c>
      <c r="I300" s="3">
        <v>0</v>
      </c>
      <c r="J300" s="3">
        <v>0</v>
      </c>
      <c r="K300" s="3">
        <f t="shared" si="11"/>
        <v>0</v>
      </c>
      <c r="L300" s="3">
        <f t="shared" si="12"/>
        <v>2017</v>
      </c>
      <c r="M300" s="20" t="str">
        <f>A300&amp;L300</f>
        <v>CAT2017</v>
      </c>
      <c r="N300" s="3">
        <f>F300</f>
        <v>0.77</v>
      </c>
      <c r="O300" s="9">
        <f>H300</f>
        <v>3.2899999999999999E-2</v>
      </c>
      <c r="P300" s="10">
        <f t="shared" si="13"/>
        <v>0</v>
      </c>
      <c r="Q300" s="10">
        <f>IF(K300=0,IF(A297=A300,AVERAGE(O297:O300),"x"),0)</f>
        <v>2.9575000000000001E-2</v>
      </c>
      <c r="R300" s="9">
        <f>IF(L300&gt;2005,AVERAGE(O297:O316),0)</f>
        <v>3.1144999999999999E-2</v>
      </c>
      <c r="S300" s="10">
        <f>IF(A300=A301,(N300-N301)/N301,0)</f>
        <v>0</v>
      </c>
      <c r="T300" s="10">
        <f>IF(L300&gt;2005,(((N300-N320)/N320)+1)^(1/5)-1,0)</f>
        <v>0.10852777381398138</v>
      </c>
      <c r="U300" s="10">
        <f t="shared" si="14"/>
        <v>0.13967277381398138</v>
      </c>
      <c r="V300" s="26">
        <f t="shared" si="15"/>
        <v>4.6047133121486121</v>
      </c>
      <c r="W300" s="3">
        <f>IF(A300=A301,N300-N301,0)</f>
        <v>0</v>
      </c>
      <c r="X300" s="10">
        <f>IF(A300=A301,(N300-N301)/N301,0)</f>
        <v>0</v>
      </c>
    </row>
    <row r="301" spans="1:24" ht="16.5" customHeight="1">
      <c r="A301" s="3" t="s">
        <v>27</v>
      </c>
      <c r="B301" s="3">
        <f t="shared" si="8"/>
        <v>2016</v>
      </c>
      <c r="C301" s="3">
        <f t="shared" si="9"/>
        <v>10</v>
      </c>
      <c r="D301" s="20" t="str">
        <f t="shared" si="10"/>
        <v>CAT201610</v>
      </c>
      <c r="E301" s="2">
        <v>42663</v>
      </c>
      <c r="F301" s="3">
        <v>0.77</v>
      </c>
      <c r="G301" s="2">
        <v>42693</v>
      </c>
      <c r="H301" s="3">
        <v>3.5000000000000003E-2</v>
      </c>
      <c r="I301" s="3">
        <v>0</v>
      </c>
      <c r="J301" s="3">
        <v>0</v>
      </c>
      <c r="K301" s="3">
        <f t="shared" si="11"/>
        <v>2016</v>
      </c>
      <c r="L301" s="3">
        <f t="shared" si="12"/>
        <v>0</v>
      </c>
      <c r="M301" s="20" t="str">
        <f>A301&amp;L301</f>
        <v>CAT0</v>
      </c>
      <c r="N301" s="3">
        <f>F301</f>
        <v>0.77</v>
      </c>
      <c r="O301" s="9">
        <f>H301</f>
        <v>3.5000000000000003E-2</v>
      </c>
      <c r="P301" s="10">
        <f t="shared" si="13"/>
        <v>0</v>
      </c>
      <c r="Q301" s="10">
        <f>IF(K301=0,IF(A298=A301,AVERAGE(O298:O301),"x"),0)</f>
        <v>0</v>
      </c>
      <c r="R301" s="9">
        <f>IF(L301&gt;2005,AVERAGE(O298:O317),0)</f>
        <v>0</v>
      </c>
      <c r="S301" s="10">
        <f>IF(A301=A302,(N301-N302)/N302,0)</f>
        <v>0</v>
      </c>
      <c r="T301" s="10">
        <f>IF(L301&gt;2005,(((N301-N321)/N321)+1)^(1/5)-1,0)</f>
        <v>0</v>
      </c>
      <c r="U301" s="10">
        <f t="shared" si="14"/>
        <v>0</v>
      </c>
      <c r="V301" s="26">
        <f t="shared" si="15"/>
        <v>0</v>
      </c>
      <c r="W301" s="3">
        <f>IF(A301=A302,N301-N302,0)</f>
        <v>0</v>
      </c>
      <c r="X301" s="10">
        <f>IF(A301=A302,(N301-N302)/N302,0)</f>
        <v>0</v>
      </c>
    </row>
    <row r="302" spans="1:24" ht="16.5" customHeight="1">
      <c r="A302" s="3" t="s">
        <v>27</v>
      </c>
      <c r="B302" s="3">
        <f t="shared" si="8"/>
        <v>2016</v>
      </c>
      <c r="C302" s="3">
        <f t="shared" si="9"/>
        <v>7</v>
      </c>
      <c r="D302" s="20" t="str">
        <f t="shared" si="10"/>
        <v>CAT20167</v>
      </c>
      <c r="E302" s="2">
        <v>42569</v>
      </c>
      <c r="F302" s="3">
        <v>0.77</v>
      </c>
      <c r="G302" s="2">
        <v>42602</v>
      </c>
      <c r="H302" s="3">
        <v>3.8199999999999998E-2</v>
      </c>
      <c r="I302" s="3">
        <v>0</v>
      </c>
      <c r="J302" s="3">
        <v>0</v>
      </c>
      <c r="K302" s="3">
        <f t="shared" si="11"/>
        <v>2016</v>
      </c>
      <c r="L302" s="3">
        <f t="shared" si="12"/>
        <v>0</v>
      </c>
      <c r="M302" s="20" t="str">
        <f>A302&amp;L302</f>
        <v>CAT0</v>
      </c>
      <c r="N302" s="3">
        <f>F302</f>
        <v>0.77</v>
      </c>
      <c r="O302" s="9">
        <f>H302</f>
        <v>3.8199999999999998E-2</v>
      </c>
      <c r="P302" s="10">
        <f t="shared" si="13"/>
        <v>0</v>
      </c>
      <c r="Q302" s="10">
        <f>IF(K302=0,IF(A299=A302,AVERAGE(O299:O302),"x"),0)</f>
        <v>0</v>
      </c>
      <c r="R302" s="9">
        <f>IF(L302&gt;2005,AVERAGE(O299:O318),0)</f>
        <v>0</v>
      </c>
      <c r="S302" s="10">
        <f>IF(A302=A303,(N302-N303)/N303,0)</f>
        <v>0</v>
      </c>
      <c r="T302" s="10">
        <f>IF(L302&gt;2005,(((N302-N322)/N322)+1)^(1/5)-1,0)</f>
        <v>0</v>
      </c>
      <c r="U302" s="10">
        <f t="shared" si="14"/>
        <v>0</v>
      </c>
      <c r="V302" s="26">
        <f t="shared" si="15"/>
        <v>0</v>
      </c>
      <c r="W302" s="3">
        <f>IF(A302=A303,N302-N303,0)</f>
        <v>0</v>
      </c>
      <c r="X302" s="10">
        <f>IF(A302=A303,(N302-N303)/N303,0)</f>
        <v>0</v>
      </c>
    </row>
    <row r="303" spans="1:24" ht="16.5" customHeight="1">
      <c r="A303" s="3" t="s">
        <v>27</v>
      </c>
      <c r="B303" s="3">
        <f t="shared" si="8"/>
        <v>2016</v>
      </c>
      <c r="C303" s="3">
        <f t="shared" si="9"/>
        <v>4</v>
      </c>
      <c r="D303" s="20" t="str">
        <f t="shared" si="10"/>
        <v>CAT20164</v>
      </c>
      <c r="E303" s="2">
        <v>42481</v>
      </c>
      <c r="F303" s="3">
        <v>0.77</v>
      </c>
      <c r="G303" s="2">
        <v>42510</v>
      </c>
      <c r="H303" s="3">
        <v>3.8600000000000002E-2</v>
      </c>
      <c r="I303" s="3">
        <v>0</v>
      </c>
      <c r="J303" s="3">
        <v>0</v>
      </c>
      <c r="K303" s="3">
        <f t="shared" si="11"/>
        <v>2016</v>
      </c>
      <c r="L303" s="3">
        <f t="shared" si="12"/>
        <v>0</v>
      </c>
      <c r="M303" s="20" t="str">
        <f>A303&amp;L303</f>
        <v>CAT0</v>
      </c>
      <c r="N303" s="3">
        <f>F303</f>
        <v>0.77</v>
      </c>
      <c r="O303" s="9">
        <f>H303</f>
        <v>3.8600000000000002E-2</v>
      </c>
      <c r="P303" s="10">
        <f t="shared" si="13"/>
        <v>0</v>
      </c>
      <c r="Q303" s="10">
        <f>IF(K303=0,IF(A300=A303,AVERAGE(O300:O303),"x"),0)</f>
        <v>0</v>
      </c>
      <c r="R303" s="9">
        <f>IF(L303&gt;2005,AVERAGE(O300:O319),0)</f>
        <v>0</v>
      </c>
      <c r="S303" s="10">
        <f>IF(A303=A304,(N303-N304)/N304,0)</f>
        <v>0</v>
      </c>
      <c r="T303" s="10">
        <f>IF(L303&gt;2005,(((N303-N323)/N323)+1)^(1/5)-1,0)</f>
        <v>0</v>
      </c>
      <c r="U303" s="10">
        <f t="shared" si="14"/>
        <v>0</v>
      </c>
      <c r="V303" s="26">
        <f t="shared" si="15"/>
        <v>0</v>
      </c>
      <c r="W303" s="3">
        <f>IF(A303=A304,N303-N304,0)</f>
        <v>0</v>
      </c>
      <c r="X303" s="10">
        <f>IF(A303=A304,(N303-N304)/N304,0)</f>
        <v>0</v>
      </c>
    </row>
    <row r="304" spans="1:24" ht="16.5" customHeight="1">
      <c r="A304" s="3" t="s">
        <v>27</v>
      </c>
      <c r="B304" s="3">
        <f t="shared" si="8"/>
        <v>2016</v>
      </c>
      <c r="C304" s="3">
        <f t="shared" si="9"/>
        <v>1</v>
      </c>
      <c r="D304" s="20" t="str">
        <f t="shared" si="10"/>
        <v>CAT20161</v>
      </c>
      <c r="E304" s="2">
        <v>42384</v>
      </c>
      <c r="F304" s="3">
        <v>0.77</v>
      </c>
      <c r="G304" s="2">
        <v>42420</v>
      </c>
      <c r="H304" s="3">
        <v>4.9500000000000002E-2</v>
      </c>
      <c r="I304" s="3">
        <v>0</v>
      </c>
      <c r="J304" s="3">
        <v>0</v>
      </c>
      <c r="K304" s="3">
        <f t="shared" si="11"/>
        <v>0</v>
      </c>
      <c r="L304" s="3">
        <f t="shared" si="12"/>
        <v>2016</v>
      </c>
      <c r="M304" s="20" t="str">
        <f>A304&amp;L304</f>
        <v>CAT2016</v>
      </c>
      <c r="N304" s="3">
        <f>F304</f>
        <v>0.77</v>
      </c>
      <c r="O304" s="9">
        <f>H304</f>
        <v>4.9500000000000002E-2</v>
      </c>
      <c r="P304" s="10">
        <f t="shared" si="13"/>
        <v>0</v>
      </c>
      <c r="Q304" s="10">
        <f>IF(K304=0,IF(A301=A304,AVERAGE(O301:O304),"x"),0)</f>
        <v>4.0325E-2</v>
      </c>
      <c r="R304" s="9">
        <f>IF(L304&gt;2005,AVERAGE(O301:O320),0)</f>
        <v>2.9239999999999999E-2</v>
      </c>
      <c r="S304" s="10">
        <f>IF(A304=A305,(N304-N305)/N305,0)</f>
        <v>0</v>
      </c>
      <c r="T304" s="10">
        <f>IF(L304&gt;2005,(((N304-N324)/N324)+1)^(1/5)-1,0)</f>
        <v>0.11842691472014466</v>
      </c>
      <c r="U304" s="10">
        <f t="shared" si="14"/>
        <v>0.14766691472014465</v>
      </c>
      <c r="V304" s="26">
        <f t="shared" si="15"/>
        <v>4.6305701549207088</v>
      </c>
      <c r="W304" s="3">
        <f>IF(A304=A305,N304-N305,0)</f>
        <v>0</v>
      </c>
      <c r="X304" s="10">
        <f>IF(A304=A305,(N304-N305)/N305,0)</f>
        <v>0</v>
      </c>
    </row>
    <row r="305" spans="1:24" ht="16.5" customHeight="1">
      <c r="A305" s="3" t="s">
        <v>27</v>
      </c>
      <c r="B305" s="3">
        <f t="shared" si="8"/>
        <v>2015</v>
      </c>
      <c r="C305" s="3">
        <f t="shared" si="9"/>
        <v>10</v>
      </c>
      <c r="D305" s="20" t="str">
        <f t="shared" si="10"/>
        <v>CAT201510</v>
      </c>
      <c r="E305" s="2">
        <v>42299</v>
      </c>
      <c r="F305" s="3">
        <v>0.77</v>
      </c>
      <c r="G305" s="2">
        <v>42328</v>
      </c>
      <c r="H305" s="3">
        <v>4.2200000000000001E-2</v>
      </c>
      <c r="I305" s="3">
        <v>0</v>
      </c>
      <c r="J305" s="3">
        <v>0</v>
      </c>
      <c r="K305" s="3">
        <f t="shared" si="11"/>
        <v>2015</v>
      </c>
      <c r="L305" s="3">
        <f t="shared" si="12"/>
        <v>0</v>
      </c>
      <c r="M305" s="20" t="str">
        <f>A305&amp;L305</f>
        <v>CAT0</v>
      </c>
      <c r="N305" s="3">
        <f>F305</f>
        <v>0.77</v>
      </c>
      <c r="O305" s="9">
        <f>H305</f>
        <v>4.2200000000000001E-2</v>
      </c>
      <c r="P305" s="10">
        <f t="shared" si="13"/>
        <v>0</v>
      </c>
      <c r="Q305" s="10">
        <f>IF(K305=0,IF(A302=A305,AVERAGE(O302:O305),"x"),0)</f>
        <v>0</v>
      </c>
      <c r="R305" s="9">
        <f>IF(L305&gt;2005,AVERAGE(O302:O321),0)</f>
        <v>0</v>
      </c>
      <c r="S305" s="10">
        <f>IF(A305=A306,(N305-N306)/N306,0)</f>
        <v>0</v>
      </c>
      <c r="T305" s="10">
        <f>IF(L305&gt;2005,(((N305-N325)/N325)+1)^(1/5)-1,0)</f>
        <v>0</v>
      </c>
      <c r="U305" s="10">
        <f t="shared" si="14"/>
        <v>0</v>
      </c>
      <c r="V305" s="26">
        <f t="shared" si="15"/>
        <v>0</v>
      </c>
      <c r="W305" s="3">
        <f>IF(A305=A306,N305-N306,0)</f>
        <v>0</v>
      </c>
      <c r="X305" s="10">
        <f>IF(A305=A306,(N305-N306)/N306,0)</f>
        <v>0</v>
      </c>
    </row>
    <row r="306" spans="1:24" ht="16.5" customHeight="1">
      <c r="A306" s="3" t="s">
        <v>27</v>
      </c>
      <c r="B306" s="3">
        <f t="shared" si="8"/>
        <v>2015</v>
      </c>
      <c r="C306" s="3">
        <f t="shared" si="9"/>
        <v>7</v>
      </c>
      <c r="D306" s="20" t="str">
        <f t="shared" si="10"/>
        <v>CAT20157</v>
      </c>
      <c r="E306" s="2">
        <v>42201</v>
      </c>
      <c r="F306" s="3">
        <v>0.77</v>
      </c>
      <c r="G306" s="2">
        <v>42236</v>
      </c>
      <c r="H306" s="3">
        <v>3.4099999999999998E-2</v>
      </c>
      <c r="I306" s="3">
        <v>0.1</v>
      </c>
      <c r="J306" s="3">
        <v>7.0000000000000007E-2</v>
      </c>
      <c r="K306" s="3">
        <f t="shared" si="11"/>
        <v>2015</v>
      </c>
      <c r="L306" s="3">
        <f t="shared" si="12"/>
        <v>0</v>
      </c>
      <c r="M306" s="20" t="str">
        <f>A306&amp;L306</f>
        <v>CAT0</v>
      </c>
      <c r="N306" s="3">
        <f>F306</f>
        <v>0.77</v>
      </c>
      <c r="O306" s="9">
        <f>H306</f>
        <v>3.4099999999999998E-2</v>
      </c>
      <c r="P306" s="10">
        <f t="shared" si="13"/>
        <v>3.1625E-2</v>
      </c>
      <c r="Q306" s="10">
        <f>IF(K306=0,IF(A303=A306,AVERAGE(O303:O306),"x"),0)</f>
        <v>0</v>
      </c>
      <c r="R306" s="9">
        <f>IF(L306&gt;2005,AVERAGE(O303:O322),0)</f>
        <v>0</v>
      </c>
      <c r="S306" s="10">
        <f>IF(A306=A307,(N306-N307)/N307,0)</f>
        <v>0.10000000000000009</v>
      </c>
      <c r="T306" s="10">
        <f>IF(L306&gt;2005,(((N306-N326)/N326)+1)^(1/5)-1,0)</f>
        <v>0</v>
      </c>
      <c r="U306" s="10">
        <f t="shared" si="14"/>
        <v>0</v>
      </c>
      <c r="V306" s="26">
        <f t="shared" si="15"/>
        <v>0</v>
      </c>
      <c r="W306" s="3">
        <f>IF(A306=A307,N306-N307,0)</f>
        <v>7.0000000000000062E-2</v>
      </c>
      <c r="X306" s="10">
        <f>IF(A306=A307,(N306-N307)/N307,0)</f>
        <v>0.10000000000000009</v>
      </c>
    </row>
    <row r="307" spans="1:24" ht="16.5" customHeight="1">
      <c r="A307" s="3" t="s">
        <v>27</v>
      </c>
      <c r="B307" s="3">
        <f t="shared" si="8"/>
        <v>2015</v>
      </c>
      <c r="C307" s="3">
        <f t="shared" si="9"/>
        <v>4</v>
      </c>
      <c r="D307" s="20" t="str">
        <f t="shared" si="10"/>
        <v>CAT20154</v>
      </c>
      <c r="E307" s="2">
        <v>42110</v>
      </c>
      <c r="F307" s="3">
        <v>0.7</v>
      </c>
      <c r="G307" s="2">
        <v>42144</v>
      </c>
      <c r="H307" s="3">
        <v>3.2899999999999999E-2</v>
      </c>
      <c r="I307" s="3">
        <v>0</v>
      </c>
      <c r="J307" s="3">
        <v>0</v>
      </c>
      <c r="K307" s="3">
        <f t="shared" si="11"/>
        <v>2015</v>
      </c>
      <c r="L307" s="3">
        <f t="shared" si="12"/>
        <v>0</v>
      </c>
      <c r="M307" s="20" t="str">
        <f>A307&amp;L307</f>
        <v>CAT0</v>
      </c>
      <c r="N307" s="3">
        <f>F307</f>
        <v>0.7</v>
      </c>
      <c r="O307" s="9">
        <f>H307</f>
        <v>3.2899999999999999E-2</v>
      </c>
      <c r="P307" s="10">
        <f t="shared" si="13"/>
        <v>0</v>
      </c>
      <c r="Q307" s="10">
        <f>IF(K307=0,IF(A304=A307,AVERAGE(O304:O307),"x"),0)</f>
        <v>0</v>
      </c>
      <c r="R307" s="9">
        <f>IF(L307&gt;2005,AVERAGE(O304:O323),0)</f>
        <v>0</v>
      </c>
      <c r="S307" s="10">
        <f>IF(A307=A308,(N307-N308)/N308,0)</f>
        <v>0</v>
      </c>
      <c r="T307" s="10">
        <f>IF(L307&gt;2005,(((N307-N327)/N327)+1)^(1/5)-1,0)</f>
        <v>0</v>
      </c>
      <c r="U307" s="10">
        <f t="shared" si="14"/>
        <v>0</v>
      </c>
      <c r="V307" s="26">
        <f t="shared" si="15"/>
        <v>0</v>
      </c>
      <c r="W307" s="3">
        <f>IF(A307=A308,N307-N308,0)</f>
        <v>0</v>
      </c>
      <c r="X307" s="10">
        <f>IF(A307=A308,(N307-N308)/N308,0)</f>
        <v>0</v>
      </c>
    </row>
    <row r="308" spans="1:24" ht="16.5" customHeight="1">
      <c r="A308" s="3" t="s">
        <v>27</v>
      </c>
      <c r="B308" s="3">
        <f t="shared" si="8"/>
        <v>2015</v>
      </c>
      <c r="C308" s="3">
        <f t="shared" si="9"/>
        <v>1</v>
      </c>
      <c r="D308" s="20" t="str">
        <f t="shared" si="10"/>
        <v>CAT20151</v>
      </c>
      <c r="E308" s="2">
        <v>42019</v>
      </c>
      <c r="F308" s="3">
        <v>0.7</v>
      </c>
      <c r="G308" s="2">
        <v>42055</v>
      </c>
      <c r="H308" s="3">
        <v>3.1399999999999997E-2</v>
      </c>
      <c r="I308" s="3">
        <v>0</v>
      </c>
      <c r="J308" s="3">
        <v>0</v>
      </c>
      <c r="K308" s="3">
        <f t="shared" si="11"/>
        <v>0</v>
      </c>
      <c r="L308" s="3">
        <f t="shared" si="12"/>
        <v>2015</v>
      </c>
      <c r="M308" s="20" t="str">
        <f>A308&amp;L308</f>
        <v>CAT2015</v>
      </c>
      <c r="N308" s="3">
        <f>F308</f>
        <v>0.7</v>
      </c>
      <c r="O308" s="9">
        <f>H308</f>
        <v>3.1399999999999997E-2</v>
      </c>
      <c r="P308" s="10">
        <f t="shared" si="13"/>
        <v>0</v>
      </c>
      <c r="Q308" s="10">
        <f>IF(K308=0,IF(A305=A308,AVERAGE(O305:O308),"x"),0)</f>
        <v>3.5150000000000001E-2</v>
      </c>
      <c r="R308" s="9">
        <f>IF(L308&gt;2005,AVERAGE(O305:O324),0)</f>
        <v>2.4820000000000002E-2</v>
      </c>
      <c r="S308" s="10">
        <f>IF(A308=A309,(N308-N309)/N309,0)</f>
        <v>0</v>
      </c>
      <c r="T308" s="10">
        <f>IF(L308&gt;2005,(((N308-N328)/N328)+1)^(1/5)-1,0)</f>
        <v>0.10756634324828984</v>
      </c>
      <c r="U308" s="10">
        <f t="shared" si="14"/>
        <v>0.13238634324828985</v>
      </c>
      <c r="V308" s="26">
        <f t="shared" si="15"/>
        <v>4.6806769650266142</v>
      </c>
      <c r="W308" s="3">
        <f>IF(A308=A309,N308-N309,0)</f>
        <v>0</v>
      </c>
      <c r="X308" s="10">
        <f>IF(A308=A309,(N308-N309)/N309,0)</f>
        <v>0</v>
      </c>
    </row>
    <row r="309" spans="1:24" ht="16.5" customHeight="1">
      <c r="A309" s="3" t="s">
        <v>27</v>
      </c>
      <c r="B309" s="3">
        <f t="shared" si="8"/>
        <v>2014</v>
      </c>
      <c r="C309" s="3">
        <f t="shared" si="9"/>
        <v>10</v>
      </c>
      <c r="D309" s="20" t="str">
        <f t="shared" si="10"/>
        <v>CAT201410</v>
      </c>
      <c r="E309" s="2">
        <v>41928</v>
      </c>
      <c r="F309" s="3">
        <v>0.7</v>
      </c>
      <c r="G309" s="2">
        <v>41963</v>
      </c>
      <c r="H309" s="3">
        <v>2.81E-2</v>
      </c>
      <c r="I309" s="3">
        <v>0</v>
      </c>
      <c r="J309" s="3">
        <v>0</v>
      </c>
      <c r="K309" s="3">
        <f t="shared" si="11"/>
        <v>2014</v>
      </c>
      <c r="L309" s="3">
        <f t="shared" si="12"/>
        <v>0</v>
      </c>
      <c r="M309" s="20" t="str">
        <f>A309&amp;L309</f>
        <v>CAT0</v>
      </c>
      <c r="N309" s="3">
        <f>F309</f>
        <v>0.7</v>
      </c>
      <c r="O309" s="9">
        <f>H309</f>
        <v>2.81E-2</v>
      </c>
      <c r="P309" s="10">
        <f t="shared" si="13"/>
        <v>0</v>
      </c>
      <c r="Q309" s="10">
        <f>IF(K309=0,IF(A306=A309,AVERAGE(O306:O309),"x"),0)</f>
        <v>0</v>
      </c>
      <c r="R309" s="9">
        <f>IF(L309&gt;2005,AVERAGE(O306:O325),0)</f>
        <v>0</v>
      </c>
      <c r="S309" s="10">
        <f>IF(A309=A310,(N309-N310)/N310,0)</f>
        <v>0</v>
      </c>
      <c r="T309" s="10">
        <f>IF(L309&gt;2005,(((N309-N329)/N329)+1)^(1/5)-1,0)</f>
        <v>0</v>
      </c>
      <c r="U309" s="10">
        <f t="shared" si="14"/>
        <v>0</v>
      </c>
      <c r="V309" s="26">
        <f t="shared" si="15"/>
        <v>0</v>
      </c>
      <c r="W309" s="3">
        <f>IF(A309=A310,N309-N310,0)</f>
        <v>0</v>
      </c>
      <c r="X309" s="10">
        <f>IF(A309=A310,(N309-N310)/N310,0)</f>
        <v>0</v>
      </c>
    </row>
    <row r="310" spans="1:24" ht="16.5" customHeight="1">
      <c r="A310" s="3" t="s">
        <v>27</v>
      </c>
      <c r="B310" s="3">
        <f t="shared" si="8"/>
        <v>2014</v>
      </c>
      <c r="C310" s="3">
        <f t="shared" si="9"/>
        <v>7</v>
      </c>
      <c r="D310" s="20" t="str">
        <f t="shared" si="10"/>
        <v>CAT20147</v>
      </c>
      <c r="E310" s="2">
        <v>41837</v>
      </c>
      <c r="F310" s="3">
        <v>0.7</v>
      </c>
      <c r="G310" s="2">
        <v>41871</v>
      </c>
      <c r="H310" s="3">
        <v>2.24E-2</v>
      </c>
      <c r="I310" s="3">
        <v>0.16666666699999999</v>
      </c>
      <c r="J310" s="3">
        <v>0.1</v>
      </c>
      <c r="K310" s="3">
        <f t="shared" si="11"/>
        <v>2014</v>
      </c>
      <c r="L310" s="3">
        <f t="shared" si="12"/>
        <v>0</v>
      </c>
      <c r="M310" s="20" t="str">
        <f>A310&amp;L310</f>
        <v>CAT0</v>
      </c>
      <c r="N310" s="3">
        <f>F310</f>
        <v>0.7</v>
      </c>
      <c r="O310" s="9">
        <f>H310</f>
        <v>2.24E-2</v>
      </c>
      <c r="P310" s="10">
        <f t="shared" si="13"/>
        <v>2.4225E-2</v>
      </c>
      <c r="Q310" s="10">
        <f>IF(K310=0,IF(A307=A310,AVERAGE(O307:O310),"x"),0)</f>
        <v>0</v>
      </c>
      <c r="R310" s="9">
        <f>IF(L310&gt;2005,AVERAGE(O307:O326),0)</f>
        <v>0</v>
      </c>
      <c r="S310" s="10">
        <f>IF(A310=A311,(N310-N311)/N311,0)</f>
        <v>0.16666666666666663</v>
      </c>
      <c r="T310" s="10">
        <f>IF(L310&gt;2005,(((N310-N330)/N330)+1)^(1/5)-1,0)</f>
        <v>0</v>
      </c>
      <c r="U310" s="10">
        <f t="shared" si="14"/>
        <v>0</v>
      </c>
      <c r="V310" s="26">
        <f t="shared" si="15"/>
        <v>0</v>
      </c>
      <c r="W310" s="3">
        <f>IF(A310=A311,N310-N311,0)</f>
        <v>9.9999999999999978E-2</v>
      </c>
      <c r="X310" s="10">
        <f>IF(A310=A311,(N310-N311)/N311,0)</f>
        <v>0.16666666666666663</v>
      </c>
    </row>
    <row r="311" spans="1:24" ht="16.5" customHeight="1">
      <c r="A311" s="3" t="s">
        <v>27</v>
      </c>
      <c r="B311" s="3">
        <f t="shared" si="8"/>
        <v>2014</v>
      </c>
      <c r="C311" s="3">
        <f t="shared" si="9"/>
        <v>4</v>
      </c>
      <c r="D311" s="20" t="str">
        <f t="shared" si="10"/>
        <v>CAT20144</v>
      </c>
      <c r="E311" s="2">
        <v>41745</v>
      </c>
      <c r="F311" s="3">
        <v>0.6</v>
      </c>
      <c r="G311" s="2">
        <v>41779</v>
      </c>
      <c r="H311" s="3">
        <v>2.3400000000000001E-2</v>
      </c>
      <c r="I311" s="3">
        <v>0</v>
      </c>
      <c r="J311" s="3">
        <v>0</v>
      </c>
      <c r="K311" s="3">
        <f t="shared" si="11"/>
        <v>2014</v>
      </c>
      <c r="L311" s="3">
        <f t="shared" si="12"/>
        <v>0</v>
      </c>
      <c r="M311" s="20" t="str">
        <f>A311&amp;L311</f>
        <v>CAT0</v>
      </c>
      <c r="N311" s="3">
        <f>F311</f>
        <v>0.6</v>
      </c>
      <c r="O311" s="9">
        <f>H311</f>
        <v>2.3400000000000001E-2</v>
      </c>
      <c r="P311" s="10">
        <f t="shared" si="13"/>
        <v>0</v>
      </c>
      <c r="Q311" s="10">
        <f>IF(K311=0,IF(A308=A311,AVERAGE(O308:O311),"x"),0)</f>
        <v>0</v>
      </c>
      <c r="R311" s="9">
        <f>IF(L311&gt;2005,AVERAGE(O308:O327),0)</f>
        <v>0</v>
      </c>
      <c r="S311" s="10">
        <f>IF(A311=A312,(N311-N312)/N312,0)</f>
        <v>0</v>
      </c>
      <c r="T311" s="10">
        <f>IF(L311&gt;2005,(((N311-N331)/N331)+1)^(1/5)-1,0)</f>
        <v>0</v>
      </c>
      <c r="U311" s="10">
        <f t="shared" si="14"/>
        <v>0</v>
      </c>
      <c r="V311" s="26">
        <f t="shared" si="15"/>
        <v>0</v>
      </c>
      <c r="W311" s="3">
        <f>IF(A311=A312,N311-N312,0)</f>
        <v>0</v>
      </c>
      <c r="X311" s="10">
        <f>IF(A311=A312,(N311-N312)/N312,0)</f>
        <v>0</v>
      </c>
    </row>
    <row r="312" spans="1:24" ht="16.5" customHeight="1">
      <c r="A312" s="3" t="s">
        <v>27</v>
      </c>
      <c r="B312" s="3">
        <f t="shared" si="8"/>
        <v>2014</v>
      </c>
      <c r="C312" s="3">
        <f t="shared" si="9"/>
        <v>1</v>
      </c>
      <c r="D312" s="20" t="str">
        <f t="shared" si="10"/>
        <v>CAT20141</v>
      </c>
      <c r="E312" s="2">
        <v>41655</v>
      </c>
      <c r="F312" s="3">
        <v>0.6</v>
      </c>
      <c r="G312" s="2">
        <v>41690</v>
      </c>
      <c r="H312" s="3">
        <v>2.5100000000000001E-2</v>
      </c>
      <c r="I312" s="3">
        <v>0</v>
      </c>
      <c r="J312" s="3">
        <v>0</v>
      </c>
      <c r="K312" s="3">
        <f t="shared" si="11"/>
        <v>0</v>
      </c>
      <c r="L312" s="3">
        <f t="shared" si="12"/>
        <v>2014</v>
      </c>
      <c r="M312" s="20" t="str">
        <f>A312&amp;L312</f>
        <v>CAT2014</v>
      </c>
      <c r="N312" s="3">
        <f>F312</f>
        <v>0.6</v>
      </c>
      <c r="O312" s="9">
        <f>H312</f>
        <v>2.5100000000000001E-2</v>
      </c>
      <c r="P312" s="10">
        <f t="shared" si="13"/>
        <v>0</v>
      </c>
      <c r="Q312" s="10">
        <f>IF(K312=0,IF(A309=A312,AVERAGE(O309:O312),"x"),0)</f>
        <v>2.4750000000000001E-2</v>
      </c>
      <c r="R312" s="9">
        <f>IF(L312&gt;2005,AVERAGE(O309:O328),0)</f>
        <v>2.2734999999999998E-2</v>
      </c>
      <c r="S312" s="10">
        <f>IF(A312=A313,(N312-N313)/N313,0)</f>
        <v>0</v>
      </c>
      <c r="T312" s="10">
        <f>IF(L312&gt;2005,(((N312-N332)/N332)+1)^(1/5)-1,0)</f>
        <v>7.3940923785779322E-2</v>
      </c>
      <c r="U312" s="10">
        <f t="shared" si="14"/>
        <v>9.6675923785779327E-2</v>
      </c>
      <c r="V312" s="26">
        <f t="shared" si="15"/>
        <v>4.697500386827679</v>
      </c>
      <c r="W312" s="3">
        <f>IF(A312=A313,N312-N313,0)</f>
        <v>0</v>
      </c>
      <c r="X312" s="10">
        <f>IF(A312=A313,(N312-N313)/N313,0)</f>
        <v>0</v>
      </c>
    </row>
    <row r="313" spans="1:24" ht="16.5" customHeight="1">
      <c r="A313" s="3" t="s">
        <v>27</v>
      </c>
      <c r="B313" s="3">
        <f t="shared" si="8"/>
        <v>2013</v>
      </c>
      <c r="C313" s="3">
        <f t="shared" si="9"/>
        <v>10</v>
      </c>
      <c r="D313" s="20" t="str">
        <f t="shared" si="10"/>
        <v>CAT201310</v>
      </c>
      <c r="E313" s="2">
        <v>41564</v>
      </c>
      <c r="F313" s="3">
        <v>0.6</v>
      </c>
      <c r="G313" s="2">
        <v>41598</v>
      </c>
      <c r="H313" s="3">
        <v>2.5999999999999999E-2</v>
      </c>
      <c r="I313" s="3">
        <v>0</v>
      </c>
      <c r="J313" s="3">
        <v>0</v>
      </c>
      <c r="K313" s="3">
        <f t="shared" si="11"/>
        <v>2013</v>
      </c>
      <c r="L313" s="3">
        <f t="shared" si="12"/>
        <v>0</v>
      </c>
      <c r="M313" s="20" t="str">
        <f>A313&amp;L313</f>
        <v>CAT0</v>
      </c>
      <c r="N313" s="3">
        <f>F313</f>
        <v>0.6</v>
      </c>
      <c r="O313" s="9">
        <f>H313</f>
        <v>2.5999999999999999E-2</v>
      </c>
      <c r="P313" s="10">
        <f t="shared" si="13"/>
        <v>0</v>
      </c>
      <c r="Q313" s="10">
        <f>IF(K313=0,IF(A310=A313,AVERAGE(O310:O313),"x"),0)</f>
        <v>0</v>
      </c>
      <c r="R313" s="9">
        <f>IF(L313&gt;2005,AVERAGE(O310:O329),0)</f>
        <v>0</v>
      </c>
      <c r="S313" s="10">
        <f>IF(A313=A314,(N313-N314)/N314,0)</f>
        <v>0</v>
      </c>
      <c r="T313" s="10">
        <f>IF(L313&gt;2005,(((N313-N333)/N333)+1)^(1/5)-1,0)</f>
        <v>0</v>
      </c>
      <c r="U313" s="10">
        <f t="shared" si="14"/>
        <v>0</v>
      </c>
      <c r="V313" s="26">
        <f t="shared" si="15"/>
        <v>0</v>
      </c>
      <c r="W313" s="3">
        <f>IF(A313=A314,N313-N314,0)</f>
        <v>0</v>
      </c>
      <c r="X313" s="10">
        <f>IF(A313=A314,(N313-N314)/N314,0)</f>
        <v>0</v>
      </c>
    </row>
    <row r="314" spans="1:24" ht="16.5" customHeight="1">
      <c r="A314" s="3" t="s">
        <v>27</v>
      </c>
      <c r="B314" s="3">
        <f t="shared" si="8"/>
        <v>2013</v>
      </c>
      <c r="C314" s="3">
        <f t="shared" si="9"/>
        <v>7</v>
      </c>
      <c r="D314" s="20" t="str">
        <f t="shared" si="10"/>
        <v>CAT20137</v>
      </c>
      <c r="E314" s="2">
        <v>41473</v>
      </c>
      <c r="F314" s="3">
        <v>0.6</v>
      </c>
      <c r="G314" s="2">
        <v>41506</v>
      </c>
      <c r="H314" s="3">
        <v>2.4899999999999999E-2</v>
      </c>
      <c r="I314" s="3">
        <v>0.15384615400000001</v>
      </c>
      <c r="J314" s="3">
        <v>0.08</v>
      </c>
      <c r="K314" s="3">
        <f t="shared" si="11"/>
        <v>2013</v>
      </c>
      <c r="L314" s="3">
        <f t="shared" si="12"/>
        <v>0</v>
      </c>
      <c r="M314" s="20" t="str">
        <f>A314&amp;L314</f>
        <v>CAT0</v>
      </c>
      <c r="N314" s="3">
        <f>F314</f>
        <v>0.6</v>
      </c>
      <c r="O314" s="9">
        <f>H314</f>
        <v>2.4899999999999999E-2</v>
      </c>
      <c r="P314" s="10">
        <f t="shared" si="13"/>
        <v>2.5075E-2</v>
      </c>
      <c r="Q314" s="10">
        <f>IF(K314=0,IF(A311=A314,AVERAGE(O311:O314),"x"),0)</f>
        <v>0</v>
      </c>
      <c r="R314" s="9">
        <f>IF(L314&gt;2005,AVERAGE(O311:O330),0)</f>
        <v>0</v>
      </c>
      <c r="S314" s="10">
        <f>IF(A314=A315,(N314-N315)/N315,0)</f>
        <v>0.15384615384615377</v>
      </c>
      <c r="T314" s="10">
        <f>IF(L314&gt;2005,(((N314-N334)/N334)+1)^(1/5)-1,0)</f>
        <v>0</v>
      </c>
      <c r="U314" s="10">
        <f t="shared" si="14"/>
        <v>0</v>
      </c>
      <c r="V314" s="26">
        <f t="shared" si="15"/>
        <v>0</v>
      </c>
      <c r="W314" s="3">
        <f>IF(A314=A315,N314-N315,0)</f>
        <v>7.999999999999996E-2</v>
      </c>
      <c r="X314" s="10">
        <f>IF(A314=A315,(N314-N315)/N315,0)</f>
        <v>0.15384615384615377</v>
      </c>
    </row>
    <row r="315" spans="1:24" ht="16.5" customHeight="1">
      <c r="A315" s="3" t="s">
        <v>27</v>
      </c>
      <c r="B315" s="3">
        <f t="shared" si="8"/>
        <v>2013</v>
      </c>
      <c r="C315" s="3">
        <f t="shared" si="9"/>
        <v>4</v>
      </c>
      <c r="D315" s="20" t="str">
        <f t="shared" si="10"/>
        <v>CAT20134</v>
      </c>
      <c r="E315" s="2">
        <v>41382</v>
      </c>
      <c r="F315" s="3">
        <v>0.52</v>
      </c>
      <c r="G315" s="2">
        <v>41414</v>
      </c>
      <c r="H315" s="3">
        <v>2.5499999999999998E-2</v>
      </c>
      <c r="I315" s="3">
        <v>0</v>
      </c>
      <c r="J315" s="3">
        <v>0</v>
      </c>
      <c r="K315" s="3">
        <f t="shared" si="11"/>
        <v>0</v>
      </c>
      <c r="L315" s="3">
        <f t="shared" si="12"/>
        <v>2013</v>
      </c>
      <c r="M315" s="20" t="str">
        <f>A315&amp;L315</f>
        <v>CAT2013</v>
      </c>
      <c r="N315" s="3">
        <f>F315</f>
        <v>0.52</v>
      </c>
      <c r="O315" s="9">
        <f>H315</f>
        <v>2.5499999999999998E-2</v>
      </c>
      <c r="P315" s="10">
        <f t="shared" si="13"/>
        <v>0</v>
      </c>
      <c r="Q315" s="10">
        <f>IF(K315=0,IF(A312=A315,AVERAGE(O312:O315),"x"),0)</f>
        <v>2.5374999999999998E-2</v>
      </c>
      <c r="R315" s="9">
        <f>IF(L315&gt;2005,AVERAGE(O312:O331),0)</f>
        <v>2.5505E-2</v>
      </c>
      <c r="S315" s="10">
        <f>IF(A315=A316,(N315-N316)/N316,0)</f>
        <v>0</v>
      </c>
      <c r="T315" s="10">
        <f>IF(L315&gt;2005,(((N315-N335)/N335)+1)^(1/5)-1,0)</f>
        <v>7.6316922514810814E-2</v>
      </c>
      <c r="U315" s="10">
        <f t="shared" si="14"/>
        <v>0.10182192251481081</v>
      </c>
      <c r="V315" s="26">
        <f t="shared" si="15"/>
        <v>4.6633119288238145</v>
      </c>
      <c r="W315" s="3">
        <f>IF(A315=A316,N315-N316,0)</f>
        <v>0</v>
      </c>
      <c r="X315" s="10">
        <f>IF(A315=A316,(N315-N316)/N316,0)</f>
        <v>0</v>
      </c>
    </row>
    <row r="316" spans="1:24" ht="16.5" customHeight="1">
      <c r="A316" s="3" t="s">
        <v>27</v>
      </c>
      <c r="B316" s="3">
        <f t="shared" si="8"/>
        <v>2012</v>
      </c>
      <c r="C316" s="3">
        <f t="shared" si="9"/>
        <v>12</v>
      </c>
      <c r="D316" s="20" t="str">
        <f t="shared" si="10"/>
        <v>CAT201212</v>
      </c>
      <c r="E316" s="2">
        <v>41263</v>
      </c>
      <c r="F316" s="3">
        <v>0.52</v>
      </c>
      <c r="G316" s="2">
        <v>41274</v>
      </c>
      <c r="H316" s="3">
        <v>2.7300000000000001E-2</v>
      </c>
      <c r="I316" s="3">
        <v>0</v>
      </c>
      <c r="J316" s="3">
        <v>0</v>
      </c>
      <c r="K316" s="3">
        <f t="shared" si="11"/>
        <v>2012</v>
      </c>
      <c r="L316" s="3">
        <f t="shared" si="12"/>
        <v>0</v>
      </c>
      <c r="M316" s="20" t="str">
        <f>A316&amp;L316</f>
        <v>CAT0</v>
      </c>
      <c r="N316" s="3">
        <f>F316</f>
        <v>0.52</v>
      </c>
      <c r="O316" s="9">
        <f>H316</f>
        <v>2.7300000000000001E-2</v>
      </c>
      <c r="P316" s="10">
        <f t="shared" si="13"/>
        <v>0</v>
      </c>
      <c r="Q316" s="10">
        <f>IF(K316=0,IF(A313=A316,AVERAGE(O313:O316),"x"),0)</f>
        <v>0</v>
      </c>
      <c r="R316" s="9">
        <f>IF(L316&gt;2005,AVERAGE(O313:O332),0)</f>
        <v>0</v>
      </c>
      <c r="S316" s="10">
        <f>IF(A316=A317,(N316-N317)/N317,0)</f>
        <v>0</v>
      </c>
      <c r="T316" s="10">
        <f>IF(L316&gt;2005,(((N316-N336)/N336)+1)^(1/5)-1,0)</f>
        <v>0</v>
      </c>
      <c r="U316" s="10">
        <f t="shared" si="14"/>
        <v>0</v>
      </c>
      <c r="V316" s="26">
        <f t="shared" si="15"/>
        <v>0</v>
      </c>
      <c r="W316" s="3">
        <f>IF(A316=A317,N316-N317,0)</f>
        <v>0</v>
      </c>
      <c r="X316" s="10">
        <f>IF(A316=A317,(N316-N317)/N317,0)</f>
        <v>0</v>
      </c>
    </row>
    <row r="317" spans="1:24" ht="16.5" customHeight="1">
      <c r="A317" s="3" t="s">
        <v>27</v>
      </c>
      <c r="B317" s="3">
        <f t="shared" si="8"/>
        <v>2012</v>
      </c>
      <c r="C317" s="3">
        <f t="shared" si="9"/>
        <v>10</v>
      </c>
      <c r="D317" s="20" t="str">
        <f t="shared" si="10"/>
        <v>CAT201210</v>
      </c>
      <c r="E317" s="2">
        <v>41200</v>
      </c>
      <c r="F317" s="3">
        <v>0.52</v>
      </c>
      <c r="G317" s="2">
        <v>41233</v>
      </c>
      <c r="H317" s="3">
        <v>2.2599999999999999E-2</v>
      </c>
      <c r="I317" s="3">
        <v>0</v>
      </c>
      <c r="J317" s="3">
        <v>0</v>
      </c>
      <c r="K317" s="3">
        <f t="shared" si="11"/>
        <v>2012</v>
      </c>
      <c r="L317" s="3">
        <f t="shared" si="12"/>
        <v>0</v>
      </c>
      <c r="M317" s="20" t="str">
        <f>A317&amp;L317</f>
        <v>CAT0</v>
      </c>
      <c r="N317" s="3">
        <f>F317</f>
        <v>0.52</v>
      </c>
      <c r="O317" s="9">
        <f>H317</f>
        <v>2.2599999999999999E-2</v>
      </c>
      <c r="P317" s="10">
        <f t="shared" si="13"/>
        <v>0</v>
      </c>
      <c r="Q317" s="10">
        <f>IF(K317=0,IF(A314=A317,AVERAGE(O314:O317),"x"),0)</f>
        <v>0</v>
      </c>
      <c r="R317" s="9">
        <f>IF(L317&gt;2005,AVERAGE(O314:O333),0)</f>
        <v>0</v>
      </c>
      <c r="S317" s="10">
        <f>IF(A317=A318,(N317-N318)/N318,0)</f>
        <v>0</v>
      </c>
      <c r="T317" s="10">
        <f>IF(L317&gt;2005,(((N317-N337)/N337)+1)^(1/5)-1,0)</f>
        <v>0</v>
      </c>
      <c r="U317" s="10">
        <f t="shared" si="14"/>
        <v>0</v>
      </c>
      <c r="V317" s="26">
        <f t="shared" si="15"/>
        <v>0</v>
      </c>
      <c r="W317" s="3">
        <f>IF(A317=A318,N317-N318,0)</f>
        <v>0</v>
      </c>
      <c r="X317" s="10">
        <f>IF(A317=A318,(N317-N318)/N318,0)</f>
        <v>0</v>
      </c>
    </row>
    <row r="318" spans="1:24" ht="16.5" customHeight="1">
      <c r="A318" s="3" t="s">
        <v>27</v>
      </c>
      <c r="B318" s="3">
        <f t="shared" si="8"/>
        <v>2012</v>
      </c>
      <c r="C318" s="3">
        <f t="shared" si="9"/>
        <v>7</v>
      </c>
      <c r="D318" s="20" t="str">
        <f t="shared" si="10"/>
        <v>CAT20127</v>
      </c>
      <c r="E318" s="2">
        <v>41108</v>
      </c>
      <c r="F318" s="3">
        <v>0.52</v>
      </c>
      <c r="G318" s="2">
        <v>41141</v>
      </c>
      <c r="H318" s="3">
        <v>2.3199999999999998E-2</v>
      </c>
      <c r="I318" s="3">
        <v>0.130434783</v>
      </c>
      <c r="J318" s="3">
        <v>0.06</v>
      </c>
      <c r="K318" s="3">
        <f t="shared" si="11"/>
        <v>2012</v>
      </c>
      <c r="L318" s="3">
        <f t="shared" si="12"/>
        <v>0</v>
      </c>
      <c r="M318" s="20" t="str">
        <f>A318&amp;L318</f>
        <v>CAT0</v>
      </c>
      <c r="N318" s="3">
        <f>F318</f>
        <v>0.52</v>
      </c>
      <c r="O318" s="9">
        <f>H318</f>
        <v>2.3199999999999998E-2</v>
      </c>
      <c r="P318" s="10">
        <f t="shared" si="13"/>
        <v>1.9775000000000001E-2</v>
      </c>
      <c r="Q318" s="10">
        <f>IF(K318=0,IF(A315=A318,AVERAGE(O315:O318),"x"),0)</f>
        <v>0</v>
      </c>
      <c r="R318" s="9">
        <f>IF(L318&gt;2005,AVERAGE(O315:O334),0)</f>
        <v>0</v>
      </c>
      <c r="S318" s="10">
        <f>IF(A318=A319,(N318-N319)/N319,0)</f>
        <v>0.13043478260869565</v>
      </c>
      <c r="T318" s="10">
        <f>IF(L318&gt;2005,(((N318-N338)/N338)+1)^(1/5)-1,0)</f>
        <v>0</v>
      </c>
      <c r="U318" s="10">
        <f t="shared" si="14"/>
        <v>0</v>
      </c>
      <c r="V318" s="26">
        <f t="shared" si="15"/>
        <v>0</v>
      </c>
      <c r="W318" s="3">
        <f>IF(A318=A319,N318-N319,0)</f>
        <v>0.06</v>
      </c>
      <c r="X318" s="10">
        <f>IF(A318=A319,(N318-N319)/N319,0)</f>
        <v>0.13043478260869565</v>
      </c>
    </row>
    <row r="319" spans="1:24" ht="16.5" customHeight="1">
      <c r="A319" s="3" t="s">
        <v>27</v>
      </c>
      <c r="B319" s="3">
        <f t="shared" si="8"/>
        <v>2012</v>
      </c>
      <c r="C319" s="3">
        <f t="shared" si="9"/>
        <v>4</v>
      </c>
      <c r="D319" s="20" t="str">
        <f t="shared" si="10"/>
        <v>CAT20124</v>
      </c>
      <c r="E319" s="2">
        <v>41018</v>
      </c>
      <c r="F319" s="3">
        <v>0.46</v>
      </c>
      <c r="G319" s="2">
        <v>41048</v>
      </c>
      <c r="H319" s="3">
        <v>1.6799999999999999E-2</v>
      </c>
      <c r="I319" s="3">
        <v>0</v>
      </c>
      <c r="J319" s="3">
        <v>0</v>
      </c>
      <c r="K319" s="3">
        <f t="shared" si="11"/>
        <v>2012</v>
      </c>
      <c r="L319" s="3">
        <f t="shared" si="12"/>
        <v>0</v>
      </c>
      <c r="M319" s="20" t="str">
        <f>A319&amp;L319</f>
        <v>CAT0</v>
      </c>
      <c r="N319" s="3">
        <f>F319</f>
        <v>0.46</v>
      </c>
      <c r="O319" s="9">
        <f>H319</f>
        <v>1.6799999999999999E-2</v>
      </c>
      <c r="P319" s="10">
        <f t="shared" si="13"/>
        <v>0</v>
      </c>
      <c r="Q319" s="10">
        <f>IF(K319=0,IF(A316=A319,AVERAGE(O316:O319),"x"),0)</f>
        <v>0</v>
      </c>
      <c r="R319" s="9">
        <f>IF(L319&gt;2005,AVERAGE(O316:O335),0)</f>
        <v>0</v>
      </c>
      <c r="S319" s="10">
        <f>IF(A319=A320,(N319-N320)/N320,0)</f>
        <v>0</v>
      </c>
      <c r="T319" s="10">
        <f>IF(L319&gt;2005,(((N319-N339)/N339)+1)^(1/5)-1,0)</f>
        <v>0</v>
      </c>
      <c r="U319" s="10">
        <f t="shared" si="14"/>
        <v>0</v>
      </c>
      <c r="V319" s="26">
        <f t="shared" si="15"/>
        <v>0</v>
      </c>
      <c r="W319" s="3">
        <f>IF(A319=A320,N319-N320,0)</f>
        <v>0</v>
      </c>
      <c r="X319" s="10">
        <f>IF(A319=A320,(N319-N320)/N320,0)</f>
        <v>0</v>
      </c>
    </row>
    <row r="320" spans="1:24" ht="16.5" customHeight="1">
      <c r="A320" s="3" t="s">
        <v>27</v>
      </c>
      <c r="B320" s="3">
        <f t="shared" si="8"/>
        <v>2012</v>
      </c>
      <c r="C320" s="3">
        <f t="shared" si="9"/>
        <v>1</v>
      </c>
      <c r="D320" s="20" t="str">
        <f t="shared" si="10"/>
        <v>CAT20121</v>
      </c>
      <c r="E320" s="2">
        <v>40926</v>
      </c>
      <c r="F320" s="3">
        <v>0.46</v>
      </c>
      <c r="G320" s="2">
        <v>40957</v>
      </c>
      <c r="H320" s="3">
        <v>1.7600000000000001E-2</v>
      </c>
      <c r="I320" s="3">
        <v>0</v>
      </c>
      <c r="J320" s="3">
        <v>0</v>
      </c>
      <c r="K320" s="3">
        <f t="shared" si="11"/>
        <v>0</v>
      </c>
      <c r="L320" s="3">
        <f t="shared" si="12"/>
        <v>2012</v>
      </c>
      <c r="M320" s="20" t="str">
        <f>A320&amp;L320</f>
        <v>CAT2012</v>
      </c>
      <c r="N320" s="3">
        <f>F320</f>
        <v>0.46</v>
      </c>
      <c r="O320" s="9">
        <f>H320</f>
        <v>1.7600000000000001E-2</v>
      </c>
      <c r="P320" s="10">
        <f t="shared" si="13"/>
        <v>0</v>
      </c>
      <c r="Q320" s="10">
        <f>IF(K320=0,IF(A317=A320,AVERAGE(O317:O320),"x"),0)</f>
        <v>2.0049999999999998E-2</v>
      </c>
      <c r="R320" s="9">
        <f>IF(L320&gt;2005,AVERAGE(O317:O336),0)</f>
        <v>2.6029999999999998E-2</v>
      </c>
      <c r="S320" s="10">
        <f>IF(A320=A321,(N320-N321)/N321,0)</f>
        <v>0</v>
      </c>
      <c r="T320" s="10">
        <f>IF(L320&gt;2005,(((N320-N340)/N340)+1)^(1/5)-1,0)</f>
        <v>8.9249364912943774E-2</v>
      </c>
      <c r="U320" s="10">
        <f t="shared" si="14"/>
        <v>0.11527936491294377</v>
      </c>
      <c r="V320" s="26">
        <f t="shared" si="15"/>
        <v>4.6606140046348541</v>
      </c>
      <c r="W320" s="3">
        <f>IF(A320=A321,N320-N321,0)</f>
        <v>0</v>
      </c>
      <c r="X320" s="10">
        <f>IF(A320=A321,(N320-N321)/N321,0)</f>
        <v>0</v>
      </c>
    </row>
    <row r="321" spans="1:24" ht="16.5" customHeight="1">
      <c r="A321" s="3" t="s">
        <v>27</v>
      </c>
      <c r="B321" s="3">
        <f t="shared" si="8"/>
        <v>2011</v>
      </c>
      <c r="C321" s="3">
        <f t="shared" si="9"/>
        <v>10</v>
      </c>
      <c r="D321" s="20" t="str">
        <f t="shared" si="10"/>
        <v>CAT201110</v>
      </c>
      <c r="E321" s="2">
        <v>40836</v>
      </c>
      <c r="F321" s="3">
        <v>0.46</v>
      </c>
      <c r="G321" s="2">
        <v>40866</v>
      </c>
      <c r="H321" s="3">
        <v>2.1499999999999998E-2</v>
      </c>
      <c r="I321" s="3">
        <v>0</v>
      </c>
      <c r="J321" s="3">
        <v>0</v>
      </c>
      <c r="K321" s="3">
        <f t="shared" si="11"/>
        <v>2011</v>
      </c>
      <c r="L321" s="3">
        <f t="shared" si="12"/>
        <v>0</v>
      </c>
      <c r="M321" s="20" t="str">
        <f>A321&amp;L321</f>
        <v>CAT0</v>
      </c>
      <c r="N321" s="3">
        <f>F321</f>
        <v>0.46</v>
      </c>
      <c r="O321" s="9">
        <f>H321</f>
        <v>2.1499999999999998E-2</v>
      </c>
      <c r="P321" s="10">
        <f t="shared" si="13"/>
        <v>0</v>
      </c>
      <c r="Q321" s="10">
        <f>IF(K321=0,IF(A318=A321,AVERAGE(O318:O321),"x"),0)</f>
        <v>0</v>
      </c>
      <c r="R321" s="9">
        <f>IF(L321&gt;2005,AVERAGE(O318:O337),0)</f>
        <v>0</v>
      </c>
      <c r="S321" s="10">
        <f>IF(A321=A322,(N321-N322)/N322,0)</f>
        <v>0</v>
      </c>
      <c r="T321" s="10">
        <f>IF(L321&gt;2005,(((N321-N341)/N341)+1)^(1/5)-1,0)</f>
        <v>0</v>
      </c>
      <c r="U321" s="10">
        <f t="shared" si="14"/>
        <v>0</v>
      </c>
      <c r="V321" s="26">
        <f t="shared" si="15"/>
        <v>0</v>
      </c>
      <c r="W321" s="3">
        <f>IF(A321=A322,N321-N322,0)</f>
        <v>0</v>
      </c>
      <c r="X321" s="10">
        <f>IF(A321=A322,(N321-N322)/N322,0)</f>
        <v>0</v>
      </c>
    </row>
    <row r="322" spans="1:24" ht="16.5" customHeight="1">
      <c r="A322" s="3" t="s">
        <v>27</v>
      </c>
      <c r="B322" s="3">
        <f t="shared" si="8"/>
        <v>2011</v>
      </c>
      <c r="C322" s="3">
        <f t="shared" si="9"/>
        <v>7</v>
      </c>
      <c r="D322" s="20" t="str">
        <f t="shared" si="10"/>
        <v>CAT20117</v>
      </c>
      <c r="E322" s="2">
        <v>40742</v>
      </c>
      <c r="F322" s="3">
        <v>0.46</v>
      </c>
      <c r="G322" s="2">
        <v>40775</v>
      </c>
      <c r="H322" s="3">
        <v>1.6299999999999999E-2</v>
      </c>
      <c r="I322" s="3">
        <v>4.5454544999999999E-2</v>
      </c>
      <c r="J322" s="3">
        <v>0.02</v>
      </c>
      <c r="K322" s="3">
        <f t="shared" si="11"/>
        <v>2011</v>
      </c>
      <c r="L322" s="3">
        <f t="shared" si="12"/>
        <v>0</v>
      </c>
      <c r="M322" s="20" t="str">
        <f>A322&amp;L322</f>
        <v>CAT0</v>
      </c>
      <c r="N322" s="3">
        <f>F322</f>
        <v>0.46</v>
      </c>
      <c r="O322" s="9">
        <f>H322</f>
        <v>1.6299999999999999E-2</v>
      </c>
      <c r="P322" s="10">
        <f t="shared" si="13"/>
        <v>1.8200000000000001E-2</v>
      </c>
      <c r="Q322" s="10">
        <f>IF(K322=0,IF(A319=A322,AVERAGE(O319:O322),"x"),0)</f>
        <v>0</v>
      </c>
      <c r="R322" s="9">
        <f>IF(L322&gt;2005,AVERAGE(O319:O338),0)</f>
        <v>0</v>
      </c>
      <c r="S322" s="10">
        <f>IF(A322=A323,(N322-N323)/N323,0)</f>
        <v>4.5454545454545497E-2</v>
      </c>
      <c r="T322" s="10">
        <f>IF(L322&gt;2005,(((N322-N342)/N342)+1)^(1/5)-1,0)</f>
        <v>0</v>
      </c>
      <c r="U322" s="10">
        <f t="shared" si="14"/>
        <v>0</v>
      </c>
      <c r="V322" s="26">
        <f t="shared" si="15"/>
        <v>0</v>
      </c>
      <c r="W322" s="3">
        <f>IF(A322=A323,N322-N323,0)</f>
        <v>2.0000000000000018E-2</v>
      </c>
      <c r="X322" s="10">
        <f>IF(A322=A323,(N322-N323)/N323,0)</f>
        <v>4.5454545454545497E-2</v>
      </c>
    </row>
    <row r="323" spans="1:24" ht="16.5" customHeight="1">
      <c r="A323" s="3" t="s">
        <v>27</v>
      </c>
      <c r="B323" s="3">
        <f t="shared" si="8"/>
        <v>2011</v>
      </c>
      <c r="C323" s="3">
        <f t="shared" si="9"/>
        <v>4</v>
      </c>
      <c r="D323" s="20" t="str">
        <f t="shared" si="10"/>
        <v>CAT20114</v>
      </c>
      <c r="E323" s="2">
        <v>40653</v>
      </c>
      <c r="F323" s="3">
        <v>0.44</v>
      </c>
      <c r="G323" s="2">
        <v>40683</v>
      </c>
      <c r="H323" s="3">
        <v>1.66E-2</v>
      </c>
      <c r="I323" s="3">
        <v>0</v>
      </c>
      <c r="J323" s="3">
        <v>0</v>
      </c>
      <c r="K323" s="3">
        <f t="shared" si="11"/>
        <v>2011</v>
      </c>
      <c r="L323" s="3">
        <f t="shared" si="12"/>
        <v>0</v>
      </c>
      <c r="M323" s="20" t="str">
        <f>A323&amp;L323</f>
        <v>CAT0</v>
      </c>
      <c r="N323" s="3">
        <f>F323</f>
        <v>0.44</v>
      </c>
      <c r="O323" s="9">
        <f>H323</f>
        <v>1.66E-2</v>
      </c>
      <c r="P323" s="10">
        <f t="shared" si="13"/>
        <v>0</v>
      </c>
      <c r="Q323" s="10">
        <f>IF(K323=0,IF(A320=A323,AVERAGE(O320:O323),"x"),0)</f>
        <v>0</v>
      </c>
      <c r="R323" s="9">
        <f>IF(L323&gt;2005,AVERAGE(O320:O339),0)</f>
        <v>0</v>
      </c>
      <c r="S323" s="10">
        <f>IF(A323=A324,(N323-N324)/N324,0)</f>
        <v>0</v>
      </c>
      <c r="T323" s="10">
        <f>IF(L323&gt;2005,(((N323-N343)/N343)+1)^(1/5)-1,0)</f>
        <v>0</v>
      </c>
      <c r="U323" s="10">
        <f t="shared" si="14"/>
        <v>0</v>
      </c>
      <c r="V323" s="26">
        <f t="shared" si="15"/>
        <v>0</v>
      </c>
      <c r="W323" s="3">
        <f>IF(A323=A324,N323-N324,0)</f>
        <v>0</v>
      </c>
      <c r="X323" s="10">
        <f>IF(A323=A324,(N323-N324)/N324,0)</f>
        <v>0</v>
      </c>
    </row>
    <row r="324" spans="1:24" ht="16.5" customHeight="1">
      <c r="A324" s="3" t="s">
        <v>27</v>
      </c>
      <c r="B324" s="3">
        <f t="shared" si="8"/>
        <v>2011</v>
      </c>
      <c r="C324" s="3">
        <f t="shared" si="9"/>
        <v>1</v>
      </c>
      <c r="D324" s="20" t="str">
        <f t="shared" si="10"/>
        <v>CAT20111</v>
      </c>
      <c r="E324" s="2">
        <v>40561</v>
      </c>
      <c r="F324" s="3">
        <v>0.44</v>
      </c>
      <c r="G324" s="2">
        <v>40593</v>
      </c>
      <c r="H324" s="3">
        <v>1.8499999999999999E-2</v>
      </c>
      <c r="I324" s="3">
        <v>0</v>
      </c>
      <c r="J324" s="3">
        <v>0</v>
      </c>
      <c r="K324" s="3">
        <f t="shared" si="11"/>
        <v>0</v>
      </c>
      <c r="L324" s="3">
        <f t="shared" si="12"/>
        <v>2011</v>
      </c>
      <c r="M324" s="20" t="str">
        <f>A324&amp;L324</f>
        <v>CAT2011</v>
      </c>
      <c r="N324" s="3">
        <f>F324</f>
        <v>0.44</v>
      </c>
      <c r="O324" s="9">
        <f>H324</f>
        <v>1.8499999999999999E-2</v>
      </c>
      <c r="P324" s="10">
        <f t="shared" si="13"/>
        <v>0</v>
      </c>
      <c r="Q324" s="10">
        <f>IF(K324=0,IF(A321=A324,AVERAGE(O321:O324),"x"),0)</f>
        <v>1.8225000000000002E-2</v>
      </c>
      <c r="R324" s="9">
        <f>IF(L324&gt;2005,AVERAGE(O321:O340),0)</f>
        <v>2.5430000000000001E-2</v>
      </c>
      <c r="S324" s="10">
        <f>IF(A324=A325,(N324-N325)/N325,0)</f>
        <v>0</v>
      </c>
      <c r="T324" s="10">
        <f>IF(L324&gt;2005,(((N324-N344)/N344)+1)^(1/5)-1,0)</f>
        <v>0.11970220528043152</v>
      </c>
      <c r="U324" s="10">
        <f t="shared" si="14"/>
        <v>0.14513220528043153</v>
      </c>
      <c r="V324" s="26">
        <f t="shared" si="15"/>
        <v>4.6765945935277839</v>
      </c>
      <c r="W324" s="3">
        <f>IF(A324=A325,N324-N325,0)</f>
        <v>0</v>
      </c>
      <c r="X324" s="10">
        <f>IF(A324=A325,(N324-N325)/N325,0)</f>
        <v>0</v>
      </c>
    </row>
    <row r="325" spans="1:24" ht="16.5" customHeight="1">
      <c r="A325" s="3" t="s">
        <v>27</v>
      </c>
      <c r="B325" s="3">
        <f t="shared" si="8"/>
        <v>2010</v>
      </c>
      <c r="C325" s="3">
        <f t="shared" si="9"/>
        <v>10</v>
      </c>
      <c r="D325" s="20" t="str">
        <f t="shared" si="10"/>
        <v>CAT201010</v>
      </c>
      <c r="E325" s="2">
        <v>40472</v>
      </c>
      <c r="F325" s="3">
        <v>0.44</v>
      </c>
      <c r="G325" s="2">
        <v>40502</v>
      </c>
      <c r="H325" s="3">
        <v>2.1399999999999999E-2</v>
      </c>
      <c r="I325" s="3">
        <v>0</v>
      </c>
      <c r="J325" s="3">
        <v>0</v>
      </c>
      <c r="K325" s="3">
        <f t="shared" si="11"/>
        <v>2010</v>
      </c>
      <c r="L325" s="3">
        <f t="shared" si="12"/>
        <v>0</v>
      </c>
      <c r="M325" s="20" t="str">
        <f>A325&amp;L325</f>
        <v>CAT0</v>
      </c>
      <c r="N325" s="3">
        <f>F325</f>
        <v>0.44</v>
      </c>
      <c r="O325" s="9">
        <f>H325</f>
        <v>2.1399999999999999E-2</v>
      </c>
      <c r="P325" s="10">
        <f t="shared" si="13"/>
        <v>0</v>
      </c>
      <c r="Q325" s="10">
        <f>IF(K325=0,IF(A322=A325,AVERAGE(O322:O325),"x"),0)</f>
        <v>0</v>
      </c>
      <c r="R325" s="9">
        <f>IF(L325&gt;2005,AVERAGE(O322:O341),0)</f>
        <v>0</v>
      </c>
      <c r="S325" s="10">
        <f>IF(A325=A326,(N325-N326)/N326,0)</f>
        <v>0</v>
      </c>
      <c r="T325" s="10">
        <f>IF(L325&gt;2005,(((N325-N345)/N345)+1)^(1/5)-1,0)</f>
        <v>0</v>
      </c>
      <c r="U325" s="10">
        <f t="shared" si="14"/>
        <v>0</v>
      </c>
      <c r="V325" s="26">
        <f t="shared" si="15"/>
        <v>0</v>
      </c>
      <c r="W325" s="3">
        <f>IF(A325=A326,N325-N326,0)</f>
        <v>0</v>
      </c>
      <c r="X325" s="10">
        <f>IF(A325=A326,(N325-N326)/N326,0)</f>
        <v>0</v>
      </c>
    </row>
    <row r="326" spans="1:24" ht="16.5" customHeight="1">
      <c r="A326" s="3" t="s">
        <v>27</v>
      </c>
      <c r="B326" s="3">
        <f t="shared" si="8"/>
        <v>2010</v>
      </c>
      <c r="C326" s="3">
        <f t="shared" si="9"/>
        <v>7</v>
      </c>
      <c r="D326" s="20" t="str">
        <f t="shared" si="10"/>
        <v>CAT20107</v>
      </c>
      <c r="E326" s="2">
        <v>40375</v>
      </c>
      <c r="F326" s="3">
        <v>0.44</v>
      </c>
      <c r="G326" s="2">
        <v>40410</v>
      </c>
      <c r="H326" s="3">
        <v>2.5600000000000001E-2</v>
      </c>
      <c r="I326" s="3">
        <v>4.7619047999999997E-2</v>
      </c>
      <c r="J326" s="3">
        <v>0.02</v>
      </c>
      <c r="K326" s="3">
        <f t="shared" si="11"/>
        <v>2010</v>
      </c>
      <c r="L326" s="3">
        <f t="shared" si="12"/>
        <v>0</v>
      </c>
      <c r="M326" s="20" t="str">
        <f>A326&amp;L326</f>
        <v>CAT0</v>
      </c>
      <c r="N326" s="3">
        <f>F326</f>
        <v>0.44</v>
      </c>
      <c r="O326" s="9">
        <f>H326</f>
        <v>2.5600000000000001E-2</v>
      </c>
      <c r="P326" s="10">
        <f t="shared" si="13"/>
        <v>2.6575000000000001E-2</v>
      </c>
      <c r="Q326" s="10">
        <f>IF(K326=0,IF(A323=A326,AVERAGE(O323:O326),"x"),0)</f>
        <v>0</v>
      </c>
      <c r="R326" s="9">
        <f>IF(L326&gt;2005,AVERAGE(O323:O342),0)</f>
        <v>0</v>
      </c>
      <c r="S326" s="10">
        <f>IF(A326=A327,(N326-N327)/N327,0)</f>
        <v>4.7619047619047665E-2</v>
      </c>
      <c r="T326" s="10">
        <f>IF(L326&gt;2005,(((N326-N346)/N346)+1)^(1/5)-1,0)</f>
        <v>0</v>
      </c>
      <c r="U326" s="10">
        <f t="shared" si="14"/>
        <v>0</v>
      </c>
      <c r="V326" s="26">
        <f t="shared" si="15"/>
        <v>0</v>
      </c>
      <c r="W326" s="3">
        <f>IF(A326=A327,N326-N327,0)</f>
        <v>2.0000000000000018E-2</v>
      </c>
      <c r="X326" s="10">
        <f>IF(A326=A327,(N326-N327)/N327,0)</f>
        <v>4.7619047619047665E-2</v>
      </c>
    </row>
    <row r="327" spans="1:24" ht="16.5" customHeight="1">
      <c r="A327" s="3" t="s">
        <v>27</v>
      </c>
      <c r="B327" s="3">
        <f t="shared" si="8"/>
        <v>2010</v>
      </c>
      <c r="C327" s="3">
        <f t="shared" si="9"/>
        <v>4</v>
      </c>
      <c r="D327" s="20" t="str">
        <f t="shared" si="10"/>
        <v>CAT20104</v>
      </c>
      <c r="E327" s="2">
        <v>40290</v>
      </c>
      <c r="F327" s="3">
        <v>0.42</v>
      </c>
      <c r="G327" s="2">
        <v>40318</v>
      </c>
      <c r="H327" s="3">
        <v>2.4799999999999999E-2</v>
      </c>
      <c r="I327" s="3">
        <v>0</v>
      </c>
      <c r="J327" s="3">
        <v>0</v>
      </c>
      <c r="K327" s="3">
        <f t="shared" si="11"/>
        <v>2010</v>
      </c>
      <c r="L327" s="3">
        <f t="shared" si="12"/>
        <v>0</v>
      </c>
      <c r="M327" s="20" t="str">
        <f>A327&amp;L327</f>
        <v>CAT0</v>
      </c>
      <c r="N327" s="3">
        <f>F327</f>
        <v>0.42</v>
      </c>
      <c r="O327" s="9">
        <f>H327</f>
        <v>2.4799999999999999E-2</v>
      </c>
      <c r="P327" s="10">
        <f t="shared" si="13"/>
        <v>0</v>
      </c>
      <c r="Q327" s="10">
        <f>IF(K327=0,IF(A324=A327,AVERAGE(O324:O327),"x"),0)</f>
        <v>0</v>
      </c>
      <c r="R327" s="9">
        <f>IF(L327&gt;2005,AVERAGE(O324:O343),0)</f>
        <v>0</v>
      </c>
      <c r="S327" s="10">
        <f>IF(A327=A328,(N327-N328)/N328,0)</f>
        <v>0</v>
      </c>
      <c r="T327" s="10">
        <f>IF(L327&gt;2005,(((N327-N347)/N347)+1)^(1/5)-1,0)</f>
        <v>0</v>
      </c>
      <c r="U327" s="10">
        <f t="shared" si="14"/>
        <v>0</v>
      </c>
      <c r="V327" s="26">
        <f t="shared" si="15"/>
        <v>0</v>
      </c>
      <c r="W327" s="3">
        <f>IF(A327=A328,N327-N328,0)</f>
        <v>0</v>
      </c>
      <c r="X327" s="10">
        <f>IF(A327=A328,(N327-N328)/N328,0)</f>
        <v>0</v>
      </c>
    </row>
    <row r="328" spans="1:24" ht="16.5" customHeight="1">
      <c r="A328" s="3" t="s">
        <v>27</v>
      </c>
      <c r="B328" s="3">
        <f t="shared" si="8"/>
        <v>2010</v>
      </c>
      <c r="C328" s="3">
        <f t="shared" si="9"/>
        <v>1</v>
      </c>
      <c r="D328" s="20" t="str">
        <f t="shared" si="10"/>
        <v>CAT20101</v>
      </c>
      <c r="E328" s="2">
        <v>40193</v>
      </c>
      <c r="F328" s="3">
        <v>0.42</v>
      </c>
      <c r="G328" s="2">
        <v>40229</v>
      </c>
      <c r="H328" s="3">
        <v>2.7099999999999999E-2</v>
      </c>
      <c r="I328" s="3">
        <v>0</v>
      </c>
      <c r="J328" s="3">
        <v>0</v>
      </c>
      <c r="K328" s="3">
        <f t="shared" si="11"/>
        <v>0</v>
      </c>
      <c r="L328" s="3">
        <f t="shared" si="12"/>
        <v>2010</v>
      </c>
      <c r="M328" s="20" t="str">
        <f>A328&amp;L328</f>
        <v>CAT2010</v>
      </c>
      <c r="N328" s="3">
        <f>F328</f>
        <v>0.42</v>
      </c>
      <c r="O328" s="9">
        <f>H328</f>
        <v>2.7099999999999999E-2</v>
      </c>
      <c r="P328" s="10">
        <f t="shared" si="13"/>
        <v>0</v>
      </c>
      <c r="Q328" s="10">
        <f>IF(K328=0,IF(A325=A328,AVERAGE(O325:O328),"x"),0)</f>
        <v>2.4725E-2</v>
      </c>
      <c r="R328" s="9">
        <f>IF(L328&gt;2005,AVERAGE(O325:O344),0)</f>
        <v>2.4735E-2</v>
      </c>
      <c r="S328" s="10">
        <f>IF(A328=A329,(N328-N329)/N329,0)</f>
        <v>0</v>
      </c>
      <c r="T328" s="10">
        <f>IF(L328&gt;2005,(((N328-N348)/N348)+1)^(1/5)-1,0)</f>
        <v>0.15424788082530827</v>
      </c>
      <c r="U328" s="10">
        <f t="shared" si="14"/>
        <v>0.17898288082530828</v>
      </c>
      <c r="V328" s="26">
        <f t="shared" si="15"/>
        <v>4.6939665796629875</v>
      </c>
      <c r="W328" s="3">
        <f>IF(A328=A329,N328-N329,0)</f>
        <v>0</v>
      </c>
      <c r="X328" s="10">
        <f>IF(A328=A329,(N328-N329)/N329,0)</f>
        <v>0</v>
      </c>
    </row>
    <row r="329" spans="1:24" ht="16.5" customHeight="1">
      <c r="A329" s="3" t="s">
        <v>27</v>
      </c>
      <c r="B329" s="3">
        <f t="shared" si="8"/>
        <v>2009</v>
      </c>
      <c r="C329" s="3">
        <f t="shared" si="9"/>
        <v>10</v>
      </c>
      <c r="D329" s="20" t="str">
        <f t="shared" si="10"/>
        <v>CAT200910</v>
      </c>
      <c r="E329" s="2">
        <v>40108</v>
      </c>
      <c r="F329" s="3">
        <v>0.42</v>
      </c>
      <c r="G329" s="2">
        <v>40137</v>
      </c>
      <c r="H329" s="3">
        <v>2.8799999999999999E-2</v>
      </c>
      <c r="I329" s="3">
        <v>0</v>
      </c>
      <c r="J329" s="3">
        <v>0</v>
      </c>
      <c r="K329" s="3">
        <f t="shared" si="11"/>
        <v>2009</v>
      </c>
      <c r="L329" s="3">
        <f t="shared" si="12"/>
        <v>0</v>
      </c>
      <c r="M329" s="20" t="str">
        <f>A329&amp;L329</f>
        <v>CAT0</v>
      </c>
      <c r="N329" s="3">
        <f>F329</f>
        <v>0.42</v>
      </c>
      <c r="O329" s="9">
        <f>H329</f>
        <v>2.8799999999999999E-2</v>
      </c>
      <c r="P329" s="10">
        <f t="shared" si="13"/>
        <v>0</v>
      </c>
      <c r="Q329" s="10">
        <f>IF(K329=0,IF(A326=A329,AVERAGE(O326:O329),"x"),0)</f>
        <v>0</v>
      </c>
      <c r="R329" s="9">
        <f>IF(L329&gt;2005,AVERAGE(O326:O345),0)</f>
        <v>0</v>
      </c>
      <c r="S329" s="10">
        <f>IF(A329=A330,(N329-N330)/N330,0)</f>
        <v>0</v>
      </c>
      <c r="T329" s="10">
        <f>IF(L329&gt;2005,(((N329-N349)/N349)+1)^(1/5)-1,0)</f>
        <v>0</v>
      </c>
      <c r="U329" s="10">
        <f t="shared" si="14"/>
        <v>0</v>
      </c>
      <c r="V329" s="26">
        <f t="shared" si="15"/>
        <v>0</v>
      </c>
      <c r="W329" s="3">
        <f>IF(A329=A330,N329-N330,0)</f>
        <v>0</v>
      </c>
      <c r="X329" s="10">
        <f>IF(A329=A330,(N329-N330)/N330,0)</f>
        <v>0</v>
      </c>
    </row>
    <row r="330" spans="1:24" ht="16.5" customHeight="1">
      <c r="A330" s="3" t="s">
        <v>27</v>
      </c>
      <c r="B330" s="3">
        <f t="shared" si="8"/>
        <v>2009</v>
      </c>
      <c r="C330" s="3">
        <f t="shared" si="9"/>
        <v>7</v>
      </c>
      <c r="D330" s="20" t="str">
        <f t="shared" si="10"/>
        <v>CAT20097</v>
      </c>
      <c r="E330" s="2">
        <v>40010</v>
      </c>
      <c r="F330" s="3">
        <v>0.42</v>
      </c>
      <c r="G330" s="2">
        <v>40045</v>
      </c>
      <c r="H330" s="3">
        <v>4.9599999999999998E-2</v>
      </c>
      <c r="I330" s="3">
        <v>0</v>
      </c>
      <c r="J330" s="3">
        <v>0</v>
      </c>
      <c r="K330" s="3">
        <f t="shared" si="11"/>
        <v>2009</v>
      </c>
      <c r="L330" s="3">
        <f t="shared" si="12"/>
        <v>0</v>
      </c>
      <c r="M330" s="20" t="str">
        <f>A330&amp;L330</f>
        <v>CAT0</v>
      </c>
      <c r="N330" s="3">
        <f>F330</f>
        <v>0.42</v>
      </c>
      <c r="O330" s="9">
        <f>H330</f>
        <v>4.9599999999999998E-2</v>
      </c>
      <c r="P330" s="10">
        <f t="shared" si="13"/>
        <v>0</v>
      </c>
      <c r="Q330" s="10">
        <f>IF(K330=0,IF(A327=A330,AVERAGE(O327:O330),"x"),0)</f>
        <v>0</v>
      </c>
      <c r="R330" s="9">
        <f>IF(L330&gt;2005,AVERAGE(O327:O346),0)</f>
        <v>0</v>
      </c>
      <c r="S330" s="10">
        <f>IF(A330=A331,(N330-N331)/N331,0)</f>
        <v>0</v>
      </c>
      <c r="T330" s="10">
        <f>IF(L330&gt;2005,(((N330-N350)/N350)+1)^(1/5)-1,0)</f>
        <v>0</v>
      </c>
      <c r="U330" s="10">
        <f t="shared" si="14"/>
        <v>0</v>
      </c>
      <c r="V330" s="26">
        <f t="shared" si="15"/>
        <v>0</v>
      </c>
      <c r="W330" s="3">
        <f>IF(A330=A331,N330-N331,0)</f>
        <v>0</v>
      </c>
      <c r="X330" s="10">
        <f>IF(A330=A331,(N330-N331)/N331,0)</f>
        <v>0</v>
      </c>
    </row>
    <row r="331" spans="1:24" ht="16.5" customHeight="1">
      <c r="A331" s="3" t="s">
        <v>27</v>
      </c>
      <c r="B331" s="3">
        <f t="shared" si="8"/>
        <v>2009</v>
      </c>
      <c r="C331" s="3">
        <f t="shared" si="9"/>
        <v>4</v>
      </c>
      <c r="D331" s="20" t="str">
        <f t="shared" si="10"/>
        <v>CAT20094</v>
      </c>
      <c r="E331" s="2">
        <v>39919</v>
      </c>
      <c r="F331" s="3">
        <v>0.42</v>
      </c>
      <c r="G331" s="2">
        <v>39953</v>
      </c>
      <c r="H331" s="3">
        <v>5.0900000000000001E-2</v>
      </c>
      <c r="I331" s="3">
        <v>0</v>
      </c>
      <c r="J331" s="3">
        <v>0</v>
      </c>
      <c r="K331" s="3">
        <f t="shared" si="11"/>
        <v>2009</v>
      </c>
      <c r="L331" s="3">
        <f t="shared" si="12"/>
        <v>0</v>
      </c>
      <c r="M331" s="20" t="str">
        <f>A331&amp;L331</f>
        <v>CAT0</v>
      </c>
      <c r="N331" s="3">
        <f>F331</f>
        <v>0.42</v>
      </c>
      <c r="O331" s="9">
        <f>H331</f>
        <v>5.0900000000000001E-2</v>
      </c>
      <c r="P331" s="10">
        <f t="shared" si="13"/>
        <v>0</v>
      </c>
      <c r="Q331" s="10">
        <f>IF(K331=0,IF(A328=A331,AVERAGE(O328:O331),"x"),0)</f>
        <v>0</v>
      </c>
      <c r="R331" s="9">
        <f>IF(L331&gt;2005,AVERAGE(O328:O347),0)</f>
        <v>0</v>
      </c>
      <c r="S331" s="10">
        <f>IF(A331=A332,(N331-N332)/N332,0)</f>
        <v>0</v>
      </c>
      <c r="T331" s="10">
        <f>IF(L331&gt;2005,(((N331-N351)/N351)+1)^(1/5)-1,0)</f>
        <v>0</v>
      </c>
      <c r="U331" s="10">
        <f t="shared" si="14"/>
        <v>0</v>
      </c>
      <c r="V331" s="26">
        <f t="shared" si="15"/>
        <v>0</v>
      </c>
      <c r="W331" s="3">
        <f>IF(A331=A332,N331-N332,0)</f>
        <v>0</v>
      </c>
      <c r="X331" s="10">
        <f>IF(A331=A332,(N331-N332)/N332,0)</f>
        <v>0</v>
      </c>
    </row>
    <row r="332" spans="1:24" ht="16.5" customHeight="1">
      <c r="A332" s="3" t="s">
        <v>27</v>
      </c>
      <c r="B332" s="3">
        <f t="shared" si="8"/>
        <v>2009</v>
      </c>
      <c r="C332" s="3">
        <f t="shared" si="9"/>
        <v>1</v>
      </c>
      <c r="D332" s="20" t="str">
        <f t="shared" si="10"/>
        <v>CAT20091</v>
      </c>
      <c r="E332" s="2">
        <v>39828</v>
      </c>
      <c r="F332" s="3">
        <v>0.42</v>
      </c>
      <c r="G332" s="2">
        <v>39864</v>
      </c>
      <c r="H332" s="3">
        <v>4.1200000000000001E-2</v>
      </c>
      <c r="I332" s="3">
        <v>0</v>
      </c>
      <c r="J332" s="3">
        <v>0</v>
      </c>
      <c r="K332" s="3">
        <f t="shared" si="11"/>
        <v>0</v>
      </c>
      <c r="L332" s="3">
        <f t="shared" si="12"/>
        <v>2009</v>
      </c>
      <c r="M332" s="20" t="str">
        <f>A332&amp;L332</f>
        <v>CAT2009</v>
      </c>
      <c r="N332" s="3">
        <f>F332</f>
        <v>0.42</v>
      </c>
      <c r="O332" s="9">
        <f>H332</f>
        <v>4.1200000000000001E-2</v>
      </c>
      <c r="P332" s="10">
        <f t="shared" si="13"/>
        <v>0</v>
      </c>
      <c r="Q332" s="10">
        <f>IF(K332=0,IF(A329=A332,AVERAGE(O329:O332),"x"),0)</f>
        <v>4.2624999999999996E-2</v>
      </c>
      <c r="R332" s="9">
        <f>IF(L332&gt;2005,AVERAGE(O329:O348),0)</f>
        <v>2.3205E-2</v>
      </c>
      <c r="S332" s="10">
        <f>IF(A332=A333,(N332-N333)/N333,0)</f>
        <v>0</v>
      </c>
      <c r="T332" s="10">
        <f>IF(L332&gt;2005,(((N332-N352)/N352)+1)^(1/5)-1,0)</f>
        <v>0.17819048858810449</v>
      </c>
      <c r="U332" s="10">
        <f t="shared" si="14"/>
        <v>0.20139548858810449</v>
      </c>
      <c r="V332" s="26">
        <f t="shared" si="15"/>
        <v>4.7176285823927984</v>
      </c>
      <c r="W332" s="3">
        <f>IF(A332=A333,N332-N333,0)</f>
        <v>0</v>
      </c>
      <c r="X332" s="10">
        <f>IF(A332=A333,(N332-N333)/N333,0)</f>
        <v>0</v>
      </c>
    </row>
    <row r="333" spans="1:24" ht="16.5" customHeight="1">
      <c r="A333" s="3" t="s">
        <v>27</v>
      </c>
      <c r="B333" s="3">
        <f t="shared" si="8"/>
        <v>2008</v>
      </c>
      <c r="C333" s="3">
        <f t="shared" si="9"/>
        <v>10</v>
      </c>
      <c r="D333" s="20" t="str">
        <f t="shared" si="10"/>
        <v>CAT200810</v>
      </c>
      <c r="E333" s="2">
        <v>39737</v>
      </c>
      <c r="F333" s="3">
        <v>0.42</v>
      </c>
      <c r="G333" s="2">
        <v>39772</v>
      </c>
      <c r="H333" s="3">
        <v>3.7100000000000001E-2</v>
      </c>
      <c r="I333" s="3">
        <v>0</v>
      </c>
      <c r="J333" s="3">
        <v>0</v>
      </c>
      <c r="K333" s="3">
        <f t="shared" si="11"/>
        <v>2008</v>
      </c>
      <c r="L333" s="3">
        <f t="shared" si="12"/>
        <v>0</v>
      </c>
      <c r="M333" s="20" t="str">
        <f>A333&amp;L333</f>
        <v>CAT0</v>
      </c>
      <c r="N333" s="3">
        <f>F333</f>
        <v>0.42</v>
      </c>
      <c r="O333" s="9">
        <f>H333</f>
        <v>3.7100000000000001E-2</v>
      </c>
      <c r="P333" s="10">
        <f t="shared" si="13"/>
        <v>0</v>
      </c>
      <c r="Q333" s="10">
        <f>IF(K333=0,IF(A330=A333,AVERAGE(O330:O333),"x"),0)</f>
        <v>0</v>
      </c>
      <c r="R333" s="9">
        <f>IF(L333&gt;2005,AVERAGE(O330:O349),0)</f>
        <v>0</v>
      </c>
      <c r="S333" s="10">
        <f>IF(A333=A334,(N333-N334)/N334,0)</f>
        <v>0</v>
      </c>
      <c r="T333" s="10">
        <f>IF(L333&gt;2005,(((N333-N353)/N353)+1)^(1/5)-1,0)</f>
        <v>0</v>
      </c>
      <c r="U333" s="10">
        <f t="shared" si="14"/>
        <v>0</v>
      </c>
      <c r="V333" s="26">
        <f t="shared" si="15"/>
        <v>0</v>
      </c>
      <c r="W333" s="3">
        <f>IF(A333=A334,N333-N334,0)</f>
        <v>0</v>
      </c>
      <c r="X333" s="10">
        <f>IF(A333=A334,(N333-N334)/N334,0)</f>
        <v>0</v>
      </c>
    </row>
    <row r="334" spans="1:24" ht="16.5" customHeight="1">
      <c r="A334" s="3" t="s">
        <v>27</v>
      </c>
      <c r="B334" s="3">
        <f t="shared" si="8"/>
        <v>2008</v>
      </c>
      <c r="C334" s="3">
        <f t="shared" si="9"/>
        <v>7</v>
      </c>
      <c r="D334" s="20" t="str">
        <f t="shared" si="10"/>
        <v>CAT20087</v>
      </c>
      <c r="E334" s="2">
        <v>39646</v>
      </c>
      <c r="F334" s="3">
        <v>0.42</v>
      </c>
      <c r="G334" s="2">
        <v>39680</v>
      </c>
      <c r="H334" s="3">
        <v>2.1299999999999999E-2</v>
      </c>
      <c r="I334" s="3">
        <v>0.16666666699999999</v>
      </c>
      <c r="J334" s="3">
        <v>0.06</v>
      </c>
      <c r="K334" s="3">
        <f t="shared" si="11"/>
        <v>2008</v>
      </c>
      <c r="L334" s="3">
        <f t="shared" si="12"/>
        <v>0</v>
      </c>
      <c r="M334" s="20" t="str">
        <f>A334&amp;L334</f>
        <v>CAT0</v>
      </c>
      <c r="N334" s="3">
        <f>F334</f>
        <v>0.42</v>
      </c>
      <c r="O334" s="9">
        <f>H334</f>
        <v>2.1299999999999999E-2</v>
      </c>
      <c r="P334" s="10">
        <f t="shared" si="13"/>
        <v>1.9525000000000001E-2</v>
      </c>
      <c r="Q334" s="10">
        <f>IF(K334=0,IF(A331=A334,AVERAGE(O331:O334),"x"),0)</f>
        <v>0</v>
      </c>
      <c r="R334" s="9">
        <f>IF(L334&gt;2005,AVERAGE(O331:O350),0)</f>
        <v>0</v>
      </c>
      <c r="S334" s="10">
        <f>IF(A334=A335,(N334-N335)/N335,0)</f>
        <v>0.16666666666666666</v>
      </c>
      <c r="T334" s="10">
        <f>IF(L334&gt;2005,(((N334-N354)/N354)+1)^(1/5)-1,0)</f>
        <v>0</v>
      </c>
      <c r="U334" s="10">
        <f t="shared" si="14"/>
        <v>0</v>
      </c>
      <c r="V334" s="26">
        <f t="shared" si="15"/>
        <v>0</v>
      </c>
      <c r="W334" s="3">
        <f>IF(A334=A335,N334-N335,0)</f>
        <v>0.06</v>
      </c>
      <c r="X334" s="10">
        <f>IF(A334=A335,(N334-N335)/N335,0)</f>
        <v>0.16666666666666666</v>
      </c>
    </row>
    <row r="335" spans="1:24" ht="16.5" customHeight="1">
      <c r="A335" s="3" t="s">
        <v>27</v>
      </c>
      <c r="B335" s="3">
        <f t="shared" si="8"/>
        <v>2008</v>
      </c>
      <c r="C335" s="3">
        <f t="shared" si="9"/>
        <v>4</v>
      </c>
      <c r="D335" s="20" t="str">
        <f t="shared" si="10"/>
        <v>CAT20084</v>
      </c>
      <c r="E335" s="2">
        <v>39555</v>
      </c>
      <c r="F335" s="3">
        <v>0.36</v>
      </c>
      <c r="G335" s="2">
        <v>39588</v>
      </c>
      <c r="H335" s="3">
        <v>1.8200000000000001E-2</v>
      </c>
      <c r="I335" s="3">
        <v>0</v>
      </c>
      <c r="J335" s="3">
        <v>0</v>
      </c>
      <c r="K335" s="3">
        <f t="shared" si="11"/>
        <v>2008</v>
      </c>
      <c r="L335" s="3">
        <f t="shared" si="12"/>
        <v>0</v>
      </c>
      <c r="M335" s="20" t="str">
        <f>A335&amp;L335</f>
        <v>CAT0</v>
      </c>
      <c r="N335" s="3">
        <f>F335</f>
        <v>0.36</v>
      </c>
      <c r="O335" s="9">
        <f>H335</f>
        <v>1.8200000000000001E-2</v>
      </c>
      <c r="P335" s="10">
        <f t="shared" si="13"/>
        <v>0</v>
      </c>
      <c r="Q335" s="10">
        <f>IF(K335=0,IF(A332=A335,AVERAGE(O332:O335),"x"),0)</f>
        <v>0</v>
      </c>
      <c r="R335" s="9">
        <f>IF(L335&gt;2005,AVERAGE(O332:O351),0)</f>
        <v>0</v>
      </c>
      <c r="S335" s="10">
        <f>IF(A335=A336,(N335-N336)/N336,0)</f>
        <v>0</v>
      </c>
      <c r="T335" s="10">
        <f>IF(L335&gt;2005,(((N335-N355)/N355)+1)^(1/5)-1,0)</f>
        <v>0</v>
      </c>
      <c r="U335" s="10">
        <f t="shared" si="14"/>
        <v>0</v>
      </c>
      <c r="V335" s="26">
        <f t="shared" si="15"/>
        <v>0</v>
      </c>
      <c r="W335" s="3">
        <f>IF(A335=A336,N335-N336,0)</f>
        <v>0</v>
      </c>
      <c r="X335" s="10">
        <f>IF(A335=A336,(N335-N336)/N336,0)</f>
        <v>0</v>
      </c>
    </row>
    <row r="336" spans="1:24" ht="16.5" customHeight="1">
      <c r="A336" s="3" t="s">
        <v>27</v>
      </c>
      <c r="B336" s="3">
        <f t="shared" si="8"/>
        <v>2008</v>
      </c>
      <c r="C336" s="3">
        <f t="shared" si="9"/>
        <v>1</v>
      </c>
      <c r="D336" s="20" t="str">
        <f t="shared" si="10"/>
        <v>CAT20081</v>
      </c>
      <c r="E336" s="2">
        <v>39464</v>
      </c>
      <c r="F336" s="3">
        <v>0.36</v>
      </c>
      <c r="G336" s="2">
        <v>39498</v>
      </c>
      <c r="H336" s="3">
        <v>2.1499999999999998E-2</v>
      </c>
      <c r="I336" s="3">
        <v>0</v>
      </c>
      <c r="J336" s="3">
        <v>0</v>
      </c>
      <c r="K336" s="3">
        <f t="shared" si="11"/>
        <v>0</v>
      </c>
      <c r="L336" s="3">
        <f t="shared" si="12"/>
        <v>2008</v>
      </c>
      <c r="M336" s="20" t="str">
        <f>A336&amp;L336</f>
        <v>CAT2008</v>
      </c>
      <c r="N336" s="3">
        <f>F336</f>
        <v>0.36</v>
      </c>
      <c r="O336" s="9">
        <f>H336</f>
        <v>2.1499999999999998E-2</v>
      </c>
      <c r="P336" s="10">
        <f t="shared" si="13"/>
        <v>0</v>
      </c>
      <c r="Q336" s="10">
        <f>IF(K336=0,IF(A333=A336,AVERAGE(O333:O336),"x"),0)</f>
        <v>2.4524999999999998E-2</v>
      </c>
      <c r="R336" s="9">
        <f>IF(L336&gt;2005,AVERAGE(O333:O352),0)</f>
        <v>1.8359999999999998E-2</v>
      </c>
      <c r="S336" s="10">
        <f>IF(A336=A337,(N336-N337)/N337,0)</f>
        <v>0</v>
      </c>
      <c r="T336" s="10">
        <f>IF(L336&gt;2005,(((N336-N356)/N356)+1)^(1/5)-1,0)</f>
        <v>0.15518858939380853</v>
      </c>
      <c r="U336" s="10">
        <f t="shared" si="14"/>
        <v>0.17354858939380852</v>
      </c>
      <c r="V336" s="26">
        <f t="shared" si="15"/>
        <v>4.7701652939594421</v>
      </c>
      <c r="W336" s="3">
        <f>IF(A336=A337,N336-N337,0)</f>
        <v>0</v>
      </c>
      <c r="X336" s="10">
        <f>IF(A336=A337,(N336-N337)/N337,0)</f>
        <v>0</v>
      </c>
    </row>
    <row r="337" spans="1:24" ht="16.5" customHeight="1">
      <c r="A337" s="3" t="s">
        <v>27</v>
      </c>
      <c r="B337" s="3">
        <f t="shared" si="8"/>
        <v>2007</v>
      </c>
      <c r="C337" s="3">
        <f t="shared" si="9"/>
        <v>10</v>
      </c>
      <c r="D337" s="20" t="str">
        <f t="shared" si="10"/>
        <v>CAT200710</v>
      </c>
      <c r="E337" s="2">
        <v>39373</v>
      </c>
      <c r="F337" s="3">
        <v>0.36</v>
      </c>
      <c r="G337" s="2">
        <v>39406</v>
      </c>
      <c r="H337" s="3">
        <v>1.7100000000000001E-2</v>
      </c>
      <c r="I337" s="3">
        <v>0</v>
      </c>
      <c r="J337" s="3">
        <v>0</v>
      </c>
      <c r="K337" s="3">
        <f t="shared" si="11"/>
        <v>2007</v>
      </c>
      <c r="L337" s="3">
        <f t="shared" si="12"/>
        <v>0</v>
      </c>
      <c r="M337" s="20" t="str">
        <f>A337&amp;L337</f>
        <v>CAT0</v>
      </c>
      <c r="N337" s="3">
        <f>F337</f>
        <v>0.36</v>
      </c>
      <c r="O337" s="9">
        <f>H337</f>
        <v>1.7100000000000001E-2</v>
      </c>
      <c r="P337" s="10">
        <f t="shared" si="13"/>
        <v>0</v>
      </c>
      <c r="Q337" s="10">
        <f>IF(K337=0,IF(A334=A337,AVERAGE(O334:O337),"x"),0)</f>
        <v>0</v>
      </c>
      <c r="R337" s="9">
        <f>IF(L337&gt;2005,AVERAGE(O334:O353),0)</f>
        <v>0</v>
      </c>
      <c r="S337" s="10">
        <f>IF(A337=A338,(N337-N338)/N338,0)</f>
        <v>0</v>
      </c>
      <c r="T337" s="10">
        <f>IF(L337&gt;2005,(((N337-N357)/N357)+1)^(1/5)-1,0)</f>
        <v>0</v>
      </c>
      <c r="U337" s="10">
        <f t="shared" si="14"/>
        <v>0</v>
      </c>
      <c r="V337" s="26">
        <f t="shared" si="15"/>
        <v>0</v>
      </c>
      <c r="W337" s="3">
        <f>IF(A337=A338,N337-N338,0)</f>
        <v>0</v>
      </c>
      <c r="X337" s="10">
        <f>IF(A337=A338,(N337-N338)/N338,0)</f>
        <v>0</v>
      </c>
    </row>
    <row r="338" spans="1:24" ht="16.5" customHeight="1">
      <c r="A338" s="3" t="s">
        <v>27</v>
      </c>
      <c r="B338" s="3">
        <f t="shared" si="8"/>
        <v>2007</v>
      </c>
      <c r="C338" s="3">
        <f t="shared" si="9"/>
        <v>7</v>
      </c>
      <c r="D338" s="20" t="str">
        <f t="shared" si="10"/>
        <v>CAT20077</v>
      </c>
      <c r="E338" s="2">
        <v>39281</v>
      </c>
      <c r="F338" s="3">
        <v>0.36</v>
      </c>
      <c r="G338" s="2">
        <v>39314</v>
      </c>
      <c r="H338" s="3">
        <v>1.46E-2</v>
      </c>
      <c r="I338" s="3">
        <v>0.2</v>
      </c>
      <c r="J338" s="3">
        <v>0.06</v>
      </c>
      <c r="K338" s="3">
        <f t="shared" si="11"/>
        <v>2007</v>
      </c>
      <c r="L338" s="3">
        <f t="shared" si="12"/>
        <v>0</v>
      </c>
      <c r="M338" s="20" t="str">
        <f>A338&amp;L338</f>
        <v>CAT0</v>
      </c>
      <c r="N338" s="3">
        <f>F338</f>
        <v>0.36</v>
      </c>
      <c r="O338" s="9">
        <f>H338</f>
        <v>1.46E-2</v>
      </c>
      <c r="P338" s="10">
        <f t="shared" si="13"/>
        <v>1.6749999999999998E-2</v>
      </c>
      <c r="Q338" s="10">
        <f>IF(K338=0,IF(A335=A338,AVERAGE(O335:O338),"x"),0)</f>
        <v>0</v>
      </c>
      <c r="R338" s="9">
        <f>IF(L338&gt;2005,AVERAGE(O335:O354),0)</f>
        <v>0</v>
      </c>
      <c r="S338" s="10">
        <f>IF(A338=A339,(N338-N339)/N339,0)</f>
        <v>0.2</v>
      </c>
      <c r="T338" s="10">
        <f>IF(L338&gt;2005,(((N338-N358)/N358)+1)^(1/5)-1,0)</f>
        <v>0</v>
      </c>
      <c r="U338" s="10">
        <f t="shared" si="14"/>
        <v>0</v>
      </c>
      <c r="V338" s="26">
        <f t="shared" si="15"/>
        <v>0</v>
      </c>
      <c r="W338" s="3">
        <f>IF(A338=A339,N338-N339,0)</f>
        <v>0.06</v>
      </c>
      <c r="X338" s="10">
        <f>IF(A338=A339,(N338-N339)/N339,0)</f>
        <v>0.2</v>
      </c>
    </row>
    <row r="339" spans="1:24" ht="16.5" customHeight="1">
      <c r="A339" s="3" t="s">
        <v>27</v>
      </c>
      <c r="B339" s="3">
        <f t="shared" si="8"/>
        <v>2007</v>
      </c>
      <c r="C339" s="3">
        <f t="shared" si="9"/>
        <v>4</v>
      </c>
      <c r="D339" s="20" t="str">
        <f t="shared" si="10"/>
        <v>CAT20074</v>
      </c>
      <c r="E339" s="2">
        <v>39191</v>
      </c>
      <c r="F339" s="3">
        <v>0.3</v>
      </c>
      <c r="G339" s="2">
        <v>39221</v>
      </c>
      <c r="H339" s="3">
        <v>1.7299999999999999E-2</v>
      </c>
      <c r="I339" s="3">
        <v>0</v>
      </c>
      <c r="J339" s="3">
        <v>0</v>
      </c>
      <c r="K339" s="3">
        <f t="shared" si="11"/>
        <v>2007</v>
      </c>
      <c r="L339" s="3">
        <f t="shared" si="12"/>
        <v>0</v>
      </c>
      <c r="M339" s="20" t="str">
        <f>A339&amp;L339</f>
        <v>CAT0</v>
      </c>
      <c r="N339" s="3">
        <f>F339</f>
        <v>0.3</v>
      </c>
      <c r="O339" s="9">
        <f>H339</f>
        <v>1.7299999999999999E-2</v>
      </c>
      <c r="P339" s="10">
        <f t="shared" si="13"/>
        <v>0</v>
      </c>
      <c r="Q339" s="10">
        <f>IF(K339=0,IF(A336=A339,AVERAGE(O336:O339),"x"),0)</f>
        <v>0</v>
      </c>
      <c r="R339" s="9">
        <f>IF(L339&gt;2005,AVERAGE(O336:O355),0)</f>
        <v>0</v>
      </c>
      <c r="S339" s="10">
        <f>IF(A339=A340,(N339-N340)/N340,0)</f>
        <v>0</v>
      </c>
      <c r="T339" s="10">
        <f>IF(L339&gt;2005,(((N339-N359)/N359)+1)^(1/5)-1,0)</f>
        <v>0</v>
      </c>
      <c r="U339" s="10">
        <f t="shared" si="14"/>
        <v>0</v>
      </c>
      <c r="V339" s="26">
        <f t="shared" si="15"/>
        <v>0</v>
      </c>
      <c r="W339" s="3">
        <f>IF(A339=A340,N339-N340,0)</f>
        <v>0</v>
      </c>
      <c r="X339" s="10">
        <f>IF(A339=A340,(N339-N340)/N340,0)</f>
        <v>0</v>
      </c>
    </row>
    <row r="340" spans="1:24" ht="16.5" customHeight="1">
      <c r="A340" s="3" t="s">
        <v>27</v>
      </c>
      <c r="B340" s="3">
        <f t="shared" si="8"/>
        <v>2007</v>
      </c>
      <c r="C340" s="3">
        <f t="shared" si="9"/>
        <v>1</v>
      </c>
      <c r="D340" s="20" t="str">
        <f t="shared" si="10"/>
        <v>CAT20071</v>
      </c>
      <c r="E340" s="2">
        <v>39100</v>
      </c>
      <c r="F340" s="3">
        <v>0.3</v>
      </c>
      <c r="G340" s="2">
        <v>39133</v>
      </c>
      <c r="H340" s="3">
        <v>1.9199999999999998E-2</v>
      </c>
      <c r="I340" s="3">
        <v>0</v>
      </c>
      <c r="J340" s="3">
        <v>0</v>
      </c>
      <c r="K340" s="3">
        <f t="shared" si="11"/>
        <v>0</v>
      </c>
      <c r="L340" s="3">
        <f t="shared" si="12"/>
        <v>2007</v>
      </c>
      <c r="M340" s="20" t="str">
        <f>A340&amp;L340</f>
        <v>CAT2007</v>
      </c>
      <c r="N340" s="3">
        <f>F340</f>
        <v>0.3</v>
      </c>
      <c r="O340" s="9">
        <f>H340</f>
        <v>1.9199999999999998E-2</v>
      </c>
      <c r="P340" s="10">
        <f t="shared" si="13"/>
        <v>0</v>
      </c>
      <c r="Q340" s="10">
        <f>IF(K340=0,IF(A337=A340,AVERAGE(O337:O340),"x"),0)</f>
        <v>1.7049999999999999E-2</v>
      </c>
      <c r="R340" s="9">
        <f>IF(L340&gt;2005,AVERAGE(O337:O356),0)</f>
        <v>1.8364999999999999E-2</v>
      </c>
      <c r="S340" s="10">
        <f>IF(A340=A341,(N340-N341)/N341,0)</f>
        <v>0</v>
      </c>
      <c r="T340" s="10">
        <f>IF(L340&gt;2005,(((N340-N360)/N360)+1)^(1/5)-1,0)</f>
        <v>0.11382417860287908</v>
      </c>
      <c r="U340" s="10">
        <f t="shared" si="14"/>
        <v>0.13218917860287907</v>
      </c>
      <c r="V340" s="26">
        <f t="shared" si="15"/>
        <v>4.7618868629248654</v>
      </c>
      <c r="W340" s="3">
        <f>IF(A340=A341,N340-N341,0)</f>
        <v>0</v>
      </c>
      <c r="X340" s="10">
        <f>IF(A340=A341,(N340-N341)/N341,0)</f>
        <v>0</v>
      </c>
    </row>
    <row r="341" spans="1:24" ht="16.5" customHeight="1">
      <c r="A341" s="3" t="s">
        <v>27</v>
      </c>
      <c r="B341" s="3">
        <f t="shared" si="8"/>
        <v>2006</v>
      </c>
      <c r="C341" s="3">
        <f t="shared" si="9"/>
        <v>10</v>
      </c>
      <c r="D341" s="20" t="str">
        <f t="shared" si="10"/>
        <v>CAT200610</v>
      </c>
      <c r="E341" s="2">
        <v>39009</v>
      </c>
      <c r="F341" s="3">
        <v>0.3</v>
      </c>
      <c r="G341" s="2">
        <v>39041</v>
      </c>
      <c r="H341" s="3">
        <v>1.5900000000000001E-2</v>
      </c>
      <c r="I341" s="3">
        <v>0</v>
      </c>
      <c r="J341" s="3">
        <v>0</v>
      </c>
      <c r="K341" s="3">
        <f t="shared" si="11"/>
        <v>2006</v>
      </c>
      <c r="L341" s="3">
        <f t="shared" si="12"/>
        <v>0</v>
      </c>
      <c r="M341" s="20" t="str">
        <f>A341&amp;L341</f>
        <v>CAT0</v>
      </c>
      <c r="N341" s="3">
        <f>F341</f>
        <v>0.3</v>
      </c>
      <c r="O341" s="9">
        <f>H341</f>
        <v>1.5900000000000001E-2</v>
      </c>
      <c r="P341" s="10">
        <f t="shared" si="13"/>
        <v>0</v>
      </c>
      <c r="Q341" s="10">
        <f>IF(K341=0,IF(A338=A341,AVERAGE(O338:O341),"x"),0)</f>
        <v>0</v>
      </c>
      <c r="R341" s="9">
        <f>IF(L341&gt;2005,AVERAGE(O338:O357),0)</f>
        <v>0</v>
      </c>
      <c r="S341" s="10">
        <f>IF(A341=A342,(N341-N342)/N342,0)</f>
        <v>0</v>
      </c>
      <c r="T341" s="10">
        <f>IF(L341&gt;2005,(((N341-N361)/N361)+1)^(1/5)-1,0)</f>
        <v>0</v>
      </c>
      <c r="U341" s="10">
        <f t="shared" si="14"/>
        <v>0</v>
      </c>
      <c r="V341" s="26">
        <f t="shared" si="15"/>
        <v>0</v>
      </c>
      <c r="W341" s="3">
        <f>IF(A341=A342,N341-N342,0)</f>
        <v>0</v>
      </c>
      <c r="X341" s="10">
        <f>IF(A341=A342,(N341-N342)/N342,0)</f>
        <v>0</v>
      </c>
    </row>
    <row r="342" spans="1:24" ht="16.5" customHeight="1">
      <c r="A342" s="3" t="s">
        <v>27</v>
      </c>
      <c r="B342" s="3">
        <f t="shared" si="8"/>
        <v>2006</v>
      </c>
      <c r="C342" s="3">
        <f t="shared" si="9"/>
        <v>7</v>
      </c>
      <c r="D342" s="20" t="str">
        <f t="shared" si="10"/>
        <v>CAT20067</v>
      </c>
      <c r="E342" s="2">
        <v>38916</v>
      </c>
      <c r="F342" s="3">
        <v>0.3</v>
      </c>
      <c r="G342" s="2">
        <v>38948</v>
      </c>
      <c r="H342" s="3">
        <v>1.52E-2</v>
      </c>
      <c r="I342" s="3">
        <v>0.2</v>
      </c>
      <c r="J342" s="3">
        <v>0.05</v>
      </c>
      <c r="K342" s="3">
        <f t="shared" si="11"/>
        <v>2006</v>
      </c>
      <c r="L342" s="3">
        <f t="shared" si="12"/>
        <v>0</v>
      </c>
      <c r="M342" s="20" t="str">
        <f>A342&amp;L342</f>
        <v>CAT0</v>
      </c>
      <c r="N342" s="3">
        <f>F342</f>
        <v>0.3</v>
      </c>
      <c r="O342" s="9">
        <f>H342</f>
        <v>1.52E-2</v>
      </c>
      <c r="P342" s="10">
        <f t="shared" si="13"/>
        <v>1.4874999999999999E-2</v>
      </c>
      <c r="Q342" s="10">
        <f>IF(K342=0,IF(A339=A342,AVERAGE(O339:O342),"x"),0)</f>
        <v>0</v>
      </c>
      <c r="R342" s="9">
        <f>IF(L342&gt;2005,AVERAGE(O339:O358),0)</f>
        <v>0</v>
      </c>
      <c r="S342" s="10">
        <f>IF(A342=A343,(N342-N343)/N343,0)</f>
        <v>0.19999999999999996</v>
      </c>
      <c r="T342" s="10">
        <f>IF(L342&gt;2005,(((N342-N362)/N362)+1)^(1/5)-1,0)</f>
        <v>0</v>
      </c>
      <c r="U342" s="10">
        <f t="shared" si="14"/>
        <v>0</v>
      </c>
      <c r="V342" s="26">
        <f t="shared" si="15"/>
        <v>0</v>
      </c>
      <c r="W342" s="3">
        <f>IF(A342=A343,N342-N343,0)</f>
        <v>4.9999999999999989E-2</v>
      </c>
      <c r="X342" s="10">
        <f>IF(A342=A343,(N342-N343)/N343,0)</f>
        <v>0.19999999999999996</v>
      </c>
    </row>
    <row r="343" spans="1:24" ht="16.5" customHeight="1">
      <c r="A343" s="3" t="s">
        <v>27</v>
      </c>
      <c r="B343" s="3">
        <f t="shared" si="8"/>
        <v>2006</v>
      </c>
      <c r="C343" s="3">
        <f t="shared" si="9"/>
        <v>4</v>
      </c>
      <c r="D343" s="20" t="str">
        <f t="shared" si="10"/>
        <v>CAT20064</v>
      </c>
      <c r="E343" s="2">
        <v>38827</v>
      </c>
      <c r="F343" s="3">
        <v>0.25</v>
      </c>
      <c r="G343" s="2">
        <v>38857</v>
      </c>
      <c r="H343" s="3">
        <v>1.2699999999999999E-2</v>
      </c>
      <c r="I343" s="3">
        <v>0</v>
      </c>
      <c r="J343" s="3">
        <v>0</v>
      </c>
      <c r="K343" s="3">
        <f t="shared" si="11"/>
        <v>2006</v>
      </c>
      <c r="L343" s="3">
        <f t="shared" si="12"/>
        <v>0</v>
      </c>
      <c r="M343" s="20" t="str">
        <f>A343&amp;L343</f>
        <v>CAT0</v>
      </c>
      <c r="N343" s="3">
        <f>F343</f>
        <v>0.25</v>
      </c>
      <c r="O343" s="9">
        <f>H343</f>
        <v>1.2699999999999999E-2</v>
      </c>
      <c r="P343" s="10">
        <f t="shared" si="13"/>
        <v>0</v>
      </c>
      <c r="Q343" s="10">
        <f>IF(K343=0,IF(A340=A343,AVERAGE(O340:O343),"x"),0)</f>
        <v>0</v>
      </c>
      <c r="R343" s="9">
        <f>IF(L343&gt;2005,AVERAGE(O340:O359),0)</f>
        <v>0</v>
      </c>
      <c r="S343" s="10">
        <f>IF(A343=A344,(N343-N344)/N344,0)</f>
        <v>0</v>
      </c>
      <c r="T343" s="10">
        <f>IF(L343&gt;2005,(((N343-N363)/N363)+1)^(1/5)-1,0)</f>
        <v>0</v>
      </c>
      <c r="U343" s="10">
        <f t="shared" si="14"/>
        <v>0</v>
      </c>
      <c r="V343" s="26">
        <f t="shared" si="15"/>
        <v>0</v>
      </c>
      <c r="W343" s="3">
        <f>IF(A343=A344,N343-N344,0)</f>
        <v>0</v>
      </c>
      <c r="X343" s="10">
        <f>IF(A343=A344,(N343-N344)/N344,0)</f>
        <v>0</v>
      </c>
    </row>
    <row r="344" spans="1:24" ht="16.5" customHeight="1">
      <c r="A344" s="3" t="s">
        <v>27</v>
      </c>
      <c r="B344" s="3">
        <f t="shared" si="8"/>
        <v>2006</v>
      </c>
      <c r="C344" s="3">
        <f t="shared" si="9"/>
        <v>1</v>
      </c>
      <c r="D344" s="20" t="str">
        <f t="shared" si="10"/>
        <v>CAT20061</v>
      </c>
      <c r="E344" s="2">
        <v>38735</v>
      </c>
      <c r="F344" s="3">
        <v>0.25</v>
      </c>
      <c r="G344" s="2">
        <v>38766</v>
      </c>
      <c r="H344" s="3">
        <v>1.52E-2</v>
      </c>
      <c r="I344" s="3">
        <v>0</v>
      </c>
      <c r="J344" s="3">
        <v>0</v>
      </c>
      <c r="K344" s="3">
        <f t="shared" si="11"/>
        <v>0</v>
      </c>
      <c r="L344" s="3">
        <f t="shared" si="12"/>
        <v>2006</v>
      </c>
      <c r="M344" s="20" t="str">
        <f>A344&amp;L344</f>
        <v>CAT2006</v>
      </c>
      <c r="N344" s="3">
        <f>F344</f>
        <v>0.25</v>
      </c>
      <c r="O344" s="9">
        <f>H344</f>
        <v>1.52E-2</v>
      </c>
      <c r="P344" s="10">
        <f t="shared" si="13"/>
        <v>0</v>
      </c>
      <c r="Q344" s="10">
        <f>IF(K344=0,IF(A341=A344,AVERAGE(O341:O344),"x"),0)</f>
        <v>1.4750000000000001E-2</v>
      </c>
      <c r="R344" s="9">
        <f>IF(L344&gt;2005,AVERAGE(O341:O360),0)</f>
        <v>2.1080000000000002E-2</v>
      </c>
      <c r="S344" s="10">
        <f>IF(A344=A345,(N344-N345)/N345,0)</f>
        <v>0</v>
      </c>
      <c r="T344" s="10">
        <f>IF(L344&gt;2005,(((N344-N364)/N364)+1)^(1/5)-1,0)</f>
        <v>8.0185187303563499E-2</v>
      </c>
      <c r="U344" s="10">
        <f t="shared" si="14"/>
        <v>0.1012651873035635</v>
      </c>
      <c r="V344" s="26">
        <f t="shared" si="15"/>
        <v>4.7200993290135749</v>
      </c>
      <c r="W344" s="3">
        <f>IF(A344=A345,N344-N345,0)</f>
        <v>0</v>
      </c>
      <c r="X344" s="10">
        <f>IF(A344=A345,(N344-N345)/N345,0)</f>
        <v>0</v>
      </c>
    </row>
    <row r="345" spans="1:24" ht="16.5" customHeight="1">
      <c r="A345" s="3" t="s">
        <v>27</v>
      </c>
      <c r="B345" s="3">
        <f t="shared" si="8"/>
        <v>2005</v>
      </c>
      <c r="C345" s="3">
        <f t="shared" si="9"/>
        <v>10</v>
      </c>
      <c r="D345" s="20" t="str">
        <f t="shared" si="10"/>
        <v>CAT200510</v>
      </c>
      <c r="E345" s="2">
        <v>38645</v>
      </c>
      <c r="F345" s="3">
        <v>0.25</v>
      </c>
      <c r="G345" s="2">
        <v>38675</v>
      </c>
      <c r="H345" s="3">
        <v>1.6400000000000001E-2</v>
      </c>
      <c r="I345" s="3">
        <v>0</v>
      </c>
      <c r="J345" s="3">
        <v>0</v>
      </c>
      <c r="K345" s="3">
        <f t="shared" si="11"/>
        <v>2005</v>
      </c>
      <c r="L345" s="3">
        <f t="shared" si="12"/>
        <v>0</v>
      </c>
      <c r="M345" s="20" t="str">
        <f>A345&amp;L345</f>
        <v>CAT0</v>
      </c>
      <c r="N345" s="3">
        <f>F345</f>
        <v>0.25</v>
      </c>
      <c r="O345" s="9">
        <f>H345</f>
        <v>1.6400000000000001E-2</v>
      </c>
      <c r="P345" s="10">
        <f t="shared" si="13"/>
        <v>0</v>
      </c>
      <c r="Q345" s="10">
        <f>IF(K345=0,IF(A342=A345,AVERAGE(O342:O345),"x"),0)</f>
        <v>0</v>
      </c>
      <c r="R345" s="9">
        <f>IF(L345&gt;2005,AVERAGE(O342:O361),0)</f>
        <v>0</v>
      </c>
      <c r="S345" s="10">
        <f>IF(A345=A346,(N345-N346)/N346,0)</f>
        <v>0</v>
      </c>
      <c r="T345" s="10">
        <f>IF(L345&gt;2005,(((N345-N365)/N365)+1)^(1/5)-1,0)</f>
        <v>0</v>
      </c>
      <c r="U345" s="10">
        <f t="shared" si="14"/>
        <v>0</v>
      </c>
      <c r="V345" s="26">
        <f t="shared" si="15"/>
        <v>0</v>
      </c>
      <c r="W345" s="3">
        <f>IF(A345=A346,N345-N346,0)</f>
        <v>0</v>
      </c>
      <c r="X345" s="10">
        <f>IF(A345=A346,(N345-N346)/N346,0)</f>
        <v>0</v>
      </c>
    </row>
    <row r="346" spans="1:24" ht="16.5" customHeight="1">
      <c r="A346" s="3" t="s">
        <v>27</v>
      </c>
      <c r="B346" s="3">
        <f t="shared" si="8"/>
        <v>2005</v>
      </c>
      <c r="C346" s="3">
        <f t="shared" si="9"/>
        <v>7</v>
      </c>
      <c r="D346" s="20" t="str">
        <f t="shared" si="10"/>
        <v>CAT20057</v>
      </c>
      <c r="E346" s="2">
        <v>38553</v>
      </c>
      <c r="F346" s="3">
        <v>0.25</v>
      </c>
      <c r="G346" s="2">
        <v>38583</v>
      </c>
      <c r="H346" s="3">
        <v>1.6199999999999999E-2</v>
      </c>
      <c r="I346" s="3">
        <v>-0.39024390199999998</v>
      </c>
      <c r="J346" s="3">
        <v>-0.16</v>
      </c>
      <c r="K346" s="3">
        <f t="shared" si="11"/>
        <v>2005</v>
      </c>
      <c r="L346" s="3">
        <f t="shared" si="12"/>
        <v>0</v>
      </c>
      <c r="M346" s="20" t="str">
        <f>A346&amp;L346</f>
        <v>CAT0</v>
      </c>
      <c r="N346" s="3">
        <f>F346</f>
        <v>0.25</v>
      </c>
      <c r="O346" s="9">
        <f>H346</f>
        <v>1.6199999999999999E-2</v>
      </c>
      <c r="P346" s="10">
        <f t="shared" si="13"/>
        <v>1.78E-2</v>
      </c>
      <c r="Q346" s="10">
        <f>IF(K346=0,IF(A343=A346,AVERAGE(O343:O346),"x"),0)</f>
        <v>0</v>
      </c>
      <c r="R346" s="9">
        <f>IF(L346&gt;2005,AVERAGE(O343:O362),0)</f>
        <v>0</v>
      </c>
      <c r="S346" s="10">
        <f>IF(A346=A347,(N346-N347)/N347,0)</f>
        <v>0.2195121951219513</v>
      </c>
      <c r="T346" s="10">
        <f>IF(L346&gt;2005,(((N346-N366)/N366)+1)^(1/5)-1,0)</f>
        <v>0</v>
      </c>
      <c r="U346" s="10">
        <f t="shared" si="14"/>
        <v>0</v>
      </c>
      <c r="V346" s="26">
        <f t="shared" si="15"/>
        <v>0</v>
      </c>
      <c r="W346" s="3">
        <f>IF(A346=A347,N346-N347,0)</f>
        <v>4.5000000000000012E-2</v>
      </c>
      <c r="X346" s="10">
        <f>IF(A346=A347,(N346-N347)/N347,0)</f>
        <v>0.2195121951219513</v>
      </c>
    </row>
    <row r="347" spans="1:24" ht="16.5" customHeight="1">
      <c r="A347" s="3" t="s">
        <v>27</v>
      </c>
      <c r="B347" s="3">
        <f t="shared" si="8"/>
        <v>2005</v>
      </c>
      <c r="C347" s="3">
        <f t="shared" si="9"/>
        <v>4</v>
      </c>
      <c r="D347" s="20" t="str">
        <f t="shared" si="10"/>
        <v>CAT20054</v>
      </c>
      <c r="E347" s="2">
        <v>38463</v>
      </c>
      <c r="F347" s="3">
        <v>0.41</v>
      </c>
      <c r="G347" s="2">
        <v>38492</v>
      </c>
      <c r="H347" s="3">
        <v>1.8599999999999998E-2</v>
      </c>
      <c r="I347" s="3">
        <v>0</v>
      </c>
      <c r="J347" s="3">
        <v>0</v>
      </c>
      <c r="K347" s="3">
        <f t="shared" si="11"/>
        <v>2005</v>
      </c>
      <c r="L347" s="3">
        <f t="shared" si="12"/>
        <v>0</v>
      </c>
      <c r="M347" s="20" t="str">
        <f>A347&amp;L347</f>
        <v>CAT0</v>
      </c>
      <c r="N347" s="3">
        <f>F347/2</f>
        <v>0.20499999999999999</v>
      </c>
      <c r="O347" s="9">
        <f>H347</f>
        <v>1.8599999999999998E-2</v>
      </c>
      <c r="P347" s="10">
        <f t="shared" si="13"/>
        <v>0</v>
      </c>
      <c r="Q347" s="10">
        <f>IF(K347=0,IF(A344=A347,AVERAGE(O344:O347),"x"),0)</f>
        <v>0</v>
      </c>
      <c r="R347" s="9">
        <f>IF(L347&gt;2005,AVERAGE(O344:O363),0)</f>
        <v>0</v>
      </c>
      <c r="S347" s="10">
        <f>IF(A347=A348,(N347-N348)/N348,0)</f>
        <v>0</v>
      </c>
      <c r="T347" s="10">
        <f>IF(L347&gt;2005,(((N347-N367)/N367)+1)^(1/5)-1,0)</f>
        <v>0</v>
      </c>
      <c r="U347" s="10">
        <f t="shared" si="14"/>
        <v>0</v>
      </c>
      <c r="V347" s="26">
        <f t="shared" si="15"/>
        <v>0</v>
      </c>
      <c r="W347" s="3">
        <f>IF(A347=A348,N347-N348,0)</f>
        <v>0</v>
      </c>
      <c r="X347" s="10">
        <f>IF(A347=A348,(N347-N348)/N348,0)</f>
        <v>0</v>
      </c>
    </row>
    <row r="348" spans="1:24" ht="16.5" customHeight="1">
      <c r="A348" s="3" t="s">
        <v>27</v>
      </c>
      <c r="B348" s="3">
        <f t="shared" si="8"/>
        <v>2005</v>
      </c>
      <c r="C348" s="3">
        <f t="shared" si="9"/>
        <v>1</v>
      </c>
      <c r="D348" s="20" t="str">
        <f t="shared" si="10"/>
        <v>CAT20051</v>
      </c>
      <c r="E348" s="2">
        <v>38370</v>
      </c>
      <c r="F348" s="3">
        <v>0.41</v>
      </c>
      <c r="G348" s="2">
        <v>38402</v>
      </c>
      <c r="H348" s="3">
        <v>1.7100000000000001E-2</v>
      </c>
      <c r="I348" s="3">
        <v>0</v>
      </c>
      <c r="J348" s="3">
        <v>0</v>
      </c>
      <c r="K348" s="3">
        <f t="shared" si="11"/>
        <v>0</v>
      </c>
      <c r="L348" s="3">
        <f t="shared" si="12"/>
        <v>2005</v>
      </c>
      <c r="M348" s="20" t="str">
        <f>A348&amp;L348</f>
        <v>CAT2005</v>
      </c>
      <c r="N348" s="3">
        <f>F348/2</f>
        <v>0.20499999999999999</v>
      </c>
      <c r="O348" s="9">
        <f>H348</f>
        <v>1.7100000000000001E-2</v>
      </c>
      <c r="P348" s="10">
        <f t="shared" si="13"/>
        <v>0</v>
      </c>
      <c r="Q348" s="10">
        <f>IF(K348=0,IF(A345=A348,AVERAGE(O345:O348),"x"),0)</f>
        <v>1.7075E-2</v>
      </c>
      <c r="R348" s="9">
        <f>IF(L348&gt;2005,AVERAGE(O345:O364),0)</f>
        <v>0</v>
      </c>
      <c r="S348" s="10">
        <f>IF(A348=A349,(N348-N349)/N349,0)</f>
        <v>0</v>
      </c>
      <c r="T348" s="10">
        <f>IF(L348&gt;2005,(((N348-N368)/N368)+1)^(1/5)-1,0)</f>
        <v>0</v>
      </c>
      <c r="U348" s="10">
        <f t="shared" si="14"/>
        <v>0</v>
      </c>
      <c r="V348" s="26">
        <f t="shared" si="15"/>
        <v>0</v>
      </c>
      <c r="W348" s="3">
        <f>IF(A348=A349,N348-N349,0)</f>
        <v>0</v>
      </c>
      <c r="X348" s="10">
        <f>IF(A348=A349,(N348-N349)/N349,0)</f>
        <v>0</v>
      </c>
    </row>
    <row r="349" spans="1:24" ht="16.5" customHeight="1">
      <c r="A349" s="3" t="s">
        <v>27</v>
      </c>
      <c r="B349" s="3">
        <f t="shared" si="8"/>
        <v>2004</v>
      </c>
      <c r="C349" s="3">
        <f t="shared" si="9"/>
        <v>10</v>
      </c>
      <c r="D349" s="20" t="str">
        <f t="shared" si="10"/>
        <v>CAT200410</v>
      </c>
      <c r="E349" s="2">
        <v>38281</v>
      </c>
      <c r="F349" s="3">
        <v>0.41</v>
      </c>
      <c r="G349" s="2">
        <v>38311</v>
      </c>
      <c r="H349" s="3">
        <v>1.9300000000000001E-2</v>
      </c>
      <c r="I349" s="3">
        <v>0</v>
      </c>
      <c r="J349" s="3">
        <v>0</v>
      </c>
      <c r="K349" s="3">
        <f t="shared" si="11"/>
        <v>2004</v>
      </c>
      <c r="L349" s="3">
        <f t="shared" si="12"/>
        <v>0</v>
      </c>
      <c r="M349" s="20" t="str">
        <f>A349&amp;L349</f>
        <v>CAT0</v>
      </c>
      <c r="N349" s="3">
        <f>F349/2</f>
        <v>0.20499999999999999</v>
      </c>
      <c r="O349" s="9">
        <f>H349</f>
        <v>1.9300000000000001E-2</v>
      </c>
      <c r="P349" s="10">
        <f t="shared" si="13"/>
        <v>0</v>
      </c>
      <c r="Q349" s="10">
        <f>IF(K349=0,IF(A346=A349,AVERAGE(O346:O349),"x"),0)</f>
        <v>0</v>
      </c>
      <c r="R349" s="9">
        <f>IF(L349&gt;2005,AVERAGE(O346:O365),0)</f>
        <v>0</v>
      </c>
      <c r="S349" s="10">
        <f>IF(A349=A350,(N349-N350)/N350,0)</f>
        <v>0</v>
      </c>
      <c r="T349" s="10">
        <f>IF(L349&gt;2005,(((N349-N369)/N369)+1)^(1/5)-1,0)</f>
        <v>0</v>
      </c>
      <c r="U349" s="10">
        <f t="shared" si="14"/>
        <v>0</v>
      </c>
      <c r="V349" s="26">
        <f t="shared" si="15"/>
        <v>0</v>
      </c>
      <c r="W349" s="3">
        <f>IF(A349=A350,N349-N350,0)</f>
        <v>0</v>
      </c>
      <c r="X349" s="10">
        <f>IF(A349=A350,(N349-N350)/N350,0)</f>
        <v>0</v>
      </c>
    </row>
    <row r="350" spans="1:24" ht="16.5" customHeight="1">
      <c r="A350" s="3" t="s">
        <v>27</v>
      </c>
      <c r="B350" s="3">
        <f t="shared" si="8"/>
        <v>2004</v>
      </c>
      <c r="C350" s="3">
        <f t="shared" si="9"/>
        <v>7</v>
      </c>
      <c r="D350" s="20" t="str">
        <f t="shared" si="10"/>
        <v>CAT20047</v>
      </c>
      <c r="E350" s="2">
        <v>38184</v>
      </c>
      <c r="F350" s="3">
        <v>0.41</v>
      </c>
      <c r="G350" s="2">
        <v>38219</v>
      </c>
      <c r="H350" s="3">
        <v>1.9099999999999999E-2</v>
      </c>
      <c r="I350" s="3">
        <v>0.10810810799999999</v>
      </c>
      <c r="J350" s="3">
        <v>0.04</v>
      </c>
      <c r="K350" s="3">
        <f t="shared" si="11"/>
        <v>2004</v>
      </c>
      <c r="L350" s="3">
        <f t="shared" si="12"/>
        <v>0</v>
      </c>
      <c r="M350" s="20" t="str">
        <f>A350&amp;L350</f>
        <v>CAT0</v>
      </c>
      <c r="N350" s="3">
        <f>F350/2</f>
        <v>0.20499999999999999</v>
      </c>
      <c r="O350" s="9">
        <f>H350</f>
        <v>1.9099999999999999E-2</v>
      </c>
      <c r="P350" s="10">
        <f t="shared" si="13"/>
        <v>1.8074999999999997E-2</v>
      </c>
      <c r="Q350" s="10">
        <f>IF(K350=0,IF(A347=A350,AVERAGE(O347:O350),"x"),0)</f>
        <v>0</v>
      </c>
      <c r="R350" s="9">
        <f>IF(L350&gt;2005,AVERAGE(O347:O366),0)</f>
        <v>0</v>
      </c>
      <c r="S350" s="10">
        <f>IF(A350=A351,(N350-N351)/N351,0)</f>
        <v>0.10810810810810806</v>
      </c>
      <c r="T350" s="10">
        <f>IF(L350&gt;2005,(((N350-N370)/N370)+1)^(1/5)-1,0)</f>
        <v>0</v>
      </c>
      <c r="U350" s="10">
        <f t="shared" si="14"/>
        <v>0</v>
      </c>
      <c r="V350" s="26">
        <f t="shared" si="15"/>
        <v>0</v>
      </c>
      <c r="W350" s="3">
        <f>IF(A350=A351,N350-N351,0)</f>
        <v>1.999999999999999E-2</v>
      </c>
      <c r="X350" s="10">
        <f>IF(A350=A351,(N350-N351)/N351,0)</f>
        <v>0.10810810810810806</v>
      </c>
    </row>
    <row r="351" spans="1:24" ht="16.5" customHeight="1">
      <c r="A351" s="3" t="s">
        <v>27</v>
      </c>
      <c r="B351" s="3">
        <f t="shared" si="8"/>
        <v>2004</v>
      </c>
      <c r="C351" s="3">
        <f t="shared" si="9"/>
        <v>4</v>
      </c>
      <c r="D351" s="20" t="str">
        <f t="shared" si="10"/>
        <v>CAT20044</v>
      </c>
      <c r="E351" s="2">
        <v>38099</v>
      </c>
      <c r="F351" s="3">
        <v>0.37</v>
      </c>
      <c r="G351" s="2">
        <v>38127</v>
      </c>
      <c r="H351" s="3">
        <v>1.7999999999999999E-2</v>
      </c>
      <c r="I351" s="3">
        <v>0</v>
      </c>
      <c r="J351" s="3">
        <v>0</v>
      </c>
      <c r="K351" s="3">
        <f t="shared" si="11"/>
        <v>2004</v>
      </c>
      <c r="L351" s="3">
        <f t="shared" si="12"/>
        <v>0</v>
      </c>
      <c r="M351" s="20" t="str">
        <f>A351&amp;L351</f>
        <v>CAT0</v>
      </c>
      <c r="N351" s="3">
        <f>F351/2</f>
        <v>0.185</v>
      </c>
      <c r="O351" s="9">
        <f>H351</f>
        <v>1.7999999999999999E-2</v>
      </c>
      <c r="P351" s="10">
        <f t="shared" si="13"/>
        <v>0</v>
      </c>
      <c r="Q351" s="10">
        <f>IF(K351=0,IF(A348=A351,AVERAGE(O348:O351),"x"),0)</f>
        <v>0</v>
      </c>
      <c r="R351" s="9">
        <f>IF(L351&gt;2005,AVERAGE(O348:O367),0)</f>
        <v>0</v>
      </c>
      <c r="S351" s="10">
        <f>IF(A351=A352,(N351-N352)/N352,0)</f>
        <v>0</v>
      </c>
      <c r="T351" s="10">
        <f>IF(L351&gt;2005,(((N351-N371)/N371)+1)^(1/5)-1,0)</f>
        <v>0</v>
      </c>
      <c r="U351" s="10">
        <f t="shared" si="14"/>
        <v>0</v>
      </c>
      <c r="V351" s="26">
        <f t="shared" si="15"/>
        <v>0</v>
      </c>
      <c r="W351" s="3">
        <f>IF(A351=A352,N351-N352,0)</f>
        <v>0</v>
      </c>
      <c r="X351" s="10">
        <f>IF(A351=A352,(N351-N352)/N352,0)</f>
        <v>0</v>
      </c>
    </row>
    <row r="352" spans="1:24" ht="16.5" customHeight="1">
      <c r="A352" s="3" t="s">
        <v>27</v>
      </c>
      <c r="B352" s="3">
        <f t="shared" si="8"/>
        <v>2004</v>
      </c>
      <c r="C352" s="3">
        <f t="shared" si="9"/>
        <v>1</v>
      </c>
      <c r="D352" s="20" t="str">
        <f t="shared" si="10"/>
        <v>CAT20041</v>
      </c>
      <c r="E352" s="2">
        <v>38001</v>
      </c>
      <c r="F352" s="3">
        <v>0.37</v>
      </c>
      <c r="G352" s="2">
        <v>38037</v>
      </c>
      <c r="H352" s="3">
        <v>1.72E-2</v>
      </c>
      <c r="I352" s="3">
        <v>0</v>
      </c>
      <c r="J352" s="3">
        <v>0</v>
      </c>
      <c r="K352" s="3">
        <f t="shared" si="11"/>
        <v>0</v>
      </c>
      <c r="L352" s="3">
        <f t="shared" si="12"/>
        <v>2004</v>
      </c>
      <c r="M352" s="20" t="str">
        <f>A352&amp;L352</f>
        <v>CAT2004</v>
      </c>
      <c r="N352" s="3">
        <f>F352/2</f>
        <v>0.185</v>
      </c>
      <c r="O352" s="9">
        <f>H352</f>
        <v>1.72E-2</v>
      </c>
      <c r="P352" s="10">
        <f t="shared" si="13"/>
        <v>0</v>
      </c>
      <c r="Q352" s="10">
        <f>IF(K352=0,IF(A349=A352,AVERAGE(O349:O352),"x"),0)</f>
        <v>1.84E-2</v>
      </c>
      <c r="R352" s="9">
        <f>IF(L352&gt;2005,AVERAGE(O349:O368),0)</f>
        <v>0</v>
      </c>
      <c r="S352" s="10">
        <f>IF(A352=A353,(N352-N353)/N353,0)</f>
        <v>0</v>
      </c>
      <c r="T352" s="10">
        <f>IF(L352&gt;2005,(((N352-N372)/N372)+1)^(1/5)-1,0)</f>
        <v>0</v>
      </c>
      <c r="U352" s="10">
        <f t="shared" si="14"/>
        <v>0</v>
      </c>
      <c r="V352" s="26">
        <f t="shared" si="15"/>
        <v>0</v>
      </c>
      <c r="W352" s="3">
        <f>IF(A352=A353,N352-N353,0)</f>
        <v>0</v>
      </c>
      <c r="X352" s="10">
        <f>IF(A352=A353,(N352-N353)/N353,0)</f>
        <v>0</v>
      </c>
    </row>
    <row r="353" spans="1:24" ht="16.5" customHeight="1">
      <c r="A353" s="3" t="s">
        <v>27</v>
      </c>
      <c r="B353" s="3">
        <f t="shared" si="8"/>
        <v>2003</v>
      </c>
      <c r="C353" s="3">
        <f t="shared" si="9"/>
        <v>10</v>
      </c>
      <c r="D353" s="20" t="str">
        <f t="shared" si="10"/>
        <v>CAT200310</v>
      </c>
      <c r="E353" s="2">
        <v>37910</v>
      </c>
      <c r="F353" s="3">
        <v>0.37</v>
      </c>
      <c r="G353" s="2">
        <v>37945</v>
      </c>
      <c r="H353" s="3">
        <v>1.7999999999999999E-2</v>
      </c>
      <c r="I353" s="3">
        <v>5.7142856999999998E-2</v>
      </c>
      <c r="J353" s="3">
        <v>0.02</v>
      </c>
      <c r="K353" s="3">
        <f t="shared" si="11"/>
        <v>2003</v>
      </c>
      <c r="L353" s="3">
        <f t="shared" si="12"/>
        <v>0</v>
      </c>
      <c r="M353" s="20" t="str">
        <f>A353&amp;L353</f>
        <v>CAT0</v>
      </c>
      <c r="N353" s="3">
        <f>F353/2</f>
        <v>0.185</v>
      </c>
      <c r="O353" s="9">
        <f>H353</f>
        <v>1.7999999999999999E-2</v>
      </c>
      <c r="P353" s="10">
        <f t="shared" si="13"/>
        <v>2.4550000000000002E-2</v>
      </c>
      <c r="Q353" s="10">
        <f>IF(K353=0,IF(A350=A353,AVERAGE(O350:O353),"x"),0)</f>
        <v>0</v>
      </c>
      <c r="R353" s="9">
        <f>IF(L353&gt;2005,AVERAGE(O350:O369),0)</f>
        <v>0</v>
      </c>
      <c r="S353" s="10">
        <f>IF(A353=A354,(N353-N354)/N354,0)</f>
        <v>5.7142857142857197E-2</v>
      </c>
      <c r="T353" s="10">
        <f>IF(L353&gt;2005,(((N353-N373)/N373)+1)^(1/5)-1,0)</f>
        <v>0</v>
      </c>
      <c r="U353" s="10">
        <f t="shared" si="14"/>
        <v>0</v>
      </c>
      <c r="V353" s="26">
        <f t="shared" si="15"/>
        <v>0</v>
      </c>
      <c r="W353" s="3">
        <f>IF(A353=A354,N353-N354,0)</f>
        <v>1.0000000000000009E-2</v>
      </c>
      <c r="X353" s="10">
        <f>IF(A353=A354,(N353-N354)/N354,0)</f>
        <v>5.7142857142857197E-2</v>
      </c>
    </row>
    <row r="354" spans="1:24" ht="16.5" customHeight="1">
      <c r="A354" s="3" t="s">
        <v>27</v>
      </c>
      <c r="B354" s="3">
        <f t="shared" si="8"/>
        <v>2003</v>
      </c>
      <c r="C354" s="3">
        <f t="shared" si="9"/>
        <v>7</v>
      </c>
      <c r="D354" s="20" t="str">
        <f t="shared" si="10"/>
        <v>CAT20037</v>
      </c>
      <c r="E354" s="2">
        <v>37819</v>
      </c>
      <c r="F354" s="3">
        <v>0.35</v>
      </c>
      <c r="G354" s="2">
        <v>37853</v>
      </c>
      <c r="H354" s="3">
        <v>2.3900000000000001E-2</v>
      </c>
      <c r="I354" s="3">
        <v>0</v>
      </c>
      <c r="J354" s="3">
        <v>0</v>
      </c>
      <c r="K354" s="3">
        <f t="shared" si="11"/>
        <v>2003</v>
      </c>
      <c r="L354" s="3">
        <f t="shared" si="12"/>
        <v>0</v>
      </c>
      <c r="M354" s="20" t="str">
        <f>A354&amp;L354</f>
        <v>CAT0</v>
      </c>
      <c r="N354" s="3">
        <f>F354/2</f>
        <v>0.17499999999999999</v>
      </c>
      <c r="O354" s="9">
        <f>H354</f>
        <v>2.3900000000000001E-2</v>
      </c>
      <c r="P354" s="10">
        <f t="shared" si="13"/>
        <v>0</v>
      </c>
      <c r="Q354" s="10">
        <f>IF(K354=0,IF(A351=A354,AVERAGE(O351:O354),"x"),0)</f>
        <v>0</v>
      </c>
      <c r="R354" s="9">
        <f>IF(L354&gt;2005,AVERAGE(O351:O370),0)</f>
        <v>0</v>
      </c>
      <c r="S354" s="10">
        <f>IF(A354=A355,(N354-N355)/N355,0)</f>
        <v>0</v>
      </c>
      <c r="T354" s="10">
        <f>IF(L354&gt;2005,(((N354-N374)/N374)+1)^(1/5)-1,0)</f>
        <v>0</v>
      </c>
      <c r="U354" s="10">
        <f t="shared" si="14"/>
        <v>0</v>
      </c>
      <c r="V354" s="26">
        <f t="shared" si="15"/>
        <v>0</v>
      </c>
      <c r="W354" s="3">
        <f>IF(A354=A355,N354-N355,0)</f>
        <v>0</v>
      </c>
      <c r="X354" s="10">
        <f>IF(A354=A355,(N354-N355)/N355,0)</f>
        <v>0</v>
      </c>
    </row>
    <row r="355" spans="1:24" ht="16.5" customHeight="1">
      <c r="A355" s="3" t="s">
        <v>27</v>
      </c>
      <c r="B355" s="3">
        <f t="shared" si="8"/>
        <v>2003</v>
      </c>
      <c r="C355" s="3">
        <f t="shared" si="9"/>
        <v>4</v>
      </c>
      <c r="D355" s="20" t="str">
        <f t="shared" si="10"/>
        <v>CAT20034</v>
      </c>
      <c r="E355" s="2">
        <v>37727</v>
      </c>
      <c r="F355" s="3">
        <v>0.35</v>
      </c>
      <c r="G355" s="2">
        <v>37761</v>
      </c>
      <c r="H355" s="3">
        <v>2.6599999999999999E-2</v>
      </c>
      <c r="I355" s="3">
        <v>0</v>
      </c>
      <c r="J355" s="3">
        <v>0</v>
      </c>
      <c r="K355" s="3">
        <f t="shared" si="11"/>
        <v>2003</v>
      </c>
      <c r="L355" s="3">
        <f t="shared" si="12"/>
        <v>0</v>
      </c>
      <c r="M355" s="20" t="str">
        <f>A355&amp;L355</f>
        <v>CAT0</v>
      </c>
      <c r="N355" s="3">
        <f>F355/2</f>
        <v>0.17499999999999999</v>
      </c>
      <c r="O355" s="9">
        <f>H355</f>
        <v>2.6599999999999999E-2</v>
      </c>
      <c r="P355" s="10">
        <f t="shared" si="13"/>
        <v>0</v>
      </c>
      <c r="Q355" s="10">
        <f>IF(K355=0,IF(A352=A355,AVERAGE(O352:O355),"x"),0)</f>
        <v>0</v>
      </c>
      <c r="R355" s="9">
        <f>IF(L355&gt;2005,AVERAGE(O352:O371),0)</f>
        <v>0</v>
      </c>
      <c r="S355" s="10">
        <f>IF(A355=A356,(N355-N356)/N356,0)</f>
        <v>0</v>
      </c>
      <c r="T355" s="10">
        <f>IF(L355&gt;2005,(((N355-N375)/N375)+1)^(1/5)-1,0)</f>
        <v>0</v>
      </c>
      <c r="U355" s="10">
        <f t="shared" si="14"/>
        <v>0</v>
      </c>
      <c r="V355" s="26">
        <f t="shared" si="15"/>
        <v>0</v>
      </c>
      <c r="W355" s="3">
        <f>IF(A355=A356,N355-N356,0)</f>
        <v>0</v>
      </c>
      <c r="X355" s="10">
        <f>IF(A355=A356,(N355-N356)/N356,0)</f>
        <v>0</v>
      </c>
    </row>
    <row r="356" spans="1:24" ht="16.5" customHeight="1">
      <c r="A356" s="3" t="s">
        <v>27</v>
      </c>
      <c r="B356" s="3">
        <f t="shared" si="8"/>
        <v>2003</v>
      </c>
      <c r="C356" s="3">
        <f t="shared" si="9"/>
        <v>1</v>
      </c>
      <c r="D356" s="20" t="str">
        <f t="shared" si="10"/>
        <v>CAT20031</v>
      </c>
      <c r="E356" s="2">
        <v>37637</v>
      </c>
      <c r="F356" s="3">
        <v>0.35</v>
      </c>
      <c r="G356" s="2">
        <v>37672</v>
      </c>
      <c r="H356" s="3">
        <v>2.9700000000000001E-2</v>
      </c>
      <c r="I356" s="3">
        <v>0</v>
      </c>
      <c r="J356" s="3">
        <v>0</v>
      </c>
      <c r="K356" s="3">
        <f t="shared" si="11"/>
        <v>0</v>
      </c>
      <c r="L356" s="3">
        <f t="shared" si="12"/>
        <v>2003</v>
      </c>
      <c r="M356" s="20" t="str">
        <f>A356&amp;L356</f>
        <v>CAT2003</v>
      </c>
      <c r="N356" s="3">
        <f>F356/2</f>
        <v>0.17499999999999999</v>
      </c>
      <c r="O356" s="9">
        <f>H356</f>
        <v>2.9700000000000001E-2</v>
      </c>
      <c r="P356" s="10">
        <f t="shared" si="13"/>
        <v>0</v>
      </c>
      <c r="Q356" s="10">
        <f>IF(K356=0,IF(A353=A356,AVERAGE(O353:O356),"x"),0)</f>
        <v>2.4550000000000002E-2</v>
      </c>
      <c r="R356" s="9">
        <f>IF(L356&gt;2005,AVERAGE(O353:O372),0)</f>
        <v>0</v>
      </c>
      <c r="S356" s="10">
        <f>IF(A356=A357,(N356-N357)/N357,0)</f>
        <v>0</v>
      </c>
      <c r="T356" s="10">
        <f>IF(L356&gt;2005,(((N356-N376)/N376)+1)^(1/5)-1,0)</f>
        <v>0</v>
      </c>
      <c r="U356" s="10">
        <f t="shared" si="14"/>
        <v>0</v>
      </c>
      <c r="V356" s="26">
        <f t="shared" si="15"/>
        <v>0</v>
      </c>
      <c r="W356" s="3">
        <f>IF(A356=A357,N356-N357,0)</f>
        <v>0</v>
      </c>
      <c r="X356" s="10">
        <f>IF(A356=A357,(N356-N357)/N357,0)</f>
        <v>0</v>
      </c>
    </row>
    <row r="357" spans="1:24" ht="16.5" customHeight="1">
      <c r="A357" s="3" t="s">
        <v>27</v>
      </c>
      <c r="B357" s="3">
        <f t="shared" si="8"/>
        <v>2002</v>
      </c>
      <c r="C357" s="3">
        <f t="shared" si="9"/>
        <v>10</v>
      </c>
      <c r="D357" s="20" t="str">
        <f t="shared" si="10"/>
        <v>CAT200210</v>
      </c>
      <c r="E357" s="2">
        <v>37546</v>
      </c>
      <c r="F357" s="3">
        <v>0.35</v>
      </c>
      <c r="G357" s="2">
        <v>37580</v>
      </c>
      <c r="H357" s="3">
        <v>3.61E-2</v>
      </c>
      <c r="I357" s="3">
        <v>0</v>
      </c>
      <c r="J357" s="3">
        <v>0</v>
      </c>
      <c r="K357" s="3">
        <f t="shared" si="11"/>
        <v>2002</v>
      </c>
      <c r="L357" s="3">
        <f t="shared" si="12"/>
        <v>0</v>
      </c>
      <c r="M357" s="20" t="str">
        <f>A357&amp;L357</f>
        <v>CAT0</v>
      </c>
      <c r="N357" s="3">
        <f>F357/2</f>
        <v>0.17499999999999999</v>
      </c>
      <c r="O357" s="9">
        <f>H357</f>
        <v>3.61E-2</v>
      </c>
      <c r="P357" s="10">
        <f t="shared" si="13"/>
        <v>0</v>
      </c>
      <c r="Q357" s="10">
        <f>IF(K357=0,IF(A354=A357,AVERAGE(O354:O357),"x"),0)</f>
        <v>0</v>
      </c>
      <c r="R357" s="9">
        <f>IF(L357&gt;2005,AVERAGE(O354:O373),0)</f>
        <v>0</v>
      </c>
      <c r="S357" s="10">
        <f>IF(A357=A358,(N357-N358)/N358,0)</f>
        <v>0</v>
      </c>
      <c r="T357" s="10">
        <f>IF(L357&gt;2005,(((N357-N377)/N377)+1)^(1/5)-1,0)</f>
        <v>0</v>
      </c>
      <c r="U357" s="10">
        <f t="shared" si="14"/>
        <v>0</v>
      </c>
      <c r="V357" s="26">
        <f t="shared" si="15"/>
        <v>0</v>
      </c>
      <c r="W357" s="3">
        <f>IF(A357=A358,N357-N358,0)</f>
        <v>0</v>
      </c>
      <c r="X357" s="10">
        <f>IF(A357=A358,(N357-N358)/N358,0)</f>
        <v>0</v>
      </c>
    </row>
    <row r="358" spans="1:24" ht="16.5" customHeight="1">
      <c r="A358" s="3" t="s">
        <v>27</v>
      </c>
      <c r="B358" s="3">
        <f t="shared" si="8"/>
        <v>2002</v>
      </c>
      <c r="C358" s="3">
        <f t="shared" si="9"/>
        <v>7</v>
      </c>
      <c r="D358" s="20" t="str">
        <f t="shared" si="10"/>
        <v>CAT20027</v>
      </c>
      <c r="E358" s="2">
        <v>37455</v>
      </c>
      <c r="F358" s="3">
        <v>0.35</v>
      </c>
      <c r="G358" s="2">
        <v>37488</v>
      </c>
      <c r="H358" s="3">
        <v>3.2399999999999998E-2</v>
      </c>
      <c r="I358" s="3">
        <v>0</v>
      </c>
      <c r="J358" s="3">
        <v>0</v>
      </c>
      <c r="K358" s="3">
        <f t="shared" si="11"/>
        <v>2002</v>
      </c>
      <c r="L358" s="3">
        <f t="shared" si="12"/>
        <v>0</v>
      </c>
      <c r="M358" s="20" t="str">
        <f>A358&amp;L358</f>
        <v>CAT0</v>
      </c>
      <c r="N358" s="3">
        <f>F358/2</f>
        <v>0.17499999999999999</v>
      </c>
      <c r="O358" s="9">
        <f>H358</f>
        <v>3.2399999999999998E-2</v>
      </c>
      <c r="P358" s="10">
        <f t="shared" si="13"/>
        <v>0</v>
      </c>
      <c r="Q358" s="10">
        <f>IF(K358=0,IF(A355=A358,AVERAGE(O355:O358),"x"),0)</f>
        <v>0</v>
      </c>
      <c r="R358" s="9">
        <f>IF(L358&gt;2005,AVERAGE(O355:O374),0)</f>
        <v>0</v>
      </c>
      <c r="S358" s="10">
        <f>IF(A358=A359,(N358-N359)/N359,0)</f>
        <v>0</v>
      </c>
      <c r="T358" s="10">
        <f>IF(L358&gt;2005,(((N358-N378)/N378)+1)^(1/5)-1,0)</f>
        <v>0</v>
      </c>
      <c r="U358" s="10">
        <f t="shared" si="14"/>
        <v>0</v>
      </c>
      <c r="V358" s="26">
        <f t="shared" si="15"/>
        <v>0</v>
      </c>
      <c r="W358" s="3">
        <f>IF(A358=A359,N358-N359,0)</f>
        <v>0</v>
      </c>
      <c r="X358" s="10">
        <f>IF(A358=A359,(N358-N359)/N359,0)</f>
        <v>0</v>
      </c>
    </row>
    <row r="359" spans="1:24" ht="16.5" customHeight="1">
      <c r="A359" s="3" t="s">
        <v>27</v>
      </c>
      <c r="B359" s="3">
        <f t="shared" si="8"/>
        <v>2002</v>
      </c>
      <c r="C359" s="3">
        <f t="shared" si="9"/>
        <v>4</v>
      </c>
      <c r="D359" s="20" t="str">
        <f t="shared" si="10"/>
        <v>CAT20024</v>
      </c>
      <c r="E359" s="2">
        <v>37364</v>
      </c>
      <c r="F359" s="3">
        <v>0.35</v>
      </c>
      <c r="G359" s="2">
        <v>37396</v>
      </c>
      <c r="H359" s="3">
        <v>2.5100000000000001E-2</v>
      </c>
      <c r="I359" s="3">
        <v>0</v>
      </c>
      <c r="J359" s="3">
        <v>0</v>
      </c>
      <c r="K359" s="3">
        <f t="shared" si="11"/>
        <v>2002</v>
      </c>
      <c r="L359" s="3">
        <f t="shared" si="12"/>
        <v>0</v>
      </c>
      <c r="M359" s="20" t="str">
        <f>A359&amp;L359</f>
        <v>CAT0</v>
      </c>
      <c r="N359" s="3">
        <f>F359/2</f>
        <v>0.17499999999999999</v>
      </c>
      <c r="O359" s="9">
        <f>H359</f>
        <v>2.5100000000000001E-2</v>
      </c>
      <c r="P359" s="10">
        <f t="shared" si="13"/>
        <v>0</v>
      </c>
      <c r="Q359" s="10">
        <f>IF(K359=0,IF(A356=A359,AVERAGE(O356:O359),"x"),0)</f>
        <v>0</v>
      </c>
      <c r="R359" s="9">
        <f>IF(L359&gt;2005,AVERAGE(O356:O375),0)</f>
        <v>0</v>
      </c>
      <c r="S359" s="10">
        <f>IF(A359=A360,(N359-N360)/N360,0)</f>
        <v>0</v>
      </c>
      <c r="T359" s="10">
        <f>IF(L359&gt;2005,(((N359-N379)/N379)+1)^(1/5)-1,0)</f>
        <v>0</v>
      </c>
      <c r="U359" s="10">
        <f t="shared" si="14"/>
        <v>0</v>
      </c>
      <c r="V359" s="26">
        <f t="shared" si="15"/>
        <v>0</v>
      </c>
      <c r="W359" s="3">
        <f>IF(A359=A360,N359-N360,0)</f>
        <v>0</v>
      </c>
      <c r="X359" s="10">
        <f>IF(A359=A360,(N359-N360)/N360,0)</f>
        <v>0</v>
      </c>
    </row>
    <row r="360" spans="1:24" ht="16.5" customHeight="1">
      <c r="A360" s="3" t="s">
        <v>27</v>
      </c>
      <c r="B360" s="3">
        <f t="shared" si="8"/>
        <v>2002</v>
      </c>
      <c r="C360" s="3">
        <f t="shared" si="9"/>
        <v>1</v>
      </c>
      <c r="D360" s="20" t="str">
        <f t="shared" si="10"/>
        <v>CAT20021</v>
      </c>
      <c r="E360" s="2">
        <v>37273</v>
      </c>
      <c r="F360" s="3">
        <v>0.35</v>
      </c>
      <c r="G360" s="2">
        <v>37307</v>
      </c>
      <c r="H360" s="3">
        <v>2.8899999999999999E-2</v>
      </c>
      <c r="I360" s="3">
        <v>0</v>
      </c>
      <c r="J360" s="3">
        <v>0</v>
      </c>
      <c r="K360" s="3">
        <f t="shared" si="11"/>
        <v>0</v>
      </c>
      <c r="L360" s="3">
        <f t="shared" si="12"/>
        <v>2002</v>
      </c>
      <c r="M360" s="20" t="str">
        <f>A360&amp;L360</f>
        <v>CAT2002</v>
      </c>
      <c r="N360" s="3">
        <f>F360/2</f>
        <v>0.17499999999999999</v>
      </c>
      <c r="O360" s="9">
        <f>H360</f>
        <v>2.8899999999999999E-2</v>
      </c>
      <c r="P360" s="10">
        <f t="shared" si="13"/>
        <v>0</v>
      </c>
      <c r="Q360" s="10">
        <f>IF(K360=0,IF(A357=A360,AVERAGE(O357:O360),"x"),0)</f>
        <v>3.0624999999999999E-2</v>
      </c>
      <c r="R360" s="9">
        <f>IF(L360&gt;2005,AVERAGE(O357:O376),0)</f>
        <v>0</v>
      </c>
      <c r="S360" s="10">
        <f>IF(A360=A361,(N360-N361)/N361,0)</f>
        <v>0</v>
      </c>
      <c r="T360" s="10">
        <f>IF(L360&gt;2005,(((N360-N380)/N380)+1)^(1/5)-1,0)</f>
        <v>0</v>
      </c>
      <c r="U360" s="10">
        <f t="shared" si="14"/>
        <v>0</v>
      </c>
      <c r="V360" s="26">
        <f t="shared" si="15"/>
        <v>0</v>
      </c>
      <c r="W360" s="3">
        <f>IF(A360=A361,N360-N361,0)</f>
        <v>0</v>
      </c>
      <c r="X360" s="10">
        <f>IF(A360=A361,(N360-N361)/N361,0)</f>
        <v>0</v>
      </c>
    </row>
    <row r="361" spans="1:24" ht="16.5" customHeight="1">
      <c r="A361" s="3" t="s">
        <v>27</v>
      </c>
      <c r="B361" s="3">
        <f t="shared" si="8"/>
        <v>2001</v>
      </c>
      <c r="C361" s="3">
        <f t="shared" si="9"/>
        <v>10</v>
      </c>
      <c r="D361" s="20" t="str">
        <f t="shared" si="10"/>
        <v>CAT200110</v>
      </c>
      <c r="E361" s="2">
        <v>37182</v>
      </c>
      <c r="F361" s="3">
        <v>0.35</v>
      </c>
      <c r="G361" s="2">
        <v>37215</v>
      </c>
      <c r="H361" s="3">
        <v>2.9399999999999999E-2</v>
      </c>
      <c r="I361" s="3">
        <v>0</v>
      </c>
      <c r="J361" s="3">
        <v>0</v>
      </c>
      <c r="K361" s="3">
        <f t="shared" si="11"/>
        <v>2001</v>
      </c>
      <c r="L361" s="3">
        <f t="shared" si="12"/>
        <v>0</v>
      </c>
      <c r="M361" s="20" t="str">
        <f>A361&amp;L361</f>
        <v>CAT0</v>
      </c>
      <c r="N361" s="3">
        <f>F361/2</f>
        <v>0.17499999999999999</v>
      </c>
      <c r="O361" s="9">
        <f>H361</f>
        <v>2.9399999999999999E-2</v>
      </c>
      <c r="P361" s="10">
        <f t="shared" si="13"/>
        <v>0</v>
      </c>
      <c r="Q361" s="10">
        <f>IF(K361=0,IF(A358=A361,AVERAGE(O358:O361),"x"),0)</f>
        <v>0</v>
      </c>
      <c r="R361" s="9">
        <f>IF(L361&gt;2005,AVERAGE(O358:O377),0)</f>
        <v>0</v>
      </c>
      <c r="S361" s="10">
        <f>IF(A361=A362,(N361-N362)/N362,0)</f>
        <v>0</v>
      </c>
      <c r="T361" s="10">
        <f>IF(L361&gt;2005,(((N361-N381)/N381)+1)^(1/5)-1,0)</f>
        <v>0</v>
      </c>
      <c r="U361" s="10">
        <f t="shared" si="14"/>
        <v>0</v>
      </c>
      <c r="V361" s="26">
        <f t="shared" si="15"/>
        <v>0</v>
      </c>
      <c r="W361" s="3">
        <f>IF(A361=A362,N361-N362,0)</f>
        <v>0</v>
      </c>
      <c r="X361" s="10">
        <f>IF(A361=A362,(N361-N362)/N362,0)</f>
        <v>0</v>
      </c>
    </row>
    <row r="362" spans="1:24" ht="16.5" customHeight="1">
      <c r="A362" s="3" t="s">
        <v>27</v>
      </c>
      <c r="B362" s="3">
        <f t="shared" si="8"/>
        <v>2001</v>
      </c>
      <c r="C362" s="3">
        <f t="shared" si="9"/>
        <v>7</v>
      </c>
      <c r="D362" s="20" t="str">
        <f t="shared" si="10"/>
        <v>CAT20017</v>
      </c>
      <c r="E362" s="2">
        <v>37090</v>
      </c>
      <c r="F362" s="3">
        <v>0.35</v>
      </c>
      <c r="G362" s="2">
        <v>37123</v>
      </c>
      <c r="H362" s="3">
        <v>2.5600000000000001E-2</v>
      </c>
      <c r="I362" s="3">
        <v>2.9411764999999999E-2</v>
      </c>
      <c r="J362" s="3">
        <v>0.01</v>
      </c>
      <c r="K362" s="3">
        <f t="shared" si="11"/>
        <v>2001</v>
      </c>
      <c r="L362" s="3">
        <f t="shared" si="12"/>
        <v>0</v>
      </c>
      <c r="M362" s="20" t="str">
        <f>A362&amp;L362</f>
        <v>CAT0</v>
      </c>
      <c r="N362" s="3">
        <f>F362/2</f>
        <v>0.17499999999999999</v>
      </c>
      <c r="O362" s="9">
        <f>H362</f>
        <v>2.5600000000000001E-2</v>
      </c>
      <c r="P362" s="10">
        <f t="shared" si="13"/>
        <v>3.1799999999999995E-2</v>
      </c>
      <c r="Q362" s="10">
        <f>IF(K362=0,IF(A359=A362,AVERAGE(O359:O362),"x"),0)</f>
        <v>0</v>
      </c>
      <c r="R362" s="9">
        <f>IF(L362&gt;2005,AVERAGE(O359:O378),0)</f>
        <v>0</v>
      </c>
      <c r="S362" s="10">
        <f>IF(A362=A363,(N362-N363)/N363,0)</f>
        <v>2.9411764705882214E-2</v>
      </c>
      <c r="T362" s="10">
        <f>IF(L362&gt;2005,(((N362-N382)/N382)+1)^(1/5)-1,0)</f>
        <v>0</v>
      </c>
      <c r="U362" s="10">
        <f t="shared" si="14"/>
        <v>0</v>
      </c>
      <c r="V362" s="26">
        <f t="shared" si="15"/>
        <v>0</v>
      </c>
      <c r="W362" s="3">
        <f>IF(A362=A363,N362-N363,0)</f>
        <v>4.9999999999999767E-3</v>
      </c>
      <c r="X362" s="10">
        <f>IF(A362=A363,(N362-N363)/N363,0)</f>
        <v>2.9411764705882214E-2</v>
      </c>
    </row>
    <row r="363" spans="1:24" ht="16.5" customHeight="1">
      <c r="A363" s="3" t="s">
        <v>27</v>
      </c>
      <c r="B363" s="3">
        <f t="shared" si="8"/>
        <v>2001</v>
      </c>
      <c r="C363" s="3">
        <f t="shared" si="9"/>
        <v>4</v>
      </c>
      <c r="D363" s="20" t="str">
        <f t="shared" si="10"/>
        <v>CAT20014</v>
      </c>
      <c r="E363" s="2">
        <v>37000</v>
      </c>
      <c r="F363" s="3">
        <v>0.34</v>
      </c>
      <c r="G363" s="2">
        <v>37030</v>
      </c>
      <c r="H363" s="3">
        <v>2.81E-2</v>
      </c>
      <c r="I363" s="3">
        <v>0</v>
      </c>
      <c r="J363" s="3">
        <v>0</v>
      </c>
      <c r="K363" s="3">
        <f t="shared" si="11"/>
        <v>2001</v>
      </c>
      <c r="L363" s="3">
        <f t="shared" si="12"/>
        <v>0</v>
      </c>
      <c r="M363" s="20" t="str">
        <f>A363&amp;L363</f>
        <v>CAT0</v>
      </c>
      <c r="N363" s="3">
        <f>F363/2</f>
        <v>0.17</v>
      </c>
      <c r="O363" s="9">
        <f>H363</f>
        <v>2.81E-2</v>
      </c>
      <c r="P363" s="10">
        <f t="shared" si="13"/>
        <v>0</v>
      </c>
      <c r="Q363" s="10">
        <f>IF(K363=0,IF(A360=A363,AVERAGE(O360:O363),"x"),0)</f>
        <v>0</v>
      </c>
      <c r="R363" s="9">
        <f>IF(L363&gt;2005,AVERAGE(O360:O379),0)</f>
        <v>0</v>
      </c>
      <c r="S363" s="10">
        <f>IF(A363=A364,(N363-N364)/N364,0)</f>
        <v>0</v>
      </c>
      <c r="T363" s="10">
        <f>IF(L363&gt;2005,(((N363-N383)/N383)+1)^(1/5)-1,0)</f>
        <v>0</v>
      </c>
      <c r="U363" s="10">
        <f t="shared" si="14"/>
        <v>0</v>
      </c>
      <c r="V363" s="26">
        <f t="shared" si="15"/>
        <v>0</v>
      </c>
      <c r="W363" s="3">
        <f>IF(A363=A364,N363-N364,0)</f>
        <v>0</v>
      </c>
      <c r="X363" s="10">
        <f>IF(A363=A364,(N363-N364)/N364,0)</f>
        <v>0</v>
      </c>
    </row>
    <row r="364" spans="1:24" ht="16.5" customHeight="1">
      <c r="A364" s="3" t="s">
        <v>27</v>
      </c>
      <c r="B364" s="3">
        <f t="shared" si="8"/>
        <v>2001</v>
      </c>
      <c r="C364" s="3">
        <f t="shared" si="9"/>
        <v>1</v>
      </c>
      <c r="D364" s="20" t="str">
        <f t="shared" si="10"/>
        <v>CAT20011</v>
      </c>
      <c r="E364" s="2">
        <v>36909</v>
      </c>
      <c r="F364" s="3">
        <v>0.34</v>
      </c>
      <c r="G364" s="2">
        <v>36942</v>
      </c>
      <c r="H364" s="3">
        <v>2.9899999999999999E-2</v>
      </c>
      <c r="I364" s="3">
        <v>0</v>
      </c>
      <c r="J364" s="3">
        <v>0</v>
      </c>
      <c r="K364" s="3">
        <f t="shared" si="11"/>
        <v>0</v>
      </c>
      <c r="L364" s="3">
        <f t="shared" si="12"/>
        <v>2001</v>
      </c>
      <c r="M364" s="20" t="str">
        <f>A364&amp;L364</f>
        <v>CAT2001</v>
      </c>
      <c r="N364" s="3">
        <f>F364/2</f>
        <v>0.17</v>
      </c>
      <c r="O364" s="9">
        <f>H364</f>
        <v>2.9899999999999999E-2</v>
      </c>
      <c r="P364" s="10">
        <f t="shared" si="13"/>
        <v>0</v>
      </c>
      <c r="Q364" s="10">
        <f>IF(K364=0,IF(A361=A364,AVERAGE(O361:O364),"x"),0)</f>
        <v>2.8250000000000001E-2</v>
      </c>
      <c r="R364" s="9">
        <f>IF(L364&gt;2005,AVERAGE(O361:O380),0)</f>
        <v>0</v>
      </c>
      <c r="S364" s="10">
        <f>IF(A364=A365,(N364-N365)/N365,0)</f>
        <v>0</v>
      </c>
      <c r="T364" s="10">
        <f>IF(L364&gt;2005,(((N364-N384)/N384)+1)^(1/5)-1,0)</f>
        <v>0</v>
      </c>
      <c r="U364" s="10">
        <f t="shared" si="14"/>
        <v>0</v>
      </c>
      <c r="V364" s="26">
        <f t="shared" si="15"/>
        <v>0</v>
      </c>
      <c r="W364" s="3">
        <f>IF(A364=A365,N364-N365,0)</f>
        <v>0</v>
      </c>
      <c r="X364" s="10">
        <f>IF(A364=A365,(N364-N365)/N365,0)</f>
        <v>0</v>
      </c>
    </row>
    <row r="365" spans="1:24" ht="16.5" customHeight="1">
      <c r="A365" s="3" t="s">
        <v>27</v>
      </c>
      <c r="B365" s="3">
        <f t="shared" si="8"/>
        <v>2000</v>
      </c>
      <c r="C365" s="3">
        <f t="shared" si="9"/>
        <v>10</v>
      </c>
      <c r="D365" s="20" t="str">
        <f t="shared" si="10"/>
        <v>CAT200010</v>
      </c>
      <c r="E365" s="2">
        <v>36817</v>
      </c>
      <c r="F365" s="3">
        <v>0.34</v>
      </c>
      <c r="G365" s="2">
        <v>36850</v>
      </c>
      <c r="H365" s="3">
        <v>4.36E-2</v>
      </c>
      <c r="I365" s="3">
        <v>0</v>
      </c>
      <c r="J365" s="3">
        <v>0</v>
      </c>
      <c r="K365" s="3">
        <f t="shared" si="11"/>
        <v>2000</v>
      </c>
      <c r="L365" s="3">
        <f t="shared" si="12"/>
        <v>0</v>
      </c>
      <c r="M365" s="20" t="str">
        <f>A365&amp;L365</f>
        <v>CAT0</v>
      </c>
      <c r="N365" s="3">
        <f>F365/2</f>
        <v>0.17</v>
      </c>
      <c r="O365" s="9">
        <f>H365</f>
        <v>4.36E-2</v>
      </c>
      <c r="P365" s="10">
        <f t="shared" si="13"/>
        <v>0</v>
      </c>
      <c r="Q365" s="10">
        <f>IF(K365=0,IF(A362=A365,AVERAGE(O362:O365),"x"),0)</f>
        <v>0</v>
      </c>
      <c r="R365" s="9">
        <f>IF(L365&gt;2005,AVERAGE(O362:O381),0)</f>
        <v>0</v>
      </c>
      <c r="S365" s="10">
        <f>IF(A365=A366,(N365-N366)/N366,0)</f>
        <v>0</v>
      </c>
      <c r="T365" s="10">
        <f>IF(L365&gt;2005,(((N365-N385)/N385)+1)^(1/5)-1,0)</f>
        <v>0</v>
      </c>
      <c r="U365" s="10">
        <f t="shared" si="14"/>
        <v>0</v>
      </c>
      <c r="V365" s="26">
        <f t="shared" si="15"/>
        <v>0</v>
      </c>
      <c r="W365" s="3">
        <f>IF(A365=A366,N365-N366,0)</f>
        <v>0</v>
      </c>
      <c r="X365" s="10">
        <f>IF(A365=A366,(N365-N366)/N366,0)</f>
        <v>0</v>
      </c>
    </row>
    <row r="366" spans="1:24" ht="16.5" customHeight="1">
      <c r="A366" s="3" t="s">
        <v>27</v>
      </c>
      <c r="B366" s="3">
        <f t="shared" si="8"/>
        <v>2000</v>
      </c>
      <c r="C366" s="3">
        <f t="shared" si="9"/>
        <v>7</v>
      </c>
      <c r="D366" s="20" t="str">
        <f t="shared" si="10"/>
        <v>CAT20007</v>
      </c>
      <c r="E366" s="2">
        <v>36725</v>
      </c>
      <c r="F366" s="3">
        <v>0.34</v>
      </c>
      <c r="G366" s="2">
        <v>36757</v>
      </c>
      <c r="H366" s="3">
        <v>3.6799999999999999E-2</v>
      </c>
      <c r="I366" s="3">
        <v>4.6153845999999998E-2</v>
      </c>
      <c r="J366" s="3">
        <v>1.4999999999999999E-2</v>
      </c>
      <c r="K366" s="3">
        <f t="shared" si="11"/>
        <v>2000</v>
      </c>
      <c r="L366" s="3">
        <f t="shared" si="12"/>
        <v>0</v>
      </c>
      <c r="M366" s="20" t="str">
        <f>A366&amp;L366</f>
        <v>CAT0</v>
      </c>
      <c r="N366" s="3">
        <f>F366/2</f>
        <v>0.17</v>
      </c>
      <c r="O366" s="9">
        <f>H366</f>
        <v>3.6799999999999999E-2</v>
      </c>
      <c r="P366" s="10">
        <f t="shared" si="13"/>
        <v>3.0449999999999998E-2</v>
      </c>
      <c r="Q366" s="10">
        <f>IF(K366=0,IF(A363=A366,AVERAGE(O363:O366),"x"),0)</f>
        <v>0</v>
      </c>
      <c r="R366" s="9">
        <f>IF(L366&gt;2005,AVERAGE(O363:O382),0)</f>
        <v>0</v>
      </c>
      <c r="S366" s="10">
        <f>IF(A366=A367,(N366-N367)/N367,0)</f>
        <v>4.6153846153846191E-2</v>
      </c>
      <c r="T366" s="10">
        <f>IF(L366&gt;2005,(((N366-N386)/N386)+1)^(1/5)-1,0)</f>
        <v>0</v>
      </c>
      <c r="U366" s="10">
        <f t="shared" si="14"/>
        <v>0</v>
      </c>
      <c r="V366" s="26">
        <f t="shared" si="15"/>
        <v>0</v>
      </c>
      <c r="W366" s="3">
        <f>IF(A366=A367,N366-N367,0)</f>
        <v>7.5000000000000067E-3</v>
      </c>
      <c r="X366" s="10">
        <f>IF(A366=A367,(N366-N367)/N367,0)</f>
        <v>4.6153846153846191E-2</v>
      </c>
    </row>
    <row r="367" spans="1:24" ht="16.5" customHeight="1">
      <c r="A367" s="3" t="s">
        <v>27</v>
      </c>
      <c r="B367" s="3">
        <f t="shared" si="8"/>
        <v>2000</v>
      </c>
      <c r="C367" s="3">
        <f t="shared" si="9"/>
        <v>4</v>
      </c>
      <c r="D367" s="20" t="str">
        <f t="shared" si="10"/>
        <v>CAT20004</v>
      </c>
      <c r="E367" s="2">
        <v>36635</v>
      </c>
      <c r="F367" s="3">
        <v>0.32500000000000001</v>
      </c>
      <c r="G367" s="2">
        <v>36666</v>
      </c>
      <c r="H367" s="3">
        <v>3.2300000000000002E-2</v>
      </c>
      <c r="I367" s="3">
        <v>0</v>
      </c>
      <c r="J367" s="3">
        <v>0</v>
      </c>
      <c r="K367" s="3">
        <f t="shared" si="11"/>
        <v>2000</v>
      </c>
      <c r="L367" s="3">
        <f t="shared" si="12"/>
        <v>0</v>
      </c>
      <c r="M367" s="20" t="str">
        <f>A367&amp;L367</f>
        <v>CAT0</v>
      </c>
      <c r="N367" s="3">
        <f>F367/2</f>
        <v>0.16250000000000001</v>
      </c>
      <c r="O367" s="9">
        <f>H367</f>
        <v>3.2300000000000002E-2</v>
      </c>
      <c r="P367" s="10">
        <f t="shared" si="13"/>
        <v>0</v>
      </c>
      <c r="Q367" s="10">
        <f>IF(K367=0,IF(A364=A367,AVERAGE(O364:O367),"x"),0)</f>
        <v>0</v>
      </c>
      <c r="R367" s="9">
        <f>IF(L367&gt;2005,AVERAGE(O364:O383),0)</f>
        <v>0</v>
      </c>
      <c r="S367" s="10">
        <f>IF(A367=A368,(N367-N368)/N368,0)</f>
        <v>0</v>
      </c>
      <c r="T367" s="10">
        <f>IF(L367&gt;2005,(((N367-N387)/N387)+1)^(1/5)-1,0)</f>
        <v>0</v>
      </c>
      <c r="U367" s="10">
        <f t="shared" si="14"/>
        <v>0</v>
      </c>
      <c r="V367" s="26">
        <f t="shared" si="15"/>
        <v>0</v>
      </c>
      <c r="W367" s="3">
        <f>IF(A367=A368,N367-N368,0)</f>
        <v>0</v>
      </c>
      <c r="X367" s="10">
        <f>IF(A367=A368,(N367-N368)/N368,0)</f>
        <v>0</v>
      </c>
    </row>
    <row r="368" spans="1:24" ht="16.5" customHeight="1">
      <c r="A368" s="14" t="s">
        <v>27</v>
      </c>
      <c r="B368" s="3">
        <f t="shared" si="8"/>
        <v>2000</v>
      </c>
      <c r="C368" s="3">
        <f t="shared" si="9"/>
        <v>1</v>
      </c>
      <c r="D368" s="20" t="str">
        <f t="shared" si="10"/>
        <v>CAT20001</v>
      </c>
      <c r="E368" s="15">
        <v>36543</v>
      </c>
      <c r="F368" s="14">
        <v>0.32500000000000001</v>
      </c>
      <c r="G368" s="15">
        <v>36575</v>
      </c>
      <c r="H368" s="14">
        <v>2.4500000000000001E-2</v>
      </c>
      <c r="I368" s="14">
        <v>0</v>
      </c>
      <c r="J368" s="14">
        <v>0</v>
      </c>
      <c r="K368" s="3">
        <f t="shared" si="11"/>
        <v>0</v>
      </c>
      <c r="L368" s="3">
        <f t="shared" si="12"/>
        <v>2000</v>
      </c>
      <c r="M368" s="20" t="str">
        <f>A368&amp;L368</f>
        <v>CAT2000</v>
      </c>
      <c r="N368" s="14">
        <f>F368/2</f>
        <v>0.16250000000000001</v>
      </c>
      <c r="O368" s="9">
        <f>H368</f>
        <v>2.4500000000000001E-2</v>
      </c>
      <c r="P368" s="10">
        <f t="shared" si="13"/>
        <v>0</v>
      </c>
      <c r="Q368" s="10">
        <f>IF(K368=0,IF(A365=A368,AVERAGE(O365:O368),"x"),0)</f>
        <v>3.4299999999999997E-2</v>
      </c>
      <c r="R368" s="9">
        <f>IF(L368&gt;2005,AVERAGE(O365:O384),0)</f>
        <v>0</v>
      </c>
      <c r="S368" s="10">
        <f>IF(A368=A369,(N368-N369)/N369,0)</f>
        <v>0</v>
      </c>
      <c r="T368" s="10">
        <f>IF(L368&gt;2005,(((N368-N388)/N388)+1)^(1/5)-1,0)</f>
        <v>0</v>
      </c>
      <c r="U368" s="10">
        <f t="shared" si="14"/>
        <v>0</v>
      </c>
      <c r="V368" s="26">
        <f t="shared" si="15"/>
        <v>0</v>
      </c>
      <c r="W368" s="3">
        <f>IF(A368=A369,N368-N369,0)</f>
        <v>0</v>
      </c>
      <c r="X368" s="10">
        <f>IF(A368=A369,(N368-N369)/N369,0)</f>
        <v>0</v>
      </c>
    </row>
    <row r="369" spans="1:24" ht="16.5" customHeight="1">
      <c r="A369" s="3" t="s">
        <v>28</v>
      </c>
      <c r="B369" s="3">
        <f t="shared" si="8"/>
        <v>2022</v>
      </c>
      <c r="C369" s="3">
        <f t="shared" si="9"/>
        <v>10</v>
      </c>
      <c r="D369" s="20" t="str">
        <f t="shared" si="10"/>
        <v>PG202210</v>
      </c>
      <c r="E369" s="2">
        <v>44854</v>
      </c>
      <c r="F369" s="3">
        <v>0.9133</v>
      </c>
      <c r="G369" s="2">
        <v>44880</v>
      </c>
      <c r="H369" s="3">
        <v>2.8199999999999999E-2</v>
      </c>
      <c r="I369" s="3">
        <v>0</v>
      </c>
      <c r="J369" s="3">
        <v>0</v>
      </c>
      <c r="K369" s="3">
        <f t="shared" si="11"/>
        <v>2022</v>
      </c>
      <c r="L369" s="3">
        <f t="shared" si="12"/>
        <v>0</v>
      </c>
      <c r="M369" s="20" t="str">
        <f>A369&amp;L369</f>
        <v>PG0</v>
      </c>
      <c r="N369" s="3">
        <f>F369</f>
        <v>0.9133</v>
      </c>
      <c r="O369" s="9">
        <f>H369</f>
        <v>2.8199999999999999E-2</v>
      </c>
      <c r="P369" s="10">
        <f t="shared" si="13"/>
        <v>0</v>
      </c>
      <c r="Q369" s="10">
        <f>IF(K369=0,IF(A366=A369,AVERAGE(O366:O369),"x"),0)</f>
        <v>0</v>
      </c>
      <c r="R369" s="9">
        <f>IF(L369&gt;2005,AVERAGE(O366:O385),0)</f>
        <v>0</v>
      </c>
      <c r="S369" s="10">
        <f>IF(A369=A370,(N369-N370)/N370,0)</f>
        <v>0</v>
      </c>
      <c r="T369" s="10">
        <f>IF(L369&gt;2005,(((N369-N389)/N389)+1)^(1/5)-1,0)</f>
        <v>0</v>
      </c>
      <c r="U369" s="10">
        <f t="shared" si="14"/>
        <v>0</v>
      </c>
      <c r="V369" s="26">
        <f t="shared" si="15"/>
        <v>0</v>
      </c>
      <c r="W369" s="3">
        <f>IF(A369=A370,N369-N370,0)</f>
        <v>0</v>
      </c>
      <c r="X369" s="10">
        <f>IF(A369=A370,(N369-N370)/N370,0)</f>
        <v>0</v>
      </c>
    </row>
    <row r="370" spans="1:24" ht="16.5" customHeight="1">
      <c r="A370" s="3" t="s">
        <v>28</v>
      </c>
      <c r="B370" s="3">
        <f t="shared" si="8"/>
        <v>2022</v>
      </c>
      <c r="C370" s="3">
        <f t="shared" si="9"/>
        <v>7</v>
      </c>
      <c r="D370" s="20" t="str">
        <f t="shared" si="10"/>
        <v>PG20227</v>
      </c>
      <c r="E370" s="2">
        <v>44763</v>
      </c>
      <c r="F370" s="3">
        <v>0.9133</v>
      </c>
      <c r="G370" s="2">
        <v>44788</v>
      </c>
      <c r="H370" s="3">
        <v>2.58E-2</v>
      </c>
      <c r="I370" s="3">
        <v>0</v>
      </c>
      <c r="J370" s="3">
        <v>0</v>
      </c>
      <c r="K370" s="3">
        <f t="shared" si="11"/>
        <v>2022</v>
      </c>
      <c r="L370" s="3">
        <f t="shared" si="12"/>
        <v>0</v>
      </c>
      <c r="M370" s="20" t="str">
        <f>A370&amp;L370</f>
        <v>PG0</v>
      </c>
      <c r="N370" s="3">
        <f>F370</f>
        <v>0.9133</v>
      </c>
      <c r="O370" s="9">
        <f>H370</f>
        <v>2.58E-2</v>
      </c>
      <c r="P370" s="10">
        <f t="shared" si="13"/>
        <v>0</v>
      </c>
      <c r="Q370" s="10">
        <f>IF(K370=0,IF(A367=A370,AVERAGE(O367:O370),"x"),0)</f>
        <v>0</v>
      </c>
      <c r="R370" s="9">
        <f>IF(L370&gt;2005,AVERAGE(O367:O386),0)</f>
        <v>0</v>
      </c>
      <c r="S370" s="10">
        <f>IF(A370=A371,(N370-N371)/N371,0)</f>
        <v>0</v>
      </c>
      <c r="T370" s="10">
        <f>IF(L370&gt;2005,(((N370-N390)/N390)+1)^(1/5)-1,0)</f>
        <v>0</v>
      </c>
      <c r="U370" s="10">
        <f t="shared" si="14"/>
        <v>0</v>
      </c>
      <c r="V370" s="26">
        <f t="shared" si="15"/>
        <v>0</v>
      </c>
      <c r="W370" s="3">
        <f>IF(A370=A371,N370-N371,0)</f>
        <v>0</v>
      </c>
      <c r="X370" s="10">
        <f>IF(A370=A371,(N370-N371)/N371,0)</f>
        <v>0</v>
      </c>
    </row>
    <row r="371" spans="1:24" ht="16.5" customHeight="1">
      <c r="A371" s="3" t="s">
        <v>28</v>
      </c>
      <c r="B371" s="3">
        <f t="shared" si="8"/>
        <v>2022</v>
      </c>
      <c r="C371" s="3">
        <f t="shared" si="9"/>
        <v>4</v>
      </c>
      <c r="D371" s="20" t="str">
        <f t="shared" si="10"/>
        <v>PG20224</v>
      </c>
      <c r="E371" s="2">
        <v>44672</v>
      </c>
      <c r="F371" s="3">
        <v>0.9133</v>
      </c>
      <c r="G371" s="2">
        <v>44697</v>
      </c>
      <c r="H371" s="3">
        <v>2.23E-2</v>
      </c>
      <c r="I371" s="3">
        <v>5.0011497000000002E-2</v>
      </c>
      <c r="J371" s="3">
        <v>4.3499999999999997E-2</v>
      </c>
      <c r="K371" s="3">
        <f t="shared" si="11"/>
        <v>2022</v>
      </c>
      <c r="L371" s="3">
        <f t="shared" si="12"/>
        <v>0</v>
      </c>
      <c r="M371" s="20" t="str">
        <f>A371&amp;L371</f>
        <v>PG0</v>
      </c>
      <c r="N371" s="3">
        <f>F371</f>
        <v>0.9133</v>
      </c>
      <c r="O371" s="9">
        <f>H371</f>
        <v>2.23E-2</v>
      </c>
      <c r="P371" s="10">
        <f t="shared" si="13"/>
        <v>2.3350000000000003E-2</v>
      </c>
      <c r="Q371" s="10">
        <f>IF(K371=0,IF(A368=A371,AVERAGE(O368:O371),"x"),0)</f>
        <v>0</v>
      </c>
      <c r="R371" s="9">
        <f>IF(L371&gt;2005,AVERAGE(O368:O387),0)</f>
        <v>0</v>
      </c>
      <c r="S371" s="10">
        <f>IF(A371=A372,(N371-N372)/N372,0)</f>
        <v>5.0011496895838101E-2</v>
      </c>
      <c r="T371" s="10">
        <f>IF(L371&gt;2005,(((N371-N391)/N391)+1)^(1/5)-1,0)</f>
        <v>0</v>
      </c>
      <c r="U371" s="10">
        <f t="shared" si="14"/>
        <v>0</v>
      </c>
      <c r="V371" s="26">
        <f t="shared" si="15"/>
        <v>0</v>
      </c>
      <c r="W371" s="3">
        <f>IF(A371=A372,N371-N372,0)</f>
        <v>4.3499999999999983E-2</v>
      </c>
      <c r="X371" s="10">
        <f>IF(A371=A372,(N371-N372)/N372,0)</f>
        <v>5.0011496895838101E-2</v>
      </c>
    </row>
    <row r="372" spans="1:24" ht="16.5" customHeight="1">
      <c r="A372" s="3" t="s">
        <v>28</v>
      </c>
      <c r="B372" s="3">
        <f t="shared" si="8"/>
        <v>2022</v>
      </c>
      <c r="C372" s="3">
        <f t="shared" si="9"/>
        <v>1</v>
      </c>
      <c r="D372" s="20" t="str">
        <f t="shared" si="10"/>
        <v>PG20221</v>
      </c>
      <c r="E372" s="2">
        <v>44581</v>
      </c>
      <c r="F372" s="3">
        <v>0.86980000000000002</v>
      </c>
      <c r="G372" s="2">
        <v>44607</v>
      </c>
      <c r="H372" s="3">
        <v>2.1499999999999998E-2</v>
      </c>
      <c r="I372" s="3">
        <v>0</v>
      </c>
      <c r="J372" s="3">
        <v>0</v>
      </c>
      <c r="K372" s="3">
        <f t="shared" si="11"/>
        <v>0</v>
      </c>
      <c r="L372" s="3">
        <f t="shared" si="12"/>
        <v>2022</v>
      </c>
      <c r="M372" s="20" t="str">
        <f>A372&amp;L372</f>
        <v>PG2022</v>
      </c>
      <c r="N372" s="3">
        <f>F372</f>
        <v>0.86980000000000002</v>
      </c>
      <c r="O372" s="9">
        <f>H372</f>
        <v>2.1499999999999998E-2</v>
      </c>
      <c r="P372" s="10">
        <f t="shared" si="13"/>
        <v>0</v>
      </c>
      <c r="Q372" s="10">
        <f>IF(K372=0,IF(A369=A372,AVERAGE(O369:O372),"x"),0)</f>
        <v>2.445E-2</v>
      </c>
      <c r="R372" s="9">
        <f>IF(L372&gt;2005,AVERAGE(O369:O388),0)</f>
        <v>2.7125E-2</v>
      </c>
      <c r="S372" s="10">
        <f>IF(A372=A373,(N372-N373)/N373,0)</f>
        <v>0</v>
      </c>
      <c r="T372" s="10">
        <f>IF(L372&gt;2005,(((N372-N392)/N392)+1)^(1/5)-1,0)</f>
        <v>5.3740723534514645E-2</v>
      </c>
      <c r="U372" s="10">
        <f t="shared" si="14"/>
        <v>8.0865723534514641E-2</v>
      </c>
      <c r="V372" s="26">
        <f t="shared" si="15"/>
        <v>4.6359267393206309</v>
      </c>
      <c r="W372" s="3">
        <f>IF(A372=A373,N372-N373,0)</f>
        <v>0</v>
      </c>
      <c r="X372" s="10">
        <f>IF(A372=A373,(N372-N373)/N373,0)</f>
        <v>0</v>
      </c>
    </row>
    <row r="373" spans="1:24" ht="16.5" customHeight="1">
      <c r="A373" s="3" t="s">
        <v>28</v>
      </c>
      <c r="B373" s="3">
        <f t="shared" si="8"/>
        <v>2021</v>
      </c>
      <c r="C373" s="3">
        <f t="shared" si="9"/>
        <v>10</v>
      </c>
      <c r="D373" s="20" t="str">
        <f t="shared" si="10"/>
        <v>PG202110</v>
      </c>
      <c r="E373" s="2">
        <v>44490</v>
      </c>
      <c r="F373" s="3">
        <v>0.86980000000000002</v>
      </c>
      <c r="G373" s="2">
        <v>44515</v>
      </c>
      <c r="H373" s="3">
        <v>2.46E-2</v>
      </c>
      <c r="I373" s="3">
        <v>0</v>
      </c>
      <c r="J373" s="3">
        <v>0</v>
      </c>
      <c r="K373" s="3">
        <f t="shared" si="11"/>
        <v>2021</v>
      </c>
      <c r="L373" s="3">
        <f t="shared" si="12"/>
        <v>0</v>
      </c>
      <c r="M373" s="20" t="str">
        <f>A373&amp;L373</f>
        <v>PG0</v>
      </c>
      <c r="N373" s="3">
        <f>F373</f>
        <v>0.86980000000000002</v>
      </c>
      <c r="O373" s="9">
        <f>H373</f>
        <v>2.46E-2</v>
      </c>
      <c r="P373" s="10">
        <f t="shared" si="13"/>
        <v>0</v>
      </c>
      <c r="Q373" s="10">
        <f>IF(K373=0,IF(A370=A373,AVERAGE(O370:O373),"x"),0)</f>
        <v>0</v>
      </c>
      <c r="R373" s="9">
        <f>IF(L373&gt;2005,AVERAGE(O370:O389),0)</f>
        <v>0</v>
      </c>
      <c r="S373" s="10">
        <f>IF(A373=A374,(N373-N374)/N374,0)</f>
        <v>0</v>
      </c>
      <c r="T373" s="10">
        <f>IF(L373&gt;2005,(((N373-N393)/N393)+1)^(1/5)-1,0)</f>
        <v>0</v>
      </c>
      <c r="U373" s="10">
        <f t="shared" si="14"/>
        <v>0</v>
      </c>
      <c r="V373" s="26">
        <f t="shared" si="15"/>
        <v>0</v>
      </c>
      <c r="W373" s="3">
        <f>IF(A373=A374,N373-N374,0)</f>
        <v>0</v>
      </c>
      <c r="X373" s="10">
        <f>IF(A373=A374,(N373-N374)/N374,0)</f>
        <v>0</v>
      </c>
    </row>
    <row r="374" spans="1:24" ht="16.5" customHeight="1">
      <c r="A374" s="3" t="s">
        <v>28</v>
      </c>
      <c r="B374" s="3">
        <f t="shared" si="8"/>
        <v>2021</v>
      </c>
      <c r="C374" s="3">
        <f t="shared" si="9"/>
        <v>7</v>
      </c>
      <c r="D374" s="20" t="str">
        <f t="shared" si="10"/>
        <v>PG20217</v>
      </c>
      <c r="E374" s="2">
        <v>44399</v>
      </c>
      <c r="F374" s="3">
        <v>0.86980000000000002</v>
      </c>
      <c r="G374" s="2">
        <v>44424</v>
      </c>
      <c r="H374" s="3">
        <v>2.5000000000000001E-2</v>
      </c>
      <c r="I374" s="3">
        <v>0</v>
      </c>
      <c r="J374" s="3">
        <v>0</v>
      </c>
      <c r="K374" s="3">
        <f t="shared" si="11"/>
        <v>2021</v>
      </c>
      <c r="L374" s="3">
        <f t="shared" si="12"/>
        <v>0</v>
      </c>
      <c r="M374" s="20" t="str">
        <f>A374&amp;L374</f>
        <v>PG0</v>
      </c>
      <c r="N374" s="3">
        <f>F374</f>
        <v>0.86980000000000002</v>
      </c>
      <c r="O374" s="9">
        <f>H374</f>
        <v>2.5000000000000001E-2</v>
      </c>
      <c r="P374" s="10">
        <f t="shared" si="13"/>
        <v>0</v>
      </c>
      <c r="Q374" s="10">
        <f>IF(K374=0,IF(A371=A374,AVERAGE(O371:O374),"x"),0)</f>
        <v>0</v>
      </c>
      <c r="R374" s="9">
        <f>IF(L374&gt;2005,AVERAGE(O371:O390),0)</f>
        <v>0</v>
      </c>
      <c r="S374" s="10">
        <f>IF(A374=A375,(N374-N375)/N375,0)</f>
        <v>0</v>
      </c>
      <c r="T374" s="10">
        <f>IF(L374&gt;2005,(((N374-N394)/N394)+1)^(1/5)-1,0)</f>
        <v>0</v>
      </c>
      <c r="U374" s="10">
        <f t="shared" si="14"/>
        <v>0</v>
      </c>
      <c r="V374" s="26">
        <f t="shared" si="15"/>
        <v>0</v>
      </c>
      <c r="W374" s="3">
        <f>IF(A374=A375,N374-N375,0)</f>
        <v>0</v>
      </c>
      <c r="X374" s="10">
        <f>IF(A374=A375,(N374-N375)/N375,0)</f>
        <v>0</v>
      </c>
    </row>
    <row r="375" spans="1:24" ht="16.5" customHeight="1">
      <c r="A375" s="3" t="s">
        <v>28</v>
      </c>
      <c r="B375" s="3">
        <f t="shared" si="8"/>
        <v>2021</v>
      </c>
      <c r="C375" s="3">
        <f t="shared" si="9"/>
        <v>4</v>
      </c>
      <c r="D375" s="20" t="str">
        <f t="shared" si="10"/>
        <v>PG20214</v>
      </c>
      <c r="E375" s="2">
        <v>44308</v>
      </c>
      <c r="F375" s="3">
        <v>0.86980000000000002</v>
      </c>
      <c r="G375" s="2">
        <v>44333</v>
      </c>
      <c r="H375" s="3">
        <v>2.5399999999999999E-2</v>
      </c>
      <c r="I375" s="3">
        <v>0.10003794100000001</v>
      </c>
      <c r="J375" s="3">
        <v>7.9100000000000004E-2</v>
      </c>
      <c r="K375" s="3">
        <f t="shared" si="11"/>
        <v>2021</v>
      </c>
      <c r="L375" s="3">
        <f t="shared" si="12"/>
        <v>0</v>
      </c>
      <c r="M375" s="20" t="str">
        <f>A375&amp;L375</f>
        <v>PG0</v>
      </c>
      <c r="N375" s="3">
        <f>F375</f>
        <v>0.86980000000000002</v>
      </c>
      <c r="O375" s="9">
        <f>H375</f>
        <v>2.5399999999999999E-2</v>
      </c>
      <c r="P375" s="10">
        <f t="shared" si="13"/>
        <v>2.4150000000000001E-2</v>
      </c>
      <c r="Q375" s="10">
        <f>IF(K375=0,IF(A372=A375,AVERAGE(O372:O375),"x"),0)</f>
        <v>0</v>
      </c>
      <c r="R375" s="9">
        <f>IF(L375&gt;2005,AVERAGE(O372:O391),0)</f>
        <v>0</v>
      </c>
      <c r="S375" s="10">
        <f>IF(A375=A376,(N375-N376)/N376,0)</f>
        <v>0.1000379410648793</v>
      </c>
      <c r="T375" s="10">
        <f>IF(L375&gt;2005,(((N375-N395)/N395)+1)^(1/5)-1,0)</f>
        <v>0</v>
      </c>
      <c r="U375" s="10">
        <f t="shared" si="14"/>
        <v>0</v>
      </c>
      <c r="V375" s="26">
        <f t="shared" si="15"/>
        <v>0</v>
      </c>
      <c r="W375" s="3">
        <f>IF(A375=A376,N375-N376,0)</f>
        <v>7.9100000000000059E-2</v>
      </c>
      <c r="X375" s="10">
        <f>IF(A375=A376,(N375-N376)/N376,0)</f>
        <v>0.1000379410648793</v>
      </c>
    </row>
    <row r="376" spans="1:24" ht="16.5" customHeight="1">
      <c r="A376" s="3" t="s">
        <v>28</v>
      </c>
      <c r="B376" s="3">
        <f t="shared" si="8"/>
        <v>2021</v>
      </c>
      <c r="C376" s="3">
        <f t="shared" si="9"/>
        <v>1</v>
      </c>
      <c r="D376" s="20" t="str">
        <f t="shared" si="10"/>
        <v>PG20211</v>
      </c>
      <c r="E376" s="2">
        <v>44217</v>
      </c>
      <c r="F376" s="3">
        <v>0.79069999999999996</v>
      </c>
      <c r="G376" s="2">
        <v>44243</v>
      </c>
      <c r="H376" s="3">
        <v>2.4E-2</v>
      </c>
      <c r="I376" s="3">
        <v>0</v>
      </c>
      <c r="J376" s="3">
        <v>0</v>
      </c>
      <c r="K376" s="3">
        <f t="shared" si="11"/>
        <v>0</v>
      </c>
      <c r="L376" s="3">
        <f t="shared" si="12"/>
        <v>2021</v>
      </c>
      <c r="M376" s="20" t="str">
        <f>A376&amp;L376</f>
        <v>PG2021</v>
      </c>
      <c r="N376" s="3">
        <f>F376</f>
        <v>0.79069999999999996</v>
      </c>
      <c r="O376" s="9">
        <f>H376</f>
        <v>2.4E-2</v>
      </c>
      <c r="P376" s="10">
        <f t="shared" si="13"/>
        <v>0</v>
      </c>
      <c r="Q376" s="10">
        <f>IF(K376=0,IF(A373=A376,AVERAGE(O373:O376),"x"),0)</f>
        <v>2.4750000000000001E-2</v>
      </c>
      <c r="R376" s="9">
        <f>IF(L376&gt;2005,AVERAGE(O373:O392),0)</f>
        <v>2.8364999999999994E-2</v>
      </c>
      <c r="S376" s="10">
        <f>IF(A376=A377,(N376-N377)/N377,0)</f>
        <v>0</v>
      </c>
      <c r="T376" s="10">
        <f>IF(L376&gt;2005,(((N376-N396)/N396)+1)^(1/5)-1,0)</f>
        <v>3.5887861274744637E-2</v>
      </c>
      <c r="U376" s="10">
        <f t="shared" si="14"/>
        <v>6.4252861274744638E-2</v>
      </c>
      <c r="V376" s="26">
        <f t="shared" si="15"/>
        <v>4.6141386298873455</v>
      </c>
      <c r="W376" s="3">
        <f>IF(A376=A377,N376-N377,0)</f>
        <v>0</v>
      </c>
      <c r="X376" s="10">
        <f>IF(A376=A377,(N376-N377)/N377,0)</f>
        <v>0</v>
      </c>
    </row>
    <row r="377" spans="1:24" ht="16.5" customHeight="1">
      <c r="A377" s="3" t="s">
        <v>28</v>
      </c>
      <c r="B377" s="3">
        <f t="shared" si="8"/>
        <v>2020</v>
      </c>
      <c r="C377" s="3">
        <f t="shared" si="9"/>
        <v>10</v>
      </c>
      <c r="D377" s="20" t="str">
        <f t="shared" si="10"/>
        <v>PG202010</v>
      </c>
      <c r="E377" s="2">
        <v>44126</v>
      </c>
      <c r="F377" s="3">
        <v>0.79069999999999996</v>
      </c>
      <c r="G377" s="2">
        <v>44151</v>
      </c>
      <c r="H377" s="3">
        <v>2.2100000000000002E-2</v>
      </c>
      <c r="I377" s="3">
        <v>0</v>
      </c>
      <c r="J377" s="3">
        <v>0</v>
      </c>
      <c r="K377" s="3">
        <f t="shared" si="11"/>
        <v>2020</v>
      </c>
      <c r="L377" s="3">
        <f t="shared" si="12"/>
        <v>0</v>
      </c>
      <c r="M377" s="20" t="str">
        <f>A377&amp;L377</f>
        <v>PG0</v>
      </c>
      <c r="N377" s="3">
        <f>F377</f>
        <v>0.79069999999999996</v>
      </c>
      <c r="O377" s="9">
        <f>H377</f>
        <v>2.2100000000000002E-2</v>
      </c>
      <c r="P377" s="10">
        <f t="shared" si="13"/>
        <v>0</v>
      </c>
      <c r="Q377" s="10">
        <f>IF(K377=0,IF(A374=A377,AVERAGE(O374:O377),"x"),0)</f>
        <v>0</v>
      </c>
      <c r="R377" s="9">
        <f>IF(L377&gt;2005,AVERAGE(O374:O393),0)</f>
        <v>0</v>
      </c>
      <c r="S377" s="10">
        <f>IF(A377=A378,(N377-N378)/N378,0)</f>
        <v>0</v>
      </c>
      <c r="T377" s="10">
        <f>IF(L377&gt;2005,(((N377-N397)/N397)+1)^(1/5)-1,0)</f>
        <v>0</v>
      </c>
      <c r="U377" s="10">
        <f t="shared" si="14"/>
        <v>0</v>
      </c>
      <c r="V377" s="26">
        <f t="shared" si="15"/>
        <v>0</v>
      </c>
      <c r="W377" s="3">
        <f>IF(A377=A378,N377-N378,0)</f>
        <v>0</v>
      </c>
      <c r="X377" s="10">
        <f>IF(A377=A378,(N377-N378)/N378,0)</f>
        <v>0</v>
      </c>
    </row>
    <row r="378" spans="1:24" ht="16.5" customHeight="1">
      <c r="A378" s="3" t="s">
        <v>28</v>
      </c>
      <c r="B378" s="3">
        <f t="shared" si="8"/>
        <v>2020</v>
      </c>
      <c r="C378" s="3">
        <f t="shared" si="9"/>
        <v>7</v>
      </c>
      <c r="D378" s="20" t="str">
        <f t="shared" si="10"/>
        <v>PG20207</v>
      </c>
      <c r="E378" s="2">
        <v>44035</v>
      </c>
      <c r="F378" s="3">
        <v>0.79069999999999996</v>
      </c>
      <c r="G378" s="2">
        <v>44060</v>
      </c>
      <c r="H378" s="3">
        <v>2.5100000000000001E-2</v>
      </c>
      <c r="I378" s="3">
        <v>0</v>
      </c>
      <c r="J378" s="3">
        <v>0</v>
      </c>
      <c r="K378" s="3">
        <f t="shared" si="11"/>
        <v>2020</v>
      </c>
      <c r="L378" s="3">
        <f t="shared" si="12"/>
        <v>0</v>
      </c>
      <c r="M378" s="20" t="str">
        <f>A378&amp;L378</f>
        <v>PG0</v>
      </c>
      <c r="N378" s="3">
        <f>F378</f>
        <v>0.79069999999999996</v>
      </c>
      <c r="O378" s="9">
        <f>H378</f>
        <v>2.5100000000000001E-2</v>
      </c>
      <c r="P378" s="10">
        <f t="shared" si="13"/>
        <v>0</v>
      </c>
      <c r="Q378" s="10">
        <f>IF(K378=0,IF(A375=A378,AVERAGE(O375:O378),"x"),0)</f>
        <v>0</v>
      </c>
      <c r="R378" s="9">
        <f>IF(L378&gt;2005,AVERAGE(O375:O394),0)</f>
        <v>0</v>
      </c>
      <c r="S378" s="10">
        <f>IF(A378=A379,(N378-N379)/N379,0)</f>
        <v>0</v>
      </c>
      <c r="T378" s="10">
        <f>IF(L378&gt;2005,(((N378-N398)/N398)+1)^(1/5)-1,0)</f>
        <v>0</v>
      </c>
      <c r="U378" s="10">
        <f t="shared" si="14"/>
        <v>0</v>
      </c>
      <c r="V378" s="26">
        <f t="shared" si="15"/>
        <v>0</v>
      </c>
      <c r="W378" s="3">
        <f>IF(A378=A379,N378-N379,0)</f>
        <v>0</v>
      </c>
      <c r="X378" s="10">
        <f>IF(A378=A379,(N378-N379)/N379,0)</f>
        <v>0</v>
      </c>
    </row>
    <row r="379" spans="1:24" ht="16.5" customHeight="1">
      <c r="A379" s="3" t="s">
        <v>28</v>
      </c>
      <c r="B379" s="3">
        <f t="shared" si="8"/>
        <v>2020</v>
      </c>
      <c r="C379" s="3">
        <f t="shared" si="9"/>
        <v>4</v>
      </c>
      <c r="D379" s="20" t="str">
        <f t="shared" si="10"/>
        <v>PG20204</v>
      </c>
      <c r="E379" s="2">
        <v>43944</v>
      </c>
      <c r="F379" s="3">
        <v>0.79069999999999996</v>
      </c>
      <c r="G379" s="2">
        <v>43966</v>
      </c>
      <c r="H379" s="3">
        <v>2.6499999999999999E-2</v>
      </c>
      <c r="I379" s="3">
        <v>6.0061669999999998E-2</v>
      </c>
      <c r="J379" s="3">
        <v>4.48E-2</v>
      </c>
      <c r="K379" s="3">
        <f t="shared" si="11"/>
        <v>2020</v>
      </c>
      <c r="L379" s="3">
        <f t="shared" si="12"/>
        <v>0</v>
      </c>
      <c r="M379" s="20" t="str">
        <f>A379&amp;L379</f>
        <v>PG0</v>
      </c>
      <c r="N379" s="3">
        <f>F379</f>
        <v>0.79069999999999996</v>
      </c>
      <c r="O379" s="9">
        <f>H379</f>
        <v>2.6499999999999999E-2</v>
      </c>
      <c r="P379" s="10">
        <f t="shared" si="13"/>
        <v>2.53E-2</v>
      </c>
      <c r="Q379" s="10">
        <f>IF(K379=0,IF(A376=A379,AVERAGE(O376:O379),"x"),0)</f>
        <v>0</v>
      </c>
      <c r="R379" s="9">
        <f>IF(L379&gt;2005,AVERAGE(O376:O395),0)</f>
        <v>0</v>
      </c>
      <c r="S379" s="10">
        <f>IF(A379=A380,(N379-N380)/N380,0)</f>
        <v>6.006167046520975E-2</v>
      </c>
      <c r="T379" s="10">
        <f>IF(L379&gt;2005,(((N379-N399)/N399)+1)^(1/5)-1,0)</f>
        <v>0</v>
      </c>
      <c r="U379" s="10">
        <f t="shared" si="14"/>
        <v>0</v>
      </c>
      <c r="V379" s="26">
        <f t="shared" si="15"/>
        <v>0</v>
      </c>
      <c r="W379" s="3">
        <f>IF(A379=A380,N379-N380,0)</f>
        <v>4.4799999999999951E-2</v>
      </c>
      <c r="X379" s="10">
        <f>IF(A379=A380,(N379-N380)/N380,0)</f>
        <v>6.006167046520975E-2</v>
      </c>
    </row>
    <row r="380" spans="1:24" ht="16.5" customHeight="1">
      <c r="A380" s="3" t="s">
        <v>28</v>
      </c>
      <c r="B380" s="3">
        <f t="shared" si="8"/>
        <v>2020</v>
      </c>
      <c r="C380" s="3">
        <f t="shared" si="9"/>
        <v>1</v>
      </c>
      <c r="D380" s="20" t="str">
        <f t="shared" si="10"/>
        <v>PG20201</v>
      </c>
      <c r="E380" s="2">
        <v>43853</v>
      </c>
      <c r="F380" s="3">
        <v>0.74590000000000001</v>
      </c>
      <c r="G380" s="2">
        <v>43879</v>
      </c>
      <c r="H380" s="3">
        <v>2.3599999999999999E-2</v>
      </c>
      <c r="I380" s="3">
        <v>0</v>
      </c>
      <c r="J380" s="3">
        <v>0</v>
      </c>
      <c r="K380" s="3">
        <f t="shared" si="11"/>
        <v>0</v>
      </c>
      <c r="L380" s="3">
        <f t="shared" si="12"/>
        <v>2020</v>
      </c>
      <c r="M380" s="20" t="str">
        <f>A380&amp;L380</f>
        <v>PG2020</v>
      </c>
      <c r="N380" s="3">
        <f>F380</f>
        <v>0.74590000000000001</v>
      </c>
      <c r="O380" s="9">
        <f>H380</f>
        <v>2.3599999999999999E-2</v>
      </c>
      <c r="P380" s="10">
        <f t="shared" si="13"/>
        <v>0</v>
      </c>
      <c r="Q380" s="10">
        <f>IF(K380=0,IF(A377=A380,AVERAGE(O377:O380),"x"),0)</f>
        <v>2.4324999999999999E-2</v>
      </c>
      <c r="R380" s="9">
        <f>IF(L380&gt;2005,AVERAGE(O377:O396),0)</f>
        <v>2.9855E-2</v>
      </c>
      <c r="S380" s="10">
        <f>IF(A380=A381,(N380-N381)/N381,0)</f>
        <v>0</v>
      </c>
      <c r="T380" s="10">
        <f>IF(L380&gt;2005,(((N380-N400)/N400)+1)^(1/5)-1,0)</f>
        <v>2.9942345640509238E-2</v>
      </c>
      <c r="U380" s="10">
        <f t="shared" si="14"/>
        <v>5.9797345640509238E-2</v>
      </c>
      <c r="V380" s="26">
        <f t="shared" si="15"/>
        <v>4.5929827475496277</v>
      </c>
      <c r="W380" s="3">
        <f>IF(A380=A381,N380-N381,0)</f>
        <v>0</v>
      </c>
      <c r="X380" s="10">
        <f>IF(A380=A381,(N380-N381)/N381,0)</f>
        <v>0</v>
      </c>
    </row>
    <row r="381" spans="1:24" ht="16.5" customHeight="1">
      <c r="A381" s="3" t="s">
        <v>28</v>
      </c>
      <c r="B381" s="3">
        <f t="shared" si="8"/>
        <v>2019</v>
      </c>
      <c r="C381" s="3">
        <f t="shared" si="9"/>
        <v>10</v>
      </c>
      <c r="D381" s="20" t="str">
        <f t="shared" si="10"/>
        <v>PG201910</v>
      </c>
      <c r="E381" s="2">
        <v>43755</v>
      </c>
      <c r="F381" s="3">
        <v>0.74590000000000001</v>
      </c>
      <c r="G381" s="2">
        <v>43784</v>
      </c>
      <c r="H381" s="3">
        <v>2.5399999999999999E-2</v>
      </c>
      <c r="I381" s="3">
        <v>0</v>
      </c>
      <c r="J381" s="3">
        <v>0</v>
      </c>
      <c r="K381" s="3">
        <f t="shared" si="11"/>
        <v>2019</v>
      </c>
      <c r="L381" s="3">
        <f t="shared" si="12"/>
        <v>0</v>
      </c>
      <c r="M381" s="20" t="str">
        <f>A381&amp;L381</f>
        <v>PG0</v>
      </c>
      <c r="N381" s="3">
        <f>F381</f>
        <v>0.74590000000000001</v>
      </c>
      <c r="O381" s="9">
        <f>H381</f>
        <v>2.5399999999999999E-2</v>
      </c>
      <c r="P381" s="10">
        <f t="shared" si="13"/>
        <v>0</v>
      </c>
      <c r="Q381" s="10">
        <f>IF(K381=0,IF(A378=A381,AVERAGE(O378:O381),"x"),0)</f>
        <v>0</v>
      </c>
      <c r="R381" s="9">
        <f>IF(L381&gt;2005,AVERAGE(O378:O397),0)</f>
        <v>0</v>
      </c>
      <c r="S381" s="10">
        <f>IF(A381=A382,(N381-N382)/N382,0)</f>
        <v>0</v>
      </c>
      <c r="T381" s="10">
        <f>IF(L381&gt;2005,(((N381-N401)/N401)+1)^(1/5)-1,0)</f>
        <v>0</v>
      </c>
      <c r="U381" s="10">
        <f t="shared" si="14"/>
        <v>0</v>
      </c>
      <c r="V381" s="26">
        <f t="shared" si="15"/>
        <v>0</v>
      </c>
      <c r="W381" s="3">
        <f>IF(A381=A382,N381-N382,0)</f>
        <v>0</v>
      </c>
      <c r="X381" s="10">
        <f>IF(A381=A382,(N381-N382)/N382,0)</f>
        <v>0</v>
      </c>
    </row>
    <row r="382" spans="1:24" ht="16.5" customHeight="1">
      <c r="A382" s="3" t="s">
        <v>28</v>
      </c>
      <c r="B382" s="3">
        <f t="shared" si="8"/>
        <v>2019</v>
      </c>
      <c r="C382" s="3">
        <f t="shared" si="9"/>
        <v>7</v>
      </c>
      <c r="D382" s="20" t="str">
        <f t="shared" si="10"/>
        <v>PG20197</v>
      </c>
      <c r="E382" s="2">
        <v>43664</v>
      </c>
      <c r="F382" s="3">
        <v>0.74590000000000001</v>
      </c>
      <c r="G382" s="2">
        <v>43692</v>
      </c>
      <c r="H382" s="3">
        <v>2.5700000000000001E-2</v>
      </c>
      <c r="I382" s="3">
        <v>0</v>
      </c>
      <c r="J382" s="3">
        <v>0</v>
      </c>
      <c r="K382" s="3">
        <f t="shared" si="11"/>
        <v>2019</v>
      </c>
      <c r="L382" s="3">
        <f t="shared" si="12"/>
        <v>0</v>
      </c>
      <c r="M382" s="20" t="str">
        <f>A382&amp;L382</f>
        <v>PG0</v>
      </c>
      <c r="N382" s="3">
        <f>F382</f>
        <v>0.74590000000000001</v>
      </c>
      <c r="O382" s="9">
        <f>H382</f>
        <v>2.5700000000000001E-2</v>
      </c>
      <c r="P382" s="10">
        <f t="shared" si="13"/>
        <v>0</v>
      </c>
      <c r="Q382" s="10">
        <f>IF(K382=0,IF(A379=A382,AVERAGE(O379:O382),"x"),0)</f>
        <v>0</v>
      </c>
      <c r="R382" s="9">
        <f>IF(L382&gt;2005,AVERAGE(O379:O398),0)</f>
        <v>0</v>
      </c>
      <c r="S382" s="10">
        <f>IF(A382=A383,(N382-N383)/N383,0)</f>
        <v>0</v>
      </c>
      <c r="T382" s="10">
        <f>IF(L382&gt;2005,(((N382-N402)/N402)+1)^(1/5)-1,0)</f>
        <v>0</v>
      </c>
      <c r="U382" s="10">
        <f t="shared" si="14"/>
        <v>0</v>
      </c>
      <c r="V382" s="26">
        <f t="shared" si="15"/>
        <v>0</v>
      </c>
      <c r="W382" s="3">
        <f>IF(A382=A383,N382-N383,0)</f>
        <v>0</v>
      </c>
      <c r="X382" s="10">
        <f>IF(A382=A383,(N382-N383)/N383,0)</f>
        <v>0</v>
      </c>
    </row>
    <row r="383" spans="1:24" ht="16.5" customHeight="1">
      <c r="A383" s="3" t="s">
        <v>28</v>
      </c>
      <c r="B383" s="3">
        <f t="shared" si="8"/>
        <v>2019</v>
      </c>
      <c r="C383" s="3">
        <f t="shared" si="9"/>
        <v>4</v>
      </c>
      <c r="D383" s="20" t="str">
        <f t="shared" si="10"/>
        <v>PG20194</v>
      </c>
      <c r="E383" s="2">
        <v>43572</v>
      </c>
      <c r="F383" s="3">
        <v>0.74590000000000001</v>
      </c>
      <c r="G383" s="2">
        <v>43600</v>
      </c>
      <c r="H383" s="3">
        <v>2.8000000000000001E-2</v>
      </c>
      <c r="I383" s="3">
        <v>4.0016731999999999E-2</v>
      </c>
      <c r="J383" s="3">
        <v>2.87E-2</v>
      </c>
      <c r="K383" s="3">
        <f t="shared" si="11"/>
        <v>2019</v>
      </c>
      <c r="L383" s="3">
        <f t="shared" si="12"/>
        <v>0</v>
      </c>
      <c r="M383" s="20" t="str">
        <f>A383&amp;L383</f>
        <v>PG0</v>
      </c>
      <c r="N383" s="3">
        <f>F383</f>
        <v>0.74590000000000001</v>
      </c>
      <c r="O383" s="9">
        <f>H383</f>
        <v>2.8000000000000001E-2</v>
      </c>
      <c r="P383" s="10">
        <f t="shared" si="13"/>
        <v>3.2599999999999997E-2</v>
      </c>
      <c r="Q383" s="10">
        <f>IF(K383=0,IF(A380=A383,AVERAGE(O380:O383),"x"),0)</f>
        <v>0</v>
      </c>
      <c r="R383" s="9">
        <f>IF(L383&gt;2005,AVERAGE(O380:O399),0)</f>
        <v>0</v>
      </c>
      <c r="S383" s="10">
        <f>IF(A383=A384,(N383-N384)/N384,0)</f>
        <v>4.0016731734523234E-2</v>
      </c>
      <c r="T383" s="10">
        <f>IF(L383&gt;2005,(((N383-N403)/N403)+1)^(1/5)-1,0)</f>
        <v>0</v>
      </c>
      <c r="U383" s="10">
        <f t="shared" si="14"/>
        <v>0</v>
      </c>
      <c r="V383" s="26">
        <f t="shared" si="15"/>
        <v>0</v>
      </c>
      <c r="W383" s="3">
        <f>IF(A383=A384,N383-N384,0)</f>
        <v>2.8700000000000059E-2</v>
      </c>
      <c r="X383" s="10">
        <f>IF(A383=A384,(N383-N384)/N384,0)</f>
        <v>4.0016731734523234E-2</v>
      </c>
    </row>
    <row r="384" spans="1:24" ht="16.5" customHeight="1">
      <c r="A384" s="3" t="s">
        <v>28</v>
      </c>
      <c r="B384" s="3">
        <f t="shared" si="8"/>
        <v>2019</v>
      </c>
      <c r="C384" s="3">
        <f t="shared" si="9"/>
        <v>1</v>
      </c>
      <c r="D384" s="20" t="str">
        <f t="shared" si="10"/>
        <v>PG20191</v>
      </c>
      <c r="E384" s="2">
        <v>43482</v>
      </c>
      <c r="F384" s="3">
        <v>0.71719999999999995</v>
      </c>
      <c r="G384" s="2">
        <v>43511</v>
      </c>
      <c r="H384" s="3">
        <v>3.1399999999999997E-2</v>
      </c>
      <c r="I384" s="3">
        <v>0</v>
      </c>
      <c r="J384" s="3">
        <v>0</v>
      </c>
      <c r="K384" s="3">
        <f t="shared" si="11"/>
        <v>0</v>
      </c>
      <c r="L384" s="3">
        <f t="shared" si="12"/>
        <v>2019</v>
      </c>
      <c r="M384" s="20" t="str">
        <f>A384&amp;L384</f>
        <v>PG2019</v>
      </c>
      <c r="N384" s="3">
        <f>F384</f>
        <v>0.71719999999999995</v>
      </c>
      <c r="O384" s="9">
        <f>H384</f>
        <v>3.1399999999999997E-2</v>
      </c>
      <c r="P384" s="10">
        <f t="shared" si="13"/>
        <v>0</v>
      </c>
      <c r="Q384" s="10">
        <f>IF(K384=0,IF(A381=A384,AVERAGE(O381:O384),"x"),0)</f>
        <v>2.7625E-2</v>
      </c>
      <c r="R384" s="9">
        <f>IF(L384&gt;2005,AVERAGE(O381:O400),0)</f>
        <v>3.1330000000000011E-2</v>
      </c>
      <c r="S384" s="10">
        <f>IF(A384=A385,(N384-N385)/N385,0)</f>
        <v>0</v>
      </c>
      <c r="T384" s="10">
        <f>IF(L384&gt;2005,(((N384-N404)/N404)+1)^(1/5)-1,0)</f>
        <v>3.5811980396829091E-2</v>
      </c>
      <c r="U384" s="10">
        <f t="shared" si="14"/>
        <v>6.7141980396829101E-2</v>
      </c>
      <c r="V384" s="26">
        <f t="shared" si="15"/>
        <v>4.5764817396858639</v>
      </c>
      <c r="W384" s="3">
        <f>IF(A384=A385,N384-N385,0)</f>
        <v>0</v>
      </c>
      <c r="X384" s="10">
        <f>IF(A384=A385,(N384-N385)/N385,0)</f>
        <v>0</v>
      </c>
    </row>
    <row r="385" spans="1:24" ht="16.5" customHeight="1">
      <c r="A385" s="3" t="s">
        <v>28</v>
      </c>
      <c r="B385" s="3">
        <f t="shared" si="8"/>
        <v>2018</v>
      </c>
      <c r="C385" s="3">
        <f t="shared" si="9"/>
        <v>10</v>
      </c>
      <c r="D385" s="20" t="str">
        <f t="shared" si="10"/>
        <v>PG201810</v>
      </c>
      <c r="E385" s="2">
        <v>43391</v>
      </c>
      <c r="F385" s="3">
        <v>0.71719999999999995</v>
      </c>
      <c r="G385" s="2">
        <v>43419</v>
      </c>
      <c r="H385" s="3">
        <v>3.5000000000000003E-2</v>
      </c>
      <c r="I385" s="3">
        <v>0</v>
      </c>
      <c r="J385" s="3">
        <v>0</v>
      </c>
      <c r="K385" s="3">
        <f t="shared" si="11"/>
        <v>2018</v>
      </c>
      <c r="L385" s="3">
        <f t="shared" si="12"/>
        <v>0</v>
      </c>
      <c r="M385" s="20" t="str">
        <f>A385&amp;L385</f>
        <v>PG0</v>
      </c>
      <c r="N385" s="3">
        <f>F385</f>
        <v>0.71719999999999995</v>
      </c>
      <c r="O385" s="9">
        <f>H385</f>
        <v>3.5000000000000003E-2</v>
      </c>
      <c r="P385" s="10">
        <f t="shared" si="13"/>
        <v>0</v>
      </c>
      <c r="Q385" s="10">
        <f>IF(K385=0,IF(A382=A385,AVERAGE(O382:O385),"x"),0)</f>
        <v>0</v>
      </c>
      <c r="R385" s="9">
        <f>IF(L385&gt;2005,AVERAGE(O382:O401),0)</f>
        <v>0</v>
      </c>
      <c r="S385" s="10">
        <f>IF(A385=A386,(N385-N386)/N386,0)</f>
        <v>0</v>
      </c>
      <c r="T385" s="10">
        <f>IF(L385&gt;2005,(((N385-N405)/N405)+1)^(1/5)-1,0)</f>
        <v>0</v>
      </c>
      <c r="U385" s="10">
        <f t="shared" si="14"/>
        <v>0</v>
      </c>
      <c r="V385" s="26">
        <f t="shared" si="15"/>
        <v>0</v>
      </c>
      <c r="W385" s="3">
        <f>IF(A385=A386,N385-N386,0)</f>
        <v>0</v>
      </c>
      <c r="X385" s="10">
        <f>IF(A385=A386,(N385-N386)/N386,0)</f>
        <v>0</v>
      </c>
    </row>
    <row r="386" spans="1:24" ht="16.5" customHeight="1">
      <c r="A386" s="3" t="s">
        <v>28</v>
      </c>
      <c r="B386" s="3">
        <f t="shared" si="8"/>
        <v>2018</v>
      </c>
      <c r="C386" s="3">
        <f t="shared" si="9"/>
        <v>7</v>
      </c>
      <c r="D386" s="20" t="str">
        <f t="shared" si="10"/>
        <v>PG20187</v>
      </c>
      <c r="E386" s="2">
        <v>43300</v>
      </c>
      <c r="F386" s="3">
        <v>0.71719999999999995</v>
      </c>
      <c r="G386" s="2">
        <v>43327</v>
      </c>
      <c r="H386" s="3">
        <v>3.5999999999999997E-2</v>
      </c>
      <c r="I386" s="3">
        <v>0</v>
      </c>
      <c r="J386" s="3">
        <v>0</v>
      </c>
      <c r="K386" s="3">
        <f t="shared" si="11"/>
        <v>2018</v>
      </c>
      <c r="L386" s="3">
        <f t="shared" si="12"/>
        <v>0</v>
      </c>
      <c r="M386" s="20" t="str">
        <f>A386&amp;L386</f>
        <v>PG0</v>
      </c>
      <c r="N386" s="3">
        <f>F386</f>
        <v>0.71719999999999995</v>
      </c>
      <c r="O386" s="9">
        <f>H386</f>
        <v>3.5999999999999997E-2</v>
      </c>
      <c r="P386" s="10">
        <f t="shared" si="13"/>
        <v>0</v>
      </c>
      <c r="Q386" s="10">
        <f>IF(K386=0,IF(A383=A386,AVERAGE(O383:O386),"x"),0)</f>
        <v>0</v>
      </c>
      <c r="R386" s="9">
        <f>IF(L386&gt;2005,AVERAGE(O383:O402),0)</f>
        <v>0</v>
      </c>
      <c r="S386" s="10">
        <f>IF(A386=A387,(N386-N387)/N387,0)</f>
        <v>0</v>
      </c>
      <c r="T386" s="10">
        <f>IF(L386&gt;2005,(((N386-N406)/N406)+1)^(1/5)-1,0)</f>
        <v>0</v>
      </c>
      <c r="U386" s="10">
        <f t="shared" si="14"/>
        <v>0</v>
      </c>
      <c r="V386" s="26">
        <f t="shared" si="15"/>
        <v>0</v>
      </c>
      <c r="W386" s="3">
        <f>IF(A386=A387,N386-N387,0)</f>
        <v>0</v>
      </c>
      <c r="X386" s="10">
        <f>IF(A386=A387,(N386-N387)/N387,0)</f>
        <v>0</v>
      </c>
    </row>
    <row r="387" spans="1:24" ht="16.5" customHeight="1">
      <c r="A387" s="3" t="s">
        <v>28</v>
      </c>
      <c r="B387" s="3">
        <f t="shared" si="8"/>
        <v>2018</v>
      </c>
      <c r="C387" s="3">
        <f t="shared" si="9"/>
        <v>4</v>
      </c>
      <c r="D387" s="20" t="str">
        <f t="shared" si="10"/>
        <v>PG20184</v>
      </c>
      <c r="E387" s="2">
        <v>43209</v>
      </c>
      <c r="F387" s="3">
        <v>0.71719999999999995</v>
      </c>
      <c r="G387" s="2">
        <v>43235</v>
      </c>
      <c r="H387" s="3">
        <v>3.6700000000000003E-2</v>
      </c>
      <c r="I387" s="3">
        <v>4.0023202000000001E-2</v>
      </c>
      <c r="J387" s="3">
        <v>2.76E-2</v>
      </c>
      <c r="K387" s="3">
        <f t="shared" si="11"/>
        <v>2018</v>
      </c>
      <c r="L387" s="3">
        <f t="shared" si="12"/>
        <v>0</v>
      </c>
      <c r="M387" s="20" t="str">
        <f>A387&amp;L387</f>
        <v>PG0</v>
      </c>
      <c r="N387" s="3">
        <f>F387</f>
        <v>0.71719999999999995</v>
      </c>
      <c r="O387" s="9">
        <f>H387</f>
        <v>3.6700000000000003E-2</v>
      </c>
      <c r="P387" s="10">
        <f t="shared" si="13"/>
        <v>3.1925000000000002E-2</v>
      </c>
      <c r="Q387" s="10">
        <f>IF(K387=0,IF(A384=A387,AVERAGE(O384:O387),"x"),0)</f>
        <v>0</v>
      </c>
      <c r="R387" s="9">
        <f>IF(L387&gt;2005,AVERAGE(O384:O403),0)</f>
        <v>0</v>
      </c>
      <c r="S387" s="10">
        <f>IF(A387=A388,(N387-N388)/N388,0)</f>
        <v>4.0023201856148431E-2</v>
      </c>
      <c r="T387" s="10">
        <f>IF(L387&gt;2005,(((N387-N407)/N407)+1)^(1/5)-1,0)</f>
        <v>0</v>
      </c>
      <c r="U387" s="10">
        <f t="shared" si="14"/>
        <v>0</v>
      </c>
      <c r="V387" s="26">
        <f t="shared" si="15"/>
        <v>0</v>
      </c>
      <c r="W387" s="3">
        <f>IF(A387=A388,N387-N388,0)</f>
        <v>2.7599999999999958E-2</v>
      </c>
      <c r="X387" s="10">
        <f>IF(A387=A388,(N387-N388)/N388,0)</f>
        <v>4.0023201856148431E-2</v>
      </c>
    </row>
    <row r="388" spans="1:24" ht="16.5" customHeight="1">
      <c r="A388" s="3" t="s">
        <v>28</v>
      </c>
      <c r="B388" s="3">
        <f t="shared" si="8"/>
        <v>2018</v>
      </c>
      <c r="C388" s="3">
        <f t="shared" si="9"/>
        <v>1</v>
      </c>
      <c r="D388" s="20" t="str">
        <f t="shared" si="10"/>
        <v>PG20181</v>
      </c>
      <c r="E388" s="2">
        <v>43118</v>
      </c>
      <c r="F388" s="3">
        <v>0.68959999999999999</v>
      </c>
      <c r="G388" s="2">
        <v>43146</v>
      </c>
      <c r="H388" s="3">
        <v>3.0200000000000001E-2</v>
      </c>
      <c r="I388" s="3">
        <v>0</v>
      </c>
      <c r="J388" s="3">
        <v>0</v>
      </c>
      <c r="K388" s="3">
        <f t="shared" si="11"/>
        <v>0</v>
      </c>
      <c r="L388" s="3">
        <f t="shared" si="12"/>
        <v>2018</v>
      </c>
      <c r="M388" s="20" t="str">
        <f>A388&amp;L388</f>
        <v>PG2018</v>
      </c>
      <c r="N388" s="3">
        <f>F388</f>
        <v>0.68959999999999999</v>
      </c>
      <c r="O388" s="9">
        <f>H388</f>
        <v>3.0200000000000001E-2</v>
      </c>
      <c r="P388" s="10">
        <f t="shared" si="13"/>
        <v>0</v>
      </c>
      <c r="Q388" s="10">
        <f>IF(K388=0,IF(A385=A388,AVERAGE(O385:O388),"x"),0)</f>
        <v>3.4475000000000006E-2</v>
      </c>
      <c r="R388" s="9">
        <f>IF(L388&gt;2005,AVERAGE(O385:O404),0)</f>
        <v>3.1835000000000002E-2</v>
      </c>
      <c r="S388" s="10">
        <f>IF(A388=A389,(N388-N389)/N389,0)</f>
        <v>0</v>
      </c>
      <c r="T388" s="10">
        <f>IF(L388&gt;2005,(((N388-N408)/N408)+1)^(1/5)-1,0)</f>
        <v>4.1770817051049125E-2</v>
      </c>
      <c r="U388" s="10">
        <f t="shared" si="14"/>
        <v>7.3605817051049127E-2</v>
      </c>
      <c r="V388" s="26">
        <f t="shared" si="15"/>
        <v>4.572412687282867</v>
      </c>
      <c r="W388" s="3">
        <f>IF(A388=A389,N388-N389,0)</f>
        <v>0</v>
      </c>
      <c r="X388" s="10">
        <f>IF(A388=A389,(N388-N389)/N389,0)</f>
        <v>0</v>
      </c>
    </row>
    <row r="389" spans="1:24" ht="16.5" customHeight="1">
      <c r="A389" s="3" t="s">
        <v>28</v>
      </c>
      <c r="B389" s="3">
        <f t="shared" si="8"/>
        <v>2017</v>
      </c>
      <c r="C389" s="3">
        <f t="shared" si="9"/>
        <v>10</v>
      </c>
      <c r="D389" s="20" t="str">
        <f t="shared" si="10"/>
        <v>PG201710</v>
      </c>
      <c r="E389" s="2">
        <v>43027</v>
      </c>
      <c r="F389" s="3">
        <v>0.68959999999999999</v>
      </c>
      <c r="G389" s="2">
        <v>43054</v>
      </c>
      <c r="H389" s="3">
        <v>2.9700000000000001E-2</v>
      </c>
      <c r="I389" s="3">
        <v>0</v>
      </c>
      <c r="J389" s="3">
        <v>0</v>
      </c>
      <c r="K389" s="3">
        <f t="shared" si="11"/>
        <v>2017</v>
      </c>
      <c r="L389" s="3">
        <f t="shared" si="12"/>
        <v>0</v>
      </c>
      <c r="M389" s="20" t="str">
        <f>A389&amp;L389</f>
        <v>PG0</v>
      </c>
      <c r="N389" s="3">
        <f>F389</f>
        <v>0.68959999999999999</v>
      </c>
      <c r="O389" s="9">
        <f>H389</f>
        <v>2.9700000000000001E-2</v>
      </c>
      <c r="P389" s="10">
        <f t="shared" si="13"/>
        <v>0</v>
      </c>
      <c r="Q389" s="10">
        <f>IF(K389=0,IF(A386=A389,AVERAGE(O386:O389),"x"),0)</f>
        <v>0</v>
      </c>
      <c r="R389" s="9">
        <f>IF(L389&gt;2005,AVERAGE(O386:O405),0)</f>
        <v>0</v>
      </c>
      <c r="S389" s="10">
        <f>IF(A389=A390,(N389-N390)/N390,0)</f>
        <v>0</v>
      </c>
      <c r="T389" s="10">
        <f>IF(L389&gt;2005,(((N389-N409)/N409)+1)^(1/5)-1,0)</f>
        <v>0</v>
      </c>
      <c r="U389" s="10">
        <f t="shared" si="14"/>
        <v>0</v>
      </c>
      <c r="V389" s="26">
        <f t="shared" si="15"/>
        <v>0</v>
      </c>
      <c r="W389" s="3">
        <f>IF(A389=A390,N389-N390,0)</f>
        <v>0</v>
      </c>
      <c r="X389" s="10">
        <f>IF(A389=A390,(N389-N390)/N390,0)</f>
        <v>0</v>
      </c>
    </row>
    <row r="390" spans="1:24" ht="16.5" customHeight="1">
      <c r="A390" s="3" t="s">
        <v>28</v>
      </c>
      <c r="B390" s="3">
        <f t="shared" si="8"/>
        <v>2017</v>
      </c>
      <c r="C390" s="3">
        <f t="shared" si="9"/>
        <v>7</v>
      </c>
      <c r="D390" s="20" t="str">
        <f t="shared" si="10"/>
        <v>PG20177</v>
      </c>
      <c r="E390" s="2">
        <v>42935</v>
      </c>
      <c r="F390" s="3">
        <v>0.68959999999999999</v>
      </c>
      <c r="G390" s="2">
        <v>42962</v>
      </c>
      <c r="H390" s="3">
        <v>3.1099999999999999E-2</v>
      </c>
      <c r="I390" s="3">
        <v>0</v>
      </c>
      <c r="J390" s="3">
        <v>0</v>
      </c>
      <c r="K390" s="3">
        <f t="shared" si="11"/>
        <v>2017</v>
      </c>
      <c r="L390" s="3">
        <f t="shared" si="12"/>
        <v>0</v>
      </c>
      <c r="M390" s="20" t="str">
        <f>A390&amp;L390</f>
        <v>PG0</v>
      </c>
      <c r="N390" s="3">
        <f>F390</f>
        <v>0.68959999999999999</v>
      </c>
      <c r="O390" s="9">
        <f>H390</f>
        <v>3.1099999999999999E-2</v>
      </c>
      <c r="P390" s="10">
        <f t="shared" si="13"/>
        <v>0</v>
      </c>
      <c r="Q390" s="10">
        <f>IF(K390=0,IF(A387=A390,AVERAGE(O387:O390),"x"),0)</f>
        <v>0</v>
      </c>
      <c r="R390" s="9">
        <f>IF(L390&gt;2005,AVERAGE(O387:O406),0)</f>
        <v>0</v>
      </c>
      <c r="S390" s="10">
        <f>IF(A390=A391,(N390-N391)/N391,0)</f>
        <v>0</v>
      </c>
      <c r="T390" s="10">
        <f>IF(L390&gt;2005,(((N390-N410)/N410)+1)^(1/5)-1,0)</f>
        <v>0</v>
      </c>
      <c r="U390" s="10">
        <f t="shared" si="14"/>
        <v>0</v>
      </c>
      <c r="V390" s="26">
        <f t="shared" si="15"/>
        <v>0</v>
      </c>
      <c r="W390" s="3">
        <f>IF(A390=A391,N390-N391,0)</f>
        <v>0</v>
      </c>
      <c r="X390" s="10">
        <f>IF(A390=A391,(N390-N391)/N391,0)</f>
        <v>0</v>
      </c>
    </row>
    <row r="391" spans="1:24" ht="16.5" customHeight="1">
      <c r="A391" s="3" t="s">
        <v>28</v>
      </c>
      <c r="B391" s="3">
        <f t="shared" si="8"/>
        <v>2017</v>
      </c>
      <c r="C391" s="3">
        <f t="shared" si="9"/>
        <v>4</v>
      </c>
      <c r="D391" s="20" t="str">
        <f t="shared" si="10"/>
        <v>PG20174</v>
      </c>
      <c r="E391" s="2">
        <v>42844</v>
      </c>
      <c r="F391" s="3">
        <v>0.68959999999999999</v>
      </c>
      <c r="G391" s="2">
        <v>42870</v>
      </c>
      <c r="H391" s="3">
        <v>3.04E-2</v>
      </c>
      <c r="I391" s="3">
        <v>3.0022404999999999E-2</v>
      </c>
      <c r="J391" s="3">
        <v>2.01E-2</v>
      </c>
      <c r="K391" s="3">
        <f t="shared" si="11"/>
        <v>2017</v>
      </c>
      <c r="L391" s="3">
        <f t="shared" si="12"/>
        <v>0</v>
      </c>
      <c r="M391" s="20" t="str">
        <f>A391&amp;L391</f>
        <v>PG0</v>
      </c>
      <c r="N391" s="3">
        <f>F391</f>
        <v>0.68959999999999999</v>
      </c>
      <c r="O391" s="9">
        <f>H391</f>
        <v>3.04E-2</v>
      </c>
      <c r="P391" s="10">
        <f t="shared" si="13"/>
        <v>3.0875E-2</v>
      </c>
      <c r="Q391" s="10">
        <f>IF(K391=0,IF(A388=A391,AVERAGE(O388:O391),"x"),0)</f>
        <v>0</v>
      </c>
      <c r="R391" s="9">
        <f>IF(L391&gt;2005,AVERAGE(O388:O407),0)</f>
        <v>0</v>
      </c>
      <c r="S391" s="10">
        <f>IF(A391=A392,(N391-N392)/N392,0)</f>
        <v>3.0022404779686342E-2</v>
      </c>
      <c r="T391" s="10">
        <f>IF(L391&gt;2005,(((N391-N411)/N411)+1)^(1/5)-1,0)</f>
        <v>0</v>
      </c>
      <c r="U391" s="10">
        <f t="shared" si="14"/>
        <v>0</v>
      </c>
      <c r="V391" s="26">
        <f t="shared" si="15"/>
        <v>0</v>
      </c>
      <c r="W391" s="3">
        <f>IF(A391=A392,N391-N392,0)</f>
        <v>2.0100000000000007E-2</v>
      </c>
      <c r="X391" s="10">
        <f>IF(A391=A392,(N391-N392)/N392,0)</f>
        <v>3.0022404779686342E-2</v>
      </c>
    </row>
    <row r="392" spans="1:24" ht="16.5" customHeight="1">
      <c r="A392" s="3" t="s">
        <v>28</v>
      </c>
      <c r="B392" s="3">
        <f t="shared" si="8"/>
        <v>2017</v>
      </c>
      <c r="C392" s="3">
        <f t="shared" si="9"/>
        <v>1</v>
      </c>
      <c r="D392" s="20" t="str">
        <f t="shared" si="10"/>
        <v>PG20171</v>
      </c>
      <c r="E392" s="2">
        <v>42753</v>
      </c>
      <c r="F392" s="3">
        <v>0.66949999999999998</v>
      </c>
      <c r="G392" s="2">
        <v>42781</v>
      </c>
      <c r="H392" s="3">
        <v>3.1399999999999997E-2</v>
      </c>
      <c r="I392" s="3">
        <v>0</v>
      </c>
      <c r="J392" s="3">
        <v>0</v>
      </c>
      <c r="K392" s="3">
        <f t="shared" si="11"/>
        <v>0</v>
      </c>
      <c r="L392" s="3">
        <f t="shared" si="12"/>
        <v>2017</v>
      </c>
      <c r="M392" s="20" t="str">
        <f>A392&amp;L392</f>
        <v>PG2017</v>
      </c>
      <c r="N392" s="3">
        <f>F392</f>
        <v>0.66949999999999998</v>
      </c>
      <c r="O392" s="9">
        <f>H392</f>
        <v>3.1399999999999997E-2</v>
      </c>
      <c r="P392" s="10">
        <f t="shared" si="13"/>
        <v>0</v>
      </c>
      <c r="Q392" s="10">
        <f>IF(K392=0,IF(A389=A392,AVERAGE(O389:O392),"x"),0)</f>
        <v>3.065E-2</v>
      </c>
      <c r="R392" s="9">
        <f>IF(L392&gt;2005,AVERAGE(O389:O408),0)</f>
        <v>3.0894999999999995E-2</v>
      </c>
      <c r="S392" s="10">
        <f>IF(A392=A393,(N392-N393)/N393,0)</f>
        <v>0</v>
      </c>
      <c r="T392" s="10">
        <f>IF(L392&gt;2005,(((N392-N412)/N412)+1)^(1/5)-1,0)</f>
        <v>4.9828251203444696E-2</v>
      </c>
      <c r="U392" s="10">
        <f t="shared" si="14"/>
        <v>8.0723251203444688E-2</v>
      </c>
      <c r="V392" s="26">
        <f t="shared" si="15"/>
        <v>4.5871882081922291</v>
      </c>
      <c r="W392" s="3">
        <f>IF(A392=A393,N392-N393,0)</f>
        <v>0</v>
      </c>
      <c r="X392" s="10">
        <f>IF(A392=A393,(N392-N393)/N393,0)</f>
        <v>0</v>
      </c>
    </row>
    <row r="393" spans="1:24" ht="16.5" customHeight="1">
      <c r="A393" s="3" t="s">
        <v>28</v>
      </c>
      <c r="B393" s="3">
        <f t="shared" si="8"/>
        <v>2016</v>
      </c>
      <c r="C393" s="3">
        <f t="shared" si="9"/>
        <v>10</v>
      </c>
      <c r="D393" s="20" t="str">
        <f t="shared" si="10"/>
        <v>PG201610</v>
      </c>
      <c r="E393" s="2">
        <v>42662</v>
      </c>
      <c r="F393" s="3">
        <v>0.66949999999999998</v>
      </c>
      <c r="G393" s="2">
        <v>42689</v>
      </c>
      <c r="H393" s="3">
        <v>3.0599999999999999E-2</v>
      </c>
      <c r="I393" s="3">
        <v>0</v>
      </c>
      <c r="J393" s="3">
        <v>0</v>
      </c>
      <c r="K393" s="3">
        <f t="shared" si="11"/>
        <v>2016</v>
      </c>
      <c r="L393" s="3">
        <f t="shared" si="12"/>
        <v>0</v>
      </c>
      <c r="M393" s="20" t="str">
        <f>A393&amp;L393</f>
        <v>PG0</v>
      </c>
      <c r="N393" s="3">
        <f>F393</f>
        <v>0.66949999999999998</v>
      </c>
      <c r="O393" s="9">
        <f>H393</f>
        <v>3.0599999999999999E-2</v>
      </c>
      <c r="P393" s="10">
        <f t="shared" si="13"/>
        <v>0</v>
      </c>
      <c r="Q393" s="10">
        <f>IF(K393=0,IF(A390=A393,AVERAGE(O390:O393),"x"),0)</f>
        <v>0</v>
      </c>
      <c r="R393" s="9">
        <f>IF(L393&gt;2005,AVERAGE(O390:O409),0)</f>
        <v>0</v>
      </c>
      <c r="S393" s="10">
        <f>IF(A393=A394,(N393-N394)/N394,0)</f>
        <v>0</v>
      </c>
      <c r="T393" s="10">
        <f>IF(L393&gt;2005,(((N393-N413)/N413)+1)^(1/5)-1,0)</f>
        <v>0</v>
      </c>
      <c r="U393" s="10">
        <f t="shared" si="14"/>
        <v>0</v>
      </c>
      <c r="V393" s="26">
        <f t="shared" si="15"/>
        <v>0</v>
      </c>
      <c r="W393" s="3">
        <f>IF(A393=A394,N393-N394,0)</f>
        <v>0</v>
      </c>
      <c r="X393" s="10">
        <f>IF(A393=A394,(N393-N394)/N394,0)</f>
        <v>0</v>
      </c>
    </row>
    <row r="394" spans="1:24" ht="16.5" customHeight="1">
      <c r="A394" s="3" t="s">
        <v>28</v>
      </c>
      <c r="B394" s="3">
        <f t="shared" si="8"/>
        <v>2016</v>
      </c>
      <c r="C394" s="3">
        <f t="shared" si="9"/>
        <v>7</v>
      </c>
      <c r="D394" s="20" t="str">
        <f t="shared" si="10"/>
        <v>PG20167</v>
      </c>
      <c r="E394" s="2">
        <v>42571</v>
      </c>
      <c r="F394" s="3">
        <v>0.66949999999999998</v>
      </c>
      <c r="G394" s="2">
        <v>42597</v>
      </c>
      <c r="H394" s="3">
        <v>3.1099999999999999E-2</v>
      </c>
      <c r="I394" s="3">
        <v>0</v>
      </c>
      <c r="J394" s="3">
        <v>0</v>
      </c>
      <c r="K394" s="3">
        <f t="shared" si="11"/>
        <v>2016</v>
      </c>
      <c r="L394" s="3">
        <f t="shared" si="12"/>
        <v>0</v>
      </c>
      <c r="M394" s="20" t="str">
        <f>A394&amp;L394</f>
        <v>PG0</v>
      </c>
      <c r="N394" s="3">
        <f>F394</f>
        <v>0.66949999999999998</v>
      </c>
      <c r="O394" s="9">
        <f>H394</f>
        <v>3.1099999999999999E-2</v>
      </c>
      <c r="P394" s="10">
        <f t="shared" si="13"/>
        <v>0</v>
      </c>
      <c r="Q394" s="10">
        <f>IF(K394=0,IF(A391=A394,AVERAGE(O391:O394),"x"),0)</f>
        <v>0</v>
      </c>
      <c r="R394" s="9">
        <f>IF(L394&gt;2005,AVERAGE(O391:O410),0)</f>
        <v>0</v>
      </c>
      <c r="S394" s="10">
        <f>IF(A394=A395,(N394-N395)/N395,0)</f>
        <v>0</v>
      </c>
      <c r="T394" s="10">
        <f>IF(L394&gt;2005,(((N394-N414)/N414)+1)^(1/5)-1,0)</f>
        <v>0</v>
      </c>
      <c r="U394" s="10">
        <f t="shared" si="14"/>
        <v>0</v>
      </c>
      <c r="V394" s="26">
        <f t="shared" si="15"/>
        <v>0</v>
      </c>
      <c r="W394" s="3">
        <f>IF(A394=A395,N394-N395,0)</f>
        <v>0</v>
      </c>
      <c r="X394" s="10">
        <f>IF(A394=A395,(N394-N395)/N395,0)</f>
        <v>0</v>
      </c>
    </row>
    <row r="395" spans="1:24" ht="16.5" customHeight="1">
      <c r="A395" s="3" t="s">
        <v>28</v>
      </c>
      <c r="B395" s="3">
        <f t="shared" si="8"/>
        <v>2016</v>
      </c>
      <c r="C395" s="3">
        <f t="shared" si="9"/>
        <v>4</v>
      </c>
      <c r="D395" s="20" t="str">
        <f t="shared" si="10"/>
        <v>PG20164</v>
      </c>
      <c r="E395" s="2">
        <v>42474</v>
      </c>
      <c r="F395" s="3">
        <v>0.66949999999999998</v>
      </c>
      <c r="G395" s="2">
        <v>42506</v>
      </c>
      <c r="H395" s="3">
        <v>3.2500000000000001E-2</v>
      </c>
      <c r="I395" s="3">
        <v>9.956253E-3</v>
      </c>
      <c r="J395" s="3">
        <v>6.6E-3</v>
      </c>
      <c r="K395" s="3">
        <f t="shared" si="11"/>
        <v>2016</v>
      </c>
      <c r="L395" s="3">
        <f t="shared" si="12"/>
        <v>0</v>
      </c>
      <c r="M395" s="20" t="str">
        <f>A395&amp;L395</f>
        <v>PG0</v>
      </c>
      <c r="N395" s="3">
        <f>F395</f>
        <v>0.66949999999999998</v>
      </c>
      <c r="O395" s="9">
        <f>H395</f>
        <v>3.2500000000000001E-2</v>
      </c>
      <c r="P395" s="10">
        <f t="shared" si="13"/>
        <v>3.3625000000000002E-2</v>
      </c>
      <c r="Q395" s="10">
        <f>IF(K395=0,IF(A392=A395,AVERAGE(O392:O395),"x"),0)</f>
        <v>0</v>
      </c>
      <c r="R395" s="9">
        <f>IF(L395&gt;2005,AVERAGE(O392:O411),0)</f>
        <v>0</v>
      </c>
      <c r="S395" s="10">
        <f>IF(A395=A396,(N395-N396)/N396,0)</f>
        <v>9.9562528284808244E-3</v>
      </c>
      <c r="T395" s="10">
        <f>IF(L395&gt;2005,(((N395-N415)/N415)+1)^(1/5)-1,0)</f>
        <v>0</v>
      </c>
      <c r="U395" s="10">
        <f t="shared" si="14"/>
        <v>0</v>
      </c>
      <c r="V395" s="26">
        <f t="shared" si="15"/>
        <v>0</v>
      </c>
      <c r="W395" s="3">
        <f>IF(A395=A396,N395-N396,0)</f>
        <v>6.5999999999999392E-3</v>
      </c>
      <c r="X395" s="10">
        <f>IF(A395=A396,(N395-N396)/N396,0)</f>
        <v>9.9562528284808244E-3</v>
      </c>
    </row>
    <row r="396" spans="1:24" ht="16.5" customHeight="1">
      <c r="A396" s="3" t="s">
        <v>28</v>
      </c>
      <c r="B396" s="3">
        <f t="shared" si="8"/>
        <v>2016</v>
      </c>
      <c r="C396" s="3">
        <f t="shared" si="9"/>
        <v>1</v>
      </c>
      <c r="D396" s="20" t="str">
        <f t="shared" si="10"/>
        <v>PG20161</v>
      </c>
      <c r="E396" s="2">
        <v>42389</v>
      </c>
      <c r="F396" s="3">
        <v>0.66290000000000004</v>
      </c>
      <c r="G396" s="2">
        <v>42416</v>
      </c>
      <c r="H396" s="3">
        <v>3.4599999999999999E-2</v>
      </c>
      <c r="I396" s="3">
        <v>0</v>
      </c>
      <c r="J396" s="3">
        <v>0</v>
      </c>
      <c r="K396" s="3">
        <f t="shared" si="11"/>
        <v>0</v>
      </c>
      <c r="L396" s="3">
        <f t="shared" si="12"/>
        <v>2016</v>
      </c>
      <c r="M396" s="20" t="str">
        <f>A396&amp;L396</f>
        <v>PG2016</v>
      </c>
      <c r="N396" s="3">
        <f>F396</f>
        <v>0.66290000000000004</v>
      </c>
      <c r="O396" s="9">
        <f>H396</f>
        <v>3.4599999999999999E-2</v>
      </c>
      <c r="P396" s="10">
        <f t="shared" si="13"/>
        <v>0</v>
      </c>
      <c r="Q396" s="10">
        <f>IF(K396=0,IF(A393=A396,AVERAGE(O393:O396),"x"),0)</f>
        <v>3.2199999999999999E-2</v>
      </c>
      <c r="R396" s="9">
        <f>IF(L396&gt;2005,AVERAGE(O393:O412),0)</f>
        <v>3.1209999999999998E-2</v>
      </c>
      <c r="S396" s="10">
        <f>IF(A396=A397,(N396-N397)/N397,0)</f>
        <v>0</v>
      </c>
      <c r="T396" s="10">
        <f>IF(L396&gt;2005,(((N396-N416)/N416)+1)^(1/5)-1,0)</f>
        <v>6.5899466091208447E-2</v>
      </c>
      <c r="U396" s="10">
        <f t="shared" si="14"/>
        <v>9.7109466091208449E-2</v>
      </c>
      <c r="V396" s="26">
        <f t="shared" si="15"/>
        <v>4.5891315672623465</v>
      </c>
      <c r="W396" s="3">
        <f>IF(A396=A397,N396-N397,0)</f>
        <v>0</v>
      </c>
      <c r="X396" s="10">
        <f>IF(A396=A397,(N396-N397)/N397,0)</f>
        <v>0</v>
      </c>
    </row>
    <row r="397" spans="1:24" ht="16.5" customHeight="1">
      <c r="A397" s="3" t="s">
        <v>28</v>
      </c>
      <c r="B397" s="3">
        <f t="shared" si="8"/>
        <v>2015</v>
      </c>
      <c r="C397" s="3">
        <f t="shared" si="9"/>
        <v>10</v>
      </c>
      <c r="D397" s="20" t="str">
        <f t="shared" si="10"/>
        <v>PG201510</v>
      </c>
      <c r="E397" s="2">
        <v>42298</v>
      </c>
      <c r="F397" s="3">
        <v>0.66290000000000004</v>
      </c>
      <c r="G397" s="2">
        <v>42324</v>
      </c>
      <c r="H397" s="3">
        <v>3.5400000000000001E-2</v>
      </c>
      <c r="I397" s="3">
        <v>0</v>
      </c>
      <c r="J397" s="3">
        <v>0</v>
      </c>
      <c r="K397" s="3">
        <f t="shared" si="11"/>
        <v>2015</v>
      </c>
      <c r="L397" s="3">
        <f t="shared" si="12"/>
        <v>0</v>
      </c>
      <c r="M397" s="20" t="str">
        <f>A397&amp;L397</f>
        <v>PG0</v>
      </c>
      <c r="N397" s="3">
        <f>F397</f>
        <v>0.66290000000000004</v>
      </c>
      <c r="O397" s="9">
        <f>H397</f>
        <v>3.5400000000000001E-2</v>
      </c>
      <c r="P397" s="10">
        <f t="shared" si="13"/>
        <v>0</v>
      </c>
      <c r="Q397" s="10">
        <f>IF(K397=0,IF(A394=A397,AVERAGE(O394:O397),"x"),0)</f>
        <v>0</v>
      </c>
      <c r="R397" s="9">
        <f>IF(L397&gt;2005,AVERAGE(O394:O413),0)</f>
        <v>0</v>
      </c>
      <c r="S397" s="10">
        <f>IF(A397=A398,(N397-N398)/N398,0)</f>
        <v>0</v>
      </c>
      <c r="T397" s="10">
        <f>IF(L397&gt;2005,(((N397-N417)/N417)+1)^(1/5)-1,0)</f>
        <v>0</v>
      </c>
      <c r="U397" s="10">
        <f t="shared" si="14"/>
        <v>0</v>
      </c>
      <c r="V397" s="26">
        <f t="shared" si="15"/>
        <v>0</v>
      </c>
      <c r="W397" s="3">
        <f>IF(A397=A398,N397-N398,0)</f>
        <v>0</v>
      </c>
      <c r="X397" s="10">
        <f>IF(A397=A398,(N397-N398)/N398,0)</f>
        <v>0</v>
      </c>
    </row>
    <row r="398" spans="1:24" ht="16.5" customHeight="1">
      <c r="A398" s="3" t="s">
        <v>28</v>
      </c>
      <c r="B398" s="3">
        <f t="shared" si="8"/>
        <v>2015</v>
      </c>
      <c r="C398" s="3">
        <f t="shared" si="9"/>
        <v>7</v>
      </c>
      <c r="D398" s="20" t="str">
        <f t="shared" si="10"/>
        <v>PG20157</v>
      </c>
      <c r="E398" s="2">
        <v>42207</v>
      </c>
      <c r="F398" s="3">
        <v>0.66290000000000004</v>
      </c>
      <c r="G398" s="2">
        <v>42233</v>
      </c>
      <c r="H398" s="3">
        <v>3.2000000000000001E-2</v>
      </c>
      <c r="I398" s="3">
        <v>0</v>
      </c>
      <c r="J398" s="3">
        <v>0</v>
      </c>
      <c r="K398" s="3">
        <f t="shared" si="11"/>
        <v>2015</v>
      </c>
      <c r="L398" s="3">
        <f t="shared" si="12"/>
        <v>0</v>
      </c>
      <c r="M398" s="20" t="str">
        <f>A398&amp;L398</f>
        <v>PG0</v>
      </c>
      <c r="N398" s="3">
        <f>F398</f>
        <v>0.66290000000000004</v>
      </c>
      <c r="O398" s="9">
        <f>H398</f>
        <v>3.2000000000000001E-2</v>
      </c>
      <c r="P398" s="10">
        <f t="shared" si="13"/>
        <v>0</v>
      </c>
      <c r="Q398" s="10">
        <f>IF(K398=0,IF(A395=A398,AVERAGE(O395:O398),"x"),0)</f>
        <v>0</v>
      </c>
      <c r="R398" s="9">
        <f>IF(L398&gt;2005,AVERAGE(O395:O414),0)</f>
        <v>0</v>
      </c>
      <c r="S398" s="10">
        <f>IF(A398=A399,(N398-N399)/N399,0)</f>
        <v>0</v>
      </c>
      <c r="T398" s="10">
        <f>IF(L398&gt;2005,(((N398-N418)/N418)+1)^(1/5)-1,0)</f>
        <v>0</v>
      </c>
      <c r="U398" s="10">
        <f t="shared" si="14"/>
        <v>0</v>
      </c>
      <c r="V398" s="26">
        <f t="shared" si="15"/>
        <v>0</v>
      </c>
      <c r="W398" s="3">
        <f>IF(A398=A399,N398-N399,0)</f>
        <v>0</v>
      </c>
      <c r="X398" s="10">
        <f>IF(A398=A399,(N398-N399)/N399,0)</f>
        <v>0</v>
      </c>
    </row>
    <row r="399" spans="1:24" ht="16.5" customHeight="1">
      <c r="A399" s="3" t="s">
        <v>28</v>
      </c>
      <c r="B399" s="3">
        <f t="shared" si="8"/>
        <v>2015</v>
      </c>
      <c r="C399" s="3">
        <f t="shared" si="9"/>
        <v>4</v>
      </c>
      <c r="D399" s="20" t="str">
        <f t="shared" si="10"/>
        <v>PG20154</v>
      </c>
      <c r="E399" s="2">
        <v>42117</v>
      </c>
      <c r="F399" s="3">
        <v>0.66290000000000004</v>
      </c>
      <c r="G399" s="2">
        <v>42139</v>
      </c>
      <c r="H399" s="3">
        <v>3.1199999999999999E-2</v>
      </c>
      <c r="I399" s="3">
        <v>2.9987570000000002E-2</v>
      </c>
      <c r="J399" s="3">
        <v>1.9300000000000001E-2</v>
      </c>
      <c r="K399" s="3">
        <f t="shared" si="11"/>
        <v>2015</v>
      </c>
      <c r="L399" s="3">
        <f t="shared" si="12"/>
        <v>0</v>
      </c>
      <c r="M399" s="20" t="str">
        <f>A399&amp;L399</f>
        <v>PG0</v>
      </c>
      <c r="N399" s="3">
        <f>F399</f>
        <v>0.66290000000000004</v>
      </c>
      <c r="O399" s="9">
        <f>H399</f>
        <v>3.1199999999999999E-2</v>
      </c>
      <c r="P399" s="10">
        <f t="shared" si="13"/>
        <v>2.9974999999999998E-2</v>
      </c>
      <c r="Q399" s="10">
        <f>IF(K399=0,IF(A396=A399,AVERAGE(O396:O399),"x"),0)</f>
        <v>0</v>
      </c>
      <c r="R399" s="9">
        <f>IF(L399&gt;2005,AVERAGE(O396:O415),0)</f>
        <v>0</v>
      </c>
      <c r="S399" s="10">
        <f>IF(A399=A400,(N399-N400)/N400,0)</f>
        <v>2.9987569919204624E-2</v>
      </c>
      <c r="T399" s="10">
        <f>IF(L399&gt;2005,(((N399-N419)/N419)+1)^(1/5)-1,0)</f>
        <v>0</v>
      </c>
      <c r="U399" s="10">
        <f t="shared" si="14"/>
        <v>0</v>
      </c>
      <c r="V399" s="26">
        <f t="shared" si="15"/>
        <v>0</v>
      </c>
      <c r="W399" s="3">
        <f>IF(A399=A400,N399-N400,0)</f>
        <v>1.9300000000000095E-2</v>
      </c>
      <c r="X399" s="10">
        <f>IF(A399=A400,(N399-N400)/N400,0)</f>
        <v>2.9987569919204624E-2</v>
      </c>
    </row>
    <row r="400" spans="1:24" ht="16.5" customHeight="1">
      <c r="A400" s="3" t="s">
        <v>28</v>
      </c>
      <c r="B400" s="3">
        <f t="shared" si="8"/>
        <v>2015</v>
      </c>
      <c r="C400" s="3">
        <f t="shared" si="9"/>
        <v>1</v>
      </c>
      <c r="D400" s="20" t="str">
        <f t="shared" si="10"/>
        <v>PG20151</v>
      </c>
      <c r="E400" s="2">
        <v>42025</v>
      </c>
      <c r="F400" s="3">
        <v>0.64359999999999995</v>
      </c>
      <c r="G400" s="2">
        <v>42052</v>
      </c>
      <c r="H400" s="3">
        <v>2.8199999999999999E-2</v>
      </c>
      <c r="I400" s="3">
        <v>0</v>
      </c>
      <c r="J400" s="3">
        <v>0</v>
      </c>
      <c r="K400" s="3">
        <f t="shared" si="11"/>
        <v>0</v>
      </c>
      <c r="L400" s="3">
        <f t="shared" si="12"/>
        <v>2015</v>
      </c>
      <c r="M400" s="20" t="str">
        <f>A400&amp;L400</f>
        <v>PG2015</v>
      </c>
      <c r="N400" s="3">
        <f>F400</f>
        <v>0.64359999999999995</v>
      </c>
      <c r="O400" s="9">
        <f>H400</f>
        <v>2.8199999999999999E-2</v>
      </c>
      <c r="P400" s="10">
        <f t="shared" si="13"/>
        <v>0</v>
      </c>
      <c r="Q400" s="10">
        <f>IF(K400=0,IF(A397=A400,AVERAGE(O397:O400),"x"),0)</f>
        <v>3.1699999999999999E-2</v>
      </c>
      <c r="R400" s="9">
        <f>IF(L400&gt;2005,AVERAGE(O397:O416),0)</f>
        <v>3.0929999999999996E-2</v>
      </c>
      <c r="S400" s="10">
        <f>IF(A400=A401,(N400-N401)/N401,0)</f>
        <v>0</v>
      </c>
      <c r="T400" s="10">
        <f>IF(L400&gt;2005,(((N400-N420)/N420)+1)^(1/5)-1,0)</f>
        <v>7.9027893983583564E-2</v>
      </c>
      <c r="U400" s="10">
        <f t="shared" si="14"/>
        <v>0.10995789398358356</v>
      </c>
      <c r="V400" s="26">
        <f t="shared" si="15"/>
        <v>4.5972203920529147</v>
      </c>
      <c r="W400" s="3">
        <f>IF(A400=A401,N400-N401,0)</f>
        <v>0</v>
      </c>
      <c r="X400" s="10">
        <f>IF(A400=A401,(N400-N401)/N401,0)</f>
        <v>0</v>
      </c>
    </row>
    <row r="401" spans="1:24" ht="16.5" customHeight="1">
      <c r="A401" s="3" t="s">
        <v>28</v>
      </c>
      <c r="B401" s="3">
        <f t="shared" si="8"/>
        <v>2014</v>
      </c>
      <c r="C401" s="3">
        <f t="shared" si="9"/>
        <v>10</v>
      </c>
      <c r="D401" s="20" t="str">
        <f t="shared" si="10"/>
        <v>PG201410</v>
      </c>
      <c r="E401" s="2">
        <v>41934</v>
      </c>
      <c r="F401" s="3">
        <v>0.64359999999999995</v>
      </c>
      <c r="G401" s="2">
        <v>41960</v>
      </c>
      <c r="H401" s="3">
        <v>2.9899999999999999E-2</v>
      </c>
      <c r="I401" s="3">
        <v>0</v>
      </c>
      <c r="J401" s="3">
        <v>0</v>
      </c>
      <c r="K401" s="3">
        <f t="shared" si="11"/>
        <v>2014</v>
      </c>
      <c r="L401" s="3">
        <f t="shared" si="12"/>
        <v>0</v>
      </c>
      <c r="M401" s="20" t="str">
        <f>A401&amp;L401</f>
        <v>PG0</v>
      </c>
      <c r="N401" s="3">
        <f>F401</f>
        <v>0.64359999999999995</v>
      </c>
      <c r="O401" s="9">
        <f>H401</f>
        <v>2.9899999999999999E-2</v>
      </c>
      <c r="P401" s="10">
        <f t="shared" si="13"/>
        <v>0</v>
      </c>
      <c r="Q401" s="10">
        <f>IF(K401=0,IF(A398=A401,AVERAGE(O398:O401),"x"),0)</f>
        <v>0</v>
      </c>
      <c r="R401" s="9">
        <f>IF(L401&gt;2005,AVERAGE(O398:O417),0)</f>
        <v>0</v>
      </c>
      <c r="S401" s="10">
        <f>IF(A401=A402,(N401-N402)/N402,0)</f>
        <v>0</v>
      </c>
      <c r="T401" s="10">
        <f>IF(L401&gt;2005,(((N401-N421)/N421)+1)^(1/5)-1,0)</f>
        <v>0</v>
      </c>
      <c r="U401" s="10">
        <f t="shared" si="14"/>
        <v>0</v>
      </c>
      <c r="V401" s="26">
        <f t="shared" si="15"/>
        <v>0</v>
      </c>
      <c r="W401" s="3">
        <f>IF(A401=A402,N401-N402,0)</f>
        <v>0</v>
      </c>
      <c r="X401" s="10">
        <f>IF(A401=A402,(N401-N402)/N402,0)</f>
        <v>0</v>
      </c>
    </row>
    <row r="402" spans="1:24" ht="16.5" customHeight="1">
      <c r="A402" s="3" t="s">
        <v>28</v>
      </c>
      <c r="B402" s="3">
        <f t="shared" si="8"/>
        <v>2014</v>
      </c>
      <c r="C402" s="3">
        <f t="shared" si="9"/>
        <v>7</v>
      </c>
      <c r="D402" s="20" t="str">
        <f t="shared" si="10"/>
        <v>PG20147</v>
      </c>
      <c r="E402" s="2">
        <v>41836</v>
      </c>
      <c r="F402" s="3">
        <v>0.64359999999999995</v>
      </c>
      <c r="G402" s="2">
        <v>41866</v>
      </c>
      <c r="H402" s="3">
        <v>3.0599999999999999E-2</v>
      </c>
      <c r="I402" s="3">
        <v>0</v>
      </c>
      <c r="J402" s="3">
        <v>0</v>
      </c>
      <c r="K402" s="3">
        <f t="shared" si="11"/>
        <v>2014</v>
      </c>
      <c r="L402" s="3">
        <f t="shared" si="12"/>
        <v>0</v>
      </c>
      <c r="M402" s="20" t="str">
        <f>A402&amp;L402</f>
        <v>PG0</v>
      </c>
      <c r="N402" s="3">
        <f>F402</f>
        <v>0.64359999999999995</v>
      </c>
      <c r="O402" s="9">
        <f>H402</f>
        <v>3.0599999999999999E-2</v>
      </c>
      <c r="P402" s="10">
        <f t="shared" si="13"/>
        <v>0</v>
      </c>
      <c r="Q402" s="10">
        <f>IF(K402=0,IF(A399=A402,AVERAGE(O399:O402),"x"),0)</f>
        <v>0</v>
      </c>
      <c r="R402" s="9">
        <f>IF(L402&gt;2005,AVERAGE(O399:O418),0)</f>
        <v>0</v>
      </c>
      <c r="S402" s="10">
        <f>IF(A402=A403,(N402-N403)/N403,0)</f>
        <v>0</v>
      </c>
      <c r="T402" s="10">
        <f>IF(L402&gt;2005,(((N402-N422)/N422)+1)^(1/5)-1,0)</f>
        <v>0</v>
      </c>
      <c r="U402" s="10">
        <f t="shared" si="14"/>
        <v>0</v>
      </c>
      <c r="V402" s="26">
        <f t="shared" si="15"/>
        <v>0</v>
      </c>
      <c r="W402" s="3">
        <f>IF(A402=A403,N402-N403,0)</f>
        <v>0</v>
      </c>
      <c r="X402" s="10">
        <f>IF(A402=A403,(N402-N403)/N403,0)</f>
        <v>0</v>
      </c>
    </row>
    <row r="403" spans="1:24" ht="16.5" customHeight="1">
      <c r="A403" s="3" t="s">
        <v>28</v>
      </c>
      <c r="B403" s="3">
        <f t="shared" si="8"/>
        <v>2014</v>
      </c>
      <c r="C403" s="3">
        <f t="shared" si="9"/>
        <v>4</v>
      </c>
      <c r="D403" s="20" t="str">
        <f t="shared" si="10"/>
        <v>PG20144</v>
      </c>
      <c r="E403" s="2">
        <v>41752</v>
      </c>
      <c r="F403" s="3">
        <v>0.64359999999999995</v>
      </c>
      <c r="G403" s="2">
        <v>41774</v>
      </c>
      <c r="H403" s="3">
        <v>3.0099999999999998E-2</v>
      </c>
      <c r="I403" s="3">
        <v>6.9991686999999997E-2</v>
      </c>
      <c r="J403" s="3">
        <v>4.2099999999999999E-2</v>
      </c>
      <c r="K403" s="3">
        <f t="shared" si="11"/>
        <v>2014</v>
      </c>
      <c r="L403" s="3">
        <f t="shared" si="12"/>
        <v>0</v>
      </c>
      <c r="M403" s="20" t="str">
        <f>A403&amp;L403</f>
        <v>PG0</v>
      </c>
      <c r="N403" s="3">
        <f>F403</f>
        <v>0.64359999999999995</v>
      </c>
      <c r="O403" s="9">
        <f>H403</f>
        <v>3.0099999999999998E-2</v>
      </c>
      <c r="P403" s="10">
        <f t="shared" si="13"/>
        <v>2.9825000000000001E-2</v>
      </c>
      <c r="Q403" s="10">
        <f>IF(K403=0,IF(A400=A403,AVERAGE(O400:O403),"x"),0)</f>
        <v>0</v>
      </c>
      <c r="R403" s="9">
        <f>IF(L403&gt;2005,AVERAGE(O400:O419),0)</f>
        <v>0</v>
      </c>
      <c r="S403" s="10">
        <f>IF(A403=A404,(N403-N404)/N404,0)</f>
        <v>6.9991687448046402E-2</v>
      </c>
      <c r="T403" s="10">
        <f>IF(L403&gt;2005,(((N403-N423)/N423)+1)^(1/5)-1,0)</f>
        <v>0</v>
      </c>
      <c r="U403" s="10">
        <f t="shared" si="14"/>
        <v>0</v>
      </c>
      <c r="V403" s="26">
        <f t="shared" si="15"/>
        <v>0</v>
      </c>
      <c r="W403" s="3">
        <f>IF(A403=A404,N403-N404,0)</f>
        <v>4.2099999999999915E-2</v>
      </c>
      <c r="X403" s="10">
        <f>IF(A403=A404,(N403-N404)/N404,0)</f>
        <v>6.9991687448046402E-2</v>
      </c>
    </row>
    <row r="404" spans="1:24" ht="16.5" customHeight="1">
      <c r="A404" s="3" t="s">
        <v>28</v>
      </c>
      <c r="B404" s="3">
        <f t="shared" si="8"/>
        <v>2014</v>
      </c>
      <c r="C404" s="3">
        <f t="shared" si="9"/>
        <v>1</v>
      </c>
      <c r="D404" s="20" t="str">
        <f t="shared" si="10"/>
        <v>PG20141</v>
      </c>
      <c r="E404" s="2">
        <v>41661</v>
      </c>
      <c r="F404" s="3">
        <v>0.60150000000000003</v>
      </c>
      <c r="G404" s="2">
        <v>41688</v>
      </c>
      <c r="H404" s="3">
        <v>0.03</v>
      </c>
      <c r="I404" s="3">
        <v>0</v>
      </c>
      <c r="J404" s="3">
        <v>0</v>
      </c>
      <c r="K404" s="3">
        <f t="shared" si="11"/>
        <v>0</v>
      </c>
      <c r="L404" s="3">
        <f t="shared" si="12"/>
        <v>2014</v>
      </c>
      <c r="M404" s="20" t="str">
        <f>A404&amp;L404</f>
        <v>PG2014</v>
      </c>
      <c r="N404" s="3">
        <f>F404</f>
        <v>0.60150000000000003</v>
      </c>
      <c r="O404" s="9">
        <f>H404</f>
        <v>0.03</v>
      </c>
      <c r="P404" s="10">
        <f t="shared" si="13"/>
        <v>0</v>
      </c>
      <c r="Q404" s="10">
        <f>IF(K404=0,IF(A401=A404,AVERAGE(O401:O404),"x"),0)</f>
        <v>3.015E-2</v>
      </c>
      <c r="R404" s="9">
        <f>IF(L404&gt;2005,AVERAGE(O401:O420),0)</f>
        <v>3.0419999999999996E-2</v>
      </c>
      <c r="S404" s="10">
        <f>IF(A404=A405,(N404-N405)/N405,0)</f>
        <v>0</v>
      </c>
      <c r="T404" s="10">
        <f>IF(L404&gt;2005,(((N404-N424)/N424)+1)^(1/5)-1,0)</f>
        <v>8.5013465659345089E-2</v>
      </c>
      <c r="U404" s="10">
        <f t="shared" si="14"/>
        <v>0.11543346565934509</v>
      </c>
      <c r="V404" s="26">
        <f t="shared" si="15"/>
        <v>4.6054955539020064</v>
      </c>
      <c r="W404" s="3">
        <f>IF(A404=A405,N404-N405,0)</f>
        <v>0</v>
      </c>
      <c r="X404" s="10">
        <f>IF(A404=A405,(N404-N405)/N405,0)</f>
        <v>0</v>
      </c>
    </row>
    <row r="405" spans="1:24" ht="16.5" customHeight="1">
      <c r="A405" s="3" t="s">
        <v>28</v>
      </c>
      <c r="B405" s="3">
        <f t="shared" si="8"/>
        <v>2013</v>
      </c>
      <c r="C405" s="3">
        <f t="shared" si="9"/>
        <v>10</v>
      </c>
      <c r="D405" s="20" t="str">
        <f t="shared" si="10"/>
        <v>PG201310</v>
      </c>
      <c r="E405" s="2">
        <v>41563</v>
      </c>
      <c r="F405" s="3">
        <v>0.60150000000000003</v>
      </c>
      <c r="G405" s="2">
        <v>41593</v>
      </c>
      <c r="H405" s="3">
        <v>3.0499999999999999E-2</v>
      </c>
      <c r="I405" s="3">
        <v>0</v>
      </c>
      <c r="J405" s="3">
        <v>0</v>
      </c>
      <c r="K405" s="3">
        <f t="shared" si="11"/>
        <v>2013</v>
      </c>
      <c r="L405" s="3">
        <f t="shared" si="12"/>
        <v>0</v>
      </c>
      <c r="M405" s="20" t="str">
        <f>A405&amp;L405</f>
        <v>PG0</v>
      </c>
      <c r="N405" s="3">
        <f>F405</f>
        <v>0.60150000000000003</v>
      </c>
      <c r="O405" s="9">
        <f>H405</f>
        <v>3.0499999999999999E-2</v>
      </c>
      <c r="P405" s="10">
        <f t="shared" si="13"/>
        <v>0</v>
      </c>
      <c r="Q405" s="10">
        <f>IF(K405=0,IF(A402=A405,AVERAGE(O402:O405),"x"),0)</f>
        <v>0</v>
      </c>
      <c r="R405" s="9">
        <f>IF(L405&gt;2005,AVERAGE(O402:O421),0)</f>
        <v>0</v>
      </c>
      <c r="S405" s="10">
        <f>IF(A405=A406,(N405-N406)/N406,0)</f>
        <v>0</v>
      </c>
      <c r="T405" s="10">
        <f>IF(L405&gt;2005,(((N405-N425)/N425)+1)^(1/5)-1,0)</f>
        <v>0</v>
      </c>
      <c r="U405" s="10">
        <f t="shared" si="14"/>
        <v>0</v>
      </c>
      <c r="V405" s="26">
        <f t="shared" si="15"/>
        <v>0</v>
      </c>
      <c r="W405" s="3">
        <f>IF(A405=A406,N405-N406,0)</f>
        <v>0</v>
      </c>
      <c r="X405" s="10">
        <f>IF(A405=A406,(N405-N406)/N406,0)</f>
        <v>0</v>
      </c>
    </row>
    <row r="406" spans="1:24" ht="16.5" customHeight="1">
      <c r="A406" s="3" t="s">
        <v>28</v>
      </c>
      <c r="B406" s="3">
        <f t="shared" si="8"/>
        <v>2013</v>
      </c>
      <c r="C406" s="3">
        <f t="shared" si="9"/>
        <v>7</v>
      </c>
      <c r="D406" s="20" t="str">
        <f t="shared" si="10"/>
        <v>PG20137</v>
      </c>
      <c r="E406" s="2">
        <v>41472</v>
      </c>
      <c r="F406" s="3">
        <v>0.60150000000000003</v>
      </c>
      <c r="G406" s="2">
        <v>41501</v>
      </c>
      <c r="H406" s="3">
        <v>2.87E-2</v>
      </c>
      <c r="I406" s="3">
        <v>0</v>
      </c>
      <c r="J406" s="3">
        <v>0</v>
      </c>
      <c r="K406" s="3">
        <f t="shared" si="11"/>
        <v>2013</v>
      </c>
      <c r="L406" s="3">
        <f t="shared" si="12"/>
        <v>0</v>
      </c>
      <c r="M406" s="20" t="str">
        <f>A406&amp;L406</f>
        <v>PG0</v>
      </c>
      <c r="N406" s="3">
        <f>F406</f>
        <v>0.60150000000000003</v>
      </c>
      <c r="O406" s="9">
        <f>H406</f>
        <v>2.87E-2</v>
      </c>
      <c r="P406" s="10">
        <f t="shared" si="13"/>
        <v>0</v>
      </c>
      <c r="Q406" s="10">
        <f>IF(K406=0,IF(A403=A406,AVERAGE(O403:O406),"x"),0)</f>
        <v>0</v>
      </c>
      <c r="R406" s="9">
        <f>IF(L406&gt;2005,AVERAGE(O403:O422),0)</f>
        <v>0</v>
      </c>
      <c r="S406" s="10">
        <f>IF(A406=A407,(N406-N407)/N407,0)</f>
        <v>0</v>
      </c>
      <c r="T406" s="10">
        <f>IF(L406&gt;2005,(((N406-N426)/N426)+1)^(1/5)-1,0)</f>
        <v>0</v>
      </c>
      <c r="U406" s="10">
        <f t="shared" si="14"/>
        <v>0</v>
      </c>
      <c r="V406" s="26">
        <f t="shared" si="15"/>
        <v>0</v>
      </c>
      <c r="W406" s="3">
        <f>IF(A406=A407,N406-N407,0)</f>
        <v>0</v>
      </c>
      <c r="X406" s="10">
        <f>IF(A406=A407,(N406-N407)/N407,0)</f>
        <v>0</v>
      </c>
    </row>
    <row r="407" spans="1:24" ht="16.5" customHeight="1">
      <c r="A407" s="3" t="s">
        <v>28</v>
      </c>
      <c r="B407" s="3">
        <f t="shared" si="8"/>
        <v>2013</v>
      </c>
      <c r="C407" s="3">
        <f t="shared" si="9"/>
        <v>4</v>
      </c>
      <c r="D407" s="20" t="str">
        <f t="shared" si="10"/>
        <v>PG20134</v>
      </c>
      <c r="E407" s="2">
        <v>41388</v>
      </c>
      <c r="F407" s="3">
        <v>0.60150000000000003</v>
      </c>
      <c r="G407" s="2">
        <v>41409</v>
      </c>
      <c r="H407" s="3">
        <v>2.7699999999999999E-2</v>
      </c>
      <c r="I407" s="3">
        <v>7.0284698000000007E-2</v>
      </c>
      <c r="J407" s="3">
        <v>3.95E-2</v>
      </c>
      <c r="K407" s="3">
        <f t="shared" si="11"/>
        <v>2013</v>
      </c>
      <c r="L407" s="3">
        <f t="shared" si="12"/>
        <v>0</v>
      </c>
      <c r="M407" s="20" t="str">
        <f>A407&amp;L407</f>
        <v>PG0</v>
      </c>
      <c r="N407" s="3">
        <f>F407</f>
        <v>0.60150000000000003</v>
      </c>
      <c r="O407" s="9">
        <f>H407</f>
        <v>2.7699999999999999E-2</v>
      </c>
      <c r="P407" s="10">
        <f t="shared" si="13"/>
        <v>3.1300000000000001E-2</v>
      </c>
      <c r="Q407" s="10">
        <f>IF(K407=0,IF(A404=A407,AVERAGE(O404:O407),"x"),0)</f>
        <v>0</v>
      </c>
      <c r="R407" s="9">
        <f>IF(L407&gt;2005,AVERAGE(O404:O423),0)</f>
        <v>0</v>
      </c>
      <c r="S407" s="10">
        <f>IF(A407=A408,(N407-N408)/N408,0)</f>
        <v>7.0284697508896751E-2</v>
      </c>
      <c r="T407" s="10">
        <f>IF(L407&gt;2005,(((N407-N427)/N427)+1)^(1/5)-1,0)</f>
        <v>0</v>
      </c>
      <c r="U407" s="10">
        <f t="shared" si="14"/>
        <v>0</v>
      </c>
      <c r="V407" s="26">
        <f t="shared" si="15"/>
        <v>0</v>
      </c>
      <c r="W407" s="3">
        <f>IF(A407=A408,N407-N408,0)</f>
        <v>3.949999999999998E-2</v>
      </c>
      <c r="X407" s="10">
        <f>IF(A407=A408,(N407-N408)/N408,0)</f>
        <v>7.0284697508896751E-2</v>
      </c>
    </row>
    <row r="408" spans="1:24" ht="16.5" customHeight="1">
      <c r="A408" s="3" t="s">
        <v>28</v>
      </c>
      <c r="B408" s="3">
        <f t="shared" si="8"/>
        <v>2013</v>
      </c>
      <c r="C408" s="3">
        <f t="shared" si="9"/>
        <v>1</v>
      </c>
      <c r="D408" s="20" t="str">
        <f t="shared" si="10"/>
        <v>PG20131</v>
      </c>
      <c r="E408" s="2">
        <v>41290</v>
      </c>
      <c r="F408" s="3">
        <v>0.56200000000000006</v>
      </c>
      <c r="G408" s="2">
        <v>41320</v>
      </c>
      <c r="H408" s="3">
        <v>3.2199999999999999E-2</v>
      </c>
      <c r="I408" s="3">
        <v>0</v>
      </c>
      <c r="J408" s="3">
        <v>0</v>
      </c>
      <c r="K408" s="3">
        <f t="shared" si="11"/>
        <v>0</v>
      </c>
      <c r="L408" s="3">
        <f t="shared" si="12"/>
        <v>2013</v>
      </c>
      <c r="M408" s="20" t="str">
        <f>A408&amp;L408</f>
        <v>PG2013</v>
      </c>
      <c r="N408" s="3">
        <f>F408</f>
        <v>0.56200000000000006</v>
      </c>
      <c r="O408" s="9">
        <f>H408</f>
        <v>3.2199999999999999E-2</v>
      </c>
      <c r="P408" s="10">
        <f t="shared" si="13"/>
        <v>0</v>
      </c>
      <c r="Q408" s="10">
        <f>IF(K408=0,IF(A405=A408,AVERAGE(O405:O408),"x"),0)</f>
        <v>2.9775000000000003E-2</v>
      </c>
      <c r="R408" s="9">
        <f>IF(L408&gt;2005,AVERAGE(O405:O424),0)</f>
        <v>3.0375000000000003E-2</v>
      </c>
      <c r="S408" s="10">
        <f>IF(A408=A409,(N408-N409)/N409,0)</f>
        <v>0</v>
      </c>
      <c r="T408" s="10">
        <f>IF(L408&gt;2005,(((N408-N428)/N428)+1)^(1/5)-1,0)</f>
        <v>9.9344110824444387E-2</v>
      </c>
      <c r="U408" s="10">
        <f t="shared" si="14"/>
        <v>0.1297191108244444</v>
      </c>
      <c r="V408" s="26">
        <f t="shared" si="15"/>
        <v>4.6108617904241544</v>
      </c>
      <c r="W408" s="3">
        <f>IF(A408=A409,N408-N409,0)</f>
        <v>0</v>
      </c>
      <c r="X408" s="10">
        <f>IF(A408=A409,(N408-N409)/N409,0)</f>
        <v>0</v>
      </c>
    </row>
    <row r="409" spans="1:24" ht="16.5" customHeight="1">
      <c r="A409" s="3" t="s">
        <v>28</v>
      </c>
      <c r="B409" s="3">
        <f t="shared" si="8"/>
        <v>2012</v>
      </c>
      <c r="C409" s="3">
        <f t="shared" si="9"/>
        <v>10</v>
      </c>
      <c r="D409" s="20" t="str">
        <f t="shared" si="10"/>
        <v>PG201210</v>
      </c>
      <c r="E409" s="2">
        <v>41199</v>
      </c>
      <c r="F409" s="3">
        <v>0.56200000000000006</v>
      </c>
      <c r="G409" s="2">
        <v>41228</v>
      </c>
      <c r="H409" s="3">
        <v>3.2000000000000001E-2</v>
      </c>
      <c r="I409" s="3">
        <v>0</v>
      </c>
      <c r="J409" s="3">
        <v>0</v>
      </c>
      <c r="K409" s="3">
        <f t="shared" si="11"/>
        <v>2012</v>
      </c>
      <c r="L409" s="3">
        <f t="shared" si="12"/>
        <v>0</v>
      </c>
      <c r="M409" s="20" t="str">
        <f>A409&amp;L409</f>
        <v>PG0</v>
      </c>
      <c r="N409" s="3">
        <f>F409</f>
        <v>0.56200000000000006</v>
      </c>
      <c r="O409" s="9">
        <f>H409</f>
        <v>3.2000000000000001E-2</v>
      </c>
      <c r="P409" s="10">
        <f t="shared" si="13"/>
        <v>0</v>
      </c>
      <c r="Q409" s="10">
        <f>IF(K409=0,IF(A406=A409,AVERAGE(O406:O409),"x"),0)</f>
        <v>0</v>
      </c>
      <c r="R409" s="9">
        <f>IF(L409&gt;2005,AVERAGE(O406:O425),0)</f>
        <v>0</v>
      </c>
      <c r="S409" s="10">
        <f>IF(A409=A410,(N409-N410)/N410,0)</f>
        <v>0</v>
      </c>
      <c r="T409" s="10">
        <f>IF(L409&gt;2005,(((N409-N429)/N429)+1)^(1/5)-1,0)</f>
        <v>0</v>
      </c>
      <c r="U409" s="10">
        <f t="shared" si="14"/>
        <v>0</v>
      </c>
      <c r="V409" s="26">
        <f t="shared" si="15"/>
        <v>0</v>
      </c>
      <c r="W409" s="3">
        <f>IF(A409=A410,N409-N410,0)</f>
        <v>0</v>
      </c>
      <c r="X409" s="10">
        <f>IF(A409=A410,(N409-N410)/N410,0)</f>
        <v>0</v>
      </c>
    </row>
    <row r="410" spans="1:24" ht="16.5" customHeight="1">
      <c r="A410" s="3" t="s">
        <v>28</v>
      </c>
      <c r="B410" s="3">
        <f t="shared" si="8"/>
        <v>2012</v>
      </c>
      <c r="C410" s="3">
        <f t="shared" si="9"/>
        <v>7</v>
      </c>
      <c r="D410" s="20" t="str">
        <f t="shared" si="10"/>
        <v>PG20127</v>
      </c>
      <c r="E410" s="2">
        <v>41108</v>
      </c>
      <c r="F410" s="3">
        <v>0.56200000000000006</v>
      </c>
      <c r="G410" s="2">
        <v>41136</v>
      </c>
      <c r="H410" s="3">
        <v>3.3300000000000003E-2</v>
      </c>
      <c r="I410" s="3">
        <v>0</v>
      </c>
      <c r="J410" s="3">
        <v>0</v>
      </c>
      <c r="K410" s="3">
        <f t="shared" si="11"/>
        <v>2012</v>
      </c>
      <c r="L410" s="3">
        <f t="shared" si="12"/>
        <v>0</v>
      </c>
      <c r="M410" s="20" t="str">
        <f>A410&amp;L410</f>
        <v>PG0</v>
      </c>
      <c r="N410" s="3">
        <f>F410</f>
        <v>0.56200000000000006</v>
      </c>
      <c r="O410" s="9">
        <f>H410</f>
        <v>3.3300000000000003E-2</v>
      </c>
      <c r="P410" s="10">
        <f t="shared" si="13"/>
        <v>0</v>
      </c>
      <c r="Q410" s="10">
        <f>IF(K410=0,IF(A407=A410,AVERAGE(O407:O410),"x"),0)</f>
        <v>0</v>
      </c>
      <c r="R410" s="9">
        <f>IF(L410&gt;2005,AVERAGE(O407:O426),0)</f>
        <v>0</v>
      </c>
      <c r="S410" s="10">
        <f>IF(A410=A411,(N410-N411)/N411,0)</f>
        <v>0</v>
      </c>
      <c r="T410" s="10">
        <f>IF(L410&gt;2005,(((N410-N430)/N430)+1)^(1/5)-1,0)</f>
        <v>0</v>
      </c>
      <c r="U410" s="10">
        <f t="shared" si="14"/>
        <v>0</v>
      </c>
      <c r="V410" s="26">
        <f t="shared" si="15"/>
        <v>0</v>
      </c>
      <c r="W410" s="3">
        <f>IF(A410=A411,N410-N411,0)</f>
        <v>0</v>
      </c>
      <c r="X410" s="10">
        <f>IF(A410=A411,(N410-N411)/N411,0)</f>
        <v>0</v>
      </c>
    </row>
    <row r="411" spans="1:24" ht="16.5" customHeight="1">
      <c r="A411" s="3" t="s">
        <v>28</v>
      </c>
      <c r="B411" s="3">
        <f t="shared" si="8"/>
        <v>2012</v>
      </c>
      <c r="C411" s="3">
        <f t="shared" si="9"/>
        <v>4</v>
      </c>
      <c r="D411" s="20" t="str">
        <f t="shared" si="10"/>
        <v>PG20124</v>
      </c>
      <c r="E411" s="2">
        <v>41024</v>
      </c>
      <c r="F411" s="3">
        <v>0.56200000000000006</v>
      </c>
      <c r="G411" s="2">
        <v>41044</v>
      </c>
      <c r="H411" s="3">
        <v>3.1899999999999998E-2</v>
      </c>
      <c r="I411" s="3">
        <v>7.0476189999999994E-2</v>
      </c>
      <c r="J411" s="3">
        <v>3.6999999999999998E-2</v>
      </c>
      <c r="K411" s="3">
        <f t="shared" si="11"/>
        <v>2012</v>
      </c>
      <c r="L411" s="3">
        <f t="shared" si="12"/>
        <v>0</v>
      </c>
      <c r="M411" s="20" t="str">
        <f>A411&amp;L411</f>
        <v>PG0</v>
      </c>
      <c r="N411" s="3">
        <f>F411</f>
        <v>0.56200000000000006</v>
      </c>
      <c r="O411" s="9">
        <f>H411</f>
        <v>3.1899999999999998E-2</v>
      </c>
      <c r="P411" s="10">
        <f t="shared" si="13"/>
        <v>3.1625E-2</v>
      </c>
      <c r="Q411" s="10">
        <f>IF(K411=0,IF(A408=A411,AVERAGE(O408:O411),"x"),0)</f>
        <v>0</v>
      </c>
      <c r="R411" s="9">
        <f>IF(L411&gt;2005,AVERAGE(O408:O427),0)</f>
        <v>0</v>
      </c>
      <c r="S411" s="10">
        <f>IF(A411=A412,(N411-N412)/N412,0)</f>
        <v>7.0476190476190539E-2</v>
      </c>
      <c r="T411" s="10">
        <f>IF(L411&gt;2005,(((N411-N431)/N431)+1)^(1/5)-1,0)</f>
        <v>0</v>
      </c>
      <c r="U411" s="10">
        <f t="shared" si="14"/>
        <v>0</v>
      </c>
      <c r="V411" s="26">
        <f t="shared" si="15"/>
        <v>0</v>
      </c>
      <c r="W411" s="3">
        <f>IF(A411=A412,N411-N412,0)</f>
        <v>3.7000000000000033E-2</v>
      </c>
      <c r="X411" s="10">
        <f>IF(A411=A412,(N411-N412)/N412,0)</f>
        <v>7.0476190476190539E-2</v>
      </c>
    </row>
    <row r="412" spans="1:24" ht="16.5" customHeight="1">
      <c r="A412" s="3" t="s">
        <v>28</v>
      </c>
      <c r="B412" s="3">
        <f t="shared" si="8"/>
        <v>2012</v>
      </c>
      <c r="C412" s="3">
        <f t="shared" si="9"/>
        <v>1</v>
      </c>
      <c r="D412" s="20" t="str">
        <f t="shared" si="10"/>
        <v>PG20121</v>
      </c>
      <c r="E412" s="2">
        <v>40926</v>
      </c>
      <c r="F412" s="3">
        <v>0.52500000000000002</v>
      </c>
      <c r="G412" s="2">
        <v>40954</v>
      </c>
      <c r="H412" s="3">
        <v>3.1699999999999999E-2</v>
      </c>
      <c r="I412" s="3">
        <v>0</v>
      </c>
      <c r="J412" s="3">
        <v>0</v>
      </c>
      <c r="K412" s="3">
        <f t="shared" si="11"/>
        <v>0</v>
      </c>
      <c r="L412" s="3">
        <f t="shared" si="12"/>
        <v>2012</v>
      </c>
      <c r="M412" s="20" t="str">
        <f>A412&amp;L412</f>
        <v>PG2012</v>
      </c>
      <c r="N412" s="3">
        <f>F412</f>
        <v>0.52500000000000002</v>
      </c>
      <c r="O412" s="9">
        <f>H412</f>
        <v>3.1699999999999999E-2</v>
      </c>
      <c r="P412" s="10">
        <f t="shared" si="13"/>
        <v>0</v>
      </c>
      <c r="Q412" s="10">
        <f>IF(K412=0,IF(A409=A412,AVERAGE(O409:O412),"x"),0)</f>
        <v>3.2224999999999997E-2</v>
      </c>
      <c r="R412" s="9">
        <f>IF(L412&gt;2005,AVERAGE(O409:O428),0)</f>
        <v>2.8849999999999997E-2</v>
      </c>
      <c r="S412" s="10">
        <f>IF(A412=A413,(N412-N413)/N413,0)</f>
        <v>0</v>
      </c>
      <c r="T412" s="10">
        <f>IF(L412&gt;2005,(((N412-N432)/N432)+1)^(1/5)-1,0)</f>
        <v>0.11111630819510987</v>
      </c>
      <c r="U412" s="10">
        <f t="shared" si="14"/>
        <v>0.13996630819510986</v>
      </c>
      <c r="V412" s="26">
        <f t="shared" si="15"/>
        <v>4.6329524904897417</v>
      </c>
      <c r="W412" s="3">
        <f>IF(A412=A413,N412-N413,0)</f>
        <v>0</v>
      </c>
      <c r="X412" s="10">
        <f>IF(A412=A413,(N412-N413)/N413,0)</f>
        <v>0</v>
      </c>
    </row>
    <row r="413" spans="1:24" ht="16.5" customHeight="1">
      <c r="A413" s="3" t="s">
        <v>28</v>
      </c>
      <c r="B413" s="3">
        <f t="shared" si="8"/>
        <v>2011</v>
      </c>
      <c r="C413" s="3">
        <f t="shared" si="9"/>
        <v>10</v>
      </c>
      <c r="D413" s="20" t="str">
        <f t="shared" si="10"/>
        <v>PG201110</v>
      </c>
      <c r="E413" s="2">
        <v>40835</v>
      </c>
      <c r="F413" s="3">
        <v>0.52500000000000002</v>
      </c>
      <c r="G413" s="2">
        <v>40862</v>
      </c>
      <c r="H413" s="3">
        <v>3.1699999999999999E-2</v>
      </c>
      <c r="I413" s="3">
        <v>0</v>
      </c>
      <c r="J413" s="3">
        <v>0</v>
      </c>
      <c r="K413" s="3">
        <f t="shared" si="11"/>
        <v>2011</v>
      </c>
      <c r="L413" s="3">
        <f t="shared" si="12"/>
        <v>0</v>
      </c>
      <c r="M413" s="20" t="str">
        <f>A413&amp;L413</f>
        <v>PG0</v>
      </c>
      <c r="N413" s="3">
        <f>F413</f>
        <v>0.52500000000000002</v>
      </c>
      <c r="O413" s="9">
        <f>H413</f>
        <v>3.1699999999999999E-2</v>
      </c>
      <c r="P413" s="10">
        <f t="shared" si="13"/>
        <v>0</v>
      </c>
      <c r="Q413" s="10">
        <f>IF(K413=0,IF(A410=A413,AVERAGE(O410:O413),"x"),0)</f>
        <v>0</v>
      </c>
      <c r="R413" s="9">
        <f>IF(L413&gt;2005,AVERAGE(O410:O429),0)</f>
        <v>0</v>
      </c>
      <c r="S413" s="10">
        <f>IF(A413=A414,(N413-N414)/N414,0)</f>
        <v>0</v>
      </c>
      <c r="T413" s="10">
        <f>IF(L413&gt;2005,(((N413-N433)/N433)+1)^(1/5)-1,0)</f>
        <v>0</v>
      </c>
      <c r="U413" s="10">
        <f t="shared" si="14"/>
        <v>0</v>
      </c>
      <c r="V413" s="26">
        <f t="shared" si="15"/>
        <v>0</v>
      </c>
      <c r="W413" s="3">
        <f>IF(A413=A414,N413-N414,0)</f>
        <v>0</v>
      </c>
      <c r="X413" s="10">
        <f>IF(A413=A414,(N413-N414)/N414,0)</f>
        <v>0</v>
      </c>
    </row>
    <row r="414" spans="1:24" ht="16.5" customHeight="1">
      <c r="A414" s="3" t="s">
        <v>28</v>
      </c>
      <c r="B414" s="3">
        <f t="shared" si="8"/>
        <v>2011</v>
      </c>
      <c r="C414" s="3">
        <f t="shared" si="9"/>
        <v>7</v>
      </c>
      <c r="D414" s="20" t="str">
        <f t="shared" si="10"/>
        <v>PG20117</v>
      </c>
      <c r="E414" s="2">
        <v>40744</v>
      </c>
      <c r="F414" s="3">
        <v>0.52500000000000002</v>
      </c>
      <c r="G414" s="2">
        <v>40770</v>
      </c>
      <c r="H414" s="3">
        <v>3.1199999999999999E-2</v>
      </c>
      <c r="I414" s="3">
        <v>0</v>
      </c>
      <c r="J414" s="3">
        <v>0</v>
      </c>
      <c r="K414" s="3">
        <f t="shared" si="11"/>
        <v>2011</v>
      </c>
      <c r="L414" s="3">
        <f t="shared" si="12"/>
        <v>0</v>
      </c>
      <c r="M414" s="20" t="str">
        <f>A414&amp;L414</f>
        <v>PG0</v>
      </c>
      <c r="N414" s="3">
        <f>F414</f>
        <v>0.52500000000000002</v>
      </c>
      <c r="O414" s="9">
        <f>H414</f>
        <v>3.1199999999999999E-2</v>
      </c>
      <c r="P414" s="10">
        <f t="shared" si="13"/>
        <v>0</v>
      </c>
      <c r="Q414" s="10">
        <f>IF(K414=0,IF(A411=A414,AVERAGE(O411:O414),"x"),0)</f>
        <v>0</v>
      </c>
      <c r="R414" s="9">
        <f>IF(L414&gt;2005,AVERAGE(O411:O430),0)</f>
        <v>0</v>
      </c>
      <c r="S414" s="10">
        <f>IF(A414=A415,(N414-N415)/N415,0)</f>
        <v>0</v>
      </c>
      <c r="T414" s="10">
        <f>IF(L414&gt;2005,(((N414-N434)/N434)+1)^(1/5)-1,0)</f>
        <v>0</v>
      </c>
      <c r="U414" s="10">
        <f t="shared" si="14"/>
        <v>0</v>
      </c>
      <c r="V414" s="26">
        <f t="shared" si="15"/>
        <v>0</v>
      </c>
      <c r="W414" s="3">
        <f>IF(A414=A415,N414-N415,0)</f>
        <v>0</v>
      </c>
      <c r="X414" s="10">
        <f>IF(A414=A415,(N414-N415)/N415,0)</f>
        <v>0</v>
      </c>
    </row>
    <row r="415" spans="1:24" ht="16.5" customHeight="1">
      <c r="A415" s="3" t="s">
        <v>28</v>
      </c>
      <c r="B415" s="3">
        <f t="shared" si="8"/>
        <v>2011</v>
      </c>
      <c r="C415" s="3">
        <f t="shared" si="9"/>
        <v>4</v>
      </c>
      <c r="D415" s="20" t="str">
        <f t="shared" si="10"/>
        <v>PG20114</v>
      </c>
      <c r="E415" s="2">
        <v>40660</v>
      </c>
      <c r="F415" s="3">
        <v>0.52500000000000002</v>
      </c>
      <c r="G415" s="2">
        <v>40679</v>
      </c>
      <c r="H415" s="3">
        <v>3.09E-2</v>
      </c>
      <c r="I415" s="3">
        <v>8.9663760999999995E-2</v>
      </c>
      <c r="J415" s="3">
        <v>4.3200000000000002E-2</v>
      </c>
      <c r="K415" s="3">
        <f t="shared" si="11"/>
        <v>2011</v>
      </c>
      <c r="L415" s="3">
        <f t="shared" si="12"/>
        <v>0</v>
      </c>
      <c r="M415" s="20" t="str">
        <f>A415&amp;L415</f>
        <v>PG0</v>
      </c>
      <c r="N415" s="3">
        <f>F415</f>
        <v>0.52500000000000002</v>
      </c>
      <c r="O415" s="9">
        <f>H415</f>
        <v>3.09E-2</v>
      </c>
      <c r="P415" s="10">
        <f t="shared" si="13"/>
        <v>2.9950000000000001E-2</v>
      </c>
      <c r="Q415" s="10">
        <f>IF(K415=0,IF(A412=A415,AVERAGE(O412:O415),"x"),0)</f>
        <v>0</v>
      </c>
      <c r="R415" s="9">
        <f>IF(L415&gt;2005,AVERAGE(O412:O431),0)</f>
        <v>0</v>
      </c>
      <c r="S415" s="10">
        <f>IF(A415=A416,(N415-N416)/N416,0)</f>
        <v>8.9663760896637648E-2</v>
      </c>
      <c r="T415" s="10">
        <f>IF(L415&gt;2005,(((N415-N435)/N435)+1)^(1/5)-1,0)</f>
        <v>0</v>
      </c>
      <c r="U415" s="10">
        <f t="shared" si="14"/>
        <v>0</v>
      </c>
      <c r="V415" s="26">
        <f t="shared" si="15"/>
        <v>0</v>
      </c>
      <c r="W415" s="3">
        <f>IF(A415=A416,N415-N416,0)</f>
        <v>4.3200000000000016E-2</v>
      </c>
      <c r="X415" s="10">
        <f>IF(A415=A416,(N415-N416)/N416,0)</f>
        <v>8.9663760896637648E-2</v>
      </c>
    </row>
    <row r="416" spans="1:24" ht="16.5" customHeight="1">
      <c r="A416" s="3" t="s">
        <v>28</v>
      </c>
      <c r="B416" s="3">
        <f t="shared" si="8"/>
        <v>2011</v>
      </c>
      <c r="C416" s="3">
        <f t="shared" si="9"/>
        <v>1</v>
      </c>
      <c r="D416" s="20" t="str">
        <f t="shared" si="10"/>
        <v>PG20111</v>
      </c>
      <c r="E416" s="2">
        <v>40562</v>
      </c>
      <c r="F416" s="3">
        <v>0.48180000000000001</v>
      </c>
      <c r="G416" s="2">
        <v>40589</v>
      </c>
      <c r="H416" s="3">
        <v>2.9399999999999999E-2</v>
      </c>
      <c r="I416" s="3">
        <v>0</v>
      </c>
      <c r="J416" s="3">
        <v>0</v>
      </c>
      <c r="K416" s="3">
        <f t="shared" si="11"/>
        <v>0</v>
      </c>
      <c r="L416" s="3">
        <f t="shared" si="12"/>
        <v>2011</v>
      </c>
      <c r="M416" s="20" t="str">
        <f>A416&amp;L416</f>
        <v>PG2011</v>
      </c>
      <c r="N416" s="3">
        <f>F416</f>
        <v>0.48180000000000001</v>
      </c>
      <c r="O416" s="9">
        <f>H416</f>
        <v>2.9399999999999999E-2</v>
      </c>
      <c r="P416" s="10">
        <f t="shared" si="13"/>
        <v>0</v>
      </c>
      <c r="Q416" s="10">
        <f>IF(K416=0,IF(A413=A416,AVERAGE(O413:O416),"x"),0)</f>
        <v>3.0799999999999998E-2</v>
      </c>
      <c r="R416" s="9">
        <f>IF(L416&gt;2005,AVERAGE(O413:O432),0)</f>
        <v>2.6379999999999997E-2</v>
      </c>
      <c r="S416" s="10">
        <f>IF(A416=A417,(N416-N417)/N417,0)</f>
        <v>0</v>
      </c>
      <c r="T416" s="10">
        <f>IF(L416&gt;2005,(((N416-N436)/N436)+1)^(1/5)-1,0)</f>
        <v>0.11465829649661785</v>
      </c>
      <c r="U416" s="10">
        <f t="shared" si="14"/>
        <v>0.14103829649661784</v>
      </c>
      <c r="V416" s="26">
        <f t="shared" si="15"/>
        <v>4.6637169711479309</v>
      </c>
      <c r="W416" s="3">
        <f>IF(A416=A417,N416-N417,0)</f>
        <v>0</v>
      </c>
      <c r="X416" s="10">
        <f>IF(A416=A417,(N416-N417)/N417,0)</f>
        <v>0</v>
      </c>
    </row>
    <row r="417" spans="1:24" ht="16.5" customHeight="1">
      <c r="A417" s="3" t="s">
        <v>28</v>
      </c>
      <c r="B417" s="3">
        <f t="shared" si="8"/>
        <v>2010</v>
      </c>
      <c r="C417" s="3">
        <f t="shared" si="9"/>
        <v>10</v>
      </c>
      <c r="D417" s="20" t="str">
        <f t="shared" si="10"/>
        <v>PG201010</v>
      </c>
      <c r="E417" s="2">
        <v>40471</v>
      </c>
      <c r="F417" s="3">
        <v>0.48180000000000001</v>
      </c>
      <c r="G417" s="2">
        <v>40497</v>
      </c>
      <c r="H417" s="3">
        <v>2.98E-2</v>
      </c>
      <c r="I417" s="3">
        <v>0</v>
      </c>
      <c r="J417" s="3">
        <v>0</v>
      </c>
      <c r="K417" s="3">
        <f t="shared" si="11"/>
        <v>2010</v>
      </c>
      <c r="L417" s="3">
        <f t="shared" si="12"/>
        <v>0</v>
      </c>
      <c r="M417" s="20" t="str">
        <f>A417&amp;L417</f>
        <v>PG0</v>
      </c>
      <c r="N417" s="3">
        <f>F417</f>
        <v>0.48180000000000001</v>
      </c>
      <c r="O417" s="9">
        <f>H417</f>
        <v>2.98E-2</v>
      </c>
      <c r="P417" s="10">
        <f t="shared" si="13"/>
        <v>0</v>
      </c>
      <c r="Q417" s="10">
        <f>IF(K417=0,IF(A414=A417,AVERAGE(O414:O417),"x"),0)</f>
        <v>0</v>
      </c>
      <c r="R417" s="9">
        <f>IF(L417&gt;2005,AVERAGE(O414:O433),0)</f>
        <v>0</v>
      </c>
      <c r="S417" s="10">
        <f>IF(A417=A418,(N417-N418)/N418,0)</f>
        <v>0</v>
      </c>
      <c r="T417" s="10">
        <f>IF(L417&gt;2005,(((N417-N437)/N437)+1)^(1/5)-1,0)</f>
        <v>0</v>
      </c>
      <c r="U417" s="10">
        <f t="shared" si="14"/>
        <v>0</v>
      </c>
      <c r="V417" s="26">
        <f t="shared" si="15"/>
        <v>0</v>
      </c>
      <c r="W417" s="3">
        <f>IF(A417=A418,N417-N418,0)</f>
        <v>0</v>
      </c>
      <c r="X417" s="10">
        <f>IF(A417=A418,(N417-N418)/N418,0)</f>
        <v>0</v>
      </c>
    </row>
    <row r="418" spans="1:24" ht="16.5" customHeight="1">
      <c r="A418" s="3" t="s">
        <v>28</v>
      </c>
      <c r="B418" s="3">
        <f t="shared" si="8"/>
        <v>2010</v>
      </c>
      <c r="C418" s="3">
        <f t="shared" si="9"/>
        <v>7</v>
      </c>
      <c r="D418" s="20" t="str">
        <f t="shared" si="10"/>
        <v>PG20107</v>
      </c>
      <c r="E418" s="2">
        <v>40380</v>
      </c>
      <c r="F418" s="3">
        <v>0.48180000000000001</v>
      </c>
      <c r="G418" s="2">
        <v>40406</v>
      </c>
      <c r="H418" s="3">
        <v>2.9700000000000001E-2</v>
      </c>
      <c r="I418" s="3">
        <v>0</v>
      </c>
      <c r="J418" s="3">
        <v>0</v>
      </c>
      <c r="K418" s="3">
        <f t="shared" si="11"/>
        <v>2010</v>
      </c>
      <c r="L418" s="3">
        <f t="shared" si="12"/>
        <v>0</v>
      </c>
      <c r="M418" s="20" t="str">
        <f>A418&amp;L418</f>
        <v>PG0</v>
      </c>
      <c r="N418" s="3">
        <f>F418</f>
        <v>0.48180000000000001</v>
      </c>
      <c r="O418" s="9">
        <f>H418</f>
        <v>2.9700000000000001E-2</v>
      </c>
      <c r="P418" s="10">
        <f t="shared" si="13"/>
        <v>0</v>
      </c>
      <c r="Q418" s="10">
        <f>IF(K418=0,IF(A415=A418,AVERAGE(O415:O418),"x"),0)</f>
        <v>0</v>
      </c>
      <c r="R418" s="9">
        <f>IF(L418&gt;2005,AVERAGE(O415:O434),0)</f>
        <v>0</v>
      </c>
      <c r="S418" s="10">
        <f>IF(A418=A419,(N418-N419)/N419,0)</f>
        <v>0</v>
      </c>
      <c r="T418" s="10">
        <f>IF(L418&gt;2005,(((N418-N438)/N438)+1)^(1/5)-1,0)</f>
        <v>0</v>
      </c>
      <c r="U418" s="10">
        <f t="shared" si="14"/>
        <v>0</v>
      </c>
      <c r="V418" s="26">
        <f t="shared" si="15"/>
        <v>0</v>
      </c>
      <c r="W418" s="3">
        <f>IF(A418=A419,N418-N419,0)</f>
        <v>0</v>
      </c>
      <c r="X418" s="10">
        <f>IF(A418=A419,(N418-N419)/N419,0)</f>
        <v>0</v>
      </c>
    </row>
    <row r="419" spans="1:24" ht="16.5" customHeight="1">
      <c r="A419" s="3" t="s">
        <v>28</v>
      </c>
      <c r="B419" s="3">
        <f t="shared" si="8"/>
        <v>2010</v>
      </c>
      <c r="C419" s="3">
        <f t="shared" si="9"/>
        <v>4</v>
      </c>
      <c r="D419" s="20" t="str">
        <f t="shared" si="10"/>
        <v>PG20104</v>
      </c>
      <c r="E419" s="2">
        <v>40296</v>
      </c>
      <c r="F419" s="3">
        <v>0.48180000000000001</v>
      </c>
      <c r="G419" s="2">
        <v>40315</v>
      </c>
      <c r="H419" s="3">
        <v>2.86E-2</v>
      </c>
      <c r="I419" s="3">
        <v>9.5000000000000001E-2</v>
      </c>
      <c r="J419" s="3">
        <v>4.1799999999999997E-2</v>
      </c>
      <c r="K419" s="3">
        <f t="shared" si="11"/>
        <v>2010</v>
      </c>
      <c r="L419" s="3">
        <f t="shared" si="12"/>
        <v>0</v>
      </c>
      <c r="M419" s="20" t="str">
        <f>A419&amp;L419</f>
        <v>PG0</v>
      </c>
      <c r="N419" s="3">
        <f>F419</f>
        <v>0.48180000000000001</v>
      </c>
      <c r="O419" s="9">
        <f>H419</f>
        <v>2.86E-2</v>
      </c>
      <c r="P419" s="10">
        <f t="shared" si="13"/>
        <v>2.9249999999999998E-2</v>
      </c>
      <c r="Q419" s="10">
        <f>IF(K419=0,IF(A416=A419,AVERAGE(O416:O419),"x"),0)</f>
        <v>0</v>
      </c>
      <c r="R419" s="9">
        <f>IF(L419&gt;2005,AVERAGE(O416:O435),0)</f>
        <v>0</v>
      </c>
      <c r="S419" s="10">
        <f>IF(A419=A420,(N419-N420)/N420,0)</f>
        <v>9.5000000000000015E-2</v>
      </c>
      <c r="T419" s="10">
        <f>IF(L419&gt;2005,(((N419-N439)/N439)+1)^(1/5)-1,0)</f>
        <v>0</v>
      </c>
      <c r="U419" s="10">
        <f t="shared" si="14"/>
        <v>0</v>
      </c>
      <c r="V419" s="26">
        <f t="shared" si="15"/>
        <v>0</v>
      </c>
      <c r="W419" s="3">
        <f>IF(A419=A420,N419-N420,0)</f>
        <v>4.1800000000000004E-2</v>
      </c>
      <c r="X419" s="10">
        <f>IF(A419=A420,(N419-N420)/N420,0)</f>
        <v>9.5000000000000015E-2</v>
      </c>
    </row>
    <row r="420" spans="1:24" ht="16.5" customHeight="1">
      <c r="A420" s="3" t="s">
        <v>28</v>
      </c>
      <c r="B420" s="3">
        <f t="shared" si="8"/>
        <v>2010</v>
      </c>
      <c r="C420" s="3">
        <f t="shared" si="9"/>
        <v>1</v>
      </c>
      <c r="D420" s="20" t="str">
        <f t="shared" si="10"/>
        <v>PG20101</v>
      </c>
      <c r="E420" s="2">
        <v>40198</v>
      </c>
      <c r="F420" s="3">
        <v>0.44</v>
      </c>
      <c r="G420" s="2">
        <v>40225</v>
      </c>
      <c r="H420" s="3">
        <v>2.8500000000000001E-2</v>
      </c>
      <c r="I420" s="3">
        <v>0</v>
      </c>
      <c r="J420" s="3">
        <v>0</v>
      </c>
      <c r="K420" s="3">
        <f t="shared" si="11"/>
        <v>0</v>
      </c>
      <c r="L420" s="3">
        <f t="shared" si="12"/>
        <v>2010</v>
      </c>
      <c r="M420" s="20" t="str">
        <f>A420&amp;L420</f>
        <v>PG2010</v>
      </c>
      <c r="N420" s="3">
        <f>F420</f>
        <v>0.44</v>
      </c>
      <c r="O420" s="9">
        <f>H420</f>
        <v>2.8500000000000001E-2</v>
      </c>
      <c r="P420" s="10">
        <f t="shared" si="13"/>
        <v>0</v>
      </c>
      <c r="Q420" s="10">
        <f>IF(K420=0,IF(A417=A420,AVERAGE(O417:O420),"x"),0)</f>
        <v>2.9149999999999999E-2</v>
      </c>
      <c r="R420" s="9">
        <f>IF(L420&gt;2005,AVERAGE(O417:O436),0)</f>
        <v>2.4225E-2</v>
      </c>
      <c r="S420" s="10">
        <f>IF(A420=A421,(N420-N421)/N421,0)</f>
        <v>0</v>
      </c>
      <c r="T420" s="10">
        <f>IF(L420&gt;2005,(((N420-N440)/N440)+1)^(1/5)-1,0)</f>
        <v>0.11970220528043152</v>
      </c>
      <c r="U420" s="10">
        <f t="shared" si="14"/>
        <v>0.14392720528043151</v>
      </c>
      <c r="V420" s="26">
        <f t="shared" si="15"/>
        <v>4.6911723880326148</v>
      </c>
      <c r="W420" s="3">
        <f>IF(A420=A421,N420-N421,0)</f>
        <v>0</v>
      </c>
      <c r="X420" s="10">
        <f>IF(A420=A421,(N420-N421)/N421,0)</f>
        <v>0</v>
      </c>
    </row>
    <row r="421" spans="1:24" ht="16.5" customHeight="1">
      <c r="A421" s="3" t="s">
        <v>28</v>
      </c>
      <c r="B421" s="3">
        <f t="shared" si="8"/>
        <v>2009</v>
      </c>
      <c r="C421" s="3">
        <f t="shared" si="9"/>
        <v>10</v>
      </c>
      <c r="D421" s="20" t="str">
        <f t="shared" si="10"/>
        <v>PG200910</v>
      </c>
      <c r="E421" s="2">
        <v>40107</v>
      </c>
      <c r="F421" s="3">
        <v>0.44</v>
      </c>
      <c r="G421" s="2">
        <v>40133</v>
      </c>
      <c r="H421" s="3">
        <v>2.9600000000000001E-2</v>
      </c>
      <c r="I421" s="3">
        <v>0</v>
      </c>
      <c r="J421" s="3">
        <v>0</v>
      </c>
      <c r="K421" s="3">
        <f t="shared" si="11"/>
        <v>2009</v>
      </c>
      <c r="L421" s="3">
        <f t="shared" si="12"/>
        <v>0</v>
      </c>
      <c r="M421" s="20" t="str">
        <f>A421&amp;L421</f>
        <v>PG0</v>
      </c>
      <c r="N421" s="3">
        <f>F421</f>
        <v>0.44</v>
      </c>
      <c r="O421" s="9">
        <f>H421</f>
        <v>2.9600000000000001E-2</v>
      </c>
      <c r="P421" s="10">
        <f t="shared" si="13"/>
        <v>0</v>
      </c>
      <c r="Q421" s="10">
        <f>IF(K421=0,IF(A418=A421,AVERAGE(O418:O421),"x"),0)</f>
        <v>0</v>
      </c>
      <c r="R421" s="9">
        <f>IF(L421&gt;2005,AVERAGE(O418:O437),0)</f>
        <v>0</v>
      </c>
      <c r="S421" s="10">
        <f>IF(A421=A422,(N421-N422)/N422,0)</f>
        <v>0</v>
      </c>
      <c r="T421" s="10">
        <f>IF(L421&gt;2005,(((N421-N441)/N441)+1)^(1/5)-1,0)</f>
        <v>0</v>
      </c>
      <c r="U421" s="10">
        <f t="shared" si="14"/>
        <v>0</v>
      </c>
      <c r="V421" s="26">
        <f t="shared" si="15"/>
        <v>0</v>
      </c>
      <c r="W421" s="3">
        <f>IF(A421=A422,N421-N422,0)</f>
        <v>0</v>
      </c>
      <c r="X421" s="10">
        <f>IF(A421=A422,(N421-N422)/N422,0)</f>
        <v>0</v>
      </c>
    </row>
    <row r="422" spans="1:24" ht="16.5" customHeight="1">
      <c r="A422" s="3" t="s">
        <v>28</v>
      </c>
      <c r="B422" s="3">
        <f t="shared" si="8"/>
        <v>2009</v>
      </c>
      <c r="C422" s="3">
        <f t="shared" si="9"/>
        <v>7</v>
      </c>
      <c r="D422" s="20" t="str">
        <f t="shared" si="10"/>
        <v>PG20097</v>
      </c>
      <c r="E422" s="2">
        <v>40016</v>
      </c>
      <c r="F422" s="3">
        <v>0.44</v>
      </c>
      <c r="G422" s="2">
        <v>40042</v>
      </c>
      <c r="H422" s="3">
        <v>3.0300000000000001E-2</v>
      </c>
      <c r="I422" s="3">
        <v>0</v>
      </c>
      <c r="J422" s="3">
        <v>0</v>
      </c>
      <c r="K422" s="3">
        <f t="shared" si="11"/>
        <v>2009</v>
      </c>
      <c r="L422" s="3">
        <f t="shared" si="12"/>
        <v>0</v>
      </c>
      <c r="M422" s="20" t="str">
        <f>A422&amp;L422</f>
        <v>PG0</v>
      </c>
      <c r="N422" s="3">
        <f>F422</f>
        <v>0.44</v>
      </c>
      <c r="O422" s="9">
        <f>H422</f>
        <v>3.0300000000000001E-2</v>
      </c>
      <c r="P422" s="10">
        <f t="shared" si="13"/>
        <v>0</v>
      </c>
      <c r="Q422" s="10">
        <f>IF(K422=0,IF(A419=A422,AVERAGE(O419:O422),"x"),0)</f>
        <v>0</v>
      </c>
      <c r="R422" s="9">
        <f>IF(L422&gt;2005,AVERAGE(O419:O438),0)</f>
        <v>0</v>
      </c>
      <c r="S422" s="10">
        <f>IF(A422=A423,(N422-N423)/N423,0)</f>
        <v>0</v>
      </c>
      <c r="T422" s="10">
        <f>IF(L422&gt;2005,(((N422-N442)/N442)+1)^(1/5)-1,0)</f>
        <v>0</v>
      </c>
      <c r="U422" s="10">
        <f t="shared" si="14"/>
        <v>0</v>
      </c>
      <c r="V422" s="26">
        <f t="shared" si="15"/>
        <v>0</v>
      </c>
      <c r="W422" s="3">
        <f>IF(A422=A423,N422-N423,0)</f>
        <v>0</v>
      </c>
      <c r="X422" s="10">
        <f>IF(A422=A423,(N422-N423)/N423,0)</f>
        <v>0</v>
      </c>
    </row>
    <row r="423" spans="1:24" ht="16.5" customHeight="1">
      <c r="A423" s="3" t="s">
        <v>28</v>
      </c>
      <c r="B423" s="3">
        <f t="shared" si="8"/>
        <v>2009</v>
      </c>
      <c r="C423" s="3">
        <f t="shared" si="9"/>
        <v>4</v>
      </c>
      <c r="D423" s="20" t="str">
        <f t="shared" si="10"/>
        <v>PG20094</v>
      </c>
      <c r="E423" s="2">
        <v>39925</v>
      </c>
      <c r="F423" s="3">
        <v>0.44</v>
      </c>
      <c r="G423" s="2">
        <v>39948</v>
      </c>
      <c r="H423" s="3">
        <v>3.1899999999999998E-2</v>
      </c>
      <c r="I423" s="3">
        <v>0.1</v>
      </c>
      <c r="J423" s="3">
        <v>0.04</v>
      </c>
      <c r="K423" s="3">
        <f t="shared" si="11"/>
        <v>2009</v>
      </c>
      <c r="L423" s="3">
        <f t="shared" si="12"/>
        <v>0</v>
      </c>
      <c r="M423" s="20" t="str">
        <f>A423&amp;L423</f>
        <v>PG0</v>
      </c>
      <c r="N423" s="3">
        <f>F423</f>
        <v>0.44</v>
      </c>
      <c r="O423" s="9">
        <f>H423</f>
        <v>3.1899999999999998E-2</v>
      </c>
      <c r="P423" s="10">
        <f t="shared" si="13"/>
        <v>2.6925000000000001E-2</v>
      </c>
      <c r="Q423" s="10">
        <f>IF(K423=0,IF(A420=A423,AVERAGE(O420:O423),"x"),0)</f>
        <v>0</v>
      </c>
      <c r="R423" s="9">
        <f>IF(L423&gt;2005,AVERAGE(O420:O439),0)</f>
        <v>0</v>
      </c>
      <c r="S423" s="10">
        <f>IF(A423=A424,(N423-N424)/N424,0)</f>
        <v>9.999999999999995E-2</v>
      </c>
      <c r="T423" s="10">
        <f>IF(L423&gt;2005,(((N423-N443)/N443)+1)^(1/5)-1,0)</f>
        <v>0</v>
      </c>
      <c r="U423" s="10">
        <f t="shared" si="14"/>
        <v>0</v>
      </c>
      <c r="V423" s="26">
        <f t="shared" si="15"/>
        <v>0</v>
      </c>
      <c r="W423" s="3">
        <f>IF(A423=A424,N423-N424,0)</f>
        <v>3.999999999999998E-2</v>
      </c>
      <c r="X423" s="10">
        <f>IF(A423=A424,(N423-N424)/N424,0)</f>
        <v>9.999999999999995E-2</v>
      </c>
    </row>
    <row r="424" spans="1:24" ht="16.5" customHeight="1">
      <c r="A424" s="3" t="s">
        <v>28</v>
      </c>
      <c r="B424" s="3">
        <f t="shared" si="8"/>
        <v>2009</v>
      </c>
      <c r="C424" s="3">
        <f t="shared" si="9"/>
        <v>1</v>
      </c>
      <c r="D424" s="20" t="str">
        <f t="shared" si="10"/>
        <v>PG20091</v>
      </c>
      <c r="E424" s="2">
        <v>39834</v>
      </c>
      <c r="F424" s="3">
        <v>0.4</v>
      </c>
      <c r="G424" s="2">
        <v>39861</v>
      </c>
      <c r="H424" s="3">
        <v>2.7900000000000001E-2</v>
      </c>
      <c r="I424" s="3">
        <v>0</v>
      </c>
      <c r="J424" s="3">
        <v>0</v>
      </c>
      <c r="K424" s="3">
        <f t="shared" si="11"/>
        <v>0</v>
      </c>
      <c r="L424" s="3">
        <f t="shared" si="12"/>
        <v>2009</v>
      </c>
      <c r="M424" s="20" t="str">
        <f>A424&amp;L424</f>
        <v>PG2009</v>
      </c>
      <c r="N424" s="3">
        <f>F424</f>
        <v>0.4</v>
      </c>
      <c r="O424" s="9">
        <f>H424</f>
        <v>2.7900000000000001E-2</v>
      </c>
      <c r="P424" s="10">
        <f t="shared" si="13"/>
        <v>0</v>
      </c>
      <c r="Q424" s="10">
        <f>IF(K424=0,IF(A421=A424,AVERAGE(O421:O424),"x"),0)</f>
        <v>2.9925E-2</v>
      </c>
      <c r="R424" s="9">
        <f>IF(L424&gt;2005,AVERAGE(O421:O440),0)</f>
        <v>2.2190000000000005E-2</v>
      </c>
      <c r="S424" s="10">
        <f>IF(A424=A425,(N424-N425)/N425,0)</f>
        <v>0</v>
      </c>
      <c r="T424" s="10">
        <f>IF(L424&gt;2005,(((N424-N444)/N444)+1)^(1/5)-1,0)</f>
        <v>0.1194783991051851</v>
      </c>
      <c r="U424" s="10">
        <f t="shared" si="14"/>
        <v>0.14166839910518511</v>
      </c>
      <c r="V424" s="26">
        <f t="shared" si="15"/>
        <v>4.7158992360175844</v>
      </c>
      <c r="W424" s="3">
        <f>IF(A424=A425,N424-N425,0)</f>
        <v>0</v>
      </c>
      <c r="X424" s="10">
        <f>IF(A424=A425,(N424-N425)/N425,0)</f>
        <v>0</v>
      </c>
    </row>
    <row r="425" spans="1:24" ht="16.5" customHeight="1">
      <c r="A425" s="3" t="s">
        <v>28</v>
      </c>
      <c r="B425" s="3">
        <f t="shared" si="8"/>
        <v>2008</v>
      </c>
      <c r="C425" s="3">
        <f t="shared" si="9"/>
        <v>10</v>
      </c>
      <c r="D425" s="20" t="str">
        <f t="shared" si="10"/>
        <v>PG200810</v>
      </c>
      <c r="E425" s="2">
        <v>39743</v>
      </c>
      <c r="F425" s="3">
        <v>0.4</v>
      </c>
      <c r="G425" s="2">
        <v>39766</v>
      </c>
      <c r="H425" s="3">
        <v>2.46E-2</v>
      </c>
      <c r="I425" s="3">
        <v>0</v>
      </c>
      <c r="J425" s="3">
        <v>0</v>
      </c>
      <c r="K425" s="3">
        <f t="shared" si="11"/>
        <v>2008</v>
      </c>
      <c r="L425" s="3">
        <f t="shared" si="12"/>
        <v>0</v>
      </c>
      <c r="M425" s="20" t="str">
        <f>A425&amp;L425</f>
        <v>PG0</v>
      </c>
      <c r="N425" s="3">
        <f>F425</f>
        <v>0.4</v>
      </c>
      <c r="O425" s="9">
        <f>H425</f>
        <v>2.46E-2</v>
      </c>
      <c r="P425" s="10">
        <f t="shared" si="13"/>
        <v>0</v>
      </c>
      <c r="Q425" s="10">
        <f>IF(K425=0,IF(A422=A425,AVERAGE(O422:O425),"x"),0)</f>
        <v>0</v>
      </c>
      <c r="R425" s="9">
        <f>IF(L425&gt;2005,AVERAGE(O422:O441),0)</f>
        <v>0</v>
      </c>
      <c r="S425" s="10">
        <f>IF(A425=A426,(N425-N426)/N426,0)</f>
        <v>0</v>
      </c>
      <c r="T425" s="10">
        <f>IF(L425&gt;2005,(((N425-N445)/N445)+1)^(1/5)-1,0)</f>
        <v>0</v>
      </c>
      <c r="U425" s="10">
        <f t="shared" si="14"/>
        <v>0</v>
      </c>
      <c r="V425" s="26">
        <f t="shared" si="15"/>
        <v>0</v>
      </c>
      <c r="W425" s="3">
        <f>IF(A425=A426,N425-N426,0)</f>
        <v>0</v>
      </c>
      <c r="X425" s="10">
        <f>IF(A425=A426,(N425-N426)/N426,0)</f>
        <v>0</v>
      </c>
    </row>
    <row r="426" spans="1:24" ht="16.5" customHeight="1">
      <c r="A426" s="3" t="s">
        <v>28</v>
      </c>
      <c r="B426" s="3">
        <f t="shared" si="8"/>
        <v>2008</v>
      </c>
      <c r="C426" s="3">
        <f t="shared" si="9"/>
        <v>7</v>
      </c>
      <c r="D426" s="20" t="str">
        <f t="shared" si="10"/>
        <v>PG20087</v>
      </c>
      <c r="E426" s="2">
        <v>39645</v>
      </c>
      <c r="F426" s="3">
        <v>0.4</v>
      </c>
      <c r="G426" s="2">
        <v>39675</v>
      </c>
      <c r="H426" s="3">
        <v>2.3300000000000001E-2</v>
      </c>
      <c r="I426" s="3">
        <v>0</v>
      </c>
      <c r="J426" s="3">
        <v>0</v>
      </c>
      <c r="K426" s="3">
        <f t="shared" si="11"/>
        <v>2008</v>
      </c>
      <c r="L426" s="3">
        <f t="shared" si="12"/>
        <v>0</v>
      </c>
      <c r="M426" s="20" t="str">
        <f>A426&amp;L426</f>
        <v>PG0</v>
      </c>
      <c r="N426" s="3">
        <f>F426</f>
        <v>0.4</v>
      </c>
      <c r="O426" s="9">
        <f>H426</f>
        <v>2.3300000000000001E-2</v>
      </c>
      <c r="P426" s="10">
        <f t="shared" si="13"/>
        <v>0</v>
      </c>
      <c r="Q426" s="10">
        <f>IF(K426=0,IF(A423=A426,AVERAGE(O423:O426),"x"),0)</f>
        <v>0</v>
      </c>
      <c r="R426" s="9">
        <f>IF(L426&gt;2005,AVERAGE(O423:O442),0)</f>
        <v>0</v>
      </c>
      <c r="S426" s="10">
        <f>IF(A426=A427,(N426-N427)/N427,0)</f>
        <v>0</v>
      </c>
      <c r="T426" s="10">
        <f>IF(L426&gt;2005,(((N426-N446)/N446)+1)^(1/5)-1,0)</f>
        <v>0</v>
      </c>
      <c r="U426" s="10">
        <f t="shared" si="14"/>
        <v>0</v>
      </c>
      <c r="V426" s="26">
        <f t="shared" si="15"/>
        <v>0</v>
      </c>
      <c r="W426" s="3">
        <f>IF(A426=A427,N426-N427,0)</f>
        <v>0</v>
      </c>
      <c r="X426" s="10">
        <f>IF(A426=A427,(N426-N427)/N427,0)</f>
        <v>0</v>
      </c>
    </row>
    <row r="427" spans="1:24" ht="16.5" customHeight="1">
      <c r="A427" s="3" t="s">
        <v>28</v>
      </c>
      <c r="B427" s="3">
        <f t="shared" si="8"/>
        <v>2008</v>
      </c>
      <c r="C427" s="3">
        <f t="shared" si="9"/>
        <v>4</v>
      </c>
      <c r="D427" s="20" t="str">
        <f t="shared" si="10"/>
        <v>PG20084</v>
      </c>
      <c r="E427" s="2">
        <v>39554</v>
      </c>
      <c r="F427" s="3">
        <v>0.4</v>
      </c>
      <c r="G427" s="2">
        <v>39583</v>
      </c>
      <c r="H427" s="3">
        <v>2.06E-2</v>
      </c>
      <c r="I427" s="3">
        <v>0.14285714299999999</v>
      </c>
      <c r="J427" s="3">
        <v>0.05</v>
      </c>
      <c r="K427" s="3">
        <f t="shared" si="11"/>
        <v>2008</v>
      </c>
      <c r="L427" s="3">
        <f t="shared" si="12"/>
        <v>0</v>
      </c>
      <c r="M427" s="20" t="str">
        <f>A427&amp;L427</f>
        <v>PG0</v>
      </c>
      <c r="N427" s="3">
        <f>F427</f>
        <v>0.4</v>
      </c>
      <c r="O427" s="9">
        <f>H427</f>
        <v>2.06E-2</v>
      </c>
      <c r="P427" s="10">
        <f t="shared" si="13"/>
        <v>2.0249999999999997E-2</v>
      </c>
      <c r="Q427" s="10">
        <f>IF(K427=0,IF(A424=A427,AVERAGE(O424:O427),"x"),0)</f>
        <v>0</v>
      </c>
      <c r="R427" s="9">
        <f>IF(L427&gt;2005,AVERAGE(O424:O443),0)</f>
        <v>0</v>
      </c>
      <c r="S427" s="10">
        <f>IF(A427=A428,(N427-N428)/N428,0)</f>
        <v>0.14285714285714299</v>
      </c>
      <c r="T427" s="10">
        <f>IF(L427&gt;2005,(((N427-N447)/N447)+1)^(1/5)-1,0)</f>
        <v>0</v>
      </c>
      <c r="U427" s="10">
        <f t="shared" si="14"/>
        <v>0</v>
      </c>
      <c r="V427" s="26">
        <f t="shared" si="15"/>
        <v>0</v>
      </c>
      <c r="W427" s="3">
        <f>IF(A427=A428,N427-N428,0)</f>
        <v>5.0000000000000044E-2</v>
      </c>
      <c r="X427" s="10">
        <f>IF(A427=A428,(N427-N428)/N428,0)</f>
        <v>0.14285714285714299</v>
      </c>
    </row>
    <row r="428" spans="1:24" ht="16.5" customHeight="1">
      <c r="A428" s="3" t="s">
        <v>28</v>
      </c>
      <c r="B428" s="3">
        <f t="shared" si="8"/>
        <v>2008</v>
      </c>
      <c r="C428" s="3">
        <f t="shared" si="9"/>
        <v>1</v>
      </c>
      <c r="D428" s="20" t="str">
        <f t="shared" si="10"/>
        <v>PG20081</v>
      </c>
      <c r="E428" s="2">
        <v>39463</v>
      </c>
      <c r="F428" s="3">
        <v>0.35</v>
      </c>
      <c r="G428" s="2">
        <v>39493</v>
      </c>
      <c r="H428" s="3">
        <v>2.01E-2</v>
      </c>
      <c r="I428" s="3">
        <v>0</v>
      </c>
      <c r="J428" s="3">
        <v>0</v>
      </c>
      <c r="K428" s="3">
        <f t="shared" si="11"/>
        <v>0</v>
      </c>
      <c r="L428" s="3">
        <f t="shared" si="12"/>
        <v>2008</v>
      </c>
      <c r="M428" s="20" t="str">
        <f>A428&amp;L428</f>
        <v>PG2008</v>
      </c>
      <c r="N428" s="3">
        <f>F428</f>
        <v>0.35</v>
      </c>
      <c r="O428" s="9">
        <f>H428</f>
        <v>2.01E-2</v>
      </c>
      <c r="P428" s="10">
        <f t="shared" si="13"/>
        <v>0</v>
      </c>
      <c r="Q428" s="10">
        <f>IF(K428=0,IF(A425=A428,AVERAGE(O425:O428),"x"),0)</f>
        <v>2.2150000000000003E-2</v>
      </c>
      <c r="R428" s="9">
        <f>IF(L428&gt;2005,AVERAGE(O425:O444),0)</f>
        <v>1.9790000000000002E-2</v>
      </c>
      <c r="S428" s="10">
        <f>IF(A428=A429,(N428-N429)/N429,0)</f>
        <v>0</v>
      </c>
      <c r="T428" s="10">
        <f>IF(L428&gt;2005,(((N428-N448)/N448)+1)^(1/5)-1,0)</f>
        <v>0.11291715445268014</v>
      </c>
      <c r="U428" s="10">
        <f t="shared" si="14"/>
        <v>0.13270715445268014</v>
      </c>
      <c r="V428" s="26">
        <f t="shared" si="15"/>
        <v>4.743954301116287</v>
      </c>
      <c r="W428" s="3">
        <f>IF(A428=A429,N428-N429,0)</f>
        <v>0</v>
      </c>
      <c r="X428" s="10">
        <f>IF(A428=A429,(N428-N429)/N429,0)</f>
        <v>0</v>
      </c>
    </row>
    <row r="429" spans="1:24" ht="16.5" customHeight="1">
      <c r="A429" s="3" t="s">
        <v>28</v>
      </c>
      <c r="B429" s="3">
        <f t="shared" si="8"/>
        <v>2007</v>
      </c>
      <c r="C429" s="3">
        <f t="shared" si="9"/>
        <v>10</v>
      </c>
      <c r="D429" s="20" t="str">
        <f t="shared" si="10"/>
        <v>PG200710</v>
      </c>
      <c r="E429" s="2">
        <v>39372</v>
      </c>
      <c r="F429" s="3">
        <v>0.35</v>
      </c>
      <c r="G429" s="2">
        <v>39401</v>
      </c>
      <c r="H429" s="3">
        <v>1.9199999999999998E-2</v>
      </c>
      <c r="I429" s="3">
        <v>0</v>
      </c>
      <c r="J429" s="3">
        <v>0</v>
      </c>
      <c r="K429" s="3">
        <f t="shared" si="11"/>
        <v>2007</v>
      </c>
      <c r="L429" s="3">
        <f t="shared" si="12"/>
        <v>0</v>
      </c>
      <c r="M429" s="20" t="str">
        <f>A429&amp;L429</f>
        <v>PG0</v>
      </c>
      <c r="N429" s="3">
        <f>F429</f>
        <v>0.35</v>
      </c>
      <c r="O429" s="9">
        <f>H429</f>
        <v>1.9199999999999998E-2</v>
      </c>
      <c r="P429" s="10">
        <f t="shared" si="13"/>
        <v>0</v>
      </c>
      <c r="Q429" s="10">
        <f>IF(K429=0,IF(A426=A429,AVERAGE(O426:O429),"x"),0)</f>
        <v>0</v>
      </c>
      <c r="R429" s="9">
        <f>IF(L429&gt;2005,AVERAGE(O426:O445),0)</f>
        <v>0</v>
      </c>
      <c r="S429" s="10">
        <f>IF(A429=A430,(N429-N430)/N430,0)</f>
        <v>0</v>
      </c>
      <c r="T429" s="10">
        <f>IF(L429&gt;2005,(((N429-N449)/N449)+1)^(1/5)-1,0)</f>
        <v>0</v>
      </c>
      <c r="U429" s="10">
        <f t="shared" si="14"/>
        <v>0</v>
      </c>
      <c r="V429" s="26">
        <f t="shared" si="15"/>
        <v>0</v>
      </c>
      <c r="W429" s="3">
        <f>IF(A429=A430,N429-N430,0)</f>
        <v>0</v>
      </c>
      <c r="X429" s="10">
        <f>IF(A429=A430,(N429-N430)/N430,0)</f>
        <v>0</v>
      </c>
    </row>
    <row r="430" spans="1:24" ht="16.5" customHeight="1">
      <c r="A430" s="3" t="s">
        <v>28</v>
      </c>
      <c r="B430" s="3">
        <f t="shared" si="8"/>
        <v>2007</v>
      </c>
      <c r="C430" s="3">
        <f t="shared" si="9"/>
        <v>7</v>
      </c>
      <c r="D430" s="20" t="str">
        <f t="shared" si="10"/>
        <v>PG20077</v>
      </c>
      <c r="E430" s="2">
        <v>39281</v>
      </c>
      <c r="F430" s="3">
        <v>0.35</v>
      </c>
      <c r="G430" s="2">
        <v>39309</v>
      </c>
      <c r="H430" s="3">
        <v>2.1100000000000001E-2</v>
      </c>
      <c r="I430" s="3">
        <v>0</v>
      </c>
      <c r="J430" s="3">
        <v>0</v>
      </c>
      <c r="K430" s="3">
        <f t="shared" si="11"/>
        <v>2007</v>
      </c>
      <c r="L430" s="3">
        <f t="shared" si="12"/>
        <v>0</v>
      </c>
      <c r="M430" s="20" t="str">
        <f>A430&amp;L430</f>
        <v>PG0</v>
      </c>
      <c r="N430" s="3">
        <f>F430</f>
        <v>0.35</v>
      </c>
      <c r="O430" s="9">
        <f>H430</f>
        <v>2.1100000000000001E-2</v>
      </c>
      <c r="P430" s="10">
        <f t="shared" si="13"/>
        <v>0</v>
      </c>
      <c r="Q430" s="10">
        <f>IF(K430=0,IF(A427=A430,AVERAGE(O427:O430),"x"),0)</f>
        <v>0</v>
      </c>
      <c r="R430" s="9">
        <f>IF(L430&gt;2005,AVERAGE(O427:O446),0)</f>
        <v>0</v>
      </c>
      <c r="S430" s="10">
        <f>IF(A430=A431,(N430-N431)/N431,0)</f>
        <v>0</v>
      </c>
      <c r="T430" s="10">
        <f>IF(L430&gt;2005,(((N430-N450)/N450)+1)^(1/5)-1,0)</f>
        <v>0</v>
      </c>
      <c r="U430" s="10">
        <f t="shared" si="14"/>
        <v>0</v>
      </c>
      <c r="V430" s="26">
        <f t="shared" si="15"/>
        <v>0</v>
      </c>
      <c r="W430" s="3">
        <f>IF(A430=A431,N430-N431,0)</f>
        <v>0</v>
      </c>
      <c r="X430" s="10">
        <f>IF(A430=A431,(N430-N431)/N431,0)</f>
        <v>0</v>
      </c>
    </row>
    <row r="431" spans="1:24" ht="16.5" customHeight="1">
      <c r="A431" s="3" t="s">
        <v>28</v>
      </c>
      <c r="B431" s="3">
        <f t="shared" si="8"/>
        <v>2007</v>
      </c>
      <c r="C431" s="3">
        <f t="shared" si="9"/>
        <v>4</v>
      </c>
      <c r="D431" s="20" t="str">
        <f t="shared" si="10"/>
        <v>PG20074</v>
      </c>
      <c r="E431" s="2">
        <v>39197</v>
      </c>
      <c r="F431" s="3">
        <v>0.35</v>
      </c>
      <c r="G431" s="2">
        <v>39217</v>
      </c>
      <c r="H431" s="3">
        <v>2.01E-2</v>
      </c>
      <c r="I431" s="3">
        <v>0.12903225800000001</v>
      </c>
      <c r="J431" s="3">
        <v>0.04</v>
      </c>
      <c r="K431" s="3">
        <f t="shared" si="11"/>
        <v>2007</v>
      </c>
      <c r="L431" s="3">
        <f t="shared" si="12"/>
        <v>0</v>
      </c>
      <c r="M431" s="20" t="str">
        <f>A431&amp;L431</f>
        <v>PG0</v>
      </c>
      <c r="N431" s="3">
        <f>F431</f>
        <v>0.35</v>
      </c>
      <c r="O431" s="9">
        <f>H431</f>
        <v>2.01E-2</v>
      </c>
      <c r="P431" s="10">
        <f t="shared" si="13"/>
        <v>1.9924999999999998E-2</v>
      </c>
      <c r="Q431" s="10">
        <f>IF(K431=0,IF(A428=A431,AVERAGE(O428:O431),"x"),0)</f>
        <v>0</v>
      </c>
      <c r="R431" s="9">
        <f>IF(L431&gt;2005,AVERAGE(O428:O447),0)</f>
        <v>0</v>
      </c>
      <c r="S431" s="10">
        <f>IF(A431=A432,(N431-N432)/N432,0)</f>
        <v>0.12903225806451607</v>
      </c>
      <c r="T431" s="10">
        <f>IF(L431&gt;2005,(((N431-N451)/N451)+1)^(1/5)-1,0)</f>
        <v>0</v>
      </c>
      <c r="U431" s="10">
        <f t="shared" si="14"/>
        <v>0</v>
      </c>
      <c r="V431" s="26">
        <f t="shared" si="15"/>
        <v>0</v>
      </c>
      <c r="W431" s="3">
        <f>IF(A431=A432,N431-N432,0)</f>
        <v>3.999999999999998E-2</v>
      </c>
      <c r="X431" s="10">
        <f>IF(A431=A432,(N431-N432)/N432,0)</f>
        <v>0.12903225806451607</v>
      </c>
    </row>
    <row r="432" spans="1:24" ht="16.5" customHeight="1">
      <c r="A432" s="3" t="s">
        <v>28</v>
      </c>
      <c r="B432" s="3">
        <f t="shared" si="8"/>
        <v>2007</v>
      </c>
      <c r="C432" s="3">
        <f t="shared" si="9"/>
        <v>1</v>
      </c>
      <c r="D432" s="20" t="str">
        <f t="shared" si="10"/>
        <v>PG20071</v>
      </c>
      <c r="E432" s="2">
        <v>39099</v>
      </c>
      <c r="F432" s="3">
        <v>0.31</v>
      </c>
      <c r="G432" s="2">
        <v>39128</v>
      </c>
      <c r="H432" s="3">
        <v>1.9099999999999999E-2</v>
      </c>
      <c r="I432" s="3">
        <v>0</v>
      </c>
      <c r="J432" s="3">
        <v>0</v>
      </c>
      <c r="K432" s="3">
        <f t="shared" si="11"/>
        <v>0</v>
      </c>
      <c r="L432" s="3">
        <f t="shared" si="12"/>
        <v>2007</v>
      </c>
      <c r="M432" s="20" t="str">
        <f>A432&amp;L432</f>
        <v>PG2007</v>
      </c>
      <c r="N432" s="3">
        <f>F432</f>
        <v>0.31</v>
      </c>
      <c r="O432" s="9">
        <f>H432</f>
        <v>1.9099999999999999E-2</v>
      </c>
      <c r="P432" s="10">
        <f t="shared" si="13"/>
        <v>0</v>
      </c>
      <c r="Q432" s="10">
        <f>IF(K432=0,IF(A429=A432,AVERAGE(O429:O432),"x"),0)</f>
        <v>1.9875E-2</v>
      </c>
      <c r="R432" s="9">
        <f>IF(L432&gt;2005,AVERAGE(O429:O448),0)</f>
        <v>1.9060000000000001E-2</v>
      </c>
      <c r="S432" s="10">
        <f>IF(A432=A433,(N432-N433)/N433,0)</f>
        <v>0</v>
      </c>
      <c r="T432" s="10">
        <f>IF(L432&gt;2005,(((N432-N452)/N452)+1)^(1/5)-1,0)</f>
        <v>0.10286313147852999</v>
      </c>
      <c r="U432" s="10">
        <f t="shared" si="14"/>
        <v>0.12192313147852998</v>
      </c>
      <c r="V432" s="26">
        <f t="shared" si="15"/>
        <v>4.750868966863262</v>
      </c>
      <c r="W432" s="3">
        <f>IF(A432=A433,N432-N433,0)</f>
        <v>0</v>
      </c>
      <c r="X432" s="10">
        <f>IF(A432=A433,(N432-N433)/N433,0)</f>
        <v>0</v>
      </c>
    </row>
    <row r="433" spans="1:24" ht="16.5" customHeight="1">
      <c r="A433" s="3" t="s">
        <v>28</v>
      </c>
      <c r="B433" s="3">
        <f t="shared" si="8"/>
        <v>2006</v>
      </c>
      <c r="C433" s="3">
        <f t="shared" si="9"/>
        <v>10</v>
      </c>
      <c r="D433" s="20" t="str">
        <f t="shared" si="10"/>
        <v>PG200610</v>
      </c>
      <c r="E433" s="2">
        <v>39008</v>
      </c>
      <c r="F433" s="3">
        <v>0.31</v>
      </c>
      <c r="G433" s="2">
        <v>39036</v>
      </c>
      <c r="H433" s="3">
        <v>1.9400000000000001E-2</v>
      </c>
      <c r="I433" s="3">
        <v>0</v>
      </c>
      <c r="J433" s="3">
        <v>0</v>
      </c>
      <c r="K433" s="3">
        <f t="shared" si="11"/>
        <v>2006</v>
      </c>
      <c r="L433" s="3">
        <f t="shared" si="12"/>
        <v>0</v>
      </c>
      <c r="M433" s="20" t="str">
        <f>A433&amp;L433</f>
        <v>PG0</v>
      </c>
      <c r="N433" s="3">
        <f>F433</f>
        <v>0.31</v>
      </c>
      <c r="O433" s="9">
        <f>H433</f>
        <v>1.9400000000000001E-2</v>
      </c>
      <c r="P433" s="10">
        <f t="shared" si="13"/>
        <v>0</v>
      </c>
      <c r="Q433" s="10">
        <f>IF(K433=0,IF(A430=A433,AVERAGE(O430:O433),"x"),0)</f>
        <v>0</v>
      </c>
      <c r="R433" s="9">
        <f>IF(L433&gt;2005,AVERAGE(O430:O449),0)</f>
        <v>0</v>
      </c>
      <c r="S433" s="10">
        <f>IF(A433=A434,(N433-N434)/N434,0)</f>
        <v>0</v>
      </c>
      <c r="T433" s="10">
        <f>IF(L433&gt;2005,(((N433-N453)/N453)+1)^(1/5)-1,0)</f>
        <v>0</v>
      </c>
      <c r="U433" s="10">
        <f t="shared" si="14"/>
        <v>0</v>
      </c>
      <c r="V433" s="26">
        <f t="shared" si="15"/>
        <v>0</v>
      </c>
      <c r="W433" s="3">
        <f>IF(A433=A434,N433-N434,0)</f>
        <v>0</v>
      </c>
      <c r="X433" s="10">
        <f>IF(A433=A434,(N433-N434)/N434,0)</f>
        <v>0</v>
      </c>
    </row>
    <row r="434" spans="1:24" ht="16.5" customHeight="1">
      <c r="A434" s="3" t="s">
        <v>28</v>
      </c>
      <c r="B434" s="3">
        <f t="shared" si="8"/>
        <v>2006</v>
      </c>
      <c r="C434" s="3">
        <f t="shared" si="9"/>
        <v>7</v>
      </c>
      <c r="D434" s="20" t="str">
        <f t="shared" si="10"/>
        <v>PG20067</v>
      </c>
      <c r="E434" s="2">
        <v>38917</v>
      </c>
      <c r="F434" s="3">
        <v>0.31</v>
      </c>
      <c r="G434" s="2">
        <v>38944</v>
      </c>
      <c r="H434" s="3">
        <v>2.1100000000000001E-2</v>
      </c>
      <c r="I434" s="3">
        <v>0</v>
      </c>
      <c r="J434" s="3">
        <v>0</v>
      </c>
      <c r="K434" s="3">
        <f t="shared" si="11"/>
        <v>2006</v>
      </c>
      <c r="L434" s="3">
        <f t="shared" si="12"/>
        <v>0</v>
      </c>
      <c r="M434" s="20" t="str">
        <f>A434&amp;L434</f>
        <v>PG0</v>
      </c>
      <c r="N434" s="3">
        <f>F434</f>
        <v>0.31</v>
      </c>
      <c r="O434" s="9">
        <f>H434</f>
        <v>2.1100000000000001E-2</v>
      </c>
      <c r="P434" s="10">
        <f t="shared" si="13"/>
        <v>0</v>
      </c>
      <c r="Q434" s="10">
        <f>IF(K434=0,IF(A431=A434,AVERAGE(O431:O434),"x"),0)</f>
        <v>0</v>
      </c>
      <c r="R434" s="9">
        <f>IF(L434&gt;2005,AVERAGE(O431:O450),0)</f>
        <v>0</v>
      </c>
      <c r="S434" s="10">
        <f>IF(A434=A435,(N434-N435)/N435,0)</f>
        <v>0</v>
      </c>
      <c r="T434" s="10">
        <f>IF(L434&gt;2005,(((N434-N454)/N454)+1)^(1/5)-1,0)</f>
        <v>0</v>
      </c>
      <c r="U434" s="10">
        <f t="shared" si="14"/>
        <v>0</v>
      </c>
      <c r="V434" s="26">
        <f t="shared" si="15"/>
        <v>0</v>
      </c>
      <c r="W434" s="3">
        <f>IF(A434=A435,N434-N435,0)</f>
        <v>0</v>
      </c>
      <c r="X434" s="10">
        <f>IF(A434=A435,(N434-N435)/N435,0)</f>
        <v>0</v>
      </c>
    </row>
    <row r="435" spans="1:24" ht="16.5" customHeight="1">
      <c r="A435" s="3" t="s">
        <v>28</v>
      </c>
      <c r="B435" s="3">
        <f t="shared" si="8"/>
        <v>2006</v>
      </c>
      <c r="C435" s="3">
        <f t="shared" si="9"/>
        <v>4</v>
      </c>
      <c r="D435" s="20" t="str">
        <f t="shared" si="10"/>
        <v>PG20064</v>
      </c>
      <c r="E435" s="2">
        <v>38826</v>
      </c>
      <c r="F435" s="3">
        <v>0.31</v>
      </c>
      <c r="G435" s="2">
        <v>38852</v>
      </c>
      <c r="H435" s="3">
        <v>2.0500000000000001E-2</v>
      </c>
      <c r="I435" s="3">
        <v>0.10714285699999999</v>
      </c>
      <c r="J435" s="3">
        <v>0.03</v>
      </c>
      <c r="K435" s="3">
        <f t="shared" si="11"/>
        <v>2006</v>
      </c>
      <c r="L435" s="3">
        <f t="shared" si="12"/>
        <v>0</v>
      </c>
      <c r="M435" s="20" t="str">
        <f>A435&amp;L435</f>
        <v>PG0</v>
      </c>
      <c r="N435" s="3">
        <f>F435</f>
        <v>0.31</v>
      </c>
      <c r="O435" s="9">
        <f>H435</f>
        <v>2.0500000000000001E-2</v>
      </c>
      <c r="P435" s="10">
        <f t="shared" si="13"/>
        <v>1.9649999999999997E-2</v>
      </c>
      <c r="Q435" s="10">
        <f>IF(K435=0,IF(A432=A435,AVERAGE(O432:O435),"x"),0)</f>
        <v>0</v>
      </c>
      <c r="R435" s="9">
        <f>IF(L435&gt;2005,AVERAGE(O432:O451),0)</f>
        <v>0</v>
      </c>
      <c r="S435" s="10">
        <f>IF(A435=A436,(N435-N436)/N436,0)</f>
        <v>0.10714285714285703</v>
      </c>
      <c r="T435" s="10">
        <f>IF(L435&gt;2005,(((N435-N455)/N455)+1)^(1/5)-1,0)</f>
        <v>0</v>
      </c>
      <c r="U435" s="10">
        <f t="shared" si="14"/>
        <v>0</v>
      </c>
      <c r="V435" s="26">
        <f t="shared" si="15"/>
        <v>0</v>
      </c>
      <c r="W435" s="3">
        <f>IF(A435=A436,N435-N436,0)</f>
        <v>2.9999999999999971E-2</v>
      </c>
      <c r="X435" s="10">
        <f>IF(A435=A436,(N435-N436)/N436,0)</f>
        <v>0.10714285714285703</v>
      </c>
    </row>
    <row r="436" spans="1:24" ht="16.5" customHeight="1">
      <c r="A436" s="3" t="s">
        <v>28</v>
      </c>
      <c r="B436" s="3">
        <f t="shared" si="8"/>
        <v>2006</v>
      </c>
      <c r="C436" s="3">
        <f t="shared" si="9"/>
        <v>1</v>
      </c>
      <c r="D436" s="20" t="str">
        <f t="shared" si="10"/>
        <v>PG20061</v>
      </c>
      <c r="E436" s="2">
        <v>38735</v>
      </c>
      <c r="F436" s="3">
        <v>0.28000000000000003</v>
      </c>
      <c r="G436" s="2">
        <v>38763</v>
      </c>
      <c r="H436" s="3">
        <v>1.9099999999999999E-2</v>
      </c>
      <c r="I436" s="3">
        <v>0</v>
      </c>
      <c r="J436" s="3">
        <v>0</v>
      </c>
      <c r="K436" s="3">
        <f t="shared" si="11"/>
        <v>0</v>
      </c>
      <c r="L436" s="3">
        <f t="shared" si="12"/>
        <v>2006</v>
      </c>
      <c r="M436" s="20" t="str">
        <f>A436&amp;L436</f>
        <v>PG2006</v>
      </c>
      <c r="N436" s="3">
        <f>F436</f>
        <v>0.28000000000000003</v>
      </c>
      <c r="O436" s="9">
        <f>H436</f>
        <v>1.9099999999999999E-2</v>
      </c>
      <c r="P436" s="10">
        <f t="shared" si="13"/>
        <v>0</v>
      </c>
      <c r="Q436" s="10">
        <f>IF(K436=0,IF(A433=A436,AVERAGE(O433:O436),"x"),0)</f>
        <v>2.0025000000000001E-2</v>
      </c>
      <c r="R436" s="9">
        <f>IF(L436&gt;2005,AVERAGE(O433:O452),0)</f>
        <v>1.8685E-2</v>
      </c>
      <c r="S436" s="10">
        <f>IF(A436=A437,(N436-N437)/N437,0)</f>
        <v>0</v>
      </c>
      <c r="T436" s="10">
        <f>IF(L436&gt;2005,(((N436-N456)/N456)+1)^(1/5)-1,0)</f>
        <v>9.8560543306117854E-2</v>
      </c>
      <c r="U436" s="10">
        <f t="shared" si="14"/>
        <v>0.11724554330611786</v>
      </c>
      <c r="V436" s="26">
        <f t="shared" si="15"/>
        <v>4.7546617660645412</v>
      </c>
      <c r="W436" s="3">
        <f>IF(A436=A437,N436-N437,0)</f>
        <v>0</v>
      </c>
      <c r="X436" s="10">
        <f>IF(A436=A437,(N436-N437)/N437,0)</f>
        <v>0</v>
      </c>
    </row>
    <row r="437" spans="1:24" ht="16.5" customHeight="1">
      <c r="A437" s="3" t="s">
        <v>28</v>
      </c>
      <c r="B437" s="3">
        <f t="shared" si="8"/>
        <v>2005</v>
      </c>
      <c r="C437" s="3">
        <f t="shared" si="9"/>
        <v>10</v>
      </c>
      <c r="D437" s="20" t="str">
        <f t="shared" si="10"/>
        <v>PG200510</v>
      </c>
      <c r="E437" s="2">
        <v>38644</v>
      </c>
      <c r="F437" s="3">
        <v>0.28000000000000003</v>
      </c>
      <c r="G437" s="2">
        <v>38671</v>
      </c>
      <c r="H437" s="3">
        <v>1.9699999999999999E-2</v>
      </c>
      <c r="I437" s="3">
        <v>0</v>
      </c>
      <c r="J437" s="3">
        <v>0</v>
      </c>
      <c r="K437" s="3">
        <f t="shared" si="11"/>
        <v>2005</v>
      </c>
      <c r="L437" s="3">
        <f t="shared" si="12"/>
        <v>0</v>
      </c>
      <c r="M437" s="20" t="str">
        <f>A437&amp;L437</f>
        <v>PG0</v>
      </c>
      <c r="N437" s="3">
        <f>F437</f>
        <v>0.28000000000000003</v>
      </c>
      <c r="O437" s="9">
        <f>H437</f>
        <v>1.9699999999999999E-2</v>
      </c>
      <c r="P437" s="10">
        <f t="shared" si="13"/>
        <v>0</v>
      </c>
      <c r="Q437" s="10">
        <f>IF(K437=0,IF(A434=A437,AVERAGE(O434:O437),"x"),0)</f>
        <v>0</v>
      </c>
      <c r="R437" s="9">
        <f>IF(L437&gt;2005,AVERAGE(O434:O453),0)</f>
        <v>0</v>
      </c>
      <c r="S437" s="10">
        <f>IF(A437=A438,(N437-N438)/N438,0)</f>
        <v>0</v>
      </c>
      <c r="T437" s="10">
        <f>IF(L437&gt;2005,(((N437-N457)/N457)+1)^(1/5)-1,0)</f>
        <v>0</v>
      </c>
      <c r="U437" s="10">
        <f t="shared" si="14"/>
        <v>0</v>
      </c>
      <c r="V437" s="26">
        <f t="shared" si="15"/>
        <v>0</v>
      </c>
      <c r="W437" s="3">
        <f>IF(A437=A438,N437-N438,0)</f>
        <v>0</v>
      </c>
      <c r="X437" s="10">
        <f>IF(A437=A438,(N437-N438)/N438,0)</f>
        <v>0</v>
      </c>
    </row>
    <row r="438" spans="1:24" ht="16.5" customHeight="1">
      <c r="A438" s="3" t="s">
        <v>28</v>
      </c>
      <c r="B438" s="3">
        <f t="shared" si="8"/>
        <v>2005</v>
      </c>
      <c r="C438" s="3">
        <f t="shared" si="9"/>
        <v>7</v>
      </c>
      <c r="D438" s="20" t="str">
        <f t="shared" si="10"/>
        <v>PG20057</v>
      </c>
      <c r="E438" s="2">
        <v>38553</v>
      </c>
      <c r="F438" s="3">
        <v>0.28000000000000003</v>
      </c>
      <c r="G438" s="2">
        <v>38579</v>
      </c>
      <c r="H438" s="3">
        <v>1.9300000000000001E-2</v>
      </c>
      <c r="I438" s="3">
        <v>0</v>
      </c>
      <c r="J438" s="3">
        <v>0</v>
      </c>
      <c r="K438" s="3">
        <f t="shared" si="11"/>
        <v>2005</v>
      </c>
      <c r="L438" s="3">
        <f t="shared" si="12"/>
        <v>0</v>
      </c>
      <c r="M438" s="20" t="str">
        <f>A438&amp;L438</f>
        <v>PG0</v>
      </c>
      <c r="N438" s="3">
        <f>F438</f>
        <v>0.28000000000000003</v>
      </c>
      <c r="O438" s="9">
        <f>H438</f>
        <v>1.9300000000000001E-2</v>
      </c>
      <c r="P438" s="10">
        <f t="shared" si="13"/>
        <v>0</v>
      </c>
      <c r="Q438" s="10">
        <f>IF(K438=0,IF(A435=A438,AVERAGE(O435:O438),"x"),0)</f>
        <v>0</v>
      </c>
      <c r="R438" s="9">
        <f>IF(L438&gt;2005,AVERAGE(O435:O454),0)</f>
        <v>0</v>
      </c>
      <c r="S438" s="10">
        <f>IF(A438=A439,(N438-N439)/N439,0)</f>
        <v>0</v>
      </c>
      <c r="T438" s="10">
        <f>IF(L438&gt;2005,(((N438-N458)/N458)+1)^(1/5)-1,0)</f>
        <v>0</v>
      </c>
      <c r="U438" s="10">
        <f t="shared" si="14"/>
        <v>0</v>
      </c>
      <c r="V438" s="26">
        <f t="shared" si="15"/>
        <v>0</v>
      </c>
      <c r="W438" s="3">
        <f>IF(A438=A439,N438-N439,0)</f>
        <v>0</v>
      </c>
      <c r="X438" s="10">
        <f>IF(A438=A439,(N438-N439)/N439,0)</f>
        <v>0</v>
      </c>
    </row>
    <row r="439" spans="1:24" ht="16.5" customHeight="1">
      <c r="A439" s="3" t="s">
        <v>28</v>
      </c>
      <c r="B439" s="3">
        <f t="shared" si="8"/>
        <v>2005</v>
      </c>
      <c r="C439" s="3">
        <f t="shared" si="9"/>
        <v>4</v>
      </c>
      <c r="D439" s="20" t="str">
        <f t="shared" si="10"/>
        <v>PG20054</v>
      </c>
      <c r="E439" s="2">
        <v>38462</v>
      </c>
      <c r="F439" s="3">
        <v>0.28000000000000003</v>
      </c>
      <c r="G439" s="2">
        <v>38488</v>
      </c>
      <c r="H439" s="3">
        <v>1.9E-2</v>
      </c>
      <c r="I439" s="3">
        <v>0.12</v>
      </c>
      <c r="J439" s="3">
        <v>0.03</v>
      </c>
      <c r="K439" s="3">
        <f t="shared" si="11"/>
        <v>2005</v>
      </c>
      <c r="L439" s="3">
        <f t="shared" si="12"/>
        <v>0</v>
      </c>
      <c r="M439" s="20" t="str">
        <f>A439&amp;L439</f>
        <v>PG0</v>
      </c>
      <c r="N439" s="3">
        <f>F439</f>
        <v>0.28000000000000003</v>
      </c>
      <c r="O439" s="9">
        <f>H439</f>
        <v>1.9E-2</v>
      </c>
      <c r="P439" s="10">
        <f t="shared" si="13"/>
        <v>1.8200000000000001E-2</v>
      </c>
      <c r="Q439" s="10">
        <f>IF(K439=0,IF(A436=A439,AVERAGE(O436:O439),"x"),0)</f>
        <v>0</v>
      </c>
      <c r="R439" s="9">
        <f>IF(L439&gt;2005,AVERAGE(O436:O455),0)</f>
        <v>0</v>
      </c>
      <c r="S439" s="10">
        <f>IF(A439=A440,(N439-N440)/N440,0)</f>
        <v>0.12000000000000011</v>
      </c>
      <c r="T439" s="10">
        <f>IF(L439&gt;2005,(((N439-N459)/N459)+1)^(1/5)-1,0)</f>
        <v>0</v>
      </c>
      <c r="U439" s="10">
        <f t="shared" si="14"/>
        <v>0</v>
      </c>
      <c r="V439" s="26">
        <f t="shared" si="15"/>
        <v>0</v>
      </c>
      <c r="W439" s="3">
        <f>IF(A439=A440,N439-N440,0)</f>
        <v>3.0000000000000027E-2</v>
      </c>
      <c r="X439" s="10">
        <f>IF(A439=A440,(N439-N440)/N440,0)</f>
        <v>0.12000000000000011</v>
      </c>
    </row>
    <row r="440" spans="1:24" ht="16.5" customHeight="1">
      <c r="A440" s="3" t="s">
        <v>28</v>
      </c>
      <c r="B440" s="3">
        <f t="shared" si="8"/>
        <v>2005</v>
      </c>
      <c r="C440" s="3">
        <f t="shared" si="9"/>
        <v>1</v>
      </c>
      <c r="D440" s="20" t="str">
        <f t="shared" si="10"/>
        <v>PG20051</v>
      </c>
      <c r="E440" s="2">
        <v>38371</v>
      </c>
      <c r="F440" s="3">
        <v>0.25</v>
      </c>
      <c r="G440" s="2">
        <v>38398</v>
      </c>
      <c r="H440" s="3">
        <v>1.7899999999999999E-2</v>
      </c>
      <c r="I440" s="3">
        <v>0</v>
      </c>
      <c r="J440" s="3">
        <v>0</v>
      </c>
      <c r="K440" s="3">
        <f t="shared" si="11"/>
        <v>0</v>
      </c>
      <c r="L440" s="3">
        <f t="shared" si="12"/>
        <v>2005</v>
      </c>
      <c r="M440" s="20" t="str">
        <f>A440&amp;L440</f>
        <v>PG2005</v>
      </c>
      <c r="N440" s="3">
        <f>F440</f>
        <v>0.25</v>
      </c>
      <c r="O440" s="9">
        <f>H440</f>
        <v>1.7899999999999999E-2</v>
      </c>
      <c r="P440" s="10">
        <f t="shared" si="13"/>
        <v>0</v>
      </c>
      <c r="Q440" s="10">
        <f>IF(K440=0,IF(A437=A440,AVERAGE(O437:O440),"x"),0)</f>
        <v>1.8974999999999999E-2</v>
      </c>
      <c r="R440" s="9">
        <f>IF(L440&gt;2005,AVERAGE(O437:O456),0)</f>
        <v>0</v>
      </c>
      <c r="S440" s="10">
        <f>IF(A440=A441,(N440-N441)/N441,0)</f>
        <v>0</v>
      </c>
      <c r="T440" s="10">
        <f>IF(L440&gt;2005,(((N440-N460)/N460)+1)^(1/5)-1,0)</f>
        <v>0</v>
      </c>
      <c r="U440" s="10">
        <f t="shared" si="14"/>
        <v>0</v>
      </c>
      <c r="V440" s="26">
        <f t="shared" si="15"/>
        <v>0</v>
      </c>
      <c r="W440" s="3">
        <f>IF(A440=A441,N440-N441,0)</f>
        <v>0</v>
      </c>
      <c r="X440" s="10">
        <f>IF(A440=A441,(N440-N441)/N441,0)</f>
        <v>0</v>
      </c>
    </row>
    <row r="441" spans="1:24" ht="16.5" customHeight="1">
      <c r="A441" s="3" t="s">
        <v>28</v>
      </c>
      <c r="B441" s="3">
        <f t="shared" si="8"/>
        <v>2004</v>
      </c>
      <c r="C441" s="3">
        <f t="shared" si="9"/>
        <v>10</v>
      </c>
      <c r="D441" s="20" t="str">
        <f t="shared" si="10"/>
        <v>PG200410</v>
      </c>
      <c r="E441" s="2">
        <v>38280</v>
      </c>
      <c r="F441" s="3">
        <v>0.25</v>
      </c>
      <c r="G441" s="2">
        <v>38306</v>
      </c>
      <c r="H441" s="3">
        <v>1.84E-2</v>
      </c>
      <c r="I441" s="3">
        <v>0</v>
      </c>
      <c r="J441" s="3">
        <v>0</v>
      </c>
      <c r="K441" s="3">
        <f t="shared" si="11"/>
        <v>2004</v>
      </c>
      <c r="L441" s="3">
        <f t="shared" si="12"/>
        <v>0</v>
      </c>
      <c r="M441" s="20" t="str">
        <f>A441&amp;L441</f>
        <v>PG0</v>
      </c>
      <c r="N441" s="3">
        <f>F441</f>
        <v>0.25</v>
      </c>
      <c r="O441" s="9">
        <f>H441</f>
        <v>1.84E-2</v>
      </c>
      <c r="P441" s="10">
        <f t="shared" si="13"/>
        <v>0</v>
      </c>
      <c r="Q441" s="10">
        <f>IF(K441=0,IF(A438=A441,AVERAGE(O438:O441),"x"),0)</f>
        <v>0</v>
      </c>
      <c r="R441" s="9">
        <f>IF(L441&gt;2005,AVERAGE(O438:O457),0)</f>
        <v>0</v>
      </c>
      <c r="S441" s="10">
        <f>IF(A441=A442,(N441-N442)/N442,0)</f>
        <v>0</v>
      </c>
      <c r="T441" s="10">
        <f>IF(L441&gt;2005,(((N441-N461)/N461)+1)^(1/5)-1,0)</f>
        <v>0</v>
      </c>
      <c r="U441" s="10">
        <f t="shared" si="14"/>
        <v>0</v>
      </c>
      <c r="V441" s="26">
        <f t="shared" si="15"/>
        <v>0</v>
      </c>
      <c r="W441" s="3">
        <f>IF(A441=A442,N441-N442,0)</f>
        <v>0</v>
      </c>
      <c r="X441" s="10">
        <f>IF(A441=A442,(N441-N442)/N442,0)</f>
        <v>0</v>
      </c>
    </row>
    <row r="442" spans="1:24" ht="16.5" customHeight="1">
      <c r="A442" s="3" t="s">
        <v>28</v>
      </c>
      <c r="B442" s="3">
        <f t="shared" si="8"/>
        <v>2004</v>
      </c>
      <c r="C442" s="3">
        <f t="shared" si="9"/>
        <v>7</v>
      </c>
      <c r="D442" s="20" t="str">
        <f t="shared" si="10"/>
        <v>PG20047</v>
      </c>
      <c r="E442" s="2">
        <v>38189</v>
      </c>
      <c r="F442" s="3">
        <v>0.25</v>
      </c>
      <c r="G442" s="2">
        <v>38215</v>
      </c>
      <c r="H442" s="3">
        <v>1.7500000000000002E-2</v>
      </c>
      <c r="I442" s="3">
        <v>-0.5</v>
      </c>
      <c r="J442" s="3">
        <v>-0.25</v>
      </c>
      <c r="K442" s="3">
        <f t="shared" si="11"/>
        <v>2004</v>
      </c>
      <c r="L442" s="3">
        <f t="shared" si="12"/>
        <v>0</v>
      </c>
      <c r="M442" s="20" t="str">
        <f>A442&amp;L442</f>
        <v>PG0</v>
      </c>
      <c r="N442" s="3">
        <f>F442</f>
        <v>0.25</v>
      </c>
      <c r="O442" s="9">
        <f>H442</f>
        <v>1.7500000000000002E-2</v>
      </c>
      <c r="P442" s="10">
        <f t="shared" si="13"/>
        <v>0</v>
      </c>
      <c r="Q442" s="10">
        <f>IF(K442=0,IF(A439=A442,AVERAGE(O439:O442),"x"),0)</f>
        <v>0</v>
      </c>
      <c r="R442" s="9">
        <f>IF(L442&gt;2005,AVERAGE(O439:O458),0)</f>
        <v>0</v>
      </c>
      <c r="S442" s="10">
        <f>IF(A442=A443,(N442-N443)/N443,0)</f>
        <v>0</v>
      </c>
      <c r="T442" s="10">
        <f>IF(L442&gt;2005,(((N442-N462)/N462)+1)^(1/5)-1,0)</f>
        <v>0</v>
      </c>
      <c r="U442" s="10">
        <f t="shared" si="14"/>
        <v>0</v>
      </c>
      <c r="V442" s="26">
        <f t="shared" si="15"/>
        <v>0</v>
      </c>
      <c r="W442" s="3">
        <f>IF(A442=A443,N442-N443,0)</f>
        <v>0</v>
      </c>
      <c r="X442" s="10">
        <f>IF(A442=A443,(N442-N443)/N443,0)</f>
        <v>0</v>
      </c>
    </row>
    <row r="443" spans="1:24" ht="16.5" customHeight="1">
      <c r="A443" s="3" t="s">
        <v>28</v>
      </c>
      <c r="B443" s="3">
        <f t="shared" si="8"/>
        <v>2004</v>
      </c>
      <c r="C443" s="3">
        <f t="shared" si="9"/>
        <v>4</v>
      </c>
      <c r="D443" s="20" t="str">
        <f t="shared" si="10"/>
        <v>PG20044</v>
      </c>
      <c r="E443" s="2">
        <v>38098</v>
      </c>
      <c r="F443" s="3">
        <v>0.5</v>
      </c>
      <c r="G443" s="2">
        <v>38121</v>
      </c>
      <c r="H443" s="3">
        <v>1.78E-2</v>
      </c>
      <c r="I443" s="3">
        <v>9.8901099000000006E-2</v>
      </c>
      <c r="J443" s="3">
        <v>4.4999999999999998E-2</v>
      </c>
      <c r="K443" s="3">
        <f t="shared" si="11"/>
        <v>2004</v>
      </c>
      <c r="L443" s="3">
        <f t="shared" si="12"/>
        <v>0</v>
      </c>
      <c r="M443" s="20" t="str">
        <f>A443&amp;L443</f>
        <v>PG0</v>
      </c>
      <c r="N443" s="3">
        <f>F443/2</f>
        <v>0.25</v>
      </c>
      <c r="O443" s="9">
        <f>H443</f>
        <v>1.78E-2</v>
      </c>
      <c r="P443" s="10">
        <f t="shared" si="13"/>
        <v>1.8225000000000002E-2</v>
      </c>
      <c r="Q443" s="10">
        <f>IF(K443=0,IF(A440=A443,AVERAGE(O440:O443),"x"),0)</f>
        <v>0</v>
      </c>
      <c r="R443" s="9">
        <f>IF(L443&gt;2005,AVERAGE(O440:O459),0)</f>
        <v>0</v>
      </c>
      <c r="S443" s="10">
        <f>IF(A443=A444,(N443-N444)/N444,0)</f>
        <v>9.8901098901098869E-2</v>
      </c>
      <c r="T443" s="10">
        <f>IF(L443&gt;2005,(((N443-N463)/N463)+1)^(1/5)-1,0)</f>
        <v>0</v>
      </c>
      <c r="U443" s="10">
        <f t="shared" si="14"/>
        <v>0</v>
      </c>
      <c r="V443" s="26">
        <f t="shared" si="15"/>
        <v>0</v>
      </c>
      <c r="W443" s="3">
        <f>IF(A443=A444,N443-N444,0)</f>
        <v>2.2499999999999992E-2</v>
      </c>
      <c r="X443" s="10">
        <f>IF(A443=A444,(N443-N444)/N444,0)</f>
        <v>9.8901098901098869E-2</v>
      </c>
    </row>
    <row r="444" spans="1:24" ht="16.5" customHeight="1">
      <c r="A444" s="3" t="s">
        <v>28</v>
      </c>
      <c r="B444" s="3">
        <f t="shared" si="8"/>
        <v>2004</v>
      </c>
      <c r="C444" s="3">
        <f t="shared" si="9"/>
        <v>1</v>
      </c>
      <c r="D444" s="20" t="str">
        <f t="shared" si="10"/>
        <v>PG20041</v>
      </c>
      <c r="E444" s="2">
        <v>38007</v>
      </c>
      <c r="F444" s="3">
        <v>0.45500000000000002</v>
      </c>
      <c r="G444" s="2">
        <v>38034</v>
      </c>
      <c r="H444" s="3">
        <v>1.7999999999999999E-2</v>
      </c>
      <c r="I444" s="3">
        <v>0</v>
      </c>
      <c r="J444" s="3">
        <v>0</v>
      </c>
      <c r="K444" s="3">
        <f t="shared" si="11"/>
        <v>0</v>
      </c>
      <c r="L444" s="3">
        <f t="shared" si="12"/>
        <v>2004</v>
      </c>
      <c r="M444" s="20" t="str">
        <f>A444&amp;L444</f>
        <v>PG2004</v>
      </c>
      <c r="N444" s="3">
        <f>F444/2</f>
        <v>0.22750000000000001</v>
      </c>
      <c r="O444" s="9">
        <f>H444</f>
        <v>1.7999999999999999E-2</v>
      </c>
      <c r="P444" s="10">
        <f t="shared" si="13"/>
        <v>0</v>
      </c>
      <c r="Q444" s="10">
        <f>IF(K444=0,IF(A441=A444,AVERAGE(O441:O444),"x"),0)</f>
        <v>1.7925E-2</v>
      </c>
      <c r="R444" s="9">
        <f>IF(L444&gt;2005,AVERAGE(O441:O460),0)</f>
        <v>0</v>
      </c>
      <c r="S444" s="10">
        <f>IF(A444=A445,(N444-N445)/N445,0)</f>
        <v>0</v>
      </c>
      <c r="T444" s="10">
        <f>IF(L444&gt;2005,(((N444-N464)/N464)+1)^(1/5)-1,0)</f>
        <v>0</v>
      </c>
      <c r="U444" s="10">
        <f t="shared" si="14"/>
        <v>0</v>
      </c>
      <c r="V444" s="26">
        <f t="shared" si="15"/>
        <v>0</v>
      </c>
      <c r="W444" s="3">
        <f>IF(A444=A445,N444-N445,0)</f>
        <v>0</v>
      </c>
      <c r="X444" s="10">
        <f>IF(A444=A445,(N444-N445)/N445,0)</f>
        <v>0</v>
      </c>
    </row>
    <row r="445" spans="1:24" ht="16.5" customHeight="1">
      <c r="A445" s="3" t="s">
        <v>28</v>
      </c>
      <c r="B445" s="3">
        <f t="shared" si="8"/>
        <v>2003</v>
      </c>
      <c r="C445" s="3">
        <f t="shared" si="9"/>
        <v>10</v>
      </c>
      <c r="D445" s="20" t="str">
        <f t="shared" si="10"/>
        <v>PG200310</v>
      </c>
      <c r="E445" s="2">
        <v>37916</v>
      </c>
      <c r="F445" s="3">
        <v>0.45500000000000002</v>
      </c>
      <c r="G445" s="2">
        <v>37939</v>
      </c>
      <c r="H445" s="3">
        <v>1.8100000000000002E-2</v>
      </c>
      <c r="I445" s="3">
        <v>0</v>
      </c>
      <c r="J445" s="3">
        <v>0</v>
      </c>
      <c r="K445" s="3">
        <f t="shared" si="11"/>
        <v>2003</v>
      </c>
      <c r="L445" s="3">
        <f t="shared" si="12"/>
        <v>0</v>
      </c>
      <c r="M445" s="20" t="str">
        <f>A445&amp;L445</f>
        <v>PG0</v>
      </c>
      <c r="N445" s="3">
        <f>F445/2</f>
        <v>0.22750000000000001</v>
      </c>
      <c r="O445" s="9">
        <f>H445</f>
        <v>1.8100000000000002E-2</v>
      </c>
      <c r="P445" s="10">
        <f t="shared" si="13"/>
        <v>0</v>
      </c>
      <c r="Q445" s="10">
        <f>IF(K445=0,IF(A442=A445,AVERAGE(O442:O445),"x"),0)</f>
        <v>0</v>
      </c>
      <c r="R445" s="9">
        <f>IF(L445&gt;2005,AVERAGE(O442:O461),0)</f>
        <v>0</v>
      </c>
      <c r="S445" s="10">
        <f>IF(A445=A446,(N445-N446)/N446,0)</f>
        <v>0</v>
      </c>
      <c r="T445" s="10">
        <f>IF(L445&gt;2005,(((N445-N465)/N465)+1)^(1/5)-1,0)</f>
        <v>0</v>
      </c>
      <c r="U445" s="10">
        <f t="shared" si="14"/>
        <v>0</v>
      </c>
      <c r="V445" s="26">
        <f t="shared" si="15"/>
        <v>0</v>
      </c>
      <c r="W445" s="3">
        <f>IF(A445=A446,N445-N446,0)</f>
        <v>0</v>
      </c>
      <c r="X445" s="10">
        <f>IF(A445=A446,(N445-N446)/N446,0)</f>
        <v>0</v>
      </c>
    </row>
    <row r="446" spans="1:24" ht="16.5" customHeight="1">
      <c r="A446" s="3" t="s">
        <v>28</v>
      </c>
      <c r="B446" s="3">
        <f t="shared" si="8"/>
        <v>2003</v>
      </c>
      <c r="C446" s="3">
        <f t="shared" si="9"/>
        <v>7</v>
      </c>
      <c r="D446" s="20" t="str">
        <f t="shared" si="10"/>
        <v>PG20037</v>
      </c>
      <c r="E446" s="2">
        <v>37818</v>
      </c>
      <c r="F446" s="3">
        <v>0.45500000000000002</v>
      </c>
      <c r="G446" s="2">
        <v>37848</v>
      </c>
      <c r="H446" s="3">
        <v>1.9E-2</v>
      </c>
      <c r="I446" s="3">
        <v>0.109756098</v>
      </c>
      <c r="J446" s="3">
        <v>4.4999999999999998E-2</v>
      </c>
      <c r="K446" s="3">
        <f t="shared" si="11"/>
        <v>2003</v>
      </c>
      <c r="L446" s="3">
        <f t="shared" si="12"/>
        <v>0</v>
      </c>
      <c r="M446" s="20" t="str">
        <f>A446&amp;L446</f>
        <v>PG0</v>
      </c>
      <c r="N446" s="3">
        <f>F446/2</f>
        <v>0.22750000000000001</v>
      </c>
      <c r="O446" s="9">
        <f>H446</f>
        <v>1.9E-2</v>
      </c>
      <c r="P446" s="10">
        <f t="shared" si="13"/>
        <v>1.8349999999999998E-2</v>
      </c>
      <c r="Q446" s="10">
        <f>IF(K446=0,IF(A443=A446,AVERAGE(O443:O446),"x"),0)</f>
        <v>0</v>
      </c>
      <c r="R446" s="9">
        <f>IF(L446&gt;2005,AVERAGE(O443:O462),0)</f>
        <v>0</v>
      </c>
      <c r="S446" s="10">
        <f>IF(A446=A447,(N446-N447)/N447,0)</f>
        <v>0.10975609756097571</v>
      </c>
      <c r="T446" s="10">
        <f>IF(L446&gt;2005,(((N446-N466)/N466)+1)^(1/5)-1,0)</f>
        <v>0</v>
      </c>
      <c r="U446" s="10">
        <f t="shared" si="14"/>
        <v>0</v>
      </c>
      <c r="V446" s="26">
        <f t="shared" si="15"/>
        <v>0</v>
      </c>
      <c r="W446" s="3">
        <f>IF(A446=A447,N446-N447,0)</f>
        <v>2.250000000000002E-2</v>
      </c>
      <c r="X446" s="10">
        <f>IF(A446=A447,(N446-N447)/N447,0)</f>
        <v>0.10975609756097571</v>
      </c>
    </row>
    <row r="447" spans="1:24" ht="16.5" customHeight="1">
      <c r="A447" s="3" t="s">
        <v>28</v>
      </c>
      <c r="B447" s="3">
        <f t="shared" si="8"/>
        <v>2003</v>
      </c>
      <c r="C447" s="3">
        <f t="shared" si="9"/>
        <v>4</v>
      </c>
      <c r="D447" s="20" t="str">
        <f t="shared" si="10"/>
        <v>PG20034</v>
      </c>
      <c r="E447" s="2">
        <v>37726</v>
      </c>
      <c r="F447" s="3">
        <v>0.41</v>
      </c>
      <c r="G447" s="2">
        <v>37756</v>
      </c>
      <c r="H447" s="3">
        <v>1.8200000000000001E-2</v>
      </c>
      <c r="I447" s="3">
        <v>0</v>
      </c>
      <c r="J447" s="3">
        <v>0</v>
      </c>
      <c r="K447" s="3">
        <f t="shared" si="11"/>
        <v>2003</v>
      </c>
      <c r="L447" s="3">
        <f t="shared" si="12"/>
        <v>0</v>
      </c>
      <c r="M447" s="20" t="str">
        <f>A447&amp;L447</f>
        <v>PG0</v>
      </c>
      <c r="N447" s="3">
        <f>F447/2</f>
        <v>0.20499999999999999</v>
      </c>
      <c r="O447" s="9">
        <f>H447</f>
        <v>1.8200000000000001E-2</v>
      </c>
      <c r="P447" s="10">
        <f t="shared" si="13"/>
        <v>0</v>
      </c>
      <c r="Q447" s="10">
        <f>IF(K447=0,IF(A444=A447,AVERAGE(O444:O447),"x"),0)</f>
        <v>0</v>
      </c>
      <c r="R447" s="9">
        <f>IF(L447&gt;2005,AVERAGE(O444:O463),0)</f>
        <v>0</v>
      </c>
      <c r="S447" s="10">
        <f>IF(A447=A448,(N447-N448)/N448,0)</f>
        <v>0</v>
      </c>
      <c r="T447" s="10">
        <f>IF(L447&gt;2005,(((N447-N467)/N467)+1)^(1/5)-1,0)</f>
        <v>0</v>
      </c>
      <c r="U447" s="10">
        <f t="shared" si="14"/>
        <v>0</v>
      </c>
      <c r="V447" s="26">
        <f t="shared" si="15"/>
        <v>0</v>
      </c>
      <c r="W447" s="3">
        <f>IF(A447=A448,N447-N448,0)</f>
        <v>0</v>
      </c>
      <c r="X447" s="10">
        <f>IF(A447=A448,(N447-N448)/N448,0)</f>
        <v>0</v>
      </c>
    </row>
    <row r="448" spans="1:24" ht="16.5" customHeight="1">
      <c r="A448" s="3" t="s">
        <v>28</v>
      </c>
      <c r="B448" s="3">
        <f t="shared" si="8"/>
        <v>2003</v>
      </c>
      <c r="C448" s="3">
        <f t="shared" si="9"/>
        <v>1</v>
      </c>
      <c r="D448" s="20" t="str">
        <f t="shared" si="10"/>
        <v>PG20031</v>
      </c>
      <c r="E448" s="2">
        <v>37643</v>
      </c>
      <c r="F448" s="3">
        <v>0.41</v>
      </c>
      <c r="G448" s="2">
        <v>37666</v>
      </c>
      <c r="H448" s="3">
        <v>1.8700000000000001E-2</v>
      </c>
      <c r="I448" s="3">
        <v>0</v>
      </c>
      <c r="J448" s="3">
        <v>0</v>
      </c>
      <c r="K448" s="3">
        <f t="shared" si="11"/>
        <v>0</v>
      </c>
      <c r="L448" s="3">
        <f t="shared" si="12"/>
        <v>2003</v>
      </c>
      <c r="M448" s="20" t="str">
        <f>A448&amp;L448</f>
        <v>PG2003</v>
      </c>
      <c r="N448" s="3">
        <f>F448/2</f>
        <v>0.20499999999999999</v>
      </c>
      <c r="O448" s="9">
        <f>H448</f>
        <v>1.8700000000000001E-2</v>
      </c>
      <c r="P448" s="10">
        <f t="shared" si="13"/>
        <v>0</v>
      </c>
      <c r="Q448" s="10">
        <f>IF(K448=0,IF(A445=A448,AVERAGE(O445:O448),"x"),0)</f>
        <v>1.8500000000000003E-2</v>
      </c>
      <c r="R448" s="9">
        <f>IF(L448&gt;2005,AVERAGE(O445:O464),0)</f>
        <v>0</v>
      </c>
      <c r="S448" s="10">
        <f>IF(A448=A449,(N448-N449)/N449,0)</f>
        <v>0</v>
      </c>
      <c r="T448" s="10">
        <f>IF(L448&gt;2005,(((N448-N468)/N468)+1)^(1/5)-1,0)</f>
        <v>0</v>
      </c>
      <c r="U448" s="10">
        <f t="shared" si="14"/>
        <v>0</v>
      </c>
      <c r="V448" s="26">
        <f t="shared" si="15"/>
        <v>0</v>
      </c>
      <c r="W448" s="3">
        <f>IF(A448=A449,N448-N449,0)</f>
        <v>0</v>
      </c>
      <c r="X448" s="10">
        <f>IF(A448=A449,(N448-N449)/N449,0)</f>
        <v>0</v>
      </c>
    </row>
    <row r="449" spans="1:24" ht="16.5" customHeight="1">
      <c r="A449" s="3" t="s">
        <v>28</v>
      </c>
      <c r="B449" s="3">
        <f t="shared" si="8"/>
        <v>2002</v>
      </c>
      <c r="C449" s="3">
        <f t="shared" si="9"/>
        <v>10</v>
      </c>
      <c r="D449" s="20" t="str">
        <f t="shared" si="10"/>
        <v>PG200210</v>
      </c>
      <c r="E449" s="2">
        <v>37545</v>
      </c>
      <c r="F449" s="3">
        <v>0.41</v>
      </c>
      <c r="G449" s="2">
        <v>37575</v>
      </c>
      <c r="H449" s="3">
        <v>1.7500000000000002E-2</v>
      </c>
      <c r="I449" s="3">
        <v>0</v>
      </c>
      <c r="J449" s="3">
        <v>0</v>
      </c>
      <c r="K449" s="3">
        <f t="shared" si="11"/>
        <v>2002</v>
      </c>
      <c r="L449" s="3">
        <f t="shared" si="12"/>
        <v>0</v>
      </c>
      <c r="M449" s="20" t="str">
        <f>A449&amp;L449</f>
        <v>PG0</v>
      </c>
      <c r="N449" s="3">
        <f>F449/2</f>
        <v>0.20499999999999999</v>
      </c>
      <c r="O449" s="9">
        <f>H449</f>
        <v>1.7500000000000002E-2</v>
      </c>
      <c r="P449" s="10">
        <f t="shared" si="13"/>
        <v>0</v>
      </c>
      <c r="Q449" s="10">
        <f>IF(K449=0,IF(A446=A449,AVERAGE(O446:O449),"x"),0)</f>
        <v>0</v>
      </c>
      <c r="R449" s="9">
        <f>IF(L449&gt;2005,AVERAGE(O446:O465),0)</f>
        <v>0</v>
      </c>
      <c r="S449" s="10">
        <f>IF(A449=A450,(N449-N450)/N450,0)</f>
        <v>0</v>
      </c>
      <c r="T449" s="10">
        <f>IF(L449&gt;2005,(((N449-N469)/N469)+1)^(1/5)-1,0)</f>
        <v>0</v>
      </c>
      <c r="U449" s="10">
        <f t="shared" si="14"/>
        <v>0</v>
      </c>
      <c r="V449" s="26">
        <f t="shared" si="15"/>
        <v>0</v>
      </c>
      <c r="W449" s="3">
        <f>IF(A449=A450,N449-N450,0)</f>
        <v>0</v>
      </c>
      <c r="X449" s="10">
        <f>IF(A449=A450,(N449-N450)/N450,0)</f>
        <v>0</v>
      </c>
    </row>
    <row r="450" spans="1:24" ht="16.5" customHeight="1">
      <c r="A450" s="3" t="s">
        <v>28</v>
      </c>
      <c r="B450" s="3">
        <f t="shared" si="8"/>
        <v>2002</v>
      </c>
      <c r="C450" s="3">
        <f t="shared" si="9"/>
        <v>7</v>
      </c>
      <c r="D450" s="20" t="str">
        <f t="shared" si="10"/>
        <v>PG20027</v>
      </c>
      <c r="E450" s="2">
        <v>37454</v>
      </c>
      <c r="F450" s="3">
        <v>0.41</v>
      </c>
      <c r="G450" s="2">
        <v>37483</v>
      </c>
      <c r="H450" s="3">
        <v>1.9099999999999999E-2</v>
      </c>
      <c r="I450" s="3">
        <v>7.8947368000000004E-2</v>
      </c>
      <c r="J450" s="3">
        <v>0.03</v>
      </c>
      <c r="K450" s="3">
        <f t="shared" si="11"/>
        <v>2002</v>
      </c>
      <c r="L450" s="3">
        <f t="shared" si="12"/>
        <v>0</v>
      </c>
      <c r="M450" s="20" t="str">
        <f>A450&amp;L450</f>
        <v>PG0</v>
      </c>
      <c r="N450" s="3">
        <f>F450/2</f>
        <v>0.20499999999999999</v>
      </c>
      <c r="O450" s="9">
        <f>H450</f>
        <v>1.9099999999999999E-2</v>
      </c>
      <c r="P450" s="10">
        <f t="shared" si="13"/>
        <v>1.8775E-2</v>
      </c>
      <c r="Q450" s="10">
        <f>IF(K450=0,IF(A447=A450,AVERAGE(O447:O450),"x"),0)</f>
        <v>0</v>
      </c>
      <c r="R450" s="9">
        <f>IF(L450&gt;2005,AVERAGE(O447:O466),0)</f>
        <v>0</v>
      </c>
      <c r="S450" s="10">
        <f>IF(A450=A451,(N450-N451)/N451,0)</f>
        <v>7.8947368421052558E-2</v>
      </c>
      <c r="T450" s="10">
        <f>IF(L450&gt;2005,(((N450-N470)/N470)+1)^(1/5)-1,0)</f>
        <v>0</v>
      </c>
      <c r="U450" s="10">
        <f t="shared" si="14"/>
        <v>0</v>
      </c>
      <c r="V450" s="26">
        <f t="shared" si="15"/>
        <v>0</v>
      </c>
      <c r="W450" s="3">
        <f>IF(A450=A451,N450-N451,0)</f>
        <v>1.4999999999999986E-2</v>
      </c>
      <c r="X450" s="10">
        <f>IF(A450=A451,(N450-N451)/N451,0)</f>
        <v>7.8947368421052558E-2</v>
      </c>
    </row>
    <row r="451" spans="1:24" ht="16.5" customHeight="1">
      <c r="A451" s="3" t="s">
        <v>28</v>
      </c>
      <c r="B451" s="3">
        <f t="shared" si="8"/>
        <v>2002</v>
      </c>
      <c r="C451" s="3">
        <f t="shared" si="9"/>
        <v>4</v>
      </c>
      <c r="D451" s="20" t="str">
        <f t="shared" si="10"/>
        <v>PG20024</v>
      </c>
      <c r="E451" s="2">
        <v>37363</v>
      </c>
      <c r="F451" s="3">
        <v>0.38</v>
      </c>
      <c r="G451" s="2">
        <v>37391</v>
      </c>
      <c r="H451" s="3">
        <v>1.67E-2</v>
      </c>
      <c r="I451" s="3">
        <v>0</v>
      </c>
      <c r="J451" s="3">
        <v>0</v>
      </c>
      <c r="K451" s="3">
        <f t="shared" si="11"/>
        <v>2002</v>
      </c>
      <c r="L451" s="3">
        <f t="shared" si="12"/>
        <v>0</v>
      </c>
      <c r="M451" s="20" t="str">
        <f>A451&amp;L451</f>
        <v>PG0</v>
      </c>
      <c r="N451" s="3">
        <f>F451/2</f>
        <v>0.19</v>
      </c>
      <c r="O451" s="9">
        <f>H451</f>
        <v>1.67E-2</v>
      </c>
      <c r="P451" s="10">
        <f t="shared" si="13"/>
        <v>0</v>
      </c>
      <c r="Q451" s="10">
        <f>IF(K451=0,IF(A448=A451,AVERAGE(O448:O451),"x"),0)</f>
        <v>0</v>
      </c>
      <c r="R451" s="9">
        <f>IF(L451&gt;2005,AVERAGE(O448:O467),0)</f>
        <v>0</v>
      </c>
      <c r="S451" s="10">
        <f>IF(A451=A452,(N451-N452)/N452,0)</f>
        <v>0</v>
      </c>
      <c r="T451" s="10">
        <f>IF(L451&gt;2005,(((N451-N471)/N471)+1)^(1/5)-1,0)</f>
        <v>0</v>
      </c>
      <c r="U451" s="10">
        <f t="shared" si="14"/>
        <v>0</v>
      </c>
      <c r="V451" s="26">
        <f t="shared" si="15"/>
        <v>0</v>
      </c>
      <c r="W451" s="3">
        <f>IF(A451=A452,N451-N452,0)</f>
        <v>0</v>
      </c>
      <c r="X451" s="10">
        <f>IF(A451=A452,(N451-N452)/N452,0)</f>
        <v>0</v>
      </c>
    </row>
    <row r="452" spans="1:24" ht="16.5" customHeight="1">
      <c r="A452" s="3" t="s">
        <v>28</v>
      </c>
      <c r="B452" s="3">
        <f t="shared" si="8"/>
        <v>2002</v>
      </c>
      <c r="C452" s="3">
        <f t="shared" si="9"/>
        <v>1</v>
      </c>
      <c r="D452" s="20" t="str">
        <f t="shared" si="10"/>
        <v>PG20021</v>
      </c>
      <c r="E452" s="2">
        <v>37272</v>
      </c>
      <c r="F452" s="3">
        <v>0.38</v>
      </c>
      <c r="G452" s="2">
        <v>37302</v>
      </c>
      <c r="H452" s="3">
        <v>1.8700000000000001E-2</v>
      </c>
      <c r="I452" s="3">
        <v>0</v>
      </c>
      <c r="J452" s="3">
        <v>0</v>
      </c>
      <c r="K452" s="3">
        <f t="shared" si="11"/>
        <v>0</v>
      </c>
      <c r="L452" s="3">
        <f t="shared" si="12"/>
        <v>2002</v>
      </c>
      <c r="M452" s="20" t="str">
        <f>A452&amp;L452</f>
        <v>PG2002</v>
      </c>
      <c r="N452" s="3">
        <f>F452/2</f>
        <v>0.19</v>
      </c>
      <c r="O452" s="9">
        <f>H452</f>
        <v>1.8700000000000001E-2</v>
      </c>
      <c r="P452" s="10">
        <f t="shared" si="13"/>
        <v>0</v>
      </c>
      <c r="Q452" s="10">
        <f>IF(K452=0,IF(A449=A452,AVERAGE(O449:O452),"x"),0)</f>
        <v>1.8000000000000002E-2</v>
      </c>
      <c r="R452" s="9">
        <f>IF(L452&gt;2005,AVERAGE(O449:O468),0)</f>
        <v>0</v>
      </c>
      <c r="S452" s="10">
        <f>IF(A452=A453,(N452-N453)/N453,0)</f>
        <v>0</v>
      </c>
      <c r="T452" s="10">
        <f>IF(L452&gt;2005,(((N452-N472)/N472)+1)^(1/5)-1,0)</f>
        <v>0</v>
      </c>
      <c r="U452" s="10">
        <f t="shared" si="14"/>
        <v>0</v>
      </c>
      <c r="V452" s="26">
        <f t="shared" si="15"/>
        <v>0</v>
      </c>
      <c r="W452" s="3">
        <f>IF(A452=A453,N452-N453,0)</f>
        <v>0</v>
      </c>
      <c r="X452" s="10">
        <f>IF(A452=A453,(N452-N453)/N453,0)</f>
        <v>0</v>
      </c>
    </row>
    <row r="453" spans="1:24" ht="16.5" customHeight="1">
      <c r="A453" s="3" t="s">
        <v>28</v>
      </c>
      <c r="B453" s="3">
        <f t="shared" si="8"/>
        <v>2001</v>
      </c>
      <c r="C453" s="3">
        <f t="shared" si="9"/>
        <v>10</v>
      </c>
      <c r="D453" s="20" t="str">
        <f t="shared" si="10"/>
        <v>PG200110</v>
      </c>
      <c r="E453" s="2">
        <v>37181</v>
      </c>
      <c r="F453" s="3">
        <v>0.38</v>
      </c>
      <c r="G453" s="2">
        <v>37210</v>
      </c>
      <c r="H453" s="3">
        <v>2.06E-2</v>
      </c>
      <c r="I453" s="3">
        <v>0</v>
      </c>
      <c r="J453" s="3">
        <v>0</v>
      </c>
      <c r="K453" s="3">
        <f t="shared" si="11"/>
        <v>2001</v>
      </c>
      <c r="L453" s="3">
        <f t="shared" si="12"/>
        <v>0</v>
      </c>
      <c r="M453" s="20" t="str">
        <f>A453&amp;L453</f>
        <v>PG0</v>
      </c>
      <c r="N453" s="3">
        <f>F453/2</f>
        <v>0.19</v>
      </c>
      <c r="O453" s="9">
        <f>H453</f>
        <v>2.06E-2</v>
      </c>
      <c r="P453" s="10">
        <f t="shared" si="13"/>
        <v>0</v>
      </c>
      <c r="Q453" s="10">
        <f>IF(K453=0,IF(A450=A453,AVERAGE(O450:O453),"x"),0)</f>
        <v>0</v>
      </c>
      <c r="R453" s="9">
        <f>IF(L453&gt;2005,AVERAGE(O450:O469),0)</f>
        <v>0</v>
      </c>
      <c r="S453" s="10">
        <f>IF(A453=A454,(N453-N454)/N454,0)</f>
        <v>0</v>
      </c>
      <c r="T453" s="10">
        <f>IF(L453&gt;2005,(((N453-N473)/N473)+1)^(1/5)-1,0)</f>
        <v>0</v>
      </c>
      <c r="U453" s="10">
        <f t="shared" si="14"/>
        <v>0</v>
      </c>
      <c r="V453" s="26">
        <f t="shared" si="15"/>
        <v>0</v>
      </c>
      <c r="W453" s="3">
        <f>IF(A453=A454,N453-N454,0)</f>
        <v>0</v>
      </c>
      <c r="X453" s="10">
        <f>IF(A453=A454,(N453-N454)/N454,0)</f>
        <v>0</v>
      </c>
    </row>
    <row r="454" spans="1:24" ht="16.5" customHeight="1">
      <c r="A454" s="3" t="s">
        <v>28</v>
      </c>
      <c r="B454" s="3">
        <f t="shared" si="8"/>
        <v>2001</v>
      </c>
      <c r="C454" s="3">
        <f t="shared" si="9"/>
        <v>7</v>
      </c>
      <c r="D454" s="20" t="str">
        <f t="shared" si="10"/>
        <v>PG20017</v>
      </c>
      <c r="E454" s="2">
        <v>37090</v>
      </c>
      <c r="F454" s="3">
        <v>0.38</v>
      </c>
      <c r="G454" s="2">
        <v>37118</v>
      </c>
      <c r="H454" s="3">
        <v>2.0400000000000001E-2</v>
      </c>
      <c r="I454" s="3">
        <v>8.5714286000000001E-2</v>
      </c>
      <c r="J454" s="3">
        <v>0.03</v>
      </c>
      <c r="K454" s="3">
        <f t="shared" si="11"/>
        <v>2001</v>
      </c>
      <c r="L454" s="3">
        <f t="shared" si="12"/>
        <v>0</v>
      </c>
      <c r="M454" s="20" t="str">
        <f>A454&amp;L454</f>
        <v>PG0</v>
      </c>
      <c r="N454" s="3">
        <f>F454/2</f>
        <v>0.19</v>
      </c>
      <c r="O454" s="9">
        <f>H454</f>
        <v>2.0400000000000001E-2</v>
      </c>
      <c r="P454" s="10">
        <f t="shared" si="13"/>
        <v>2.0525000000000002E-2</v>
      </c>
      <c r="Q454" s="10">
        <f>IF(K454=0,IF(A451=A454,AVERAGE(O451:O454),"x"),0)</f>
        <v>0</v>
      </c>
      <c r="R454" s="9">
        <f>IF(L454&gt;2005,AVERAGE(O451:O470),0)</f>
        <v>0</v>
      </c>
      <c r="S454" s="10">
        <f>IF(A454=A455,(N454-N455)/N455,0)</f>
        <v>8.5714285714285798E-2</v>
      </c>
      <c r="T454" s="10">
        <f>IF(L454&gt;2005,(((N454-N474)/N474)+1)^(1/5)-1,0)</f>
        <v>0</v>
      </c>
      <c r="U454" s="10">
        <f t="shared" si="14"/>
        <v>0</v>
      </c>
      <c r="V454" s="26">
        <f t="shared" si="15"/>
        <v>0</v>
      </c>
      <c r="W454" s="3">
        <f>IF(A454=A455,N454-N455,0)</f>
        <v>1.5000000000000013E-2</v>
      </c>
      <c r="X454" s="10">
        <f>IF(A454=A455,(N454-N455)/N455,0)</f>
        <v>8.5714285714285798E-2</v>
      </c>
    </row>
    <row r="455" spans="1:24" ht="16.5" customHeight="1">
      <c r="A455" s="3" t="s">
        <v>28</v>
      </c>
      <c r="B455" s="3">
        <f t="shared" si="8"/>
        <v>2001</v>
      </c>
      <c r="C455" s="3">
        <f t="shared" si="9"/>
        <v>4</v>
      </c>
      <c r="D455" s="20" t="str">
        <f t="shared" si="10"/>
        <v>PG20014</v>
      </c>
      <c r="E455" s="2">
        <v>36999</v>
      </c>
      <c r="F455" s="3">
        <v>0.35</v>
      </c>
      <c r="G455" s="2">
        <v>37026</v>
      </c>
      <c r="H455" s="3">
        <v>2.4400000000000002E-2</v>
      </c>
      <c r="I455" s="3">
        <v>0</v>
      </c>
      <c r="J455" s="3">
        <v>0</v>
      </c>
      <c r="K455" s="3">
        <f t="shared" si="11"/>
        <v>2001</v>
      </c>
      <c r="L455" s="3">
        <f t="shared" si="12"/>
        <v>0</v>
      </c>
      <c r="M455" s="20" t="str">
        <f>A455&amp;L455</f>
        <v>PG0</v>
      </c>
      <c r="N455" s="3">
        <f>F455/2</f>
        <v>0.17499999999999999</v>
      </c>
      <c r="O455" s="9">
        <f>H455</f>
        <v>2.4400000000000002E-2</v>
      </c>
      <c r="P455" s="10">
        <f t="shared" si="13"/>
        <v>0</v>
      </c>
      <c r="Q455" s="10">
        <f>IF(K455=0,IF(A452=A455,AVERAGE(O452:O455),"x"),0)</f>
        <v>0</v>
      </c>
      <c r="R455" s="9">
        <f>IF(L455&gt;2005,AVERAGE(O452:O471),0)</f>
        <v>0</v>
      </c>
      <c r="S455" s="10">
        <f>IF(A455=A456,(N455-N456)/N456,0)</f>
        <v>0</v>
      </c>
      <c r="T455" s="10">
        <f>IF(L455&gt;2005,(((N455-N475)/N475)+1)^(1/5)-1,0)</f>
        <v>0</v>
      </c>
      <c r="U455" s="10">
        <f t="shared" si="14"/>
        <v>0</v>
      </c>
      <c r="V455" s="26">
        <f t="shared" si="15"/>
        <v>0</v>
      </c>
      <c r="W455" s="3">
        <f>IF(A455=A456,N455-N456,0)</f>
        <v>0</v>
      </c>
      <c r="X455" s="10">
        <f>IF(A455=A456,(N455-N456)/N456,0)</f>
        <v>0</v>
      </c>
    </row>
    <row r="456" spans="1:24" ht="16.5" customHeight="1">
      <c r="A456" s="3" t="s">
        <v>28</v>
      </c>
      <c r="B456" s="3">
        <f t="shared" si="8"/>
        <v>2001</v>
      </c>
      <c r="C456" s="3">
        <f t="shared" si="9"/>
        <v>1</v>
      </c>
      <c r="D456" s="20" t="str">
        <f t="shared" si="10"/>
        <v>PG20011</v>
      </c>
      <c r="E456" s="2">
        <v>36908</v>
      </c>
      <c r="F456" s="3">
        <v>0.35</v>
      </c>
      <c r="G456" s="2">
        <v>36937</v>
      </c>
      <c r="H456" s="3">
        <v>1.9E-2</v>
      </c>
      <c r="I456" s="3">
        <v>0</v>
      </c>
      <c r="J456" s="3">
        <v>0</v>
      </c>
      <c r="K456" s="3">
        <f t="shared" si="11"/>
        <v>0</v>
      </c>
      <c r="L456" s="3">
        <f t="shared" si="12"/>
        <v>2001</v>
      </c>
      <c r="M456" s="20" t="str">
        <f>A456&amp;L456</f>
        <v>PG2001</v>
      </c>
      <c r="N456" s="3">
        <f>F456/2</f>
        <v>0.17499999999999999</v>
      </c>
      <c r="O456" s="9">
        <f>H456</f>
        <v>1.9E-2</v>
      </c>
      <c r="P456" s="10">
        <f t="shared" si="13"/>
        <v>0</v>
      </c>
      <c r="Q456" s="10">
        <f>IF(K456=0,IF(A453=A456,AVERAGE(O453:O456),"x"),0)</f>
        <v>2.1100000000000001E-2</v>
      </c>
      <c r="R456" s="9">
        <f>IF(L456&gt;2005,AVERAGE(O453:O472),0)</f>
        <v>0</v>
      </c>
      <c r="S456" s="10">
        <f>IF(A456=A457,(N456-N457)/N457,0)</f>
        <v>0</v>
      </c>
      <c r="T456" s="10">
        <f>IF(L456&gt;2005,(((N456-N476)/N476)+1)^(1/5)-1,0)</f>
        <v>0</v>
      </c>
      <c r="U456" s="10">
        <f t="shared" si="14"/>
        <v>0</v>
      </c>
      <c r="V456" s="26">
        <f t="shared" si="15"/>
        <v>0</v>
      </c>
      <c r="W456" s="3">
        <f>IF(A456=A457,N456-N457,0)</f>
        <v>0</v>
      </c>
      <c r="X456" s="10">
        <f>IF(A456=A457,(N456-N457)/N457,0)</f>
        <v>0</v>
      </c>
    </row>
    <row r="457" spans="1:24" ht="16.5" customHeight="1">
      <c r="A457" s="3" t="s">
        <v>28</v>
      </c>
      <c r="B457" s="3">
        <f t="shared" si="8"/>
        <v>2000</v>
      </c>
      <c r="C457" s="3">
        <f t="shared" si="9"/>
        <v>10</v>
      </c>
      <c r="D457" s="20" t="str">
        <f t="shared" si="10"/>
        <v>PG200010</v>
      </c>
      <c r="E457" s="2">
        <v>36817</v>
      </c>
      <c r="F457" s="3">
        <v>0.35</v>
      </c>
      <c r="G457" s="2">
        <v>36845</v>
      </c>
      <c r="H457" s="3">
        <v>1.83E-2</v>
      </c>
      <c r="I457" s="3">
        <v>0</v>
      </c>
      <c r="J457" s="3">
        <v>0</v>
      </c>
      <c r="K457" s="3">
        <f t="shared" si="11"/>
        <v>2000</v>
      </c>
      <c r="L457" s="3">
        <f t="shared" si="12"/>
        <v>0</v>
      </c>
      <c r="M457" s="20" t="str">
        <f>A457&amp;L457</f>
        <v>PG0</v>
      </c>
      <c r="N457" s="3">
        <f>F457/2</f>
        <v>0.17499999999999999</v>
      </c>
      <c r="O457" s="9">
        <f>H457</f>
        <v>1.83E-2</v>
      </c>
      <c r="P457" s="10">
        <f t="shared" si="13"/>
        <v>0</v>
      </c>
      <c r="Q457" s="10">
        <f>IF(K457=0,IF(A454=A457,AVERAGE(O454:O457),"x"),0)</f>
        <v>0</v>
      </c>
      <c r="R457" s="9">
        <f>IF(L457&gt;2005,AVERAGE(O454:O473),0)</f>
        <v>0</v>
      </c>
      <c r="S457" s="10">
        <f>IF(A457=A458,(N457-N458)/N458,0)</f>
        <v>0</v>
      </c>
      <c r="T457" s="10">
        <f>IF(L457&gt;2005,(((N457-N477)/N477)+1)^(1/5)-1,0)</f>
        <v>0</v>
      </c>
      <c r="U457" s="10">
        <f t="shared" si="14"/>
        <v>0</v>
      </c>
      <c r="V457" s="26">
        <f t="shared" si="15"/>
        <v>0</v>
      </c>
      <c r="W457" s="3">
        <f>IF(A457=A458,N457-N458,0)</f>
        <v>0</v>
      </c>
      <c r="X457" s="10">
        <f>IF(A457=A458,(N457-N458)/N458,0)</f>
        <v>0</v>
      </c>
    </row>
    <row r="458" spans="1:24" ht="16.5" customHeight="1">
      <c r="A458" s="3" t="s">
        <v>28</v>
      </c>
      <c r="B458" s="3">
        <f t="shared" si="8"/>
        <v>2000</v>
      </c>
      <c r="C458" s="3">
        <f t="shared" si="9"/>
        <v>7</v>
      </c>
      <c r="D458" s="20" t="str">
        <f t="shared" si="10"/>
        <v>PG20007</v>
      </c>
      <c r="E458" s="2">
        <v>36726</v>
      </c>
      <c r="F458" s="3">
        <v>0.35</v>
      </c>
      <c r="G458" s="2">
        <v>36753</v>
      </c>
      <c r="H458" s="3">
        <v>2.2599999999999999E-2</v>
      </c>
      <c r="I458" s="3">
        <v>9.375E-2</v>
      </c>
      <c r="J458" s="3">
        <v>0.03</v>
      </c>
      <c r="K458" s="3">
        <f t="shared" si="11"/>
        <v>2000</v>
      </c>
      <c r="L458" s="3">
        <f t="shared" si="12"/>
        <v>0</v>
      </c>
      <c r="M458" s="20" t="str">
        <f>A458&amp;L458</f>
        <v>PG0</v>
      </c>
      <c r="N458" s="3">
        <f>F458/2</f>
        <v>0.17499999999999999</v>
      </c>
      <c r="O458" s="9">
        <f>H458</f>
        <v>2.2599999999999999E-2</v>
      </c>
      <c r="P458" s="10">
        <f t="shared" si="13"/>
        <v>2.315E-2</v>
      </c>
      <c r="Q458" s="10">
        <f>IF(K458=0,IF(A455=A458,AVERAGE(O455:O458),"x"),0)</f>
        <v>0</v>
      </c>
      <c r="R458" s="9">
        <f>IF(L458&gt;2005,AVERAGE(O455:O474),0)</f>
        <v>0</v>
      </c>
      <c r="S458" s="10">
        <f>IF(A458=A459,(N458-N459)/N459,0)</f>
        <v>9.3749999999999903E-2</v>
      </c>
      <c r="T458" s="10">
        <f>IF(L458&gt;2005,(((N458-N478)/N478)+1)^(1/5)-1,0)</f>
        <v>0</v>
      </c>
      <c r="U458" s="10">
        <f t="shared" si="14"/>
        <v>0</v>
      </c>
      <c r="V458" s="26">
        <f t="shared" si="15"/>
        <v>0</v>
      </c>
      <c r="W458" s="3">
        <f>IF(A458=A459,N458-N459,0)</f>
        <v>1.4999999999999986E-2</v>
      </c>
      <c r="X458" s="10">
        <f>IF(A458=A459,(N458-N459)/N459,0)</f>
        <v>9.3749999999999903E-2</v>
      </c>
    </row>
    <row r="459" spans="1:24" ht="16.5" customHeight="1">
      <c r="A459" s="3" t="s">
        <v>28</v>
      </c>
      <c r="B459" s="3">
        <f t="shared" si="8"/>
        <v>2000</v>
      </c>
      <c r="C459" s="3">
        <f t="shared" si="9"/>
        <v>4</v>
      </c>
      <c r="D459" s="20" t="str">
        <f t="shared" si="10"/>
        <v>PG20004</v>
      </c>
      <c r="E459" s="2">
        <v>36634</v>
      </c>
      <c r="F459" s="3">
        <v>0.32</v>
      </c>
      <c r="G459" s="2">
        <v>36661</v>
      </c>
      <c r="H459" s="3">
        <v>1.8599999999999998E-2</v>
      </c>
      <c r="I459" s="3">
        <v>0</v>
      </c>
      <c r="J459" s="3">
        <v>0</v>
      </c>
      <c r="K459" s="3">
        <f t="shared" si="11"/>
        <v>2000</v>
      </c>
      <c r="L459" s="3">
        <f t="shared" si="12"/>
        <v>0</v>
      </c>
      <c r="M459" s="20" t="str">
        <f>A459&amp;L459</f>
        <v>PG0</v>
      </c>
      <c r="N459" s="3">
        <f>F459/2</f>
        <v>0.16</v>
      </c>
      <c r="O459" s="9">
        <f>H459</f>
        <v>1.8599999999999998E-2</v>
      </c>
      <c r="P459" s="10">
        <f t="shared" si="13"/>
        <v>0</v>
      </c>
      <c r="Q459" s="10">
        <f>IF(K459=0,IF(A456=A459,AVERAGE(O456:O459),"x"),0)</f>
        <v>0</v>
      </c>
      <c r="R459" s="9">
        <f>IF(L459&gt;2005,AVERAGE(O456:O475),0)</f>
        <v>0</v>
      </c>
      <c r="S459" s="10">
        <f>IF(A459=A460,(N459-N460)/N460,0)</f>
        <v>0</v>
      </c>
      <c r="T459" s="10">
        <f>IF(L459&gt;2005,(((N459-N479)/N479)+1)^(1/5)-1,0)</f>
        <v>0</v>
      </c>
      <c r="U459" s="10">
        <f t="shared" si="14"/>
        <v>0</v>
      </c>
      <c r="V459" s="26">
        <f t="shared" si="15"/>
        <v>0</v>
      </c>
      <c r="W459" s="3">
        <f>IF(A459=A460,N459-N460,0)</f>
        <v>0</v>
      </c>
      <c r="X459" s="10">
        <f>IF(A459=A460,(N459-N460)/N460,0)</f>
        <v>0</v>
      </c>
    </row>
    <row r="460" spans="1:24" ht="16.5" customHeight="1">
      <c r="A460" s="14" t="s">
        <v>28</v>
      </c>
      <c r="B460" s="3">
        <f t="shared" si="8"/>
        <v>2000</v>
      </c>
      <c r="C460" s="3">
        <f t="shared" si="9"/>
        <v>1</v>
      </c>
      <c r="D460" s="20" t="str">
        <f t="shared" si="10"/>
        <v>PG20001</v>
      </c>
      <c r="E460" s="15">
        <v>36544</v>
      </c>
      <c r="F460" s="14">
        <v>0.32</v>
      </c>
      <c r="G460" s="15">
        <v>36571</v>
      </c>
      <c r="H460" s="14">
        <v>1.06E-2</v>
      </c>
      <c r="I460" s="14">
        <v>0</v>
      </c>
      <c r="J460" s="14">
        <v>0</v>
      </c>
      <c r="K460" s="3">
        <f t="shared" si="11"/>
        <v>0</v>
      </c>
      <c r="L460" s="3">
        <f t="shared" si="12"/>
        <v>2000</v>
      </c>
      <c r="M460" s="20" t="str">
        <f>A460&amp;L460</f>
        <v>PG2000</v>
      </c>
      <c r="N460" s="14">
        <f>F460/2</f>
        <v>0.16</v>
      </c>
      <c r="O460" s="9">
        <f>H460</f>
        <v>1.06E-2</v>
      </c>
      <c r="P460" s="10">
        <f t="shared" si="13"/>
        <v>0</v>
      </c>
      <c r="Q460" s="10">
        <f>IF(K460=0,IF(A457=A460,AVERAGE(O457:O460),"x"),0)</f>
        <v>1.7524999999999999E-2</v>
      </c>
      <c r="R460" s="9">
        <f>IF(L460&gt;2005,AVERAGE(O457:O476),0)</f>
        <v>0</v>
      </c>
      <c r="S460" s="10">
        <f>IF(A460=A461,(N460-N461)/N461,0)</f>
        <v>0</v>
      </c>
      <c r="T460" s="10">
        <f>IF(L460&gt;2005,(((N460-N480)/N480)+1)^(1/5)-1,0)</f>
        <v>0</v>
      </c>
      <c r="U460" s="10">
        <f t="shared" si="14"/>
        <v>0</v>
      </c>
      <c r="V460" s="26">
        <f t="shared" si="15"/>
        <v>0</v>
      </c>
      <c r="W460" s="3">
        <f>IF(A460=A461,N460-N461,0)</f>
        <v>0</v>
      </c>
      <c r="X460" s="10">
        <f>IF(A460=A461,(N460-N461)/N461,0)</f>
        <v>0</v>
      </c>
    </row>
    <row r="461" spans="1:24" ht="16.5" customHeight="1">
      <c r="A461" s="3" t="s">
        <v>29</v>
      </c>
      <c r="B461" s="3">
        <f t="shared" si="8"/>
        <v>2022</v>
      </c>
      <c r="C461" s="3">
        <f t="shared" si="9"/>
        <v>11</v>
      </c>
      <c r="D461" s="20" t="str">
        <f t="shared" si="10"/>
        <v>SWK202211</v>
      </c>
      <c r="E461" s="2">
        <v>44895</v>
      </c>
      <c r="F461" s="3">
        <v>0.8</v>
      </c>
      <c r="G461" s="2">
        <v>44915</v>
      </c>
      <c r="H461" s="3">
        <v>4.0800000000000003E-2</v>
      </c>
      <c r="I461" s="3">
        <v>0</v>
      </c>
      <c r="J461" s="3">
        <v>0</v>
      </c>
      <c r="K461" s="3">
        <f t="shared" si="11"/>
        <v>2022</v>
      </c>
      <c r="L461" s="3">
        <f t="shared" si="12"/>
        <v>0</v>
      </c>
      <c r="M461" s="20" t="str">
        <f>A461&amp;L461</f>
        <v>SWK0</v>
      </c>
      <c r="N461" s="3">
        <f>F461</f>
        <v>0.8</v>
      </c>
      <c r="O461" s="9">
        <f>H461</f>
        <v>4.0800000000000003E-2</v>
      </c>
      <c r="P461" s="10">
        <f t="shared" si="13"/>
        <v>0</v>
      </c>
      <c r="Q461" s="10">
        <f>IF(K461=0,IF(A458=A461,AVERAGE(O458:O461),"x"),0)</f>
        <v>0</v>
      </c>
      <c r="R461" s="9">
        <f>IF(L461&gt;2005,AVERAGE(O458:O477),0)</f>
        <v>0</v>
      </c>
      <c r="S461" s="10">
        <f>IF(A461=A462,(N461-N462)/N462,0)</f>
        <v>0</v>
      </c>
      <c r="T461" s="10">
        <f>IF(L461&gt;2005,(((N461-N481)/N481)+1)^(1/5)-1,0)</f>
        <v>0</v>
      </c>
      <c r="U461" s="10">
        <f t="shared" si="14"/>
        <v>0</v>
      </c>
      <c r="V461" s="26">
        <f t="shared" si="15"/>
        <v>0</v>
      </c>
      <c r="W461" s="3">
        <f>IF(A461=A462,N461-N462,0)</f>
        <v>0</v>
      </c>
      <c r="X461" s="10">
        <f>IF(A461=A462,(N461-N462)/N462,0)</f>
        <v>0</v>
      </c>
    </row>
    <row r="462" spans="1:24" ht="16.5" customHeight="1">
      <c r="A462" s="3" t="s">
        <v>29</v>
      </c>
      <c r="B462" s="3">
        <f t="shared" si="8"/>
        <v>2022</v>
      </c>
      <c r="C462" s="3">
        <f t="shared" si="9"/>
        <v>9</v>
      </c>
      <c r="D462" s="20" t="str">
        <f t="shared" si="10"/>
        <v>SWK20229</v>
      </c>
      <c r="E462" s="2">
        <v>44806</v>
      </c>
      <c r="F462" s="3">
        <v>0.8</v>
      </c>
      <c r="G462" s="2">
        <v>44824</v>
      </c>
      <c r="H462" s="3">
        <v>3.6499999999999998E-2</v>
      </c>
      <c r="I462" s="3">
        <v>1.2658228000000001E-2</v>
      </c>
      <c r="J462" s="3">
        <v>0.01</v>
      </c>
      <c r="K462" s="3">
        <f t="shared" si="11"/>
        <v>2022</v>
      </c>
      <c r="L462" s="3">
        <f t="shared" si="12"/>
        <v>0</v>
      </c>
      <c r="M462" s="20" t="str">
        <f>A462&amp;L462</f>
        <v>SWK0</v>
      </c>
      <c r="N462" s="3">
        <f>F462</f>
        <v>0.8</v>
      </c>
      <c r="O462" s="9">
        <f>H462</f>
        <v>3.6499999999999998E-2</v>
      </c>
      <c r="P462" s="10">
        <f t="shared" si="13"/>
        <v>2.52E-2</v>
      </c>
      <c r="Q462" s="10">
        <f>IF(K462=0,IF(A459=A462,AVERAGE(O459:O462),"x"),0)</f>
        <v>0</v>
      </c>
      <c r="R462" s="9">
        <f>IF(L462&gt;2005,AVERAGE(O459:O478),0)</f>
        <v>0</v>
      </c>
      <c r="S462" s="10">
        <f>IF(A462=A463,(N462-N463)/N463,0)</f>
        <v>1.2658227848101276E-2</v>
      </c>
      <c r="T462" s="10">
        <f>IF(L462&gt;2005,(((N462-N482)/N482)+1)^(1/5)-1,0)</f>
        <v>0</v>
      </c>
      <c r="U462" s="10">
        <f t="shared" si="14"/>
        <v>0</v>
      </c>
      <c r="V462" s="26">
        <f t="shared" si="15"/>
        <v>0</v>
      </c>
      <c r="W462" s="3">
        <f>IF(A462=A463,N462-N463,0)</f>
        <v>1.0000000000000009E-2</v>
      </c>
      <c r="X462" s="10">
        <f>IF(A462=A463,(N462-N463)/N463,0)</f>
        <v>1.2658227848101276E-2</v>
      </c>
    </row>
    <row r="463" spans="1:24" ht="16.5" customHeight="1">
      <c r="A463" s="3" t="s">
        <v>29</v>
      </c>
      <c r="B463" s="3">
        <f t="shared" si="8"/>
        <v>2022</v>
      </c>
      <c r="C463" s="3">
        <f t="shared" si="9"/>
        <v>6</v>
      </c>
      <c r="D463" s="20" t="str">
        <f t="shared" si="10"/>
        <v>SWK20226</v>
      </c>
      <c r="E463" s="2">
        <v>44718</v>
      </c>
      <c r="F463" s="3">
        <v>0.79</v>
      </c>
      <c r="G463" s="2">
        <v>44733</v>
      </c>
      <c r="H463" s="3">
        <v>2.76E-2</v>
      </c>
      <c r="I463" s="3">
        <v>0</v>
      </c>
      <c r="J463" s="3">
        <v>0</v>
      </c>
      <c r="K463" s="3">
        <f t="shared" si="11"/>
        <v>2022</v>
      </c>
      <c r="L463" s="3">
        <f t="shared" si="12"/>
        <v>0</v>
      </c>
      <c r="M463" s="20" t="str">
        <f>A463&amp;L463</f>
        <v>SWK0</v>
      </c>
      <c r="N463" s="3">
        <f>F463</f>
        <v>0.79</v>
      </c>
      <c r="O463" s="9">
        <f>H463</f>
        <v>2.76E-2</v>
      </c>
      <c r="P463" s="10">
        <f t="shared" si="13"/>
        <v>0</v>
      </c>
      <c r="Q463" s="10">
        <f>IF(K463=0,IF(A460=A463,AVERAGE(O460:O463),"x"),0)</f>
        <v>0</v>
      </c>
      <c r="R463" s="9">
        <f>IF(L463&gt;2005,AVERAGE(O460:O479),0)</f>
        <v>0</v>
      </c>
      <c r="S463" s="10">
        <f>IF(A463=A464,(N463-N464)/N464,0)</f>
        <v>0</v>
      </c>
      <c r="T463" s="10">
        <f>IF(L463&gt;2005,(((N463-N483)/N483)+1)^(1/5)-1,0)</f>
        <v>0</v>
      </c>
      <c r="U463" s="10">
        <f t="shared" si="14"/>
        <v>0</v>
      </c>
      <c r="V463" s="26">
        <f t="shared" si="15"/>
        <v>0</v>
      </c>
      <c r="W463" s="3">
        <f>IF(A463=A464,N463-N464,0)</f>
        <v>0</v>
      </c>
      <c r="X463" s="10">
        <f>IF(A463=A464,(N463-N464)/N464,0)</f>
        <v>0</v>
      </c>
    </row>
    <row r="464" spans="1:24" ht="16.5" customHeight="1">
      <c r="A464" s="3" t="s">
        <v>29</v>
      </c>
      <c r="B464" s="3">
        <f t="shared" si="8"/>
        <v>2022</v>
      </c>
      <c r="C464" s="3">
        <f t="shared" si="9"/>
        <v>3</v>
      </c>
      <c r="D464" s="20" t="str">
        <f t="shared" si="10"/>
        <v>SWK20223</v>
      </c>
      <c r="E464" s="2">
        <v>44627</v>
      </c>
      <c r="F464" s="3">
        <v>0.79</v>
      </c>
      <c r="G464" s="2">
        <v>44642</v>
      </c>
      <c r="H464" s="3">
        <v>1.95E-2</v>
      </c>
      <c r="I464" s="3">
        <v>0</v>
      </c>
      <c r="J464" s="3">
        <v>0</v>
      </c>
      <c r="K464" s="3">
        <f t="shared" si="11"/>
        <v>0</v>
      </c>
      <c r="L464" s="3">
        <f t="shared" si="12"/>
        <v>2022</v>
      </c>
      <c r="M464" s="20" t="str">
        <f>A464&amp;L464</f>
        <v>SWK2022</v>
      </c>
      <c r="N464" s="3">
        <f>F464</f>
        <v>0.79</v>
      </c>
      <c r="O464" s="9">
        <f>H464</f>
        <v>1.95E-2</v>
      </c>
      <c r="P464" s="10">
        <f t="shared" si="13"/>
        <v>0</v>
      </c>
      <c r="Q464" s="10">
        <f>IF(K464=0,IF(A461=A464,AVERAGE(O461:O464),"x"),0)</f>
        <v>3.1100000000000003E-2</v>
      </c>
      <c r="R464" s="9">
        <f>IF(L464&gt;2005,AVERAGE(O461:O480),0)</f>
        <v>2.0549999999999999E-2</v>
      </c>
      <c r="S464" s="10">
        <f>IF(A464=A465,(N464-N465)/N465,0)</f>
        <v>0</v>
      </c>
      <c r="T464" s="10">
        <f>IF(L464&gt;2005,(((N464-N484)/N484)+1)^(1/5)-1,0)</f>
        <v>6.3750603655610361E-2</v>
      </c>
      <c r="U464" s="10">
        <f t="shared" si="14"/>
        <v>8.4300603655610359E-2</v>
      </c>
      <c r="V464" s="26">
        <f t="shared" si="15"/>
        <v>4.7227978259607033</v>
      </c>
      <c r="W464" s="3">
        <f>IF(A464=A465,N464-N465,0)</f>
        <v>0</v>
      </c>
      <c r="X464" s="10">
        <f>IF(A464=A465,(N464-N465)/N465,0)</f>
        <v>0</v>
      </c>
    </row>
    <row r="465" spans="1:24" ht="16.5" customHeight="1">
      <c r="A465" s="3" t="s">
        <v>29</v>
      </c>
      <c r="B465" s="3">
        <f t="shared" si="8"/>
        <v>2021</v>
      </c>
      <c r="C465" s="3">
        <f t="shared" si="9"/>
        <v>11</v>
      </c>
      <c r="D465" s="20" t="str">
        <f t="shared" si="10"/>
        <v>SWK202111</v>
      </c>
      <c r="E465" s="2">
        <v>44530</v>
      </c>
      <c r="F465" s="3">
        <v>0.79</v>
      </c>
      <c r="G465" s="2">
        <v>44551</v>
      </c>
      <c r="H465" s="3">
        <v>1.72E-2</v>
      </c>
      <c r="I465" s="3">
        <v>0</v>
      </c>
      <c r="J465" s="3">
        <v>0</v>
      </c>
      <c r="K465" s="3">
        <f t="shared" si="11"/>
        <v>2021</v>
      </c>
      <c r="L465" s="3">
        <f t="shared" si="12"/>
        <v>0</v>
      </c>
      <c r="M465" s="20" t="str">
        <f>A465&amp;L465</f>
        <v>SWK0</v>
      </c>
      <c r="N465" s="3">
        <f>F465</f>
        <v>0.79</v>
      </c>
      <c r="O465" s="9">
        <f>H465</f>
        <v>1.72E-2</v>
      </c>
      <c r="P465" s="10">
        <f t="shared" si="13"/>
        <v>0</v>
      </c>
      <c r="Q465" s="10">
        <f>IF(K465=0,IF(A462=A465,AVERAGE(O462:O465),"x"),0)</f>
        <v>0</v>
      </c>
      <c r="R465" s="9">
        <f>IF(L465&gt;2005,AVERAGE(O462:O481),0)</f>
        <v>0</v>
      </c>
      <c r="S465" s="10">
        <f>IF(A465=A466,(N465-N466)/N466,0)</f>
        <v>0</v>
      </c>
      <c r="T465" s="10">
        <f>IF(L465&gt;2005,(((N465-N485)/N485)+1)^(1/5)-1,0)</f>
        <v>0</v>
      </c>
      <c r="U465" s="10">
        <f t="shared" si="14"/>
        <v>0</v>
      </c>
      <c r="V465" s="26">
        <f t="shared" si="15"/>
        <v>0</v>
      </c>
      <c r="W465" s="3">
        <f>IF(A465=A466,N465-N466,0)</f>
        <v>0</v>
      </c>
      <c r="X465" s="10">
        <f>IF(A465=A466,(N465-N466)/N466,0)</f>
        <v>0</v>
      </c>
    </row>
    <row r="466" spans="1:24" ht="16.5" customHeight="1">
      <c r="A466" s="3" t="s">
        <v>29</v>
      </c>
      <c r="B466" s="3">
        <f t="shared" si="8"/>
        <v>2021</v>
      </c>
      <c r="C466" s="3">
        <f t="shared" si="9"/>
        <v>9</v>
      </c>
      <c r="D466" s="20" t="str">
        <f t="shared" si="10"/>
        <v>SWK20219</v>
      </c>
      <c r="E466" s="2">
        <v>44442</v>
      </c>
      <c r="F466" s="3">
        <v>0.79</v>
      </c>
      <c r="G466" s="2">
        <v>44460</v>
      </c>
      <c r="H466" s="3">
        <v>1.6400000000000001E-2</v>
      </c>
      <c r="I466" s="3">
        <v>0.12857142899999999</v>
      </c>
      <c r="J466" s="3">
        <v>0.09</v>
      </c>
      <c r="K466" s="3">
        <f t="shared" si="11"/>
        <v>2021</v>
      </c>
      <c r="L466" s="3">
        <f t="shared" si="12"/>
        <v>0</v>
      </c>
      <c r="M466" s="20" t="str">
        <f>A466&amp;L466</f>
        <v>SWK0</v>
      </c>
      <c r="N466" s="3">
        <f>F466</f>
        <v>0.79</v>
      </c>
      <c r="O466" s="9">
        <f>H466</f>
        <v>1.6400000000000001E-2</v>
      </c>
      <c r="P466" s="10">
        <f t="shared" si="13"/>
        <v>1.49E-2</v>
      </c>
      <c r="Q466" s="10">
        <f>IF(K466=0,IF(A463=A466,AVERAGE(O463:O466),"x"),0)</f>
        <v>0</v>
      </c>
      <c r="R466" s="9">
        <f>IF(L466&gt;2005,AVERAGE(O463:O482),0)</f>
        <v>0</v>
      </c>
      <c r="S466" s="10">
        <f>IF(A466=A467,(N466-N467)/N467,0)</f>
        <v>0.1285714285714287</v>
      </c>
      <c r="T466" s="10">
        <f>IF(L466&gt;2005,(((N466-N486)/N486)+1)^(1/5)-1,0)</f>
        <v>0</v>
      </c>
      <c r="U466" s="10">
        <f t="shared" si="14"/>
        <v>0</v>
      </c>
      <c r="V466" s="26">
        <f t="shared" si="15"/>
        <v>0</v>
      </c>
      <c r="W466" s="3">
        <f>IF(A466=A467,N466-N467,0)</f>
        <v>9.000000000000008E-2</v>
      </c>
      <c r="X466" s="10">
        <f>IF(A466=A467,(N466-N467)/N467,0)</f>
        <v>0.1285714285714287</v>
      </c>
    </row>
    <row r="467" spans="1:24" ht="16.5" customHeight="1">
      <c r="A467" s="3" t="s">
        <v>29</v>
      </c>
      <c r="B467" s="3">
        <f t="shared" si="8"/>
        <v>2021</v>
      </c>
      <c r="C467" s="3">
        <f t="shared" si="9"/>
        <v>6</v>
      </c>
      <c r="D467" s="20" t="str">
        <f t="shared" si="10"/>
        <v>SWK20216</v>
      </c>
      <c r="E467" s="2">
        <v>44354</v>
      </c>
      <c r="F467" s="3">
        <v>0.7</v>
      </c>
      <c r="G467" s="2">
        <v>44369</v>
      </c>
      <c r="H467" s="3">
        <v>1.32E-2</v>
      </c>
      <c r="I467" s="3">
        <v>0</v>
      </c>
      <c r="J467" s="3">
        <v>0</v>
      </c>
      <c r="K467" s="3">
        <f t="shared" si="11"/>
        <v>2021</v>
      </c>
      <c r="L467" s="3">
        <f t="shared" si="12"/>
        <v>0</v>
      </c>
      <c r="M467" s="20" t="str">
        <f>A467&amp;L467</f>
        <v>SWK0</v>
      </c>
      <c r="N467" s="3">
        <f>F467</f>
        <v>0.7</v>
      </c>
      <c r="O467" s="9">
        <f>H467</f>
        <v>1.32E-2</v>
      </c>
      <c r="P467" s="10">
        <f t="shared" si="13"/>
        <v>0</v>
      </c>
      <c r="Q467" s="10">
        <f>IF(K467=0,IF(A464=A467,AVERAGE(O464:O467),"x"),0)</f>
        <v>0</v>
      </c>
      <c r="R467" s="9">
        <f>IF(L467&gt;2005,AVERAGE(O464:O483),0)</f>
        <v>0</v>
      </c>
      <c r="S467" s="10">
        <f>IF(A467=A468,(N467-N468)/N468,0)</f>
        <v>0</v>
      </c>
      <c r="T467" s="10">
        <f>IF(L467&gt;2005,(((N467-N487)/N487)+1)^(1/5)-1,0)</f>
        <v>0</v>
      </c>
      <c r="U467" s="10">
        <f t="shared" si="14"/>
        <v>0</v>
      </c>
      <c r="V467" s="26">
        <f t="shared" si="15"/>
        <v>0</v>
      </c>
      <c r="W467" s="3">
        <f>IF(A467=A468,N467-N468,0)</f>
        <v>0</v>
      </c>
      <c r="X467" s="10">
        <f>IF(A467=A468,(N467-N468)/N468,0)</f>
        <v>0</v>
      </c>
    </row>
    <row r="468" spans="1:24" ht="16.5" customHeight="1">
      <c r="A468" s="3" t="s">
        <v>29</v>
      </c>
      <c r="B468" s="3">
        <f t="shared" si="8"/>
        <v>2021</v>
      </c>
      <c r="C468" s="3">
        <f t="shared" si="9"/>
        <v>3</v>
      </c>
      <c r="D468" s="20" t="str">
        <f t="shared" si="10"/>
        <v>SWK20213</v>
      </c>
      <c r="E468" s="2">
        <v>44263</v>
      </c>
      <c r="F468" s="3">
        <v>0.7</v>
      </c>
      <c r="G468" s="2">
        <v>44278</v>
      </c>
      <c r="H468" s="3">
        <v>1.5100000000000001E-2</v>
      </c>
      <c r="I468" s="3">
        <v>0</v>
      </c>
      <c r="J468" s="3">
        <v>0</v>
      </c>
      <c r="K468" s="3">
        <f t="shared" si="11"/>
        <v>0</v>
      </c>
      <c r="L468" s="3">
        <f t="shared" si="12"/>
        <v>2021</v>
      </c>
      <c r="M468" s="20" t="str">
        <f>A468&amp;L468</f>
        <v>SWK2021</v>
      </c>
      <c r="N468" s="3">
        <f>F468</f>
        <v>0.7</v>
      </c>
      <c r="O468" s="9">
        <f>H468</f>
        <v>1.5100000000000001E-2</v>
      </c>
      <c r="P468" s="10">
        <f t="shared" si="13"/>
        <v>0</v>
      </c>
      <c r="Q468" s="10">
        <f>IF(K468=0,IF(A465=A468,AVERAGE(O465:O468),"x"),0)</f>
        <v>1.5475000000000003E-2</v>
      </c>
      <c r="R468" s="9">
        <f>IF(L468&gt;2005,AVERAGE(O465:O484),0)</f>
        <v>1.7729999999999999E-2</v>
      </c>
      <c r="S468" s="10">
        <f>IF(A468=A469,(N468-N469)/N469,0)</f>
        <v>0</v>
      </c>
      <c r="T468" s="10">
        <f>IF(L468&gt;2005,(((N468-N488)/N488)+1)^(1/5)-1,0)</f>
        <v>4.9414522844583919E-2</v>
      </c>
      <c r="U468" s="10">
        <f t="shared" si="14"/>
        <v>6.7144522844583915E-2</v>
      </c>
      <c r="V468" s="26">
        <f t="shared" si="15"/>
        <v>4.7562359708438393</v>
      </c>
      <c r="W468" s="3">
        <f>IF(A468=A469,N468-N469,0)</f>
        <v>0</v>
      </c>
      <c r="X468" s="10">
        <f>IF(A468=A469,(N468-N469)/N469,0)</f>
        <v>0</v>
      </c>
    </row>
    <row r="469" spans="1:24" ht="16.5" customHeight="1">
      <c r="A469" s="3" t="s">
        <v>29</v>
      </c>
      <c r="B469" s="3">
        <f t="shared" si="8"/>
        <v>2020</v>
      </c>
      <c r="C469" s="3">
        <f t="shared" si="9"/>
        <v>11</v>
      </c>
      <c r="D469" s="20" t="str">
        <f t="shared" si="10"/>
        <v>SWK202011</v>
      </c>
      <c r="E469" s="2">
        <v>44165</v>
      </c>
      <c r="F469" s="3">
        <v>0.7</v>
      </c>
      <c r="G469" s="2">
        <v>44180</v>
      </c>
      <c r="H469" s="3">
        <v>1.49E-2</v>
      </c>
      <c r="I469" s="3">
        <v>0</v>
      </c>
      <c r="J469" s="3">
        <v>0</v>
      </c>
      <c r="K469" s="3">
        <f t="shared" si="11"/>
        <v>2020</v>
      </c>
      <c r="L469" s="3">
        <f t="shared" si="12"/>
        <v>0</v>
      </c>
      <c r="M469" s="20" t="str">
        <f>A469&amp;L469</f>
        <v>SWK0</v>
      </c>
      <c r="N469" s="3">
        <f>F469</f>
        <v>0.7</v>
      </c>
      <c r="O469" s="9">
        <f>H469</f>
        <v>1.49E-2</v>
      </c>
      <c r="P469" s="10">
        <f t="shared" si="13"/>
        <v>0</v>
      </c>
      <c r="Q469" s="10">
        <f>IF(K469=0,IF(A466=A469,AVERAGE(O466:O469),"x"),0)</f>
        <v>0</v>
      </c>
      <c r="R469" s="9">
        <f>IF(L469&gt;2005,AVERAGE(O466:O485),0)</f>
        <v>0</v>
      </c>
      <c r="S469" s="10">
        <f>IF(A469=A470,(N469-N470)/N470,0)</f>
        <v>0</v>
      </c>
      <c r="T469" s="10">
        <f>IF(L469&gt;2005,(((N469-N489)/N489)+1)^(1/5)-1,0)</f>
        <v>0</v>
      </c>
      <c r="U469" s="10">
        <f t="shared" si="14"/>
        <v>0</v>
      </c>
      <c r="V469" s="26">
        <f t="shared" si="15"/>
        <v>0</v>
      </c>
      <c r="W469" s="3">
        <f>IF(A469=A470,N469-N470,0)</f>
        <v>0</v>
      </c>
      <c r="X469" s="10">
        <f>IF(A469=A470,(N469-N470)/N470,0)</f>
        <v>0</v>
      </c>
    </row>
    <row r="470" spans="1:24" ht="16.5" customHeight="1">
      <c r="A470" s="3" t="s">
        <v>29</v>
      </c>
      <c r="B470" s="3">
        <f t="shared" si="8"/>
        <v>2020</v>
      </c>
      <c r="C470" s="3">
        <f t="shared" si="9"/>
        <v>8</v>
      </c>
      <c r="D470" s="20" t="str">
        <f t="shared" si="10"/>
        <v>SWK20208</v>
      </c>
      <c r="E470" s="2">
        <v>44074</v>
      </c>
      <c r="F470" s="3">
        <v>0.7</v>
      </c>
      <c r="G470" s="2">
        <v>44089</v>
      </c>
      <c r="H470" s="3">
        <v>1.6899999999999998E-2</v>
      </c>
      <c r="I470" s="3">
        <v>1.4492754E-2</v>
      </c>
      <c r="J470" s="3">
        <v>0.01</v>
      </c>
      <c r="K470" s="3">
        <f t="shared" si="11"/>
        <v>2020</v>
      </c>
      <c r="L470" s="3">
        <f t="shared" si="12"/>
        <v>0</v>
      </c>
      <c r="M470" s="20" t="str">
        <f>A470&amp;L470</f>
        <v>SWK0</v>
      </c>
      <c r="N470" s="3">
        <f>F470</f>
        <v>0.7</v>
      </c>
      <c r="O470" s="9">
        <f>H470</f>
        <v>1.6899999999999998E-2</v>
      </c>
      <c r="P470" s="10">
        <f t="shared" si="13"/>
        <v>1.8874999999999999E-2</v>
      </c>
      <c r="Q470" s="10">
        <f>IF(K470=0,IF(A467=A470,AVERAGE(O467:O470),"x"),0)</f>
        <v>0</v>
      </c>
      <c r="R470" s="9">
        <f>IF(L470&gt;2005,AVERAGE(O467:O486),0)</f>
        <v>0</v>
      </c>
      <c r="S470" s="10">
        <f>IF(A470=A471,(N470-N471)/N471,0)</f>
        <v>1.449275362318842E-2</v>
      </c>
      <c r="T470" s="10">
        <f>IF(L470&gt;2005,(((N470-N490)/N490)+1)^(1/5)-1,0)</f>
        <v>0</v>
      </c>
      <c r="U470" s="10">
        <f t="shared" si="14"/>
        <v>0</v>
      </c>
      <c r="V470" s="26">
        <f t="shared" si="15"/>
        <v>0</v>
      </c>
      <c r="W470" s="3">
        <f>IF(A470=A471,N470-N471,0)</f>
        <v>1.0000000000000009E-2</v>
      </c>
      <c r="X470" s="10">
        <f>IF(A470=A471,(N470-N471)/N471,0)</f>
        <v>1.449275362318842E-2</v>
      </c>
    </row>
    <row r="471" spans="1:24" ht="16.5" customHeight="1">
      <c r="A471" s="3" t="s">
        <v>29</v>
      </c>
      <c r="B471" s="3">
        <f t="shared" si="8"/>
        <v>2020</v>
      </c>
      <c r="C471" s="3">
        <f t="shared" si="9"/>
        <v>6</v>
      </c>
      <c r="D471" s="20" t="str">
        <f t="shared" si="10"/>
        <v>SWK20206</v>
      </c>
      <c r="E471" s="2">
        <v>43983</v>
      </c>
      <c r="F471" s="3">
        <v>0.69</v>
      </c>
      <c r="G471" s="2">
        <v>43998</v>
      </c>
      <c r="H471" s="3">
        <v>2.1999999999999999E-2</v>
      </c>
      <c r="I471" s="3">
        <v>0</v>
      </c>
      <c r="J471" s="3">
        <v>0</v>
      </c>
      <c r="K471" s="3">
        <f t="shared" si="11"/>
        <v>2020</v>
      </c>
      <c r="L471" s="3">
        <f t="shared" si="12"/>
        <v>0</v>
      </c>
      <c r="M471" s="20" t="str">
        <f>A471&amp;L471</f>
        <v>SWK0</v>
      </c>
      <c r="N471" s="3">
        <f>F471</f>
        <v>0.69</v>
      </c>
      <c r="O471" s="9">
        <f>H471</f>
        <v>2.1999999999999999E-2</v>
      </c>
      <c r="P471" s="10">
        <f t="shared" si="13"/>
        <v>0</v>
      </c>
      <c r="Q471" s="10">
        <f>IF(K471=0,IF(A468=A471,AVERAGE(O468:O471),"x"),0)</f>
        <v>0</v>
      </c>
      <c r="R471" s="9">
        <f>IF(L471&gt;2005,AVERAGE(O468:O487),0)</f>
        <v>0</v>
      </c>
      <c r="S471" s="10">
        <f>IF(A471=A472,(N471-N472)/N472,0)</f>
        <v>0</v>
      </c>
      <c r="T471" s="10">
        <f>IF(L471&gt;2005,(((N471-N491)/N491)+1)^(1/5)-1,0)</f>
        <v>0</v>
      </c>
      <c r="U471" s="10">
        <f t="shared" si="14"/>
        <v>0</v>
      </c>
      <c r="V471" s="26">
        <f t="shared" si="15"/>
        <v>0</v>
      </c>
      <c r="W471" s="3">
        <f>IF(A471=A472,N471-N472,0)</f>
        <v>0</v>
      </c>
      <c r="X471" s="10">
        <f>IF(A471=A472,(N471-N472)/N472,0)</f>
        <v>0</v>
      </c>
    </row>
    <row r="472" spans="1:24" ht="16.5" customHeight="1">
      <c r="A472" s="3" t="s">
        <v>29</v>
      </c>
      <c r="B472" s="3">
        <f t="shared" si="8"/>
        <v>2020</v>
      </c>
      <c r="C472" s="3">
        <f t="shared" si="9"/>
        <v>3</v>
      </c>
      <c r="D472" s="20" t="str">
        <f t="shared" si="10"/>
        <v>SWK20203</v>
      </c>
      <c r="E472" s="2">
        <v>43892</v>
      </c>
      <c r="F472" s="3">
        <v>0.69</v>
      </c>
      <c r="G472" s="2">
        <v>43907</v>
      </c>
      <c r="H472" s="3">
        <v>1.9199999999999998E-2</v>
      </c>
      <c r="I472" s="3">
        <v>0</v>
      </c>
      <c r="J472" s="3">
        <v>0</v>
      </c>
      <c r="K472" s="3">
        <f t="shared" si="11"/>
        <v>0</v>
      </c>
      <c r="L472" s="3">
        <f t="shared" si="12"/>
        <v>2020</v>
      </c>
      <c r="M472" s="20" t="str">
        <f>A472&amp;L472</f>
        <v>SWK2020</v>
      </c>
      <c r="N472" s="3">
        <f>F472</f>
        <v>0.69</v>
      </c>
      <c r="O472" s="9">
        <f>H472</f>
        <v>1.9199999999999998E-2</v>
      </c>
      <c r="P472" s="10">
        <f t="shared" si="13"/>
        <v>0</v>
      </c>
      <c r="Q472" s="10">
        <f>IF(K472=0,IF(A469=A472,AVERAGE(O469:O472),"x"),0)</f>
        <v>1.8249999999999999E-2</v>
      </c>
      <c r="R472" s="9">
        <f>IF(L472&gt;2005,AVERAGE(O469:O488),0)</f>
        <v>1.865E-2</v>
      </c>
      <c r="S472" s="10">
        <f>IF(A472=A473,(N472-N473)/N473,0)</f>
        <v>0</v>
      </c>
      <c r="T472" s="10">
        <f>IF(L472&gt;2005,(((N472-N492)/N492)+1)^(1/5)-1,0)</f>
        <v>5.8203392293338263E-2</v>
      </c>
      <c r="U472" s="10">
        <f t="shared" si="14"/>
        <v>7.6853392293338263E-2</v>
      </c>
      <c r="V472" s="26">
        <f t="shared" si="15"/>
        <v>4.7461368893956184</v>
      </c>
      <c r="W472" s="3">
        <f>IF(A472=A473,N472-N473,0)</f>
        <v>0</v>
      </c>
      <c r="X472" s="10">
        <f>IF(A472=A473,(N472-N473)/N473,0)</f>
        <v>0</v>
      </c>
    </row>
    <row r="473" spans="1:24" ht="16.5" customHeight="1">
      <c r="A473" s="3" t="s">
        <v>29</v>
      </c>
      <c r="B473" s="3">
        <f t="shared" si="8"/>
        <v>2019</v>
      </c>
      <c r="C473" s="3">
        <f t="shared" si="9"/>
        <v>11</v>
      </c>
      <c r="D473" s="20" t="str">
        <f t="shared" si="10"/>
        <v>SWK201911</v>
      </c>
      <c r="E473" s="2">
        <v>43796</v>
      </c>
      <c r="F473" s="3">
        <v>0.69</v>
      </c>
      <c r="G473" s="2">
        <v>43816</v>
      </c>
      <c r="H473" s="3">
        <v>1.7399999999999999E-2</v>
      </c>
      <c r="I473" s="3">
        <v>0</v>
      </c>
      <c r="J473" s="3">
        <v>0</v>
      </c>
      <c r="K473" s="3">
        <f t="shared" si="11"/>
        <v>2019</v>
      </c>
      <c r="L473" s="3">
        <f t="shared" si="12"/>
        <v>0</v>
      </c>
      <c r="M473" s="20" t="str">
        <f>A473&amp;L473</f>
        <v>SWK0</v>
      </c>
      <c r="N473" s="3">
        <f>F473</f>
        <v>0.69</v>
      </c>
      <c r="O473" s="9">
        <f>H473</f>
        <v>1.7399999999999999E-2</v>
      </c>
      <c r="P473" s="10">
        <f t="shared" si="13"/>
        <v>0</v>
      </c>
      <c r="Q473" s="10">
        <f>IF(K473=0,IF(A470=A473,AVERAGE(O470:O473),"x"),0)</f>
        <v>0</v>
      </c>
      <c r="R473" s="9">
        <f>IF(L473&gt;2005,AVERAGE(O470:O489),0)</f>
        <v>0</v>
      </c>
      <c r="S473" s="10">
        <f>IF(A473=A474,(N473-N474)/N474,0)</f>
        <v>0</v>
      </c>
      <c r="T473" s="10">
        <f>IF(L473&gt;2005,(((N473-N493)/N493)+1)^(1/5)-1,0)</f>
        <v>0</v>
      </c>
      <c r="U473" s="10">
        <f t="shared" si="14"/>
        <v>0</v>
      </c>
      <c r="V473" s="26">
        <f t="shared" si="15"/>
        <v>0</v>
      </c>
      <c r="W473" s="3">
        <f>IF(A473=A474,N473-N474,0)</f>
        <v>0</v>
      </c>
      <c r="X473" s="10">
        <f>IF(A473=A474,(N473-N474)/N474,0)</f>
        <v>0</v>
      </c>
    </row>
    <row r="474" spans="1:24" ht="16.5" customHeight="1">
      <c r="A474" s="3" t="s">
        <v>29</v>
      </c>
      <c r="B474" s="3">
        <f t="shared" si="8"/>
        <v>2019</v>
      </c>
      <c r="C474" s="3">
        <f t="shared" si="9"/>
        <v>8</v>
      </c>
      <c r="D474" s="20" t="str">
        <f t="shared" si="10"/>
        <v>SWK20198</v>
      </c>
      <c r="E474" s="2">
        <v>43707</v>
      </c>
      <c r="F474" s="3">
        <v>0.69</v>
      </c>
      <c r="G474" s="2">
        <v>43725</v>
      </c>
      <c r="H474" s="3">
        <v>2.07E-2</v>
      </c>
      <c r="I474" s="3">
        <v>4.5454544999999999E-2</v>
      </c>
      <c r="J474" s="3">
        <v>0.03</v>
      </c>
      <c r="K474" s="3">
        <f t="shared" si="11"/>
        <v>2019</v>
      </c>
      <c r="L474" s="3">
        <f t="shared" si="12"/>
        <v>0</v>
      </c>
      <c r="M474" s="20" t="str">
        <f>A474&amp;L474</f>
        <v>SWK0</v>
      </c>
      <c r="N474" s="3">
        <f>F474</f>
        <v>0.69</v>
      </c>
      <c r="O474" s="9">
        <f>H474</f>
        <v>2.07E-2</v>
      </c>
      <c r="P474" s="10">
        <f t="shared" si="13"/>
        <v>2.0499999999999997E-2</v>
      </c>
      <c r="Q474" s="10">
        <f>IF(K474=0,IF(A471=A474,AVERAGE(O471:O474),"x"),0)</f>
        <v>0</v>
      </c>
      <c r="R474" s="9">
        <f>IF(L474&gt;2005,AVERAGE(O471:O490),0)</f>
        <v>0</v>
      </c>
      <c r="S474" s="10">
        <f>IF(A474=A475,(N474-N475)/N475,0)</f>
        <v>4.5454545454545324E-2</v>
      </c>
      <c r="T474" s="10">
        <f>IF(L474&gt;2005,(((N474-N494)/N494)+1)^(1/5)-1,0)</f>
        <v>0</v>
      </c>
      <c r="U474" s="10">
        <f t="shared" si="14"/>
        <v>0</v>
      </c>
      <c r="V474" s="26">
        <f t="shared" si="15"/>
        <v>0</v>
      </c>
      <c r="W474" s="3">
        <f>IF(A474=A475,N474-N475,0)</f>
        <v>2.9999999999999916E-2</v>
      </c>
      <c r="X474" s="10">
        <f>IF(A474=A475,(N474-N475)/N475,0)</f>
        <v>4.5454545454545324E-2</v>
      </c>
    </row>
    <row r="475" spans="1:24" ht="16.5" customHeight="1">
      <c r="A475" s="3" t="s">
        <v>29</v>
      </c>
      <c r="B475" s="3">
        <f t="shared" si="8"/>
        <v>2019</v>
      </c>
      <c r="C475" s="3">
        <f t="shared" si="9"/>
        <v>6</v>
      </c>
      <c r="D475" s="20" t="str">
        <f t="shared" si="10"/>
        <v>SWK20196</v>
      </c>
      <c r="E475" s="2">
        <v>43619</v>
      </c>
      <c r="F475" s="3">
        <v>0.66</v>
      </c>
      <c r="G475" s="2">
        <v>43634</v>
      </c>
      <c r="H475" s="3">
        <v>2.0799999999999999E-2</v>
      </c>
      <c r="I475" s="3">
        <v>0</v>
      </c>
      <c r="J475" s="3">
        <v>0</v>
      </c>
      <c r="K475" s="3">
        <f t="shared" si="11"/>
        <v>2019</v>
      </c>
      <c r="L475" s="3">
        <f t="shared" si="12"/>
        <v>0</v>
      </c>
      <c r="M475" s="20" t="str">
        <f>A475&amp;L475</f>
        <v>SWK0</v>
      </c>
      <c r="N475" s="3">
        <f>F475</f>
        <v>0.66</v>
      </c>
      <c r="O475" s="9">
        <f>H475</f>
        <v>2.0799999999999999E-2</v>
      </c>
      <c r="P475" s="10">
        <f t="shared" si="13"/>
        <v>0</v>
      </c>
      <c r="Q475" s="10">
        <f>IF(K475=0,IF(A472=A475,AVERAGE(O472:O475),"x"),0)</f>
        <v>0</v>
      </c>
      <c r="R475" s="9">
        <f>IF(L475&gt;2005,AVERAGE(O472:O491),0)</f>
        <v>0</v>
      </c>
      <c r="S475" s="10">
        <f>IF(A475=A476,(N475-N476)/N476,0)</f>
        <v>0</v>
      </c>
      <c r="T475" s="10">
        <f>IF(L475&gt;2005,(((N475-N495)/N495)+1)^(1/5)-1,0)</f>
        <v>0</v>
      </c>
      <c r="U475" s="10">
        <f t="shared" si="14"/>
        <v>0</v>
      </c>
      <c r="V475" s="26">
        <f t="shared" si="15"/>
        <v>0</v>
      </c>
      <c r="W475" s="3">
        <f>IF(A475=A476,N475-N476,0)</f>
        <v>0</v>
      </c>
      <c r="X475" s="10">
        <f>IF(A475=A476,(N475-N476)/N476,0)</f>
        <v>0</v>
      </c>
    </row>
    <row r="476" spans="1:24" ht="16.5" customHeight="1">
      <c r="A476" s="3" t="s">
        <v>29</v>
      </c>
      <c r="B476" s="3">
        <f t="shared" si="8"/>
        <v>2019</v>
      </c>
      <c r="C476" s="3">
        <f t="shared" si="9"/>
        <v>3</v>
      </c>
      <c r="D476" s="20" t="str">
        <f t="shared" si="10"/>
        <v>SWK20193</v>
      </c>
      <c r="E476" s="2">
        <v>43528</v>
      </c>
      <c r="F476" s="3">
        <v>0.66</v>
      </c>
      <c r="G476" s="2">
        <v>43543</v>
      </c>
      <c r="H476" s="3">
        <v>1.9900000000000001E-2</v>
      </c>
      <c r="I476" s="3">
        <v>0</v>
      </c>
      <c r="J476" s="3">
        <v>0</v>
      </c>
      <c r="K476" s="3">
        <f t="shared" si="11"/>
        <v>0</v>
      </c>
      <c r="L476" s="3">
        <f t="shared" si="12"/>
        <v>2019</v>
      </c>
      <c r="M476" s="20" t="str">
        <f>A476&amp;L476</f>
        <v>SWK2019</v>
      </c>
      <c r="N476" s="3">
        <f>F476</f>
        <v>0.66</v>
      </c>
      <c r="O476" s="9">
        <f>H476</f>
        <v>1.9900000000000001E-2</v>
      </c>
      <c r="P476" s="10">
        <f t="shared" si="13"/>
        <v>0</v>
      </c>
      <c r="Q476" s="10">
        <f>IF(K476=0,IF(A473=A476,AVERAGE(O473:O476),"x"),0)</f>
        <v>1.9699999999999999E-2</v>
      </c>
      <c r="R476" s="9">
        <f>IF(L476&gt;2005,AVERAGE(O473:O492),0)</f>
        <v>1.9105E-2</v>
      </c>
      <c r="S476" s="10">
        <f>IF(A476=A477,(N476-N477)/N477,0)</f>
        <v>0</v>
      </c>
      <c r="T476" s="10">
        <f>IF(L476&gt;2005,(((N476-N496)/N496)+1)^(1/5)-1,0)</f>
        <v>5.7096868374616028E-2</v>
      </c>
      <c r="U476" s="10">
        <f t="shared" si="14"/>
        <v>7.6201868374616025E-2</v>
      </c>
      <c r="V476" s="26">
        <f t="shared" si="15"/>
        <v>4.7399358358083017</v>
      </c>
      <c r="W476" s="3">
        <f>IF(A476=A477,N476-N477,0)</f>
        <v>0</v>
      </c>
      <c r="X476" s="10">
        <f>IF(A476=A477,(N476-N477)/N477,0)</f>
        <v>0</v>
      </c>
    </row>
    <row r="477" spans="1:24" ht="16.5" customHeight="1">
      <c r="A477" s="3" t="s">
        <v>29</v>
      </c>
      <c r="B477" s="3">
        <f t="shared" si="8"/>
        <v>2018</v>
      </c>
      <c r="C477" s="3">
        <f t="shared" si="9"/>
        <v>11</v>
      </c>
      <c r="D477" s="20" t="str">
        <f t="shared" si="10"/>
        <v>SWK201811</v>
      </c>
      <c r="E477" s="2">
        <v>43433</v>
      </c>
      <c r="F477" s="3">
        <v>0.66</v>
      </c>
      <c r="G477" s="2">
        <v>43452</v>
      </c>
      <c r="H477" s="3">
        <v>2.06E-2</v>
      </c>
      <c r="I477" s="3">
        <v>0</v>
      </c>
      <c r="J477" s="3">
        <v>0</v>
      </c>
      <c r="K477" s="3">
        <f t="shared" si="11"/>
        <v>2018</v>
      </c>
      <c r="L477" s="3">
        <f t="shared" si="12"/>
        <v>0</v>
      </c>
      <c r="M477" s="20" t="str">
        <f>A477&amp;L477</f>
        <v>SWK0</v>
      </c>
      <c r="N477" s="3">
        <f>F477</f>
        <v>0.66</v>
      </c>
      <c r="O477" s="9">
        <f>H477</f>
        <v>2.06E-2</v>
      </c>
      <c r="P477" s="10">
        <f t="shared" si="13"/>
        <v>0</v>
      </c>
      <c r="Q477" s="10">
        <f>IF(K477=0,IF(A474=A477,AVERAGE(O474:O477),"x"),0)</f>
        <v>0</v>
      </c>
      <c r="R477" s="9">
        <f>IF(L477&gt;2005,AVERAGE(O474:O493),0)</f>
        <v>0</v>
      </c>
      <c r="S477" s="10">
        <f>IF(A477=A478,(N477-N478)/N478,0)</f>
        <v>0</v>
      </c>
      <c r="T477" s="10">
        <f>IF(L477&gt;2005,(((N477-N497)/N497)+1)^(1/5)-1,0)</f>
        <v>0</v>
      </c>
      <c r="U477" s="10">
        <f t="shared" si="14"/>
        <v>0</v>
      </c>
      <c r="V477" s="26">
        <f t="shared" si="15"/>
        <v>0</v>
      </c>
      <c r="W477" s="3">
        <f>IF(A477=A478,N477-N478,0)</f>
        <v>0</v>
      </c>
      <c r="X477" s="10">
        <f>IF(A477=A478,(N477-N478)/N478,0)</f>
        <v>0</v>
      </c>
    </row>
    <row r="478" spans="1:24" ht="16.5" customHeight="1">
      <c r="A478" s="3" t="s">
        <v>29</v>
      </c>
      <c r="B478" s="3">
        <f t="shared" si="8"/>
        <v>2018</v>
      </c>
      <c r="C478" s="3">
        <f t="shared" si="9"/>
        <v>9</v>
      </c>
      <c r="D478" s="20" t="str">
        <f t="shared" si="10"/>
        <v>SWK20189</v>
      </c>
      <c r="E478" s="2">
        <v>43349</v>
      </c>
      <c r="F478" s="3">
        <v>0.66</v>
      </c>
      <c r="G478" s="2">
        <v>43361</v>
      </c>
      <c r="H478" s="3">
        <v>1.8499999999999999E-2</v>
      </c>
      <c r="I478" s="3">
        <v>4.7619047999999997E-2</v>
      </c>
      <c r="J478" s="3">
        <v>0.03</v>
      </c>
      <c r="K478" s="3">
        <f t="shared" si="11"/>
        <v>2018</v>
      </c>
      <c r="L478" s="3">
        <f t="shared" si="12"/>
        <v>0</v>
      </c>
      <c r="M478" s="20" t="str">
        <f>A478&amp;L478</f>
        <v>SWK0</v>
      </c>
      <c r="N478" s="3">
        <f>F478</f>
        <v>0.66</v>
      </c>
      <c r="O478" s="9">
        <f>H478</f>
        <v>1.8499999999999999E-2</v>
      </c>
      <c r="P478" s="10">
        <f t="shared" si="13"/>
        <v>1.6825E-2</v>
      </c>
      <c r="Q478" s="10">
        <f>IF(K478=0,IF(A475=A478,AVERAGE(O475:O478),"x"),0)</f>
        <v>0</v>
      </c>
      <c r="R478" s="9">
        <f>IF(L478&gt;2005,AVERAGE(O475:O494),0)</f>
        <v>0</v>
      </c>
      <c r="S478" s="10">
        <f>IF(A478=A479,(N478-N479)/N479,0)</f>
        <v>4.7619047619047658E-2</v>
      </c>
      <c r="T478" s="10">
        <f>IF(L478&gt;2005,(((N478-N498)/N498)+1)^(1/5)-1,0)</f>
        <v>0</v>
      </c>
      <c r="U478" s="10">
        <f t="shared" si="14"/>
        <v>0</v>
      </c>
      <c r="V478" s="26">
        <f t="shared" si="15"/>
        <v>0</v>
      </c>
      <c r="W478" s="3">
        <f>IF(A478=A479,N478-N479,0)</f>
        <v>3.0000000000000027E-2</v>
      </c>
      <c r="X478" s="10">
        <f>IF(A478=A479,(N478-N479)/N479,0)</f>
        <v>4.7619047619047658E-2</v>
      </c>
    </row>
    <row r="479" spans="1:24" ht="16.5" customHeight="1">
      <c r="A479" s="3" t="s">
        <v>29</v>
      </c>
      <c r="B479" s="3">
        <f t="shared" si="8"/>
        <v>2018</v>
      </c>
      <c r="C479" s="3">
        <f t="shared" si="9"/>
        <v>6</v>
      </c>
      <c r="D479" s="20" t="str">
        <f t="shared" si="10"/>
        <v>SWK20186</v>
      </c>
      <c r="E479" s="2">
        <v>43256</v>
      </c>
      <c r="F479" s="3">
        <v>0.63</v>
      </c>
      <c r="G479" s="2">
        <v>43270</v>
      </c>
      <c r="H479" s="3">
        <v>1.77E-2</v>
      </c>
      <c r="I479" s="3">
        <v>0</v>
      </c>
      <c r="J479" s="3">
        <v>0</v>
      </c>
      <c r="K479" s="3">
        <f t="shared" si="11"/>
        <v>2018</v>
      </c>
      <c r="L479" s="3">
        <f t="shared" si="12"/>
        <v>0</v>
      </c>
      <c r="M479" s="20" t="str">
        <f>A479&amp;L479</f>
        <v>SWK0</v>
      </c>
      <c r="N479" s="3">
        <f>F479</f>
        <v>0.63</v>
      </c>
      <c r="O479" s="9">
        <f>H479</f>
        <v>1.77E-2</v>
      </c>
      <c r="P479" s="10">
        <f t="shared" si="13"/>
        <v>0</v>
      </c>
      <c r="Q479" s="10">
        <f>IF(K479=0,IF(A476=A479,AVERAGE(O476:O479),"x"),0)</f>
        <v>0</v>
      </c>
      <c r="R479" s="9">
        <f>IF(L479&gt;2005,AVERAGE(O476:O495),0)</f>
        <v>0</v>
      </c>
      <c r="S479" s="10">
        <f>IF(A479=A480,(N479-N480)/N480,0)</f>
        <v>0</v>
      </c>
      <c r="T479" s="10">
        <f>IF(L479&gt;2005,(((N479-N499)/N499)+1)^(1/5)-1,0)</f>
        <v>0</v>
      </c>
      <c r="U479" s="10">
        <f t="shared" si="14"/>
        <v>0</v>
      </c>
      <c r="V479" s="26">
        <f t="shared" si="15"/>
        <v>0</v>
      </c>
      <c r="W479" s="3">
        <f>IF(A479=A480,N479-N480,0)</f>
        <v>0</v>
      </c>
      <c r="X479" s="10">
        <f>IF(A479=A480,(N479-N480)/N480,0)</f>
        <v>0</v>
      </c>
    </row>
    <row r="480" spans="1:24" ht="16.5" customHeight="1">
      <c r="A480" s="3" t="s">
        <v>29</v>
      </c>
      <c r="B480" s="3">
        <f t="shared" si="8"/>
        <v>2018</v>
      </c>
      <c r="C480" s="3">
        <f t="shared" si="9"/>
        <v>3</v>
      </c>
      <c r="D480" s="20" t="str">
        <f t="shared" si="10"/>
        <v>SWK20183</v>
      </c>
      <c r="E480" s="2">
        <v>43167</v>
      </c>
      <c r="F480" s="3">
        <v>0.63</v>
      </c>
      <c r="G480" s="2">
        <v>43179</v>
      </c>
      <c r="H480" s="3">
        <v>1.61E-2</v>
      </c>
      <c r="I480" s="3">
        <v>0</v>
      </c>
      <c r="J480" s="3">
        <v>0</v>
      </c>
      <c r="K480" s="3">
        <f t="shared" si="11"/>
        <v>0</v>
      </c>
      <c r="L480" s="3">
        <f t="shared" si="12"/>
        <v>2018</v>
      </c>
      <c r="M480" s="20" t="str">
        <f>A480&amp;L480</f>
        <v>SWK2018</v>
      </c>
      <c r="N480" s="3">
        <f>F480</f>
        <v>0.63</v>
      </c>
      <c r="O480" s="9">
        <f>H480</f>
        <v>1.61E-2</v>
      </c>
      <c r="P480" s="10">
        <f t="shared" si="13"/>
        <v>0</v>
      </c>
      <c r="Q480" s="10">
        <f>IF(K480=0,IF(A477=A480,AVERAGE(O477:O480),"x"),0)</f>
        <v>1.8224999999999998E-2</v>
      </c>
      <c r="R480" s="9">
        <f>IF(L480&gt;2005,AVERAGE(O477:O496),0)</f>
        <v>1.9694999999999997E-2</v>
      </c>
      <c r="S480" s="10">
        <f>IF(A480=A481,(N480-N481)/N481,0)</f>
        <v>0</v>
      </c>
      <c r="T480" s="10">
        <f>IF(L480&gt;2005,(((N480-N500)/N500)+1)^(1/5)-1,0)</f>
        <v>5.1547496797280434E-2</v>
      </c>
      <c r="U480" s="10">
        <f t="shared" si="14"/>
        <v>7.1242496797280425E-2</v>
      </c>
      <c r="V480" s="26">
        <f t="shared" si="15"/>
        <v>4.7308898784167033</v>
      </c>
      <c r="W480" s="3">
        <f>IF(A480=A481,N480-N481,0)</f>
        <v>0</v>
      </c>
      <c r="X480" s="10">
        <f>IF(A480=A481,(N480-N481)/N481,0)</f>
        <v>0</v>
      </c>
    </row>
    <row r="481" spans="1:24" ht="16.5" customHeight="1">
      <c r="A481" s="3" t="s">
        <v>29</v>
      </c>
      <c r="B481" s="3">
        <f t="shared" si="8"/>
        <v>2017</v>
      </c>
      <c r="C481" s="3">
        <f t="shared" si="9"/>
        <v>11</v>
      </c>
      <c r="D481" s="20" t="str">
        <f t="shared" si="10"/>
        <v>SWK201711</v>
      </c>
      <c r="E481" s="2">
        <v>43069</v>
      </c>
      <c r="F481" s="3">
        <v>0.63</v>
      </c>
      <c r="G481" s="2">
        <v>43088</v>
      </c>
      <c r="H481" s="3">
        <v>1.4999999999999999E-2</v>
      </c>
      <c r="I481" s="3">
        <v>0</v>
      </c>
      <c r="J481" s="3">
        <v>0</v>
      </c>
      <c r="K481" s="3">
        <f t="shared" si="11"/>
        <v>2017</v>
      </c>
      <c r="L481" s="3">
        <f t="shared" si="12"/>
        <v>0</v>
      </c>
      <c r="M481" s="20" t="str">
        <f>A481&amp;L481</f>
        <v>SWK0</v>
      </c>
      <c r="N481" s="3">
        <f>F481</f>
        <v>0.63</v>
      </c>
      <c r="O481" s="9">
        <f>H481</f>
        <v>1.4999999999999999E-2</v>
      </c>
      <c r="P481" s="10">
        <f t="shared" si="13"/>
        <v>0</v>
      </c>
      <c r="Q481" s="10">
        <f>IF(K481=0,IF(A478=A481,AVERAGE(O478:O481),"x"),0)</f>
        <v>0</v>
      </c>
      <c r="R481" s="9">
        <f>IF(L481&gt;2005,AVERAGE(O478:O497),0)</f>
        <v>0</v>
      </c>
      <c r="S481" s="10">
        <f>IF(A481=A482,(N481-N482)/N482,0)</f>
        <v>0</v>
      </c>
      <c r="T481" s="10">
        <f>IF(L481&gt;2005,(((N481-N501)/N501)+1)^(1/5)-1,0)</f>
        <v>0</v>
      </c>
      <c r="U481" s="10">
        <f t="shared" si="14"/>
        <v>0</v>
      </c>
      <c r="V481" s="26">
        <f t="shared" si="15"/>
        <v>0</v>
      </c>
      <c r="W481" s="3">
        <f>IF(A481=A482,N481-N482,0)</f>
        <v>0</v>
      </c>
      <c r="X481" s="10">
        <f>IF(A481=A482,(N481-N482)/N482,0)</f>
        <v>0</v>
      </c>
    </row>
    <row r="482" spans="1:24" ht="16.5" customHeight="1">
      <c r="A482" s="3" t="s">
        <v>29</v>
      </c>
      <c r="B482" s="3">
        <f t="shared" si="8"/>
        <v>2017</v>
      </c>
      <c r="C482" s="3">
        <f t="shared" si="9"/>
        <v>8</v>
      </c>
      <c r="D482" s="20" t="str">
        <f t="shared" si="10"/>
        <v>SWK20178</v>
      </c>
      <c r="E482" s="2">
        <v>42977</v>
      </c>
      <c r="F482" s="3">
        <v>0.63</v>
      </c>
      <c r="G482" s="2">
        <v>42997</v>
      </c>
      <c r="H482" s="3">
        <v>1.8100000000000002E-2</v>
      </c>
      <c r="I482" s="3">
        <v>8.6206897000000005E-2</v>
      </c>
      <c r="J482" s="3">
        <v>0.05</v>
      </c>
      <c r="K482" s="3">
        <f t="shared" si="11"/>
        <v>2017</v>
      </c>
      <c r="L482" s="3">
        <f t="shared" si="12"/>
        <v>0</v>
      </c>
      <c r="M482" s="20" t="str">
        <f>A482&amp;L482</f>
        <v>SWK0</v>
      </c>
      <c r="N482" s="3">
        <f>F482</f>
        <v>0.63</v>
      </c>
      <c r="O482" s="9">
        <f>H482</f>
        <v>1.8100000000000002E-2</v>
      </c>
      <c r="P482" s="10">
        <f t="shared" si="13"/>
        <v>1.8075000000000001E-2</v>
      </c>
      <c r="Q482" s="10">
        <f>IF(K482=0,IF(A479=A482,AVERAGE(O479:O482),"x"),0)</f>
        <v>0</v>
      </c>
      <c r="R482" s="9">
        <f>IF(L482&gt;2005,AVERAGE(O479:O498),0)</f>
        <v>0</v>
      </c>
      <c r="S482" s="10">
        <f>IF(A482=A483,(N482-N483)/N483,0)</f>
        <v>8.6206896551724227E-2</v>
      </c>
      <c r="T482" s="10">
        <f>IF(L482&gt;2005,(((N482-N502)/N502)+1)^(1/5)-1,0)</f>
        <v>0</v>
      </c>
      <c r="U482" s="10">
        <f t="shared" si="14"/>
        <v>0</v>
      </c>
      <c r="V482" s="26">
        <f t="shared" si="15"/>
        <v>0</v>
      </c>
      <c r="W482" s="3">
        <f>IF(A482=A483,N482-N483,0)</f>
        <v>5.0000000000000044E-2</v>
      </c>
      <c r="X482" s="10">
        <f>IF(A482=A483,(N482-N483)/N483,0)</f>
        <v>8.6206896551724227E-2</v>
      </c>
    </row>
    <row r="483" spans="1:24" ht="16.5" customHeight="1">
      <c r="A483" s="3" t="s">
        <v>29</v>
      </c>
      <c r="B483" s="3">
        <f t="shared" si="8"/>
        <v>2017</v>
      </c>
      <c r="C483" s="3">
        <f t="shared" si="9"/>
        <v>6</v>
      </c>
      <c r="D483" s="20" t="str">
        <f t="shared" si="10"/>
        <v>SWK20176</v>
      </c>
      <c r="E483" s="2">
        <v>42891</v>
      </c>
      <c r="F483" s="3">
        <v>0.57999999999999996</v>
      </c>
      <c r="G483" s="2">
        <v>42906</v>
      </c>
      <c r="H483" s="3">
        <v>1.67E-2</v>
      </c>
      <c r="I483" s="3">
        <v>0</v>
      </c>
      <c r="J483" s="3">
        <v>0</v>
      </c>
      <c r="K483" s="3">
        <f t="shared" si="11"/>
        <v>2017</v>
      </c>
      <c r="L483" s="3">
        <f t="shared" si="12"/>
        <v>0</v>
      </c>
      <c r="M483" s="20" t="str">
        <f>A483&amp;L483</f>
        <v>SWK0</v>
      </c>
      <c r="N483" s="3">
        <f>F483</f>
        <v>0.57999999999999996</v>
      </c>
      <c r="O483" s="9">
        <f>H483</f>
        <v>1.67E-2</v>
      </c>
      <c r="P483" s="10">
        <f t="shared" si="13"/>
        <v>0</v>
      </c>
      <c r="Q483" s="10">
        <f>IF(K483=0,IF(A480=A483,AVERAGE(O480:O483),"x"),0)</f>
        <v>0</v>
      </c>
      <c r="R483" s="9">
        <f>IF(L483&gt;2005,AVERAGE(O480:O499),0)</f>
        <v>0</v>
      </c>
      <c r="S483" s="10">
        <f>IF(A483=A484,(N483-N484)/N484,0)</f>
        <v>0</v>
      </c>
      <c r="T483" s="10">
        <f>IF(L483&gt;2005,(((N483-N503)/N503)+1)^(1/5)-1,0)</f>
        <v>0</v>
      </c>
      <c r="U483" s="10">
        <f t="shared" si="14"/>
        <v>0</v>
      </c>
      <c r="V483" s="26">
        <f t="shared" si="15"/>
        <v>0</v>
      </c>
      <c r="W483" s="3">
        <f>IF(A483=A484,N483-N484,0)</f>
        <v>0</v>
      </c>
      <c r="X483" s="10">
        <f>IF(A483=A484,(N483-N484)/N484,0)</f>
        <v>0</v>
      </c>
    </row>
    <row r="484" spans="1:24" ht="16.5" customHeight="1">
      <c r="A484" s="3" t="s">
        <v>29</v>
      </c>
      <c r="B484" s="3">
        <f t="shared" si="8"/>
        <v>2017</v>
      </c>
      <c r="C484" s="3">
        <f t="shared" si="9"/>
        <v>2</v>
      </c>
      <c r="D484" s="20" t="str">
        <f t="shared" si="10"/>
        <v>SWK20172</v>
      </c>
      <c r="E484" s="2">
        <v>42793</v>
      </c>
      <c r="F484" s="3">
        <v>0.57999999999999996</v>
      </c>
      <c r="G484" s="2">
        <v>42815</v>
      </c>
      <c r="H484" s="3">
        <v>1.8200000000000001E-2</v>
      </c>
      <c r="I484" s="3">
        <v>0</v>
      </c>
      <c r="J484" s="3">
        <v>0</v>
      </c>
      <c r="K484" s="3">
        <f t="shared" si="11"/>
        <v>0</v>
      </c>
      <c r="L484" s="3">
        <f t="shared" si="12"/>
        <v>2017</v>
      </c>
      <c r="M484" s="20" t="str">
        <f>A484&amp;L484</f>
        <v>SWK2017</v>
      </c>
      <c r="N484" s="3">
        <f>F484</f>
        <v>0.57999999999999996</v>
      </c>
      <c r="O484" s="9">
        <f>H484</f>
        <v>1.8200000000000001E-2</v>
      </c>
      <c r="P484" s="10">
        <f t="shared" si="13"/>
        <v>0</v>
      </c>
      <c r="Q484" s="10">
        <f>IF(K484=0,IF(A481=A484,AVERAGE(O481:O484),"x"),0)</f>
        <v>1.7000000000000001E-2</v>
      </c>
      <c r="R484" s="9">
        <f>IF(L484&gt;2005,AVERAGE(O481:O500),0)</f>
        <v>2.0859999999999997E-2</v>
      </c>
      <c r="S484" s="10">
        <f>IF(A484=A485,(N484-N485)/N485,0)</f>
        <v>0</v>
      </c>
      <c r="T484" s="10">
        <f>IF(L484&gt;2005,(((N484-N504)/N504)+1)^(1/5)-1,0)</f>
        <v>7.1837203563014818E-2</v>
      </c>
      <c r="U484" s="10">
        <f t="shared" si="14"/>
        <v>9.2697203563014807E-2</v>
      </c>
      <c r="V484" s="26">
        <f t="shared" si="15"/>
        <v>4.7208296494706312</v>
      </c>
      <c r="W484" s="3">
        <f>IF(A484=A485,N484-N485,0)</f>
        <v>0</v>
      </c>
      <c r="X484" s="10">
        <f>IF(A484=A485,(N484-N485)/N485,0)</f>
        <v>0</v>
      </c>
    </row>
    <row r="485" spans="1:24" ht="16.5" customHeight="1">
      <c r="A485" s="3" t="s">
        <v>29</v>
      </c>
      <c r="B485" s="3">
        <f t="shared" si="8"/>
        <v>2016</v>
      </c>
      <c r="C485" s="3">
        <f t="shared" si="9"/>
        <v>11</v>
      </c>
      <c r="D485" s="20" t="str">
        <f t="shared" si="10"/>
        <v>SWK201611</v>
      </c>
      <c r="E485" s="2">
        <v>42704</v>
      </c>
      <c r="F485" s="3">
        <v>0.57999999999999996</v>
      </c>
      <c r="G485" s="2">
        <v>42724</v>
      </c>
      <c r="H485" s="3">
        <v>1.9300000000000001E-2</v>
      </c>
      <c r="I485" s="3">
        <v>0</v>
      </c>
      <c r="J485" s="3">
        <v>0</v>
      </c>
      <c r="K485" s="3">
        <f t="shared" si="11"/>
        <v>2016</v>
      </c>
      <c r="L485" s="3">
        <f t="shared" si="12"/>
        <v>0</v>
      </c>
      <c r="M485" s="20" t="str">
        <f>A485&amp;L485</f>
        <v>SWK0</v>
      </c>
      <c r="N485" s="3">
        <f>F485</f>
        <v>0.57999999999999996</v>
      </c>
      <c r="O485" s="9">
        <f>H485</f>
        <v>1.9300000000000001E-2</v>
      </c>
      <c r="P485" s="10">
        <f t="shared" si="13"/>
        <v>0</v>
      </c>
      <c r="Q485" s="10">
        <f>IF(K485=0,IF(A482=A485,AVERAGE(O482:O485),"x"),0)</f>
        <v>0</v>
      </c>
      <c r="R485" s="9">
        <f>IF(L485&gt;2005,AVERAGE(O482:O501),0)</f>
        <v>0</v>
      </c>
      <c r="S485" s="10">
        <f>IF(A485=A486,(N485-N486)/N486,0)</f>
        <v>0</v>
      </c>
      <c r="T485" s="10">
        <f>IF(L485&gt;2005,(((N485-N505)/N505)+1)^(1/5)-1,0)</f>
        <v>0</v>
      </c>
      <c r="U485" s="10">
        <f t="shared" si="14"/>
        <v>0</v>
      </c>
      <c r="V485" s="26">
        <f t="shared" si="15"/>
        <v>0</v>
      </c>
      <c r="W485" s="3">
        <f>IF(A485=A486,N485-N486,0)</f>
        <v>0</v>
      </c>
      <c r="X485" s="10">
        <f>IF(A485=A486,(N485-N486)/N486,0)</f>
        <v>0</v>
      </c>
    </row>
    <row r="486" spans="1:24" ht="16.5" customHeight="1">
      <c r="A486" s="3" t="s">
        <v>29</v>
      </c>
      <c r="B486" s="3">
        <f t="shared" si="8"/>
        <v>2016</v>
      </c>
      <c r="C486" s="3">
        <f t="shared" si="9"/>
        <v>8</v>
      </c>
      <c r="D486" s="20" t="str">
        <f t="shared" si="10"/>
        <v>SWK20168</v>
      </c>
      <c r="E486" s="2">
        <v>42613</v>
      </c>
      <c r="F486" s="3">
        <v>0.57999999999999996</v>
      </c>
      <c r="G486" s="2">
        <v>42633</v>
      </c>
      <c r="H486" s="3">
        <v>1.8599999999999998E-2</v>
      </c>
      <c r="I486" s="3">
        <v>5.4545455E-2</v>
      </c>
      <c r="J486" s="3">
        <v>0.03</v>
      </c>
      <c r="K486" s="3">
        <f t="shared" si="11"/>
        <v>2016</v>
      </c>
      <c r="L486" s="3">
        <f t="shared" si="12"/>
        <v>0</v>
      </c>
      <c r="M486" s="20" t="str">
        <f>A486&amp;L486</f>
        <v>SWK0</v>
      </c>
      <c r="N486" s="3">
        <f>F486</f>
        <v>0.57999999999999996</v>
      </c>
      <c r="O486" s="9">
        <f>H486</f>
        <v>1.8599999999999998E-2</v>
      </c>
      <c r="P486" s="10">
        <f t="shared" si="13"/>
        <v>2.01E-2</v>
      </c>
      <c r="Q486" s="10">
        <f>IF(K486=0,IF(A483=A486,AVERAGE(O483:O486),"x"),0)</f>
        <v>0</v>
      </c>
      <c r="R486" s="9">
        <f>IF(L486&gt;2005,AVERAGE(O483:O502),0)</f>
        <v>0</v>
      </c>
      <c r="S486" s="10">
        <f>IF(A486=A487,(N486-N487)/N487,0)</f>
        <v>5.454545454545439E-2</v>
      </c>
      <c r="T486" s="10">
        <f>IF(L486&gt;2005,(((N486-N506)/N506)+1)^(1/5)-1,0)</f>
        <v>0</v>
      </c>
      <c r="U486" s="10">
        <f t="shared" si="14"/>
        <v>0</v>
      </c>
      <c r="V486" s="26">
        <f t="shared" si="15"/>
        <v>0</v>
      </c>
      <c r="W486" s="3">
        <f>IF(A486=A487,N486-N487,0)</f>
        <v>2.9999999999999916E-2</v>
      </c>
      <c r="X486" s="10">
        <f>IF(A486=A487,(N486-N487)/N487,0)</f>
        <v>5.454545454545439E-2</v>
      </c>
    </row>
    <row r="487" spans="1:24" ht="16.5" customHeight="1">
      <c r="A487" s="3" t="s">
        <v>29</v>
      </c>
      <c r="B487" s="3">
        <f t="shared" si="8"/>
        <v>2016</v>
      </c>
      <c r="C487" s="3">
        <f t="shared" si="9"/>
        <v>5</v>
      </c>
      <c r="D487" s="20" t="str">
        <f t="shared" si="10"/>
        <v>SWK20165</v>
      </c>
      <c r="E487" s="2">
        <v>42517</v>
      </c>
      <c r="F487" s="3">
        <v>0.55000000000000004</v>
      </c>
      <c r="G487" s="2">
        <v>42542</v>
      </c>
      <c r="H487" s="3">
        <v>1.9400000000000001E-2</v>
      </c>
      <c r="I487" s="3">
        <v>0</v>
      </c>
      <c r="J487" s="3">
        <v>0</v>
      </c>
      <c r="K487" s="3">
        <f t="shared" si="11"/>
        <v>2016</v>
      </c>
      <c r="L487" s="3">
        <f t="shared" si="12"/>
        <v>0</v>
      </c>
      <c r="M487" s="20" t="str">
        <f>A487&amp;L487</f>
        <v>SWK0</v>
      </c>
      <c r="N487" s="3">
        <f>F487</f>
        <v>0.55000000000000004</v>
      </c>
      <c r="O487" s="9">
        <f>H487</f>
        <v>1.9400000000000001E-2</v>
      </c>
      <c r="P487" s="10">
        <f t="shared" si="13"/>
        <v>0</v>
      </c>
      <c r="Q487" s="10">
        <f>IF(K487=0,IF(A484=A487,AVERAGE(O484:O487),"x"),0)</f>
        <v>0</v>
      </c>
      <c r="R487" s="9">
        <f>IF(L487&gt;2005,AVERAGE(O484:O503),0)</f>
        <v>0</v>
      </c>
      <c r="S487" s="10">
        <f>IF(A487=A488,(N487-N488)/N488,0)</f>
        <v>0</v>
      </c>
      <c r="T487" s="10">
        <f>IF(L487&gt;2005,(((N487-N507)/N507)+1)^(1/5)-1,0)</f>
        <v>0</v>
      </c>
      <c r="U487" s="10">
        <f t="shared" si="14"/>
        <v>0</v>
      </c>
      <c r="V487" s="26">
        <f t="shared" si="15"/>
        <v>0</v>
      </c>
      <c r="W487" s="3">
        <f>IF(A487=A488,N487-N488,0)</f>
        <v>0</v>
      </c>
      <c r="X487" s="10">
        <f>IF(A487=A488,(N487-N488)/N488,0)</f>
        <v>0</v>
      </c>
    </row>
    <row r="488" spans="1:24" ht="16.5" customHeight="1">
      <c r="A488" s="3" t="s">
        <v>29</v>
      </c>
      <c r="B488" s="3">
        <f t="shared" si="8"/>
        <v>2016</v>
      </c>
      <c r="C488" s="3">
        <f t="shared" si="9"/>
        <v>2</v>
      </c>
      <c r="D488" s="20" t="str">
        <f t="shared" si="10"/>
        <v>SWK20162</v>
      </c>
      <c r="E488" s="2">
        <v>42429</v>
      </c>
      <c r="F488" s="3">
        <v>0.55000000000000004</v>
      </c>
      <c r="G488" s="2">
        <v>42451</v>
      </c>
      <c r="H488" s="3">
        <v>2.3E-2</v>
      </c>
      <c r="I488" s="3">
        <v>0</v>
      </c>
      <c r="J488" s="3">
        <v>0</v>
      </c>
      <c r="K488" s="3">
        <f t="shared" si="11"/>
        <v>0</v>
      </c>
      <c r="L488" s="3">
        <f t="shared" si="12"/>
        <v>2016</v>
      </c>
      <c r="M488" s="20" t="str">
        <f>A488&amp;L488</f>
        <v>SWK2016</v>
      </c>
      <c r="N488" s="3">
        <f>F488</f>
        <v>0.55000000000000004</v>
      </c>
      <c r="O488" s="9">
        <f>H488</f>
        <v>2.3E-2</v>
      </c>
      <c r="P488" s="10">
        <f t="shared" si="13"/>
        <v>0</v>
      </c>
      <c r="Q488" s="10">
        <f>IF(K488=0,IF(A485=A488,AVERAGE(O485:O488),"x"),0)</f>
        <v>2.0075000000000003E-2</v>
      </c>
      <c r="R488" s="9">
        <f>IF(L488&gt;2005,AVERAGE(O485:O504),0)</f>
        <v>2.2420000000000002E-2</v>
      </c>
      <c r="S488" s="10">
        <f>IF(A488=A489,(N488-N489)/N489,0)</f>
        <v>0</v>
      </c>
      <c r="T488" s="10">
        <f>IF(L488&gt;2005,(((N488-N508)/N508)+1)^(1/5)-1,0)</f>
        <v>6.0512438341298491E-2</v>
      </c>
      <c r="U488" s="10">
        <f t="shared" si="14"/>
        <v>8.2932438341298487E-2</v>
      </c>
      <c r="V488" s="26">
        <f t="shared" si="15"/>
        <v>4.6978946269793029</v>
      </c>
      <c r="W488" s="3">
        <f>IF(A488=A489,N488-N489,0)</f>
        <v>0</v>
      </c>
      <c r="X488" s="10">
        <f>IF(A488=A489,(N488-N489)/N489,0)</f>
        <v>0</v>
      </c>
    </row>
    <row r="489" spans="1:24" ht="16.5" customHeight="1">
      <c r="A489" s="3" t="s">
        <v>29</v>
      </c>
      <c r="B489" s="3">
        <f t="shared" si="8"/>
        <v>2015</v>
      </c>
      <c r="C489" s="3">
        <f t="shared" si="9"/>
        <v>12</v>
      </c>
      <c r="D489" s="20" t="str">
        <f t="shared" si="10"/>
        <v>SWK201512</v>
      </c>
      <c r="E489" s="2">
        <v>42340</v>
      </c>
      <c r="F489" s="3">
        <v>0.55000000000000004</v>
      </c>
      <c r="G489" s="2">
        <v>42360</v>
      </c>
      <c r="H489" s="3">
        <v>1.9400000000000001E-2</v>
      </c>
      <c r="I489" s="3">
        <v>0</v>
      </c>
      <c r="J489" s="3">
        <v>0</v>
      </c>
      <c r="K489" s="3">
        <f t="shared" si="11"/>
        <v>2015</v>
      </c>
      <c r="L489" s="3">
        <f t="shared" si="12"/>
        <v>0</v>
      </c>
      <c r="M489" s="20" t="str">
        <f>A489&amp;L489</f>
        <v>SWK0</v>
      </c>
      <c r="N489" s="3">
        <f>F489</f>
        <v>0.55000000000000004</v>
      </c>
      <c r="O489" s="9">
        <f>H489</f>
        <v>1.9400000000000001E-2</v>
      </c>
      <c r="P489" s="10">
        <f t="shared" si="13"/>
        <v>0</v>
      </c>
      <c r="Q489" s="10">
        <f>IF(K489=0,IF(A486=A489,AVERAGE(O486:O489),"x"),0)</f>
        <v>0</v>
      </c>
      <c r="R489" s="9">
        <f>IF(L489&gt;2005,AVERAGE(O486:O505),0)</f>
        <v>0</v>
      </c>
      <c r="S489" s="10">
        <f>IF(A489=A490,(N489-N490)/N490,0)</f>
        <v>0</v>
      </c>
      <c r="T489" s="10">
        <f>IF(L489&gt;2005,(((N489-N509)/N509)+1)^(1/5)-1,0)</f>
        <v>0</v>
      </c>
      <c r="U489" s="10">
        <f t="shared" si="14"/>
        <v>0</v>
      </c>
      <c r="V489" s="26">
        <f t="shared" si="15"/>
        <v>0</v>
      </c>
      <c r="W489" s="3">
        <f>IF(A489=A490,N489-N490,0)</f>
        <v>0</v>
      </c>
      <c r="X489" s="10">
        <f>IF(A489=A490,(N489-N490)/N490,0)</f>
        <v>0</v>
      </c>
    </row>
    <row r="490" spans="1:24" ht="16.5" customHeight="1">
      <c r="A490" s="3" t="s">
        <v>29</v>
      </c>
      <c r="B490" s="3">
        <f t="shared" si="8"/>
        <v>2015</v>
      </c>
      <c r="C490" s="3">
        <f t="shared" si="9"/>
        <v>9</v>
      </c>
      <c r="D490" s="20" t="str">
        <f t="shared" si="10"/>
        <v>SWK20159</v>
      </c>
      <c r="E490" s="2">
        <v>42249</v>
      </c>
      <c r="F490" s="3">
        <v>0.55000000000000004</v>
      </c>
      <c r="G490" s="2">
        <v>42269</v>
      </c>
      <c r="H490" s="3">
        <v>2.1499999999999998E-2</v>
      </c>
      <c r="I490" s="3">
        <v>5.7692307999999998E-2</v>
      </c>
      <c r="J490" s="3">
        <v>0.03</v>
      </c>
      <c r="K490" s="3">
        <f t="shared" si="11"/>
        <v>2015</v>
      </c>
      <c r="L490" s="3">
        <f t="shared" si="12"/>
        <v>0</v>
      </c>
      <c r="M490" s="20" t="str">
        <f>A490&amp;L490</f>
        <v>SWK0</v>
      </c>
      <c r="N490" s="3">
        <f>F490</f>
        <v>0.55000000000000004</v>
      </c>
      <c r="O490" s="9">
        <f>H490</f>
        <v>2.1499999999999998E-2</v>
      </c>
      <c r="P490" s="10">
        <f t="shared" si="13"/>
        <v>2.1074999999999997E-2</v>
      </c>
      <c r="Q490" s="10">
        <f>IF(K490=0,IF(A487=A490,AVERAGE(O487:O490),"x"),0)</f>
        <v>0</v>
      </c>
      <c r="R490" s="9">
        <f>IF(L490&gt;2005,AVERAGE(O487:O506),0)</f>
        <v>0</v>
      </c>
      <c r="S490" s="10">
        <f>IF(A490=A491,(N490-N491)/N491,0)</f>
        <v>5.7692307692307744E-2</v>
      </c>
      <c r="T490" s="10">
        <f>IF(L490&gt;2005,(((N490-N510)/N510)+1)^(1/5)-1,0)</f>
        <v>0</v>
      </c>
      <c r="U490" s="10">
        <f t="shared" si="14"/>
        <v>0</v>
      </c>
      <c r="V490" s="26">
        <f t="shared" si="15"/>
        <v>0</v>
      </c>
      <c r="W490" s="3">
        <f>IF(A490=A491,N490-N491,0)</f>
        <v>3.0000000000000027E-2</v>
      </c>
      <c r="X490" s="10">
        <f>IF(A490=A491,(N490-N491)/N491,0)</f>
        <v>5.7692307692307744E-2</v>
      </c>
    </row>
    <row r="491" spans="1:24" ht="16.5" customHeight="1">
      <c r="A491" s="3" t="s">
        <v>29</v>
      </c>
      <c r="B491" s="3">
        <f t="shared" si="8"/>
        <v>2015</v>
      </c>
      <c r="C491" s="3">
        <f t="shared" si="9"/>
        <v>6</v>
      </c>
      <c r="D491" s="20" t="str">
        <f t="shared" si="10"/>
        <v>SWK20156</v>
      </c>
      <c r="E491" s="2">
        <v>42156</v>
      </c>
      <c r="F491" s="3">
        <v>0.52</v>
      </c>
      <c r="G491" s="2">
        <v>42178</v>
      </c>
      <c r="H491" s="3">
        <v>2.0299999999999999E-2</v>
      </c>
      <c r="I491" s="3">
        <v>0</v>
      </c>
      <c r="J491" s="3">
        <v>0</v>
      </c>
      <c r="K491" s="3">
        <f t="shared" si="11"/>
        <v>2015</v>
      </c>
      <c r="L491" s="3">
        <f t="shared" si="12"/>
        <v>0</v>
      </c>
      <c r="M491" s="20" t="str">
        <f>A491&amp;L491</f>
        <v>SWK0</v>
      </c>
      <c r="N491" s="3">
        <f>F491</f>
        <v>0.52</v>
      </c>
      <c r="O491" s="9">
        <f>H491</f>
        <v>2.0299999999999999E-2</v>
      </c>
      <c r="P491" s="10">
        <f t="shared" si="13"/>
        <v>0</v>
      </c>
      <c r="Q491" s="10">
        <f>IF(K491=0,IF(A488=A491,AVERAGE(O488:O491),"x"),0)</f>
        <v>0</v>
      </c>
      <c r="R491" s="9">
        <f>IF(L491&gt;2005,AVERAGE(O488:O507),0)</f>
        <v>0</v>
      </c>
      <c r="S491" s="10">
        <f>IF(A491=A492,(N491-N492)/N492,0)</f>
        <v>0</v>
      </c>
      <c r="T491" s="10">
        <f>IF(L491&gt;2005,(((N491-N511)/N511)+1)^(1/5)-1,0)</f>
        <v>0</v>
      </c>
      <c r="U491" s="10">
        <f t="shared" si="14"/>
        <v>0</v>
      </c>
      <c r="V491" s="26">
        <f t="shared" si="15"/>
        <v>0</v>
      </c>
      <c r="W491" s="3">
        <f>IF(A491=A492,N491-N492,0)</f>
        <v>0</v>
      </c>
      <c r="X491" s="10">
        <f>IF(A491=A492,(N491-N492)/N492,0)</f>
        <v>0</v>
      </c>
    </row>
    <row r="492" spans="1:24" ht="16.5" customHeight="1">
      <c r="A492" s="3" t="s">
        <v>29</v>
      </c>
      <c r="B492" s="3">
        <f t="shared" si="8"/>
        <v>2015</v>
      </c>
      <c r="C492" s="3">
        <f t="shared" si="9"/>
        <v>3</v>
      </c>
      <c r="D492" s="20" t="str">
        <f t="shared" si="10"/>
        <v>SWK20153</v>
      </c>
      <c r="E492" s="2">
        <v>42065</v>
      </c>
      <c r="F492" s="3">
        <v>0.52</v>
      </c>
      <c r="G492" s="2">
        <v>42087</v>
      </c>
      <c r="H492" s="3">
        <v>2.0899999999999998E-2</v>
      </c>
      <c r="I492" s="3">
        <v>0</v>
      </c>
      <c r="J492" s="3">
        <v>0</v>
      </c>
      <c r="K492" s="3">
        <f t="shared" si="11"/>
        <v>0</v>
      </c>
      <c r="L492" s="3">
        <f t="shared" si="12"/>
        <v>2015</v>
      </c>
      <c r="M492" s="20" t="str">
        <f>A492&amp;L492</f>
        <v>SWK2015</v>
      </c>
      <c r="N492" s="3">
        <f>F492</f>
        <v>0.52</v>
      </c>
      <c r="O492" s="9">
        <f>H492</f>
        <v>2.0899999999999998E-2</v>
      </c>
      <c r="P492" s="10">
        <f t="shared" si="13"/>
        <v>0</v>
      </c>
      <c r="Q492" s="10">
        <f>IF(K492=0,IF(A489=A492,AVERAGE(O489:O492),"x"),0)</f>
        <v>2.0524999999999998E-2</v>
      </c>
      <c r="R492" s="9">
        <f>IF(L492&gt;2005,AVERAGE(O489:O508),0)</f>
        <v>2.2929999999999999E-2</v>
      </c>
      <c r="S492" s="10">
        <f>IF(A492=A493,(N492-N493)/N493,0)</f>
        <v>0</v>
      </c>
      <c r="T492" s="10">
        <f>IF(L492&gt;2005,(((N492-N512)/N512)+1)^(1/5)-1,0)</f>
        <v>9.5211210996487994E-2</v>
      </c>
      <c r="U492" s="10">
        <f t="shared" si="14"/>
        <v>0.118141210996488</v>
      </c>
      <c r="V492" s="26">
        <f t="shared" si="15"/>
        <v>4.7006739066870242</v>
      </c>
      <c r="W492" s="3">
        <f>IF(A492=A493,N492-N493,0)</f>
        <v>0</v>
      </c>
      <c r="X492" s="10">
        <f>IF(A492=A493,(N492-N493)/N493,0)</f>
        <v>0</v>
      </c>
    </row>
    <row r="493" spans="1:24" ht="16.5" customHeight="1">
      <c r="A493" s="3" t="s">
        <v>29</v>
      </c>
      <c r="B493" s="3">
        <f t="shared" si="8"/>
        <v>2014</v>
      </c>
      <c r="C493" s="3">
        <f t="shared" si="9"/>
        <v>12</v>
      </c>
      <c r="D493" s="20" t="str">
        <f t="shared" si="10"/>
        <v>SWK201412</v>
      </c>
      <c r="E493" s="2">
        <v>41976</v>
      </c>
      <c r="F493" s="3">
        <v>0.52</v>
      </c>
      <c r="G493" s="2">
        <v>41989</v>
      </c>
      <c r="H493" s="3">
        <v>2.1600000000000001E-2</v>
      </c>
      <c r="I493" s="3">
        <v>0</v>
      </c>
      <c r="J493" s="3">
        <v>0</v>
      </c>
      <c r="K493" s="3">
        <f t="shared" si="11"/>
        <v>2014</v>
      </c>
      <c r="L493" s="3">
        <f t="shared" si="12"/>
        <v>0</v>
      </c>
      <c r="M493" s="20" t="str">
        <f>A493&amp;L493</f>
        <v>SWK0</v>
      </c>
      <c r="N493" s="3">
        <f>F493</f>
        <v>0.52</v>
      </c>
      <c r="O493" s="9">
        <f>H493</f>
        <v>2.1600000000000001E-2</v>
      </c>
      <c r="P493" s="10">
        <f t="shared" si="13"/>
        <v>0</v>
      </c>
      <c r="Q493" s="10">
        <f>IF(K493=0,IF(A490=A493,AVERAGE(O490:O493),"x"),0)</f>
        <v>0</v>
      </c>
      <c r="R493" s="9">
        <f>IF(L493&gt;2005,AVERAGE(O490:O509),0)</f>
        <v>0</v>
      </c>
      <c r="S493" s="10">
        <f>IF(A493=A494,(N493-N494)/N494,0)</f>
        <v>0</v>
      </c>
      <c r="T493" s="10">
        <f>IF(L493&gt;2005,(((N493-N513)/N513)+1)^(1/5)-1,0)</f>
        <v>0</v>
      </c>
      <c r="U493" s="10">
        <f t="shared" si="14"/>
        <v>0</v>
      </c>
      <c r="V493" s="26">
        <f t="shared" si="15"/>
        <v>0</v>
      </c>
      <c r="W493" s="3">
        <f>IF(A493=A494,N493-N494,0)</f>
        <v>0</v>
      </c>
      <c r="X493" s="10">
        <f>IF(A493=A494,(N493-N494)/N494,0)</f>
        <v>0</v>
      </c>
    </row>
    <row r="494" spans="1:24" ht="16.5" customHeight="1">
      <c r="A494" s="3" t="s">
        <v>29</v>
      </c>
      <c r="B494" s="3">
        <f t="shared" si="8"/>
        <v>2014</v>
      </c>
      <c r="C494" s="3">
        <f t="shared" si="9"/>
        <v>9</v>
      </c>
      <c r="D494" s="20" t="str">
        <f t="shared" si="10"/>
        <v>SWK20149</v>
      </c>
      <c r="E494" s="2">
        <v>41885</v>
      </c>
      <c r="F494" s="3">
        <v>0.52</v>
      </c>
      <c r="G494" s="2">
        <v>41898</v>
      </c>
      <c r="H494" s="3">
        <v>2.2100000000000002E-2</v>
      </c>
      <c r="I494" s="3">
        <v>0.04</v>
      </c>
      <c r="J494" s="3">
        <v>0.02</v>
      </c>
      <c r="K494" s="3">
        <f t="shared" si="11"/>
        <v>2014</v>
      </c>
      <c r="L494" s="3">
        <f t="shared" si="12"/>
        <v>0</v>
      </c>
      <c r="M494" s="20" t="str">
        <f>A494&amp;L494</f>
        <v>SWK0</v>
      </c>
      <c r="N494" s="3">
        <f>F494</f>
        <v>0.52</v>
      </c>
      <c r="O494" s="9">
        <f>H494</f>
        <v>2.2100000000000002E-2</v>
      </c>
      <c r="P494" s="10">
        <f t="shared" si="13"/>
        <v>2.3450000000000002E-2</v>
      </c>
      <c r="Q494" s="10">
        <f>IF(K494=0,IF(A491=A494,AVERAGE(O491:O494),"x"),0)</f>
        <v>0</v>
      </c>
      <c r="R494" s="9">
        <f>IF(L494&gt;2005,AVERAGE(O491:O510),0)</f>
        <v>0</v>
      </c>
      <c r="S494" s="10">
        <f>IF(A494=A495,(N494-N495)/N495,0)</f>
        <v>4.0000000000000036E-2</v>
      </c>
      <c r="T494" s="10">
        <f>IF(L494&gt;2005,(((N494-N514)/N514)+1)^(1/5)-1,0)</f>
        <v>0</v>
      </c>
      <c r="U494" s="10">
        <f t="shared" si="14"/>
        <v>0</v>
      </c>
      <c r="V494" s="26">
        <f t="shared" si="15"/>
        <v>0</v>
      </c>
      <c r="W494" s="3">
        <f>IF(A494=A495,N494-N495,0)</f>
        <v>2.0000000000000018E-2</v>
      </c>
      <c r="X494" s="10">
        <f>IF(A494=A495,(N494-N495)/N495,0)</f>
        <v>4.0000000000000036E-2</v>
      </c>
    </row>
    <row r="495" spans="1:24" ht="16.5" customHeight="1">
      <c r="A495" s="3" t="s">
        <v>29</v>
      </c>
      <c r="B495" s="3">
        <f t="shared" si="8"/>
        <v>2014</v>
      </c>
      <c r="C495" s="3">
        <f t="shared" si="9"/>
        <v>6</v>
      </c>
      <c r="D495" s="20" t="str">
        <f t="shared" si="10"/>
        <v>SWK20146</v>
      </c>
      <c r="E495" s="2">
        <v>41792</v>
      </c>
      <c r="F495" s="3">
        <v>0.5</v>
      </c>
      <c r="G495" s="2">
        <v>41807</v>
      </c>
      <c r="H495" s="3">
        <v>2.29E-2</v>
      </c>
      <c r="I495" s="3">
        <v>0</v>
      </c>
      <c r="J495" s="3">
        <v>0</v>
      </c>
      <c r="K495" s="3">
        <f t="shared" si="11"/>
        <v>2014</v>
      </c>
      <c r="L495" s="3">
        <f t="shared" si="12"/>
        <v>0</v>
      </c>
      <c r="M495" s="20" t="str">
        <f>A495&amp;L495</f>
        <v>SWK0</v>
      </c>
      <c r="N495" s="3">
        <f>F495</f>
        <v>0.5</v>
      </c>
      <c r="O495" s="9">
        <f>H495</f>
        <v>2.29E-2</v>
      </c>
      <c r="P495" s="10">
        <f t="shared" si="13"/>
        <v>0</v>
      </c>
      <c r="Q495" s="10">
        <f>IF(K495=0,IF(A492=A495,AVERAGE(O492:O495),"x"),0)</f>
        <v>0</v>
      </c>
      <c r="R495" s="9">
        <f>IF(L495&gt;2005,AVERAGE(O492:O511),0)</f>
        <v>0</v>
      </c>
      <c r="S495" s="10">
        <f>IF(A495=A496,(N495-N496)/N496,0)</f>
        <v>0</v>
      </c>
      <c r="T495" s="10">
        <f>IF(L495&gt;2005,(((N495-N515)/N515)+1)^(1/5)-1,0)</f>
        <v>0</v>
      </c>
      <c r="U495" s="10">
        <f t="shared" si="14"/>
        <v>0</v>
      </c>
      <c r="V495" s="26">
        <f t="shared" si="15"/>
        <v>0</v>
      </c>
      <c r="W495" s="3">
        <f>IF(A495=A496,N495-N496,0)</f>
        <v>0</v>
      </c>
      <c r="X495" s="10">
        <f>IF(A495=A496,(N495-N496)/N496,0)</f>
        <v>0</v>
      </c>
    </row>
    <row r="496" spans="1:24" ht="16.5" customHeight="1">
      <c r="A496" s="3" t="s">
        <v>29</v>
      </c>
      <c r="B496" s="3">
        <f t="shared" si="8"/>
        <v>2014</v>
      </c>
      <c r="C496" s="3">
        <f t="shared" si="9"/>
        <v>3</v>
      </c>
      <c r="D496" s="20" t="str">
        <f t="shared" si="10"/>
        <v>SWK20143</v>
      </c>
      <c r="E496" s="2">
        <v>41701</v>
      </c>
      <c r="F496" s="3">
        <v>0.5</v>
      </c>
      <c r="G496" s="2">
        <v>41716</v>
      </c>
      <c r="H496" s="3">
        <v>2.4E-2</v>
      </c>
      <c r="I496" s="3">
        <v>0</v>
      </c>
      <c r="J496" s="3">
        <v>0</v>
      </c>
      <c r="K496" s="3">
        <f t="shared" si="11"/>
        <v>0</v>
      </c>
      <c r="L496" s="3">
        <f t="shared" si="12"/>
        <v>2014</v>
      </c>
      <c r="M496" s="20" t="str">
        <f>A496&amp;L496</f>
        <v>SWK2014</v>
      </c>
      <c r="N496" s="3">
        <f>F496</f>
        <v>0.5</v>
      </c>
      <c r="O496" s="9">
        <f>H496</f>
        <v>2.4E-2</v>
      </c>
      <c r="P496" s="10">
        <f t="shared" si="13"/>
        <v>0</v>
      </c>
      <c r="Q496" s="10">
        <f>IF(K496=0,IF(A493=A496,AVERAGE(O493:O496),"x"),0)</f>
        <v>2.2650000000000003E-2</v>
      </c>
      <c r="R496" s="9">
        <f>IF(L496&gt;2005,AVERAGE(O493:O512),0)</f>
        <v>2.3490000000000004E-2</v>
      </c>
      <c r="S496" s="10">
        <f>IF(A496=A497,(N496-N497)/N497,0)</f>
        <v>0</v>
      </c>
      <c r="T496" s="10">
        <f>IF(L496&gt;2005,(((N496-N516)/N516)+1)^(1/5)-1,0)</f>
        <v>9.3362073943278112E-2</v>
      </c>
      <c r="U496" s="10">
        <f t="shared" si="14"/>
        <v>0.11685207394327812</v>
      </c>
      <c r="V496" s="26">
        <f t="shared" si="15"/>
        <v>4.693223858023857</v>
      </c>
      <c r="W496" s="3">
        <f>IF(A496=A497,N496-N497,0)</f>
        <v>0</v>
      </c>
      <c r="X496" s="10">
        <f>IF(A496=A497,(N496-N497)/N497,0)</f>
        <v>0</v>
      </c>
    </row>
    <row r="497" spans="1:24" ht="16.5" customHeight="1">
      <c r="A497" s="3" t="s">
        <v>29</v>
      </c>
      <c r="B497" s="3">
        <f t="shared" si="8"/>
        <v>2013</v>
      </c>
      <c r="C497" s="3">
        <f t="shared" si="9"/>
        <v>12</v>
      </c>
      <c r="D497" s="20" t="str">
        <f t="shared" si="10"/>
        <v>SWK201312</v>
      </c>
      <c r="E497" s="2">
        <v>41612</v>
      </c>
      <c r="F497" s="3">
        <v>0.5</v>
      </c>
      <c r="G497" s="2">
        <v>41618</v>
      </c>
      <c r="H497" s="3">
        <v>2.4799999999999999E-2</v>
      </c>
      <c r="I497" s="3">
        <v>0</v>
      </c>
      <c r="J497" s="3">
        <v>0</v>
      </c>
      <c r="K497" s="3">
        <f t="shared" si="11"/>
        <v>2013</v>
      </c>
      <c r="L497" s="3">
        <f t="shared" si="12"/>
        <v>0</v>
      </c>
      <c r="M497" s="20" t="str">
        <f>A497&amp;L497</f>
        <v>SWK0</v>
      </c>
      <c r="N497" s="3">
        <f>F497</f>
        <v>0.5</v>
      </c>
      <c r="O497" s="9">
        <f>H497</f>
        <v>2.4799999999999999E-2</v>
      </c>
      <c r="P497" s="10">
        <f t="shared" si="13"/>
        <v>0</v>
      </c>
      <c r="Q497" s="10">
        <f>IF(K497=0,IF(A494=A497,AVERAGE(O494:O497),"x"),0)</f>
        <v>0</v>
      </c>
      <c r="R497" s="9">
        <f>IF(L497&gt;2005,AVERAGE(O494:O513),0)</f>
        <v>0</v>
      </c>
      <c r="S497" s="10">
        <f>IF(A497=A498,(N497-N498)/N498,0)</f>
        <v>0</v>
      </c>
      <c r="T497" s="10">
        <f>IF(L497&gt;2005,(((N497-N517)/N517)+1)^(1/5)-1,0)</f>
        <v>0</v>
      </c>
      <c r="U497" s="10">
        <f t="shared" si="14"/>
        <v>0</v>
      </c>
      <c r="V497" s="26">
        <f t="shared" si="15"/>
        <v>0</v>
      </c>
      <c r="W497" s="3">
        <f>IF(A497=A498,N497-N498,0)</f>
        <v>0</v>
      </c>
      <c r="X497" s="10">
        <f>IF(A497=A498,(N497-N498)/N498,0)</f>
        <v>0</v>
      </c>
    </row>
    <row r="498" spans="1:24" ht="16.5" customHeight="1">
      <c r="A498" s="3" t="s">
        <v>29</v>
      </c>
      <c r="B498" s="3">
        <f t="shared" si="8"/>
        <v>2013</v>
      </c>
      <c r="C498" s="3">
        <f t="shared" si="9"/>
        <v>9</v>
      </c>
      <c r="D498" s="20" t="str">
        <f t="shared" si="10"/>
        <v>SWK20139</v>
      </c>
      <c r="E498" s="2">
        <v>41521</v>
      </c>
      <c r="F498" s="3">
        <v>0.5</v>
      </c>
      <c r="G498" s="2">
        <v>41534</v>
      </c>
      <c r="H498" s="3">
        <v>2.2800000000000001E-2</v>
      </c>
      <c r="I498" s="3">
        <v>2.0408163E-2</v>
      </c>
      <c r="J498" s="3">
        <v>0.01</v>
      </c>
      <c r="K498" s="3">
        <f t="shared" si="11"/>
        <v>2013</v>
      </c>
      <c r="L498" s="3">
        <f t="shared" si="12"/>
        <v>0</v>
      </c>
      <c r="M498" s="20" t="str">
        <f>A498&amp;L498</f>
        <v>SWK0</v>
      </c>
      <c r="N498" s="3">
        <f>F498</f>
        <v>0.5</v>
      </c>
      <c r="O498" s="9">
        <f>H498</f>
        <v>2.2800000000000001E-2</v>
      </c>
      <c r="P498" s="10">
        <f t="shared" si="13"/>
        <v>2.4275000000000001E-2</v>
      </c>
      <c r="Q498" s="10">
        <f>IF(K498=0,IF(A495=A498,AVERAGE(O495:O498),"x"),0)</f>
        <v>0</v>
      </c>
      <c r="R498" s="9">
        <f>IF(L498&gt;2005,AVERAGE(O495:O514),0)</f>
        <v>0</v>
      </c>
      <c r="S498" s="10">
        <f>IF(A498=A499,(N498-N499)/N499,0)</f>
        <v>2.0408163265306142E-2</v>
      </c>
      <c r="T498" s="10">
        <f>IF(L498&gt;2005,(((N498-N518)/N518)+1)^(1/5)-1,0)</f>
        <v>0</v>
      </c>
      <c r="U498" s="10">
        <f t="shared" si="14"/>
        <v>0</v>
      </c>
      <c r="V498" s="26">
        <f t="shared" si="15"/>
        <v>0</v>
      </c>
      <c r="W498" s="3">
        <f>IF(A498=A499,N498-N499,0)</f>
        <v>1.0000000000000009E-2</v>
      </c>
      <c r="X498" s="10">
        <f>IF(A498=A499,(N498-N499)/N499,0)</f>
        <v>2.0408163265306142E-2</v>
      </c>
    </row>
    <row r="499" spans="1:24" ht="16.5" customHeight="1">
      <c r="A499" s="3" t="s">
        <v>29</v>
      </c>
      <c r="B499" s="3">
        <f t="shared" si="8"/>
        <v>2013</v>
      </c>
      <c r="C499" s="3">
        <f t="shared" si="9"/>
        <v>6</v>
      </c>
      <c r="D499" s="20" t="str">
        <f t="shared" si="10"/>
        <v>SWK20136</v>
      </c>
      <c r="E499" s="2">
        <v>41428</v>
      </c>
      <c r="F499" s="3">
        <v>0.49</v>
      </c>
      <c r="G499" s="2">
        <v>41443</v>
      </c>
      <c r="H499" s="3">
        <v>2.47E-2</v>
      </c>
      <c r="I499" s="3">
        <v>0</v>
      </c>
      <c r="J499" s="3">
        <v>0</v>
      </c>
      <c r="K499" s="3">
        <f t="shared" si="11"/>
        <v>2013</v>
      </c>
      <c r="L499" s="3">
        <f t="shared" si="12"/>
        <v>0</v>
      </c>
      <c r="M499" s="20" t="str">
        <f>A499&amp;L499</f>
        <v>SWK0</v>
      </c>
      <c r="N499" s="3">
        <f>F499</f>
        <v>0.49</v>
      </c>
      <c r="O499" s="9">
        <f>H499</f>
        <v>2.47E-2</v>
      </c>
      <c r="P499" s="10">
        <f t="shared" si="13"/>
        <v>0</v>
      </c>
      <c r="Q499" s="10">
        <f>IF(K499=0,IF(A496=A499,AVERAGE(O496:O499),"x"),0)</f>
        <v>0</v>
      </c>
      <c r="R499" s="9">
        <f>IF(L499&gt;2005,AVERAGE(O496:O515),0)</f>
        <v>0</v>
      </c>
      <c r="S499" s="10">
        <f>IF(A499=A500,(N499-N500)/N500,0)</f>
        <v>0</v>
      </c>
      <c r="T499" s="10">
        <f>IF(L499&gt;2005,(((N499-N519)/N519)+1)^(1/5)-1,0)</f>
        <v>0</v>
      </c>
      <c r="U499" s="10">
        <f t="shared" si="14"/>
        <v>0</v>
      </c>
      <c r="V499" s="26">
        <f t="shared" si="15"/>
        <v>0</v>
      </c>
      <c r="W499" s="3">
        <f>IF(A499=A500,N499-N500,0)</f>
        <v>0</v>
      </c>
      <c r="X499" s="10">
        <f>IF(A499=A500,(N499-N500)/N500,0)</f>
        <v>0</v>
      </c>
    </row>
    <row r="500" spans="1:24" ht="16.5" customHeight="1">
      <c r="A500" s="3" t="s">
        <v>29</v>
      </c>
      <c r="B500" s="3">
        <f t="shared" si="8"/>
        <v>2013</v>
      </c>
      <c r="C500" s="3">
        <f t="shared" si="9"/>
        <v>3</v>
      </c>
      <c r="D500" s="20" t="str">
        <f t="shared" si="10"/>
        <v>SWK20133</v>
      </c>
      <c r="E500" s="2">
        <v>41340</v>
      </c>
      <c r="F500" s="3">
        <v>0.49</v>
      </c>
      <c r="G500" s="2">
        <v>41352</v>
      </c>
      <c r="H500" s="3">
        <v>2.3900000000000001E-2</v>
      </c>
      <c r="I500" s="3">
        <v>0</v>
      </c>
      <c r="J500" s="3">
        <v>0</v>
      </c>
      <c r="K500" s="3">
        <f t="shared" si="11"/>
        <v>0</v>
      </c>
      <c r="L500" s="3">
        <f t="shared" si="12"/>
        <v>2013</v>
      </c>
      <c r="M500" s="20" t="str">
        <f>A500&amp;L500</f>
        <v>SWK2013</v>
      </c>
      <c r="N500" s="3">
        <f>F500</f>
        <v>0.49</v>
      </c>
      <c r="O500" s="9">
        <f>H500</f>
        <v>2.3900000000000001E-2</v>
      </c>
      <c r="P500" s="10">
        <f t="shared" si="13"/>
        <v>0</v>
      </c>
      <c r="Q500" s="10">
        <f>IF(K500=0,IF(A497=A500,AVERAGE(O497:O500),"x"),0)</f>
        <v>2.4050000000000002E-2</v>
      </c>
      <c r="R500" s="9">
        <f>IF(L500&gt;2005,AVERAGE(O497:O516),0)</f>
        <v>2.6075000000000004E-2</v>
      </c>
      <c r="S500" s="10">
        <f>IF(A500=A501,(N500-N501)/N501,0)</f>
        <v>0</v>
      </c>
      <c r="T500" s="10">
        <f>IF(L500&gt;2005,(((N500-N520)/N520)+1)^(1/5)-1,0)</f>
        <v>9.5889781040844779E-2</v>
      </c>
      <c r="U500" s="10">
        <f t="shared" si="14"/>
        <v>0.12196478104084478</v>
      </c>
      <c r="V500" s="26">
        <f t="shared" si="15"/>
        <v>4.6620086528045341</v>
      </c>
      <c r="W500" s="3">
        <f>IF(A500=A501,N500-N501,0)</f>
        <v>0</v>
      </c>
      <c r="X500" s="10">
        <f>IF(A500=A501,(N500-N501)/N501,0)</f>
        <v>0</v>
      </c>
    </row>
    <row r="501" spans="1:24" ht="16.5" customHeight="1">
      <c r="A501" s="3" t="s">
        <v>29</v>
      </c>
      <c r="B501" s="3">
        <f t="shared" si="8"/>
        <v>2012</v>
      </c>
      <c r="C501" s="3">
        <f t="shared" si="9"/>
        <v>12</v>
      </c>
      <c r="D501" s="20" t="str">
        <f t="shared" si="10"/>
        <v>SWK201212</v>
      </c>
      <c r="E501" s="2">
        <v>41248</v>
      </c>
      <c r="F501" s="3">
        <v>0.49</v>
      </c>
      <c r="G501" s="2">
        <v>41254</v>
      </c>
      <c r="H501" s="3">
        <v>2.5700000000000001E-2</v>
      </c>
      <c r="I501" s="3">
        <v>0</v>
      </c>
      <c r="J501" s="3">
        <v>0</v>
      </c>
      <c r="K501" s="3">
        <f t="shared" si="11"/>
        <v>2012</v>
      </c>
      <c r="L501" s="3">
        <f t="shared" si="12"/>
        <v>0</v>
      </c>
      <c r="M501" s="20" t="str">
        <f>A501&amp;L501</f>
        <v>SWK0</v>
      </c>
      <c r="N501" s="3">
        <f>F501</f>
        <v>0.49</v>
      </c>
      <c r="O501" s="9">
        <f>H501</f>
        <v>2.5700000000000001E-2</v>
      </c>
      <c r="P501" s="10">
        <f t="shared" si="13"/>
        <v>0</v>
      </c>
      <c r="Q501" s="10">
        <f>IF(K501=0,IF(A498=A501,AVERAGE(O498:O501),"x"),0)</f>
        <v>0</v>
      </c>
      <c r="R501" s="9">
        <f>IF(L501&gt;2005,AVERAGE(O498:O517),0)</f>
        <v>0</v>
      </c>
      <c r="S501" s="10">
        <f>IF(A501=A502,(N501-N502)/N502,0)</f>
        <v>0</v>
      </c>
      <c r="T501" s="10">
        <f>IF(L501&gt;2005,(((N501-N521)/N521)+1)^(1/5)-1,0)</f>
        <v>0</v>
      </c>
      <c r="U501" s="10">
        <f t="shared" si="14"/>
        <v>0</v>
      </c>
      <c r="V501" s="26">
        <f t="shared" si="15"/>
        <v>0</v>
      </c>
      <c r="W501" s="3">
        <f>IF(A501=A502,N501-N502,0)</f>
        <v>0</v>
      </c>
      <c r="X501" s="10">
        <f>IF(A501=A502,(N501-N502)/N502,0)</f>
        <v>0</v>
      </c>
    </row>
    <row r="502" spans="1:24" ht="16.5" customHeight="1">
      <c r="A502" s="3" t="s">
        <v>29</v>
      </c>
      <c r="B502" s="3">
        <f t="shared" si="8"/>
        <v>2012</v>
      </c>
      <c r="C502" s="3">
        <f t="shared" si="9"/>
        <v>9</v>
      </c>
      <c r="D502" s="20" t="str">
        <f t="shared" si="10"/>
        <v>SWK20129</v>
      </c>
      <c r="E502" s="2">
        <v>41157</v>
      </c>
      <c r="F502" s="3">
        <v>0.49</v>
      </c>
      <c r="G502" s="2">
        <v>41170</v>
      </c>
      <c r="H502" s="3">
        <v>2.6100000000000002E-2</v>
      </c>
      <c r="I502" s="3">
        <v>0.19512195099999999</v>
      </c>
      <c r="J502" s="3">
        <v>0.08</v>
      </c>
      <c r="K502" s="3">
        <f t="shared" si="11"/>
        <v>2012</v>
      </c>
      <c r="L502" s="3">
        <f t="shared" si="12"/>
        <v>0</v>
      </c>
      <c r="M502" s="20" t="str">
        <f>A502&amp;L502</f>
        <v>SWK0</v>
      </c>
      <c r="N502" s="3">
        <f>F502</f>
        <v>0.49</v>
      </c>
      <c r="O502" s="9">
        <f>H502</f>
        <v>2.6100000000000002E-2</v>
      </c>
      <c r="P502" s="10">
        <f t="shared" si="13"/>
        <v>2.4875000000000001E-2</v>
      </c>
      <c r="Q502" s="10">
        <f>IF(K502=0,IF(A499=A502,AVERAGE(O499:O502),"x"),0)</f>
        <v>0</v>
      </c>
      <c r="R502" s="9">
        <f>IF(L502&gt;2005,AVERAGE(O499:O518),0)</f>
        <v>0</v>
      </c>
      <c r="S502" s="10">
        <f>IF(A502=A503,(N502-N503)/N503,0)</f>
        <v>0.19512195121951226</v>
      </c>
      <c r="T502" s="10">
        <f>IF(L502&gt;2005,(((N502-N522)/N522)+1)^(1/5)-1,0)</f>
        <v>0</v>
      </c>
      <c r="U502" s="10">
        <f t="shared" si="14"/>
        <v>0</v>
      </c>
      <c r="V502" s="26">
        <f t="shared" si="15"/>
        <v>0</v>
      </c>
      <c r="W502" s="3">
        <f>IF(A502=A503,N502-N503,0)</f>
        <v>8.0000000000000016E-2</v>
      </c>
      <c r="X502" s="10">
        <f>IF(A502=A503,(N502-N503)/N503,0)</f>
        <v>0.19512195121951226</v>
      </c>
    </row>
    <row r="503" spans="1:24" ht="16.5" customHeight="1">
      <c r="A503" s="3" t="s">
        <v>29</v>
      </c>
      <c r="B503" s="3">
        <f t="shared" si="8"/>
        <v>2012</v>
      </c>
      <c r="C503" s="3">
        <f t="shared" si="9"/>
        <v>6</v>
      </c>
      <c r="D503" s="20" t="str">
        <f t="shared" si="10"/>
        <v>SWK20126</v>
      </c>
      <c r="E503" s="2">
        <v>41064</v>
      </c>
      <c r="F503" s="3">
        <v>0.41</v>
      </c>
      <c r="G503" s="2">
        <v>41079</v>
      </c>
      <c r="H503" s="3">
        <v>2.58E-2</v>
      </c>
      <c r="I503" s="3">
        <v>0</v>
      </c>
      <c r="J503" s="3">
        <v>0</v>
      </c>
      <c r="K503" s="3">
        <f t="shared" si="11"/>
        <v>2012</v>
      </c>
      <c r="L503" s="3">
        <f t="shared" si="12"/>
        <v>0</v>
      </c>
      <c r="M503" s="20" t="str">
        <f>A503&amp;L503</f>
        <v>SWK0</v>
      </c>
      <c r="N503" s="3">
        <f>F503</f>
        <v>0.41</v>
      </c>
      <c r="O503" s="9">
        <f>H503</f>
        <v>2.58E-2</v>
      </c>
      <c r="P503" s="10">
        <f t="shared" si="13"/>
        <v>0</v>
      </c>
      <c r="Q503" s="10">
        <f>IF(K503=0,IF(A500=A503,AVERAGE(O500:O503),"x"),0)</f>
        <v>0</v>
      </c>
      <c r="R503" s="9">
        <f>IF(L503&gt;2005,AVERAGE(O500:O519),0)</f>
        <v>0</v>
      </c>
      <c r="S503" s="10">
        <f>IF(A503=A504,(N503-N504)/N504,0)</f>
        <v>0</v>
      </c>
      <c r="T503" s="10">
        <f>IF(L503&gt;2005,(((N503-N523)/N523)+1)^(1/5)-1,0)</f>
        <v>0</v>
      </c>
      <c r="U503" s="10">
        <f t="shared" si="14"/>
        <v>0</v>
      </c>
      <c r="V503" s="26">
        <f t="shared" si="15"/>
        <v>0</v>
      </c>
      <c r="W503" s="3">
        <f>IF(A503=A504,N503-N504,0)</f>
        <v>0</v>
      </c>
      <c r="X503" s="10">
        <f>IF(A503=A504,(N503-N504)/N504,0)</f>
        <v>0</v>
      </c>
    </row>
    <row r="504" spans="1:24" ht="16.5" customHeight="1">
      <c r="A504" s="3" t="s">
        <v>29</v>
      </c>
      <c r="B504" s="3">
        <f t="shared" si="8"/>
        <v>2012</v>
      </c>
      <c r="C504" s="3">
        <f t="shared" si="9"/>
        <v>3</v>
      </c>
      <c r="D504" s="20" t="str">
        <f t="shared" si="10"/>
        <v>SWK20123</v>
      </c>
      <c r="E504" s="2">
        <v>40973</v>
      </c>
      <c r="F504" s="3">
        <v>0.41</v>
      </c>
      <c r="G504" s="2">
        <v>40988</v>
      </c>
      <c r="H504" s="3">
        <v>2.1600000000000001E-2</v>
      </c>
      <c r="I504" s="3">
        <v>0</v>
      </c>
      <c r="J504" s="3">
        <v>0</v>
      </c>
      <c r="K504" s="3">
        <f t="shared" si="11"/>
        <v>0</v>
      </c>
      <c r="L504" s="3">
        <f t="shared" si="12"/>
        <v>2012</v>
      </c>
      <c r="M504" s="20" t="str">
        <f>A504&amp;L504</f>
        <v>SWK2012</v>
      </c>
      <c r="N504" s="3">
        <f>F504</f>
        <v>0.41</v>
      </c>
      <c r="O504" s="9">
        <f>H504</f>
        <v>2.1600000000000001E-2</v>
      </c>
      <c r="P504" s="10">
        <f t="shared" si="13"/>
        <v>0</v>
      </c>
      <c r="Q504" s="10">
        <f>IF(K504=0,IF(A501=A504,AVERAGE(O501:O504),"x"),0)</f>
        <v>2.4800000000000003E-2</v>
      </c>
      <c r="R504" s="9">
        <f>IF(L504&gt;2005,AVERAGE(O501:O520),0)</f>
        <v>2.7189999999999999E-2</v>
      </c>
      <c r="S504" s="10">
        <f>IF(A504=A505,(N504-N505)/N505,0)</f>
        <v>0</v>
      </c>
      <c r="T504" s="10">
        <f>IF(L504&gt;2005,(((N504-N524)/N524)+1)^(1/5)-1,0)</f>
        <v>6.4467779836540062E-2</v>
      </c>
      <c r="U504" s="10">
        <f t="shared" si="14"/>
        <v>9.1657779836540054E-2</v>
      </c>
      <c r="V504" s="26">
        <f t="shared" si="15"/>
        <v>4.6385716792606591</v>
      </c>
      <c r="W504" s="3">
        <f>IF(A504=A505,N504-N505,0)</f>
        <v>0</v>
      </c>
      <c r="X504" s="10">
        <f>IF(A504=A505,(N504-N505)/N505,0)</f>
        <v>0</v>
      </c>
    </row>
    <row r="505" spans="1:24" ht="16.5" customHeight="1">
      <c r="A505" s="3" t="s">
        <v>29</v>
      </c>
      <c r="B505" s="3">
        <f t="shared" si="8"/>
        <v>2011</v>
      </c>
      <c r="C505" s="3">
        <f t="shared" si="9"/>
        <v>11</v>
      </c>
      <c r="D505" s="20" t="str">
        <f t="shared" si="10"/>
        <v>SWK201111</v>
      </c>
      <c r="E505" s="2">
        <v>40877</v>
      </c>
      <c r="F505" s="3">
        <v>0.41</v>
      </c>
      <c r="G505" s="2">
        <v>40890</v>
      </c>
      <c r="H505" s="3">
        <v>2.5999999999999999E-2</v>
      </c>
      <c r="I505" s="3">
        <v>0</v>
      </c>
      <c r="J505" s="3">
        <v>0</v>
      </c>
      <c r="K505" s="3">
        <f t="shared" si="11"/>
        <v>2011</v>
      </c>
      <c r="L505" s="3">
        <f t="shared" si="12"/>
        <v>0</v>
      </c>
      <c r="M505" s="20" t="str">
        <f>A505&amp;L505</f>
        <v>SWK0</v>
      </c>
      <c r="N505" s="3">
        <f>F505</f>
        <v>0.41</v>
      </c>
      <c r="O505" s="9">
        <f>H505</f>
        <v>2.5999999999999999E-2</v>
      </c>
      <c r="P505" s="10">
        <f t="shared" si="13"/>
        <v>0</v>
      </c>
      <c r="Q505" s="10">
        <f>IF(K505=0,IF(A502=A505,AVERAGE(O502:O505),"x"),0)</f>
        <v>0</v>
      </c>
      <c r="R505" s="9">
        <f>IF(L505&gt;2005,AVERAGE(O502:O521),0)</f>
        <v>0</v>
      </c>
      <c r="S505" s="10">
        <f>IF(A505=A506,(N505-N506)/N506,0)</f>
        <v>0</v>
      </c>
      <c r="T505" s="10">
        <f>IF(L505&gt;2005,(((N505-N525)/N525)+1)^(1/5)-1,0)</f>
        <v>0</v>
      </c>
      <c r="U505" s="10">
        <f t="shared" si="14"/>
        <v>0</v>
      </c>
      <c r="V505" s="26">
        <f t="shared" si="15"/>
        <v>0</v>
      </c>
      <c r="W505" s="3">
        <f>IF(A505=A506,N505-N506,0)</f>
        <v>0</v>
      </c>
      <c r="X505" s="10">
        <f>IF(A505=A506,(N505-N506)/N506,0)</f>
        <v>0</v>
      </c>
    </row>
    <row r="506" spans="1:24" ht="16.5" customHeight="1">
      <c r="A506" s="3" t="s">
        <v>29</v>
      </c>
      <c r="B506" s="3">
        <f t="shared" si="8"/>
        <v>2011</v>
      </c>
      <c r="C506" s="3">
        <f t="shared" si="9"/>
        <v>8</v>
      </c>
      <c r="D506" s="20" t="str">
        <f t="shared" si="10"/>
        <v>SWK20118</v>
      </c>
      <c r="E506" s="2">
        <v>40786</v>
      </c>
      <c r="F506" s="3">
        <v>0.41</v>
      </c>
      <c r="G506" s="2">
        <v>40806</v>
      </c>
      <c r="H506" s="3">
        <v>2.53E-2</v>
      </c>
      <c r="I506" s="3">
        <v>0</v>
      </c>
      <c r="J506" s="3">
        <v>0</v>
      </c>
      <c r="K506" s="3">
        <f t="shared" si="11"/>
        <v>2011</v>
      </c>
      <c r="L506" s="3">
        <f t="shared" si="12"/>
        <v>0</v>
      </c>
      <c r="M506" s="20" t="str">
        <f>A506&amp;L506</f>
        <v>SWK0</v>
      </c>
      <c r="N506" s="3">
        <f>F506</f>
        <v>0.41</v>
      </c>
      <c r="O506" s="9">
        <f>H506</f>
        <v>2.53E-2</v>
      </c>
      <c r="P506" s="10">
        <f t="shared" si="13"/>
        <v>0</v>
      </c>
      <c r="Q506" s="10">
        <f>IF(K506=0,IF(A503=A506,AVERAGE(O503:O506),"x"),0)</f>
        <v>0</v>
      </c>
      <c r="R506" s="9">
        <f>IF(L506&gt;2005,AVERAGE(O503:O522),0)</f>
        <v>0</v>
      </c>
      <c r="S506" s="10">
        <f>IF(A506=A507,(N506-N507)/N507,0)</f>
        <v>0</v>
      </c>
      <c r="T506" s="10">
        <f>IF(L506&gt;2005,(((N506-N526)/N526)+1)^(1/5)-1,0)</f>
        <v>0</v>
      </c>
      <c r="U506" s="10">
        <f t="shared" si="14"/>
        <v>0</v>
      </c>
      <c r="V506" s="26">
        <f t="shared" si="15"/>
        <v>0</v>
      </c>
      <c r="W506" s="3">
        <f>IF(A506=A507,N506-N507,0)</f>
        <v>0</v>
      </c>
      <c r="X506" s="10">
        <f>IF(A506=A507,(N506-N507)/N507,0)</f>
        <v>0</v>
      </c>
    </row>
    <row r="507" spans="1:24" ht="16.5" customHeight="1">
      <c r="A507" s="3" t="s">
        <v>29</v>
      </c>
      <c r="B507" s="3">
        <f t="shared" si="8"/>
        <v>2011</v>
      </c>
      <c r="C507" s="3">
        <f t="shared" si="9"/>
        <v>5</v>
      </c>
      <c r="D507" s="20" t="str">
        <f t="shared" si="10"/>
        <v>SWK20115</v>
      </c>
      <c r="E507" s="2">
        <v>40690</v>
      </c>
      <c r="F507" s="3">
        <v>0.41</v>
      </c>
      <c r="G507" s="2">
        <v>40715</v>
      </c>
      <c r="H507" s="3">
        <v>2.0299999999999999E-2</v>
      </c>
      <c r="I507" s="3">
        <v>0</v>
      </c>
      <c r="J507" s="3">
        <v>0</v>
      </c>
      <c r="K507" s="3">
        <f t="shared" si="11"/>
        <v>2011</v>
      </c>
      <c r="L507" s="3">
        <f t="shared" si="12"/>
        <v>0</v>
      </c>
      <c r="M507" s="20" t="str">
        <f>A507&amp;L507</f>
        <v>SWK0</v>
      </c>
      <c r="N507" s="3">
        <f>F507</f>
        <v>0.41</v>
      </c>
      <c r="O507" s="9">
        <f>H507</f>
        <v>2.0299999999999999E-2</v>
      </c>
      <c r="P507" s="10">
        <f t="shared" si="13"/>
        <v>0</v>
      </c>
      <c r="Q507" s="10">
        <f>IF(K507=0,IF(A504=A507,AVERAGE(O504:O507),"x"),0)</f>
        <v>0</v>
      </c>
      <c r="R507" s="9">
        <f>IF(L507&gt;2005,AVERAGE(O504:O523),0)</f>
        <v>0</v>
      </c>
      <c r="S507" s="10">
        <f>IF(A507=A508,(N507-N508)/N508,0)</f>
        <v>0</v>
      </c>
      <c r="T507" s="10">
        <f>IF(L507&gt;2005,(((N507-N527)/N527)+1)^(1/5)-1,0)</f>
        <v>0</v>
      </c>
      <c r="U507" s="10">
        <f t="shared" si="14"/>
        <v>0</v>
      </c>
      <c r="V507" s="26">
        <f t="shared" si="15"/>
        <v>0</v>
      </c>
      <c r="W507" s="3">
        <f>IF(A507=A508,N507-N508,0)</f>
        <v>0</v>
      </c>
      <c r="X507" s="10">
        <f>IF(A507=A508,(N507-N508)/N508,0)</f>
        <v>0</v>
      </c>
    </row>
    <row r="508" spans="1:24" ht="16.5" customHeight="1">
      <c r="A508" s="3" t="s">
        <v>29</v>
      </c>
      <c r="B508" s="3">
        <f t="shared" si="8"/>
        <v>2011</v>
      </c>
      <c r="C508" s="3">
        <f t="shared" si="9"/>
        <v>2</v>
      </c>
      <c r="D508" s="20" t="str">
        <f t="shared" si="10"/>
        <v>SWK20112</v>
      </c>
      <c r="E508" s="2">
        <v>40602</v>
      </c>
      <c r="F508" s="3">
        <v>0.41</v>
      </c>
      <c r="G508" s="2">
        <v>40624</v>
      </c>
      <c r="H508" s="3">
        <v>1.89E-2</v>
      </c>
      <c r="I508" s="3">
        <v>0.20588235299999999</v>
      </c>
      <c r="J508" s="3">
        <v>7.0000000000000007E-2</v>
      </c>
      <c r="K508" s="3">
        <f t="shared" si="11"/>
        <v>0</v>
      </c>
      <c r="L508" s="3">
        <f t="shared" si="12"/>
        <v>2011</v>
      </c>
      <c r="M508" s="20" t="str">
        <f>A508&amp;L508</f>
        <v>SWK2011</v>
      </c>
      <c r="N508" s="3">
        <f>F508</f>
        <v>0.41</v>
      </c>
      <c r="O508" s="9">
        <f>H508</f>
        <v>1.89E-2</v>
      </c>
      <c r="P508" s="10">
        <f t="shared" si="13"/>
        <v>2.2324999999999998E-2</v>
      </c>
      <c r="Q508" s="10">
        <f>IF(K508=0,IF(A505=A508,AVERAGE(O505:O508),"x"),0)</f>
        <v>2.2624999999999999E-2</v>
      </c>
      <c r="R508" s="9">
        <f>IF(L508&gt;2005,AVERAGE(O505:O524),0)</f>
        <v>2.6545000000000003E-2</v>
      </c>
      <c r="S508" s="10">
        <f>IF(A508=A509,(N508-N509)/N509,0)</f>
        <v>0.20588235294117632</v>
      </c>
      <c r="T508" s="10">
        <f>IF(L508&gt;2005,(((N508-N528)/N528)+1)^(1/5)-1,0)</f>
        <v>7.1709725300183047E-2</v>
      </c>
      <c r="U508" s="10">
        <f t="shared" si="14"/>
        <v>9.8254725300183046E-2</v>
      </c>
      <c r="V508" s="26">
        <f t="shared" si="15"/>
        <v>4.648921673371877</v>
      </c>
      <c r="W508" s="3">
        <f>IF(A508=A509,N508-N509,0)</f>
        <v>6.9999999999999951E-2</v>
      </c>
      <c r="X508" s="10">
        <f>IF(A508=A509,(N508-N509)/N509,0)</f>
        <v>0.20588235294117632</v>
      </c>
    </row>
    <row r="509" spans="1:24" ht="16.5" customHeight="1">
      <c r="A509" s="3" t="s">
        <v>29</v>
      </c>
      <c r="B509" s="3">
        <f t="shared" si="8"/>
        <v>2010</v>
      </c>
      <c r="C509" s="3">
        <f t="shared" si="9"/>
        <v>12</v>
      </c>
      <c r="D509" s="20" t="str">
        <f t="shared" si="10"/>
        <v>SWK201012</v>
      </c>
      <c r="E509" s="2">
        <v>40513</v>
      </c>
      <c r="F509" s="3">
        <v>0.34</v>
      </c>
      <c r="G509" s="2">
        <v>40526</v>
      </c>
      <c r="H509" s="3">
        <v>2.2499999999999999E-2</v>
      </c>
      <c r="I509" s="3">
        <v>0</v>
      </c>
      <c r="J509" s="3">
        <v>0</v>
      </c>
      <c r="K509" s="3">
        <f t="shared" si="11"/>
        <v>2010</v>
      </c>
      <c r="L509" s="3">
        <f t="shared" si="12"/>
        <v>0</v>
      </c>
      <c r="M509" s="20" t="str">
        <f>A509&amp;L509</f>
        <v>SWK0</v>
      </c>
      <c r="N509" s="3">
        <f>F509</f>
        <v>0.34</v>
      </c>
      <c r="O509" s="9">
        <f>H509</f>
        <v>2.2499999999999999E-2</v>
      </c>
      <c r="P509" s="10">
        <f t="shared" si="13"/>
        <v>0</v>
      </c>
      <c r="Q509" s="10">
        <f>IF(K509=0,IF(A506=A509,AVERAGE(O506:O509),"x"),0)</f>
        <v>0</v>
      </c>
      <c r="R509" s="9">
        <f>IF(L509&gt;2005,AVERAGE(O506:O525),0)</f>
        <v>0</v>
      </c>
      <c r="S509" s="10">
        <f>IF(A509=A510,(N509-N510)/N510,0)</f>
        <v>0</v>
      </c>
      <c r="T509" s="10">
        <f>IF(L509&gt;2005,(((N509-N529)/N529)+1)^(1/5)-1,0)</f>
        <v>0</v>
      </c>
      <c r="U509" s="10">
        <f t="shared" si="14"/>
        <v>0</v>
      </c>
      <c r="V509" s="26">
        <f t="shared" si="15"/>
        <v>0</v>
      </c>
      <c r="W509" s="3">
        <f>IF(A509=A510,N509-N510,0)</f>
        <v>0</v>
      </c>
      <c r="X509" s="10">
        <f>IF(A509=A510,(N509-N510)/N510,0)</f>
        <v>0</v>
      </c>
    </row>
    <row r="510" spans="1:24" ht="16.5" customHeight="1">
      <c r="A510" s="3" t="s">
        <v>29</v>
      </c>
      <c r="B510" s="3">
        <f t="shared" si="8"/>
        <v>2010</v>
      </c>
      <c r="C510" s="3">
        <f t="shared" si="9"/>
        <v>9</v>
      </c>
      <c r="D510" s="20" t="str">
        <f t="shared" si="10"/>
        <v>SWK20109</v>
      </c>
      <c r="E510" s="2">
        <v>40422</v>
      </c>
      <c r="F510" s="3">
        <v>0.34</v>
      </c>
      <c r="G510" s="2">
        <v>40442</v>
      </c>
      <c r="H510" s="3">
        <v>2.4799999999999999E-2</v>
      </c>
      <c r="I510" s="3">
        <v>3.0303030000000002E-2</v>
      </c>
      <c r="J510" s="3">
        <v>0.01</v>
      </c>
      <c r="K510" s="3">
        <f t="shared" si="11"/>
        <v>2010</v>
      </c>
      <c r="L510" s="3">
        <f t="shared" si="12"/>
        <v>0</v>
      </c>
      <c r="M510" s="20" t="str">
        <f>A510&amp;L510</f>
        <v>SWK0</v>
      </c>
      <c r="N510" s="3">
        <f>F510</f>
        <v>0.34</v>
      </c>
      <c r="O510" s="9">
        <f>H510</f>
        <v>2.4799999999999999E-2</v>
      </c>
      <c r="P510" s="10">
        <f t="shared" si="13"/>
        <v>2.4324999999999999E-2</v>
      </c>
      <c r="Q510" s="10">
        <f>IF(K510=0,IF(A507=A510,AVERAGE(O507:O510),"x"),0)</f>
        <v>0</v>
      </c>
      <c r="R510" s="9">
        <f>IF(L510&gt;2005,AVERAGE(O507:O526),0)</f>
        <v>0</v>
      </c>
      <c r="S510" s="10">
        <f>IF(A510=A511,(N510-N511)/N511,0)</f>
        <v>3.0303030303030328E-2</v>
      </c>
      <c r="T510" s="10">
        <f>IF(L510&gt;2005,(((N510-N530)/N530)+1)^(1/5)-1,0)</f>
        <v>0</v>
      </c>
      <c r="U510" s="10">
        <f t="shared" si="14"/>
        <v>0</v>
      </c>
      <c r="V510" s="26">
        <f t="shared" si="15"/>
        <v>0</v>
      </c>
      <c r="W510" s="3">
        <f>IF(A510=A511,N510-N511,0)</f>
        <v>1.0000000000000009E-2</v>
      </c>
      <c r="X510" s="10">
        <f>IF(A510=A511,(N510-N511)/N511,0)</f>
        <v>3.0303030303030328E-2</v>
      </c>
    </row>
    <row r="511" spans="1:24" ht="16.5" customHeight="1">
      <c r="A511" s="3" t="s">
        <v>29</v>
      </c>
      <c r="B511" s="3">
        <f t="shared" si="8"/>
        <v>2010</v>
      </c>
      <c r="C511" s="3">
        <f t="shared" si="9"/>
        <v>5</v>
      </c>
      <c r="D511" s="20" t="str">
        <f t="shared" si="10"/>
        <v>SWK20105</v>
      </c>
      <c r="E511" s="2">
        <v>40326</v>
      </c>
      <c r="F511" s="3">
        <v>0.33</v>
      </c>
      <c r="G511" s="2">
        <v>40351</v>
      </c>
      <c r="H511" s="3">
        <v>2.3099999999999999E-2</v>
      </c>
      <c r="I511" s="3">
        <v>0</v>
      </c>
      <c r="J511" s="3">
        <v>0</v>
      </c>
      <c r="K511" s="3">
        <f t="shared" si="11"/>
        <v>2010</v>
      </c>
      <c r="L511" s="3">
        <f t="shared" si="12"/>
        <v>0</v>
      </c>
      <c r="M511" s="20" t="str">
        <f>A511&amp;L511</f>
        <v>SWK0</v>
      </c>
      <c r="N511" s="3">
        <f>F511</f>
        <v>0.33</v>
      </c>
      <c r="O511" s="9">
        <f>H511</f>
        <v>2.3099999999999999E-2</v>
      </c>
      <c r="P511" s="10">
        <f t="shared" si="13"/>
        <v>0</v>
      </c>
      <c r="Q511" s="10">
        <f>IF(K511=0,IF(A508=A511,AVERAGE(O508:O511),"x"),0)</f>
        <v>0</v>
      </c>
      <c r="R511" s="9">
        <f>IF(L511&gt;2005,AVERAGE(O508:O527),0)</f>
        <v>0</v>
      </c>
      <c r="S511" s="10">
        <f>IF(A511=A512,(N511-N512)/N512,0)</f>
        <v>0</v>
      </c>
      <c r="T511" s="10">
        <f>IF(L511&gt;2005,(((N511-N531)/N531)+1)^(1/5)-1,0)</f>
        <v>0</v>
      </c>
      <c r="U511" s="10">
        <f t="shared" si="14"/>
        <v>0</v>
      </c>
      <c r="V511" s="26">
        <f t="shared" si="15"/>
        <v>0</v>
      </c>
      <c r="W511" s="3">
        <f>IF(A511=A512,N511-N512,0)</f>
        <v>0</v>
      </c>
      <c r="X511" s="10">
        <f>IF(A511=A512,(N511-N512)/N512,0)</f>
        <v>0</v>
      </c>
    </row>
    <row r="512" spans="1:24" ht="16.5" customHeight="1">
      <c r="A512" s="3" t="s">
        <v>29</v>
      </c>
      <c r="B512" s="3">
        <f t="shared" ref="B512:B766" si="16">YEAR(E512)</f>
        <v>2010</v>
      </c>
      <c r="C512" s="3">
        <f t="shared" ref="C512:C766" si="17">MONTH(E512)</f>
        <v>3</v>
      </c>
      <c r="D512" s="20" t="str">
        <f t="shared" ref="D512:D766" si="18">A512&amp;B512&amp;C512</f>
        <v>SWK20103</v>
      </c>
      <c r="E512" s="2">
        <v>40238</v>
      </c>
      <c r="F512" s="3">
        <v>0.33</v>
      </c>
      <c r="G512" s="2">
        <v>40260</v>
      </c>
      <c r="H512" s="3">
        <v>2.29E-2</v>
      </c>
      <c r="I512" s="3">
        <v>0</v>
      </c>
      <c r="J512" s="3">
        <v>0</v>
      </c>
      <c r="K512" s="3">
        <f t="shared" ref="K512:K766" si="19">IF(YEAR(E512)=YEAR(E513),YEAR(E512),0)</f>
        <v>0</v>
      </c>
      <c r="L512" s="3">
        <f t="shared" ref="L512:L766" si="20">IF(K512=0,K511,0)</f>
        <v>2010</v>
      </c>
      <c r="M512" s="20" t="str">
        <f>A512&amp;L512</f>
        <v>SWK2010</v>
      </c>
      <c r="N512" s="3">
        <f>F512</f>
        <v>0.33</v>
      </c>
      <c r="O512" s="9">
        <f>H512</f>
        <v>2.29E-2</v>
      </c>
      <c r="P512" s="10">
        <f t="shared" ref="P512:P766" si="21">IF(S512&gt;0,SUM(O512:O515)/4,0)</f>
        <v>0</v>
      </c>
      <c r="Q512" s="10">
        <f>IF(K512=0,IF(A509=A512,AVERAGE(O509:O512),"x"),0)</f>
        <v>2.3324999999999999E-2</v>
      </c>
      <c r="R512" s="9">
        <f>IF(L512&gt;2005,AVERAGE(O509:O528),0)</f>
        <v>2.6669999999999999E-2</v>
      </c>
      <c r="S512" s="10">
        <f>IF(A512=A513,(N512-N513)/N513,0)</f>
        <v>0</v>
      </c>
      <c r="T512" s="10">
        <f>IF(L512&gt;2005,(((N512-N532)/N532)+1)^(1/5)-1,0)</f>
        <v>3.3406482938779236E-2</v>
      </c>
      <c r="U512" s="10">
        <f t="shared" si="14"/>
        <v>6.0076482938779235E-2</v>
      </c>
      <c r="V512" s="26">
        <f t="shared" si="15"/>
        <v>4.6350441645888631</v>
      </c>
      <c r="W512" s="3">
        <f>IF(A512=A513,N512-N513,0)</f>
        <v>0</v>
      </c>
      <c r="X512" s="10">
        <f>IF(A512=A513,(N512-N513)/N513,0)</f>
        <v>0</v>
      </c>
    </row>
    <row r="513" spans="1:24" ht="16.5" customHeight="1">
      <c r="A513" s="3" t="s">
        <v>29</v>
      </c>
      <c r="B513" s="3">
        <f t="shared" si="16"/>
        <v>2009</v>
      </c>
      <c r="C513" s="3">
        <f t="shared" si="17"/>
        <v>12</v>
      </c>
      <c r="D513" s="20" t="str">
        <f t="shared" si="18"/>
        <v>SWK200912</v>
      </c>
      <c r="E513" s="2">
        <v>40149</v>
      </c>
      <c r="F513" s="3">
        <v>0.33</v>
      </c>
      <c r="G513" s="2">
        <v>40162</v>
      </c>
      <c r="H513" s="3">
        <v>2.6499999999999999E-2</v>
      </c>
      <c r="I513" s="3">
        <v>0</v>
      </c>
      <c r="J513" s="3">
        <v>0</v>
      </c>
      <c r="K513" s="3">
        <f t="shared" si="19"/>
        <v>2009</v>
      </c>
      <c r="L513" s="3">
        <f t="shared" si="20"/>
        <v>0</v>
      </c>
      <c r="M513" s="20" t="str">
        <f>A513&amp;L513</f>
        <v>SWK0</v>
      </c>
      <c r="N513" s="3">
        <f>F513</f>
        <v>0.33</v>
      </c>
      <c r="O513" s="9">
        <f>H513</f>
        <v>2.6499999999999999E-2</v>
      </c>
      <c r="P513" s="10">
        <f t="shared" si="21"/>
        <v>0</v>
      </c>
      <c r="Q513" s="10">
        <f>IF(K513=0,IF(A510=A513,AVERAGE(O510:O513),"x"),0)</f>
        <v>0</v>
      </c>
      <c r="R513" s="9">
        <f>IF(L513&gt;2005,AVERAGE(O510:O529),0)</f>
        <v>0</v>
      </c>
      <c r="S513" s="10">
        <f>IF(A513=A514,(N513-N514)/N514,0)</f>
        <v>0</v>
      </c>
      <c r="T513" s="10">
        <f>IF(L513&gt;2005,(((N513-N533)/N533)+1)^(1/5)-1,0)</f>
        <v>0</v>
      </c>
      <c r="U513" s="10">
        <f t="shared" si="14"/>
        <v>0</v>
      </c>
      <c r="V513" s="26">
        <f t="shared" si="15"/>
        <v>0</v>
      </c>
      <c r="W513" s="3">
        <f>IF(A513=A514,N513-N514,0)</f>
        <v>0</v>
      </c>
      <c r="X513" s="10">
        <f>IF(A513=A514,(N513-N514)/N514,0)</f>
        <v>0</v>
      </c>
    </row>
    <row r="514" spans="1:24" ht="16.5" customHeight="1">
      <c r="A514" s="3" t="s">
        <v>29</v>
      </c>
      <c r="B514" s="3">
        <f t="shared" si="16"/>
        <v>2009</v>
      </c>
      <c r="C514" s="3">
        <f t="shared" si="17"/>
        <v>9</v>
      </c>
      <c r="D514" s="20" t="str">
        <f t="shared" si="18"/>
        <v>SWK20099</v>
      </c>
      <c r="E514" s="2">
        <v>40058</v>
      </c>
      <c r="F514" s="3">
        <v>0.33</v>
      </c>
      <c r="G514" s="2">
        <v>40078</v>
      </c>
      <c r="H514" s="3">
        <v>3.2399999999999998E-2</v>
      </c>
      <c r="I514" s="3">
        <v>3.125E-2</v>
      </c>
      <c r="J514" s="3">
        <v>0.01</v>
      </c>
      <c r="K514" s="3">
        <f t="shared" si="19"/>
        <v>2009</v>
      </c>
      <c r="L514" s="3">
        <f t="shared" si="20"/>
        <v>0</v>
      </c>
      <c r="M514" s="20" t="str">
        <f>A514&amp;L514</f>
        <v>SWK0</v>
      </c>
      <c r="N514" s="3">
        <f>F514</f>
        <v>0.33</v>
      </c>
      <c r="O514" s="9">
        <f>H514</f>
        <v>3.2399999999999998E-2</v>
      </c>
      <c r="P514" s="10">
        <f t="shared" si="21"/>
        <v>3.9375E-2</v>
      </c>
      <c r="Q514" s="10">
        <f>IF(K514=0,IF(A511=A514,AVERAGE(O511:O514),"x"),0)</f>
        <v>0</v>
      </c>
      <c r="R514" s="9">
        <f>IF(L514&gt;2005,AVERAGE(O511:O530),0)</f>
        <v>0</v>
      </c>
      <c r="S514" s="10">
        <f>IF(A514=A515,(N514-N515)/N515,0)</f>
        <v>3.1250000000000028E-2</v>
      </c>
      <c r="T514" s="10">
        <f>IF(L514&gt;2005,(((N514-N534)/N534)+1)^(1/5)-1,0)</f>
        <v>0</v>
      </c>
      <c r="U514" s="10">
        <f t="shared" si="14"/>
        <v>0</v>
      </c>
      <c r="V514" s="26">
        <f t="shared" si="15"/>
        <v>0</v>
      </c>
      <c r="W514" s="3">
        <f>IF(A514=A515,N514-N515,0)</f>
        <v>1.0000000000000009E-2</v>
      </c>
      <c r="X514" s="10">
        <f>IF(A514=A515,(N514-N515)/N515,0)</f>
        <v>3.1250000000000028E-2</v>
      </c>
    </row>
    <row r="515" spans="1:24" ht="16.5" customHeight="1">
      <c r="A515" s="3" t="s">
        <v>29</v>
      </c>
      <c r="B515" s="3">
        <f t="shared" si="16"/>
        <v>2009</v>
      </c>
      <c r="C515" s="3">
        <f t="shared" si="17"/>
        <v>6</v>
      </c>
      <c r="D515" s="20" t="str">
        <f t="shared" si="18"/>
        <v>SWK20096</v>
      </c>
      <c r="E515" s="2">
        <v>39965</v>
      </c>
      <c r="F515" s="3">
        <v>0.32</v>
      </c>
      <c r="G515" s="2">
        <v>39987</v>
      </c>
      <c r="H515" s="3">
        <v>3.5900000000000001E-2</v>
      </c>
      <c r="I515" s="3">
        <v>0</v>
      </c>
      <c r="J515" s="3">
        <v>0</v>
      </c>
      <c r="K515" s="3">
        <f t="shared" si="19"/>
        <v>2009</v>
      </c>
      <c r="L515" s="3">
        <f t="shared" si="20"/>
        <v>0</v>
      </c>
      <c r="M515" s="20" t="str">
        <f>A515&amp;L515</f>
        <v>SWK0</v>
      </c>
      <c r="N515" s="3">
        <f>F515</f>
        <v>0.32</v>
      </c>
      <c r="O515" s="9">
        <f>H515</f>
        <v>3.5900000000000001E-2</v>
      </c>
      <c r="P515" s="10">
        <f t="shared" si="21"/>
        <v>0</v>
      </c>
      <c r="Q515" s="10">
        <f>IF(K515=0,IF(A512=A515,AVERAGE(O512:O515),"x"),0)</f>
        <v>0</v>
      </c>
      <c r="R515" s="9">
        <f>IF(L515&gt;2005,AVERAGE(O512:O531),0)</f>
        <v>0</v>
      </c>
      <c r="S515" s="10">
        <f>IF(A515=A516,(N515-N516)/N516,0)</f>
        <v>0</v>
      </c>
      <c r="T515" s="10">
        <f>IF(L515&gt;2005,(((N515-N535)/N535)+1)^(1/5)-1,0)</f>
        <v>0</v>
      </c>
      <c r="U515" s="10">
        <f t="shared" ref="U515:U769" si="22">IF(T515&gt;0,R515+T515,0)</f>
        <v>0</v>
      </c>
      <c r="V515" s="26">
        <f t="shared" ref="V515:V769" si="23">IF(U515&gt;0,(1+T515)*(1-((1+T515)/(1+U515))^5)/(U515-T515),0)</f>
        <v>0</v>
      </c>
      <c r="W515" s="3">
        <f>IF(A515=A516,N515-N516,0)</f>
        <v>0</v>
      </c>
      <c r="X515" s="10">
        <f>IF(A515=A516,(N515-N516)/N516,0)</f>
        <v>0</v>
      </c>
    </row>
    <row r="516" spans="1:24" ht="16.5" customHeight="1">
      <c r="A516" s="3" t="s">
        <v>29</v>
      </c>
      <c r="B516" s="3">
        <f t="shared" si="16"/>
        <v>2009</v>
      </c>
      <c r="C516" s="3">
        <f t="shared" si="17"/>
        <v>3</v>
      </c>
      <c r="D516" s="20" t="str">
        <f t="shared" si="18"/>
        <v>SWK20093</v>
      </c>
      <c r="E516" s="2">
        <v>39874</v>
      </c>
      <c r="F516" s="3">
        <v>0.32</v>
      </c>
      <c r="G516" s="2">
        <v>39896</v>
      </c>
      <c r="H516" s="3">
        <v>4.7500000000000001E-2</v>
      </c>
      <c r="I516" s="3">
        <v>0</v>
      </c>
      <c r="J516" s="3">
        <v>0</v>
      </c>
      <c r="K516" s="3">
        <f t="shared" si="19"/>
        <v>0</v>
      </c>
      <c r="L516" s="3">
        <f t="shared" si="20"/>
        <v>2009</v>
      </c>
      <c r="M516" s="20" t="str">
        <f>A516&amp;L516</f>
        <v>SWK2009</v>
      </c>
      <c r="N516" s="3">
        <f>F516</f>
        <v>0.32</v>
      </c>
      <c r="O516" s="9">
        <f>H516</f>
        <v>4.7500000000000001E-2</v>
      </c>
      <c r="P516" s="10">
        <f t="shared" si="21"/>
        <v>0</v>
      </c>
      <c r="Q516" s="10">
        <f>IF(K516=0,IF(A513=A516,AVERAGE(O513:O516),"x"),0)</f>
        <v>3.5574999999999996E-2</v>
      </c>
      <c r="R516" s="9">
        <f>IF(L516&gt;2005,AVERAGE(O513:O532),0)</f>
        <v>2.6829999999999993E-2</v>
      </c>
      <c r="S516" s="10">
        <f>IF(A516=A517,(N516-N517)/N517,0)</f>
        <v>0</v>
      </c>
      <c r="T516" s="10">
        <f>IF(L516&gt;2005,(((N516-N536)/N536)+1)^(1/5)-1,0)</f>
        <v>4.2402216277297899E-2</v>
      </c>
      <c r="U516" s="10">
        <f t="shared" si="22"/>
        <v>6.9232216277297892E-2</v>
      </c>
      <c r="V516" s="26">
        <f t="shared" si="23"/>
        <v>4.6359667418720143</v>
      </c>
      <c r="W516" s="3">
        <f>IF(A516=A517,N516-N517,0)</f>
        <v>0</v>
      </c>
      <c r="X516" s="10">
        <f>IF(A516=A517,(N516-N517)/N517,0)</f>
        <v>0</v>
      </c>
    </row>
    <row r="517" spans="1:24" ht="16.5" customHeight="1">
      <c r="A517" s="3" t="s">
        <v>29</v>
      </c>
      <c r="B517" s="3">
        <f t="shared" si="16"/>
        <v>2008</v>
      </c>
      <c r="C517" s="3">
        <f t="shared" si="17"/>
        <v>12</v>
      </c>
      <c r="D517" s="20" t="str">
        <f t="shared" si="18"/>
        <v>SWK200812</v>
      </c>
      <c r="E517" s="2">
        <v>39785</v>
      </c>
      <c r="F517" s="3">
        <v>0.32</v>
      </c>
      <c r="G517" s="2">
        <v>39798</v>
      </c>
      <c r="H517" s="3">
        <v>4.1700000000000001E-2</v>
      </c>
      <c r="I517" s="3">
        <v>0</v>
      </c>
      <c r="J517" s="3">
        <v>0</v>
      </c>
      <c r="K517" s="3">
        <f t="shared" si="19"/>
        <v>2008</v>
      </c>
      <c r="L517" s="3">
        <f t="shared" si="20"/>
        <v>0</v>
      </c>
      <c r="M517" s="20" t="str">
        <f>A517&amp;L517</f>
        <v>SWK0</v>
      </c>
      <c r="N517" s="3">
        <f>F517</f>
        <v>0.32</v>
      </c>
      <c r="O517" s="9">
        <f>H517</f>
        <v>4.1700000000000001E-2</v>
      </c>
      <c r="P517" s="10">
        <f t="shared" si="21"/>
        <v>0</v>
      </c>
      <c r="Q517" s="10">
        <f>IF(K517=0,IF(A514=A517,AVERAGE(O514:O517),"x"),0)</f>
        <v>0</v>
      </c>
      <c r="R517" s="9">
        <f>IF(L517&gt;2005,AVERAGE(O514:O533),0)</f>
        <v>0</v>
      </c>
      <c r="S517" s="10">
        <f>IF(A517=A518,(N517-N518)/N518,0)</f>
        <v>0</v>
      </c>
      <c r="T517" s="10">
        <f>IF(L517&gt;2005,(((N517-N537)/N537)+1)^(1/5)-1,0)</f>
        <v>0</v>
      </c>
      <c r="U517" s="10">
        <f t="shared" si="22"/>
        <v>0</v>
      </c>
      <c r="V517" s="26">
        <f t="shared" si="23"/>
        <v>0</v>
      </c>
      <c r="W517" s="3">
        <f>IF(A517=A518,N517-N518,0)</f>
        <v>0</v>
      </c>
      <c r="X517" s="10">
        <f>IF(A517=A518,(N517-N518)/N518,0)</f>
        <v>0</v>
      </c>
    </row>
    <row r="518" spans="1:24" ht="16.5" customHeight="1">
      <c r="A518" s="3" t="s">
        <v>29</v>
      </c>
      <c r="B518" s="3">
        <f t="shared" si="16"/>
        <v>2008</v>
      </c>
      <c r="C518" s="3">
        <f t="shared" si="17"/>
        <v>9</v>
      </c>
      <c r="D518" s="20" t="str">
        <f t="shared" si="18"/>
        <v>SWK20089</v>
      </c>
      <c r="E518" s="2">
        <v>39694</v>
      </c>
      <c r="F518" s="3">
        <v>0.32</v>
      </c>
      <c r="G518" s="2">
        <v>39714</v>
      </c>
      <c r="H518" s="3">
        <v>2.5999999999999999E-2</v>
      </c>
      <c r="I518" s="3">
        <v>3.2258065000000002E-2</v>
      </c>
      <c r="J518" s="3">
        <v>0.01</v>
      </c>
      <c r="K518" s="3">
        <f t="shared" si="19"/>
        <v>2008</v>
      </c>
      <c r="L518" s="3">
        <f t="shared" si="20"/>
        <v>0</v>
      </c>
      <c r="M518" s="20" t="str">
        <f>A518&amp;L518</f>
        <v>SWK0</v>
      </c>
      <c r="N518" s="3">
        <f>F518</f>
        <v>0.32</v>
      </c>
      <c r="O518" s="9">
        <f>H518</f>
        <v>2.5999999999999999E-2</v>
      </c>
      <c r="P518" s="10">
        <f t="shared" si="21"/>
        <v>2.5224999999999997E-2</v>
      </c>
      <c r="Q518" s="10">
        <f>IF(K518=0,IF(A515=A518,AVERAGE(O515:O518),"x"),0)</f>
        <v>0</v>
      </c>
      <c r="R518" s="9">
        <f>IF(L518&gt;2005,AVERAGE(O515:O534),0)</f>
        <v>0</v>
      </c>
      <c r="S518" s="10">
        <f>IF(A518=A519,(N518-N519)/N519,0)</f>
        <v>3.2258064516129059E-2</v>
      </c>
      <c r="T518" s="10">
        <f>IF(L518&gt;2005,(((N518-N538)/N538)+1)^(1/5)-1,0)</f>
        <v>0</v>
      </c>
      <c r="U518" s="10">
        <f t="shared" si="22"/>
        <v>0</v>
      </c>
      <c r="V518" s="26">
        <f t="shared" si="23"/>
        <v>0</v>
      </c>
      <c r="W518" s="3">
        <f>IF(A518=A519,N518-N519,0)</f>
        <v>1.0000000000000009E-2</v>
      </c>
      <c r="X518" s="10">
        <f>IF(A518=A519,(N518-N519)/N519,0)</f>
        <v>3.2258064516129059E-2</v>
      </c>
    </row>
    <row r="519" spans="1:24" ht="16.5" customHeight="1">
      <c r="A519" s="3" t="s">
        <v>29</v>
      </c>
      <c r="B519" s="3">
        <f t="shared" si="16"/>
        <v>2008</v>
      </c>
      <c r="C519" s="3">
        <f t="shared" si="17"/>
        <v>6</v>
      </c>
      <c r="D519" s="20" t="str">
        <f t="shared" si="18"/>
        <v>SWK20086</v>
      </c>
      <c r="E519" s="2">
        <v>39601</v>
      </c>
      <c r="F519" s="3">
        <v>0.31</v>
      </c>
      <c r="G519" s="2">
        <v>39623</v>
      </c>
      <c r="H519" s="3">
        <v>2.5499999999999998E-2</v>
      </c>
      <c r="I519" s="3">
        <v>0</v>
      </c>
      <c r="J519" s="3">
        <v>0</v>
      </c>
      <c r="K519" s="3">
        <f t="shared" si="19"/>
        <v>2008</v>
      </c>
      <c r="L519" s="3">
        <f t="shared" si="20"/>
        <v>0</v>
      </c>
      <c r="M519" s="20" t="str">
        <f>A519&amp;L519</f>
        <v>SWK0</v>
      </c>
      <c r="N519" s="3">
        <f>F519</f>
        <v>0.31</v>
      </c>
      <c r="O519" s="9">
        <f>H519</f>
        <v>2.5499999999999998E-2</v>
      </c>
      <c r="P519" s="10">
        <f t="shared" si="21"/>
        <v>0</v>
      </c>
      <c r="Q519" s="10">
        <f>IF(K519=0,IF(A516=A519,AVERAGE(O516:O519),"x"),0)</f>
        <v>0</v>
      </c>
      <c r="R519" s="9">
        <f>IF(L519&gt;2005,AVERAGE(O516:O535),0)</f>
        <v>0</v>
      </c>
      <c r="S519" s="10">
        <f>IF(A519=A520,(N519-N520)/N520,0)</f>
        <v>0</v>
      </c>
      <c r="T519" s="10">
        <f>IF(L519&gt;2005,(((N519-N539)/N539)+1)^(1/5)-1,0)</f>
        <v>0</v>
      </c>
      <c r="U519" s="10">
        <f t="shared" si="22"/>
        <v>0</v>
      </c>
      <c r="V519" s="26">
        <f t="shared" si="23"/>
        <v>0</v>
      </c>
      <c r="W519" s="3">
        <f>IF(A519=A520,N519-N520,0)</f>
        <v>0</v>
      </c>
      <c r="X519" s="10">
        <f>IF(A519=A520,(N519-N520)/N520,0)</f>
        <v>0</v>
      </c>
    </row>
    <row r="520" spans="1:24" ht="16.5" customHeight="1">
      <c r="A520" s="3" t="s">
        <v>29</v>
      </c>
      <c r="B520" s="3">
        <f t="shared" si="16"/>
        <v>2008</v>
      </c>
      <c r="C520" s="3">
        <f t="shared" si="17"/>
        <v>3</v>
      </c>
      <c r="D520" s="20" t="str">
        <f t="shared" si="18"/>
        <v>SWK20083</v>
      </c>
      <c r="E520" s="2">
        <v>39510</v>
      </c>
      <c r="F520" s="3">
        <v>0.31</v>
      </c>
      <c r="G520" s="2">
        <v>39532</v>
      </c>
      <c r="H520" s="3">
        <v>2.53E-2</v>
      </c>
      <c r="I520" s="3">
        <v>0</v>
      </c>
      <c r="J520" s="3">
        <v>0</v>
      </c>
      <c r="K520" s="3">
        <f t="shared" si="19"/>
        <v>0</v>
      </c>
      <c r="L520" s="3">
        <f t="shared" si="20"/>
        <v>2008</v>
      </c>
      <c r="M520" s="20" t="str">
        <f>A520&amp;L520</f>
        <v>SWK2008</v>
      </c>
      <c r="N520" s="3">
        <f>F520</f>
        <v>0.31</v>
      </c>
      <c r="O520" s="9">
        <f>H520</f>
        <v>2.53E-2</v>
      </c>
      <c r="P520" s="10">
        <f t="shared" si="21"/>
        <v>0</v>
      </c>
      <c r="Q520" s="10">
        <f>IF(K520=0,IF(A517=A520,AVERAGE(O517:O520),"x"),0)</f>
        <v>2.9624999999999999E-2</v>
      </c>
      <c r="R520" s="9">
        <f>IF(L520&gt;2005,AVERAGE(O517:O536),0)</f>
        <v>2.461E-2</v>
      </c>
      <c r="S520" s="10">
        <f>IF(A520=A521,(N520-N521)/N521,0)</f>
        <v>0</v>
      </c>
      <c r="T520" s="10">
        <f>IF(L520&gt;2005,(((N520-N540)/N540)+1)^(1/5)-1,0)</f>
        <v>3.9834691942561395E-2</v>
      </c>
      <c r="U520" s="10">
        <f t="shared" si="22"/>
        <v>6.4444691942561388E-2</v>
      </c>
      <c r="V520" s="26">
        <f t="shared" si="23"/>
        <v>4.6637065063354024</v>
      </c>
      <c r="W520" s="3">
        <f>IF(A520=A521,N520-N521,0)</f>
        <v>0</v>
      </c>
      <c r="X520" s="10">
        <f>IF(A520=A521,(N520-N521)/N521,0)</f>
        <v>0</v>
      </c>
    </row>
    <row r="521" spans="1:24" ht="16.5" customHeight="1">
      <c r="A521" s="3" t="s">
        <v>29</v>
      </c>
      <c r="B521" s="3">
        <f t="shared" si="16"/>
        <v>2007</v>
      </c>
      <c r="C521" s="3">
        <f t="shared" si="17"/>
        <v>12</v>
      </c>
      <c r="D521" s="20" t="str">
        <f t="shared" si="18"/>
        <v>SWK200712</v>
      </c>
      <c r="E521" s="2">
        <v>39421</v>
      </c>
      <c r="F521" s="3">
        <v>0.31</v>
      </c>
      <c r="G521" s="2">
        <v>39434</v>
      </c>
      <c r="H521" s="3">
        <v>2.41E-2</v>
      </c>
      <c r="I521" s="3">
        <v>0</v>
      </c>
      <c r="J521" s="3">
        <v>0</v>
      </c>
      <c r="K521" s="3">
        <f t="shared" si="19"/>
        <v>2007</v>
      </c>
      <c r="L521" s="3">
        <f t="shared" si="20"/>
        <v>0</v>
      </c>
      <c r="M521" s="20" t="str">
        <f>A521&amp;L521</f>
        <v>SWK0</v>
      </c>
      <c r="N521" s="3">
        <f>F521</f>
        <v>0.31</v>
      </c>
      <c r="O521" s="9">
        <f>H521</f>
        <v>2.41E-2</v>
      </c>
      <c r="P521" s="10">
        <f t="shared" si="21"/>
        <v>0</v>
      </c>
      <c r="Q521" s="10">
        <f>IF(K521=0,IF(A518=A521,AVERAGE(O518:O521),"x"),0)</f>
        <v>0</v>
      </c>
      <c r="R521" s="9">
        <f>IF(L521&gt;2005,AVERAGE(O518:O537),0)</f>
        <v>0</v>
      </c>
      <c r="S521" s="10">
        <f>IF(A521=A522,(N521-N522)/N522,0)</f>
        <v>0</v>
      </c>
      <c r="T521" s="10">
        <f>IF(L521&gt;2005,(((N521-N541)/N541)+1)^(1/5)-1,0)</f>
        <v>0</v>
      </c>
      <c r="U521" s="10">
        <f t="shared" si="22"/>
        <v>0</v>
      </c>
      <c r="V521" s="26">
        <f t="shared" si="23"/>
        <v>0</v>
      </c>
      <c r="W521" s="3">
        <f>IF(A521=A522,N521-N522,0)</f>
        <v>0</v>
      </c>
      <c r="X521" s="10">
        <f>IF(A521=A522,(N521-N522)/N522,0)</f>
        <v>0</v>
      </c>
    </row>
    <row r="522" spans="1:24" ht="16.5" customHeight="1">
      <c r="A522" s="3" t="s">
        <v>29</v>
      </c>
      <c r="B522" s="3">
        <f t="shared" si="16"/>
        <v>2007</v>
      </c>
      <c r="C522" s="3">
        <f t="shared" si="17"/>
        <v>9</v>
      </c>
      <c r="D522" s="20" t="str">
        <f t="shared" si="18"/>
        <v>SWK20079</v>
      </c>
      <c r="E522" s="2">
        <v>39330</v>
      </c>
      <c r="F522" s="3">
        <v>0.31</v>
      </c>
      <c r="G522" s="2">
        <v>39350</v>
      </c>
      <c r="H522" s="3">
        <v>2.1299999999999999E-2</v>
      </c>
      <c r="I522" s="3">
        <v>3.3333333E-2</v>
      </c>
      <c r="J522" s="3">
        <v>0.01</v>
      </c>
      <c r="K522" s="3">
        <f t="shared" si="19"/>
        <v>2007</v>
      </c>
      <c r="L522" s="3">
        <f t="shared" si="20"/>
        <v>0</v>
      </c>
      <c r="M522" s="20" t="str">
        <f>A522&amp;L522</f>
        <v>SWK0</v>
      </c>
      <c r="N522" s="3">
        <f>F522</f>
        <v>0.31</v>
      </c>
      <c r="O522" s="9">
        <f>H522</f>
        <v>2.1299999999999999E-2</v>
      </c>
      <c r="P522" s="10">
        <f t="shared" si="21"/>
        <v>2.1275000000000002E-2</v>
      </c>
      <c r="Q522" s="10">
        <f>IF(K522=0,IF(A519=A522,AVERAGE(O519:O522),"x"),0)</f>
        <v>0</v>
      </c>
      <c r="R522" s="9">
        <f>IF(L522&gt;2005,AVERAGE(O519:O538),0)</f>
        <v>0</v>
      </c>
      <c r="S522" s="10">
        <f>IF(A522=A523,(N522-N523)/N523,0)</f>
        <v>3.3333333333333368E-2</v>
      </c>
      <c r="T522" s="10">
        <f>IF(L522&gt;2005,(((N522-N542)/N542)+1)^(1/5)-1,0)</f>
        <v>0</v>
      </c>
      <c r="U522" s="10">
        <f t="shared" si="22"/>
        <v>0</v>
      </c>
      <c r="V522" s="26">
        <f t="shared" si="23"/>
        <v>0</v>
      </c>
      <c r="W522" s="3">
        <f>IF(A522=A523,N522-N523,0)</f>
        <v>1.0000000000000009E-2</v>
      </c>
      <c r="X522" s="10">
        <f>IF(A522=A523,(N522-N523)/N523,0)</f>
        <v>3.3333333333333368E-2</v>
      </c>
    </row>
    <row r="523" spans="1:24" ht="16.5" customHeight="1">
      <c r="A523" s="3" t="s">
        <v>29</v>
      </c>
      <c r="B523" s="3">
        <f t="shared" si="16"/>
        <v>2007</v>
      </c>
      <c r="C523" s="3">
        <f t="shared" si="17"/>
        <v>6</v>
      </c>
      <c r="D523" s="20" t="str">
        <f t="shared" si="18"/>
        <v>SWK20076</v>
      </c>
      <c r="E523" s="2">
        <v>39237</v>
      </c>
      <c r="F523" s="3">
        <v>0.3</v>
      </c>
      <c r="G523" s="2">
        <v>39259</v>
      </c>
      <c r="H523" s="3">
        <v>1.9E-2</v>
      </c>
      <c r="I523" s="3">
        <v>0</v>
      </c>
      <c r="J523" s="3">
        <v>0</v>
      </c>
      <c r="K523" s="3">
        <f t="shared" si="19"/>
        <v>2007</v>
      </c>
      <c r="L523" s="3">
        <f t="shared" si="20"/>
        <v>0</v>
      </c>
      <c r="M523" s="20" t="str">
        <f>A523&amp;L523</f>
        <v>SWK0</v>
      </c>
      <c r="N523" s="3">
        <f>F523</f>
        <v>0.3</v>
      </c>
      <c r="O523" s="9">
        <f>H523</f>
        <v>1.9E-2</v>
      </c>
      <c r="P523" s="10">
        <f t="shared" si="21"/>
        <v>0</v>
      </c>
      <c r="Q523" s="10">
        <f>IF(K523=0,IF(A520=A523,AVERAGE(O520:O523),"x"),0)</f>
        <v>0</v>
      </c>
      <c r="R523" s="9">
        <f>IF(L523&gt;2005,AVERAGE(O520:O539),0)</f>
        <v>0</v>
      </c>
      <c r="S523" s="10">
        <f>IF(A523=A524,(N523-N524)/N524,0)</f>
        <v>0</v>
      </c>
      <c r="T523" s="10">
        <f>IF(L523&gt;2005,(((N523-N543)/N543)+1)^(1/5)-1,0)</f>
        <v>0</v>
      </c>
      <c r="U523" s="10">
        <f t="shared" si="22"/>
        <v>0</v>
      </c>
      <c r="V523" s="26">
        <f t="shared" si="23"/>
        <v>0</v>
      </c>
      <c r="W523" s="3">
        <f>IF(A523=A524,N523-N524,0)</f>
        <v>0</v>
      </c>
      <c r="X523" s="10">
        <f>IF(A523=A524,(N523-N524)/N524,0)</f>
        <v>0</v>
      </c>
    </row>
    <row r="524" spans="1:24" ht="16.5" customHeight="1">
      <c r="A524" s="3" t="s">
        <v>29</v>
      </c>
      <c r="B524" s="3">
        <f t="shared" si="16"/>
        <v>2007</v>
      </c>
      <c r="C524" s="3">
        <f t="shared" si="17"/>
        <v>3</v>
      </c>
      <c r="D524" s="20" t="str">
        <f t="shared" si="18"/>
        <v>SWK20073</v>
      </c>
      <c r="E524" s="2">
        <v>39146</v>
      </c>
      <c r="F524" s="3">
        <v>0.3</v>
      </c>
      <c r="G524" s="2">
        <v>39168</v>
      </c>
      <c r="H524" s="3">
        <v>2.1899999999999999E-2</v>
      </c>
      <c r="I524" s="3">
        <v>0</v>
      </c>
      <c r="J524" s="3">
        <v>0</v>
      </c>
      <c r="K524" s="3">
        <f t="shared" si="19"/>
        <v>0</v>
      </c>
      <c r="L524" s="3">
        <f t="shared" si="20"/>
        <v>2007</v>
      </c>
      <c r="M524" s="20" t="str">
        <f>A524&amp;L524</f>
        <v>SWK2007</v>
      </c>
      <c r="N524" s="3">
        <f>F524</f>
        <v>0.3</v>
      </c>
      <c r="O524" s="9">
        <f>H524</f>
        <v>2.1899999999999999E-2</v>
      </c>
      <c r="P524" s="10">
        <f t="shared" si="21"/>
        <v>0</v>
      </c>
      <c r="Q524" s="10">
        <f>IF(K524=0,IF(A521=A524,AVERAGE(O521:O524),"x"),0)</f>
        <v>2.1575E-2</v>
      </c>
      <c r="R524" s="9">
        <f>IF(L524&gt;2005,AVERAGE(O521:O540),0)</f>
        <v>2.5850000000000001E-2</v>
      </c>
      <c r="S524" s="10">
        <f>IF(A524=A525,(N524-N525)/N525,0)</f>
        <v>0</v>
      </c>
      <c r="T524" s="10">
        <f>IF(L524&gt;2005,(((N524-N544)/N544)+1)^(1/5)-1,0)</f>
        <v>4.5639552591273169E-2</v>
      </c>
      <c r="U524" s="10">
        <f t="shared" si="22"/>
        <v>7.1489552591273167E-2</v>
      </c>
      <c r="V524" s="26">
        <f t="shared" si="23"/>
        <v>4.6495525922095036</v>
      </c>
      <c r="W524" s="3">
        <f>IF(A524=A525,N524-N525,0)</f>
        <v>0</v>
      </c>
      <c r="X524" s="10">
        <f>IF(A524=A525,(N524-N525)/N525,0)</f>
        <v>0</v>
      </c>
    </row>
    <row r="525" spans="1:24" ht="16.5" customHeight="1">
      <c r="A525" s="3" t="s">
        <v>29</v>
      </c>
      <c r="B525" s="3">
        <f t="shared" si="16"/>
        <v>2006</v>
      </c>
      <c r="C525" s="3">
        <f t="shared" si="17"/>
        <v>12</v>
      </c>
      <c r="D525" s="20" t="str">
        <f t="shared" si="18"/>
        <v>SWK200612</v>
      </c>
      <c r="E525" s="2">
        <v>39057</v>
      </c>
      <c r="F525" s="3">
        <v>0.3</v>
      </c>
      <c r="G525" s="2">
        <v>39070</v>
      </c>
      <c r="H525" s="3">
        <v>2.29E-2</v>
      </c>
      <c r="I525" s="3">
        <v>0</v>
      </c>
      <c r="J525" s="3">
        <v>0</v>
      </c>
      <c r="K525" s="3">
        <f t="shared" si="19"/>
        <v>2006</v>
      </c>
      <c r="L525" s="3">
        <f t="shared" si="20"/>
        <v>0</v>
      </c>
      <c r="M525" s="20" t="str">
        <f>A525&amp;L525</f>
        <v>SWK0</v>
      </c>
      <c r="N525" s="3">
        <f>F525</f>
        <v>0.3</v>
      </c>
      <c r="O525" s="9">
        <f>H525</f>
        <v>2.29E-2</v>
      </c>
      <c r="P525" s="10">
        <f t="shared" si="21"/>
        <v>0</v>
      </c>
      <c r="Q525" s="10">
        <f>IF(K525=0,IF(A522=A525,AVERAGE(O522:O525),"x"),0)</f>
        <v>0</v>
      </c>
      <c r="R525" s="9">
        <f>IF(L525&gt;2005,AVERAGE(O522:O541),0)</f>
        <v>0</v>
      </c>
      <c r="S525" s="10">
        <f>IF(A525=A526,(N525-N526)/N526,0)</f>
        <v>0</v>
      </c>
      <c r="T525" s="10">
        <f>IF(L525&gt;2005,(((N525-N545)/N545)+1)^(1/5)-1,0)</f>
        <v>0</v>
      </c>
      <c r="U525" s="10">
        <f t="shared" si="22"/>
        <v>0</v>
      </c>
      <c r="V525" s="26">
        <f t="shared" si="23"/>
        <v>0</v>
      </c>
      <c r="W525" s="3">
        <f>IF(A525=A526,N525-N526,0)</f>
        <v>0</v>
      </c>
      <c r="X525" s="10">
        <f>IF(A525=A526,(N525-N526)/N526,0)</f>
        <v>0</v>
      </c>
    </row>
    <row r="526" spans="1:24" ht="16.5" customHeight="1">
      <c r="A526" s="3" t="s">
        <v>29</v>
      </c>
      <c r="B526" s="3">
        <f t="shared" si="16"/>
        <v>2006</v>
      </c>
      <c r="C526" s="3">
        <f t="shared" si="17"/>
        <v>9</v>
      </c>
      <c r="D526" s="20" t="str">
        <f t="shared" si="18"/>
        <v>SWK20069</v>
      </c>
      <c r="E526" s="2">
        <v>38966</v>
      </c>
      <c r="F526" s="3">
        <v>0.3</v>
      </c>
      <c r="G526" s="2">
        <v>38986</v>
      </c>
      <c r="H526" s="3">
        <v>2.4400000000000002E-2</v>
      </c>
      <c r="I526" s="3">
        <v>3.4482759000000002E-2</v>
      </c>
      <c r="J526" s="3">
        <v>0.01</v>
      </c>
      <c r="K526" s="3">
        <f t="shared" si="19"/>
        <v>2006</v>
      </c>
      <c r="L526" s="3">
        <f t="shared" si="20"/>
        <v>0</v>
      </c>
      <c r="M526" s="20" t="str">
        <f>A526&amp;L526</f>
        <v>SWK0</v>
      </c>
      <c r="N526" s="3">
        <f>F526</f>
        <v>0.3</v>
      </c>
      <c r="O526" s="9">
        <f>H526</f>
        <v>2.4400000000000002E-2</v>
      </c>
      <c r="P526" s="10">
        <f t="shared" si="21"/>
        <v>2.3450000000000002E-2</v>
      </c>
      <c r="Q526" s="10">
        <f>IF(K526=0,IF(A523=A526,AVERAGE(O523:O526),"x"),0)</f>
        <v>0</v>
      </c>
      <c r="R526" s="9">
        <f>IF(L526&gt;2005,AVERAGE(O523:O542),0)</f>
        <v>0</v>
      </c>
      <c r="S526" s="10">
        <f>IF(A526=A527,(N526-N527)/N527,0)</f>
        <v>3.4482758620689689E-2</v>
      </c>
      <c r="T526" s="10">
        <f>IF(L526&gt;2005,(((N526-N546)/N546)+1)^(1/5)-1,0)</f>
        <v>0</v>
      </c>
      <c r="U526" s="10">
        <f t="shared" si="22"/>
        <v>0</v>
      </c>
      <c r="V526" s="26">
        <f t="shared" si="23"/>
        <v>0</v>
      </c>
      <c r="W526" s="3">
        <f>IF(A526=A527,N526-N527,0)</f>
        <v>1.0000000000000009E-2</v>
      </c>
      <c r="X526" s="10">
        <f>IF(A526=A527,(N526-N527)/N527,0)</f>
        <v>3.4482758620689689E-2</v>
      </c>
    </row>
    <row r="527" spans="1:24" ht="16.5" customHeight="1">
      <c r="A527" s="3" t="s">
        <v>29</v>
      </c>
      <c r="B527" s="3">
        <f t="shared" si="16"/>
        <v>2006</v>
      </c>
      <c r="C527" s="3">
        <f t="shared" si="17"/>
        <v>6</v>
      </c>
      <c r="D527" s="20" t="str">
        <f t="shared" si="18"/>
        <v>SWK20066</v>
      </c>
      <c r="E527" s="2">
        <v>38873</v>
      </c>
      <c r="F527" s="3">
        <v>0.28999999999999998</v>
      </c>
      <c r="G527" s="2">
        <v>38895</v>
      </c>
      <c r="H527" s="3">
        <v>2.3300000000000001E-2</v>
      </c>
      <c r="I527" s="3">
        <v>0</v>
      </c>
      <c r="J527" s="3">
        <v>0</v>
      </c>
      <c r="K527" s="3">
        <f t="shared" si="19"/>
        <v>2006</v>
      </c>
      <c r="L527" s="3">
        <f t="shared" si="20"/>
        <v>0</v>
      </c>
      <c r="M527" s="20" t="str">
        <f>A527&amp;L527</f>
        <v>SWK0</v>
      </c>
      <c r="N527" s="3">
        <f>F527</f>
        <v>0.28999999999999998</v>
      </c>
      <c r="O527" s="9">
        <f>H527</f>
        <v>2.3300000000000001E-2</v>
      </c>
      <c r="P527" s="10">
        <f t="shared" si="21"/>
        <v>0</v>
      </c>
      <c r="Q527" s="10">
        <f>IF(K527=0,IF(A524=A527,AVERAGE(O524:O527),"x"),0)</f>
        <v>0</v>
      </c>
      <c r="R527" s="9">
        <f>IF(L527&gt;2005,AVERAGE(O524:O543),0)</f>
        <v>0</v>
      </c>
      <c r="S527" s="10">
        <f>IF(A527=A528,(N527-N528)/N528,0)</f>
        <v>0</v>
      </c>
      <c r="T527" s="10">
        <f>IF(L527&gt;2005,(((N527-N547)/N547)+1)^(1/5)-1,0)</f>
        <v>0</v>
      </c>
      <c r="U527" s="10">
        <f t="shared" si="22"/>
        <v>0</v>
      </c>
      <c r="V527" s="26">
        <f t="shared" si="23"/>
        <v>0</v>
      </c>
      <c r="W527" s="3">
        <f>IF(A527=A528,N527-N528,0)</f>
        <v>0</v>
      </c>
      <c r="X527" s="10">
        <f>IF(A527=A528,(N527-N528)/N528,0)</f>
        <v>0</v>
      </c>
    </row>
    <row r="528" spans="1:24" ht="16.5" customHeight="1">
      <c r="A528" s="3" t="s">
        <v>29</v>
      </c>
      <c r="B528" s="3">
        <f t="shared" si="16"/>
        <v>2006</v>
      </c>
      <c r="C528" s="3">
        <f t="shared" si="17"/>
        <v>3</v>
      </c>
      <c r="D528" s="20" t="str">
        <f t="shared" si="18"/>
        <v>SWK20063</v>
      </c>
      <c r="E528" s="2">
        <v>38782</v>
      </c>
      <c r="F528" s="3">
        <v>0.28999999999999998</v>
      </c>
      <c r="G528" s="2">
        <v>38804</v>
      </c>
      <c r="H528" s="3">
        <v>2.24E-2</v>
      </c>
      <c r="I528" s="3">
        <v>0</v>
      </c>
      <c r="J528" s="3">
        <v>0</v>
      </c>
      <c r="K528" s="3">
        <f t="shared" si="19"/>
        <v>0</v>
      </c>
      <c r="L528" s="3">
        <f t="shared" si="20"/>
        <v>2006</v>
      </c>
      <c r="M528" s="20" t="str">
        <f>A528&amp;L528</f>
        <v>SWK2006</v>
      </c>
      <c r="N528" s="3">
        <f>F528</f>
        <v>0.28999999999999998</v>
      </c>
      <c r="O528" s="9">
        <f>H528</f>
        <v>2.24E-2</v>
      </c>
      <c r="P528" s="10">
        <f t="shared" si="21"/>
        <v>0</v>
      </c>
      <c r="Q528" s="10">
        <f>IF(K528=0,IF(A525=A528,AVERAGE(O525:O528),"x"),0)</f>
        <v>2.325E-2</v>
      </c>
      <c r="R528" s="9">
        <f>IF(L528&gt;2005,AVERAGE(O525:O544),0)</f>
        <v>2.6515000000000004E-2</v>
      </c>
      <c r="S528" s="10">
        <f>IF(A528=A529,(N528-N529)/N529,0)</f>
        <v>0</v>
      </c>
      <c r="T528" s="10">
        <f>IF(L528&gt;2005,(((N528-N548)/N548)+1)^(1/5)-1,0)</f>
        <v>4.7451763732829999E-2</v>
      </c>
      <c r="U528" s="10">
        <f t="shared" si="22"/>
        <v>7.396676373283001E-2</v>
      </c>
      <c r="V528" s="26">
        <f t="shared" si="23"/>
        <v>4.6416345806389767</v>
      </c>
      <c r="W528" s="3">
        <f>IF(A528=A529,N528-N529,0)</f>
        <v>0</v>
      </c>
      <c r="X528" s="10">
        <f>IF(A528=A529,(N528-N529)/N529,0)</f>
        <v>0</v>
      </c>
    </row>
    <row r="529" spans="1:24" ht="16.5" customHeight="1">
      <c r="A529" s="3" t="s">
        <v>29</v>
      </c>
      <c r="B529" s="3">
        <f t="shared" si="16"/>
        <v>2005</v>
      </c>
      <c r="C529" s="3">
        <f t="shared" si="17"/>
        <v>12</v>
      </c>
      <c r="D529" s="20" t="str">
        <f t="shared" si="18"/>
        <v>SWK200512</v>
      </c>
      <c r="E529" s="2">
        <v>38693</v>
      </c>
      <c r="F529" s="3">
        <v>0.28999999999999998</v>
      </c>
      <c r="G529" s="2">
        <v>38706</v>
      </c>
      <c r="H529" s="3">
        <v>2.3699999999999999E-2</v>
      </c>
      <c r="I529" s="3">
        <v>0</v>
      </c>
      <c r="J529" s="3">
        <v>0</v>
      </c>
      <c r="K529" s="3">
        <f t="shared" si="19"/>
        <v>2005</v>
      </c>
      <c r="L529" s="3">
        <f t="shared" si="20"/>
        <v>0</v>
      </c>
      <c r="M529" s="20" t="str">
        <f>A529&amp;L529</f>
        <v>SWK0</v>
      </c>
      <c r="N529" s="3">
        <f>F529</f>
        <v>0.28999999999999998</v>
      </c>
      <c r="O529" s="9">
        <f>H529</f>
        <v>2.3699999999999999E-2</v>
      </c>
      <c r="P529" s="10">
        <f t="shared" si="21"/>
        <v>0</v>
      </c>
      <c r="Q529" s="10">
        <f>IF(K529=0,IF(A526=A529,AVERAGE(O526:O529),"x"),0)</f>
        <v>0</v>
      </c>
      <c r="R529" s="9">
        <f>IF(L529&gt;2005,AVERAGE(O526:O545),0)</f>
        <v>0</v>
      </c>
      <c r="S529" s="10">
        <f>IF(A529=A530,(N529-N530)/N530,0)</f>
        <v>0</v>
      </c>
      <c r="T529" s="10">
        <f>IF(L529&gt;2005,(((N529-N549)/N549)+1)^(1/5)-1,0)</f>
        <v>0</v>
      </c>
      <c r="U529" s="10">
        <f t="shared" si="22"/>
        <v>0</v>
      </c>
      <c r="V529" s="26">
        <f t="shared" si="23"/>
        <v>0</v>
      </c>
      <c r="W529" s="3">
        <f>IF(A529=A530,N529-N530,0)</f>
        <v>0</v>
      </c>
      <c r="X529" s="10">
        <f>IF(A529=A530,(N529-N530)/N530,0)</f>
        <v>0</v>
      </c>
    </row>
    <row r="530" spans="1:24" ht="16.5" customHeight="1">
      <c r="A530" s="3" t="s">
        <v>29</v>
      </c>
      <c r="B530" s="3">
        <f t="shared" si="16"/>
        <v>2005</v>
      </c>
      <c r="C530" s="3">
        <f t="shared" si="17"/>
        <v>9</v>
      </c>
      <c r="D530" s="20" t="str">
        <f t="shared" si="18"/>
        <v>SWK20059</v>
      </c>
      <c r="E530" s="2">
        <v>38602</v>
      </c>
      <c r="F530" s="3">
        <v>0.28999999999999998</v>
      </c>
      <c r="G530" s="2">
        <v>38622</v>
      </c>
      <c r="H530" s="3">
        <v>2.46E-2</v>
      </c>
      <c r="I530" s="3">
        <v>3.5714285999999998E-2</v>
      </c>
      <c r="J530" s="3">
        <v>0.01</v>
      </c>
      <c r="K530" s="3">
        <f t="shared" si="19"/>
        <v>2005</v>
      </c>
      <c r="L530" s="3">
        <f t="shared" si="20"/>
        <v>0</v>
      </c>
      <c r="M530" s="20" t="str">
        <f>A530&amp;L530</f>
        <v>SWK0</v>
      </c>
      <c r="N530" s="3">
        <f>F530</f>
        <v>0.28999999999999998</v>
      </c>
      <c r="O530" s="9">
        <f>H530</f>
        <v>2.46E-2</v>
      </c>
      <c r="P530" s="10">
        <f t="shared" si="21"/>
        <v>2.3949999999999999E-2</v>
      </c>
      <c r="Q530" s="10">
        <f>IF(K530=0,IF(A527=A530,AVERAGE(O527:O530),"x"),0)</f>
        <v>0</v>
      </c>
      <c r="R530" s="9">
        <f>IF(L530&gt;2005,AVERAGE(O527:O546),0)</f>
        <v>0</v>
      </c>
      <c r="S530" s="10">
        <f>IF(A530=A531,(N530-N531)/N531,0)</f>
        <v>3.5714285714285546E-2</v>
      </c>
      <c r="T530" s="10">
        <f>IF(L530&gt;2005,(((N530-N550)/N550)+1)^(1/5)-1,0)</f>
        <v>0</v>
      </c>
      <c r="U530" s="10">
        <f t="shared" si="22"/>
        <v>0</v>
      </c>
      <c r="V530" s="26">
        <f t="shared" si="23"/>
        <v>0</v>
      </c>
      <c r="W530" s="3">
        <f>IF(A530=A531,N530-N531,0)</f>
        <v>9.9999999999999534E-3</v>
      </c>
      <c r="X530" s="10">
        <f>IF(A530=A531,(N530-N531)/N531,0)</f>
        <v>3.5714285714285546E-2</v>
      </c>
    </row>
    <row r="531" spans="1:24" ht="16.5" customHeight="1">
      <c r="A531" s="3" t="s">
        <v>29</v>
      </c>
      <c r="B531" s="3">
        <f t="shared" si="16"/>
        <v>2005</v>
      </c>
      <c r="C531" s="3">
        <f t="shared" si="17"/>
        <v>6</v>
      </c>
      <c r="D531" s="20" t="str">
        <f t="shared" si="18"/>
        <v>SWK20056</v>
      </c>
      <c r="E531" s="2">
        <v>38509</v>
      </c>
      <c r="F531" s="3">
        <v>0.28000000000000003</v>
      </c>
      <c r="G531" s="2">
        <v>38531</v>
      </c>
      <c r="H531" s="3">
        <v>2.4899999999999999E-2</v>
      </c>
      <c r="I531" s="3">
        <v>0</v>
      </c>
      <c r="J531" s="3">
        <v>0</v>
      </c>
      <c r="K531" s="3">
        <f t="shared" si="19"/>
        <v>2005</v>
      </c>
      <c r="L531" s="3">
        <f t="shared" si="20"/>
        <v>0</v>
      </c>
      <c r="M531" s="20" t="str">
        <f>A531&amp;L531</f>
        <v>SWK0</v>
      </c>
      <c r="N531" s="3">
        <f>F531</f>
        <v>0.28000000000000003</v>
      </c>
      <c r="O531" s="9">
        <f>H531</f>
        <v>2.4899999999999999E-2</v>
      </c>
      <c r="P531" s="10">
        <f t="shared" si="21"/>
        <v>0</v>
      </c>
      <c r="Q531" s="10">
        <f>IF(K531=0,IF(A528=A531,AVERAGE(O528:O531),"x"),0)</f>
        <v>0</v>
      </c>
      <c r="R531" s="9">
        <f>IF(L531&gt;2005,AVERAGE(O528:O547),0)</f>
        <v>0</v>
      </c>
      <c r="S531" s="10">
        <f>IF(A531=A532,(N531-N532)/N532,0)</f>
        <v>0</v>
      </c>
      <c r="T531" s="10">
        <f>IF(L531&gt;2005,(((N531-N551)/N551)+1)^(1/5)-1,0)</f>
        <v>0</v>
      </c>
      <c r="U531" s="10">
        <f t="shared" si="22"/>
        <v>0</v>
      </c>
      <c r="V531" s="26">
        <f t="shared" si="23"/>
        <v>0</v>
      </c>
      <c r="W531" s="3">
        <f>IF(A531=A532,N531-N532,0)</f>
        <v>0</v>
      </c>
      <c r="X531" s="10">
        <f>IF(A531=A532,(N531-N532)/N532,0)</f>
        <v>0</v>
      </c>
    </row>
    <row r="532" spans="1:24" ht="16.5" customHeight="1">
      <c r="A532" s="3" t="s">
        <v>29</v>
      </c>
      <c r="B532" s="3">
        <f t="shared" si="16"/>
        <v>2005</v>
      </c>
      <c r="C532" s="3">
        <f t="shared" si="17"/>
        <v>3</v>
      </c>
      <c r="D532" s="20" t="str">
        <f t="shared" si="18"/>
        <v>SWK20053</v>
      </c>
      <c r="E532" s="2">
        <v>38418</v>
      </c>
      <c r="F532" s="3">
        <v>0.28000000000000003</v>
      </c>
      <c r="G532" s="2">
        <v>38440</v>
      </c>
      <c r="H532" s="3">
        <v>2.3300000000000001E-2</v>
      </c>
      <c r="I532" s="3">
        <v>0</v>
      </c>
      <c r="J532" s="3">
        <v>0</v>
      </c>
      <c r="K532" s="3">
        <f t="shared" si="19"/>
        <v>0</v>
      </c>
      <c r="L532" s="3">
        <f t="shared" si="20"/>
        <v>2005</v>
      </c>
      <c r="M532" s="20" t="str">
        <f>A532&amp;L532</f>
        <v>SWK2005</v>
      </c>
      <c r="N532" s="3">
        <f>F532</f>
        <v>0.28000000000000003</v>
      </c>
      <c r="O532" s="9">
        <f>H532</f>
        <v>2.3300000000000001E-2</v>
      </c>
      <c r="P532" s="10">
        <f t="shared" si="21"/>
        <v>0</v>
      </c>
      <c r="Q532" s="10">
        <f>IF(K532=0,IF(A529=A532,AVERAGE(O529:O532),"x"),0)</f>
        <v>2.4124999999999997E-2</v>
      </c>
      <c r="R532" s="9">
        <f>IF(L532&gt;2005,AVERAGE(O529:O548),0)</f>
        <v>0</v>
      </c>
      <c r="S532" s="10">
        <f>IF(A532=A533,(N532-N533)/N533,0)</f>
        <v>0</v>
      </c>
      <c r="T532" s="10">
        <f>IF(L532&gt;2005,(((N532-N552)/N552)+1)^(1/5)-1,0)</f>
        <v>0</v>
      </c>
      <c r="U532" s="10">
        <f t="shared" si="22"/>
        <v>0</v>
      </c>
      <c r="V532" s="26">
        <f t="shared" si="23"/>
        <v>0</v>
      </c>
      <c r="W532" s="3">
        <f>IF(A532=A533,N532-N533,0)</f>
        <v>0</v>
      </c>
      <c r="X532" s="10">
        <f>IF(A532=A533,(N532-N533)/N533,0)</f>
        <v>0</v>
      </c>
    </row>
    <row r="533" spans="1:24" ht="16.5" customHeight="1">
      <c r="A533" s="3" t="s">
        <v>29</v>
      </c>
      <c r="B533" s="3">
        <f t="shared" si="16"/>
        <v>2004</v>
      </c>
      <c r="C533" s="3">
        <f t="shared" si="17"/>
        <v>11</v>
      </c>
      <c r="D533" s="20" t="str">
        <f t="shared" si="18"/>
        <v>SWK200411</v>
      </c>
      <c r="E533" s="2">
        <v>38315</v>
      </c>
      <c r="F533" s="3">
        <v>0.28000000000000003</v>
      </c>
      <c r="G533" s="2">
        <v>38342</v>
      </c>
      <c r="H533" s="3">
        <v>2.3E-2</v>
      </c>
      <c r="I533" s="3">
        <v>0</v>
      </c>
      <c r="J533" s="3">
        <v>0</v>
      </c>
      <c r="K533" s="3">
        <f t="shared" si="19"/>
        <v>2004</v>
      </c>
      <c r="L533" s="3">
        <f t="shared" si="20"/>
        <v>0</v>
      </c>
      <c r="M533" s="20" t="str">
        <f>A533&amp;L533</f>
        <v>SWK0</v>
      </c>
      <c r="N533" s="3">
        <f>F533</f>
        <v>0.28000000000000003</v>
      </c>
      <c r="O533" s="9">
        <f>H533</f>
        <v>2.3E-2</v>
      </c>
      <c r="P533" s="10">
        <f t="shared" si="21"/>
        <v>0</v>
      </c>
      <c r="Q533" s="10">
        <f>IF(K533=0,IF(A530=A533,AVERAGE(O530:O533),"x"),0)</f>
        <v>0</v>
      </c>
      <c r="R533" s="9">
        <f>IF(L533&gt;2005,AVERAGE(O530:O549),0)</f>
        <v>0</v>
      </c>
      <c r="S533" s="10">
        <f>IF(A533=A534,(N533-N534)/N534,0)</f>
        <v>0</v>
      </c>
      <c r="T533" s="10">
        <f>IF(L533&gt;2005,(((N533-N553)/N553)+1)^(1/5)-1,0)</f>
        <v>0</v>
      </c>
      <c r="U533" s="10">
        <f t="shared" si="22"/>
        <v>0</v>
      </c>
      <c r="V533" s="26">
        <f t="shared" si="23"/>
        <v>0</v>
      </c>
      <c r="W533" s="3">
        <f>IF(A533=A534,N533-N534,0)</f>
        <v>0</v>
      </c>
      <c r="X533" s="10">
        <f>IF(A533=A534,(N533-N534)/N534,0)</f>
        <v>0</v>
      </c>
    </row>
    <row r="534" spans="1:24" ht="16.5" customHeight="1">
      <c r="A534" s="3" t="s">
        <v>29</v>
      </c>
      <c r="B534" s="3">
        <f t="shared" si="16"/>
        <v>2004</v>
      </c>
      <c r="C534" s="3">
        <f t="shared" si="17"/>
        <v>9</v>
      </c>
      <c r="D534" s="20" t="str">
        <f t="shared" si="18"/>
        <v>SWK20049</v>
      </c>
      <c r="E534" s="2">
        <v>38231</v>
      </c>
      <c r="F534" s="3">
        <v>0.28000000000000003</v>
      </c>
      <c r="G534" s="2">
        <v>38258</v>
      </c>
      <c r="H534" s="3">
        <v>2.4500000000000001E-2</v>
      </c>
      <c r="I534" s="3">
        <v>7.6923077000000006E-2</v>
      </c>
      <c r="J534" s="3">
        <v>0.02</v>
      </c>
      <c r="K534" s="3">
        <f t="shared" si="19"/>
        <v>2004</v>
      </c>
      <c r="L534" s="3">
        <f t="shared" si="20"/>
        <v>0</v>
      </c>
      <c r="M534" s="20" t="str">
        <f>A534&amp;L534</f>
        <v>SWK0</v>
      </c>
      <c r="N534" s="3">
        <f>F534</f>
        <v>0.28000000000000003</v>
      </c>
      <c r="O534" s="9">
        <f>H534</f>
        <v>2.4500000000000001E-2</v>
      </c>
      <c r="P534" s="10">
        <f t="shared" si="21"/>
        <v>2.6600000000000002E-2</v>
      </c>
      <c r="Q534" s="10">
        <f>IF(K534=0,IF(A531=A534,AVERAGE(O531:O534),"x"),0)</f>
        <v>0</v>
      </c>
      <c r="R534" s="9">
        <f>IF(L534&gt;2005,AVERAGE(O531:O550),0)</f>
        <v>0</v>
      </c>
      <c r="S534" s="10">
        <f>IF(A534=A535,(N534-N535)/N535,0)</f>
        <v>7.6923076923076983E-2</v>
      </c>
      <c r="T534" s="10">
        <f>IF(L534&gt;2005,(((N534-N554)/N554)+1)^(1/5)-1,0)</f>
        <v>0</v>
      </c>
      <c r="U534" s="10">
        <f t="shared" si="22"/>
        <v>0</v>
      </c>
      <c r="V534" s="26">
        <f t="shared" si="23"/>
        <v>0</v>
      </c>
      <c r="W534" s="3">
        <f>IF(A534=A535,N534-N535,0)</f>
        <v>2.0000000000000018E-2</v>
      </c>
      <c r="X534" s="10">
        <f>IF(A534=A535,(N534-N535)/N535,0)</f>
        <v>7.6923076923076983E-2</v>
      </c>
    </row>
    <row r="535" spans="1:24" ht="16.5" customHeight="1">
      <c r="A535" s="3" t="s">
        <v>29</v>
      </c>
      <c r="B535" s="3">
        <f t="shared" si="16"/>
        <v>2004</v>
      </c>
      <c r="C535" s="3">
        <f t="shared" si="17"/>
        <v>6</v>
      </c>
      <c r="D535" s="20" t="str">
        <f t="shared" si="18"/>
        <v>SWK20046</v>
      </c>
      <c r="E535" s="2">
        <v>38140</v>
      </c>
      <c r="F535" s="3">
        <v>0.26</v>
      </c>
      <c r="G535" s="2">
        <v>38167</v>
      </c>
      <c r="H535" s="3">
        <v>2.3599999999999999E-2</v>
      </c>
      <c r="I535" s="3">
        <v>0</v>
      </c>
      <c r="J535" s="3">
        <v>0</v>
      </c>
      <c r="K535" s="3">
        <f t="shared" si="19"/>
        <v>2004</v>
      </c>
      <c r="L535" s="3">
        <f t="shared" si="20"/>
        <v>0</v>
      </c>
      <c r="M535" s="20" t="str">
        <f>A535&amp;L535</f>
        <v>SWK0</v>
      </c>
      <c r="N535" s="3">
        <f>F535</f>
        <v>0.26</v>
      </c>
      <c r="O535" s="9">
        <f>H535</f>
        <v>2.3599999999999999E-2</v>
      </c>
      <c r="P535" s="10">
        <f t="shared" si="21"/>
        <v>0</v>
      </c>
      <c r="Q535" s="10">
        <f>IF(K535=0,IF(A532=A535,AVERAGE(O532:O535),"x"),0)</f>
        <v>0</v>
      </c>
      <c r="R535" s="9">
        <f>IF(L535&gt;2005,AVERAGE(O532:O551),0)</f>
        <v>0</v>
      </c>
      <c r="S535" s="10">
        <f>IF(A535=A536,(N535-N536)/N536,0)</f>
        <v>0</v>
      </c>
      <c r="T535" s="10">
        <f>IF(L535&gt;2005,(((N535-N555)/N555)+1)^(1/5)-1,0)</f>
        <v>0</v>
      </c>
      <c r="U535" s="10">
        <f t="shared" si="22"/>
        <v>0</v>
      </c>
      <c r="V535" s="26">
        <f t="shared" si="23"/>
        <v>0</v>
      </c>
      <c r="W535" s="3">
        <f>IF(A535=A536,N535-N536,0)</f>
        <v>0</v>
      </c>
      <c r="X535" s="10">
        <f>IF(A535=A536,(N535-N536)/N536,0)</f>
        <v>0</v>
      </c>
    </row>
    <row r="536" spans="1:24" ht="16.5" customHeight="1">
      <c r="A536" s="3" t="s">
        <v>29</v>
      </c>
      <c r="B536" s="3">
        <f t="shared" si="16"/>
        <v>2004</v>
      </c>
      <c r="C536" s="3">
        <f t="shared" si="17"/>
        <v>3</v>
      </c>
      <c r="D536" s="20" t="str">
        <f t="shared" si="18"/>
        <v>SWK20043</v>
      </c>
      <c r="E536" s="2">
        <v>38050</v>
      </c>
      <c r="F536" s="3">
        <v>0.26</v>
      </c>
      <c r="G536" s="2">
        <v>38076</v>
      </c>
      <c r="H536" s="3">
        <v>2.6800000000000001E-2</v>
      </c>
      <c r="I536" s="3">
        <v>0</v>
      </c>
      <c r="J536" s="3">
        <v>0</v>
      </c>
      <c r="K536" s="3">
        <f t="shared" si="19"/>
        <v>0</v>
      </c>
      <c r="L536" s="3">
        <f t="shared" si="20"/>
        <v>2004</v>
      </c>
      <c r="M536" s="20" t="str">
        <f>A536&amp;L536</f>
        <v>SWK2004</v>
      </c>
      <c r="N536" s="3">
        <f>F536</f>
        <v>0.26</v>
      </c>
      <c r="O536" s="9">
        <f>H536</f>
        <v>2.6800000000000001E-2</v>
      </c>
      <c r="P536" s="10">
        <f t="shared" si="21"/>
        <v>0</v>
      </c>
      <c r="Q536" s="10">
        <f>IF(K536=0,IF(A533=A536,AVERAGE(O533:O536),"x"),0)</f>
        <v>2.4475E-2</v>
      </c>
      <c r="R536" s="9">
        <f>IF(L536&gt;2005,AVERAGE(O533:O552),0)</f>
        <v>0</v>
      </c>
      <c r="S536" s="10">
        <f>IF(A536=A537,(N536-N537)/N537,0)</f>
        <v>0</v>
      </c>
      <c r="T536" s="10">
        <f>IF(L536&gt;2005,(((N536-N556)/N556)+1)^(1/5)-1,0)</f>
        <v>0</v>
      </c>
      <c r="U536" s="10">
        <f t="shared" si="22"/>
        <v>0</v>
      </c>
      <c r="V536" s="26">
        <f t="shared" si="23"/>
        <v>0</v>
      </c>
      <c r="W536" s="3">
        <f>IF(A536=A537,N536-N537,0)</f>
        <v>0</v>
      </c>
      <c r="X536" s="10">
        <f>IF(A536=A537,(N536-N537)/N537,0)</f>
        <v>0</v>
      </c>
    </row>
    <row r="537" spans="1:24" ht="16.5" customHeight="1">
      <c r="A537" s="3" t="s">
        <v>29</v>
      </c>
      <c r="B537" s="3">
        <f t="shared" si="16"/>
        <v>2003</v>
      </c>
      <c r="C537" s="3">
        <f t="shared" si="17"/>
        <v>11</v>
      </c>
      <c r="D537" s="20" t="str">
        <f t="shared" si="18"/>
        <v>SWK200311</v>
      </c>
      <c r="E537" s="2">
        <v>37944</v>
      </c>
      <c r="F537" s="3">
        <v>0.26</v>
      </c>
      <c r="G537" s="2">
        <v>37986</v>
      </c>
      <c r="H537" s="3">
        <v>3.15E-2</v>
      </c>
      <c r="I537" s="3">
        <v>0</v>
      </c>
      <c r="J537" s="3">
        <v>0</v>
      </c>
      <c r="K537" s="3">
        <f t="shared" si="19"/>
        <v>2003</v>
      </c>
      <c r="L537" s="3">
        <f t="shared" si="20"/>
        <v>0</v>
      </c>
      <c r="M537" s="20" t="str">
        <f>A537&amp;L537</f>
        <v>SWK0</v>
      </c>
      <c r="N537" s="3">
        <f>F537</f>
        <v>0.26</v>
      </c>
      <c r="O537" s="9">
        <f>H537</f>
        <v>3.15E-2</v>
      </c>
      <c r="P537" s="10">
        <f t="shared" si="21"/>
        <v>0</v>
      </c>
      <c r="Q537" s="10">
        <f>IF(K537=0,IF(A534=A537,AVERAGE(O534:O537),"x"),0)</f>
        <v>0</v>
      </c>
      <c r="R537" s="9">
        <f>IF(L537&gt;2005,AVERAGE(O534:O553),0)</f>
        <v>0</v>
      </c>
      <c r="S537" s="10">
        <f>IF(A537=A538,(N537-N538)/N538,0)</f>
        <v>0</v>
      </c>
      <c r="T537" s="10">
        <f>IF(L537&gt;2005,(((N537-N557)/N557)+1)^(1/5)-1,0)</f>
        <v>0</v>
      </c>
      <c r="U537" s="10">
        <f t="shared" si="22"/>
        <v>0</v>
      </c>
      <c r="V537" s="26">
        <f t="shared" si="23"/>
        <v>0</v>
      </c>
      <c r="W537" s="3">
        <f>IF(A537=A538,N537-N538,0)</f>
        <v>0</v>
      </c>
      <c r="X537" s="10">
        <f>IF(A537=A538,(N537-N538)/N538,0)</f>
        <v>0</v>
      </c>
    </row>
    <row r="538" spans="1:24" ht="16.5" customHeight="1">
      <c r="A538" s="3" t="s">
        <v>29</v>
      </c>
      <c r="B538" s="3">
        <f t="shared" si="16"/>
        <v>2003</v>
      </c>
      <c r="C538" s="3">
        <f t="shared" si="17"/>
        <v>8</v>
      </c>
      <c r="D538" s="20" t="str">
        <f t="shared" si="18"/>
        <v>SWK20038</v>
      </c>
      <c r="E538" s="2">
        <v>37861</v>
      </c>
      <c r="F538" s="3">
        <v>0.26</v>
      </c>
      <c r="G538" s="2">
        <v>37887</v>
      </c>
      <c r="H538" s="3">
        <v>3.4700000000000002E-2</v>
      </c>
      <c r="I538" s="3">
        <v>1.9607843E-2</v>
      </c>
      <c r="J538" s="3">
        <v>5.0000000000000001E-3</v>
      </c>
      <c r="K538" s="3">
        <f t="shared" si="19"/>
        <v>2003</v>
      </c>
      <c r="L538" s="3">
        <f t="shared" si="20"/>
        <v>0</v>
      </c>
      <c r="M538" s="20" t="str">
        <f>A538&amp;L538</f>
        <v>SWK0</v>
      </c>
      <c r="N538" s="3">
        <f>F538</f>
        <v>0.26</v>
      </c>
      <c r="O538" s="9">
        <f>H538</f>
        <v>3.4700000000000002E-2</v>
      </c>
      <c r="P538" s="10">
        <f t="shared" si="21"/>
        <v>3.5450000000000002E-2</v>
      </c>
      <c r="Q538" s="10">
        <f>IF(K538=0,IF(A535=A538,AVERAGE(O535:O538),"x"),0)</f>
        <v>0</v>
      </c>
      <c r="R538" s="9">
        <f>IF(L538&gt;2005,AVERAGE(O535:O554),0)</f>
        <v>0</v>
      </c>
      <c r="S538" s="10">
        <f>IF(A538=A539,(N538-N539)/N539,0)</f>
        <v>1.9607843137254919E-2</v>
      </c>
      <c r="T538" s="10">
        <f>IF(L538&gt;2005,(((N538-N558)/N558)+1)^(1/5)-1,0)</f>
        <v>0</v>
      </c>
      <c r="U538" s="10">
        <f t="shared" si="22"/>
        <v>0</v>
      </c>
      <c r="V538" s="26">
        <f t="shared" si="23"/>
        <v>0</v>
      </c>
      <c r="W538" s="3">
        <f>IF(A538=A539,N538-N539,0)</f>
        <v>5.0000000000000044E-3</v>
      </c>
      <c r="X538" s="10">
        <f>IF(A538=A539,(N538-N539)/N539,0)</f>
        <v>1.9607843137254919E-2</v>
      </c>
    </row>
    <row r="539" spans="1:24" ht="16.5" customHeight="1">
      <c r="A539" s="3" t="s">
        <v>29</v>
      </c>
      <c r="B539" s="3">
        <f t="shared" si="16"/>
        <v>2003</v>
      </c>
      <c r="C539" s="3">
        <f t="shared" si="17"/>
        <v>5</v>
      </c>
      <c r="D539" s="20" t="str">
        <f t="shared" si="18"/>
        <v>SWK20035</v>
      </c>
      <c r="E539" s="2">
        <v>37770</v>
      </c>
      <c r="F539" s="3">
        <v>0.255</v>
      </c>
      <c r="G539" s="2">
        <v>37799</v>
      </c>
      <c r="H539" s="3">
        <v>3.7100000000000001E-2</v>
      </c>
      <c r="I539" s="3">
        <v>0</v>
      </c>
      <c r="J539" s="3">
        <v>0</v>
      </c>
      <c r="K539" s="3">
        <f t="shared" si="19"/>
        <v>2003</v>
      </c>
      <c r="L539" s="3">
        <f t="shared" si="20"/>
        <v>0</v>
      </c>
      <c r="M539" s="20" t="str">
        <f>A539&amp;L539</f>
        <v>SWK0</v>
      </c>
      <c r="N539" s="3">
        <f>F539</f>
        <v>0.255</v>
      </c>
      <c r="O539" s="9">
        <f>H539</f>
        <v>3.7100000000000001E-2</v>
      </c>
      <c r="P539" s="10">
        <f t="shared" si="21"/>
        <v>0</v>
      </c>
      <c r="Q539" s="10">
        <f>IF(K539=0,IF(A536=A539,AVERAGE(O536:O539),"x"),0)</f>
        <v>0</v>
      </c>
      <c r="R539" s="9">
        <f>IF(L539&gt;2005,AVERAGE(O536:O555),0)</f>
        <v>0</v>
      </c>
      <c r="S539" s="10">
        <f>IF(A539=A540,(N539-N540)/N540,0)</f>
        <v>0</v>
      </c>
      <c r="T539" s="10">
        <f>IF(L539&gt;2005,(((N539-N559)/N559)+1)^(1/5)-1,0)</f>
        <v>0</v>
      </c>
      <c r="U539" s="10">
        <f t="shared" si="22"/>
        <v>0</v>
      </c>
      <c r="V539" s="26">
        <f t="shared" si="23"/>
        <v>0</v>
      </c>
      <c r="W539" s="3">
        <f>IF(A539=A540,N539-N540,0)</f>
        <v>0</v>
      </c>
      <c r="X539" s="10">
        <f>IF(A539=A540,(N539-N540)/N540,0)</f>
        <v>0</v>
      </c>
    </row>
    <row r="540" spans="1:24" ht="16.5" customHeight="1">
      <c r="A540" s="3" t="s">
        <v>29</v>
      </c>
      <c r="B540" s="3">
        <f t="shared" si="16"/>
        <v>2003</v>
      </c>
      <c r="C540" s="3">
        <f t="shared" si="17"/>
        <v>3</v>
      </c>
      <c r="D540" s="20" t="str">
        <f t="shared" si="18"/>
        <v>SWK20033</v>
      </c>
      <c r="E540" s="2">
        <v>37686</v>
      </c>
      <c r="F540" s="3">
        <v>0.255</v>
      </c>
      <c r="G540" s="2">
        <v>37708</v>
      </c>
      <c r="H540" s="3">
        <v>0.04</v>
      </c>
      <c r="I540" s="3">
        <v>0</v>
      </c>
      <c r="J540" s="3">
        <v>0</v>
      </c>
      <c r="K540" s="3">
        <f t="shared" si="19"/>
        <v>0</v>
      </c>
      <c r="L540" s="3">
        <f t="shared" si="20"/>
        <v>2003</v>
      </c>
      <c r="M540" s="20" t="str">
        <f>A540&amp;L540</f>
        <v>SWK2003</v>
      </c>
      <c r="N540" s="3">
        <f>F540</f>
        <v>0.255</v>
      </c>
      <c r="O540" s="9">
        <f>H540</f>
        <v>0.04</v>
      </c>
      <c r="P540" s="10">
        <f t="shared" si="21"/>
        <v>0</v>
      </c>
      <c r="Q540" s="10">
        <f>IF(K540=0,IF(A537=A540,AVERAGE(O537:O540),"x"),0)</f>
        <v>3.5825000000000003E-2</v>
      </c>
      <c r="R540" s="9">
        <f>IF(L540&gt;2005,AVERAGE(O537:O556),0)</f>
        <v>0</v>
      </c>
      <c r="S540" s="10">
        <f>IF(A540=A541,(N540-N541)/N541,0)</f>
        <v>0</v>
      </c>
      <c r="T540" s="10">
        <f>IF(L540&gt;2005,(((N540-N560)/N560)+1)^(1/5)-1,0)</f>
        <v>0</v>
      </c>
      <c r="U540" s="10">
        <f t="shared" si="22"/>
        <v>0</v>
      </c>
      <c r="V540" s="26">
        <f t="shared" si="23"/>
        <v>0</v>
      </c>
      <c r="W540" s="3">
        <f>IF(A540=A541,N540-N541,0)</f>
        <v>0</v>
      </c>
      <c r="X540" s="10">
        <f>IF(A540=A541,(N540-N541)/N541,0)</f>
        <v>0</v>
      </c>
    </row>
    <row r="541" spans="1:24" ht="16.5" customHeight="1">
      <c r="A541" s="3" t="s">
        <v>29</v>
      </c>
      <c r="B541" s="3">
        <f t="shared" si="16"/>
        <v>2002</v>
      </c>
      <c r="C541" s="3">
        <f t="shared" si="17"/>
        <v>11</v>
      </c>
      <c r="D541" s="20" t="str">
        <f t="shared" si="18"/>
        <v>SWK200211</v>
      </c>
      <c r="E541" s="2">
        <v>37580</v>
      </c>
      <c r="F541" s="3">
        <v>0.255</v>
      </c>
      <c r="G541" s="2">
        <v>37617</v>
      </c>
      <c r="H541" s="3">
        <v>0.03</v>
      </c>
      <c r="I541" s="3">
        <v>0</v>
      </c>
      <c r="J541" s="3">
        <v>0</v>
      </c>
      <c r="K541" s="3">
        <f t="shared" si="19"/>
        <v>2002</v>
      </c>
      <c r="L541" s="3">
        <f t="shared" si="20"/>
        <v>0</v>
      </c>
      <c r="M541" s="20" t="str">
        <f>A541&amp;L541</f>
        <v>SWK0</v>
      </c>
      <c r="N541" s="3">
        <f>F541</f>
        <v>0.255</v>
      </c>
      <c r="O541" s="9">
        <f>H541</f>
        <v>0.03</v>
      </c>
      <c r="P541" s="10">
        <f t="shared" si="21"/>
        <v>0</v>
      </c>
      <c r="Q541" s="10">
        <f>IF(K541=0,IF(A538=A541,AVERAGE(O538:O541),"x"),0)</f>
        <v>0</v>
      </c>
      <c r="R541" s="9">
        <f>IF(L541&gt;2005,AVERAGE(O538:O557),0)</f>
        <v>0</v>
      </c>
      <c r="S541" s="10">
        <f>IF(A541=A542,(N541-N542)/N542,0)</f>
        <v>0</v>
      </c>
      <c r="T541" s="10">
        <f>IF(L541&gt;2005,(((N541-N561)/N561)+1)^(1/5)-1,0)</f>
        <v>0</v>
      </c>
      <c r="U541" s="10">
        <f t="shared" si="22"/>
        <v>0</v>
      </c>
      <c r="V541" s="26">
        <f t="shared" si="23"/>
        <v>0</v>
      </c>
      <c r="W541" s="3">
        <f>IF(A541=A542,N541-N542,0)</f>
        <v>0</v>
      </c>
      <c r="X541" s="10">
        <f>IF(A541=A542,(N541-N542)/N542,0)</f>
        <v>0</v>
      </c>
    </row>
    <row r="542" spans="1:24" ht="16.5" customHeight="1">
      <c r="A542" s="3" t="s">
        <v>29</v>
      </c>
      <c r="B542" s="3">
        <f t="shared" si="16"/>
        <v>2002</v>
      </c>
      <c r="C542" s="3">
        <f t="shared" si="17"/>
        <v>8</v>
      </c>
      <c r="D542" s="20" t="str">
        <f t="shared" si="18"/>
        <v>SWK20028</v>
      </c>
      <c r="E542" s="2">
        <v>37497</v>
      </c>
      <c r="F542" s="3">
        <v>0.255</v>
      </c>
      <c r="G542" s="2">
        <v>37523</v>
      </c>
      <c r="H542" s="3">
        <v>2.7699999999999999E-2</v>
      </c>
      <c r="I542" s="3">
        <v>6.25E-2</v>
      </c>
      <c r="J542" s="3">
        <v>1.4999999999999999E-2</v>
      </c>
      <c r="K542" s="3">
        <f t="shared" si="19"/>
        <v>2002</v>
      </c>
      <c r="L542" s="3">
        <f t="shared" si="20"/>
        <v>0</v>
      </c>
      <c r="M542" s="20" t="str">
        <f>A542&amp;L542</f>
        <v>SWK0</v>
      </c>
      <c r="N542" s="3">
        <f>F542</f>
        <v>0.255</v>
      </c>
      <c r="O542" s="9">
        <f>H542</f>
        <v>2.7699999999999999E-2</v>
      </c>
      <c r="P542" s="10">
        <f t="shared" si="21"/>
        <v>2.2974999999999999E-2</v>
      </c>
      <c r="Q542" s="10">
        <f>IF(K542=0,IF(A539=A542,AVERAGE(O539:O542),"x"),0)</f>
        <v>0</v>
      </c>
      <c r="R542" s="9">
        <f>IF(L542&gt;2005,AVERAGE(O539:O558),0)</f>
        <v>0</v>
      </c>
      <c r="S542" s="10">
        <f>IF(A542=A543,(N542-N543)/N543,0)</f>
        <v>6.2500000000000056E-2</v>
      </c>
      <c r="T542" s="10">
        <f>IF(L542&gt;2005,(((N542-N562)/N562)+1)^(1/5)-1,0)</f>
        <v>0</v>
      </c>
      <c r="U542" s="10">
        <f t="shared" si="22"/>
        <v>0</v>
      </c>
      <c r="V542" s="26">
        <f t="shared" si="23"/>
        <v>0</v>
      </c>
      <c r="W542" s="3">
        <f>IF(A542=A543,N542-N543,0)</f>
        <v>1.5000000000000013E-2</v>
      </c>
      <c r="X542" s="10">
        <f>IF(A542=A543,(N542-N543)/N543,0)</f>
        <v>6.2500000000000056E-2</v>
      </c>
    </row>
    <row r="543" spans="1:24" ht="16.5" customHeight="1">
      <c r="A543" s="3" t="s">
        <v>29</v>
      </c>
      <c r="B543" s="3">
        <f t="shared" si="16"/>
        <v>2002</v>
      </c>
      <c r="C543" s="3">
        <f t="shared" si="17"/>
        <v>5</v>
      </c>
      <c r="D543" s="20" t="str">
        <f t="shared" si="18"/>
        <v>SWK20025</v>
      </c>
      <c r="E543" s="2">
        <v>37406</v>
      </c>
      <c r="F543" s="3">
        <v>0.24</v>
      </c>
      <c r="G543" s="2">
        <v>37435</v>
      </c>
      <c r="H543" s="3">
        <v>2.3199999999999998E-2</v>
      </c>
      <c r="I543" s="3">
        <v>0</v>
      </c>
      <c r="J543" s="3">
        <v>0</v>
      </c>
      <c r="K543" s="3">
        <f t="shared" si="19"/>
        <v>2002</v>
      </c>
      <c r="L543" s="3">
        <f t="shared" si="20"/>
        <v>0</v>
      </c>
      <c r="M543" s="20" t="str">
        <f>A543&amp;L543</f>
        <v>SWK0</v>
      </c>
      <c r="N543" s="3">
        <f>F543</f>
        <v>0.24</v>
      </c>
      <c r="O543" s="9">
        <f>H543</f>
        <v>2.3199999999999998E-2</v>
      </c>
      <c r="P543" s="10">
        <f t="shared" si="21"/>
        <v>0</v>
      </c>
      <c r="Q543" s="10">
        <f>IF(K543=0,IF(A540=A543,AVERAGE(O540:O543),"x"),0)</f>
        <v>0</v>
      </c>
      <c r="R543" s="9">
        <f>IF(L543&gt;2005,AVERAGE(O540:O559),0)</f>
        <v>0</v>
      </c>
      <c r="S543" s="10">
        <f>IF(A543=A544,(N543-N544)/N544,0)</f>
        <v>0</v>
      </c>
      <c r="T543" s="10">
        <f>IF(L543&gt;2005,(((N543-N563)/N563)+1)^(1/5)-1,0)</f>
        <v>0</v>
      </c>
      <c r="U543" s="10">
        <f t="shared" si="22"/>
        <v>0</v>
      </c>
      <c r="V543" s="26">
        <f t="shared" si="23"/>
        <v>0</v>
      </c>
      <c r="W543" s="3">
        <f>IF(A543=A544,N543-N544,0)</f>
        <v>0</v>
      </c>
      <c r="X543" s="10">
        <f>IF(A543=A544,(N543-N544)/N544,0)</f>
        <v>0</v>
      </c>
    </row>
    <row r="544" spans="1:24" ht="16.5" customHeight="1">
      <c r="A544" s="3" t="s">
        <v>29</v>
      </c>
      <c r="B544" s="3">
        <f t="shared" si="16"/>
        <v>2002</v>
      </c>
      <c r="C544" s="3">
        <f t="shared" si="17"/>
        <v>2</v>
      </c>
      <c r="D544" s="20" t="str">
        <f t="shared" si="18"/>
        <v>SWK20022</v>
      </c>
      <c r="E544" s="2">
        <v>37315</v>
      </c>
      <c r="F544" s="3">
        <v>0.24</v>
      </c>
      <c r="G544" s="2">
        <v>37337</v>
      </c>
      <c r="H544" s="3">
        <v>1.8700000000000001E-2</v>
      </c>
      <c r="I544" s="3">
        <v>0</v>
      </c>
      <c r="J544" s="3">
        <v>0</v>
      </c>
      <c r="K544" s="3">
        <f t="shared" si="19"/>
        <v>0</v>
      </c>
      <c r="L544" s="3">
        <f t="shared" si="20"/>
        <v>2002</v>
      </c>
      <c r="M544" s="20" t="str">
        <f>A544&amp;L544</f>
        <v>SWK2002</v>
      </c>
      <c r="N544" s="3">
        <f>F544</f>
        <v>0.24</v>
      </c>
      <c r="O544" s="9">
        <f>H544</f>
        <v>1.8700000000000001E-2</v>
      </c>
      <c r="P544" s="10">
        <f t="shared" si="21"/>
        <v>0</v>
      </c>
      <c r="Q544" s="10">
        <f>IF(K544=0,IF(A541=A544,AVERAGE(O541:O544),"x"),0)</f>
        <v>2.4899999999999999E-2</v>
      </c>
      <c r="R544" s="9">
        <f>IF(L544&gt;2005,AVERAGE(O541:O560),0)</f>
        <v>0</v>
      </c>
      <c r="S544" s="10">
        <f>IF(A544=A545,(N544-N545)/N545,0)</f>
        <v>0</v>
      </c>
      <c r="T544" s="10">
        <f>IF(L544&gt;2005,(((N544-N564)/N564)+1)^(1/5)-1,0)</f>
        <v>0</v>
      </c>
      <c r="U544" s="10">
        <f t="shared" si="22"/>
        <v>0</v>
      </c>
      <c r="V544" s="26">
        <f t="shared" si="23"/>
        <v>0</v>
      </c>
      <c r="W544" s="3">
        <f>IF(A544=A545,N544-N545,0)</f>
        <v>0</v>
      </c>
      <c r="X544" s="10">
        <f>IF(A544=A545,(N544-N545)/N545,0)</f>
        <v>0</v>
      </c>
    </row>
    <row r="545" spans="1:24" ht="16.5" customHeight="1">
      <c r="A545" s="3" t="s">
        <v>29</v>
      </c>
      <c r="B545" s="3">
        <f t="shared" si="16"/>
        <v>2001</v>
      </c>
      <c r="C545" s="3">
        <f t="shared" si="17"/>
        <v>11</v>
      </c>
      <c r="D545" s="20" t="str">
        <f t="shared" si="18"/>
        <v>SWK200111</v>
      </c>
      <c r="E545" s="2">
        <v>37215</v>
      </c>
      <c r="F545" s="3">
        <v>0.24</v>
      </c>
      <c r="G545" s="2">
        <v>37252</v>
      </c>
      <c r="H545" s="3">
        <v>2.23E-2</v>
      </c>
      <c r="I545" s="3">
        <v>0</v>
      </c>
      <c r="J545" s="3">
        <v>0</v>
      </c>
      <c r="K545" s="3">
        <f t="shared" si="19"/>
        <v>2001</v>
      </c>
      <c r="L545" s="3">
        <f t="shared" si="20"/>
        <v>0</v>
      </c>
      <c r="M545" s="20" t="str">
        <f>A545&amp;L545</f>
        <v>SWK0</v>
      </c>
      <c r="N545" s="3">
        <f>F545</f>
        <v>0.24</v>
      </c>
      <c r="O545" s="9">
        <f>H545</f>
        <v>2.23E-2</v>
      </c>
      <c r="P545" s="10">
        <f t="shared" si="21"/>
        <v>0</v>
      </c>
      <c r="Q545" s="10">
        <f>IF(K545=0,IF(A542=A545,AVERAGE(O542:O545),"x"),0)</f>
        <v>0</v>
      </c>
      <c r="R545" s="9">
        <f>IF(L545&gt;2005,AVERAGE(O542:O561),0)</f>
        <v>0</v>
      </c>
      <c r="S545" s="10">
        <f>IF(A545=A546,(N545-N546)/N546,0)</f>
        <v>0</v>
      </c>
      <c r="T545" s="10">
        <f>IF(L545&gt;2005,(((N545-N565)/N565)+1)^(1/5)-1,0)</f>
        <v>0</v>
      </c>
      <c r="U545" s="10">
        <f t="shared" si="22"/>
        <v>0</v>
      </c>
      <c r="V545" s="26">
        <f t="shared" si="23"/>
        <v>0</v>
      </c>
      <c r="W545" s="3">
        <f>IF(A545=A546,N545-N546,0)</f>
        <v>0</v>
      </c>
      <c r="X545" s="10">
        <f>IF(A545=A546,(N545-N546)/N546,0)</f>
        <v>0</v>
      </c>
    </row>
    <row r="546" spans="1:24" ht="16.5" customHeight="1">
      <c r="A546" s="3" t="s">
        <v>29</v>
      </c>
      <c r="B546" s="3">
        <f t="shared" si="16"/>
        <v>2001</v>
      </c>
      <c r="C546" s="3">
        <f t="shared" si="17"/>
        <v>8</v>
      </c>
      <c r="D546" s="20" t="str">
        <f t="shared" si="18"/>
        <v>SWK20018</v>
      </c>
      <c r="E546" s="2">
        <v>37133</v>
      </c>
      <c r="F546" s="3">
        <v>0.24</v>
      </c>
      <c r="G546" s="2">
        <v>37159</v>
      </c>
      <c r="H546" s="3">
        <v>2.2200000000000001E-2</v>
      </c>
      <c r="I546" s="3">
        <v>4.3478260999999997E-2</v>
      </c>
      <c r="J546" s="3">
        <v>0.01</v>
      </c>
      <c r="K546" s="3">
        <f t="shared" si="19"/>
        <v>2001</v>
      </c>
      <c r="L546" s="3">
        <f t="shared" si="20"/>
        <v>0</v>
      </c>
      <c r="M546" s="20" t="str">
        <f>A546&amp;L546</f>
        <v>SWK0</v>
      </c>
      <c r="N546" s="3">
        <f>F546</f>
        <v>0.24</v>
      </c>
      <c r="O546" s="9">
        <f>H546</f>
        <v>2.2200000000000001E-2</v>
      </c>
      <c r="P546" s="10">
        <f t="shared" si="21"/>
        <v>2.7299999999999998E-2</v>
      </c>
      <c r="Q546" s="10">
        <f>IF(K546=0,IF(A543=A546,AVERAGE(O543:O546),"x"),0)</f>
        <v>0</v>
      </c>
      <c r="R546" s="9">
        <f>IF(L546&gt;2005,AVERAGE(O543:O562),0)</f>
        <v>0</v>
      </c>
      <c r="S546" s="10">
        <f>IF(A546=A547,(N546-N547)/N547,0)</f>
        <v>4.3478260869565133E-2</v>
      </c>
      <c r="T546" s="10">
        <f>IF(L546&gt;2005,(((N546-N566)/N566)+1)^(1/5)-1,0)</f>
        <v>0</v>
      </c>
      <c r="U546" s="10">
        <f t="shared" si="22"/>
        <v>0</v>
      </c>
      <c r="V546" s="26">
        <f t="shared" si="23"/>
        <v>0</v>
      </c>
      <c r="W546" s="3">
        <f>IF(A546=A547,N546-N547,0)</f>
        <v>9.9999999999999811E-3</v>
      </c>
      <c r="X546" s="10">
        <f>IF(A546=A547,(N546-N547)/N547,0)</f>
        <v>4.3478260869565133E-2</v>
      </c>
    </row>
    <row r="547" spans="1:24" ht="16.5" customHeight="1">
      <c r="A547" s="3" t="s">
        <v>29</v>
      </c>
      <c r="B547" s="3">
        <f t="shared" si="16"/>
        <v>2001</v>
      </c>
      <c r="C547" s="3">
        <f t="shared" si="17"/>
        <v>5</v>
      </c>
      <c r="D547" s="20" t="str">
        <f t="shared" si="18"/>
        <v>SWK20015</v>
      </c>
      <c r="E547" s="2">
        <v>37042</v>
      </c>
      <c r="F547" s="3">
        <v>0.23</v>
      </c>
      <c r="G547" s="2">
        <v>37071</v>
      </c>
      <c r="H547" s="3">
        <v>2.4400000000000002E-2</v>
      </c>
      <c r="I547" s="3">
        <v>0</v>
      </c>
      <c r="J547" s="3">
        <v>0</v>
      </c>
      <c r="K547" s="3">
        <f t="shared" si="19"/>
        <v>2001</v>
      </c>
      <c r="L547" s="3">
        <f t="shared" si="20"/>
        <v>0</v>
      </c>
      <c r="M547" s="20" t="str">
        <f>A547&amp;L547</f>
        <v>SWK0</v>
      </c>
      <c r="N547" s="3">
        <f>F547</f>
        <v>0.23</v>
      </c>
      <c r="O547" s="9">
        <f>H547</f>
        <v>2.4400000000000002E-2</v>
      </c>
      <c r="P547" s="10">
        <f t="shared" si="21"/>
        <v>0</v>
      </c>
      <c r="Q547" s="10">
        <f>IF(K547=0,IF(A544=A547,AVERAGE(O544:O547),"x"),0)</f>
        <v>0</v>
      </c>
      <c r="R547" s="9">
        <f>IF(L547&gt;2005,AVERAGE(O544:O563),0)</f>
        <v>0</v>
      </c>
      <c r="S547" s="10">
        <f>IF(A547=A548,(N547-N548)/N548,0)</f>
        <v>0</v>
      </c>
      <c r="T547" s="10">
        <f>IF(L547&gt;2005,(((N547-N567)/N567)+1)^(1/5)-1,0)</f>
        <v>0</v>
      </c>
      <c r="U547" s="10">
        <f t="shared" si="22"/>
        <v>0</v>
      </c>
      <c r="V547" s="26">
        <f t="shared" si="23"/>
        <v>0</v>
      </c>
      <c r="W547" s="3">
        <f>IF(A547=A548,N547-N548,0)</f>
        <v>0</v>
      </c>
      <c r="X547" s="10">
        <f>IF(A547=A548,(N547-N548)/N548,0)</f>
        <v>0</v>
      </c>
    </row>
    <row r="548" spans="1:24" ht="16.5" customHeight="1">
      <c r="A548" s="3" t="s">
        <v>29</v>
      </c>
      <c r="B548" s="3">
        <f t="shared" si="16"/>
        <v>2001</v>
      </c>
      <c r="C548" s="3">
        <f t="shared" si="17"/>
        <v>3</v>
      </c>
      <c r="D548" s="20" t="str">
        <f t="shared" si="18"/>
        <v>SWK20013</v>
      </c>
      <c r="E548" s="2">
        <v>36951</v>
      </c>
      <c r="F548" s="3">
        <v>0.23</v>
      </c>
      <c r="G548" s="2">
        <v>36973</v>
      </c>
      <c r="H548" s="3">
        <v>2.6100000000000002E-2</v>
      </c>
      <c r="I548" s="3">
        <v>0</v>
      </c>
      <c r="J548" s="3">
        <v>0</v>
      </c>
      <c r="K548" s="3">
        <f t="shared" si="19"/>
        <v>0</v>
      </c>
      <c r="L548" s="3">
        <f t="shared" si="20"/>
        <v>2001</v>
      </c>
      <c r="M548" s="20" t="str">
        <f>A548&amp;L548</f>
        <v>SWK2001</v>
      </c>
      <c r="N548" s="3">
        <f>F548</f>
        <v>0.23</v>
      </c>
      <c r="O548" s="9">
        <f>H548</f>
        <v>2.6100000000000002E-2</v>
      </c>
      <c r="P548" s="10">
        <f t="shared" si="21"/>
        <v>0</v>
      </c>
      <c r="Q548" s="10">
        <f>IF(K548=0,IF(A545=A548,AVERAGE(O545:O548),"x"),0)</f>
        <v>2.375E-2</v>
      </c>
      <c r="R548" s="9">
        <f>IF(L548&gt;2005,AVERAGE(O545:O564),0)</f>
        <v>0</v>
      </c>
      <c r="S548" s="10">
        <f>IF(A548=A549,(N548-N549)/N549,0)</f>
        <v>0</v>
      </c>
      <c r="T548" s="10">
        <f>IF(L548&gt;2005,(((N548-N568)/N568)+1)^(1/5)-1,0)</f>
        <v>0</v>
      </c>
      <c r="U548" s="10">
        <f t="shared" si="22"/>
        <v>0</v>
      </c>
      <c r="V548" s="26">
        <f t="shared" si="23"/>
        <v>0</v>
      </c>
      <c r="W548" s="3">
        <f>IF(A548=A549,N548-N549,0)</f>
        <v>0</v>
      </c>
      <c r="X548" s="10">
        <f>IF(A548=A549,(N548-N549)/N549,0)</f>
        <v>0</v>
      </c>
    </row>
    <row r="549" spans="1:24" ht="16.5" customHeight="1">
      <c r="A549" s="3" t="s">
        <v>29</v>
      </c>
      <c r="B549" s="3">
        <f t="shared" si="16"/>
        <v>2000</v>
      </c>
      <c r="C549" s="3">
        <f t="shared" si="17"/>
        <v>11</v>
      </c>
      <c r="D549" s="20" t="str">
        <f t="shared" si="18"/>
        <v>SWK200011</v>
      </c>
      <c r="E549" s="2">
        <v>36851</v>
      </c>
      <c r="F549" s="3">
        <v>0.23</v>
      </c>
      <c r="G549" s="2">
        <v>36886</v>
      </c>
      <c r="H549" s="3">
        <v>3.6499999999999998E-2</v>
      </c>
      <c r="I549" s="3">
        <v>0</v>
      </c>
      <c r="J549" s="3">
        <v>0</v>
      </c>
      <c r="K549" s="3">
        <f t="shared" si="19"/>
        <v>2000</v>
      </c>
      <c r="L549" s="3">
        <f t="shared" si="20"/>
        <v>0</v>
      </c>
      <c r="M549" s="20" t="str">
        <f>A549&amp;L549</f>
        <v>SWK0</v>
      </c>
      <c r="N549" s="3">
        <f>F549</f>
        <v>0.23</v>
      </c>
      <c r="O549" s="9">
        <f>H549</f>
        <v>3.6499999999999998E-2</v>
      </c>
      <c r="P549" s="10">
        <f t="shared" si="21"/>
        <v>0</v>
      </c>
      <c r="Q549" s="10">
        <f>IF(K549=0,IF(A546=A549,AVERAGE(O546:O549),"x"),0)</f>
        <v>0</v>
      </c>
      <c r="R549" s="9">
        <f>IF(L549&gt;2005,AVERAGE(O546:O565),0)</f>
        <v>0</v>
      </c>
      <c r="S549" s="10">
        <f>IF(A549=A550,(N549-N550)/N550,0)</f>
        <v>0</v>
      </c>
      <c r="T549" s="10">
        <f>IF(L549&gt;2005,(((N549-N569)/N569)+1)^(1/5)-1,0)</f>
        <v>0</v>
      </c>
      <c r="U549" s="10">
        <f t="shared" si="22"/>
        <v>0</v>
      </c>
      <c r="V549" s="26">
        <f t="shared" si="23"/>
        <v>0</v>
      </c>
      <c r="W549" s="3">
        <f>IF(A549=A550,N549-N550,0)</f>
        <v>0</v>
      </c>
      <c r="X549" s="10">
        <f>IF(A549=A550,(N549-N550)/N550,0)</f>
        <v>0</v>
      </c>
    </row>
    <row r="550" spans="1:24" ht="16.5" customHeight="1">
      <c r="A550" s="3" t="s">
        <v>29</v>
      </c>
      <c r="B550" s="3">
        <f t="shared" si="16"/>
        <v>2000</v>
      </c>
      <c r="C550" s="3">
        <f t="shared" si="17"/>
        <v>8</v>
      </c>
      <c r="D550" s="20" t="str">
        <f t="shared" si="18"/>
        <v>SWK20008</v>
      </c>
      <c r="E550" s="2">
        <v>36769</v>
      </c>
      <c r="F550" s="3">
        <v>0.23</v>
      </c>
      <c r="G550" s="2">
        <v>36795</v>
      </c>
      <c r="H550" s="3">
        <v>3.32E-2</v>
      </c>
      <c r="I550" s="3">
        <v>4.5454544999999999E-2</v>
      </c>
      <c r="J550" s="3">
        <v>0.01</v>
      </c>
      <c r="K550" s="3">
        <f t="shared" si="19"/>
        <v>2000</v>
      </c>
      <c r="L550" s="3">
        <f t="shared" si="20"/>
        <v>0</v>
      </c>
      <c r="M550" s="20" t="str">
        <f>A550&amp;L550</f>
        <v>SWK0</v>
      </c>
      <c r="N550" s="3">
        <f>F550</f>
        <v>0.23</v>
      </c>
      <c r="O550" s="9">
        <f>H550</f>
        <v>3.32E-2</v>
      </c>
      <c r="P550" s="10">
        <f t="shared" si="21"/>
        <v>3.0249999999999999E-2</v>
      </c>
      <c r="Q550" s="10">
        <f>IF(K550=0,IF(A547=A550,AVERAGE(O547:O550),"x"),0)</f>
        <v>0</v>
      </c>
      <c r="R550" s="9">
        <f>IF(L550&gt;2005,AVERAGE(O547:O566),0)</f>
        <v>0</v>
      </c>
      <c r="S550" s="10">
        <f>IF(A550=A551,(N550-N551)/N551,0)</f>
        <v>4.5454545454545497E-2</v>
      </c>
      <c r="T550" s="10">
        <f>IF(L550&gt;2005,(((N550-N570)/N570)+1)^(1/5)-1,0)</f>
        <v>0</v>
      </c>
      <c r="U550" s="10">
        <f t="shared" si="22"/>
        <v>0</v>
      </c>
      <c r="V550" s="26">
        <f t="shared" si="23"/>
        <v>0</v>
      </c>
      <c r="W550" s="3">
        <f>IF(A550=A551,N550-N551,0)</f>
        <v>1.0000000000000009E-2</v>
      </c>
      <c r="X550" s="10">
        <f>IF(A550=A551,(N550-N551)/N551,0)</f>
        <v>4.5454545454545497E-2</v>
      </c>
    </row>
    <row r="551" spans="1:24" ht="16.5" customHeight="1">
      <c r="A551" s="3" t="s">
        <v>29</v>
      </c>
      <c r="B551" s="3">
        <f t="shared" si="16"/>
        <v>2000</v>
      </c>
      <c r="C551" s="3">
        <f t="shared" si="17"/>
        <v>6</v>
      </c>
      <c r="D551" s="20" t="str">
        <f t="shared" si="18"/>
        <v>SWK20006</v>
      </c>
      <c r="E551" s="2">
        <v>36678</v>
      </c>
      <c r="F551" s="3">
        <v>0.22</v>
      </c>
      <c r="G551" s="2">
        <v>36707</v>
      </c>
      <c r="H551" s="3">
        <v>3.27E-2</v>
      </c>
      <c r="I551" s="3">
        <v>0</v>
      </c>
      <c r="J551" s="3">
        <v>0</v>
      </c>
      <c r="K551" s="3">
        <f t="shared" si="19"/>
        <v>2000</v>
      </c>
      <c r="L551" s="3">
        <f t="shared" si="20"/>
        <v>0</v>
      </c>
      <c r="M551" s="20" t="str">
        <f>A551&amp;L551</f>
        <v>SWK0</v>
      </c>
      <c r="N551" s="3">
        <f>F551</f>
        <v>0.22</v>
      </c>
      <c r="O551" s="9">
        <f>H551</f>
        <v>3.27E-2</v>
      </c>
      <c r="P551" s="10">
        <f t="shared" si="21"/>
        <v>0</v>
      </c>
      <c r="Q551" s="10">
        <f>IF(K551=0,IF(A548=A551,AVERAGE(O548:O551),"x"),0)</f>
        <v>0</v>
      </c>
      <c r="R551" s="9">
        <f>IF(L551&gt;2005,AVERAGE(O548:O567),0)</f>
        <v>0</v>
      </c>
      <c r="S551" s="10">
        <f>IF(A551=A552,(N551-N552)/N552,0)</f>
        <v>0</v>
      </c>
      <c r="T551" s="10">
        <f>IF(L551&gt;2005,(((N551-N571)/N571)+1)^(1/5)-1,0)</f>
        <v>0</v>
      </c>
      <c r="U551" s="10">
        <f t="shared" si="22"/>
        <v>0</v>
      </c>
      <c r="V551" s="26">
        <f t="shared" si="23"/>
        <v>0</v>
      </c>
      <c r="W551" s="3">
        <f>IF(A551=A552,N551-N552,0)</f>
        <v>0</v>
      </c>
      <c r="X551" s="10">
        <f>IF(A551=A552,(N551-N552)/N552,0)</f>
        <v>0</v>
      </c>
    </row>
    <row r="552" spans="1:24" ht="16.5" customHeight="1">
      <c r="A552" s="14" t="s">
        <v>29</v>
      </c>
      <c r="B552" s="3">
        <f t="shared" si="16"/>
        <v>2000</v>
      </c>
      <c r="C552" s="3">
        <f t="shared" si="17"/>
        <v>3</v>
      </c>
      <c r="D552" s="20" t="str">
        <f t="shared" si="18"/>
        <v>SWK20003</v>
      </c>
      <c r="E552" s="15">
        <v>36587</v>
      </c>
      <c r="F552" s="14">
        <v>0.22</v>
      </c>
      <c r="G552" s="15">
        <v>36609</v>
      </c>
      <c r="H552" s="14">
        <v>3.7900000000000003E-2</v>
      </c>
      <c r="I552" s="14">
        <v>0</v>
      </c>
      <c r="J552" s="14">
        <v>0</v>
      </c>
      <c r="K552" s="3">
        <f t="shared" si="19"/>
        <v>0</v>
      </c>
      <c r="L552" s="3">
        <f t="shared" si="20"/>
        <v>2000</v>
      </c>
      <c r="M552" s="20" t="str">
        <f>A552&amp;L552</f>
        <v>SWK2000</v>
      </c>
      <c r="N552" s="14">
        <f>F552</f>
        <v>0.22</v>
      </c>
      <c r="O552" s="9">
        <f>H552</f>
        <v>3.7900000000000003E-2</v>
      </c>
      <c r="P552" s="10">
        <f t="shared" si="21"/>
        <v>0</v>
      </c>
      <c r="Q552" s="10">
        <f>IF(K552=0,IF(A549=A552,AVERAGE(O549:O552),"x"),0)</f>
        <v>3.5074999999999995E-2</v>
      </c>
      <c r="R552" s="9">
        <f>IF(L552&gt;2005,AVERAGE(O549:O568),0)</f>
        <v>0</v>
      </c>
      <c r="S552" s="10">
        <f>IF(A552=A553,(N552-N553)/N553,0)</f>
        <v>0</v>
      </c>
      <c r="T552" s="10">
        <f>IF(L552&gt;2005,(((N552-N572)/N572)+1)^(1/5)-1,0)</f>
        <v>0</v>
      </c>
      <c r="U552" s="10">
        <f t="shared" si="22"/>
        <v>0</v>
      </c>
      <c r="V552" s="26">
        <f t="shared" si="23"/>
        <v>0</v>
      </c>
      <c r="W552" s="3">
        <f>IF(A552=A553,N552-N553,0)</f>
        <v>0</v>
      </c>
      <c r="X552" s="10">
        <f>IF(A552=A553,(N552-N553)/N553,0)</f>
        <v>0</v>
      </c>
    </row>
    <row r="553" spans="1:24" ht="16.5" customHeight="1">
      <c r="A553" s="3" t="s">
        <v>30</v>
      </c>
      <c r="B553" s="3">
        <f t="shared" si="16"/>
        <v>2022</v>
      </c>
      <c r="C553" s="3">
        <f t="shared" si="17"/>
        <v>9</v>
      </c>
      <c r="D553" s="20" t="str">
        <f t="shared" si="18"/>
        <v>ADP20229</v>
      </c>
      <c r="E553" s="2">
        <v>44812</v>
      </c>
      <c r="F553" s="3">
        <v>1.04</v>
      </c>
      <c r="G553" s="2">
        <v>44835</v>
      </c>
      <c r="H553" s="3">
        <v>1.72E-2</v>
      </c>
      <c r="I553" s="3">
        <v>0</v>
      </c>
      <c r="J553" s="3">
        <v>0</v>
      </c>
      <c r="K553" s="3">
        <f t="shared" si="19"/>
        <v>2022</v>
      </c>
      <c r="L553" s="3">
        <f t="shared" si="20"/>
        <v>0</v>
      </c>
      <c r="M553" s="20" t="str">
        <f>A553&amp;L553</f>
        <v>ADP0</v>
      </c>
      <c r="N553" s="3">
        <f>F553</f>
        <v>1.04</v>
      </c>
      <c r="O553" s="9">
        <f>H553</f>
        <v>1.72E-2</v>
      </c>
      <c r="P553" s="10">
        <f t="shared" si="21"/>
        <v>0</v>
      </c>
      <c r="Q553" s="10">
        <f>IF(K553=0,IF(A550=A553,AVERAGE(O550:O553),"x"),0)</f>
        <v>0</v>
      </c>
      <c r="R553" s="9">
        <f>IF(L553&gt;2005,AVERAGE(O550:O569),0)</f>
        <v>0</v>
      </c>
      <c r="S553" s="10">
        <f>IF(A553=A554,(N553-N554)/N554,0)</f>
        <v>0</v>
      </c>
      <c r="T553" s="10">
        <f>IF(L553&gt;2005,(((N553-N573)/N573)+1)^(1/5)-1,0)</f>
        <v>0</v>
      </c>
      <c r="U553" s="10">
        <f t="shared" si="22"/>
        <v>0</v>
      </c>
      <c r="V553" s="26">
        <f t="shared" si="23"/>
        <v>0</v>
      </c>
      <c r="W553" s="3">
        <f>IF(A553=A554,N553-N554,0)</f>
        <v>0</v>
      </c>
      <c r="X553" s="10">
        <f>IF(A553=A554,(N553-N554)/N554,0)</f>
        <v>0</v>
      </c>
    </row>
    <row r="554" spans="1:24" ht="16.5" customHeight="1">
      <c r="A554" s="3" t="s">
        <v>30</v>
      </c>
      <c r="B554" s="3">
        <f t="shared" si="16"/>
        <v>2022</v>
      </c>
      <c r="C554" s="3">
        <f t="shared" si="17"/>
        <v>6</v>
      </c>
      <c r="D554" s="20" t="str">
        <f t="shared" si="18"/>
        <v>ADP20226</v>
      </c>
      <c r="E554" s="2">
        <v>44721</v>
      </c>
      <c r="F554" s="3">
        <v>1.04</v>
      </c>
      <c r="G554" s="2">
        <v>44743</v>
      </c>
      <c r="H554" s="3">
        <v>1.89E-2</v>
      </c>
      <c r="I554" s="3">
        <v>0</v>
      </c>
      <c r="J554" s="3">
        <v>0</v>
      </c>
      <c r="K554" s="3">
        <f t="shared" si="19"/>
        <v>2022</v>
      </c>
      <c r="L554" s="3">
        <f t="shared" si="20"/>
        <v>0</v>
      </c>
      <c r="M554" s="20" t="str">
        <f>A554&amp;L554</f>
        <v>ADP0</v>
      </c>
      <c r="N554" s="3">
        <f>F554</f>
        <v>1.04</v>
      </c>
      <c r="O554" s="9">
        <f>H554</f>
        <v>1.89E-2</v>
      </c>
      <c r="P554" s="10">
        <f t="shared" si="21"/>
        <v>0</v>
      </c>
      <c r="Q554" s="10">
        <f>IF(K554=0,IF(A551=A554,AVERAGE(O551:O554),"x"),0)</f>
        <v>0</v>
      </c>
      <c r="R554" s="9">
        <f>IF(L554&gt;2005,AVERAGE(O551:O570),0)</f>
        <v>0</v>
      </c>
      <c r="S554" s="10">
        <f>IF(A554=A555,(N554-N555)/N555,0)</f>
        <v>0</v>
      </c>
      <c r="T554" s="10">
        <f>IF(L554&gt;2005,(((N554-N574)/N574)+1)^(1/5)-1,0)</f>
        <v>0</v>
      </c>
      <c r="U554" s="10">
        <f t="shared" si="22"/>
        <v>0</v>
      </c>
      <c r="V554" s="26">
        <f t="shared" si="23"/>
        <v>0</v>
      </c>
      <c r="W554" s="3">
        <f>IF(A554=A555,N554-N555,0)</f>
        <v>0</v>
      </c>
      <c r="X554" s="10">
        <f>IF(A554=A555,(N554-N555)/N555,0)</f>
        <v>0</v>
      </c>
    </row>
    <row r="555" spans="1:24" ht="16.5" customHeight="1">
      <c r="A555" s="3" t="s">
        <v>30</v>
      </c>
      <c r="B555" s="3">
        <f t="shared" si="16"/>
        <v>2022</v>
      </c>
      <c r="C555" s="3">
        <f t="shared" si="17"/>
        <v>3</v>
      </c>
      <c r="D555" s="20" t="str">
        <f t="shared" si="18"/>
        <v>ADP20223</v>
      </c>
      <c r="E555" s="2">
        <v>44630</v>
      </c>
      <c r="F555" s="3">
        <v>1.04</v>
      </c>
      <c r="G555" s="2">
        <v>44652</v>
      </c>
      <c r="H555" s="3">
        <v>1.9800000000000002E-2</v>
      </c>
      <c r="I555" s="3">
        <v>0</v>
      </c>
      <c r="J555" s="3">
        <v>0</v>
      </c>
      <c r="K555" s="3">
        <f t="shared" si="19"/>
        <v>0</v>
      </c>
      <c r="L555" s="3">
        <f t="shared" si="20"/>
        <v>2022</v>
      </c>
      <c r="M555" s="20" t="str">
        <f>A555&amp;L555</f>
        <v>ADP2022</v>
      </c>
      <c r="N555" s="3">
        <f>F555</f>
        <v>1.04</v>
      </c>
      <c r="O555" s="9">
        <f>H555</f>
        <v>1.9800000000000002E-2</v>
      </c>
      <c r="P555" s="10">
        <f t="shared" si="21"/>
        <v>0</v>
      </c>
      <c r="Q555" s="10" t="str">
        <f>IF(K555=0,IF(A552=A555,AVERAGE(O552:O555),"x"),0)</f>
        <v>x</v>
      </c>
      <c r="R555" s="9">
        <f>IF(L555&gt;2005,AVERAGE(O552:O571),0)</f>
        <v>2.1475000000000001E-2</v>
      </c>
      <c r="S555" s="10">
        <f>IF(A555=A556,(N555-N556)/N556,0)</f>
        <v>0</v>
      </c>
      <c r="T555" s="10">
        <f>IF(L555&gt;2005,(((N555-N575)/N575)+1)^(1/5)-1,0)</f>
        <v>0.12779897806752261</v>
      </c>
      <c r="U555" s="10">
        <f t="shared" si="22"/>
        <v>0.1492739780675226</v>
      </c>
      <c r="V555" s="26">
        <f t="shared" si="23"/>
        <v>4.7266003342823497</v>
      </c>
      <c r="W555" s="3">
        <f>IF(A555=A556,N555-N556,0)</f>
        <v>0</v>
      </c>
      <c r="X555" s="10">
        <f>IF(A555=A556,(N555-N556)/N556,0)</f>
        <v>0</v>
      </c>
    </row>
    <row r="556" spans="1:24" ht="16.5" customHeight="1">
      <c r="A556" s="3" t="s">
        <v>30</v>
      </c>
      <c r="B556" s="3">
        <f t="shared" si="16"/>
        <v>2021</v>
      </c>
      <c r="C556" s="3">
        <f t="shared" si="17"/>
        <v>12</v>
      </c>
      <c r="D556" s="20" t="str">
        <f t="shared" si="18"/>
        <v>ADP202112</v>
      </c>
      <c r="E556" s="2">
        <v>44539</v>
      </c>
      <c r="F556" s="3">
        <v>1.04</v>
      </c>
      <c r="G556" s="2">
        <v>44562</v>
      </c>
      <c r="H556" s="3">
        <v>1.78E-2</v>
      </c>
      <c r="I556" s="3">
        <v>0.11827957</v>
      </c>
      <c r="J556" s="3">
        <v>0.11</v>
      </c>
      <c r="K556" s="3">
        <f t="shared" si="19"/>
        <v>2021</v>
      </c>
      <c r="L556" s="3">
        <f t="shared" si="20"/>
        <v>0</v>
      </c>
      <c r="M556" s="20" t="str">
        <f>A556&amp;L556</f>
        <v>ADP0</v>
      </c>
      <c r="N556" s="3">
        <f>F556</f>
        <v>1.04</v>
      </c>
      <c r="O556" s="9">
        <f>H556</f>
        <v>1.78E-2</v>
      </c>
      <c r="P556" s="10">
        <f t="shared" si="21"/>
        <v>1.8775E-2</v>
      </c>
      <c r="Q556" s="10">
        <f>IF(K556=0,IF(A553=A556,AVERAGE(O553:O556),"x"),0)</f>
        <v>0</v>
      </c>
      <c r="R556" s="9">
        <f>IF(L556&gt;2005,AVERAGE(O553:O572),0)</f>
        <v>0</v>
      </c>
      <c r="S556" s="10">
        <f>IF(A556=A557,(N556-N557)/N557,0)</f>
        <v>0.1182795698924731</v>
      </c>
      <c r="T556" s="10">
        <f>IF(L556&gt;2005,(((N556-N576)/N576)+1)^(1/5)-1,0)</f>
        <v>0</v>
      </c>
      <c r="U556" s="10">
        <f t="shared" si="22"/>
        <v>0</v>
      </c>
      <c r="V556" s="26">
        <f t="shared" si="23"/>
        <v>0</v>
      </c>
      <c r="W556" s="3">
        <f>IF(A556=A557,N556-N557,0)</f>
        <v>0.10999999999999999</v>
      </c>
      <c r="X556" s="10">
        <f>IF(A556=A557,(N556-N557)/N557,0)</f>
        <v>0.1182795698924731</v>
      </c>
    </row>
    <row r="557" spans="1:24" ht="16.5" customHeight="1">
      <c r="A557" s="3" t="s">
        <v>30</v>
      </c>
      <c r="B557" s="3">
        <f t="shared" si="16"/>
        <v>2021</v>
      </c>
      <c r="C557" s="3">
        <f t="shared" si="17"/>
        <v>9</v>
      </c>
      <c r="D557" s="20" t="str">
        <f t="shared" si="18"/>
        <v>ADP20219</v>
      </c>
      <c r="E557" s="2">
        <v>44448</v>
      </c>
      <c r="F557" s="3">
        <v>0.93</v>
      </c>
      <c r="G557" s="2">
        <v>44470</v>
      </c>
      <c r="H557" s="3">
        <v>1.8100000000000002E-2</v>
      </c>
      <c r="I557" s="3">
        <v>0</v>
      </c>
      <c r="J557" s="3">
        <v>0</v>
      </c>
      <c r="K557" s="3">
        <f t="shared" si="19"/>
        <v>2021</v>
      </c>
      <c r="L557" s="3">
        <f t="shared" si="20"/>
        <v>0</v>
      </c>
      <c r="M557" s="20" t="str">
        <f>A557&amp;L557</f>
        <v>ADP0</v>
      </c>
      <c r="N557" s="3">
        <f>F557</f>
        <v>0.93</v>
      </c>
      <c r="O557" s="9">
        <f>H557</f>
        <v>1.8100000000000002E-2</v>
      </c>
      <c r="P557" s="10">
        <f t="shared" si="21"/>
        <v>0</v>
      </c>
      <c r="Q557" s="10">
        <f>IF(K557=0,IF(A554=A557,AVERAGE(O554:O557),"x"),0)</f>
        <v>0</v>
      </c>
      <c r="R557" s="9">
        <f>IF(L557&gt;2005,AVERAGE(O554:O573),0)</f>
        <v>0</v>
      </c>
      <c r="S557" s="10">
        <f>IF(A557=A558,(N557-N558)/N558,0)</f>
        <v>0</v>
      </c>
      <c r="T557" s="10">
        <f>IF(L557&gt;2005,(((N557-N577)/N577)+1)^(1/5)-1,0)</f>
        <v>0</v>
      </c>
      <c r="U557" s="10">
        <f t="shared" si="22"/>
        <v>0</v>
      </c>
      <c r="V557" s="26">
        <f t="shared" si="23"/>
        <v>0</v>
      </c>
      <c r="W557" s="3">
        <f>IF(A557=A558,N557-N558,0)</f>
        <v>0</v>
      </c>
      <c r="X557" s="10">
        <f>IF(A557=A558,(N557-N558)/N558,0)</f>
        <v>0</v>
      </c>
    </row>
    <row r="558" spans="1:24" ht="16.5" customHeight="1">
      <c r="A558" s="3" t="s">
        <v>30</v>
      </c>
      <c r="B558" s="3">
        <f t="shared" si="16"/>
        <v>2021</v>
      </c>
      <c r="C558" s="3">
        <f t="shared" si="17"/>
        <v>6</v>
      </c>
      <c r="D558" s="20" t="str">
        <f t="shared" si="18"/>
        <v>ADP20216</v>
      </c>
      <c r="E558" s="2">
        <v>44357</v>
      </c>
      <c r="F558" s="3">
        <v>0.93</v>
      </c>
      <c r="G558" s="2">
        <v>44378</v>
      </c>
      <c r="H558" s="3">
        <v>1.8800000000000001E-2</v>
      </c>
      <c r="I558" s="3">
        <v>0</v>
      </c>
      <c r="J558" s="3">
        <v>0</v>
      </c>
      <c r="K558" s="3">
        <f t="shared" si="19"/>
        <v>2021</v>
      </c>
      <c r="L558" s="3">
        <f t="shared" si="20"/>
        <v>0</v>
      </c>
      <c r="M558" s="20" t="str">
        <f>A558&amp;L558</f>
        <v>ADP0</v>
      </c>
      <c r="N558" s="3">
        <f>F558</f>
        <v>0.93</v>
      </c>
      <c r="O558" s="9">
        <f>H558</f>
        <v>1.8800000000000001E-2</v>
      </c>
      <c r="P558" s="10">
        <f t="shared" si="21"/>
        <v>0</v>
      </c>
      <c r="Q558" s="10">
        <f>IF(K558=0,IF(A555=A558,AVERAGE(O555:O558),"x"),0)</f>
        <v>0</v>
      </c>
      <c r="R558" s="9">
        <f>IF(L558&gt;2005,AVERAGE(O555:O574),0)</f>
        <v>0</v>
      </c>
      <c r="S558" s="10">
        <f>IF(A558=A559,(N558-N559)/N559,0)</f>
        <v>0</v>
      </c>
      <c r="T558" s="10">
        <f>IF(L558&gt;2005,(((N558-N578)/N578)+1)^(1/5)-1,0)</f>
        <v>0</v>
      </c>
      <c r="U558" s="10">
        <f t="shared" si="22"/>
        <v>0</v>
      </c>
      <c r="V558" s="26">
        <f t="shared" si="23"/>
        <v>0</v>
      </c>
      <c r="W558" s="3">
        <f>IF(A558=A559,N558-N559,0)</f>
        <v>0</v>
      </c>
      <c r="X558" s="10">
        <f>IF(A558=A559,(N558-N559)/N559,0)</f>
        <v>0</v>
      </c>
    </row>
    <row r="559" spans="1:24" ht="16.5" customHeight="1">
      <c r="A559" s="3" t="s">
        <v>30</v>
      </c>
      <c r="B559" s="3">
        <f t="shared" si="16"/>
        <v>2021</v>
      </c>
      <c r="C559" s="3">
        <f t="shared" si="17"/>
        <v>3</v>
      </c>
      <c r="D559" s="20" t="str">
        <f t="shared" si="18"/>
        <v>ADP20213</v>
      </c>
      <c r="E559" s="2">
        <v>44266</v>
      </c>
      <c r="F559" s="3">
        <v>0.93</v>
      </c>
      <c r="G559" s="2">
        <v>44287</v>
      </c>
      <c r="H559" s="3">
        <v>2.0400000000000001E-2</v>
      </c>
      <c r="I559" s="3">
        <v>0</v>
      </c>
      <c r="J559" s="3">
        <v>0</v>
      </c>
      <c r="K559" s="3">
        <f t="shared" si="19"/>
        <v>0</v>
      </c>
      <c r="L559" s="3">
        <f t="shared" si="20"/>
        <v>2021</v>
      </c>
      <c r="M559" s="20" t="str">
        <f>A559&amp;L559</f>
        <v>ADP2021</v>
      </c>
      <c r="N559" s="3">
        <f>F559</f>
        <v>0.93</v>
      </c>
      <c r="O559" s="9">
        <f>H559</f>
        <v>2.0400000000000001E-2</v>
      </c>
      <c r="P559" s="10">
        <f t="shared" si="21"/>
        <v>0</v>
      </c>
      <c r="Q559" s="10">
        <f>IF(K559=0,IF(A556=A559,AVERAGE(O556:O559),"x"),0)</f>
        <v>1.8775E-2</v>
      </c>
      <c r="R559" s="9">
        <f>IF(L559&gt;2005,AVERAGE(O556:O575),0)</f>
        <v>2.1144999999999997E-2</v>
      </c>
      <c r="S559" s="10">
        <f>IF(A559=A560,(N559-N560)/N560,0)</f>
        <v>0</v>
      </c>
      <c r="T559" s="10">
        <f>IF(L559&gt;2005,(((N559-N579)/N579)+1)^(1/5)-1,0)</f>
        <v>0.11902919127544953</v>
      </c>
      <c r="U559" s="10">
        <f t="shared" si="22"/>
        <v>0.14017419127544953</v>
      </c>
      <c r="V559" s="26">
        <f t="shared" si="23"/>
        <v>4.7286024997875904</v>
      </c>
      <c r="W559" s="3">
        <f>IF(A559=A560,N559-N560,0)</f>
        <v>0</v>
      </c>
      <c r="X559" s="10">
        <f>IF(A559=A560,(N559-N560)/N560,0)</f>
        <v>0</v>
      </c>
    </row>
    <row r="560" spans="1:24" ht="16.5" customHeight="1">
      <c r="A560" s="3" t="s">
        <v>30</v>
      </c>
      <c r="B560" s="3">
        <f t="shared" si="16"/>
        <v>2020</v>
      </c>
      <c r="C560" s="3">
        <f t="shared" si="17"/>
        <v>12</v>
      </c>
      <c r="D560" s="20" t="str">
        <f t="shared" si="18"/>
        <v>ADP202012</v>
      </c>
      <c r="E560" s="2">
        <v>44175</v>
      </c>
      <c r="F560" s="3">
        <v>0.93</v>
      </c>
      <c r="G560" s="2">
        <v>44197</v>
      </c>
      <c r="H560" s="3">
        <v>2.1399999999999999E-2</v>
      </c>
      <c r="I560" s="3">
        <v>2.1978022E-2</v>
      </c>
      <c r="J560" s="3">
        <v>0.02</v>
      </c>
      <c r="K560" s="3">
        <f t="shared" si="19"/>
        <v>2020</v>
      </c>
      <c r="L560" s="3">
        <f t="shared" si="20"/>
        <v>0</v>
      </c>
      <c r="M560" s="20" t="str">
        <f>A560&amp;L560</f>
        <v>ADP0</v>
      </c>
      <c r="N560" s="3">
        <f>F560</f>
        <v>0.93</v>
      </c>
      <c r="O560" s="9">
        <f>H560</f>
        <v>2.1399999999999999E-2</v>
      </c>
      <c r="P560" s="10">
        <f t="shared" si="21"/>
        <v>2.3949999999999999E-2</v>
      </c>
      <c r="Q560" s="10">
        <f>IF(K560=0,IF(A557=A560,AVERAGE(O557:O560),"x"),0)</f>
        <v>0</v>
      </c>
      <c r="R560" s="9">
        <f>IF(L560&gt;2005,AVERAGE(O557:O576),0)</f>
        <v>0</v>
      </c>
      <c r="S560" s="10">
        <f>IF(A560=A561,(N560-N561)/N561,0)</f>
        <v>2.1978021978021997E-2</v>
      </c>
      <c r="T560" s="10">
        <f>IF(L560&gt;2005,(((N560-N580)/N580)+1)^(1/5)-1,0)</f>
        <v>0</v>
      </c>
      <c r="U560" s="10">
        <f t="shared" si="22"/>
        <v>0</v>
      </c>
      <c r="V560" s="26">
        <f t="shared" si="23"/>
        <v>0</v>
      </c>
      <c r="W560" s="3">
        <f>IF(A560=A561,N560-N561,0)</f>
        <v>2.0000000000000018E-2</v>
      </c>
      <c r="X560" s="10">
        <f>IF(A560=A561,(N560-N561)/N561,0)</f>
        <v>2.1978021978021997E-2</v>
      </c>
    </row>
    <row r="561" spans="1:24" ht="16.5" customHeight="1">
      <c r="A561" s="3" t="s">
        <v>30</v>
      </c>
      <c r="B561" s="3">
        <f t="shared" si="16"/>
        <v>2020</v>
      </c>
      <c r="C561" s="3">
        <f t="shared" si="17"/>
        <v>9</v>
      </c>
      <c r="D561" s="20" t="str">
        <f t="shared" si="18"/>
        <v>ADP20209</v>
      </c>
      <c r="E561" s="2">
        <v>44084</v>
      </c>
      <c r="F561" s="3">
        <v>0.91</v>
      </c>
      <c r="G561" s="2">
        <v>44105</v>
      </c>
      <c r="H561" s="3">
        <v>2.6499999999999999E-2</v>
      </c>
      <c r="I561" s="3">
        <v>0</v>
      </c>
      <c r="J561" s="3">
        <v>0</v>
      </c>
      <c r="K561" s="3">
        <f t="shared" si="19"/>
        <v>2020</v>
      </c>
      <c r="L561" s="3">
        <f t="shared" si="20"/>
        <v>0</v>
      </c>
      <c r="M561" s="20" t="str">
        <f>A561&amp;L561</f>
        <v>ADP0</v>
      </c>
      <c r="N561" s="3">
        <f>F561</f>
        <v>0.91</v>
      </c>
      <c r="O561" s="9">
        <f>H561</f>
        <v>2.6499999999999999E-2</v>
      </c>
      <c r="P561" s="10">
        <f t="shared" si="21"/>
        <v>0</v>
      </c>
      <c r="Q561" s="10">
        <f>IF(K561=0,IF(A558=A561,AVERAGE(O558:O561),"x"),0)</f>
        <v>0</v>
      </c>
      <c r="R561" s="9">
        <f>IF(L561&gt;2005,AVERAGE(O558:O577),0)</f>
        <v>0</v>
      </c>
      <c r="S561" s="10">
        <f>IF(A561=A562,(N561-N562)/N562,0)</f>
        <v>0</v>
      </c>
      <c r="T561" s="10">
        <f>IF(L561&gt;2005,(((N561-N581)/N581)+1)^(1/5)-1,0)</f>
        <v>0</v>
      </c>
      <c r="U561" s="10">
        <f t="shared" si="22"/>
        <v>0</v>
      </c>
      <c r="V561" s="26">
        <f t="shared" si="23"/>
        <v>0</v>
      </c>
      <c r="W561" s="3">
        <f>IF(A561=A562,N561-N562,0)</f>
        <v>0</v>
      </c>
      <c r="X561" s="10">
        <f>IF(A561=A562,(N561-N562)/N562,0)</f>
        <v>0</v>
      </c>
    </row>
    <row r="562" spans="1:24" ht="16.5" customHeight="1">
      <c r="A562" s="3" t="s">
        <v>30</v>
      </c>
      <c r="B562" s="3">
        <f t="shared" si="16"/>
        <v>2020</v>
      </c>
      <c r="C562" s="3">
        <f t="shared" si="17"/>
        <v>6</v>
      </c>
      <c r="D562" s="20" t="str">
        <f t="shared" si="18"/>
        <v>ADP20206</v>
      </c>
      <c r="E562" s="2">
        <v>43993</v>
      </c>
      <c r="F562" s="3">
        <v>0.91</v>
      </c>
      <c r="G562" s="2">
        <v>44013</v>
      </c>
      <c r="H562" s="3">
        <v>2.3300000000000001E-2</v>
      </c>
      <c r="I562" s="3">
        <v>0</v>
      </c>
      <c r="J562" s="3">
        <v>0</v>
      </c>
      <c r="K562" s="3">
        <f t="shared" si="19"/>
        <v>2020</v>
      </c>
      <c r="L562" s="3">
        <f t="shared" si="20"/>
        <v>0</v>
      </c>
      <c r="M562" s="20" t="str">
        <f>A562&amp;L562</f>
        <v>ADP0</v>
      </c>
      <c r="N562" s="3">
        <f>F562</f>
        <v>0.91</v>
      </c>
      <c r="O562" s="9">
        <f>H562</f>
        <v>2.3300000000000001E-2</v>
      </c>
      <c r="P562" s="10">
        <f t="shared" si="21"/>
        <v>0</v>
      </c>
      <c r="Q562" s="10">
        <f>IF(K562=0,IF(A559=A562,AVERAGE(O559:O562),"x"),0)</f>
        <v>0</v>
      </c>
      <c r="R562" s="9">
        <f>IF(L562&gt;2005,AVERAGE(O559:O578),0)</f>
        <v>0</v>
      </c>
      <c r="S562" s="10">
        <f>IF(A562=A563,(N562-N563)/N563,0)</f>
        <v>0</v>
      </c>
      <c r="T562" s="10">
        <f>IF(L562&gt;2005,(((N562-N582)/N582)+1)^(1/5)-1,0)</f>
        <v>0</v>
      </c>
      <c r="U562" s="10">
        <f t="shared" si="22"/>
        <v>0</v>
      </c>
      <c r="V562" s="26">
        <f t="shared" si="23"/>
        <v>0</v>
      </c>
      <c r="W562" s="3">
        <f>IF(A562=A563,N562-N563,0)</f>
        <v>0</v>
      </c>
      <c r="X562" s="10">
        <f>IF(A562=A563,(N562-N563)/N563,0)</f>
        <v>0</v>
      </c>
    </row>
    <row r="563" spans="1:24" ht="16.5" customHeight="1">
      <c r="A563" s="3" t="s">
        <v>30</v>
      </c>
      <c r="B563" s="3">
        <f t="shared" si="16"/>
        <v>2020</v>
      </c>
      <c r="C563" s="3">
        <f t="shared" si="17"/>
        <v>3</v>
      </c>
      <c r="D563" s="20" t="str">
        <f t="shared" si="18"/>
        <v>ADP20203</v>
      </c>
      <c r="E563" s="2">
        <v>43902</v>
      </c>
      <c r="F563" s="3">
        <v>0.91</v>
      </c>
      <c r="G563" s="2">
        <v>43922</v>
      </c>
      <c r="H563" s="3">
        <v>2.46E-2</v>
      </c>
      <c r="I563" s="3">
        <v>0</v>
      </c>
      <c r="J563" s="3">
        <v>0</v>
      </c>
      <c r="K563" s="3">
        <f t="shared" si="19"/>
        <v>0</v>
      </c>
      <c r="L563" s="3">
        <f t="shared" si="20"/>
        <v>2020</v>
      </c>
      <c r="M563" s="20" t="str">
        <f>A563&amp;L563</f>
        <v>ADP2020</v>
      </c>
      <c r="N563" s="3">
        <f>F563</f>
        <v>0.91</v>
      </c>
      <c r="O563" s="9">
        <f>H563</f>
        <v>2.46E-2</v>
      </c>
      <c r="P563" s="10">
        <f t="shared" si="21"/>
        <v>0</v>
      </c>
      <c r="Q563" s="10">
        <f>IF(K563=0,IF(A560=A563,AVERAGE(O560:O563),"x"),0)</f>
        <v>2.3949999999999999E-2</v>
      </c>
      <c r="R563" s="9">
        <f>IF(L563&gt;2005,AVERAGE(O560:O579),0)</f>
        <v>2.2219999999999997E-2</v>
      </c>
      <c r="S563" s="10">
        <f>IF(A563=A564,(N563-N564)/N564,0)</f>
        <v>0</v>
      </c>
      <c r="T563" s="10">
        <f>IF(L563&gt;2005,(((N563-N583)/N583)+1)^(1/5)-1,0)</f>
        <v>0.13179836563100178</v>
      </c>
      <c r="U563" s="10">
        <f t="shared" si="22"/>
        <v>0.15401836563100177</v>
      </c>
      <c r="V563" s="26">
        <f t="shared" si="23"/>
        <v>4.7184915379861065</v>
      </c>
      <c r="W563" s="3">
        <f>IF(A563=A564,N563-N564,0)</f>
        <v>0</v>
      </c>
      <c r="X563" s="10">
        <f>IF(A563=A564,(N563-N564)/N564,0)</f>
        <v>0</v>
      </c>
    </row>
    <row r="564" spans="1:24" ht="16.5" customHeight="1">
      <c r="A564" s="3" t="s">
        <v>30</v>
      </c>
      <c r="B564" s="3">
        <f t="shared" si="16"/>
        <v>2019</v>
      </c>
      <c r="C564" s="3">
        <f t="shared" si="17"/>
        <v>12</v>
      </c>
      <c r="D564" s="20" t="str">
        <f t="shared" si="18"/>
        <v>ADP201912</v>
      </c>
      <c r="E564" s="2">
        <v>43811</v>
      </c>
      <c r="F564" s="3">
        <v>0.91</v>
      </c>
      <c r="G564" s="2">
        <v>43831</v>
      </c>
      <c r="H564" s="3">
        <v>2.18E-2</v>
      </c>
      <c r="I564" s="3">
        <v>0.15189873400000001</v>
      </c>
      <c r="J564" s="3">
        <v>0.12</v>
      </c>
      <c r="K564" s="3">
        <f t="shared" si="19"/>
        <v>2019</v>
      </c>
      <c r="L564" s="3">
        <f t="shared" si="20"/>
        <v>0</v>
      </c>
      <c r="M564" s="20" t="str">
        <f>A564&amp;L564</f>
        <v>ADP0</v>
      </c>
      <c r="N564" s="3">
        <f>F564</f>
        <v>0.91</v>
      </c>
      <c r="O564" s="9">
        <f>H564</f>
        <v>2.18E-2</v>
      </c>
      <c r="P564" s="10">
        <f t="shared" si="21"/>
        <v>2.0299999999999999E-2</v>
      </c>
      <c r="Q564" s="10">
        <f>IF(K564=0,IF(A561=A564,AVERAGE(O561:O564),"x"),0)</f>
        <v>0</v>
      </c>
      <c r="R564" s="9">
        <f>IF(L564&gt;2005,AVERAGE(O561:O580),0)</f>
        <v>0</v>
      </c>
      <c r="S564" s="10">
        <f>IF(A564=A565,(N564-N565)/N565,0)</f>
        <v>0.15189873417721517</v>
      </c>
      <c r="T564" s="10">
        <f>IF(L564&gt;2005,(((N564-N584)/N584)+1)^(1/5)-1,0)</f>
        <v>0</v>
      </c>
      <c r="U564" s="10">
        <f t="shared" si="22"/>
        <v>0</v>
      </c>
      <c r="V564" s="26">
        <f t="shared" si="23"/>
        <v>0</v>
      </c>
      <c r="W564" s="3">
        <f>IF(A564=A565,N564-N565,0)</f>
        <v>0.12</v>
      </c>
      <c r="X564" s="10">
        <f>IF(A564=A565,(N564-N565)/N565,0)</f>
        <v>0.15189873417721517</v>
      </c>
    </row>
    <row r="565" spans="1:24" ht="16.5" customHeight="1">
      <c r="A565" s="3" t="s">
        <v>30</v>
      </c>
      <c r="B565" s="3">
        <f t="shared" si="16"/>
        <v>2019</v>
      </c>
      <c r="C565" s="3">
        <f t="shared" si="17"/>
        <v>9</v>
      </c>
      <c r="D565" s="20" t="str">
        <f t="shared" si="18"/>
        <v>ADP20199</v>
      </c>
      <c r="E565" s="2">
        <v>43720</v>
      </c>
      <c r="F565" s="3">
        <v>0.79</v>
      </c>
      <c r="G565" s="2">
        <v>43739</v>
      </c>
      <c r="H565" s="3">
        <v>1.9599999999999999E-2</v>
      </c>
      <c r="I565" s="3">
        <v>0</v>
      </c>
      <c r="J565" s="3">
        <v>0</v>
      </c>
      <c r="K565" s="3">
        <f t="shared" si="19"/>
        <v>2019</v>
      </c>
      <c r="L565" s="3">
        <f t="shared" si="20"/>
        <v>0</v>
      </c>
      <c r="M565" s="20" t="str">
        <f>A565&amp;L565</f>
        <v>ADP0</v>
      </c>
      <c r="N565" s="3">
        <f>F565</f>
        <v>0.79</v>
      </c>
      <c r="O565" s="9">
        <f>H565</f>
        <v>1.9599999999999999E-2</v>
      </c>
      <c r="P565" s="10">
        <f t="shared" si="21"/>
        <v>0</v>
      </c>
      <c r="Q565" s="10">
        <f>IF(K565=0,IF(A562=A565,AVERAGE(O562:O565),"x"),0)</f>
        <v>0</v>
      </c>
      <c r="R565" s="9">
        <f>IF(L565&gt;2005,AVERAGE(O562:O581),0)</f>
        <v>0</v>
      </c>
      <c r="S565" s="10">
        <f>IF(A565=A566,(N565-N566)/N566,0)</f>
        <v>0</v>
      </c>
      <c r="T565" s="10">
        <f>IF(L565&gt;2005,(((N565-N585)/N585)+1)^(1/5)-1,0)</f>
        <v>0</v>
      </c>
      <c r="U565" s="10">
        <f t="shared" si="22"/>
        <v>0</v>
      </c>
      <c r="V565" s="26">
        <f t="shared" si="23"/>
        <v>0</v>
      </c>
      <c r="W565" s="3">
        <f>IF(A565=A566,N565-N566,0)</f>
        <v>0</v>
      </c>
      <c r="X565" s="10">
        <f>IF(A565=A566,(N565-N566)/N566,0)</f>
        <v>0</v>
      </c>
    </row>
    <row r="566" spans="1:24" ht="16.5" customHeight="1">
      <c r="A566" s="3" t="s">
        <v>30</v>
      </c>
      <c r="B566" s="3">
        <f t="shared" si="16"/>
        <v>2019</v>
      </c>
      <c r="C566" s="3">
        <f t="shared" si="17"/>
        <v>6</v>
      </c>
      <c r="D566" s="20" t="str">
        <f t="shared" si="18"/>
        <v>ADP20196</v>
      </c>
      <c r="E566" s="2">
        <v>43629</v>
      </c>
      <c r="F566" s="3">
        <v>0.79</v>
      </c>
      <c r="G566" s="2">
        <v>43647</v>
      </c>
      <c r="H566" s="3">
        <v>1.9099999999999999E-2</v>
      </c>
      <c r="I566" s="3">
        <v>0</v>
      </c>
      <c r="J566" s="3">
        <v>0</v>
      </c>
      <c r="K566" s="3">
        <f t="shared" si="19"/>
        <v>2019</v>
      </c>
      <c r="L566" s="3">
        <f t="shared" si="20"/>
        <v>0</v>
      </c>
      <c r="M566" s="20" t="str">
        <f>A566&amp;L566</f>
        <v>ADP0</v>
      </c>
      <c r="N566" s="3">
        <f>F566</f>
        <v>0.79</v>
      </c>
      <c r="O566" s="9">
        <f>H566</f>
        <v>1.9099999999999999E-2</v>
      </c>
      <c r="P566" s="10">
        <f t="shared" si="21"/>
        <v>0</v>
      </c>
      <c r="Q566" s="10">
        <f>IF(K566=0,IF(A563=A566,AVERAGE(O563:O566),"x"),0)</f>
        <v>0</v>
      </c>
      <c r="R566" s="9">
        <f>IF(L566&gt;2005,AVERAGE(O563:O582),0)</f>
        <v>0</v>
      </c>
      <c r="S566" s="10">
        <f>IF(A566=A567,(N566-N567)/N567,0)</f>
        <v>0</v>
      </c>
      <c r="T566" s="10">
        <f>IF(L566&gt;2005,(((N566-N586)/N586)+1)^(1/5)-1,0)</f>
        <v>0</v>
      </c>
      <c r="U566" s="10">
        <f t="shared" si="22"/>
        <v>0</v>
      </c>
      <c r="V566" s="26">
        <f t="shared" si="23"/>
        <v>0</v>
      </c>
      <c r="W566" s="3">
        <f>IF(A566=A567,N566-N567,0)</f>
        <v>0</v>
      </c>
      <c r="X566" s="10">
        <f>IF(A566=A567,(N566-N567)/N567,0)</f>
        <v>0</v>
      </c>
    </row>
    <row r="567" spans="1:24" ht="16.5" customHeight="1">
      <c r="A567" s="3" t="s">
        <v>30</v>
      </c>
      <c r="B567" s="3">
        <f t="shared" si="16"/>
        <v>2019</v>
      </c>
      <c r="C567" s="3">
        <f t="shared" si="17"/>
        <v>3</v>
      </c>
      <c r="D567" s="20" t="str">
        <f t="shared" si="18"/>
        <v>ADP20193</v>
      </c>
      <c r="E567" s="2">
        <v>43531</v>
      </c>
      <c r="F567" s="3">
        <v>0.79</v>
      </c>
      <c r="G567" s="2">
        <v>43556</v>
      </c>
      <c r="H567" s="3">
        <v>2.07E-2</v>
      </c>
      <c r="I567" s="3">
        <v>0</v>
      </c>
      <c r="J567" s="3">
        <v>0</v>
      </c>
      <c r="K567" s="3">
        <f t="shared" si="19"/>
        <v>0</v>
      </c>
      <c r="L567" s="3">
        <f t="shared" si="20"/>
        <v>2019</v>
      </c>
      <c r="M567" s="20" t="str">
        <f>A567&amp;L567</f>
        <v>ADP2019</v>
      </c>
      <c r="N567" s="3">
        <f>F567</f>
        <v>0.79</v>
      </c>
      <c r="O567" s="9">
        <f>H567</f>
        <v>2.07E-2</v>
      </c>
      <c r="P567" s="10">
        <f t="shared" si="21"/>
        <v>0</v>
      </c>
      <c r="Q567" s="10">
        <f>IF(K567=0,IF(A564=A567,AVERAGE(O564:O567),"x"),0)</f>
        <v>2.0299999999999999E-2</v>
      </c>
      <c r="R567" s="9">
        <f>IF(L567&gt;2005,AVERAGE(O564:O583),0)</f>
        <v>2.2039999999999997E-2</v>
      </c>
      <c r="S567" s="10">
        <f>IF(A567=A568,(N567-N568)/N568,0)</f>
        <v>0</v>
      </c>
      <c r="T567" s="10">
        <f>IF(L567&gt;2005,(((N567-N587)/N587)+1)^(1/5)-1,0)</f>
        <v>0.10478347805926491</v>
      </c>
      <c r="U567" s="10">
        <f t="shared" si="22"/>
        <v>0.12682347805926492</v>
      </c>
      <c r="V567" s="26">
        <f t="shared" si="23"/>
        <v>4.7141489232659159</v>
      </c>
      <c r="W567" s="3">
        <f>IF(A567=A568,N567-N568,0)</f>
        <v>0</v>
      </c>
      <c r="X567" s="10">
        <f>IF(A567=A568,(N567-N568)/N568,0)</f>
        <v>0</v>
      </c>
    </row>
    <row r="568" spans="1:24" ht="16.5" customHeight="1">
      <c r="A568" s="3" t="s">
        <v>30</v>
      </c>
      <c r="B568" s="3">
        <f t="shared" si="16"/>
        <v>2018</v>
      </c>
      <c r="C568" s="3">
        <f t="shared" si="17"/>
        <v>12</v>
      </c>
      <c r="D568" s="20" t="str">
        <f t="shared" si="18"/>
        <v>ADP201812</v>
      </c>
      <c r="E568" s="2">
        <v>43447</v>
      </c>
      <c r="F568" s="3">
        <v>0.79</v>
      </c>
      <c r="G568" s="2">
        <v>43466</v>
      </c>
      <c r="H568" s="3">
        <v>2.2599999999999999E-2</v>
      </c>
      <c r="I568" s="3">
        <v>0.144927536</v>
      </c>
      <c r="J568" s="3">
        <v>0.1</v>
      </c>
      <c r="K568" s="3">
        <f t="shared" si="19"/>
        <v>2018</v>
      </c>
      <c r="L568" s="3">
        <f t="shared" si="20"/>
        <v>0</v>
      </c>
      <c r="M568" s="20" t="str">
        <f>A568&amp;L568</f>
        <v>ADP0</v>
      </c>
      <c r="N568" s="3">
        <f>F568</f>
        <v>0.79</v>
      </c>
      <c r="O568" s="9">
        <f>H568</f>
        <v>2.2599999999999999E-2</v>
      </c>
      <c r="P568" s="10">
        <f t="shared" si="21"/>
        <v>2.0899999999999998E-2</v>
      </c>
      <c r="Q568" s="10">
        <f>IF(K568=0,IF(A565=A568,AVERAGE(O565:O568),"x"),0)</f>
        <v>0</v>
      </c>
      <c r="R568" s="9">
        <f>IF(L568&gt;2005,AVERAGE(O565:O584),0)</f>
        <v>0</v>
      </c>
      <c r="S568" s="10">
        <f>IF(A568=A569,(N568-N569)/N569,0)</f>
        <v>0.1449275362318842</v>
      </c>
      <c r="T568" s="10">
        <f>IF(L568&gt;2005,(((N568-N588)/N588)+1)^(1/5)-1,0)</f>
        <v>0</v>
      </c>
      <c r="U568" s="10">
        <f t="shared" si="22"/>
        <v>0</v>
      </c>
      <c r="V568" s="26">
        <f t="shared" si="23"/>
        <v>0</v>
      </c>
      <c r="W568" s="3">
        <f>IF(A568=A569,N568-N569,0)</f>
        <v>0.10000000000000009</v>
      </c>
      <c r="X568" s="10">
        <f>IF(A568=A569,(N568-N569)/N569,0)</f>
        <v>0.1449275362318842</v>
      </c>
    </row>
    <row r="569" spans="1:24" ht="16.5" customHeight="1">
      <c r="A569" s="3" t="s">
        <v>30</v>
      </c>
      <c r="B569" s="3">
        <f t="shared" si="16"/>
        <v>2018</v>
      </c>
      <c r="C569" s="3">
        <f t="shared" si="17"/>
        <v>9</v>
      </c>
      <c r="D569" s="20" t="str">
        <f t="shared" si="18"/>
        <v>ADP20189</v>
      </c>
      <c r="E569" s="2">
        <v>43356</v>
      </c>
      <c r="F569" s="3">
        <v>0.69</v>
      </c>
      <c r="G569" s="2">
        <v>43374</v>
      </c>
      <c r="H569" s="3">
        <v>1.8800000000000001E-2</v>
      </c>
      <c r="I569" s="3">
        <v>0</v>
      </c>
      <c r="J569" s="3">
        <v>0</v>
      </c>
      <c r="K569" s="3">
        <f t="shared" si="19"/>
        <v>2018</v>
      </c>
      <c r="L569" s="3">
        <f t="shared" si="20"/>
        <v>0</v>
      </c>
      <c r="M569" s="20" t="str">
        <f>A569&amp;L569</f>
        <v>ADP0</v>
      </c>
      <c r="N569" s="3">
        <f>F569</f>
        <v>0.69</v>
      </c>
      <c r="O569" s="9">
        <f>H569</f>
        <v>1.8800000000000001E-2</v>
      </c>
      <c r="P569" s="10">
        <f t="shared" si="21"/>
        <v>0</v>
      </c>
      <c r="Q569" s="10">
        <f>IF(K569=0,IF(A566=A569,AVERAGE(O566:O569),"x"),0)</f>
        <v>0</v>
      </c>
      <c r="R569" s="9">
        <f>IF(L569&gt;2005,AVERAGE(O566:O585),0)</f>
        <v>0</v>
      </c>
      <c r="S569" s="10">
        <f>IF(A569=A570,(N569-N570)/N570,0)</f>
        <v>0</v>
      </c>
      <c r="T569" s="10">
        <f>IF(L569&gt;2005,(((N569-N589)/N589)+1)^(1/5)-1,0)</f>
        <v>0</v>
      </c>
      <c r="U569" s="10">
        <f t="shared" si="22"/>
        <v>0</v>
      </c>
      <c r="V569" s="26">
        <f t="shared" si="23"/>
        <v>0</v>
      </c>
      <c r="W569" s="3">
        <f>IF(A569=A570,N569-N570,0)</f>
        <v>0</v>
      </c>
      <c r="X569" s="10">
        <f>IF(A569=A570,(N569-N570)/N570,0)</f>
        <v>0</v>
      </c>
    </row>
    <row r="570" spans="1:24" ht="16.5" customHeight="1">
      <c r="A570" s="3" t="s">
        <v>30</v>
      </c>
      <c r="B570" s="3">
        <f t="shared" si="16"/>
        <v>2018</v>
      </c>
      <c r="C570" s="3">
        <f t="shared" si="17"/>
        <v>6</v>
      </c>
      <c r="D570" s="20" t="str">
        <f t="shared" si="18"/>
        <v>ADP20186</v>
      </c>
      <c r="E570" s="2">
        <v>43258</v>
      </c>
      <c r="F570" s="3">
        <v>0.69</v>
      </c>
      <c r="G570" s="2">
        <v>43282</v>
      </c>
      <c r="H570" s="3">
        <v>2.0299999999999999E-2</v>
      </c>
      <c r="I570" s="3">
        <v>9.5238094999999995E-2</v>
      </c>
      <c r="J570" s="3">
        <v>0.06</v>
      </c>
      <c r="K570" s="3">
        <f t="shared" si="19"/>
        <v>2018</v>
      </c>
      <c r="L570" s="3">
        <f t="shared" si="20"/>
        <v>0</v>
      </c>
      <c r="M570" s="20" t="str">
        <f>A570&amp;L570</f>
        <v>ADP0</v>
      </c>
      <c r="N570" s="3">
        <f>F570</f>
        <v>0.69</v>
      </c>
      <c r="O570" s="9">
        <f>H570</f>
        <v>2.0299999999999999E-2</v>
      </c>
      <c r="P570" s="10">
        <f t="shared" si="21"/>
        <v>2.1249999999999998E-2</v>
      </c>
      <c r="Q570" s="10">
        <f>IF(K570=0,IF(A567=A570,AVERAGE(O567:O570),"x"),0)</f>
        <v>0</v>
      </c>
      <c r="R570" s="9">
        <f>IF(L570&gt;2005,AVERAGE(O567:O586),0)</f>
        <v>0</v>
      </c>
      <c r="S570" s="10">
        <f>IF(A570=A571,(N570-N571)/N571,0)</f>
        <v>9.523809523809515E-2</v>
      </c>
      <c r="T570" s="10">
        <f>IF(L570&gt;2005,(((N570-N590)/N590)+1)^(1/5)-1,0)</f>
        <v>0</v>
      </c>
      <c r="U570" s="10">
        <f t="shared" si="22"/>
        <v>0</v>
      </c>
      <c r="V570" s="26">
        <f t="shared" si="23"/>
        <v>0</v>
      </c>
      <c r="W570" s="3">
        <f>IF(A570=A571,N570-N571,0)</f>
        <v>5.9999999999999942E-2</v>
      </c>
      <c r="X570" s="10">
        <f>IF(A570=A571,(N570-N571)/N571,0)</f>
        <v>9.523809523809515E-2</v>
      </c>
    </row>
    <row r="571" spans="1:24" ht="16.5" customHeight="1">
      <c r="A571" s="3" t="s">
        <v>30</v>
      </c>
      <c r="B571" s="3">
        <f t="shared" si="16"/>
        <v>2018</v>
      </c>
      <c r="C571" s="3">
        <f t="shared" si="17"/>
        <v>3</v>
      </c>
      <c r="D571" s="20" t="str">
        <f t="shared" si="18"/>
        <v>ADP20183</v>
      </c>
      <c r="E571" s="2">
        <v>43167</v>
      </c>
      <c r="F571" s="3">
        <v>0.63</v>
      </c>
      <c r="G571" s="2">
        <v>43191</v>
      </c>
      <c r="H571" s="3">
        <v>2.1899999999999999E-2</v>
      </c>
      <c r="I571" s="3">
        <v>0</v>
      </c>
      <c r="J571" s="3">
        <v>0</v>
      </c>
      <c r="K571" s="3">
        <f t="shared" si="19"/>
        <v>0</v>
      </c>
      <c r="L571" s="3">
        <f t="shared" si="20"/>
        <v>2018</v>
      </c>
      <c r="M571" s="20" t="str">
        <f>A571&amp;L571</f>
        <v>ADP2018</v>
      </c>
      <c r="N571" s="3">
        <f>F571</f>
        <v>0.63</v>
      </c>
      <c r="O571" s="9">
        <f>H571</f>
        <v>2.1899999999999999E-2</v>
      </c>
      <c r="P571" s="10">
        <f t="shared" si="21"/>
        <v>0</v>
      </c>
      <c r="Q571" s="10">
        <f>IF(K571=0,IF(A568=A571,AVERAGE(O568:O571),"x"),0)</f>
        <v>2.0899999999999998E-2</v>
      </c>
      <c r="R571" s="9">
        <f>IF(L571&gt;2005,AVERAGE(O568:O587),0)</f>
        <v>2.2635000000000009E-2</v>
      </c>
      <c r="S571" s="10">
        <f>IF(A571=A572,(N571-N572)/N572,0)</f>
        <v>0</v>
      </c>
      <c r="T571" s="10">
        <f>IF(L571&gt;2005,(((N571-N591)/N591)+1)^(1/5)-1,0)</f>
        <v>7.6887308061656112E-2</v>
      </c>
      <c r="U571" s="10">
        <f t="shared" si="22"/>
        <v>9.9522308061656128E-2</v>
      </c>
      <c r="V571" s="26">
        <f t="shared" si="23"/>
        <v>4.699552863655744</v>
      </c>
      <c r="W571" s="3">
        <f>IF(A571=A572,N571-N572,0)</f>
        <v>0</v>
      </c>
      <c r="X571" s="10">
        <f>IF(A571=A572,(N571-N572)/N572,0)</f>
        <v>0</v>
      </c>
    </row>
    <row r="572" spans="1:24" ht="16.5" customHeight="1">
      <c r="A572" s="3" t="s">
        <v>30</v>
      </c>
      <c r="B572" s="3">
        <f t="shared" si="16"/>
        <v>2017</v>
      </c>
      <c r="C572" s="3">
        <f t="shared" si="17"/>
        <v>12</v>
      </c>
      <c r="D572" s="20" t="str">
        <f t="shared" si="18"/>
        <v>ADP201712</v>
      </c>
      <c r="E572" s="2">
        <v>43076</v>
      </c>
      <c r="F572" s="3">
        <v>0.63</v>
      </c>
      <c r="G572" s="2">
        <v>43101</v>
      </c>
      <c r="H572" s="3">
        <v>2.1700000000000001E-2</v>
      </c>
      <c r="I572" s="3">
        <v>0.105263158</v>
      </c>
      <c r="J572" s="3">
        <v>0.06</v>
      </c>
      <c r="K572" s="3">
        <f t="shared" si="19"/>
        <v>2017</v>
      </c>
      <c r="L572" s="3">
        <f t="shared" si="20"/>
        <v>0</v>
      </c>
      <c r="M572" s="20" t="str">
        <f>A572&amp;L572</f>
        <v>ADP0</v>
      </c>
      <c r="N572" s="3">
        <f>F572</f>
        <v>0.63</v>
      </c>
      <c r="O572" s="9">
        <f>H572</f>
        <v>2.1700000000000001E-2</v>
      </c>
      <c r="P572" s="10">
        <f t="shared" si="21"/>
        <v>2.18E-2</v>
      </c>
      <c r="Q572" s="10">
        <f>IF(K572=0,IF(A569=A572,AVERAGE(O569:O572),"x"),0)</f>
        <v>0</v>
      </c>
      <c r="R572" s="9">
        <f>IF(L572&gt;2005,AVERAGE(O569:O588),0)</f>
        <v>0</v>
      </c>
      <c r="S572" s="10">
        <f>IF(A572=A573,(N572-N573)/N573,0)</f>
        <v>0.10526315789473695</v>
      </c>
      <c r="T572" s="10">
        <f>IF(L572&gt;2005,(((N572-N592)/N592)+1)^(1/5)-1,0)</f>
        <v>0</v>
      </c>
      <c r="U572" s="10">
        <f t="shared" si="22"/>
        <v>0</v>
      </c>
      <c r="V572" s="26">
        <f t="shared" si="23"/>
        <v>0</v>
      </c>
      <c r="W572" s="3">
        <f>IF(A572=A573,N572-N573,0)</f>
        <v>6.0000000000000053E-2</v>
      </c>
      <c r="X572" s="10">
        <f>IF(A572=A573,(N572-N573)/N573,0)</f>
        <v>0.10526315789473695</v>
      </c>
    </row>
    <row r="573" spans="1:24" ht="16.5" customHeight="1">
      <c r="A573" s="3" t="s">
        <v>30</v>
      </c>
      <c r="B573" s="3">
        <f t="shared" si="16"/>
        <v>2017</v>
      </c>
      <c r="C573" s="3">
        <f t="shared" si="17"/>
        <v>9</v>
      </c>
      <c r="D573" s="20" t="str">
        <f t="shared" si="18"/>
        <v>ADP20179</v>
      </c>
      <c r="E573" s="2">
        <v>42985</v>
      </c>
      <c r="F573" s="3">
        <v>0.56999999999999995</v>
      </c>
      <c r="G573" s="2">
        <v>43009</v>
      </c>
      <c r="H573" s="3">
        <v>2.1100000000000001E-2</v>
      </c>
      <c r="I573" s="3">
        <v>0</v>
      </c>
      <c r="J573" s="3">
        <v>0</v>
      </c>
      <c r="K573" s="3">
        <f t="shared" si="19"/>
        <v>2017</v>
      </c>
      <c r="L573" s="3">
        <f t="shared" si="20"/>
        <v>0</v>
      </c>
      <c r="M573" s="20" t="str">
        <f>A573&amp;L573</f>
        <v>ADP0</v>
      </c>
      <c r="N573" s="3">
        <f>F573</f>
        <v>0.56999999999999995</v>
      </c>
      <c r="O573" s="9">
        <f>H573</f>
        <v>2.1100000000000001E-2</v>
      </c>
      <c r="P573" s="10">
        <f t="shared" si="21"/>
        <v>0</v>
      </c>
      <c r="Q573" s="10">
        <f>IF(K573=0,IF(A570=A573,AVERAGE(O570:O573),"x"),0)</f>
        <v>0</v>
      </c>
      <c r="R573" s="9">
        <f>IF(L573&gt;2005,AVERAGE(O570:O589),0)</f>
        <v>0</v>
      </c>
      <c r="S573" s="10">
        <f>IF(A573=A574,(N573-N574)/N574,0)</f>
        <v>0</v>
      </c>
      <c r="T573" s="10">
        <f>IF(L573&gt;2005,(((N573-N593)/N593)+1)^(1/5)-1,0)</f>
        <v>0</v>
      </c>
      <c r="U573" s="10">
        <f t="shared" si="22"/>
        <v>0</v>
      </c>
      <c r="V573" s="26">
        <f t="shared" si="23"/>
        <v>0</v>
      </c>
      <c r="W573" s="3">
        <f>IF(A573=A574,N573-N574,0)</f>
        <v>0</v>
      </c>
      <c r="X573" s="10">
        <f>IF(A573=A574,(N573-N574)/N574,0)</f>
        <v>0</v>
      </c>
    </row>
    <row r="574" spans="1:24" ht="16.5" customHeight="1">
      <c r="A574" s="3" t="s">
        <v>30</v>
      </c>
      <c r="B574" s="3">
        <f t="shared" si="16"/>
        <v>2017</v>
      </c>
      <c r="C574" s="3">
        <f t="shared" si="17"/>
        <v>6</v>
      </c>
      <c r="D574" s="20" t="str">
        <f t="shared" si="18"/>
        <v>ADP20176</v>
      </c>
      <c r="E574" s="2">
        <v>42893</v>
      </c>
      <c r="F574" s="3">
        <v>0.56999999999999995</v>
      </c>
      <c r="G574" s="2">
        <v>42917</v>
      </c>
      <c r="H574" s="3">
        <v>2.2499999999999999E-2</v>
      </c>
      <c r="I574" s="3">
        <v>0</v>
      </c>
      <c r="J574" s="3">
        <v>0</v>
      </c>
      <c r="K574" s="3">
        <f t="shared" si="19"/>
        <v>2017</v>
      </c>
      <c r="L574" s="3">
        <f t="shared" si="20"/>
        <v>0</v>
      </c>
      <c r="M574" s="20" t="str">
        <f>A574&amp;L574</f>
        <v>ADP0</v>
      </c>
      <c r="N574" s="3">
        <f>F574</f>
        <v>0.56999999999999995</v>
      </c>
      <c r="O574" s="9">
        <f>H574</f>
        <v>2.2499999999999999E-2</v>
      </c>
      <c r="P574" s="10">
        <f t="shared" si="21"/>
        <v>0</v>
      </c>
      <c r="Q574" s="10">
        <f>IF(K574=0,IF(A571=A574,AVERAGE(O571:O574),"x"),0)</f>
        <v>0</v>
      </c>
      <c r="R574" s="9">
        <f>IF(L574&gt;2005,AVERAGE(O571:O590),0)</f>
        <v>0</v>
      </c>
      <c r="S574" s="10">
        <f>IF(A574=A575,(N574-N575)/N575,0)</f>
        <v>0</v>
      </c>
      <c r="T574" s="10">
        <f>IF(L574&gt;2005,(((N574-N594)/N594)+1)^(1/5)-1,0)</f>
        <v>0</v>
      </c>
      <c r="U574" s="10">
        <f t="shared" si="22"/>
        <v>0</v>
      </c>
      <c r="V574" s="26">
        <f t="shared" si="23"/>
        <v>0</v>
      </c>
      <c r="W574" s="3">
        <f>IF(A574=A575,N574-N575,0)</f>
        <v>0</v>
      </c>
      <c r="X574" s="10">
        <f>IF(A574=A575,(N574-N575)/N575,0)</f>
        <v>0</v>
      </c>
    </row>
    <row r="575" spans="1:24" ht="16.5" customHeight="1">
      <c r="A575" s="3" t="s">
        <v>30</v>
      </c>
      <c r="B575" s="3">
        <f t="shared" si="16"/>
        <v>2017</v>
      </c>
      <c r="C575" s="3">
        <f t="shared" si="17"/>
        <v>3</v>
      </c>
      <c r="D575" s="20" t="str">
        <f t="shared" si="18"/>
        <v>ADP20173</v>
      </c>
      <c r="E575" s="2">
        <v>42802</v>
      </c>
      <c r="F575" s="3">
        <v>0.56999999999999995</v>
      </c>
      <c r="G575" s="2">
        <v>42826</v>
      </c>
      <c r="H575" s="3">
        <v>2.1899999999999999E-2</v>
      </c>
      <c r="I575" s="3">
        <v>0</v>
      </c>
      <c r="J575" s="3">
        <v>0</v>
      </c>
      <c r="K575" s="3">
        <f t="shared" si="19"/>
        <v>0</v>
      </c>
      <c r="L575" s="3">
        <f t="shared" si="20"/>
        <v>2017</v>
      </c>
      <c r="M575" s="20" t="str">
        <f>A575&amp;L575</f>
        <v>ADP2017</v>
      </c>
      <c r="N575" s="3">
        <f>F575</f>
        <v>0.56999999999999995</v>
      </c>
      <c r="O575" s="9">
        <f>H575</f>
        <v>2.1899999999999999E-2</v>
      </c>
      <c r="P575" s="10">
        <f t="shared" si="21"/>
        <v>0</v>
      </c>
      <c r="Q575" s="10">
        <f>IF(K575=0,IF(A572=A575,AVERAGE(O572:O575),"x"),0)</f>
        <v>2.18E-2</v>
      </c>
      <c r="R575" s="9">
        <f>IF(L575&gt;2005,AVERAGE(O572:O591),0)</f>
        <v>2.3345000000000008E-2</v>
      </c>
      <c r="S575" s="10">
        <f>IF(A575=A576,(N575-N576)/N576,0)</f>
        <v>0</v>
      </c>
      <c r="T575" s="10">
        <f>IF(L575&gt;2005,(((N575-N595)/N595)+1)^(1/5)-1,0)</f>
        <v>7.6107236755172503E-2</v>
      </c>
      <c r="U575" s="10">
        <f t="shared" si="22"/>
        <v>9.9452236755172507E-2</v>
      </c>
      <c r="V575" s="26">
        <f t="shared" si="23"/>
        <v>4.690375168822448</v>
      </c>
      <c r="W575" s="3">
        <f>IF(A575=A576,N575-N576,0)</f>
        <v>0</v>
      </c>
      <c r="X575" s="10">
        <f>IF(A575=A576,(N575-N576)/N576,0)</f>
        <v>0</v>
      </c>
    </row>
    <row r="576" spans="1:24" ht="16.5" customHeight="1">
      <c r="A576" s="3" t="s">
        <v>30</v>
      </c>
      <c r="B576" s="3">
        <f t="shared" si="16"/>
        <v>2016</v>
      </c>
      <c r="C576" s="3">
        <f t="shared" si="17"/>
        <v>12</v>
      </c>
      <c r="D576" s="20" t="str">
        <f t="shared" si="18"/>
        <v>ADP201612</v>
      </c>
      <c r="E576" s="2">
        <v>42711</v>
      </c>
      <c r="F576" s="3">
        <v>0.56999999999999995</v>
      </c>
      <c r="G576" s="2">
        <v>42736</v>
      </c>
      <c r="H576" s="3">
        <v>2.3800000000000002E-2</v>
      </c>
      <c r="I576" s="3">
        <v>7.5471698000000004E-2</v>
      </c>
      <c r="J576" s="3">
        <v>0.04</v>
      </c>
      <c r="K576" s="3">
        <f t="shared" si="19"/>
        <v>2016</v>
      </c>
      <c r="L576" s="3">
        <f t="shared" si="20"/>
        <v>0</v>
      </c>
      <c r="M576" s="20" t="str">
        <f>A576&amp;L576</f>
        <v>ADP0</v>
      </c>
      <c r="N576" s="3">
        <f>F576</f>
        <v>0.56999999999999995</v>
      </c>
      <c r="O576" s="9">
        <f>H576</f>
        <v>2.3800000000000002E-2</v>
      </c>
      <c r="P576" s="10">
        <f t="shared" si="21"/>
        <v>2.4150000000000001E-2</v>
      </c>
      <c r="Q576" s="10">
        <f>IF(K576=0,IF(A573=A576,AVERAGE(O573:O576),"x"),0)</f>
        <v>0</v>
      </c>
      <c r="R576" s="9">
        <f>IF(L576&gt;2005,AVERAGE(O573:O592),0)</f>
        <v>0</v>
      </c>
      <c r="S576" s="10">
        <f>IF(A576=A577,(N576-N577)/N577,0)</f>
        <v>7.5471698113207406E-2</v>
      </c>
      <c r="T576" s="10">
        <f>IF(L576&gt;2005,(((N576-N596)/N596)+1)^(1/5)-1,0)</f>
        <v>0</v>
      </c>
      <c r="U576" s="10">
        <f t="shared" si="22"/>
        <v>0</v>
      </c>
      <c r="V576" s="26">
        <f t="shared" si="23"/>
        <v>0</v>
      </c>
      <c r="W576" s="3">
        <f>IF(A576=A577,N576-N577,0)</f>
        <v>3.9999999999999925E-2</v>
      </c>
      <c r="X576" s="10">
        <f>IF(A576=A577,(N576-N577)/N577,0)</f>
        <v>7.5471698113207406E-2</v>
      </c>
    </row>
    <row r="577" spans="1:24" ht="16.5" customHeight="1">
      <c r="A577" s="3" t="s">
        <v>30</v>
      </c>
      <c r="B577" s="3">
        <f t="shared" si="16"/>
        <v>2016</v>
      </c>
      <c r="C577" s="3">
        <f t="shared" si="17"/>
        <v>9</v>
      </c>
      <c r="D577" s="20" t="str">
        <f t="shared" si="18"/>
        <v>ADP20169</v>
      </c>
      <c r="E577" s="2">
        <v>42620</v>
      </c>
      <c r="F577" s="3">
        <v>0.53</v>
      </c>
      <c r="G577" s="2">
        <v>42644</v>
      </c>
      <c r="H577" s="3">
        <v>2.3599999999999999E-2</v>
      </c>
      <c r="I577" s="3">
        <v>0</v>
      </c>
      <c r="J577" s="3">
        <v>0</v>
      </c>
      <c r="K577" s="3">
        <f t="shared" si="19"/>
        <v>2016</v>
      </c>
      <c r="L577" s="3">
        <f t="shared" si="20"/>
        <v>0</v>
      </c>
      <c r="M577" s="20" t="str">
        <f>A577&amp;L577</f>
        <v>ADP0</v>
      </c>
      <c r="N577" s="3">
        <f>F577</f>
        <v>0.53</v>
      </c>
      <c r="O577" s="9">
        <f>H577</f>
        <v>2.3599999999999999E-2</v>
      </c>
      <c r="P577" s="10">
        <f t="shared" si="21"/>
        <v>0</v>
      </c>
      <c r="Q577" s="10">
        <f>IF(K577=0,IF(A574=A577,AVERAGE(O574:O577),"x"),0)</f>
        <v>0</v>
      </c>
      <c r="R577" s="9">
        <f>IF(L577&gt;2005,AVERAGE(O574:O593),0)</f>
        <v>0</v>
      </c>
      <c r="S577" s="10">
        <f>IF(A577=A578,(N577-N578)/N578,0)</f>
        <v>0</v>
      </c>
      <c r="T577" s="10">
        <f>IF(L577&gt;2005,(((N577-N597)/N597)+1)^(1/5)-1,0)</f>
        <v>0</v>
      </c>
      <c r="U577" s="10">
        <f t="shared" si="22"/>
        <v>0</v>
      </c>
      <c r="V577" s="26">
        <f t="shared" si="23"/>
        <v>0</v>
      </c>
      <c r="W577" s="3">
        <f>IF(A577=A578,N577-N578,0)</f>
        <v>0</v>
      </c>
      <c r="X577" s="10">
        <f>IF(A577=A578,(N577-N578)/N578,0)</f>
        <v>0</v>
      </c>
    </row>
    <row r="578" spans="1:24" ht="16.5" customHeight="1">
      <c r="A578" s="3" t="s">
        <v>30</v>
      </c>
      <c r="B578" s="3">
        <f t="shared" si="16"/>
        <v>2016</v>
      </c>
      <c r="C578" s="3">
        <f t="shared" si="17"/>
        <v>6</v>
      </c>
      <c r="D578" s="20" t="str">
        <f t="shared" si="18"/>
        <v>ADP20166</v>
      </c>
      <c r="E578" s="2">
        <v>42529</v>
      </c>
      <c r="F578" s="3">
        <v>0.53</v>
      </c>
      <c r="G578" s="2">
        <v>42552</v>
      </c>
      <c r="H578" s="3">
        <v>2.4400000000000002E-2</v>
      </c>
      <c r="I578" s="3">
        <v>0</v>
      </c>
      <c r="J578" s="3">
        <v>0</v>
      </c>
      <c r="K578" s="3">
        <f t="shared" si="19"/>
        <v>2016</v>
      </c>
      <c r="L578" s="3">
        <f t="shared" si="20"/>
        <v>0</v>
      </c>
      <c r="M578" s="20" t="str">
        <f>A578&amp;L578</f>
        <v>ADP0</v>
      </c>
      <c r="N578" s="3">
        <f>F578</f>
        <v>0.53</v>
      </c>
      <c r="O578" s="9">
        <f>H578</f>
        <v>2.4400000000000002E-2</v>
      </c>
      <c r="P578" s="10">
        <f t="shared" si="21"/>
        <v>0</v>
      </c>
      <c r="Q578" s="10">
        <f>IF(K578=0,IF(A575=A578,AVERAGE(O575:O578),"x"),0)</f>
        <v>0</v>
      </c>
      <c r="R578" s="9">
        <f>IF(L578&gt;2005,AVERAGE(O575:O594),0)</f>
        <v>0</v>
      </c>
      <c r="S578" s="10">
        <f>IF(A578=A579,(N578-N579)/N579,0)</f>
        <v>0</v>
      </c>
      <c r="T578" s="10">
        <f>IF(L578&gt;2005,(((N578-N598)/N598)+1)^(1/5)-1,0)</f>
        <v>0</v>
      </c>
      <c r="U578" s="10">
        <f t="shared" si="22"/>
        <v>0</v>
      </c>
      <c r="V578" s="26">
        <f t="shared" si="23"/>
        <v>0</v>
      </c>
      <c r="W578" s="3">
        <f>IF(A578=A579,N578-N579,0)</f>
        <v>0</v>
      </c>
      <c r="X578" s="10">
        <f>IF(A578=A579,(N578-N579)/N579,0)</f>
        <v>0</v>
      </c>
    </row>
    <row r="579" spans="1:24" ht="16.5" customHeight="1">
      <c r="A579" s="3" t="s">
        <v>30</v>
      </c>
      <c r="B579" s="3">
        <f t="shared" si="16"/>
        <v>2016</v>
      </c>
      <c r="C579" s="3">
        <f t="shared" si="17"/>
        <v>3</v>
      </c>
      <c r="D579" s="20" t="str">
        <f t="shared" si="18"/>
        <v>ADP20163</v>
      </c>
      <c r="E579" s="2">
        <v>42438</v>
      </c>
      <c r="F579" s="3">
        <v>0.53</v>
      </c>
      <c r="G579" s="2">
        <v>42461</v>
      </c>
      <c r="H579" s="3">
        <v>2.4799999999999999E-2</v>
      </c>
      <c r="I579" s="3">
        <v>0</v>
      </c>
      <c r="J579" s="3">
        <v>0</v>
      </c>
      <c r="K579" s="3">
        <f t="shared" si="19"/>
        <v>0</v>
      </c>
      <c r="L579" s="3">
        <f t="shared" si="20"/>
        <v>2016</v>
      </c>
      <c r="M579" s="20" t="str">
        <f>A579&amp;L579</f>
        <v>ADP2016</v>
      </c>
      <c r="N579" s="3">
        <f>F579</f>
        <v>0.53</v>
      </c>
      <c r="O579" s="9">
        <f>H579</f>
        <v>2.4799999999999999E-2</v>
      </c>
      <c r="P579" s="10">
        <f t="shared" si="21"/>
        <v>0</v>
      </c>
      <c r="Q579" s="10">
        <f>IF(K579=0,IF(A576=A579,AVERAGE(O576:O579),"x"),0)</f>
        <v>2.4150000000000001E-2</v>
      </c>
      <c r="R579" s="9">
        <f>IF(L579&gt;2005,AVERAGE(O576:O595),0)</f>
        <v>2.4615000000000001E-2</v>
      </c>
      <c r="S579" s="10">
        <f>IF(A579=A580,(N579-N580)/N580,0)</f>
        <v>0</v>
      </c>
      <c r="T579" s="10">
        <f>IF(L579&gt;2005,(((N579-N599)/N599)+1)^(1/5)-1,0)</f>
        <v>8.0425121842408798E-2</v>
      </c>
      <c r="U579" s="10">
        <f t="shared" si="22"/>
        <v>0.1050401218424088</v>
      </c>
      <c r="V579" s="26">
        <f t="shared" si="23"/>
        <v>4.6756312418324937</v>
      </c>
      <c r="W579" s="3">
        <f>IF(A579=A580,N579-N580,0)</f>
        <v>0</v>
      </c>
      <c r="X579" s="10">
        <f>IF(A579=A580,(N579-N580)/N580,0)</f>
        <v>0</v>
      </c>
    </row>
    <row r="580" spans="1:24" ht="16.5" customHeight="1">
      <c r="A580" s="3" t="s">
        <v>30</v>
      </c>
      <c r="B580" s="3">
        <f t="shared" si="16"/>
        <v>2015</v>
      </c>
      <c r="C580" s="3">
        <f t="shared" si="17"/>
        <v>12</v>
      </c>
      <c r="D580" s="20" t="str">
        <f t="shared" si="18"/>
        <v>ADP201512</v>
      </c>
      <c r="E580" s="2">
        <v>42347</v>
      </c>
      <c r="F580" s="3">
        <v>0.53</v>
      </c>
      <c r="G580" s="2">
        <v>42370</v>
      </c>
      <c r="H580" s="3">
        <v>2.3199999999999998E-2</v>
      </c>
      <c r="I580" s="3">
        <v>8.1632652999999999E-2</v>
      </c>
      <c r="J580" s="3">
        <v>0.04</v>
      </c>
      <c r="K580" s="3">
        <f t="shared" si="19"/>
        <v>2015</v>
      </c>
      <c r="L580" s="3">
        <f t="shared" si="20"/>
        <v>0</v>
      </c>
      <c r="M580" s="20" t="str">
        <f>A580&amp;L580</f>
        <v>ADP0</v>
      </c>
      <c r="N580" s="3">
        <f>F580</f>
        <v>0.53</v>
      </c>
      <c r="O580" s="9">
        <f>H580</f>
        <v>2.3199999999999998E-2</v>
      </c>
      <c r="P580" s="10">
        <f t="shared" si="21"/>
        <v>2.3050000000000001E-2</v>
      </c>
      <c r="Q580" s="10">
        <f>IF(K580=0,IF(A577=A580,AVERAGE(O577:O580),"x"),0)</f>
        <v>0</v>
      </c>
      <c r="R580" s="9">
        <f>IF(L580&gt;2005,AVERAGE(O577:O596),0)</f>
        <v>0</v>
      </c>
      <c r="S580" s="10">
        <f>IF(A580=A581,(N580-N581)/N581,0)</f>
        <v>8.1632653061224567E-2</v>
      </c>
      <c r="T580" s="10">
        <f>IF(L580&gt;2005,(((N580-N600)/N600)+1)^(1/5)-1,0)</f>
        <v>0</v>
      </c>
      <c r="U580" s="10">
        <f t="shared" si="22"/>
        <v>0</v>
      </c>
      <c r="V580" s="26">
        <f t="shared" si="23"/>
        <v>0</v>
      </c>
      <c r="W580" s="3">
        <f>IF(A580=A581,N580-N581,0)</f>
        <v>4.0000000000000036E-2</v>
      </c>
      <c r="X580" s="10">
        <f>IF(A580=A581,(N580-N581)/N581,0)</f>
        <v>8.1632653061224567E-2</v>
      </c>
    </row>
    <row r="581" spans="1:24" ht="16.5" customHeight="1">
      <c r="A581" s="3" t="s">
        <v>30</v>
      </c>
      <c r="B581" s="3">
        <f t="shared" si="16"/>
        <v>2015</v>
      </c>
      <c r="C581" s="3">
        <f t="shared" si="17"/>
        <v>9</v>
      </c>
      <c r="D581" s="20" t="str">
        <f t="shared" si="18"/>
        <v>ADP20159</v>
      </c>
      <c r="E581" s="2">
        <v>42256</v>
      </c>
      <c r="F581" s="3">
        <v>0.49</v>
      </c>
      <c r="G581" s="2">
        <v>42278</v>
      </c>
      <c r="H581" s="3">
        <v>2.3E-2</v>
      </c>
      <c r="I581" s="3">
        <v>0</v>
      </c>
      <c r="J581" s="3">
        <v>0</v>
      </c>
      <c r="K581" s="3">
        <f t="shared" si="19"/>
        <v>2015</v>
      </c>
      <c r="L581" s="3">
        <f t="shared" si="20"/>
        <v>0</v>
      </c>
      <c r="M581" s="20" t="str">
        <f>A581&amp;L581</f>
        <v>ADP0</v>
      </c>
      <c r="N581" s="3">
        <f>F581</f>
        <v>0.49</v>
      </c>
      <c r="O581" s="9">
        <f>H581</f>
        <v>2.3E-2</v>
      </c>
      <c r="P581" s="10">
        <f t="shared" si="21"/>
        <v>0</v>
      </c>
      <c r="Q581" s="10">
        <f>IF(K581=0,IF(A578=A581,AVERAGE(O578:O581),"x"),0)</f>
        <v>0</v>
      </c>
      <c r="R581" s="9">
        <f>IF(L581&gt;2005,AVERAGE(O578:O597),0)</f>
        <v>0</v>
      </c>
      <c r="S581" s="10">
        <f>IF(A581=A582,(N581-N582)/N582,0)</f>
        <v>0</v>
      </c>
      <c r="T581" s="10">
        <f>IF(L581&gt;2005,(((N581-N601)/N601)+1)^(1/5)-1,0)</f>
        <v>0</v>
      </c>
      <c r="U581" s="10">
        <f t="shared" si="22"/>
        <v>0</v>
      </c>
      <c r="V581" s="26">
        <f t="shared" si="23"/>
        <v>0</v>
      </c>
      <c r="W581" s="3">
        <f>IF(A581=A582,N581-N582,0)</f>
        <v>0</v>
      </c>
      <c r="X581" s="10">
        <f>IF(A581=A582,(N581-N582)/N582,0)</f>
        <v>0</v>
      </c>
    </row>
    <row r="582" spans="1:24" ht="16.5" customHeight="1">
      <c r="A582" s="3" t="s">
        <v>30</v>
      </c>
      <c r="B582" s="3">
        <f t="shared" si="16"/>
        <v>2015</v>
      </c>
      <c r="C582" s="3">
        <f t="shared" si="17"/>
        <v>6</v>
      </c>
      <c r="D582" s="20" t="str">
        <f t="shared" si="18"/>
        <v>ADP20156</v>
      </c>
      <c r="E582" s="2">
        <v>42165</v>
      </c>
      <c r="F582" s="3">
        <v>0.49</v>
      </c>
      <c r="G582" s="2">
        <v>42186</v>
      </c>
      <c r="H582" s="3">
        <v>2.3E-2</v>
      </c>
      <c r="I582" s="3">
        <v>0</v>
      </c>
      <c r="J582" s="3">
        <v>0</v>
      </c>
      <c r="K582" s="3">
        <f t="shared" si="19"/>
        <v>2015</v>
      </c>
      <c r="L582" s="3">
        <f t="shared" si="20"/>
        <v>0</v>
      </c>
      <c r="M582" s="20" t="str">
        <f>A582&amp;L582</f>
        <v>ADP0</v>
      </c>
      <c r="N582" s="3">
        <f>F582</f>
        <v>0.49</v>
      </c>
      <c r="O582" s="9">
        <f>H582</f>
        <v>2.3E-2</v>
      </c>
      <c r="P582" s="10">
        <f t="shared" si="21"/>
        <v>0</v>
      </c>
      <c r="Q582" s="10">
        <f>IF(K582=0,IF(A579=A582,AVERAGE(O579:O582),"x"),0)</f>
        <v>0</v>
      </c>
      <c r="R582" s="9">
        <f>IF(L582&gt;2005,AVERAGE(O579:O598),0)</f>
        <v>0</v>
      </c>
      <c r="S582" s="10">
        <f>IF(A582=A583,(N582-N583)/N583,0)</f>
        <v>0</v>
      </c>
      <c r="T582" s="10">
        <f>IF(L582&gt;2005,(((N582-N602)/N602)+1)^(1/5)-1,0)</f>
        <v>0</v>
      </c>
      <c r="U582" s="10">
        <f t="shared" si="22"/>
        <v>0</v>
      </c>
      <c r="V582" s="26">
        <f t="shared" si="23"/>
        <v>0</v>
      </c>
      <c r="W582" s="3">
        <f>IF(A582=A583,N582-N583,0)</f>
        <v>0</v>
      </c>
      <c r="X582" s="10">
        <f>IF(A582=A583,(N582-N583)/N583,0)</f>
        <v>0</v>
      </c>
    </row>
    <row r="583" spans="1:24" ht="16.5" customHeight="1">
      <c r="A583" s="3" t="s">
        <v>30</v>
      </c>
      <c r="B583" s="3">
        <f t="shared" si="16"/>
        <v>2015</v>
      </c>
      <c r="C583" s="3">
        <f t="shared" si="17"/>
        <v>3</v>
      </c>
      <c r="D583" s="20" t="str">
        <f t="shared" si="18"/>
        <v>ADP20153</v>
      </c>
      <c r="E583" s="2">
        <v>42074</v>
      </c>
      <c r="F583" s="3">
        <v>0.49</v>
      </c>
      <c r="G583" s="2">
        <v>42095</v>
      </c>
      <c r="H583" s="3">
        <v>2.3E-2</v>
      </c>
      <c r="I583" s="3">
        <v>0</v>
      </c>
      <c r="J583" s="3">
        <v>0</v>
      </c>
      <c r="K583" s="3">
        <f t="shared" si="19"/>
        <v>0</v>
      </c>
      <c r="L583" s="3">
        <f t="shared" si="20"/>
        <v>2015</v>
      </c>
      <c r="M583" s="20" t="str">
        <f>A583&amp;L583</f>
        <v>ADP2015</v>
      </c>
      <c r="N583" s="3">
        <f>F583</f>
        <v>0.49</v>
      </c>
      <c r="O583" s="9">
        <f>H583</f>
        <v>2.3E-2</v>
      </c>
      <c r="P583" s="10">
        <f t="shared" si="21"/>
        <v>0</v>
      </c>
      <c r="Q583" s="10">
        <f>IF(K583=0,IF(A580=A583,AVERAGE(O580:O583),"x"),0)</f>
        <v>2.3050000000000001E-2</v>
      </c>
      <c r="R583" s="9">
        <f>IF(L583&gt;2005,AVERAGE(O580:O599),0)</f>
        <v>2.5415E-2</v>
      </c>
      <c r="S583" s="10">
        <f>IF(A583=A584,(N583-N584)/N584,0)</f>
        <v>0</v>
      </c>
      <c r="T583" s="10">
        <f>IF(L583&gt;2005,(((N583-N603)/N603)+1)^(1/5)-1,0)</f>
        <v>7.5829459940464305E-2</v>
      </c>
      <c r="U583" s="10">
        <f t="shared" si="22"/>
        <v>0.1012444599404643</v>
      </c>
      <c r="V583" s="26">
        <f t="shared" si="23"/>
        <v>4.664293058440375</v>
      </c>
      <c r="W583" s="3">
        <f>IF(A583=A584,N583-N584,0)</f>
        <v>0</v>
      </c>
      <c r="X583" s="10">
        <f>IF(A583=A584,(N583-N584)/N584,0)</f>
        <v>0</v>
      </c>
    </row>
    <row r="584" spans="1:24" ht="16.5" customHeight="1">
      <c r="A584" s="3" t="s">
        <v>30</v>
      </c>
      <c r="B584" s="3">
        <f t="shared" si="16"/>
        <v>2014</v>
      </c>
      <c r="C584" s="3">
        <f t="shared" si="17"/>
        <v>12</v>
      </c>
      <c r="D584" s="20" t="str">
        <f t="shared" si="18"/>
        <v>ADP201412</v>
      </c>
      <c r="E584" s="2">
        <v>41983</v>
      </c>
      <c r="F584" s="3">
        <v>0.49</v>
      </c>
      <c r="G584" s="2">
        <v>42005</v>
      </c>
      <c r="H584" s="3">
        <v>2.3E-2</v>
      </c>
      <c r="I584" s="3">
        <v>2.0833332999999999E-2</v>
      </c>
      <c r="J584" s="3">
        <v>0.01</v>
      </c>
      <c r="K584" s="3">
        <f t="shared" si="19"/>
        <v>2014</v>
      </c>
      <c r="L584" s="3">
        <f t="shared" si="20"/>
        <v>0</v>
      </c>
      <c r="M584" s="20" t="str">
        <f>A584&amp;L584</f>
        <v>ADP0</v>
      </c>
      <c r="N584" s="3">
        <f>F584</f>
        <v>0.49</v>
      </c>
      <c r="O584" s="9">
        <f>H584</f>
        <v>2.3E-2</v>
      </c>
      <c r="P584" s="10">
        <f t="shared" si="21"/>
        <v>2.3274999999999997E-2</v>
      </c>
      <c r="Q584" s="10">
        <f>IF(K584=0,IF(A581=A584,AVERAGE(O581:O584),"x"),0)</f>
        <v>0</v>
      </c>
      <c r="R584" s="9">
        <f>IF(L584&gt;2005,AVERAGE(O581:O600),0)</f>
        <v>0</v>
      </c>
      <c r="S584" s="10">
        <f>IF(A584=A585,(N584-N585)/N585,0)</f>
        <v>2.0833333333333353E-2</v>
      </c>
      <c r="T584" s="10">
        <f>IF(L584&gt;2005,(((N584-N604)/N604)+1)^(1/5)-1,0)</f>
        <v>0</v>
      </c>
      <c r="U584" s="10">
        <f t="shared" si="22"/>
        <v>0</v>
      </c>
      <c r="V584" s="26">
        <f t="shared" si="23"/>
        <v>0</v>
      </c>
      <c r="W584" s="3">
        <f>IF(A584=A585,N584-N585,0)</f>
        <v>1.0000000000000009E-2</v>
      </c>
      <c r="X584" s="10">
        <f>IF(A584=A585,(N584-N585)/N585,0)</f>
        <v>2.0833333333333353E-2</v>
      </c>
    </row>
    <row r="585" spans="1:24" ht="16.5" customHeight="1">
      <c r="A585" s="3" t="s">
        <v>30</v>
      </c>
      <c r="B585" s="3">
        <f t="shared" si="16"/>
        <v>2014</v>
      </c>
      <c r="C585" s="3">
        <f t="shared" si="17"/>
        <v>9</v>
      </c>
      <c r="D585" s="20" t="str">
        <f t="shared" si="18"/>
        <v>ADP20149</v>
      </c>
      <c r="E585" s="2">
        <v>41892</v>
      </c>
      <c r="F585" s="3">
        <v>0.48</v>
      </c>
      <c r="G585" s="2">
        <v>41913</v>
      </c>
      <c r="H585" s="3">
        <v>2.3E-2</v>
      </c>
      <c r="I585" s="3">
        <v>0</v>
      </c>
      <c r="J585" s="3">
        <v>0</v>
      </c>
      <c r="K585" s="3">
        <f t="shared" si="19"/>
        <v>2014</v>
      </c>
      <c r="L585" s="3">
        <f t="shared" si="20"/>
        <v>0</v>
      </c>
      <c r="M585" s="20" t="str">
        <f>A585&amp;L585</f>
        <v>ADP0</v>
      </c>
      <c r="N585" s="3">
        <f>F585</f>
        <v>0.48</v>
      </c>
      <c r="O585" s="9">
        <f>H585</f>
        <v>2.3E-2</v>
      </c>
      <c r="P585" s="10">
        <f t="shared" si="21"/>
        <v>0</v>
      </c>
      <c r="Q585" s="10">
        <f>IF(K585=0,IF(A582=A585,AVERAGE(O582:O585),"x"),0)</f>
        <v>0</v>
      </c>
      <c r="R585" s="9">
        <f>IF(L585&gt;2005,AVERAGE(O582:O601),0)</f>
        <v>0</v>
      </c>
      <c r="S585" s="10">
        <f>IF(A585=A586,(N585-N586)/N586,0)</f>
        <v>0</v>
      </c>
      <c r="T585" s="10">
        <f>IF(L585&gt;2005,(((N585-N605)/N605)+1)^(1/5)-1,0)</f>
        <v>0</v>
      </c>
      <c r="U585" s="10">
        <f t="shared" si="22"/>
        <v>0</v>
      </c>
      <c r="V585" s="26">
        <f t="shared" si="23"/>
        <v>0</v>
      </c>
      <c r="W585" s="3">
        <f>IF(A585=A586,N585-N586,0)</f>
        <v>0</v>
      </c>
      <c r="X585" s="10">
        <f>IF(A585=A586,(N585-N586)/N586,0)</f>
        <v>0</v>
      </c>
    </row>
    <row r="586" spans="1:24" ht="16.5" customHeight="1">
      <c r="A586" s="3" t="s">
        <v>30</v>
      </c>
      <c r="B586" s="3">
        <f t="shared" si="16"/>
        <v>2014</v>
      </c>
      <c r="C586" s="3">
        <f t="shared" si="17"/>
        <v>6</v>
      </c>
      <c r="D586" s="20" t="str">
        <f t="shared" si="18"/>
        <v>ADP20146</v>
      </c>
      <c r="E586" s="2">
        <v>41801</v>
      </c>
      <c r="F586" s="3">
        <v>0.48</v>
      </c>
      <c r="G586" s="2">
        <v>41821</v>
      </c>
      <c r="H586" s="3">
        <v>2.3599999999999999E-2</v>
      </c>
      <c r="I586" s="3">
        <v>0</v>
      </c>
      <c r="J586" s="3">
        <v>0</v>
      </c>
      <c r="K586" s="3">
        <f t="shared" si="19"/>
        <v>2014</v>
      </c>
      <c r="L586" s="3">
        <f t="shared" si="20"/>
        <v>0</v>
      </c>
      <c r="M586" s="20" t="str">
        <f>A586&amp;L586</f>
        <v>ADP0</v>
      </c>
      <c r="N586" s="3">
        <f>F586</f>
        <v>0.48</v>
      </c>
      <c r="O586" s="9">
        <f>H586</f>
        <v>2.3599999999999999E-2</v>
      </c>
      <c r="P586" s="10">
        <f t="shared" si="21"/>
        <v>0</v>
      </c>
      <c r="Q586" s="10">
        <f>IF(K586=0,IF(A583=A586,AVERAGE(O583:O586),"x"),0)</f>
        <v>0</v>
      </c>
      <c r="R586" s="9">
        <f>IF(L586&gt;2005,AVERAGE(O583:O602),0)</f>
        <v>0</v>
      </c>
      <c r="S586" s="10">
        <f>IF(A586=A587,(N586-N587)/N587,0)</f>
        <v>0</v>
      </c>
      <c r="T586" s="10">
        <f>IF(L586&gt;2005,(((N586-N606)/N606)+1)^(1/5)-1,0)</f>
        <v>0</v>
      </c>
      <c r="U586" s="10">
        <f t="shared" si="22"/>
        <v>0</v>
      </c>
      <c r="V586" s="26">
        <f t="shared" si="23"/>
        <v>0</v>
      </c>
      <c r="W586" s="3">
        <f>IF(A586=A587,N586-N587,0)</f>
        <v>0</v>
      </c>
      <c r="X586" s="10">
        <f>IF(A586=A587,(N586-N587)/N587,0)</f>
        <v>0</v>
      </c>
    </row>
    <row r="587" spans="1:24" ht="16.5" customHeight="1">
      <c r="A587" s="3" t="s">
        <v>30</v>
      </c>
      <c r="B587" s="3">
        <f t="shared" si="16"/>
        <v>2014</v>
      </c>
      <c r="C587" s="3">
        <f t="shared" si="17"/>
        <v>3</v>
      </c>
      <c r="D587" s="20" t="str">
        <f t="shared" si="18"/>
        <v>ADP20143</v>
      </c>
      <c r="E587" s="2">
        <v>41710</v>
      </c>
      <c r="F587" s="3">
        <v>0.48</v>
      </c>
      <c r="G587" s="2">
        <v>41730</v>
      </c>
      <c r="H587" s="3">
        <v>2.35E-2</v>
      </c>
      <c r="I587" s="3">
        <v>0</v>
      </c>
      <c r="J587" s="3">
        <v>0</v>
      </c>
      <c r="K587" s="3">
        <f t="shared" si="19"/>
        <v>0</v>
      </c>
      <c r="L587" s="3">
        <f t="shared" si="20"/>
        <v>2014</v>
      </c>
      <c r="M587" s="20" t="str">
        <f>A587&amp;L587</f>
        <v>ADP2014</v>
      </c>
      <c r="N587" s="3">
        <f>F587</f>
        <v>0.48</v>
      </c>
      <c r="O587" s="9">
        <f>H587</f>
        <v>2.35E-2</v>
      </c>
      <c r="P587" s="10">
        <f t="shared" si="21"/>
        <v>0</v>
      </c>
      <c r="Q587" s="10">
        <f>IF(K587=0,IF(A584=A587,AVERAGE(O584:O587),"x"),0)</f>
        <v>2.3274999999999997E-2</v>
      </c>
      <c r="R587" s="9">
        <f>IF(L587&gt;2005,AVERAGE(O584:O603),0)</f>
        <v>2.7184999999999997E-2</v>
      </c>
      <c r="S587" s="10">
        <f>IF(A587=A588,(N587-N588)/N588,0)</f>
        <v>0</v>
      </c>
      <c r="T587" s="10">
        <f>IF(L587&gt;2005,(((N587-N607)/N607)+1)^(1/5)-1,0)</f>
        <v>7.7818067712725814E-2</v>
      </c>
      <c r="U587" s="10">
        <f t="shared" si="22"/>
        <v>0.10500306771272581</v>
      </c>
      <c r="V587" s="26">
        <f t="shared" si="23"/>
        <v>4.6428576264717538</v>
      </c>
      <c r="W587" s="3">
        <f>IF(A587=A588,N587-N588,0)</f>
        <v>0</v>
      </c>
      <c r="X587" s="10">
        <f>IF(A587=A588,(N587-N588)/N588,0)</f>
        <v>0</v>
      </c>
    </row>
    <row r="588" spans="1:24" ht="16.5" customHeight="1">
      <c r="A588" s="3" t="s">
        <v>30</v>
      </c>
      <c r="B588" s="3">
        <f t="shared" si="16"/>
        <v>2013</v>
      </c>
      <c r="C588" s="3">
        <f t="shared" si="17"/>
        <v>12</v>
      </c>
      <c r="D588" s="20" t="str">
        <f t="shared" si="18"/>
        <v>ADP201312</v>
      </c>
      <c r="E588" s="2">
        <v>41619</v>
      </c>
      <c r="F588" s="3">
        <v>0.48</v>
      </c>
      <c r="G588" s="2">
        <v>41640</v>
      </c>
      <c r="H588" s="3">
        <v>2.2700000000000001E-2</v>
      </c>
      <c r="I588" s="3">
        <v>0.10344827600000001</v>
      </c>
      <c r="J588" s="3">
        <v>4.4999999999999998E-2</v>
      </c>
      <c r="K588" s="3">
        <f t="shared" si="19"/>
        <v>2013</v>
      </c>
      <c r="L588" s="3">
        <f t="shared" si="20"/>
        <v>0</v>
      </c>
      <c r="M588" s="20" t="str">
        <f>A588&amp;L588</f>
        <v>ADP0</v>
      </c>
      <c r="N588" s="3">
        <f>F588</f>
        <v>0.48</v>
      </c>
      <c r="O588" s="9">
        <f>H588</f>
        <v>2.2700000000000001E-2</v>
      </c>
      <c r="P588" s="10">
        <f t="shared" si="21"/>
        <v>2.445E-2</v>
      </c>
      <c r="Q588" s="10">
        <f>IF(K588=0,IF(A585=A588,AVERAGE(O585:O588),"x"),0)</f>
        <v>0</v>
      </c>
      <c r="R588" s="9">
        <f>IF(L588&gt;2005,AVERAGE(O585:O604),0)</f>
        <v>0</v>
      </c>
      <c r="S588" s="10">
        <f>IF(A588=A589,(N588-N589)/N589,0)</f>
        <v>0.10344827586206894</v>
      </c>
      <c r="T588" s="10">
        <f>IF(L588&gt;2005,(((N588-N608)/N608)+1)^(1/5)-1,0)</f>
        <v>0</v>
      </c>
      <c r="U588" s="10">
        <f t="shared" si="22"/>
        <v>0</v>
      </c>
      <c r="V588" s="26">
        <f t="shared" si="23"/>
        <v>0</v>
      </c>
      <c r="W588" s="3">
        <f>IF(A588=A589,N588-N589,0)</f>
        <v>4.4999999999999984E-2</v>
      </c>
      <c r="X588" s="10">
        <f>IF(A588=A589,(N588-N589)/N589,0)</f>
        <v>0.10344827586206894</v>
      </c>
    </row>
    <row r="589" spans="1:24" ht="16.5" customHeight="1">
      <c r="A589" s="3" t="s">
        <v>30</v>
      </c>
      <c r="B589" s="3">
        <f t="shared" si="16"/>
        <v>2013</v>
      </c>
      <c r="C589" s="3">
        <f t="shared" si="17"/>
        <v>9</v>
      </c>
      <c r="D589" s="20" t="str">
        <f t="shared" si="18"/>
        <v>ADP20139</v>
      </c>
      <c r="E589" s="2">
        <v>41528</v>
      </c>
      <c r="F589" s="3">
        <v>0.435</v>
      </c>
      <c r="G589" s="2">
        <v>41548</v>
      </c>
      <c r="H589" s="3">
        <v>2.3599999999999999E-2</v>
      </c>
      <c r="I589" s="3">
        <v>0</v>
      </c>
      <c r="J589" s="3">
        <v>0</v>
      </c>
      <c r="K589" s="3">
        <f t="shared" si="19"/>
        <v>2013</v>
      </c>
      <c r="L589" s="3">
        <f t="shared" si="20"/>
        <v>0</v>
      </c>
      <c r="M589" s="20" t="str">
        <f>A589&amp;L589</f>
        <v>ADP0</v>
      </c>
      <c r="N589" s="3">
        <f>F589</f>
        <v>0.435</v>
      </c>
      <c r="O589" s="9">
        <f>H589</f>
        <v>2.3599999999999999E-2</v>
      </c>
      <c r="P589" s="10">
        <f t="shared" si="21"/>
        <v>0</v>
      </c>
      <c r="Q589" s="10">
        <f>IF(K589=0,IF(A586=A589,AVERAGE(O586:O589),"x"),0)</f>
        <v>0</v>
      </c>
      <c r="R589" s="9">
        <f>IF(L589&gt;2005,AVERAGE(O586:O605),0)</f>
        <v>0</v>
      </c>
      <c r="S589" s="10">
        <f>IF(A589=A590,(N589-N590)/N590,0)</f>
        <v>0</v>
      </c>
      <c r="T589" s="10">
        <f>IF(L589&gt;2005,(((N589-N609)/N609)+1)^(1/5)-1,0)</f>
        <v>0</v>
      </c>
      <c r="U589" s="10">
        <f t="shared" si="22"/>
        <v>0</v>
      </c>
      <c r="V589" s="26">
        <f t="shared" si="23"/>
        <v>0</v>
      </c>
      <c r="W589" s="3">
        <f>IF(A589=A590,N589-N590,0)</f>
        <v>0</v>
      </c>
      <c r="X589" s="10">
        <f>IF(A589=A590,(N589-N590)/N590,0)</f>
        <v>0</v>
      </c>
    </row>
    <row r="590" spans="1:24" ht="16.5" customHeight="1">
      <c r="A590" s="3" t="s">
        <v>30</v>
      </c>
      <c r="B590" s="3">
        <f t="shared" si="16"/>
        <v>2013</v>
      </c>
      <c r="C590" s="3">
        <f t="shared" si="17"/>
        <v>6</v>
      </c>
      <c r="D590" s="20" t="str">
        <f t="shared" si="18"/>
        <v>ADP20136</v>
      </c>
      <c r="E590" s="2">
        <v>41437</v>
      </c>
      <c r="F590" s="3">
        <v>0.435</v>
      </c>
      <c r="G590" s="2">
        <v>41456</v>
      </c>
      <c r="H590" s="3">
        <v>2.5000000000000001E-2</v>
      </c>
      <c r="I590" s="3">
        <v>0</v>
      </c>
      <c r="J590" s="3">
        <v>0</v>
      </c>
      <c r="K590" s="3">
        <f t="shared" si="19"/>
        <v>2013</v>
      </c>
      <c r="L590" s="3">
        <f t="shared" si="20"/>
        <v>0</v>
      </c>
      <c r="M590" s="20" t="str">
        <f>A590&amp;L590</f>
        <v>ADP0</v>
      </c>
      <c r="N590" s="3">
        <f>F590</f>
        <v>0.435</v>
      </c>
      <c r="O590" s="9">
        <f>H590</f>
        <v>2.5000000000000001E-2</v>
      </c>
      <c r="P590" s="10">
        <f t="shared" si="21"/>
        <v>0</v>
      </c>
      <c r="Q590" s="10">
        <f>IF(K590=0,IF(A587=A590,AVERAGE(O587:O590),"x"),0)</f>
        <v>0</v>
      </c>
      <c r="R590" s="9">
        <f>IF(L590&gt;2005,AVERAGE(O587:O606),0)</f>
        <v>0</v>
      </c>
      <c r="S590" s="10">
        <f>IF(A590=A591,(N590-N591)/N591,0)</f>
        <v>0</v>
      </c>
      <c r="T590" s="10">
        <f>IF(L590&gt;2005,(((N590-N610)/N610)+1)^(1/5)-1,0)</f>
        <v>0</v>
      </c>
      <c r="U590" s="10">
        <f t="shared" si="22"/>
        <v>0</v>
      </c>
      <c r="V590" s="26">
        <f t="shared" si="23"/>
        <v>0</v>
      </c>
      <c r="W590" s="3">
        <f>IF(A590=A591,N590-N591,0)</f>
        <v>0</v>
      </c>
      <c r="X590" s="10">
        <f>IF(A590=A591,(N590-N591)/N591,0)</f>
        <v>0</v>
      </c>
    </row>
    <row r="591" spans="1:24" ht="16.5" customHeight="1">
      <c r="A591" s="3" t="s">
        <v>30</v>
      </c>
      <c r="B591" s="3">
        <f t="shared" si="16"/>
        <v>2013</v>
      </c>
      <c r="C591" s="3">
        <f t="shared" si="17"/>
        <v>3</v>
      </c>
      <c r="D591" s="20" t="str">
        <f t="shared" si="18"/>
        <v>ADP20133</v>
      </c>
      <c r="E591" s="2">
        <v>41339</v>
      </c>
      <c r="F591" s="3">
        <v>0.435</v>
      </c>
      <c r="G591" s="2">
        <v>41365</v>
      </c>
      <c r="H591" s="3">
        <v>2.6499999999999999E-2</v>
      </c>
      <c r="I591" s="3">
        <v>0</v>
      </c>
      <c r="J591" s="3">
        <v>0</v>
      </c>
      <c r="K591" s="3">
        <f t="shared" si="19"/>
        <v>0</v>
      </c>
      <c r="L591" s="3">
        <f t="shared" si="20"/>
        <v>2013</v>
      </c>
      <c r="M591" s="20" t="str">
        <f>A591&amp;L591</f>
        <v>ADP2013</v>
      </c>
      <c r="N591" s="3">
        <f>F591</f>
        <v>0.435</v>
      </c>
      <c r="O591" s="9">
        <f>H591</f>
        <v>2.6499999999999999E-2</v>
      </c>
      <c r="P591" s="10">
        <f t="shared" si="21"/>
        <v>0</v>
      </c>
      <c r="Q591" s="10">
        <f>IF(K591=0,IF(A588=A591,AVERAGE(O588:O591),"x"),0)</f>
        <v>2.445E-2</v>
      </c>
      <c r="R591" s="9">
        <f>IF(L591&gt;2005,AVERAGE(O588:O607),0)</f>
        <v>2.9239999999999999E-2</v>
      </c>
      <c r="S591" s="10">
        <f>IF(A591=A592,(N591-N592)/N592,0)</f>
        <v>0</v>
      </c>
      <c r="T591" s="10">
        <f>IF(L591&gt;2005,(((N591-N611)/N611)+1)^(1/5)-1,0)</f>
        <v>8.4471771197698553E-2</v>
      </c>
      <c r="U591" s="10">
        <f t="shared" si="22"/>
        <v>0.11371177119769856</v>
      </c>
      <c r="V591" s="26">
        <f t="shared" si="23"/>
        <v>4.6196991741431344</v>
      </c>
      <c r="W591" s="3">
        <f>IF(A591=A592,N591-N592,0)</f>
        <v>0</v>
      </c>
      <c r="X591" s="10">
        <f>IF(A591=A592,(N591-N592)/N592,0)</f>
        <v>0</v>
      </c>
    </row>
    <row r="592" spans="1:24" ht="16.5" customHeight="1">
      <c r="A592" s="3" t="s">
        <v>30</v>
      </c>
      <c r="B592" s="3">
        <f t="shared" si="16"/>
        <v>2012</v>
      </c>
      <c r="C592" s="3">
        <f t="shared" si="17"/>
        <v>12</v>
      </c>
      <c r="D592" s="20" t="str">
        <f t="shared" si="18"/>
        <v>ADP201212</v>
      </c>
      <c r="E592" s="2">
        <v>41255</v>
      </c>
      <c r="F592" s="3">
        <v>0.435</v>
      </c>
      <c r="G592" s="2">
        <v>41275</v>
      </c>
      <c r="H592" s="3">
        <v>2.7900000000000001E-2</v>
      </c>
      <c r="I592" s="3">
        <v>0.101265823</v>
      </c>
      <c r="J592" s="3">
        <v>0.04</v>
      </c>
      <c r="K592" s="3">
        <f t="shared" si="19"/>
        <v>2012</v>
      </c>
      <c r="L592" s="3">
        <f t="shared" si="20"/>
        <v>0</v>
      </c>
      <c r="M592" s="20" t="str">
        <f>A592&amp;L592</f>
        <v>ADP0</v>
      </c>
      <c r="N592" s="3">
        <f>F592</f>
        <v>0.435</v>
      </c>
      <c r="O592" s="9">
        <f>H592</f>
        <v>2.7900000000000001E-2</v>
      </c>
      <c r="P592" s="10">
        <f t="shared" si="21"/>
        <v>2.8150000000000001E-2</v>
      </c>
      <c r="Q592" s="10">
        <f>IF(K592=0,IF(A589=A592,AVERAGE(O589:O592),"x"),0)</f>
        <v>0</v>
      </c>
      <c r="R592" s="9">
        <f>IF(L592&gt;2005,AVERAGE(O589:O608),0)</f>
        <v>0</v>
      </c>
      <c r="S592" s="10">
        <f>IF(A592=A593,(N592-N593)/N593,0)</f>
        <v>0.10126582278481007</v>
      </c>
      <c r="T592" s="10">
        <f>IF(L592&gt;2005,(((N592-N612)/N612)+1)^(1/5)-1,0)</f>
        <v>0</v>
      </c>
      <c r="U592" s="10">
        <f t="shared" si="22"/>
        <v>0</v>
      </c>
      <c r="V592" s="26">
        <f t="shared" si="23"/>
        <v>0</v>
      </c>
      <c r="W592" s="3">
        <f>IF(A592=A593,N592-N593,0)</f>
        <v>3.999999999999998E-2</v>
      </c>
      <c r="X592" s="10">
        <f>IF(A592=A593,(N592-N593)/N593,0)</f>
        <v>0.10126582278481007</v>
      </c>
    </row>
    <row r="593" spans="1:24" ht="16.5" customHeight="1">
      <c r="A593" s="3" t="s">
        <v>30</v>
      </c>
      <c r="B593" s="3">
        <f t="shared" si="16"/>
        <v>2012</v>
      </c>
      <c r="C593" s="3">
        <f t="shared" si="17"/>
        <v>9</v>
      </c>
      <c r="D593" s="20" t="str">
        <f t="shared" si="18"/>
        <v>ADP20129</v>
      </c>
      <c r="E593" s="2">
        <v>41164</v>
      </c>
      <c r="F593" s="3">
        <v>0.39500000000000002</v>
      </c>
      <c r="G593" s="2">
        <v>41183</v>
      </c>
      <c r="H593" s="3">
        <v>2.69E-2</v>
      </c>
      <c r="I593" s="3">
        <v>0</v>
      </c>
      <c r="J593" s="3">
        <v>0</v>
      </c>
      <c r="K593" s="3">
        <f t="shared" si="19"/>
        <v>2012</v>
      </c>
      <c r="L593" s="3">
        <f t="shared" si="20"/>
        <v>0</v>
      </c>
      <c r="M593" s="20" t="str">
        <f>A593&amp;L593</f>
        <v>ADP0</v>
      </c>
      <c r="N593" s="3">
        <f>F593</f>
        <v>0.39500000000000002</v>
      </c>
      <c r="O593" s="9">
        <f>H593</f>
        <v>2.69E-2</v>
      </c>
      <c r="P593" s="10">
        <f t="shared" si="21"/>
        <v>0</v>
      </c>
      <c r="Q593" s="10">
        <f>IF(K593=0,IF(A590=A593,AVERAGE(O590:O593),"x"),0)</f>
        <v>0</v>
      </c>
      <c r="R593" s="9">
        <f>IF(L593&gt;2005,AVERAGE(O590:O609),0)</f>
        <v>0</v>
      </c>
      <c r="S593" s="10">
        <f>IF(A593=A594,(N593-N594)/N594,0)</f>
        <v>0</v>
      </c>
      <c r="T593" s="10">
        <f>IF(L593&gt;2005,(((N593-N613)/N613)+1)^(1/5)-1,0)</f>
        <v>0</v>
      </c>
      <c r="U593" s="10">
        <f t="shared" si="22"/>
        <v>0</v>
      </c>
      <c r="V593" s="26">
        <f t="shared" si="23"/>
        <v>0</v>
      </c>
      <c r="W593" s="3">
        <f>IF(A593=A594,N593-N594,0)</f>
        <v>0</v>
      </c>
      <c r="X593" s="10">
        <f>IF(A593=A594,(N593-N594)/N594,0)</f>
        <v>0</v>
      </c>
    </row>
    <row r="594" spans="1:24" ht="16.5" customHeight="1">
      <c r="A594" s="3" t="s">
        <v>30</v>
      </c>
      <c r="B594" s="3">
        <f t="shared" si="16"/>
        <v>2012</v>
      </c>
      <c r="C594" s="3">
        <f t="shared" si="17"/>
        <v>6</v>
      </c>
      <c r="D594" s="20" t="str">
        <f t="shared" si="18"/>
        <v>ADP20126</v>
      </c>
      <c r="E594" s="2">
        <v>41066</v>
      </c>
      <c r="F594" s="3">
        <v>0.39500000000000002</v>
      </c>
      <c r="G594" s="2">
        <v>41091</v>
      </c>
      <c r="H594" s="3">
        <v>2.98E-2</v>
      </c>
      <c r="I594" s="3">
        <v>0</v>
      </c>
      <c r="J594" s="3">
        <v>0</v>
      </c>
      <c r="K594" s="3">
        <f t="shared" si="19"/>
        <v>2012</v>
      </c>
      <c r="L594" s="3">
        <f t="shared" si="20"/>
        <v>0</v>
      </c>
      <c r="M594" s="20" t="str">
        <f>A594&amp;L594</f>
        <v>ADP0</v>
      </c>
      <c r="N594" s="3">
        <f>F594</f>
        <v>0.39500000000000002</v>
      </c>
      <c r="O594" s="9">
        <f>H594</f>
        <v>2.98E-2</v>
      </c>
      <c r="P594" s="10">
        <f t="shared" si="21"/>
        <v>0</v>
      </c>
      <c r="Q594" s="10">
        <f>IF(K594=0,IF(A591=A594,AVERAGE(O591:O594),"x"),0)</f>
        <v>0</v>
      </c>
      <c r="R594" s="9">
        <f>IF(L594&gt;2005,AVERAGE(O591:O610),0)</f>
        <v>0</v>
      </c>
      <c r="S594" s="10">
        <f>IF(A594=A595,(N594-N595)/N595,0)</f>
        <v>0</v>
      </c>
      <c r="T594" s="10">
        <f>IF(L594&gt;2005,(((N594-N614)/N614)+1)^(1/5)-1,0)</f>
        <v>0</v>
      </c>
      <c r="U594" s="10">
        <f t="shared" si="22"/>
        <v>0</v>
      </c>
      <c r="V594" s="26">
        <f t="shared" si="23"/>
        <v>0</v>
      </c>
      <c r="W594" s="3">
        <f>IF(A594=A595,N594-N595,0)</f>
        <v>0</v>
      </c>
      <c r="X594" s="10">
        <f>IF(A594=A595,(N594-N595)/N595,0)</f>
        <v>0</v>
      </c>
    </row>
    <row r="595" spans="1:24" ht="16.5" customHeight="1">
      <c r="A595" s="3" t="s">
        <v>30</v>
      </c>
      <c r="B595" s="3">
        <f t="shared" si="16"/>
        <v>2012</v>
      </c>
      <c r="C595" s="3">
        <f t="shared" si="17"/>
        <v>3</v>
      </c>
      <c r="D595" s="20" t="str">
        <f t="shared" si="18"/>
        <v>ADP20123</v>
      </c>
      <c r="E595" s="2">
        <v>40975</v>
      </c>
      <c r="F595" s="3">
        <v>0.39500000000000002</v>
      </c>
      <c r="G595" s="2">
        <v>41000</v>
      </c>
      <c r="H595" s="3">
        <v>2.8000000000000001E-2</v>
      </c>
      <c r="I595" s="3">
        <v>0</v>
      </c>
      <c r="J595" s="3">
        <v>0</v>
      </c>
      <c r="K595" s="3">
        <f t="shared" si="19"/>
        <v>0</v>
      </c>
      <c r="L595" s="3">
        <f t="shared" si="20"/>
        <v>2012</v>
      </c>
      <c r="M595" s="20" t="str">
        <f>A595&amp;L595</f>
        <v>ADP2012</v>
      </c>
      <c r="N595" s="3">
        <f>F595</f>
        <v>0.39500000000000002</v>
      </c>
      <c r="O595" s="9">
        <f>H595</f>
        <v>2.8000000000000001E-2</v>
      </c>
      <c r="P595" s="10">
        <f t="shared" si="21"/>
        <v>0</v>
      </c>
      <c r="Q595" s="10">
        <f>IF(K595=0,IF(A592=A595,AVERAGE(O592:O595),"x"),0)</f>
        <v>2.8150000000000001E-2</v>
      </c>
      <c r="R595" s="9">
        <f>IF(L595&gt;2005,AVERAGE(O592:O611),0)</f>
        <v>2.9754999999999997E-2</v>
      </c>
      <c r="S595" s="10">
        <f>IF(A595=A596,(N595-N596)/N596,0)</f>
        <v>0</v>
      </c>
      <c r="T595" s="10">
        <f>IF(L595&gt;2005,(((N595-N615)/N615)+1)^(1/5)-1,0)</f>
        <v>0.1142274459709316</v>
      </c>
      <c r="U595" s="10">
        <f t="shared" si="22"/>
        <v>0.1439824459709316</v>
      </c>
      <c r="V595" s="26">
        <f t="shared" si="23"/>
        <v>4.6231189890969784</v>
      </c>
      <c r="W595" s="3">
        <f>IF(A595=A596,N595-N596,0)</f>
        <v>0</v>
      </c>
      <c r="X595" s="10">
        <f>IF(A595=A596,(N595-N596)/N596,0)</f>
        <v>0</v>
      </c>
    </row>
    <row r="596" spans="1:24" ht="16.5" customHeight="1">
      <c r="A596" s="3" t="s">
        <v>30</v>
      </c>
      <c r="B596" s="3">
        <f t="shared" si="16"/>
        <v>2011</v>
      </c>
      <c r="C596" s="3">
        <f t="shared" si="17"/>
        <v>12</v>
      </c>
      <c r="D596" s="20" t="str">
        <f t="shared" si="18"/>
        <v>ADP201112</v>
      </c>
      <c r="E596" s="2">
        <v>40884</v>
      </c>
      <c r="F596" s="3">
        <v>0.39500000000000002</v>
      </c>
      <c r="G596" s="2">
        <v>40909</v>
      </c>
      <c r="H596" s="3">
        <v>2.8299999999999999E-2</v>
      </c>
      <c r="I596" s="3">
        <v>9.7222221999999997E-2</v>
      </c>
      <c r="J596" s="3">
        <v>3.5000000000000003E-2</v>
      </c>
      <c r="K596" s="3">
        <f t="shared" si="19"/>
        <v>2011</v>
      </c>
      <c r="L596" s="3">
        <f t="shared" si="20"/>
        <v>0</v>
      </c>
      <c r="M596" s="20" t="str">
        <f>A596&amp;L596</f>
        <v>ADP0</v>
      </c>
      <c r="N596" s="3">
        <f>F596</f>
        <v>0.39500000000000002</v>
      </c>
      <c r="O596" s="9">
        <f>H596</f>
        <v>2.8299999999999999E-2</v>
      </c>
      <c r="P596" s="10">
        <f t="shared" si="21"/>
        <v>2.8149999999999998E-2</v>
      </c>
      <c r="Q596" s="10">
        <f>IF(K596=0,IF(A593=A596,AVERAGE(O593:O596),"x"),0)</f>
        <v>0</v>
      </c>
      <c r="R596" s="9">
        <f>IF(L596&gt;2005,AVERAGE(O593:O612),0)</f>
        <v>0</v>
      </c>
      <c r="S596" s="10">
        <f>IF(A596=A597,(N596-N597)/N597,0)</f>
        <v>9.7222222222222307E-2</v>
      </c>
      <c r="T596" s="10">
        <f>IF(L596&gt;2005,(((N596-N616)/N616)+1)^(1/5)-1,0)</f>
        <v>0</v>
      </c>
      <c r="U596" s="10">
        <f t="shared" si="22"/>
        <v>0</v>
      </c>
      <c r="V596" s="26">
        <f t="shared" si="23"/>
        <v>0</v>
      </c>
      <c r="W596" s="3">
        <f>IF(A596=A597,N596-N597,0)</f>
        <v>3.5000000000000031E-2</v>
      </c>
      <c r="X596" s="10">
        <f>IF(A596=A597,(N596-N597)/N597,0)</f>
        <v>9.7222222222222307E-2</v>
      </c>
    </row>
    <row r="597" spans="1:24" ht="16.5" customHeight="1">
      <c r="A597" s="3" t="s">
        <v>30</v>
      </c>
      <c r="B597" s="3">
        <f t="shared" si="16"/>
        <v>2011</v>
      </c>
      <c r="C597" s="3">
        <f t="shared" si="17"/>
        <v>9</v>
      </c>
      <c r="D597" s="20" t="str">
        <f t="shared" si="18"/>
        <v>ADP20119</v>
      </c>
      <c r="E597" s="2">
        <v>40793</v>
      </c>
      <c r="F597" s="3">
        <v>0.36</v>
      </c>
      <c r="G597" s="2">
        <v>40817</v>
      </c>
      <c r="H597" s="3">
        <v>0.03</v>
      </c>
      <c r="I597" s="3">
        <v>0</v>
      </c>
      <c r="J597" s="3">
        <v>0</v>
      </c>
      <c r="K597" s="3">
        <f t="shared" si="19"/>
        <v>2011</v>
      </c>
      <c r="L597" s="3">
        <f t="shared" si="20"/>
        <v>0</v>
      </c>
      <c r="M597" s="20" t="str">
        <f>A597&amp;L597</f>
        <v>ADP0</v>
      </c>
      <c r="N597" s="3">
        <f>F597</f>
        <v>0.36</v>
      </c>
      <c r="O597" s="9">
        <f>H597</f>
        <v>0.03</v>
      </c>
      <c r="P597" s="10">
        <f t="shared" si="21"/>
        <v>0</v>
      </c>
      <c r="Q597" s="10">
        <f>IF(K597=0,IF(A594=A597,AVERAGE(O594:O597),"x"),0)</f>
        <v>0</v>
      </c>
      <c r="R597" s="9">
        <f>IF(L597&gt;2005,AVERAGE(O594:O613),0)</f>
        <v>0</v>
      </c>
      <c r="S597" s="10">
        <f>IF(A597=A598,(N597-N598)/N598,0)</f>
        <v>0</v>
      </c>
      <c r="T597" s="10">
        <f>IF(L597&gt;2005,(((N597-N617)/N617)+1)^(1/5)-1,0)</f>
        <v>0</v>
      </c>
      <c r="U597" s="10">
        <f t="shared" si="22"/>
        <v>0</v>
      </c>
      <c r="V597" s="26">
        <f t="shared" si="23"/>
        <v>0</v>
      </c>
      <c r="W597" s="3">
        <f>IF(A597=A598,N597-N598,0)</f>
        <v>0</v>
      </c>
      <c r="X597" s="10">
        <f>IF(A597=A598,(N597-N598)/N598,0)</f>
        <v>0</v>
      </c>
    </row>
    <row r="598" spans="1:24" ht="16.5" customHeight="1">
      <c r="A598" s="3" t="s">
        <v>30</v>
      </c>
      <c r="B598" s="3">
        <f t="shared" si="16"/>
        <v>2011</v>
      </c>
      <c r="C598" s="3">
        <f t="shared" si="17"/>
        <v>6</v>
      </c>
      <c r="D598" s="20" t="str">
        <f t="shared" si="18"/>
        <v>ADP20116</v>
      </c>
      <c r="E598" s="2">
        <v>40702</v>
      </c>
      <c r="F598" s="3">
        <v>0.36</v>
      </c>
      <c r="G598" s="2">
        <v>40725</v>
      </c>
      <c r="H598" s="3">
        <v>2.6800000000000001E-2</v>
      </c>
      <c r="I598" s="3">
        <v>0</v>
      </c>
      <c r="J598" s="3">
        <v>0</v>
      </c>
      <c r="K598" s="3">
        <f t="shared" si="19"/>
        <v>2011</v>
      </c>
      <c r="L598" s="3">
        <f t="shared" si="20"/>
        <v>0</v>
      </c>
      <c r="M598" s="20" t="str">
        <f>A598&amp;L598</f>
        <v>ADP0</v>
      </c>
      <c r="N598" s="3">
        <f>F598</f>
        <v>0.36</v>
      </c>
      <c r="O598" s="9">
        <f>H598</f>
        <v>2.6800000000000001E-2</v>
      </c>
      <c r="P598" s="10">
        <f t="shared" si="21"/>
        <v>0</v>
      </c>
      <c r="Q598" s="10">
        <f>IF(K598=0,IF(A595=A598,AVERAGE(O595:O598),"x"),0)</f>
        <v>0</v>
      </c>
      <c r="R598" s="9">
        <f>IF(L598&gt;2005,AVERAGE(O595:O614),0)</f>
        <v>0</v>
      </c>
      <c r="S598" s="10">
        <f>IF(A598=A599,(N598-N599)/N599,0)</f>
        <v>0</v>
      </c>
      <c r="T598" s="10">
        <f>IF(L598&gt;2005,(((N598-N618)/N618)+1)^(1/5)-1,0)</f>
        <v>0</v>
      </c>
      <c r="U598" s="10">
        <f t="shared" si="22"/>
        <v>0</v>
      </c>
      <c r="V598" s="26">
        <f t="shared" si="23"/>
        <v>0</v>
      </c>
      <c r="W598" s="3">
        <f>IF(A598=A599,N598-N599,0)</f>
        <v>0</v>
      </c>
      <c r="X598" s="10">
        <f>IF(A598=A599,(N598-N599)/N599,0)</f>
        <v>0</v>
      </c>
    </row>
    <row r="599" spans="1:24" ht="16.5" customHeight="1">
      <c r="A599" s="3" t="s">
        <v>30</v>
      </c>
      <c r="B599" s="3">
        <f t="shared" si="16"/>
        <v>2011</v>
      </c>
      <c r="C599" s="3">
        <f t="shared" si="17"/>
        <v>3</v>
      </c>
      <c r="D599" s="20" t="str">
        <f t="shared" si="18"/>
        <v>ADP20113</v>
      </c>
      <c r="E599" s="2">
        <v>40611</v>
      </c>
      <c r="F599" s="3">
        <v>0.36</v>
      </c>
      <c r="G599" s="2">
        <v>40634</v>
      </c>
      <c r="H599" s="3">
        <v>2.75E-2</v>
      </c>
      <c r="I599" s="3">
        <v>0</v>
      </c>
      <c r="J599" s="3">
        <v>0</v>
      </c>
      <c r="K599" s="3">
        <f t="shared" si="19"/>
        <v>0</v>
      </c>
      <c r="L599" s="3">
        <f t="shared" si="20"/>
        <v>2011</v>
      </c>
      <c r="M599" s="20" t="str">
        <f>A599&amp;L599</f>
        <v>ADP2011</v>
      </c>
      <c r="N599" s="3">
        <f>F599</f>
        <v>0.36</v>
      </c>
      <c r="O599" s="9">
        <f>H599</f>
        <v>2.75E-2</v>
      </c>
      <c r="P599" s="10">
        <f t="shared" si="21"/>
        <v>0</v>
      </c>
      <c r="Q599" s="10">
        <f>IF(K599=0,IF(A596=A599,AVERAGE(O596:O599),"x"),0)</f>
        <v>2.8149999999999998E-2</v>
      </c>
      <c r="R599" s="9">
        <f>IF(L599&gt;2005,AVERAGE(O596:O615),0)</f>
        <v>2.7995000000000003E-2</v>
      </c>
      <c r="S599" s="10">
        <f>IF(A599=A600,(N599-N600)/N600,0)</f>
        <v>0</v>
      </c>
      <c r="T599" s="10">
        <f>IF(L599&gt;2005,(((N599-N619)/N619)+1)^(1/5)-1,0)</f>
        <v>0.14242093886584994</v>
      </c>
      <c r="U599" s="10">
        <f t="shared" si="22"/>
        <v>0.17041593886584994</v>
      </c>
      <c r="V599" s="26">
        <f t="shared" si="23"/>
        <v>4.6524562094684629</v>
      </c>
      <c r="W599" s="3">
        <f>IF(A599=A600,N599-N600,0)</f>
        <v>0</v>
      </c>
      <c r="X599" s="10">
        <f>IF(A599=A600,(N599-N600)/N600,0)</f>
        <v>0</v>
      </c>
    </row>
    <row r="600" spans="1:24" ht="16.5" customHeight="1">
      <c r="A600" s="3" t="s">
        <v>30</v>
      </c>
      <c r="B600" s="3">
        <f t="shared" si="16"/>
        <v>2010</v>
      </c>
      <c r="C600" s="3">
        <f t="shared" si="17"/>
        <v>12</v>
      </c>
      <c r="D600" s="20" t="str">
        <f t="shared" si="18"/>
        <v>ADP201012</v>
      </c>
      <c r="E600" s="2">
        <v>40520</v>
      </c>
      <c r="F600" s="3">
        <v>0.36</v>
      </c>
      <c r="G600" s="2">
        <v>40544</v>
      </c>
      <c r="H600" s="3">
        <v>2.9700000000000001E-2</v>
      </c>
      <c r="I600" s="3">
        <v>5.8823528999999999E-2</v>
      </c>
      <c r="J600" s="3">
        <v>0.02</v>
      </c>
      <c r="K600" s="3">
        <f t="shared" si="19"/>
        <v>2010</v>
      </c>
      <c r="L600" s="3">
        <f t="shared" si="20"/>
        <v>0</v>
      </c>
      <c r="M600" s="20" t="str">
        <f>A600&amp;L600</f>
        <v>ADP0</v>
      </c>
      <c r="N600" s="3">
        <f>F600</f>
        <v>0.36</v>
      </c>
      <c r="O600" s="9">
        <f>H600</f>
        <v>2.9700000000000001E-2</v>
      </c>
      <c r="P600" s="10">
        <f t="shared" si="21"/>
        <v>3.1899999999999998E-2</v>
      </c>
      <c r="Q600" s="10">
        <f>IF(K600=0,IF(A597=A600,AVERAGE(O597:O600),"x"),0)</f>
        <v>0</v>
      </c>
      <c r="R600" s="9">
        <f>IF(L600&gt;2005,AVERAGE(O597:O616),0)</f>
        <v>0</v>
      </c>
      <c r="S600" s="10">
        <f>IF(A600=A601,(N600-N601)/N601,0)</f>
        <v>5.8823529411764594E-2</v>
      </c>
      <c r="T600" s="10">
        <f>IF(L600&gt;2005,(((N600-N620)/N620)+1)^(1/5)-1,0)</f>
        <v>0</v>
      </c>
      <c r="U600" s="10">
        <f t="shared" si="22"/>
        <v>0</v>
      </c>
      <c r="V600" s="26">
        <f t="shared" si="23"/>
        <v>0</v>
      </c>
      <c r="W600" s="3">
        <f>IF(A600=A601,N600-N601,0)</f>
        <v>1.9999999999999962E-2</v>
      </c>
      <c r="X600" s="10">
        <f>IF(A600=A601,(N600-N601)/N601,0)</f>
        <v>5.8823529411764594E-2</v>
      </c>
    </row>
    <row r="601" spans="1:24" ht="16.5" customHeight="1">
      <c r="A601" s="3" t="s">
        <v>30</v>
      </c>
      <c r="B601" s="3">
        <f t="shared" si="16"/>
        <v>2010</v>
      </c>
      <c r="C601" s="3">
        <f t="shared" si="17"/>
        <v>9</v>
      </c>
      <c r="D601" s="20" t="str">
        <f t="shared" si="18"/>
        <v>ADP20109</v>
      </c>
      <c r="E601" s="2">
        <v>40429</v>
      </c>
      <c r="F601" s="3">
        <v>0.34</v>
      </c>
      <c r="G601" s="2">
        <v>40452</v>
      </c>
      <c r="H601" s="3">
        <v>3.4299999999999997E-2</v>
      </c>
      <c r="I601" s="3">
        <v>0</v>
      </c>
      <c r="J601" s="3">
        <v>0</v>
      </c>
      <c r="K601" s="3">
        <f t="shared" si="19"/>
        <v>2010</v>
      </c>
      <c r="L601" s="3">
        <f t="shared" si="20"/>
        <v>0</v>
      </c>
      <c r="M601" s="20" t="str">
        <f>A601&amp;L601</f>
        <v>ADP0</v>
      </c>
      <c r="N601" s="3">
        <f>F601</f>
        <v>0.34</v>
      </c>
      <c r="O601" s="9">
        <f>H601</f>
        <v>3.4299999999999997E-2</v>
      </c>
      <c r="P601" s="10">
        <f t="shared" si="21"/>
        <v>0</v>
      </c>
      <c r="Q601" s="10">
        <f>IF(K601=0,IF(A598=A601,AVERAGE(O598:O601),"x"),0)</f>
        <v>0</v>
      </c>
      <c r="R601" s="9">
        <f>IF(L601&gt;2005,AVERAGE(O598:O617),0)</f>
        <v>0</v>
      </c>
      <c r="S601" s="10">
        <f>IF(A601=A602,(N601-N602)/N602,0)</f>
        <v>0</v>
      </c>
      <c r="T601" s="10">
        <f>IF(L601&gt;2005,(((N601-N621)/N621)+1)^(1/5)-1,0)</f>
        <v>0</v>
      </c>
      <c r="U601" s="10">
        <f t="shared" si="22"/>
        <v>0</v>
      </c>
      <c r="V601" s="26">
        <f t="shared" si="23"/>
        <v>0</v>
      </c>
      <c r="W601" s="3">
        <f>IF(A601=A602,N601-N602,0)</f>
        <v>0</v>
      </c>
      <c r="X601" s="10">
        <f>IF(A601=A602,(N601-N602)/N602,0)</f>
        <v>0</v>
      </c>
    </row>
    <row r="602" spans="1:24" ht="16.5" customHeight="1">
      <c r="A602" s="3" t="s">
        <v>30</v>
      </c>
      <c r="B602" s="3">
        <f t="shared" si="16"/>
        <v>2010</v>
      </c>
      <c r="C602" s="3">
        <f t="shared" si="17"/>
        <v>6</v>
      </c>
      <c r="D602" s="20" t="str">
        <f t="shared" si="18"/>
        <v>ADP20106</v>
      </c>
      <c r="E602" s="2">
        <v>40338</v>
      </c>
      <c r="F602" s="3">
        <v>0.34</v>
      </c>
      <c r="G602" s="2">
        <v>40360</v>
      </c>
      <c r="H602" s="3">
        <v>3.2899999999999999E-2</v>
      </c>
      <c r="I602" s="3">
        <v>0</v>
      </c>
      <c r="J602" s="3">
        <v>0</v>
      </c>
      <c r="K602" s="3">
        <f t="shared" si="19"/>
        <v>2010</v>
      </c>
      <c r="L602" s="3">
        <f t="shared" si="20"/>
        <v>0</v>
      </c>
      <c r="M602" s="20" t="str">
        <f>A602&amp;L602</f>
        <v>ADP0</v>
      </c>
      <c r="N602" s="3">
        <f>F602</f>
        <v>0.34</v>
      </c>
      <c r="O602" s="9">
        <f>H602</f>
        <v>3.2899999999999999E-2</v>
      </c>
      <c r="P602" s="10">
        <f t="shared" si="21"/>
        <v>0</v>
      </c>
      <c r="Q602" s="10">
        <f>IF(K602=0,IF(A599=A602,AVERAGE(O599:O602),"x"),0)</f>
        <v>0</v>
      </c>
      <c r="R602" s="9">
        <f>IF(L602&gt;2005,AVERAGE(O599:O618),0)</f>
        <v>0</v>
      </c>
      <c r="S602" s="10">
        <f>IF(A602=A603,(N602-N603)/N603,0)</f>
        <v>0</v>
      </c>
      <c r="T602" s="10">
        <f>IF(L602&gt;2005,(((N602-N622)/N622)+1)^(1/5)-1,0)</f>
        <v>0</v>
      </c>
      <c r="U602" s="10">
        <f t="shared" si="22"/>
        <v>0</v>
      </c>
      <c r="V602" s="26">
        <f t="shared" si="23"/>
        <v>0</v>
      </c>
      <c r="W602" s="3">
        <f>IF(A602=A603,N602-N603,0)</f>
        <v>0</v>
      </c>
      <c r="X602" s="10">
        <f>IF(A602=A603,(N602-N603)/N603,0)</f>
        <v>0</v>
      </c>
    </row>
    <row r="603" spans="1:24" ht="16.5" customHeight="1">
      <c r="A603" s="3" t="s">
        <v>30</v>
      </c>
      <c r="B603" s="3">
        <f t="shared" si="16"/>
        <v>2010</v>
      </c>
      <c r="C603" s="3">
        <f t="shared" si="17"/>
        <v>3</v>
      </c>
      <c r="D603" s="20" t="str">
        <f t="shared" si="18"/>
        <v>ADP20103</v>
      </c>
      <c r="E603" s="2">
        <v>40247</v>
      </c>
      <c r="F603" s="3">
        <v>0.34</v>
      </c>
      <c r="G603" s="2">
        <v>40269</v>
      </c>
      <c r="H603" s="3">
        <v>3.0700000000000002E-2</v>
      </c>
      <c r="I603" s="3">
        <v>0</v>
      </c>
      <c r="J603" s="3">
        <v>0</v>
      </c>
      <c r="K603" s="3">
        <f t="shared" si="19"/>
        <v>0</v>
      </c>
      <c r="L603" s="3">
        <f t="shared" si="20"/>
        <v>2010</v>
      </c>
      <c r="M603" s="20" t="str">
        <f>A603&amp;L603</f>
        <v>ADP2010</v>
      </c>
      <c r="N603" s="3">
        <f>F603</f>
        <v>0.34</v>
      </c>
      <c r="O603" s="9">
        <f>H603</f>
        <v>3.0700000000000002E-2</v>
      </c>
      <c r="P603" s="10">
        <f t="shared" si="21"/>
        <v>0</v>
      </c>
      <c r="Q603" s="10">
        <f>IF(K603=0,IF(A600=A603,AVERAGE(O600:O603),"x"),0)</f>
        <v>3.1899999999999998E-2</v>
      </c>
      <c r="R603" s="9">
        <f>IF(L603&gt;2005,AVERAGE(O600:O619),0)</f>
        <v>2.5475000000000005E-2</v>
      </c>
      <c r="S603" s="10">
        <f>IF(A603=A604,(N603-N604)/N604,0)</f>
        <v>0</v>
      </c>
      <c r="T603" s="10">
        <f>IF(L603&gt;2005,(((N603-N623)/N623)+1)^(1/5)-1,0)</f>
        <v>0.17011741694575178</v>
      </c>
      <c r="U603" s="10">
        <f t="shared" si="22"/>
        <v>0.19559241694575177</v>
      </c>
      <c r="V603" s="26">
        <f t="shared" si="23"/>
        <v>4.689324828636332</v>
      </c>
      <c r="W603" s="3">
        <f>IF(A603=A604,N603-N604,0)</f>
        <v>0</v>
      </c>
      <c r="X603" s="10">
        <f>IF(A603=A604,(N603-N604)/N604,0)</f>
        <v>0</v>
      </c>
    </row>
    <row r="604" spans="1:24" ht="16.5" customHeight="1">
      <c r="A604" s="3" t="s">
        <v>30</v>
      </c>
      <c r="B604" s="3">
        <f t="shared" si="16"/>
        <v>2009</v>
      </c>
      <c r="C604" s="3">
        <f t="shared" si="17"/>
        <v>12</v>
      </c>
      <c r="D604" s="20" t="str">
        <f t="shared" si="18"/>
        <v>ADP200912</v>
      </c>
      <c r="E604" s="2">
        <v>40156</v>
      </c>
      <c r="F604" s="3">
        <v>0.34</v>
      </c>
      <c r="G604" s="2">
        <v>40179</v>
      </c>
      <c r="H604" s="3">
        <v>3.09E-2</v>
      </c>
      <c r="I604" s="3">
        <v>3.0303030000000002E-2</v>
      </c>
      <c r="J604" s="3">
        <v>0.01</v>
      </c>
      <c r="K604" s="3">
        <f t="shared" si="19"/>
        <v>2009</v>
      </c>
      <c r="L604" s="3">
        <f t="shared" si="20"/>
        <v>0</v>
      </c>
      <c r="M604" s="20" t="str">
        <f>A604&amp;L604</f>
        <v>ADP0</v>
      </c>
      <c r="N604" s="3">
        <f>F604</f>
        <v>0.34</v>
      </c>
      <c r="O604" s="9">
        <f>H604</f>
        <v>3.09E-2</v>
      </c>
      <c r="P604" s="10">
        <f t="shared" si="21"/>
        <v>3.3549999999999996E-2</v>
      </c>
      <c r="Q604" s="10">
        <f>IF(K604=0,IF(A601=A604,AVERAGE(O601:O604),"x"),0)</f>
        <v>0</v>
      </c>
      <c r="R604" s="9">
        <f>IF(L604&gt;2005,AVERAGE(O601:O620),0)</f>
        <v>0</v>
      </c>
      <c r="S604" s="10">
        <f>IF(A604=A605,(N604-N605)/N605,0)</f>
        <v>3.0303030303030328E-2</v>
      </c>
      <c r="T604" s="10">
        <f>IF(L604&gt;2005,(((N604-N624)/N624)+1)^(1/5)-1,0)</f>
        <v>0</v>
      </c>
      <c r="U604" s="10">
        <f t="shared" si="22"/>
        <v>0</v>
      </c>
      <c r="V604" s="26">
        <f t="shared" si="23"/>
        <v>0</v>
      </c>
      <c r="W604" s="3">
        <f>IF(A604=A605,N604-N605,0)</f>
        <v>1.0000000000000009E-2</v>
      </c>
      <c r="X604" s="10">
        <f>IF(A604=A605,(N604-N605)/N605,0)</f>
        <v>3.0303030303030328E-2</v>
      </c>
    </row>
    <row r="605" spans="1:24" ht="16.5" customHeight="1">
      <c r="A605" s="3" t="s">
        <v>30</v>
      </c>
      <c r="B605" s="3">
        <f t="shared" si="16"/>
        <v>2009</v>
      </c>
      <c r="C605" s="3">
        <f t="shared" si="17"/>
        <v>9</v>
      </c>
      <c r="D605" s="20" t="str">
        <f t="shared" si="18"/>
        <v>ADP20099</v>
      </c>
      <c r="E605" s="2">
        <v>40065</v>
      </c>
      <c r="F605" s="3">
        <v>0.33</v>
      </c>
      <c r="G605" s="2">
        <v>40087</v>
      </c>
      <c r="H605" s="3">
        <v>3.4099999999999998E-2</v>
      </c>
      <c r="I605" s="3">
        <v>0</v>
      </c>
      <c r="J605" s="3">
        <v>0</v>
      </c>
      <c r="K605" s="3">
        <f t="shared" si="19"/>
        <v>2009</v>
      </c>
      <c r="L605" s="3">
        <f t="shared" si="20"/>
        <v>0</v>
      </c>
      <c r="M605" s="20" t="str">
        <f>A605&amp;L605</f>
        <v>ADP0</v>
      </c>
      <c r="N605" s="3">
        <f>F605</f>
        <v>0.33</v>
      </c>
      <c r="O605" s="9">
        <f>H605</f>
        <v>3.4099999999999998E-2</v>
      </c>
      <c r="P605" s="10">
        <f t="shared" si="21"/>
        <v>0</v>
      </c>
      <c r="Q605" s="10">
        <f>IF(K605=0,IF(A602=A605,AVERAGE(O602:O605),"x"),0)</f>
        <v>0</v>
      </c>
      <c r="R605" s="9">
        <f>IF(L605&gt;2005,AVERAGE(O602:O621),0)</f>
        <v>0</v>
      </c>
      <c r="S605" s="10">
        <f>IF(A605=A606,(N605-N606)/N606,0)</f>
        <v>0</v>
      </c>
      <c r="T605" s="10">
        <f>IF(L605&gt;2005,(((N605-N625)/N625)+1)^(1/5)-1,0)</f>
        <v>0</v>
      </c>
      <c r="U605" s="10">
        <f t="shared" si="22"/>
        <v>0</v>
      </c>
      <c r="V605" s="26">
        <f t="shared" si="23"/>
        <v>0</v>
      </c>
      <c r="W605" s="3">
        <f>IF(A605=A606,N605-N606,0)</f>
        <v>0</v>
      </c>
      <c r="X605" s="10">
        <f>IF(A605=A606,(N605-N606)/N606,0)</f>
        <v>0</v>
      </c>
    </row>
    <row r="606" spans="1:24" ht="16.5" customHeight="1">
      <c r="A606" s="3" t="s">
        <v>30</v>
      </c>
      <c r="B606" s="3">
        <f t="shared" si="16"/>
        <v>2009</v>
      </c>
      <c r="C606" s="3">
        <f t="shared" si="17"/>
        <v>6</v>
      </c>
      <c r="D606" s="20" t="str">
        <f t="shared" si="18"/>
        <v>ADP20096</v>
      </c>
      <c r="E606" s="2">
        <v>39974</v>
      </c>
      <c r="F606" s="3">
        <v>0.33</v>
      </c>
      <c r="G606" s="2">
        <v>39995</v>
      </c>
      <c r="H606" s="3">
        <v>3.3399999999999999E-2</v>
      </c>
      <c r="I606" s="3">
        <v>0</v>
      </c>
      <c r="J606" s="3">
        <v>0</v>
      </c>
      <c r="K606" s="3">
        <f t="shared" si="19"/>
        <v>2009</v>
      </c>
      <c r="L606" s="3">
        <f t="shared" si="20"/>
        <v>0</v>
      </c>
      <c r="M606" s="20" t="str">
        <f>A606&amp;L606</f>
        <v>ADP0</v>
      </c>
      <c r="N606" s="3">
        <f>F606</f>
        <v>0.33</v>
      </c>
      <c r="O606" s="9">
        <f>H606</f>
        <v>3.3399999999999999E-2</v>
      </c>
      <c r="P606" s="10">
        <f t="shared" si="21"/>
        <v>0</v>
      </c>
      <c r="Q606" s="10">
        <f>IF(K606=0,IF(A603=A606,AVERAGE(O603:O606),"x"),0)</f>
        <v>0</v>
      </c>
      <c r="R606" s="9">
        <f>IF(L606&gt;2005,AVERAGE(O603:O622),0)</f>
        <v>0</v>
      </c>
      <c r="S606" s="10">
        <f>IF(A606=A607,(N606-N607)/N607,0)</f>
        <v>0</v>
      </c>
      <c r="T606" s="10">
        <f>IF(L606&gt;2005,(((N606-N626)/N626)+1)^(1/5)-1,0)</f>
        <v>0</v>
      </c>
      <c r="U606" s="10">
        <f t="shared" si="22"/>
        <v>0</v>
      </c>
      <c r="V606" s="26">
        <f t="shared" si="23"/>
        <v>0</v>
      </c>
      <c r="W606" s="3">
        <f>IF(A606=A607,N606-N607,0)</f>
        <v>0</v>
      </c>
      <c r="X606" s="10">
        <f>IF(A606=A607,(N606-N607)/N607,0)</f>
        <v>0</v>
      </c>
    </row>
    <row r="607" spans="1:24" ht="16.5" customHeight="1">
      <c r="A607" s="3" t="s">
        <v>30</v>
      </c>
      <c r="B607" s="3">
        <f t="shared" si="16"/>
        <v>2009</v>
      </c>
      <c r="C607" s="3">
        <f t="shared" si="17"/>
        <v>3</v>
      </c>
      <c r="D607" s="20" t="str">
        <f t="shared" si="18"/>
        <v>ADP20093</v>
      </c>
      <c r="E607" s="2">
        <v>39883</v>
      </c>
      <c r="F607" s="3">
        <v>0.33</v>
      </c>
      <c r="G607" s="2">
        <v>39904</v>
      </c>
      <c r="H607" s="3">
        <v>3.5799999999999998E-2</v>
      </c>
      <c r="I607" s="3">
        <v>0</v>
      </c>
      <c r="J607" s="3">
        <v>0</v>
      </c>
      <c r="K607" s="3">
        <f t="shared" si="19"/>
        <v>0</v>
      </c>
      <c r="L607" s="3">
        <f t="shared" si="20"/>
        <v>2009</v>
      </c>
      <c r="M607" s="20" t="str">
        <f>A607&amp;L607</f>
        <v>ADP2009</v>
      </c>
      <c r="N607" s="3">
        <f>F607</f>
        <v>0.33</v>
      </c>
      <c r="O607" s="9">
        <f>H607</f>
        <v>3.5799999999999998E-2</v>
      </c>
      <c r="P607" s="10">
        <f t="shared" si="21"/>
        <v>0</v>
      </c>
      <c r="Q607" s="10">
        <f>IF(K607=0,IF(A604=A607,AVERAGE(O604:O607),"x"),0)</f>
        <v>3.3549999999999996E-2</v>
      </c>
      <c r="R607" s="9">
        <f>IF(L607&gt;2005,AVERAGE(O604:O623),0)</f>
        <v>2.1879999999999997E-2</v>
      </c>
      <c r="S607" s="10">
        <f>IF(A607=A608,(N607-N608)/N608,0)</f>
        <v>0</v>
      </c>
      <c r="T607" s="10">
        <f>IF(L607&gt;2005,(((N607-N627)/N627)+1)^(1/5)-1,0)</f>
        <v>0.18707232699504717</v>
      </c>
      <c r="U607" s="10">
        <f t="shared" si="22"/>
        <v>0.20895232699504718</v>
      </c>
      <c r="V607" s="26">
        <f t="shared" si="23"/>
        <v>4.7349879760300526</v>
      </c>
      <c r="W607" s="3">
        <f>IF(A607=A608,N607-N608,0)</f>
        <v>0</v>
      </c>
      <c r="X607" s="10">
        <f>IF(A607=A608,(N607-N608)/N608,0)</f>
        <v>0</v>
      </c>
    </row>
    <row r="608" spans="1:24" ht="16.5" customHeight="1">
      <c r="A608" s="3" t="s">
        <v>30</v>
      </c>
      <c r="B608" s="3">
        <f t="shared" si="16"/>
        <v>2008</v>
      </c>
      <c r="C608" s="3">
        <f t="shared" si="17"/>
        <v>12</v>
      </c>
      <c r="D608" s="20" t="str">
        <f t="shared" si="18"/>
        <v>ADP200812</v>
      </c>
      <c r="E608" s="2">
        <v>39792</v>
      </c>
      <c r="F608" s="3">
        <v>0.33</v>
      </c>
      <c r="G608" s="2">
        <v>39814</v>
      </c>
      <c r="H608" s="3">
        <v>3.0700000000000002E-2</v>
      </c>
      <c r="I608" s="3">
        <v>0.13793103400000001</v>
      </c>
      <c r="J608" s="3">
        <v>0.04</v>
      </c>
      <c r="K608" s="3">
        <f t="shared" si="19"/>
        <v>2008</v>
      </c>
      <c r="L608" s="3">
        <f t="shared" si="20"/>
        <v>0</v>
      </c>
      <c r="M608" s="20" t="str">
        <f>A608&amp;L608</f>
        <v>ADP0</v>
      </c>
      <c r="N608" s="3">
        <f>F608</f>
        <v>0.33</v>
      </c>
      <c r="O608" s="9">
        <f>H608</f>
        <v>3.0700000000000002E-2</v>
      </c>
      <c r="P608" s="10">
        <f t="shared" si="21"/>
        <v>2.7024999999999997E-2</v>
      </c>
      <c r="Q608" s="10">
        <f>IF(K608=0,IF(A605=A608,AVERAGE(O605:O608),"x"),0)</f>
        <v>0</v>
      </c>
      <c r="R608" s="9">
        <f>IF(L608&gt;2005,AVERAGE(O605:O624),0)</f>
        <v>0</v>
      </c>
      <c r="S608" s="10">
        <f>IF(A608=A609,(N608-N609)/N609,0)</f>
        <v>0.13793103448275876</v>
      </c>
      <c r="T608" s="10">
        <f>IF(L608&gt;2005,(((N608-N628)/N628)+1)^(1/5)-1,0)</f>
        <v>0</v>
      </c>
      <c r="U608" s="10">
        <f t="shared" si="22"/>
        <v>0</v>
      </c>
      <c r="V608" s="26">
        <f t="shared" si="23"/>
        <v>0</v>
      </c>
      <c r="W608" s="3">
        <f>IF(A608=A609,N608-N609,0)</f>
        <v>4.0000000000000036E-2</v>
      </c>
      <c r="X608" s="10">
        <f>IF(A608=A609,(N608-N609)/N609,0)</f>
        <v>0.13793103448275876</v>
      </c>
    </row>
    <row r="609" spans="1:24" ht="16.5" customHeight="1">
      <c r="A609" s="3" t="s">
        <v>30</v>
      </c>
      <c r="B609" s="3">
        <f t="shared" si="16"/>
        <v>2008</v>
      </c>
      <c r="C609" s="3">
        <f t="shared" si="17"/>
        <v>9</v>
      </c>
      <c r="D609" s="20" t="str">
        <f t="shared" si="18"/>
        <v>ADP20089</v>
      </c>
      <c r="E609" s="2">
        <v>39701</v>
      </c>
      <c r="F609" s="3">
        <v>0.28999999999999998</v>
      </c>
      <c r="G609" s="2">
        <v>39722</v>
      </c>
      <c r="H609" s="3">
        <v>2.5899999999999999E-2</v>
      </c>
      <c r="I609" s="3">
        <v>0</v>
      </c>
      <c r="J609" s="3">
        <v>0</v>
      </c>
      <c r="K609" s="3">
        <f t="shared" si="19"/>
        <v>2008</v>
      </c>
      <c r="L609" s="3">
        <f t="shared" si="20"/>
        <v>0</v>
      </c>
      <c r="M609" s="20" t="str">
        <f>A609&amp;L609</f>
        <v>ADP0</v>
      </c>
      <c r="N609" s="3">
        <f>F609</f>
        <v>0.28999999999999998</v>
      </c>
      <c r="O609" s="9">
        <f>H609</f>
        <v>2.5899999999999999E-2</v>
      </c>
      <c r="P609" s="10">
        <f t="shared" si="21"/>
        <v>0</v>
      </c>
      <c r="Q609" s="10">
        <f>IF(K609=0,IF(A606=A609,AVERAGE(O606:O609),"x"),0)</f>
        <v>0</v>
      </c>
      <c r="R609" s="9">
        <f>IF(L609&gt;2005,AVERAGE(O606:O625),0)</f>
        <v>0</v>
      </c>
      <c r="S609" s="10">
        <f>IF(A609=A610,(N609-N610)/N610,0)</f>
        <v>0</v>
      </c>
      <c r="T609" s="10">
        <f>IF(L609&gt;2005,(((N609-N629)/N629)+1)^(1/5)-1,0)</f>
        <v>0</v>
      </c>
      <c r="U609" s="10">
        <f t="shared" si="22"/>
        <v>0</v>
      </c>
      <c r="V609" s="26">
        <f t="shared" si="23"/>
        <v>0</v>
      </c>
      <c r="W609" s="3">
        <f>IF(A609=A610,N609-N610,0)</f>
        <v>0</v>
      </c>
      <c r="X609" s="10">
        <f>IF(A609=A610,(N609-N610)/N610,0)</f>
        <v>0</v>
      </c>
    </row>
    <row r="610" spans="1:24" ht="16.5" customHeight="1">
      <c r="A610" s="3" t="s">
        <v>30</v>
      </c>
      <c r="B610" s="3">
        <f t="shared" si="16"/>
        <v>2008</v>
      </c>
      <c r="C610" s="3">
        <f t="shared" si="17"/>
        <v>6</v>
      </c>
      <c r="D610" s="20" t="str">
        <f t="shared" si="18"/>
        <v>ADP20086</v>
      </c>
      <c r="E610" s="2">
        <v>39610</v>
      </c>
      <c r="F610" s="3">
        <v>0.28999999999999998</v>
      </c>
      <c r="G610" s="2">
        <v>39630</v>
      </c>
      <c r="H610" s="3">
        <v>2.5499999999999998E-2</v>
      </c>
      <c r="I610" s="3">
        <v>0</v>
      </c>
      <c r="J610" s="3">
        <v>0</v>
      </c>
      <c r="K610" s="3">
        <f t="shared" si="19"/>
        <v>2008</v>
      </c>
      <c r="L610" s="3">
        <f t="shared" si="20"/>
        <v>0</v>
      </c>
      <c r="M610" s="20" t="str">
        <f>A610&amp;L610</f>
        <v>ADP0</v>
      </c>
      <c r="N610" s="3">
        <f>F610</f>
        <v>0.28999999999999998</v>
      </c>
      <c r="O610" s="9">
        <f>H610</f>
        <v>2.5499999999999998E-2</v>
      </c>
      <c r="P610" s="10">
        <f t="shared" si="21"/>
        <v>0</v>
      </c>
      <c r="Q610" s="10">
        <f>IF(K610=0,IF(A607=A610,AVERAGE(O607:O610),"x"),0)</f>
        <v>0</v>
      </c>
      <c r="R610" s="9">
        <f>IF(L610&gt;2005,AVERAGE(O607:O626),0)</f>
        <v>0</v>
      </c>
      <c r="S610" s="10">
        <f>IF(A610=A611,(N610-N611)/N611,0)</f>
        <v>0</v>
      </c>
      <c r="T610" s="10">
        <f>IF(L610&gt;2005,(((N610-N630)/N630)+1)^(1/5)-1,0)</f>
        <v>0</v>
      </c>
      <c r="U610" s="10">
        <f t="shared" si="22"/>
        <v>0</v>
      </c>
      <c r="V610" s="26">
        <f t="shared" si="23"/>
        <v>0</v>
      </c>
      <c r="W610" s="3">
        <f>IF(A610=A611,N610-N611,0)</f>
        <v>0</v>
      </c>
      <c r="X610" s="10">
        <f>IF(A610=A611,(N610-N611)/N611,0)</f>
        <v>0</v>
      </c>
    </row>
    <row r="611" spans="1:24" ht="16.5" customHeight="1">
      <c r="A611" s="3" t="s">
        <v>30</v>
      </c>
      <c r="B611" s="3">
        <f t="shared" si="16"/>
        <v>2008</v>
      </c>
      <c r="C611" s="3">
        <f t="shared" si="17"/>
        <v>3</v>
      </c>
      <c r="D611" s="20" t="str">
        <f t="shared" si="18"/>
        <v>ADP20083</v>
      </c>
      <c r="E611" s="2">
        <v>39519</v>
      </c>
      <c r="F611" s="3">
        <v>0.28999999999999998</v>
      </c>
      <c r="G611" s="2">
        <v>39539</v>
      </c>
      <c r="H611" s="3">
        <v>2.5999999999999999E-2</v>
      </c>
      <c r="I611" s="3">
        <v>0</v>
      </c>
      <c r="J611" s="3">
        <v>0</v>
      </c>
      <c r="K611" s="3">
        <f t="shared" si="19"/>
        <v>0</v>
      </c>
      <c r="L611" s="3">
        <f t="shared" si="20"/>
        <v>2008</v>
      </c>
      <c r="M611" s="20" t="str">
        <f>A611&amp;L611</f>
        <v>ADP2008</v>
      </c>
      <c r="N611" s="3">
        <f>F611</f>
        <v>0.28999999999999998</v>
      </c>
      <c r="O611" s="9">
        <f>H611</f>
        <v>2.5999999999999999E-2</v>
      </c>
      <c r="P611" s="10">
        <f t="shared" si="21"/>
        <v>0</v>
      </c>
      <c r="Q611" s="10">
        <f>IF(K611=0,IF(A608=A611,AVERAGE(O608:O611),"x"),0)</f>
        <v>2.7024999999999997E-2</v>
      </c>
      <c r="R611" s="9">
        <f>IF(L611&gt;2005,AVERAGE(O608:O627),0)</f>
        <v>1.7690000000000001E-2</v>
      </c>
      <c r="S611" s="10">
        <f>IF(A611=A612,(N611-N612)/N612,0)</f>
        <v>0</v>
      </c>
      <c r="T611" s="10">
        <f>IF(L611&gt;2005,(((N611-N631)/N631)+1)^(1/5)-1,0)</f>
        <v>0.19300798468495173</v>
      </c>
      <c r="U611" s="10">
        <f t="shared" si="22"/>
        <v>0.21069798468495174</v>
      </c>
      <c r="V611" s="26">
        <f t="shared" si="23"/>
        <v>4.7850522525705061</v>
      </c>
      <c r="W611" s="3">
        <f>IF(A611=A612,N611-N612,0)</f>
        <v>0</v>
      </c>
      <c r="X611" s="10">
        <f>IF(A611=A612,(N611-N612)/N612,0)</f>
        <v>0</v>
      </c>
    </row>
    <row r="612" spans="1:24" ht="16.5" customHeight="1">
      <c r="A612" s="3" t="s">
        <v>30</v>
      </c>
      <c r="B612" s="3">
        <f t="shared" si="16"/>
        <v>2007</v>
      </c>
      <c r="C612" s="3">
        <f t="shared" si="17"/>
        <v>12</v>
      </c>
      <c r="D612" s="20" t="str">
        <f t="shared" si="18"/>
        <v>ADP200712</v>
      </c>
      <c r="E612" s="2">
        <v>39428</v>
      </c>
      <c r="F612" s="3">
        <v>0.28999999999999998</v>
      </c>
      <c r="G612" s="2">
        <v>39448</v>
      </c>
      <c r="H612" s="3">
        <v>2.1499999999999998E-2</v>
      </c>
      <c r="I612" s="3">
        <v>0.26086956500000003</v>
      </c>
      <c r="J612" s="3">
        <v>0.06</v>
      </c>
      <c r="K612" s="3">
        <f t="shared" si="19"/>
        <v>2007</v>
      </c>
      <c r="L612" s="3">
        <f t="shared" si="20"/>
        <v>0</v>
      </c>
      <c r="M612" s="20" t="str">
        <f>A612&amp;L612</f>
        <v>ADP0</v>
      </c>
      <c r="N612" s="3">
        <f>F612</f>
        <v>0.28999999999999998</v>
      </c>
      <c r="O612" s="9">
        <f>H612</f>
        <v>2.1499999999999998E-2</v>
      </c>
      <c r="P612" s="10">
        <f t="shared" si="21"/>
        <v>1.9349999999999999E-2</v>
      </c>
      <c r="Q612" s="10">
        <f>IF(K612=0,IF(A609=A612,AVERAGE(O609:O612),"x"),0)</f>
        <v>0</v>
      </c>
      <c r="R612" s="9">
        <f>IF(L612&gt;2005,AVERAGE(O609:O628),0)</f>
        <v>0</v>
      </c>
      <c r="S612" s="10">
        <f>IF(A612=A613,(N612-N613)/N613,0)</f>
        <v>0.26086956521739119</v>
      </c>
      <c r="T612" s="10">
        <f>IF(L612&gt;2005,(((N612-N632)/N632)+1)^(1/5)-1,0)</f>
        <v>0</v>
      </c>
      <c r="U612" s="10">
        <f t="shared" si="22"/>
        <v>0</v>
      </c>
      <c r="V612" s="26">
        <f t="shared" si="23"/>
        <v>0</v>
      </c>
      <c r="W612" s="3">
        <f>IF(A612=A613,N612-N613,0)</f>
        <v>5.999999999999997E-2</v>
      </c>
      <c r="X612" s="10">
        <f>IF(A612=A613,(N612-N613)/N613,0)</f>
        <v>0.26086956521739119</v>
      </c>
    </row>
    <row r="613" spans="1:24" ht="16.5" customHeight="1">
      <c r="A613" s="3" t="s">
        <v>30</v>
      </c>
      <c r="B613" s="3">
        <f t="shared" si="16"/>
        <v>2007</v>
      </c>
      <c r="C613" s="3">
        <f t="shared" si="17"/>
        <v>9</v>
      </c>
      <c r="D613" s="20" t="str">
        <f t="shared" si="18"/>
        <v>ADP20079</v>
      </c>
      <c r="E613" s="2">
        <v>39337</v>
      </c>
      <c r="F613" s="3">
        <v>0.23</v>
      </c>
      <c r="G613" s="2">
        <v>39356</v>
      </c>
      <c r="H613" s="3">
        <v>2.07E-2</v>
      </c>
      <c r="I613" s="3">
        <v>0</v>
      </c>
      <c r="J613" s="3">
        <v>0</v>
      </c>
      <c r="K613" s="3">
        <f t="shared" si="19"/>
        <v>2007</v>
      </c>
      <c r="L613" s="3">
        <f t="shared" si="20"/>
        <v>0</v>
      </c>
      <c r="M613" s="20" t="str">
        <f>A613&amp;L613</f>
        <v>ADP0</v>
      </c>
      <c r="N613" s="3">
        <f>F613</f>
        <v>0.23</v>
      </c>
      <c r="O613" s="9">
        <f>H613</f>
        <v>2.07E-2</v>
      </c>
      <c r="P613" s="10">
        <f t="shared" si="21"/>
        <v>0</v>
      </c>
      <c r="Q613" s="10">
        <f>IF(K613=0,IF(A610=A613,AVERAGE(O610:O613),"x"),0)</f>
        <v>0</v>
      </c>
      <c r="R613" s="9">
        <f>IF(L613&gt;2005,AVERAGE(O610:O629),0)</f>
        <v>0</v>
      </c>
      <c r="S613" s="10">
        <f>IF(A613=A614,(N613-N614)/N614,0)</f>
        <v>0</v>
      </c>
      <c r="T613" s="10">
        <f>IF(L613&gt;2005,(((N613-N633)/N633)+1)^(1/5)-1,0)</f>
        <v>0</v>
      </c>
      <c r="U613" s="10">
        <f t="shared" si="22"/>
        <v>0</v>
      </c>
      <c r="V613" s="26">
        <f t="shared" si="23"/>
        <v>0</v>
      </c>
      <c r="W613" s="3">
        <f>IF(A613=A614,N613-N614,0)</f>
        <v>0</v>
      </c>
      <c r="X613" s="10">
        <f>IF(A613=A614,(N613-N614)/N614,0)</f>
        <v>0</v>
      </c>
    </row>
    <row r="614" spans="1:24" ht="16.5" customHeight="1">
      <c r="A614" s="3" t="s">
        <v>30</v>
      </c>
      <c r="B614" s="3">
        <f t="shared" si="16"/>
        <v>2007</v>
      </c>
      <c r="C614" s="3">
        <f t="shared" si="17"/>
        <v>6</v>
      </c>
      <c r="D614" s="20" t="str">
        <f t="shared" si="18"/>
        <v>ADP20076</v>
      </c>
      <c r="E614" s="2">
        <v>39246</v>
      </c>
      <c r="F614" s="3">
        <v>0.23</v>
      </c>
      <c r="G614" s="2">
        <v>39264</v>
      </c>
      <c r="H614" s="3">
        <v>1.8200000000000001E-2</v>
      </c>
      <c r="I614" s="3">
        <v>0</v>
      </c>
      <c r="J614" s="3">
        <v>0</v>
      </c>
      <c r="K614" s="3">
        <f t="shared" si="19"/>
        <v>2007</v>
      </c>
      <c r="L614" s="3">
        <f t="shared" si="20"/>
        <v>0</v>
      </c>
      <c r="M614" s="20" t="str">
        <f>A614&amp;L614</f>
        <v>ADP0</v>
      </c>
      <c r="N614" s="3">
        <f>F614</f>
        <v>0.23</v>
      </c>
      <c r="O614" s="9">
        <f>H614</f>
        <v>1.8200000000000001E-2</v>
      </c>
      <c r="P614" s="10">
        <f t="shared" si="21"/>
        <v>0</v>
      </c>
      <c r="Q614" s="10">
        <f>IF(K614=0,IF(A611=A614,AVERAGE(O611:O614),"x"),0)</f>
        <v>0</v>
      </c>
      <c r="R614" s="9">
        <f>IF(L614&gt;2005,AVERAGE(O611:O630),0)</f>
        <v>0</v>
      </c>
      <c r="S614" s="10">
        <f>IF(A614=A615,(N614-N615)/N615,0)</f>
        <v>0</v>
      </c>
      <c r="T614" s="10">
        <f>IF(L614&gt;2005,(((N614-N634)/N634)+1)^(1/5)-1,0)</f>
        <v>0</v>
      </c>
      <c r="U614" s="10">
        <f t="shared" si="22"/>
        <v>0</v>
      </c>
      <c r="V614" s="26">
        <f t="shared" si="23"/>
        <v>0</v>
      </c>
      <c r="W614" s="3">
        <f>IF(A614=A615,N614-N615,0)</f>
        <v>0</v>
      </c>
      <c r="X614" s="10">
        <f>IF(A614=A615,(N614-N615)/N615,0)</f>
        <v>0</v>
      </c>
    </row>
    <row r="615" spans="1:24" ht="16.5" customHeight="1">
      <c r="A615" s="3" t="s">
        <v>30</v>
      </c>
      <c r="B615" s="3">
        <f t="shared" si="16"/>
        <v>2007</v>
      </c>
      <c r="C615" s="3">
        <f t="shared" si="17"/>
        <v>3</v>
      </c>
      <c r="D615" s="20" t="str">
        <f t="shared" si="18"/>
        <v>ADP20073</v>
      </c>
      <c r="E615" s="2">
        <v>39148</v>
      </c>
      <c r="F615" s="3">
        <v>0.23</v>
      </c>
      <c r="G615" s="2">
        <v>39173</v>
      </c>
      <c r="H615" s="3">
        <v>1.7000000000000001E-2</v>
      </c>
      <c r="I615" s="3">
        <v>0</v>
      </c>
      <c r="J615" s="3">
        <v>0</v>
      </c>
      <c r="K615" s="3">
        <f t="shared" si="19"/>
        <v>0</v>
      </c>
      <c r="L615" s="3">
        <f t="shared" si="20"/>
        <v>2007</v>
      </c>
      <c r="M615" s="20" t="str">
        <f>A615&amp;L615</f>
        <v>ADP2007</v>
      </c>
      <c r="N615" s="3">
        <f>F615</f>
        <v>0.23</v>
      </c>
      <c r="O615" s="9">
        <f>H615</f>
        <v>1.7000000000000001E-2</v>
      </c>
      <c r="P615" s="10">
        <f t="shared" si="21"/>
        <v>0</v>
      </c>
      <c r="Q615" s="10">
        <f>IF(K615=0,IF(A612=A615,AVERAGE(O612:O615),"x"),0)</f>
        <v>1.9349999999999999E-2</v>
      </c>
      <c r="R615" s="9">
        <f>IF(L615&gt;2005,AVERAGE(O612:O631),0)</f>
        <v>1.5000000000000003E-2</v>
      </c>
      <c r="S615" s="10">
        <f>IF(A615=A616,(N615-N616)/N616,0)</f>
        <v>0</v>
      </c>
      <c r="T615" s="10">
        <f>IF(L615&gt;2005,(((N615-N635)/N635)+1)^(1/5)-1,0)</f>
        <v>0.1486983549970351</v>
      </c>
      <c r="U615" s="10">
        <f t="shared" si="22"/>
        <v>0.16369835499703511</v>
      </c>
      <c r="V615" s="26">
        <f t="shared" si="23"/>
        <v>4.8099419758671536</v>
      </c>
      <c r="W615" s="3">
        <f>IF(A615=A616,N615-N616,0)</f>
        <v>0</v>
      </c>
      <c r="X615" s="10">
        <f>IF(A615=A616,(N615-N616)/N616,0)</f>
        <v>0</v>
      </c>
    </row>
    <row r="616" spans="1:24" ht="16.5" customHeight="1">
      <c r="A616" s="3" t="s">
        <v>30</v>
      </c>
      <c r="B616" s="3">
        <f t="shared" si="16"/>
        <v>2006</v>
      </c>
      <c r="C616" s="3">
        <f t="shared" si="17"/>
        <v>12</v>
      </c>
      <c r="D616" s="20" t="str">
        <f t="shared" si="18"/>
        <v>ADP200612</v>
      </c>
      <c r="E616" s="2">
        <v>39057</v>
      </c>
      <c r="F616" s="3">
        <v>0.23</v>
      </c>
      <c r="G616" s="2">
        <v>39083</v>
      </c>
      <c r="H616" s="3">
        <v>1.6299999999999999E-2</v>
      </c>
      <c r="I616" s="3">
        <v>0.243243243</v>
      </c>
      <c r="J616" s="3">
        <v>4.4999999999999998E-2</v>
      </c>
      <c r="K616" s="3">
        <f t="shared" si="19"/>
        <v>2006</v>
      </c>
      <c r="L616" s="3">
        <f t="shared" si="20"/>
        <v>0</v>
      </c>
      <c r="M616" s="20" t="str">
        <f>A616&amp;L616</f>
        <v>ADP0</v>
      </c>
      <c r="N616" s="3">
        <f>F616</f>
        <v>0.23</v>
      </c>
      <c r="O616" s="9">
        <f>H616</f>
        <v>1.6299999999999999E-2</v>
      </c>
      <c r="P616" s="10">
        <f t="shared" si="21"/>
        <v>1.555E-2</v>
      </c>
      <c r="Q616" s="10">
        <f>IF(K616=0,IF(A613=A616,AVERAGE(O613:O616),"x"),0)</f>
        <v>0</v>
      </c>
      <c r="R616" s="9">
        <f>IF(L616&gt;2005,AVERAGE(O613:O632),0)</f>
        <v>0</v>
      </c>
      <c r="S616" s="10">
        <f>IF(A616=A617,(N616-N617)/N617,0)</f>
        <v>0.24324324324324331</v>
      </c>
      <c r="T616" s="10">
        <f>IF(L616&gt;2005,(((N616-N636)/N636)+1)^(1/5)-1,0)</f>
        <v>0</v>
      </c>
      <c r="U616" s="10">
        <f t="shared" si="22"/>
        <v>0</v>
      </c>
      <c r="V616" s="26">
        <f t="shared" si="23"/>
        <v>0</v>
      </c>
      <c r="W616" s="3">
        <f>IF(A616=A617,N616-N617,0)</f>
        <v>4.5000000000000012E-2</v>
      </c>
      <c r="X616" s="10">
        <f>IF(A616=A617,(N616-N617)/N617,0)</f>
        <v>0.24324324324324331</v>
      </c>
    </row>
    <row r="617" spans="1:24" ht="16.5" customHeight="1">
      <c r="A617" s="3" t="s">
        <v>30</v>
      </c>
      <c r="B617" s="3">
        <f t="shared" si="16"/>
        <v>2006</v>
      </c>
      <c r="C617" s="3">
        <f t="shared" si="17"/>
        <v>9</v>
      </c>
      <c r="D617" s="20" t="str">
        <f t="shared" si="18"/>
        <v>ADP20069</v>
      </c>
      <c r="E617" s="2">
        <v>38973</v>
      </c>
      <c r="F617" s="3">
        <v>0.185</v>
      </c>
      <c r="G617" s="2">
        <v>38991</v>
      </c>
      <c r="H617" s="3">
        <v>1.5599999999999999E-2</v>
      </c>
      <c r="I617" s="3">
        <v>0</v>
      </c>
      <c r="J617" s="3">
        <v>0</v>
      </c>
      <c r="K617" s="3">
        <f t="shared" si="19"/>
        <v>2006</v>
      </c>
      <c r="L617" s="3">
        <f t="shared" si="20"/>
        <v>0</v>
      </c>
      <c r="M617" s="20" t="str">
        <f>A617&amp;L617</f>
        <v>ADP0</v>
      </c>
      <c r="N617" s="3">
        <f>F617</f>
        <v>0.185</v>
      </c>
      <c r="O617" s="9">
        <f>H617</f>
        <v>1.5599999999999999E-2</v>
      </c>
      <c r="P617" s="10">
        <f t="shared" si="21"/>
        <v>0</v>
      </c>
      <c r="Q617" s="10">
        <f>IF(K617=0,IF(A614=A617,AVERAGE(O614:O617),"x"),0)</f>
        <v>0</v>
      </c>
      <c r="R617" s="9">
        <f>IF(L617&gt;2005,AVERAGE(O614:O633),0)</f>
        <v>0</v>
      </c>
      <c r="S617" s="10">
        <f>IF(A617=A618,(N617-N618)/N618,0)</f>
        <v>0</v>
      </c>
      <c r="T617" s="10">
        <f>IF(L617&gt;2005,(((N617-N637)/N637)+1)^(1/5)-1,0)</f>
        <v>0</v>
      </c>
      <c r="U617" s="10">
        <f t="shared" si="22"/>
        <v>0</v>
      </c>
      <c r="V617" s="26">
        <f t="shared" si="23"/>
        <v>0</v>
      </c>
      <c r="W617" s="3">
        <f>IF(A617=A618,N617-N618,0)</f>
        <v>0</v>
      </c>
      <c r="X617" s="10">
        <f>IF(A617=A618,(N617-N618)/N618,0)</f>
        <v>0</v>
      </c>
    </row>
    <row r="618" spans="1:24" ht="16.5" customHeight="1">
      <c r="A618" s="3" t="s">
        <v>30</v>
      </c>
      <c r="B618" s="3">
        <f t="shared" si="16"/>
        <v>2006</v>
      </c>
      <c r="C618" s="3">
        <f t="shared" si="17"/>
        <v>6</v>
      </c>
      <c r="D618" s="20" t="str">
        <f t="shared" si="18"/>
        <v>ADP20066</v>
      </c>
      <c r="E618" s="2">
        <v>38875</v>
      </c>
      <c r="F618" s="3">
        <v>0.185</v>
      </c>
      <c r="G618" s="2">
        <v>38899</v>
      </c>
      <c r="H618" s="3">
        <v>1.55E-2</v>
      </c>
      <c r="I618" s="3">
        <v>0</v>
      </c>
      <c r="J618" s="3">
        <v>0</v>
      </c>
      <c r="K618" s="3">
        <f t="shared" si="19"/>
        <v>2006</v>
      </c>
      <c r="L618" s="3">
        <f t="shared" si="20"/>
        <v>0</v>
      </c>
      <c r="M618" s="20" t="str">
        <f>A618&amp;L618</f>
        <v>ADP0</v>
      </c>
      <c r="N618" s="3">
        <f>F618</f>
        <v>0.185</v>
      </c>
      <c r="O618" s="9">
        <f>H618</f>
        <v>1.55E-2</v>
      </c>
      <c r="P618" s="10">
        <f t="shared" si="21"/>
        <v>0</v>
      </c>
      <c r="Q618" s="10">
        <f>IF(K618=0,IF(A615=A618,AVERAGE(O615:O618),"x"),0)</f>
        <v>0</v>
      </c>
      <c r="R618" s="9">
        <f>IF(L618&gt;2005,AVERAGE(O615:O634),0)</f>
        <v>0</v>
      </c>
      <c r="S618" s="10">
        <f>IF(A618=A619,(N618-N619)/N619,0)</f>
        <v>0</v>
      </c>
      <c r="T618" s="10">
        <f>IF(L618&gt;2005,(((N618-N638)/N638)+1)^(1/5)-1,0)</f>
        <v>0</v>
      </c>
      <c r="U618" s="10">
        <f t="shared" si="22"/>
        <v>0</v>
      </c>
      <c r="V618" s="26">
        <f t="shared" si="23"/>
        <v>0</v>
      </c>
      <c r="W618" s="3">
        <f>IF(A618=A619,N618-N619,0)</f>
        <v>0</v>
      </c>
      <c r="X618" s="10">
        <f>IF(A618=A619,(N618-N619)/N619,0)</f>
        <v>0</v>
      </c>
    </row>
    <row r="619" spans="1:24" ht="16.5" customHeight="1">
      <c r="A619" s="3" t="s">
        <v>30</v>
      </c>
      <c r="B619" s="3">
        <f t="shared" si="16"/>
        <v>2006</v>
      </c>
      <c r="C619" s="3">
        <f t="shared" si="17"/>
        <v>3</v>
      </c>
      <c r="D619" s="20" t="str">
        <f t="shared" si="18"/>
        <v>ADP20063</v>
      </c>
      <c r="E619" s="2">
        <v>38784</v>
      </c>
      <c r="F619" s="3">
        <v>0.185</v>
      </c>
      <c r="G619" s="2">
        <v>38808</v>
      </c>
      <c r="H619" s="3">
        <v>1.4800000000000001E-2</v>
      </c>
      <c r="I619" s="3">
        <v>0</v>
      </c>
      <c r="J619" s="3">
        <v>0</v>
      </c>
      <c r="K619" s="3">
        <f t="shared" si="19"/>
        <v>0</v>
      </c>
      <c r="L619" s="3">
        <f t="shared" si="20"/>
        <v>2006</v>
      </c>
      <c r="M619" s="20" t="str">
        <f>A619&amp;L619</f>
        <v>ADP2006</v>
      </c>
      <c r="N619" s="3">
        <f>F619</f>
        <v>0.185</v>
      </c>
      <c r="O619" s="9">
        <f>H619</f>
        <v>1.4800000000000001E-2</v>
      </c>
      <c r="P619" s="10">
        <f t="shared" si="21"/>
        <v>0</v>
      </c>
      <c r="Q619" s="10">
        <f>IF(K619=0,IF(A616=A619,AVERAGE(O616:O619),"x"),0)</f>
        <v>1.555E-2</v>
      </c>
      <c r="R619" s="9">
        <f>IF(L619&gt;2005,AVERAGE(O616:O635),0)</f>
        <v>1.3105E-2</v>
      </c>
      <c r="S619" s="10">
        <f>IF(A619=A620,(N619-N620)/N620,0)</f>
        <v>0</v>
      </c>
      <c r="T619" s="10">
        <f>IF(L619&gt;2005,(((N619-N639)/N639)+1)^(1/5)-1,0)</f>
        <v>0.12535507187104278</v>
      </c>
      <c r="U619" s="10">
        <f t="shared" si="22"/>
        <v>0.13846007187104278</v>
      </c>
      <c r="V619" s="26">
        <f t="shared" si="23"/>
        <v>4.8299599110486806</v>
      </c>
      <c r="W619" s="3">
        <f>IF(A619=A620,N619-N620,0)</f>
        <v>0</v>
      </c>
      <c r="X619" s="10">
        <f>IF(A619=A620,(N619-N620)/N620,0)</f>
        <v>0</v>
      </c>
    </row>
    <row r="620" spans="1:24" ht="16.5" customHeight="1">
      <c r="A620" s="3" t="s">
        <v>30</v>
      </c>
      <c r="B620" s="3">
        <f t="shared" si="16"/>
        <v>2005</v>
      </c>
      <c r="C620" s="3">
        <f t="shared" si="17"/>
        <v>12</v>
      </c>
      <c r="D620" s="20" t="str">
        <f t="shared" si="18"/>
        <v>ADP200512</v>
      </c>
      <c r="E620" s="2">
        <v>38693</v>
      </c>
      <c r="F620" s="3">
        <v>0.185</v>
      </c>
      <c r="G620" s="2">
        <v>38718</v>
      </c>
      <c r="H620" s="3">
        <v>1.38E-2</v>
      </c>
      <c r="I620" s="3">
        <v>0.19354838699999999</v>
      </c>
      <c r="J620" s="3">
        <v>0.03</v>
      </c>
      <c r="K620" s="3">
        <f t="shared" si="19"/>
        <v>2005</v>
      </c>
      <c r="L620" s="3">
        <f t="shared" si="20"/>
        <v>0</v>
      </c>
      <c r="M620" s="20" t="str">
        <f>A620&amp;L620</f>
        <v>ADP0</v>
      </c>
      <c r="N620" s="3">
        <f>F620</f>
        <v>0.185</v>
      </c>
      <c r="O620" s="9">
        <f>H620</f>
        <v>1.38E-2</v>
      </c>
      <c r="P620" s="10">
        <f t="shared" si="21"/>
        <v>1.3925E-2</v>
      </c>
      <c r="Q620" s="10">
        <f>IF(K620=0,IF(A617=A620,AVERAGE(O617:O620),"x"),0)</f>
        <v>0</v>
      </c>
      <c r="R620" s="9">
        <f>IF(L620&gt;2005,AVERAGE(O617:O636),0)</f>
        <v>0</v>
      </c>
      <c r="S620" s="10">
        <f>IF(A620=A621,(N620-N621)/N621,0)</f>
        <v>0.19354838709677419</v>
      </c>
      <c r="T620" s="10">
        <f>IF(L620&gt;2005,(((N620-N640)/N640)+1)^(1/5)-1,0)</f>
        <v>0</v>
      </c>
      <c r="U620" s="10">
        <f t="shared" si="22"/>
        <v>0</v>
      </c>
      <c r="V620" s="26">
        <f t="shared" si="23"/>
        <v>0</v>
      </c>
      <c r="W620" s="3">
        <f>IF(A620=A621,N620-N621,0)</f>
        <v>0.03</v>
      </c>
      <c r="X620" s="10">
        <f>IF(A620=A621,(N620-N621)/N621,0)</f>
        <v>0.19354838709677419</v>
      </c>
    </row>
    <row r="621" spans="1:24" ht="16.5" customHeight="1">
      <c r="A621" s="3" t="s">
        <v>30</v>
      </c>
      <c r="B621" s="3">
        <f t="shared" si="16"/>
        <v>2005</v>
      </c>
      <c r="C621" s="3">
        <f t="shared" si="17"/>
        <v>9</v>
      </c>
      <c r="D621" s="20" t="str">
        <f t="shared" si="18"/>
        <v>ADP20059</v>
      </c>
      <c r="E621" s="2">
        <v>38602</v>
      </c>
      <c r="F621" s="3">
        <v>0.155</v>
      </c>
      <c r="G621" s="2">
        <v>38626</v>
      </c>
      <c r="H621" s="3">
        <v>1.4500000000000001E-2</v>
      </c>
      <c r="I621" s="3">
        <v>0</v>
      </c>
      <c r="J621" s="3">
        <v>0</v>
      </c>
      <c r="K621" s="3">
        <f t="shared" si="19"/>
        <v>2005</v>
      </c>
      <c r="L621" s="3">
        <f t="shared" si="20"/>
        <v>0</v>
      </c>
      <c r="M621" s="20" t="str">
        <f>A621&amp;L621</f>
        <v>ADP0</v>
      </c>
      <c r="N621" s="3">
        <f>F621</f>
        <v>0.155</v>
      </c>
      <c r="O621" s="9">
        <f>H621</f>
        <v>1.4500000000000001E-2</v>
      </c>
      <c r="P621" s="10">
        <f t="shared" si="21"/>
        <v>0</v>
      </c>
      <c r="Q621" s="10">
        <f>IF(K621=0,IF(A618=A621,AVERAGE(O618:O621),"x"),0)</f>
        <v>0</v>
      </c>
      <c r="R621" s="9">
        <f>IF(L621&gt;2005,AVERAGE(O618:O637),0)</f>
        <v>0</v>
      </c>
      <c r="S621" s="10">
        <f>IF(A621=A622,(N621-N622)/N622,0)</f>
        <v>0</v>
      </c>
      <c r="T621" s="10">
        <f>IF(L621&gt;2005,(((N621-N641)/N641)+1)^(1/5)-1,0)</f>
        <v>0</v>
      </c>
      <c r="U621" s="10">
        <f t="shared" si="22"/>
        <v>0</v>
      </c>
      <c r="V621" s="26">
        <f t="shared" si="23"/>
        <v>0</v>
      </c>
      <c r="W621" s="3">
        <f>IF(A621=A622,N621-N622,0)</f>
        <v>0</v>
      </c>
      <c r="X621" s="10">
        <f>IF(A621=A622,(N621-N622)/N622,0)</f>
        <v>0</v>
      </c>
    </row>
    <row r="622" spans="1:24" ht="16.5" customHeight="1">
      <c r="A622" s="3" t="s">
        <v>30</v>
      </c>
      <c r="B622" s="3">
        <f t="shared" si="16"/>
        <v>2005</v>
      </c>
      <c r="C622" s="3">
        <f t="shared" si="17"/>
        <v>6</v>
      </c>
      <c r="D622" s="20" t="str">
        <f t="shared" si="18"/>
        <v>ADP20056</v>
      </c>
      <c r="E622" s="2">
        <v>38511</v>
      </c>
      <c r="F622" s="3">
        <v>0.155</v>
      </c>
      <c r="G622" s="2">
        <v>38534</v>
      </c>
      <c r="H622" s="3">
        <v>1.38E-2</v>
      </c>
      <c r="I622" s="3">
        <v>0</v>
      </c>
      <c r="J622" s="3">
        <v>0</v>
      </c>
      <c r="K622" s="3">
        <f t="shared" si="19"/>
        <v>2005</v>
      </c>
      <c r="L622" s="3">
        <f t="shared" si="20"/>
        <v>0</v>
      </c>
      <c r="M622" s="20" t="str">
        <f>A622&amp;L622</f>
        <v>ADP0</v>
      </c>
      <c r="N622" s="3">
        <f>F622</f>
        <v>0.155</v>
      </c>
      <c r="O622" s="9">
        <f>H622</f>
        <v>1.38E-2</v>
      </c>
      <c r="P622" s="10">
        <f t="shared" si="21"/>
        <v>0</v>
      </c>
      <c r="Q622" s="10">
        <f>IF(K622=0,IF(A619=A622,AVERAGE(O619:O622),"x"),0)</f>
        <v>0</v>
      </c>
      <c r="R622" s="9">
        <f>IF(L622&gt;2005,AVERAGE(O619:O638),0)</f>
        <v>0</v>
      </c>
      <c r="S622" s="10">
        <f>IF(A622=A623,(N622-N623)/N623,0)</f>
        <v>0</v>
      </c>
      <c r="T622" s="10">
        <f>IF(L622&gt;2005,(((N622-N642)/N642)+1)^(1/5)-1,0)</f>
        <v>0</v>
      </c>
      <c r="U622" s="10">
        <f t="shared" si="22"/>
        <v>0</v>
      </c>
      <c r="V622" s="26">
        <f t="shared" si="23"/>
        <v>0</v>
      </c>
      <c r="W622" s="3">
        <f>IF(A622=A623,N622-N623,0)</f>
        <v>0</v>
      </c>
      <c r="X622" s="10">
        <f>IF(A622=A623,(N622-N623)/N623,0)</f>
        <v>0</v>
      </c>
    </row>
    <row r="623" spans="1:24" ht="16.5" customHeight="1">
      <c r="A623" s="3" t="s">
        <v>30</v>
      </c>
      <c r="B623" s="3">
        <f t="shared" si="16"/>
        <v>2005</v>
      </c>
      <c r="C623" s="3">
        <f t="shared" si="17"/>
        <v>3</v>
      </c>
      <c r="D623" s="20" t="str">
        <f t="shared" si="18"/>
        <v>ADP20053</v>
      </c>
      <c r="E623" s="2">
        <v>38421</v>
      </c>
      <c r="F623" s="3">
        <v>0.155</v>
      </c>
      <c r="G623" s="2">
        <v>38443</v>
      </c>
      <c r="H623" s="3">
        <v>1.3599999999999999E-2</v>
      </c>
      <c r="I623" s="3">
        <v>0</v>
      </c>
      <c r="J623" s="3">
        <v>0</v>
      </c>
      <c r="K623" s="3">
        <f t="shared" si="19"/>
        <v>0</v>
      </c>
      <c r="L623" s="3">
        <f t="shared" si="20"/>
        <v>2005</v>
      </c>
      <c r="M623" s="20" t="str">
        <f>A623&amp;L623</f>
        <v>ADP2005</v>
      </c>
      <c r="N623" s="3">
        <f>F623</f>
        <v>0.155</v>
      </c>
      <c r="O623" s="9">
        <f>H623</f>
        <v>1.3599999999999999E-2</v>
      </c>
      <c r="P623" s="10">
        <f t="shared" si="21"/>
        <v>0</v>
      </c>
      <c r="Q623" s="10">
        <f>IF(K623=0,IF(A620=A623,AVERAGE(O620:O623),"x"),0)</f>
        <v>1.3925E-2</v>
      </c>
      <c r="R623" s="9">
        <f>IF(L623&gt;2005,AVERAGE(O620:O639),0)</f>
        <v>0</v>
      </c>
      <c r="S623" s="10">
        <f>IF(A623=A624,(N623-N624)/N624,0)</f>
        <v>0</v>
      </c>
      <c r="T623" s="10">
        <f>IF(L623&gt;2005,(((N623-N643)/N643)+1)^(1/5)-1,0)</f>
        <v>0</v>
      </c>
      <c r="U623" s="10">
        <f t="shared" si="22"/>
        <v>0</v>
      </c>
      <c r="V623" s="26">
        <f t="shared" si="23"/>
        <v>0</v>
      </c>
      <c r="W623" s="3">
        <f>IF(A623=A624,N623-N624,0)</f>
        <v>0</v>
      </c>
      <c r="X623" s="10">
        <f>IF(A623=A624,(N623-N624)/N624,0)</f>
        <v>0</v>
      </c>
    </row>
    <row r="624" spans="1:24" ht="16.5" customHeight="1">
      <c r="A624" s="3" t="s">
        <v>30</v>
      </c>
      <c r="B624" s="3">
        <f t="shared" si="16"/>
        <v>2004</v>
      </c>
      <c r="C624" s="3">
        <f t="shared" si="17"/>
        <v>12</v>
      </c>
      <c r="D624" s="20" t="str">
        <f t="shared" si="18"/>
        <v>ADP200412</v>
      </c>
      <c r="E624" s="2">
        <v>38329</v>
      </c>
      <c r="F624" s="3">
        <v>0.155</v>
      </c>
      <c r="G624" s="2">
        <v>38353</v>
      </c>
      <c r="H624" s="3">
        <v>1.2699999999999999E-2</v>
      </c>
      <c r="I624" s="3">
        <v>0.10714285699999999</v>
      </c>
      <c r="J624" s="3">
        <v>1.4999999999999999E-2</v>
      </c>
      <c r="K624" s="3">
        <f t="shared" si="19"/>
        <v>2004</v>
      </c>
      <c r="L624" s="3">
        <f t="shared" si="20"/>
        <v>0</v>
      </c>
      <c r="M624" s="20" t="str">
        <f>A624&amp;L624</f>
        <v>ADP0</v>
      </c>
      <c r="N624" s="3">
        <f>F624</f>
        <v>0.155</v>
      </c>
      <c r="O624" s="9">
        <f>H624</f>
        <v>1.2699999999999999E-2</v>
      </c>
      <c r="P624" s="10">
        <f t="shared" si="21"/>
        <v>1.26E-2</v>
      </c>
      <c r="Q624" s="10">
        <f>IF(K624=0,IF(A621=A624,AVERAGE(O621:O624),"x"),0)</f>
        <v>0</v>
      </c>
      <c r="R624" s="9">
        <f>IF(L624&gt;2005,AVERAGE(O621:O640),0)</f>
        <v>0</v>
      </c>
      <c r="S624" s="10">
        <f>IF(A624=A625,(N624-N625)/N625,0)</f>
        <v>0.10714285714285703</v>
      </c>
      <c r="T624" s="10">
        <f>IF(L624&gt;2005,(((N624-N644)/N644)+1)^(1/5)-1,0)</f>
        <v>0</v>
      </c>
      <c r="U624" s="10">
        <f t="shared" si="22"/>
        <v>0</v>
      </c>
      <c r="V624" s="26">
        <f t="shared" si="23"/>
        <v>0</v>
      </c>
      <c r="W624" s="3">
        <f>IF(A624=A625,N624-N625,0)</f>
        <v>1.4999999999999986E-2</v>
      </c>
      <c r="X624" s="10">
        <f>IF(A624=A625,(N624-N625)/N625,0)</f>
        <v>0.10714285714285703</v>
      </c>
    </row>
    <row r="625" spans="1:24" ht="16.5" customHeight="1">
      <c r="A625" s="3" t="s">
        <v>30</v>
      </c>
      <c r="B625" s="3">
        <f t="shared" si="16"/>
        <v>2004</v>
      </c>
      <c r="C625" s="3">
        <f t="shared" si="17"/>
        <v>9</v>
      </c>
      <c r="D625" s="20" t="str">
        <f t="shared" si="18"/>
        <v>ADP20049</v>
      </c>
      <c r="E625" s="2">
        <v>38238</v>
      </c>
      <c r="F625" s="3">
        <v>0.14000000000000001</v>
      </c>
      <c r="G625" s="2">
        <v>38261</v>
      </c>
      <c r="H625" s="3">
        <v>1.3599999999999999E-2</v>
      </c>
      <c r="I625" s="3">
        <v>0</v>
      </c>
      <c r="J625" s="3">
        <v>0</v>
      </c>
      <c r="K625" s="3">
        <f t="shared" si="19"/>
        <v>2004</v>
      </c>
      <c r="L625" s="3">
        <f t="shared" si="20"/>
        <v>0</v>
      </c>
      <c r="M625" s="20" t="str">
        <f>A625&amp;L625</f>
        <v>ADP0</v>
      </c>
      <c r="N625" s="3">
        <f>F625</f>
        <v>0.14000000000000001</v>
      </c>
      <c r="O625" s="9">
        <f>H625</f>
        <v>1.3599999999999999E-2</v>
      </c>
      <c r="P625" s="10">
        <f t="shared" si="21"/>
        <v>0</v>
      </c>
      <c r="Q625" s="10">
        <f>IF(K625=0,IF(A622=A625,AVERAGE(O622:O625),"x"),0)</f>
        <v>0</v>
      </c>
      <c r="R625" s="9">
        <f>IF(L625&gt;2005,AVERAGE(O622:O641),0)</f>
        <v>0</v>
      </c>
      <c r="S625" s="10">
        <f>IF(A625=A626,(N625-N626)/N626,0)</f>
        <v>0</v>
      </c>
      <c r="T625" s="10">
        <f>IF(L625&gt;2005,(((N625-N645)/N645)+1)^(1/5)-1,0)</f>
        <v>0</v>
      </c>
      <c r="U625" s="10">
        <f t="shared" si="22"/>
        <v>0</v>
      </c>
      <c r="V625" s="26">
        <f t="shared" si="23"/>
        <v>0</v>
      </c>
      <c r="W625" s="3">
        <f>IF(A625=A626,N625-N626,0)</f>
        <v>0</v>
      </c>
      <c r="X625" s="10">
        <f>IF(A625=A626,(N625-N626)/N626,0)</f>
        <v>0</v>
      </c>
    </row>
    <row r="626" spans="1:24" ht="16.5" customHeight="1">
      <c r="A626" s="3" t="s">
        <v>30</v>
      </c>
      <c r="B626" s="3">
        <f t="shared" si="16"/>
        <v>2004</v>
      </c>
      <c r="C626" s="3">
        <f t="shared" si="17"/>
        <v>6</v>
      </c>
      <c r="D626" s="20" t="str">
        <f t="shared" si="18"/>
        <v>ADP20046</v>
      </c>
      <c r="E626" s="2">
        <v>38147</v>
      </c>
      <c r="F626" s="3">
        <v>0.14000000000000001</v>
      </c>
      <c r="G626" s="2">
        <v>38169</v>
      </c>
      <c r="H626" s="3">
        <v>1.2E-2</v>
      </c>
      <c r="I626" s="3">
        <v>0</v>
      </c>
      <c r="J626" s="3">
        <v>0</v>
      </c>
      <c r="K626" s="3">
        <f t="shared" si="19"/>
        <v>2004</v>
      </c>
      <c r="L626" s="3">
        <f t="shared" si="20"/>
        <v>0</v>
      </c>
      <c r="M626" s="20" t="str">
        <f>A626&amp;L626</f>
        <v>ADP0</v>
      </c>
      <c r="N626" s="3">
        <f>F626</f>
        <v>0.14000000000000001</v>
      </c>
      <c r="O626" s="9">
        <f>H626</f>
        <v>1.2E-2</v>
      </c>
      <c r="P626" s="10">
        <f t="shared" si="21"/>
        <v>0</v>
      </c>
      <c r="Q626" s="10">
        <f>IF(K626=0,IF(A623=A626,AVERAGE(O623:O626),"x"),0)</f>
        <v>0</v>
      </c>
      <c r="R626" s="9">
        <f>IF(L626&gt;2005,AVERAGE(O623:O642),0)</f>
        <v>0</v>
      </c>
      <c r="S626" s="10">
        <f>IF(A626=A627,(N626-N627)/N627,0)</f>
        <v>0</v>
      </c>
      <c r="T626" s="10">
        <f>IF(L626&gt;2005,(((N626-N646)/N646)+1)^(1/5)-1,0)</f>
        <v>0</v>
      </c>
      <c r="U626" s="10">
        <f t="shared" si="22"/>
        <v>0</v>
      </c>
      <c r="V626" s="26">
        <f t="shared" si="23"/>
        <v>0</v>
      </c>
      <c r="W626" s="3">
        <f>IF(A626=A627,N626-N627,0)</f>
        <v>0</v>
      </c>
      <c r="X626" s="10">
        <f>IF(A626=A627,(N626-N627)/N627,0)</f>
        <v>0</v>
      </c>
    </row>
    <row r="627" spans="1:24" ht="16.5" customHeight="1">
      <c r="A627" s="3" t="s">
        <v>30</v>
      </c>
      <c r="B627" s="3">
        <f t="shared" si="16"/>
        <v>2004</v>
      </c>
      <c r="C627" s="3">
        <f t="shared" si="17"/>
        <v>3</v>
      </c>
      <c r="D627" s="20" t="str">
        <f t="shared" si="18"/>
        <v>ADP20043</v>
      </c>
      <c r="E627" s="2">
        <v>38057</v>
      </c>
      <c r="F627" s="3">
        <v>0.14000000000000001</v>
      </c>
      <c r="G627" s="2">
        <v>38078</v>
      </c>
      <c r="H627" s="3">
        <v>1.21E-2</v>
      </c>
      <c r="I627" s="3">
        <v>0</v>
      </c>
      <c r="J627" s="3">
        <v>0</v>
      </c>
      <c r="K627" s="3">
        <f t="shared" si="19"/>
        <v>0</v>
      </c>
      <c r="L627" s="3">
        <f t="shared" si="20"/>
        <v>2004</v>
      </c>
      <c r="M627" s="20" t="str">
        <f>A627&amp;L627</f>
        <v>ADP2004</v>
      </c>
      <c r="N627" s="3">
        <f>F627</f>
        <v>0.14000000000000001</v>
      </c>
      <c r="O627" s="9">
        <f>H627</f>
        <v>1.21E-2</v>
      </c>
      <c r="P627" s="10">
        <f t="shared" si="21"/>
        <v>0</v>
      </c>
      <c r="Q627" s="10">
        <f>IF(K627=0,IF(A624=A627,AVERAGE(O624:O627),"x"),0)</f>
        <v>1.26E-2</v>
      </c>
      <c r="R627" s="9">
        <f>IF(L627&gt;2005,AVERAGE(O624:O643),0)</f>
        <v>0</v>
      </c>
      <c r="S627" s="10">
        <f>IF(A627=A628,(N627-N628)/N628,0)</f>
        <v>0</v>
      </c>
      <c r="T627" s="10">
        <f>IF(L627&gt;2005,(((N627-N647)/N647)+1)^(1/5)-1,0)</f>
        <v>0</v>
      </c>
      <c r="U627" s="10">
        <f t="shared" si="22"/>
        <v>0</v>
      </c>
      <c r="V627" s="26">
        <f t="shared" si="23"/>
        <v>0</v>
      </c>
      <c r="W627" s="3">
        <f>IF(A627=A628,N627-N628,0)</f>
        <v>0</v>
      </c>
      <c r="X627" s="10">
        <f>IF(A627=A628,(N627-N628)/N628,0)</f>
        <v>0</v>
      </c>
    </row>
    <row r="628" spans="1:24" ht="16.5" customHeight="1">
      <c r="A628" s="3" t="s">
        <v>30</v>
      </c>
      <c r="B628" s="3">
        <f t="shared" si="16"/>
        <v>2003</v>
      </c>
      <c r="C628" s="3">
        <f t="shared" si="17"/>
        <v>12</v>
      </c>
      <c r="D628" s="20" t="str">
        <f t="shared" si="18"/>
        <v>ADP200312</v>
      </c>
      <c r="E628" s="2">
        <v>37965</v>
      </c>
      <c r="F628" s="3">
        <v>0.14000000000000001</v>
      </c>
      <c r="G628" s="2">
        <v>37987</v>
      </c>
      <c r="H628" s="3">
        <v>1.2999999999999999E-2</v>
      </c>
      <c r="I628" s="3">
        <v>0.16666666699999999</v>
      </c>
      <c r="J628" s="3">
        <v>0.02</v>
      </c>
      <c r="K628" s="3">
        <f t="shared" si="19"/>
        <v>2003</v>
      </c>
      <c r="L628" s="3">
        <f t="shared" si="20"/>
        <v>0</v>
      </c>
      <c r="M628" s="20" t="str">
        <f>A628&amp;L628</f>
        <v>ADP0</v>
      </c>
      <c r="N628" s="3">
        <f>F628</f>
        <v>0.14000000000000001</v>
      </c>
      <c r="O628" s="9">
        <f>H628</f>
        <v>1.2999999999999999E-2</v>
      </c>
      <c r="P628" s="10">
        <f t="shared" si="21"/>
        <v>1.3575E-2</v>
      </c>
      <c r="Q628" s="10">
        <f>IF(K628=0,IF(A625=A628,AVERAGE(O625:O628),"x"),0)</f>
        <v>0</v>
      </c>
      <c r="R628" s="9">
        <f>IF(L628&gt;2005,AVERAGE(O625:O644),0)</f>
        <v>0</v>
      </c>
      <c r="S628" s="10">
        <f>IF(A628=A629,(N628-N629)/N629,0)</f>
        <v>0.16666666666666682</v>
      </c>
      <c r="T628" s="10">
        <f>IF(L628&gt;2005,(((N628-N648)/N648)+1)^(1/5)-1,0)</f>
        <v>0</v>
      </c>
      <c r="U628" s="10">
        <f t="shared" si="22"/>
        <v>0</v>
      </c>
      <c r="V628" s="26">
        <f t="shared" si="23"/>
        <v>0</v>
      </c>
      <c r="W628" s="3">
        <f>IF(A628=A629,N628-N629,0)</f>
        <v>2.0000000000000018E-2</v>
      </c>
      <c r="X628" s="10">
        <f>IF(A628=A629,(N628-N629)/N629,0)</f>
        <v>0.16666666666666682</v>
      </c>
    </row>
    <row r="629" spans="1:24" ht="16.5" customHeight="1">
      <c r="A629" s="3" t="s">
        <v>30</v>
      </c>
      <c r="B629" s="3">
        <f t="shared" si="16"/>
        <v>2003</v>
      </c>
      <c r="C629" s="3">
        <f t="shared" si="17"/>
        <v>9</v>
      </c>
      <c r="D629" s="20" t="str">
        <f t="shared" si="18"/>
        <v>ADP20039</v>
      </c>
      <c r="E629" s="2">
        <v>37874</v>
      </c>
      <c r="F629" s="3">
        <v>0.12</v>
      </c>
      <c r="G629" s="2">
        <v>37895</v>
      </c>
      <c r="H629" s="3">
        <v>1.2200000000000001E-2</v>
      </c>
      <c r="I629" s="3">
        <v>0</v>
      </c>
      <c r="J629" s="3">
        <v>0</v>
      </c>
      <c r="K629" s="3">
        <f t="shared" si="19"/>
        <v>2003</v>
      </c>
      <c r="L629" s="3">
        <f t="shared" si="20"/>
        <v>0</v>
      </c>
      <c r="M629" s="20" t="str">
        <f>A629&amp;L629</f>
        <v>ADP0</v>
      </c>
      <c r="N629" s="3">
        <f>F629</f>
        <v>0.12</v>
      </c>
      <c r="O629" s="9">
        <f>H629</f>
        <v>1.2200000000000001E-2</v>
      </c>
      <c r="P629" s="10">
        <f t="shared" si="21"/>
        <v>0</v>
      </c>
      <c r="Q629" s="10">
        <f>IF(K629=0,IF(A626=A629,AVERAGE(O626:O629),"x"),0)</f>
        <v>0</v>
      </c>
      <c r="R629" s="9">
        <f>IF(L629&gt;2005,AVERAGE(O626:O645),0)</f>
        <v>0</v>
      </c>
      <c r="S629" s="10">
        <f>IF(A629=A630,(N629-N630)/N630,0)</f>
        <v>0</v>
      </c>
      <c r="T629" s="10">
        <f>IF(L629&gt;2005,(((N629-N649)/N649)+1)^(1/5)-1,0)</f>
        <v>0</v>
      </c>
      <c r="U629" s="10">
        <f t="shared" si="22"/>
        <v>0</v>
      </c>
      <c r="V629" s="26">
        <f t="shared" si="23"/>
        <v>0</v>
      </c>
      <c r="W629" s="3">
        <f>IF(A629=A630,N629-N630,0)</f>
        <v>0</v>
      </c>
      <c r="X629" s="10">
        <f>IF(A629=A630,(N629-N630)/N630,0)</f>
        <v>0</v>
      </c>
    </row>
    <row r="630" spans="1:24" ht="16.5" customHeight="1">
      <c r="A630" s="3" t="s">
        <v>30</v>
      </c>
      <c r="B630" s="3">
        <f t="shared" si="16"/>
        <v>2003</v>
      </c>
      <c r="C630" s="3">
        <f t="shared" si="17"/>
        <v>6</v>
      </c>
      <c r="D630" s="20" t="str">
        <f t="shared" si="18"/>
        <v>ADP20036</v>
      </c>
      <c r="E630" s="2">
        <v>37783</v>
      </c>
      <c r="F630" s="3">
        <v>0.12</v>
      </c>
      <c r="G630" s="2">
        <v>37803</v>
      </c>
      <c r="H630" s="3">
        <v>1.3599999999999999E-2</v>
      </c>
      <c r="I630" s="3">
        <v>0</v>
      </c>
      <c r="J630" s="3">
        <v>0</v>
      </c>
      <c r="K630" s="3">
        <f t="shared" si="19"/>
        <v>2003</v>
      </c>
      <c r="L630" s="3">
        <f t="shared" si="20"/>
        <v>0</v>
      </c>
      <c r="M630" s="20" t="str">
        <f>A630&amp;L630</f>
        <v>ADP0</v>
      </c>
      <c r="N630" s="3">
        <f>F630</f>
        <v>0.12</v>
      </c>
      <c r="O630" s="9">
        <f>H630</f>
        <v>1.3599999999999999E-2</v>
      </c>
      <c r="P630" s="10">
        <f t="shared" si="21"/>
        <v>0</v>
      </c>
      <c r="Q630" s="10">
        <f>IF(K630=0,IF(A627=A630,AVERAGE(O627:O630),"x"),0)</f>
        <v>0</v>
      </c>
      <c r="R630" s="9">
        <f>IF(L630&gt;2005,AVERAGE(O627:O646),0)</f>
        <v>0</v>
      </c>
      <c r="S630" s="10">
        <f>IF(A630=A631,(N630-N631)/N631,0)</f>
        <v>0</v>
      </c>
      <c r="T630" s="10">
        <f>IF(L630&gt;2005,(((N630-N650)/N650)+1)^(1/5)-1,0)</f>
        <v>0</v>
      </c>
      <c r="U630" s="10">
        <f t="shared" si="22"/>
        <v>0</v>
      </c>
      <c r="V630" s="26">
        <f t="shared" si="23"/>
        <v>0</v>
      </c>
      <c r="W630" s="3">
        <f>IF(A630=A631,N630-N631,0)</f>
        <v>0</v>
      </c>
      <c r="X630" s="10">
        <f>IF(A630=A631,(N630-N631)/N631,0)</f>
        <v>0</v>
      </c>
    </row>
    <row r="631" spans="1:24" ht="16.5" customHeight="1">
      <c r="A631" s="3" t="s">
        <v>30</v>
      </c>
      <c r="B631" s="3">
        <f t="shared" si="16"/>
        <v>2003</v>
      </c>
      <c r="C631" s="3">
        <f t="shared" si="17"/>
        <v>3</v>
      </c>
      <c r="D631" s="20" t="str">
        <f t="shared" si="18"/>
        <v>ADP20033</v>
      </c>
      <c r="E631" s="2">
        <v>37692</v>
      </c>
      <c r="F631" s="3">
        <v>0.12</v>
      </c>
      <c r="G631" s="2">
        <v>37712</v>
      </c>
      <c r="H631" s="3">
        <v>1.55E-2</v>
      </c>
      <c r="I631" s="3">
        <v>0</v>
      </c>
      <c r="J631" s="3">
        <v>0</v>
      </c>
      <c r="K631" s="3">
        <f t="shared" si="19"/>
        <v>0</v>
      </c>
      <c r="L631" s="3">
        <f t="shared" si="20"/>
        <v>2003</v>
      </c>
      <c r="M631" s="20" t="str">
        <f>A631&amp;L631</f>
        <v>ADP2003</v>
      </c>
      <c r="N631" s="3">
        <f>F631</f>
        <v>0.12</v>
      </c>
      <c r="O631" s="9">
        <f>H631</f>
        <v>1.55E-2</v>
      </c>
      <c r="P631" s="10">
        <f t="shared" si="21"/>
        <v>0</v>
      </c>
      <c r="Q631" s="10">
        <f>IF(K631=0,IF(A628=A631,AVERAGE(O628:O631),"x"),0)</f>
        <v>1.3575E-2</v>
      </c>
      <c r="R631" s="9">
        <f>IF(L631&gt;2005,AVERAGE(O628:O647),0)</f>
        <v>0</v>
      </c>
      <c r="S631" s="10">
        <f>IF(A631=A632,(N631-N632)/N632,0)</f>
        <v>0</v>
      </c>
      <c r="T631" s="10">
        <f>IF(L631&gt;2005,(((N631-N651)/N651)+1)^(1/5)-1,0)</f>
        <v>0</v>
      </c>
      <c r="U631" s="10">
        <f t="shared" si="22"/>
        <v>0</v>
      </c>
      <c r="V631" s="26">
        <f t="shared" si="23"/>
        <v>0</v>
      </c>
      <c r="W631" s="3">
        <f>IF(A631=A632,N631-N632,0)</f>
        <v>0</v>
      </c>
      <c r="X631" s="10">
        <f>IF(A631=A632,(N631-N632)/N632,0)</f>
        <v>0</v>
      </c>
    </row>
    <row r="632" spans="1:24" ht="16.5" customHeight="1">
      <c r="A632" s="3" t="s">
        <v>30</v>
      </c>
      <c r="B632" s="3">
        <f t="shared" si="16"/>
        <v>2002</v>
      </c>
      <c r="C632" s="3">
        <f t="shared" si="17"/>
        <v>12</v>
      </c>
      <c r="D632" s="20" t="str">
        <f t="shared" si="18"/>
        <v>ADP200212</v>
      </c>
      <c r="E632" s="2">
        <v>37601</v>
      </c>
      <c r="F632" s="3">
        <v>0.12</v>
      </c>
      <c r="G632" s="2">
        <v>37622</v>
      </c>
      <c r="H632" s="3">
        <v>1.12E-2</v>
      </c>
      <c r="I632" s="3">
        <v>4.3478260999999997E-2</v>
      </c>
      <c r="J632" s="3">
        <v>5.0000000000000001E-3</v>
      </c>
      <c r="K632" s="3">
        <f t="shared" si="19"/>
        <v>2002</v>
      </c>
      <c r="L632" s="3">
        <f t="shared" si="20"/>
        <v>0</v>
      </c>
      <c r="M632" s="20" t="str">
        <f>A632&amp;L632</f>
        <v>ADP0</v>
      </c>
      <c r="N632" s="3">
        <f>F632</f>
        <v>0.12</v>
      </c>
      <c r="O632" s="9">
        <f>H632</f>
        <v>1.12E-2</v>
      </c>
      <c r="P632" s="10">
        <f t="shared" si="21"/>
        <v>9.8750000000000001E-3</v>
      </c>
      <c r="Q632" s="10">
        <f>IF(K632=0,IF(A629=A632,AVERAGE(O629:O632),"x"),0)</f>
        <v>0</v>
      </c>
      <c r="R632" s="9">
        <f>IF(L632&gt;2005,AVERAGE(O629:O648),0)</f>
        <v>0</v>
      </c>
      <c r="S632" s="10">
        <f>IF(A632=A633,(N632-N633)/N633,0)</f>
        <v>4.3478260869565133E-2</v>
      </c>
      <c r="T632" s="10">
        <f>IF(L632&gt;2005,(((N632-N652)/N652)+1)^(1/5)-1,0)</f>
        <v>0</v>
      </c>
      <c r="U632" s="10">
        <f t="shared" si="22"/>
        <v>0</v>
      </c>
      <c r="V632" s="26">
        <f t="shared" si="23"/>
        <v>0</v>
      </c>
      <c r="W632" s="3">
        <f>IF(A632=A633,N632-N633,0)</f>
        <v>4.9999999999999906E-3</v>
      </c>
      <c r="X632" s="10">
        <f>IF(A632=A633,(N632-N633)/N633,0)</f>
        <v>4.3478260869565133E-2</v>
      </c>
    </row>
    <row r="633" spans="1:24" ht="16.5" customHeight="1">
      <c r="A633" s="3" t="s">
        <v>30</v>
      </c>
      <c r="B633" s="3">
        <f t="shared" si="16"/>
        <v>2002</v>
      </c>
      <c r="C633" s="3">
        <f t="shared" si="17"/>
        <v>9</v>
      </c>
      <c r="D633" s="20" t="str">
        <f t="shared" si="18"/>
        <v>ADP20029</v>
      </c>
      <c r="E633" s="2">
        <v>37510</v>
      </c>
      <c r="F633" s="3">
        <v>0.115</v>
      </c>
      <c r="G633" s="2">
        <v>37530</v>
      </c>
      <c r="H633" s="3">
        <v>1.2E-2</v>
      </c>
      <c r="I633" s="3">
        <v>0</v>
      </c>
      <c r="J633" s="3">
        <v>0</v>
      </c>
      <c r="K633" s="3">
        <f t="shared" si="19"/>
        <v>2002</v>
      </c>
      <c r="L633" s="3">
        <f t="shared" si="20"/>
        <v>0</v>
      </c>
      <c r="M633" s="20" t="str">
        <f>A633&amp;L633</f>
        <v>ADP0</v>
      </c>
      <c r="N633" s="3">
        <f>F633</f>
        <v>0.115</v>
      </c>
      <c r="O633" s="9">
        <f>H633</f>
        <v>1.2E-2</v>
      </c>
      <c r="P633" s="10">
        <f t="shared" si="21"/>
        <v>0</v>
      </c>
      <c r="Q633" s="10">
        <f>IF(K633=0,IF(A630=A633,AVERAGE(O630:O633),"x"),0)</f>
        <v>0</v>
      </c>
      <c r="R633" s="9">
        <f>IF(L633&gt;2005,AVERAGE(O630:O649),0)</f>
        <v>0</v>
      </c>
      <c r="S633" s="10">
        <f>IF(A633=A634,(N633-N634)/N634,0)</f>
        <v>0</v>
      </c>
      <c r="T633" s="10">
        <f>IF(L633&gt;2005,(((N633-N653)/N653)+1)^(1/5)-1,0)</f>
        <v>0</v>
      </c>
      <c r="U633" s="10">
        <f t="shared" si="22"/>
        <v>0</v>
      </c>
      <c r="V633" s="26">
        <f t="shared" si="23"/>
        <v>0</v>
      </c>
      <c r="W633" s="3">
        <f>IF(A633=A634,N633-N634,0)</f>
        <v>0</v>
      </c>
      <c r="X633" s="10">
        <f>IF(A633=A634,(N633-N634)/N634,0)</f>
        <v>0</v>
      </c>
    </row>
    <row r="634" spans="1:24" ht="16.5" customHeight="1">
      <c r="A634" s="3" t="s">
        <v>30</v>
      </c>
      <c r="B634" s="3">
        <f t="shared" si="16"/>
        <v>2002</v>
      </c>
      <c r="C634" s="3">
        <f t="shared" si="17"/>
        <v>6</v>
      </c>
      <c r="D634" s="20" t="str">
        <f t="shared" si="18"/>
        <v>ADP20026</v>
      </c>
      <c r="E634" s="2">
        <v>37419</v>
      </c>
      <c r="F634" s="3">
        <v>0.115</v>
      </c>
      <c r="G634" s="2">
        <v>37438</v>
      </c>
      <c r="H634" s="3">
        <v>8.8000000000000005E-3</v>
      </c>
      <c r="I634" s="3">
        <v>0</v>
      </c>
      <c r="J634" s="3">
        <v>0</v>
      </c>
      <c r="K634" s="3">
        <f t="shared" si="19"/>
        <v>2002</v>
      </c>
      <c r="L634" s="3">
        <f t="shared" si="20"/>
        <v>0</v>
      </c>
      <c r="M634" s="20" t="str">
        <f>A634&amp;L634</f>
        <v>ADP0</v>
      </c>
      <c r="N634" s="3">
        <f>F634</f>
        <v>0.115</v>
      </c>
      <c r="O634" s="9">
        <f>H634</f>
        <v>8.8000000000000005E-3</v>
      </c>
      <c r="P634" s="10">
        <f t="shared" si="21"/>
        <v>0</v>
      </c>
      <c r="Q634" s="10">
        <f>IF(K634=0,IF(A631=A634,AVERAGE(O631:O634),"x"),0)</f>
        <v>0</v>
      </c>
      <c r="R634" s="9">
        <f>IF(L634&gt;2005,AVERAGE(O631:O650),0)</f>
        <v>0</v>
      </c>
      <c r="S634" s="10">
        <f>IF(A634=A635,(N634-N635)/N635,0)</f>
        <v>0</v>
      </c>
      <c r="T634" s="10">
        <f>IF(L634&gt;2005,(((N634-N654)/N654)+1)^(1/5)-1,0)</f>
        <v>0</v>
      </c>
      <c r="U634" s="10">
        <f t="shared" si="22"/>
        <v>0</v>
      </c>
      <c r="V634" s="26">
        <f t="shared" si="23"/>
        <v>0</v>
      </c>
      <c r="W634" s="3">
        <f>IF(A634=A635,N634-N635,0)</f>
        <v>0</v>
      </c>
      <c r="X634" s="10">
        <f>IF(A634=A635,(N634-N635)/N635,0)</f>
        <v>0</v>
      </c>
    </row>
    <row r="635" spans="1:24" ht="16.5" customHeight="1">
      <c r="A635" s="3" t="s">
        <v>30</v>
      </c>
      <c r="B635" s="3">
        <f t="shared" si="16"/>
        <v>2002</v>
      </c>
      <c r="C635" s="3">
        <f t="shared" si="17"/>
        <v>3</v>
      </c>
      <c r="D635" s="20" t="str">
        <f t="shared" si="18"/>
        <v>ADP20023</v>
      </c>
      <c r="E635" s="2">
        <v>37328</v>
      </c>
      <c r="F635" s="3">
        <v>0.115</v>
      </c>
      <c r="G635" s="2">
        <v>37347</v>
      </c>
      <c r="H635" s="3">
        <v>7.4999999999999997E-3</v>
      </c>
      <c r="I635" s="3">
        <v>0</v>
      </c>
      <c r="J635" s="3">
        <v>0</v>
      </c>
      <c r="K635" s="3">
        <f t="shared" si="19"/>
        <v>0</v>
      </c>
      <c r="L635" s="3">
        <f t="shared" si="20"/>
        <v>2002</v>
      </c>
      <c r="M635" s="20" t="str">
        <f>A635&amp;L635</f>
        <v>ADP2002</v>
      </c>
      <c r="N635" s="3">
        <f>F635</f>
        <v>0.115</v>
      </c>
      <c r="O635" s="9">
        <f>H635</f>
        <v>7.4999999999999997E-3</v>
      </c>
      <c r="P635" s="10">
        <f t="shared" si="21"/>
        <v>0</v>
      </c>
      <c r="Q635" s="10">
        <f>IF(K635=0,IF(A632=A635,AVERAGE(O632:O635),"x"),0)</f>
        <v>9.8750000000000001E-3</v>
      </c>
      <c r="R635" s="9">
        <f>IF(L635&gt;2005,AVERAGE(O632:O651),0)</f>
        <v>0</v>
      </c>
      <c r="S635" s="10">
        <f>IF(A635=A636,(N635-N636)/N636,0)</f>
        <v>0</v>
      </c>
      <c r="T635" s="10">
        <f>IF(L635&gt;2005,(((N635-N655)/N655)+1)^(1/5)-1,0)</f>
        <v>0</v>
      </c>
      <c r="U635" s="10">
        <f t="shared" si="22"/>
        <v>0</v>
      </c>
      <c r="V635" s="26">
        <f t="shared" si="23"/>
        <v>0</v>
      </c>
      <c r="W635" s="3">
        <f>IF(A635=A636,N635-N636,0)</f>
        <v>0</v>
      </c>
      <c r="X635" s="10">
        <f>IF(A635=A636,(N635-N636)/N636,0)</f>
        <v>0</v>
      </c>
    </row>
    <row r="636" spans="1:24" ht="16.5" customHeight="1">
      <c r="A636" s="3" t="s">
        <v>30</v>
      </c>
      <c r="B636" s="3">
        <f t="shared" si="16"/>
        <v>2001</v>
      </c>
      <c r="C636" s="3">
        <f t="shared" si="17"/>
        <v>12</v>
      </c>
      <c r="D636" s="20" t="str">
        <f t="shared" si="18"/>
        <v>ADP200112</v>
      </c>
      <c r="E636" s="2">
        <v>37237</v>
      </c>
      <c r="F636" s="3">
        <v>0.115</v>
      </c>
      <c r="G636" s="2">
        <v>37257</v>
      </c>
      <c r="H636" s="3">
        <v>7.1999999999999998E-3</v>
      </c>
      <c r="I636" s="3">
        <v>0.12195122</v>
      </c>
      <c r="J636" s="3">
        <v>1.2500000000000001E-2</v>
      </c>
      <c r="K636" s="3">
        <f t="shared" si="19"/>
        <v>2001</v>
      </c>
      <c r="L636" s="3">
        <f t="shared" si="20"/>
        <v>0</v>
      </c>
      <c r="M636" s="20" t="str">
        <f>A636&amp;L636</f>
        <v>ADP0</v>
      </c>
      <c r="N636" s="3">
        <f>F636</f>
        <v>0.115</v>
      </c>
      <c r="O636" s="9">
        <f>H636</f>
        <v>7.1999999999999998E-3</v>
      </c>
      <c r="P636" s="10">
        <f t="shared" si="21"/>
        <v>7.1500000000000001E-3</v>
      </c>
      <c r="Q636" s="10">
        <f>IF(K636=0,IF(A633=A636,AVERAGE(O633:O636),"x"),0)</f>
        <v>0</v>
      </c>
      <c r="R636" s="9">
        <f>IF(L636&gt;2005,AVERAGE(O633:O652),0)</f>
        <v>0</v>
      </c>
      <c r="S636" s="10">
        <f>IF(A636=A637,(N636-N637)/N637,0)</f>
        <v>0.12195121951219524</v>
      </c>
      <c r="T636" s="10">
        <f>IF(L636&gt;2005,(((N636-N656)/N656)+1)^(1/5)-1,0)</f>
        <v>0</v>
      </c>
      <c r="U636" s="10">
        <f t="shared" si="22"/>
        <v>0</v>
      </c>
      <c r="V636" s="26">
        <f t="shared" si="23"/>
        <v>0</v>
      </c>
      <c r="W636" s="3">
        <f>IF(A636=A637,N636-N637,0)</f>
        <v>1.2500000000000011E-2</v>
      </c>
      <c r="X636" s="10">
        <f>IF(A636=A637,(N636-N637)/N637,0)</f>
        <v>0.12195121951219524</v>
      </c>
    </row>
    <row r="637" spans="1:24" ht="16.5" customHeight="1">
      <c r="A637" s="3" t="s">
        <v>30</v>
      </c>
      <c r="B637" s="3">
        <f t="shared" si="16"/>
        <v>2001</v>
      </c>
      <c r="C637" s="3">
        <f t="shared" si="17"/>
        <v>9</v>
      </c>
      <c r="D637" s="20" t="str">
        <f t="shared" si="18"/>
        <v>ADP20019</v>
      </c>
      <c r="E637" s="2">
        <v>37146</v>
      </c>
      <c r="F637" s="3">
        <v>0.10249999999999999</v>
      </c>
      <c r="G637" s="2">
        <v>37165</v>
      </c>
      <c r="H637" s="3">
        <v>8.0000000000000002E-3</v>
      </c>
      <c r="I637" s="3">
        <v>0</v>
      </c>
      <c r="J637" s="3">
        <v>0</v>
      </c>
      <c r="K637" s="3">
        <f t="shared" si="19"/>
        <v>2001</v>
      </c>
      <c r="L637" s="3">
        <f t="shared" si="20"/>
        <v>0</v>
      </c>
      <c r="M637" s="20" t="str">
        <f>A637&amp;L637</f>
        <v>ADP0</v>
      </c>
      <c r="N637" s="3">
        <f>F637</f>
        <v>0.10249999999999999</v>
      </c>
      <c r="O637" s="9">
        <f>H637</f>
        <v>8.0000000000000002E-3</v>
      </c>
      <c r="P637" s="10">
        <f t="shared" si="21"/>
        <v>0</v>
      </c>
      <c r="Q637" s="10">
        <f>IF(K637=0,IF(A634=A637,AVERAGE(O634:O637),"x"),0)</f>
        <v>0</v>
      </c>
      <c r="R637" s="9">
        <f>IF(L637&gt;2005,AVERAGE(O634:O653),0)</f>
        <v>0</v>
      </c>
      <c r="S637" s="10">
        <f>IF(A637=A638,(N637-N638)/N638,0)</f>
        <v>0</v>
      </c>
      <c r="T637" s="10">
        <f>IF(L637&gt;2005,(((N637-N657)/N657)+1)^(1/5)-1,0)</f>
        <v>0</v>
      </c>
      <c r="U637" s="10">
        <f t="shared" si="22"/>
        <v>0</v>
      </c>
      <c r="V637" s="26">
        <f t="shared" si="23"/>
        <v>0</v>
      </c>
      <c r="W637" s="3">
        <f>IF(A637=A638,N637-N638,0)</f>
        <v>0</v>
      </c>
      <c r="X637" s="10">
        <f>IF(A637=A638,(N637-N638)/N638,0)</f>
        <v>0</v>
      </c>
    </row>
    <row r="638" spans="1:24" ht="16.5" customHeight="1">
      <c r="A638" s="3" t="s">
        <v>30</v>
      </c>
      <c r="B638" s="3">
        <f t="shared" si="16"/>
        <v>2001</v>
      </c>
      <c r="C638" s="3">
        <f t="shared" si="17"/>
        <v>6</v>
      </c>
      <c r="D638" s="20" t="str">
        <f t="shared" si="18"/>
        <v>ADP20016</v>
      </c>
      <c r="E638" s="2">
        <v>37048</v>
      </c>
      <c r="F638" s="3">
        <v>0.10249999999999999</v>
      </c>
      <c r="G638" s="2">
        <v>37073</v>
      </c>
      <c r="H638" s="3">
        <v>6.8999999999999999E-3</v>
      </c>
      <c r="I638" s="3">
        <v>0</v>
      </c>
      <c r="J638" s="3">
        <v>0</v>
      </c>
      <c r="K638" s="3">
        <f t="shared" si="19"/>
        <v>2001</v>
      </c>
      <c r="L638" s="3">
        <f t="shared" si="20"/>
        <v>0</v>
      </c>
      <c r="M638" s="20" t="str">
        <f>A638&amp;L638</f>
        <v>ADP0</v>
      </c>
      <c r="N638" s="3">
        <f>F638</f>
        <v>0.10249999999999999</v>
      </c>
      <c r="O638" s="9">
        <f>H638</f>
        <v>6.8999999999999999E-3</v>
      </c>
      <c r="P638" s="10">
        <f t="shared" si="21"/>
        <v>0</v>
      </c>
      <c r="Q638" s="10">
        <f>IF(K638=0,IF(A635=A638,AVERAGE(O635:O638),"x"),0)</f>
        <v>0</v>
      </c>
      <c r="R638" s="9">
        <f>IF(L638&gt;2005,AVERAGE(O635:O654),0)</f>
        <v>0</v>
      </c>
      <c r="S638" s="10">
        <f>IF(A638=A639,(N638-N639)/N639,0)</f>
        <v>0</v>
      </c>
      <c r="T638" s="10">
        <f>IF(L638&gt;2005,(((N638-N658)/N658)+1)^(1/5)-1,0)</f>
        <v>0</v>
      </c>
      <c r="U638" s="10">
        <f t="shared" si="22"/>
        <v>0</v>
      </c>
      <c r="V638" s="26">
        <f t="shared" si="23"/>
        <v>0</v>
      </c>
      <c r="W638" s="3">
        <f>IF(A638=A639,N638-N639,0)</f>
        <v>0</v>
      </c>
      <c r="X638" s="10">
        <f>IF(A638=A639,(N638-N639)/N639,0)</f>
        <v>0</v>
      </c>
    </row>
    <row r="639" spans="1:24" ht="16.5" customHeight="1">
      <c r="A639" s="3" t="s">
        <v>30</v>
      </c>
      <c r="B639" s="3">
        <f t="shared" si="16"/>
        <v>2001</v>
      </c>
      <c r="C639" s="3">
        <f t="shared" si="17"/>
        <v>3</v>
      </c>
      <c r="D639" s="20" t="str">
        <f t="shared" si="18"/>
        <v>ADP20013</v>
      </c>
      <c r="E639" s="2">
        <v>36957</v>
      </c>
      <c r="F639" s="3">
        <v>0.10249999999999999</v>
      </c>
      <c r="G639" s="2">
        <v>36982</v>
      </c>
      <c r="H639" s="3">
        <v>6.4999999999999997E-3</v>
      </c>
      <c r="I639" s="3">
        <v>0</v>
      </c>
      <c r="J639" s="3">
        <v>0</v>
      </c>
      <c r="K639" s="3">
        <f t="shared" si="19"/>
        <v>0</v>
      </c>
      <c r="L639" s="3">
        <f t="shared" si="20"/>
        <v>2001</v>
      </c>
      <c r="M639" s="20" t="str">
        <f>A639&amp;L639</f>
        <v>ADP2001</v>
      </c>
      <c r="N639" s="3">
        <f>F639</f>
        <v>0.10249999999999999</v>
      </c>
      <c r="O639" s="9">
        <f>H639</f>
        <v>6.4999999999999997E-3</v>
      </c>
      <c r="P639" s="10">
        <f t="shared" si="21"/>
        <v>0</v>
      </c>
      <c r="Q639" s="10">
        <f>IF(K639=0,IF(A636=A639,AVERAGE(O636:O639),"x"),0)</f>
        <v>7.1500000000000001E-3</v>
      </c>
      <c r="R639" s="9">
        <f>IF(L639&gt;2005,AVERAGE(O636:O655),0)</f>
        <v>0</v>
      </c>
      <c r="S639" s="10">
        <f>IF(A639=A640,(N639-N640)/N640,0)</f>
        <v>0</v>
      </c>
      <c r="T639" s="10">
        <f>IF(L639&gt;2005,(((N639-N659)/N659)+1)^(1/5)-1,0)</f>
        <v>0</v>
      </c>
      <c r="U639" s="10">
        <f t="shared" si="22"/>
        <v>0</v>
      </c>
      <c r="V639" s="26">
        <f t="shared" si="23"/>
        <v>0</v>
      </c>
      <c r="W639" s="3">
        <f>IF(A639=A640,N639-N640,0)</f>
        <v>0</v>
      </c>
      <c r="X639" s="10">
        <f>IF(A639=A640,(N639-N640)/N640,0)</f>
        <v>0</v>
      </c>
    </row>
    <row r="640" spans="1:24" ht="16.5" customHeight="1">
      <c r="A640" s="3" t="s">
        <v>30</v>
      </c>
      <c r="B640" s="3">
        <f t="shared" si="16"/>
        <v>2000</v>
      </c>
      <c r="C640" s="3">
        <f t="shared" si="17"/>
        <v>12</v>
      </c>
      <c r="D640" s="20" t="str">
        <f t="shared" si="18"/>
        <v>ADP200012</v>
      </c>
      <c r="E640" s="2">
        <v>36867</v>
      </c>
      <c r="F640" s="3">
        <v>0.10249999999999999</v>
      </c>
      <c r="G640" s="2">
        <v>36892</v>
      </c>
      <c r="H640" s="3">
        <v>5.4999999999999997E-3</v>
      </c>
      <c r="I640" s="3">
        <v>0.171428571</v>
      </c>
      <c r="J640" s="3">
        <v>1.4999999999999999E-2</v>
      </c>
      <c r="K640" s="3">
        <f t="shared" si="19"/>
        <v>2000</v>
      </c>
      <c r="L640" s="3">
        <f t="shared" si="20"/>
        <v>0</v>
      </c>
      <c r="M640" s="20" t="str">
        <f>A640&amp;L640</f>
        <v>ADP0</v>
      </c>
      <c r="N640" s="3">
        <f>F640</f>
        <v>0.10249999999999999</v>
      </c>
      <c r="O640" s="9">
        <f>H640</f>
        <v>5.4999999999999997E-3</v>
      </c>
      <c r="P640" s="10">
        <f t="shared" si="21"/>
        <v>6.1249999999999994E-3</v>
      </c>
      <c r="Q640" s="10">
        <f>IF(K640=0,IF(A637=A640,AVERAGE(O637:O640),"x"),0)</f>
        <v>0</v>
      </c>
      <c r="R640" s="9">
        <f>IF(L640&gt;2005,AVERAGE(O637:O656),0)</f>
        <v>0</v>
      </c>
      <c r="S640" s="10">
        <f>IF(A640=A641,(N640-N641)/N641,0)</f>
        <v>0.17142857142857143</v>
      </c>
      <c r="T640" s="10">
        <f>IF(L640&gt;2005,(((N640-N660)/N660)+1)^(1/5)-1,0)</f>
        <v>0</v>
      </c>
      <c r="U640" s="10">
        <f t="shared" si="22"/>
        <v>0</v>
      </c>
      <c r="V640" s="26">
        <f t="shared" si="23"/>
        <v>0</v>
      </c>
      <c r="W640" s="3">
        <f>IF(A640=A641,N640-N641,0)</f>
        <v>1.4999999999999999E-2</v>
      </c>
      <c r="X640" s="10">
        <f>IF(A640=A641,(N640-N641)/N641,0)</f>
        <v>0.17142857142857143</v>
      </c>
    </row>
    <row r="641" spans="1:24" ht="16.5" customHeight="1">
      <c r="A641" s="3" t="s">
        <v>30</v>
      </c>
      <c r="B641" s="3">
        <f t="shared" si="16"/>
        <v>2000</v>
      </c>
      <c r="C641" s="3">
        <f t="shared" si="17"/>
        <v>9</v>
      </c>
      <c r="D641" s="20" t="str">
        <f t="shared" si="18"/>
        <v>ADP20009</v>
      </c>
      <c r="E641" s="2">
        <v>36782</v>
      </c>
      <c r="F641" s="3">
        <v>8.7499999999999994E-2</v>
      </c>
      <c r="G641" s="2">
        <v>36800</v>
      </c>
      <c r="H641" s="3">
        <v>5.5999999999999999E-3</v>
      </c>
      <c r="I641" s="3">
        <v>0</v>
      </c>
      <c r="J641" s="3">
        <v>0</v>
      </c>
      <c r="K641" s="3">
        <f t="shared" si="19"/>
        <v>2000</v>
      </c>
      <c r="L641" s="3">
        <f t="shared" si="20"/>
        <v>0</v>
      </c>
      <c r="M641" s="20" t="str">
        <f>A641&amp;L641</f>
        <v>ADP0</v>
      </c>
      <c r="N641" s="3">
        <f>F641</f>
        <v>8.7499999999999994E-2</v>
      </c>
      <c r="O641" s="9">
        <f>H641</f>
        <v>5.5999999999999999E-3</v>
      </c>
      <c r="P641" s="10">
        <f t="shared" si="21"/>
        <v>0</v>
      </c>
      <c r="Q641" s="10">
        <f>IF(K641=0,IF(A638=A641,AVERAGE(O638:O641),"x"),0)</f>
        <v>0</v>
      </c>
      <c r="R641" s="9">
        <f>IF(L641&gt;2005,AVERAGE(O638:O657),0)</f>
        <v>0</v>
      </c>
      <c r="S641" s="10">
        <f>IF(A641=A642,(N641-N642)/N642,0)</f>
        <v>0</v>
      </c>
      <c r="T641" s="10">
        <f>IF(L641&gt;2005,(((N641-N661)/N661)+1)^(1/5)-1,0)</f>
        <v>0</v>
      </c>
      <c r="U641" s="10">
        <f t="shared" si="22"/>
        <v>0</v>
      </c>
      <c r="V641" s="26">
        <f t="shared" si="23"/>
        <v>0</v>
      </c>
      <c r="W641" s="3">
        <f>IF(A641=A642,N641-N642,0)</f>
        <v>0</v>
      </c>
      <c r="X641" s="10">
        <f>IF(A641=A642,(N641-N642)/N642,0)</f>
        <v>0</v>
      </c>
    </row>
    <row r="642" spans="1:24" ht="16.5" customHeight="1">
      <c r="A642" s="3" t="s">
        <v>30</v>
      </c>
      <c r="B642" s="3">
        <f t="shared" si="16"/>
        <v>2000</v>
      </c>
      <c r="C642" s="3">
        <f t="shared" si="17"/>
        <v>6</v>
      </c>
      <c r="D642" s="20" t="str">
        <f t="shared" si="18"/>
        <v>ADP20006</v>
      </c>
      <c r="E642" s="2">
        <v>36684</v>
      </c>
      <c r="F642" s="3">
        <v>8.7499999999999994E-2</v>
      </c>
      <c r="G642" s="2">
        <v>36708</v>
      </c>
      <c r="H642" s="3">
        <v>5.8999999999999999E-3</v>
      </c>
      <c r="I642" s="3">
        <v>0</v>
      </c>
      <c r="J642" s="3">
        <v>0</v>
      </c>
      <c r="K642" s="3">
        <f t="shared" si="19"/>
        <v>2000</v>
      </c>
      <c r="L642" s="3">
        <f t="shared" si="20"/>
        <v>0</v>
      </c>
      <c r="M642" s="20" t="str">
        <f>A642&amp;L642</f>
        <v>ADP0</v>
      </c>
      <c r="N642" s="3">
        <f>F642</f>
        <v>8.7499999999999994E-2</v>
      </c>
      <c r="O642" s="9">
        <f>H642</f>
        <v>5.8999999999999999E-3</v>
      </c>
      <c r="P642" s="10">
        <f t="shared" si="21"/>
        <v>0</v>
      </c>
      <c r="Q642" s="10">
        <f>IF(K642=0,IF(A639=A642,AVERAGE(O639:O642),"x"),0)</f>
        <v>0</v>
      </c>
      <c r="R642" s="9">
        <f>IF(L642&gt;2005,AVERAGE(O639:O658),0)</f>
        <v>0</v>
      </c>
      <c r="S642" s="10">
        <f>IF(A642=A643,(N642-N643)/N643,0)</f>
        <v>0</v>
      </c>
      <c r="T642" s="10">
        <f>IF(L642&gt;2005,(((N642-N662)/N662)+1)^(1/5)-1,0)</f>
        <v>0</v>
      </c>
      <c r="U642" s="10">
        <f t="shared" si="22"/>
        <v>0</v>
      </c>
      <c r="V642" s="26">
        <f t="shared" si="23"/>
        <v>0</v>
      </c>
      <c r="W642" s="3">
        <f>IF(A642=A643,N642-N643,0)</f>
        <v>0</v>
      </c>
      <c r="X642" s="10">
        <f>IF(A642=A643,(N642-N643)/N643,0)</f>
        <v>0</v>
      </c>
    </row>
    <row r="643" spans="1:24" ht="16.5" customHeight="1">
      <c r="A643" s="14" t="s">
        <v>30</v>
      </c>
      <c r="B643" s="3">
        <f t="shared" si="16"/>
        <v>2000</v>
      </c>
      <c r="C643" s="3">
        <f t="shared" si="17"/>
        <v>3</v>
      </c>
      <c r="D643" s="20" t="str">
        <f t="shared" si="18"/>
        <v>ADP20003</v>
      </c>
      <c r="E643" s="15">
        <v>36593</v>
      </c>
      <c r="F643" s="14">
        <v>8.7499999999999994E-2</v>
      </c>
      <c r="G643" s="15">
        <v>36617</v>
      </c>
      <c r="H643" s="14">
        <v>7.4999999999999997E-3</v>
      </c>
      <c r="I643" s="14">
        <v>0</v>
      </c>
      <c r="J643" s="14">
        <v>0</v>
      </c>
      <c r="K643" s="3">
        <f t="shared" si="19"/>
        <v>0</v>
      </c>
      <c r="L643" s="3">
        <f t="shared" si="20"/>
        <v>2000</v>
      </c>
      <c r="M643" s="20" t="str">
        <f>A643&amp;L643</f>
        <v>ADP2000</v>
      </c>
      <c r="N643" s="14">
        <f>F643</f>
        <v>8.7499999999999994E-2</v>
      </c>
      <c r="O643" s="9">
        <f>H643</f>
        <v>7.4999999999999997E-3</v>
      </c>
      <c r="P643" s="10">
        <f t="shared" si="21"/>
        <v>0</v>
      </c>
      <c r="Q643" s="10">
        <f>IF(K643=0,IF(A640=A643,AVERAGE(O640:O643),"x"),0)</f>
        <v>6.1249999999999994E-3</v>
      </c>
      <c r="R643" s="9">
        <f>IF(L643&gt;2005,AVERAGE(O640:O659),0)</f>
        <v>0</v>
      </c>
      <c r="S643" s="10">
        <f>IF(A643=A644,(N643-N644)/N644,0)</f>
        <v>0</v>
      </c>
      <c r="T643" s="10">
        <f>IF(L643&gt;2005,(((N643-N663)/N663)+1)^(1/5)-1,0)</f>
        <v>0</v>
      </c>
      <c r="U643" s="10">
        <f t="shared" si="22"/>
        <v>0</v>
      </c>
      <c r="V643" s="26">
        <f t="shared" si="23"/>
        <v>0</v>
      </c>
      <c r="W643" s="3">
        <f>IF(A643=A644,N643-N644,0)</f>
        <v>0</v>
      </c>
      <c r="X643" s="10">
        <f>IF(A643=A644,(N643-N644)/N644,0)</f>
        <v>0</v>
      </c>
    </row>
    <row r="644" spans="1:24" ht="16.5" customHeight="1">
      <c r="A644" s="3" t="s">
        <v>31</v>
      </c>
      <c r="B644" s="3">
        <f t="shared" si="16"/>
        <v>2022</v>
      </c>
      <c r="C644" s="3">
        <f t="shared" si="17"/>
        <v>11</v>
      </c>
      <c r="D644" s="20" t="str">
        <f t="shared" si="18"/>
        <v>PH202211</v>
      </c>
      <c r="E644" s="2">
        <v>44875</v>
      </c>
      <c r="F644" s="3">
        <v>1.33</v>
      </c>
      <c r="G644" s="2">
        <v>44897</v>
      </c>
      <c r="H644" s="3">
        <v>1.8200000000000001E-2</v>
      </c>
      <c r="I644" s="3">
        <v>0</v>
      </c>
      <c r="J644" s="3">
        <v>0</v>
      </c>
      <c r="K644" s="3">
        <f t="shared" si="19"/>
        <v>2022</v>
      </c>
      <c r="L644" s="3">
        <f t="shared" si="20"/>
        <v>0</v>
      </c>
      <c r="M644" s="20" t="str">
        <f>A644&amp;L644</f>
        <v>PH0</v>
      </c>
      <c r="N644" s="3">
        <f>F644</f>
        <v>1.33</v>
      </c>
      <c r="O644" s="9">
        <f>H644</f>
        <v>1.8200000000000001E-2</v>
      </c>
      <c r="P644" s="10">
        <f t="shared" si="21"/>
        <v>0</v>
      </c>
      <c r="Q644" s="10">
        <f>IF(K644=0,IF(A641=A644,AVERAGE(O641:O644),"x"),0)</f>
        <v>0</v>
      </c>
      <c r="R644" s="9">
        <f>IF(L644&gt;2005,AVERAGE(O641:O660),0)</f>
        <v>0</v>
      </c>
      <c r="S644" s="10">
        <f>IF(A644=A645,(N644-N645)/N645,0)</f>
        <v>0</v>
      </c>
      <c r="T644" s="10">
        <f>IF(L644&gt;2005,(((N644-N664)/N664)+1)^(1/5)-1,0)</f>
        <v>0</v>
      </c>
      <c r="U644" s="10">
        <f t="shared" si="22"/>
        <v>0</v>
      </c>
      <c r="V644" s="26">
        <f t="shared" si="23"/>
        <v>0</v>
      </c>
      <c r="W644" s="3">
        <f>IF(A644=A645,N644-N645,0)</f>
        <v>0</v>
      </c>
      <c r="X644" s="10">
        <f>IF(A644=A645,(N644-N645)/N645,0)</f>
        <v>0</v>
      </c>
    </row>
    <row r="645" spans="1:24" ht="16.5" customHeight="1">
      <c r="A645" s="3" t="s">
        <v>31</v>
      </c>
      <c r="B645" s="3">
        <f t="shared" si="16"/>
        <v>2022</v>
      </c>
      <c r="C645" s="3">
        <f t="shared" si="17"/>
        <v>8</v>
      </c>
      <c r="D645" s="20" t="str">
        <f t="shared" si="18"/>
        <v>PH20228</v>
      </c>
      <c r="E645" s="2">
        <v>44799</v>
      </c>
      <c r="F645" s="3">
        <v>1.33</v>
      </c>
      <c r="G645" s="2">
        <v>44813</v>
      </c>
      <c r="H645" s="3">
        <v>1.8200000000000001E-2</v>
      </c>
      <c r="I645" s="3">
        <v>0</v>
      </c>
      <c r="J645" s="3">
        <v>0</v>
      </c>
      <c r="K645" s="3">
        <f t="shared" si="19"/>
        <v>2022</v>
      </c>
      <c r="L645" s="3">
        <f t="shared" si="20"/>
        <v>0</v>
      </c>
      <c r="M645" s="20" t="str">
        <f>A645&amp;L645</f>
        <v>PH0</v>
      </c>
      <c r="N645" s="3">
        <f>F645</f>
        <v>1.33</v>
      </c>
      <c r="O645" s="9">
        <f>H645</f>
        <v>1.8200000000000001E-2</v>
      </c>
      <c r="P645" s="10">
        <f t="shared" si="21"/>
        <v>0</v>
      </c>
      <c r="Q645" s="10">
        <f>IF(K645=0,IF(A642=A645,AVERAGE(O642:O645),"x"),0)</f>
        <v>0</v>
      </c>
      <c r="R645" s="9">
        <f>IF(L645&gt;2005,AVERAGE(O642:O661),0)</f>
        <v>0</v>
      </c>
      <c r="S645" s="10">
        <f>IF(A645=A646,(N645-N646)/N646,0)</f>
        <v>0</v>
      </c>
      <c r="T645" s="10">
        <f>IF(L645&gt;2005,(((N645-N665)/N665)+1)^(1/5)-1,0)</f>
        <v>0</v>
      </c>
      <c r="U645" s="10">
        <f t="shared" si="22"/>
        <v>0</v>
      </c>
      <c r="V645" s="26">
        <f t="shared" si="23"/>
        <v>0</v>
      </c>
      <c r="W645" s="3">
        <f>IF(A645=A646,N645-N646,0)</f>
        <v>0</v>
      </c>
      <c r="X645" s="10">
        <f>IF(A645=A646,(N645-N646)/N646,0)</f>
        <v>0</v>
      </c>
    </row>
    <row r="646" spans="1:24" ht="16.5" customHeight="1">
      <c r="A646" s="3" t="s">
        <v>31</v>
      </c>
      <c r="B646" s="3">
        <f t="shared" si="16"/>
        <v>2022</v>
      </c>
      <c r="C646" s="3">
        <f t="shared" si="17"/>
        <v>5</v>
      </c>
      <c r="D646" s="20" t="str">
        <f t="shared" si="18"/>
        <v>PH20225</v>
      </c>
      <c r="E646" s="2">
        <v>44693</v>
      </c>
      <c r="F646" s="3">
        <v>1.33</v>
      </c>
      <c r="G646" s="2">
        <v>44715</v>
      </c>
      <c r="H646" s="3">
        <v>2.01E-2</v>
      </c>
      <c r="I646" s="3">
        <v>0.291262136</v>
      </c>
      <c r="J646" s="3">
        <v>0.3</v>
      </c>
      <c r="K646" s="3">
        <f t="shared" si="19"/>
        <v>2022</v>
      </c>
      <c r="L646" s="3">
        <f t="shared" si="20"/>
        <v>0</v>
      </c>
      <c r="M646" s="20" t="str">
        <f>A646&amp;L646</f>
        <v>PH0</v>
      </c>
      <c r="N646" s="3">
        <f>F646</f>
        <v>1.33</v>
      </c>
      <c r="O646" s="9">
        <f>H646</f>
        <v>2.01E-2</v>
      </c>
      <c r="P646" s="10">
        <f t="shared" si="21"/>
        <v>1.4825000000000001E-2</v>
      </c>
      <c r="Q646" s="10">
        <f>IF(K646=0,IF(A643=A646,AVERAGE(O643:O646),"x"),0)</f>
        <v>0</v>
      </c>
      <c r="R646" s="9">
        <f>IF(L646&gt;2005,AVERAGE(O643:O662),0)</f>
        <v>0</v>
      </c>
      <c r="S646" s="10">
        <f>IF(A646=A647,(N646-N647)/N647,0)</f>
        <v>0.29126213592233013</v>
      </c>
      <c r="T646" s="10">
        <f>IF(L646&gt;2005,(((N646-N666)/N666)+1)^(1/5)-1,0)</f>
        <v>0</v>
      </c>
      <c r="U646" s="10">
        <f t="shared" si="22"/>
        <v>0</v>
      </c>
      <c r="V646" s="26">
        <f t="shared" si="23"/>
        <v>0</v>
      </c>
      <c r="W646" s="3">
        <f>IF(A646=A647,N646-N647,0)</f>
        <v>0.30000000000000004</v>
      </c>
      <c r="X646" s="10">
        <f>IF(A646=A647,(N646-N647)/N647,0)</f>
        <v>0.29126213592233013</v>
      </c>
    </row>
    <row r="647" spans="1:24" ht="16.5" customHeight="1">
      <c r="A647" s="3" t="s">
        <v>31</v>
      </c>
      <c r="B647" s="3">
        <f t="shared" si="16"/>
        <v>2022</v>
      </c>
      <c r="C647" s="3">
        <f t="shared" si="17"/>
        <v>2</v>
      </c>
      <c r="D647" s="20" t="str">
        <f t="shared" si="18"/>
        <v>PH20222</v>
      </c>
      <c r="E647" s="2">
        <v>44602</v>
      </c>
      <c r="F647" s="3">
        <v>1.03</v>
      </c>
      <c r="G647" s="2">
        <v>44624</v>
      </c>
      <c r="H647" s="3">
        <v>1.3100000000000001E-2</v>
      </c>
      <c r="I647" s="3">
        <v>0</v>
      </c>
      <c r="J647" s="3">
        <v>0</v>
      </c>
      <c r="K647" s="3">
        <f t="shared" si="19"/>
        <v>0</v>
      </c>
      <c r="L647" s="3">
        <f t="shared" si="20"/>
        <v>2022</v>
      </c>
      <c r="M647" s="20" t="str">
        <f>A647&amp;L647</f>
        <v>PH2022</v>
      </c>
      <c r="N647" s="3">
        <f>F647</f>
        <v>1.03</v>
      </c>
      <c r="O647" s="9">
        <f>H647</f>
        <v>1.3100000000000001E-2</v>
      </c>
      <c r="P647" s="10">
        <f t="shared" si="21"/>
        <v>0</v>
      </c>
      <c r="Q647" s="10">
        <f>IF(K647=0,IF(A644=A647,AVERAGE(O644:O647),"x"),0)</f>
        <v>1.7399999999999999E-2</v>
      </c>
      <c r="R647" s="9">
        <f>IF(L647&gt;2005,AVERAGE(O644:O663),0)</f>
        <v>1.7024999999999998E-2</v>
      </c>
      <c r="S647" s="10">
        <f>IF(A647=A648,(N647-N648)/N648,0)</f>
        <v>0</v>
      </c>
      <c r="T647" s="10">
        <f>IF(L647&gt;2005,(((N647-N667)/N667)+1)^(1/5)-1,0)</f>
        <v>9.3096887864549949E-2</v>
      </c>
      <c r="U647" s="10">
        <f t="shared" si="22"/>
        <v>0.11012188786454995</v>
      </c>
      <c r="V647" s="26">
        <f t="shared" si="23"/>
        <v>4.7746078710423143</v>
      </c>
      <c r="W647" s="3">
        <f>IF(A647=A648,N647-N648,0)</f>
        <v>0</v>
      </c>
      <c r="X647" s="10">
        <f>IF(A647=A648,(N647-N648)/N648,0)</f>
        <v>0</v>
      </c>
    </row>
    <row r="648" spans="1:24" ht="16.5" customHeight="1">
      <c r="A648" s="3" t="s">
        <v>31</v>
      </c>
      <c r="B648" s="3">
        <f t="shared" si="16"/>
        <v>2021</v>
      </c>
      <c r="C648" s="3">
        <f t="shared" si="17"/>
        <v>11</v>
      </c>
      <c r="D648" s="20" t="str">
        <f t="shared" si="18"/>
        <v>PH202111</v>
      </c>
      <c r="E648" s="2">
        <v>44510</v>
      </c>
      <c r="F648" s="3">
        <v>1.03</v>
      </c>
      <c r="G648" s="2">
        <v>44533</v>
      </c>
      <c r="H648" s="3">
        <v>1.2500000000000001E-2</v>
      </c>
      <c r="I648" s="3">
        <v>0</v>
      </c>
      <c r="J648" s="3">
        <v>0</v>
      </c>
      <c r="K648" s="3">
        <f t="shared" si="19"/>
        <v>2021</v>
      </c>
      <c r="L648" s="3">
        <f t="shared" si="20"/>
        <v>0</v>
      </c>
      <c r="M648" s="20" t="str">
        <f>A648&amp;L648</f>
        <v>PH0</v>
      </c>
      <c r="N648" s="3">
        <f>F648</f>
        <v>1.03</v>
      </c>
      <c r="O648" s="9">
        <f>H648</f>
        <v>1.2500000000000001E-2</v>
      </c>
      <c r="P648" s="10">
        <f t="shared" si="21"/>
        <v>0</v>
      </c>
      <c r="Q648" s="10">
        <f>IF(K648=0,IF(A645=A648,AVERAGE(O645:O648),"x"),0)</f>
        <v>0</v>
      </c>
      <c r="R648" s="9">
        <f>IF(L648&gt;2005,AVERAGE(O645:O664),0)</f>
        <v>0</v>
      </c>
      <c r="S648" s="10">
        <f>IF(A648=A649,(N648-N649)/N649,0)</f>
        <v>0</v>
      </c>
      <c r="T648" s="10">
        <f>IF(L648&gt;2005,(((N648-N668)/N668)+1)^(1/5)-1,0)</f>
        <v>0</v>
      </c>
      <c r="U648" s="10">
        <f t="shared" si="22"/>
        <v>0</v>
      </c>
      <c r="V648" s="26">
        <f t="shared" si="23"/>
        <v>0</v>
      </c>
      <c r="W648" s="3">
        <f>IF(A648=A649,N648-N649,0)</f>
        <v>0</v>
      </c>
      <c r="X648" s="10">
        <f>IF(A648=A649,(N648-N649)/N649,0)</f>
        <v>0</v>
      </c>
    </row>
    <row r="649" spans="1:24" ht="16.5" customHeight="1">
      <c r="A649" s="3" t="s">
        <v>31</v>
      </c>
      <c r="B649" s="3">
        <f t="shared" si="16"/>
        <v>2021</v>
      </c>
      <c r="C649" s="3">
        <f t="shared" si="17"/>
        <v>8</v>
      </c>
      <c r="D649" s="20" t="str">
        <f t="shared" si="18"/>
        <v>PH20218</v>
      </c>
      <c r="E649" s="2">
        <v>44434</v>
      </c>
      <c r="F649" s="3">
        <v>1.03</v>
      </c>
      <c r="G649" s="2">
        <v>44449</v>
      </c>
      <c r="H649" s="3">
        <v>1.3599999999999999E-2</v>
      </c>
      <c r="I649" s="3">
        <v>0</v>
      </c>
      <c r="J649" s="3">
        <v>0</v>
      </c>
      <c r="K649" s="3">
        <f t="shared" si="19"/>
        <v>2021</v>
      </c>
      <c r="L649" s="3">
        <f t="shared" si="20"/>
        <v>0</v>
      </c>
      <c r="M649" s="20" t="str">
        <f>A649&amp;L649</f>
        <v>PH0</v>
      </c>
      <c r="N649" s="3">
        <f>F649</f>
        <v>1.03</v>
      </c>
      <c r="O649" s="9">
        <f>H649</f>
        <v>1.3599999999999999E-2</v>
      </c>
      <c r="P649" s="10">
        <f t="shared" si="21"/>
        <v>0</v>
      </c>
      <c r="Q649" s="10">
        <f>IF(K649=0,IF(A646=A649,AVERAGE(O646:O649),"x"),0)</f>
        <v>0</v>
      </c>
      <c r="R649" s="9">
        <f>IF(L649&gt;2005,AVERAGE(O646:O665),0)</f>
        <v>0</v>
      </c>
      <c r="S649" s="10">
        <f>IF(A649=A650,(N649-N650)/N650,0)</f>
        <v>0</v>
      </c>
      <c r="T649" s="10">
        <f>IF(L649&gt;2005,(((N649-N669)/N669)+1)^(1/5)-1,0)</f>
        <v>0</v>
      </c>
      <c r="U649" s="10">
        <f t="shared" si="22"/>
        <v>0</v>
      </c>
      <c r="V649" s="26">
        <f t="shared" si="23"/>
        <v>0</v>
      </c>
      <c r="W649" s="3">
        <f>IF(A649=A650,N649-N650,0)</f>
        <v>0</v>
      </c>
      <c r="X649" s="10">
        <f>IF(A649=A650,(N649-N650)/N650,0)</f>
        <v>0</v>
      </c>
    </row>
    <row r="650" spans="1:24" ht="16.5" customHeight="1">
      <c r="A650" s="3" t="s">
        <v>31</v>
      </c>
      <c r="B650" s="3">
        <f t="shared" si="16"/>
        <v>2021</v>
      </c>
      <c r="C650" s="3">
        <f t="shared" si="17"/>
        <v>5</v>
      </c>
      <c r="D650" s="20" t="str">
        <f t="shared" si="18"/>
        <v>PH20215</v>
      </c>
      <c r="E650" s="2">
        <v>44322</v>
      </c>
      <c r="F650" s="3">
        <v>1.03</v>
      </c>
      <c r="G650" s="2">
        <v>44351</v>
      </c>
      <c r="H650" s="3">
        <v>1.3100000000000001E-2</v>
      </c>
      <c r="I650" s="3">
        <v>0.17045454500000001</v>
      </c>
      <c r="J650" s="3">
        <v>0.15</v>
      </c>
      <c r="K650" s="3">
        <f t="shared" si="19"/>
        <v>2021</v>
      </c>
      <c r="L650" s="3">
        <f t="shared" si="20"/>
        <v>0</v>
      </c>
      <c r="M650" s="20" t="str">
        <f>A650&amp;L650</f>
        <v>PH0</v>
      </c>
      <c r="N650" s="3">
        <f>F650</f>
        <v>1.03</v>
      </c>
      <c r="O650" s="9">
        <f>H650</f>
        <v>1.3100000000000001E-2</v>
      </c>
      <c r="P650" s="10">
        <f t="shared" si="21"/>
        <v>1.4675000000000001E-2</v>
      </c>
      <c r="Q650" s="10">
        <f>IF(K650=0,IF(A647=A650,AVERAGE(O647:O650),"x"),0)</f>
        <v>0</v>
      </c>
      <c r="R650" s="9">
        <f>IF(L650&gt;2005,AVERAGE(O647:O666),0)</f>
        <v>0</v>
      </c>
      <c r="S650" s="10">
        <f>IF(A650=A651,(N650-N651)/N651,0)</f>
        <v>0.17045454545454547</v>
      </c>
      <c r="T650" s="10">
        <f>IF(L650&gt;2005,(((N650-N670)/N670)+1)^(1/5)-1,0)</f>
        <v>0</v>
      </c>
      <c r="U650" s="10">
        <f t="shared" si="22"/>
        <v>0</v>
      </c>
      <c r="V650" s="26">
        <f t="shared" si="23"/>
        <v>0</v>
      </c>
      <c r="W650" s="3">
        <f>IF(A650=A651,N650-N651,0)</f>
        <v>0.15000000000000002</v>
      </c>
      <c r="X650" s="10">
        <f>IF(A650=A651,(N650-N651)/N651,0)</f>
        <v>0.17045454545454547</v>
      </c>
    </row>
    <row r="651" spans="1:24" ht="16.5" customHeight="1">
      <c r="A651" s="3" t="s">
        <v>31</v>
      </c>
      <c r="B651" s="3">
        <f t="shared" si="16"/>
        <v>2021</v>
      </c>
      <c r="C651" s="3">
        <f t="shared" si="17"/>
        <v>2</v>
      </c>
      <c r="D651" s="20" t="str">
        <f t="shared" si="18"/>
        <v>PH20212</v>
      </c>
      <c r="E651" s="2">
        <v>44236</v>
      </c>
      <c r="F651" s="3">
        <v>0.88</v>
      </c>
      <c r="G651" s="2">
        <v>44260</v>
      </c>
      <c r="H651" s="3">
        <v>1.26E-2</v>
      </c>
      <c r="I651" s="3">
        <v>0</v>
      </c>
      <c r="J651" s="3">
        <v>0</v>
      </c>
      <c r="K651" s="3">
        <f t="shared" si="19"/>
        <v>0</v>
      </c>
      <c r="L651" s="3">
        <f t="shared" si="20"/>
        <v>2021</v>
      </c>
      <c r="M651" s="20" t="str">
        <f>A651&amp;L651</f>
        <v>PH2021</v>
      </c>
      <c r="N651" s="3">
        <f>F651</f>
        <v>0.88</v>
      </c>
      <c r="O651" s="9">
        <f>H651</f>
        <v>1.26E-2</v>
      </c>
      <c r="P651" s="10">
        <f t="shared" si="21"/>
        <v>0</v>
      </c>
      <c r="Q651" s="10">
        <f>IF(K651=0,IF(A648=A651,AVERAGE(O648:O651),"x"),0)</f>
        <v>1.295E-2</v>
      </c>
      <c r="R651" s="9">
        <f>IF(L651&gt;2005,AVERAGE(O648:O667),0)</f>
        <v>1.6819999999999998E-2</v>
      </c>
      <c r="S651" s="10">
        <f>IF(A651=A652,(N651-N652)/N652,0)</f>
        <v>0</v>
      </c>
      <c r="T651" s="10">
        <f>IF(L651&gt;2005,(((N651-N671)/N671)+1)^(1/5)-1,0)</f>
        <v>6.9124851069322091E-2</v>
      </c>
      <c r="U651" s="10">
        <f t="shared" si="22"/>
        <v>8.5944851069322092E-2</v>
      </c>
      <c r="V651" s="26">
        <f t="shared" si="23"/>
        <v>4.7724104353456474</v>
      </c>
      <c r="W651" s="3">
        <f>IF(A651=A652,N651-N652,0)</f>
        <v>0</v>
      </c>
      <c r="X651" s="10">
        <f>IF(A651=A652,(N651-N652)/N652,0)</f>
        <v>0</v>
      </c>
    </row>
    <row r="652" spans="1:24" ht="16.5" customHeight="1">
      <c r="A652" s="3" t="s">
        <v>31</v>
      </c>
      <c r="B652" s="3">
        <f t="shared" si="16"/>
        <v>2020</v>
      </c>
      <c r="C652" s="3">
        <f t="shared" si="17"/>
        <v>11</v>
      </c>
      <c r="D652" s="20" t="str">
        <f t="shared" si="18"/>
        <v>PH202011</v>
      </c>
      <c r="E652" s="2">
        <v>44140</v>
      </c>
      <c r="F652" s="3">
        <v>0.88</v>
      </c>
      <c r="G652" s="2">
        <v>44169</v>
      </c>
      <c r="H652" s="3">
        <v>1.6199999999999999E-2</v>
      </c>
      <c r="I652" s="3">
        <v>0</v>
      </c>
      <c r="J652" s="3">
        <v>0</v>
      </c>
      <c r="K652" s="3">
        <f t="shared" si="19"/>
        <v>2020</v>
      </c>
      <c r="L652" s="3">
        <f t="shared" si="20"/>
        <v>0</v>
      </c>
      <c r="M652" s="20" t="str">
        <f>A652&amp;L652</f>
        <v>PH0</v>
      </c>
      <c r="N652" s="3">
        <f>F652</f>
        <v>0.88</v>
      </c>
      <c r="O652" s="9">
        <f>H652</f>
        <v>1.6199999999999999E-2</v>
      </c>
      <c r="P652" s="10">
        <f t="shared" si="21"/>
        <v>0</v>
      </c>
      <c r="Q652" s="10">
        <f>IF(K652=0,IF(A649=A652,AVERAGE(O649:O652),"x"),0)</f>
        <v>0</v>
      </c>
      <c r="R652" s="9">
        <f>IF(L652&gt;2005,AVERAGE(O649:O668),0)</f>
        <v>0</v>
      </c>
      <c r="S652" s="10">
        <f>IF(A652=A653,(N652-N653)/N653,0)</f>
        <v>0</v>
      </c>
      <c r="T652" s="10">
        <f>IF(L652&gt;2005,(((N652-N672)/N672)+1)^(1/5)-1,0)</f>
        <v>0</v>
      </c>
      <c r="U652" s="10">
        <f t="shared" si="22"/>
        <v>0</v>
      </c>
      <c r="V652" s="26">
        <f t="shared" si="23"/>
        <v>0</v>
      </c>
      <c r="W652" s="3">
        <f>IF(A652=A653,N652-N653,0)</f>
        <v>0</v>
      </c>
      <c r="X652" s="10">
        <f>IF(A652=A653,(N652-N653)/N653,0)</f>
        <v>0</v>
      </c>
    </row>
    <row r="653" spans="1:24" ht="16.5" customHeight="1">
      <c r="A653" s="3" t="s">
        <v>31</v>
      </c>
      <c r="B653" s="3">
        <f t="shared" si="16"/>
        <v>2020</v>
      </c>
      <c r="C653" s="3">
        <f t="shared" si="17"/>
        <v>8</v>
      </c>
      <c r="D653" s="20" t="str">
        <f t="shared" si="18"/>
        <v>PH20208</v>
      </c>
      <c r="E653" s="2">
        <v>44070</v>
      </c>
      <c r="F653" s="3">
        <v>0.88</v>
      </c>
      <c r="G653" s="2">
        <v>44085</v>
      </c>
      <c r="H653" s="3">
        <v>1.6799999999999999E-2</v>
      </c>
      <c r="I653" s="3">
        <v>0</v>
      </c>
      <c r="J653" s="3">
        <v>0</v>
      </c>
      <c r="K653" s="3">
        <f t="shared" si="19"/>
        <v>2020</v>
      </c>
      <c r="L653" s="3">
        <f t="shared" si="20"/>
        <v>0</v>
      </c>
      <c r="M653" s="20" t="str">
        <f>A653&amp;L653</f>
        <v>PH0</v>
      </c>
      <c r="N653" s="3">
        <f>F653</f>
        <v>0.88</v>
      </c>
      <c r="O653" s="9">
        <f>H653</f>
        <v>1.6799999999999999E-2</v>
      </c>
      <c r="P653" s="10">
        <f t="shared" si="21"/>
        <v>0</v>
      </c>
      <c r="Q653" s="10">
        <f>IF(K653=0,IF(A650=A653,AVERAGE(O650:O653),"x"),0)</f>
        <v>0</v>
      </c>
      <c r="R653" s="9">
        <f>IF(L653&gt;2005,AVERAGE(O650:O669),0)</f>
        <v>0</v>
      </c>
      <c r="S653" s="10">
        <f>IF(A653=A654,(N653-N654)/N654,0)</f>
        <v>0</v>
      </c>
      <c r="T653" s="10">
        <f>IF(L653&gt;2005,(((N653-N673)/N673)+1)^(1/5)-1,0)</f>
        <v>0</v>
      </c>
      <c r="U653" s="10">
        <f t="shared" si="22"/>
        <v>0</v>
      </c>
      <c r="V653" s="26">
        <f t="shared" si="23"/>
        <v>0</v>
      </c>
      <c r="W653" s="3">
        <f>IF(A653=A654,N653-N654,0)</f>
        <v>0</v>
      </c>
      <c r="X653" s="10">
        <f>IF(A653=A654,(N653-N654)/N654,0)</f>
        <v>0</v>
      </c>
    </row>
    <row r="654" spans="1:24" ht="16.5" customHeight="1">
      <c r="A654" s="3" t="s">
        <v>31</v>
      </c>
      <c r="B654" s="3">
        <f t="shared" si="16"/>
        <v>2020</v>
      </c>
      <c r="C654" s="3">
        <f t="shared" si="17"/>
        <v>5</v>
      </c>
      <c r="D654" s="20" t="str">
        <f t="shared" si="18"/>
        <v>PH20205</v>
      </c>
      <c r="E654" s="2">
        <v>43958</v>
      </c>
      <c r="F654" s="3">
        <v>0.88</v>
      </c>
      <c r="G654" s="2">
        <v>43987</v>
      </c>
      <c r="H654" s="3">
        <v>2.3E-2</v>
      </c>
      <c r="I654" s="3">
        <v>0</v>
      </c>
      <c r="J654" s="3">
        <v>0</v>
      </c>
      <c r="K654" s="3">
        <f t="shared" si="19"/>
        <v>2020</v>
      </c>
      <c r="L654" s="3">
        <f t="shared" si="20"/>
        <v>0</v>
      </c>
      <c r="M654" s="20" t="str">
        <f>A654&amp;L654</f>
        <v>PH0</v>
      </c>
      <c r="N654" s="3">
        <f>F654</f>
        <v>0.88</v>
      </c>
      <c r="O654" s="9">
        <f>H654</f>
        <v>2.3E-2</v>
      </c>
      <c r="P654" s="10">
        <f t="shared" si="21"/>
        <v>0</v>
      </c>
      <c r="Q654" s="10">
        <f>IF(K654=0,IF(A651=A654,AVERAGE(O651:O654),"x"),0)</f>
        <v>0</v>
      </c>
      <c r="R654" s="9">
        <f>IF(L654&gt;2005,AVERAGE(O651:O670),0)</f>
        <v>0</v>
      </c>
      <c r="S654" s="10">
        <f>IF(A654=A655,(N654-N655)/N655,0)</f>
        <v>0</v>
      </c>
      <c r="T654" s="10">
        <f>IF(L654&gt;2005,(((N654-N674)/N674)+1)^(1/5)-1,0)</f>
        <v>0</v>
      </c>
      <c r="U654" s="10">
        <f t="shared" si="22"/>
        <v>0</v>
      </c>
      <c r="V654" s="26">
        <f t="shared" si="23"/>
        <v>0</v>
      </c>
      <c r="W654" s="3">
        <f>IF(A654=A655,N654-N655,0)</f>
        <v>0</v>
      </c>
      <c r="X654" s="10">
        <f>IF(A654=A655,(N654-N655)/N655,0)</f>
        <v>0</v>
      </c>
    </row>
    <row r="655" spans="1:24" ht="16.5" customHeight="1">
      <c r="A655" s="3" t="s">
        <v>31</v>
      </c>
      <c r="B655" s="3">
        <f t="shared" si="16"/>
        <v>2020</v>
      </c>
      <c r="C655" s="3">
        <f t="shared" si="17"/>
        <v>2</v>
      </c>
      <c r="D655" s="20" t="str">
        <f t="shared" si="18"/>
        <v>PH20202</v>
      </c>
      <c r="E655" s="2">
        <v>43867</v>
      </c>
      <c r="F655" s="3">
        <v>0.88</v>
      </c>
      <c r="G655" s="2">
        <v>43896</v>
      </c>
      <c r="H655" s="3">
        <v>1.67E-2</v>
      </c>
      <c r="I655" s="3">
        <v>0</v>
      </c>
      <c r="J655" s="3">
        <v>0</v>
      </c>
      <c r="K655" s="3">
        <f t="shared" si="19"/>
        <v>0</v>
      </c>
      <c r="L655" s="3">
        <f t="shared" si="20"/>
        <v>2020</v>
      </c>
      <c r="M655" s="20" t="str">
        <f>A655&amp;L655</f>
        <v>PH2020</v>
      </c>
      <c r="N655" s="3">
        <f>F655</f>
        <v>0.88</v>
      </c>
      <c r="O655" s="9">
        <f>H655</f>
        <v>1.67E-2</v>
      </c>
      <c r="P655" s="10">
        <f t="shared" si="21"/>
        <v>0</v>
      </c>
      <c r="Q655" s="10">
        <f>IF(K655=0,IF(A652=A655,AVERAGE(O652:O655),"x"),0)</f>
        <v>1.8175E-2</v>
      </c>
      <c r="R655" s="9">
        <f>IF(L655&gt;2005,AVERAGE(O652:O671),0)</f>
        <v>1.8620000000000005E-2</v>
      </c>
      <c r="S655" s="10">
        <f>IF(A655=A656,(N655-N656)/N656,0)</f>
        <v>0</v>
      </c>
      <c r="T655" s="10">
        <f>IF(L655&gt;2005,(((N655-N675)/N675)+1)^(1/5)-1,0)</f>
        <v>6.9124851069322091E-2</v>
      </c>
      <c r="U655" s="10">
        <f t="shared" si="22"/>
        <v>8.7744851069322088E-2</v>
      </c>
      <c r="V655" s="26">
        <f t="shared" si="23"/>
        <v>4.7490160074393355</v>
      </c>
      <c r="W655" s="3">
        <f>IF(A655=A656,N655-N656,0)</f>
        <v>0</v>
      </c>
      <c r="X655" s="10">
        <f>IF(A655=A656,(N655-N656)/N656,0)</f>
        <v>0</v>
      </c>
    </row>
    <row r="656" spans="1:24" ht="16.5" customHeight="1">
      <c r="A656" s="3" t="s">
        <v>31</v>
      </c>
      <c r="B656" s="3">
        <f t="shared" si="16"/>
        <v>2019</v>
      </c>
      <c r="C656" s="3">
        <f t="shared" si="17"/>
        <v>11</v>
      </c>
      <c r="D656" s="20" t="str">
        <f t="shared" si="18"/>
        <v>PH201911</v>
      </c>
      <c r="E656" s="2">
        <v>43776</v>
      </c>
      <c r="F656" s="3">
        <v>0.88</v>
      </c>
      <c r="G656" s="2">
        <v>43805</v>
      </c>
      <c r="H656" s="3">
        <v>1.77E-2</v>
      </c>
      <c r="I656" s="3">
        <v>0</v>
      </c>
      <c r="J656" s="3">
        <v>0</v>
      </c>
      <c r="K656" s="3">
        <f t="shared" si="19"/>
        <v>2019</v>
      </c>
      <c r="L656" s="3">
        <f t="shared" si="20"/>
        <v>0</v>
      </c>
      <c r="M656" s="20" t="str">
        <f>A656&amp;L656</f>
        <v>PH0</v>
      </c>
      <c r="N656" s="3">
        <f>F656</f>
        <v>0.88</v>
      </c>
      <c r="O656" s="9">
        <f>H656</f>
        <v>1.77E-2</v>
      </c>
      <c r="P656" s="10">
        <f t="shared" si="21"/>
        <v>0</v>
      </c>
      <c r="Q656" s="10">
        <f>IF(K656=0,IF(A653=A656,AVERAGE(O653:O656),"x"),0)</f>
        <v>0</v>
      </c>
      <c r="R656" s="9">
        <f>IF(L656&gt;2005,AVERAGE(O653:O672),0)</f>
        <v>0</v>
      </c>
      <c r="S656" s="10">
        <f>IF(A656=A657,(N656-N657)/N657,0)</f>
        <v>0</v>
      </c>
      <c r="T656" s="10">
        <f>IF(L656&gt;2005,(((N656-N676)/N676)+1)^(1/5)-1,0)</f>
        <v>0</v>
      </c>
      <c r="U656" s="10">
        <f t="shared" si="22"/>
        <v>0</v>
      </c>
      <c r="V656" s="26">
        <f t="shared" si="23"/>
        <v>0</v>
      </c>
      <c r="W656" s="3">
        <f>IF(A656=A657,N656-N657,0)</f>
        <v>0</v>
      </c>
      <c r="X656" s="10">
        <f>IF(A656=A657,(N656-N657)/N657,0)</f>
        <v>0</v>
      </c>
    </row>
    <row r="657" spans="1:24" ht="16.5" customHeight="1">
      <c r="A657" s="3" t="s">
        <v>31</v>
      </c>
      <c r="B657" s="3">
        <f t="shared" si="16"/>
        <v>2019</v>
      </c>
      <c r="C657" s="3">
        <f t="shared" si="17"/>
        <v>8</v>
      </c>
      <c r="D657" s="20" t="str">
        <f t="shared" si="18"/>
        <v>PH20198</v>
      </c>
      <c r="E657" s="2">
        <v>43704</v>
      </c>
      <c r="F657" s="3">
        <v>0.88</v>
      </c>
      <c r="G657" s="2">
        <v>43721</v>
      </c>
      <c r="H657" s="3">
        <v>2.2200000000000001E-2</v>
      </c>
      <c r="I657" s="3">
        <v>0</v>
      </c>
      <c r="J657" s="3">
        <v>0</v>
      </c>
      <c r="K657" s="3">
        <f t="shared" si="19"/>
        <v>2019</v>
      </c>
      <c r="L657" s="3">
        <f t="shared" si="20"/>
        <v>0</v>
      </c>
      <c r="M657" s="20" t="str">
        <f>A657&amp;L657</f>
        <v>PH0</v>
      </c>
      <c r="N657" s="3">
        <f>F657</f>
        <v>0.88</v>
      </c>
      <c r="O657" s="9">
        <f>H657</f>
        <v>2.2200000000000001E-2</v>
      </c>
      <c r="P657" s="10">
        <f t="shared" si="21"/>
        <v>0</v>
      </c>
      <c r="Q657" s="10">
        <f>IF(K657=0,IF(A654=A657,AVERAGE(O654:O657),"x"),0)</f>
        <v>0</v>
      </c>
      <c r="R657" s="9">
        <f>IF(L657&gt;2005,AVERAGE(O654:O673),0)</f>
        <v>0</v>
      </c>
      <c r="S657" s="10">
        <f>IF(A657=A658,(N657-N658)/N658,0)</f>
        <v>0</v>
      </c>
      <c r="T657" s="10">
        <f>IF(L657&gt;2005,(((N657-N677)/N677)+1)^(1/5)-1,0)</f>
        <v>0</v>
      </c>
      <c r="U657" s="10">
        <f t="shared" si="22"/>
        <v>0</v>
      </c>
      <c r="V657" s="26">
        <f t="shared" si="23"/>
        <v>0</v>
      </c>
      <c r="W657" s="3">
        <f>IF(A657=A658,N657-N658,0)</f>
        <v>0</v>
      </c>
      <c r="X657" s="10">
        <f>IF(A657=A658,(N657-N658)/N658,0)</f>
        <v>0</v>
      </c>
    </row>
    <row r="658" spans="1:24" ht="16.5" customHeight="1">
      <c r="A658" s="3" t="s">
        <v>31</v>
      </c>
      <c r="B658" s="3">
        <f t="shared" si="16"/>
        <v>2019</v>
      </c>
      <c r="C658" s="3">
        <f t="shared" si="17"/>
        <v>5</v>
      </c>
      <c r="D658" s="20" t="str">
        <f t="shared" si="18"/>
        <v>PH20195</v>
      </c>
      <c r="E658" s="2">
        <v>43594</v>
      </c>
      <c r="F658" s="3">
        <v>0.88</v>
      </c>
      <c r="G658" s="2">
        <v>43623</v>
      </c>
      <c r="H658" s="3">
        <v>2.0500000000000001E-2</v>
      </c>
      <c r="I658" s="3">
        <v>0.15789473700000001</v>
      </c>
      <c r="J658" s="3">
        <v>0.12</v>
      </c>
      <c r="K658" s="3">
        <f t="shared" si="19"/>
        <v>2019</v>
      </c>
      <c r="L658" s="3">
        <f t="shared" si="20"/>
        <v>0</v>
      </c>
      <c r="M658" s="20" t="str">
        <f>A658&amp;L658</f>
        <v>PH0</v>
      </c>
      <c r="N658" s="3">
        <f>F658</f>
        <v>0.88</v>
      </c>
      <c r="O658" s="9">
        <f>H658</f>
        <v>2.0500000000000001E-2</v>
      </c>
      <c r="P658" s="10">
        <f t="shared" si="21"/>
        <v>1.8575000000000001E-2</v>
      </c>
      <c r="Q658" s="10">
        <f>IF(K658=0,IF(A655=A658,AVERAGE(O655:O658),"x"),0)</f>
        <v>0</v>
      </c>
      <c r="R658" s="9">
        <f>IF(L658&gt;2005,AVERAGE(O655:O674),0)</f>
        <v>0</v>
      </c>
      <c r="S658" s="10">
        <f>IF(A658=A659,(N658-N659)/N659,0)</f>
        <v>0.15789473684210525</v>
      </c>
      <c r="T658" s="10">
        <f>IF(L658&gt;2005,(((N658-N678)/N678)+1)^(1/5)-1,0)</f>
        <v>0</v>
      </c>
      <c r="U658" s="10">
        <f t="shared" si="22"/>
        <v>0</v>
      </c>
      <c r="V658" s="26">
        <f t="shared" si="23"/>
        <v>0</v>
      </c>
      <c r="W658" s="3">
        <f>IF(A658=A659,N658-N659,0)</f>
        <v>0.12</v>
      </c>
      <c r="X658" s="10">
        <f>IF(A658=A659,(N658-N659)/N659,0)</f>
        <v>0.15789473684210525</v>
      </c>
    </row>
    <row r="659" spans="1:24" ht="16.5" customHeight="1">
      <c r="A659" s="3" t="s">
        <v>31</v>
      </c>
      <c r="B659" s="3">
        <f t="shared" si="16"/>
        <v>2019</v>
      </c>
      <c r="C659" s="3">
        <f t="shared" si="17"/>
        <v>2</v>
      </c>
      <c r="D659" s="20" t="str">
        <f t="shared" si="18"/>
        <v>PH20192</v>
      </c>
      <c r="E659" s="2">
        <v>43503</v>
      </c>
      <c r="F659" s="3">
        <v>0.76</v>
      </c>
      <c r="G659" s="2">
        <v>43525</v>
      </c>
      <c r="H659" s="3">
        <v>1.83E-2</v>
      </c>
      <c r="I659" s="3">
        <v>0</v>
      </c>
      <c r="J659" s="3">
        <v>0</v>
      </c>
      <c r="K659" s="3">
        <f t="shared" si="19"/>
        <v>0</v>
      </c>
      <c r="L659" s="3">
        <f t="shared" si="20"/>
        <v>2019</v>
      </c>
      <c r="M659" s="20" t="str">
        <f>A659&amp;L659</f>
        <v>PH2019</v>
      </c>
      <c r="N659" s="3">
        <f>F659</f>
        <v>0.76</v>
      </c>
      <c r="O659" s="9">
        <f>H659</f>
        <v>1.83E-2</v>
      </c>
      <c r="P659" s="10">
        <f t="shared" si="21"/>
        <v>0</v>
      </c>
      <c r="Q659" s="10">
        <f>IF(K659=0,IF(A656=A659,AVERAGE(O656:O659),"x"),0)</f>
        <v>1.9675000000000002E-2</v>
      </c>
      <c r="R659" s="9">
        <f>IF(L659&gt;2005,AVERAGE(O656:O675),0)</f>
        <v>1.9315000000000006E-2</v>
      </c>
      <c r="S659" s="10">
        <f>IF(A659=A660,(N659-N660)/N660,0)</f>
        <v>0</v>
      </c>
      <c r="T659" s="10">
        <f>IF(L659&gt;2005,(((N659-N679)/N679)+1)^(1/5)-1,0)</f>
        <v>9.6262279352954172E-2</v>
      </c>
      <c r="U659" s="10">
        <f t="shared" si="22"/>
        <v>0.11557727935295417</v>
      </c>
      <c r="V659" s="26">
        <f t="shared" si="23"/>
        <v>4.7462095231798971</v>
      </c>
      <c r="W659" s="3">
        <f>IF(A659=A660,N659-N660,0)</f>
        <v>0</v>
      </c>
      <c r="X659" s="10">
        <f>IF(A659=A660,(N659-N660)/N660,0)</f>
        <v>0</v>
      </c>
    </row>
    <row r="660" spans="1:24" ht="16.5" customHeight="1">
      <c r="A660" s="3" t="s">
        <v>31</v>
      </c>
      <c r="B660" s="3">
        <f t="shared" si="16"/>
        <v>2018</v>
      </c>
      <c r="C660" s="3">
        <f t="shared" si="17"/>
        <v>11</v>
      </c>
      <c r="D660" s="20" t="str">
        <f t="shared" si="18"/>
        <v>PH201811</v>
      </c>
      <c r="E660" s="2">
        <v>43412</v>
      </c>
      <c r="F660" s="3">
        <v>0.76</v>
      </c>
      <c r="G660" s="2">
        <v>43441</v>
      </c>
      <c r="H660" s="3">
        <v>1.78E-2</v>
      </c>
      <c r="I660" s="3">
        <v>0</v>
      </c>
      <c r="J660" s="3">
        <v>0</v>
      </c>
      <c r="K660" s="3">
        <f t="shared" si="19"/>
        <v>2018</v>
      </c>
      <c r="L660" s="3">
        <f t="shared" si="20"/>
        <v>0</v>
      </c>
      <c r="M660" s="20" t="str">
        <f>A660&amp;L660</f>
        <v>PH0</v>
      </c>
      <c r="N660" s="3">
        <f>F660</f>
        <v>0.76</v>
      </c>
      <c r="O660" s="9">
        <f>H660</f>
        <v>1.78E-2</v>
      </c>
      <c r="P660" s="10">
        <f t="shared" si="21"/>
        <v>0</v>
      </c>
      <c r="Q660" s="10">
        <f>IF(K660=0,IF(A657=A660,AVERAGE(O657:O660),"x"),0)</f>
        <v>0</v>
      </c>
      <c r="R660" s="9">
        <f>IF(L660&gt;2005,AVERAGE(O657:O676),0)</f>
        <v>0</v>
      </c>
      <c r="S660" s="10">
        <f>IF(A660=A661,(N660-N661)/N661,0)</f>
        <v>0</v>
      </c>
      <c r="T660" s="10">
        <f>IF(L660&gt;2005,(((N660-N680)/N680)+1)^(1/5)-1,0)</f>
        <v>0</v>
      </c>
      <c r="U660" s="10">
        <f t="shared" si="22"/>
        <v>0</v>
      </c>
      <c r="V660" s="26">
        <f t="shared" si="23"/>
        <v>0</v>
      </c>
      <c r="W660" s="3">
        <f>IF(A660=A661,N660-N661,0)</f>
        <v>0</v>
      </c>
      <c r="X660" s="10">
        <f>IF(A660=A661,(N660-N661)/N661,0)</f>
        <v>0</v>
      </c>
    </row>
    <row r="661" spans="1:24" ht="16.5" customHeight="1">
      <c r="A661" s="3" t="s">
        <v>31</v>
      </c>
      <c r="B661" s="3">
        <f t="shared" si="16"/>
        <v>2018</v>
      </c>
      <c r="C661" s="3">
        <f t="shared" si="17"/>
        <v>8</v>
      </c>
      <c r="D661" s="20" t="str">
        <f t="shared" si="18"/>
        <v>PH20188</v>
      </c>
      <c r="E661" s="2">
        <v>43339</v>
      </c>
      <c r="F661" s="3">
        <v>0.76</v>
      </c>
      <c r="G661" s="2">
        <v>43357</v>
      </c>
      <c r="H661" s="3">
        <v>1.77E-2</v>
      </c>
      <c r="I661" s="3">
        <v>0</v>
      </c>
      <c r="J661" s="3">
        <v>0</v>
      </c>
      <c r="K661" s="3">
        <f t="shared" si="19"/>
        <v>2018</v>
      </c>
      <c r="L661" s="3">
        <f t="shared" si="20"/>
        <v>0</v>
      </c>
      <c r="M661" s="20" t="str">
        <f>A661&amp;L661</f>
        <v>PH0</v>
      </c>
      <c r="N661" s="3">
        <f>F661</f>
        <v>0.76</v>
      </c>
      <c r="O661" s="9">
        <f>H661</f>
        <v>1.77E-2</v>
      </c>
      <c r="P661" s="10">
        <f t="shared" si="21"/>
        <v>0</v>
      </c>
      <c r="Q661" s="10">
        <f>IF(K661=0,IF(A658=A661,AVERAGE(O658:O661),"x"),0)</f>
        <v>0</v>
      </c>
      <c r="R661" s="9">
        <f>IF(L661&gt;2005,AVERAGE(O658:O677),0)</f>
        <v>0</v>
      </c>
      <c r="S661" s="10">
        <f>IF(A661=A662,(N661-N662)/N662,0)</f>
        <v>0</v>
      </c>
      <c r="T661" s="10">
        <f>IF(L661&gt;2005,(((N661-N681)/N681)+1)^(1/5)-1,0)</f>
        <v>0</v>
      </c>
      <c r="U661" s="10">
        <f t="shared" si="22"/>
        <v>0</v>
      </c>
      <c r="V661" s="26">
        <f t="shared" si="23"/>
        <v>0</v>
      </c>
      <c r="W661" s="3">
        <f>IF(A661=A662,N661-N662,0)</f>
        <v>0</v>
      </c>
      <c r="X661" s="10">
        <f>IF(A661=A662,(N661-N662)/N662,0)</f>
        <v>0</v>
      </c>
    </row>
    <row r="662" spans="1:24" ht="16.5" customHeight="1">
      <c r="A662" s="3" t="s">
        <v>31</v>
      </c>
      <c r="B662" s="3">
        <f t="shared" si="16"/>
        <v>2018</v>
      </c>
      <c r="C662" s="3">
        <f t="shared" si="17"/>
        <v>5</v>
      </c>
      <c r="D662" s="20" t="str">
        <f t="shared" si="18"/>
        <v>PH20185</v>
      </c>
      <c r="E662" s="2">
        <v>43229</v>
      </c>
      <c r="F662" s="3">
        <v>0.76</v>
      </c>
      <c r="G662" s="2">
        <v>43252</v>
      </c>
      <c r="H662" s="3">
        <v>1.78E-2</v>
      </c>
      <c r="I662" s="3">
        <v>0.15151515199999999</v>
      </c>
      <c r="J662" s="3">
        <v>0.1</v>
      </c>
      <c r="K662" s="3">
        <f t="shared" si="19"/>
        <v>2018</v>
      </c>
      <c r="L662" s="3">
        <f t="shared" si="20"/>
        <v>0</v>
      </c>
      <c r="M662" s="20" t="str">
        <f>A662&amp;L662</f>
        <v>PH0</v>
      </c>
      <c r="N662" s="3">
        <f>F662</f>
        <v>0.76</v>
      </c>
      <c r="O662" s="9">
        <f>H662</f>
        <v>1.78E-2</v>
      </c>
      <c r="P662" s="10">
        <f t="shared" si="21"/>
        <v>1.5824999999999999E-2</v>
      </c>
      <c r="Q662" s="10">
        <f>IF(K662=0,IF(A659=A662,AVERAGE(O659:O662),"x"),0)</f>
        <v>0</v>
      </c>
      <c r="R662" s="9">
        <f>IF(L662&gt;2005,AVERAGE(O659:O678),0)</f>
        <v>0</v>
      </c>
      <c r="S662" s="10">
        <f>IF(A662=A663,(N662-N663)/N663,0)</f>
        <v>0.15151515151515146</v>
      </c>
      <c r="T662" s="10">
        <f>IF(L662&gt;2005,(((N662-N682)/N682)+1)^(1/5)-1,0)</f>
        <v>0</v>
      </c>
      <c r="U662" s="10">
        <f t="shared" si="22"/>
        <v>0</v>
      </c>
      <c r="V662" s="26">
        <f t="shared" si="23"/>
        <v>0</v>
      </c>
      <c r="W662" s="3">
        <f>IF(A662=A663,N662-N663,0)</f>
        <v>9.9999999999999978E-2</v>
      </c>
      <c r="X662" s="10">
        <f>IF(A662=A663,(N662-N663)/N663,0)</f>
        <v>0.15151515151515146</v>
      </c>
    </row>
    <row r="663" spans="1:24" ht="16.5" customHeight="1">
      <c r="A663" s="3" t="s">
        <v>31</v>
      </c>
      <c r="B663" s="3">
        <f t="shared" si="16"/>
        <v>2018</v>
      </c>
      <c r="C663" s="3">
        <f t="shared" si="17"/>
        <v>2</v>
      </c>
      <c r="D663" s="20" t="str">
        <f t="shared" si="18"/>
        <v>PH20182</v>
      </c>
      <c r="E663" s="2">
        <v>43139</v>
      </c>
      <c r="F663" s="3">
        <v>0.66</v>
      </c>
      <c r="G663" s="2">
        <v>43161</v>
      </c>
      <c r="H663" s="3">
        <v>1.44E-2</v>
      </c>
      <c r="I663" s="3">
        <v>0</v>
      </c>
      <c r="J663" s="3">
        <v>0</v>
      </c>
      <c r="K663" s="3">
        <f t="shared" si="19"/>
        <v>0</v>
      </c>
      <c r="L663" s="3">
        <f t="shared" si="20"/>
        <v>2018</v>
      </c>
      <c r="M663" s="20" t="str">
        <f>A663&amp;L663</f>
        <v>PH2018</v>
      </c>
      <c r="N663" s="3">
        <f>F663</f>
        <v>0.66</v>
      </c>
      <c r="O663" s="9">
        <f>H663</f>
        <v>1.44E-2</v>
      </c>
      <c r="P663" s="10">
        <f t="shared" si="21"/>
        <v>0</v>
      </c>
      <c r="Q663" s="10">
        <f>IF(K663=0,IF(A660=A663,AVERAGE(O660:O663),"x"),0)</f>
        <v>1.6924999999999999E-2</v>
      </c>
      <c r="R663" s="9">
        <f>IF(L663&gt;2005,AVERAGE(O660:O679),0)</f>
        <v>1.8564999999999998E-2</v>
      </c>
      <c r="S663" s="10">
        <f>IF(A663=A664,(N663-N664)/N664,0)</f>
        <v>0</v>
      </c>
      <c r="T663" s="10">
        <f>IF(L663&gt;2005,(((N663-N683)/N683)+1)^(1/5)-1,0)</f>
        <v>8.9469548752426409E-2</v>
      </c>
      <c r="U663" s="10">
        <f t="shared" si="22"/>
        <v>0.10803454875242641</v>
      </c>
      <c r="V663" s="26">
        <f t="shared" si="23"/>
        <v>4.7542210561339537</v>
      </c>
      <c r="W663" s="3">
        <f>IF(A663=A664,N663-N664,0)</f>
        <v>0</v>
      </c>
      <c r="X663" s="10">
        <f>IF(A663=A664,(N663-N664)/N664,0)</f>
        <v>0</v>
      </c>
    </row>
    <row r="664" spans="1:24" ht="16.5" customHeight="1">
      <c r="A664" s="3" t="s">
        <v>31</v>
      </c>
      <c r="B664" s="3">
        <f t="shared" si="16"/>
        <v>2017</v>
      </c>
      <c r="C664" s="3">
        <f t="shared" si="17"/>
        <v>11</v>
      </c>
      <c r="D664" s="20" t="str">
        <f t="shared" si="18"/>
        <v>PH201711</v>
      </c>
      <c r="E664" s="2">
        <v>43048</v>
      </c>
      <c r="F664" s="3">
        <v>0.66</v>
      </c>
      <c r="G664" s="2">
        <v>43070</v>
      </c>
      <c r="H664" s="3">
        <v>1.43E-2</v>
      </c>
      <c r="I664" s="3">
        <v>0</v>
      </c>
      <c r="J664" s="3">
        <v>0</v>
      </c>
      <c r="K664" s="3">
        <f t="shared" si="19"/>
        <v>2017</v>
      </c>
      <c r="L664" s="3">
        <f t="shared" si="20"/>
        <v>0</v>
      </c>
      <c r="M664" s="20" t="str">
        <f>A664&amp;L664</f>
        <v>PH0</v>
      </c>
      <c r="N664" s="3">
        <f>F664</f>
        <v>0.66</v>
      </c>
      <c r="O664" s="9">
        <f>H664</f>
        <v>1.43E-2</v>
      </c>
      <c r="P664" s="10">
        <f t="shared" si="21"/>
        <v>0</v>
      </c>
      <c r="Q664" s="10">
        <f>IF(K664=0,IF(A661=A664,AVERAGE(O661:O664),"x"),0)</f>
        <v>0</v>
      </c>
      <c r="R664" s="9">
        <f>IF(L664&gt;2005,AVERAGE(O661:O680),0)</f>
        <v>0</v>
      </c>
      <c r="S664" s="10">
        <f>IF(A664=A665,(N664-N665)/N665,0)</f>
        <v>0</v>
      </c>
      <c r="T664" s="10">
        <f>IF(L664&gt;2005,(((N664-N684)/N684)+1)^(1/5)-1,0)</f>
        <v>0</v>
      </c>
      <c r="U664" s="10">
        <f t="shared" si="22"/>
        <v>0</v>
      </c>
      <c r="V664" s="26">
        <f t="shared" si="23"/>
        <v>0</v>
      </c>
      <c r="W664" s="3">
        <f>IF(A664=A665,N664-N665,0)</f>
        <v>0</v>
      </c>
      <c r="X664" s="10">
        <f>IF(A664=A665,(N664-N665)/N665,0)</f>
        <v>0</v>
      </c>
    </row>
    <row r="665" spans="1:24" ht="16.5" customHeight="1">
      <c r="A665" s="3" t="s">
        <v>31</v>
      </c>
      <c r="B665" s="3">
        <f t="shared" si="16"/>
        <v>2017</v>
      </c>
      <c r="C665" s="3">
        <f t="shared" si="17"/>
        <v>8</v>
      </c>
      <c r="D665" s="20" t="str">
        <f t="shared" si="18"/>
        <v>PH20178</v>
      </c>
      <c r="E665" s="2">
        <v>42971</v>
      </c>
      <c r="F665" s="3">
        <v>0.66</v>
      </c>
      <c r="G665" s="2">
        <v>42986</v>
      </c>
      <c r="H665" s="3">
        <v>1.6799999999999999E-2</v>
      </c>
      <c r="I665" s="3">
        <v>0</v>
      </c>
      <c r="J665" s="3">
        <v>0</v>
      </c>
      <c r="K665" s="3">
        <f t="shared" si="19"/>
        <v>2017</v>
      </c>
      <c r="L665" s="3">
        <f t="shared" si="20"/>
        <v>0</v>
      </c>
      <c r="M665" s="20" t="str">
        <f>A665&amp;L665</f>
        <v>PH0</v>
      </c>
      <c r="N665" s="3">
        <f>F665</f>
        <v>0.66</v>
      </c>
      <c r="O665" s="9">
        <f>H665</f>
        <v>1.6799999999999999E-2</v>
      </c>
      <c r="P665" s="10">
        <f t="shared" si="21"/>
        <v>0</v>
      </c>
      <c r="Q665" s="10">
        <f>IF(K665=0,IF(A662=A665,AVERAGE(O662:O665),"x"),0)</f>
        <v>0</v>
      </c>
      <c r="R665" s="9">
        <f>IF(L665&gt;2005,AVERAGE(O662:O681),0)</f>
        <v>0</v>
      </c>
      <c r="S665" s="10">
        <f>IF(A665=A666,(N665-N666)/N666,0)</f>
        <v>0</v>
      </c>
      <c r="T665" s="10">
        <f>IF(L665&gt;2005,(((N665-N685)/N685)+1)^(1/5)-1,0)</f>
        <v>0</v>
      </c>
      <c r="U665" s="10">
        <f t="shared" si="22"/>
        <v>0</v>
      </c>
      <c r="V665" s="26">
        <f t="shared" si="23"/>
        <v>0</v>
      </c>
      <c r="W665" s="3">
        <f>IF(A665=A666,N665-N666,0)</f>
        <v>0</v>
      </c>
      <c r="X665" s="10">
        <f>IF(A665=A666,(N665-N666)/N666,0)</f>
        <v>0</v>
      </c>
    </row>
    <row r="666" spans="1:24" ht="16.5" customHeight="1">
      <c r="A666" s="3" t="s">
        <v>31</v>
      </c>
      <c r="B666" s="3">
        <f t="shared" si="16"/>
        <v>2017</v>
      </c>
      <c r="C666" s="3">
        <f t="shared" si="17"/>
        <v>5</v>
      </c>
      <c r="D666" s="20" t="str">
        <f t="shared" si="18"/>
        <v>PH20175</v>
      </c>
      <c r="E666" s="2">
        <v>42863</v>
      </c>
      <c r="F666" s="3">
        <v>0.66</v>
      </c>
      <c r="G666" s="2">
        <v>42888</v>
      </c>
      <c r="H666" s="3">
        <v>1.66E-2</v>
      </c>
      <c r="I666" s="3">
        <v>0</v>
      </c>
      <c r="J666" s="3">
        <v>0</v>
      </c>
      <c r="K666" s="3">
        <f t="shared" si="19"/>
        <v>2017</v>
      </c>
      <c r="L666" s="3">
        <f t="shared" si="20"/>
        <v>0</v>
      </c>
      <c r="M666" s="20" t="str">
        <f>A666&amp;L666</f>
        <v>PH0</v>
      </c>
      <c r="N666" s="3">
        <f>F666</f>
        <v>0.66</v>
      </c>
      <c r="O666" s="9">
        <f>H666</f>
        <v>1.66E-2</v>
      </c>
      <c r="P666" s="10">
        <f t="shared" si="21"/>
        <v>0</v>
      </c>
      <c r="Q666" s="10">
        <f>IF(K666=0,IF(A663=A666,AVERAGE(O663:O666),"x"),0)</f>
        <v>0</v>
      </c>
      <c r="R666" s="9">
        <f>IF(L666&gt;2005,AVERAGE(O663:O682),0)</f>
        <v>0</v>
      </c>
      <c r="S666" s="10">
        <f>IF(A666=A667,(N666-N667)/N667,0)</f>
        <v>0</v>
      </c>
      <c r="T666" s="10">
        <f>IF(L666&gt;2005,(((N666-N686)/N686)+1)^(1/5)-1,0)</f>
        <v>0</v>
      </c>
      <c r="U666" s="10">
        <f t="shared" si="22"/>
        <v>0</v>
      </c>
      <c r="V666" s="26">
        <f t="shared" si="23"/>
        <v>0</v>
      </c>
      <c r="W666" s="3">
        <f>IF(A666=A667,N666-N667,0)</f>
        <v>0</v>
      </c>
      <c r="X666" s="10">
        <f>IF(A666=A667,(N666-N667)/N667,0)</f>
        <v>0</v>
      </c>
    </row>
    <row r="667" spans="1:24" ht="16.5" customHeight="1">
      <c r="A667" s="3" t="s">
        <v>31</v>
      </c>
      <c r="B667" s="3">
        <f t="shared" si="16"/>
        <v>2017</v>
      </c>
      <c r="C667" s="3">
        <f t="shared" si="17"/>
        <v>2</v>
      </c>
      <c r="D667" s="20" t="str">
        <f t="shared" si="18"/>
        <v>PH20172</v>
      </c>
      <c r="E667" s="2">
        <v>42774</v>
      </c>
      <c r="F667" s="3">
        <v>0.66</v>
      </c>
      <c r="G667" s="2">
        <v>42797</v>
      </c>
      <c r="H667" s="3">
        <v>1.78E-2</v>
      </c>
      <c r="I667" s="3">
        <v>4.7619047999999997E-2</v>
      </c>
      <c r="J667" s="3">
        <v>0.03</v>
      </c>
      <c r="K667" s="3">
        <f t="shared" si="19"/>
        <v>0</v>
      </c>
      <c r="L667" s="3">
        <f t="shared" si="20"/>
        <v>2017</v>
      </c>
      <c r="M667" s="20" t="str">
        <f>A667&amp;L667</f>
        <v>PH2017</v>
      </c>
      <c r="N667" s="3">
        <f>F667</f>
        <v>0.66</v>
      </c>
      <c r="O667" s="9">
        <f>H667</f>
        <v>1.78E-2</v>
      </c>
      <c r="P667" s="10">
        <f t="shared" si="21"/>
        <v>2.0200000000000003E-2</v>
      </c>
      <c r="Q667" s="10">
        <f>IF(K667=0,IF(A664=A667,AVERAGE(O664:O667),"x"),0)</f>
        <v>1.6375000000000001E-2</v>
      </c>
      <c r="R667" s="9">
        <f>IF(L667&gt;2005,AVERAGE(O664:O683),0)</f>
        <v>1.8589999999999999E-2</v>
      </c>
      <c r="S667" s="10">
        <f>IF(A667=A668,(N667-N668)/N668,0)</f>
        <v>4.7619047619047658E-2</v>
      </c>
      <c r="T667" s="10">
        <f>IF(L667&gt;2005,(((N667-N687)/N687)+1)^(1/5)-1,0)</f>
        <v>0.1109534595426207</v>
      </c>
      <c r="U667" s="10">
        <f t="shared" si="22"/>
        <v>0.1295434595426207</v>
      </c>
      <c r="V667" s="26">
        <f t="shared" si="23"/>
        <v>4.7584812193157893</v>
      </c>
      <c r="W667" s="3">
        <f>IF(A667=A668,N667-N668,0)</f>
        <v>3.0000000000000027E-2</v>
      </c>
      <c r="X667" s="10">
        <f>IF(A667=A668,(N667-N668)/N668,0)</f>
        <v>4.7619047619047658E-2</v>
      </c>
    </row>
    <row r="668" spans="1:24" ht="16.5" customHeight="1">
      <c r="A668" s="3" t="s">
        <v>31</v>
      </c>
      <c r="B668" s="3">
        <f t="shared" si="16"/>
        <v>2016</v>
      </c>
      <c r="C668" s="3">
        <f t="shared" si="17"/>
        <v>11</v>
      </c>
      <c r="D668" s="20" t="str">
        <f t="shared" si="18"/>
        <v>PH201611</v>
      </c>
      <c r="E668" s="2">
        <v>42682</v>
      </c>
      <c r="F668" s="3">
        <v>0.63</v>
      </c>
      <c r="G668" s="2">
        <v>42706</v>
      </c>
      <c r="H668" s="3">
        <v>2.01E-2</v>
      </c>
      <c r="I668" s="3">
        <v>0</v>
      </c>
      <c r="J668" s="3">
        <v>0</v>
      </c>
      <c r="K668" s="3">
        <f t="shared" si="19"/>
        <v>2016</v>
      </c>
      <c r="L668" s="3">
        <f t="shared" si="20"/>
        <v>0</v>
      </c>
      <c r="M668" s="20" t="str">
        <f>A668&amp;L668</f>
        <v>PH0</v>
      </c>
      <c r="N668" s="3">
        <f>F668</f>
        <v>0.63</v>
      </c>
      <c r="O668" s="9">
        <f>H668</f>
        <v>2.01E-2</v>
      </c>
      <c r="P668" s="10">
        <f t="shared" si="21"/>
        <v>0</v>
      </c>
      <c r="Q668" s="10">
        <f>IF(K668=0,IF(A665=A668,AVERAGE(O665:O668),"x"),0)</f>
        <v>0</v>
      </c>
      <c r="R668" s="9">
        <f>IF(L668&gt;2005,AVERAGE(O665:O684),0)</f>
        <v>0</v>
      </c>
      <c r="S668" s="10">
        <f>IF(A668=A669,(N668-N669)/N669,0)</f>
        <v>0</v>
      </c>
      <c r="T668" s="10">
        <f>IF(L668&gt;2005,(((N668-N688)/N688)+1)^(1/5)-1,0)</f>
        <v>0</v>
      </c>
      <c r="U668" s="10">
        <f t="shared" si="22"/>
        <v>0</v>
      </c>
      <c r="V668" s="26">
        <f t="shared" si="23"/>
        <v>0</v>
      </c>
      <c r="W668" s="3">
        <f>IF(A668=A669,N668-N669,0)</f>
        <v>0</v>
      </c>
      <c r="X668" s="10">
        <f>IF(A668=A669,(N668-N669)/N669,0)</f>
        <v>0</v>
      </c>
    </row>
    <row r="669" spans="1:24" ht="16.5" customHeight="1">
      <c r="A669" s="3" t="s">
        <v>31</v>
      </c>
      <c r="B669" s="3">
        <f t="shared" si="16"/>
        <v>2016</v>
      </c>
      <c r="C669" s="3">
        <f t="shared" si="17"/>
        <v>8</v>
      </c>
      <c r="D669" s="20" t="str">
        <f t="shared" si="18"/>
        <v>PH20168</v>
      </c>
      <c r="E669" s="2">
        <v>42607</v>
      </c>
      <c r="F669" s="3">
        <v>0.63</v>
      </c>
      <c r="G669" s="2">
        <v>42622</v>
      </c>
      <c r="H669" s="3">
        <v>2.0400000000000001E-2</v>
      </c>
      <c r="I669" s="3">
        <v>0</v>
      </c>
      <c r="J669" s="3">
        <v>0</v>
      </c>
      <c r="K669" s="3">
        <f t="shared" si="19"/>
        <v>2016</v>
      </c>
      <c r="L669" s="3">
        <f t="shared" si="20"/>
        <v>0</v>
      </c>
      <c r="M669" s="20" t="str">
        <f>A669&amp;L669</f>
        <v>PH0</v>
      </c>
      <c r="N669" s="3">
        <f>F669</f>
        <v>0.63</v>
      </c>
      <c r="O669" s="9">
        <f>H669</f>
        <v>2.0400000000000001E-2</v>
      </c>
      <c r="P669" s="10">
        <f t="shared" si="21"/>
        <v>0</v>
      </c>
      <c r="Q669" s="10">
        <f>IF(K669=0,IF(A666=A669,AVERAGE(O666:O669),"x"),0)</f>
        <v>0</v>
      </c>
      <c r="R669" s="9">
        <f>IF(L669&gt;2005,AVERAGE(O666:O685),0)</f>
        <v>0</v>
      </c>
      <c r="S669" s="10">
        <f>IF(A669=A670,(N669-N670)/N670,0)</f>
        <v>0</v>
      </c>
      <c r="T669" s="10">
        <f>IF(L669&gt;2005,(((N669-N689)/N689)+1)^(1/5)-1,0)</f>
        <v>0</v>
      </c>
      <c r="U669" s="10">
        <f t="shared" si="22"/>
        <v>0</v>
      </c>
      <c r="V669" s="26">
        <f t="shared" si="23"/>
        <v>0</v>
      </c>
      <c r="W669" s="3">
        <f>IF(A669=A670,N669-N670,0)</f>
        <v>0</v>
      </c>
      <c r="X669" s="10">
        <f>IF(A669=A670,(N669-N670)/N670,0)</f>
        <v>0</v>
      </c>
    </row>
    <row r="670" spans="1:24" ht="16.5" customHeight="1">
      <c r="A670" s="3" t="s">
        <v>31</v>
      </c>
      <c r="B670" s="3">
        <f t="shared" si="16"/>
        <v>2016</v>
      </c>
      <c r="C670" s="3">
        <f t="shared" si="17"/>
        <v>5</v>
      </c>
      <c r="D670" s="20" t="str">
        <f t="shared" si="18"/>
        <v>PH20165</v>
      </c>
      <c r="E670" s="2">
        <v>42496</v>
      </c>
      <c r="F670" s="3">
        <v>0.63</v>
      </c>
      <c r="G670" s="2">
        <v>42524</v>
      </c>
      <c r="H670" s="3">
        <v>2.2499999999999999E-2</v>
      </c>
      <c r="I670" s="3">
        <v>0</v>
      </c>
      <c r="J670" s="3">
        <v>0</v>
      </c>
      <c r="K670" s="3">
        <f t="shared" si="19"/>
        <v>2016</v>
      </c>
      <c r="L670" s="3">
        <f t="shared" si="20"/>
        <v>0</v>
      </c>
      <c r="M670" s="20" t="str">
        <f>A670&amp;L670</f>
        <v>PH0</v>
      </c>
      <c r="N670" s="3">
        <f>F670</f>
        <v>0.63</v>
      </c>
      <c r="O670" s="9">
        <f>H670</f>
        <v>2.2499999999999999E-2</v>
      </c>
      <c r="P670" s="10">
        <f t="shared" si="21"/>
        <v>0</v>
      </c>
      <c r="Q670" s="10">
        <f>IF(K670=0,IF(A667=A670,AVERAGE(O667:O670),"x"),0)</f>
        <v>0</v>
      </c>
      <c r="R670" s="9">
        <f>IF(L670&gt;2005,AVERAGE(O667:O686),0)</f>
        <v>0</v>
      </c>
      <c r="S670" s="10">
        <f>IF(A670=A671,(N670-N671)/N671,0)</f>
        <v>0</v>
      </c>
      <c r="T670" s="10">
        <f>IF(L670&gt;2005,(((N670-N690)/N690)+1)^(1/5)-1,0)</f>
        <v>0</v>
      </c>
      <c r="U670" s="10">
        <f t="shared" si="22"/>
        <v>0</v>
      </c>
      <c r="V670" s="26">
        <f t="shared" si="23"/>
        <v>0</v>
      </c>
      <c r="W670" s="3">
        <f>IF(A670=A671,N670-N671,0)</f>
        <v>0</v>
      </c>
      <c r="X670" s="10">
        <f>IF(A670=A671,(N670-N671)/N671,0)</f>
        <v>0</v>
      </c>
    </row>
    <row r="671" spans="1:24" ht="16.5" customHeight="1">
      <c r="A671" s="3" t="s">
        <v>31</v>
      </c>
      <c r="B671" s="3">
        <f t="shared" si="16"/>
        <v>2016</v>
      </c>
      <c r="C671" s="3">
        <f t="shared" si="17"/>
        <v>2</v>
      </c>
      <c r="D671" s="20" t="str">
        <f t="shared" si="18"/>
        <v>PH20162</v>
      </c>
      <c r="E671" s="2">
        <v>42408</v>
      </c>
      <c r="F671" s="3">
        <v>0.63</v>
      </c>
      <c r="G671" s="2">
        <v>42433</v>
      </c>
      <c r="H671" s="3">
        <v>2.4799999999999999E-2</v>
      </c>
      <c r="I671" s="3">
        <v>0</v>
      </c>
      <c r="J671" s="3">
        <v>0</v>
      </c>
      <c r="K671" s="3">
        <f t="shared" si="19"/>
        <v>0</v>
      </c>
      <c r="L671" s="3">
        <f t="shared" si="20"/>
        <v>2016</v>
      </c>
      <c r="M671" s="20" t="str">
        <f>A671&amp;L671</f>
        <v>PH2016</v>
      </c>
      <c r="N671" s="3">
        <f>F671</f>
        <v>0.63</v>
      </c>
      <c r="O671" s="9">
        <f>H671</f>
        <v>2.4799999999999999E-2</v>
      </c>
      <c r="P671" s="10">
        <f t="shared" si="21"/>
        <v>0</v>
      </c>
      <c r="Q671" s="10">
        <f>IF(K671=0,IF(A668=A671,AVERAGE(O668:O671),"x"),0)</f>
        <v>2.1950000000000001E-2</v>
      </c>
      <c r="R671" s="9">
        <f>IF(L671&gt;2005,AVERAGE(O668:O687),0)</f>
        <v>1.9049999999999997E-2</v>
      </c>
      <c r="S671" s="10">
        <f>IF(A671=A672,(N671-N672)/N672,0)</f>
        <v>0</v>
      </c>
      <c r="T671" s="10">
        <f>IF(L671&gt;2005,(((N671-N691)/N691)+1)^(1/5)-1,0)</f>
        <v>0.14508602446179131</v>
      </c>
      <c r="U671" s="10">
        <f t="shared" si="22"/>
        <v>0.16413602446179132</v>
      </c>
      <c r="V671" s="26">
        <f t="shared" si="23"/>
        <v>4.7598293464237118</v>
      </c>
      <c r="W671" s="3">
        <f>IF(A671=A672,N671-N672,0)</f>
        <v>0</v>
      </c>
      <c r="X671" s="10">
        <f>IF(A671=A672,(N671-N672)/N672,0)</f>
        <v>0</v>
      </c>
    </row>
    <row r="672" spans="1:24" ht="16.5" customHeight="1">
      <c r="A672" s="3" t="s">
        <v>31</v>
      </c>
      <c r="B672" s="3">
        <f t="shared" si="16"/>
        <v>2015</v>
      </c>
      <c r="C672" s="3">
        <f t="shared" si="17"/>
        <v>11</v>
      </c>
      <c r="D672" s="20" t="str">
        <f t="shared" si="18"/>
        <v>PH201511</v>
      </c>
      <c r="E672" s="2">
        <v>42314</v>
      </c>
      <c r="F672" s="3">
        <v>0.63</v>
      </c>
      <c r="G672" s="2">
        <v>42342</v>
      </c>
      <c r="H672" s="3">
        <v>2.3699999999999999E-2</v>
      </c>
      <c r="I672" s="3">
        <v>0</v>
      </c>
      <c r="J672" s="3">
        <v>0</v>
      </c>
      <c r="K672" s="3">
        <f t="shared" si="19"/>
        <v>2015</v>
      </c>
      <c r="L672" s="3">
        <f t="shared" si="20"/>
        <v>0</v>
      </c>
      <c r="M672" s="20" t="str">
        <f>A672&amp;L672</f>
        <v>PH0</v>
      </c>
      <c r="N672" s="3">
        <f>F672</f>
        <v>0.63</v>
      </c>
      <c r="O672" s="9">
        <f>H672</f>
        <v>2.3699999999999999E-2</v>
      </c>
      <c r="P672" s="10">
        <f t="shared" si="21"/>
        <v>0</v>
      </c>
      <c r="Q672" s="10">
        <f>IF(K672=0,IF(A669=A672,AVERAGE(O669:O672),"x"),0)</f>
        <v>0</v>
      </c>
      <c r="R672" s="9">
        <f>IF(L672&gt;2005,AVERAGE(O669:O688),0)</f>
        <v>0</v>
      </c>
      <c r="S672" s="10">
        <f>IF(A672=A673,(N672-N673)/N673,0)</f>
        <v>0</v>
      </c>
      <c r="T672" s="10">
        <f>IF(L672&gt;2005,(((N672-N692)/N692)+1)^(1/5)-1,0)</f>
        <v>0</v>
      </c>
      <c r="U672" s="10">
        <f t="shared" si="22"/>
        <v>0</v>
      </c>
      <c r="V672" s="26">
        <f t="shared" si="23"/>
        <v>0</v>
      </c>
      <c r="W672" s="3">
        <f>IF(A672=A673,N672-N673,0)</f>
        <v>0</v>
      </c>
      <c r="X672" s="10">
        <f>IF(A672=A673,(N672-N673)/N673,0)</f>
        <v>0</v>
      </c>
    </row>
    <row r="673" spans="1:24" ht="16.5" customHeight="1">
      <c r="A673" s="3" t="s">
        <v>31</v>
      </c>
      <c r="B673" s="3">
        <f t="shared" si="16"/>
        <v>2015</v>
      </c>
      <c r="C673" s="3">
        <f t="shared" si="17"/>
        <v>8</v>
      </c>
      <c r="D673" s="20" t="str">
        <f t="shared" si="18"/>
        <v>PH20158</v>
      </c>
      <c r="E673" s="2">
        <v>42242</v>
      </c>
      <c r="F673" s="3">
        <v>0.63</v>
      </c>
      <c r="G673" s="2">
        <v>42258</v>
      </c>
      <c r="H673" s="3">
        <v>2.5100000000000001E-2</v>
      </c>
      <c r="I673" s="3">
        <v>0</v>
      </c>
      <c r="J673" s="3">
        <v>0</v>
      </c>
      <c r="K673" s="3">
        <f t="shared" si="19"/>
        <v>2015</v>
      </c>
      <c r="L673" s="3">
        <f t="shared" si="20"/>
        <v>0</v>
      </c>
      <c r="M673" s="20" t="str">
        <f>A673&amp;L673</f>
        <v>PH0</v>
      </c>
      <c r="N673" s="3">
        <f>F673</f>
        <v>0.63</v>
      </c>
      <c r="O673" s="9">
        <f>H673</f>
        <v>2.5100000000000001E-2</v>
      </c>
      <c r="P673" s="10">
        <f t="shared" si="21"/>
        <v>0</v>
      </c>
      <c r="Q673" s="10">
        <f>IF(K673=0,IF(A670=A673,AVERAGE(O670:O673),"x"),0)</f>
        <v>0</v>
      </c>
      <c r="R673" s="9">
        <f>IF(L673&gt;2005,AVERAGE(O670:O689),0)</f>
        <v>0</v>
      </c>
      <c r="S673" s="10">
        <f>IF(A673=A674,(N673-N674)/N674,0)</f>
        <v>0</v>
      </c>
      <c r="T673" s="10">
        <f>IF(L673&gt;2005,(((N673-N693)/N693)+1)^(1/5)-1,0)</f>
        <v>0</v>
      </c>
      <c r="U673" s="10">
        <f t="shared" si="22"/>
        <v>0</v>
      </c>
      <c r="V673" s="26">
        <f t="shared" si="23"/>
        <v>0</v>
      </c>
      <c r="W673" s="3">
        <f>IF(A673=A674,N673-N674,0)</f>
        <v>0</v>
      </c>
      <c r="X673" s="10">
        <f>IF(A673=A674,(N673-N674)/N674,0)</f>
        <v>0</v>
      </c>
    </row>
    <row r="674" spans="1:24" ht="16.5" customHeight="1">
      <c r="A674" s="3" t="s">
        <v>31</v>
      </c>
      <c r="B674" s="3">
        <f t="shared" si="16"/>
        <v>2015</v>
      </c>
      <c r="C674" s="3">
        <f t="shared" si="17"/>
        <v>5</v>
      </c>
      <c r="D674" s="20" t="str">
        <f t="shared" si="18"/>
        <v>PH20155</v>
      </c>
      <c r="E674" s="2">
        <v>42130</v>
      </c>
      <c r="F674" s="3">
        <v>0.63</v>
      </c>
      <c r="G674" s="2">
        <v>42160</v>
      </c>
      <c r="H674" s="3">
        <v>1.9400000000000001E-2</v>
      </c>
      <c r="I674" s="3">
        <v>0</v>
      </c>
      <c r="J674" s="3">
        <v>0</v>
      </c>
      <c r="K674" s="3">
        <f t="shared" si="19"/>
        <v>2015</v>
      </c>
      <c r="L674" s="3">
        <f t="shared" si="20"/>
        <v>0</v>
      </c>
      <c r="M674" s="20" t="str">
        <f>A674&amp;L674</f>
        <v>PH0</v>
      </c>
      <c r="N674" s="3">
        <f>F674</f>
        <v>0.63</v>
      </c>
      <c r="O674" s="9">
        <f>H674</f>
        <v>1.9400000000000001E-2</v>
      </c>
      <c r="P674" s="10">
        <f t="shared" si="21"/>
        <v>0</v>
      </c>
      <c r="Q674" s="10">
        <f>IF(K674=0,IF(A671=A674,AVERAGE(O671:O674),"x"),0)</f>
        <v>0</v>
      </c>
      <c r="R674" s="9">
        <f>IF(L674&gt;2005,AVERAGE(O671:O690),0)</f>
        <v>0</v>
      </c>
      <c r="S674" s="10">
        <f>IF(A674=A675,(N674-N675)/N675,0)</f>
        <v>0</v>
      </c>
      <c r="T674" s="10">
        <f>IF(L674&gt;2005,(((N674-N694)/N694)+1)^(1/5)-1,0)</f>
        <v>0</v>
      </c>
      <c r="U674" s="10">
        <f t="shared" si="22"/>
        <v>0</v>
      </c>
      <c r="V674" s="26">
        <f t="shared" si="23"/>
        <v>0</v>
      </c>
      <c r="W674" s="3">
        <f>IF(A674=A675,N674-N675,0)</f>
        <v>0</v>
      </c>
      <c r="X674" s="10">
        <f>IF(A674=A675,(N674-N675)/N675,0)</f>
        <v>0</v>
      </c>
    </row>
    <row r="675" spans="1:24" ht="16.5" customHeight="1">
      <c r="A675" s="3" t="s">
        <v>31</v>
      </c>
      <c r="B675" s="3">
        <f t="shared" si="16"/>
        <v>2015</v>
      </c>
      <c r="C675" s="3">
        <f t="shared" si="17"/>
        <v>2</v>
      </c>
      <c r="D675" s="20" t="str">
        <f t="shared" si="18"/>
        <v>PH20152</v>
      </c>
      <c r="E675" s="2">
        <v>42041</v>
      </c>
      <c r="F675" s="3">
        <v>0.63</v>
      </c>
      <c r="G675" s="2">
        <v>42069</v>
      </c>
      <c r="H675" s="3">
        <v>1.84E-2</v>
      </c>
      <c r="I675" s="3">
        <v>0</v>
      </c>
      <c r="J675" s="3">
        <v>0</v>
      </c>
      <c r="K675" s="3">
        <f t="shared" si="19"/>
        <v>0</v>
      </c>
      <c r="L675" s="3">
        <f t="shared" si="20"/>
        <v>2015</v>
      </c>
      <c r="M675" s="20" t="str">
        <f>A675&amp;L675</f>
        <v>PH2015</v>
      </c>
      <c r="N675" s="3">
        <f>F675</f>
        <v>0.63</v>
      </c>
      <c r="O675" s="9">
        <f>H675</f>
        <v>1.84E-2</v>
      </c>
      <c r="P675" s="10">
        <f t="shared" si="21"/>
        <v>0</v>
      </c>
      <c r="Q675" s="10">
        <f>IF(K675=0,IF(A672=A675,AVERAGE(O672:O675),"x"),0)</f>
        <v>2.1649999999999999E-2</v>
      </c>
      <c r="R675" s="9">
        <f>IF(L675&gt;2005,AVERAGE(O672:O691),0)</f>
        <v>1.7835000000000004E-2</v>
      </c>
      <c r="S675" s="10">
        <f>IF(A675=A676,(N675-N676)/N676,0)</f>
        <v>0</v>
      </c>
      <c r="T675" s="10">
        <f>IF(L675&gt;2005,(((N675-N695)/N695)+1)^(1/5)-1,0)</f>
        <v>0.20304011267322686</v>
      </c>
      <c r="U675" s="10">
        <f t="shared" si="22"/>
        <v>0.22087511267322685</v>
      </c>
      <c r="V675" s="26">
        <f t="shared" si="23"/>
        <v>4.7850959949831084</v>
      </c>
      <c r="W675" s="3">
        <f>IF(A675=A676,N675-N676,0)</f>
        <v>0</v>
      </c>
      <c r="X675" s="10">
        <f>IF(A675=A676,(N675-N676)/N676,0)</f>
        <v>0</v>
      </c>
    </row>
    <row r="676" spans="1:24" ht="16.5" customHeight="1">
      <c r="A676" s="3" t="s">
        <v>31</v>
      </c>
      <c r="B676" s="3">
        <f t="shared" si="16"/>
        <v>2014</v>
      </c>
      <c r="C676" s="3">
        <f t="shared" si="17"/>
        <v>11</v>
      </c>
      <c r="D676" s="20" t="str">
        <f t="shared" si="18"/>
        <v>PH201411</v>
      </c>
      <c r="E676" s="2">
        <v>41949</v>
      </c>
      <c r="F676" s="3">
        <v>0.63</v>
      </c>
      <c r="G676" s="2">
        <v>41978</v>
      </c>
      <c r="H676" s="3">
        <v>1.6199999999999999E-2</v>
      </c>
      <c r="I676" s="3">
        <v>0.3125</v>
      </c>
      <c r="J676" s="3">
        <v>0.15</v>
      </c>
      <c r="K676" s="3">
        <f t="shared" si="19"/>
        <v>2014</v>
      </c>
      <c r="L676" s="3">
        <f t="shared" si="20"/>
        <v>0</v>
      </c>
      <c r="M676" s="20" t="str">
        <f>A676&amp;L676</f>
        <v>PH0</v>
      </c>
      <c r="N676" s="3">
        <f>F676</f>
        <v>0.63</v>
      </c>
      <c r="O676" s="9">
        <f>H676</f>
        <v>1.6199999999999999E-2</v>
      </c>
      <c r="P676" s="10">
        <f t="shared" si="21"/>
        <v>1.5925000000000002E-2</v>
      </c>
      <c r="Q676" s="10">
        <f>IF(K676=0,IF(A673=A676,AVERAGE(O673:O676),"x"),0)</f>
        <v>0</v>
      </c>
      <c r="R676" s="9">
        <f>IF(L676&gt;2005,AVERAGE(O673:O692),0)</f>
        <v>0</v>
      </c>
      <c r="S676" s="10">
        <f>IF(A676=A677,(N676-N677)/N677,0)</f>
        <v>0.31250000000000006</v>
      </c>
      <c r="T676" s="10">
        <f>IF(L676&gt;2005,(((N676-N696)/N696)+1)^(1/5)-1,0)</f>
        <v>0</v>
      </c>
      <c r="U676" s="10">
        <f t="shared" si="22"/>
        <v>0</v>
      </c>
      <c r="V676" s="26">
        <f t="shared" si="23"/>
        <v>0</v>
      </c>
      <c r="W676" s="3">
        <f>IF(A676=A677,N676-N677,0)</f>
        <v>0.15000000000000002</v>
      </c>
      <c r="X676" s="10">
        <f>IF(A676=A677,(N676-N677)/N677,0)</f>
        <v>0.31250000000000006</v>
      </c>
    </row>
    <row r="677" spans="1:24" ht="16.5" customHeight="1">
      <c r="A677" s="3" t="s">
        <v>31</v>
      </c>
      <c r="B677" s="3">
        <f t="shared" si="16"/>
        <v>2014</v>
      </c>
      <c r="C677" s="3">
        <f t="shared" si="17"/>
        <v>8</v>
      </c>
      <c r="D677" s="20" t="str">
        <f t="shared" si="18"/>
        <v>PH20148</v>
      </c>
      <c r="E677" s="2">
        <v>41877</v>
      </c>
      <c r="F677" s="3">
        <v>0.48</v>
      </c>
      <c r="G677" s="2">
        <v>41894</v>
      </c>
      <c r="H677" s="3">
        <v>1.6199999999999999E-2</v>
      </c>
      <c r="I677" s="3">
        <v>0</v>
      </c>
      <c r="J677" s="3">
        <v>0</v>
      </c>
      <c r="K677" s="3">
        <f t="shared" si="19"/>
        <v>2014</v>
      </c>
      <c r="L677" s="3">
        <f t="shared" si="20"/>
        <v>0</v>
      </c>
      <c r="M677" s="20" t="str">
        <f>A677&amp;L677</f>
        <v>PH0</v>
      </c>
      <c r="N677" s="3">
        <f>F677</f>
        <v>0.48</v>
      </c>
      <c r="O677" s="9">
        <f>H677</f>
        <v>1.6199999999999999E-2</v>
      </c>
      <c r="P677" s="10">
        <f t="shared" si="21"/>
        <v>0</v>
      </c>
      <c r="Q677" s="10">
        <f>IF(K677=0,IF(A674=A677,AVERAGE(O674:O677),"x"),0)</f>
        <v>0</v>
      </c>
      <c r="R677" s="9">
        <f>IF(L677&gt;2005,AVERAGE(O674:O693),0)</f>
        <v>0</v>
      </c>
      <c r="S677" s="10">
        <f>IF(A677=A678,(N677-N678)/N678,0)</f>
        <v>0</v>
      </c>
      <c r="T677" s="10">
        <f>IF(L677&gt;2005,(((N677-N697)/N697)+1)^(1/5)-1,0)</f>
        <v>0</v>
      </c>
      <c r="U677" s="10">
        <f t="shared" si="22"/>
        <v>0</v>
      </c>
      <c r="V677" s="26">
        <f t="shared" si="23"/>
        <v>0</v>
      </c>
      <c r="W677" s="3">
        <f>IF(A677=A678,N677-N678,0)</f>
        <v>0</v>
      </c>
      <c r="X677" s="10">
        <f>IF(A677=A678,(N677-N678)/N678,0)</f>
        <v>0</v>
      </c>
    </row>
    <row r="678" spans="1:24" ht="16.5" customHeight="1">
      <c r="A678" s="3" t="s">
        <v>31</v>
      </c>
      <c r="B678" s="3">
        <f t="shared" si="16"/>
        <v>2014</v>
      </c>
      <c r="C678" s="3">
        <f t="shared" si="17"/>
        <v>5</v>
      </c>
      <c r="D678" s="20" t="str">
        <f t="shared" si="18"/>
        <v>PH20145</v>
      </c>
      <c r="E678" s="2">
        <v>41766</v>
      </c>
      <c r="F678" s="3">
        <v>0.48</v>
      </c>
      <c r="G678" s="2">
        <v>41796</v>
      </c>
      <c r="H678" s="3">
        <v>1.5100000000000001E-2</v>
      </c>
      <c r="I678" s="3">
        <v>0</v>
      </c>
      <c r="J678" s="3">
        <v>0</v>
      </c>
      <c r="K678" s="3">
        <f t="shared" si="19"/>
        <v>2014</v>
      </c>
      <c r="L678" s="3">
        <f t="shared" si="20"/>
        <v>0</v>
      </c>
      <c r="M678" s="20" t="str">
        <f>A678&amp;L678</f>
        <v>PH0</v>
      </c>
      <c r="N678" s="3">
        <f>F678</f>
        <v>0.48</v>
      </c>
      <c r="O678" s="9">
        <f>H678</f>
        <v>1.5100000000000001E-2</v>
      </c>
      <c r="P678" s="10">
        <f t="shared" si="21"/>
        <v>0</v>
      </c>
      <c r="Q678" s="10">
        <f>IF(K678=0,IF(A675=A678,AVERAGE(O675:O678),"x"),0)</f>
        <v>0</v>
      </c>
      <c r="R678" s="9">
        <f>IF(L678&gt;2005,AVERAGE(O675:O694),0)</f>
        <v>0</v>
      </c>
      <c r="S678" s="10">
        <f>IF(A678=A679,(N678-N679)/N679,0)</f>
        <v>0</v>
      </c>
      <c r="T678" s="10">
        <f>IF(L678&gt;2005,(((N678-N698)/N698)+1)^(1/5)-1,0)</f>
        <v>0</v>
      </c>
      <c r="U678" s="10">
        <f t="shared" si="22"/>
        <v>0</v>
      </c>
      <c r="V678" s="26">
        <f t="shared" si="23"/>
        <v>0</v>
      </c>
      <c r="W678" s="3">
        <f>IF(A678=A679,N678-N679,0)</f>
        <v>0</v>
      </c>
      <c r="X678" s="10">
        <f>IF(A678=A679,(N678-N679)/N679,0)</f>
        <v>0</v>
      </c>
    </row>
    <row r="679" spans="1:24" ht="16.5" customHeight="1">
      <c r="A679" s="3" t="s">
        <v>31</v>
      </c>
      <c r="B679" s="3">
        <f t="shared" si="16"/>
        <v>2014</v>
      </c>
      <c r="C679" s="3">
        <f t="shared" si="17"/>
        <v>2</v>
      </c>
      <c r="D679" s="20" t="str">
        <f t="shared" si="18"/>
        <v>PH20142</v>
      </c>
      <c r="E679" s="2">
        <v>41676</v>
      </c>
      <c r="F679" s="3">
        <v>0.48</v>
      </c>
      <c r="G679" s="2">
        <v>41705</v>
      </c>
      <c r="H679" s="3">
        <v>1.6199999999999999E-2</v>
      </c>
      <c r="I679" s="3">
        <v>6.6666666999999999E-2</v>
      </c>
      <c r="J679" s="3">
        <v>0.03</v>
      </c>
      <c r="K679" s="3">
        <f t="shared" si="19"/>
        <v>0</v>
      </c>
      <c r="L679" s="3">
        <f t="shared" si="20"/>
        <v>2014</v>
      </c>
      <c r="M679" s="20" t="str">
        <f>A679&amp;L679</f>
        <v>PH2014</v>
      </c>
      <c r="N679" s="3">
        <f>F679</f>
        <v>0.48</v>
      </c>
      <c r="O679" s="9">
        <f>H679</f>
        <v>1.6199999999999999E-2</v>
      </c>
      <c r="P679" s="10">
        <f t="shared" si="21"/>
        <v>1.6674999999999999E-2</v>
      </c>
      <c r="Q679" s="10">
        <f>IF(K679=0,IF(A676=A679,AVERAGE(O676:O679),"x"),0)</f>
        <v>1.5925000000000002E-2</v>
      </c>
      <c r="R679" s="9">
        <f>IF(L679&gt;2005,AVERAGE(O676:O695),0)</f>
        <v>1.6590000000000001E-2</v>
      </c>
      <c r="S679" s="10">
        <f>IF(A679=A680,(N679-N680)/N680,0)</f>
        <v>6.6666666666666596E-2</v>
      </c>
      <c r="T679" s="10">
        <f>IF(L679&gt;2005,(((N679-N699)/N699)+1)^(1/5)-1,0)</f>
        <v>0.13935810405670246</v>
      </c>
      <c r="U679" s="10">
        <f t="shared" si="22"/>
        <v>0.15594810405670245</v>
      </c>
      <c r="V679" s="26">
        <f t="shared" si="23"/>
        <v>4.7887975964932528</v>
      </c>
      <c r="W679" s="3">
        <f>IF(A679=A680,N679-N680,0)</f>
        <v>2.9999999999999971E-2</v>
      </c>
      <c r="X679" s="10">
        <f>IF(A679=A680,(N679-N680)/N680,0)</f>
        <v>6.6666666666666596E-2</v>
      </c>
    </row>
    <row r="680" spans="1:24" ht="16.5" customHeight="1">
      <c r="A680" s="3" t="s">
        <v>31</v>
      </c>
      <c r="B680" s="3">
        <f t="shared" si="16"/>
        <v>2013</v>
      </c>
      <c r="C680" s="3">
        <f t="shared" si="17"/>
        <v>11</v>
      </c>
      <c r="D680" s="20" t="str">
        <f t="shared" si="18"/>
        <v>PH201311</v>
      </c>
      <c r="E680" s="2">
        <v>41584</v>
      </c>
      <c r="F680" s="3">
        <v>0.45</v>
      </c>
      <c r="G680" s="2">
        <v>41614</v>
      </c>
      <c r="H680" s="3">
        <v>1.54E-2</v>
      </c>
      <c r="I680" s="3">
        <v>0</v>
      </c>
      <c r="J680" s="3">
        <v>0</v>
      </c>
      <c r="K680" s="3">
        <f t="shared" si="19"/>
        <v>2013</v>
      </c>
      <c r="L680" s="3">
        <f t="shared" si="20"/>
        <v>0</v>
      </c>
      <c r="M680" s="20" t="str">
        <f>A680&amp;L680</f>
        <v>PH0</v>
      </c>
      <c r="N680" s="3">
        <f>F680</f>
        <v>0.45</v>
      </c>
      <c r="O680" s="9">
        <f>H680</f>
        <v>1.54E-2</v>
      </c>
      <c r="P680" s="10">
        <f t="shared" si="21"/>
        <v>0</v>
      </c>
      <c r="Q680" s="10">
        <f>IF(K680=0,IF(A677=A680,AVERAGE(O677:O680),"x"),0)</f>
        <v>0</v>
      </c>
      <c r="R680" s="9">
        <f>IF(L680&gt;2005,AVERAGE(O677:O696),0)</f>
        <v>0</v>
      </c>
      <c r="S680" s="10">
        <f>IF(A680=A681,(N680-N681)/N681,0)</f>
        <v>0</v>
      </c>
      <c r="T680" s="10">
        <f>IF(L680&gt;2005,(((N680-N700)/N700)+1)^(1/5)-1,0)</f>
        <v>0</v>
      </c>
      <c r="U680" s="10">
        <f t="shared" si="22"/>
        <v>0</v>
      </c>
      <c r="V680" s="26">
        <f t="shared" si="23"/>
        <v>0</v>
      </c>
      <c r="W680" s="3">
        <f>IF(A680=A681,N680-N681,0)</f>
        <v>0</v>
      </c>
      <c r="X680" s="10">
        <f>IF(A680=A681,(N680-N681)/N681,0)</f>
        <v>0</v>
      </c>
    </row>
    <row r="681" spans="1:24" ht="16.5" customHeight="1">
      <c r="A681" s="3" t="s">
        <v>31</v>
      </c>
      <c r="B681" s="3">
        <f t="shared" si="16"/>
        <v>2013</v>
      </c>
      <c r="C681" s="3">
        <f t="shared" si="17"/>
        <v>8</v>
      </c>
      <c r="D681" s="20" t="str">
        <f t="shared" si="18"/>
        <v>PH20138</v>
      </c>
      <c r="E681" s="2">
        <v>41509</v>
      </c>
      <c r="F681" s="3">
        <v>0.45</v>
      </c>
      <c r="G681" s="2">
        <v>41523</v>
      </c>
      <c r="H681" s="3">
        <v>1.6799999999999999E-2</v>
      </c>
      <c r="I681" s="3">
        <v>0</v>
      </c>
      <c r="J681" s="3">
        <v>0</v>
      </c>
      <c r="K681" s="3">
        <f t="shared" si="19"/>
        <v>2013</v>
      </c>
      <c r="L681" s="3">
        <f t="shared" si="20"/>
        <v>0</v>
      </c>
      <c r="M681" s="20" t="str">
        <f>A681&amp;L681</f>
        <v>PH0</v>
      </c>
      <c r="N681" s="3">
        <f>F681</f>
        <v>0.45</v>
      </c>
      <c r="O681" s="9">
        <f>H681</f>
        <v>1.6799999999999999E-2</v>
      </c>
      <c r="P681" s="10">
        <f t="shared" si="21"/>
        <v>0</v>
      </c>
      <c r="Q681" s="10">
        <f>IF(K681=0,IF(A678=A681,AVERAGE(O678:O681),"x"),0)</f>
        <v>0</v>
      </c>
      <c r="R681" s="9">
        <f>IF(L681&gt;2005,AVERAGE(O678:O697),0)</f>
        <v>0</v>
      </c>
      <c r="S681" s="10">
        <f>IF(A681=A682,(N681-N682)/N682,0)</f>
        <v>0</v>
      </c>
      <c r="T681" s="10">
        <f>IF(L681&gt;2005,(((N681-N701)/N701)+1)^(1/5)-1,0)</f>
        <v>0</v>
      </c>
      <c r="U681" s="10">
        <f t="shared" si="22"/>
        <v>0</v>
      </c>
      <c r="V681" s="26">
        <f t="shared" si="23"/>
        <v>0</v>
      </c>
      <c r="W681" s="3">
        <f>IF(A681=A682,N681-N682,0)</f>
        <v>0</v>
      </c>
      <c r="X681" s="10">
        <f>IF(A681=A682,(N681-N682)/N682,0)</f>
        <v>0</v>
      </c>
    </row>
    <row r="682" spans="1:24" ht="16.5" customHeight="1">
      <c r="A682" s="3" t="s">
        <v>31</v>
      </c>
      <c r="B682" s="3">
        <f t="shared" si="16"/>
        <v>2013</v>
      </c>
      <c r="C682" s="3">
        <f t="shared" si="17"/>
        <v>5</v>
      </c>
      <c r="D682" s="20" t="str">
        <f t="shared" si="18"/>
        <v>PH20135</v>
      </c>
      <c r="E682" s="2">
        <v>41402</v>
      </c>
      <c r="F682" s="3">
        <v>0.45</v>
      </c>
      <c r="G682" s="2">
        <v>41432</v>
      </c>
      <c r="H682" s="3">
        <v>1.83E-2</v>
      </c>
      <c r="I682" s="3">
        <v>4.6511627999999999E-2</v>
      </c>
      <c r="J682" s="3">
        <v>0.02</v>
      </c>
      <c r="K682" s="3">
        <f t="shared" si="19"/>
        <v>2013</v>
      </c>
      <c r="L682" s="3">
        <f t="shared" si="20"/>
        <v>0</v>
      </c>
      <c r="M682" s="20" t="str">
        <f>A682&amp;L682</f>
        <v>PH0</v>
      </c>
      <c r="N682" s="3">
        <f>F682</f>
        <v>0.45</v>
      </c>
      <c r="O682" s="9">
        <f>H682</f>
        <v>1.83E-2</v>
      </c>
      <c r="P682" s="10">
        <f t="shared" si="21"/>
        <v>1.8850000000000002E-2</v>
      </c>
      <c r="Q682" s="10">
        <f>IF(K682=0,IF(A679=A682,AVERAGE(O679:O682),"x"),0)</f>
        <v>0</v>
      </c>
      <c r="R682" s="9">
        <f>IF(L682&gt;2005,AVERAGE(O679:O698),0)</f>
        <v>0</v>
      </c>
      <c r="S682" s="10">
        <f>IF(A682=A683,(N682-N683)/N683,0)</f>
        <v>4.6511627906976785E-2</v>
      </c>
      <c r="T682" s="10">
        <f>IF(L682&gt;2005,(((N682-N702)/N702)+1)^(1/5)-1,0)</f>
        <v>0</v>
      </c>
      <c r="U682" s="10">
        <f t="shared" si="22"/>
        <v>0</v>
      </c>
      <c r="V682" s="26">
        <f t="shared" si="23"/>
        <v>0</v>
      </c>
      <c r="W682" s="3">
        <f>IF(A682=A683,N682-N683,0)</f>
        <v>2.0000000000000018E-2</v>
      </c>
      <c r="X682" s="10">
        <f>IF(A682=A683,(N682-N683)/N683,0)</f>
        <v>4.6511627906976785E-2</v>
      </c>
    </row>
    <row r="683" spans="1:24" ht="16.5" customHeight="1">
      <c r="A683" s="3" t="s">
        <v>31</v>
      </c>
      <c r="B683" s="3">
        <f t="shared" si="16"/>
        <v>2013</v>
      </c>
      <c r="C683" s="3">
        <f t="shared" si="17"/>
        <v>2</v>
      </c>
      <c r="D683" s="20" t="str">
        <f t="shared" si="18"/>
        <v>PH20132</v>
      </c>
      <c r="E683" s="2">
        <v>41311</v>
      </c>
      <c r="F683" s="3">
        <v>0.43</v>
      </c>
      <c r="G683" s="2">
        <v>41334</v>
      </c>
      <c r="H683" s="3">
        <v>1.77E-2</v>
      </c>
      <c r="I683" s="3">
        <v>4.8780487999999997E-2</v>
      </c>
      <c r="J683" s="3">
        <v>0.02</v>
      </c>
      <c r="K683" s="3">
        <f t="shared" si="19"/>
        <v>0</v>
      </c>
      <c r="L683" s="3">
        <f t="shared" si="20"/>
        <v>2013</v>
      </c>
      <c r="M683" s="20" t="str">
        <f>A683&amp;L683</f>
        <v>PH2013</v>
      </c>
      <c r="N683" s="3">
        <f>F683</f>
        <v>0.43</v>
      </c>
      <c r="O683" s="9">
        <f>H683</f>
        <v>1.77E-2</v>
      </c>
      <c r="P683" s="10">
        <f t="shared" si="21"/>
        <v>1.8825000000000001E-2</v>
      </c>
      <c r="Q683" s="10">
        <f>IF(K683=0,IF(A680=A683,AVERAGE(O680:O683),"x"),0)</f>
        <v>1.7050000000000003E-2</v>
      </c>
      <c r="R683" s="9">
        <f>IF(L683&gt;2005,AVERAGE(O680:O699),0)</f>
        <v>1.7595E-2</v>
      </c>
      <c r="S683" s="10">
        <f>IF(A683=A684,(N683-N684)/N684,0)</f>
        <v>4.8780487804878092E-2</v>
      </c>
      <c r="T683" s="10">
        <f>IF(L683&gt;2005,(((N683-N703)/N703)+1)^(1/5)-1,0)</f>
        <v>0.15411698403346041</v>
      </c>
      <c r="U683" s="10">
        <f t="shared" si="22"/>
        <v>0.17171198403346041</v>
      </c>
      <c r="V683" s="26">
        <f t="shared" si="23"/>
        <v>4.7792120774957088</v>
      </c>
      <c r="W683" s="3">
        <f>IF(A683=A684,N683-N684,0)</f>
        <v>2.0000000000000018E-2</v>
      </c>
      <c r="X683" s="10">
        <f>IF(A683=A684,(N683-N684)/N684,0)</f>
        <v>4.8780487804878092E-2</v>
      </c>
    </row>
    <row r="684" spans="1:24" ht="16.5" customHeight="1">
      <c r="A684" s="3" t="s">
        <v>31</v>
      </c>
      <c r="B684" s="3">
        <f t="shared" si="16"/>
        <v>2012</v>
      </c>
      <c r="C684" s="3">
        <f t="shared" si="17"/>
        <v>11</v>
      </c>
      <c r="D684" s="20" t="str">
        <f t="shared" si="18"/>
        <v>PH201211</v>
      </c>
      <c r="E684" s="2">
        <v>41220</v>
      </c>
      <c r="F684" s="3">
        <v>0.41</v>
      </c>
      <c r="G684" s="2">
        <v>41250</v>
      </c>
      <c r="H684" s="3">
        <v>2.01E-2</v>
      </c>
      <c r="I684" s="3">
        <v>0</v>
      </c>
      <c r="J684" s="3">
        <v>0</v>
      </c>
      <c r="K684" s="3">
        <f t="shared" si="19"/>
        <v>2012</v>
      </c>
      <c r="L684" s="3">
        <f t="shared" si="20"/>
        <v>0</v>
      </c>
      <c r="M684" s="20" t="str">
        <f>A684&amp;L684</f>
        <v>PH0</v>
      </c>
      <c r="N684" s="3">
        <f>F684</f>
        <v>0.41</v>
      </c>
      <c r="O684" s="9">
        <f>H684</f>
        <v>2.01E-2</v>
      </c>
      <c r="P684" s="10">
        <f t="shared" si="21"/>
        <v>0</v>
      </c>
      <c r="Q684" s="10">
        <f>IF(K684=0,IF(A681=A684,AVERAGE(O681:O684),"x"),0)</f>
        <v>0</v>
      </c>
      <c r="R684" s="9">
        <f>IF(L684&gt;2005,AVERAGE(O681:O700),0)</f>
        <v>0</v>
      </c>
      <c r="S684" s="10">
        <f>IF(A684=A685,(N684-N685)/N685,0)</f>
        <v>0</v>
      </c>
      <c r="T684" s="10">
        <f>IF(L684&gt;2005,(((N684-N704)/N704)+1)^(1/5)-1,0)</f>
        <v>0</v>
      </c>
      <c r="U684" s="10">
        <f t="shared" si="22"/>
        <v>0</v>
      </c>
      <c r="V684" s="26">
        <f t="shared" si="23"/>
        <v>0</v>
      </c>
      <c r="W684" s="3">
        <f>IF(A684=A685,N684-N685,0)</f>
        <v>0</v>
      </c>
      <c r="X684" s="10">
        <f>IF(A684=A685,(N684-N685)/N685,0)</f>
        <v>0</v>
      </c>
    </row>
    <row r="685" spans="1:24" ht="16.5" customHeight="1">
      <c r="A685" s="3" t="s">
        <v>31</v>
      </c>
      <c r="B685" s="3">
        <f t="shared" si="16"/>
        <v>2012</v>
      </c>
      <c r="C685" s="3">
        <f t="shared" si="17"/>
        <v>8</v>
      </c>
      <c r="D685" s="20" t="str">
        <f t="shared" si="18"/>
        <v>PH20128</v>
      </c>
      <c r="E685" s="2">
        <v>41145</v>
      </c>
      <c r="F685" s="3">
        <v>0.41</v>
      </c>
      <c r="G685" s="2">
        <v>41159</v>
      </c>
      <c r="H685" s="3">
        <v>1.9300000000000001E-2</v>
      </c>
      <c r="I685" s="3">
        <v>0</v>
      </c>
      <c r="J685" s="3">
        <v>0</v>
      </c>
      <c r="K685" s="3">
        <f t="shared" si="19"/>
        <v>2012</v>
      </c>
      <c r="L685" s="3">
        <f t="shared" si="20"/>
        <v>0</v>
      </c>
      <c r="M685" s="20" t="str">
        <f>A685&amp;L685</f>
        <v>PH0</v>
      </c>
      <c r="N685" s="3">
        <f>F685</f>
        <v>0.41</v>
      </c>
      <c r="O685" s="9">
        <f>H685</f>
        <v>1.9300000000000001E-2</v>
      </c>
      <c r="P685" s="10">
        <f t="shared" si="21"/>
        <v>0</v>
      </c>
      <c r="Q685" s="10">
        <f>IF(K685=0,IF(A682=A685,AVERAGE(O682:O685),"x"),0)</f>
        <v>0</v>
      </c>
      <c r="R685" s="9">
        <f>IF(L685&gt;2005,AVERAGE(O682:O701),0)</f>
        <v>0</v>
      </c>
      <c r="S685" s="10">
        <f>IF(A685=A686,(N685-N686)/N686,0)</f>
        <v>0</v>
      </c>
      <c r="T685" s="10">
        <f>IF(L685&gt;2005,(((N685-N705)/N705)+1)^(1/5)-1,0)</f>
        <v>0</v>
      </c>
      <c r="U685" s="10">
        <f t="shared" si="22"/>
        <v>0</v>
      </c>
      <c r="V685" s="26">
        <f t="shared" si="23"/>
        <v>0</v>
      </c>
      <c r="W685" s="3">
        <f>IF(A685=A686,N685-N686,0)</f>
        <v>0</v>
      </c>
      <c r="X685" s="10">
        <f>IF(A685=A686,(N685-N686)/N686,0)</f>
        <v>0</v>
      </c>
    </row>
    <row r="686" spans="1:24" ht="16.5" customHeight="1">
      <c r="A686" s="3" t="s">
        <v>31</v>
      </c>
      <c r="B686" s="3">
        <f t="shared" si="16"/>
        <v>2012</v>
      </c>
      <c r="C686" s="3">
        <f t="shared" si="17"/>
        <v>5</v>
      </c>
      <c r="D686" s="20" t="str">
        <f t="shared" si="18"/>
        <v>PH20125</v>
      </c>
      <c r="E686" s="2">
        <v>41037</v>
      </c>
      <c r="F686" s="3">
        <v>0.41</v>
      </c>
      <c r="G686" s="2">
        <v>41061</v>
      </c>
      <c r="H686" s="3">
        <v>1.8200000000000001E-2</v>
      </c>
      <c r="I686" s="3">
        <v>5.1282051000000002E-2</v>
      </c>
      <c r="J686" s="3">
        <v>0.02</v>
      </c>
      <c r="K686" s="3">
        <f t="shared" si="19"/>
        <v>2012</v>
      </c>
      <c r="L686" s="3">
        <f t="shared" si="20"/>
        <v>0</v>
      </c>
      <c r="M686" s="20" t="str">
        <f>A686&amp;L686</f>
        <v>PH0</v>
      </c>
      <c r="N686" s="3">
        <f>F686</f>
        <v>0.41</v>
      </c>
      <c r="O686" s="9">
        <f>H686</f>
        <v>1.8200000000000001E-2</v>
      </c>
      <c r="P686" s="10">
        <f t="shared" si="21"/>
        <v>1.8099999999999998E-2</v>
      </c>
      <c r="Q686" s="10">
        <f>IF(K686=0,IF(A683=A686,AVERAGE(O683:O686),"x"),0)</f>
        <v>0</v>
      </c>
      <c r="R686" s="9">
        <f>IF(L686&gt;2005,AVERAGE(O683:O702),0)</f>
        <v>0</v>
      </c>
      <c r="S686" s="10">
        <f>IF(A686=A687,(N686-N687)/N687,0)</f>
        <v>5.1282051282051183E-2</v>
      </c>
      <c r="T686" s="10">
        <f>IF(L686&gt;2005,(((N686-N706)/N706)+1)^(1/5)-1,0)</f>
        <v>0</v>
      </c>
      <c r="U686" s="10">
        <f t="shared" si="22"/>
        <v>0</v>
      </c>
      <c r="V686" s="26">
        <f t="shared" si="23"/>
        <v>0</v>
      </c>
      <c r="W686" s="3">
        <f>IF(A686=A687,N686-N687,0)</f>
        <v>1.9999999999999962E-2</v>
      </c>
      <c r="X686" s="10">
        <f>IF(A686=A687,(N686-N687)/N687,0)</f>
        <v>5.1282051282051183E-2</v>
      </c>
    </row>
    <row r="687" spans="1:24" ht="16.5" customHeight="1">
      <c r="A687" s="3" t="s">
        <v>31</v>
      </c>
      <c r="B687" s="3">
        <f t="shared" si="16"/>
        <v>2012</v>
      </c>
      <c r="C687" s="3">
        <f t="shared" si="17"/>
        <v>2</v>
      </c>
      <c r="D687" s="20" t="str">
        <f t="shared" si="18"/>
        <v>PH20122</v>
      </c>
      <c r="E687" s="2">
        <v>40947</v>
      </c>
      <c r="F687" s="3">
        <v>0.39</v>
      </c>
      <c r="G687" s="2">
        <v>40970</v>
      </c>
      <c r="H687" s="3">
        <v>1.7100000000000001E-2</v>
      </c>
      <c r="I687" s="3">
        <v>5.4054053999999997E-2</v>
      </c>
      <c r="J687" s="3">
        <v>0.02</v>
      </c>
      <c r="K687" s="3">
        <f t="shared" si="19"/>
        <v>0</v>
      </c>
      <c r="L687" s="3">
        <f t="shared" si="20"/>
        <v>2012</v>
      </c>
      <c r="M687" s="20" t="str">
        <f>A687&amp;L687</f>
        <v>PH2012</v>
      </c>
      <c r="N687" s="3">
        <f>F687</f>
        <v>0.39</v>
      </c>
      <c r="O687" s="9">
        <f>H687</f>
        <v>1.7100000000000001E-2</v>
      </c>
      <c r="P687" s="10">
        <f t="shared" si="21"/>
        <v>1.7049999999999999E-2</v>
      </c>
      <c r="Q687" s="10">
        <f>IF(K687=0,IF(A684=A687,AVERAGE(O684:O687),"x"),0)</f>
        <v>1.8675000000000001E-2</v>
      </c>
      <c r="R687" s="9">
        <f>IF(L687&gt;2005,AVERAGE(O684:O703),0)</f>
        <v>1.7319999999999999E-2</v>
      </c>
      <c r="S687" s="10">
        <f>IF(A687=A688,(N687-N688)/N688,0)</f>
        <v>5.4054054054054106E-2</v>
      </c>
      <c r="T687" s="10">
        <f>IF(L687&gt;2005,(((N687-N707)/N707)+1)^(1/5)-1,0)</f>
        <v>0.35096003852061353</v>
      </c>
      <c r="U687" s="10">
        <f t="shared" si="22"/>
        <v>0.36828003852061353</v>
      </c>
      <c r="V687" s="26">
        <f t="shared" si="23"/>
        <v>4.8133009322526883</v>
      </c>
      <c r="W687" s="3">
        <f>IF(A687=A688,N687-N688,0)</f>
        <v>2.0000000000000018E-2</v>
      </c>
      <c r="X687" s="10">
        <f>IF(A687=A688,(N687-N688)/N688,0)</f>
        <v>5.4054054054054106E-2</v>
      </c>
    </row>
    <row r="688" spans="1:24" ht="16.5" customHeight="1">
      <c r="A688" s="3" t="s">
        <v>31</v>
      </c>
      <c r="B688" s="3">
        <f t="shared" si="16"/>
        <v>2011</v>
      </c>
      <c r="C688" s="3">
        <f t="shared" si="17"/>
        <v>11</v>
      </c>
      <c r="D688" s="20" t="str">
        <f t="shared" si="18"/>
        <v>PH201111</v>
      </c>
      <c r="E688" s="2">
        <v>40855</v>
      </c>
      <c r="F688" s="3">
        <v>0.37</v>
      </c>
      <c r="G688" s="2">
        <v>40879</v>
      </c>
      <c r="H688" s="3">
        <v>1.72E-2</v>
      </c>
      <c r="I688" s="3">
        <v>0</v>
      </c>
      <c r="J688" s="3">
        <v>0</v>
      </c>
      <c r="K688" s="3">
        <f t="shared" si="19"/>
        <v>2011</v>
      </c>
      <c r="L688" s="3">
        <f t="shared" si="20"/>
        <v>0</v>
      </c>
      <c r="M688" s="20" t="str">
        <f>A688&amp;L688</f>
        <v>PH0</v>
      </c>
      <c r="N688" s="3">
        <f>F688</f>
        <v>0.37</v>
      </c>
      <c r="O688" s="9">
        <f>H688</f>
        <v>1.72E-2</v>
      </c>
      <c r="P688" s="10">
        <f t="shared" si="21"/>
        <v>0</v>
      </c>
      <c r="Q688" s="10">
        <f>IF(K688=0,IF(A685=A688,AVERAGE(O685:O688),"x"),0)</f>
        <v>0</v>
      </c>
      <c r="R688" s="9">
        <f>IF(L688&gt;2005,AVERAGE(O685:O704),0)</f>
        <v>0</v>
      </c>
      <c r="S688" s="10">
        <f>IF(A688=A689,(N688-N689)/N689,0)</f>
        <v>0</v>
      </c>
      <c r="T688" s="10">
        <f>IF(L688&gt;2005,(((N688-N708)/N708)+1)^(1/5)-1,0)</f>
        <v>0</v>
      </c>
      <c r="U688" s="10">
        <f t="shared" si="22"/>
        <v>0</v>
      </c>
      <c r="V688" s="26">
        <f t="shared" si="23"/>
        <v>0</v>
      </c>
      <c r="W688" s="3">
        <f>IF(A688=A689,N688-N689,0)</f>
        <v>0</v>
      </c>
      <c r="X688" s="10">
        <f>IF(A688=A689,(N688-N689)/N689,0)</f>
        <v>0</v>
      </c>
    </row>
    <row r="689" spans="1:24" ht="16.5" customHeight="1">
      <c r="A689" s="3" t="s">
        <v>31</v>
      </c>
      <c r="B689" s="3">
        <f t="shared" si="16"/>
        <v>2011</v>
      </c>
      <c r="C689" s="3">
        <f t="shared" si="17"/>
        <v>8</v>
      </c>
      <c r="D689" s="20" t="str">
        <f t="shared" si="18"/>
        <v>PH20118</v>
      </c>
      <c r="E689" s="2">
        <v>40780</v>
      </c>
      <c r="F689" s="3">
        <v>0.37</v>
      </c>
      <c r="G689" s="2">
        <v>40795</v>
      </c>
      <c r="H689" s="3">
        <v>1.9900000000000001E-2</v>
      </c>
      <c r="I689" s="3">
        <v>0</v>
      </c>
      <c r="J689" s="3">
        <v>0</v>
      </c>
      <c r="K689" s="3">
        <f t="shared" si="19"/>
        <v>2011</v>
      </c>
      <c r="L689" s="3">
        <f t="shared" si="20"/>
        <v>0</v>
      </c>
      <c r="M689" s="20" t="str">
        <f>A689&amp;L689</f>
        <v>PH0</v>
      </c>
      <c r="N689" s="3">
        <f>F689</f>
        <v>0.37</v>
      </c>
      <c r="O689" s="9">
        <f>H689</f>
        <v>1.9900000000000001E-2</v>
      </c>
      <c r="P689" s="10">
        <f t="shared" si="21"/>
        <v>0</v>
      </c>
      <c r="Q689" s="10">
        <f>IF(K689=0,IF(A686=A689,AVERAGE(O686:O689),"x"),0)</f>
        <v>0</v>
      </c>
      <c r="R689" s="9">
        <f>IF(L689&gt;2005,AVERAGE(O686:O705),0)</f>
        <v>0</v>
      </c>
      <c r="S689" s="10">
        <f>IF(A689=A690,(N689-N690)/N690,0)</f>
        <v>0</v>
      </c>
      <c r="T689" s="10">
        <f>IF(L689&gt;2005,(((N689-N709)/N709)+1)^(1/5)-1,0)</f>
        <v>0</v>
      </c>
      <c r="U689" s="10">
        <f t="shared" si="22"/>
        <v>0</v>
      </c>
      <c r="V689" s="26">
        <f t="shared" si="23"/>
        <v>0</v>
      </c>
      <c r="W689" s="3">
        <f>IF(A689=A690,N689-N690,0)</f>
        <v>0</v>
      </c>
      <c r="X689" s="10">
        <f>IF(A689=A690,(N689-N690)/N690,0)</f>
        <v>0</v>
      </c>
    </row>
    <row r="690" spans="1:24" ht="16.5" customHeight="1">
      <c r="A690" s="3" t="s">
        <v>31</v>
      </c>
      <c r="B690" s="3">
        <f t="shared" si="16"/>
        <v>2011</v>
      </c>
      <c r="C690" s="3">
        <f t="shared" si="17"/>
        <v>5</v>
      </c>
      <c r="D690" s="20" t="str">
        <f t="shared" si="18"/>
        <v>PH20115</v>
      </c>
      <c r="E690" s="2">
        <v>40669</v>
      </c>
      <c r="F690" s="3">
        <v>0.37</v>
      </c>
      <c r="G690" s="2">
        <v>40697</v>
      </c>
      <c r="H690" s="3">
        <v>1.4E-2</v>
      </c>
      <c r="I690" s="3">
        <v>0.15625</v>
      </c>
      <c r="J690" s="3">
        <v>0.05</v>
      </c>
      <c r="K690" s="3">
        <f t="shared" si="19"/>
        <v>2011</v>
      </c>
      <c r="L690" s="3">
        <f t="shared" si="20"/>
        <v>0</v>
      </c>
      <c r="M690" s="20" t="str">
        <f>A690&amp;L690</f>
        <v>PH0</v>
      </c>
      <c r="N690" s="3">
        <f>F690</f>
        <v>0.37</v>
      </c>
      <c r="O690" s="9">
        <f>H690</f>
        <v>1.4E-2</v>
      </c>
      <c r="P690" s="10">
        <f t="shared" si="21"/>
        <v>1.3774999999999999E-2</v>
      </c>
      <c r="Q690" s="10">
        <f>IF(K690=0,IF(A687=A690,AVERAGE(O687:O690),"x"),0)</f>
        <v>0</v>
      </c>
      <c r="R690" s="9">
        <f>IF(L690&gt;2005,AVERAGE(O687:O706),0)</f>
        <v>0</v>
      </c>
      <c r="S690" s="10">
        <f>IF(A690=A691,(N690-N691)/N691,0)</f>
        <v>0.15624999999999997</v>
      </c>
      <c r="T690" s="10">
        <f>IF(L690&gt;2005,(((N690-N710)/N710)+1)^(1/5)-1,0)</f>
        <v>0</v>
      </c>
      <c r="U690" s="10">
        <f t="shared" si="22"/>
        <v>0</v>
      </c>
      <c r="V690" s="26">
        <f t="shared" si="23"/>
        <v>0</v>
      </c>
      <c r="W690" s="3">
        <f>IF(A690=A691,N690-N691,0)</f>
        <v>4.9999999999999989E-2</v>
      </c>
      <c r="X690" s="10">
        <f>IF(A690=A691,(N690-N691)/N691,0)</f>
        <v>0.15624999999999997</v>
      </c>
    </row>
    <row r="691" spans="1:24" ht="16.5" customHeight="1">
      <c r="A691" s="3" t="s">
        <v>31</v>
      </c>
      <c r="B691" s="3">
        <f t="shared" si="16"/>
        <v>2011</v>
      </c>
      <c r="C691" s="3">
        <f t="shared" si="17"/>
        <v>2</v>
      </c>
      <c r="D691" s="20" t="str">
        <f t="shared" si="18"/>
        <v>PH20112</v>
      </c>
      <c r="E691" s="2">
        <v>40582</v>
      </c>
      <c r="F691" s="3">
        <v>0.32</v>
      </c>
      <c r="G691" s="2">
        <v>40606</v>
      </c>
      <c r="H691" s="3">
        <v>1.24E-2</v>
      </c>
      <c r="I691" s="3">
        <v>0.10344827600000001</v>
      </c>
      <c r="J691" s="3">
        <v>0.03</v>
      </c>
      <c r="K691" s="3">
        <f t="shared" si="19"/>
        <v>0</v>
      </c>
      <c r="L691" s="3">
        <f t="shared" si="20"/>
        <v>2011</v>
      </c>
      <c r="M691" s="20" t="str">
        <f>A691&amp;L691</f>
        <v>PH2011</v>
      </c>
      <c r="N691" s="3">
        <f>F691</f>
        <v>0.32</v>
      </c>
      <c r="O691" s="9">
        <f>H691</f>
        <v>1.24E-2</v>
      </c>
      <c r="P691" s="10">
        <f t="shared" si="21"/>
        <v>1.4074999999999999E-2</v>
      </c>
      <c r="Q691" s="10">
        <f>IF(K691=0,IF(A688=A691,AVERAGE(O688:O691),"x"),0)</f>
        <v>1.5875E-2</v>
      </c>
      <c r="R691" s="9">
        <f>IF(L691&gt;2005,AVERAGE(O688:O707),0)</f>
        <v>1.575E-2</v>
      </c>
      <c r="S691" s="10">
        <f>IF(A691=A692,(N691-N692)/N692,0)</f>
        <v>0.10344827586206906</v>
      </c>
      <c r="T691" s="10">
        <f>IF(L691&gt;2005,(((N691-N711)/N711)+1)^(1/5)-1,0)</f>
        <v>0.33078739731121565</v>
      </c>
      <c r="U691" s="10">
        <f t="shared" si="22"/>
        <v>0.34653739731121563</v>
      </c>
      <c r="V691" s="26">
        <f t="shared" si="23"/>
        <v>4.8272623388219378</v>
      </c>
      <c r="W691" s="3">
        <f>IF(A691=A692,N691-N692,0)</f>
        <v>3.0000000000000027E-2</v>
      </c>
      <c r="X691" s="10">
        <f>IF(A691=A692,(N691-N692)/N692,0)</f>
        <v>0.10344827586206906</v>
      </c>
    </row>
    <row r="692" spans="1:24" ht="16.5" customHeight="1">
      <c r="A692" s="3" t="s">
        <v>31</v>
      </c>
      <c r="B692" s="3">
        <f t="shared" si="16"/>
        <v>2010</v>
      </c>
      <c r="C692" s="3">
        <f t="shared" si="17"/>
        <v>11</v>
      </c>
      <c r="D692" s="20" t="str">
        <f t="shared" si="18"/>
        <v>PH201011</v>
      </c>
      <c r="E692" s="2">
        <v>40490</v>
      </c>
      <c r="F692" s="3">
        <v>0.28999999999999998</v>
      </c>
      <c r="G692" s="2">
        <v>40515</v>
      </c>
      <c r="H692" s="3">
        <v>1.3100000000000001E-2</v>
      </c>
      <c r="I692" s="3">
        <v>7.4074074000000004E-2</v>
      </c>
      <c r="J692" s="3">
        <v>0.02</v>
      </c>
      <c r="K692" s="3">
        <f t="shared" si="19"/>
        <v>2010</v>
      </c>
      <c r="L692" s="3">
        <f t="shared" si="20"/>
        <v>0</v>
      </c>
      <c r="M692" s="20" t="str">
        <f>A692&amp;L692</f>
        <v>PH0</v>
      </c>
      <c r="N692" s="3">
        <f>F692</f>
        <v>0.28999999999999998</v>
      </c>
      <c r="O692" s="9">
        <f>H692</f>
        <v>1.3100000000000001E-2</v>
      </c>
      <c r="P692" s="10">
        <f t="shared" si="21"/>
        <v>1.5425000000000001E-2</v>
      </c>
      <c r="Q692" s="10">
        <f>IF(K692=0,IF(A689=A692,AVERAGE(O689:O692),"x"),0)</f>
        <v>0</v>
      </c>
      <c r="R692" s="9">
        <f>IF(L692&gt;2005,AVERAGE(O689:O708),0)</f>
        <v>0</v>
      </c>
      <c r="S692" s="10">
        <f>IF(A692=A693,(N692-N693)/N693,0)</f>
        <v>7.4074074074073931E-2</v>
      </c>
      <c r="T692" s="10">
        <f>IF(L692&gt;2005,(((N692-N712)/N712)+1)^(1/5)-1,0)</f>
        <v>0</v>
      </c>
      <c r="U692" s="10">
        <f t="shared" si="22"/>
        <v>0</v>
      </c>
      <c r="V692" s="26">
        <f t="shared" si="23"/>
        <v>0</v>
      </c>
      <c r="W692" s="3">
        <f>IF(A692=A693,N692-N693,0)</f>
        <v>1.9999999999999962E-2</v>
      </c>
      <c r="X692" s="10">
        <f>IF(A692=A693,(N692-N693)/N693,0)</f>
        <v>7.4074074074073931E-2</v>
      </c>
    </row>
    <row r="693" spans="1:24" ht="16.5" customHeight="1">
      <c r="A693" s="3" t="s">
        <v>31</v>
      </c>
      <c r="B693" s="3">
        <f t="shared" si="16"/>
        <v>2010</v>
      </c>
      <c r="C693" s="3">
        <f t="shared" si="17"/>
        <v>8</v>
      </c>
      <c r="D693" s="20" t="str">
        <f t="shared" si="18"/>
        <v>PH20108</v>
      </c>
      <c r="E693" s="2">
        <v>40409</v>
      </c>
      <c r="F693" s="3">
        <v>0.27</v>
      </c>
      <c r="G693" s="2">
        <v>40424</v>
      </c>
      <c r="H693" s="3">
        <v>1.5599999999999999E-2</v>
      </c>
      <c r="I693" s="3">
        <v>3.8461538000000003E-2</v>
      </c>
      <c r="J693" s="3">
        <v>0.01</v>
      </c>
      <c r="K693" s="3">
        <f t="shared" si="19"/>
        <v>2010</v>
      </c>
      <c r="L693" s="3">
        <f t="shared" si="20"/>
        <v>0</v>
      </c>
      <c r="M693" s="20" t="str">
        <f>A693&amp;L693</f>
        <v>PH0</v>
      </c>
      <c r="N693" s="3">
        <f>F693</f>
        <v>0.27</v>
      </c>
      <c r="O693" s="9">
        <f>H693</f>
        <v>1.5599999999999999E-2</v>
      </c>
      <c r="P693" s="10">
        <f t="shared" si="21"/>
        <v>1.6550000000000002E-2</v>
      </c>
      <c r="Q693" s="10">
        <f>IF(K693=0,IF(A690=A693,AVERAGE(O690:O693),"x"),0)</f>
        <v>0</v>
      </c>
      <c r="R693" s="9">
        <f>IF(L693&gt;2005,AVERAGE(O690:O709),0)</f>
        <v>0</v>
      </c>
      <c r="S693" s="10">
        <f>IF(A693=A694,(N693-N694)/N694,0)</f>
        <v>3.8461538461538491E-2</v>
      </c>
      <c r="T693" s="10">
        <f>IF(L693&gt;2005,(((N693-N713)/N713)+1)^(1/5)-1,0)</f>
        <v>0</v>
      </c>
      <c r="U693" s="10">
        <f t="shared" si="22"/>
        <v>0</v>
      </c>
      <c r="V693" s="26">
        <f t="shared" si="23"/>
        <v>0</v>
      </c>
      <c r="W693" s="3">
        <f>IF(A693=A694,N693-N694,0)</f>
        <v>1.0000000000000009E-2</v>
      </c>
      <c r="X693" s="10">
        <f>IF(A693=A694,(N693-N694)/N694,0)</f>
        <v>3.8461538461538491E-2</v>
      </c>
    </row>
    <row r="694" spans="1:24" ht="16.5" customHeight="1">
      <c r="A694" s="3" t="s">
        <v>31</v>
      </c>
      <c r="B694" s="3">
        <f t="shared" si="16"/>
        <v>2010</v>
      </c>
      <c r="C694" s="3">
        <f t="shared" si="17"/>
        <v>5</v>
      </c>
      <c r="D694" s="20" t="str">
        <f t="shared" si="18"/>
        <v>PH20105</v>
      </c>
      <c r="E694" s="2">
        <v>40316</v>
      </c>
      <c r="F694" s="3">
        <v>0.26</v>
      </c>
      <c r="G694" s="2">
        <v>40333</v>
      </c>
      <c r="H694" s="3">
        <v>1.52E-2</v>
      </c>
      <c r="I694" s="3">
        <v>0.04</v>
      </c>
      <c r="J694" s="3">
        <v>0.01</v>
      </c>
      <c r="K694" s="3">
        <f t="shared" si="19"/>
        <v>2010</v>
      </c>
      <c r="L694" s="3">
        <f t="shared" si="20"/>
        <v>0</v>
      </c>
      <c r="M694" s="20" t="str">
        <f>A694&amp;L694</f>
        <v>PH0</v>
      </c>
      <c r="N694" s="3">
        <f>F694</f>
        <v>0.26</v>
      </c>
      <c r="O694" s="9">
        <f>H694</f>
        <v>1.52E-2</v>
      </c>
      <c r="P694" s="10">
        <f t="shared" si="21"/>
        <v>1.7825000000000001E-2</v>
      </c>
      <c r="Q694" s="10">
        <f>IF(K694=0,IF(A691=A694,AVERAGE(O691:O694),"x"),0)</f>
        <v>0</v>
      </c>
      <c r="R694" s="9">
        <f>IF(L694&gt;2005,AVERAGE(O691:O710),0)</f>
        <v>0</v>
      </c>
      <c r="S694" s="10">
        <f>IF(A694=A695,(N694-N695)/N695,0)</f>
        <v>4.0000000000000036E-2</v>
      </c>
      <c r="T694" s="10">
        <f>IF(L694&gt;2005,(((N694-N714)/N714)+1)^(1/5)-1,0)</f>
        <v>0</v>
      </c>
      <c r="U694" s="10">
        <f t="shared" si="22"/>
        <v>0</v>
      </c>
      <c r="V694" s="26">
        <f t="shared" si="23"/>
        <v>0</v>
      </c>
      <c r="W694" s="3">
        <f>IF(A694=A695,N694-N695,0)</f>
        <v>1.0000000000000009E-2</v>
      </c>
      <c r="X694" s="10">
        <f>IF(A694=A695,(N694-N695)/N695,0)</f>
        <v>4.0000000000000036E-2</v>
      </c>
    </row>
    <row r="695" spans="1:24" ht="16.5" customHeight="1">
      <c r="A695" s="3" t="s">
        <v>31</v>
      </c>
      <c r="B695" s="3">
        <f t="shared" si="16"/>
        <v>2010</v>
      </c>
      <c r="C695" s="3">
        <f t="shared" si="17"/>
        <v>2</v>
      </c>
      <c r="D695" s="20" t="str">
        <f t="shared" si="18"/>
        <v>PH20102</v>
      </c>
      <c r="E695" s="2">
        <v>40225</v>
      </c>
      <c r="F695" s="3">
        <v>0.25</v>
      </c>
      <c r="G695" s="2">
        <v>40242</v>
      </c>
      <c r="H695" s="3">
        <v>1.78E-2</v>
      </c>
      <c r="I695" s="3">
        <v>0</v>
      </c>
      <c r="J695" s="3">
        <v>0</v>
      </c>
      <c r="K695" s="3">
        <f t="shared" si="19"/>
        <v>0</v>
      </c>
      <c r="L695" s="3">
        <f t="shared" si="20"/>
        <v>2010</v>
      </c>
      <c r="M695" s="20" t="str">
        <f>A695&amp;L695</f>
        <v>PH2010</v>
      </c>
      <c r="N695" s="3">
        <f>F695</f>
        <v>0.25</v>
      </c>
      <c r="O695" s="9">
        <f>H695</f>
        <v>1.78E-2</v>
      </c>
      <c r="P695" s="10">
        <f t="shared" si="21"/>
        <v>0</v>
      </c>
      <c r="Q695" s="10">
        <f>IF(K695=0,IF(A692=A695,AVERAGE(O692:O695),"x"),0)</f>
        <v>1.5425000000000001E-2</v>
      </c>
      <c r="R695" s="9">
        <f>IF(L695&gt;2005,AVERAGE(O692:O711),0)</f>
        <v>1.4924999999999999E-2</v>
      </c>
      <c r="S695" s="10">
        <f>IF(A695=A696,(N695-N696)/N696,0)</f>
        <v>0</v>
      </c>
      <c r="T695" s="10">
        <f>IF(L695&gt;2005,(((N695-N715)/N715)+1)^(1/5)-1,0)</f>
        <v>0.30258554234867607</v>
      </c>
      <c r="U695" s="10">
        <f t="shared" si="22"/>
        <v>0.31751054234867609</v>
      </c>
      <c r="V695" s="26">
        <f t="shared" si="23"/>
        <v>4.8326221082567518</v>
      </c>
      <c r="W695" s="3">
        <f>IF(A695=A696,N695-N696,0)</f>
        <v>0</v>
      </c>
      <c r="X695" s="10">
        <f>IF(A695=A696,(N695-N696)/N696,0)</f>
        <v>0</v>
      </c>
    </row>
    <row r="696" spans="1:24" ht="16.5" customHeight="1">
      <c r="A696" s="3" t="s">
        <v>31</v>
      </c>
      <c r="B696" s="3">
        <f t="shared" si="16"/>
        <v>2009</v>
      </c>
      <c r="C696" s="3">
        <f t="shared" si="17"/>
        <v>11</v>
      </c>
      <c r="D696" s="20" t="str">
        <f t="shared" si="18"/>
        <v>PH200911</v>
      </c>
      <c r="E696" s="2">
        <v>40134</v>
      </c>
      <c r="F696" s="3">
        <v>0.25</v>
      </c>
      <c r="G696" s="2">
        <v>40151</v>
      </c>
      <c r="H696" s="3">
        <v>1.7600000000000001E-2</v>
      </c>
      <c r="I696" s="3">
        <v>0</v>
      </c>
      <c r="J696" s="3">
        <v>0</v>
      </c>
      <c r="K696" s="3">
        <f t="shared" si="19"/>
        <v>2009</v>
      </c>
      <c r="L696" s="3">
        <f t="shared" si="20"/>
        <v>0</v>
      </c>
      <c r="M696" s="20" t="str">
        <f>A696&amp;L696</f>
        <v>PH0</v>
      </c>
      <c r="N696" s="3">
        <f>F696</f>
        <v>0.25</v>
      </c>
      <c r="O696" s="9">
        <f>H696</f>
        <v>1.7600000000000001E-2</v>
      </c>
      <c r="P696" s="10">
        <f t="shared" si="21"/>
        <v>0</v>
      </c>
      <c r="Q696" s="10">
        <f>IF(K696=0,IF(A693=A696,AVERAGE(O693:O696),"x"),0)</f>
        <v>0</v>
      </c>
      <c r="R696" s="9">
        <f>IF(L696&gt;2005,AVERAGE(O693:O712),0)</f>
        <v>0</v>
      </c>
      <c r="S696" s="10">
        <f>IF(A696=A697,(N696-N697)/N697,0)</f>
        <v>0</v>
      </c>
      <c r="T696" s="10">
        <f>IF(L696&gt;2005,(((N696-N716)/N716)+1)^(1/5)-1,0)</f>
        <v>0</v>
      </c>
      <c r="U696" s="10">
        <f t="shared" si="22"/>
        <v>0</v>
      </c>
      <c r="V696" s="26">
        <f t="shared" si="23"/>
        <v>0</v>
      </c>
      <c r="W696" s="3">
        <f>IF(A696=A697,N696-N697,0)</f>
        <v>0</v>
      </c>
      <c r="X696" s="10">
        <f>IF(A696=A697,(N696-N697)/N697,0)</f>
        <v>0</v>
      </c>
    </row>
    <row r="697" spans="1:24" ht="16.5" customHeight="1">
      <c r="A697" s="3" t="s">
        <v>31</v>
      </c>
      <c r="B697" s="3">
        <f t="shared" si="16"/>
        <v>2009</v>
      </c>
      <c r="C697" s="3">
        <f t="shared" si="17"/>
        <v>8</v>
      </c>
      <c r="D697" s="20" t="str">
        <f t="shared" si="18"/>
        <v>PH20098</v>
      </c>
      <c r="E697" s="2">
        <v>40045</v>
      </c>
      <c r="F697" s="3">
        <v>0.25</v>
      </c>
      <c r="G697" s="2">
        <v>40060</v>
      </c>
      <c r="H697" s="3">
        <v>2.07E-2</v>
      </c>
      <c r="I697" s="3">
        <v>0</v>
      </c>
      <c r="J697" s="3">
        <v>0</v>
      </c>
      <c r="K697" s="3">
        <f t="shared" si="19"/>
        <v>2009</v>
      </c>
      <c r="L697" s="3">
        <f t="shared" si="20"/>
        <v>0</v>
      </c>
      <c r="M697" s="20" t="str">
        <f>A697&amp;L697</f>
        <v>PH0</v>
      </c>
      <c r="N697" s="3">
        <f>F697</f>
        <v>0.25</v>
      </c>
      <c r="O697" s="9">
        <f>H697</f>
        <v>2.07E-2</v>
      </c>
      <c r="P697" s="10">
        <f t="shared" si="21"/>
        <v>0</v>
      </c>
      <c r="Q697" s="10">
        <f>IF(K697=0,IF(A694=A697,AVERAGE(O694:O697),"x"),0)</f>
        <v>0</v>
      </c>
      <c r="R697" s="9">
        <f>IF(L697&gt;2005,AVERAGE(O694:O713),0)</f>
        <v>0</v>
      </c>
      <c r="S697" s="10">
        <f>IF(A697=A698,(N697-N698)/N698,0)</f>
        <v>0</v>
      </c>
      <c r="T697" s="10">
        <f>IF(L697&gt;2005,(((N697-N717)/N717)+1)^(1/5)-1,0)</f>
        <v>0</v>
      </c>
      <c r="U697" s="10">
        <f t="shared" si="22"/>
        <v>0</v>
      </c>
      <c r="V697" s="26">
        <f t="shared" si="23"/>
        <v>0</v>
      </c>
      <c r="W697" s="3">
        <f>IF(A697=A698,N697-N698,0)</f>
        <v>0</v>
      </c>
      <c r="X697" s="10">
        <f>IF(A697=A698,(N697-N698)/N698,0)</f>
        <v>0</v>
      </c>
    </row>
    <row r="698" spans="1:24" ht="16.5" customHeight="1">
      <c r="A698" s="3" t="s">
        <v>31</v>
      </c>
      <c r="B698" s="3">
        <f t="shared" si="16"/>
        <v>2009</v>
      </c>
      <c r="C698" s="3">
        <f t="shared" si="17"/>
        <v>5</v>
      </c>
      <c r="D698" s="20" t="str">
        <f t="shared" si="18"/>
        <v>PH20095</v>
      </c>
      <c r="E698" s="2">
        <v>39952</v>
      </c>
      <c r="F698" s="3">
        <v>0.25</v>
      </c>
      <c r="G698" s="2">
        <v>39969</v>
      </c>
      <c r="H698" s="3">
        <v>2.1899999999999999E-2</v>
      </c>
      <c r="I698" s="3">
        <v>0</v>
      </c>
      <c r="J698" s="3">
        <v>0</v>
      </c>
      <c r="K698" s="3">
        <f t="shared" si="19"/>
        <v>2009</v>
      </c>
      <c r="L698" s="3">
        <f t="shared" si="20"/>
        <v>0</v>
      </c>
      <c r="M698" s="20" t="str">
        <f>A698&amp;L698</f>
        <v>PH0</v>
      </c>
      <c r="N698" s="3">
        <f>F698</f>
        <v>0.25</v>
      </c>
      <c r="O698" s="9">
        <f>H698</f>
        <v>2.1899999999999999E-2</v>
      </c>
      <c r="P698" s="10">
        <f t="shared" si="21"/>
        <v>0</v>
      </c>
      <c r="Q698" s="10">
        <f>IF(K698=0,IF(A695=A698,AVERAGE(O695:O698),"x"),0)</f>
        <v>0</v>
      </c>
      <c r="R698" s="9">
        <f>IF(L698&gt;2005,AVERAGE(O695:O714),0)</f>
        <v>0</v>
      </c>
      <c r="S698" s="10">
        <f>IF(A698=A699,(N698-N699)/N699,0)</f>
        <v>0</v>
      </c>
      <c r="T698" s="10">
        <f>IF(L698&gt;2005,(((N698-N718)/N718)+1)^(1/5)-1,0)</f>
        <v>0</v>
      </c>
      <c r="U698" s="10">
        <f t="shared" si="22"/>
        <v>0</v>
      </c>
      <c r="V698" s="26">
        <f t="shared" si="23"/>
        <v>0</v>
      </c>
      <c r="W698" s="3">
        <f>IF(A698=A699,N698-N699,0)</f>
        <v>0</v>
      </c>
      <c r="X698" s="10">
        <f>IF(A698=A699,(N698-N699)/N699,0)</f>
        <v>0</v>
      </c>
    </row>
    <row r="699" spans="1:24" ht="16.5" customHeight="1">
      <c r="A699" s="3" t="s">
        <v>31</v>
      </c>
      <c r="B699" s="3">
        <f t="shared" si="16"/>
        <v>2009</v>
      </c>
      <c r="C699" s="3">
        <f t="shared" si="17"/>
        <v>2</v>
      </c>
      <c r="D699" s="20" t="str">
        <f t="shared" si="18"/>
        <v>PH20092</v>
      </c>
      <c r="E699" s="2">
        <v>39861</v>
      </c>
      <c r="F699" s="3">
        <v>0.25</v>
      </c>
      <c r="G699" s="2">
        <v>39878</v>
      </c>
      <c r="H699" s="3">
        <v>2.3599999999999999E-2</v>
      </c>
      <c r="I699" s="3">
        <v>0</v>
      </c>
      <c r="J699" s="3">
        <v>0</v>
      </c>
      <c r="K699" s="3">
        <f t="shared" si="19"/>
        <v>0</v>
      </c>
      <c r="L699" s="3">
        <f t="shared" si="20"/>
        <v>2009</v>
      </c>
      <c r="M699" s="20" t="str">
        <f>A699&amp;L699</f>
        <v>PH2009</v>
      </c>
      <c r="N699" s="3">
        <f>F699</f>
        <v>0.25</v>
      </c>
      <c r="O699" s="9">
        <f>H699</f>
        <v>2.3599999999999999E-2</v>
      </c>
      <c r="P699" s="10">
        <f t="shared" si="21"/>
        <v>0</v>
      </c>
      <c r="Q699" s="10">
        <f>IF(K699=0,IF(A696=A699,AVERAGE(O696:O699),"x"),0)</f>
        <v>2.095E-2</v>
      </c>
      <c r="R699" s="9">
        <f>IF(L699&gt;2005,AVERAGE(O696:O715),0)</f>
        <v>1.4354999999999998E-2</v>
      </c>
      <c r="S699" s="10">
        <f>IF(A699=A700,(N699-N700)/N700,0)</f>
        <v>0</v>
      </c>
      <c r="T699" s="10">
        <f>IF(L699&gt;2005,(((N699-N719)/N719)+1)^(1/5)-1,0)</f>
        <v>0.31601710017673601</v>
      </c>
      <c r="U699" s="10">
        <f t="shared" si="22"/>
        <v>0.33037210017673602</v>
      </c>
      <c r="V699" s="26">
        <f t="shared" si="23"/>
        <v>4.8404565974704745</v>
      </c>
      <c r="W699" s="3">
        <f>IF(A699=A700,N699-N700,0)</f>
        <v>0</v>
      </c>
      <c r="X699" s="10">
        <f>IF(A699=A700,(N699-N700)/N700,0)</f>
        <v>0</v>
      </c>
    </row>
    <row r="700" spans="1:24" ht="16.5" customHeight="1">
      <c r="A700" s="3" t="s">
        <v>31</v>
      </c>
      <c r="B700" s="3">
        <f t="shared" si="16"/>
        <v>2008</v>
      </c>
      <c r="C700" s="3">
        <f t="shared" si="17"/>
        <v>11</v>
      </c>
      <c r="D700" s="20" t="str">
        <f t="shared" si="18"/>
        <v>PH200811</v>
      </c>
      <c r="E700" s="2">
        <v>39770</v>
      </c>
      <c r="F700" s="3">
        <v>0.25</v>
      </c>
      <c r="G700" s="2">
        <v>39787</v>
      </c>
      <c r="H700" s="3">
        <v>2.64E-2</v>
      </c>
      <c r="I700" s="3">
        <v>0</v>
      </c>
      <c r="J700" s="3">
        <v>0</v>
      </c>
      <c r="K700" s="3">
        <f t="shared" si="19"/>
        <v>2008</v>
      </c>
      <c r="L700" s="3">
        <f t="shared" si="20"/>
        <v>0</v>
      </c>
      <c r="M700" s="20" t="str">
        <f>A700&amp;L700</f>
        <v>PH0</v>
      </c>
      <c r="N700" s="3">
        <f>F700</f>
        <v>0.25</v>
      </c>
      <c r="O700" s="9">
        <f>H700</f>
        <v>2.64E-2</v>
      </c>
      <c r="P700" s="10">
        <f t="shared" si="21"/>
        <v>0</v>
      </c>
      <c r="Q700" s="10">
        <f>IF(K700=0,IF(A697=A700,AVERAGE(O697:O700),"x"),0)</f>
        <v>0</v>
      </c>
      <c r="R700" s="9">
        <f>IF(L700&gt;2005,AVERAGE(O697:O716),0)</f>
        <v>0</v>
      </c>
      <c r="S700" s="10">
        <f>IF(A700=A701,(N700-N701)/N701,0)</f>
        <v>0</v>
      </c>
      <c r="T700" s="10">
        <f>IF(L700&gt;2005,(((N700-N720)/N720)+1)^(1/5)-1,0)</f>
        <v>0</v>
      </c>
      <c r="U700" s="10">
        <f t="shared" si="22"/>
        <v>0</v>
      </c>
      <c r="V700" s="26">
        <f t="shared" si="23"/>
        <v>0</v>
      </c>
      <c r="W700" s="3">
        <f>IF(A700=A701,N700-N701,0)</f>
        <v>0</v>
      </c>
      <c r="X700" s="10">
        <f>IF(A700=A701,(N700-N701)/N701,0)</f>
        <v>0</v>
      </c>
    </row>
    <row r="701" spans="1:24" ht="16.5" customHeight="1">
      <c r="A701" s="3" t="s">
        <v>31</v>
      </c>
      <c r="B701" s="3">
        <f t="shared" si="16"/>
        <v>2008</v>
      </c>
      <c r="C701" s="3">
        <f t="shared" si="17"/>
        <v>8</v>
      </c>
      <c r="D701" s="20" t="str">
        <f t="shared" si="18"/>
        <v>PH20088</v>
      </c>
      <c r="E701" s="2">
        <v>39681</v>
      </c>
      <c r="F701" s="3">
        <v>0.25</v>
      </c>
      <c r="G701" s="2">
        <v>39696</v>
      </c>
      <c r="H701" s="3">
        <v>1.4200000000000001E-2</v>
      </c>
      <c r="I701" s="3">
        <v>0.19047618999999999</v>
      </c>
      <c r="J701" s="3">
        <v>0.04</v>
      </c>
      <c r="K701" s="3">
        <f t="shared" si="19"/>
        <v>2008</v>
      </c>
      <c r="L701" s="3">
        <f t="shared" si="20"/>
        <v>0</v>
      </c>
      <c r="M701" s="20" t="str">
        <f>A701&amp;L701</f>
        <v>PH0</v>
      </c>
      <c r="N701" s="3">
        <f>F701</f>
        <v>0.25</v>
      </c>
      <c r="O701" s="9">
        <f>H701</f>
        <v>1.4200000000000001E-2</v>
      </c>
      <c r="P701" s="10">
        <f t="shared" si="21"/>
        <v>1.1475000000000001E-2</v>
      </c>
      <c r="Q701" s="10">
        <f>IF(K701=0,IF(A698=A701,AVERAGE(O698:O701),"x"),0)</f>
        <v>0</v>
      </c>
      <c r="R701" s="9">
        <f>IF(L701&gt;2005,AVERAGE(O698:O717),0)</f>
        <v>0</v>
      </c>
      <c r="S701" s="10">
        <f>IF(A701=A702,(N701-N702)/N702,0)</f>
        <v>0.19047619047619052</v>
      </c>
      <c r="T701" s="10">
        <f>IF(L701&gt;2005,(((N701-N721)/N721)+1)^(1/5)-1,0)</f>
        <v>0</v>
      </c>
      <c r="U701" s="10">
        <f t="shared" si="22"/>
        <v>0</v>
      </c>
      <c r="V701" s="26">
        <f t="shared" si="23"/>
        <v>0</v>
      </c>
      <c r="W701" s="3">
        <f>IF(A701=A702,N701-N702,0)</f>
        <v>4.0000000000000008E-2</v>
      </c>
      <c r="X701" s="10">
        <f>IF(A701=A702,(N701-N702)/N702,0)</f>
        <v>0.19047619047619052</v>
      </c>
    </row>
    <row r="702" spans="1:24" ht="16.5" customHeight="1">
      <c r="A702" s="3" t="s">
        <v>31</v>
      </c>
      <c r="B702" s="3">
        <f t="shared" si="16"/>
        <v>2008</v>
      </c>
      <c r="C702" s="3">
        <f t="shared" si="17"/>
        <v>5</v>
      </c>
      <c r="D702" s="20" t="str">
        <f t="shared" si="18"/>
        <v>PH20085</v>
      </c>
      <c r="E702" s="2">
        <v>39581</v>
      </c>
      <c r="F702" s="3">
        <v>0.21</v>
      </c>
      <c r="G702" s="2">
        <v>39605</v>
      </c>
      <c r="H702" s="3">
        <v>9.9000000000000008E-3</v>
      </c>
      <c r="I702" s="3">
        <v>0</v>
      </c>
      <c r="J702" s="3">
        <v>0</v>
      </c>
      <c r="K702" s="3">
        <f t="shared" si="19"/>
        <v>2008</v>
      </c>
      <c r="L702" s="3">
        <f t="shared" si="20"/>
        <v>0</v>
      </c>
      <c r="M702" s="20" t="str">
        <f>A702&amp;L702</f>
        <v>PH0</v>
      </c>
      <c r="N702" s="3">
        <f>F702</f>
        <v>0.21</v>
      </c>
      <c r="O702" s="9">
        <f>H702</f>
        <v>9.9000000000000008E-3</v>
      </c>
      <c r="P702" s="10">
        <f t="shared" si="21"/>
        <v>0</v>
      </c>
      <c r="Q702" s="10">
        <f>IF(K702=0,IF(A699=A702,AVERAGE(O699:O702),"x"),0)</f>
        <v>0</v>
      </c>
      <c r="R702" s="9">
        <f>IF(L702&gt;2005,AVERAGE(O699:O718),0)</f>
        <v>0</v>
      </c>
      <c r="S702" s="10">
        <f>IF(A702=A703,(N702-N703)/N703,0)</f>
        <v>0</v>
      </c>
      <c r="T702" s="10">
        <f>IF(L702&gt;2005,(((N702-N722)/N722)+1)^(1/5)-1,0)</f>
        <v>0</v>
      </c>
      <c r="U702" s="10">
        <f t="shared" si="22"/>
        <v>0</v>
      </c>
      <c r="V702" s="26">
        <f t="shared" si="23"/>
        <v>0</v>
      </c>
      <c r="W702" s="3">
        <f>IF(A702=A703,N702-N703,0)</f>
        <v>0</v>
      </c>
      <c r="X702" s="10">
        <f>IF(A702=A703,(N702-N703)/N703,0)</f>
        <v>0</v>
      </c>
    </row>
    <row r="703" spans="1:24" ht="16.5" customHeight="1">
      <c r="A703" s="3" t="s">
        <v>31</v>
      </c>
      <c r="B703" s="3">
        <f t="shared" si="16"/>
        <v>2008</v>
      </c>
      <c r="C703" s="3">
        <f t="shared" si="17"/>
        <v>2</v>
      </c>
      <c r="D703" s="20" t="str">
        <f t="shared" si="18"/>
        <v>PH20082</v>
      </c>
      <c r="E703" s="2">
        <v>39497</v>
      </c>
      <c r="F703" s="3">
        <v>0.21</v>
      </c>
      <c r="G703" s="2">
        <v>39514</v>
      </c>
      <c r="H703" s="3">
        <v>1.2200000000000001E-2</v>
      </c>
      <c r="I703" s="3">
        <v>0</v>
      </c>
      <c r="J703" s="3">
        <v>0</v>
      </c>
      <c r="K703" s="3">
        <f t="shared" si="19"/>
        <v>0</v>
      </c>
      <c r="L703" s="3">
        <f t="shared" si="20"/>
        <v>2008</v>
      </c>
      <c r="M703" s="20" t="str">
        <f>A703&amp;L703</f>
        <v>PH2008</v>
      </c>
      <c r="N703" s="3">
        <f>F703</f>
        <v>0.21</v>
      </c>
      <c r="O703" s="9">
        <f>H703</f>
        <v>1.2200000000000001E-2</v>
      </c>
      <c r="P703" s="10">
        <f t="shared" si="21"/>
        <v>0</v>
      </c>
      <c r="Q703" s="10">
        <f>IF(K703=0,IF(A700=A703,AVERAGE(O700:O703),"x"),0)</f>
        <v>1.5674999999999998E-2</v>
      </c>
      <c r="R703" s="9">
        <f>IF(L703&gt;2005,AVERAGE(O700:O719),0)</f>
        <v>1.2745000000000001E-2</v>
      </c>
      <c r="S703" s="10">
        <f>IF(A703=A704,(N703-N704)/N704,0)</f>
        <v>0</v>
      </c>
      <c r="T703" s="10">
        <f>IF(L703&gt;2005,(((N703-N723)/N723)+1)^(1/5)-1,0)</f>
        <v>0.27091758752107387</v>
      </c>
      <c r="U703" s="10">
        <f t="shared" si="22"/>
        <v>0.28366258752107387</v>
      </c>
      <c r="V703" s="26">
        <f t="shared" si="23"/>
        <v>4.8530276047265621</v>
      </c>
      <c r="W703" s="3">
        <f>IF(A703=A704,N703-N704,0)</f>
        <v>0</v>
      </c>
      <c r="X703" s="10">
        <f>IF(A703=A704,(N703-N704)/N704,0)</f>
        <v>0</v>
      </c>
    </row>
    <row r="704" spans="1:24" ht="16.5" customHeight="1">
      <c r="A704" s="3" t="s">
        <v>31</v>
      </c>
      <c r="B704" s="3">
        <f t="shared" si="16"/>
        <v>2007</v>
      </c>
      <c r="C704" s="3">
        <f t="shared" si="17"/>
        <v>11</v>
      </c>
      <c r="D704" s="20" t="str">
        <f t="shared" si="18"/>
        <v>PH200711</v>
      </c>
      <c r="E704" s="2">
        <v>39399</v>
      </c>
      <c r="F704" s="3">
        <v>0.21</v>
      </c>
      <c r="G704" s="2">
        <v>39416</v>
      </c>
      <c r="H704" s="3">
        <v>9.5999999999999992E-3</v>
      </c>
      <c r="I704" s="3">
        <v>-0.33333333300000001</v>
      </c>
      <c r="J704" s="3">
        <v>-0.105</v>
      </c>
      <c r="K704" s="3">
        <f t="shared" si="19"/>
        <v>2007</v>
      </c>
      <c r="L704" s="3">
        <f t="shared" si="20"/>
        <v>0</v>
      </c>
      <c r="M704" s="20" t="str">
        <f>A704&amp;L704</f>
        <v>PH0</v>
      </c>
      <c r="N704" s="3">
        <f>F704</f>
        <v>0.21</v>
      </c>
      <c r="O704" s="9">
        <f>H704</f>
        <v>9.5999999999999992E-3</v>
      </c>
      <c r="P704" s="10">
        <f t="shared" si="21"/>
        <v>1.0825E-2</v>
      </c>
      <c r="Q704" s="10">
        <f>IF(K704=0,IF(A701=A704,AVERAGE(O701:O704),"x"),0)</f>
        <v>0</v>
      </c>
      <c r="R704" s="9">
        <f>IF(L704&gt;2005,AVERAGE(O701:O720),0)</f>
        <v>0</v>
      </c>
      <c r="S704" s="10">
        <f>IF(A704=A705,(N704-N705)/N705,0)</f>
        <v>1</v>
      </c>
      <c r="T704" s="10">
        <f>IF(L704&gt;2005,(((N704-N724)/N724)+1)^(1/5)-1,0)</f>
        <v>0</v>
      </c>
      <c r="U704" s="10">
        <f t="shared" si="22"/>
        <v>0</v>
      </c>
      <c r="V704" s="26">
        <f t="shared" si="23"/>
        <v>0</v>
      </c>
      <c r="W704" s="3">
        <f>IF(A704=A705,N704-N705,0)</f>
        <v>0.105</v>
      </c>
      <c r="X704" s="10">
        <f>IF(A704=A705,(N704-N705)/N705,0)</f>
        <v>1</v>
      </c>
    </row>
    <row r="705" spans="1:24" ht="16.5" customHeight="1">
      <c r="A705" s="3" t="s">
        <v>31</v>
      </c>
      <c r="B705" s="3">
        <f t="shared" si="16"/>
        <v>2007</v>
      </c>
      <c r="C705" s="3">
        <f t="shared" si="17"/>
        <v>8</v>
      </c>
      <c r="D705" s="20" t="str">
        <f t="shared" si="18"/>
        <v>PH20078</v>
      </c>
      <c r="E705" s="2">
        <v>39317</v>
      </c>
      <c r="F705" s="3">
        <v>0.315</v>
      </c>
      <c r="G705" s="2">
        <v>39332</v>
      </c>
      <c r="H705" s="3">
        <v>1.06E-2</v>
      </c>
      <c r="I705" s="3">
        <v>0.21153846200000001</v>
      </c>
      <c r="J705" s="3">
        <v>5.5E-2</v>
      </c>
      <c r="K705" s="3">
        <f t="shared" si="19"/>
        <v>2007</v>
      </c>
      <c r="L705" s="3">
        <f t="shared" si="20"/>
        <v>0</v>
      </c>
      <c r="M705" s="20" t="str">
        <f>A705&amp;L705</f>
        <v>PH0</v>
      </c>
      <c r="N705" s="3">
        <f>F705/3</f>
        <v>0.105</v>
      </c>
      <c r="O705" s="9">
        <f>H705</f>
        <v>1.06E-2</v>
      </c>
      <c r="P705" s="10">
        <f t="shared" si="21"/>
        <v>1.1325E-2</v>
      </c>
      <c r="Q705" s="10">
        <f>IF(K705=0,IF(A702=A705,AVERAGE(O702:O705),"x"),0)</f>
        <v>0</v>
      </c>
      <c r="R705" s="9">
        <f>IF(L705&gt;2005,AVERAGE(O702:O721),0)</f>
        <v>0</v>
      </c>
      <c r="S705" s="10">
        <f>IF(A705=A706,(N705-N706)/N706,0)</f>
        <v>0.21153846153846145</v>
      </c>
      <c r="T705" s="10">
        <f>IF(L705&gt;2005,(((N705-N725)/N725)+1)^(1/5)-1,0)</f>
        <v>0</v>
      </c>
      <c r="U705" s="10">
        <f t="shared" si="22"/>
        <v>0</v>
      </c>
      <c r="V705" s="26">
        <f t="shared" si="23"/>
        <v>0</v>
      </c>
      <c r="W705" s="3">
        <f>IF(A705=A706,N705-N706,0)</f>
        <v>1.8333333333333326E-2</v>
      </c>
      <c r="X705" s="10">
        <f>IF(A705=A706,(N705-N706)/N706,0)</f>
        <v>0.21153846153846145</v>
      </c>
    </row>
    <row r="706" spans="1:24" ht="16.5" customHeight="1">
      <c r="A706" s="3" t="s">
        <v>31</v>
      </c>
      <c r="B706" s="3">
        <f t="shared" si="16"/>
        <v>2007</v>
      </c>
      <c r="C706" s="3">
        <f t="shared" si="17"/>
        <v>5</v>
      </c>
      <c r="D706" s="20" t="str">
        <f t="shared" si="18"/>
        <v>PH20075</v>
      </c>
      <c r="E706" s="2">
        <v>39217</v>
      </c>
      <c r="F706" s="3">
        <v>0.26</v>
      </c>
      <c r="G706" s="2">
        <v>39234</v>
      </c>
      <c r="H706" s="3">
        <v>1.09E-2</v>
      </c>
      <c r="I706" s="3">
        <v>0</v>
      </c>
      <c r="J706" s="3">
        <v>0</v>
      </c>
      <c r="K706" s="3">
        <f t="shared" si="19"/>
        <v>2007</v>
      </c>
      <c r="L706" s="3">
        <f t="shared" si="20"/>
        <v>0</v>
      </c>
      <c r="M706" s="20" t="str">
        <f>A706&amp;L706</f>
        <v>PH0</v>
      </c>
      <c r="N706" s="3">
        <f>F706/3</f>
        <v>8.666666666666667E-2</v>
      </c>
      <c r="O706" s="9">
        <f>H706</f>
        <v>1.09E-2</v>
      </c>
      <c r="P706" s="10">
        <f t="shared" si="21"/>
        <v>0</v>
      </c>
      <c r="Q706" s="10">
        <f>IF(K706=0,IF(A703=A706,AVERAGE(O703:O706),"x"),0)</f>
        <v>0</v>
      </c>
      <c r="R706" s="9">
        <f>IF(L706&gt;2005,AVERAGE(O703:O722),0)</f>
        <v>0</v>
      </c>
      <c r="S706" s="10">
        <f>IF(A706=A707,(N706-N707)/N707,0)</f>
        <v>0</v>
      </c>
      <c r="T706" s="10">
        <f>IF(L706&gt;2005,(((N706-N726)/N726)+1)^(1/5)-1,0)</f>
        <v>0</v>
      </c>
      <c r="U706" s="10">
        <f t="shared" si="22"/>
        <v>0</v>
      </c>
      <c r="V706" s="26">
        <f t="shared" si="23"/>
        <v>0</v>
      </c>
      <c r="W706" s="3">
        <f>IF(A706=A707,N706-N707,0)</f>
        <v>0</v>
      </c>
      <c r="X706" s="10">
        <f>IF(A706=A707,(N706-N707)/N707,0)</f>
        <v>0</v>
      </c>
    </row>
    <row r="707" spans="1:24" ht="16.5" customHeight="1">
      <c r="A707" s="3" t="s">
        <v>31</v>
      </c>
      <c r="B707" s="3">
        <f t="shared" si="16"/>
        <v>2007</v>
      </c>
      <c r="C707" s="3">
        <f t="shared" si="17"/>
        <v>2</v>
      </c>
      <c r="D707" s="20" t="str">
        <f t="shared" si="18"/>
        <v>PH20072</v>
      </c>
      <c r="E707" s="2">
        <v>39126</v>
      </c>
      <c r="F707" s="3">
        <v>0.26</v>
      </c>
      <c r="G707" s="2">
        <v>39143</v>
      </c>
      <c r="H707" s="3">
        <v>1.2200000000000001E-2</v>
      </c>
      <c r="I707" s="3">
        <v>0</v>
      </c>
      <c r="J707" s="3">
        <v>0</v>
      </c>
      <c r="K707" s="3">
        <f t="shared" si="19"/>
        <v>0</v>
      </c>
      <c r="L707" s="3">
        <f t="shared" si="20"/>
        <v>2007</v>
      </c>
      <c r="M707" s="20" t="str">
        <f>A707&amp;L707</f>
        <v>PH2007</v>
      </c>
      <c r="N707" s="3">
        <f>F707/3</f>
        <v>8.666666666666667E-2</v>
      </c>
      <c r="O707" s="9">
        <f>H707</f>
        <v>1.2200000000000001E-2</v>
      </c>
      <c r="P707" s="10">
        <f t="shared" si="21"/>
        <v>0</v>
      </c>
      <c r="Q707" s="10">
        <f>IF(K707=0,IF(A704=A707,AVERAGE(O704:O707),"x"),0)</f>
        <v>1.0825E-2</v>
      </c>
      <c r="R707" s="9">
        <f>IF(L707&gt;2005,AVERAGE(O704:O723),0)</f>
        <v>1.2905E-2</v>
      </c>
      <c r="S707" s="10">
        <f>IF(A707=A708,(N707-N708)/N708,0)</f>
        <v>0</v>
      </c>
      <c r="T707" s="10">
        <f>IF(L707&gt;2005,(((N707-N727)/N727)+1)^(1/5)-1,0)</f>
        <v>7.6316922514810814E-2</v>
      </c>
      <c r="U707" s="10">
        <f t="shared" si="22"/>
        <v>8.9221922514810814E-2</v>
      </c>
      <c r="V707" s="26">
        <f t="shared" si="23"/>
        <v>4.825064024661331</v>
      </c>
      <c r="W707" s="3">
        <f>IF(A707=A708,N707-N708,0)</f>
        <v>0</v>
      </c>
      <c r="X707" s="10">
        <f>IF(A707=A708,(N707-N708)/N708,0)</f>
        <v>0</v>
      </c>
    </row>
    <row r="708" spans="1:24" ht="16.5" customHeight="1">
      <c r="A708" s="3" t="s">
        <v>31</v>
      </c>
      <c r="B708" s="3">
        <f t="shared" si="16"/>
        <v>2006</v>
      </c>
      <c r="C708" s="3">
        <f t="shared" si="17"/>
        <v>11</v>
      </c>
      <c r="D708" s="20" t="str">
        <f t="shared" si="18"/>
        <v>PH200611</v>
      </c>
      <c r="E708" s="2">
        <v>39035</v>
      </c>
      <c r="F708" s="3">
        <v>0.26</v>
      </c>
      <c r="G708" s="2">
        <v>39052</v>
      </c>
      <c r="H708" s="3">
        <v>1.1599999999999999E-2</v>
      </c>
      <c r="I708" s="3">
        <v>0</v>
      </c>
      <c r="J708" s="3">
        <v>0</v>
      </c>
      <c r="K708" s="3">
        <f t="shared" si="19"/>
        <v>2006</v>
      </c>
      <c r="L708" s="3">
        <f t="shared" si="20"/>
        <v>0</v>
      </c>
      <c r="M708" s="20" t="str">
        <f>A708&amp;L708</f>
        <v>PH0</v>
      </c>
      <c r="N708" s="3">
        <f>F708/3</f>
        <v>8.666666666666667E-2</v>
      </c>
      <c r="O708" s="9">
        <f>H708</f>
        <v>1.1599999999999999E-2</v>
      </c>
      <c r="P708" s="10">
        <f t="shared" si="21"/>
        <v>0</v>
      </c>
      <c r="Q708" s="10">
        <f>IF(K708=0,IF(A705=A708,AVERAGE(O705:O708),"x"),0)</f>
        <v>0</v>
      </c>
      <c r="R708" s="9">
        <f>IF(L708&gt;2005,AVERAGE(O705:O724),0)</f>
        <v>0</v>
      </c>
      <c r="S708" s="10">
        <f>IF(A708=A709,(N708-N709)/N709,0)</f>
        <v>0</v>
      </c>
      <c r="T708" s="10">
        <f>IF(L708&gt;2005,(((N708-N728)/N728)+1)^(1/5)-1,0)</f>
        <v>0</v>
      </c>
      <c r="U708" s="10">
        <f t="shared" si="22"/>
        <v>0</v>
      </c>
      <c r="V708" s="26">
        <f t="shared" si="23"/>
        <v>0</v>
      </c>
      <c r="W708" s="3">
        <f>IF(A708=A709,N708-N709,0)</f>
        <v>0</v>
      </c>
      <c r="X708" s="10">
        <f>IF(A708=A709,(N708-N709)/N709,0)</f>
        <v>0</v>
      </c>
    </row>
    <row r="709" spans="1:24" ht="16.5" customHeight="1">
      <c r="A709" s="3" t="s">
        <v>31</v>
      </c>
      <c r="B709" s="3">
        <f t="shared" si="16"/>
        <v>2006</v>
      </c>
      <c r="C709" s="3">
        <f t="shared" si="17"/>
        <v>8</v>
      </c>
      <c r="D709" s="20" t="str">
        <f t="shared" si="18"/>
        <v>PH20068</v>
      </c>
      <c r="E709" s="2">
        <v>38953</v>
      </c>
      <c r="F709" s="3">
        <v>0.26</v>
      </c>
      <c r="G709" s="2">
        <v>38968</v>
      </c>
      <c r="H709" s="3">
        <v>1.2699999999999999E-2</v>
      </c>
      <c r="I709" s="3">
        <v>0.130434783</v>
      </c>
      <c r="J709" s="3">
        <v>0.03</v>
      </c>
      <c r="K709" s="3">
        <f t="shared" si="19"/>
        <v>2006</v>
      </c>
      <c r="L709" s="3">
        <f t="shared" si="20"/>
        <v>0</v>
      </c>
      <c r="M709" s="20" t="str">
        <f>A709&amp;L709</f>
        <v>PH0</v>
      </c>
      <c r="N709" s="3">
        <f>F709/3</f>
        <v>8.666666666666667E-2</v>
      </c>
      <c r="O709" s="9">
        <f>H709</f>
        <v>1.2699999999999999E-2</v>
      </c>
      <c r="P709" s="10">
        <f t="shared" si="21"/>
        <v>1.2075000000000001E-2</v>
      </c>
      <c r="Q709" s="10">
        <f>IF(K709=0,IF(A706=A709,AVERAGE(O706:O709),"x"),0)</f>
        <v>0</v>
      </c>
      <c r="R709" s="9">
        <f>IF(L709&gt;2005,AVERAGE(O706:O725),0)</f>
        <v>0</v>
      </c>
      <c r="S709" s="10">
        <f>IF(A709=A710,(N709-N710)/N710,0)</f>
        <v>0.13043478260869557</v>
      </c>
      <c r="T709" s="10">
        <f>IF(L709&gt;2005,(((N709-N729)/N729)+1)^(1/5)-1,0)</f>
        <v>0</v>
      </c>
      <c r="U709" s="10">
        <f t="shared" si="22"/>
        <v>0</v>
      </c>
      <c r="V709" s="26">
        <f t="shared" si="23"/>
        <v>0</v>
      </c>
      <c r="W709" s="3">
        <f>IF(A709=A710,N709-N710,0)</f>
        <v>9.999999999999995E-3</v>
      </c>
      <c r="X709" s="10">
        <f>IF(A709=A710,(N709-N710)/N710,0)</f>
        <v>0.13043478260869557</v>
      </c>
    </row>
    <row r="710" spans="1:24" ht="16.5" customHeight="1">
      <c r="A710" s="3" t="s">
        <v>31</v>
      </c>
      <c r="B710" s="3">
        <f t="shared" si="16"/>
        <v>2006</v>
      </c>
      <c r="C710" s="3">
        <f t="shared" si="17"/>
        <v>5</v>
      </c>
      <c r="D710" s="20" t="str">
        <f t="shared" si="18"/>
        <v>PH20065</v>
      </c>
      <c r="E710" s="2">
        <v>38853</v>
      </c>
      <c r="F710" s="3">
        <v>0.23</v>
      </c>
      <c r="G710" s="2">
        <v>38870</v>
      </c>
      <c r="H710" s="3">
        <v>1.12E-2</v>
      </c>
      <c r="I710" s="3">
        <v>0</v>
      </c>
      <c r="J710" s="3">
        <v>0</v>
      </c>
      <c r="K710" s="3">
        <f t="shared" si="19"/>
        <v>2006</v>
      </c>
      <c r="L710" s="3">
        <f t="shared" si="20"/>
        <v>0</v>
      </c>
      <c r="M710" s="20" t="str">
        <f>A710&amp;L710</f>
        <v>PH0</v>
      </c>
      <c r="N710" s="3">
        <f>F710/3</f>
        <v>7.6666666666666675E-2</v>
      </c>
      <c r="O710" s="9">
        <f>H710</f>
        <v>1.12E-2</v>
      </c>
      <c r="P710" s="10">
        <f t="shared" si="21"/>
        <v>0</v>
      </c>
      <c r="Q710" s="10">
        <f>IF(K710=0,IF(A707=A710,AVERAGE(O707:O710),"x"),0)</f>
        <v>0</v>
      </c>
      <c r="R710" s="9">
        <f>IF(L710&gt;2005,AVERAGE(O707:O726),0)</f>
        <v>0</v>
      </c>
      <c r="S710" s="10">
        <f>IF(A710=A711,(N710-N711)/N711,0)</f>
        <v>0</v>
      </c>
      <c r="T710" s="10">
        <f>IF(L710&gt;2005,(((N710-N730)/N730)+1)^(1/5)-1,0)</f>
        <v>0</v>
      </c>
      <c r="U710" s="10">
        <f t="shared" si="22"/>
        <v>0</v>
      </c>
      <c r="V710" s="26">
        <f t="shared" si="23"/>
        <v>0</v>
      </c>
      <c r="W710" s="3">
        <f>IF(A710=A711,N710-N711,0)</f>
        <v>0</v>
      </c>
      <c r="X710" s="10">
        <f>IF(A710=A711,(N710-N711)/N711,0)</f>
        <v>0</v>
      </c>
    </row>
    <row r="711" spans="1:24" ht="16.5" customHeight="1">
      <c r="A711" s="3" t="s">
        <v>31</v>
      </c>
      <c r="B711" s="3">
        <f t="shared" si="16"/>
        <v>2006</v>
      </c>
      <c r="C711" s="3">
        <f t="shared" si="17"/>
        <v>2</v>
      </c>
      <c r="D711" s="20" t="str">
        <f t="shared" si="18"/>
        <v>PH20062</v>
      </c>
      <c r="E711" s="2">
        <v>38762</v>
      </c>
      <c r="F711" s="3">
        <v>0.23</v>
      </c>
      <c r="G711" s="2">
        <v>38779</v>
      </c>
      <c r="H711" s="3">
        <v>1.15E-2</v>
      </c>
      <c r="I711" s="3">
        <v>0</v>
      </c>
      <c r="J711" s="3">
        <v>0</v>
      </c>
      <c r="K711" s="3">
        <f t="shared" si="19"/>
        <v>0</v>
      </c>
      <c r="L711" s="3">
        <f t="shared" si="20"/>
        <v>2006</v>
      </c>
      <c r="M711" s="20" t="str">
        <f>A711&amp;L711</f>
        <v>PH2006</v>
      </c>
      <c r="N711" s="3">
        <f>F711/3</f>
        <v>7.6666666666666675E-2</v>
      </c>
      <c r="O711" s="9">
        <f>H711</f>
        <v>1.15E-2</v>
      </c>
      <c r="P711" s="10">
        <f t="shared" si="21"/>
        <v>0</v>
      </c>
      <c r="Q711" s="10">
        <f>IF(K711=0,IF(A708=A711,AVERAGE(O708:O711),"x"),0)</f>
        <v>1.175E-2</v>
      </c>
      <c r="R711" s="9">
        <f>IF(L711&gt;2005,AVERAGE(O708:O727),0)</f>
        <v>1.3885E-2</v>
      </c>
      <c r="S711" s="10">
        <f>IF(A711=A712,(N711-N712)/N712,0)</f>
        <v>0</v>
      </c>
      <c r="T711" s="10">
        <f>IF(L711&gt;2005,(((N711-N731)/N731)+1)^(1/5)-1,0)</f>
        <v>5.0246072638682637E-2</v>
      </c>
      <c r="U711" s="10">
        <f t="shared" si="22"/>
        <v>6.4131072638682632E-2</v>
      </c>
      <c r="V711" s="26">
        <f t="shared" si="23"/>
        <v>4.8076488938670492</v>
      </c>
      <c r="W711" s="3">
        <f>IF(A711=A712,N711-N712,0)</f>
        <v>0</v>
      </c>
      <c r="X711" s="10">
        <f>IF(A711=A712,(N711-N712)/N712,0)</f>
        <v>0</v>
      </c>
    </row>
    <row r="712" spans="1:24" ht="16.5" customHeight="1">
      <c r="A712" s="3" t="s">
        <v>31</v>
      </c>
      <c r="B712" s="3">
        <f t="shared" si="16"/>
        <v>2005</v>
      </c>
      <c r="C712" s="3">
        <f t="shared" si="17"/>
        <v>11</v>
      </c>
      <c r="D712" s="20" t="str">
        <f t="shared" si="18"/>
        <v>PH200511</v>
      </c>
      <c r="E712" s="2">
        <v>38671</v>
      </c>
      <c r="F712" s="3">
        <v>0.23</v>
      </c>
      <c r="G712" s="2">
        <v>38688</v>
      </c>
      <c r="H712" s="3">
        <v>1.29E-2</v>
      </c>
      <c r="I712" s="3">
        <v>0</v>
      </c>
      <c r="J712" s="3">
        <v>0</v>
      </c>
      <c r="K712" s="3">
        <f t="shared" si="19"/>
        <v>2005</v>
      </c>
      <c r="L712" s="3">
        <f t="shared" si="20"/>
        <v>0</v>
      </c>
      <c r="M712" s="20" t="str">
        <f>A712&amp;L712</f>
        <v>PH0</v>
      </c>
      <c r="N712" s="3">
        <f>F712/3</f>
        <v>7.6666666666666675E-2</v>
      </c>
      <c r="O712" s="9">
        <f>H712</f>
        <v>1.29E-2</v>
      </c>
      <c r="P712" s="10">
        <f t="shared" si="21"/>
        <v>0</v>
      </c>
      <c r="Q712" s="10">
        <f>IF(K712=0,IF(A709=A712,AVERAGE(O709:O712),"x"),0)</f>
        <v>0</v>
      </c>
      <c r="R712" s="9">
        <f>IF(L712&gt;2005,AVERAGE(O709:O728),0)</f>
        <v>0</v>
      </c>
      <c r="S712" s="10">
        <f>IF(A712=A713,(N712-N713)/N713,0)</f>
        <v>0</v>
      </c>
      <c r="T712" s="10">
        <f>IF(L712&gt;2005,(((N712-N732)/N732)+1)^(1/5)-1,0)</f>
        <v>0</v>
      </c>
      <c r="U712" s="10">
        <f t="shared" si="22"/>
        <v>0</v>
      </c>
      <c r="V712" s="26">
        <f t="shared" si="23"/>
        <v>0</v>
      </c>
      <c r="W712" s="3">
        <f>IF(A712=A713,N712-N713,0)</f>
        <v>0</v>
      </c>
      <c r="X712" s="10">
        <f>IF(A712=A713,(N712-N713)/N713,0)</f>
        <v>0</v>
      </c>
    </row>
    <row r="713" spans="1:24" ht="16.5" customHeight="1">
      <c r="A713" s="3" t="s">
        <v>31</v>
      </c>
      <c r="B713" s="3">
        <f t="shared" si="16"/>
        <v>2005</v>
      </c>
      <c r="C713" s="3">
        <f t="shared" si="17"/>
        <v>8</v>
      </c>
      <c r="D713" s="20" t="str">
        <f t="shared" si="18"/>
        <v>PH20058</v>
      </c>
      <c r="E713" s="2">
        <v>38582</v>
      </c>
      <c r="F713" s="3">
        <v>0.23</v>
      </c>
      <c r="G713" s="2">
        <v>38597</v>
      </c>
      <c r="H713" s="3">
        <v>1.26E-2</v>
      </c>
      <c r="I713" s="3">
        <v>0.15</v>
      </c>
      <c r="J713" s="3">
        <v>0.03</v>
      </c>
      <c r="K713" s="3">
        <f t="shared" si="19"/>
        <v>2005</v>
      </c>
      <c r="L713" s="3">
        <f t="shared" si="20"/>
        <v>0</v>
      </c>
      <c r="M713" s="20" t="str">
        <f>A713&amp;L713</f>
        <v>PH0</v>
      </c>
      <c r="N713" s="3">
        <f>F713/3</f>
        <v>7.6666666666666675E-2</v>
      </c>
      <c r="O713" s="9">
        <f>H713</f>
        <v>1.26E-2</v>
      </c>
      <c r="P713" s="10">
        <f t="shared" si="21"/>
        <v>1.1925000000000002E-2</v>
      </c>
      <c r="Q713" s="10">
        <f>IF(K713=0,IF(A710=A713,AVERAGE(O710:O713),"x"),0)</f>
        <v>0</v>
      </c>
      <c r="R713" s="9">
        <f>IF(L713&gt;2005,AVERAGE(O710:O729),0)</f>
        <v>0</v>
      </c>
      <c r="S713" s="10">
        <f>IF(A713=A714,(N713-N714)/N714,0)</f>
        <v>0.15000000000000013</v>
      </c>
      <c r="T713" s="10">
        <f>IF(L713&gt;2005,(((N713-N733)/N733)+1)^(1/5)-1,0)</f>
        <v>0</v>
      </c>
      <c r="U713" s="10">
        <f t="shared" si="22"/>
        <v>0</v>
      </c>
      <c r="V713" s="26">
        <f t="shared" si="23"/>
        <v>0</v>
      </c>
      <c r="W713" s="3">
        <f>IF(A713=A714,N713-N714,0)</f>
        <v>1.0000000000000009E-2</v>
      </c>
      <c r="X713" s="10">
        <f>IF(A713=A714,(N713-N714)/N714,0)</f>
        <v>0.15000000000000013</v>
      </c>
    </row>
    <row r="714" spans="1:24" ht="16.5" customHeight="1">
      <c r="A714" s="3" t="s">
        <v>31</v>
      </c>
      <c r="B714" s="3">
        <f t="shared" si="16"/>
        <v>2005</v>
      </c>
      <c r="C714" s="3">
        <f t="shared" si="17"/>
        <v>5</v>
      </c>
      <c r="D714" s="20" t="str">
        <f t="shared" si="18"/>
        <v>PH20055</v>
      </c>
      <c r="E714" s="2">
        <v>38489</v>
      </c>
      <c r="F714" s="3">
        <v>0.2</v>
      </c>
      <c r="G714" s="2">
        <v>38506</v>
      </c>
      <c r="H714" s="3">
        <v>1.3299999999999999E-2</v>
      </c>
      <c r="I714" s="3">
        <v>0</v>
      </c>
      <c r="J714" s="3">
        <v>0</v>
      </c>
      <c r="K714" s="3">
        <f t="shared" si="19"/>
        <v>2005</v>
      </c>
      <c r="L714" s="3">
        <f t="shared" si="20"/>
        <v>0</v>
      </c>
      <c r="M714" s="20" t="str">
        <f>A714&amp;L714</f>
        <v>PH0</v>
      </c>
      <c r="N714" s="3">
        <f>F714/3</f>
        <v>6.6666666666666666E-2</v>
      </c>
      <c r="O714" s="9">
        <f>H714</f>
        <v>1.3299999999999999E-2</v>
      </c>
      <c r="P714" s="10">
        <f t="shared" si="21"/>
        <v>0</v>
      </c>
      <c r="Q714" s="10">
        <f>IF(K714=0,IF(A711=A714,AVERAGE(O711:O714),"x"),0)</f>
        <v>0</v>
      </c>
      <c r="R714" s="9">
        <f>IF(L714&gt;2005,AVERAGE(O711:O730),0)</f>
        <v>0</v>
      </c>
      <c r="S714" s="10">
        <f>IF(A714=A715,(N714-N715)/N715,0)</f>
        <v>0</v>
      </c>
      <c r="T714" s="10">
        <f>IF(L714&gt;2005,(((N714-N734)/N734)+1)^(1/5)-1,0)</f>
        <v>0</v>
      </c>
      <c r="U714" s="10">
        <f t="shared" si="22"/>
        <v>0</v>
      </c>
      <c r="V714" s="26">
        <f t="shared" si="23"/>
        <v>0</v>
      </c>
      <c r="W714" s="3">
        <f>IF(A714=A715,N714-N715,0)</f>
        <v>0</v>
      </c>
      <c r="X714" s="10">
        <f>IF(A714=A715,(N714-N715)/N715,0)</f>
        <v>0</v>
      </c>
    </row>
    <row r="715" spans="1:24" ht="16.5" customHeight="1">
      <c r="A715" s="3" t="s">
        <v>31</v>
      </c>
      <c r="B715" s="3">
        <f t="shared" si="16"/>
        <v>2005</v>
      </c>
      <c r="C715" s="3">
        <f t="shared" si="17"/>
        <v>2</v>
      </c>
      <c r="D715" s="20" t="str">
        <f t="shared" si="18"/>
        <v>PH20052</v>
      </c>
      <c r="E715" s="2">
        <v>38398</v>
      </c>
      <c r="F715" s="3">
        <v>0.2</v>
      </c>
      <c r="G715" s="2">
        <v>38415</v>
      </c>
      <c r="H715" s="3">
        <v>1.15E-2</v>
      </c>
      <c r="I715" s="3">
        <v>5.2631578999999998E-2</v>
      </c>
      <c r="J715" s="3">
        <v>0.01</v>
      </c>
      <c r="K715" s="3">
        <f t="shared" si="19"/>
        <v>0</v>
      </c>
      <c r="L715" s="3">
        <f t="shared" si="20"/>
        <v>2005</v>
      </c>
      <c r="M715" s="20" t="str">
        <f>A715&amp;L715</f>
        <v>PH2005</v>
      </c>
      <c r="N715" s="3">
        <f>F715/3</f>
        <v>6.6666666666666666E-2</v>
      </c>
      <c r="O715" s="9">
        <f>H715</f>
        <v>1.15E-2</v>
      </c>
      <c r="P715" s="10">
        <f t="shared" si="21"/>
        <v>1.2475E-2</v>
      </c>
      <c r="Q715" s="10">
        <f>IF(K715=0,IF(A712=A715,AVERAGE(O712:O715),"x"),0)</f>
        <v>1.2574999999999999E-2</v>
      </c>
      <c r="R715" s="9">
        <f>IF(L715&gt;2005,AVERAGE(O712:O731),0)</f>
        <v>0</v>
      </c>
      <c r="S715" s="10">
        <f>IF(A715=A716,(N715-N716)/N716,0)</f>
        <v>5.2631578947368314E-2</v>
      </c>
      <c r="T715" s="10">
        <f>IF(L715&gt;2005,(((N715-N735)/N735)+1)^(1/5)-1,0)</f>
        <v>0</v>
      </c>
      <c r="U715" s="10">
        <f t="shared" si="22"/>
        <v>0</v>
      </c>
      <c r="V715" s="26">
        <f t="shared" si="23"/>
        <v>0</v>
      </c>
      <c r="W715" s="3">
        <f>IF(A715=A716,N715-N716,0)</f>
        <v>3.333333333333327E-3</v>
      </c>
      <c r="X715" s="10">
        <f>IF(A715=A716,(N715-N716)/N716,0)</f>
        <v>5.2631578947368314E-2</v>
      </c>
    </row>
    <row r="716" spans="1:24" ht="16.5" customHeight="1">
      <c r="A716" s="3" t="s">
        <v>31</v>
      </c>
      <c r="B716" s="3">
        <f t="shared" si="16"/>
        <v>2004</v>
      </c>
      <c r="C716" s="3">
        <f t="shared" si="17"/>
        <v>11</v>
      </c>
      <c r="D716" s="20" t="str">
        <f t="shared" si="18"/>
        <v>PH200411</v>
      </c>
      <c r="E716" s="2">
        <v>38307</v>
      </c>
      <c r="F716" s="3">
        <v>0.19</v>
      </c>
      <c r="G716" s="2">
        <v>38324</v>
      </c>
      <c r="H716" s="3">
        <v>1.03E-2</v>
      </c>
      <c r="I716" s="3">
        <v>0</v>
      </c>
      <c r="J716" s="3">
        <v>0</v>
      </c>
      <c r="K716" s="3">
        <f t="shared" si="19"/>
        <v>2004</v>
      </c>
      <c r="L716" s="3">
        <f t="shared" si="20"/>
        <v>0</v>
      </c>
      <c r="M716" s="20" t="str">
        <f>A716&amp;L716</f>
        <v>PH0</v>
      </c>
      <c r="N716" s="3">
        <f>F716/3</f>
        <v>6.3333333333333339E-2</v>
      </c>
      <c r="O716" s="9">
        <f>H716</f>
        <v>1.03E-2</v>
      </c>
      <c r="P716" s="10">
        <f t="shared" si="21"/>
        <v>0</v>
      </c>
      <c r="Q716" s="10">
        <f>IF(K716=0,IF(A713=A716,AVERAGE(O713:O716),"x"),0)</f>
        <v>0</v>
      </c>
      <c r="R716" s="9">
        <f>IF(L716&gt;2005,AVERAGE(O713:O732),0)</f>
        <v>0</v>
      </c>
      <c r="S716" s="10">
        <f>IF(A716=A717,(N716-N717)/N717,0)</f>
        <v>0</v>
      </c>
      <c r="T716" s="10">
        <f>IF(L716&gt;2005,(((N716-N736)/N736)+1)^(1/5)-1,0)</f>
        <v>0</v>
      </c>
      <c r="U716" s="10">
        <f t="shared" si="22"/>
        <v>0</v>
      </c>
      <c r="V716" s="26">
        <f t="shared" si="23"/>
        <v>0</v>
      </c>
      <c r="W716" s="3">
        <f>IF(A716=A717,N716-N717,0)</f>
        <v>0</v>
      </c>
      <c r="X716" s="10">
        <f>IF(A716=A717,(N716-N717)/N717,0)</f>
        <v>0</v>
      </c>
    </row>
    <row r="717" spans="1:24" ht="16.5" customHeight="1">
      <c r="A717" s="3" t="s">
        <v>31</v>
      </c>
      <c r="B717" s="3">
        <f t="shared" si="16"/>
        <v>2004</v>
      </c>
      <c r="C717" s="3">
        <f t="shared" si="17"/>
        <v>8</v>
      </c>
      <c r="D717" s="20" t="str">
        <f t="shared" si="18"/>
        <v>PH20048</v>
      </c>
      <c r="E717" s="2">
        <v>38217</v>
      </c>
      <c r="F717" s="3">
        <v>0.19</v>
      </c>
      <c r="G717" s="2">
        <v>38233</v>
      </c>
      <c r="H717" s="3">
        <v>1.38E-2</v>
      </c>
      <c r="I717" s="3">
        <v>0</v>
      </c>
      <c r="J717" s="3">
        <v>0</v>
      </c>
      <c r="K717" s="3">
        <f t="shared" si="19"/>
        <v>2004</v>
      </c>
      <c r="L717" s="3">
        <f t="shared" si="20"/>
        <v>0</v>
      </c>
      <c r="M717" s="20" t="str">
        <f>A717&amp;L717</f>
        <v>PH0</v>
      </c>
      <c r="N717" s="3">
        <f>F717/3</f>
        <v>6.3333333333333339E-2</v>
      </c>
      <c r="O717" s="9">
        <f>H717</f>
        <v>1.38E-2</v>
      </c>
      <c r="P717" s="10">
        <f t="shared" si="21"/>
        <v>0</v>
      </c>
      <c r="Q717" s="10">
        <f>IF(K717=0,IF(A714=A717,AVERAGE(O714:O717),"x"),0)</f>
        <v>0</v>
      </c>
      <c r="R717" s="9">
        <f>IF(L717&gt;2005,AVERAGE(O714:O733),0)</f>
        <v>0</v>
      </c>
      <c r="S717" s="10">
        <f>IF(A717=A718,(N717-N718)/N718,0)</f>
        <v>0</v>
      </c>
      <c r="T717" s="10">
        <f>IF(L717&gt;2005,(((N717-N737)/N737)+1)^(1/5)-1,0)</f>
        <v>0</v>
      </c>
      <c r="U717" s="10">
        <f t="shared" si="22"/>
        <v>0</v>
      </c>
      <c r="V717" s="26">
        <f t="shared" si="23"/>
        <v>0</v>
      </c>
      <c r="W717" s="3">
        <f>IF(A717=A718,N717-N718,0)</f>
        <v>0</v>
      </c>
      <c r="X717" s="10">
        <f>IF(A717=A718,(N717-N718)/N718,0)</f>
        <v>0</v>
      </c>
    </row>
    <row r="718" spans="1:24" ht="16.5" customHeight="1">
      <c r="A718" s="3" t="s">
        <v>31</v>
      </c>
      <c r="B718" s="3">
        <f t="shared" si="16"/>
        <v>2004</v>
      </c>
      <c r="C718" s="3">
        <f t="shared" si="17"/>
        <v>5</v>
      </c>
      <c r="D718" s="20" t="str">
        <f t="shared" si="18"/>
        <v>PH20045</v>
      </c>
      <c r="E718" s="2">
        <v>38125</v>
      </c>
      <c r="F718" s="3">
        <v>0.19</v>
      </c>
      <c r="G718" s="2">
        <v>38142</v>
      </c>
      <c r="H718" s="3">
        <v>1.43E-2</v>
      </c>
      <c r="I718" s="3">
        <v>0</v>
      </c>
      <c r="J718" s="3">
        <v>0</v>
      </c>
      <c r="K718" s="3">
        <f t="shared" si="19"/>
        <v>2004</v>
      </c>
      <c r="L718" s="3">
        <f t="shared" si="20"/>
        <v>0</v>
      </c>
      <c r="M718" s="20" t="str">
        <f>A718&amp;L718</f>
        <v>PH0</v>
      </c>
      <c r="N718" s="3">
        <f>F718/3</f>
        <v>6.3333333333333339E-2</v>
      </c>
      <c r="O718" s="9">
        <f>H718</f>
        <v>1.43E-2</v>
      </c>
      <c r="P718" s="10">
        <f t="shared" si="21"/>
        <v>0</v>
      </c>
      <c r="Q718" s="10">
        <f>IF(K718=0,IF(A715=A718,AVERAGE(O715:O718),"x"),0)</f>
        <v>0</v>
      </c>
      <c r="R718" s="9">
        <f>IF(L718&gt;2005,AVERAGE(O715:O734),0)</f>
        <v>0</v>
      </c>
      <c r="S718" s="10">
        <f>IF(A718=A719,(N718-N719)/N719,0)</f>
        <v>0</v>
      </c>
      <c r="T718" s="10">
        <f>IF(L718&gt;2005,(((N718-N738)/N738)+1)^(1/5)-1,0)</f>
        <v>0</v>
      </c>
      <c r="U718" s="10">
        <f t="shared" si="22"/>
        <v>0</v>
      </c>
      <c r="V718" s="26">
        <f t="shared" si="23"/>
        <v>0</v>
      </c>
      <c r="W718" s="3">
        <f>IF(A718=A719,N718-N719,0)</f>
        <v>0</v>
      </c>
      <c r="X718" s="10">
        <f>IF(A718=A719,(N718-N719)/N719,0)</f>
        <v>0</v>
      </c>
    </row>
    <row r="719" spans="1:24" ht="16.5" customHeight="1">
      <c r="A719" s="3" t="s">
        <v>31</v>
      </c>
      <c r="B719" s="3">
        <f t="shared" si="16"/>
        <v>2004</v>
      </c>
      <c r="C719" s="3">
        <f t="shared" si="17"/>
        <v>2</v>
      </c>
      <c r="D719" s="20" t="str">
        <f t="shared" si="18"/>
        <v>PH20042</v>
      </c>
      <c r="E719" s="2">
        <v>38034</v>
      </c>
      <c r="F719" s="3">
        <v>0.19</v>
      </c>
      <c r="G719" s="2">
        <v>38051</v>
      </c>
      <c r="H719" s="3">
        <v>1.32E-2</v>
      </c>
      <c r="I719" s="3">
        <v>0</v>
      </c>
      <c r="J719" s="3">
        <v>0</v>
      </c>
      <c r="K719" s="3">
        <f t="shared" si="19"/>
        <v>0</v>
      </c>
      <c r="L719" s="3">
        <f t="shared" si="20"/>
        <v>2004</v>
      </c>
      <c r="M719" s="20" t="str">
        <f>A719&amp;L719</f>
        <v>PH2004</v>
      </c>
      <c r="N719" s="3">
        <f>F719/3</f>
        <v>6.3333333333333339E-2</v>
      </c>
      <c r="O719" s="9">
        <f>H719</f>
        <v>1.32E-2</v>
      </c>
      <c r="P719" s="10">
        <f t="shared" si="21"/>
        <v>0</v>
      </c>
      <c r="Q719" s="10">
        <f>IF(K719=0,IF(A716=A719,AVERAGE(O716:O719),"x"),0)</f>
        <v>1.2900000000000002E-2</v>
      </c>
      <c r="R719" s="9">
        <f>IF(L719&gt;2005,AVERAGE(O716:O735),0)</f>
        <v>0</v>
      </c>
      <c r="S719" s="10">
        <f>IF(A719=A720,(N719-N720)/N720,0)</f>
        <v>0</v>
      </c>
      <c r="T719" s="10">
        <f>IF(L719&gt;2005,(((N719-N739)/N739)+1)^(1/5)-1,0)</f>
        <v>0</v>
      </c>
      <c r="U719" s="10">
        <f t="shared" si="22"/>
        <v>0</v>
      </c>
      <c r="V719" s="26">
        <f t="shared" si="23"/>
        <v>0</v>
      </c>
      <c r="W719" s="3">
        <f>IF(A719=A720,N719-N720,0)</f>
        <v>0</v>
      </c>
      <c r="X719" s="10">
        <f>IF(A719=A720,(N719-N720)/N720,0)</f>
        <v>0</v>
      </c>
    </row>
    <row r="720" spans="1:24" ht="16.5" customHeight="1">
      <c r="A720" s="3" t="s">
        <v>31</v>
      </c>
      <c r="B720" s="3">
        <f t="shared" si="16"/>
        <v>2003</v>
      </c>
      <c r="C720" s="3">
        <f t="shared" si="17"/>
        <v>11</v>
      </c>
      <c r="D720" s="20" t="str">
        <f t="shared" si="18"/>
        <v>PH200311</v>
      </c>
      <c r="E720" s="2">
        <v>37943</v>
      </c>
      <c r="F720" s="3">
        <v>0.19</v>
      </c>
      <c r="G720" s="2">
        <v>37960</v>
      </c>
      <c r="H720" s="3">
        <v>1.4200000000000001E-2</v>
      </c>
      <c r="I720" s="3">
        <v>0</v>
      </c>
      <c r="J720" s="3">
        <v>0</v>
      </c>
      <c r="K720" s="3">
        <f t="shared" si="19"/>
        <v>2003</v>
      </c>
      <c r="L720" s="3">
        <f t="shared" si="20"/>
        <v>0</v>
      </c>
      <c r="M720" s="20" t="str">
        <f>A720&amp;L720</f>
        <v>PH0</v>
      </c>
      <c r="N720" s="3">
        <f>F720/3</f>
        <v>6.3333333333333339E-2</v>
      </c>
      <c r="O720" s="9">
        <f>H720</f>
        <v>1.4200000000000001E-2</v>
      </c>
      <c r="P720" s="10">
        <f t="shared" si="21"/>
        <v>0</v>
      </c>
      <c r="Q720" s="10">
        <f>IF(K720=0,IF(A717=A720,AVERAGE(O717:O720),"x"),0)</f>
        <v>0</v>
      </c>
      <c r="R720" s="9">
        <f>IF(L720&gt;2005,AVERAGE(O717:O736),0)</f>
        <v>0</v>
      </c>
      <c r="S720" s="10">
        <f>IF(A720=A721,(N720-N721)/N721,0)</f>
        <v>0</v>
      </c>
      <c r="T720" s="10">
        <f>IF(L720&gt;2005,(((N720-N740)/N740)+1)^(1/5)-1,0)</f>
        <v>0</v>
      </c>
      <c r="U720" s="10">
        <f t="shared" si="22"/>
        <v>0</v>
      </c>
      <c r="V720" s="26">
        <f t="shared" si="23"/>
        <v>0</v>
      </c>
      <c r="W720" s="3">
        <f>IF(A720=A721,N720-N721,0)</f>
        <v>0</v>
      </c>
      <c r="X720" s="10">
        <f>IF(A720=A721,(N720-N721)/N721,0)</f>
        <v>0</v>
      </c>
    </row>
    <row r="721" spans="1:24" ht="16.5" customHeight="1">
      <c r="A721" s="3" t="s">
        <v>31</v>
      </c>
      <c r="B721" s="3">
        <f t="shared" si="16"/>
        <v>2003</v>
      </c>
      <c r="C721" s="3">
        <f t="shared" si="17"/>
        <v>8</v>
      </c>
      <c r="D721" s="20" t="str">
        <f t="shared" si="18"/>
        <v>PH20038</v>
      </c>
      <c r="E721" s="2">
        <v>37852</v>
      </c>
      <c r="F721" s="3">
        <v>0.19</v>
      </c>
      <c r="G721" s="2">
        <v>37869</v>
      </c>
      <c r="H721" s="3">
        <v>1.52E-2</v>
      </c>
      <c r="I721" s="3">
        <v>0</v>
      </c>
      <c r="J721" s="3">
        <v>0</v>
      </c>
      <c r="K721" s="3">
        <f t="shared" si="19"/>
        <v>2003</v>
      </c>
      <c r="L721" s="3">
        <f t="shared" si="20"/>
        <v>0</v>
      </c>
      <c r="M721" s="20" t="str">
        <f>A721&amp;L721</f>
        <v>PH0</v>
      </c>
      <c r="N721" s="3">
        <f>F721/3</f>
        <v>6.3333333333333339E-2</v>
      </c>
      <c r="O721" s="9">
        <f>H721</f>
        <v>1.52E-2</v>
      </c>
      <c r="P721" s="10">
        <f t="shared" si="21"/>
        <v>0</v>
      </c>
      <c r="Q721" s="10">
        <f>IF(K721=0,IF(A718=A721,AVERAGE(O718:O721),"x"),0)</f>
        <v>0</v>
      </c>
      <c r="R721" s="9">
        <f>IF(L721&gt;2005,AVERAGE(O718:O737),0)</f>
        <v>0</v>
      </c>
      <c r="S721" s="10">
        <f>IF(A721=A722,(N721-N722)/N722,0)</f>
        <v>0</v>
      </c>
      <c r="T721" s="10">
        <f>IF(L721&gt;2005,(((N721-N741)/N741)+1)^(1/5)-1,0)</f>
        <v>0</v>
      </c>
      <c r="U721" s="10">
        <f t="shared" si="22"/>
        <v>0</v>
      </c>
      <c r="V721" s="26">
        <f t="shared" si="23"/>
        <v>0</v>
      </c>
      <c r="W721" s="3">
        <f>IF(A721=A722,N721-N722,0)</f>
        <v>0</v>
      </c>
      <c r="X721" s="10">
        <f>IF(A721=A722,(N721-N722)/N722,0)</f>
        <v>0</v>
      </c>
    </row>
    <row r="722" spans="1:24" ht="16.5" customHeight="1">
      <c r="A722" s="3" t="s">
        <v>31</v>
      </c>
      <c r="B722" s="3">
        <f t="shared" si="16"/>
        <v>2003</v>
      </c>
      <c r="C722" s="3">
        <f t="shared" si="17"/>
        <v>5</v>
      </c>
      <c r="D722" s="20" t="str">
        <f t="shared" si="18"/>
        <v>PH20035</v>
      </c>
      <c r="E722" s="2">
        <v>37761</v>
      </c>
      <c r="F722" s="3">
        <v>0.19</v>
      </c>
      <c r="G722" s="2">
        <v>37778</v>
      </c>
      <c r="H722" s="3">
        <v>1.8599999999999998E-2</v>
      </c>
      <c r="I722" s="3">
        <v>0</v>
      </c>
      <c r="J722" s="3">
        <v>0</v>
      </c>
      <c r="K722" s="3">
        <f t="shared" si="19"/>
        <v>2003</v>
      </c>
      <c r="L722" s="3">
        <f t="shared" si="20"/>
        <v>0</v>
      </c>
      <c r="M722" s="20" t="str">
        <f>A722&amp;L722</f>
        <v>PH0</v>
      </c>
      <c r="N722" s="3">
        <f>F722/3</f>
        <v>6.3333333333333339E-2</v>
      </c>
      <c r="O722" s="9">
        <f>H722</f>
        <v>1.8599999999999998E-2</v>
      </c>
      <c r="P722" s="10">
        <f t="shared" si="21"/>
        <v>0</v>
      </c>
      <c r="Q722" s="10">
        <f>IF(K722=0,IF(A719=A722,AVERAGE(O719:O722),"x"),0)</f>
        <v>0</v>
      </c>
      <c r="R722" s="9">
        <f>IF(L722&gt;2005,AVERAGE(O719:O738),0)</f>
        <v>0</v>
      </c>
      <c r="S722" s="10">
        <f>IF(A722=A723,(N722-N723)/N723,0)</f>
        <v>0</v>
      </c>
      <c r="T722" s="10">
        <f>IF(L722&gt;2005,(((N722-N742)/N742)+1)^(1/5)-1,0)</f>
        <v>0</v>
      </c>
      <c r="U722" s="10">
        <f t="shared" si="22"/>
        <v>0</v>
      </c>
      <c r="V722" s="26">
        <f t="shared" si="23"/>
        <v>0</v>
      </c>
      <c r="W722" s="3">
        <f>IF(A722=A723,N722-N723,0)</f>
        <v>0</v>
      </c>
      <c r="X722" s="10">
        <f>IF(A722=A723,(N722-N723)/N723,0)</f>
        <v>0</v>
      </c>
    </row>
    <row r="723" spans="1:24" ht="16.5" customHeight="1">
      <c r="A723" s="3" t="s">
        <v>31</v>
      </c>
      <c r="B723" s="3">
        <f t="shared" si="16"/>
        <v>2003</v>
      </c>
      <c r="C723" s="3">
        <f t="shared" si="17"/>
        <v>2</v>
      </c>
      <c r="D723" s="20" t="str">
        <f t="shared" si="18"/>
        <v>PH20032</v>
      </c>
      <c r="E723" s="2">
        <v>37670</v>
      </c>
      <c r="F723" s="3">
        <v>0.19</v>
      </c>
      <c r="G723" s="2">
        <v>37687</v>
      </c>
      <c r="H723" s="3">
        <v>1.7899999999999999E-2</v>
      </c>
      <c r="I723" s="3">
        <v>5.5555555999999999E-2</v>
      </c>
      <c r="J723" s="3">
        <v>0.01</v>
      </c>
      <c r="K723" s="3">
        <f t="shared" si="19"/>
        <v>0</v>
      </c>
      <c r="L723" s="3">
        <f t="shared" si="20"/>
        <v>2003</v>
      </c>
      <c r="M723" s="20" t="str">
        <f>A723&amp;L723</f>
        <v>PH2003</v>
      </c>
      <c r="N723" s="3">
        <f>F723/3</f>
        <v>6.3333333333333339E-2</v>
      </c>
      <c r="O723" s="9">
        <f>H723</f>
        <v>1.7899999999999999E-2</v>
      </c>
      <c r="P723" s="10">
        <f t="shared" si="21"/>
        <v>1.6400000000000001E-2</v>
      </c>
      <c r="Q723" s="10">
        <f>IF(K723=0,IF(A720=A723,AVERAGE(O720:O723),"x"),0)</f>
        <v>1.6475E-2</v>
      </c>
      <c r="R723" s="9">
        <f>IF(L723&gt;2005,AVERAGE(O720:O739),0)</f>
        <v>0</v>
      </c>
      <c r="S723" s="10">
        <f>IF(A723=A724,(N723-N724)/N724,0)</f>
        <v>5.5555555555555684E-2</v>
      </c>
      <c r="T723" s="10">
        <f>IF(L723&gt;2005,(((N723-N743)/N743)+1)^(1/5)-1,0)</f>
        <v>0</v>
      </c>
      <c r="U723" s="10">
        <f t="shared" si="22"/>
        <v>0</v>
      </c>
      <c r="V723" s="26">
        <f t="shared" si="23"/>
        <v>0</v>
      </c>
      <c r="W723" s="3">
        <f>IF(A723=A724,N723-N724,0)</f>
        <v>3.3333333333333409E-3</v>
      </c>
      <c r="X723" s="10">
        <f>IF(A723=A724,(N723-N724)/N724,0)</f>
        <v>5.5555555555555684E-2</v>
      </c>
    </row>
    <row r="724" spans="1:24" ht="16.5" customHeight="1">
      <c r="A724" s="3" t="s">
        <v>31</v>
      </c>
      <c r="B724" s="3">
        <f t="shared" si="16"/>
        <v>2002</v>
      </c>
      <c r="C724" s="3">
        <f t="shared" si="17"/>
        <v>11</v>
      </c>
      <c r="D724" s="20" t="str">
        <f t="shared" si="18"/>
        <v>PH200211</v>
      </c>
      <c r="E724" s="2">
        <v>37578</v>
      </c>
      <c r="F724" s="3">
        <v>0.18</v>
      </c>
      <c r="G724" s="2">
        <v>37596</v>
      </c>
      <c r="H724" s="3">
        <v>1.61E-2</v>
      </c>
      <c r="I724" s="3">
        <v>0</v>
      </c>
      <c r="J724" s="3">
        <v>0</v>
      </c>
      <c r="K724" s="3">
        <f t="shared" si="19"/>
        <v>2002</v>
      </c>
      <c r="L724" s="3">
        <f t="shared" si="20"/>
        <v>0</v>
      </c>
      <c r="M724" s="20" t="str">
        <f>A724&amp;L724</f>
        <v>PH0</v>
      </c>
      <c r="N724" s="3">
        <f>F724/3</f>
        <v>0.06</v>
      </c>
      <c r="O724" s="9">
        <f>H724</f>
        <v>1.61E-2</v>
      </c>
      <c r="P724" s="10">
        <f t="shared" si="21"/>
        <v>0</v>
      </c>
      <c r="Q724" s="10">
        <f>IF(K724=0,IF(A721=A724,AVERAGE(O721:O724),"x"),0)</f>
        <v>0</v>
      </c>
      <c r="R724" s="9">
        <f>IF(L724&gt;2005,AVERAGE(O721:O740),0)</f>
        <v>0</v>
      </c>
      <c r="S724" s="10">
        <f>IF(A724=A725,(N724-N725)/N725,0)</f>
        <v>0</v>
      </c>
      <c r="T724" s="10">
        <f>IF(L724&gt;2005,(((N724-N744)/N744)+1)^(1/5)-1,0)</f>
        <v>0</v>
      </c>
      <c r="U724" s="10">
        <f t="shared" si="22"/>
        <v>0</v>
      </c>
      <c r="V724" s="26">
        <f t="shared" si="23"/>
        <v>0</v>
      </c>
      <c r="W724" s="3">
        <f>IF(A724=A725,N724-N725,0)</f>
        <v>0</v>
      </c>
      <c r="X724" s="10">
        <f>IF(A724=A725,(N724-N725)/N725,0)</f>
        <v>0</v>
      </c>
    </row>
    <row r="725" spans="1:24" ht="16.5" customHeight="1">
      <c r="A725" s="3" t="s">
        <v>31</v>
      </c>
      <c r="B725" s="3">
        <f t="shared" si="16"/>
        <v>2002</v>
      </c>
      <c r="C725" s="3">
        <f t="shared" si="17"/>
        <v>8</v>
      </c>
      <c r="D725" s="20" t="str">
        <f t="shared" si="18"/>
        <v>PH20028</v>
      </c>
      <c r="E725" s="2">
        <v>37488</v>
      </c>
      <c r="F725" s="3">
        <v>0.18</v>
      </c>
      <c r="G725" s="2">
        <v>37505</v>
      </c>
      <c r="H725" s="3">
        <v>1.72E-2</v>
      </c>
      <c r="I725" s="3">
        <v>0</v>
      </c>
      <c r="J725" s="3">
        <v>0</v>
      </c>
      <c r="K725" s="3">
        <f t="shared" si="19"/>
        <v>2002</v>
      </c>
      <c r="L725" s="3">
        <f t="shared" si="20"/>
        <v>0</v>
      </c>
      <c r="M725" s="20" t="str">
        <f>A725&amp;L725</f>
        <v>PH0</v>
      </c>
      <c r="N725" s="3">
        <f>F725/3</f>
        <v>0.06</v>
      </c>
      <c r="O725" s="9">
        <f>H725</f>
        <v>1.72E-2</v>
      </c>
      <c r="P725" s="10">
        <f t="shared" si="21"/>
        <v>0</v>
      </c>
      <c r="Q725" s="10">
        <f>IF(K725=0,IF(A722=A725,AVERAGE(O722:O725),"x"),0)</f>
        <v>0</v>
      </c>
      <c r="R725" s="9">
        <f>IF(L725&gt;2005,AVERAGE(O722:O741),0)</f>
        <v>0</v>
      </c>
      <c r="S725" s="10">
        <f>IF(A725=A726,(N725-N726)/N726,0)</f>
        <v>0</v>
      </c>
      <c r="T725" s="10">
        <f>IF(L725&gt;2005,(((N725-N745)/N745)+1)^(1/5)-1,0)</f>
        <v>0</v>
      </c>
      <c r="U725" s="10">
        <f t="shared" si="22"/>
        <v>0</v>
      </c>
      <c r="V725" s="26">
        <f t="shared" si="23"/>
        <v>0</v>
      </c>
      <c r="W725" s="3">
        <f>IF(A725=A726,N725-N726,0)</f>
        <v>0</v>
      </c>
      <c r="X725" s="10">
        <f>IF(A725=A726,(N725-N726)/N726,0)</f>
        <v>0</v>
      </c>
    </row>
    <row r="726" spans="1:24" ht="16.5" customHeight="1">
      <c r="A726" s="3" t="s">
        <v>31</v>
      </c>
      <c r="B726" s="3">
        <f t="shared" si="16"/>
        <v>2002</v>
      </c>
      <c r="C726" s="3">
        <f t="shared" si="17"/>
        <v>5</v>
      </c>
      <c r="D726" s="20" t="str">
        <f t="shared" si="18"/>
        <v>PH20025</v>
      </c>
      <c r="E726" s="2">
        <v>37397</v>
      </c>
      <c r="F726" s="3">
        <v>0.18</v>
      </c>
      <c r="G726" s="2">
        <v>37414</v>
      </c>
      <c r="H726" s="3">
        <v>1.44E-2</v>
      </c>
      <c r="I726" s="3">
        <v>0</v>
      </c>
      <c r="J726" s="3">
        <v>0</v>
      </c>
      <c r="K726" s="3">
        <f t="shared" si="19"/>
        <v>2002</v>
      </c>
      <c r="L726" s="3">
        <f t="shared" si="20"/>
        <v>0</v>
      </c>
      <c r="M726" s="20" t="str">
        <f>A726&amp;L726</f>
        <v>PH0</v>
      </c>
      <c r="N726" s="3">
        <f>F726/3</f>
        <v>0.06</v>
      </c>
      <c r="O726" s="9">
        <f>H726</f>
        <v>1.44E-2</v>
      </c>
      <c r="P726" s="10">
        <f t="shared" si="21"/>
        <v>0</v>
      </c>
      <c r="Q726" s="10">
        <f>IF(K726=0,IF(A723=A726,AVERAGE(O723:O726),"x"),0)</f>
        <v>0</v>
      </c>
      <c r="R726" s="9">
        <f>IF(L726&gt;2005,AVERAGE(O723:O742),0)</f>
        <v>0</v>
      </c>
      <c r="S726" s="10">
        <f>IF(A726=A727,(N726-N727)/N727,0)</f>
        <v>0</v>
      </c>
      <c r="T726" s="10">
        <f>IF(L726&gt;2005,(((N726-N746)/N746)+1)^(1/5)-1,0)</f>
        <v>0</v>
      </c>
      <c r="U726" s="10">
        <f t="shared" si="22"/>
        <v>0</v>
      </c>
      <c r="V726" s="26">
        <f t="shared" si="23"/>
        <v>0</v>
      </c>
      <c r="W726" s="3">
        <f>IF(A726=A727,N726-N727,0)</f>
        <v>0</v>
      </c>
      <c r="X726" s="10">
        <f>IF(A726=A727,(N726-N727)/N727,0)</f>
        <v>0</v>
      </c>
    </row>
    <row r="727" spans="1:24" ht="16.5" customHeight="1">
      <c r="A727" s="3" t="s">
        <v>31</v>
      </c>
      <c r="B727" s="3">
        <f t="shared" si="16"/>
        <v>2002</v>
      </c>
      <c r="C727" s="3">
        <f t="shared" si="17"/>
        <v>2</v>
      </c>
      <c r="D727" s="20" t="str">
        <f t="shared" si="18"/>
        <v>PH20022</v>
      </c>
      <c r="E727" s="2">
        <v>37299</v>
      </c>
      <c r="F727" s="3">
        <v>0.18</v>
      </c>
      <c r="G727" s="2">
        <v>37316</v>
      </c>
      <c r="H727" s="3">
        <v>1.52E-2</v>
      </c>
      <c r="I727" s="3">
        <v>0</v>
      </c>
      <c r="J727" s="3">
        <v>0</v>
      </c>
      <c r="K727" s="3">
        <f t="shared" si="19"/>
        <v>0</v>
      </c>
      <c r="L727" s="3">
        <f t="shared" si="20"/>
        <v>2002</v>
      </c>
      <c r="M727" s="20" t="str">
        <f>A727&amp;L727</f>
        <v>PH2002</v>
      </c>
      <c r="N727" s="3">
        <f>F727/3</f>
        <v>0.06</v>
      </c>
      <c r="O727" s="9">
        <f>H727</f>
        <v>1.52E-2</v>
      </c>
      <c r="P727" s="10">
        <f t="shared" si="21"/>
        <v>0</v>
      </c>
      <c r="Q727" s="10">
        <f>IF(K727=0,IF(A724=A727,AVERAGE(O724:O727),"x"),0)</f>
        <v>1.5724999999999999E-2</v>
      </c>
      <c r="R727" s="9">
        <f>IF(L727&gt;2005,AVERAGE(O724:O743),0)</f>
        <v>0</v>
      </c>
      <c r="S727" s="10">
        <f>IF(A727=A728,(N727-N728)/N728,0)</f>
        <v>0</v>
      </c>
      <c r="T727" s="10">
        <f>IF(L727&gt;2005,(((N727-N747)/N747)+1)^(1/5)-1,0)</f>
        <v>0</v>
      </c>
      <c r="U727" s="10">
        <f t="shared" si="22"/>
        <v>0</v>
      </c>
      <c r="V727" s="26">
        <f t="shared" si="23"/>
        <v>0</v>
      </c>
      <c r="W727" s="3">
        <f>IF(A727=A728,N727-N728,0)</f>
        <v>0</v>
      </c>
      <c r="X727" s="10">
        <f>IF(A727=A728,(N727-N728)/N728,0)</f>
        <v>0</v>
      </c>
    </row>
    <row r="728" spans="1:24" ht="16.5" customHeight="1">
      <c r="A728" s="3" t="s">
        <v>31</v>
      </c>
      <c r="B728" s="3">
        <f t="shared" si="16"/>
        <v>2001</v>
      </c>
      <c r="C728" s="3">
        <f t="shared" si="17"/>
        <v>11</v>
      </c>
      <c r="D728" s="20" t="str">
        <f t="shared" si="18"/>
        <v>PH200111</v>
      </c>
      <c r="E728" s="2">
        <v>37214</v>
      </c>
      <c r="F728" s="3">
        <v>0.18</v>
      </c>
      <c r="G728" s="2">
        <v>37232</v>
      </c>
      <c r="H728" s="3">
        <v>1.8200000000000001E-2</v>
      </c>
      <c r="I728" s="3">
        <v>0</v>
      </c>
      <c r="J728" s="3">
        <v>0</v>
      </c>
      <c r="K728" s="3">
        <f t="shared" si="19"/>
        <v>2001</v>
      </c>
      <c r="L728" s="3">
        <f t="shared" si="20"/>
        <v>0</v>
      </c>
      <c r="M728" s="20" t="str">
        <f>A728&amp;L728</f>
        <v>PH0</v>
      </c>
      <c r="N728" s="3">
        <f>F728/3</f>
        <v>0.06</v>
      </c>
      <c r="O728" s="9">
        <f>H728</f>
        <v>1.8200000000000001E-2</v>
      </c>
      <c r="P728" s="10">
        <f t="shared" si="21"/>
        <v>0</v>
      </c>
      <c r="Q728" s="10">
        <f>IF(K728=0,IF(A725=A728,AVERAGE(O725:O728),"x"),0)</f>
        <v>0</v>
      </c>
      <c r="R728" s="9">
        <f>IF(L728&gt;2005,AVERAGE(O725:O744),0)</f>
        <v>0</v>
      </c>
      <c r="S728" s="10">
        <f>IF(A728=A729,(N728-N729)/N729,0)</f>
        <v>0</v>
      </c>
      <c r="T728" s="10">
        <f>IF(L728&gt;2005,(((N728-N748)/N748)+1)^(1/5)-1,0)</f>
        <v>0</v>
      </c>
      <c r="U728" s="10">
        <f t="shared" si="22"/>
        <v>0</v>
      </c>
      <c r="V728" s="26">
        <f t="shared" si="23"/>
        <v>0</v>
      </c>
      <c r="W728" s="3">
        <f>IF(A728=A729,N728-N729,0)</f>
        <v>0</v>
      </c>
      <c r="X728" s="10">
        <f>IF(A728=A729,(N728-N729)/N729,0)</f>
        <v>0</v>
      </c>
    </row>
    <row r="729" spans="1:24" ht="16.5" customHeight="1">
      <c r="A729" s="3" t="s">
        <v>31</v>
      </c>
      <c r="B729" s="3">
        <f t="shared" si="16"/>
        <v>2001</v>
      </c>
      <c r="C729" s="3">
        <f t="shared" si="17"/>
        <v>8</v>
      </c>
      <c r="D729" s="20" t="str">
        <f t="shared" si="18"/>
        <v>PH20018</v>
      </c>
      <c r="E729" s="2">
        <v>37124</v>
      </c>
      <c r="F729" s="3">
        <v>0.18</v>
      </c>
      <c r="G729" s="2">
        <v>37141</v>
      </c>
      <c r="H729" s="3">
        <v>1.55E-2</v>
      </c>
      <c r="I729" s="3">
        <v>0</v>
      </c>
      <c r="J729" s="3">
        <v>0</v>
      </c>
      <c r="K729" s="3">
        <f t="shared" si="19"/>
        <v>2001</v>
      </c>
      <c r="L729" s="3">
        <f t="shared" si="20"/>
        <v>0</v>
      </c>
      <c r="M729" s="20" t="str">
        <f>A729&amp;L729</f>
        <v>PH0</v>
      </c>
      <c r="N729" s="3">
        <f>F729/3</f>
        <v>0.06</v>
      </c>
      <c r="O729" s="9">
        <f>H729</f>
        <v>1.55E-2</v>
      </c>
      <c r="P729" s="10">
        <f t="shared" si="21"/>
        <v>0</v>
      </c>
      <c r="Q729" s="10">
        <f>IF(K729=0,IF(A726=A729,AVERAGE(O726:O729),"x"),0)</f>
        <v>0</v>
      </c>
      <c r="R729" s="9">
        <f>IF(L729&gt;2005,AVERAGE(O726:O745),0)</f>
        <v>0</v>
      </c>
      <c r="S729" s="10">
        <f>IF(A729=A730,(N729-N730)/N730,0)</f>
        <v>0</v>
      </c>
      <c r="T729" s="10">
        <f>IF(L729&gt;2005,(((N729-N749)/N749)+1)^(1/5)-1,0)</f>
        <v>0</v>
      </c>
      <c r="U729" s="10">
        <f t="shared" si="22"/>
        <v>0</v>
      </c>
      <c r="V729" s="26">
        <f t="shared" si="23"/>
        <v>0</v>
      </c>
      <c r="W729" s="3">
        <f>IF(A729=A730,N729-N730,0)</f>
        <v>0</v>
      </c>
      <c r="X729" s="10">
        <f>IF(A729=A730,(N729-N730)/N730,0)</f>
        <v>0</v>
      </c>
    </row>
    <row r="730" spans="1:24" ht="16.5" customHeight="1">
      <c r="A730" s="3" t="s">
        <v>31</v>
      </c>
      <c r="B730" s="3">
        <f t="shared" si="16"/>
        <v>2001</v>
      </c>
      <c r="C730" s="3">
        <f t="shared" si="17"/>
        <v>5</v>
      </c>
      <c r="D730" s="20" t="str">
        <f t="shared" si="18"/>
        <v>PH20015</v>
      </c>
      <c r="E730" s="2">
        <v>37026</v>
      </c>
      <c r="F730" s="3">
        <v>0.18</v>
      </c>
      <c r="G730" s="2">
        <v>37043</v>
      </c>
      <c r="H730" s="3">
        <v>1.4800000000000001E-2</v>
      </c>
      <c r="I730" s="3">
        <v>0</v>
      </c>
      <c r="J730" s="3">
        <v>0</v>
      </c>
      <c r="K730" s="3">
        <f t="shared" si="19"/>
        <v>2001</v>
      </c>
      <c r="L730" s="3">
        <f t="shared" si="20"/>
        <v>0</v>
      </c>
      <c r="M730" s="20" t="str">
        <f>A730&amp;L730</f>
        <v>PH0</v>
      </c>
      <c r="N730" s="3">
        <f>F730/3</f>
        <v>0.06</v>
      </c>
      <c r="O730" s="9">
        <f>H730</f>
        <v>1.4800000000000001E-2</v>
      </c>
      <c r="P730" s="10">
        <f t="shared" si="21"/>
        <v>0</v>
      </c>
      <c r="Q730" s="10">
        <f>IF(K730=0,IF(A727=A730,AVERAGE(O727:O730),"x"),0)</f>
        <v>0</v>
      </c>
      <c r="R730" s="9">
        <f>IF(L730&gt;2005,AVERAGE(O727:O746),0)</f>
        <v>0</v>
      </c>
      <c r="S730" s="10">
        <f>IF(A730=A731,(N730-N731)/N731,0)</f>
        <v>0</v>
      </c>
      <c r="T730" s="10">
        <f>IF(L730&gt;2005,(((N730-N750)/N750)+1)^(1/5)-1,0)</f>
        <v>0</v>
      </c>
      <c r="U730" s="10">
        <f t="shared" si="22"/>
        <v>0</v>
      </c>
      <c r="V730" s="26">
        <f t="shared" si="23"/>
        <v>0</v>
      </c>
      <c r="W730" s="3">
        <f>IF(A730=A731,N730-N731,0)</f>
        <v>0</v>
      </c>
      <c r="X730" s="10">
        <f>IF(A730=A731,(N730-N731)/N731,0)</f>
        <v>0</v>
      </c>
    </row>
    <row r="731" spans="1:24" ht="16.5" customHeight="1">
      <c r="A731" s="3" t="s">
        <v>31</v>
      </c>
      <c r="B731" s="3">
        <f t="shared" si="16"/>
        <v>2001</v>
      </c>
      <c r="C731" s="3">
        <f t="shared" si="17"/>
        <v>2</v>
      </c>
      <c r="D731" s="20" t="str">
        <f t="shared" si="18"/>
        <v>PH20012</v>
      </c>
      <c r="E731" s="2">
        <v>36935</v>
      </c>
      <c r="F731" s="3">
        <v>0.18</v>
      </c>
      <c r="G731" s="2">
        <v>36952</v>
      </c>
      <c r="H731" s="3">
        <v>1.6199999999999999E-2</v>
      </c>
      <c r="I731" s="3">
        <v>5.8823528999999999E-2</v>
      </c>
      <c r="J731" s="3">
        <v>0.01</v>
      </c>
      <c r="K731" s="3">
        <f t="shared" si="19"/>
        <v>0</v>
      </c>
      <c r="L731" s="3">
        <f t="shared" si="20"/>
        <v>2001</v>
      </c>
      <c r="M731" s="20" t="str">
        <f>A731&amp;L731</f>
        <v>PH2001</v>
      </c>
      <c r="N731" s="3">
        <f>F731/3</f>
        <v>0.06</v>
      </c>
      <c r="O731" s="9">
        <f>H731</f>
        <v>1.6199999999999999E-2</v>
      </c>
      <c r="P731" s="10">
        <f t="shared" si="21"/>
        <v>1.685E-2</v>
      </c>
      <c r="Q731" s="10">
        <f>IF(K731=0,IF(A728=A731,AVERAGE(O728:O731),"x"),0)</f>
        <v>1.6175000000000002E-2</v>
      </c>
      <c r="R731" s="9">
        <f>IF(L731&gt;2005,AVERAGE(O728:O747),0)</f>
        <v>0</v>
      </c>
      <c r="S731" s="10">
        <f>IF(A731=A732,(N731-N732)/N732,0)</f>
        <v>5.8823529411764594E-2</v>
      </c>
      <c r="T731" s="10">
        <f>IF(L731&gt;2005,(((N731-N751)/N751)+1)^(1/5)-1,0)</f>
        <v>0</v>
      </c>
      <c r="U731" s="10">
        <f t="shared" si="22"/>
        <v>0</v>
      </c>
      <c r="V731" s="26">
        <f t="shared" si="23"/>
        <v>0</v>
      </c>
      <c r="W731" s="3">
        <f>IF(A731=A732,N731-N732,0)</f>
        <v>3.333333333333327E-3</v>
      </c>
      <c r="X731" s="10">
        <f>IF(A731=A732,(N731-N732)/N732,0)</f>
        <v>5.8823529411764594E-2</v>
      </c>
    </row>
    <row r="732" spans="1:24" ht="16.5" customHeight="1">
      <c r="A732" s="3" t="s">
        <v>31</v>
      </c>
      <c r="B732" s="3">
        <f t="shared" si="16"/>
        <v>2000</v>
      </c>
      <c r="C732" s="3">
        <f t="shared" si="17"/>
        <v>11</v>
      </c>
      <c r="D732" s="20" t="str">
        <f t="shared" si="18"/>
        <v>PH200011</v>
      </c>
      <c r="E732" s="2">
        <v>36844</v>
      </c>
      <c r="F732" s="3">
        <v>0.17</v>
      </c>
      <c r="G732" s="2">
        <v>36861</v>
      </c>
      <c r="H732" s="3">
        <v>1.84E-2</v>
      </c>
      <c r="I732" s="3">
        <v>0</v>
      </c>
      <c r="J732" s="3">
        <v>0</v>
      </c>
      <c r="K732" s="3">
        <f t="shared" si="19"/>
        <v>2000</v>
      </c>
      <c r="L732" s="3">
        <f t="shared" si="20"/>
        <v>0</v>
      </c>
      <c r="M732" s="20" t="str">
        <f>A732&amp;L732</f>
        <v>PH0</v>
      </c>
      <c r="N732" s="3">
        <f>F732/3</f>
        <v>5.6666666666666671E-2</v>
      </c>
      <c r="O732" s="9">
        <f>H732</f>
        <v>1.84E-2</v>
      </c>
      <c r="P732" s="10">
        <f t="shared" si="21"/>
        <v>0</v>
      </c>
      <c r="Q732" s="10">
        <f>IF(K732=0,IF(A729=A732,AVERAGE(O729:O732),"x"),0)</f>
        <v>0</v>
      </c>
      <c r="R732" s="9">
        <f>IF(L732&gt;2005,AVERAGE(O729:O748),0)</f>
        <v>0</v>
      </c>
      <c r="S732" s="10">
        <f>IF(A732=A733,(N732-N733)/N733,0)</f>
        <v>0</v>
      </c>
      <c r="T732" s="10">
        <f>IF(L732&gt;2005,(((N732-N752)/N752)+1)^(1/5)-1,0)</f>
        <v>0</v>
      </c>
      <c r="U732" s="10">
        <f t="shared" si="22"/>
        <v>0</v>
      </c>
      <c r="V732" s="26">
        <f t="shared" si="23"/>
        <v>0</v>
      </c>
      <c r="W732" s="3">
        <f>IF(A732=A733,N732-N733,0)</f>
        <v>0</v>
      </c>
      <c r="X732" s="10">
        <f>IF(A732=A733,(N732-N733)/N733,0)</f>
        <v>0</v>
      </c>
    </row>
    <row r="733" spans="1:24" ht="16.5" customHeight="1">
      <c r="A733" s="3" t="s">
        <v>31</v>
      </c>
      <c r="B733" s="3">
        <f t="shared" si="16"/>
        <v>2000</v>
      </c>
      <c r="C733" s="3">
        <f t="shared" si="17"/>
        <v>8</v>
      </c>
      <c r="D733" s="20" t="str">
        <f t="shared" si="18"/>
        <v>PH20008</v>
      </c>
      <c r="E733" s="2">
        <v>36754</v>
      </c>
      <c r="F733" s="3">
        <v>0.17</v>
      </c>
      <c r="G733" s="2">
        <v>36770</v>
      </c>
      <c r="H733" s="3">
        <v>1.7899999999999999E-2</v>
      </c>
      <c r="I733" s="3">
        <v>0</v>
      </c>
      <c r="J733" s="3">
        <v>0</v>
      </c>
      <c r="K733" s="3">
        <f t="shared" si="19"/>
        <v>2000</v>
      </c>
      <c r="L733" s="3">
        <f t="shared" si="20"/>
        <v>0</v>
      </c>
      <c r="M733" s="20" t="str">
        <f>A733&amp;L733</f>
        <v>PH0</v>
      </c>
      <c r="N733" s="3">
        <f>F733/3</f>
        <v>5.6666666666666671E-2</v>
      </c>
      <c r="O733" s="9">
        <f>H733</f>
        <v>1.7899999999999999E-2</v>
      </c>
      <c r="P733" s="10">
        <f t="shared" si="21"/>
        <v>0</v>
      </c>
      <c r="Q733" s="10">
        <f>IF(K733=0,IF(A730=A733,AVERAGE(O730:O733),"x"),0)</f>
        <v>0</v>
      </c>
      <c r="R733" s="9">
        <f>IF(L733&gt;2005,AVERAGE(O730:O749),0)</f>
        <v>0</v>
      </c>
      <c r="S733" s="10">
        <f>IF(A733=A734,(N733-N734)/N734,0)</f>
        <v>0</v>
      </c>
      <c r="T733" s="10">
        <f>IF(L733&gt;2005,(((N733-N753)/N753)+1)^(1/5)-1,0)</f>
        <v>0</v>
      </c>
      <c r="U733" s="10">
        <f t="shared" si="22"/>
        <v>0</v>
      </c>
      <c r="V733" s="26">
        <f t="shared" si="23"/>
        <v>0</v>
      </c>
      <c r="W733" s="3">
        <f>IF(A733=A734,N733-N734,0)</f>
        <v>0</v>
      </c>
      <c r="X733" s="10">
        <f>IF(A733=A734,(N733-N734)/N734,0)</f>
        <v>0</v>
      </c>
    </row>
    <row r="734" spans="1:24" ht="16.5" customHeight="1">
      <c r="A734" s="3" t="s">
        <v>31</v>
      </c>
      <c r="B734" s="3">
        <f t="shared" si="16"/>
        <v>2000</v>
      </c>
      <c r="C734" s="3">
        <f t="shared" si="17"/>
        <v>5</v>
      </c>
      <c r="D734" s="20" t="str">
        <f t="shared" si="18"/>
        <v>PH20005</v>
      </c>
      <c r="E734" s="2">
        <v>36662</v>
      </c>
      <c r="F734" s="3">
        <v>0.17</v>
      </c>
      <c r="G734" s="2">
        <v>36679</v>
      </c>
      <c r="H734" s="3">
        <v>1.49E-2</v>
      </c>
      <c r="I734" s="3">
        <v>0</v>
      </c>
      <c r="J734" s="3">
        <v>0</v>
      </c>
      <c r="K734" s="3">
        <f t="shared" si="19"/>
        <v>2000</v>
      </c>
      <c r="L734" s="3">
        <f t="shared" si="20"/>
        <v>0</v>
      </c>
      <c r="M734" s="20" t="str">
        <f>A734&amp;L734</f>
        <v>PH0</v>
      </c>
      <c r="N734" s="3">
        <f>F734/3</f>
        <v>5.6666666666666671E-2</v>
      </c>
      <c r="O734" s="9">
        <f>H734</f>
        <v>1.49E-2</v>
      </c>
      <c r="P734" s="10">
        <f t="shared" si="21"/>
        <v>0</v>
      </c>
      <c r="Q734" s="10">
        <f>IF(K734=0,IF(A731=A734,AVERAGE(O731:O734),"x"),0)</f>
        <v>0</v>
      </c>
      <c r="R734" s="9">
        <f>IF(L734&gt;2005,AVERAGE(O731:O750),0)</f>
        <v>0</v>
      </c>
      <c r="S734" s="10">
        <f>IF(A734=A735,(N734-N735)/N735,0)</f>
        <v>0</v>
      </c>
      <c r="T734" s="10">
        <f>IF(L734&gt;2005,(((N734-N754)/N754)+1)^(1/5)-1,0)</f>
        <v>0</v>
      </c>
      <c r="U734" s="10">
        <f t="shared" si="22"/>
        <v>0</v>
      </c>
      <c r="V734" s="26">
        <f t="shared" si="23"/>
        <v>0</v>
      </c>
      <c r="W734" s="3">
        <f>IF(A734=A735,N734-N735,0)</f>
        <v>0</v>
      </c>
      <c r="X734" s="10">
        <f>IF(A734=A735,(N734-N735)/N735,0)</f>
        <v>0</v>
      </c>
    </row>
    <row r="735" spans="1:24" ht="16.5" customHeight="1">
      <c r="A735" s="14" t="s">
        <v>31</v>
      </c>
      <c r="B735" s="3">
        <f t="shared" si="16"/>
        <v>2000</v>
      </c>
      <c r="C735" s="3">
        <f t="shared" si="17"/>
        <v>2</v>
      </c>
      <c r="D735" s="20" t="str">
        <f t="shared" si="18"/>
        <v>PH20002</v>
      </c>
      <c r="E735" s="15">
        <v>36578</v>
      </c>
      <c r="F735" s="14">
        <v>0.17</v>
      </c>
      <c r="G735" s="15">
        <v>36588</v>
      </c>
      <c r="H735" s="14">
        <v>1.6500000000000001E-2</v>
      </c>
      <c r="I735" s="14">
        <v>0</v>
      </c>
      <c r="J735" s="14">
        <v>0</v>
      </c>
      <c r="K735" s="3">
        <f t="shared" si="19"/>
        <v>0</v>
      </c>
      <c r="L735" s="3">
        <f t="shared" si="20"/>
        <v>2000</v>
      </c>
      <c r="M735" s="20" t="str">
        <f>A735&amp;L735</f>
        <v>PH2000</v>
      </c>
      <c r="N735" s="14">
        <f>F735/3</f>
        <v>5.6666666666666671E-2</v>
      </c>
      <c r="O735" s="9">
        <f>H735</f>
        <v>1.6500000000000001E-2</v>
      </c>
      <c r="P735" s="10">
        <f t="shared" si="21"/>
        <v>0</v>
      </c>
      <c r="Q735" s="10">
        <f>IF(K735=0,IF(A732=A735,AVERAGE(O732:O735),"x"),0)</f>
        <v>1.6924999999999999E-2</v>
      </c>
      <c r="R735" s="9">
        <f>IF(L735&gt;2005,AVERAGE(O732:O751),0)</f>
        <v>0</v>
      </c>
      <c r="S735" s="10">
        <f>IF(A735=A736,(N735-N736)/N736,0)</f>
        <v>0</v>
      </c>
      <c r="T735" s="10">
        <f>IF(L735&gt;2005,(((N735-N755)/N755)+1)^(1/5)-1,0)</f>
        <v>0</v>
      </c>
      <c r="U735" s="10">
        <f t="shared" si="22"/>
        <v>0</v>
      </c>
      <c r="V735" s="26">
        <f t="shared" si="23"/>
        <v>0</v>
      </c>
      <c r="W735" s="3">
        <f>IF(A735=A736,N735-N736,0)</f>
        <v>0</v>
      </c>
      <c r="X735" s="10">
        <f>IF(A735=A736,(N735-N736)/N736,0)</f>
        <v>0</v>
      </c>
    </row>
    <row r="736" spans="1:24" ht="16.5" customHeight="1">
      <c r="A736" s="3" t="s">
        <v>32</v>
      </c>
      <c r="B736" s="3">
        <f t="shared" si="16"/>
        <v>2022</v>
      </c>
      <c r="C736" s="3">
        <f t="shared" si="17"/>
        <v>11</v>
      </c>
      <c r="D736" s="20" t="str">
        <f t="shared" si="18"/>
        <v>BKH202211</v>
      </c>
      <c r="E736" s="2">
        <v>44881</v>
      </c>
      <c r="F736" s="3">
        <v>0.625</v>
      </c>
      <c r="G736" s="2">
        <v>44896</v>
      </c>
      <c r="H736" s="3">
        <v>3.7999999999999999E-2</v>
      </c>
      <c r="I736" s="3">
        <v>5.0420168000000001E-2</v>
      </c>
      <c r="J736" s="3">
        <v>0.03</v>
      </c>
      <c r="K736" s="3">
        <f t="shared" si="19"/>
        <v>2022</v>
      </c>
      <c r="L736" s="3">
        <f t="shared" si="20"/>
        <v>0</v>
      </c>
      <c r="M736" s="20" t="str">
        <f>A736&amp;L736</f>
        <v>BKH0</v>
      </c>
      <c r="N736" s="3">
        <f>F736</f>
        <v>0.625</v>
      </c>
      <c r="O736" s="9">
        <f>H736</f>
        <v>3.7999999999999999E-2</v>
      </c>
      <c r="P736" s="10">
        <f t="shared" si="21"/>
        <v>3.3724999999999998E-2</v>
      </c>
      <c r="Q736" s="10">
        <f>IF(K736=0,IF(A733=A736,AVERAGE(O733:O736),"x"),0)</f>
        <v>0</v>
      </c>
      <c r="R736" s="9">
        <f>IF(L736&gt;2005,AVERAGE(O733:O752),0)</f>
        <v>0</v>
      </c>
      <c r="S736" s="10">
        <f>IF(A736=A737,(N736-N737)/N737,0)</f>
        <v>5.0420168067226941E-2</v>
      </c>
      <c r="T736" s="10">
        <f>IF(L736&gt;2005,(((N736-N756)/N756)+1)^(1/5)-1,0)</f>
        <v>0</v>
      </c>
      <c r="U736" s="10">
        <f t="shared" si="22"/>
        <v>0</v>
      </c>
      <c r="V736" s="26">
        <f t="shared" si="23"/>
        <v>0</v>
      </c>
      <c r="W736" s="3">
        <f>IF(A736=A737,N736-N737,0)</f>
        <v>3.0000000000000027E-2</v>
      </c>
      <c r="X736" s="10">
        <f>IF(A736=A737,(N736-N737)/N737,0)</f>
        <v>5.0420168067226941E-2</v>
      </c>
    </row>
    <row r="737" spans="1:24" ht="16.5" customHeight="1">
      <c r="A737" s="3" t="s">
        <v>32</v>
      </c>
      <c r="B737" s="3">
        <f t="shared" si="16"/>
        <v>2022</v>
      </c>
      <c r="C737" s="3">
        <f t="shared" si="17"/>
        <v>8</v>
      </c>
      <c r="D737" s="20" t="str">
        <f t="shared" si="18"/>
        <v>BKH20228</v>
      </c>
      <c r="E737" s="2">
        <v>44790</v>
      </c>
      <c r="F737" s="3">
        <v>0.59499999999999997</v>
      </c>
      <c r="G737" s="2">
        <v>44805</v>
      </c>
      <c r="H737" s="3">
        <v>3.0200000000000001E-2</v>
      </c>
      <c r="I737" s="3">
        <v>0</v>
      </c>
      <c r="J737" s="3">
        <v>0</v>
      </c>
      <c r="K737" s="3">
        <f t="shared" si="19"/>
        <v>2022</v>
      </c>
      <c r="L737" s="3">
        <f t="shared" si="20"/>
        <v>0</v>
      </c>
      <c r="M737" s="20" t="str">
        <f>A737&amp;L737</f>
        <v>BKH0</v>
      </c>
      <c r="N737" s="3">
        <f>F737</f>
        <v>0.59499999999999997</v>
      </c>
      <c r="O737" s="9">
        <f>H737</f>
        <v>3.0200000000000001E-2</v>
      </c>
      <c r="P737" s="10">
        <f t="shared" si="21"/>
        <v>0</v>
      </c>
      <c r="Q737" s="10">
        <f>IF(K737=0,IF(A734=A737,AVERAGE(O734:O737),"x"),0)</f>
        <v>0</v>
      </c>
      <c r="R737" s="9">
        <f>IF(L737&gt;2005,AVERAGE(O734:O753),0)</f>
        <v>0</v>
      </c>
      <c r="S737" s="10">
        <f>IF(A737=A738,(N737-N738)/N738,0)</f>
        <v>0</v>
      </c>
      <c r="T737" s="10">
        <f>IF(L737&gt;2005,(((N737-N757)/N757)+1)^(1/5)-1,0)</f>
        <v>0</v>
      </c>
      <c r="U737" s="10">
        <f t="shared" si="22"/>
        <v>0</v>
      </c>
      <c r="V737" s="26">
        <f t="shared" si="23"/>
        <v>0</v>
      </c>
      <c r="W737" s="3">
        <f>IF(A737=A738,N737-N738,0)</f>
        <v>0</v>
      </c>
      <c r="X737" s="10">
        <f>IF(A737=A738,(N737-N738)/N738,0)</f>
        <v>0</v>
      </c>
    </row>
    <row r="738" spans="1:24" ht="16.5" customHeight="1">
      <c r="A738" s="3" t="s">
        <v>32</v>
      </c>
      <c r="B738" s="3">
        <f t="shared" si="16"/>
        <v>2022</v>
      </c>
      <c r="C738" s="3">
        <f t="shared" si="17"/>
        <v>5</v>
      </c>
      <c r="D738" s="20" t="str">
        <f t="shared" si="18"/>
        <v>BKH20225</v>
      </c>
      <c r="E738" s="2">
        <v>44698</v>
      </c>
      <c r="F738" s="3">
        <v>0.59499999999999997</v>
      </c>
      <c r="G738" s="2">
        <v>44713</v>
      </c>
      <c r="H738" s="3">
        <v>3.1099999999999999E-2</v>
      </c>
      <c r="I738" s="3">
        <v>0</v>
      </c>
      <c r="J738" s="3">
        <v>0</v>
      </c>
      <c r="K738" s="3">
        <f t="shared" si="19"/>
        <v>2022</v>
      </c>
      <c r="L738" s="3">
        <f t="shared" si="20"/>
        <v>0</v>
      </c>
      <c r="M738" s="20" t="str">
        <f>A738&amp;L738</f>
        <v>BKH0</v>
      </c>
      <c r="N738" s="3">
        <f>F738</f>
        <v>0.59499999999999997</v>
      </c>
      <c r="O738" s="9">
        <f>H738</f>
        <v>3.1099999999999999E-2</v>
      </c>
      <c r="P738" s="10">
        <f t="shared" si="21"/>
        <v>0</v>
      </c>
      <c r="Q738" s="10">
        <f>IF(K738=0,IF(A735=A738,AVERAGE(O735:O738),"x"),0)</f>
        <v>0</v>
      </c>
      <c r="R738" s="9">
        <f>IF(L738&gt;2005,AVERAGE(O735:O754),0)</f>
        <v>0</v>
      </c>
      <c r="S738" s="10">
        <f>IF(A738=A739,(N738-N739)/N739,0)</f>
        <v>0</v>
      </c>
      <c r="T738" s="10">
        <f>IF(L738&gt;2005,(((N738-N758)/N758)+1)^(1/5)-1,0)</f>
        <v>0</v>
      </c>
      <c r="U738" s="10">
        <f t="shared" si="22"/>
        <v>0</v>
      </c>
      <c r="V738" s="26">
        <f t="shared" si="23"/>
        <v>0</v>
      </c>
      <c r="W738" s="3">
        <f>IF(A738=A739,N738-N739,0)</f>
        <v>0</v>
      </c>
      <c r="X738" s="10">
        <f>IF(A738=A739,(N738-N739)/N739,0)</f>
        <v>0</v>
      </c>
    </row>
    <row r="739" spans="1:24" ht="16.5" customHeight="1">
      <c r="A739" s="3" t="s">
        <v>32</v>
      </c>
      <c r="B739" s="3">
        <f t="shared" si="16"/>
        <v>2022</v>
      </c>
      <c r="C739" s="3">
        <f t="shared" si="17"/>
        <v>2</v>
      </c>
      <c r="D739" s="20" t="str">
        <f t="shared" si="18"/>
        <v>BKH20222</v>
      </c>
      <c r="E739" s="2">
        <v>44603</v>
      </c>
      <c r="F739" s="3">
        <v>0.59499999999999997</v>
      </c>
      <c r="G739" s="2">
        <v>44621</v>
      </c>
      <c r="H739" s="3">
        <v>3.56E-2</v>
      </c>
      <c r="I739" s="3">
        <v>0</v>
      </c>
      <c r="J739" s="3">
        <v>0</v>
      </c>
      <c r="K739" s="3">
        <f t="shared" si="19"/>
        <v>0</v>
      </c>
      <c r="L739" s="3">
        <f t="shared" si="20"/>
        <v>2022</v>
      </c>
      <c r="M739" s="20" t="str">
        <f>A739&amp;L739</f>
        <v>BKH2022</v>
      </c>
      <c r="N739" s="3">
        <f>F739</f>
        <v>0.59499999999999997</v>
      </c>
      <c r="O739" s="9">
        <f>H739</f>
        <v>3.56E-2</v>
      </c>
      <c r="P739" s="10">
        <f t="shared" si="21"/>
        <v>0</v>
      </c>
      <c r="Q739" s="10">
        <f>IF(K739=0,IF(A736=A739,AVERAGE(O736:O739),"x"),0)</f>
        <v>3.3724999999999998E-2</v>
      </c>
      <c r="R739" s="9">
        <f>IF(L739&gt;2005,AVERAGE(O736:O755),0)</f>
        <v>3.2500000000000001E-2</v>
      </c>
      <c r="S739" s="10">
        <f>IF(A739=A740,(N739-N740)/N740,0)</f>
        <v>0</v>
      </c>
      <c r="T739" s="10">
        <f>IF(L739&gt;2005,(((N739-N759)/N759)+1)^(1/5)-1,0)</f>
        <v>5.9818243129609039E-2</v>
      </c>
      <c r="U739" s="10">
        <f t="shared" si="22"/>
        <v>9.231824312960904E-2</v>
      </c>
      <c r="V739" s="26">
        <f t="shared" si="23"/>
        <v>4.5710161831329268</v>
      </c>
      <c r="W739" s="3">
        <f>IF(A739=A740,N739-N740,0)</f>
        <v>0</v>
      </c>
      <c r="X739" s="10">
        <f>IF(A739=A740,(N739-N740)/N740,0)</f>
        <v>0</v>
      </c>
    </row>
    <row r="740" spans="1:24" ht="16.5" customHeight="1">
      <c r="A740" s="3" t="s">
        <v>32</v>
      </c>
      <c r="B740" s="3">
        <f t="shared" si="16"/>
        <v>2021</v>
      </c>
      <c r="C740" s="3">
        <f t="shared" si="17"/>
        <v>11</v>
      </c>
      <c r="D740" s="20" t="str">
        <f t="shared" si="18"/>
        <v>BKH202111</v>
      </c>
      <c r="E740" s="2">
        <v>44516</v>
      </c>
      <c r="F740" s="3">
        <v>0.59499999999999997</v>
      </c>
      <c r="G740" s="2">
        <v>44531</v>
      </c>
      <c r="H740" s="3">
        <v>3.5999999999999997E-2</v>
      </c>
      <c r="I740" s="3">
        <v>5.3097344999999997E-2</v>
      </c>
      <c r="J740" s="3">
        <v>0.03</v>
      </c>
      <c r="K740" s="3">
        <f t="shared" si="19"/>
        <v>2021</v>
      </c>
      <c r="L740" s="3">
        <f t="shared" si="20"/>
        <v>0</v>
      </c>
      <c r="M740" s="20" t="str">
        <f>A740&amp;L740</f>
        <v>BKH0</v>
      </c>
      <c r="N740" s="3">
        <f>F740</f>
        <v>0.59499999999999997</v>
      </c>
      <c r="O740" s="9">
        <f>H740</f>
        <v>3.5999999999999997E-2</v>
      </c>
      <c r="P740" s="10">
        <f t="shared" si="21"/>
        <v>3.4275E-2</v>
      </c>
      <c r="Q740" s="10">
        <f>IF(K740=0,IF(A737=A740,AVERAGE(O737:O740),"x"),0)</f>
        <v>0</v>
      </c>
      <c r="R740" s="9">
        <f>IF(L740&gt;2005,AVERAGE(O737:O756),0)</f>
        <v>0</v>
      </c>
      <c r="S740" s="10">
        <f>IF(A740=A741,(N740-N741)/N741,0)</f>
        <v>5.3097345132743418E-2</v>
      </c>
      <c r="T740" s="10">
        <f>IF(L740&gt;2005,(((N740-N760)/N760)+1)^(1/5)-1,0)</f>
        <v>0</v>
      </c>
      <c r="U740" s="10">
        <f t="shared" si="22"/>
        <v>0</v>
      </c>
      <c r="V740" s="26">
        <f t="shared" si="23"/>
        <v>0</v>
      </c>
      <c r="W740" s="3">
        <f>IF(A740=A741,N740-N741,0)</f>
        <v>3.0000000000000027E-2</v>
      </c>
      <c r="X740" s="10">
        <f>IF(A740=A741,(N740-N741)/N741,0)</f>
        <v>5.3097345132743418E-2</v>
      </c>
    </row>
    <row r="741" spans="1:24" ht="16.5" customHeight="1">
      <c r="A741" s="3" t="s">
        <v>32</v>
      </c>
      <c r="B741" s="3">
        <f t="shared" si="16"/>
        <v>2021</v>
      </c>
      <c r="C741" s="3">
        <f t="shared" si="17"/>
        <v>8</v>
      </c>
      <c r="D741" s="20" t="str">
        <f t="shared" si="18"/>
        <v>BKH20218</v>
      </c>
      <c r="E741" s="2">
        <v>44425</v>
      </c>
      <c r="F741" s="3">
        <v>0.56499999999999995</v>
      </c>
      <c r="G741" s="2">
        <v>44440</v>
      </c>
      <c r="H741" s="3">
        <v>3.1199999999999999E-2</v>
      </c>
      <c r="I741" s="3">
        <v>0</v>
      </c>
      <c r="J741" s="3">
        <v>0</v>
      </c>
      <c r="K741" s="3">
        <f t="shared" si="19"/>
        <v>2021</v>
      </c>
      <c r="L741" s="3">
        <f t="shared" si="20"/>
        <v>0</v>
      </c>
      <c r="M741" s="20" t="str">
        <f>A741&amp;L741</f>
        <v>BKH0</v>
      </c>
      <c r="N741" s="3">
        <f>F741</f>
        <v>0.56499999999999995</v>
      </c>
      <c r="O741" s="9">
        <f>H741</f>
        <v>3.1199999999999999E-2</v>
      </c>
      <c r="P741" s="10">
        <f t="shared" si="21"/>
        <v>0</v>
      </c>
      <c r="Q741" s="10">
        <f>IF(K741=0,IF(A738=A741,AVERAGE(O738:O741),"x"),0)</f>
        <v>0</v>
      </c>
      <c r="R741" s="9">
        <f>IF(L741&gt;2005,AVERAGE(O738:O757),0)</f>
        <v>0</v>
      </c>
      <c r="S741" s="10">
        <f>IF(A741=A742,(N741-N742)/N742,0)</f>
        <v>0</v>
      </c>
      <c r="T741" s="10">
        <f>IF(L741&gt;2005,(((N741-N761)/N761)+1)^(1/5)-1,0)</f>
        <v>0</v>
      </c>
      <c r="U741" s="10">
        <f t="shared" si="22"/>
        <v>0</v>
      </c>
      <c r="V741" s="26">
        <f t="shared" si="23"/>
        <v>0</v>
      </c>
      <c r="W741" s="3">
        <f>IF(A741=A742,N741-N742,0)</f>
        <v>0</v>
      </c>
      <c r="X741" s="10">
        <f>IF(A741=A742,(N741-N742)/N742,0)</f>
        <v>0</v>
      </c>
    </row>
    <row r="742" spans="1:24" ht="16.5" customHeight="1">
      <c r="A742" s="3" t="s">
        <v>32</v>
      </c>
      <c r="B742" s="3">
        <f t="shared" si="16"/>
        <v>2021</v>
      </c>
      <c r="C742" s="3">
        <f t="shared" si="17"/>
        <v>5</v>
      </c>
      <c r="D742" s="20" t="str">
        <f t="shared" si="18"/>
        <v>BKH20215</v>
      </c>
      <c r="E742" s="2">
        <v>44333</v>
      </c>
      <c r="F742" s="3">
        <v>0.56499999999999995</v>
      </c>
      <c r="G742" s="2">
        <v>44348</v>
      </c>
      <c r="H742" s="3">
        <v>3.3399999999999999E-2</v>
      </c>
      <c r="I742" s="3">
        <v>0</v>
      </c>
      <c r="J742" s="3">
        <v>0</v>
      </c>
      <c r="K742" s="3">
        <f t="shared" si="19"/>
        <v>2021</v>
      </c>
      <c r="L742" s="3">
        <f t="shared" si="20"/>
        <v>0</v>
      </c>
      <c r="M742" s="20" t="str">
        <f>A742&amp;L742</f>
        <v>BKH0</v>
      </c>
      <c r="N742" s="3">
        <f>F742</f>
        <v>0.56499999999999995</v>
      </c>
      <c r="O742" s="9">
        <f>H742</f>
        <v>3.3399999999999999E-2</v>
      </c>
      <c r="P742" s="10">
        <f t="shared" si="21"/>
        <v>0</v>
      </c>
      <c r="Q742" s="10">
        <f>IF(K742=0,IF(A739=A742,AVERAGE(O739:O742),"x"),0)</f>
        <v>0</v>
      </c>
      <c r="R742" s="9">
        <f>IF(L742&gt;2005,AVERAGE(O739:O758),0)</f>
        <v>0</v>
      </c>
      <c r="S742" s="10">
        <f>IF(A742=A743,(N742-N743)/N743,0)</f>
        <v>0</v>
      </c>
      <c r="T742" s="10">
        <f>IF(L742&gt;2005,(((N742-N762)/N762)+1)^(1/5)-1,0)</f>
        <v>0</v>
      </c>
      <c r="U742" s="10">
        <f t="shared" si="22"/>
        <v>0</v>
      </c>
      <c r="V742" s="26">
        <f t="shared" si="23"/>
        <v>0</v>
      </c>
      <c r="W742" s="3">
        <f>IF(A742=A743,N742-N743,0)</f>
        <v>0</v>
      </c>
      <c r="X742" s="10">
        <f>IF(A742=A743,(N742-N743)/N743,0)</f>
        <v>0</v>
      </c>
    </row>
    <row r="743" spans="1:24" ht="16.5" customHeight="1">
      <c r="A743" s="3" t="s">
        <v>32</v>
      </c>
      <c r="B743" s="3">
        <f t="shared" si="16"/>
        <v>2021</v>
      </c>
      <c r="C743" s="3">
        <f t="shared" si="17"/>
        <v>2</v>
      </c>
      <c r="D743" s="20" t="str">
        <f t="shared" si="18"/>
        <v>BKH20212</v>
      </c>
      <c r="E743" s="2">
        <v>44238</v>
      </c>
      <c r="F743" s="3">
        <v>0.56499999999999995</v>
      </c>
      <c r="G743" s="2">
        <v>44256</v>
      </c>
      <c r="H743" s="3">
        <v>3.6499999999999998E-2</v>
      </c>
      <c r="I743" s="3">
        <v>0</v>
      </c>
      <c r="J743" s="3">
        <v>0</v>
      </c>
      <c r="K743" s="3">
        <f t="shared" si="19"/>
        <v>0</v>
      </c>
      <c r="L743" s="3">
        <f t="shared" si="20"/>
        <v>2021</v>
      </c>
      <c r="M743" s="20" t="str">
        <f>A743&amp;L743</f>
        <v>BKH2021</v>
      </c>
      <c r="N743" s="3">
        <f>F743</f>
        <v>0.56499999999999995</v>
      </c>
      <c r="O743" s="9">
        <f>H743</f>
        <v>3.6499999999999998E-2</v>
      </c>
      <c r="P743" s="10">
        <f t="shared" si="21"/>
        <v>0</v>
      </c>
      <c r="Q743" s="10">
        <f>IF(K743=0,IF(A740=A743,AVERAGE(O740:O743),"x"),0)</f>
        <v>3.4275E-2</v>
      </c>
      <c r="R743" s="9">
        <f>IF(L743&gt;2005,AVERAGE(O740:O759),0)</f>
        <v>3.1394999999999999E-2</v>
      </c>
      <c r="S743" s="10">
        <f>IF(A743=A744,(N743-N744)/N744,0)</f>
        <v>0</v>
      </c>
      <c r="T743" s="10">
        <f>IF(L743&gt;2005,(((N743-N763)/N763)+1)^(1/5)-1,0)</f>
        <v>6.1108592903658554E-2</v>
      </c>
      <c r="U743" s="10">
        <f t="shared" si="22"/>
        <v>9.250359290365856E-2</v>
      </c>
      <c r="V743" s="26">
        <f t="shared" si="23"/>
        <v>4.5851129089752201</v>
      </c>
      <c r="W743" s="3">
        <f>IF(A743=A744,N743-N744,0)</f>
        <v>0</v>
      </c>
      <c r="X743" s="10">
        <f>IF(A743=A744,(N743-N744)/N744,0)</f>
        <v>0</v>
      </c>
    </row>
    <row r="744" spans="1:24" ht="16.5" customHeight="1">
      <c r="A744" s="3" t="s">
        <v>32</v>
      </c>
      <c r="B744" s="3">
        <f t="shared" si="16"/>
        <v>2020</v>
      </c>
      <c r="C744" s="3">
        <f t="shared" si="17"/>
        <v>11</v>
      </c>
      <c r="D744" s="20" t="str">
        <f t="shared" si="18"/>
        <v>BKH202011</v>
      </c>
      <c r="E744" s="2">
        <v>44151</v>
      </c>
      <c r="F744" s="3">
        <v>0.56499999999999995</v>
      </c>
      <c r="G744" s="2">
        <v>44166</v>
      </c>
      <c r="H744" s="3">
        <v>3.5799999999999998E-2</v>
      </c>
      <c r="I744" s="3">
        <v>5.6074765999999998E-2</v>
      </c>
      <c r="J744" s="3">
        <v>0.03</v>
      </c>
      <c r="K744" s="3">
        <f t="shared" si="19"/>
        <v>2020</v>
      </c>
      <c r="L744" s="3">
        <f t="shared" si="20"/>
        <v>0</v>
      </c>
      <c r="M744" s="20" t="str">
        <f>A744&amp;L744</f>
        <v>BKH0</v>
      </c>
      <c r="N744" s="3">
        <f>F744</f>
        <v>0.56499999999999995</v>
      </c>
      <c r="O744" s="9">
        <f>H744</f>
        <v>3.5799999999999998E-2</v>
      </c>
      <c r="P744" s="10">
        <f t="shared" si="21"/>
        <v>3.3874999999999995E-2</v>
      </c>
      <c r="Q744" s="10">
        <f>IF(K744=0,IF(A741=A744,AVERAGE(O741:O744),"x"),0)</f>
        <v>0</v>
      </c>
      <c r="R744" s="9">
        <f>IF(L744&gt;2005,AVERAGE(O741:O760),0)</f>
        <v>0</v>
      </c>
      <c r="S744" s="10">
        <f>IF(A744=A745,(N744-N745)/N745,0)</f>
        <v>5.6074766355140027E-2</v>
      </c>
      <c r="T744" s="10">
        <f>IF(L744&gt;2005,(((N744-N764)/N764)+1)^(1/5)-1,0)</f>
        <v>0</v>
      </c>
      <c r="U744" s="10">
        <f t="shared" si="22"/>
        <v>0</v>
      </c>
      <c r="V744" s="26">
        <f t="shared" si="23"/>
        <v>0</v>
      </c>
      <c r="W744" s="3">
        <f>IF(A744=A745,N744-N745,0)</f>
        <v>2.9999999999999916E-2</v>
      </c>
      <c r="X744" s="10">
        <f>IF(A744=A745,(N744-N745)/N745,0)</f>
        <v>5.6074766355140027E-2</v>
      </c>
    </row>
    <row r="745" spans="1:24" ht="16.5" customHeight="1">
      <c r="A745" s="3" t="s">
        <v>32</v>
      </c>
      <c r="B745" s="3">
        <f t="shared" si="16"/>
        <v>2020</v>
      </c>
      <c r="C745" s="3">
        <f t="shared" si="17"/>
        <v>8</v>
      </c>
      <c r="D745" s="20" t="str">
        <f t="shared" si="18"/>
        <v>BKH20208</v>
      </c>
      <c r="E745" s="2">
        <v>44060</v>
      </c>
      <c r="F745" s="3">
        <v>0.53500000000000003</v>
      </c>
      <c r="G745" s="2">
        <v>44075</v>
      </c>
      <c r="H745" s="3">
        <v>3.6600000000000001E-2</v>
      </c>
      <c r="I745" s="3">
        <v>0</v>
      </c>
      <c r="J745" s="3">
        <v>0</v>
      </c>
      <c r="K745" s="3">
        <f t="shared" si="19"/>
        <v>2020</v>
      </c>
      <c r="L745" s="3">
        <f t="shared" si="20"/>
        <v>0</v>
      </c>
      <c r="M745" s="20" t="str">
        <f>A745&amp;L745</f>
        <v>BKH0</v>
      </c>
      <c r="N745" s="3">
        <f>F745</f>
        <v>0.53500000000000003</v>
      </c>
      <c r="O745" s="9">
        <f>H745</f>
        <v>3.6600000000000001E-2</v>
      </c>
      <c r="P745" s="10">
        <f t="shared" si="21"/>
        <v>0</v>
      </c>
      <c r="Q745" s="10">
        <f>IF(K745=0,IF(A742=A745,AVERAGE(O742:O745),"x"),0)</f>
        <v>0</v>
      </c>
      <c r="R745" s="9">
        <f>IF(L745&gt;2005,AVERAGE(O742:O761),0)</f>
        <v>0</v>
      </c>
      <c r="S745" s="10">
        <f>IF(A745=A746,(N745-N746)/N746,0)</f>
        <v>0</v>
      </c>
      <c r="T745" s="10">
        <f>IF(L745&gt;2005,(((N745-N765)/N765)+1)^(1/5)-1,0)</f>
        <v>0</v>
      </c>
      <c r="U745" s="10">
        <f t="shared" si="22"/>
        <v>0</v>
      </c>
      <c r="V745" s="26">
        <f t="shared" si="23"/>
        <v>0</v>
      </c>
      <c r="W745" s="3">
        <f>IF(A745=A746,N745-N746,0)</f>
        <v>0</v>
      </c>
      <c r="X745" s="10">
        <f>IF(A745=A746,(N745-N746)/N746,0)</f>
        <v>0</v>
      </c>
    </row>
    <row r="746" spans="1:24" ht="16.5" customHeight="1">
      <c r="A746" s="3" t="s">
        <v>32</v>
      </c>
      <c r="B746" s="3">
        <f t="shared" si="16"/>
        <v>2020</v>
      </c>
      <c r="C746" s="3">
        <f t="shared" si="17"/>
        <v>5</v>
      </c>
      <c r="D746" s="20" t="str">
        <f t="shared" si="18"/>
        <v>BKH20205</v>
      </c>
      <c r="E746" s="2">
        <v>43966</v>
      </c>
      <c r="F746" s="3">
        <v>0.53500000000000003</v>
      </c>
      <c r="G746" s="2">
        <v>43983</v>
      </c>
      <c r="H746" s="3">
        <v>3.7600000000000001E-2</v>
      </c>
      <c r="I746" s="3">
        <v>0</v>
      </c>
      <c r="J746" s="3">
        <v>0</v>
      </c>
      <c r="K746" s="3">
        <f t="shared" si="19"/>
        <v>2020</v>
      </c>
      <c r="L746" s="3">
        <f t="shared" si="20"/>
        <v>0</v>
      </c>
      <c r="M746" s="20" t="str">
        <f>A746&amp;L746</f>
        <v>BKH0</v>
      </c>
      <c r="N746" s="3">
        <f>F746</f>
        <v>0.53500000000000003</v>
      </c>
      <c r="O746" s="9">
        <f>H746</f>
        <v>3.7600000000000001E-2</v>
      </c>
      <c r="P746" s="10">
        <f t="shared" si="21"/>
        <v>0</v>
      </c>
      <c r="Q746" s="10">
        <f>IF(K746=0,IF(A743=A746,AVERAGE(O743:O746),"x"),0)</f>
        <v>0</v>
      </c>
      <c r="R746" s="9">
        <f>IF(L746&gt;2005,AVERAGE(O743:O762),0)</f>
        <v>0</v>
      </c>
      <c r="S746" s="10">
        <f>IF(A746=A747,(N746-N747)/N747,0)</f>
        <v>0</v>
      </c>
      <c r="T746" s="10">
        <f>IF(L746&gt;2005,(((N746-N766)/N766)+1)^(1/5)-1,0)</f>
        <v>0</v>
      </c>
      <c r="U746" s="10">
        <f t="shared" si="22"/>
        <v>0</v>
      </c>
      <c r="V746" s="26">
        <f t="shared" si="23"/>
        <v>0</v>
      </c>
      <c r="W746" s="3">
        <f>IF(A746=A747,N746-N747,0)</f>
        <v>0</v>
      </c>
      <c r="X746" s="10">
        <f>IF(A746=A747,(N746-N747)/N747,0)</f>
        <v>0</v>
      </c>
    </row>
    <row r="747" spans="1:24" ht="16.5" customHeight="1">
      <c r="A747" s="3" t="s">
        <v>32</v>
      </c>
      <c r="B747" s="3">
        <f t="shared" si="16"/>
        <v>2020</v>
      </c>
      <c r="C747" s="3">
        <f t="shared" si="17"/>
        <v>2</v>
      </c>
      <c r="D747" s="20" t="str">
        <f t="shared" si="18"/>
        <v>BKH20202</v>
      </c>
      <c r="E747" s="2">
        <v>43874</v>
      </c>
      <c r="F747" s="3">
        <v>0.53500000000000003</v>
      </c>
      <c r="G747" s="2">
        <v>43891</v>
      </c>
      <c r="H747" s="3">
        <v>2.5499999999999998E-2</v>
      </c>
      <c r="I747" s="3">
        <v>0</v>
      </c>
      <c r="J747" s="3">
        <v>0</v>
      </c>
      <c r="K747" s="3">
        <f t="shared" si="19"/>
        <v>0</v>
      </c>
      <c r="L747" s="3">
        <f t="shared" si="20"/>
        <v>2020</v>
      </c>
      <c r="M747" s="20" t="str">
        <f>A747&amp;L747</f>
        <v>BKH2020</v>
      </c>
      <c r="N747" s="3">
        <f>F747</f>
        <v>0.53500000000000003</v>
      </c>
      <c r="O747" s="9">
        <f>H747</f>
        <v>2.5499999999999998E-2</v>
      </c>
      <c r="P747" s="10">
        <f t="shared" si="21"/>
        <v>0</v>
      </c>
      <c r="Q747" s="10">
        <f>IF(K747=0,IF(A744=A747,AVERAGE(O744:O747),"x"),0)</f>
        <v>3.3874999999999995E-2</v>
      </c>
      <c r="R747" s="9">
        <f>IF(L747&gt;2005,AVERAGE(O744:O763),0)</f>
        <v>3.0374999999999996E-2</v>
      </c>
      <c r="S747" s="10">
        <f>IF(A747=A748,(N747-N748)/N748,0)</f>
        <v>0</v>
      </c>
      <c r="T747" s="10">
        <f>IF(L747&gt;2005,(((N747-N767)/N767)+1)^(1/5)-1,0)</f>
        <v>5.7255009883433017E-2</v>
      </c>
      <c r="U747" s="10">
        <f t="shared" si="22"/>
        <v>8.7630009883433016E-2</v>
      </c>
      <c r="V747" s="26">
        <f t="shared" si="23"/>
        <v>4.5963605849199736</v>
      </c>
      <c r="W747" s="3">
        <f>IF(A747=A748,N747-N748,0)</f>
        <v>0</v>
      </c>
      <c r="X747" s="10">
        <f>IF(A747=A748,(N747-N748)/N748,0)</f>
        <v>0</v>
      </c>
    </row>
    <row r="748" spans="1:24" ht="16.5" customHeight="1">
      <c r="A748" s="3" t="s">
        <v>32</v>
      </c>
      <c r="B748" s="3">
        <f t="shared" si="16"/>
        <v>2019</v>
      </c>
      <c r="C748" s="3">
        <f t="shared" si="17"/>
        <v>11</v>
      </c>
      <c r="D748" s="20" t="str">
        <f t="shared" si="18"/>
        <v>BKH201911</v>
      </c>
      <c r="E748" s="2">
        <v>43784</v>
      </c>
      <c r="F748" s="3">
        <v>0.53500000000000003</v>
      </c>
      <c r="G748" s="2">
        <v>43800</v>
      </c>
      <c r="H748" s="3">
        <v>2.81E-2</v>
      </c>
      <c r="I748" s="3">
        <v>5.9405940999999997E-2</v>
      </c>
      <c r="J748" s="3">
        <v>0.03</v>
      </c>
      <c r="K748" s="3">
        <f t="shared" si="19"/>
        <v>2019</v>
      </c>
      <c r="L748" s="3">
        <f t="shared" si="20"/>
        <v>0</v>
      </c>
      <c r="M748" s="20" t="str">
        <f>A748&amp;L748</f>
        <v>BKH0</v>
      </c>
      <c r="N748" s="3">
        <f>F748</f>
        <v>0.53500000000000003</v>
      </c>
      <c r="O748" s="9">
        <f>H748</f>
        <v>2.81E-2</v>
      </c>
      <c r="P748" s="10">
        <f t="shared" si="21"/>
        <v>2.7450000000000002E-2</v>
      </c>
      <c r="Q748" s="10">
        <f>IF(K748=0,IF(A745=A748,AVERAGE(O745:O748),"x"),0)</f>
        <v>0</v>
      </c>
      <c r="R748" s="9">
        <f>IF(L748&gt;2005,AVERAGE(O745:O764),0)</f>
        <v>0</v>
      </c>
      <c r="S748" s="10">
        <f>IF(A748=A749,(N748-N749)/N749,0)</f>
        <v>5.9405940594059459E-2</v>
      </c>
      <c r="T748" s="10">
        <f>IF(L748&gt;2005,(((N748-N768)/N768)+1)^(1/5)-1,0)</f>
        <v>0</v>
      </c>
      <c r="U748" s="10">
        <f t="shared" si="22"/>
        <v>0</v>
      </c>
      <c r="V748" s="26">
        <f t="shared" si="23"/>
        <v>0</v>
      </c>
      <c r="W748" s="3">
        <f>IF(A748=A749,N748-N749,0)</f>
        <v>3.0000000000000027E-2</v>
      </c>
      <c r="X748" s="10">
        <f>IF(A748=A749,(N748-N749)/N749,0)</f>
        <v>5.9405940594059459E-2</v>
      </c>
    </row>
    <row r="749" spans="1:24" ht="16.5" customHeight="1">
      <c r="A749" s="3" t="s">
        <v>32</v>
      </c>
      <c r="B749" s="3">
        <f t="shared" si="16"/>
        <v>2019</v>
      </c>
      <c r="C749" s="3">
        <f t="shared" si="17"/>
        <v>8</v>
      </c>
      <c r="D749" s="20" t="str">
        <f t="shared" si="18"/>
        <v>BKH20198</v>
      </c>
      <c r="E749" s="2">
        <v>43693</v>
      </c>
      <c r="F749" s="3">
        <v>0.505</v>
      </c>
      <c r="G749" s="2">
        <v>43709</v>
      </c>
      <c r="H749" s="3">
        <v>2.64E-2</v>
      </c>
      <c r="I749" s="3">
        <v>0</v>
      </c>
      <c r="J749" s="3">
        <v>0</v>
      </c>
      <c r="K749" s="3">
        <f t="shared" si="19"/>
        <v>2019</v>
      </c>
      <c r="L749" s="3">
        <f t="shared" si="20"/>
        <v>0</v>
      </c>
      <c r="M749" s="20" t="str">
        <f>A749&amp;L749</f>
        <v>BKH0</v>
      </c>
      <c r="N749" s="3">
        <f>F749</f>
        <v>0.505</v>
      </c>
      <c r="O749" s="9">
        <f>H749</f>
        <v>2.64E-2</v>
      </c>
      <c r="P749" s="10">
        <f t="shared" si="21"/>
        <v>0</v>
      </c>
      <c r="Q749" s="10">
        <f>IF(K749=0,IF(A746=A749,AVERAGE(O746:O749),"x"),0)</f>
        <v>0</v>
      </c>
      <c r="R749" s="9">
        <f>IF(L749&gt;2005,AVERAGE(O746:O765),0)</f>
        <v>0</v>
      </c>
      <c r="S749" s="10">
        <f>IF(A749=A750,(N749-N750)/N750,0)</f>
        <v>0</v>
      </c>
      <c r="T749" s="10">
        <f>IF(L749&gt;2005,(((N749-N769)/N769)+1)^(1/5)-1,0)</f>
        <v>0</v>
      </c>
      <c r="U749" s="10">
        <f t="shared" si="22"/>
        <v>0</v>
      </c>
      <c r="V749" s="26">
        <f t="shared" si="23"/>
        <v>0</v>
      </c>
      <c r="W749" s="3">
        <f>IF(A749=A750,N749-N750,0)</f>
        <v>0</v>
      </c>
      <c r="X749" s="10">
        <f>IF(A749=A750,(N749-N750)/N750,0)</f>
        <v>0</v>
      </c>
    </row>
    <row r="750" spans="1:24" ht="16.5" customHeight="1">
      <c r="A750" s="3" t="s">
        <v>32</v>
      </c>
      <c r="B750" s="3">
        <f t="shared" si="16"/>
        <v>2019</v>
      </c>
      <c r="C750" s="3">
        <f t="shared" si="17"/>
        <v>5</v>
      </c>
      <c r="D750" s="20" t="str">
        <f t="shared" si="18"/>
        <v>BKH20195</v>
      </c>
      <c r="E750" s="2">
        <v>43601</v>
      </c>
      <c r="F750" s="3">
        <v>0.505</v>
      </c>
      <c r="G750" s="2">
        <v>43617</v>
      </c>
      <c r="H750" s="3">
        <v>2.6599999999999999E-2</v>
      </c>
      <c r="I750" s="3">
        <v>0</v>
      </c>
      <c r="J750" s="3">
        <v>0</v>
      </c>
      <c r="K750" s="3">
        <f t="shared" si="19"/>
        <v>2019</v>
      </c>
      <c r="L750" s="3">
        <f t="shared" si="20"/>
        <v>0</v>
      </c>
      <c r="M750" s="20" t="str">
        <f>A750&amp;L750</f>
        <v>BKH0</v>
      </c>
      <c r="N750" s="3">
        <f>F750</f>
        <v>0.505</v>
      </c>
      <c r="O750" s="9">
        <f>H750</f>
        <v>2.6599999999999999E-2</v>
      </c>
      <c r="P750" s="10">
        <f t="shared" si="21"/>
        <v>0</v>
      </c>
      <c r="Q750" s="10">
        <f>IF(K750=0,IF(A747=A750,AVERAGE(O747:O750),"x"),0)</f>
        <v>0</v>
      </c>
      <c r="R750" s="9">
        <f>IF(L750&gt;2005,AVERAGE(O747:O766),0)</f>
        <v>0</v>
      </c>
      <c r="S750" s="10">
        <f>IF(A750=A751,(N750-N751)/N751,0)</f>
        <v>0</v>
      </c>
      <c r="T750" s="10">
        <f>IF(L750&gt;2005,(((N750-N770)/N770)+1)^(1/5)-1,0)</f>
        <v>0</v>
      </c>
      <c r="U750" s="10">
        <f t="shared" si="22"/>
        <v>0</v>
      </c>
      <c r="V750" s="26">
        <f t="shared" si="23"/>
        <v>0</v>
      </c>
      <c r="W750" s="3">
        <f>IF(A750=A751,N750-N751,0)</f>
        <v>0</v>
      </c>
      <c r="X750" s="10">
        <f>IF(A750=A751,(N750-N751)/N751,0)</f>
        <v>0</v>
      </c>
    </row>
    <row r="751" spans="1:24" ht="16.5" customHeight="1">
      <c r="A751" s="3" t="s">
        <v>32</v>
      </c>
      <c r="B751" s="3">
        <f t="shared" si="16"/>
        <v>2019</v>
      </c>
      <c r="C751" s="3">
        <f t="shared" si="17"/>
        <v>2</v>
      </c>
      <c r="D751" s="20" t="str">
        <f t="shared" si="18"/>
        <v>BKH20192</v>
      </c>
      <c r="E751" s="2">
        <v>43510</v>
      </c>
      <c r="F751" s="3">
        <v>0.505</v>
      </c>
      <c r="G751" s="2">
        <v>43525</v>
      </c>
      <c r="H751" s="3">
        <v>2.87E-2</v>
      </c>
      <c r="I751" s="3">
        <v>0</v>
      </c>
      <c r="J751" s="3">
        <v>0</v>
      </c>
      <c r="K751" s="3">
        <f t="shared" si="19"/>
        <v>0</v>
      </c>
      <c r="L751" s="3">
        <f t="shared" si="20"/>
        <v>2019</v>
      </c>
      <c r="M751" s="20" t="str">
        <f>A751&amp;L751</f>
        <v>BKH2019</v>
      </c>
      <c r="N751" s="3">
        <f>F751</f>
        <v>0.505</v>
      </c>
      <c r="O751" s="9">
        <f>H751</f>
        <v>2.87E-2</v>
      </c>
      <c r="P751" s="10">
        <f t="shared" si="21"/>
        <v>0</v>
      </c>
      <c r="Q751" s="10">
        <f>IF(K751=0,IF(A748=A751,AVERAGE(O748:O751),"x"),0)</f>
        <v>2.7450000000000002E-2</v>
      </c>
      <c r="R751" s="9">
        <f>IF(L751&gt;2005,AVERAGE(O748:O767),0)</f>
        <v>3.0554999999999999E-2</v>
      </c>
      <c r="S751" s="10">
        <f>IF(A751=A752,(N751-N752)/N752,0)</f>
        <v>0</v>
      </c>
      <c r="T751" s="10">
        <f>IF(L751&gt;2005,(((N751-N771)/N771)+1)^(1/5)-1,0)</f>
        <v>5.3041178242185127E-2</v>
      </c>
      <c r="U751" s="10">
        <f t="shared" si="22"/>
        <v>8.3596178242185126E-2</v>
      </c>
      <c r="V751" s="26">
        <f t="shared" si="23"/>
        <v>4.592603149533157</v>
      </c>
      <c r="W751" s="3">
        <f>IF(A751=A752,N751-N752,0)</f>
        <v>0</v>
      </c>
      <c r="X751" s="10">
        <f>IF(A751=A752,(N751-N752)/N752,0)</f>
        <v>0</v>
      </c>
    </row>
    <row r="752" spans="1:24" ht="16.5" customHeight="1">
      <c r="A752" s="3" t="s">
        <v>32</v>
      </c>
      <c r="B752" s="3">
        <f t="shared" si="16"/>
        <v>2018</v>
      </c>
      <c r="C752" s="3">
        <f t="shared" si="17"/>
        <v>11</v>
      </c>
      <c r="D752" s="20" t="str">
        <f t="shared" si="18"/>
        <v>BKH201811</v>
      </c>
      <c r="E752" s="2">
        <v>43420</v>
      </c>
      <c r="F752" s="3">
        <v>0.505</v>
      </c>
      <c r="G752" s="2">
        <v>43435</v>
      </c>
      <c r="H752" s="3">
        <v>3.1800000000000002E-2</v>
      </c>
      <c r="I752" s="3">
        <v>6.3157895000000006E-2</v>
      </c>
      <c r="J752" s="3">
        <v>0.03</v>
      </c>
      <c r="K752" s="3">
        <f t="shared" si="19"/>
        <v>2018</v>
      </c>
      <c r="L752" s="3">
        <f t="shared" si="20"/>
        <v>0</v>
      </c>
      <c r="M752" s="20" t="str">
        <f>A752&amp;L752</f>
        <v>BKH0</v>
      </c>
      <c r="N752" s="3">
        <f>F752</f>
        <v>0.505</v>
      </c>
      <c r="O752" s="9">
        <f>H752</f>
        <v>3.1800000000000002E-2</v>
      </c>
      <c r="P752" s="10">
        <f t="shared" si="21"/>
        <v>3.3174999999999996E-2</v>
      </c>
      <c r="Q752" s="10">
        <f>IF(K752=0,IF(A749=A752,AVERAGE(O749:O752),"x"),0)</f>
        <v>0</v>
      </c>
      <c r="R752" s="9">
        <f>IF(L752&gt;2005,AVERAGE(O749:O768),0)</f>
        <v>0</v>
      </c>
      <c r="S752" s="10">
        <f>IF(A752=A753,(N752-N753)/N753,0)</f>
        <v>6.3157894736842163E-2</v>
      </c>
      <c r="T752" s="10">
        <f>IF(L752&gt;2005,(((N752-N772)/N772)+1)^(1/5)-1,0)</f>
        <v>0</v>
      </c>
      <c r="U752" s="10">
        <f t="shared" si="22"/>
        <v>0</v>
      </c>
      <c r="V752" s="26">
        <f t="shared" si="23"/>
        <v>0</v>
      </c>
      <c r="W752" s="3">
        <f>IF(A752=A753,N752-N753,0)</f>
        <v>3.0000000000000027E-2</v>
      </c>
      <c r="X752" s="10">
        <f>IF(A752=A753,(N752-N753)/N753,0)</f>
        <v>6.3157894736842163E-2</v>
      </c>
    </row>
    <row r="753" spans="1:24" ht="16.5" customHeight="1">
      <c r="A753" s="3" t="s">
        <v>32</v>
      </c>
      <c r="B753" s="3">
        <f t="shared" si="16"/>
        <v>2018</v>
      </c>
      <c r="C753" s="3">
        <f t="shared" si="17"/>
        <v>8</v>
      </c>
      <c r="D753" s="20" t="str">
        <f t="shared" si="18"/>
        <v>BKH20188</v>
      </c>
      <c r="E753" s="2">
        <v>43329</v>
      </c>
      <c r="F753" s="3">
        <v>0.47499999999999998</v>
      </c>
      <c r="G753" s="2">
        <v>43344</v>
      </c>
      <c r="H753" s="3">
        <v>3.1099999999999999E-2</v>
      </c>
      <c r="I753" s="3">
        <v>0</v>
      </c>
      <c r="J753" s="3">
        <v>0</v>
      </c>
      <c r="K753" s="3">
        <f t="shared" si="19"/>
        <v>2018</v>
      </c>
      <c r="L753" s="3">
        <f t="shared" si="20"/>
        <v>0</v>
      </c>
      <c r="M753" s="20" t="str">
        <f>A753&amp;L753</f>
        <v>BKH0</v>
      </c>
      <c r="N753" s="3">
        <f>F753</f>
        <v>0.47499999999999998</v>
      </c>
      <c r="O753" s="9">
        <f>H753</f>
        <v>3.1099999999999999E-2</v>
      </c>
      <c r="P753" s="10">
        <f t="shared" si="21"/>
        <v>0</v>
      </c>
      <c r="Q753" s="10">
        <f>IF(K753=0,IF(A750=A753,AVERAGE(O750:O753),"x"),0)</f>
        <v>0</v>
      </c>
      <c r="R753" s="9">
        <f>IF(L753&gt;2005,AVERAGE(O750:O769),0)</f>
        <v>0</v>
      </c>
      <c r="S753" s="10">
        <f>IF(A753=A754,(N753-N754)/N754,0)</f>
        <v>0</v>
      </c>
      <c r="T753" s="10">
        <f>IF(L753&gt;2005,(((N753-N773)/N773)+1)^(1/5)-1,0)</f>
        <v>0</v>
      </c>
      <c r="U753" s="10">
        <f t="shared" si="22"/>
        <v>0</v>
      </c>
      <c r="V753" s="26">
        <f t="shared" si="23"/>
        <v>0</v>
      </c>
      <c r="W753" s="3">
        <f>IF(A753=A754,N753-N754,0)</f>
        <v>0</v>
      </c>
      <c r="X753" s="10">
        <f>IF(A753=A754,(N753-N754)/N754,0)</f>
        <v>0</v>
      </c>
    </row>
    <row r="754" spans="1:24" ht="16.5" customHeight="1">
      <c r="A754" s="3" t="s">
        <v>32</v>
      </c>
      <c r="B754" s="3">
        <f t="shared" si="16"/>
        <v>2018</v>
      </c>
      <c r="C754" s="3">
        <f t="shared" si="17"/>
        <v>5</v>
      </c>
      <c r="D754" s="20" t="str">
        <f t="shared" si="18"/>
        <v>BKH20185</v>
      </c>
      <c r="E754" s="2">
        <v>43237</v>
      </c>
      <c r="F754" s="3">
        <v>0.47499999999999998</v>
      </c>
      <c r="G754" s="2">
        <v>43252</v>
      </c>
      <c r="H754" s="3">
        <v>3.3500000000000002E-2</v>
      </c>
      <c r="I754" s="3">
        <v>0</v>
      </c>
      <c r="J754" s="3">
        <v>0</v>
      </c>
      <c r="K754" s="3">
        <f t="shared" si="19"/>
        <v>2018</v>
      </c>
      <c r="L754" s="3">
        <f t="shared" si="20"/>
        <v>0</v>
      </c>
      <c r="M754" s="20" t="str">
        <f>A754&amp;L754</f>
        <v>BKH0</v>
      </c>
      <c r="N754" s="3">
        <f>F754</f>
        <v>0.47499999999999998</v>
      </c>
      <c r="O754" s="9">
        <f>H754</f>
        <v>3.3500000000000002E-2</v>
      </c>
      <c r="P754" s="10">
        <f t="shared" si="21"/>
        <v>0</v>
      </c>
      <c r="Q754" s="10">
        <f>IF(K754=0,IF(A751=A754,AVERAGE(O751:O754),"x"),0)</f>
        <v>0</v>
      </c>
      <c r="R754" s="9">
        <f>IF(L754&gt;2005,AVERAGE(O751:O770),0)</f>
        <v>0</v>
      </c>
      <c r="S754" s="10">
        <f>IF(A754=A755,(N754-N755)/N755,0)</f>
        <v>0</v>
      </c>
      <c r="T754" s="10">
        <f>IF(L754&gt;2005,(((N754-N774)/N774)+1)^(1/5)-1,0)</f>
        <v>0</v>
      </c>
      <c r="U754" s="10">
        <f t="shared" si="22"/>
        <v>0</v>
      </c>
      <c r="V754" s="26">
        <f t="shared" si="23"/>
        <v>0</v>
      </c>
      <c r="W754" s="3">
        <f>IF(A754=A755,N754-N755,0)</f>
        <v>0</v>
      </c>
      <c r="X754" s="10">
        <f>IF(A754=A755,(N754-N755)/N755,0)</f>
        <v>0</v>
      </c>
    </row>
    <row r="755" spans="1:24" ht="16.5" customHeight="1">
      <c r="A755" s="3" t="s">
        <v>32</v>
      </c>
      <c r="B755" s="3">
        <f t="shared" si="16"/>
        <v>2018</v>
      </c>
      <c r="C755" s="3">
        <f t="shared" si="17"/>
        <v>2</v>
      </c>
      <c r="D755" s="20" t="str">
        <f t="shared" si="18"/>
        <v>BKH20182</v>
      </c>
      <c r="E755" s="2">
        <v>43145</v>
      </c>
      <c r="F755" s="3">
        <v>0.47499999999999998</v>
      </c>
      <c r="G755" s="2">
        <v>43160</v>
      </c>
      <c r="H755" s="3">
        <v>3.6299999999999999E-2</v>
      </c>
      <c r="I755" s="3">
        <v>0</v>
      </c>
      <c r="J755" s="3">
        <v>0</v>
      </c>
      <c r="K755" s="3">
        <f t="shared" si="19"/>
        <v>0</v>
      </c>
      <c r="L755" s="3">
        <f t="shared" si="20"/>
        <v>2018</v>
      </c>
      <c r="M755" s="20" t="str">
        <f>A755&amp;L755</f>
        <v>BKH2018</v>
      </c>
      <c r="N755" s="3">
        <f>F755</f>
        <v>0.47499999999999998</v>
      </c>
      <c r="O755" s="9">
        <f>H755</f>
        <v>3.6299999999999999E-2</v>
      </c>
      <c r="P755" s="10">
        <f t="shared" si="21"/>
        <v>0</v>
      </c>
      <c r="Q755" s="10">
        <f>IF(K755=0,IF(A752=A755,AVERAGE(O752:O755),"x"),0)</f>
        <v>3.3174999999999996E-2</v>
      </c>
      <c r="R755" s="9">
        <f>IF(L755&gt;2005,AVERAGE(O752:O771),0)</f>
        <v>3.0705E-2</v>
      </c>
      <c r="S755" s="10">
        <f>IF(A755=A756,(N755-N756)/N756,0)</f>
        <v>0</v>
      </c>
      <c r="T755" s="10">
        <f>IF(L755&gt;2005,(((N755-N775)/N775)+1)^(1/5)-1,0)</f>
        <v>4.5639552591273169E-2</v>
      </c>
      <c r="U755" s="10">
        <f t="shared" si="22"/>
        <v>7.6344552591273165E-2</v>
      </c>
      <c r="V755" s="26">
        <f t="shared" si="23"/>
        <v>4.5880249889635207</v>
      </c>
      <c r="W755" s="3">
        <f>IF(A755=A756,N755-N756,0)</f>
        <v>0</v>
      </c>
      <c r="X755" s="10">
        <f>IF(A755=A756,(N755-N756)/N756,0)</f>
        <v>0</v>
      </c>
    </row>
    <row r="756" spans="1:24" ht="16.5" customHeight="1">
      <c r="A756" s="3" t="s">
        <v>32</v>
      </c>
      <c r="B756" s="3">
        <f t="shared" si="16"/>
        <v>2017</v>
      </c>
      <c r="C756" s="3">
        <f t="shared" si="17"/>
        <v>11</v>
      </c>
      <c r="D756" s="20" t="str">
        <f t="shared" si="18"/>
        <v>BKH201711</v>
      </c>
      <c r="E756" s="2">
        <v>43055</v>
      </c>
      <c r="F756" s="3">
        <v>0.47499999999999998</v>
      </c>
      <c r="G756" s="2">
        <v>43070</v>
      </c>
      <c r="H756" s="3">
        <v>3.2599999999999997E-2</v>
      </c>
      <c r="I756" s="3">
        <v>6.7415729999999993E-2</v>
      </c>
      <c r="J756" s="3">
        <v>0.03</v>
      </c>
      <c r="K756" s="3">
        <f t="shared" si="19"/>
        <v>2017</v>
      </c>
      <c r="L756" s="3">
        <f t="shared" si="20"/>
        <v>0</v>
      </c>
      <c r="M756" s="20" t="str">
        <f>A756&amp;L756</f>
        <v>BKH0</v>
      </c>
      <c r="N756" s="3">
        <f>F756</f>
        <v>0.47499999999999998</v>
      </c>
      <c r="O756" s="9">
        <f>H756</f>
        <v>3.2599999999999997E-2</v>
      </c>
      <c r="P756" s="10">
        <f t="shared" si="21"/>
        <v>2.8199999999999999E-2</v>
      </c>
      <c r="Q756" s="10">
        <f>IF(K756=0,IF(A753=A756,AVERAGE(O753:O756),"x"),0)</f>
        <v>0</v>
      </c>
      <c r="R756" s="9">
        <f>IF(L756&gt;2005,AVERAGE(O753:O772),0)</f>
        <v>0</v>
      </c>
      <c r="S756" s="10">
        <f>IF(A756=A757,(N756-N757)/N757,0)</f>
        <v>6.741573033707858E-2</v>
      </c>
      <c r="T756" s="10">
        <f>IF(L756&gt;2005,(((N756-N776)/N776)+1)^(1/5)-1,0)</f>
        <v>0</v>
      </c>
      <c r="U756" s="10">
        <f t="shared" si="22"/>
        <v>0</v>
      </c>
      <c r="V756" s="26">
        <f t="shared" si="23"/>
        <v>0</v>
      </c>
      <c r="W756" s="3">
        <f>IF(A756=A757,N756-N757,0)</f>
        <v>2.9999999999999971E-2</v>
      </c>
      <c r="X756" s="10">
        <f>IF(A756=A757,(N756-N757)/N757,0)</f>
        <v>6.741573033707858E-2</v>
      </c>
    </row>
    <row r="757" spans="1:24" ht="16.5" customHeight="1">
      <c r="A757" s="3" t="s">
        <v>32</v>
      </c>
      <c r="B757" s="3">
        <f t="shared" si="16"/>
        <v>2017</v>
      </c>
      <c r="C757" s="3">
        <f t="shared" si="17"/>
        <v>8</v>
      </c>
      <c r="D757" s="20" t="str">
        <f t="shared" si="18"/>
        <v>BKH20178</v>
      </c>
      <c r="E757" s="2">
        <v>42963</v>
      </c>
      <c r="F757" s="3">
        <v>0.44500000000000001</v>
      </c>
      <c r="G757" s="2">
        <v>42979</v>
      </c>
      <c r="H757" s="3">
        <v>2.5399999999999999E-2</v>
      </c>
      <c r="I757" s="3">
        <v>0</v>
      </c>
      <c r="J757" s="3">
        <v>0</v>
      </c>
      <c r="K757" s="3">
        <f t="shared" si="19"/>
        <v>2017</v>
      </c>
      <c r="L757" s="3">
        <f t="shared" si="20"/>
        <v>0</v>
      </c>
      <c r="M757" s="20" t="str">
        <f>A757&amp;L757</f>
        <v>BKH0</v>
      </c>
      <c r="N757" s="3">
        <f>F757</f>
        <v>0.44500000000000001</v>
      </c>
      <c r="O757" s="9">
        <f>H757</f>
        <v>2.5399999999999999E-2</v>
      </c>
      <c r="P757" s="10">
        <f t="shared" si="21"/>
        <v>0</v>
      </c>
      <c r="Q757" s="10">
        <f>IF(K757=0,IF(A754=A757,AVERAGE(O754:O757),"x"),0)</f>
        <v>0</v>
      </c>
      <c r="R757" s="9">
        <f>IF(L757&gt;2005,AVERAGE(O754:O773),0)</f>
        <v>0</v>
      </c>
      <c r="S757" s="10">
        <f>IF(A757=A758,(N757-N758)/N758,0)</f>
        <v>0</v>
      </c>
      <c r="T757" s="10">
        <f>IF(L757&gt;2005,(((N757-N777)/N777)+1)^(1/5)-1,0)</f>
        <v>0</v>
      </c>
      <c r="U757" s="10">
        <f t="shared" si="22"/>
        <v>0</v>
      </c>
      <c r="V757" s="26">
        <f t="shared" si="23"/>
        <v>0</v>
      </c>
      <c r="W757" s="3">
        <f>IF(A757=A758,N757-N758,0)</f>
        <v>0</v>
      </c>
      <c r="X757" s="10">
        <f>IF(A757=A758,(N757-N758)/N758,0)</f>
        <v>0</v>
      </c>
    </row>
    <row r="758" spans="1:24" ht="16.5" customHeight="1">
      <c r="A758" s="3" t="s">
        <v>32</v>
      </c>
      <c r="B758" s="3">
        <f t="shared" si="16"/>
        <v>2017</v>
      </c>
      <c r="C758" s="3">
        <f t="shared" si="17"/>
        <v>5</v>
      </c>
      <c r="D758" s="20" t="str">
        <f t="shared" si="18"/>
        <v>BKH20175</v>
      </c>
      <c r="E758" s="2">
        <v>42871</v>
      </c>
      <c r="F758" s="3">
        <v>0.44500000000000001</v>
      </c>
      <c r="G758" s="2">
        <v>42887</v>
      </c>
      <c r="H758" s="3">
        <v>2.5899999999999999E-2</v>
      </c>
      <c r="I758" s="3">
        <v>0</v>
      </c>
      <c r="J758" s="3">
        <v>0</v>
      </c>
      <c r="K758" s="3">
        <f t="shared" si="19"/>
        <v>2017</v>
      </c>
      <c r="L758" s="3">
        <f t="shared" si="20"/>
        <v>0</v>
      </c>
      <c r="M758" s="20" t="str">
        <f>A758&amp;L758</f>
        <v>BKH0</v>
      </c>
      <c r="N758" s="3">
        <f>F758</f>
        <v>0.44500000000000001</v>
      </c>
      <c r="O758" s="9">
        <f>H758</f>
        <v>2.5899999999999999E-2</v>
      </c>
      <c r="P758" s="10">
        <f t="shared" si="21"/>
        <v>0</v>
      </c>
      <c r="Q758" s="10">
        <f>IF(K758=0,IF(A755=A758,AVERAGE(O755:O758),"x"),0)</f>
        <v>0</v>
      </c>
      <c r="R758" s="9">
        <f>IF(L758&gt;2005,AVERAGE(O755:O774),0)</f>
        <v>0</v>
      </c>
      <c r="S758" s="10">
        <f>IF(A758=A759,(N758-N759)/N759,0)</f>
        <v>0</v>
      </c>
      <c r="T758" s="10">
        <f>IF(L758&gt;2005,(((N758-N778)/N778)+1)^(1/5)-1,0)</f>
        <v>0</v>
      </c>
      <c r="U758" s="10">
        <f t="shared" si="22"/>
        <v>0</v>
      </c>
      <c r="V758" s="26">
        <f t="shared" si="23"/>
        <v>0</v>
      </c>
      <c r="W758" s="3">
        <f>IF(A758=A759,N758-N759,0)</f>
        <v>0</v>
      </c>
      <c r="X758" s="10">
        <f>IF(A758=A759,(N758-N759)/N759,0)</f>
        <v>0</v>
      </c>
    </row>
    <row r="759" spans="1:24" ht="16.5" customHeight="1">
      <c r="A759" s="3" t="s">
        <v>32</v>
      </c>
      <c r="B759" s="3">
        <f t="shared" si="16"/>
        <v>2017</v>
      </c>
      <c r="C759" s="3">
        <f t="shared" si="17"/>
        <v>2</v>
      </c>
      <c r="D759" s="20" t="str">
        <f t="shared" si="18"/>
        <v>BKH20172</v>
      </c>
      <c r="E759" s="2">
        <v>42779</v>
      </c>
      <c r="F759" s="3">
        <v>0.44500000000000001</v>
      </c>
      <c r="G759" s="2">
        <v>42795</v>
      </c>
      <c r="H759" s="3">
        <v>2.8899999999999999E-2</v>
      </c>
      <c r="I759" s="3">
        <v>5.9523810000000003E-2</v>
      </c>
      <c r="J759" s="3">
        <v>2.5000000000000001E-2</v>
      </c>
      <c r="K759" s="3">
        <f t="shared" si="19"/>
        <v>0</v>
      </c>
      <c r="L759" s="3">
        <f t="shared" si="20"/>
        <v>2017</v>
      </c>
      <c r="M759" s="20" t="str">
        <f>A759&amp;L759</f>
        <v>BKH2017</v>
      </c>
      <c r="N759" s="3">
        <f>F759</f>
        <v>0.44500000000000001</v>
      </c>
      <c r="O759" s="9">
        <f>H759</f>
        <v>2.8899999999999999E-2</v>
      </c>
      <c r="P759" s="10">
        <f t="shared" si="21"/>
        <v>2.8499999999999998E-2</v>
      </c>
      <c r="Q759" s="10">
        <f>IF(K759=0,IF(A756=A759,AVERAGE(O756:O759),"x"),0)</f>
        <v>2.8199999999999999E-2</v>
      </c>
      <c r="R759" s="9">
        <f>IF(L759&gt;2005,AVERAGE(O756:O775),0)</f>
        <v>3.0294999999999999E-2</v>
      </c>
      <c r="S759" s="10">
        <f>IF(A759=A760,(N759-N760)/N760,0)</f>
        <v>5.9523809523809576E-2</v>
      </c>
      <c r="T759" s="10">
        <f>IF(L759&gt;2005,(((N759-N779)/N779)+1)^(1/5)-1,0)</f>
        <v>3.7604047981727673E-2</v>
      </c>
      <c r="U759" s="10">
        <f t="shared" si="22"/>
        <v>6.7899047981727675E-2</v>
      </c>
      <c r="V759" s="26">
        <f t="shared" si="23"/>
        <v>4.5902253695203346</v>
      </c>
      <c r="W759" s="3">
        <f>IF(A759=A760,N759-N760,0)</f>
        <v>2.5000000000000022E-2</v>
      </c>
      <c r="X759" s="10">
        <f>IF(A759=A760,(N759-N760)/N760,0)</f>
        <v>5.9523809523809576E-2</v>
      </c>
    </row>
    <row r="760" spans="1:24" ht="16.5" customHeight="1">
      <c r="A760" s="3" t="s">
        <v>32</v>
      </c>
      <c r="B760" s="3">
        <f t="shared" si="16"/>
        <v>2016</v>
      </c>
      <c r="C760" s="3">
        <f t="shared" si="17"/>
        <v>11</v>
      </c>
      <c r="D760" s="20" t="str">
        <f t="shared" si="18"/>
        <v>BKH201611</v>
      </c>
      <c r="E760" s="2">
        <v>42689</v>
      </c>
      <c r="F760" s="3">
        <v>0.42</v>
      </c>
      <c r="G760" s="2">
        <v>42705</v>
      </c>
      <c r="H760" s="3">
        <v>2.8799999999999999E-2</v>
      </c>
      <c r="I760" s="3">
        <v>0</v>
      </c>
      <c r="J760" s="3">
        <v>0</v>
      </c>
      <c r="K760" s="3">
        <f t="shared" si="19"/>
        <v>2016</v>
      </c>
      <c r="L760" s="3">
        <f t="shared" si="20"/>
        <v>0</v>
      </c>
      <c r="M760" s="20" t="str">
        <f>A760&amp;L760</f>
        <v>BKH0</v>
      </c>
      <c r="N760" s="3">
        <f>F760</f>
        <v>0.42</v>
      </c>
      <c r="O760" s="9">
        <f>H760</f>
        <v>2.8799999999999999E-2</v>
      </c>
      <c r="P760" s="10">
        <f t="shared" si="21"/>
        <v>0</v>
      </c>
      <c r="Q760" s="10">
        <f>IF(K760=0,IF(A757=A760,AVERAGE(O757:O760),"x"),0)</f>
        <v>0</v>
      </c>
      <c r="R760" s="9">
        <f>IF(L760&gt;2005,AVERAGE(O757:O776),0)</f>
        <v>0</v>
      </c>
      <c r="S760" s="10">
        <f>IF(A760=A761,(N760-N761)/N761,0)</f>
        <v>0</v>
      </c>
      <c r="T760" s="10">
        <f>IF(L760&gt;2005,(((N760-N780)/N780)+1)^(1/5)-1,0)</f>
        <v>0</v>
      </c>
      <c r="U760" s="10">
        <f t="shared" si="22"/>
        <v>0</v>
      </c>
      <c r="V760" s="26">
        <f t="shared" si="23"/>
        <v>0</v>
      </c>
      <c r="W760" s="3">
        <f>IF(A760=A761,N760-N761,0)</f>
        <v>0</v>
      </c>
      <c r="X760" s="10">
        <f>IF(A760=A761,(N760-N761)/N761,0)</f>
        <v>0</v>
      </c>
    </row>
    <row r="761" spans="1:24" ht="16.5" customHeight="1">
      <c r="A761" s="3" t="s">
        <v>32</v>
      </c>
      <c r="B761" s="3">
        <f t="shared" si="16"/>
        <v>2016</v>
      </c>
      <c r="C761" s="3">
        <f t="shared" si="17"/>
        <v>8</v>
      </c>
      <c r="D761" s="20" t="str">
        <f t="shared" si="18"/>
        <v>BKH20168</v>
      </c>
      <c r="E761" s="2">
        <v>42598</v>
      </c>
      <c r="F761" s="3">
        <v>0.42</v>
      </c>
      <c r="G761" s="2">
        <v>42614</v>
      </c>
      <c r="H761" s="3">
        <v>2.8500000000000001E-2</v>
      </c>
      <c r="I761" s="3">
        <v>0</v>
      </c>
      <c r="J761" s="3">
        <v>0</v>
      </c>
      <c r="K761" s="3">
        <f t="shared" si="19"/>
        <v>2016</v>
      </c>
      <c r="L761" s="3">
        <f t="shared" si="20"/>
        <v>0</v>
      </c>
      <c r="M761" s="20" t="str">
        <f>A761&amp;L761</f>
        <v>BKH0</v>
      </c>
      <c r="N761" s="3">
        <f>F761</f>
        <v>0.42</v>
      </c>
      <c r="O761" s="9">
        <f>H761</f>
        <v>2.8500000000000001E-2</v>
      </c>
      <c r="P761" s="10">
        <f t="shared" si="21"/>
        <v>0</v>
      </c>
      <c r="Q761" s="10">
        <f>IF(K761=0,IF(A758=A761,AVERAGE(O758:O761),"x"),0)</f>
        <v>0</v>
      </c>
      <c r="R761" s="9">
        <f>IF(L761&gt;2005,AVERAGE(O758:O777),0)</f>
        <v>0</v>
      </c>
      <c r="S761" s="10">
        <f>IF(A761=A762,(N761-N762)/N762,0)</f>
        <v>0</v>
      </c>
      <c r="T761" s="10">
        <f>IF(L761&gt;2005,(((N761-N781)/N781)+1)^(1/5)-1,0)</f>
        <v>0</v>
      </c>
      <c r="U761" s="10">
        <f t="shared" si="22"/>
        <v>0</v>
      </c>
      <c r="V761" s="26">
        <f t="shared" si="23"/>
        <v>0</v>
      </c>
      <c r="W761" s="3">
        <f>IF(A761=A762,N761-N762,0)</f>
        <v>0</v>
      </c>
      <c r="X761" s="10">
        <f>IF(A761=A762,(N761-N762)/N762,0)</f>
        <v>0</v>
      </c>
    </row>
    <row r="762" spans="1:24" ht="16.5" customHeight="1">
      <c r="A762" s="3" t="s">
        <v>32</v>
      </c>
      <c r="B762" s="3">
        <f t="shared" si="16"/>
        <v>2016</v>
      </c>
      <c r="C762" s="3">
        <f t="shared" si="17"/>
        <v>5</v>
      </c>
      <c r="D762" s="20" t="str">
        <f t="shared" si="18"/>
        <v>BKH20165</v>
      </c>
      <c r="E762" s="2">
        <v>42506</v>
      </c>
      <c r="F762" s="3">
        <v>0.42</v>
      </c>
      <c r="G762" s="2">
        <v>42522</v>
      </c>
      <c r="H762" s="3">
        <v>2.7799999999999998E-2</v>
      </c>
      <c r="I762" s="3">
        <v>0</v>
      </c>
      <c r="J762" s="3">
        <v>0</v>
      </c>
      <c r="K762" s="3">
        <f t="shared" si="19"/>
        <v>2016</v>
      </c>
      <c r="L762" s="3">
        <f t="shared" si="20"/>
        <v>0</v>
      </c>
      <c r="M762" s="20" t="str">
        <f>A762&amp;L762</f>
        <v>BKH0</v>
      </c>
      <c r="N762" s="3">
        <f>F762</f>
        <v>0.42</v>
      </c>
      <c r="O762" s="9">
        <f>H762</f>
        <v>2.7799999999999998E-2</v>
      </c>
      <c r="P762" s="10">
        <f t="shared" si="21"/>
        <v>0</v>
      </c>
      <c r="Q762" s="10">
        <f>IF(K762=0,IF(A759=A762,AVERAGE(O759:O762),"x"),0)</f>
        <v>0</v>
      </c>
      <c r="R762" s="9">
        <f>IF(L762&gt;2005,AVERAGE(O759:O778),0)</f>
        <v>0</v>
      </c>
      <c r="S762" s="10">
        <f>IF(A762=A763,(N762-N763)/N763,0)</f>
        <v>0</v>
      </c>
      <c r="T762" s="10">
        <f>IF(L762&gt;2005,(((N762-N782)/N782)+1)^(1/5)-1,0)</f>
        <v>0</v>
      </c>
      <c r="U762" s="10">
        <f t="shared" si="22"/>
        <v>0</v>
      </c>
      <c r="V762" s="26">
        <f t="shared" si="23"/>
        <v>0</v>
      </c>
      <c r="W762" s="3">
        <f>IF(A762=A763,N762-N763,0)</f>
        <v>0</v>
      </c>
      <c r="X762" s="10">
        <f>IF(A762=A763,(N762-N763)/N763,0)</f>
        <v>0</v>
      </c>
    </row>
    <row r="763" spans="1:24" ht="16.5" customHeight="1">
      <c r="A763" s="3" t="s">
        <v>32</v>
      </c>
      <c r="B763" s="3">
        <f t="shared" si="16"/>
        <v>2016</v>
      </c>
      <c r="C763" s="3">
        <f t="shared" si="17"/>
        <v>2</v>
      </c>
      <c r="D763" s="20" t="str">
        <f t="shared" si="18"/>
        <v>BKH20162</v>
      </c>
      <c r="E763" s="2">
        <v>42411</v>
      </c>
      <c r="F763" s="3">
        <v>0.42</v>
      </c>
      <c r="G763" s="2">
        <v>42430</v>
      </c>
      <c r="H763" s="3">
        <v>3.1600000000000003E-2</v>
      </c>
      <c r="I763" s="3">
        <v>3.7037037000000002E-2</v>
      </c>
      <c r="J763" s="3">
        <v>1.4999999999999999E-2</v>
      </c>
      <c r="K763" s="3">
        <f t="shared" si="19"/>
        <v>0</v>
      </c>
      <c r="L763" s="3">
        <f t="shared" si="20"/>
        <v>2016</v>
      </c>
      <c r="M763" s="20" t="str">
        <f>A763&amp;L763</f>
        <v>BKH2016</v>
      </c>
      <c r="N763" s="3">
        <f>F763</f>
        <v>0.42</v>
      </c>
      <c r="O763" s="9">
        <f>H763</f>
        <v>3.1600000000000003E-2</v>
      </c>
      <c r="P763" s="10">
        <f t="shared" si="21"/>
        <v>3.49E-2</v>
      </c>
      <c r="Q763" s="10">
        <f>IF(K763=0,IF(A760=A763,AVERAGE(O760:O763),"x"),0)</f>
        <v>2.9175000000000003E-2</v>
      </c>
      <c r="R763" s="9">
        <f>IF(L763&gt;2005,AVERAGE(O760:O779),0)</f>
        <v>3.3465000000000009E-2</v>
      </c>
      <c r="S763" s="10">
        <f>IF(A763=A764,(N763-N764)/N764,0)</f>
        <v>3.7037037037036931E-2</v>
      </c>
      <c r="T763" s="10">
        <f>IF(L763&gt;2005,(((N763-N783)/N783)+1)^(1/5)-1,0)</f>
        <v>2.8469188070353812E-2</v>
      </c>
      <c r="U763" s="10">
        <f t="shared" si="22"/>
        <v>6.1934188070353821E-2</v>
      </c>
      <c r="V763" s="26">
        <f t="shared" si="23"/>
        <v>4.5466993729641967</v>
      </c>
      <c r="W763" s="3">
        <f>IF(A763=A764,N763-N764,0)</f>
        <v>1.4999999999999958E-2</v>
      </c>
      <c r="X763" s="10">
        <f>IF(A763=A764,(N763-N764)/N764,0)</f>
        <v>3.7037037037036931E-2</v>
      </c>
    </row>
    <row r="764" spans="1:24" ht="16.5" customHeight="1">
      <c r="A764" s="3" t="s">
        <v>32</v>
      </c>
      <c r="B764" s="3">
        <f t="shared" si="16"/>
        <v>2015</v>
      </c>
      <c r="C764" s="3">
        <f t="shared" si="17"/>
        <v>11</v>
      </c>
      <c r="D764" s="20" t="str">
        <f t="shared" si="18"/>
        <v>BKH201511</v>
      </c>
      <c r="E764" s="2">
        <v>42321</v>
      </c>
      <c r="F764" s="3">
        <v>0.40500000000000003</v>
      </c>
      <c r="G764" s="2">
        <v>42339</v>
      </c>
      <c r="H764" s="3">
        <v>3.6299999999999999E-2</v>
      </c>
      <c r="I764" s="3">
        <v>0</v>
      </c>
      <c r="J764" s="3">
        <v>0</v>
      </c>
      <c r="K764" s="3">
        <f t="shared" si="19"/>
        <v>2015</v>
      </c>
      <c r="L764" s="3">
        <f t="shared" si="20"/>
        <v>0</v>
      </c>
      <c r="M764" s="20" t="str">
        <f>A764&amp;L764</f>
        <v>BKH0</v>
      </c>
      <c r="N764" s="3">
        <f>F764</f>
        <v>0.40500000000000003</v>
      </c>
      <c r="O764" s="9">
        <f>H764</f>
        <v>3.6299999999999999E-2</v>
      </c>
      <c r="P764" s="10">
        <f t="shared" si="21"/>
        <v>0</v>
      </c>
      <c r="Q764" s="10">
        <f>IF(K764=0,IF(A761=A764,AVERAGE(O761:O764),"x"),0)</f>
        <v>0</v>
      </c>
      <c r="R764" s="9">
        <f>IF(L764&gt;2005,AVERAGE(O761:O780),0)</f>
        <v>0</v>
      </c>
      <c r="S764" s="10">
        <f>IF(A764=A765,(N764-N765)/N765,0)</f>
        <v>0</v>
      </c>
      <c r="T764" s="10">
        <f>IF(L764&gt;2005,(((N764-N784)/N784)+1)^(1/5)-1,0)</f>
        <v>0</v>
      </c>
      <c r="U764" s="10">
        <f t="shared" si="22"/>
        <v>0</v>
      </c>
      <c r="V764" s="26">
        <f t="shared" si="23"/>
        <v>0</v>
      </c>
      <c r="W764" s="3">
        <f>IF(A764=A765,N764-N765,0)</f>
        <v>0</v>
      </c>
      <c r="X764" s="10">
        <f>IF(A764=A765,(N764-N765)/N765,0)</f>
        <v>0</v>
      </c>
    </row>
    <row r="765" spans="1:24" ht="16.5" customHeight="1">
      <c r="A765" s="3" t="s">
        <v>32</v>
      </c>
      <c r="B765" s="3">
        <f t="shared" si="16"/>
        <v>2015</v>
      </c>
      <c r="C765" s="3">
        <f t="shared" si="17"/>
        <v>8</v>
      </c>
      <c r="D765" s="20" t="str">
        <f t="shared" si="18"/>
        <v>BKH20158</v>
      </c>
      <c r="E765" s="2">
        <v>42230</v>
      </c>
      <c r="F765" s="3">
        <v>0.40500000000000003</v>
      </c>
      <c r="G765" s="2">
        <v>42248</v>
      </c>
      <c r="H765" s="3">
        <v>3.7999999999999999E-2</v>
      </c>
      <c r="I765" s="3">
        <v>0</v>
      </c>
      <c r="J765" s="3">
        <v>0</v>
      </c>
      <c r="K765" s="3">
        <f t="shared" si="19"/>
        <v>2015</v>
      </c>
      <c r="L765" s="3">
        <f t="shared" si="20"/>
        <v>0</v>
      </c>
      <c r="M765" s="20" t="str">
        <f>A765&amp;L765</f>
        <v>BKH0</v>
      </c>
      <c r="N765" s="3">
        <f>F765</f>
        <v>0.40500000000000003</v>
      </c>
      <c r="O765" s="9">
        <f>H765</f>
        <v>3.7999999999999999E-2</v>
      </c>
      <c r="P765" s="10">
        <f t="shared" si="21"/>
        <v>0</v>
      </c>
      <c r="Q765" s="10">
        <f>IF(K765=0,IF(A762=A765,AVERAGE(O762:O765),"x"),0)</f>
        <v>0</v>
      </c>
      <c r="R765" s="9">
        <f>IF(L765&gt;2005,AVERAGE(O762:O781),0)</f>
        <v>0</v>
      </c>
      <c r="S765" s="10">
        <f>IF(A765=A766,(N765-N766)/N766,0)</f>
        <v>0</v>
      </c>
      <c r="T765" s="10">
        <f>IF(L765&gt;2005,(((N765-N785)/N785)+1)^(1/5)-1,0)</f>
        <v>0</v>
      </c>
      <c r="U765" s="10">
        <f t="shared" si="22"/>
        <v>0</v>
      </c>
      <c r="V765" s="26">
        <f t="shared" si="23"/>
        <v>0</v>
      </c>
      <c r="W765" s="3">
        <f>IF(A765=A766,N765-N766,0)</f>
        <v>0</v>
      </c>
      <c r="X765" s="10">
        <f>IF(A765=A766,(N765-N766)/N766,0)</f>
        <v>0</v>
      </c>
    </row>
    <row r="766" spans="1:24" ht="16.5" customHeight="1">
      <c r="A766" s="3" t="s">
        <v>32</v>
      </c>
      <c r="B766" s="3">
        <f t="shared" si="16"/>
        <v>2015</v>
      </c>
      <c r="C766" s="3">
        <f t="shared" si="17"/>
        <v>5</v>
      </c>
      <c r="D766" s="20" t="str">
        <f t="shared" si="18"/>
        <v>BKH20155</v>
      </c>
      <c r="E766" s="2">
        <v>42138</v>
      </c>
      <c r="F766" s="3">
        <v>0.40500000000000003</v>
      </c>
      <c r="G766" s="2">
        <v>42156</v>
      </c>
      <c r="H766" s="3">
        <v>3.3700000000000001E-2</v>
      </c>
      <c r="I766" s="3">
        <v>0</v>
      </c>
      <c r="J766" s="3">
        <v>0</v>
      </c>
      <c r="K766" s="3">
        <f t="shared" si="19"/>
        <v>2015</v>
      </c>
      <c r="L766" s="3">
        <f t="shared" si="20"/>
        <v>0</v>
      </c>
      <c r="M766" s="20" t="str">
        <f>A766&amp;L766</f>
        <v>BKH0</v>
      </c>
      <c r="N766" s="3">
        <f>F766</f>
        <v>0.40500000000000003</v>
      </c>
      <c r="O766" s="9">
        <f>H766</f>
        <v>3.3700000000000001E-2</v>
      </c>
      <c r="P766" s="10">
        <f t="shared" si="21"/>
        <v>0</v>
      </c>
      <c r="Q766" s="10">
        <f>IF(K766=0,IF(A763=A766,AVERAGE(O763:O766),"x"),0)</f>
        <v>0</v>
      </c>
      <c r="R766" s="9">
        <f>IF(L766&gt;2005,AVERAGE(O763:O782),0)</f>
        <v>0</v>
      </c>
      <c r="S766" s="10">
        <f>IF(A766=A767,(N766-N767)/N767,0)</f>
        <v>0</v>
      </c>
      <c r="T766" s="10">
        <f>IF(L766&gt;2005,(((N766-N786)/N786)+1)^(1/5)-1,0)</f>
        <v>0</v>
      </c>
      <c r="U766" s="10">
        <f t="shared" si="22"/>
        <v>0</v>
      </c>
      <c r="V766" s="26">
        <f t="shared" si="23"/>
        <v>0</v>
      </c>
      <c r="W766" s="3">
        <f>IF(A766=A767,N766-N767,0)</f>
        <v>0</v>
      </c>
      <c r="X766" s="10">
        <f>IF(A766=A767,(N766-N767)/N767,0)</f>
        <v>0</v>
      </c>
    </row>
    <row r="767" spans="1:24" ht="16.5" customHeight="1">
      <c r="A767" s="3" t="s">
        <v>32</v>
      </c>
      <c r="B767" s="3">
        <f t="shared" ref="B767:B1021" si="24">YEAR(E767)</f>
        <v>2015</v>
      </c>
      <c r="C767" s="3">
        <f t="shared" ref="C767:C1021" si="25">MONTH(E767)</f>
        <v>2</v>
      </c>
      <c r="D767" s="20" t="str">
        <f t="shared" ref="D767:D1021" si="26">A767&amp;B767&amp;C767</f>
        <v>BKH20152</v>
      </c>
      <c r="E767" s="2">
        <v>42046</v>
      </c>
      <c r="F767" s="3">
        <v>0.40500000000000003</v>
      </c>
      <c r="G767" s="2">
        <v>42064</v>
      </c>
      <c r="H767" s="3">
        <v>3.1099999999999999E-2</v>
      </c>
      <c r="I767" s="3">
        <v>3.8461538000000003E-2</v>
      </c>
      <c r="J767" s="3">
        <v>1.4999999999999999E-2</v>
      </c>
      <c r="K767" s="3">
        <f t="shared" ref="K767:K1021" si="27">IF(YEAR(E767)=YEAR(E768),YEAR(E767),0)</f>
        <v>0</v>
      </c>
      <c r="L767" s="3">
        <f t="shared" ref="L767:L1021" si="28">IF(K767=0,K766,0)</f>
        <v>2015</v>
      </c>
      <c r="M767" s="20" t="str">
        <f>A767&amp;L767</f>
        <v>BKH2015</v>
      </c>
      <c r="N767" s="3">
        <f>F767</f>
        <v>0.40500000000000003</v>
      </c>
      <c r="O767" s="9">
        <f>H767</f>
        <v>3.1099999999999999E-2</v>
      </c>
      <c r="P767" s="10">
        <f t="shared" ref="P767:P1021" si="29">IF(S767&gt;0,SUM(O767:O770)/4,0)</f>
        <v>2.9049999999999999E-2</v>
      </c>
      <c r="Q767" s="10">
        <f>IF(K767=0,IF(A764=A767,AVERAGE(O764:O767),"x"),0)</f>
        <v>3.4775E-2</v>
      </c>
      <c r="R767" s="9">
        <f>IF(L767&gt;2005,AVERAGE(O764:O783),0)</f>
        <v>3.6895000000000004E-2</v>
      </c>
      <c r="S767" s="10">
        <f>IF(A767=A768,(N767-N768)/N768,0)</f>
        <v>3.8461538461538491E-2</v>
      </c>
      <c r="T767" s="10">
        <f>IF(L767&gt;2005,(((N767-N787)/N787)+1)^(1/5)-1,0)</f>
        <v>2.3836255539609663E-2</v>
      </c>
      <c r="U767" s="10">
        <f t="shared" si="22"/>
        <v>6.0731255539609667E-2</v>
      </c>
      <c r="V767" s="26">
        <f t="shared" si="23"/>
        <v>4.501834985036254</v>
      </c>
      <c r="W767" s="3">
        <f>IF(A767=A768,N767-N768,0)</f>
        <v>1.5000000000000013E-2</v>
      </c>
      <c r="X767" s="10">
        <f>IF(A767=A768,(N767-N768)/N768,0)</f>
        <v>3.8461538461538491E-2</v>
      </c>
    </row>
    <row r="768" spans="1:24" ht="16.5" customHeight="1">
      <c r="A768" s="3" t="s">
        <v>32</v>
      </c>
      <c r="B768" s="3">
        <f t="shared" si="24"/>
        <v>2014</v>
      </c>
      <c r="C768" s="3">
        <f t="shared" si="25"/>
        <v>11</v>
      </c>
      <c r="D768" s="20" t="str">
        <f t="shared" si="26"/>
        <v>BKH201411</v>
      </c>
      <c r="E768" s="2">
        <v>41956</v>
      </c>
      <c r="F768" s="3">
        <v>0.39</v>
      </c>
      <c r="G768" s="2">
        <v>41974</v>
      </c>
      <c r="H768" s="3">
        <v>2.8000000000000001E-2</v>
      </c>
      <c r="I768" s="3">
        <v>0</v>
      </c>
      <c r="J768" s="3">
        <v>0</v>
      </c>
      <c r="K768" s="3">
        <f t="shared" si="27"/>
        <v>2014</v>
      </c>
      <c r="L768" s="3">
        <f t="shared" si="28"/>
        <v>0</v>
      </c>
      <c r="M768" s="20" t="str">
        <f>A768&amp;L768</f>
        <v>BKH0</v>
      </c>
      <c r="N768" s="3">
        <f>F768</f>
        <v>0.39</v>
      </c>
      <c r="O768" s="9">
        <f>H768</f>
        <v>2.8000000000000001E-2</v>
      </c>
      <c r="P768" s="10">
        <f t="shared" si="29"/>
        <v>0</v>
      </c>
      <c r="Q768" s="10">
        <f>IF(K768=0,IF(A765=A768,AVERAGE(O765:O768),"x"),0)</f>
        <v>0</v>
      </c>
      <c r="R768" s="9">
        <f>IF(L768&gt;2005,AVERAGE(O765:O784),0)</f>
        <v>0</v>
      </c>
      <c r="S768" s="10">
        <f>IF(A768=A769,(N768-N769)/N769,0)</f>
        <v>0</v>
      </c>
      <c r="T768" s="10">
        <f>IF(L768&gt;2005,(((N768-N788)/N788)+1)^(1/5)-1,0)</f>
        <v>0</v>
      </c>
      <c r="U768" s="10">
        <f t="shared" si="22"/>
        <v>0</v>
      </c>
      <c r="V768" s="26">
        <f t="shared" si="23"/>
        <v>0</v>
      </c>
      <c r="W768" s="3">
        <f>IF(A768=A769,N768-N769,0)</f>
        <v>0</v>
      </c>
      <c r="X768" s="10">
        <f>IF(A768=A769,(N768-N769)/N769,0)</f>
        <v>0</v>
      </c>
    </row>
    <row r="769" spans="1:24" ht="16.5" customHeight="1">
      <c r="A769" s="3" t="s">
        <v>32</v>
      </c>
      <c r="B769" s="3">
        <f t="shared" si="24"/>
        <v>2014</v>
      </c>
      <c r="C769" s="3">
        <f t="shared" si="25"/>
        <v>8</v>
      </c>
      <c r="D769" s="20" t="str">
        <f t="shared" si="26"/>
        <v>BKH20148</v>
      </c>
      <c r="E769" s="2">
        <v>41864</v>
      </c>
      <c r="F769" s="3">
        <v>0.39</v>
      </c>
      <c r="G769" s="2">
        <v>41883</v>
      </c>
      <c r="H769" s="3">
        <v>2.9899999999999999E-2</v>
      </c>
      <c r="I769" s="3">
        <v>0</v>
      </c>
      <c r="J769" s="3">
        <v>0</v>
      </c>
      <c r="K769" s="3">
        <f t="shared" si="27"/>
        <v>2014</v>
      </c>
      <c r="L769" s="3">
        <f t="shared" si="28"/>
        <v>0</v>
      </c>
      <c r="M769" s="20" t="str">
        <f>A769&amp;L769</f>
        <v>BKH0</v>
      </c>
      <c r="N769" s="3">
        <f>F769</f>
        <v>0.39</v>
      </c>
      <c r="O769" s="9">
        <f>H769</f>
        <v>2.9899999999999999E-2</v>
      </c>
      <c r="P769" s="10">
        <f t="shared" si="29"/>
        <v>0</v>
      </c>
      <c r="Q769" s="10">
        <f>IF(K769=0,IF(A766=A769,AVERAGE(O766:O769),"x"),0)</f>
        <v>0</v>
      </c>
      <c r="R769" s="9">
        <f>IF(L769&gt;2005,AVERAGE(O766:O785),0)</f>
        <v>0</v>
      </c>
      <c r="S769" s="10">
        <f>IF(A769=A770,(N769-N770)/N770,0)</f>
        <v>0</v>
      </c>
      <c r="T769" s="10">
        <f>IF(L769&gt;2005,(((N769-N789)/N789)+1)^(1/5)-1,0)</f>
        <v>0</v>
      </c>
      <c r="U769" s="10">
        <f t="shared" si="22"/>
        <v>0</v>
      </c>
      <c r="V769" s="26">
        <f t="shared" si="23"/>
        <v>0</v>
      </c>
      <c r="W769" s="3">
        <f>IF(A769=A770,N769-N770,0)</f>
        <v>0</v>
      </c>
      <c r="X769" s="10">
        <f>IF(A769=A770,(N769-N770)/N770,0)</f>
        <v>0</v>
      </c>
    </row>
    <row r="770" spans="1:24" ht="16.5" customHeight="1">
      <c r="A770" s="3" t="s">
        <v>32</v>
      </c>
      <c r="B770" s="3">
        <f t="shared" si="24"/>
        <v>2014</v>
      </c>
      <c r="C770" s="3">
        <f t="shared" si="25"/>
        <v>5</v>
      </c>
      <c r="D770" s="20" t="str">
        <f t="shared" si="26"/>
        <v>BKH20145</v>
      </c>
      <c r="E770" s="2">
        <v>41773</v>
      </c>
      <c r="F770" s="3">
        <v>0.39</v>
      </c>
      <c r="G770" s="2">
        <v>41791</v>
      </c>
      <c r="H770" s="3">
        <v>2.7199999999999998E-2</v>
      </c>
      <c r="I770" s="3">
        <v>0</v>
      </c>
      <c r="J770" s="3">
        <v>0</v>
      </c>
      <c r="K770" s="3">
        <f t="shared" si="27"/>
        <v>2014</v>
      </c>
      <c r="L770" s="3">
        <f t="shared" si="28"/>
        <v>0</v>
      </c>
      <c r="M770" s="20" t="str">
        <f>A770&amp;L770</f>
        <v>BKH0</v>
      </c>
      <c r="N770" s="3">
        <f>F770</f>
        <v>0.39</v>
      </c>
      <c r="O770" s="9">
        <f>H770</f>
        <v>2.7199999999999998E-2</v>
      </c>
      <c r="P770" s="10">
        <f t="shared" si="29"/>
        <v>0</v>
      </c>
      <c r="Q770" s="10">
        <f>IF(K770=0,IF(A767=A770,AVERAGE(O767:O770),"x"),0)</f>
        <v>0</v>
      </c>
      <c r="R770" s="9">
        <f>IF(L770&gt;2005,AVERAGE(O767:O786),0)</f>
        <v>0</v>
      </c>
      <c r="S770" s="10">
        <f>IF(A770=A771,(N770-N771)/N771,0)</f>
        <v>0</v>
      </c>
      <c r="T770" s="10">
        <f>IF(L770&gt;2005,(((N770-N790)/N790)+1)^(1/5)-1,0)</f>
        <v>0</v>
      </c>
      <c r="U770" s="10">
        <f t="shared" ref="U770:U1024" si="30">IF(T770&gt;0,R770+T770,0)</f>
        <v>0</v>
      </c>
      <c r="V770" s="26">
        <f t="shared" ref="V770:V1024" si="31">IF(U770&gt;0,(1+T770)*(1-((1+T770)/(1+U770))^5)/(U770-T770),0)</f>
        <v>0</v>
      </c>
      <c r="W770" s="3">
        <f>IF(A770=A771,N770-N771,0)</f>
        <v>0</v>
      </c>
      <c r="X770" s="10">
        <f>IF(A770=A771,(N770-N771)/N771,0)</f>
        <v>0</v>
      </c>
    </row>
    <row r="771" spans="1:24" ht="16.5" customHeight="1">
      <c r="A771" s="3" t="s">
        <v>32</v>
      </c>
      <c r="B771" s="3">
        <f t="shared" si="24"/>
        <v>2014</v>
      </c>
      <c r="C771" s="3">
        <f t="shared" si="25"/>
        <v>2</v>
      </c>
      <c r="D771" s="20" t="str">
        <f t="shared" si="26"/>
        <v>BKH20142</v>
      </c>
      <c r="E771" s="2">
        <v>41682</v>
      </c>
      <c r="F771" s="3">
        <v>0.39</v>
      </c>
      <c r="G771" s="2">
        <v>41699</v>
      </c>
      <c r="H771" s="3">
        <v>2.7699999999999999E-2</v>
      </c>
      <c r="I771" s="3">
        <v>2.6315788999999999E-2</v>
      </c>
      <c r="J771" s="3">
        <v>0.01</v>
      </c>
      <c r="K771" s="3">
        <f t="shared" si="27"/>
        <v>0</v>
      </c>
      <c r="L771" s="3">
        <f t="shared" si="28"/>
        <v>2014</v>
      </c>
      <c r="M771" s="20" t="str">
        <f>A771&amp;L771</f>
        <v>BKH2014</v>
      </c>
      <c r="N771" s="3">
        <f>F771</f>
        <v>0.39</v>
      </c>
      <c r="O771" s="9">
        <f>H771</f>
        <v>2.7699999999999999E-2</v>
      </c>
      <c r="P771" s="10">
        <f t="shared" si="29"/>
        <v>2.9025000000000002E-2</v>
      </c>
      <c r="Q771" s="10">
        <f>IF(K771=0,IF(A768=A771,AVERAGE(O768:O771),"x"),0)</f>
        <v>2.8199999999999999E-2</v>
      </c>
      <c r="R771" s="9">
        <f>IF(L771&gt;2005,AVERAGE(O768:O787),0)</f>
        <v>3.9635000000000004E-2</v>
      </c>
      <c r="S771" s="10">
        <f>IF(A771=A772,(N771-N772)/N772,0)</f>
        <v>2.6315789473684233E-2</v>
      </c>
      <c r="T771" s="10">
        <f>IF(L771&gt;2005,(((N771-N791)/N791)+1)^(1/5)-1,0)</f>
        <v>1.8983732497009909E-2</v>
      </c>
      <c r="U771" s="10">
        <f t="shared" si="30"/>
        <v>5.8618732497009912E-2</v>
      </c>
      <c r="V771" s="26">
        <f t="shared" si="31"/>
        <v>4.4656555313701389</v>
      </c>
      <c r="W771" s="3">
        <f>IF(A771=A772,N771-N772,0)</f>
        <v>1.0000000000000009E-2</v>
      </c>
      <c r="X771" s="10">
        <f>IF(A771=A772,(N771-N772)/N772,0)</f>
        <v>2.6315789473684233E-2</v>
      </c>
    </row>
    <row r="772" spans="1:24" ht="16.5" customHeight="1">
      <c r="A772" s="3" t="s">
        <v>32</v>
      </c>
      <c r="B772" s="3">
        <f t="shared" si="24"/>
        <v>2013</v>
      </c>
      <c r="C772" s="3">
        <f t="shared" si="25"/>
        <v>11</v>
      </c>
      <c r="D772" s="20" t="str">
        <f t="shared" si="26"/>
        <v>BKH201311</v>
      </c>
      <c r="E772" s="2">
        <v>41591</v>
      </c>
      <c r="F772" s="3">
        <v>0.38</v>
      </c>
      <c r="G772" s="2">
        <v>41609</v>
      </c>
      <c r="H772" s="3">
        <v>2.9499999999999998E-2</v>
      </c>
      <c r="I772" s="3">
        <v>0</v>
      </c>
      <c r="J772" s="3">
        <v>0</v>
      </c>
      <c r="K772" s="3">
        <f t="shared" si="27"/>
        <v>2013</v>
      </c>
      <c r="L772" s="3">
        <f t="shared" si="28"/>
        <v>0</v>
      </c>
      <c r="M772" s="20" t="str">
        <f>A772&amp;L772</f>
        <v>BKH0</v>
      </c>
      <c r="N772" s="3">
        <f>F772</f>
        <v>0.38</v>
      </c>
      <c r="O772" s="9">
        <f>H772</f>
        <v>2.9499999999999998E-2</v>
      </c>
      <c r="P772" s="10">
        <f t="shared" si="29"/>
        <v>0</v>
      </c>
      <c r="Q772" s="10">
        <f>IF(K772=0,IF(A769=A772,AVERAGE(O769:O772),"x"),0)</f>
        <v>0</v>
      </c>
      <c r="R772" s="9">
        <f>IF(L772&gt;2005,AVERAGE(O769:O788),0)</f>
        <v>0</v>
      </c>
      <c r="S772" s="10">
        <f>IF(A772=A773,(N772-N773)/N773,0)</f>
        <v>0</v>
      </c>
      <c r="T772" s="10">
        <f>IF(L772&gt;2005,(((N772-N792)/N792)+1)^(1/5)-1,0)</f>
        <v>0</v>
      </c>
      <c r="U772" s="10">
        <f t="shared" si="30"/>
        <v>0</v>
      </c>
      <c r="V772" s="26">
        <f t="shared" si="31"/>
        <v>0</v>
      </c>
      <c r="W772" s="3">
        <f>IF(A772=A773,N772-N773,0)</f>
        <v>0</v>
      </c>
      <c r="X772" s="10">
        <f>IF(A772=A773,(N772-N773)/N773,0)</f>
        <v>0</v>
      </c>
    </row>
    <row r="773" spans="1:24" ht="16.5" customHeight="1">
      <c r="A773" s="3" t="s">
        <v>32</v>
      </c>
      <c r="B773" s="3">
        <f t="shared" si="24"/>
        <v>2013</v>
      </c>
      <c r="C773" s="3">
        <f t="shared" si="25"/>
        <v>8</v>
      </c>
      <c r="D773" s="20" t="str">
        <f t="shared" si="26"/>
        <v>BKH20138</v>
      </c>
      <c r="E773" s="2">
        <v>41500</v>
      </c>
      <c r="F773" s="3">
        <v>0.38</v>
      </c>
      <c r="G773" s="2">
        <v>41518</v>
      </c>
      <c r="H773" s="3">
        <v>2.86E-2</v>
      </c>
      <c r="I773" s="3">
        <v>0</v>
      </c>
      <c r="J773" s="3">
        <v>0</v>
      </c>
      <c r="K773" s="3">
        <f t="shared" si="27"/>
        <v>2013</v>
      </c>
      <c r="L773" s="3">
        <f t="shared" si="28"/>
        <v>0</v>
      </c>
      <c r="M773" s="20" t="str">
        <f>A773&amp;L773</f>
        <v>BKH0</v>
      </c>
      <c r="N773" s="3">
        <f>F773</f>
        <v>0.38</v>
      </c>
      <c r="O773" s="9">
        <f>H773</f>
        <v>2.86E-2</v>
      </c>
      <c r="P773" s="10">
        <f t="shared" si="29"/>
        <v>0</v>
      </c>
      <c r="Q773" s="10">
        <f>IF(K773=0,IF(A770=A773,AVERAGE(O770:O773),"x"),0)</f>
        <v>0</v>
      </c>
      <c r="R773" s="9">
        <f>IF(L773&gt;2005,AVERAGE(O770:O789),0)</f>
        <v>0</v>
      </c>
      <c r="S773" s="10">
        <f>IF(A773=A774,(N773-N774)/N774,0)</f>
        <v>0</v>
      </c>
      <c r="T773" s="10">
        <f>IF(L773&gt;2005,(((N773-N793)/N793)+1)^(1/5)-1,0)</f>
        <v>0</v>
      </c>
      <c r="U773" s="10">
        <f t="shared" si="30"/>
        <v>0</v>
      </c>
      <c r="V773" s="26">
        <f t="shared" si="31"/>
        <v>0</v>
      </c>
      <c r="W773" s="3">
        <f>IF(A773=A774,N773-N774,0)</f>
        <v>0</v>
      </c>
      <c r="X773" s="10">
        <f>IF(A773=A774,(N773-N774)/N774,0)</f>
        <v>0</v>
      </c>
    </row>
    <row r="774" spans="1:24" ht="16.5" customHeight="1">
      <c r="A774" s="3" t="s">
        <v>32</v>
      </c>
      <c r="B774" s="3">
        <f t="shared" si="24"/>
        <v>2013</v>
      </c>
      <c r="C774" s="3">
        <f t="shared" si="25"/>
        <v>5</v>
      </c>
      <c r="D774" s="20" t="str">
        <f t="shared" si="26"/>
        <v>BKH20135</v>
      </c>
      <c r="E774" s="2">
        <v>41409</v>
      </c>
      <c r="F774" s="3">
        <v>0.38</v>
      </c>
      <c r="G774" s="2">
        <v>41426</v>
      </c>
      <c r="H774" s="3">
        <v>3.0300000000000001E-2</v>
      </c>
      <c r="I774" s="3">
        <v>0</v>
      </c>
      <c r="J774" s="3">
        <v>0</v>
      </c>
      <c r="K774" s="3">
        <f t="shared" si="27"/>
        <v>2013</v>
      </c>
      <c r="L774" s="3">
        <f t="shared" si="28"/>
        <v>0</v>
      </c>
      <c r="M774" s="20" t="str">
        <f>A774&amp;L774</f>
        <v>BKH0</v>
      </c>
      <c r="N774" s="3">
        <f>F774</f>
        <v>0.38</v>
      </c>
      <c r="O774" s="9">
        <f>H774</f>
        <v>3.0300000000000001E-2</v>
      </c>
      <c r="P774" s="10">
        <f t="shared" si="29"/>
        <v>0</v>
      </c>
      <c r="Q774" s="10">
        <f>IF(K774=0,IF(A771=A774,AVERAGE(O771:O774),"x"),0)</f>
        <v>0</v>
      </c>
      <c r="R774" s="9">
        <f>IF(L774&gt;2005,AVERAGE(O771:O790),0)</f>
        <v>0</v>
      </c>
      <c r="S774" s="10">
        <f>IF(A774=A775,(N774-N775)/N775,0)</f>
        <v>0</v>
      </c>
      <c r="T774" s="10">
        <f>IF(L774&gt;2005,(((N774-N794)/N794)+1)^(1/5)-1,0)</f>
        <v>0</v>
      </c>
      <c r="U774" s="10">
        <f t="shared" si="30"/>
        <v>0</v>
      </c>
      <c r="V774" s="26">
        <f t="shared" si="31"/>
        <v>0</v>
      </c>
      <c r="W774" s="3">
        <f>IF(A774=A775,N774-N775,0)</f>
        <v>0</v>
      </c>
      <c r="X774" s="10">
        <f>IF(A774=A775,(N774-N775)/N775,0)</f>
        <v>0</v>
      </c>
    </row>
    <row r="775" spans="1:24" ht="16.5" customHeight="1">
      <c r="A775" s="3" t="s">
        <v>32</v>
      </c>
      <c r="B775" s="3">
        <f t="shared" si="24"/>
        <v>2013</v>
      </c>
      <c r="C775" s="3">
        <f t="shared" si="25"/>
        <v>2</v>
      </c>
      <c r="D775" s="20" t="str">
        <f t="shared" si="26"/>
        <v>BKH20132</v>
      </c>
      <c r="E775" s="2">
        <v>41318</v>
      </c>
      <c r="F775" s="3">
        <v>0.38</v>
      </c>
      <c r="G775" s="2">
        <v>41334</v>
      </c>
      <c r="H775" s="3">
        <v>3.61E-2</v>
      </c>
      <c r="I775" s="3">
        <v>2.7027026999999999E-2</v>
      </c>
      <c r="J775" s="3">
        <v>0.01</v>
      </c>
      <c r="K775" s="3">
        <f t="shared" si="27"/>
        <v>0</v>
      </c>
      <c r="L775" s="3">
        <f t="shared" si="28"/>
        <v>2013</v>
      </c>
      <c r="M775" s="20" t="str">
        <f>A775&amp;L775</f>
        <v>BKH2013</v>
      </c>
      <c r="N775" s="3">
        <f>F775</f>
        <v>0.38</v>
      </c>
      <c r="O775" s="9">
        <f>H775</f>
        <v>3.61E-2</v>
      </c>
      <c r="P775" s="10">
        <f t="shared" si="29"/>
        <v>4.2574999999999995E-2</v>
      </c>
      <c r="Q775" s="10">
        <f>IF(K775=0,IF(A772=A775,AVERAGE(O772:O775),"x"),0)</f>
        <v>3.1125E-2</v>
      </c>
      <c r="R775" s="9">
        <f>IF(L775&gt;2005,AVERAGE(O772:O791),0)</f>
        <v>4.6200000000000005E-2</v>
      </c>
      <c r="S775" s="10">
        <f>IF(A775=A776,(N775-N776)/N776,0)</f>
        <v>2.7027027027027053E-2</v>
      </c>
      <c r="T775" s="10">
        <f>IF(L775&gt;2005,(((N775-N795)/N795)+1)^(1/5)-1,0)</f>
        <v>1.6583626382627337E-2</v>
      </c>
      <c r="U775" s="10">
        <f t="shared" si="30"/>
        <v>6.2783626382627342E-2</v>
      </c>
      <c r="V775" s="26">
        <f t="shared" si="31"/>
        <v>4.3845219553437191</v>
      </c>
      <c r="W775" s="3">
        <f>IF(A775=A776,N775-N776,0)</f>
        <v>1.0000000000000009E-2</v>
      </c>
      <c r="X775" s="10">
        <f>IF(A775=A776,(N775-N776)/N776,0)</f>
        <v>2.7027027027027053E-2</v>
      </c>
    </row>
    <row r="776" spans="1:24" ht="16.5" customHeight="1">
      <c r="A776" s="3" t="s">
        <v>32</v>
      </c>
      <c r="B776" s="3">
        <f t="shared" si="24"/>
        <v>2012</v>
      </c>
      <c r="C776" s="3">
        <f t="shared" si="25"/>
        <v>11</v>
      </c>
      <c r="D776" s="20" t="str">
        <f t="shared" si="26"/>
        <v>BKH201211</v>
      </c>
      <c r="E776" s="2">
        <v>41227</v>
      </c>
      <c r="F776" s="3">
        <v>0.37</v>
      </c>
      <c r="G776" s="2">
        <v>41244</v>
      </c>
      <c r="H776" s="3">
        <v>4.2799999999999998E-2</v>
      </c>
      <c r="I776" s="3">
        <v>0</v>
      </c>
      <c r="J776" s="3">
        <v>0</v>
      </c>
      <c r="K776" s="3">
        <f t="shared" si="27"/>
        <v>2012</v>
      </c>
      <c r="L776" s="3">
        <f t="shared" si="28"/>
        <v>0</v>
      </c>
      <c r="M776" s="20" t="str">
        <f>A776&amp;L776</f>
        <v>BKH0</v>
      </c>
      <c r="N776" s="3">
        <f>F776</f>
        <v>0.37</v>
      </c>
      <c r="O776" s="9">
        <f>H776</f>
        <v>4.2799999999999998E-2</v>
      </c>
      <c r="P776" s="10">
        <f t="shared" si="29"/>
        <v>0</v>
      </c>
      <c r="Q776" s="10">
        <f>IF(K776=0,IF(A773=A776,AVERAGE(O773:O776),"x"),0)</f>
        <v>0</v>
      </c>
      <c r="R776" s="9">
        <f>IF(L776&gt;2005,AVERAGE(O773:O792),0)</f>
        <v>0</v>
      </c>
      <c r="S776" s="10">
        <f>IF(A776=A777,(N776-N777)/N777,0)</f>
        <v>0</v>
      </c>
      <c r="T776" s="10">
        <f>IF(L776&gt;2005,(((N776-N796)/N796)+1)^(1/5)-1,0)</f>
        <v>0</v>
      </c>
      <c r="U776" s="10">
        <f t="shared" si="30"/>
        <v>0</v>
      </c>
      <c r="V776" s="26">
        <f t="shared" si="31"/>
        <v>0</v>
      </c>
      <c r="W776" s="3">
        <f>IF(A776=A777,N776-N777,0)</f>
        <v>0</v>
      </c>
      <c r="X776" s="10">
        <f>IF(A776=A777,(N776-N777)/N777,0)</f>
        <v>0</v>
      </c>
    </row>
    <row r="777" spans="1:24" ht="16.5" customHeight="1">
      <c r="A777" s="3" t="s">
        <v>32</v>
      </c>
      <c r="B777" s="3">
        <f t="shared" si="24"/>
        <v>2012</v>
      </c>
      <c r="C777" s="3">
        <f t="shared" si="25"/>
        <v>8</v>
      </c>
      <c r="D777" s="20" t="str">
        <f t="shared" si="26"/>
        <v>BKH20128</v>
      </c>
      <c r="E777" s="2">
        <v>41136</v>
      </c>
      <c r="F777" s="3">
        <v>0.37</v>
      </c>
      <c r="G777" s="2">
        <v>41153</v>
      </c>
      <c r="H777" s="3">
        <v>4.6199999999999998E-2</v>
      </c>
      <c r="I777" s="3">
        <v>0</v>
      </c>
      <c r="J777" s="3">
        <v>0</v>
      </c>
      <c r="K777" s="3">
        <f t="shared" si="27"/>
        <v>2012</v>
      </c>
      <c r="L777" s="3">
        <f t="shared" si="28"/>
        <v>0</v>
      </c>
      <c r="M777" s="20" t="str">
        <f>A777&amp;L777</f>
        <v>BKH0</v>
      </c>
      <c r="N777" s="3">
        <f>F777</f>
        <v>0.37</v>
      </c>
      <c r="O777" s="9">
        <f>H777</f>
        <v>4.6199999999999998E-2</v>
      </c>
      <c r="P777" s="10">
        <f t="shared" si="29"/>
        <v>0</v>
      </c>
      <c r="Q777" s="10">
        <f>IF(K777=0,IF(A774=A777,AVERAGE(O774:O777),"x"),0)</f>
        <v>0</v>
      </c>
      <c r="R777" s="9">
        <f>IF(L777&gt;2005,AVERAGE(O774:O793),0)</f>
        <v>0</v>
      </c>
      <c r="S777" s="10">
        <f>IF(A777=A778,(N777-N778)/N778,0)</f>
        <v>0</v>
      </c>
      <c r="T777" s="10">
        <f>IF(L777&gt;2005,(((N777-N797)/N797)+1)^(1/5)-1,0)</f>
        <v>0</v>
      </c>
      <c r="U777" s="10">
        <f t="shared" si="30"/>
        <v>0</v>
      </c>
      <c r="V777" s="26">
        <f t="shared" si="31"/>
        <v>0</v>
      </c>
      <c r="W777" s="3">
        <f>IF(A777=A778,N777-N778,0)</f>
        <v>0</v>
      </c>
      <c r="X777" s="10">
        <f>IF(A777=A778,(N777-N778)/N778,0)</f>
        <v>0</v>
      </c>
    </row>
    <row r="778" spans="1:24" ht="16.5" customHeight="1">
      <c r="A778" s="3" t="s">
        <v>32</v>
      </c>
      <c r="B778" s="3">
        <f t="shared" si="24"/>
        <v>2012</v>
      </c>
      <c r="C778" s="3">
        <f t="shared" si="25"/>
        <v>5</v>
      </c>
      <c r="D778" s="20" t="str">
        <f t="shared" si="26"/>
        <v>BKH20125</v>
      </c>
      <c r="E778" s="2">
        <v>41045</v>
      </c>
      <c r="F778" s="3">
        <v>0.37</v>
      </c>
      <c r="G778" s="2">
        <v>41061</v>
      </c>
      <c r="H778" s="3">
        <v>4.5199999999999997E-2</v>
      </c>
      <c r="I778" s="3">
        <v>0</v>
      </c>
      <c r="J778" s="3">
        <v>0</v>
      </c>
      <c r="K778" s="3">
        <f t="shared" si="27"/>
        <v>2012</v>
      </c>
      <c r="L778" s="3">
        <f t="shared" si="28"/>
        <v>0</v>
      </c>
      <c r="M778" s="20" t="str">
        <f>A778&amp;L778</f>
        <v>BKH0</v>
      </c>
      <c r="N778" s="3">
        <f>F778</f>
        <v>0.37</v>
      </c>
      <c r="O778" s="9">
        <f>H778</f>
        <v>4.5199999999999997E-2</v>
      </c>
      <c r="P778" s="10">
        <f t="shared" si="29"/>
        <v>0</v>
      </c>
      <c r="Q778" s="10">
        <f>IF(K778=0,IF(A775=A778,AVERAGE(O775:O778),"x"),0)</f>
        <v>0</v>
      </c>
      <c r="R778" s="9">
        <f>IF(L778&gt;2005,AVERAGE(O775:O794),0)</f>
        <v>0</v>
      </c>
      <c r="S778" s="10">
        <f>IF(A778=A779,(N778-N779)/N779,0)</f>
        <v>0</v>
      </c>
      <c r="T778" s="10">
        <f>IF(L778&gt;2005,(((N778-N798)/N798)+1)^(1/5)-1,0)</f>
        <v>0</v>
      </c>
      <c r="U778" s="10">
        <f t="shared" si="30"/>
        <v>0</v>
      </c>
      <c r="V778" s="26">
        <f t="shared" si="31"/>
        <v>0</v>
      </c>
      <c r="W778" s="3">
        <f>IF(A778=A779,N778-N779,0)</f>
        <v>0</v>
      </c>
      <c r="X778" s="10">
        <f>IF(A778=A779,(N778-N779)/N779,0)</f>
        <v>0</v>
      </c>
    </row>
    <row r="779" spans="1:24" ht="16.5" customHeight="1">
      <c r="A779" s="3" t="s">
        <v>32</v>
      </c>
      <c r="B779" s="3">
        <f t="shared" si="24"/>
        <v>2012</v>
      </c>
      <c r="C779" s="3">
        <f t="shared" si="25"/>
        <v>2</v>
      </c>
      <c r="D779" s="20" t="str">
        <f t="shared" si="26"/>
        <v>BKH20122</v>
      </c>
      <c r="E779" s="2">
        <v>40953</v>
      </c>
      <c r="F779" s="3">
        <v>0.37</v>
      </c>
      <c r="G779" s="2">
        <v>40969</v>
      </c>
      <c r="H779" s="3">
        <v>4.2000000000000003E-2</v>
      </c>
      <c r="I779" s="3">
        <v>1.369863E-2</v>
      </c>
      <c r="J779" s="3">
        <v>5.0000000000000001E-3</v>
      </c>
      <c r="K779" s="3">
        <f t="shared" si="27"/>
        <v>0</v>
      </c>
      <c r="L779" s="3">
        <f t="shared" si="28"/>
        <v>2012</v>
      </c>
      <c r="M779" s="20" t="str">
        <f>A779&amp;L779</f>
        <v>BKH2012</v>
      </c>
      <c r="N779" s="3">
        <f>F779</f>
        <v>0.37</v>
      </c>
      <c r="O779" s="9">
        <f>H779</f>
        <v>4.2000000000000003E-2</v>
      </c>
      <c r="P779" s="10">
        <f t="shared" si="29"/>
        <v>4.5075000000000004E-2</v>
      </c>
      <c r="Q779" s="10">
        <f>IF(K779=0,IF(A776=A779,AVERAGE(O776:O779),"x"),0)</f>
        <v>4.4049999999999999E-2</v>
      </c>
      <c r="R779" s="9">
        <f>IF(L779&gt;2005,AVERAGE(O776:O795),0)</f>
        <v>4.8495000000000003E-2</v>
      </c>
      <c r="S779" s="10">
        <f>IF(A779=A780,(N779-N780)/N780,0)</f>
        <v>1.3698630136986314E-2</v>
      </c>
      <c r="T779" s="10">
        <f>IF(L779&gt;2005,(((N779-N799)/N799)+1)^(1/5)-1,0)</f>
        <v>1.7055286171035355E-2</v>
      </c>
      <c r="U779" s="10">
        <f t="shared" si="30"/>
        <v>6.5550286171035366E-2</v>
      </c>
      <c r="V779" s="26">
        <f t="shared" si="31"/>
        <v>4.3573623694175341</v>
      </c>
      <c r="W779" s="3">
        <f>IF(A779=A780,N779-N780,0)</f>
        <v>5.0000000000000044E-3</v>
      </c>
      <c r="X779" s="10">
        <f>IF(A779=A780,(N779-N780)/N780,0)</f>
        <v>1.3698630136986314E-2</v>
      </c>
    </row>
    <row r="780" spans="1:24" ht="16.5" customHeight="1">
      <c r="A780" s="3" t="s">
        <v>32</v>
      </c>
      <c r="B780" s="3">
        <f t="shared" si="24"/>
        <v>2011</v>
      </c>
      <c r="C780" s="3">
        <f t="shared" si="25"/>
        <v>11</v>
      </c>
      <c r="D780" s="20" t="str">
        <f t="shared" si="26"/>
        <v>BKH201111</v>
      </c>
      <c r="E780" s="2">
        <v>40862</v>
      </c>
      <c r="F780" s="3">
        <v>0.36499999999999999</v>
      </c>
      <c r="G780" s="2">
        <v>40878</v>
      </c>
      <c r="H780" s="3">
        <v>4.41E-2</v>
      </c>
      <c r="I780" s="3">
        <v>0</v>
      </c>
      <c r="J780" s="3">
        <v>0</v>
      </c>
      <c r="K780" s="3">
        <f t="shared" si="27"/>
        <v>2011</v>
      </c>
      <c r="L780" s="3">
        <f t="shared" si="28"/>
        <v>0</v>
      </c>
      <c r="M780" s="20" t="str">
        <f>A780&amp;L780</f>
        <v>BKH0</v>
      </c>
      <c r="N780" s="3">
        <f>F780</f>
        <v>0.36499999999999999</v>
      </c>
      <c r="O780" s="9">
        <f>H780</f>
        <v>4.41E-2</v>
      </c>
      <c r="P780" s="10">
        <f t="shared" si="29"/>
        <v>0</v>
      </c>
      <c r="Q780" s="10">
        <f>IF(K780=0,IF(A777=A780,AVERAGE(O777:O780),"x"),0)</f>
        <v>0</v>
      </c>
      <c r="R780" s="9">
        <f>IF(L780&gt;2005,AVERAGE(O777:O796),0)</f>
        <v>0</v>
      </c>
      <c r="S780" s="10">
        <f>IF(A780=A781,(N780-N781)/N781,0)</f>
        <v>0</v>
      </c>
      <c r="T780" s="10">
        <f>IF(L780&gt;2005,(((N780-N800)/N800)+1)^(1/5)-1,0)</f>
        <v>0</v>
      </c>
      <c r="U780" s="10">
        <f t="shared" si="30"/>
        <v>0</v>
      </c>
      <c r="V780" s="26">
        <f t="shared" si="31"/>
        <v>0</v>
      </c>
      <c r="W780" s="3">
        <f>IF(A780=A781,N780-N781,0)</f>
        <v>0</v>
      </c>
      <c r="X780" s="10">
        <f>IF(A780=A781,(N780-N781)/N781,0)</f>
        <v>0</v>
      </c>
    </row>
    <row r="781" spans="1:24" ht="16.5" customHeight="1">
      <c r="A781" s="3" t="s">
        <v>32</v>
      </c>
      <c r="B781" s="3">
        <f t="shared" si="24"/>
        <v>2011</v>
      </c>
      <c r="C781" s="3">
        <f t="shared" si="25"/>
        <v>8</v>
      </c>
      <c r="D781" s="20" t="str">
        <f t="shared" si="26"/>
        <v>BKH20118</v>
      </c>
      <c r="E781" s="2">
        <v>40771</v>
      </c>
      <c r="F781" s="3">
        <v>0.36499999999999999</v>
      </c>
      <c r="G781" s="2">
        <v>40787</v>
      </c>
      <c r="H781" s="3">
        <v>4.8399999999999999E-2</v>
      </c>
      <c r="I781" s="3">
        <v>0</v>
      </c>
      <c r="J781" s="3">
        <v>0</v>
      </c>
      <c r="K781" s="3">
        <f t="shared" si="27"/>
        <v>2011</v>
      </c>
      <c r="L781" s="3">
        <f t="shared" si="28"/>
        <v>0</v>
      </c>
      <c r="M781" s="20" t="str">
        <f>A781&amp;L781</f>
        <v>BKH0</v>
      </c>
      <c r="N781" s="3">
        <f>F781</f>
        <v>0.36499999999999999</v>
      </c>
      <c r="O781" s="9">
        <f>H781</f>
        <v>4.8399999999999999E-2</v>
      </c>
      <c r="P781" s="10">
        <f t="shared" si="29"/>
        <v>0</v>
      </c>
      <c r="Q781" s="10">
        <f>IF(K781=0,IF(A778=A781,AVERAGE(O778:O781),"x"),0)</f>
        <v>0</v>
      </c>
      <c r="R781" s="9">
        <f>IF(L781&gt;2005,AVERAGE(O778:O797),0)</f>
        <v>0</v>
      </c>
      <c r="S781" s="10">
        <f>IF(A781=A782,(N781-N782)/N782,0)</f>
        <v>0</v>
      </c>
      <c r="T781" s="10">
        <f>IF(L781&gt;2005,(((N781-N801)/N801)+1)^(1/5)-1,0)</f>
        <v>0</v>
      </c>
      <c r="U781" s="10">
        <f t="shared" si="30"/>
        <v>0</v>
      </c>
      <c r="V781" s="26">
        <f t="shared" si="31"/>
        <v>0</v>
      </c>
      <c r="W781" s="3">
        <f>IF(A781=A782,N781-N782,0)</f>
        <v>0</v>
      </c>
      <c r="X781" s="10">
        <f>IF(A781=A782,(N781-N782)/N782,0)</f>
        <v>0</v>
      </c>
    </row>
    <row r="782" spans="1:24" ht="16.5" customHeight="1">
      <c r="A782" s="3" t="s">
        <v>32</v>
      </c>
      <c r="B782" s="3">
        <f t="shared" si="24"/>
        <v>2011</v>
      </c>
      <c r="C782" s="3">
        <f t="shared" si="25"/>
        <v>5</v>
      </c>
      <c r="D782" s="20" t="str">
        <f t="shared" si="26"/>
        <v>BKH20115</v>
      </c>
      <c r="E782" s="2">
        <v>40679</v>
      </c>
      <c r="F782" s="3">
        <v>0.36499999999999999</v>
      </c>
      <c r="G782" s="2">
        <v>40695</v>
      </c>
      <c r="H782" s="3">
        <v>4.58E-2</v>
      </c>
      <c r="I782" s="3">
        <v>0</v>
      </c>
      <c r="J782" s="3">
        <v>0</v>
      </c>
      <c r="K782" s="3">
        <f t="shared" si="27"/>
        <v>2011</v>
      </c>
      <c r="L782" s="3">
        <f t="shared" si="28"/>
        <v>0</v>
      </c>
      <c r="M782" s="20" t="str">
        <f>A782&amp;L782</f>
        <v>BKH0</v>
      </c>
      <c r="N782" s="3">
        <f>F782</f>
        <v>0.36499999999999999</v>
      </c>
      <c r="O782" s="9">
        <f>H782</f>
        <v>4.58E-2</v>
      </c>
      <c r="P782" s="10">
        <f t="shared" si="29"/>
        <v>0</v>
      </c>
      <c r="Q782" s="10">
        <f>IF(K782=0,IF(A779=A782,AVERAGE(O779:O782),"x"),0)</f>
        <v>0</v>
      </c>
      <c r="R782" s="9">
        <f>IF(L782&gt;2005,AVERAGE(O779:O798),0)</f>
        <v>0</v>
      </c>
      <c r="S782" s="10">
        <f>IF(A782=A783,(N782-N783)/N783,0)</f>
        <v>0</v>
      </c>
      <c r="T782" s="10">
        <f>IF(L782&gt;2005,(((N782-N802)/N802)+1)^(1/5)-1,0)</f>
        <v>0</v>
      </c>
      <c r="U782" s="10">
        <f t="shared" si="30"/>
        <v>0</v>
      </c>
      <c r="V782" s="26">
        <f t="shared" si="31"/>
        <v>0</v>
      </c>
      <c r="W782" s="3">
        <f>IF(A782=A783,N782-N783,0)</f>
        <v>0</v>
      </c>
      <c r="X782" s="10">
        <f>IF(A782=A783,(N782-N783)/N783,0)</f>
        <v>0</v>
      </c>
    </row>
    <row r="783" spans="1:24" ht="16.5" customHeight="1">
      <c r="A783" s="3" t="s">
        <v>32</v>
      </c>
      <c r="B783" s="3">
        <f t="shared" si="24"/>
        <v>2011</v>
      </c>
      <c r="C783" s="3">
        <f t="shared" si="25"/>
        <v>2</v>
      </c>
      <c r="D783" s="20" t="str">
        <f t="shared" si="26"/>
        <v>BKH20112</v>
      </c>
      <c r="E783" s="2">
        <v>40585</v>
      </c>
      <c r="F783" s="3">
        <v>0.36499999999999999</v>
      </c>
      <c r="G783" s="2">
        <v>40603</v>
      </c>
      <c r="H783" s="3">
        <v>4.7E-2</v>
      </c>
      <c r="I783" s="3">
        <v>1.3888889E-2</v>
      </c>
      <c r="J783" s="3">
        <v>5.0000000000000001E-3</v>
      </c>
      <c r="K783" s="3">
        <f t="shared" si="27"/>
        <v>0</v>
      </c>
      <c r="L783" s="3">
        <f t="shared" si="28"/>
        <v>2011</v>
      </c>
      <c r="M783" s="20" t="str">
        <f>A783&amp;L783</f>
        <v>BKH2011</v>
      </c>
      <c r="N783" s="3">
        <f>F783</f>
        <v>0.36499999999999999</v>
      </c>
      <c r="O783" s="9">
        <f>H783</f>
        <v>4.7E-2</v>
      </c>
      <c r="P783" s="10">
        <f t="shared" si="29"/>
        <v>4.6725000000000003E-2</v>
      </c>
      <c r="Q783" s="10">
        <f>IF(K783=0,IF(A780=A783,AVERAGE(O780:O783),"x"),0)</f>
        <v>4.6325000000000005E-2</v>
      </c>
      <c r="R783" s="9">
        <f>IF(L783&gt;2005,AVERAGE(O780:O799),0)</f>
        <v>4.6294999999999996E-2</v>
      </c>
      <c r="S783" s="10">
        <f>IF(A783=A784,(N783-N784)/N784,0)</f>
        <v>1.3888888888888902E-2</v>
      </c>
      <c r="T783" s="10">
        <f>IF(L783&gt;2005,(((N783-N803)/N803)+1)^(1/5)-1,0)</f>
        <v>2.0365544264411506E-2</v>
      </c>
      <c r="U783" s="10">
        <f t="shared" si="30"/>
        <v>6.6660544264411509E-2</v>
      </c>
      <c r="V783" s="26">
        <f t="shared" si="31"/>
        <v>4.3854419560139908</v>
      </c>
      <c r="W783" s="3">
        <f>IF(A783=A784,N783-N784,0)</f>
        <v>5.0000000000000044E-3</v>
      </c>
      <c r="X783" s="10">
        <f>IF(A783=A784,(N783-N784)/N784,0)</f>
        <v>1.3888888888888902E-2</v>
      </c>
    </row>
    <row r="784" spans="1:24" ht="16.5" customHeight="1">
      <c r="A784" s="3" t="s">
        <v>32</v>
      </c>
      <c r="B784" s="3">
        <f t="shared" si="24"/>
        <v>2010</v>
      </c>
      <c r="C784" s="3">
        <f t="shared" si="25"/>
        <v>11</v>
      </c>
      <c r="D784" s="20" t="str">
        <f t="shared" si="26"/>
        <v>BKH201011</v>
      </c>
      <c r="E784" s="2">
        <v>40497</v>
      </c>
      <c r="F784" s="3">
        <v>0.36</v>
      </c>
      <c r="G784" s="2">
        <v>40513</v>
      </c>
      <c r="H784" s="3">
        <v>4.8500000000000001E-2</v>
      </c>
      <c r="I784" s="3">
        <v>0</v>
      </c>
      <c r="J784" s="3">
        <v>0</v>
      </c>
      <c r="K784" s="3">
        <f t="shared" si="27"/>
        <v>2010</v>
      </c>
      <c r="L784" s="3">
        <f t="shared" si="28"/>
        <v>0</v>
      </c>
      <c r="M784" s="20" t="str">
        <f>A784&amp;L784</f>
        <v>BKH0</v>
      </c>
      <c r="N784" s="3">
        <f>F784</f>
        <v>0.36</v>
      </c>
      <c r="O784" s="9">
        <f>H784</f>
        <v>4.8500000000000001E-2</v>
      </c>
      <c r="P784" s="10">
        <f t="shared" si="29"/>
        <v>0</v>
      </c>
      <c r="Q784" s="10">
        <f>IF(K784=0,IF(A781=A784,AVERAGE(O781:O784),"x"),0)</f>
        <v>0</v>
      </c>
      <c r="R784" s="9">
        <f>IF(L784&gt;2005,AVERAGE(O781:O800),0)</f>
        <v>0</v>
      </c>
      <c r="S784" s="10">
        <f>IF(A784=A785,(N784-N785)/N785,0)</f>
        <v>0</v>
      </c>
      <c r="T784" s="10">
        <f>IF(L784&gt;2005,(((N784-N804)/N804)+1)^(1/5)-1,0)</f>
        <v>0</v>
      </c>
      <c r="U784" s="10">
        <f t="shared" si="30"/>
        <v>0</v>
      </c>
      <c r="V784" s="26">
        <f t="shared" si="31"/>
        <v>0</v>
      </c>
      <c r="W784" s="3">
        <f>IF(A784=A785,N784-N785,0)</f>
        <v>0</v>
      </c>
      <c r="X784" s="10">
        <f>IF(A784=A785,(N784-N785)/N785,0)</f>
        <v>0</v>
      </c>
    </row>
    <row r="785" spans="1:24" ht="16.5" customHeight="1">
      <c r="A785" s="3" t="s">
        <v>32</v>
      </c>
      <c r="B785" s="3">
        <f t="shared" si="24"/>
        <v>2010</v>
      </c>
      <c r="C785" s="3">
        <f t="shared" si="25"/>
        <v>8</v>
      </c>
      <c r="D785" s="20" t="str">
        <f t="shared" si="26"/>
        <v>BKH20108</v>
      </c>
      <c r="E785" s="2">
        <v>40406</v>
      </c>
      <c r="F785" s="3">
        <v>0.36</v>
      </c>
      <c r="G785" s="2">
        <v>40422</v>
      </c>
      <c r="H785" s="3">
        <v>4.5999999999999999E-2</v>
      </c>
      <c r="I785" s="3">
        <v>0</v>
      </c>
      <c r="J785" s="3">
        <v>0</v>
      </c>
      <c r="K785" s="3">
        <f t="shared" si="27"/>
        <v>2010</v>
      </c>
      <c r="L785" s="3">
        <f t="shared" si="28"/>
        <v>0</v>
      </c>
      <c r="M785" s="20" t="str">
        <f>A785&amp;L785</f>
        <v>BKH0</v>
      </c>
      <c r="N785" s="3">
        <f>F785</f>
        <v>0.36</v>
      </c>
      <c r="O785" s="9">
        <f>H785</f>
        <v>4.5999999999999999E-2</v>
      </c>
      <c r="P785" s="10">
        <f t="shared" si="29"/>
        <v>0</v>
      </c>
      <c r="Q785" s="10">
        <f>IF(K785=0,IF(A782=A785,AVERAGE(O782:O785),"x"),0)</f>
        <v>0</v>
      </c>
      <c r="R785" s="9">
        <f>IF(L785&gt;2005,AVERAGE(O782:O801),0)</f>
        <v>0</v>
      </c>
      <c r="S785" s="10">
        <f>IF(A785=A786,(N785-N786)/N786,0)</f>
        <v>0</v>
      </c>
      <c r="T785" s="10">
        <f>IF(L785&gt;2005,(((N785-N805)/N805)+1)^(1/5)-1,0)</f>
        <v>0</v>
      </c>
      <c r="U785" s="10">
        <f t="shared" si="30"/>
        <v>0</v>
      </c>
      <c r="V785" s="26">
        <f t="shared" si="31"/>
        <v>0</v>
      </c>
      <c r="W785" s="3">
        <f>IF(A785=A786,N785-N786,0)</f>
        <v>0</v>
      </c>
      <c r="X785" s="10">
        <f>IF(A785=A786,(N785-N786)/N786,0)</f>
        <v>0</v>
      </c>
    </row>
    <row r="786" spans="1:24" ht="16.5" customHeight="1">
      <c r="A786" s="3" t="s">
        <v>32</v>
      </c>
      <c r="B786" s="3">
        <f t="shared" si="24"/>
        <v>2010</v>
      </c>
      <c r="C786" s="3">
        <f t="shared" si="25"/>
        <v>5</v>
      </c>
      <c r="D786" s="20" t="str">
        <f t="shared" si="26"/>
        <v>BKH20105</v>
      </c>
      <c r="E786" s="2">
        <v>40312</v>
      </c>
      <c r="F786" s="3">
        <v>0.36</v>
      </c>
      <c r="G786" s="2">
        <v>40330</v>
      </c>
      <c r="H786" s="3">
        <v>4.5400000000000003E-2</v>
      </c>
      <c r="I786" s="3">
        <v>0</v>
      </c>
      <c r="J786" s="3">
        <v>0</v>
      </c>
      <c r="K786" s="3">
        <f t="shared" si="27"/>
        <v>2010</v>
      </c>
      <c r="L786" s="3">
        <f t="shared" si="28"/>
        <v>0</v>
      </c>
      <c r="M786" s="20" t="str">
        <f>A786&amp;L786</f>
        <v>BKH0</v>
      </c>
      <c r="N786" s="3">
        <f>F786</f>
        <v>0.36</v>
      </c>
      <c r="O786" s="9">
        <f>H786</f>
        <v>4.5400000000000003E-2</v>
      </c>
      <c r="P786" s="10">
        <f t="shared" si="29"/>
        <v>0</v>
      </c>
      <c r="Q786" s="10">
        <f>IF(K786=0,IF(A783=A786,AVERAGE(O783:O786),"x"),0)</f>
        <v>0</v>
      </c>
      <c r="R786" s="9">
        <f>IF(L786&gt;2005,AVERAGE(O783:O802),0)</f>
        <v>0</v>
      </c>
      <c r="S786" s="10">
        <f>IF(A786=A787,(N786-N787)/N787,0)</f>
        <v>0</v>
      </c>
      <c r="T786" s="10">
        <f>IF(L786&gt;2005,(((N786-N806)/N806)+1)^(1/5)-1,0)</f>
        <v>0</v>
      </c>
      <c r="U786" s="10">
        <f t="shared" si="30"/>
        <v>0</v>
      </c>
      <c r="V786" s="26">
        <f t="shared" si="31"/>
        <v>0</v>
      </c>
      <c r="W786" s="3">
        <f>IF(A786=A787,N786-N787,0)</f>
        <v>0</v>
      </c>
      <c r="X786" s="10">
        <f>IF(A786=A787,(N786-N787)/N787,0)</f>
        <v>0</v>
      </c>
    </row>
    <row r="787" spans="1:24" ht="16.5" customHeight="1">
      <c r="A787" s="3" t="s">
        <v>32</v>
      </c>
      <c r="B787" s="3">
        <f t="shared" si="24"/>
        <v>2010</v>
      </c>
      <c r="C787" s="3">
        <f t="shared" si="25"/>
        <v>2</v>
      </c>
      <c r="D787" s="20" t="str">
        <f t="shared" si="26"/>
        <v>BKH20102</v>
      </c>
      <c r="E787" s="2">
        <v>40219</v>
      </c>
      <c r="F787" s="3">
        <v>0.36</v>
      </c>
      <c r="G787" s="2">
        <v>40238</v>
      </c>
      <c r="H787" s="3">
        <v>5.3999999999999999E-2</v>
      </c>
      <c r="I787" s="3">
        <v>1.4084507E-2</v>
      </c>
      <c r="J787" s="3">
        <v>5.0000000000000001E-3</v>
      </c>
      <c r="K787" s="3">
        <f t="shared" si="27"/>
        <v>0</v>
      </c>
      <c r="L787" s="3">
        <f t="shared" si="28"/>
        <v>2010</v>
      </c>
      <c r="M787" s="20" t="str">
        <f>A787&amp;L787</f>
        <v>BKH2010</v>
      </c>
      <c r="N787" s="3">
        <f>F787</f>
        <v>0.36</v>
      </c>
      <c r="O787" s="9">
        <f>H787</f>
        <v>5.3999999999999999E-2</v>
      </c>
      <c r="P787" s="10">
        <f t="shared" si="29"/>
        <v>5.9025000000000001E-2</v>
      </c>
      <c r="Q787" s="10">
        <f>IF(K787=0,IF(A784=A787,AVERAGE(O784:O787),"x"),0)</f>
        <v>4.8474999999999997E-2</v>
      </c>
      <c r="R787" s="9">
        <f>IF(L787&gt;2005,AVERAGE(O784:O803),0)</f>
        <v>4.441500000000001E-2</v>
      </c>
      <c r="S787" s="10">
        <f>IF(A787=A788,(N787-N788)/N788,0)</f>
        <v>1.4084507042253534E-2</v>
      </c>
      <c r="T787" s="10">
        <f>IF(L787&gt;2005,(((N787-N807)/N807)+1)^(1/5)-1,0)</f>
        <v>2.3836255539609663E-2</v>
      </c>
      <c r="U787" s="10">
        <f t="shared" si="30"/>
        <v>6.8251255539609673E-2</v>
      </c>
      <c r="V787" s="26">
        <f t="shared" si="31"/>
        <v>4.4098536772122134</v>
      </c>
      <c r="W787" s="3">
        <f>IF(A787=A788,N787-N788,0)</f>
        <v>5.0000000000000044E-3</v>
      </c>
      <c r="X787" s="10">
        <f>IF(A787=A788,(N787-N788)/N788,0)</f>
        <v>1.4084507042253534E-2</v>
      </c>
    </row>
    <row r="788" spans="1:24" ht="16.5" customHeight="1">
      <c r="A788" s="3" t="s">
        <v>32</v>
      </c>
      <c r="B788" s="3">
        <f t="shared" si="24"/>
        <v>2009</v>
      </c>
      <c r="C788" s="3">
        <f t="shared" si="25"/>
        <v>11</v>
      </c>
      <c r="D788" s="20" t="str">
        <f t="shared" si="26"/>
        <v>BKH200911</v>
      </c>
      <c r="E788" s="2">
        <v>40130</v>
      </c>
      <c r="F788" s="3">
        <v>0.35499999999999998</v>
      </c>
      <c r="G788" s="2">
        <v>40148</v>
      </c>
      <c r="H788" s="3">
        <v>5.8400000000000001E-2</v>
      </c>
      <c r="I788" s="3">
        <v>0</v>
      </c>
      <c r="J788" s="3">
        <v>0</v>
      </c>
      <c r="K788" s="3">
        <f t="shared" si="27"/>
        <v>2009</v>
      </c>
      <c r="L788" s="3">
        <f t="shared" si="28"/>
        <v>0</v>
      </c>
      <c r="M788" s="20" t="str">
        <f>A788&amp;L788</f>
        <v>BKH0</v>
      </c>
      <c r="N788" s="3">
        <f>F788</f>
        <v>0.35499999999999998</v>
      </c>
      <c r="O788" s="9">
        <f>H788</f>
        <v>5.8400000000000001E-2</v>
      </c>
      <c r="P788" s="10">
        <f t="shared" si="29"/>
        <v>0</v>
      </c>
      <c r="Q788" s="10">
        <f>IF(K788=0,IF(A785=A788,AVERAGE(O785:O788),"x"),0)</f>
        <v>0</v>
      </c>
      <c r="R788" s="9">
        <f>IF(L788&gt;2005,AVERAGE(O785:O804),0)</f>
        <v>0</v>
      </c>
      <c r="S788" s="10">
        <f>IF(A788=A789,(N788-N789)/N789,0)</f>
        <v>0</v>
      </c>
      <c r="T788" s="10">
        <f>IF(L788&gt;2005,(((N788-N808)/N808)+1)^(1/5)-1,0)</f>
        <v>0</v>
      </c>
      <c r="U788" s="10">
        <f t="shared" si="30"/>
        <v>0</v>
      </c>
      <c r="V788" s="26">
        <f t="shared" si="31"/>
        <v>0</v>
      </c>
      <c r="W788" s="3">
        <f>IF(A788=A789,N788-N789,0)</f>
        <v>0</v>
      </c>
      <c r="X788" s="10">
        <f>IF(A788=A789,(N788-N789)/N789,0)</f>
        <v>0</v>
      </c>
    </row>
    <row r="789" spans="1:24" ht="16.5" customHeight="1">
      <c r="A789" s="3" t="s">
        <v>32</v>
      </c>
      <c r="B789" s="3">
        <f t="shared" si="24"/>
        <v>2009</v>
      </c>
      <c r="C789" s="3">
        <f t="shared" si="25"/>
        <v>8</v>
      </c>
      <c r="D789" s="20" t="str">
        <f t="shared" si="26"/>
        <v>BKH20098</v>
      </c>
      <c r="E789" s="2">
        <v>40039</v>
      </c>
      <c r="F789" s="3">
        <v>0.35499999999999998</v>
      </c>
      <c r="G789" s="2">
        <v>40057</v>
      </c>
      <c r="H789" s="3">
        <v>5.3400000000000003E-2</v>
      </c>
      <c r="I789" s="3">
        <v>0</v>
      </c>
      <c r="J789" s="3">
        <v>0</v>
      </c>
      <c r="K789" s="3">
        <f t="shared" si="27"/>
        <v>2009</v>
      </c>
      <c r="L789" s="3">
        <f t="shared" si="28"/>
        <v>0</v>
      </c>
      <c r="M789" s="20" t="str">
        <f>A789&amp;L789</f>
        <v>BKH0</v>
      </c>
      <c r="N789" s="3">
        <f>F789</f>
        <v>0.35499999999999998</v>
      </c>
      <c r="O789" s="9">
        <f>H789</f>
        <v>5.3400000000000003E-2</v>
      </c>
      <c r="P789" s="10">
        <f t="shared" si="29"/>
        <v>0</v>
      </c>
      <c r="Q789" s="10">
        <f>IF(K789=0,IF(A786=A789,AVERAGE(O786:O789),"x"),0)</f>
        <v>0</v>
      </c>
      <c r="R789" s="9">
        <f>IF(L789&gt;2005,AVERAGE(O786:O805),0)</f>
        <v>0</v>
      </c>
      <c r="S789" s="10">
        <f>IF(A789=A790,(N789-N790)/N790,0)</f>
        <v>0</v>
      </c>
      <c r="T789" s="10">
        <f>IF(L789&gt;2005,(((N789-N809)/N809)+1)^(1/5)-1,0)</f>
        <v>0</v>
      </c>
      <c r="U789" s="10">
        <f t="shared" si="30"/>
        <v>0</v>
      </c>
      <c r="V789" s="26">
        <f t="shared" si="31"/>
        <v>0</v>
      </c>
      <c r="W789" s="3">
        <f>IF(A789=A790,N789-N790,0)</f>
        <v>0</v>
      </c>
      <c r="X789" s="10">
        <f>IF(A789=A790,(N789-N790)/N790,0)</f>
        <v>0</v>
      </c>
    </row>
    <row r="790" spans="1:24" ht="16.5" customHeight="1">
      <c r="A790" s="3" t="s">
        <v>32</v>
      </c>
      <c r="B790" s="3">
        <f t="shared" si="24"/>
        <v>2009</v>
      </c>
      <c r="C790" s="3">
        <f t="shared" si="25"/>
        <v>5</v>
      </c>
      <c r="D790" s="20" t="str">
        <f t="shared" si="26"/>
        <v>BKH20095</v>
      </c>
      <c r="E790" s="2">
        <v>39947</v>
      </c>
      <c r="F790" s="3">
        <v>0.35499999999999998</v>
      </c>
      <c r="G790" s="2">
        <v>39965</v>
      </c>
      <c r="H790" s="3">
        <v>7.0300000000000001E-2</v>
      </c>
      <c r="I790" s="3">
        <v>0</v>
      </c>
      <c r="J790" s="3">
        <v>0</v>
      </c>
      <c r="K790" s="3">
        <f t="shared" si="27"/>
        <v>2009</v>
      </c>
      <c r="L790" s="3">
        <f t="shared" si="28"/>
        <v>0</v>
      </c>
      <c r="M790" s="20" t="str">
        <f>A790&amp;L790</f>
        <v>BKH0</v>
      </c>
      <c r="N790" s="3">
        <f>F790</f>
        <v>0.35499999999999998</v>
      </c>
      <c r="O790" s="9">
        <f>H790</f>
        <v>7.0300000000000001E-2</v>
      </c>
      <c r="P790" s="10">
        <f t="shared" si="29"/>
        <v>0</v>
      </c>
      <c r="Q790" s="10">
        <f>IF(K790=0,IF(A787=A790,AVERAGE(O787:O790),"x"),0)</f>
        <v>0</v>
      </c>
      <c r="R790" s="9">
        <f>IF(L790&gt;2005,AVERAGE(O787:O806),0)</f>
        <v>0</v>
      </c>
      <c r="S790" s="10">
        <f>IF(A790=A791,(N790-N791)/N791,0)</f>
        <v>0</v>
      </c>
      <c r="T790" s="10">
        <f>IF(L790&gt;2005,(((N790-N810)/N810)+1)^(1/5)-1,0)</f>
        <v>0</v>
      </c>
      <c r="U790" s="10">
        <f t="shared" si="30"/>
        <v>0</v>
      </c>
      <c r="V790" s="26">
        <f t="shared" si="31"/>
        <v>0</v>
      </c>
      <c r="W790" s="3">
        <f>IF(A790=A791,N790-N791,0)</f>
        <v>0</v>
      </c>
      <c r="X790" s="10">
        <f>IF(A790=A791,(N790-N791)/N791,0)</f>
        <v>0</v>
      </c>
    </row>
    <row r="791" spans="1:24" ht="16.5" customHeight="1">
      <c r="A791" s="3" t="s">
        <v>32</v>
      </c>
      <c r="B791" s="3">
        <f t="shared" si="24"/>
        <v>2009</v>
      </c>
      <c r="C791" s="3">
        <f t="shared" si="25"/>
        <v>2</v>
      </c>
      <c r="D791" s="20" t="str">
        <f t="shared" si="26"/>
        <v>BKH20092</v>
      </c>
      <c r="E791" s="2">
        <v>39855</v>
      </c>
      <c r="F791" s="3">
        <v>0.35499999999999998</v>
      </c>
      <c r="G791" s="2">
        <v>39873</v>
      </c>
      <c r="H791" s="3">
        <v>6.2E-2</v>
      </c>
      <c r="I791" s="3">
        <v>1.4285714E-2</v>
      </c>
      <c r="J791" s="3">
        <v>5.0000000000000001E-3</v>
      </c>
      <c r="K791" s="3">
        <f t="shared" si="27"/>
        <v>0</v>
      </c>
      <c r="L791" s="3">
        <f t="shared" si="28"/>
        <v>2009</v>
      </c>
      <c r="M791" s="20" t="str">
        <f>A791&amp;L791</f>
        <v>BKH2009</v>
      </c>
      <c r="N791" s="3">
        <f>F791</f>
        <v>0.35499999999999998</v>
      </c>
      <c r="O791" s="9">
        <f>H791</f>
        <v>6.2E-2</v>
      </c>
      <c r="P791" s="10">
        <f t="shared" si="29"/>
        <v>4.9274999999999999E-2</v>
      </c>
      <c r="Q791" s="10">
        <f>IF(K791=0,IF(A788=A791,AVERAGE(O788:O791),"x"),0)</f>
        <v>6.1025000000000003E-2</v>
      </c>
      <c r="R791" s="9">
        <f>IF(L791&gt;2005,AVERAGE(O788:O807),0)</f>
        <v>4.1800000000000004E-2</v>
      </c>
      <c r="S791" s="10">
        <f>IF(A791=A792,(N791-N792)/N792,0)</f>
        <v>1.4285714285714299E-2</v>
      </c>
      <c r="T791" s="10">
        <f>IF(L791&gt;2005,(((N791-N811)/N811)+1)^(1/5)-1,0)</f>
        <v>2.7479893060531335E-2</v>
      </c>
      <c r="U791" s="10">
        <f t="shared" si="30"/>
        <v>6.9279893060531339E-2</v>
      </c>
      <c r="V791" s="26">
        <f t="shared" si="31"/>
        <v>4.443305170295262</v>
      </c>
      <c r="W791" s="3">
        <f>IF(A791=A792,N791-N792,0)</f>
        <v>5.0000000000000044E-3</v>
      </c>
      <c r="X791" s="10">
        <f>IF(A791=A792,(N791-N792)/N792,0)</f>
        <v>1.4285714285714299E-2</v>
      </c>
    </row>
    <row r="792" spans="1:24" ht="16.5" customHeight="1">
      <c r="A792" s="3" t="s">
        <v>32</v>
      </c>
      <c r="B792" s="3">
        <f t="shared" si="24"/>
        <v>2008</v>
      </c>
      <c r="C792" s="3">
        <f t="shared" si="25"/>
        <v>11</v>
      </c>
      <c r="D792" s="20" t="str">
        <f t="shared" si="26"/>
        <v>BKH200811</v>
      </c>
      <c r="E792" s="2">
        <v>39764</v>
      </c>
      <c r="F792" s="3">
        <v>0.35</v>
      </c>
      <c r="G792" s="2">
        <v>39783</v>
      </c>
      <c r="H792" s="3">
        <v>5.5399999999999998E-2</v>
      </c>
      <c r="I792" s="3">
        <v>0</v>
      </c>
      <c r="J792" s="3">
        <v>0</v>
      </c>
      <c r="K792" s="3">
        <f t="shared" si="27"/>
        <v>2008</v>
      </c>
      <c r="L792" s="3">
        <f t="shared" si="28"/>
        <v>0</v>
      </c>
      <c r="M792" s="20" t="str">
        <f>A792&amp;L792</f>
        <v>BKH0</v>
      </c>
      <c r="N792" s="3">
        <f>F792</f>
        <v>0.35</v>
      </c>
      <c r="O792" s="9">
        <f>H792</f>
        <v>5.5399999999999998E-2</v>
      </c>
      <c r="P792" s="10">
        <f t="shared" si="29"/>
        <v>0</v>
      </c>
      <c r="Q792" s="10">
        <f>IF(K792=0,IF(A789=A792,AVERAGE(O789:O792),"x"),0)</f>
        <v>0</v>
      </c>
      <c r="R792" s="9">
        <f>IF(L792&gt;2005,AVERAGE(O789:O808),0)</f>
        <v>0</v>
      </c>
      <c r="S792" s="10">
        <f>IF(A792=A793,(N792-N793)/N793,0)</f>
        <v>0</v>
      </c>
      <c r="T792" s="10">
        <f>IF(L792&gt;2005,(((N792-N812)/N812)+1)^(1/5)-1,0)</f>
        <v>0</v>
      </c>
      <c r="U792" s="10">
        <f t="shared" si="30"/>
        <v>0</v>
      </c>
      <c r="V792" s="26">
        <f t="shared" si="31"/>
        <v>0</v>
      </c>
      <c r="W792" s="3">
        <f>IF(A792=A793,N792-N793,0)</f>
        <v>0</v>
      </c>
      <c r="X792" s="10">
        <f>IF(A792=A793,(N792-N793)/N793,0)</f>
        <v>0</v>
      </c>
    </row>
    <row r="793" spans="1:24" ht="16.5" customHeight="1">
      <c r="A793" s="3" t="s">
        <v>32</v>
      </c>
      <c r="B793" s="3">
        <f t="shared" si="24"/>
        <v>2008</v>
      </c>
      <c r="C793" s="3">
        <f t="shared" si="25"/>
        <v>8</v>
      </c>
      <c r="D793" s="20" t="str">
        <f t="shared" si="26"/>
        <v>BKH20088</v>
      </c>
      <c r="E793" s="2">
        <v>39673</v>
      </c>
      <c r="F793" s="3">
        <v>0.35</v>
      </c>
      <c r="G793" s="2">
        <v>39692</v>
      </c>
      <c r="H793" s="3">
        <v>4.1500000000000002E-2</v>
      </c>
      <c r="I793" s="3">
        <v>0</v>
      </c>
      <c r="J793" s="3">
        <v>0</v>
      </c>
      <c r="K793" s="3">
        <f t="shared" si="27"/>
        <v>2008</v>
      </c>
      <c r="L793" s="3">
        <f t="shared" si="28"/>
        <v>0</v>
      </c>
      <c r="M793" s="20" t="str">
        <f>A793&amp;L793</f>
        <v>BKH0</v>
      </c>
      <c r="N793" s="3">
        <f>F793</f>
        <v>0.35</v>
      </c>
      <c r="O793" s="9">
        <f>H793</f>
        <v>4.1500000000000002E-2</v>
      </c>
      <c r="P793" s="10">
        <f t="shared" si="29"/>
        <v>0</v>
      </c>
      <c r="Q793" s="10">
        <f>IF(K793=0,IF(A790=A793,AVERAGE(O790:O793),"x"),0)</f>
        <v>0</v>
      </c>
      <c r="R793" s="9">
        <f>IF(L793&gt;2005,AVERAGE(O790:O809),0)</f>
        <v>0</v>
      </c>
      <c r="S793" s="10">
        <f>IF(A793=A794,(N793-N794)/N794,0)</f>
        <v>0</v>
      </c>
      <c r="T793" s="10">
        <f>IF(L793&gt;2005,(((N793-N813)/N813)+1)^(1/5)-1,0)</f>
        <v>0</v>
      </c>
      <c r="U793" s="10">
        <f t="shared" si="30"/>
        <v>0</v>
      </c>
      <c r="V793" s="26">
        <f t="shared" si="31"/>
        <v>0</v>
      </c>
      <c r="W793" s="3">
        <f>IF(A793=A794,N793-N794,0)</f>
        <v>0</v>
      </c>
      <c r="X793" s="10">
        <f>IF(A793=A794,(N793-N794)/N794,0)</f>
        <v>0</v>
      </c>
    </row>
    <row r="794" spans="1:24" ht="16.5" customHeight="1">
      <c r="A794" s="3" t="s">
        <v>32</v>
      </c>
      <c r="B794" s="3">
        <f t="shared" si="24"/>
        <v>2008</v>
      </c>
      <c r="C794" s="3">
        <f t="shared" si="25"/>
        <v>5</v>
      </c>
      <c r="D794" s="20" t="str">
        <f t="shared" si="26"/>
        <v>BKH20085</v>
      </c>
      <c r="E794" s="2">
        <v>39582</v>
      </c>
      <c r="F794" s="3">
        <v>0.35</v>
      </c>
      <c r="G794" s="2">
        <v>39600</v>
      </c>
      <c r="H794" s="3">
        <v>3.8199999999999998E-2</v>
      </c>
      <c r="I794" s="3">
        <v>0</v>
      </c>
      <c r="J794" s="3">
        <v>0</v>
      </c>
      <c r="K794" s="3">
        <f t="shared" si="27"/>
        <v>2008</v>
      </c>
      <c r="L794" s="3">
        <f t="shared" si="28"/>
        <v>0</v>
      </c>
      <c r="M794" s="20" t="str">
        <f>A794&amp;L794</f>
        <v>BKH0</v>
      </c>
      <c r="N794" s="3">
        <f>F794</f>
        <v>0.35</v>
      </c>
      <c r="O794" s="9">
        <f>H794</f>
        <v>3.8199999999999998E-2</v>
      </c>
      <c r="P794" s="10">
        <f t="shared" si="29"/>
        <v>0</v>
      </c>
      <c r="Q794" s="10">
        <f>IF(K794=0,IF(A791=A794,AVERAGE(O791:O794),"x"),0)</f>
        <v>0</v>
      </c>
      <c r="R794" s="9">
        <f>IF(L794&gt;2005,AVERAGE(O791:O810),0)</f>
        <v>0</v>
      </c>
      <c r="S794" s="10">
        <f>IF(A794=A795,(N794-N795)/N795,0)</f>
        <v>0</v>
      </c>
      <c r="T794" s="10">
        <f>IF(L794&gt;2005,(((N794-N814)/N814)+1)^(1/5)-1,0)</f>
        <v>0</v>
      </c>
      <c r="U794" s="10">
        <f t="shared" si="30"/>
        <v>0</v>
      </c>
      <c r="V794" s="26">
        <f t="shared" si="31"/>
        <v>0</v>
      </c>
      <c r="W794" s="3">
        <f>IF(A794=A795,N794-N795,0)</f>
        <v>0</v>
      </c>
      <c r="X794" s="10">
        <f>IF(A794=A795,(N794-N795)/N795,0)</f>
        <v>0</v>
      </c>
    </row>
    <row r="795" spans="1:24" ht="16.5" customHeight="1">
      <c r="A795" s="3" t="s">
        <v>32</v>
      </c>
      <c r="B795" s="3">
        <f t="shared" si="24"/>
        <v>2008</v>
      </c>
      <c r="C795" s="3">
        <f t="shared" si="25"/>
        <v>2</v>
      </c>
      <c r="D795" s="20" t="str">
        <f t="shared" si="26"/>
        <v>BKH20082</v>
      </c>
      <c r="E795" s="2">
        <v>39491</v>
      </c>
      <c r="F795" s="3">
        <v>0.35</v>
      </c>
      <c r="G795" s="2">
        <v>39508</v>
      </c>
      <c r="H795" s="3">
        <v>3.5299999999999998E-2</v>
      </c>
      <c r="I795" s="3">
        <v>0</v>
      </c>
      <c r="J795" s="3">
        <v>0</v>
      </c>
      <c r="K795" s="3">
        <f t="shared" si="27"/>
        <v>0</v>
      </c>
      <c r="L795" s="3">
        <f t="shared" si="28"/>
        <v>2008</v>
      </c>
      <c r="M795" s="20" t="str">
        <f>A795&amp;L795</f>
        <v>BKH2008</v>
      </c>
      <c r="N795" s="3">
        <f>F795</f>
        <v>0.35</v>
      </c>
      <c r="O795" s="9">
        <f>H795</f>
        <v>3.5299999999999998E-2</v>
      </c>
      <c r="P795" s="10">
        <f t="shared" si="29"/>
        <v>0</v>
      </c>
      <c r="Q795" s="10">
        <f>IF(K795=0,IF(A792=A795,AVERAGE(O792:O795),"x"),0)</f>
        <v>4.2599999999999999E-2</v>
      </c>
      <c r="R795" s="9">
        <f>IF(L795&gt;2005,AVERAGE(O792:O811),0)</f>
        <v>3.7944999999999993E-2</v>
      </c>
      <c r="S795" s="10">
        <f>IF(A795=A796,(N795-N796)/N796,0)</f>
        <v>0</v>
      </c>
      <c r="T795" s="10">
        <f>IF(L795&gt;2005,(((N795-N815)/N815)+1)^(1/5)-1,0)</f>
        <v>3.1310306477545069E-2</v>
      </c>
      <c r="U795" s="10">
        <f t="shared" si="30"/>
        <v>6.9255306477545062E-2</v>
      </c>
      <c r="V795" s="26">
        <f t="shared" si="31"/>
        <v>4.4922163594278413</v>
      </c>
      <c r="W795" s="3">
        <f>IF(A795=A796,N795-N796,0)</f>
        <v>0</v>
      </c>
      <c r="X795" s="10">
        <f>IF(A795=A796,(N795-N796)/N796,0)</f>
        <v>0</v>
      </c>
    </row>
    <row r="796" spans="1:24" ht="16.5" customHeight="1">
      <c r="A796" s="3" t="s">
        <v>32</v>
      </c>
      <c r="B796" s="3">
        <f t="shared" si="24"/>
        <v>2007</v>
      </c>
      <c r="C796" s="3">
        <f t="shared" si="25"/>
        <v>11</v>
      </c>
      <c r="D796" s="20" t="str">
        <f t="shared" si="26"/>
        <v>BKH200711</v>
      </c>
      <c r="E796" s="2">
        <v>39400</v>
      </c>
      <c r="F796" s="3">
        <v>0.35</v>
      </c>
      <c r="G796" s="2">
        <v>39417</v>
      </c>
      <c r="H796" s="3">
        <v>3.2899999999999999E-2</v>
      </c>
      <c r="I796" s="3">
        <v>2.9411764999999999E-2</v>
      </c>
      <c r="J796" s="3">
        <v>0.01</v>
      </c>
      <c r="K796" s="3">
        <f t="shared" si="27"/>
        <v>2007</v>
      </c>
      <c r="L796" s="3">
        <f t="shared" si="28"/>
        <v>0</v>
      </c>
      <c r="M796" s="20" t="str">
        <f>A796&amp;L796</f>
        <v>BKH0</v>
      </c>
      <c r="N796" s="3">
        <f>F796</f>
        <v>0.35</v>
      </c>
      <c r="O796" s="9">
        <f>H796</f>
        <v>3.2899999999999999E-2</v>
      </c>
      <c r="P796" s="10">
        <f t="shared" si="29"/>
        <v>3.3050000000000003E-2</v>
      </c>
      <c r="Q796" s="10">
        <f>IF(K796=0,IF(A793=A796,AVERAGE(O793:O796),"x"),0)</f>
        <v>0</v>
      </c>
      <c r="R796" s="9">
        <f>IF(L796&gt;2005,AVERAGE(O793:O812),0)</f>
        <v>0</v>
      </c>
      <c r="S796" s="10">
        <f>IF(A796=A797,(N796-N797)/N797,0)</f>
        <v>2.9411764705882214E-2</v>
      </c>
      <c r="T796" s="10">
        <f>IF(L796&gt;2005,(((N796-N816)/N816)+1)^(1/5)-1,0)</f>
        <v>0</v>
      </c>
      <c r="U796" s="10">
        <f t="shared" si="30"/>
        <v>0</v>
      </c>
      <c r="V796" s="26">
        <f t="shared" si="31"/>
        <v>0</v>
      </c>
      <c r="W796" s="3">
        <f>IF(A796=A797,N796-N797,0)</f>
        <v>9.9999999999999534E-3</v>
      </c>
      <c r="X796" s="10">
        <f>IF(A796=A797,(N796-N797)/N797,0)</f>
        <v>2.9411764705882214E-2</v>
      </c>
    </row>
    <row r="797" spans="1:24" ht="16.5" customHeight="1">
      <c r="A797" s="3" t="s">
        <v>32</v>
      </c>
      <c r="B797" s="3">
        <f t="shared" si="24"/>
        <v>2007</v>
      </c>
      <c r="C797" s="3">
        <f t="shared" si="25"/>
        <v>8</v>
      </c>
      <c r="D797" s="20" t="str">
        <f t="shared" si="26"/>
        <v>BKH20078</v>
      </c>
      <c r="E797" s="2">
        <v>39309</v>
      </c>
      <c r="F797" s="3">
        <v>0.34</v>
      </c>
      <c r="G797" s="2">
        <v>39326</v>
      </c>
      <c r="H797" s="3">
        <v>3.3099999999999997E-2</v>
      </c>
      <c r="I797" s="3">
        <v>0</v>
      </c>
      <c r="J797" s="3">
        <v>0</v>
      </c>
      <c r="K797" s="3">
        <f t="shared" si="27"/>
        <v>2007</v>
      </c>
      <c r="L797" s="3">
        <f t="shared" si="28"/>
        <v>0</v>
      </c>
      <c r="M797" s="20" t="str">
        <f>A797&amp;L797</f>
        <v>BKH0</v>
      </c>
      <c r="N797" s="3">
        <f>F797</f>
        <v>0.34</v>
      </c>
      <c r="O797" s="9">
        <f>H797</f>
        <v>3.3099999999999997E-2</v>
      </c>
      <c r="P797" s="10">
        <f t="shared" si="29"/>
        <v>0</v>
      </c>
      <c r="Q797" s="10">
        <f>IF(K797=0,IF(A794=A797,AVERAGE(O794:O797),"x"),0)</f>
        <v>0</v>
      </c>
      <c r="R797" s="9">
        <f>IF(L797&gt;2005,AVERAGE(O794:O813),0)</f>
        <v>0</v>
      </c>
      <c r="S797" s="10">
        <f>IF(A797=A798,(N797-N798)/N798,0)</f>
        <v>0</v>
      </c>
      <c r="T797" s="10">
        <f>IF(L797&gt;2005,(((N797-N817)/N817)+1)^(1/5)-1,0)</f>
        <v>0</v>
      </c>
      <c r="U797" s="10">
        <f t="shared" si="30"/>
        <v>0</v>
      </c>
      <c r="V797" s="26">
        <f t="shared" si="31"/>
        <v>0</v>
      </c>
      <c r="W797" s="3">
        <f>IF(A797=A798,N797-N798,0)</f>
        <v>0</v>
      </c>
      <c r="X797" s="10">
        <f>IF(A797=A798,(N797-N798)/N798,0)</f>
        <v>0</v>
      </c>
    </row>
    <row r="798" spans="1:24" ht="16.5" customHeight="1">
      <c r="A798" s="3" t="s">
        <v>32</v>
      </c>
      <c r="B798" s="3">
        <f t="shared" si="24"/>
        <v>2007</v>
      </c>
      <c r="C798" s="3">
        <f t="shared" si="25"/>
        <v>5</v>
      </c>
      <c r="D798" s="20" t="str">
        <f t="shared" si="26"/>
        <v>BKH20075</v>
      </c>
      <c r="E798" s="2">
        <v>39218</v>
      </c>
      <c r="F798" s="3">
        <v>0.34</v>
      </c>
      <c r="G798" s="2">
        <v>39234</v>
      </c>
      <c r="H798" s="3">
        <v>3.2500000000000001E-2</v>
      </c>
      <c r="I798" s="3">
        <v>0</v>
      </c>
      <c r="J798" s="3">
        <v>0</v>
      </c>
      <c r="K798" s="3">
        <f t="shared" si="27"/>
        <v>2007</v>
      </c>
      <c r="L798" s="3">
        <f t="shared" si="28"/>
        <v>0</v>
      </c>
      <c r="M798" s="20" t="str">
        <f>A798&amp;L798</f>
        <v>BKH0</v>
      </c>
      <c r="N798" s="3">
        <f>F798</f>
        <v>0.34</v>
      </c>
      <c r="O798" s="9">
        <f>H798</f>
        <v>3.2500000000000001E-2</v>
      </c>
      <c r="P798" s="10">
        <f t="shared" si="29"/>
        <v>0</v>
      </c>
      <c r="Q798" s="10">
        <f>IF(K798=0,IF(A795=A798,AVERAGE(O795:O798),"x"),0)</f>
        <v>0</v>
      </c>
      <c r="R798" s="9">
        <f>IF(L798&gt;2005,AVERAGE(O795:O814),0)</f>
        <v>0</v>
      </c>
      <c r="S798" s="10">
        <f>IF(A798=A799,(N798-N799)/N799,0)</f>
        <v>0</v>
      </c>
      <c r="T798" s="10">
        <f>IF(L798&gt;2005,(((N798-N818)/N818)+1)^(1/5)-1,0)</f>
        <v>0</v>
      </c>
      <c r="U798" s="10">
        <f t="shared" si="30"/>
        <v>0</v>
      </c>
      <c r="V798" s="26">
        <f t="shared" si="31"/>
        <v>0</v>
      </c>
      <c r="W798" s="3">
        <f>IF(A798=A799,N798-N799,0)</f>
        <v>0</v>
      </c>
      <c r="X798" s="10">
        <f>IF(A798=A799,(N798-N799)/N799,0)</f>
        <v>0</v>
      </c>
    </row>
    <row r="799" spans="1:24" ht="16.5" customHeight="1">
      <c r="A799" s="3" t="s">
        <v>32</v>
      </c>
      <c r="B799" s="3">
        <f t="shared" si="24"/>
        <v>2007</v>
      </c>
      <c r="C799" s="3">
        <f t="shared" si="25"/>
        <v>2</v>
      </c>
      <c r="D799" s="20" t="str">
        <f t="shared" si="26"/>
        <v>BKH20072</v>
      </c>
      <c r="E799" s="2">
        <v>39126</v>
      </c>
      <c r="F799" s="3">
        <v>0.34</v>
      </c>
      <c r="G799" s="2">
        <v>39142</v>
      </c>
      <c r="H799" s="3">
        <v>3.3700000000000001E-2</v>
      </c>
      <c r="I799" s="3">
        <v>3.0303030000000002E-2</v>
      </c>
      <c r="J799" s="3">
        <v>0.01</v>
      </c>
      <c r="K799" s="3">
        <f t="shared" si="27"/>
        <v>0</v>
      </c>
      <c r="L799" s="3">
        <f t="shared" si="28"/>
        <v>2007</v>
      </c>
      <c r="M799" s="20" t="str">
        <f>A799&amp;L799</f>
        <v>BKH2007</v>
      </c>
      <c r="N799" s="3">
        <f>F799</f>
        <v>0.34</v>
      </c>
      <c r="O799" s="9">
        <f>H799</f>
        <v>3.3700000000000001E-2</v>
      </c>
      <c r="P799" s="10">
        <f t="shared" si="29"/>
        <v>3.6124999999999997E-2</v>
      </c>
      <c r="Q799" s="10">
        <f>IF(K799=0,IF(A796=A799,AVERAGE(O796:O799),"x"),0)</f>
        <v>3.3050000000000003E-2</v>
      </c>
      <c r="R799" s="9">
        <f>IF(L799&gt;2005,AVERAGE(O796:O815),0)</f>
        <v>3.7825000000000004E-2</v>
      </c>
      <c r="S799" s="10">
        <f>IF(A799=A800,(N799-N800)/N800,0)</f>
        <v>3.0303030303030328E-2</v>
      </c>
      <c r="T799" s="10">
        <f>IF(L799&gt;2005,(((N799-N819)/N819)+1)^(1/5)-1,0)</f>
        <v>3.2324379535307868E-2</v>
      </c>
      <c r="U799" s="10">
        <f t="shared" si="30"/>
        <v>7.0149379535307865E-2</v>
      </c>
      <c r="V799" s="26">
        <f t="shared" si="31"/>
        <v>4.4941500899967792</v>
      </c>
      <c r="W799" s="3">
        <f>IF(A799=A800,N799-N800,0)</f>
        <v>1.0000000000000009E-2</v>
      </c>
      <c r="X799" s="10">
        <f>IF(A799=A800,(N799-N800)/N800,0)</f>
        <v>3.0303030303030328E-2</v>
      </c>
    </row>
    <row r="800" spans="1:24" ht="16.5" customHeight="1">
      <c r="A800" s="3" t="s">
        <v>32</v>
      </c>
      <c r="B800" s="3">
        <f t="shared" si="24"/>
        <v>2006</v>
      </c>
      <c r="C800" s="3">
        <f t="shared" si="25"/>
        <v>11</v>
      </c>
      <c r="D800" s="20" t="str">
        <f t="shared" si="26"/>
        <v>BKH200611</v>
      </c>
      <c r="E800" s="2">
        <v>39036</v>
      </c>
      <c r="F800" s="3">
        <v>0.33</v>
      </c>
      <c r="G800" s="2">
        <v>39052</v>
      </c>
      <c r="H800" s="3">
        <v>3.6999999999999998E-2</v>
      </c>
      <c r="I800" s="3">
        <v>0</v>
      </c>
      <c r="J800" s="3">
        <v>0</v>
      </c>
      <c r="K800" s="3">
        <f t="shared" si="27"/>
        <v>2006</v>
      </c>
      <c r="L800" s="3">
        <f t="shared" si="28"/>
        <v>0</v>
      </c>
      <c r="M800" s="20" t="str">
        <f>A800&amp;L800</f>
        <v>BKH0</v>
      </c>
      <c r="N800" s="3">
        <f>F800</f>
        <v>0.33</v>
      </c>
      <c r="O800" s="9">
        <f>H800</f>
        <v>3.6999999999999998E-2</v>
      </c>
      <c r="P800" s="10">
        <f t="shared" si="29"/>
        <v>0</v>
      </c>
      <c r="Q800" s="10">
        <f>IF(K800=0,IF(A797=A800,AVERAGE(O797:O800),"x"),0)</f>
        <v>0</v>
      </c>
      <c r="R800" s="9">
        <f>IF(L800&gt;2005,AVERAGE(O797:O816),0)</f>
        <v>0</v>
      </c>
      <c r="S800" s="10">
        <f>IF(A800=A801,(N800-N801)/N801,0)</f>
        <v>0</v>
      </c>
      <c r="T800" s="10">
        <f>IF(L800&gt;2005,(((N800-N820)/N820)+1)^(1/5)-1,0)</f>
        <v>0</v>
      </c>
      <c r="U800" s="10">
        <f t="shared" si="30"/>
        <v>0</v>
      </c>
      <c r="V800" s="26">
        <f t="shared" si="31"/>
        <v>0</v>
      </c>
      <c r="W800" s="3">
        <f>IF(A800=A801,N800-N801,0)</f>
        <v>0</v>
      </c>
      <c r="X800" s="10">
        <f>IF(A800=A801,(N800-N801)/N801,0)</f>
        <v>0</v>
      </c>
    </row>
    <row r="801" spans="1:24" ht="16.5" customHeight="1">
      <c r="A801" s="3" t="s">
        <v>32</v>
      </c>
      <c r="B801" s="3">
        <f t="shared" si="24"/>
        <v>2006</v>
      </c>
      <c r="C801" s="3">
        <f t="shared" si="25"/>
        <v>8</v>
      </c>
      <c r="D801" s="20" t="str">
        <f t="shared" si="26"/>
        <v>BKH20068</v>
      </c>
      <c r="E801" s="2">
        <v>38945</v>
      </c>
      <c r="F801" s="3">
        <v>0.33</v>
      </c>
      <c r="G801" s="2">
        <v>38961</v>
      </c>
      <c r="H801" s="3">
        <v>3.6999999999999998E-2</v>
      </c>
      <c r="I801" s="3">
        <v>0</v>
      </c>
      <c r="J801" s="3">
        <v>0</v>
      </c>
      <c r="K801" s="3">
        <f t="shared" si="27"/>
        <v>2006</v>
      </c>
      <c r="L801" s="3">
        <f t="shared" si="28"/>
        <v>0</v>
      </c>
      <c r="M801" s="20" t="str">
        <f>A801&amp;L801</f>
        <v>BKH0</v>
      </c>
      <c r="N801" s="3">
        <f>F801</f>
        <v>0.33</v>
      </c>
      <c r="O801" s="9">
        <f>H801</f>
        <v>3.6999999999999998E-2</v>
      </c>
      <c r="P801" s="10">
        <f t="shared" si="29"/>
        <v>0</v>
      </c>
      <c r="Q801" s="10">
        <f>IF(K801=0,IF(A798=A801,AVERAGE(O798:O801),"x"),0)</f>
        <v>0</v>
      </c>
      <c r="R801" s="9">
        <f>IF(L801&gt;2005,AVERAGE(O798:O817),0)</f>
        <v>0</v>
      </c>
      <c r="S801" s="10">
        <f>IF(A801=A802,(N801-N802)/N802,0)</f>
        <v>0</v>
      </c>
      <c r="T801" s="10">
        <f>IF(L801&gt;2005,(((N801-N821)/N821)+1)^(1/5)-1,0)</f>
        <v>0</v>
      </c>
      <c r="U801" s="10">
        <f t="shared" si="30"/>
        <v>0</v>
      </c>
      <c r="V801" s="26">
        <f t="shared" si="31"/>
        <v>0</v>
      </c>
      <c r="W801" s="3">
        <f>IF(A801=A802,N801-N802,0)</f>
        <v>0</v>
      </c>
      <c r="X801" s="10">
        <f>IF(A801=A802,(N801-N802)/N802,0)</f>
        <v>0</v>
      </c>
    </row>
    <row r="802" spans="1:24" ht="16.5" customHeight="1">
      <c r="A802" s="3" t="s">
        <v>32</v>
      </c>
      <c r="B802" s="3">
        <f t="shared" si="24"/>
        <v>2006</v>
      </c>
      <c r="C802" s="3">
        <f t="shared" si="25"/>
        <v>5</v>
      </c>
      <c r="D802" s="20" t="str">
        <f t="shared" si="26"/>
        <v>BKH20065</v>
      </c>
      <c r="E802" s="2">
        <v>38853</v>
      </c>
      <c r="F802" s="3">
        <v>0.33</v>
      </c>
      <c r="G802" s="2">
        <v>38869</v>
      </c>
      <c r="H802" s="3">
        <v>3.6799999999999999E-2</v>
      </c>
      <c r="I802" s="3">
        <v>0</v>
      </c>
      <c r="J802" s="3">
        <v>0</v>
      </c>
      <c r="K802" s="3">
        <f t="shared" si="27"/>
        <v>2006</v>
      </c>
      <c r="L802" s="3">
        <f t="shared" si="28"/>
        <v>0</v>
      </c>
      <c r="M802" s="20" t="str">
        <f>A802&amp;L802</f>
        <v>BKH0</v>
      </c>
      <c r="N802" s="3">
        <f>F802</f>
        <v>0.33</v>
      </c>
      <c r="O802" s="9">
        <f>H802</f>
        <v>3.6799999999999999E-2</v>
      </c>
      <c r="P802" s="10">
        <f t="shared" si="29"/>
        <v>0</v>
      </c>
      <c r="Q802" s="10">
        <f>IF(K802=0,IF(A799=A802,AVERAGE(O799:O802),"x"),0)</f>
        <v>0</v>
      </c>
      <c r="R802" s="9">
        <f>IF(L802&gt;2005,AVERAGE(O799:O818),0)</f>
        <v>0</v>
      </c>
      <c r="S802" s="10">
        <f>IF(A802=A803,(N802-N803)/N803,0)</f>
        <v>0</v>
      </c>
      <c r="T802" s="10">
        <f>IF(L802&gt;2005,(((N802-N822)/N822)+1)^(1/5)-1,0)</f>
        <v>0</v>
      </c>
      <c r="U802" s="10">
        <f t="shared" si="30"/>
        <v>0</v>
      </c>
      <c r="V802" s="26">
        <f t="shared" si="31"/>
        <v>0</v>
      </c>
      <c r="W802" s="3">
        <f>IF(A802=A803,N802-N803,0)</f>
        <v>0</v>
      </c>
      <c r="X802" s="10">
        <f>IF(A802=A803,(N802-N803)/N803,0)</f>
        <v>0</v>
      </c>
    </row>
    <row r="803" spans="1:24" ht="16.5" customHeight="1">
      <c r="A803" s="3" t="s">
        <v>32</v>
      </c>
      <c r="B803" s="3">
        <f t="shared" si="24"/>
        <v>2006</v>
      </c>
      <c r="C803" s="3">
        <f t="shared" si="25"/>
        <v>2</v>
      </c>
      <c r="D803" s="20" t="str">
        <f t="shared" si="26"/>
        <v>BKH20062</v>
      </c>
      <c r="E803" s="2">
        <v>38761</v>
      </c>
      <c r="F803" s="3">
        <v>0.33</v>
      </c>
      <c r="G803" s="2">
        <v>38777</v>
      </c>
      <c r="H803" s="3">
        <v>3.6900000000000002E-2</v>
      </c>
      <c r="I803" s="3">
        <v>3.125E-2</v>
      </c>
      <c r="J803" s="3">
        <v>0.01</v>
      </c>
      <c r="K803" s="3">
        <f t="shared" si="27"/>
        <v>0</v>
      </c>
      <c r="L803" s="3">
        <f t="shared" si="28"/>
        <v>2006</v>
      </c>
      <c r="M803" s="20" t="str">
        <f>A803&amp;L803</f>
        <v>BKH2006</v>
      </c>
      <c r="N803" s="3">
        <f>F803</f>
        <v>0.33</v>
      </c>
      <c r="O803" s="9">
        <f>H803</f>
        <v>3.6900000000000002E-2</v>
      </c>
      <c r="P803" s="10">
        <f t="shared" si="29"/>
        <v>3.4624999999999996E-2</v>
      </c>
      <c r="Q803" s="10">
        <f>IF(K803=0,IF(A800=A803,AVERAGE(O800:O803),"x"),0)</f>
        <v>3.6924999999999999E-2</v>
      </c>
      <c r="R803" s="9">
        <f>IF(L803&gt;2005,AVERAGE(O800:O819),0)</f>
        <v>3.9400000000000004E-2</v>
      </c>
      <c r="S803" s="10">
        <f>IF(A803=A804,(N803-N804)/N804,0)</f>
        <v>3.1250000000000028E-2</v>
      </c>
      <c r="T803" s="10">
        <f>IF(L803&gt;2005,(((N803-N823)/N823)+1)^(1/5)-1,0)</f>
        <v>3.3406482938779236E-2</v>
      </c>
      <c r="U803" s="10">
        <f t="shared" si="30"/>
        <v>7.2806482938779241E-2</v>
      </c>
      <c r="V803" s="26">
        <f t="shared" si="31"/>
        <v>4.4753524081452047</v>
      </c>
      <c r="W803" s="3">
        <f>IF(A803=A804,N803-N804,0)</f>
        <v>1.0000000000000009E-2</v>
      </c>
      <c r="X803" s="10">
        <f>IF(A803=A804,(N803-N804)/N804,0)</f>
        <v>3.1250000000000028E-2</v>
      </c>
    </row>
    <row r="804" spans="1:24" ht="16.5" customHeight="1">
      <c r="A804" s="3" t="s">
        <v>32</v>
      </c>
      <c r="B804" s="3">
        <f t="shared" si="24"/>
        <v>2005</v>
      </c>
      <c r="C804" s="3">
        <f t="shared" si="25"/>
        <v>11</v>
      </c>
      <c r="D804" s="20" t="str">
        <f t="shared" si="26"/>
        <v>BKH200511</v>
      </c>
      <c r="E804" s="2">
        <v>38671</v>
      </c>
      <c r="F804" s="3">
        <v>0.32</v>
      </c>
      <c r="G804" s="2">
        <v>38687</v>
      </c>
      <c r="H804" s="3">
        <v>3.3700000000000001E-2</v>
      </c>
      <c r="I804" s="3">
        <v>0</v>
      </c>
      <c r="J804" s="3">
        <v>0</v>
      </c>
      <c r="K804" s="3">
        <f t="shared" si="27"/>
        <v>2005</v>
      </c>
      <c r="L804" s="3">
        <f t="shared" si="28"/>
        <v>0</v>
      </c>
      <c r="M804" s="20" t="str">
        <f>A804&amp;L804</f>
        <v>BKH0</v>
      </c>
      <c r="N804" s="3">
        <f>F804</f>
        <v>0.32</v>
      </c>
      <c r="O804" s="9">
        <f>H804</f>
        <v>3.3700000000000001E-2</v>
      </c>
      <c r="P804" s="10">
        <f t="shared" si="29"/>
        <v>0</v>
      </c>
      <c r="Q804" s="10">
        <f>IF(K804=0,IF(A801=A804,AVERAGE(O801:O804),"x"),0)</f>
        <v>0</v>
      </c>
      <c r="R804" s="9">
        <f>IF(L804&gt;2005,AVERAGE(O801:O820),0)</f>
        <v>0</v>
      </c>
      <c r="S804" s="10">
        <f>IF(A804=A805,(N804-N805)/N805,0)</f>
        <v>0</v>
      </c>
      <c r="T804" s="10">
        <f>IF(L804&gt;2005,(((N804-N824)/N824)+1)^(1/5)-1,0)</f>
        <v>0</v>
      </c>
      <c r="U804" s="10">
        <f t="shared" si="30"/>
        <v>0</v>
      </c>
      <c r="V804" s="26">
        <f t="shared" si="31"/>
        <v>0</v>
      </c>
      <c r="W804" s="3">
        <f>IF(A804=A805,N804-N805,0)</f>
        <v>0</v>
      </c>
      <c r="X804" s="10">
        <f>IF(A804=A805,(N804-N805)/N805,0)</f>
        <v>0</v>
      </c>
    </row>
    <row r="805" spans="1:24" ht="16.5" customHeight="1">
      <c r="A805" s="3" t="s">
        <v>32</v>
      </c>
      <c r="B805" s="3">
        <f t="shared" si="24"/>
        <v>2005</v>
      </c>
      <c r="C805" s="3">
        <f t="shared" si="25"/>
        <v>8</v>
      </c>
      <c r="D805" s="20" t="str">
        <f t="shared" si="26"/>
        <v>BKH20058</v>
      </c>
      <c r="E805" s="2">
        <v>38580</v>
      </c>
      <c r="F805" s="3">
        <v>0.32</v>
      </c>
      <c r="G805" s="2">
        <v>38596</v>
      </c>
      <c r="H805" s="3">
        <v>3.1800000000000002E-2</v>
      </c>
      <c r="I805" s="3">
        <v>0</v>
      </c>
      <c r="J805" s="3">
        <v>0</v>
      </c>
      <c r="K805" s="3">
        <f t="shared" si="27"/>
        <v>2005</v>
      </c>
      <c r="L805" s="3">
        <f t="shared" si="28"/>
        <v>0</v>
      </c>
      <c r="M805" s="20" t="str">
        <f>A805&amp;L805</f>
        <v>BKH0</v>
      </c>
      <c r="N805" s="3">
        <f>F805</f>
        <v>0.32</v>
      </c>
      <c r="O805" s="9">
        <f>H805</f>
        <v>3.1800000000000002E-2</v>
      </c>
      <c r="P805" s="10">
        <f t="shared" si="29"/>
        <v>0</v>
      </c>
      <c r="Q805" s="10">
        <f>IF(K805=0,IF(A802=A805,AVERAGE(O802:O805),"x"),0)</f>
        <v>0</v>
      </c>
      <c r="R805" s="9">
        <f>IF(L805&gt;2005,AVERAGE(O802:O821),0)</f>
        <v>0</v>
      </c>
      <c r="S805" s="10">
        <f>IF(A805=A806,(N805-N806)/N806,0)</f>
        <v>0</v>
      </c>
      <c r="T805" s="10">
        <f>IF(L805&gt;2005,(((N805-N825)/N825)+1)^(1/5)-1,0)</f>
        <v>0</v>
      </c>
      <c r="U805" s="10">
        <f t="shared" si="30"/>
        <v>0</v>
      </c>
      <c r="V805" s="26">
        <f t="shared" si="31"/>
        <v>0</v>
      </c>
      <c r="W805" s="3">
        <f>IF(A805=A806,N805-N806,0)</f>
        <v>0</v>
      </c>
      <c r="X805" s="10">
        <f>IF(A805=A806,(N805-N806)/N806,0)</f>
        <v>0</v>
      </c>
    </row>
    <row r="806" spans="1:24" ht="16.5" customHeight="1">
      <c r="A806" s="3" t="s">
        <v>32</v>
      </c>
      <c r="B806" s="3">
        <f t="shared" si="24"/>
        <v>2005</v>
      </c>
      <c r="C806" s="3">
        <f t="shared" si="25"/>
        <v>5</v>
      </c>
      <c r="D806" s="20" t="str">
        <f t="shared" si="26"/>
        <v>BKH20055</v>
      </c>
      <c r="E806" s="2">
        <v>38488</v>
      </c>
      <c r="F806" s="3">
        <v>0.32</v>
      </c>
      <c r="G806" s="2">
        <v>38504</v>
      </c>
      <c r="H806" s="3">
        <v>3.61E-2</v>
      </c>
      <c r="I806" s="3">
        <v>0</v>
      </c>
      <c r="J806" s="3">
        <v>0</v>
      </c>
      <c r="K806" s="3">
        <f t="shared" si="27"/>
        <v>2005</v>
      </c>
      <c r="L806" s="3">
        <f t="shared" si="28"/>
        <v>0</v>
      </c>
      <c r="M806" s="20" t="str">
        <f>A806&amp;L806</f>
        <v>BKH0</v>
      </c>
      <c r="N806" s="3">
        <f>F806</f>
        <v>0.32</v>
      </c>
      <c r="O806" s="9">
        <f>H806</f>
        <v>3.61E-2</v>
      </c>
      <c r="P806" s="10">
        <f t="shared" si="29"/>
        <v>0</v>
      </c>
      <c r="Q806" s="10">
        <f>IF(K806=0,IF(A803=A806,AVERAGE(O803:O806),"x"),0)</f>
        <v>0</v>
      </c>
      <c r="R806" s="9">
        <f>IF(L806&gt;2005,AVERAGE(O803:O822),0)</f>
        <v>0</v>
      </c>
      <c r="S806" s="10">
        <f>IF(A806=A807,(N806-N807)/N807,0)</f>
        <v>0</v>
      </c>
      <c r="T806" s="10">
        <f>IF(L806&gt;2005,(((N806-N826)/N826)+1)^(1/5)-1,0)</f>
        <v>0</v>
      </c>
      <c r="U806" s="10">
        <f t="shared" si="30"/>
        <v>0</v>
      </c>
      <c r="V806" s="26">
        <f t="shared" si="31"/>
        <v>0</v>
      </c>
      <c r="W806" s="3">
        <f>IF(A806=A807,N806-N807,0)</f>
        <v>0</v>
      </c>
      <c r="X806" s="10">
        <f>IF(A806=A807,(N806-N807)/N807,0)</f>
        <v>0</v>
      </c>
    </row>
    <row r="807" spans="1:24" ht="16.5" customHeight="1">
      <c r="A807" s="3" t="s">
        <v>32</v>
      </c>
      <c r="B807" s="3">
        <f t="shared" si="24"/>
        <v>2005</v>
      </c>
      <c r="C807" s="3">
        <f t="shared" si="25"/>
        <v>2</v>
      </c>
      <c r="D807" s="20" t="str">
        <f t="shared" si="26"/>
        <v>BKH20052</v>
      </c>
      <c r="E807" s="2">
        <v>38394</v>
      </c>
      <c r="F807" s="3">
        <v>0.32</v>
      </c>
      <c r="G807" s="2">
        <v>38412</v>
      </c>
      <c r="H807" s="3">
        <v>0.04</v>
      </c>
      <c r="I807" s="3">
        <v>3.2258065000000002E-2</v>
      </c>
      <c r="J807" s="3">
        <v>0.01</v>
      </c>
      <c r="K807" s="3">
        <f t="shared" si="27"/>
        <v>0</v>
      </c>
      <c r="L807" s="3">
        <f t="shared" si="28"/>
        <v>2005</v>
      </c>
      <c r="M807" s="20" t="str">
        <f>A807&amp;L807</f>
        <v>BKH2005</v>
      </c>
      <c r="N807" s="3">
        <f>F807</f>
        <v>0.32</v>
      </c>
      <c r="O807" s="9">
        <f>H807</f>
        <v>0.04</v>
      </c>
      <c r="P807" s="10">
        <f t="shared" si="29"/>
        <v>4.1724999999999998E-2</v>
      </c>
      <c r="Q807" s="10">
        <f>IF(K807=0,IF(A804=A807,AVERAGE(O804:O807),"x"),0)</f>
        <v>3.5400000000000001E-2</v>
      </c>
      <c r="R807" s="9">
        <f>IF(L807&gt;2005,AVERAGE(O804:O823),0)</f>
        <v>0</v>
      </c>
      <c r="S807" s="10">
        <f>IF(A807=A808,(N807-N808)/N808,0)</f>
        <v>3.2258064516129059E-2</v>
      </c>
      <c r="T807" s="10">
        <f>IF(L807&gt;2005,(((N807-N827)/N827)+1)^(1/5)-1,0)</f>
        <v>0</v>
      </c>
      <c r="U807" s="10">
        <f t="shared" si="30"/>
        <v>0</v>
      </c>
      <c r="V807" s="26">
        <f t="shared" si="31"/>
        <v>0</v>
      </c>
      <c r="W807" s="3">
        <f>IF(A807=A808,N807-N808,0)</f>
        <v>1.0000000000000009E-2</v>
      </c>
      <c r="X807" s="10">
        <f>IF(A807=A808,(N807-N808)/N808,0)</f>
        <v>3.2258064516129059E-2</v>
      </c>
    </row>
    <row r="808" spans="1:24" ht="16.5" customHeight="1">
      <c r="A808" s="3" t="s">
        <v>32</v>
      </c>
      <c r="B808" s="3">
        <f t="shared" si="24"/>
        <v>2004</v>
      </c>
      <c r="C808" s="3">
        <f t="shared" si="25"/>
        <v>11</v>
      </c>
      <c r="D808" s="20" t="str">
        <f t="shared" si="26"/>
        <v>BKH200411</v>
      </c>
      <c r="E808" s="2">
        <v>38306</v>
      </c>
      <c r="F808" s="3">
        <v>0.31</v>
      </c>
      <c r="G808" s="2">
        <v>38322</v>
      </c>
      <c r="H808" s="3">
        <v>3.95E-2</v>
      </c>
      <c r="I808" s="3">
        <v>0</v>
      </c>
      <c r="J808" s="3">
        <v>0</v>
      </c>
      <c r="K808" s="3">
        <f t="shared" si="27"/>
        <v>2004</v>
      </c>
      <c r="L808" s="3">
        <f t="shared" si="28"/>
        <v>0</v>
      </c>
      <c r="M808" s="20" t="str">
        <f>A808&amp;L808</f>
        <v>BKH0</v>
      </c>
      <c r="N808" s="3">
        <f>F808</f>
        <v>0.31</v>
      </c>
      <c r="O808" s="9">
        <f>H808</f>
        <v>3.95E-2</v>
      </c>
      <c r="P808" s="10">
        <f t="shared" si="29"/>
        <v>0</v>
      </c>
      <c r="Q808" s="10">
        <f>IF(K808=0,IF(A805=A808,AVERAGE(O805:O808),"x"),0)</f>
        <v>0</v>
      </c>
      <c r="R808" s="9">
        <f>IF(L808&gt;2005,AVERAGE(O805:O824),0)</f>
        <v>0</v>
      </c>
      <c r="S808" s="10">
        <f>IF(A808=A809,(N808-N809)/N809,0)</f>
        <v>0</v>
      </c>
      <c r="T808" s="10">
        <f>IF(L808&gt;2005,(((N808-N828)/N828)+1)^(1/5)-1,0)</f>
        <v>0</v>
      </c>
      <c r="U808" s="10">
        <f t="shared" si="30"/>
        <v>0</v>
      </c>
      <c r="V808" s="26">
        <f t="shared" si="31"/>
        <v>0</v>
      </c>
      <c r="W808" s="3">
        <f>IF(A808=A809,N808-N809,0)</f>
        <v>0</v>
      </c>
      <c r="X808" s="10">
        <f>IF(A808=A809,(N808-N809)/N809,0)</f>
        <v>0</v>
      </c>
    </row>
    <row r="809" spans="1:24" ht="16.5" customHeight="1">
      <c r="A809" s="3" t="s">
        <v>32</v>
      </c>
      <c r="B809" s="3">
        <f t="shared" si="24"/>
        <v>2004</v>
      </c>
      <c r="C809" s="3">
        <f t="shared" si="25"/>
        <v>8</v>
      </c>
      <c r="D809" s="20" t="str">
        <f t="shared" si="26"/>
        <v>BKH20048</v>
      </c>
      <c r="E809" s="2">
        <v>38211</v>
      </c>
      <c r="F809" s="3">
        <v>0.31</v>
      </c>
      <c r="G809" s="2">
        <v>38231</v>
      </c>
      <c r="H809" s="3">
        <v>4.5699999999999998E-2</v>
      </c>
      <c r="I809" s="3">
        <v>0</v>
      </c>
      <c r="J809" s="3">
        <v>0</v>
      </c>
      <c r="K809" s="3">
        <f t="shared" si="27"/>
        <v>2004</v>
      </c>
      <c r="L809" s="3">
        <f t="shared" si="28"/>
        <v>0</v>
      </c>
      <c r="M809" s="20" t="str">
        <f>A809&amp;L809</f>
        <v>BKH0</v>
      </c>
      <c r="N809" s="3">
        <f>F809</f>
        <v>0.31</v>
      </c>
      <c r="O809" s="9">
        <f>H809</f>
        <v>4.5699999999999998E-2</v>
      </c>
      <c r="P809" s="10">
        <f t="shared" si="29"/>
        <v>0</v>
      </c>
      <c r="Q809" s="10">
        <f>IF(K809=0,IF(A806=A809,AVERAGE(O806:O809),"x"),0)</f>
        <v>0</v>
      </c>
      <c r="R809" s="9">
        <f>IF(L809&gt;2005,AVERAGE(O806:O825),0)</f>
        <v>0</v>
      </c>
      <c r="S809" s="10">
        <f>IF(A809=A810,(N809-N810)/N810,0)</f>
        <v>0</v>
      </c>
      <c r="T809" s="10">
        <f>IF(L809&gt;2005,(((N809-N829)/N829)+1)^(1/5)-1,0)</f>
        <v>0</v>
      </c>
      <c r="U809" s="10">
        <f t="shared" si="30"/>
        <v>0</v>
      </c>
      <c r="V809" s="26">
        <f t="shared" si="31"/>
        <v>0</v>
      </c>
      <c r="W809" s="3">
        <f>IF(A809=A810,N809-N810,0)</f>
        <v>0</v>
      </c>
      <c r="X809" s="10">
        <f>IF(A809=A810,(N809-N810)/N810,0)</f>
        <v>0</v>
      </c>
    </row>
    <row r="810" spans="1:24" ht="16.5" customHeight="1">
      <c r="A810" s="3" t="s">
        <v>32</v>
      </c>
      <c r="B810" s="3">
        <f t="shared" si="24"/>
        <v>2004</v>
      </c>
      <c r="C810" s="3">
        <f t="shared" si="25"/>
        <v>5</v>
      </c>
      <c r="D810" s="20" t="str">
        <f t="shared" si="26"/>
        <v>BKH20045</v>
      </c>
      <c r="E810" s="2">
        <v>38120</v>
      </c>
      <c r="F810" s="3">
        <v>0.31</v>
      </c>
      <c r="G810" s="2">
        <v>38139</v>
      </c>
      <c r="H810" s="3">
        <v>4.1700000000000001E-2</v>
      </c>
      <c r="I810" s="3">
        <v>0</v>
      </c>
      <c r="J810" s="3">
        <v>0</v>
      </c>
      <c r="K810" s="3">
        <f t="shared" si="27"/>
        <v>2004</v>
      </c>
      <c r="L810" s="3">
        <f t="shared" si="28"/>
        <v>0</v>
      </c>
      <c r="M810" s="20" t="str">
        <f>A810&amp;L810</f>
        <v>BKH0</v>
      </c>
      <c r="N810" s="3">
        <f>F810</f>
        <v>0.31</v>
      </c>
      <c r="O810" s="9">
        <f>H810</f>
        <v>4.1700000000000001E-2</v>
      </c>
      <c r="P810" s="10">
        <f t="shared" si="29"/>
        <v>0</v>
      </c>
      <c r="Q810" s="10">
        <f>IF(K810=0,IF(A807=A810,AVERAGE(O807:O810),"x"),0)</f>
        <v>0</v>
      </c>
      <c r="R810" s="9">
        <f>IF(L810&gt;2005,AVERAGE(O807:O826),0)</f>
        <v>0</v>
      </c>
      <c r="S810" s="10">
        <f>IF(A810=A811,(N810-N811)/N811,0)</f>
        <v>0</v>
      </c>
      <c r="T810" s="10">
        <f>IF(L810&gt;2005,(((N810-N830)/N830)+1)^(1/5)-1,0)</f>
        <v>0</v>
      </c>
      <c r="U810" s="10">
        <f t="shared" si="30"/>
        <v>0</v>
      </c>
      <c r="V810" s="26">
        <f t="shared" si="31"/>
        <v>0</v>
      </c>
      <c r="W810" s="3">
        <f>IF(A810=A811,N810-N811,0)</f>
        <v>0</v>
      </c>
      <c r="X810" s="10">
        <f>IF(A810=A811,(N810-N811)/N811,0)</f>
        <v>0</v>
      </c>
    </row>
    <row r="811" spans="1:24" ht="16.5" customHeight="1">
      <c r="A811" s="3" t="s">
        <v>32</v>
      </c>
      <c r="B811" s="3">
        <f t="shared" si="24"/>
        <v>2004</v>
      </c>
      <c r="C811" s="3">
        <f t="shared" si="25"/>
        <v>2</v>
      </c>
      <c r="D811" s="20" t="str">
        <f t="shared" si="26"/>
        <v>BKH20042</v>
      </c>
      <c r="E811" s="2">
        <v>38029</v>
      </c>
      <c r="F811" s="3">
        <v>0.31</v>
      </c>
      <c r="G811" s="2">
        <v>38047</v>
      </c>
      <c r="H811" s="3">
        <v>4.0099999999999997E-2</v>
      </c>
      <c r="I811" s="3">
        <v>3.3333333E-2</v>
      </c>
      <c r="J811" s="3">
        <v>0.01</v>
      </c>
      <c r="K811" s="3">
        <f t="shared" si="27"/>
        <v>0</v>
      </c>
      <c r="L811" s="3">
        <f t="shared" si="28"/>
        <v>2004</v>
      </c>
      <c r="M811" s="20" t="str">
        <f>A811&amp;L811</f>
        <v>BKH2004</v>
      </c>
      <c r="N811" s="3">
        <f>F811</f>
        <v>0.31</v>
      </c>
      <c r="O811" s="9">
        <f>H811</f>
        <v>4.0099999999999997E-2</v>
      </c>
      <c r="P811" s="10">
        <f t="shared" si="29"/>
        <v>3.9275000000000004E-2</v>
      </c>
      <c r="Q811" s="10">
        <f>IF(K811=0,IF(A808=A811,AVERAGE(O808:O811),"x"),0)</f>
        <v>4.1750000000000002E-2</v>
      </c>
      <c r="R811" s="9">
        <f>IF(L811&gt;2005,AVERAGE(O808:O827),0)</f>
        <v>0</v>
      </c>
      <c r="S811" s="10">
        <f>IF(A811=A812,(N811-N812)/N812,0)</f>
        <v>3.3333333333333368E-2</v>
      </c>
      <c r="T811" s="10">
        <f>IF(L811&gt;2005,(((N811-N831)/N831)+1)^(1/5)-1,0)</f>
        <v>0</v>
      </c>
      <c r="U811" s="10">
        <f t="shared" si="30"/>
        <v>0</v>
      </c>
      <c r="V811" s="26">
        <f t="shared" si="31"/>
        <v>0</v>
      </c>
      <c r="W811" s="3">
        <f>IF(A811=A812,N811-N812,0)</f>
        <v>1.0000000000000009E-2</v>
      </c>
      <c r="X811" s="10">
        <f>IF(A811=A812,(N811-N812)/N812,0)</f>
        <v>3.3333333333333368E-2</v>
      </c>
    </row>
    <row r="812" spans="1:24" ht="16.5" customHeight="1">
      <c r="A812" s="3" t="s">
        <v>32</v>
      </c>
      <c r="B812" s="3">
        <f t="shared" si="24"/>
        <v>2003</v>
      </c>
      <c r="C812" s="3">
        <f t="shared" si="25"/>
        <v>11</v>
      </c>
      <c r="D812" s="20" t="str">
        <f t="shared" si="26"/>
        <v>BKH200311</v>
      </c>
      <c r="E812" s="2">
        <v>37937</v>
      </c>
      <c r="F812" s="3">
        <v>0.3</v>
      </c>
      <c r="G812" s="2">
        <v>37956</v>
      </c>
      <c r="H812" s="3">
        <v>3.7499999999999999E-2</v>
      </c>
      <c r="I812" s="3">
        <v>0</v>
      </c>
      <c r="J812" s="3">
        <v>0</v>
      </c>
      <c r="K812" s="3">
        <f t="shared" si="27"/>
        <v>2003</v>
      </c>
      <c r="L812" s="3">
        <f t="shared" si="28"/>
        <v>0</v>
      </c>
      <c r="M812" s="20" t="str">
        <f>A812&amp;L812</f>
        <v>BKH0</v>
      </c>
      <c r="N812" s="3">
        <f>F812</f>
        <v>0.3</v>
      </c>
      <c r="O812" s="9">
        <f>H812</f>
        <v>3.7499999999999999E-2</v>
      </c>
      <c r="P812" s="10">
        <f t="shared" si="29"/>
        <v>0</v>
      </c>
      <c r="Q812" s="10">
        <f>IF(K812=0,IF(A809=A812,AVERAGE(O809:O812),"x"),0)</f>
        <v>0</v>
      </c>
      <c r="R812" s="9">
        <f>IF(L812&gt;2005,AVERAGE(O809:O828),0)</f>
        <v>0</v>
      </c>
      <c r="S812" s="10">
        <f>IF(A812=A813,(N812-N813)/N813,0)</f>
        <v>0</v>
      </c>
      <c r="T812" s="10">
        <f>IF(L812&gt;2005,(((N812-N832)/N832)+1)^(1/5)-1,0)</f>
        <v>0</v>
      </c>
      <c r="U812" s="10">
        <f t="shared" si="30"/>
        <v>0</v>
      </c>
      <c r="V812" s="26">
        <f t="shared" si="31"/>
        <v>0</v>
      </c>
      <c r="W812" s="3">
        <f>IF(A812=A813,N812-N813,0)</f>
        <v>0</v>
      </c>
      <c r="X812" s="10">
        <f>IF(A812=A813,(N812-N813)/N813,0)</f>
        <v>0</v>
      </c>
    </row>
    <row r="813" spans="1:24" ht="16.5" customHeight="1">
      <c r="A813" s="3" t="s">
        <v>32</v>
      </c>
      <c r="B813" s="3">
        <f t="shared" si="24"/>
        <v>2003</v>
      </c>
      <c r="C813" s="3">
        <f t="shared" si="25"/>
        <v>8</v>
      </c>
      <c r="D813" s="20" t="str">
        <f t="shared" si="26"/>
        <v>BKH20038</v>
      </c>
      <c r="E813" s="2">
        <v>37846</v>
      </c>
      <c r="F813" s="3">
        <v>0.3</v>
      </c>
      <c r="G813" s="2">
        <v>37865</v>
      </c>
      <c r="H813" s="3">
        <v>3.7499999999999999E-2</v>
      </c>
      <c r="I813" s="3">
        <v>0</v>
      </c>
      <c r="J813" s="3">
        <v>0</v>
      </c>
      <c r="K813" s="3">
        <f t="shared" si="27"/>
        <v>2003</v>
      </c>
      <c r="L813" s="3">
        <f t="shared" si="28"/>
        <v>0</v>
      </c>
      <c r="M813" s="20" t="str">
        <f>A813&amp;L813</f>
        <v>BKH0</v>
      </c>
      <c r="N813" s="3">
        <f>F813</f>
        <v>0.3</v>
      </c>
      <c r="O813" s="9">
        <f>H813</f>
        <v>3.7499999999999999E-2</v>
      </c>
      <c r="P813" s="10">
        <f t="shared" si="29"/>
        <v>0</v>
      </c>
      <c r="Q813" s="10">
        <f>IF(K813=0,IF(A810=A813,AVERAGE(O810:O813),"x"),0)</f>
        <v>0</v>
      </c>
      <c r="R813" s="9">
        <f>IF(L813&gt;2005,AVERAGE(O810:O829),0)</f>
        <v>0</v>
      </c>
      <c r="S813" s="10">
        <f>IF(A813=A814,(N813-N814)/N814,0)</f>
        <v>0</v>
      </c>
      <c r="T813" s="10">
        <f>IF(L813&gt;2005,(((N813-N833)/N833)+1)^(1/5)-1,0)</f>
        <v>0</v>
      </c>
      <c r="U813" s="10">
        <f t="shared" si="30"/>
        <v>0</v>
      </c>
      <c r="V813" s="26">
        <f t="shared" si="31"/>
        <v>0</v>
      </c>
      <c r="W813" s="3">
        <f>IF(A813=A814,N813-N814,0)</f>
        <v>0</v>
      </c>
      <c r="X813" s="10">
        <f>IF(A813=A814,(N813-N814)/N814,0)</f>
        <v>0</v>
      </c>
    </row>
    <row r="814" spans="1:24" ht="16.5" customHeight="1">
      <c r="A814" s="3" t="s">
        <v>32</v>
      </c>
      <c r="B814" s="3">
        <f t="shared" si="24"/>
        <v>2003</v>
      </c>
      <c r="C814" s="3">
        <f t="shared" si="25"/>
        <v>5</v>
      </c>
      <c r="D814" s="20" t="str">
        <f t="shared" si="26"/>
        <v>BKH20035</v>
      </c>
      <c r="E814" s="2">
        <v>37757</v>
      </c>
      <c r="F814" s="3">
        <v>0.3</v>
      </c>
      <c r="G814" s="2">
        <v>37773</v>
      </c>
      <c r="H814" s="3">
        <v>4.2000000000000003E-2</v>
      </c>
      <c r="I814" s="3">
        <v>0</v>
      </c>
      <c r="J814" s="3">
        <v>0</v>
      </c>
      <c r="K814" s="3">
        <f t="shared" si="27"/>
        <v>2003</v>
      </c>
      <c r="L814" s="3">
        <f t="shared" si="28"/>
        <v>0</v>
      </c>
      <c r="M814" s="20" t="str">
        <f>A814&amp;L814</f>
        <v>BKH0</v>
      </c>
      <c r="N814" s="3">
        <f>F814</f>
        <v>0.3</v>
      </c>
      <c r="O814" s="9">
        <f>H814</f>
        <v>4.2000000000000003E-2</v>
      </c>
      <c r="P814" s="10">
        <f t="shared" si="29"/>
        <v>0</v>
      </c>
      <c r="Q814" s="10">
        <f>IF(K814=0,IF(A811=A814,AVERAGE(O811:O814),"x"),0)</f>
        <v>0</v>
      </c>
      <c r="R814" s="9">
        <f>IF(L814&gt;2005,AVERAGE(O811:O830),0)</f>
        <v>0</v>
      </c>
      <c r="S814" s="10">
        <f>IF(A814=A815,(N814-N815)/N815,0)</f>
        <v>0</v>
      </c>
      <c r="T814" s="10">
        <f>IF(L814&gt;2005,(((N814-N834)/N834)+1)^(1/5)-1,0)</f>
        <v>0</v>
      </c>
      <c r="U814" s="10">
        <f t="shared" si="30"/>
        <v>0</v>
      </c>
      <c r="V814" s="26">
        <f t="shared" si="31"/>
        <v>0</v>
      </c>
      <c r="W814" s="3">
        <f>IF(A814=A815,N814-N815,0)</f>
        <v>0</v>
      </c>
      <c r="X814" s="10">
        <f>IF(A814=A815,(N814-N815)/N815,0)</f>
        <v>0</v>
      </c>
    </row>
    <row r="815" spans="1:24" ht="16.5" customHeight="1">
      <c r="A815" s="3" t="s">
        <v>32</v>
      </c>
      <c r="B815" s="3">
        <f t="shared" si="24"/>
        <v>2003</v>
      </c>
      <c r="C815" s="3">
        <f t="shared" si="25"/>
        <v>2</v>
      </c>
      <c r="D815" s="20" t="str">
        <f t="shared" si="26"/>
        <v>BKH20032</v>
      </c>
      <c r="E815" s="2">
        <v>37664</v>
      </c>
      <c r="F815" s="3">
        <v>0.3</v>
      </c>
      <c r="G815" s="2">
        <v>37681</v>
      </c>
      <c r="H815" s="3">
        <v>5.0999999999999997E-2</v>
      </c>
      <c r="I815" s="3">
        <v>3.4482759000000002E-2</v>
      </c>
      <c r="J815" s="3">
        <v>0.01</v>
      </c>
      <c r="K815" s="3">
        <f t="shared" si="27"/>
        <v>0</v>
      </c>
      <c r="L815" s="3">
        <f t="shared" si="28"/>
        <v>2003</v>
      </c>
      <c r="M815" s="20" t="str">
        <f>A815&amp;L815</f>
        <v>BKH2003</v>
      </c>
      <c r="N815" s="3">
        <f>F815</f>
        <v>0.3</v>
      </c>
      <c r="O815" s="9">
        <f>H815</f>
        <v>5.0999999999999997E-2</v>
      </c>
      <c r="P815" s="10">
        <f t="shared" si="29"/>
        <v>4.3949999999999996E-2</v>
      </c>
      <c r="Q815" s="10">
        <f>IF(K815=0,IF(A812=A815,AVERAGE(O812:O815),"x"),0)</f>
        <v>4.1999999999999996E-2</v>
      </c>
      <c r="R815" s="9">
        <f>IF(L815&gt;2005,AVERAGE(O812:O831),0)</f>
        <v>0</v>
      </c>
      <c r="S815" s="10">
        <f>IF(A815=A816,(N815-N816)/N816,0)</f>
        <v>3.4482758620689689E-2</v>
      </c>
      <c r="T815" s="10">
        <f>IF(L815&gt;2005,(((N815-N835)/N835)+1)^(1/5)-1,0)</f>
        <v>0</v>
      </c>
      <c r="U815" s="10">
        <f t="shared" si="30"/>
        <v>0</v>
      </c>
      <c r="V815" s="26">
        <f t="shared" si="31"/>
        <v>0</v>
      </c>
      <c r="W815" s="3">
        <f>IF(A815=A816,N815-N816,0)</f>
        <v>1.0000000000000009E-2</v>
      </c>
      <c r="X815" s="10">
        <f>IF(A815=A816,(N815-N816)/N816,0)</f>
        <v>3.4482758620689689E-2</v>
      </c>
    </row>
    <row r="816" spans="1:24" ht="16.5" customHeight="1">
      <c r="A816" s="3" t="s">
        <v>32</v>
      </c>
      <c r="B816" s="3">
        <f t="shared" si="24"/>
        <v>2002</v>
      </c>
      <c r="C816" s="3">
        <f t="shared" si="25"/>
        <v>11</v>
      </c>
      <c r="D816" s="20" t="str">
        <f t="shared" si="26"/>
        <v>BKH200211</v>
      </c>
      <c r="E816" s="2">
        <v>37573</v>
      </c>
      <c r="F816" s="3">
        <v>0.28999999999999998</v>
      </c>
      <c r="G816" s="2">
        <v>37591</v>
      </c>
      <c r="H816" s="3">
        <v>4.7800000000000002E-2</v>
      </c>
      <c r="I816" s="3">
        <v>0</v>
      </c>
      <c r="J816" s="3">
        <v>0</v>
      </c>
      <c r="K816" s="3">
        <f t="shared" si="27"/>
        <v>2002</v>
      </c>
      <c r="L816" s="3">
        <f t="shared" si="28"/>
        <v>0</v>
      </c>
      <c r="M816" s="20" t="str">
        <f>A816&amp;L816</f>
        <v>BKH0</v>
      </c>
      <c r="N816" s="3">
        <f>F816</f>
        <v>0.28999999999999998</v>
      </c>
      <c r="O816" s="9">
        <f>H816</f>
        <v>4.7800000000000002E-2</v>
      </c>
      <c r="P816" s="10">
        <f t="shared" si="29"/>
        <v>0</v>
      </c>
      <c r="Q816" s="10">
        <f>IF(K816=0,IF(A813=A816,AVERAGE(O813:O816),"x"),0)</f>
        <v>0</v>
      </c>
      <c r="R816" s="9">
        <f>IF(L816&gt;2005,AVERAGE(O813:O832),0)</f>
        <v>0</v>
      </c>
      <c r="S816" s="10">
        <f>IF(A816=A817,(N816-N817)/N817,0)</f>
        <v>0</v>
      </c>
      <c r="T816" s="10">
        <f>IF(L816&gt;2005,(((N816-N836)/N836)+1)^(1/5)-1,0)</f>
        <v>0</v>
      </c>
      <c r="U816" s="10">
        <f t="shared" si="30"/>
        <v>0</v>
      </c>
      <c r="V816" s="26">
        <f t="shared" si="31"/>
        <v>0</v>
      </c>
      <c r="W816" s="3">
        <f>IF(A816=A817,N816-N817,0)</f>
        <v>0</v>
      </c>
      <c r="X816" s="10">
        <f>IF(A816=A817,(N816-N817)/N817,0)</f>
        <v>0</v>
      </c>
    </row>
    <row r="817" spans="1:24" ht="16.5" customHeight="1">
      <c r="A817" s="3" t="s">
        <v>32</v>
      </c>
      <c r="B817" s="3">
        <f t="shared" si="24"/>
        <v>2002</v>
      </c>
      <c r="C817" s="3">
        <f t="shared" si="25"/>
        <v>8</v>
      </c>
      <c r="D817" s="20" t="str">
        <f t="shared" si="26"/>
        <v>BKH20028</v>
      </c>
      <c r="E817" s="2">
        <v>37482</v>
      </c>
      <c r="F817" s="3">
        <v>0.28999999999999998</v>
      </c>
      <c r="G817" s="2">
        <v>37500</v>
      </c>
      <c r="H817" s="3">
        <v>4.4999999999999998E-2</v>
      </c>
      <c r="I817" s="3">
        <v>0</v>
      </c>
      <c r="J817" s="3">
        <v>0</v>
      </c>
      <c r="K817" s="3">
        <f t="shared" si="27"/>
        <v>2002</v>
      </c>
      <c r="L817" s="3">
        <f t="shared" si="28"/>
        <v>0</v>
      </c>
      <c r="M817" s="20" t="str">
        <f>A817&amp;L817</f>
        <v>BKH0</v>
      </c>
      <c r="N817" s="3">
        <f>F817</f>
        <v>0.28999999999999998</v>
      </c>
      <c r="O817" s="9">
        <f>H817</f>
        <v>4.4999999999999998E-2</v>
      </c>
      <c r="P817" s="10">
        <f t="shared" si="29"/>
        <v>0</v>
      </c>
      <c r="Q817" s="10">
        <f>IF(K817=0,IF(A814=A817,AVERAGE(O814:O817),"x"),0)</f>
        <v>0</v>
      </c>
      <c r="R817" s="9">
        <f>IF(L817&gt;2005,AVERAGE(O814:O833),0)</f>
        <v>0</v>
      </c>
      <c r="S817" s="10">
        <f>IF(A817=A818,(N817-N818)/N818,0)</f>
        <v>0</v>
      </c>
      <c r="T817" s="10">
        <f>IF(L817&gt;2005,(((N817-N837)/N837)+1)^(1/5)-1,0)</f>
        <v>0</v>
      </c>
      <c r="U817" s="10">
        <f t="shared" si="30"/>
        <v>0</v>
      </c>
      <c r="V817" s="26">
        <f t="shared" si="31"/>
        <v>0</v>
      </c>
      <c r="W817" s="3">
        <f>IF(A817=A818,N817-N818,0)</f>
        <v>0</v>
      </c>
      <c r="X817" s="10">
        <f>IF(A817=A818,(N817-N818)/N818,0)</f>
        <v>0</v>
      </c>
    </row>
    <row r="818" spans="1:24" ht="16.5" customHeight="1">
      <c r="A818" s="3" t="s">
        <v>32</v>
      </c>
      <c r="B818" s="3">
        <f t="shared" si="24"/>
        <v>2002</v>
      </c>
      <c r="C818" s="3">
        <f t="shared" si="25"/>
        <v>5</v>
      </c>
      <c r="D818" s="20" t="str">
        <f t="shared" si="26"/>
        <v>BKH20025</v>
      </c>
      <c r="E818" s="2">
        <v>37391</v>
      </c>
      <c r="F818" s="3">
        <v>0.28999999999999998</v>
      </c>
      <c r="G818" s="2">
        <v>37408</v>
      </c>
      <c r="H818" s="3">
        <v>3.2000000000000001E-2</v>
      </c>
      <c r="I818" s="3">
        <v>0</v>
      </c>
      <c r="J818" s="3">
        <v>0</v>
      </c>
      <c r="K818" s="3">
        <f t="shared" si="27"/>
        <v>2002</v>
      </c>
      <c r="L818" s="3">
        <f t="shared" si="28"/>
        <v>0</v>
      </c>
      <c r="M818" s="20" t="str">
        <f>A818&amp;L818</f>
        <v>BKH0</v>
      </c>
      <c r="N818" s="3">
        <f>F818</f>
        <v>0.28999999999999998</v>
      </c>
      <c r="O818" s="9">
        <f>H818</f>
        <v>3.2000000000000001E-2</v>
      </c>
      <c r="P818" s="10">
        <f t="shared" si="29"/>
        <v>0</v>
      </c>
      <c r="Q818" s="10">
        <f>IF(K818=0,IF(A815=A818,AVERAGE(O815:O818),"x"),0)</f>
        <v>0</v>
      </c>
      <c r="R818" s="9">
        <f>IF(L818&gt;2005,AVERAGE(O815:O834),0)</f>
        <v>0</v>
      </c>
      <c r="S818" s="10">
        <f>IF(A818=A819,(N818-N819)/N819,0)</f>
        <v>0</v>
      </c>
      <c r="T818" s="10">
        <f>IF(L818&gt;2005,(((N818-N838)/N838)+1)^(1/5)-1,0)</f>
        <v>0</v>
      </c>
      <c r="U818" s="10">
        <f t="shared" si="30"/>
        <v>0</v>
      </c>
      <c r="V818" s="26">
        <f t="shared" si="31"/>
        <v>0</v>
      </c>
      <c r="W818" s="3">
        <f>IF(A818=A819,N818-N819,0)</f>
        <v>0</v>
      </c>
      <c r="X818" s="10">
        <f>IF(A818=A819,(N818-N819)/N819,0)</f>
        <v>0</v>
      </c>
    </row>
    <row r="819" spans="1:24" ht="16.5" customHeight="1">
      <c r="A819" s="3" t="s">
        <v>32</v>
      </c>
      <c r="B819" s="3">
        <f t="shared" si="24"/>
        <v>2002</v>
      </c>
      <c r="C819" s="3">
        <f t="shared" si="25"/>
        <v>2</v>
      </c>
      <c r="D819" s="20" t="str">
        <f t="shared" si="26"/>
        <v>BKH20022</v>
      </c>
      <c r="E819" s="2">
        <v>37300</v>
      </c>
      <c r="F819" s="3">
        <v>0.28999999999999998</v>
      </c>
      <c r="G819" s="2">
        <v>37316</v>
      </c>
      <c r="H819" s="3">
        <v>3.8899999999999997E-2</v>
      </c>
      <c r="I819" s="3">
        <v>3.5714285999999998E-2</v>
      </c>
      <c r="J819" s="3">
        <v>0.01</v>
      </c>
      <c r="K819" s="3">
        <f t="shared" si="27"/>
        <v>0</v>
      </c>
      <c r="L819" s="3">
        <f t="shared" si="28"/>
        <v>2002</v>
      </c>
      <c r="M819" s="20" t="str">
        <f>A819&amp;L819</f>
        <v>BKH2002</v>
      </c>
      <c r="N819" s="3">
        <f>F819</f>
        <v>0.28999999999999998</v>
      </c>
      <c r="O819" s="9">
        <f>H819</f>
        <v>3.8899999999999997E-2</v>
      </c>
      <c r="P819" s="10">
        <f t="shared" si="29"/>
        <v>3.1549999999999995E-2</v>
      </c>
      <c r="Q819" s="10">
        <f>IF(K819=0,IF(A816=A819,AVERAGE(O816:O819),"x"),0)</f>
        <v>4.0924999999999996E-2</v>
      </c>
      <c r="R819" s="9">
        <f>IF(L819&gt;2005,AVERAGE(O816:O835),0)</f>
        <v>0</v>
      </c>
      <c r="S819" s="10">
        <f>IF(A819=A820,(N819-N820)/N820,0)</f>
        <v>3.5714285714285546E-2</v>
      </c>
      <c r="T819" s="10">
        <f>IF(L819&gt;2005,(((N819-N839)/N839)+1)^(1/5)-1,0)</f>
        <v>0</v>
      </c>
      <c r="U819" s="10">
        <f t="shared" si="30"/>
        <v>0</v>
      </c>
      <c r="V819" s="26">
        <f t="shared" si="31"/>
        <v>0</v>
      </c>
      <c r="W819" s="3">
        <f>IF(A819=A820,N819-N820,0)</f>
        <v>9.9999999999999534E-3</v>
      </c>
      <c r="X819" s="10">
        <f>IF(A819=A820,(N819-N820)/N820,0)</f>
        <v>3.5714285714285546E-2</v>
      </c>
    </row>
    <row r="820" spans="1:24" ht="16.5" customHeight="1">
      <c r="A820" s="3" t="s">
        <v>32</v>
      </c>
      <c r="B820" s="3">
        <f t="shared" si="24"/>
        <v>2001</v>
      </c>
      <c r="C820" s="3">
        <f t="shared" si="25"/>
        <v>11</v>
      </c>
      <c r="D820" s="20" t="str">
        <f t="shared" si="26"/>
        <v>BKH200111</v>
      </c>
      <c r="E820" s="2">
        <v>37210</v>
      </c>
      <c r="F820" s="3">
        <v>0.28000000000000003</v>
      </c>
      <c r="G820" s="2">
        <v>37226</v>
      </c>
      <c r="H820" s="3">
        <v>3.6999999999999998E-2</v>
      </c>
      <c r="I820" s="3">
        <v>0</v>
      </c>
      <c r="J820" s="3">
        <v>0</v>
      </c>
      <c r="K820" s="3">
        <f t="shared" si="27"/>
        <v>2001</v>
      </c>
      <c r="L820" s="3">
        <f t="shared" si="28"/>
        <v>0</v>
      </c>
      <c r="M820" s="20" t="str">
        <f>A820&amp;L820</f>
        <v>BKH0</v>
      </c>
      <c r="N820" s="3">
        <f>F820</f>
        <v>0.28000000000000003</v>
      </c>
      <c r="O820" s="9">
        <f>H820</f>
        <v>3.6999999999999998E-2</v>
      </c>
      <c r="P820" s="10">
        <f t="shared" si="29"/>
        <v>0</v>
      </c>
      <c r="Q820" s="10">
        <f>IF(K820=0,IF(A817=A820,AVERAGE(O817:O820),"x"),0)</f>
        <v>0</v>
      </c>
      <c r="R820" s="9">
        <f>IF(L820&gt;2005,AVERAGE(O817:O836),0)</f>
        <v>0</v>
      </c>
      <c r="S820" s="10">
        <f>IF(A820=A821,(N820-N821)/N821,0)</f>
        <v>0</v>
      </c>
      <c r="T820" s="10">
        <f>IF(L820&gt;2005,(((N820-N840)/N840)+1)^(1/5)-1,0)</f>
        <v>0</v>
      </c>
      <c r="U820" s="10">
        <f t="shared" si="30"/>
        <v>0</v>
      </c>
      <c r="V820" s="26">
        <f t="shared" si="31"/>
        <v>0</v>
      </c>
      <c r="W820" s="3">
        <f>IF(A820=A821,N820-N821,0)</f>
        <v>0</v>
      </c>
      <c r="X820" s="10">
        <f>IF(A820=A821,(N820-N821)/N821,0)</f>
        <v>0</v>
      </c>
    </row>
    <row r="821" spans="1:24" ht="16.5" customHeight="1">
      <c r="A821" s="3" t="s">
        <v>32</v>
      </c>
      <c r="B821" s="3">
        <f t="shared" si="24"/>
        <v>2001</v>
      </c>
      <c r="C821" s="3">
        <f t="shared" si="25"/>
        <v>8</v>
      </c>
      <c r="D821" s="20" t="str">
        <f t="shared" si="26"/>
        <v>BKH20018</v>
      </c>
      <c r="E821" s="2">
        <v>37117</v>
      </c>
      <c r="F821" s="3">
        <v>0.28000000000000003</v>
      </c>
      <c r="G821" s="2">
        <v>37135</v>
      </c>
      <c r="H821" s="3">
        <v>0.03</v>
      </c>
      <c r="I821" s="3">
        <v>0</v>
      </c>
      <c r="J821" s="3">
        <v>0</v>
      </c>
      <c r="K821" s="3">
        <f t="shared" si="27"/>
        <v>2001</v>
      </c>
      <c r="L821" s="3">
        <f t="shared" si="28"/>
        <v>0</v>
      </c>
      <c r="M821" s="20" t="str">
        <f>A821&amp;L821</f>
        <v>BKH0</v>
      </c>
      <c r="N821" s="3">
        <f>F821</f>
        <v>0.28000000000000003</v>
      </c>
      <c r="O821" s="9">
        <f>H821</f>
        <v>0.03</v>
      </c>
      <c r="P821" s="10">
        <f t="shared" si="29"/>
        <v>0</v>
      </c>
      <c r="Q821" s="10">
        <f>IF(K821=0,IF(A818=A821,AVERAGE(O818:O821),"x"),0)</f>
        <v>0</v>
      </c>
      <c r="R821" s="9">
        <f>IF(L821&gt;2005,AVERAGE(O818:O837),0)</f>
        <v>0</v>
      </c>
      <c r="S821" s="10">
        <f>IF(A821=A822,(N821-N822)/N822,0)</f>
        <v>0</v>
      </c>
      <c r="T821" s="10">
        <f>IF(L821&gt;2005,(((N821-N841)/N841)+1)^(1/5)-1,0)</f>
        <v>0</v>
      </c>
      <c r="U821" s="10">
        <f t="shared" si="30"/>
        <v>0</v>
      </c>
      <c r="V821" s="26">
        <f t="shared" si="31"/>
        <v>0</v>
      </c>
      <c r="W821" s="3">
        <f>IF(A821=A822,N821-N822,0)</f>
        <v>0</v>
      </c>
      <c r="X821" s="10">
        <f>IF(A821=A822,(N821-N822)/N822,0)</f>
        <v>0</v>
      </c>
    </row>
    <row r="822" spans="1:24" ht="16.5" customHeight="1">
      <c r="A822" s="3" t="s">
        <v>32</v>
      </c>
      <c r="B822" s="3">
        <f t="shared" si="24"/>
        <v>2001</v>
      </c>
      <c r="C822" s="3">
        <f t="shared" si="25"/>
        <v>5</v>
      </c>
      <c r="D822" s="20" t="str">
        <f t="shared" si="26"/>
        <v>BKH20015</v>
      </c>
      <c r="E822" s="2">
        <v>37027</v>
      </c>
      <c r="F822" s="3">
        <v>0.28000000000000003</v>
      </c>
      <c r="G822" s="2">
        <v>37043</v>
      </c>
      <c r="H822" s="3">
        <v>2.0299999999999999E-2</v>
      </c>
      <c r="I822" s="3">
        <v>0</v>
      </c>
      <c r="J822" s="3">
        <v>0</v>
      </c>
      <c r="K822" s="3">
        <f t="shared" si="27"/>
        <v>2001</v>
      </c>
      <c r="L822" s="3">
        <f t="shared" si="28"/>
        <v>0</v>
      </c>
      <c r="M822" s="20" t="str">
        <f>A822&amp;L822</f>
        <v>BKH0</v>
      </c>
      <c r="N822" s="3">
        <f>F822</f>
        <v>0.28000000000000003</v>
      </c>
      <c r="O822" s="9">
        <f>H822</f>
        <v>2.0299999999999999E-2</v>
      </c>
      <c r="P822" s="10">
        <f t="shared" si="29"/>
        <v>0</v>
      </c>
      <c r="Q822" s="10">
        <f>IF(K822=0,IF(A819=A822,AVERAGE(O819:O822),"x"),0)</f>
        <v>0</v>
      </c>
      <c r="R822" s="9">
        <f>IF(L822&gt;2005,AVERAGE(O819:O838),0)</f>
        <v>0</v>
      </c>
      <c r="S822" s="10">
        <f>IF(A822=A823,(N822-N823)/N823,0)</f>
        <v>0</v>
      </c>
      <c r="T822" s="10">
        <f>IF(L822&gt;2005,(((N822-N842)/N842)+1)^(1/5)-1,0)</f>
        <v>0</v>
      </c>
      <c r="U822" s="10">
        <f t="shared" si="30"/>
        <v>0</v>
      </c>
      <c r="V822" s="26">
        <f t="shared" si="31"/>
        <v>0</v>
      </c>
      <c r="W822" s="3">
        <f>IF(A822=A823,N822-N823,0)</f>
        <v>0</v>
      </c>
      <c r="X822" s="10">
        <f>IF(A822=A823,(N822-N823)/N823,0)</f>
        <v>0</v>
      </c>
    </row>
    <row r="823" spans="1:24" ht="16.5" customHeight="1">
      <c r="A823" s="3" t="s">
        <v>32</v>
      </c>
      <c r="B823" s="3">
        <f t="shared" si="24"/>
        <v>2001</v>
      </c>
      <c r="C823" s="3">
        <f t="shared" si="25"/>
        <v>2</v>
      </c>
      <c r="D823" s="20" t="str">
        <f t="shared" si="26"/>
        <v>BKH20012</v>
      </c>
      <c r="E823" s="2">
        <v>36936</v>
      </c>
      <c r="F823" s="3">
        <v>0.28000000000000003</v>
      </c>
      <c r="G823" s="2">
        <v>36951</v>
      </c>
      <c r="H823" s="3">
        <v>2.7799999999999998E-2</v>
      </c>
      <c r="I823" s="3">
        <v>3.7037037000000002E-2</v>
      </c>
      <c r="J823" s="3">
        <v>0.01</v>
      </c>
      <c r="K823" s="3">
        <f t="shared" si="27"/>
        <v>0</v>
      </c>
      <c r="L823" s="3">
        <f t="shared" si="28"/>
        <v>2001</v>
      </c>
      <c r="M823" s="20" t="str">
        <f>A823&amp;L823</f>
        <v>BKH2001</v>
      </c>
      <c r="N823" s="3">
        <f>F823</f>
        <v>0.28000000000000003</v>
      </c>
      <c r="O823" s="9">
        <f>H823</f>
        <v>2.7799999999999998E-2</v>
      </c>
      <c r="P823" s="10">
        <f t="shared" si="29"/>
        <v>3.7874999999999999E-2</v>
      </c>
      <c r="Q823" s="10">
        <f>IF(K823=0,IF(A820=A823,AVERAGE(O820:O823),"x"),0)</f>
        <v>2.8775000000000002E-2</v>
      </c>
      <c r="R823" s="9">
        <f>IF(L823&gt;2005,AVERAGE(O820:O839),0)</f>
        <v>0</v>
      </c>
      <c r="S823" s="10">
        <f>IF(A823=A824,(N823-N824)/N824,0)</f>
        <v>3.703703703703707E-2</v>
      </c>
      <c r="T823" s="10">
        <f>IF(L823&gt;2005,(((N823-N843)/N843)+1)^(1/5)-1,0)</f>
        <v>0</v>
      </c>
      <c r="U823" s="10">
        <f t="shared" si="30"/>
        <v>0</v>
      </c>
      <c r="V823" s="26">
        <f t="shared" si="31"/>
        <v>0</v>
      </c>
      <c r="W823" s="3">
        <f>IF(A823=A824,N823-N824,0)</f>
        <v>1.0000000000000009E-2</v>
      </c>
      <c r="X823" s="10">
        <f>IF(A823=A824,(N823-N824)/N824,0)</f>
        <v>3.703703703703707E-2</v>
      </c>
    </row>
    <row r="824" spans="1:24" ht="16.5" customHeight="1">
      <c r="A824" s="3" t="s">
        <v>32</v>
      </c>
      <c r="B824" s="3">
        <f t="shared" si="24"/>
        <v>2000</v>
      </c>
      <c r="C824" s="3">
        <f t="shared" si="25"/>
        <v>11</v>
      </c>
      <c r="D824" s="20" t="str">
        <f t="shared" si="26"/>
        <v>BKH200011</v>
      </c>
      <c r="E824" s="2">
        <v>36845</v>
      </c>
      <c r="F824" s="3">
        <v>0.27</v>
      </c>
      <c r="G824" s="2">
        <v>36861</v>
      </c>
      <c r="H824" s="3">
        <v>3.6799999999999999E-2</v>
      </c>
      <c r="I824" s="3">
        <v>0</v>
      </c>
      <c r="J824" s="3">
        <v>0</v>
      </c>
      <c r="K824" s="3">
        <f t="shared" si="27"/>
        <v>2000</v>
      </c>
      <c r="L824" s="3">
        <f t="shared" si="28"/>
        <v>0</v>
      </c>
      <c r="M824" s="20" t="str">
        <f>A824&amp;L824</f>
        <v>BKH0</v>
      </c>
      <c r="N824" s="3">
        <f>F824</f>
        <v>0.27</v>
      </c>
      <c r="O824" s="9">
        <f>H824</f>
        <v>3.6799999999999999E-2</v>
      </c>
      <c r="P824" s="10">
        <f t="shared" si="29"/>
        <v>0</v>
      </c>
      <c r="Q824" s="10">
        <f>IF(K824=0,IF(A821=A824,AVERAGE(O821:O824),"x"),0)</f>
        <v>0</v>
      </c>
      <c r="R824" s="9">
        <f>IF(L824&gt;2005,AVERAGE(O821:O840),0)</f>
        <v>0</v>
      </c>
      <c r="S824" s="10">
        <f>IF(A824=A825,(N824-N825)/N825,0)</f>
        <v>0</v>
      </c>
      <c r="T824" s="10">
        <f>IF(L824&gt;2005,(((N824-N844)/N844)+1)^(1/5)-1,0)</f>
        <v>0</v>
      </c>
      <c r="U824" s="10">
        <f t="shared" si="30"/>
        <v>0</v>
      </c>
      <c r="V824" s="26">
        <f t="shared" si="31"/>
        <v>0</v>
      </c>
      <c r="W824" s="3">
        <f>IF(A824=A825,N824-N825,0)</f>
        <v>0</v>
      </c>
      <c r="X824" s="10">
        <f>IF(A824=A825,(N824-N825)/N825,0)</f>
        <v>0</v>
      </c>
    </row>
    <row r="825" spans="1:24" ht="16.5" customHeight="1">
      <c r="A825" s="3" t="s">
        <v>32</v>
      </c>
      <c r="B825" s="3">
        <f t="shared" si="24"/>
        <v>2000</v>
      </c>
      <c r="C825" s="3">
        <f t="shared" si="25"/>
        <v>8</v>
      </c>
      <c r="D825" s="20" t="str">
        <f t="shared" si="26"/>
        <v>BKH20008</v>
      </c>
      <c r="E825" s="2">
        <v>36754</v>
      </c>
      <c r="F825" s="3">
        <v>0.27</v>
      </c>
      <c r="G825" s="2">
        <v>36770</v>
      </c>
      <c r="H825" s="3">
        <v>4.1599999999999998E-2</v>
      </c>
      <c r="I825" s="3">
        <v>0</v>
      </c>
      <c r="J825" s="3">
        <v>0</v>
      </c>
      <c r="K825" s="3">
        <f t="shared" si="27"/>
        <v>2000</v>
      </c>
      <c r="L825" s="3">
        <f t="shared" si="28"/>
        <v>0</v>
      </c>
      <c r="M825" s="20" t="str">
        <f>A825&amp;L825</f>
        <v>BKH0</v>
      </c>
      <c r="N825" s="3">
        <f>F825</f>
        <v>0.27</v>
      </c>
      <c r="O825" s="9">
        <f>H825</f>
        <v>4.1599999999999998E-2</v>
      </c>
      <c r="P825" s="10">
        <f t="shared" si="29"/>
        <v>0</v>
      </c>
      <c r="Q825" s="10">
        <f>IF(K825=0,IF(A822=A825,AVERAGE(O822:O825),"x"),0)</f>
        <v>0</v>
      </c>
      <c r="R825" s="9">
        <f>IF(L825&gt;2005,AVERAGE(O822:O841),0)</f>
        <v>0</v>
      </c>
      <c r="S825" s="10">
        <f>IF(A825=A826,(N825-N826)/N826,0)</f>
        <v>0</v>
      </c>
      <c r="T825" s="10">
        <f>IF(L825&gt;2005,(((N825-N845)/N845)+1)^(1/5)-1,0)</f>
        <v>0</v>
      </c>
      <c r="U825" s="10">
        <f t="shared" si="30"/>
        <v>0</v>
      </c>
      <c r="V825" s="26">
        <f t="shared" si="31"/>
        <v>0</v>
      </c>
      <c r="W825" s="3">
        <f>IF(A825=A826,N825-N826,0)</f>
        <v>0</v>
      </c>
      <c r="X825" s="10">
        <f>IF(A825=A826,(N825-N826)/N826,0)</f>
        <v>0</v>
      </c>
    </row>
    <row r="826" spans="1:24" ht="16.5" customHeight="1">
      <c r="A826" s="3" t="s">
        <v>32</v>
      </c>
      <c r="B826" s="3">
        <f t="shared" si="24"/>
        <v>2000</v>
      </c>
      <c r="C826" s="3">
        <f t="shared" si="25"/>
        <v>5</v>
      </c>
      <c r="D826" s="20" t="str">
        <f t="shared" si="26"/>
        <v>BKH20005</v>
      </c>
      <c r="E826" s="2">
        <v>36656</v>
      </c>
      <c r="F826" s="3">
        <v>0.27</v>
      </c>
      <c r="G826" s="2">
        <v>36678</v>
      </c>
      <c r="H826" s="3">
        <v>4.53E-2</v>
      </c>
      <c r="I826" s="3">
        <v>0</v>
      </c>
      <c r="J826" s="3">
        <v>0</v>
      </c>
      <c r="K826" s="3">
        <f t="shared" si="27"/>
        <v>2000</v>
      </c>
      <c r="L826" s="3">
        <f t="shared" si="28"/>
        <v>0</v>
      </c>
      <c r="M826" s="20" t="str">
        <f>A826&amp;L826</f>
        <v>BKH0</v>
      </c>
      <c r="N826" s="3">
        <f>F826</f>
        <v>0.27</v>
      </c>
      <c r="O826" s="9">
        <f>H826</f>
        <v>4.53E-2</v>
      </c>
      <c r="P826" s="10">
        <f t="shared" si="29"/>
        <v>0</v>
      </c>
      <c r="Q826" s="10">
        <f>IF(K826=0,IF(A823=A826,AVERAGE(O823:O826),"x"),0)</f>
        <v>0</v>
      </c>
      <c r="R826" s="9">
        <f>IF(L826&gt;2005,AVERAGE(O823:O842),0)</f>
        <v>0</v>
      </c>
      <c r="S826" s="10">
        <f>IF(A826=A827,(N826-N827)/N827,0)</f>
        <v>0</v>
      </c>
      <c r="T826" s="10">
        <f>IF(L826&gt;2005,(((N826-N846)/N846)+1)^(1/5)-1,0)</f>
        <v>0</v>
      </c>
      <c r="U826" s="10">
        <f t="shared" si="30"/>
        <v>0</v>
      </c>
      <c r="V826" s="26">
        <f t="shared" si="31"/>
        <v>0</v>
      </c>
      <c r="W826" s="3">
        <f>IF(A826=A827,N826-N827,0)</f>
        <v>0</v>
      </c>
      <c r="X826" s="10">
        <f>IF(A826=A827,(N826-N827)/N827,0)</f>
        <v>0</v>
      </c>
    </row>
    <row r="827" spans="1:24" ht="16.5" customHeight="1">
      <c r="A827" s="14" t="s">
        <v>32</v>
      </c>
      <c r="B827" s="3">
        <f t="shared" si="24"/>
        <v>2000</v>
      </c>
      <c r="C827" s="3">
        <f t="shared" si="25"/>
        <v>2</v>
      </c>
      <c r="D827" s="20" t="str">
        <f t="shared" si="26"/>
        <v>BKH20002</v>
      </c>
      <c r="E827" s="15">
        <v>36565</v>
      </c>
      <c r="F827" s="14">
        <v>0.27</v>
      </c>
      <c r="G827" s="15">
        <v>36586</v>
      </c>
      <c r="H827" s="14">
        <v>4.2500000000000003E-2</v>
      </c>
      <c r="I827" s="14">
        <v>0</v>
      </c>
      <c r="J827" s="14">
        <v>0</v>
      </c>
      <c r="K827" s="3">
        <f t="shared" si="27"/>
        <v>0</v>
      </c>
      <c r="L827" s="3">
        <f t="shared" si="28"/>
        <v>2000</v>
      </c>
      <c r="M827" s="20" t="str">
        <f>A827&amp;L827</f>
        <v>BKH2000</v>
      </c>
      <c r="N827" s="14">
        <f>F827</f>
        <v>0.27</v>
      </c>
      <c r="O827" s="9">
        <f>H827</f>
        <v>4.2500000000000003E-2</v>
      </c>
      <c r="P827" s="10">
        <f t="shared" si="29"/>
        <v>0</v>
      </c>
      <c r="Q827" s="10">
        <f>IF(K827=0,IF(A824=A827,AVERAGE(O824:O827),"x"),0)</f>
        <v>4.1550000000000004E-2</v>
      </c>
      <c r="R827" s="9">
        <f>IF(L827&gt;2005,AVERAGE(O824:O843),0)</f>
        <v>0</v>
      </c>
      <c r="S827" s="10">
        <f>IF(A827=A828,(N827-N828)/N828,0)</f>
        <v>0</v>
      </c>
      <c r="T827" s="10">
        <f>IF(L827&gt;2005,(((N827-N847)/N847)+1)^(1/5)-1,0)</f>
        <v>0</v>
      </c>
      <c r="U827" s="10">
        <f t="shared" si="30"/>
        <v>0</v>
      </c>
      <c r="V827" s="26">
        <f t="shared" si="31"/>
        <v>0</v>
      </c>
      <c r="W827" s="3">
        <f>IF(A827=A828,N827-N828,0)</f>
        <v>0</v>
      </c>
      <c r="X827" s="10">
        <f>IF(A827=A828,(N827-N828)/N828,0)</f>
        <v>0</v>
      </c>
    </row>
    <row r="828" spans="1:24" ht="16.5" customHeight="1">
      <c r="A828" s="3" t="s">
        <v>33</v>
      </c>
      <c r="B828" s="3">
        <f t="shared" si="24"/>
        <v>2022</v>
      </c>
      <c r="C828" s="3">
        <f t="shared" si="25"/>
        <v>9</v>
      </c>
      <c r="D828" s="20" t="str">
        <f t="shared" si="26"/>
        <v>NFG20229</v>
      </c>
      <c r="E828" s="2">
        <v>44833</v>
      </c>
      <c r="F828" s="3">
        <v>0.47499999999999998</v>
      </c>
      <c r="G828" s="2">
        <v>44848</v>
      </c>
      <c r="H828" s="3">
        <v>2.98E-2</v>
      </c>
      <c r="I828" s="3">
        <v>0</v>
      </c>
      <c r="J828" s="3">
        <v>0</v>
      </c>
      <c r="K828" s="3">
        <f t="shared" si="27"/>
        <v>2022</v>
      </c>
      <c r="L828" s="3">
        <f t="shared" si="28"/>
        <v>0</v>
      </c>
      <c r="M828" s="20" t="str">
        <f>A828&amp;L828</f>
        <v>NFG0</v>
      </c>
      <c r="N828" s="3">
        <f>F828</f>
        <v>0.47499999999999998</v>
      </c>
      <c r="O828" s="9">
        <f>H828</f>
        <v>2.98E-2</v>
      </c>
      <c r="P828" s="10">
        <f t="shared" si="29"/>
        <v>0</v>
      </c>
      <c r="Q828" s="10">
        <f>IF(K828=0,IF(A825=A828,AVERAGE(O825:O828),"x"),0)</f>
        <v>0</v>
      </c>
      <c r="R828" s="9">
        <f>IF(L828&gt;2005,AVERAGE(O825:O844),0)</f>
        <v>0</v>
      </c>
      <c r="S828" s="10">
        <f>IF(A828=A829,(N828-N829)/N829,0)</f>
        <v>0</v>
      </c>
      <c r="T828" s="10">
        <f>IF(L828&gt;2005,(((N828-N848)/N848)+1)^(1/5)-1,0)</f>
        <v>0</v>
      </c>
      <c r="U828" s="10">
        <f t="shared" si="30"/>
        <v>0</v>
      </c>
      <c r="V828" s="26">
        <f t="shared" si="31"/>
        <v>0</v>
      </c>
      <c r="W828" s="3">
        <f>IF(A828=A829,N828-N829,0)</f>
        <v>0</v>
      </c>
      <c r="X828" s="10">
        <f>IF(A828=A829,(N828-N829)/N829,0)</f>
        <v>0</v>
      </c>
    </row>
    <row r="829" spans="1:24" ht="16.5" customHeight="1">
      <c r="A829" s="3" t="s">
        <v>33</v>
      </c>
      <c r="B829" s="3">
        <f t="shared" si="24"/>
        <v>2022</v>
      </c>
      <c r="C829" s="3">
        <f t="shared" si="25"/>
        <v>6</v>
      </c>
      <c r="D829" s="20" t="str">
        <f t="shared" si="26"/>
        <v>NFG20226</v>
      </c>
      <c r="E829" s="2">
        <v>44741</v>
      </c>
      <c r="F829" s="3">
        <v>0.47499999999999998</v>
      </c>
      <c r="G829" s="2">
        <v>44757</v>
      </c>
      <c r="H829" s="3">
        <v>2.81E-2</v>
      </c>
      <c r="I829" s="3">
        <v>4.3956044E-2</v>
      </c>
      <c r="J829" s="3">
        <v>0.02</v>
      </c>
      <c r="K829" s="3">
        <f t="shared" si="27"/>
        <v>2022</v>
      </c>
      <c r="L829" s="3">
        <f t="shared" si="28"/>
        <v>0</v>
      </c>
      <c r="M829" s="20" t="str">
        <f>A829&amp;L829</f>
        <v>NFG0</v>
      </c>
      <c r="N829" s="3">
        <f>F829</f>
        <v>0.47499999999999998</v>
      </c>
      <c r="O829" s="9">
        <f>H829</f>
        <v>2.81E-2</v>
      </c>
      <c r="P829" s="10">
        <f t="shared" si="29"/>
        <v>2.9025000000000002E-2</v>
      </c>
      <c r="Q829" s="10">
        <f>IF(K829=0,IF(A826=A829,AVERAGE(O826:O829),"x"),0)</f>
        <v>0</v>
      </c>
      <c r="R829" s="9">
        <f>IF(L829&gt;2005,AVERAGE(O826:O845),0)</f>
        <v>0</v>
      </c>
      <c r="S829" s="10">
        <f>IF(A829=A830,(N829-N830)/N830,0)</f>
        <v>4.3956043956043869E-2</v>
      </c>
      <c r="T829" s="10">
        <f>IF(L829&gt;2005,(((N829-N849)/N849)+1)^(1/5)-1,0)</f>
        <v>0</v>
      </c>
      <c r="U829" s="10">
        <f t="shared" si="30"/>
        <v>0</v>
      </c>
      <c r="V829" s="26">
        <f t="shared" si="31"/>
        <v>0</v>
      </c>
      <c r="W829" s="3">
        <f>IF(A829=A830,N829-N830,0)</f>
        <v>1.9999999999999962E-2</v>
      </c>
      <c r="X829" s="10">
        <f>IF(A829=A830,(N829-N830)/N830,0)</f>
        <v>4.3956043956043869E-2</v>
      </c>
    </row>
    <row r="830" spans="1:24" ht="16.5" customHeight="1">
      <c r="A830" s="3" t="s">
        <v>33</v>
      </c>
      <c r="B830" s="3">
        <f t="shared" si="24"/>
        <v>2022</v>
      </c>
      <c r="C830" s="3">
        <f t="shared" si="25"/>
        <v>3</v>
      </c>
      <c r="D830" s="20" t="str">
        <f t="shared" si="26"/>
        <v>NFG20223</v>
      </c>
      <c r="E830" s="2">
        <v>44650</v>
      </c>
      <c r="F830" s="3">
        <v>0.45500000000000002</v>
      </c>
      <c r="G830" s="2">
        <v>44666</v>
      </c>
      <c r="H830" s="3">
        <v>2.63E-2</v>
      </c>
      <c r="I830" s="3">
        <v>0</v>
      </c>
      <c r="J830" s="3">
        <v>0</v>
      </c>
      <c r="K830" s="3">
        <f t="shared" si="27"/>
        <v>0</v>
      </c>
      <c r="L830" s="3">
        <f t="shared" si="28"/>
        <v>2022</v>
      </c>
      <c r="M830" s="20" t="str">
        <f>A830&amp;L830</f>
        <v>NFG2022</v>
      </c>
      <c r="N830" s="3">
        <f>F830</f>
        <v>0.45500000000000002</v>
      </c>
      <c r="O830" s="9">
        <f>H830</f>
        <v>2.63E-2</v>
      </c>
      <c r="P830" s="10">
        <f t="shared" si="29"/>
        <v>0</v>
      </c>
      <c r="Q830" s="10" t="str">
        <f>IF(K830=0,IF(A827=A830,AVERAGE(O827:O830),"x"),0)</f>
        <v>x</v>
      </c>
      <c r="R830" s="9">
        <f>IF(L830&gt;2005,AVERAGE(O827:O846),0)</f>
        <v>3.4935000000000008E-2</v>
      </c>
      <c r="S830" s="10">
        <f>IF(A830=A831,(N830-N831)/N831,0)</f>
        <v>0</v>
      </c>
      <c r="T830" s="10">
        <f>IF(L830&gt;2005,(((N830-N850)/N850)+1)^(1/5)-1,0)</f>
        <v>2.3555213428752442E-2</v>
      </c>
      <c r="U830" s="10">
        <f t="shared" si="30"/>
        <v>5.8490213428752449E-2</v>
      </c>
      <c r="V830" s="26">
        <f t="shared" si="31"/>
        <v>4.526185470165272</v>
      </c>
      <c r="W830" s="3">
        <f>IF(A830=A831,N830-N831,0)</f>
        <v>0</v>
      </c>
      <c r="X830" s="10">
        <f>IF(A830=A831,(N830-N831)/N831,0)</f>
        <v>0</v>
      </c>
    </row>
    <row r="831" spans="1:24" ht="16.5" customHeight="1">
      <c r="A831" s="3" t="s">
        <v>33</v>
      </c>
      <c r="B831" s="3">
        <f t="shared" si="24"/>
        <v>2021</v>
      </c>
      <c r="C831" s="3">
        <f t="shared" si="25"/>
        <v>12</v>
      </c>
      <c r="D831" s="20" t="str">
        <f t="shared" si="26"/>
        <v>NFG202112</v>
      </c>
      <c r="E831" s="2">
        <v>44560</v>
      </c>
      <c r="F831" s="3">
        <v>0.45500000000000002</v>
      </c>
      <c r="G831" s="2">
        <v>44575</v>
      </c>
      <c r="H831" s="3">
        <v>2.8199999999999999E-2</v>
      </c>
      <c r="I831" s="3">
        <v>0</v>
      </c>
      <c r="J831" s="3">
        <v>0</v>
      </c>
      <c r="K831" s="3">
        <f t="shared" si="27"/>
        <v>2021</v>
      </c>
      <c r="L831" s="3">
        <f t="shared" si="28"/>
        <v>0</v>
      </c>
      <c r="M831" s="20" t="str">
        <f>A831&amp;L831</f>
        <v>NFG0</v>
      </c>
      <c r="N831" s="3">
        <f>F831</f>
        <v>0.45500000000000002</v>
      </c>
      <c r="O831" s="9">
        <f>H831</f>
        <v>2.8199999999999999E-2</v>
      </c>
      <c r="P831" s="10">
        <f t="shared" si="29"/>
        <v>0</v>
      </c>
      <c r="Q831" s="10">
        <f>IF(K831=0,IF(A828=A831,AVERAGE(O828:O831),"x"),0)</f>
        <v>0</v>
      </c>
      <c r="R831" s="9">
        <f>IF(L831&gt;2005,AVERAGE(O828:O847),0)</f>
        <v>0</v>
      </c>
      <c r="S831" s="10">
        <f>IF(A831=A832,(N831-N832)/N832,0)</f>
        <v>0</v>
      </c>
      <c r="T831" s="10">
        <f>IF(L831&gt;2005,(((N831-N851)/N851)+1)^(1/5)-1,0)</f>
        <v>0</v>
      </c>
      <c r="U831" s="10">
        <f t="shared" si="30"/>
        <v>0</v>
      </c>
      <c r="V831" s="26">
        <f t="shared" si="31"/>
        <v>0</v>
      </c>
      <c r="W831" s="3">
        <f>IF(A831=A832,N831-N832,0)</f>
        <v>0</v>
      </c>
      <c r="X831" s="10">
        <f>IF(A831=A832,(N831-N832)/N832,0)</f>
        <v>0</v>
      </c>
    </row>
    <row r="832" spans="1:24" ht="16.5" customHeight="1">
      <c r="A832" s="3" t="s">
        <v>33</v>
      </c>
      <c r="B832" s="3">
        <f t="shared" si="24"/>
        <v>2021</v>
      </c>
      <c r="C832" s="3">
        <f t="shared" si="25"/>
        <v>9</v>
      </c>
      <c r="D832" s="20" t="str">
        <f t="shared" si="26"/>
        <v>NFG20219</v>
      </c>
      <c r="E832" s="2">
        <v>44468</v>
      </c>
      <c r="F832" s="3">
        <v>0.45500000000000002</v>
      </c>
      <c r="G832" s="2">
        <v>44484</v>
      </c>
      <c r="H832" s="3">
        <v>3.3500000000000002E-2</v>
      </c>
      <c r="I832" s="3">
        <v>0</v>
      </c>
      <c r="J832" s="3">
        <v>0</v>
      </c>
      <c r="K832" s="3">
        <f t="shared" si="27"/>
        <v>2021</v>
      </c>
      <c r="L832" s="3">
        <f t="shared" si="28"/>
        <v>0</v>
      </c>
      <c r="M832" s="20" t="str">
        <f>A832&amp;L832</f>
        <v>NFG0</v>
      </c>
      <c r="N832" s="3">
        <f>F832</f>
        <v>0.45500000000000002</v>
      </c>
      <c r="O832" s="9">
        <f>H832</f>
        <v>3.3500000000000002E-2</v>
      </c>
      <c r="P832" s="10">
        <f t="shared" si="29"/>
        <v>0</v>
      </c>
      <c r="Q832" s="10">
        <f>IF(K832=0,IF(A829=A832,AVERAGE(O829:O832),"x"),0)</f>
        <v>0</v>
      </c>
      <c r="R832" s="9">
        <f>IF(L832&gt;2005,AVERAGE(O829:O848),0)</f>
        <v>0</v>
      </c>
      <c r="S832" s="10">
        <f>IF(A832=A833,(N832-N833)/N833,0)</f>
        <v>0</v>
      </c>
      <c r="T832" s="10">
        <f>IF(L832&gt;2005,(((N832-N852)/N852)+1)^(1/5)-1,0)</f>
        <v>0</v>
      </c>
      <c r="U832" s="10">
        <f t="shared" si="30"/>
        <v>0</v>
      </c>
      <c r="V832" s="26">
        <f t="shared" si="31"/>
        <v>0</v>
      </c>
      <c r="W832" s="3">
        <f>IF(A832=A833,N832-N833,0)</f>
        <v>0</v>
      </c>
      <c r="X832" s="10">
        <f>IF(A832=A833,(N832-N833)/N833,0)</f>
        <v>0</v>
      </c>
    </row>
    <row r="833" spans="1:24" ht="16.5" customHeight="1">
      <c r="A833" s="3" t="s">
        <v>33</v>
      </c>
      <c r="B833" s="3">
        <f t="shared" si="24"/>
        <v>2021</v>
      </c>
      <c r="C833" s="3">
        <f t="shared" si="25"/>
        <v>6</v>
      </c>
      <c r="D833" s="20" t="str">
        <f t="shared" si="26"/>
        <v>NFG20216</v>
      </c>
      <c r="E833" s="2">
        <v>44376</v>
      </c>
      <c r="F833" s="3">
        <v>0.45500000000000002</v>
      </c>
      <c r="G833" s="2">
        <v>44392</v>
      </c>
      <c r="H833" s="3">
        <v>3.4200000000000001E-2</v>
      </c>
      <c r="I833" s="3">
        <v>2.2471910000000001E-2</v>
      </c>
      <c r="J833" s="3">
        <v>0.01</v>
      </c>
      <c r="K833" s="3">
        <f t="shared" si="27"/>
        <v>2021</v>
      </c>
      <c r="L833" s="3">
        <f t="shared" si="28"/>
        <v>0</v>
      </c>
      <c r="M833" s="20" t="str">
        <f>A833&amp;L833</f>
        <v>NFG0</v>
      </c>
      <c r="N833" s="3">
        <f>F833</f>
        <v>0.45500000000000002</v>
      </c>
      <c r="O833" s="9">
        <f>H833</f>
        <v>3.4200000000000001E-2</v>
      </c>
      <c r="P833" s="10">
        <f t="shared" si="29"/>
        <v>3.8625E-2</v>
      </c>
      <c r="Q833" s="10">
        <f>IF(K833=0,IF(A830=A833,AVERAGE(O830:O833),"x"),0)</f>
        <v>0</v>
      </c>
      <c r="R833" s="9">
        <f>IF(L833&gt;2005,AVERAGE(O830:O849),0)</f>
        <v>0</v>
      </c>
      <c r="S833" s="10">
        <f>IF(A833=A834,(N833-N834)/N834,0)</f>
        <v>2.2471910112359571E-2</v>
      </c>
      <c r="T833" s="10">
        <f>IF(L833&gt;2005,(((N833-N853)/N853)+1)^(1/5)-1,0)</f>
        <v>0</v>
      </c>
      <c r="U833" s="10">
        <f t="shared" si="30"/>
        <v>0</v>
      </c>
      <c r="V833" s="26">
        <f t="shared" si="31"/>
        <v>0</v>
      </c>
      <c r="W833" s="3">
        <f>IF(A833=A834,N833-N834,0)</f>
        <v>1.0000000000000009E-2</v>
      </c>
      <c r="X833" s="10">
        <f>IF(A833=A834,(N833-N834)/N834,0)</f>
        <v>2.2471910112359571E-2</v>
      </c>
    </row>
    <row r="834" spans="1:24" ht="16.5" customHeight="1">
      <c r="A834" s="3" t="s">
        <v>33</v>
      </c>
      <c r="B834" s="3">
        <f t="shared" si="24"/>
        <v>2021</v>
      </c>
      <c r="C834" s="3">
        <f t="shared" si="25"/>
        <v>3</v>
      </c>
      <c r="D834" s="20" t="str">
        <f t="shared" si="26"/>
        <v>NFG20213</v>
      </c>
      <c r="E834" s="2">
        <v>44285</v>
      </c>
      <c r="F834" s="3">
        <v>0.44500000000000001</v>
      </c>
      <c r="G834" s="2">
        <v>44301</v>
      </c>
      <c r="H834" s="3">
        <v>3.5000000000000003E-2</v>
      </c>
      <c r="I834" s="3">
        <v>0</v>
      </c>
      <c r="J834" s="3">
        <v>0</v>
      </c>
      <c r="K834" s="3">
        <f t="shared" si="27"/>
        <v>0</v>
      </c>
      <c r="L834" s="3">
        <f t="shared" si="28"/>
        <v>2021</v>
      </c>
      <c r="M834" s="20" t="str">
        <f>A834&amp;L834</f>
        <v>NFG2021</v>
      </c>
      <c r="N834" s="3">
        <f>F834</f>
        <v>0.44500000000000001</v>
      </c>
      <c r="O834" s="9">
        <f>H834</f>
        <v>3.5000000000000003E-2</v>
      </c>
      <c r="P834" s="10">
        <f t="shared" si="29"/>
        <v>0</v>
      </c>
      <c r="Q834" s="10">
        <f>IF(K834=0,IF(A831=A834,AVERAGE(O831:O834),"x"),0)</f>
        <v>3.2725000000000004E-2</v>
      </c>
      <c r="R834" s="9">
        <f>IF(L834&gt;2005,AVERAGE(O831:O850),0)</f>
        <v>3.4385000000000006E-2</v>
      </c>
      <c r="S834" s="10">
        <f>IF(A834=A835,(N834-N835)/N835,0)</f>
        <v>0</v>
      </c>
      <c r="T834" s="10">
        <f>IF(L834&gt;2005,(((N834-N854)/N854)+1)^(1/5)-1,0)</f>
        <v>2.412409259818693E-2</v>
      </c>
      <c r="U834" s="10">
        <f t="shared" si="30"/>
        <v>5.8509092598186936E-2</v>
      </c>
      <c r="V834" s="26">
        <f t="shared" si="31"/>
        <v>4.53333161465914</v>
      </c>
      <c r="W834" s="3">
        <f>IF(A834=A835,N834-N835,0)</f>
        <v>0</v>
      </c>
      <c r="X834" s="10">
        <f>IF(A834=A835,(N834-N835)/N835,0)</f>
        <v>0</v>
      </c>
    </row>
    <row r="835" spans="1:24" ht="16.5" customHeight="1">
      <c r="A835" s="3" t="s">
        <v>33</v>
      </c>
      <c r="B835" s="3">
        <f t="shared" si="24"/>
        <v>2020</v>
      </c>
      <c r="C835" s="3">
        <f t="shared" si="25"/>
        <v>12</v>
      </c>
      <c r="D835" s="20" t="str">
        <f t="shared" si="26"/>
        <v>NFG202012</v>
      </c>
      <c r="E835" s="2">
        <v>44195</v>
      </c>
      <c r="F835" s="3">
        <v>0.44500000000000001</v>
      </c>
      <c r="G835" s="2">
        <v>44211</v>
      </c>
      <c r="H835" s="3">
        <v>4.2999999999999997E-2</v>
      </c>
      <c r="I835" s="3">
        <v>0</v>
      </c>
      <c r="J835" s="3">
        <v>0</v>
      </c>
      <c r="K835" s="3">
        <f t="shared" si="27"/>
        <v>2020</v>
      </c>
      <c r="L835" s="3">
        <f t="shared" si="28"/>
        <v>0</v>
      </c>
      <c r="M835" s="20" t="str">
        <f>A835&amp;L835</f>
        <v>NFG0</v>
      </c>
      <c r="N835" s="3">
        <f>F835</f>
        <v>0.44500000000000001</v>
      </c>
      <c r="O835" s="9">
        <f>H835</f>
        <v>4.2999999999999997E-2</v>
      </c>
      <c r="P835" s="10">
        <f t="shared" si="29"/>
        <v>0</v>
      </c>
      <c r="Q835" s="10">
        <f>IF(K835=0,IF(A832=A835,AVERAGE(O832:O835),"x"),0)</f>
        <v>0</v>
      </c>
      <c r="R835" s="9">
        <f>IF(L835&gt;2005,AVERAGE(O832:O851),0)</f>
        <v>0</v>
      </c>
      <c r="S835" s="10">
        <f>IF(A835=A836,(N835-N836)/N836,0)</f>
        <v>0</v>
      </c>
      <c r="T835" s="10">
        <f>IF(L835&gt;2005,(((N835-N855)/N855)+1)^(1/5)-1,0)</f>
        <v>0</v>
      </c>
      <c r="U835" s="10">
        <f t="shared" si="30"/>
        <v>0</v>
      </c>
      <c r="V835" s="26">
        <f t="shared" si="31"/>
        <v>0</v>
      </c>
      <c r="W835" s="3">
        <f>IF(A835=A836,N835-N836,0)</f>
        <v>0</v>
      </c>
      <c r="X835" s="10">
        <f>IF(A835=A836,(N835-N836)/N836,0)</f>
        <v>0</v>
      </c>
    </row>
    <row r="836" spans="1:24" ht="16.5" customHeight="1">
      <c r="A836" s="3" t="s">
        <v>33</v>
      </c>
      <c r="B836" s="3">
        <f t="shared" si="24"/>
        <v>2020</v>
      </c>
      <c r="C836" s="3">
        <f t="shared" si="25"/>
        <v>9</v>
      </c>
      <c r="D836" s="20" t="str">
        <f t="shared" si="26"/>
        <v>NFG20209</v>
      </c>
      <c r="E836" s="2">
        <v>44103</v>
      </c>
      <c r="F836" s="3">
        <v>0.44500000000000001</v>
      </c>
      <c r="G836" s="2">
        <v>44119</v>
      </c>
      <c r="H836" s="3">
        <v>4.2299999999999997E-2</v>
      </c>
      <c r="I836" s="3">
        <v>0</v>
      </c>
      <c r="J836" s="3">
        <v>0</v>
      </c>
      <c r="K836" s="3">
        <f t="shared" si="27"/>
        <v>2020</v>
      </c>
      <c r="L836" s="3">
        <f t="shared" si="28"/>
        <v>0</v>
      </c>
      <c r="M836" s="20" t="str">
        <f>A836&amp;L836</f>
        <v>NFG0</v>
      </c>
      <c r="N836" s="3">
        <f>F836</f>
        <v>0.44500000000000001</v>
      </c>
      <c r="O836" s="9">
        <f>H836</f>
        <v>4.2299999999999997E-2</v>
      </c>
      <c r="P836" s="10">
        <f t="shared" si="29"/>
        <v>0</v>
      </c>
      <c r="Q836" s="10">
        <f>IF(K836=0,IF(A833=A836,AVERAGE(O833:O836),"x"),0)</f>
        <v>0</v>
      </c>
      <c r="R836" s="9">
        <f>IF(L836&gt;2005,AVERAGE(O833:O852),0)</f>
        <v>0</v>
      </c>
      <c r="S836" s="10">
        <f>IF(A836=A837,(N836-N837)/N837,0)</f>
        <v>0</v>
      </c>
      <c r="T836" s="10">
        <f>IF(L836&gt;2005,(((N836-N856)/N856)+1)^(1/5)-1,0)</f>
        <v>0</v>
      </c>
      <c r="U836" s="10">
        <f t="shared" si="30"/>
        <v>0</v>
      </c>
      <c r="V836" s="26">
        <f t="shared" si="31"/>
        <v>0</v>
      </c>
      <c r="W836" s="3">
        <f>IF(A836=A837,N836-N837,0)</f>
        <v>0</v>
      </c>
      <c r="X836" s="10">
        <f>IF(A836=A837,(N836-N837)/N837,0)</f>
        <v>0</v>
      </c>
    </row>
    <row r="837" spans="1:24" ht="16.5" customHeight="1">
      <c r="A837" s="3" t="s">
        <v>33</v>
      </c>
      <c r="B837" s="3">
        <f t="shared" si="24"/>
        <v>2020</v>
      </c>
      <c r="C837" s="3">
        <f t="shared" si="25"/>
        <v>6</v>
      </c>
      <c r="D837" s="20" t="str">
        <f t="shared" si="26"/>
        <v>NFG20206</v>
      </c>
      <c r="E837" s="2">
        <v>44011</v>
      </c>
      <c r="F837" s="3">
        <v>0.44500000000000001</v>
      </c>
      <c r="G837" s="2">
        <v>44027</v>
      </c>
      <c r="H837" s="3">
        <v>4.4699999999999997E-2</v>
      </c>
      <c r="I837" s="3">
        <v>2.2988505999999999E-2</v>
      </c>
      <c r="J837" s="3">
        <v>0.01</v>
      </c>
      <c r="K837" s="3">
        <f t="shared" si="27"/>
        <v>2020</v>
      </c>
      <c r="L837" s="3">
        <f t="shared" si="28"/>
        <v>0</v>
      </c>
      <c r="M837" s="20" t="str">
        <f>A837&amp;L837</f>
        <v>NFG0</v>
      </c>
      <c r="N837" s="3">
        <f>F837</f>
        <v>0.44500000000000001</v>
      </c>
      <c r="O837" s="9">
        <f>H837</f>
        <v>4.4699999999999997E-2</v>
      </c>
      <c r="P837" s="10">
        <f t="shared" si="29"/>
        <v>4.1700000000000001E-2</v>
      </c>
      <c r="Q837" s="10">
        <f>IF(K837=0,IF(A834=A837,AVERAGE(O834:O837),"x"),0)</f>
        <v>0</v>
      </c>
      <c r="R837" s="9">
        <f>IF(L837&gt;2005,AVERAGE(O834:O853),0)</f>
        <v>0</v>
      </c>
      <c r="S837" s="10">
        <f>IF(A837=A838,(N837-N838)/N838,0)</f>
        <v>2.2988505747126457E-2</v>
      </c>
      <c r="T837" s="10">
        <f>IF(L837&gt;2005,(((N837-N857)/N857)+1)^(1/5)-1,0)</f>
        <v>0</v>
      </c>
      <c r="U837" s="10">
        <f t="shared" si="30"/>
        <v>0</v>
      </c>
      <c r="V837" s="26">
        <f t="shared" si="31"/>
        <v>0</v>
      </c>
      <c r="W837" s="3">
        <f>IF(A837=A838,N837-N838,0)</f>
        <v>1.0000000000000009E-2</v>
      </c>
      <c r="X837" s="10">
        <f>IF(A837=A838,(N837-N838)/N838,0)</f>
        <v>2.2988505747126457E-2</v>
      </c>
    </row>
    <row r="838" spans="1:24" ht="16.5" customHeight="1">
      <c r="A838" s="3" t="s">
        <v>33</v>
      </c>
      <c r="B838" s="3">
        <f t="shared" si="24"/>
        <v>2020</v>
      </c>
      <c r="C838" s="3">
        <f t="shared" si="25"/>
        <v>3</v>
      </c>
      <c r="D838" s="20" t="str">
        <f t="shared" si="26"/>
        <v>NFG20203</v>
      </c>
      <c r="E838" s="2">
        <v>43920</v>
      </c>
      <c r="F838" s="3">
        <v>0.435</v>
      </c>
      <c r="G838" s="2">
        <v>43936</v>
      </c>
      <c r="H838" s="3">
        <v>4.82E-2</v>
      </c>
      <c r="I838" s="3">
        <v>0</v>
      </c>
      <c r="J838" s="3">
        <v>0</v>
      </c>
      <c r="K838" s="3">
        <f t="shared" si="27"/>
        <v>0</v>
      </c>
      <c r="L838" s="3">
        <f t="shared" si="28"/>
        <v>2020</v>
      </c>
      <c r="M838" s="20" t="str">
        <f>A838&amp;L838</f>
        <v>NFG2020</v>
      </c>
      <c r="N838" s="3">
        <f>F838</f>
        <v>0.435</v>
      </c>
      <c r="O838" s="9">
        <f>H838</f>
        <v>4.82E-2</v>
      </c>
      <c r="P838" s="10">
        <f t="shared" si="29"/>
        <v>0</v>
      </c>
      <c r="Q838" s="10">
        <f>IF(K838=0,IF(A835=A838,AVERAGE(O835:O838),"x"),0)</f>
        <v>4.4549999999999992E-2</v>
      </c>
      <c r="R838" s="9">
        <f>IF(L838&gt;2005,AVERAGE(O835:O854),0)</f>
        <v>3.3735000000000001E-2</v>
      </c>
      <c r="S838" s="10">
        <f>IF(A838=A839,(N838-N839)/N839,0)</f>
        <v>0</v>
      </c>
      <c r="T838" s="10">
        <f>IF(L838&gt;2005,(((N838-N858)/N858)+1)^(1/5)-1,0)</f>
        <v>2.4721162872832769E-2</v>
      </c>
      <c r="U838" s="10">
        <f t="shared" si="30"/>
        <v>5.845616287283277E-2</v>
      </c>
      <c r="V838" s="26">
        <f t="shared" si="31"/>
        <v>4.5417584946641201</v>
      </c>
      <c r="W838" s="3">
        <f>IF(A838=A839,N838-N839,0)</f>
        <v>0</v>
      </c>
      <c r="X838" s="10">
        <f>IF(A838=A839,(N838-N839)/N839,0)</f>
        <v>0</v>
      </c>
    </row>
    <row r="839" spans="1:24" ht="16.5" customHeight="1">
      <c r="A839" s="3" t="s">
        <v>33</v>
      </c>
      <c r="B839" s="3">
        <f t="shared" si="24"/>
        <v>2019</v>
      </c>
      <c r="C839" s="3">
        <f t="shared" si="25"/>
        <v>12</v>
      </c>
      <c r="D839" s="20" t="str">
        <f t="shared" si="26"/>
        <v>NFG201912</v>
      </c>
      <c r="E839" s="2">
        <v>43829</v>
      </c>
      <c r="F839" s="3">
        <v>0.435</v>
      </c>
      <c r="G839" s="2">
        <v>43845</v>
      </c>
      <c r="H839" s="3">
        <v>3.7100000000000001E-2</v>
      </c>
      <c r="I839" s="3">
        <v>0</v>
      </c>
      <c r="J839" s="3">
        <v>0</v>
      </c>
      <c r="K839" s="3">
        <f t="shared" si="27"/>
        <v>2019</v>
      </c>
      <c r="L839" s="3">
        <f t="shared" si="28"/>
        <v>0</v>
      </c>
      <c r="M839" s="20" t="str">
        <f>A839&amp;L839</f>
        <v>NFG0</v>
      </c>
      <c r="N839" s="3">
        <f>F839</f>
        <v>0.435</v>
      </c>
      <c r="O839" s="9">
        <f>H839</f>
        <v>3.7100000000000001E-2</v>
      </c>
      <c r="P839" s="10">
        <f t="shared" si="29"/>
        <v>0</v>
      </c>
      <c r="Q839" s="10">
        <f>IF(K839=0,IF(A836=A839,AVERAGE(O836:O839),"x"),0)</f>
        <v>0</v>
      </c>
      <c r="R839" s="9">
        <f>IF(L839&gt;2005,AVERAGE(O836:O855),0)</f>
        <v>0</v>
      </c>
      <c r="S839" s="10">
        <f>IF(A839=A840,(N839-N840)/N840,0)</f>
        <v>0</v>
      </c>
      <c r="T839" s="10">
        <f>IF(L839&gt;2005,(((N839-N859)/N859)+1)^(1/5)-1,0)</f>
        <v>0</v>
      </c>
      <c r="U839" s="10">
        <f t="shared" si="30"/>
        <v>0</v>
      </c>
      <c r="V839" s="26">
        <f t="shared" si="31"/>
        <v>0</v>
      </c>
      <c r="W839" s="3">
        <f>IF(A839=A840,N839-N840,0)</f>
        <v>0</v>
      </c>
      <c r="X839" s="10">
        <f>IF(A839=A840,(N839-N840)/N840,0)</f>
        <v>0</v>
      </c>
    </row>
    <row r="840" spans="1:24" ht="16.5" customHeight="1">
      <c r="A840" s="3" t="s">
        <v>33</v>
      </c>
      <c r="B840" s="3">
        <f t="shared" si="24"/>
        <v>2019</v>
      </c>
      <c r="C840" s="3">
        <f t="shared" si="25"/>
        <v>9</v>
      </c>
      <c r="D840" s="20" t="str">
        <f t="shared" si="26"/>
        <v>NFG20199</v>
      </c>
      <c r="E840" s="2">
        <v>43735</v>
      </c>
      <c r="F840" s="3">
        <v>0.435</v>
      </c>
      <c r="G840" s="2">
        <v>43753</v>
      </c>
      <c r="H840" s="3">
        <v>3.6799999999999999E-2</v>
      </c>
      <c r="I840" s="3">
        <v>0</v>
      </c>
      <c r="J840" s="3">
        <v>0</v>
      </c>
      <c r="K840" s="3">
        <f t="shared" si="27"/>
        <v>2019</v>
      </c>
      <c r="L840" s="3">
        <f t="shared" si="28"/>
        <v>0</v>
      </c>
      <c r="M840" s="20" t="str">
        <f>A840&amp;L840</f>
        <v>NFG0</v>
      </c>
      <c r="N840" s="3">
        <f>F840</f>
        <v>0.435</v>
      </c>
      <c r="O840" s="9">
        <f>H840</f>
        <v>3.6799999999999999E-2</v>
      </c>
      <c r="P840" s="10">
        <f t="shared" si="29"/>
        <v>0</v>
      </c>
      <c r="Q840" s="10">
        <f>IF(K840=0,IF(A837=A840,AVERAGE(O837:O840),"x"),0)</f>
        <v>0</v>
      </c>
      <c r="R840" s="9">
        <f>IF(L840&gt;2005,AVERAGE(O837:O856),0)</f>
        <v>0</v>
      </c>
      <c r="S840" s="10">
        <f>IF(A840=A841,(N840-N841)/N841,0)</f>
        <v>0</v>
      </c>
      <c r="T840" s="10">
        <f>IF(L840&gt;2005,(((N840-N860)/N860)+1)^(1/5)-1,0)</f>
        <v>0</v>
      </c>
      <c r="U840" s="10">
        <f t="shared" si="30"/>
        <v>0</v>
      </c>
      <c r="V840" s="26">
        <f t="shared" si="31"/>
        <v>0</v>
      </c>
      <c r="W840" s="3">
        <f>IF(A840=A841,N840-N841,0)</f>
        <v>0</v>
      </c>
      <c r="X840" s="10">
        <f>IF(A840=A841,(N840-N841)/N841,0)</f>
        <v>0</v>
      </c>
    </row>
    <row r="841" spans="1:24" ht="16.5" customHeight="1">
      <c r="A841" s="3" t="s">
        <v>33</v>
      </c>
      <c r="B841" s="3">
        <f t="shared" si="24"/>
        <v>2019</v>
      </c>
      <c r="C841" s="3">
        <f t="shared" si="25"/>
        <v>6</v>
      </c>
      <c r="D841" s="20" t="str">
        <f t="shared" si="26"/>
        <v>NFG20196</v>
      </c>
      <c r="E841" s="2">
        <v>43643</v>
      </c>
      <c r="F841" s="3">
        <v>0.435</v>
      </c>
      <c r="G841" s="2">
        <v>43661</v>
      </c>
      <c r="H841" s="3">
        <v>3.27E-2</v>
      </c>
      <c r="I841" s="3">
        <v>2.3529412E-2</v>
      </c>
      <c r="J841" s="3">
        <v>0.01</v>
      </c>
      <c r="K841" s="3">
        <f t="shared" si="27"/>
        <v>2019</v>
      </c>
      <c r="L841" s="3">
        <f t="shared" si="28"/>
        <v>0</v>
      </c>
      <c r="M841" s="20" t="str">
        <f>A841&amp;L841</f>
        <v>NFG0</v>
      </c>
      <c r="N841" s="3">
        <f>F841</f>
        <v>0.435</v>
      </c>
      <c r="O841" s="9">
        <f>H841</f>
        <v>3.27E-2</v>
      </c>
      <c r="P841" s="10">
        <f t="shared" si="29"/>
        <v>3.1100000000000003E-2</v>
      </c>
      <c r="Q841" s="10">
        <f>IF(K841=0,IF(A838=A841,AVERAGE(O838:O841),"x"),0)</f>
        <v>0</v>
      </c>
      <c r="R841" s="9">
        <f>IF(L841&gt;2005,AVERAGE(O838:O857),0)</f>
        <v>0</v>
      </c>
      <c r="S841" s="10">
        <f>IF(A841=A842,(N841-N842)/N842,0)</f>
        <v>2.3529411764705903E-2</v>
      </c>
      <c r="T841" s="10">
        <f>IF(L841&gt;2005,(((N841-N861)/N861)+1)^(1/5)-1,0)</f>
        <v>0</v>
      </c>
      <c r="U841" s="10">
        <f t="shared" si="30"/>
        <v>0</v>
      </c>
      <c r="V841" s="26">
        <f t="shared" si="31"/>
        <v>0</v>
      </c>
      <c r="W841" s="3">
        <f>IF(A841=A842,N841-N842,0)</f>
        <v>1.0000000000000009E-2</v>
      </c>
      <c r="X841" s="10">
        <f>IF(A841=A842,(N841-N842)/N842,0)</f>
        <v>2.3529411764705903E-2</v>
      </c>
    </row>
    <row r="842" spans="1:24" ht="16.5" customHeight="1">
      <c r="A842" s="3" t="s">
        <v>33</v>
      </c>
      <c r="B842" s="3">
        <f t="shared" si="24"/>
        <v>2019</v>
      </c>
      <c r="C842" s="3">
        <f t="shared" si="25"/>
        <v>3</v>
      </c>
      <c r="D842" s="20" t="str">
        <f t="shared" si="26"/>
        <v>NFG20193</v>
      </c>
      <c r="E842" s="2">
        <v>43552</v>
      </c>
      <c r="F842" s="3">
        <v>0.42499999999999999</v>
      </c>
      <c r="G842" s="2">
        <v>43570</v>
      </c>
      <c r="H842" s="3">
        <v>2.7900000000000001E-2</v>
      </c>
      <c r="I842" s="3">
        <v>0</v>
      </c>
      <c r="J842" s="3">
        <v>0</v>
      </c>
      <c r="K842" s="3">
        <f t="shared" si="27"/>
        <v>0</v>
      </c>
      <c r="L842" s="3">
        <f t="shared" si="28"/>
        <v>2019</v>
      </c>
      <c r="M842" s="20" t="str">
        <f>A842&amp;L842</f>
        <v>NFG2019</v>
      </c>
      <c r="N842" s="3">
        <f>F842</f>
        <v>0.42499999999999999</v>
      </c>
      <c r="O842" s="9">
        <f>H842</f>
        <v>2.7900000000000001E-2</v>
      </c>
      <c r="P842" s="10">
        <f t="shared" si="29"/>
        <v>0</v>
      </c>
      <c r="Q842" s="10">
        <f>IF(K842=0,IF(A839=A842,AVERAGE(O839:O842),"x"),0)</f>
        <v>3.3625000000000002E-2</v>
      </c>
      <c r="R842" s="9">
        <f>IF(L842&gt;2005,AVERAGE(O839:O858),0)</f>
        <v>3.0800000000000004E-2</v>
      </c>
      <c r="S842" s="10">
        <f>IF(A842=A843,(N842-N843)/N843,0)</f>
        <v>0</v>
      </c>
      <c r="T842" s="10">
        <f>IF(L842&gt;2005,(((N842-N862)/N862)+1)^(1/5)-1,0)</f>
        <v>2.5348575657732741E-2</v>
      </c>
      <c r="U842" s="10">
        <f t="shared" si="30"/>
        <v>5.6148575657732749E-2</v>
      </c>
      <c r="V842" s="26">
        <f t="shared" si="31"/>
        <v>4.5792029452081922</v>
      </c>
      <c r="W842" s="3">
        <f>IF(A842=A843,N842-N843,0)</f>
        <v>0</v>
      </c>
      <c r="X842" s="10">
        <f>IF(A842=A843,(N842-N843)/N843,0)</f>
        <v>0</v>
      </c>
    </row>
    <row r="843" spans="1:24" ht="16.5" customHeight="1">
      <c r="A843" s="3" t="s">
        <v>33</v>
      </c>
      <c r="B843" s="3">
        <f t="shared" si="24"/>
        <v>2018</v>
      </c>
      <c r="C843" s="3">
        <f t="shared" si="25"/>
        <v>12</v>
      </c>
      <c r="D843" s="20" t="str">
        <f t="shared" si="26"/>
        <v>NFG201812</v>
      </c>
      <c r="E843" s="2">
        <v>43462</v>
      </c>
      <c r="F843" s="3">
        <v>0.42499999999999999</v>
      </c>
      <c r="G843" s="2">
        <v>43480</v>
      </c>
      <c r="H843" s="3">
        <v>3.2800000000000003E-2</v>
      </c>
      <c r="I843" s="3">
        <v>0</v>
      </c>
      <c r="J843" s="3">
        <v>0</v>
      </c>
      <c r="K843" s="3">
        <f t="shared" si="27"/>
        <v>2018</v>
      </c>
      <c r="L843" s="3">
        <f t="shared" si="28"/>
        <v>0</v>
      </c>
      <c r="M843" s="20" t="str">
        <f>A843&amp;L843</f>
        <v>NFG0</v>
      </c>
      <c r="N843" s="3">
        <f>F843</f>
        <v>0.42499999999999999</v>
      </c>
      <c r="O843" s="9">
        <f>H843</f>
        <v>3.2800000000000003E-2</v>
      </c>
      <c r="P843" s="10">
        <f t="shared" si="29"/>
        <v>0</v>
      </c>
      <c r="Q843" s="10">
        <f>IF(K843=0,IF(A840=A843,AVERAGE(O840:O843),"x"),0)</f>
        <v>0</v>
      </c>
      <c r="R843" s="9">
        <f>IF(L843&gt;2005,AVERAGE(O840:O859),0)</f>
        <v>0</v>
      </c>
      <c r="S843" s="10">
        <f>IF(A843=A844,(N843-N844)/N844,0)</f>
        <v>0</v>
      </c>
      <c r="T843" s="10">
        <f>IF(L843&gt;2005,(((N843-N863)/N863)+1)^(1/5)-1,0)</f>
        <v>0</v>
      </c>
      <c r="U843" s="10">
        <f t="shared" si="30"/>
        <v>0</v>
      </c>
      <c r="V843" s="26">
        <f t="shared" si="31"/>
        <v>0</v>
      </c>
      <c r="W843" s="3">
        <f>IF(A843=A844,N843-N844,0)</f>
        <v>0</v>
      </c>
      <c r="X843" s="10">
        <f>IF(A843=A844,(N843-N844)/N844,0)</f>
        <v>0</v>
      </c>
    </row>
    <row r="844" spans="1:24" ht="16.5" customHeight="1">
      <c r="A844" s="3" t="s">
        <v>33</v>
      </c>
      <c r="B844" s="3">
        <f t="shared" si="24"/>
        <v>2018</v>
      </c>
      <c r="C844" s="3">
        <f t="shared" si="25"/>
        <v>9</v>
      </c>
      <c r="D844" s="20" t="str">
        <f t="shared" si="26"/>
        <v>NFG20189</v>
      </c>
      <c r="E844" s="2">
        <v>43370</v>
      </c>
      <c r="F844" s="3">
        <v>0.42499999999999999</v>
      </c>
      <c r="G844" s="2">
        <v>43388</v>
      </c>
      <c r="H844" s="3">
        <v>3.1E-2</v>
      </c>
      <c r="I844" s="3">
        <v>0</v>
      </c>
      <c r="J844" s="3">
        <v>0</v>
      </c>
      <c r="K844" s="3">
        <f t="shared" si="27"/>
        <v>2018</v>
      </c>
      <c r="L844" s="3">
        <f t="shared" si="28"/>
        <v>0</v>
      </c>
      <c r="M844" s="20" t="str">
        <f>A844&amp;L844</f>
        <v>NFG0</v>
      </c>
      <c r="N844" s="3">
        <f>F844</f>
        <v>0.42499999999999999</v>
      </c>
      <c r="O844" s="9">
        <f>H844</f>
        <v>3.1E-2</v>
      </c>
      <c r="P844" s="10">
        <f t="shared" si="29"/>
        <v>0</v>
      </c>
      <c r="Q844" s="10">
        <f>IF(K844=0,IF(A841=A844,AVERAGE(O841:O844),"x"),0)</f>
        <v>0</v>
      </c>
      <c r="R844" s="9">
        <f>IF(L844&gt;2005,AVERAGE(O841:O860),0)</f>
        <v>0</v>
      </c>
      <c r="S844" s="10">
        <f>IF(A844=A845,(N844-N845)/N845,0)</f>
        <v>0</v>
      </c>
      <c r="T844" s="10">
        <f>IF(L844&gt;2005,(((N844-N864)/N864)+1)^(1/5)-1,0)</f>
        <v>0</v>
      </c>
      <c r="U844" s="10">
        <f t="shared" si="30"/>
        <v>0</v>
      </c>
      <c r="V844" s="26">
        <f t="shared" si="31"/>
        <v>0</v>
      </c>
      <c r="W844" s="3">
        <f>IF(A844=A845,N844-N845,0)</f>
        <v>0</v>
      </c>
      <c r="X844" s="10">
        <f>IF(A844=A845,(N844-N845)/N845,0)</f>
        <v>0</v>
      </c>
    </row>
    <row r="845" spans="1:24" ht="16.5" customHeight="1">
      <c r="A845" s="3" t="s">
        <v>33</v>
      </c>
      <c r="B845" s="3">
        <f t="shared" si="24"/>
        <v>2018</v>
      </c>
      <c r="C845" s="3">
        <f t="shared" si="25"/>
        <v>6</v>
      </c>
      <c r="D845" s="20" t="str">
        <f t="shared" si="26"/>
        <v>NFG20186</v>
      </c>
      <c r="E845" s="2">
        <v>43279</v>
      </c>
      <c r="F845" s="3">
        <v>0.42499999999999999</v>
      </c>
      <c r="G845" s="2">
        <v>43294</v>
      </c>
      <c r="H845" s="3">
        <v>3.1899999999999998E-2</v>
      </c>
      <c r="I845" s="3">
        <v>2.4096386000000001E-2</v>
      </c>
      <c r="J845" s="3">
        <v>0.01</v>
      </c>
      <c r="K845" s="3">
        <f t="shared" si="27"/>
        <v>2018</v>
      </c>
      <c r="L845" s="3">
        <f t="shared" si="28"/>
        <v>0</v>
      </c>
      <c r="M845" s="20" t="str">
        <f>A845&amp;L845</f>
        <v>NFG0</v>
      </c>
      <c r="N845" s="3">
        <f>F845</f>
        <v>0.42499999999999999</v>
      </c>
      <c r="O845" s="9">
        <f>H845</f>
        <v>3.1899999999999998E-2</v>
      </c>
      <c r="P845" s="10">
        <f t="shared" si="29"/>
        <v>3.0924999999999994E-2</v>
      </c>
      <c r="Q845" s="10">
        <f>IF(K845=0,IF(A842=A845,AVERAGE(O842:O845),"x"),0)</f>
        <v>0</v>
      </c>
      <c r="R845" s="9">
        <f>IF(L845&gt;2005,AVERAGE(O842:O861),0)</f>
        <v>0</v>
      </c>
      <c r="S845" s="10">
        <f>IF(A845=A846,(N845-N846)/N846,0)</f>
        <v>2.4096385542168697E-2</v>
      </c>
      <c r="T845" s="10">
        <f>IF(L845&gt;2005,(((N845-N865)/N865)+1)^(1/5)-1,0)</f>
        <v>0</v>
      </c>
      <c r="U845" s="10">
        <f t="shared" si="30"/>
        <v>0</v>
      </c>
      <c r="V845" s="26">
        <f t="shared" si="31"/>
        <v>0</v>
      </c>
      <c r="W845" s="3">
        <f>IF(A845=A846,N845-N846,0)</f>
        <v>1.0000000000000009E-2</v>
      </c>
      <c r="X845" s="10">
        <f>IF(A845=A846,(N845-N846)/N846,0)</f>
        <v>2.4096385542168697E-2</v>
      </c>
    </row>
    <row r="846" spans="1:24" ht="16.5" customHeight="1">
      <c r="A846" s="3" t="s">
        <v>33</v>
      </c>
      <c r="B846" s="3">
        <f t="shared" si="24"/>
        <v>2018</v>
      </c>
      <c r="C846" s="3">
        <f t="shared" si="25"/>
        <v>3</v>
      </c>
      <c r="D846" s="20" t="str">
        <f t="shared" si="26"/>
        <v>NFG20183</v>
      </c>
      <c r="E846" s="2">
        <v>43187</v>
      </c>
      <c r="F846" s="3">
        <v>0.41499999999999998</v>
      </c>
      <c r="G846" s="2">
        <v>43203</v>
      </c>
      <c r="H846" s="3">
        <v>3.27E-2</v>
      </c>
      <c r="I846" s="3">
        <v>0</v>
      </c>
      <c r="J846" s="3">
        <v>0</v>
      </c>
      <c r="K846" s="3">
        <f t="shared" si="27"/>
        <v>0</v>
      </c>
      <c r="L846" s="3">
        <f t="shared" si="28"/>
        <v>2018</v>
      </c>
      <c r="M846" s="20" t="str">
        <f>A846&amp;L846</f>
        <v>NFG2018</v>
      </c>
      <c r="N846" s="3">
        <f>F846</f>
        <v>0.41499999999999998</v>
      </c>
      <c r="O846" s="9">
        <f>H846</f>
        <v>3.27E-2</v>
      </c>
      <c r="P846" s="10">
        <f t="shared" si="29"/>
        <v>0</v>
      </c>
      <c r="Q846" s="10">
        <f>IF(K846=0,IF(A843=A846,AVERAGE(O843:O846),"x"),0)</f>
        <v>3.2099999999999997E-2</v>
      </c>
      <c r="R846" s="9">
        <f>IF(L846&gt;2005,AVERAGE(O843:O862),0)</f>
        <v>2.8315E-2</v>
      </c>
      <c r="S846" s="10">
        <f>IF(A846=A847,(N846-N847)/N847,0)</f>
        <v>0</v>
      </c>
      <c r="T846" s="10">
        <f>IF(L846&gt;2005,(((N846-N866)/N866)+1)^(1/5)-1,0)</f>
        <v>2.6008707269118636E-2</v>
      </c>
      <c r="U846" s="10">
        <f t="shared" si="30"/>
        <v>5.4323707269118636E-2</v>
      </c>
      <c r="V846" s="26">
        <f t="shared" si="31"/>
        <v>4.6112963632681696</v>
      </c>
      <c r="W846" s="3">
        <f>IF(A846=A847,N846-N847,0)</f>
        <v>0</v>
      </c>
      <c r="X846" s="10">
        <f>IF(A846=A847,(N846-N847)/N847,0)</f>
        <v>0</v>
      </c>
    </row>
    <row r="847" spans="1:24" ht="16.5" customHeight="1">
      <c r="A847" s="3" t="s">
        <v>33</v>
      </c>
      <c r="B847" s="3">
        <f t="shared" si="24"/>
        <v>2017</v>
      </c>
      <c r="C847" s="3">
        <f t="shared" si="25"/>
        <v>12</v>
      </c>
      <c r="D847" s="20" t="str">
        <f t="shared" si="26"/>
        <v>NFG201712</v>
      </c>
      <c r="E847" s="2">
        <v>43097</v>
      </c>
      <c r="F847" s="3">
        <v>0.41499999999999998</v>
      </c>
      <c r="G847" s="2">
        <v>43112</v>
      </c>
      <c r="H847" s="3">
        <v>3.0300000000000001E-2</v>
      </c>
      <c r="I847" s="3">
        <v>0</v>
      </c>
      <c r="J847" s="3">
        <v>0</v>
      </c>
      <c r="K847" s="3">
        <f t="shared" si="27"/>
        <v>2017</v>
      </c>
      <c r="L847" s="3">
        <f t="shared" si="28"/>
        <v>0</v>
      </c>
      <c r="M847" s="20" t="str">
        <f>A847&amp;L847</f>
        <v>NFG0</v>
      </c>
      <c r="N847" s="3">
        <f>F847</f>
        <v>0.41499999999999998</v>
      </c>
      <c r="O847" s="9">
        <f>H847</f>
        <v>3.0300000000000001E-2</v>
      </c>
      <c r="P847" s="10">
        <f t="shared" si="29"/>
        <v>0</v>
      </c>
      <c r="Q847" s="10">
        <f>IF(K847=0,IF(A844=A847,AVERAGE(O844:O847),"x"),0)</f>
        <v>0</v>
      </c>
      <c r="R847" s="9">
        <f>IF(L847&gt;2005,AVERAGE(O844:O863),0)</f>
        <v>0</v>
      </c>
      <c r="S847" s="10">
        <f>IF(A847=A848,(N847-N848)/N848,0)</f>
        <v>0</v>
      </c>
      <c r="T847" s="10">
        <f>IF(L847&gt;2005,(((N847-N867)/N867)+1)^(1/5)-1,0)</f>
        <v>0</v>
      </c>
      <c r="U847" s="10">
        <f t="shared" si="30"/>
        <v>0</v>
      </c>
      <c r="V847" s="26">
        <f t="shared" si="31"/>
        <v>0</v>
      </c>
      <c r="W847" s="3">
        <f>IF(A847=A848,N847-N848,0)</f>
        <v>0</v>
      </c>
      <c r="X847" s="10">
        <f>IF(A847=A848,(N847-N848)/N848,0)</f>
        <v>0</v>
      </c>
    </row>
    <row r="848" spans="1:24" ht="16.5" customHeight="1">
      <c r="A848" s="3" t="s">
        <v>33</v>
      </c>
      <c r="B848" s="3">
        <f t="shared" si="24"/>
        <v>2017</v>
      </c>
      <c r="C848" s="3">
        <f t="shared" si="25"/>
        <v>9</v>
      </c>
      <c r="D848" s="20" t="str">
        <f t="shared" si="26"/>
        <v>NFG20179</v>
      </c>
      <c r="E848" s="2">
        <v>43006</v>
      </c>
      <c r="F848" s="3">
        <v>0.41499999999999998</v>
      </c>
      <c r="G848" s="2">
        <v>43021</v>
      </c>
      <c r="H848" s="3">
        <v>2.8799999999999999E-2</v>
      </c>
      <c r="I848" s="3">
        <v>0</v>
      </c>
      <c r="J848" s="3">
        <v>0</v>
      </c>
      <c r="K848" s="3">
        <f t="shared" si="27"/>
        <v>2017</v>
      </c>
      <c r="L848" s="3">
        <f t="shared" si="28"/>
        <v>0</v>
      </c>
      <c r="M848" s="20" t="str">
        <f>A848&amp;L848</f>
        <v>NFG0</v>
      </c>
      <c r="N848" s="3">
        <f>F848</f>
        <v>0.41499999999999998</v>
      </c>
      <c r="O848" s="9">
        <f>H848</f>
        <v>2.8799999999999999E-2</v>
      </c>
      <c r="P848" s="10">
        <f t="shared" si="29"/>
        <v>0</v>
      </c>
      <c r="Q848" s="10">
        <f>IF(K848=0,IF(A845=A848,AVERAGE(O845:O848),"x"),0)</f>
        <v>0</v>
      </c>
      <c r="R848" s="9">
        <f>IF(L848&gt;2005,AVERAGE(O845:O864),0)</f>
        <v>0</v>
      </c>
      <c r="S848" s="10">
        <f>IF(A848=A849,(N848-N849)/N849,0)</f>
        <v>0</v>
      </c>
      <c r="T848" s="10">
        <f>IF(L848&gt;2005,(((N848-N868)/N868)+1)^(1/5)-1,0)</f>
        <v>0</v>
      </c>
      <c r="U848" s="10">
        <f t="shared" si="30"/>
        <v>0</v>
      </c>
      <c r="V848" s="26">
        <f t="shared" si="31"/>
        <v>0</v>
      </c>
      <c r="W848" s="3">
        <f>IF(A848=A849,N848-N849,0)</f>
        <v>0</v>
      </c>
      <c r="X848" s="10">
        <f>IF(A848=A849,(N848-N849)/N849,0)</f>
        <v>0</v>
      </c>
    </row>
    <row r="849" spans="1:24" ht="16.5" customHeight="1">
      <c r="A849" s="3" t="s">
        <v>33</v>
      </c>
      <c r="B849" s="3">
        <f t="shared" si="24"/>
        <v>2017</v>
      </c>
      <c r="C849" s="3">
        <f t="shared" si="25"/>
        <v>6</v>
      </c>
      <c r="D849" s="20" t="str">
        <f t="shared" si="26"/>
        <v>NFG20176</v>
      </c>
      <c r="E849" s="2">
        <v>42914</v>
      </c>
      <c r="F849" s="3">
        <v>0.41499999999999998</v>
      </c>
      <c r="G849" s="2">
        <v>42930</v>
      </c>
      <c r="H849" s="3">
        <v>2.9499999999999998E-2</v>
      </c>
      <c r="I849" s="3">
        <v>2.4691358E-2</v>
      </c>
      <c r="J849" s="3">
        <v>0.01</v>
      </c>
      <c r="K849" s="3">
        <f t="shared" si="27"/>
        <v>2017</v>
      </c>
      <c r="L849" s="3">
        <f t="shared" si="28"/>
        <v>0</v>
      </c>
      <c r="M849" s="20" t="str">
        <f>A849&amp;L849</f>
        <v>NFG0</v>
      </c>
      <c r="N849" s="3">
        <f>F849</f>
        <v>0.41499999999999998</v>
      </c>
      <c r="O849" s="9">
        <f>H849</f>
        <v>2.9499999999999998E-2</v>
      </c>
      <c r="P849" s="10">
        <f t="shared" si="29"/>
        <v>2.8475E-2</v>
      </c>
      <c r="Q849" s="10">
        <f>IF(K849=0,IF(A846=A849,AVERAGE(O846:O849),"x"),0)</f>
        <v>0</v>
      </c>
      <c r="R849" s="9">
        <f>IF(L849&gt;2005,AVERAGE(O846:O865),0)</f>
        <v>0</v>
      </c>
      <c r="S849" s="10">
        <f>IF(A849=A850,(N849-N850)/N850,0)</f>
        <v>2.4691358024691242E-2</v>
      </c>
      <c r="T849" s="10">
        <f>IF(L849&gt;2005,(((N849-N869)/N869)+1)^(1/5)-1,0)</f>
        <v>0</v>
      </c>
      <c r="U849" s="10">
        <f t="shared" si="30"/>
        <v>0</v>
      </c>
      <c r="V849" s="26">
        <f t="shared" si="31"/>
        <v>0</v>
      </c>
      <c r="W849" s="3">
        <f>IF(A849=A850,N849-N850,0)</f>
        <v>9.9999999999999534E-3</v>
      </c>
      <c r="X849" s="10">
        <f>IF(A849=A850,(N849-N850)/N850,0)</f>
        <v>2.4691358024691242E-2</v>
      </c>
    </row>
    <row r="850" spans="1:24" ht="16.5" customHeight="1">
      <c r="A850" s="3" t="s">
        <v>33</v>
      </c>
      <c r="B850" s="3">
        <f t="shared" si="24"/>
        <v>2017</v>
      </c>
      <c r="C850" s="3">
        <f t="shared" si="25"/>
        <v>3</v>
      </c>
      <c r="D850" s="20" t="str">
        <f t="shared" si="26"/>
        <v>NFG20173</v>
      </c>
      <c r="E850" s="2">
        <v>42823</v>
      </c>
      <c r="F850" s="3">
        <v>0.40500000000000003</v>
      </c>
      <c r="G850" s="2">
        <v>42839</v>
      </c>
      <c r="H850" s="3">
        <v>2.7099999999999999E-2</v>
      </c>
      <c r="I850" s="3">
        <v>0</v>
      </c>
      <c r="J850" s="3">
        <v>0</v>
      </c>
      <c r="K850" s="3">
        <f t="shared" si="27"/>
        <v>0</v>
      </c>
      <c r="L850" s="3">
        <f t="shared" si="28"/>
        <v>2017</v>
      </c>
      <c r="M850" s="20" t="str">
        <f>A850&amp;L850</f>
        <v>NFG2017</v>
      </c>
      <c r="N850" s="3">
        <f>F850</f>
        <v>0.40500000000000003</v>
      </c>
      <c r="O850" s="9">
        <f>H850</f>
        <v>2.7099999999999999E-2</v>
      </c>
      <c r="P850" s="10">
        <f t="shared" si="29"/>
        <v>0</v>
      </c>
      <c r="Q850" s="10">
        <f>IF(K850=0,IF(A847=A850,AVERAGE(O847:O850),"x"),0)</f>
        <v>2.8924999999999999E-2</v>
      </c>
      <c r="R850" s="9">
        <f>IF(L850&gt;2005,AVERAGE(O847:O866),0)</f>
        <v>2.6484999999999998E-2</v>
      </c>
      <c r="S850" s="10">
        <f>IF(A850=A851,(N850-N851)/N851,0)</f>
        <v>0</v>
      </c>
      <c r="T850" s="10">
        <f>IF(L850&gt;2005,(((N850-N870)/N870)+1)^(1/5)-1,0)</f>
        <v>2.6704189153420987E-2</v>
      </c>
      <c r="U850" s="10">
        <f t="shared" si="30"/>
        <v>5.3189189153420982E-2</v>
      </c>
      <c r="V850" s="26">
        <f t="shared" si="31"/>
        <v>4.6352002769989555</v>
      </c>
      <c r="W850" s="3">
        <f>IF(A850=A851,N850-N851,0)</f>
        <v>0</v>
      </c>
      <c r="X850" s="10">
        <f>IF(A850=A851,(N850-N851)/N851,0)</f>
        <v>0</v>
      </c>
    </row>
    <row r="851" spans="1:24" ht="16.5" customHeight="1">
      <c r="A851" s="3" t="s">
        <v>33</v>
      </c>
      <c r="B851" s="3">
        <f t="shared" si="24"/>
        <v>2016</v>
      </c>
      <c r="C851" s="3">
        <f t="shared" si="25"/>
        <v>12</v>
      </c>
      <c r="D851" s="20" t="str">
        <f t="shared" si="26"/>
        <v>NFG201612</v>
      </c>
      <c r="E851" s="2">
        <v>42732</v>
      </c>
      <c r="F851" s="3">
        <v>0.40500000000000003</v>
      </c>
      <c r="G851" s="2">
        <v>42748</v>
      </c>
      <c r="H851" s="3">
        <v>2.8000000000000001E-2</v>
      </c>
      <c r="I851" s="3">
        <v>0</v>
      </c>
      <c r="J851" s="3">
        <v>0</v>
      </c>
      <c r="K851" s="3">
        <f t="shared" si="27"/>
        <v>2016</v>
      </c>
      <c r="L851" s="3">
        <f t="shared" si="28"/>
        <v>0</v>
      </c>
      <c r="M851" s="20" t="str">
        <f>A851&amp;L851</f>
        <v>NFG0</v>
      </c>
      <c r="N851" s="3">
        <f>F851</f>
        <v>0.40500000000000003</v>
      </c>
      <c r="O851" s="9">
        <f>H851</f>
        <v>2.8000000000000001E-2</v>
      </c>
      <c r="P851" s="10">
        <f t="shared" si="29"/>
        <v>0</v>
      </c>
      <c r="Q851" s="10">
        <f>IF(K851=0,IF(A848=A851,AVERAGE(O848:O851),"x"),0)</f>
        <v>0</v>
      </c>
      <c r="R851" s="9">
        <f>IF(L851&gt;2005,AVERAGE(O848:O867),0)</f>
        <v>0</v>
      </c>
      <c r="S851" s="10">
        <f>IF(A851=A852,(N851-N852)/N852,0)</f>
        <v>0</v>
      </c>
      <c r="T851" s="10">
        <f>IF(L851&gt;2005,(((N851-N871)/N871)+1)^(1/5)-1,0)</f>
        <v>0</v>
      </c>
      <c r="U851" s="10">
        <f t="shared" si="30"/>
        <v>0</v>
      </c>
      <c r="V851" s="26">
        <f t="shared" si="31"/>
        <v>0</v>
      </c>
      <c r="W851" s="3">
        <f>IF(A851=A852,N851-N852,0)</f>
        <v>0</v>
      </c>
      <c r="X851" s="10">
        <f>IF(A851=A852,(N851-N852)/N852,0)</f>
        <v>0</v>
      </c>
    </row>
    <row r="852" spans="1:24" ht="16.5" customHeight="1">
      <c r="A852" s="3" t="s">
        <v>33</v>
      </c>
      <c r="B852" s="3">
        <f t="shared" si="24"/>
        <v>2016</v>
      </c>
      <c r="C852" s="3">
        <f t="shared" si="25"/>
        <v>9</v>
      </c>
      <c r="D852" s="20" t="str">
        <f t="shared" si="26"/>
        <v>NFG20169</v>
      </c>
      <c r="E852" s="2">
        <v>42641</v>
      </c>
      <c r="F852" s="3">
        <v>0.40500000000000003</v>
      </c>
      <c r="G852" s="2">
        <v>42657</v>
      </c>
      <c r="H852" s="3">
        <v>2.93E-2</v>
      </c>
      <c r="I852" s="3">
        <v>0</v>
      </c>
      <c r="J852" s="3">
        <v>0</v>
      </c>
      <c r="K852" s="3">
        <f t="shared" si="27"/>
        <v>2016</v>
      </c>
      <c r="L852" s="3">
        <f t="shared" si="28"/>
        <v>0</v>
      </c>
      <c r="M852" s="20" t="str">
        <f>A852&amp;L852</f>
        <v>NFG0</v>
      </c>
      <c r="N852" s="3">
        <f>F852</f>
        <v>0.40500000000000003</v>
      </c>
      <c r="O852" s="9">
        <f>H852</f>
        <v>2.93E-2</v>
      </c>
      <c r="P852" s="10">
        <f t="shared" si="29"/>
        <v>0</v>
      </c>
      <c r="Q852" s="10">
        <f>IF(K852=0,IF(A849=A852,AVERAGE(O849:O852),"x"),0)</f>
        <v>0</v>
      </c>
      <c r="R852" s="9">
        <f>IF(L852&gt;2005,AVERAGE(O849:O868),0)</f>
        <v>0</v>
      </c>
      <c r="S852" s="10">
        <f>IF(A852=A853,(N852-N853)/N853,0)</f>
        <v>0</v>
      </c>
      <c r="T852" s="10">
        <f>IF(L852&gt;2005,(((N852-N872)/N872)+1)^(1/5)-1,0)</f>
        <v>0</v>
      </c>
      <c r="U852" s="10">
        <f t="shared" si="30"/>
        <v>0</v>
      </c>
      <c r="V852" s="26">
        <f t="shared" si="31"/>
        <v>0</v>
      </c>
      <c r="W852" s="3">
        <f>IF(A852=A853,N852-N853,0)</f>
        <v>0</v>
      </c>
      <c r="X852" s="10">
        <f>IF(A852=A853,(N852-N853)/N853,0)</f>
        <v>0</v>
      </c>
    </row>
    <row r="853" spans="1:24" ht="16.5" customHeight="1">
      <c r="A853" s="3" t="s">
        <v>33</v>
      </c>
      <c r="B853" s="3">
        <f t="shared" si="24"/>
        <v>2016</v>
      </c>
      <c r="C853" s="3">
        <f t="shared" si="25"/>
        <v>6</v>
      </c>
      <c r="D853" s="20" t="str">
        <f t="shared" si="26"/>
        <v>NFG20166</v>
      </c>
      <c r="E853" s="2">
        <v>42549</v>
      </c>
      <c r="F853" s="3">
        <v>0.40500000000000003</v>
      </c>
      <c r="G853" s="2">
        <v>42566</v>
      </c>
      <c r="H853" s="3">
        <v>2.93E-2</v>
      </c>
      <c r="I853" s="3">
        <v>2.5316456000000001E-2</v>
      </c>
      <c r="J853" s="3">
        <v>0.01</v>
      </c>
      <c r="K853" s="3">
        <f t="shared" si="27"/>
        <v>2016</v>
      </c>
      <c r="L853" s="3">
        <f t="shared" si="28"/>
        <v>0</v>
      </c>
      <c r="M853" s="20" t="str">
        <f>A853&amp;L853</f>
        <v>NFG0</v>
      </c>
      <c r="N853" s="3">
        <f>F853</f>
        <v>0.40500000000000003</v>
      </c>
      <c r="O853" s="9">
        <f>H853</f>
        <v>2.93E-2</v>
      </c>
      <c r="P853" s="10">
        <f t="shared" si="29"/>
        <v>3.2149999999999998E-2</v>
      </c>
      <c r="Q853" s="10">
        <f>IF(K853=0,IF(A850=A853,AVERAGE(O850:O853),"x"),0)</f>
        <v>0</v>
      </c>
      <c r="R853" s="9">
        <f>IF(L853&gt;2005,AVERAGE(O850:O869),0)</f>
        <v>0</v>
      </c>
      <c r="S853" s="10">
        <f>IF(A853=A854,(N853-N854)/N854,0)</f>
        <v>2.5316455696202552E-2</v>
      </c>
      <c r="T853" s="10">
        <f>IF(L853&gt;2005,(((N853-N873)/N873)+1)^(1/5)-1,0)</f>
        <v>0</v>
      </c>
      <c r="U853" s="10">
        <f t="shared" si="30"/>
        <v>0</v>
      </c>
      <c r="V853" s="26">
        <f t="shared" si="31"/>
        <v>0</v>
      </c>
      <c r="W853" s="3">
        <f>IF(A853=A854,N853-N854,0)</f>
        <v>1.0000000000000009E-2</v>
      </c>
      <c r="X853" s="10">
        <f>IF(A853=A854,(N853-N854)/N854,0)</f>
        <v>2.5316455696202552E-2</v>
      </c>
    </row>
    <row r="854" spans="1:24" ht="16.5" customHeight="1">
      <c r="A854" s="3" t="s">
        <v>33</v>
      </c>
      <c r="B854" s="3">
        <f t="shared" si="24"/>
        <v>2016</v>
      </c>
      <c r="C854" s="3">
        <f t="shared" si="25"/>
        <v>3</v>
      </c>
      <c r="D854" s="20" t="str">
        <f t="shared" si="26"/>
        <v>NFG20163</v>
      </c>
      <c r="E854" s="2">
        <v>42458</v>
      </c>
      <c r="F854" s="3">
        <v>0.39500000000000002</v>
      </c>
      <c r="G854" s="2">
        <v>42475</v>
      </c>
      <c r="H854" s="3">
        <v>3.1300000000000001E-2</v>
      </c>
      <c r="I854" s="3">
        <v>0</v>
      </c>
      <c r="J854" s="3">
        <v>0</v>
      </c>
      <c r="K854" s="3">
        <f t="shared" si="27"/>
        <v>0</v>
      </c>
      <c r="L854" s="3">
        <f t="shared" si="28"/>
        <v>2016</v>
      </c>
      <c r="M854" s="20" t="str">
        <f>A854&amp;L854</f>
        <v>NFG2016</v>
      </c>
      <c r="N854" s="3">
        <f>F854</f>
        <v>0.39500000000000002</v>
      </c>
      <c r="O854" s="9">
        <f>H854</f>
        <v>3.1300000000000001E-2</v>
      </c>
      <c r="P854" s="10">
        <f t="shared" si="29"/>
        <v>0</v>
      </c>
      <c r="Q854" s="10">
        <f>IF(K854=0,IF(A851=A854,AVERAGE(O851:O854),"x"),0)</f>
        <v>2.9475000000000001E-2</v>
      </c>
      <c r="R854" s="9">
        <f>IF(L854&gt;2005,AVERAGE(O851:O870),0)</f>
        <v>2.6444999999999996E-2</v>
      </c>
      <c r="S854" s="10">
        <f>IF(A854=A855,(N854-N855)/N855,0)</f>
        <v>0</v>
      </c>
      <c r="T854" s="10">
        <f>IF(L854&gt;2005,(((N854-N874)/N874)+1)^(1/5)-1,0)</f>
        <v>2.7437943119875463E-2</v>
      </c>
      <c r="U854" s="10">
        <f t="shared" si="30"/>
        <v>5.3882943119875459E-2</v>
      </c>
      <c r="V854" s="26">
        <f t="shared" si="31"/>
        <v>4.6359646684943971</v>
      </c>
      <c r="W854" s="3">
        <f>IF(A854=A855,N854-N855,0)</f>
        <v>0</v>
      </c>
      <c r="X854" s="10">
        <f>IF(A854=A855,(N854-N855)/N855,0)</f>
        <v>0</v>
      </c>
    </row>
    <row r="855" spans="1:24" ht="16.5" customHeight="1">
      <c r="A855" s="3" t="s">
        <v>33</v>
      </c>
      <c r="B855" s="3">
        <f t="shared" si="24"/>
        <v>2015</v>
      </c>
      <c r="C855" s="3">
        <f t="shared" si="25"/>
        <v>12</v>
      </c>
      <c r="D855" s="20" t="str">
        <f t="shared" si="26"/>
        <v>NFG201512</v>
      </c>
      <c r="E855" s="2">
        <v>42367</v>
      </c>
      <c r="F855" s="3">
        <v>0.39500000000000002</v>
      </c>
      <c r="G855" s="2">
        <v>42384</v>
      </c>
      <c r="H855" s="3">
        <v>3.6700000000000003E-2</v>
      </c>
      <c r="I855" s="3">
        <v>0</v>
      </c>
      <c r="J855" s="3">
        <v>0</v>
      </c>
      <c r="K855" s="3">
        <f t="shared" si="27"/>
        <v>2015</v>
      </c>
      <c r="L855" s="3">
        <f t="shared" si="28"/>
        <v>0</v>
      </c>
      <c r="M855" s="20" t="str">
        <f>A855&amp;L855</f>
        <v>NFG0</v>
      </c>
      <c r="N855" s="3">
        <f>F855</f>
        <v>0.39500000000000002</v>
      </c>
      <c r="O855" s="9">
        <f>H855</f>
        <v>3.6700000000000003E-2</v>
      </c>
      <c r="P855" s="10">
        <f t="shared" si="29"/>
        <v>0</v>
      </c>
      <c r="Q855" s="10">
        <f>IF(K855=0,IF(A852=A855,AVERAGE(O852:O855),"x"),0)</f>
        <v>0</v>
      </c>
      <c r="R855" s="9">
        <f>IF(L855&gt;2005,AVERAGE(O852:O871),0)</f>
        <v>0</v>
      </c>
      <c r="S855" s="10">
        <f>IF(A855=A856,(N855-N856)/N856,0)</f>
        <v>0</v>
      </c>
      <c r="T855" s="10">
        <f>IF(L855&gt;2005,(((N855-N875)/N875)+1)^(1/5)-1,0)</f>
        <v>0</v>
      </c>
      <c r="U855" s="10">
        <f t="shared" si="30"/>
        <v>0</v>
      </c>
      <c r="V855" s="26">
        <f t="shared" si="31"/>
        <v>0</v>
      </c>
      <c r="W855" s="3">
        <f>IF(A855=A856,N855-N856,0)</f>
        <v>0</v>
      </c>
      <c r="X855" s="10">
        <f>IF(A855=A856,(N855-N856)/N856,0)</f>
        <v>0</v>
      </c>
    </row>
    <row r="856" spans="1:24" ht="16.5" customHeight="1">
      <c r="A856" s="3" t="s">
        <v>33</v>
      </c>
      <c r="B856" s="3">
        <f t="shared" si="24"/>
        <v>2015</v>
      </c>
      <c r="C856" s="3">
        <f t="shared" si="25"/>
        <v>9</v>
      </c>
      <c r="D856" s="20" t="str">
        <f t="shared" si="26"/>
        <v>NFG20159</v>
      </c>
      <c r="E856" s="2">
        <v>42275</v>
      </c>
      <c r="F856" s="3">
        <v>0.39500000000000002</v>
      </c>
      <c r="G856" s="2">
        <v>42292</v>
      </c>
      <c r="H856" s="3">
        <v>3.1300000000000001E-2</v>
      </c>
      <c r="I856" s="3">
        <v>0</v>
      </c>
      <c r="J856" s="3">
        <v>0</v>
      </c>
      <c r="K856" s="3">
        <f t="shared" si="27"/>
        <v>2015</v>
      </c>
      <c r="L856" s="3">
        <f t="shared" si="28"/>
        <v>0</v>
      </c>
      <c r="M856" s="20" t="str">
        <f>A856&amp;L856</f>
        <v>NFG0</v>
      </c>
      <c r="N856" s="3">
        <f>F856</f>
        <v>0.39500000000000002</v>
      </c>
      <c r="O856" s="9">
        <f>H856</f>
        <v>3.1300000000000001E-2</v>
      </c>
      <c r="P856" s="10">
        <f t="shared" si="29"/>
        <v>0</v>
      </c>
      <c r="Q856" s="10">
        <f>IF(K856=0,IF(A853=A856,AVERAGE(O853:O856),"x"),0)</f>
        <v>0</v>
      </c>
      <c r="R856" s="9">
        <f>IF(L856&gt;2005,AVERAGE(O853:O872),0)</f>
        <v>0</v>
      </c>
      <c r="S856" s="10">
        <f>IF(A856=A857,(N856-N857)/N857,0)</f>
        <v>0</v>
      </c>
      <c r="T856" s="10">
        <f>IF(L856&gt;2005,(((N856-N876)/N876)+1)^(1/5)-1,0)</f>
        <v>0</v>
      </c>
      <c r="U856" s="10">
        <f t="shared" si="30"/>
        <v>0</v>
      </c>
      <c r="V856" s="26">
        <f t="shared" si="31"/>
        <v>0</v>
      </c>
      <c r="W856" s="3">
        <f>IF(A856=A857,N856-N857,0)</f>
        <v>0</v>
      </c>
      <c r="X856" s="10">
        <f>IF(A856=A857,(N856-N857)/N857,0)</f>
        <v>0</v>
      </c>
    </row>
    <row r="857" spans="1:24" ht="16.5" customHeight="1">
      <c r="A857" s="3" t="s">
        <v>33</v>
      </c>
      <c r="B857" s="3">
        <f t="shared" si="24"/>
        <v>2015</v>
      </c>
      <c r="C857" s="3">
        <f t="shared" si="25"/>
        <v>6</v>
      </c>
      <c r="D857" s="20" t="str">
        <f t="shared" si="26"/>
        <v>NFG20156</v>
      </c>
      <c r="E857" s="2">
        <v>42181</v>
      </c>
      <c r="F857" s="3">
        <v>0.39500000000000002</v>
      </c>
      <c r="G857" s="2">
        <v>42200</v>
      </c>
      <c r="H857" s="3">
        <v>2.5700000000000001E-2</v>
      </c>
      <c r="I857" s="3">
        <v>2.5974026000000001E-2</v>
      </c>
      <c r="J857" s="3">
        <v>0.01</v>
      </c>
      <c r="K857" s="3">
        <f t="shared" si="27"/>
        <v>2015</v>
      </c>
      <c r="L857" s="3">
        <f t="shared" si="28"/>
        <v>0</v>
      </c>
      <c r="M857" s="20" t="str">
        <f>A857&amp;L857</f>
        <v>NFG0</v>
      </c>
      <c r="N857" s="3">
        <f>F857</f>
        <v>0.39500000000000002</v>
      </c>
      <c r="O857" s="9">
        <f>H857</f>
        <v>2.5700000000000001E-2</v>
      </c>
      <c r="P857" s="10">
        <f t="shared" si="29"/>
        <v>2.3725E-2</v>
      </c>
      <c r="Q857" s="10">
        <f>IF(K857=0,IF(A854=A857,AVERAGE(O854:O857),"x"),0)</f>
        <v>0</v>
      </c>
      <c r="R857" s="9">
        <f>IF(L857&gt;2005,AVERAGE(O854:O873),0)</f>
        <v>0</v>
      </c>
      <c r="S857" s="10">
        <f>IF(A857=A858,(N857-N858)/N858,0)</f>
        <v>2.5974025974025997E-2</v>
      </c>
      <c r="T857" s="10">
        <f>IF(L857&gt;2005,(((N857-N877)/N877)+1)^(1/5)-1,0)</f>
        <v>0</v>
      </c>
      <c r="U857" s="10">
        <f t="shared" si="30"/>
        <v>0</v>
      </c>
      <c r="V857" s="26">
        <f t="shared" si="31"/>
        <v>0</v>
      </c>
      <c r="W857" s="3">
        <f>IF(A857=A858,N857-N858,0)</f>
        <v>1.0000000000000009E-2</v>
      </c>
      <c r="X857" s="10">
        <f>IF(A857=A858,(N857-N858)/N858,0)</f>
        <v>2.5974025974025997E-2</v>
      </c>
    </row>
    <row r="858" spans="1:24" ht="16.5" customHeight="1">
      <c r="A858" s="3" t="s">
        <v>33</v>
      </c>
      <c r="B858" s="3">
        <f t="shared" si="24"/>
        <v>2015</v>
      </c>
      <c r="C858" s="3">
        <f t="shared" si="25"/>
        <v>3</v>
      </c>
      <c r="D858" s="20" t="str">
        <f t="shared" si="26"/>
        <v>NFG20153</v>
      </c>
      <c r="E858" s="2">
        <v>42090</v>
      </c>
      <c r="F858" s="3">
        <v>0.38500000000000001</v>
      </c>
      <c r="G858" s="2">
        <v>42109</v>
      </c>
      <c r="H858" s="3">
        <v>2.58E-2</v>
      </c>
      <c r="I858" s="3">
        <v>0</v>
      </c>
      <c r="J858" s="3">
        <v>0</v>
      </c>
      <c r="K858" s="3">
        <f t="shared" si="27"/>
        <v>0</v>
      </c>
      <c r="L858" s="3">
        <f t="shared" si="28"/>
        <v>2015</v>
      </c>
      <c r="M858" s="20" t="str">
        <f>A858&amp;L858</f>
        <v>NFG2015</v>
      </c>
      <c r="N858" s="3">
        <f>F858</f>
        <v>0.38500000000000001</v>
      </c>
      <c r="O858" s="9">
        <f>H858</f>
        <v>2.58E-2</v>
      </c>
      <c r="P858" s="10">
        <f t="shared" si="29"/>
        <v>0</v>
      </c>
      <c r="Q858" s="10">
        <f>IF(K858=0,IF(A855=A858,AVERAGE(O855:O858),"x"),0)</f>
        <v>2.9875000000000002E-2</v>
      </c>
      <c r="R858" s="9">
        <f>IF(L858&gt;2005,AVERAGE(O855:O874),0)</f>
        <v>2.5075000000000004E-2</v>
      </c>
      <c r="S858" s="10">
        <f>IF(A858=A859,(N858-N859)/N859,0)</f>
        <v>0</v>
      </c>
      <c r="T858" s="10">
        <f>IF(L858&gt;2005,(((N858-N878)/N878)+1)^(1/5)-1,0)</f>
        <v>2.8213222586158881E-2</v>
      </c>
      <c r="U858" s="10">
        <f t="shared" si="30"/>
        <v>5.3288222586158882E-2</v>
      </c>
      <c r="V858" s="26">
        <f t="shared" si="31"/>
        <v>4.6540384408273532</v>
      </c>
      <c r="W858" s="3">
        <f>IF(A858=A859,N858-N859,0)</f>
        <v>0</v>
      </c>
      <c r="X858" s="10">
        <f>IF(A858=A859,(N858-N859)/N859,0)</f>
        <v>0</v>
      </c>
    </row>
    <row r="859" spans="1:24" ht="16.5" customHeight="1">
      <c r="A859" s="3" t="s">
        <v>33</v>
      </c>
      <c r="B859" s="3">
        <f t="shared" si="24"/>
        <v>2014</v>
      </c>
      <c r="C859" s="3">
        <f t="shared" si="25"/>
        <v>12</v>
      </c>
      <c r="D859" s="20" t="str">
        <f t="shared" si="26"/>
        <v>NFG201412</v>
      </c>
      <c r="E859" s="2">
        <v>42002</v>
      </c>
      <c r="F859" s="3">
        <v>0.38500000000000001</v>
      </c>
      <c r="G859" s="2">
        <v>42019</v>
      </c>
      <c r="H859" s="3">
        <v>2.1700000000000001E-2</v>
      </c>
      <c r="I859" s="3">
        <v>0</v>
      </c>
      <c r="J859" s="3">
        <v>0</v>
      </c>
      <c r="K859" s="3">
        <f t="shared" si="27"/>
        <v>2014</v>
      </c>
      <c r="L859" s="3">
        <f t="shared" si="28"/>
        <v>0</v>
      </c>
      <c r="M859" s="20" t="str">
        <f>A859&amp;L859</f>
        <v>NFG0</v>
      </c>
      <c r="N859" s="3">
        <f>F859</f>
        <v>0.38500000000000001</v>
      </c>
      <c r="O859" s="9">
        <f>H859</f>
        <v>2.1700000000000001E-2</v>
      </c>
      <c r="P859" s="10">
        <f t="shared" si="29"/>
        <v>0</v>
      </c>
      <c r="Q859" s="10">
        <f>IF(K859=0,IF(A856=A859,AVERAGE(O856:O859),"x"),0)</f>
        <v>0</v>
      </c>
      <c r="R859" s="9">
        <f>IF(L859&gt;2005,AVERAGE(O856:O875),0)</f>
        <v>0</v>
      </c>
      <c r="S859" s="10">
        <f>IF(A859=A860,(N859-N860)/N860,0)</f>
        <v>0</v>
      </c>
      <c r="T859" s="10">
        <f>IF(L859&gt;2005,(((N859-N879)/N879)+1)^(1/5)-1,0)</f>
        <v>0</v>
      </c>
      <c r="U859" s="10">
        <f t="shared" si="30"/>
        <v>0</v>
      </c>
      <c r="V859" s="26">
        <f t="shared" si="31"/>
        <v>0</v>
      </c>
      <c r="W859" s="3">
        <f>IF(A859=A860,N859-N860,0)</f>
        <v>0</v>
      </c>
      <c r="X859" s="10">
        <f>IF(A859=A860,(N859-N860)/N860,0)</f>
        <v>0</v>
      </c>
    </row>
    <row r="860" spans="1:24" ht="16.5" customHeight="1">
      <c r="A860" s="3" t="s">
        <v>33</v>
      </c>
      <c r="B860" s="3">
        <f t="shared" si="24"/>
        <v>2014</v>
      </c>
      <c r="C860" s="3">
        <f t="shared" si="25"/>
        <v>9</v>
      </c>
      <c r="D860" s="20" t="str">
        <f t="shared" si="26"/>
        <v>NFG20149</v>
      </c>
      <c r="E860" s="2">
        <v>41908</v>
      </c>
      <c r="F860" s="3">
        <v>0.38500000000000001</v>
      </c>
      <c r="G860" s="2">
        <v>41927</v>
      </c>
      <c r="H860" s="3">
        <v>2.1700000000000001E-2</v>
      </c>
      <c r="I860" s="3">
        <v>0</v>
      </c>
      <c r="J860" s="3">
        <v>0</v>
      </c>
      <c r="K860" s="3">
        <f t="shared" si="27"/>
        <v>2014</v>
      </c>
      <c r="L860" s="3">
        <f t="shared" si="28"/>
        <v>0</v>
      </c>
      <c r="M860" s="20" t="str">
        <f>A860&amp;L860</f>
        <v>NFG0</v>
      </c>
      <c r="N860" s="3">
        <f>F860</f>
        <v>0.38500000000000001</v>
      </c>
      <c r="O860" s="9">
        <f>H860</f>
        <v>2.1700000000000001E-2</v>
      </c>
      <c r="P860" s="10">
        <f t="shared" si="29"/>
        <v>0</v>
      </c>
      <c r="Q860" s="10">
        <f>IF(K860=0,IF(A857=A860,AVERAGE(O857:O860),"x"),0)</f>
        <v>0</v>
      </c>
      <c r="R860" s="9">
        <f>IF(L860&gt;2005,AVERAGE(O857:O876),0)</f>
        <v>0</v>
      </c>
      <c r="S860" s="10">
        <f>IF(A860=A861,(N860-N861)/N861,0)</f>
        <v>0</v>
      </c>
      <c r="T860" s="10">
        <f>IF(L860&gt;2005,(((N860-N880)/N880)+1)^(1/5)-1,0)</f>
        <v>0</v>
      </c>
      <c r="U860" s="10">
        <f t="shared" si="30"/>
        <v>0</v>
      </c>
      <c r="V860" s="26">
        <f t="shared" si="31"/>
        <v>0</v>
      </c>
      <c r="W860" s="3">
        <f>IF(A860=A861,N860-N861,0)</f>
        <v>0</v>
      </c>
      <c r="X860" s="10">
        <f>IF(A860=A861,(N860-N861)/N861,0)</f>
        <v>0</v>
      </c>
    </row>
    <row r="861" spans="1:24" ht="16.5" customHeight="1">
      <c r="A861" s="3" t="s">
        <v>33</v>
      </c>
      <c r="B861" s="3">
        <f t="shared" si="24"/>
        <v>2014</v>
      </c>
      <c r="C861" s="3">
        <f t="shared" si="25"/>
        <v>6</v>
      </c>
      <c r="D861" s="20" t="str">
        <f t="shared" si="26"/>
        <v>NFG20146</v>
      </c>
      <c r="E861" s="2">
        <v>41816</v>
      </c>
      <c r="F861" s="3">
        <v>0.38500000000000001</v>
      </c>
      <c r="G861" s="2">
        <v>41835</v>
      </c>
      <c r="H861" s="3">
        <v>1.9599999999999999E-2</v>
      </c>
      <c r="I861" s="3">
        <v>2.6666667000000002E-2</v>
      </c>
      <c r="J861" s="3">
        <v>0.01</v>
      </c>
      <c r="K861" s="3">
        <f t="shared" si="27"/>
        <v>2014</v>
      </c>
      <c r="L861" s="3">
        <f t="shared" si="28"/>
        <v>0</v>
      </c>
      <c r="M861" s="20" t="str">
        <f>A861&amp;L861</f>
        <v>NFG0</v>
      </c>
      <c r="N861" s="3">
        <f>F861</f>
        <v>0.38500000000000001</v>
      </c>
      <c r="O861" s="9">
        <f>H861</f>
        <v>1.9599999999999999E-2</v>
      </c>
      <c r="P861" s="10">
        <f t="shared" si="29"/>
        <v>2.0975000000000001E-2</v>
      </c>
      <c r="Q861" s="10">
        <f>IF(K861=0,IF(A858=A861,AVERAGE(O858:O861),"x"),0)</f>
        <v>0</v>
      </c>
      <c r="R861" s="9">
        <f>IF(L861&gt;2005,AVERAGE(O858:O877),0)</f>
        <v>0</v>
      </c>
      <c r="S861" s="10">
        <f>IF(A861=A862,(N861-N862)/N862,0)</f>
        <v>2.6666666666666689E-2</v>
      </c>
      <c r="T861" s="10">
        <f>IF(L861&gt;2005,(((N861-N881)/N881)+1)^(1/5)-1,0)</f>
        <v>0</v>
      </c>
      <c r="U861" s="10">
        <f t="shared" si="30"/>
        <v>0</v>
      </c>
      <c r="V861" s="26">
        <f t="shared" si="31"/>
        <v>0</v>
      </c>
      <c r="W861" s="3">
        <f>IF(A861=A862,N861-N862,0)</f>
        <v>1.0000000000000009E-2</v>
      </c>
      <c r="X861" s="10">
        <f>IF(A861=A862,(N861-N862)/N862,0)</f>
        <v>2.6666666666666689E-2</v>
      </c>
    </row>
    <row r="862" spans="1:24" ht="16.5" customHeight="1">
      <c r="A862" s="3" t="s">
        <v>33</v>
      </c>
      <c r="B862" s="3">
        <f t="shared" si="24"/>
        <v>2014</v>
      </c>
      <c r="C862" s="3">
        <f t="shared" si="25"/>
        <v>3</v>
      </c>
      <c r="D862" s="20" t="str">
        <f t="shared" si="26"/>
        <v>NFG20143</v>
      </c>
      <c r="E862" s="2">
        <v>41725</v>
      </c>
      <c r="F862" s="3">
        <v>0.375</v>
      </c>
      <c r="G862" s="2">
        <v>41744</v>
      </c>
      <c r="H862" s="3">
        <v>2.18E-2</v>
      </c>
      <c r="I862" s="3">
        <v>0</v>
      </c>
      <c r="J862" s="3">
        <v>0</v>
      </c>
      <c r="K862" s="3">
        <f t="shared" si="27"/>
        <v>0</v>
      </c>
      <c r="L862" s="3">
        <f t="shared" si="28"/>
        <v>2014</v>
      </c>
      <c r="M862" s="20" t="str">
        <f>A862&amp;L862</f>
        <v>NFG2014</v>
      </c>
      <c r="N862" s="3">
        <f>F862</f>
        <v>0.375</v>
      </c>
      <c r="O862" s="9">
        <f>H862</f>
        <v>2.18E-2</v>
      </c>
      <c r="P862" s="10">
        <f t="shared" si="29"/>
        <v>0</v>
      </c>
      <c r="Q862" s="10">
        <f>IF(K862=0,IF(A859=A862,AVERAGE(O859:O862),"x"),0)</f>
        <v>2.12E-2</v>
      </c>
      <c r="R862" s="9">
        <f>IF(L862&gt;2005,AVERAGE(O859:O878),0)</f>
        <v>2.4195000000000001E-2</v>
      </c>
      <c r="S862" s="10">
        <f>IF(A862=A863,(N862-N863)/N863,0)</f>
        <v>0</v>
      </c>
      <c r="T862" s="10">
        <f>IF(L862&gt;2005,(((N862-N882)/N882)+1)^(1/5)-1,0)</f>
        <v>2.9033661071187877E-2</v>
      </c>
      <c r="U862" s="10">
        <f t="shared" si="30"/>
        <v>5.3228661071187879E-2</v>
      </c>
      <c r="V862" s="26">
        <f t="shared" si="31"/>
        <v>4.6657909847525474</v>
      </c>
      <c r="W862" s="3">
        <f>IF(A862=A863,N862-N863,0)</f>
        <v>0</v>
      </c>
      <c r="X862" s="10">
        <f>IF(A862=A863,(N862-N863)/N863,0)</f>
        <v>0</v>
      </c>
    </row>
    <row r="863" spans="1:24" ht="16.5" customHeight="1">
      <c r="A863" s="3" t="s">
        <v>33</v>
      </c>
      <c r="B863" s="3">
        <f t="shared" si="24"/>
        <v>2013</v>
      </c>
      <c r="C863" s="3">
        <f t="shared" si="25"/>
        <v>12</v>
      </c>
      <c r="D863" s="20" t="str">
        <f t="shared" si="26"/>
        <v>NFG201312</v>
      </c>
      <c r="E863" s="2">
        <v>41635</v>
      </c>
      <c r="F863" s="3">
        <v>0.375</v>
      </c>
      <c r="G863" s="2">
        <v>41654</v>
      </c>
      <c r="H863" s="3">
        <v>2.0899999999999998E-2</v>
      </c>
      <c r="I863" s="3">
        <v>0</v>
      </c>
      <c r="J863" s="3">
        <v>0</v>
      </c>
      <c r="K863" s="3">
        <f t="shared" si="27"/>
        <v>2013</v>
      </c>
      <c r="L863" s="3">
        <f t="shared" si="28"/>
        <v>0</v>
      </c>
      <c r="M863" s="20" t="str">
        <f>A863&amp;L863</f>
        <v>NFG0</v>
      </c>
      <c r="N863" s="3">
        <f>F863</f>
        <v>0.375</v>
      </c>
      <c r="O863" s="9">
        <f>H863</f>
        <v>2.0899999999999998E-2</v>
      </c>
      <c r="P863" s="10">
        <f t="shared" si="29"/>
        <v>0</v>
      </c>
      <c r="Q863" s="10">
        <f>IF(K863=0,IF(A860=A863,AVERAGE(O860:O863),"x"),0)</f>
        <v>0</v>
      </c>
      <c r="R863" s="9">
        <f>IF(L863&gt;2005,AVERAGE(O860:O879),0)</f>
        <v>0</v>
      </c>
      <c r="S863" s="10">
        <f>IF(A863=A864,(N863-N864)/N864,0)</f>
        <v>0</v>
      </c>
      <c r="T863" s="10">
        <f>IF(L863&gt;2005,(((N863-N883)/N883)+1)^(1/5)-1,0)</f>
        <v>0</v>
      </c>
      <c r="U863" s="10">
        <f t="shared" si="30"/>
        <v>0</v>
      </c>
      <c r="V863" s="26">
        <f t="shared" si="31"/>
        <v>0</v>
      </c>
      <c r="W863" s="3">
        <f>IF(A863=A864,N863-N864,0)</f>
        <v>0</v>
      </c>
      <c r="X863" s="10">
        <f>IF(A863=A864,(N863-N864)/N864,0)</f>
        <v>0</v>
      </c>
    </row>
    <row r="864" spans="1:24" ht="16.5" customHeight="1">
      <c r="A864" s="3" t="s">
        <v>33</v>
      </c>
      <c r="B864" s="3">
        <f t="shared" si="24"/>
        <v>2013</v>
      </c>
      <c r="C864" s="3">
        <f t="shared" si="25"/>
        <v>9</v>
      </c>
      <c r="D864" s="20" t="str">
        <f t="shared" si="26"/>
        <v>NFG20139</v>
      </c>
      <c r="E864" s="2">
        <v>41543</v>
      </c>
      <c r="F864" s="3">
        <v>0.375</v>
      </c>
      <c r="G864" s="2">
        <v>41562</v>
      </c>
      <c r="H864" s="3">
        <v>2.1600000000000001E-2</v>
      </c>
      <c r="I864" s="3">
        <v>0</v>
      </c>
      <c r="J864" s="3">
        <v>0</v>
      </c>
      <c r="K864" s="3">
        <f t="shared" si="27"/>
        <v>2013</v>
      </c>
      <c r="L864" s="3">
        <f t="shared" si="28"/>
        <v>0</v>
      </c>
      <c r="M864" s="20" t="str">
        <f>A864&amp;L864</f>
        <v>NFG0</v>
      </c>
      <c r="N864" s="3">
        <f>F864</f>
        <v>0.375</v>
      </c>
      <c r="O864" s="9">
        <f>H864</f>
        <v>2.1600000000000001E-2</v>
      </c>
      <c r="P864" s="10">
        <f t="shared" si="29"/>
        <v>0</v>
      </c>
      <c r="Q864" s="10">
        <f>IF(K864=0,IF(A861=A864,AVERAGE(O861:O864),"x"),0)</f>
        <v>0</v>
      </c>
      <c r="R864" s="9">
        <f>IF(L864&gt;2005,AVERAGE(O861:O880),0)</f>
        <v>0</v>
      </c>
      <c r="S864" s="10">
        <f>IF(A864=A865,(N864-N865)/N865,0)</f>
        <v>0</v>
      </c>
      <c r="T864" s="10">
        <f>IF(L864&gt;2005,(((N864-N884)/N884)+1)^(1/5)-1,0)</f>
        <v>0</v>
      </c>
      <c r="U864" s="10">
        <f t="shared" si="30"/>
        <v>0</v>
      </c>
      <c r="V864" s="26">
        <f t="shared" si="31"/>
        <v>0</v>
      </c>
      <c r="W864" s="3">
        <f>IF(A864=A865,N864-N865,0)</f>
        <v>0</v>
      </c>
      <c r="X864" s="10">
        <f>IF(A864=A865,(N864-N865)/N865,0)</f>
        <v>0</v>
      </c>
    </row>
    <row r="865" spans="1:24" ht="16.5" customHeight="1">
      <c r="A865" s="3" t="s">
        <v>33</v>
      </c>
      <c r="B865" s="3">
        <f t="shared" si="24"/>
        <v>2013</v>
      </c>
      <c r="C865" s="3">
        <f t="shared" si="25"/>
        <v>6</v>
      </c>
      <c r="D865" s="20" t="str">
        <f t="shared" si="26"/>
        <v>NFG20136</v>
      </c>
      <c r="E865" s="2">
        <v>41451</v>
      </c>
      <c r="F865" s="3">
        <v>0.375</v>
      </c>
      <c r="G865" s="2">
        <v>41470</v>
      </c>
      <c r="H865" s="3">
        <v>2.52E-2</v>
      </c>
      <c r="I865" s="3">
        <v>2.739726E-2</v>
      </c>
      <c r="J865" s="3">
        <v>0.01</v>
      </c>
      <c r="K865" s="3">
        <f t="shared" si="27"/>
        <v>2013</v>
      </c>
      <c r="L865" s="3">
        <f t="shared" si="28"/>
        <v>0</v>
      </c>
      <c r="M865" s="20" t="str">
        <f>A865&amp;L865</f>
        <v>NFG0</v>
      </c>
      <c r="N865" s="3">
        <f>F865</f>
        <v>0.375</v>
      </c>
      <c r="O865" s="9">
        <f>H865</f>
        <v>2.52E-2</v>
      </c>
      <c r="P865" s="10">
        <f t="shared" si="29"/>
        <v>2.5849999999999998E-2</v>
      </c>
      <c r="Q865" s="10">
        <f>IF(K865=0,IF(A862=A865,AVERAGE(O862:O865),"x"),0)</f>
        <v>0</v>
      </c>
      <c r="R865" s="9">
        <f>IF(L865&gt;2005,AVERAGE(O862:O881),0)</f>
        <v>0</v>
      </c>
      <c r="S865" s="10">
        <f>IF(A865=A866,(N865-N866)/N866,0)</f>
        <v>2.7397260273972629E-2</v>
      </c>
      <c r="T865" s="10">
        <f>IF(L865&gt;2005,(((N865-N885)/N885)+1)^(1/5)-1,0)</f>
        <v>0</v>
      </c>
      <c r="U865" s="10">
        <f t="shared" si="30"/>
        <v>0</v>
      </c>
      <c r="V865" s="26">
        <f t="shared" si="31"/>
        <v>0</v>
      </c>
      <c r="W865" s="3">
        <f>IF(A865=A866,N865-N866,0)</f>
        <v>1.0000000000000009E-2</v>
      </c>
      <c r="X865" s="10">
        <f>IF(A865=A866,(N865-N866)/N866,0)</f>
        <v>2.7397260273972629E-2</v>
      </c>
    </row>
    <row r="866" spans="1:24" ht="16.5" customHeight="1">
      <c r="A866" s="3" t="s">
        <v>33</v>
      </c>
      <c r="B866" s="3">
        <f t="shared" si="24"/>
        <v>2013</v>
      </c>
      <c r="C866" s="3">
        <f t="shared" si="25"/>
        <v>3</v>
      </c>
      <c r="D866" s="20" t="str">
        <f t="shared" si="26"/>
        <v>NFG20133</v>
      </c>
      <c r="E866" s="2">
        <v>41359</v>
      </c>
      <c r="F866" s="3">
        <v>0.36499999999999999</v>
      </c>
      <c r="G866" s="2">
        <v>41379</v>
      </c>
      <c r="H866" s="3">
        <v>2.41E-2</v>
      </c>
      <c r="I866" s="3">
        <v>0</v>
      </c>
      <c r="J866" s="3">
        <v>0</v>
      </c>
      <c r="K866" s="3">
        <f t="shared" si="27"/>
        <v>0</v>
      </c>
      <c r="L866" s="3">
        <f t="shared" si="28"/>
        <v>2013</v>
      </c>
      <c r="M866" s="20" t="str">
        <f>A866&amp;L866</f>
        <v>NFG2013</v>
      </c>
      <c r="N866" s="3">
        <f>F866</f>
        <v>0.36499999999999999</v>
      </c>
      <c r="O866" s="9">
        <f>H866</f>
        <v>2.41E-2</v>
      </c>
      <c r="P866" s="10">
        <f t="shared" si="29"/>
        <v>0</v>
      </c>
      <c r="Q866" s="10">
        <f>IF(K866=0,IF(A863=A866,AVERAGE(O863:O866),"x"),0)</f>
        <v>2.2949999999999998E-2</v>
      </c>
      <c r="R866" s="9">
        <f>IF(L866&gt;2005,AVERAGE(O863:O882),0)</f>
        <v>2.6489999999999996E-2</v>
      </c>
      <c r="S866" s="10">
        <f>IF(A866=A867,(N866-N867)/N867,0)</f>
        <v>0</v>
      </c>
      <c r="T866" s="10">
        <f>IF(L866&gt;2005,(((N866-N886)/N886)+1)^(1/5)-1,0)</f>
        <v>3.320436939252347E-2</v>
      </c>
      <c r="U866" s="10">
        <f t="shared" si="30"/>
        <v>5.9694369392523469E-2</v>
      </c>
      <c r="V866" s="26">
        <f t="shared" si="31"/>
        <v>4.6372991895551436</v>
      </c>
      <c r="W866" s="3">
        <f>IF(A866=A867,N866-N867,0)</f>
        <v>0</v>
      </c>
      <c r="X866" s="10">
        <f>IF(A866=A867,(N866-N867)/N867,0)</f>
        <v>0</v>
      </c>
    </row>
    <row r="867" spans="1:24" ht="16.5" customHeight="1">
      <c r="A867" s="3" t="s">
        <v>33</v>
      </c>
      <c r="B867" s="3">
        <f t="shared" si="24"/>
        <v>2012</v>
      </c>
      <c r="C867" s="3">
        <f t="shared" si="25"/>
        <v>12</v>
      </c>
      <c r="D867" s="20" t="str">
        <f t="shared" si="26"/>
        <v>NFG201212</v>
      </c>
      <c r="E867" s="2">
        <v>41256</v>
      </c>
      <c r="F867" s="3">
        <v>0.36499999999999999</v>
      </c>
      <c r="G867" s="2">
        <v>41271</v>
      </c>
      <c r="H867" s="3">
        <v>2.7199999999999998E-2</v>
      </c>
      <c r="I867" s="3">
        <v>0</v>
      </c>
      <c r="J867" s="3">
        <v>0</v>
      </c>
      <c r="K867" s="3">
        <f t="shared" si="27"/>
        <v>2012</v>
      </c>
      <c r="L867" s="3">
        <f t="shared" si="28"/>
        <v>0</v>
      </c>
      <c r="M867" s="20" t="str">
        <f>A867&amp;L867</f>
        <v>NFG0</v>
      </c>
      <c r="N867" s="3">
        <f>F867</f>
        <v>0.36499999999999999</v>
      </c>
      <c r="O867" s="9">
        <f>H867</f>
        <v>2.7199999999999998E-2</v>
      </c>
      <c r="P867" s="10">
        <f t="shared" si="29"/>
        <v>0</v>
      </c>
      <c r="Q867" s="10">
        <f>IF(K867=0,IF(A864=A867,AVERAGE(O864:O867),"x"),0)</f>
        <v>0</v>
      </c>
      <c r="R867" s="9">
        <f>IF(L867&gt;2005,AVERAGE(O864:O883),0)</f>
        <v>0</v>
      </c>
      <c r="S867" s="10">
        <f>IF(A867=A868,(N867-N868)/N868,0)</f>
        <v>0</v>
      </c>
      <c r="T867" s="10">
        <f>IF(L867&gt;2005,(((N867-N887)/N887)+1)^(1/5)-1,0)</f>
        <v>0</v>
      </c>
      <c r="U867" s="10">
        <f t="shared" si="30"/>
        <v>0</v>
      </c>
      <c r="V867" s="26">
        <f t="shared" si="31"/>
        <v>0</v>
      </c>
      <c r="W867" s="3">
        <f>IF(A867=A868,N867-N868,0)</f>
        <v>0</v>
      </c>
      <c r="X867" s="10">
        <f>IF(A867=A868,(N867-N868)/N868,0)</f>
        <v>0</v>
      </c>
    </row>
    <row r="868" spans="1:24" ht="16.5" customHeight="1">
      <c r="A868" s="3" t="s">
        <v>33</v>
      </c>
      <c r="B868" s="3">
        <f t="shared" si="24"/>
        <v>2012</v>
      </c>
      <c r="C868" s="3">
        <f t="shared" si="25"/>
        <v>9</v>
      </c>
      <c r="D868" s="20" t="str">
        <f t="shared" si="26"/>
        <v>NFG20129</v>
      </c>
      <c r="E868" s="2">
        <v>41178</v>
      </c>
      <c r="F868" s="3">
        <v>0.36499999999999999</v>
      </c>
      <c r="G868" s="2">
        <v>41197</v>
      </c>
      <c r="H868" s="3">
        <v>2.69E-2</v>
      </c>
      <c r="I868" s="3">
        <v>0</v>
      </c>
      <c r="J868" s="3">
        <v>0</v>
      </c>
      <c r="K868" s="3">
        <f t="shared" si="27"/>
        <v>2012</v>
      </c>
      <c r="L868" s="3">
        <f t="shared" si="28"/>
        <v>0</v>
      </c>
      <c r="M868" s="20" t="str">
        <f>A868&amp;L868</f>
        <v>NFG0</v>
      </c>
      <c r="N868" s="3">
        <f>F868</f>
        <v>0.36499999999999999</v>
      </c>
      <c r="O868" s="9">
        <f>H868</f>
        <v>2.69E-2</v>
      </c>
      <c r="P868" s="10">
        <f t="shared" si="29"/>
        <v>0</v>
      </c>
      <c r="Q868" s="10">
        <f>IF(K868=0,IF(A865=A868,AVERAGE(O865:O868),"x"),0)</f>
        <v>0</v>
      </c>
      <c r="R868" s="9">
        <f>IF(L868&gt;2005,AVERAGE(O865:O884),0)</f>
        <v>0</v>
      </c>
      <c r="S868" s="10">
        <f>IF(A868=A869,(N868-N869)/N869,0)</f>
        <v>0</v>
      </c>
      <c r="T868" s="10">
        <f>IF(L868&gt;2005,(((N868-N888)/N888)+1)^(1/5)-1,0)</f>
        <v>0</v>
      </c>
      <c r="U868" s="10">
        <f t="shared" si="30"/>
        <v>0</v>
      </c>
      <c r="V868" s="26">
        <f t="shared" si="31"/>
        <v>0</v>
      </c>
      <c r="W868" s="3">
        <f>IF(A868=A869,N868-N869,0)</f>
        <v>0</v>
      </c>
      <c r="X868" s="10">
        <f>IF(A868=A869,(N868-N869)/N869,0)</f>
        <v>0</v>
      </c>
    </row>
    <row r="869" spans="1:24" ht="16.5" customHeight="1">
      <c r="A869" s="3" t="s">
        <v>33</v>
      </c>
      <c r="B869" s="3">
        <f t="shared" si="24"/>
        <v>2012</v>
      </c>
      <c r="C869" s="3">
        <f t="shared" si="25"/>
        <v>6</v>
      </c>
      <c r="D869" s="20" t="str">
        <f t="shared" si="26"/>
        <v>NFG20126</v>
      </c>
      <c r="E869" s="2">
        <v>41087</v>
      </c>
      <c r="F869" s="3">
        <v>0.36499999999999999</v>
      </c>
      <c r="G869" s="2">
        <v>41103</v>
      </c>
      <c r="H869" s="3">
        <v>3.1600000000000003E-2</v>
      </c>
      <c r="I869" s="3">
        <v>2.8169013999999999E-2</v>
      </c>
      <c r="J869" s="3">
        <v>0.01</v>
      </c>
      <c r="K869" s="3">
        <f t="shared" si="27"/>
        <v>2012</v>
      </c>
      <c r="L869" s="3">
        <f t="shared" si="28"/>
        <v>0</v>
      </c>
      <c r="M869" s="20" t="str">
        <f>A869&amp;L869</f>
        <v>NFG0</v>
      </c>
      <c r="N869" s="3">
        <f>F869</f>
        <v>0.36499999999999999</v>
      </c>
      <c r="O869" s="9">
        <f>H869</f>
        <v>3.1600000000000003E-2</v>
      </c>
      <c r="P869" s="10">
        <f t="shared" si="29"/>
        <v>2.8025000000000005E-2</v>
      </c>
      <c r="Q869" s="10">
        <f>IF(K869=0,IF(A866=A869,AVERAGE(O866:O869),"x"),0)</f>
        <v>0</v>
      </c>
      <c r="R869" s="9">
        <f>IF(L869&gt;2005,AVERAGE(O866:O885),0)</f>
        <v>0</v>
      </c>
      <c r="S869" s="10">
        <f>IF(A869=A870,(N869-N870)/N870,0)</f>
        <v>2.8169014084507067E-2</v>
      </c>
      <c r="T869" s="10">
        <f>IF(L869&gt;2005,(((N869-N889)/N889)+1)^(1/5)-1,0)</f>
        <v>0</v>
      </c>
      <c r="U869" s="10">
        <f t="shared" si="30"/>
        <v>0</v>
      </c>
      <c r="V869" s="26">
        <f t="shared" si="31"/>
        <v>0</v>
      </c>
      <c r="W869" s="3">
        <f>IF(A869=A870,N869-N870,0)</f>
        <v>1.0000000000000009E-2</v>
      </c>
      <c r="X869" s="10">
        <f>IF(A869=A870,(N869-N870)/N870,0)</f>
        <v>2.8169014084507067E-2</v>
      </c>
    </row>
    <row r="870" spans="1:24" ht="16.5" customHeight="1">
      <c r="A870" s="3" t="s">
        <v>33</v>
      </c>
      <c r="B870" s="3">
        <f t="shared" si="24"/>
        <v>2012</v>
      </c>
      <c r="C870" s="3">
        <f t="shared" si="25"/>
        <v>3</v>
      </c>
      <c r="D870" s="20" t="str">
        <f t="shared" si="26"/>
        <v>NFG20123</v>
      </c>
      <c r="E870" s="2">
        <v>40996</v>
      </c>
      <c r="F870" s="3">
        <v>0.35499999999999998</v>
      </c>
      <c r="G870" s="2">
        <v>41012</v>
      </c>
      <c r="H870" s="3">
        <v>2.92E-2</v>
      </c>
      <c r="I870" s="3">
        <v>0</v>
      </c>
      <c r="J870" s="3">
        <v>0</v>
      </c>
      <c r="K870" s="3">
        <f t="shared" si="27"/>
        <v>0</v>
      </c>
      <c r="L870" s="3">
        <f t="shared" si="28"/>
        <v>2012</v>
      </c>
      <c r="M870" s="20" t="str">
        <f>A870&amp;L870</f>
        <v>NFG2012</v>
      </c>
      <c r="N870" s="3">
        <f>F870</f>
        <v>0.35499999999999998</v>
      </c>
      <c r="O870" s="9">
        <f>H870</f>
        <v>2.92E-2</v>
      </c>
      <c r="P870" s="10">
        <f t="shared" si="29"/>
        <v>0</v>
      </c>
      <c r="Q870" s="10">
        <f>IF(K870=0,IF(A867=A870,AVERAGE(O867:O870),"x"),0)</f>
        <v>2.8725000000000001E-2</v>
      </c>
      <c r="R870" s="9">
        <f>IF(L870&gt;2005,AVERAGE(O867:O886),0)</f>
        <v>2.7864999999999994E-2</v>
      </c>
      <c r="S870" s="10">
        <f>IF(A870=A871,(N870-N871)/N871,0)</f>
        <v>0</v>
      </c>
      <c r="T870" s="10">
        <f>IF(L870&gt;2005,(((N870-N890)/N890)+1)^(1/5)-1,0)</f>
        <v>3.424021252947318E-2</v>
      </c>
      <c r="U870" s="10">
        <f t="shared" si="30"/>
        <v>6.2105212529473174E-2</v>
      </c>
      <c r="V870" s="26">
        <f t="shared" si="31"/>
        <v>4.6199636645880977</v>
      </c>
      <c r="W870" s="3">
        <f>IF(A870=A871,N870-N871,0)</f>
        <v>0</v>
      </c>
      <c r="X870" s="10">
        <f>IF(A870=A871,(N870-N871)/N871,0)</f>
        <v>0</v>
      </c>
    </row>
    <row r="871" spans="1:24" ht="16.5" customHeight="1">
      <c r="A871" s="3" t="s">
        <v>33</v>
      </c>
      <c r="B871" s="3">
        <f t="shared" si="24"/>
        <v>2011</v>
      </c>
      <c r="C871" s="3">
        <f t="shared" si="25"/>
        <v>12</v>
      </c>
      <c r="D871" s="20" t="str">
        <f t="shared" si="26"/>
        <v>NFG201112</v>
      </c>
      <c r="E871" s="2">
        <v>40905</v>
      </c>
      <c r="F871" s="3">
        <v>0.35499999999999998</v>
      </c>
      <c r="G871" s="2">
        <v>40921</v>
      </c>
      <c r="H871" s="3">
        <v>2.5000000000000001E-2</v>
      </c>
      <c r="I871" s="3">
        <v>0</v>
      </c>
      <c r="J871" s="3">
        <v>0</v>
      </c>
      <c r="K871" s="3">
        <f t="shared" si="27"/>
        <v>2011</v>
      </c>
      <c r="L871" s="3">
        <f t="shared" si="28"/>
        <v>0</v>
      </c>
      <c r="M871" s="20" t="str">
        <f>A871&amp;L871</f>
        <v>NFG0</v>
      </c>
      <c r="N871" s="3">
        <f>F871</f>
        <v>0.35499999999999998</v>
      </c>
      <c r="O871" s="9">
        <f>H871</f>
        <v>2.5000000000000001E-2</v>
      </c>
      <c r="P871" s="10">
        <f t="shared" si="29"/>
        <v>0</v>
      </c>
      <c r="Q871" s="10">
        <f>IF(K871=0,IF(A868=A871,AVERAGE(O868:O871),"x"),0)</f>
        <v>0</v>
      </c>
      <c r="R871" s="9">
        <f>IF(L871&gt;2005,AVERAGE(O868:O887),0)</f>
        <v>0</v>
      </c>
      <c r="S871" s="10">
        <f>IF(A871=A872,(N871-N872)/N872,0)</f>
        <v>0</v>
      </c>
      <c r="T871" s="10">
        <f>IF(L871&gt;2005,(((N871-N891)/N891)+1)^(1/5)-1,0)</f>
        <v>0</v>
      </c>
      <c r="U871" s="10">
        <f t="shared" si="30"/>
        <v>0</v>
      </c>
      <c r="V871" s="26">
        <f t="shared" si="31"/>
        <v>0</v>
      </c>
      <c r="W871" s="3">
        <f>IF(A871=A872,N871-N872,0)</f>
        <v>0</v>
      </c>
      <c r="X871" s="10">
        <f>IF(A871=A872,(N871-N872)/N872,0)</f>
        <v>0</v>
      </c>
    </row>
    <row r="872" spans="1:24" ht="16.5" customHeight="1">
      <c r="A872" s="3" t="s">
        <v>33</v>
      </c>
      <c r="B872" s="3">
        <f t="shared" si="24"/>
        <v>2011</v>
      </c>
      <c r="C872" s="3">
        <f t="shared" si="25"/>
        <v>9</v>
      </c>
      <c r="D872" s="20" t="str">
        <f t="shared" si="26"/>
        <v>NFG20119</v>
      </c>
      <c r="E872" s="2">
        <v>40814</v>
      </c>
      <c r="F872" s="3">
        <v>0.35499999999999998</v>
      </c>
      <c r="G872" s="2">
        <v>40830</v>
      </c>
      <c r="H872" s="3">
        <v>2.63E-2</v>
      </c>
      <c r="I872" s="3">
        <v>0</v>
      </c>
      <c r="J872" s="3">
        <v>0</v>
      </c>
      <c r="K872" s="3">
        <f t="shared" si="27"/>
        <v>2011</v>
      </c>
      <c r="L872" s="3">
        <f t="shared" si="28"/>
        <v>0</v>
      </c>
      <c r="M872" s="20" t="str">
        <f>A872&amp;L872</f>
        <v>NFG0</v>
      </c>
      <c r="N872" s="3">
        <f>F872</f>
        <v>0.35499999999999998</v>
      </c>
      <c r="O872" s="9">
        <f>H872</f>
        <v>2.63E-2</v>
      </c>
      <c r="P872" s="10">
        <f t="shared" si="29"/>
        <v>0</v>
      </c>
      <c r="Q872" s="10">
        <f>IF(K872=0,IF(A869=A872,AVERAGE(O869:O872),"x"),0)</f>
        <v>0</v>
      </c>
      <c r="R872" s="9">
        <f>IF(L872&gt;2005,AVERAGE(O869:O888),0)</f>
        <v>0</v>
      </c>
      <c r="S872" s="10">
        <f>IF(A872=A873,(N872-N873)/N873,0)</f>
        <v>0</v>
      </c>
      <c r="T872" s="10">
        <f>IF(L872&gt;2005,(((N872-N892)/N892)+1)^(1/5)-1,0)</f>
        <v>0</v>
      </c>
      <c r="U872" s="10">
        <f t="shared" si="30"/>
        <v>0</v>
      </c>
      <c r="V872" s="26">
        <f t="shared" si="31"/>
        <v>0</v>
      </c>
      <c r="W872" s="3">
        <f>IF(A872=A873,N872-N873,0)</f>
        <v>0</v>
      </c>
      <c r="X872" s="10">
        <f>IF(A872=A873,(N872-N873)/N873,0)</f>
        <v>0</v>
      </c>
    </row>
    <row r="873" spans="1:24" ht="16.5" customHeight="1">
      <c r="A873" s="3" t="s">
        <v>33</v>
      </c>
      <c r="B873" s="3">
        <f t="shared" si="24"/>
        <v>2011</v>
      </c>
      <c r="C873" s="3">
        <f t="shared" si="25"/>
        <v>6</v>
      </c>
      <c r="D873" s="20" t="str">
        <f t="shared" si="26"/>
        <v>NFG20116</v>
      </c>
      <c r="E873" s="2">
        <v>40722</v>
      </c>
      <c r="F873" s="3">
        <v>0.35499999999999998</v>
      </c>
      <c r="G873" s="2">
        <v>40739</v>
      </c>
      <c r="H873" s="3">
        <v>1.9900000000000001E-2</v>
      </c>
      <c r="I873" s="3">
        <v>2.8985507000000001E-2</v>
      </c>
      <c r="J873" s="3">
        <v>0.01</v>
      </c>
      <c r="K873" s="3">
        <f t="shared" si="27"/>
        <v>2011</v>
      </c>
      <c r="L873" s="3">
        <f t="shared" si="28"/>
        <v>0</v>
      </c>
      <c r="M873" s="20" t="str">
        <f>A873&amp;L873</f>
        <v>NFG0</v>
      </c>
      <c r="N873" s="3">
        <f>F873</f>
        <v>0.35499999999999998</v>
      </c>
      <c r="O873" s="9">
        <f>H873</f>
        <v>1.9900000000000001E-2</v>
      </c>
      <c r="P873" s="10">
        <f t="shared" si="29"/>
        <v>2.1649999999999999E-2</v>
      </c>
      <c r="Q873" s="10">
        <f>IF(K873=0,IF(A870=A873,AVERAGE(O870:O873),"x"),0)</f>
        <v>0</v>
      </c>
      <c r="R873" s="9">
        <f>IF(L873&gt;2005,AVERAGE(O870:O889),0)</f>
        <v>0</v>
      </c>
      <c r="S873" s="10">
        <f>IF(A873=A874,(N873-N874)/N874,0)</f>
        <v>2.898550724637684E-2</v>
      </c>
      <c r="T873" s="10">
        <f>IF(L873&gt;2005,(((N873-N893)/N893)+1)^(1/5)-1,0)</f>
        <v>0</v>
      </c>
      <c r="U873" s="10">
        <f t="shared" si="30"/>
        <v>0</v>
      </c>
      <c r="V873" s="26">
        <f t="shared" si="31"/>
        <v>0</v>
      </c>
      <c r="W873" s="3">
        <f>IF(A873=A874,N873-N874,0)</f>
        <v>1.0000000000000009E-2</v>
      </c>
      <c r="X873" s="10">
        <f>IF(A873=A874,(N873-N874)/N874,0)</f>
        <v>2.898550724637684E-2</v>
      </c>
    </row>
    <row r="874" spans="1:24" ht="16.5" customHeight="1">
      <c r="A874" s="3" t="s">
        <v>33</v>
      </c>
      <c r="B874" s="3">
        <f t="shared" si="24"/>
        <v>2011</v>
      </c>
      <c r="C874" s="3">
        <f t="shared" si="25"/>
        <v>3</v>
      </c>
      <c r="D874" s="20" t="str">
        <f t="shared" si="26"/>
        <v>NFG20113</v>
      </c>
      <c r="E874" s="2">
        <v>40631</v>
      </c>
      <c r="F874" s="3">
        <v>0.34499999999999997</v>
      </c>
      <c r="G874" s="2">
        <v>40648</v>
      </c>
      <c r="H874" s="3">
        <v>1.9300000000000001E-2</v>
      </c>
      <c r="I874" s="3">
        <v>0</v>
      </c>
      <c r="J874" s="3">
        <v>0</v>
      </c>
      <c r="K874" s="3">
        <f t="shared" si="27"/>
        <v>0</v>
      </c>
      <c r="L874" s="3">
        <f t="shared" si="28"/>
        <v>2011</v>
      </c>
      <c r="M874" s="20" t="str">
        <f>A874&amp;L874</f>
        <v>NFG2011</v>
      </c>
      <c r="N874" s="3">
        <f>F874</f>
        <v>0.34499999999999997</v>
      </c>
      <c r="O874" s="9">
        <f>H874</f>
        <v>1.9300000000000001E-2</v>
      </c>
      <c r="P874" s="10">
        <f t="shared" si="29"/>
        <v>0</v>
      </c>
      <c r="Q874" s="10">
        <f>IF(K874=0,IF(A871=A874,AVERAGE(O871:O874),"x"),0)</f>
        <v>2.2624999999999999E-2</v>
      </c>
      <c r="R874" s="9">
        <f>IF(L874&gt;2005,AVERAGE(O871:O890),0)</f>
        <v>2.7529999999999999E-2</v>
      </c>
      <c r="S874" s="10">
        <f>IF(A874=A875,(N874-N875)/N875,0)</f>
        <v>0</v>
      </c>
      <c r="T874" s="10">
        <f>IF(L874&gt;2005,(((N874-N894)/N894)+1)^(1/5)-1,0)</f>
        <v>3.5342923413427263E-2</v>
      </c>
      <c r="U874" s="10">
        <f t="shared" si="30"/>
        <v>6.2872923413427262E-2</v>
      </c>
      <c r="V874" s="26">
        <f t="shared" si="31"/>
        <v>4.6246373277989301</v>
      </c>
      <c r="W874" s="3">
        <f>IF(A874=A875,N874-N875,0)</f>
        <v>0</v>
      </c>
      <c r="X874" s="10">
        <f>IF(A874=A875,(N874-N875)/N875,0)</f>
        <v>0</v>
      </c>
    </row>
    <row r="875" spans="1:24" ht="16.5" customHeight="1">
      <c r="A875" s="3" t="s">
        <v>33</v>
      </c>
      <c r="B875" s="3">
        <f t="shared" si="24"/>
        <v>2010</v>
      </c>
      <c r="C875" s="3">
        <f t="shared" si="25"/>
        <v>12</v>
      </c>
      <c r="D875" s="20" t="str">
        <f t="shared" si="26"/>
        <v>NFG201012</v>
      </c>
      <c r="E875" s="2">
        <v>40541</v>
      </c>
      <c r="F875" s="3">
        <v>0.34499999999999997</v>
      </c>
      <c r="G875" s="2">
        <v>40557</v>
      </c>
      <c r="H875" s="3">
        <v>2.12E-2</v>
      </c>
      <c r="I875" s="3">
        <v>0</v>
      </c>
      <c r="J875" s="3">
        <v>0</v>
      </c>
      <c r="K875" s="3">
        <f t="shared" si="27"/>
        <v>2010</v>
      </c>
      <c r="L875" s="3">
        <f t="shared" si="28"/>
        <v>0</v>
      </c>
      <c r="M875" s="20" t="str">
        <f>A875&amp;L875</f>
        <v>NFG0</v>
      </c>
      <c r="N875" s="3">
        <f>F875</f>
        <v>0.34499999999999997</v>
      </c>
      <c r="O875" s="9">
        <f>H875</f>
        <v>2.12E-2</v>
      </c>
      <c r="P875" s="10">
        <f t="shared" si="29"/>
        <v>0</v>
      </c>
      <c r="Q875" s="10">
        <f>IF(K875=0,IF(A872=A875,AVERAGE(O872:O875),"x"),0)</f>
        <v>0</v>
      </c>
      <c r="R875" s="9">
        <f>IF(L875&gt;2005,AVERAGE(O872:O891),0)</f>
        <v>0</v>
      </c>
      <c r="S875" s="10">
        <f>IF(A875=A876,(N875-N876)/N876,0)</f>
        <v>0</v>
      </c>
      <c r="T875" s="10">
        <f>IF(L875&gt;2005,(((N875-N895)/N895)+1)^(1/5)-1,0)</f>
        <v>0</v>
      </c>
      <c r="U875" s="10">
        <f t="shared" si="30"/>
        <v>0</v>
      </c>
      <c r="V875" s="26">
        <f t="shared" si="31"/>
        <v>0</v>
      </c>
      <c r="W875" s="3">
        <f>IF(A875=A876,N875-N876,0)</f>
        <v>0</v>
      </c>
      <c r="X875" s="10">
        <f>IF(A875=A876,(N875-N876)/N876,0)</f>
        <v>0</v>
      </c>
    </row>
    <row r="876" spans="1:24" ht="16.5" customHeight="1">
      <c r="A876" s="3" t="s">
        <v>33</v>
      </c>
      <c r="B876" s="3">
        <f t="shared" si="24"/>
        <v>2010</v>
      </c>
      <c r="C876" s="3">
        <f t="shared" si="25"/>
        <v>9</v>
      </c>
      <c r="D876" s="20" t="str">
        <f t="shared" si="26"/>
        <v>NFG20109</v>
      </c>
      <c r="E876" s="2">
        <v>40449</v>
      </c>
      <c r="F876" s="3">
        <v>0.34499999999999997</v>
      </c>
      <c r="G876" s="2">
        <v>40466</v>
      </c>
      <c r="H876" s="3">
        <v>2.6200000000000001E-2</v>
      </c>
      <c r="I876" s="3">
        <v>0</v>
      </c>
      <c r="J876" s="3">
        <v>0</v>
      </c>
      <c r="K876" s="3">
        <f t="shared" si="27"/>
        <v>2010</v>
      </c>
      <c r="L876" s="3">
        <f t="shared" si="28"/>
        <v>0</v>
      </c>
      <c r="M876" s="20" t="str">
        <f>A876&amp;L876</f>
        <v>NFG0</v>
      </c>
      <c r="N876" s="3">
        <f>F876</f>
        <v>0.34499999999999997</v>
      </c>
      <c r="O876" s="9">
        <f>H876</f>
        <v>2.6200000000000001E-2</v>
      </c>
      <c r="P876" s="10">
        <f t="shared" si="29"/>
        <v>0</v>
      </c>
      <c r="Q876" s="10">
        <f>IF(K876=0,IF(A873=A876,AVERAGE(O873:O876),"x"),0)</f>
        <v>0</v>
      </c>
      <c r="R876" s="9">
        <f>IF(L876&gt;2005,AVERAGE(O873:O892),0)</f>
        <v>0</v>
      </c>
      <c r="S876" s="10">
        <f>IF(A876=A877,(N876-N877)/N877,0)</f>
        <v>0</v>
      </c>
      <c r="T876" s="10">
        <f>IF(L876&gt;2005,(((N876-N896)/N896)+1)^(1/5)-1,0)</f>
        <v>0</v>
      </c>
      <c r="U876" s="10">
        <f t="shared" si="30"/>
        <v>0</v>
      </c>
      <c r="V876" s="26">
        <f t="shared" si="31"/>
        <v>0</v>
      </c>
      <c r="W876" s="3">
        <f>IF(A876=A877,N876-N877,0)</f>
        <v>0</v>
      </c>
      <c r="X876" s="10">
        <f>IF(A876=A877,(N876-N877)/N877,0)</f>
        <v>0</v>
      </c>
    </row>
    <row r="877" spans="1:24" ht="16.5" customHeight="1">
      <c r="A877" s="3" t="s">
        <v>33</v>
      </c>
      <c r="B877" s="3">
        <f t="shared" si="24"/>
        <v>2010</v>
      </c>
      <c r="C877" s="3">
        <f t="shared" si="25"/>
        <v>6</v>
      </c>
      <c r="D877" s="20" t="str">
        <f t="shared" si="26"/>
        <v>NFG20106</v>
      </c>
      <c r="E877" s="2">
        <v>40357</v>
      </c>
      <c r="F877" s="3">
        <v>0.34499999999999997</v>
      </c>
      <c r="G877" s="2">
        <v>40374</v>
      </c>
      <c r="H877" s="3">
        <v>2.81E-2</v>
      </c>
      <c r="I877" s="3">
        <v>2.9850746000000001E-2</v>
      </c>
      <c r="J877" s="3">
        <v>0.01</v>
      </c>
      <c r="K877" s="3">
        <f t="shared" si="27"/>
        <v>2010</v>
      </c>
      <c r="L877" s="3">
        <f t="shared" si="28"/>
        <v>0</v>
      </c>
      <c r="M877" s="20" t="str">
        <f>A877&amp;L877</f>
        <v>NFG0</v>
      </c>
      <c r="N877" s="3">
        <f>F877</f>
        <v>0.34499999999999997</v>
      </c>
      <c r="O877" s="9">
        <f>H877</f>
        <v>2.81E-2</v>
      </c>
      <c r="P877" s="10">
        <f t="shared" si="29"/>
        <v>2.725E-2</v>
      </c>
      <c r="Q877" s="10">
        <f>IF(K877=0,IF(A874=A877,AVERAGE(O874:O877),"x"),0)</f>
        <v>0</v>
      </c>
      <c r="R877" s="9">
        <f>IF(L877&gt;2005,AVERAGE(O874:O893),0)</f>
        <v>0</v>
      </c>
      <c r="S877" s="10">
        <f>IF(A877=A878,(N877-N878)/N878,0)</f>
        <v>2.9850746268656577E-2</v>
      </c>
      <c r="T877" s="10">
        <f>IF(L877&gt;2005,(((N877-N897)/N897)+1)^(1/5)-1,0)</f>
        <v>0</v>
      </c>
      <c r="U877" s="10">
        <f t="shared" si="30"/>
        <v>0</v>
      </c>
      <c r="V877" s="26">
        <f t="shared" si="31"/>
        <v>0</v>
      </c>
      <c r="W877" s="3">
        <f>IF(A877=A878,N877-N878,0)</f>
        <v>9.9999999999999534E-3</v>
      </c>
      <c r="X877" s="10">
        <f>IF(A877=A878,(N877-N878)/N878,0)</f>
        <v>2.9850746268656577E-2</v>
      </c>
    </row>
    <row r="878" spans="1:24" ht="16.5" customHeight="1">
      <c r="A878" s="3" t="s">
        <v>33</v>
      </c>
      <c r="B878" s="3">
        <f t="shared" si="24"/>
        <v>2010</v>
      </c>
      <c r="C878" s="3">
        <f t="shared" si="25"/>
        <v>3</v>
      </c>
      <c r="D878" s="20" t="str">
        <f t="shared" si="26"/>
        <v>NFG20103</v>
      </c>
      <c r="E878" s="2">
        <v>40266</v>
      </c>
      <c r="F878" s="3">
        <v>0.33500000000000002</v>
      </c>
      <c r="G878" s="2">
        <v>40283</v>
      </c>
      <c r="H878" s="3">
        <v>2.64E-2</v>
      </c>
      <c r="I878" s="3">
        <v>0</v>
      </c>
      <c r="J878" s="3">
        <v>0</v>
      </c>
      <c r="K878" s="3">
        <f t="shared" si="27"/>
        <v>0</v>
      </c>
      <c r="L878" s="3">
        <f t="shared" si="28"/>
        <v>2010</v>
      </c>
      <c r="M878" s="20" t="str">
        <f>A878&amp;L878</f>
        <v>NFG2010</v>
      </c>
      <c r="N878" s="3">
        <f>F878</f>
        <v>0.33500000000000002</v>
      </c>
      <c r="O878" s="9">
        <f>H878</f>
        <v>2.64E-2</v>
      </c>
      <c r="P878" s="10">
        <f t="shared" si="29"/>
        <v>0</v>
      </c>
      <c r="Q878" s="10">
        <f>IF(K878=0,IF(A875=A878,AVERAGE(O875:O878),"x"),0)</f>
        <v>2.5474999999999998E-2</v>
      </c>
      <c r="R878" s="9">
        <f>IF(L878&gt;2005,AVERAGE(O875:O894),0)</f>
        <v>2.9589999999999998E-2</v>
      </c>
      <c r="S878" s="10">
        <f>IF(A878=A879,(N878-N879)/N879,0)</f>
        <v>0</v>
      </c>
      <c r="T878" s="10">
        <f>IF(L878&gt;2005,(((N878-N898)/N898)+1)^(1/5)-1,0)</f>
        <v>3.6519209464036084E-2</v>
      </c>
      <c r="U878" s="10">
        <f t="shared" si="30"/>
        <v>6.6109209464036089E-2</v>
      </c>
      <c r="V878" s="26">
        <f t="shared" si="31"/>
        <v>4.5987628187666356</v>
      </c>
      <c r="W878" s="3">
        <f>IF(A878=A879,N878-N879,0)</f>
        <v>0</v>
      </c>
      <c r="X878" s="10">
        <f>IF(A878=A879,(N878-N879)/N879,0)</f>
        <v>0</v>
      </c>
    </row>
    <row r="879" spans="1:24" ht="16.5" customHeight="1">
      <c r="A879" s="3" t="s">
        <v>33</v>
      </c>
      <c r="B879" s="3">
        <f t="shared" si="24"/>
        <v>2009</v>
      </c>
      <c r="C879" s="3">
        <f t="shared" si="25"/>
        <v>12</v>
      </c>
      <c r="D879" s="20" t="str">
        <f t="shared" si="26"/>
        <v>NFG200912</v>
      </c>
      <c r="E879" s="2">
        <v>40176</v>
      </c>
      <c r="F879" s="3">
        <v>0.33500000000000002</v>
      </c>
      <c r="G879" s="2">
        <v>40193</v>
      </c>
      <c r="H879" s="3">
        <v>2.58E-2</v>
      </c>
      <c r="I879" s="3">
        <v>0</v>
      </c>
      <c r="J879" s="3">
        <v>0</v>
      </c>
      <c r="K879" s="3">
        <f t="shared" si="27"/>
        <v>2009</v>
      </c>
      <c r="L879" s="3">
        <f t="shared" si="28"/>
        <v>0</v>
      </c>
      <c r="M879" s="20" t="str">
        <f>A879&amp;L879</f>
        <v>NFG0</v>
      </c>
      <c r="N879" s="3">
        <f>F879</f>
        <v>0.33500000000000002</v>
      </c>
      <c r="O879" s="9">
        <f>H879</f>
        <v>2.58E-2</v>
      </c>
      <c r="P879" s="10">
        <f t="shared" si="29"/>
        <v>0</v>
      </c>
      <c r="Q879" s="10">
        <f>IF(K879=0,IF(A876=A879,AVERAGE(O876:O879),"x"),0)</f>
        <v>0</v>
      </c>
      <c r="R879" s="9">
        <f>IF(L879&gt;2005,AVERAGE(O876:O895),0)</f>
        <v>0</v>
      </c>
      <c r="S879" s="10">
        <f>IF(A879=A880,(N879-N880)/N880,0)</f>
        <v>0</v>
      </c>
      <c r="T879" s="10">
        <f>IF(L879&gt;2005,(((N879-N899)/N899)+1)^(1/5)-1,0)</f>
        <v>0</v>
      </c>
      <c r="U879" s="10">
        <f t="shared" si="30"/>
        <v>0</v>
      </c>
      <c r="V879" s="26">
        <f t="shared" si="31"/>
        <v>0</v>
      </c>
      <c r="W879" s="3">
        <f>IF(A879=A880,N879-N880,0)</f>
        <v>0</v>
      </c>
      <c r="X879" s="10">
        <f>IF(A879=A880,(N879-N880)/N880,0)</f>
        <v>0</v>
      </c>
    </row>
    <row r="880" spans="1:24" ht="16.5" customHeight="1">
      <c r="A880" s="3" t="s">
        <v>33</v>
      </c>
      <c r="B880" s="3">
        <f t="shared" si="24"/>
        <v>2009</v>
      </c>
      <c r="C880" s="3">
        <f t="shared" si="25"/>
        <v>9</v>
      </c>
      <c r="D880" s="20" t="str">
        <f t="shared" si="26"/>
        <v>NFG20099</v>
      </c>
      <c r="E880" s="2">
        <v>40084</v>
      </c>
      <c r="F880" s="3">
        <v>0.33500000000000002</v>
      </c>
      <c r="G880" s="2">
        <v>40101</v>
      </c>
      <c r="H880" s="3">
        <v>2.87E-2</v>
      </c>
      <c r="I880" s="3">
        <v>0</v>
      </c>
      <c r="J880" s="3">
        <v>0</v>
      </c>
      <c r="K880" s="3">
        <f t="shared" si="27"/>
        <v>2009</v>
      </c>
      <c r="L880" s="3">
        <f t="shared" si="28"/>
        <v>0</v>
      </c>
      <c r="M880" s="20" t="str">
        <f>A880&amp;L880</f>
        <v>NFG0</v>
      </c>
      <c r="N880" s="3">
        <f>F880</f>
        <v>0.33500000000000002</v>
      </c>
      <c r="O880" s="9">
        <f>H880</f>
        <v>2.87E-2</v>
      </c>
      <c r="P880" s="10">
        <f t="shared" si="29"/>
        <v>0</v>
      </c>
      <c r="Q880" s="10">
        <f>IF(K880=0,IF(A877=A880,AVERAGE(O877:O880),"x"),0)</f>
        <v>0</v>
      </c>
      <c r="R880" s="9">
        <f>IF(L880&gt;2005,AVERAGE(O877:O896),0)</f>
        <v>0</v>
      </c>
      <c r="S880" s="10">
        <f>IF(A880=A881,(N880-N881)/N881,0)</f>
        <v>0</v>
      </c>
      <c r="T880" s="10">
        <f>IF(L880&gt;2005,(((N880-N900)/N900)+1)^(1/5)-1,0)</f>
        <v>0</v>
      </c>
      <c r="U880" s="10">
        <f t="shared" si="30"/>
        <v>0</v>
      </c>
      <c r="V880" s="26">
        <f t="shared" si="31"/>
        <v>0</v>
      </c>
      <c r="W880" s="3">
        <f>IF(A880=A881,N880-N881,0)</f>
        <v>0</v>
      </c>
      <c r="X880" s="10">
        <f>IF(A880=A881,(N880-N881)/N881,0)</f>
        <v>0</v>
      </c>
    </row>
    <row r="881" spans="1:24" ht="16.5" customHeight="1">
      <c r="A881" s="3" t="s">
        <v>33</v>
      </c>
      <c r="B881" s="3">
        <f t="shared" si="24"/>
        <v>2009</v>
      </c>
      <c r="C881" s="3">
        <f t="shared" si="25"/>
        <v>6</v>
      </c>
      <c r="D881" s="20" t="str">
        <f t="shared" si="26"/>
        <v>NFG20096</v>
      </c>
      <c r="E881" s="2">
        <v>39990</v>
      </c>
      <c r="F881" s="3">
        <v>0.33500000000000002</v>
      </c>
      <c r="G881" s="2">
        <v>40009</v>
      </c>
      <c r="H881" s="3">
        <v>3.6499999999999998E-2</v>
      </c>
      <c r="I881" s="3">
        <v>3.0769231000000001E-2</v>
      </c>
      <c r="J881" s="3">
        <v>0.01</v>
      </c>
      <c r="K881" s="3">
        <f t="shared" si="27"/>
        <v>2009</v>
      </c>
      <c r="L881" s="3">
        <f t="shared" si="28"/>
        <v>0</v>
      </c>
      <c r="M881" s="20" t="str">
        <f>A881&amp;L881</f>
        <v>NFG0</v>
      </c>
      <c r="N881" s="3">
        <f>F881</f>
        <v>0.33500000000000002</v>
      </c>
      <c r="O881" s="9">
        <f>H881</f>
        <v>3.6499999999999998E-2</v>
      </c>
      <c r="P881" s="10">
        <f t="shared" si="29"/>
        <v>3.6874999999999998E-2</v>
      </c>
      <c r="Q881" s="10">
        <f>IF(K881=0,IF(A878=A881,AVERAGE(O878:O881),"x"),0)</f>
        <v>0</v>
      </c>
      <c r="R881" s="9">
        <f>IF(L881&gt;2005,AVERAGE(O878:O897),0)</f>
        <v>0</v>
      </c>
      <c r="S881" s="10">
        <f>IF(A881=A882,(N881-N882)/N882,0)</f>
        <v>3.0769230769230795E-2</v>
      </c>
      <c r="T881" s="10">
        <f>IF(L881&gt;2005,(((N881-N901)/N901)+1)^(1/5)-1,0)</f>
        <v>0</v>
      </c>
      <c r="U881" s="10">
        <f t="shared" si="30"/>
        <v>0</v>
      </c>
      <c r="V881" s="26">
        <f t="shared" si="31"/>
        <v>0</v>
      </c>
      <c r="W881" s="3">
        <f>IF(A881=A882,N881-N882,0)</f>
        <v>1.0000000000000009E-2</v>
      </c>
      <c r="X881" s="10">
        <f>IF(A881=A882,(N881-N882)/N882,0)</f>
        <v>3.0769230769230795E-2</v>
      </c>
    </row>
    <row r="882" spans="1:24" ht="16.5" customHeight="1">
      <c r="A882" s="3" t="s">
        <v>33</v>
      </c>
      <c r="B882" s="3">
        <f t="shared" si="24"/>
        <v>2009</v>
      </c>
      <c r="C882" s="3">
        <f t="shared" si="25"/>
        <v>3</v>
      </c>
      <c r="D882" s="20" t="str">
        <f t="shared" si="26"/>
        <v>NFG20093</v>
      </c>
      <c r="E882" s="2">
        <v>39899</v>
      </c>
      <c r="F882" s="3">
        <v>0.32500000000000001</v>
      </c>
      <c r="G882" s="2">
        <v>39918</v>
      </c>
      <c r="H882" s="3">
        <v>3.9699999999999999E-2</v>
      </c>
      <c r="I882" s="3">
        <v>0</v>
      </c>
      <c r="J882" s="3">
        <v>0</v>
      </c>
      <c r="K882" s="3">
        <f t="shared" si="27"/>
        <v>0</v>
      </c>
      <c r="L882" s="3">
        <f t="shared" si="28"/>
        <v>2009</v>
      </c>
      <c r="M882" s="20" t="str">
        <f>A882&amp;L882</f>
        <v>NFG2009</v>
      </c>
      <c r="N882" s="3">
        <f>F882</f>
        <v>0.32500000000000001</v>
      </c>
      <c r="O882" s="9">
        <f>H882</f>
        <v>3.9699999999999999E-2</v>
      </c>
      <c r="P882" s="10">
        <f t="shared" si="29"/>
        <v>0</v>
      </c>
      <c r="Q882" s="10">
        <f>IF(K882=0,IF(A879=A882,AVERAGE(O879:O882),"x"),0)</f>
        <v>3.2674999999999996E-2</v>
      </c>
      <c r="R882" s="9">
        <f>IF(L882&gt;2005,AVERAGE(O879:O898),0)</f>
        <v>3.1960000000000002E-2</v>
      </c>
      <c r="S882" s="10">
        <f>IF(A882=A883,(N882-N883)/N883,0)</f>
        <v>0</v>
      </c>
      <c r="T882" s="10">
        <f>IF(L882&gt;2005,(((N882-N902)/N902)+1)^(1/5)-1,0)</f>
        <v>3.7776708619957189E-2</v>
      </c>
      <c r="U882" s="10">
        <f t="shared" si="30"/>
        <v>6.9736708619957191E-2</v>
      </c>
      <c r="V882" s="26">
        <f t="shared" si="31"/>
        <v>4.5693091976213864</v>
      </c>
      <c r="W882" s="3">
        <f>IF(A882=A883,N882-N883,0)</f>
        <v>0</v>
      </c>
      <c r="X882" s="10">
        <f>IF(A882=A883,(N882-N883)/N883,0)</f>
        <v>0</v>
      </c>
    </row>
    <row r="883" spans="1:24" ht="16.5" customHeight="1">
      <c r="A883" s="3" t="s">
        <v>33</v>
      </c>
      <c r="B883" s="3">
        <f t="shared" si="24"/>
        <v>2008</v>
      </c>
      <c r="C883" s="3">
        <f t="shared" si="25"/>
        <v>12</v>
      </c>
      <c r="D883" s="20" t="str">
        <f t="shared" si="26"/>
        <v>NFG200812</v>
      </c>
      <c r="E883" s="2">
        <v>39811</v>
      </c>
      <c r="F883" s="3">
        <v>0.32500000000000001</v>
      </c>
      <c r="G883" s="2">
        <v>39828</v>
      </c>
      <c r="H883" s="3">
        <v>4.2999999999999997E-2</v>
      </c>
      <c r="I883" s="3">
        <v>0</v>
      </c>
      <c r="J883" s="3">
        <v>0</v>
      </c>
      <c r="K883" s="3">
        <f t="shared" si="27"/>
        <v>2008</v>
      </c>
      <c r="L883" s="3">
        <f t="shared" si="28"/>
        <v>0</v>
      </c>
      <c r="M883" s="20" t="str">
        <f>A883&amp;L883</f>
        <v>NFG0</v>
      </c>
      <c r="N883" s="3">
        <f>F883</f>
        <v>0.32500000000000001</v>
      </c>
      <c r="O883" s="9">
        <f>H883</f>
        <v>4.2999999999999997E-2</v>
      </c>
      <c r="P883" s="10">
        <f t="shared" si="29"/>
        <v>0</v>
      </c>
      <c r="Q883" s="10">
        <f>IF(K883=0,IF(A880=A883,AVERAGE(O880:O883),"x"),0)</f>
        <v>0</v>
      </c>
      <c r="R883" s="9">
        <f>IF(L883&gt;2005,AVERAGE(O880:O899),0)</f>
        <v>0</v>
      </c>
      <c r="S883" s="10">
        <f>IF(A883=A884,(N883-N884)/N884,0)</f>
        <v>0</v>
      </c>
      <c r="T883" s="10">
        <f>IF(L883&gt;2005,(((N883-N903)/N903)+1)^(1/5)-1,0)</f>
        <v>0</v>
      </c>
      <c r="U883" s="10">
        <f t="shared" si="30"/>
        <v>0</v>
      </c>
      <c r="V883" s="26">
        <f t="shared" si="31"/>
        <v>0</v>
      </c>
      <c r="W883" s="3">
        <f>IF(A883=A884,N883-N884,0)</f>
        <v>0</v>
      </c>
      <c r="X883" s="10">
        <f>IF(A883=A884,(N883-N884)/N884,0)</f>
        <v>0</v>
      </c>
    </row>
    <row r="884" spans="1:24" ht="16.5" customHeight="1">
      <c r="A884" s="3" t="s">
        <v>33</v>
      </c>
      <c r="B884" s="3">
        <f t="shared" si="24"/>
        <v>2008</v>
      </c>
      <c r="C884" s="3">
        <f t="shared" si="25"/>
        <v>9</v>
      </c>
      <c r="D884" s="20" t="str">
        <f t="shared" si="26"/>
        <v>NFG20089</v>
      </c>
      <c r="E884" s="2">
        <v>39717</v>
      </c>
      <c r="F884" s="3">
        <v>0.32500000000000001</v>
      </c>
      <c r="G884" s="2">
        <v>39736</v>
      </c>
      <c r="H884" s="3">
        <v>2.8299999999999999E-2</v>
      </c>
      <c r="I884" s="3">
        <v>0</v>
      </c>
      <c r="J884" s="3">
        <v>0</v>
      </c>
      <c r="K884" s="3">
        <f t="shared" si="27"/>
        <v>2008</v>
      </c>
      <c r="L884" s="3">
        <f t="shared" si="28"/>
        <v>0</v>
      </c>
      <c r="M884" s="20" t="str">
        <f>A884&amp;L884</f>
        <v>NFG0</v>
      </c>
      <c r="N884" s="3">
        <f>F884</f>
        <v>0.32500000000000001</v>
      </c>
      <c r="O884" s="9">
        <f>H884</f>
        <v>2.8299999999999999E-2</v>
      </c>
      <c r="P884" s="10">
        <f t="shared" si="29"/>
        <v>0</v>
      </c>
      <c r="Q884" s="10">
        <f>IF(K884=0,IF(A881=A884,AVERAGE(O881:O884),"x"),0)</f>
        <v>0</v>
      </c>
      <c r="R884" s="9">
        <f>IF(L884&gt;2005,AVERAGE(O881:O900),0)</f>
        <v>0</v>
      </c>
      <c r="S884" s="10">
        <f>IF(A884=A885,(N884-N885)/N885,0)</f>
        <v>0</v>
      </c>
      <c r="T884" s="10">
        <f>IF(L884&gt;2005,(((N884-N904)/N904)+1)^(1/5)-1,0)</f>
        <v>0</v>
      </c>
      <c r="U884" s="10">
        <f t="shared" si="30"/>
        <v>0</v>
      </c>
      <c r="V884" s="26">
        <f t="shared" si="31"/>
        <v>0</v>
      </c>
      <c r="W884" s="3">
        <f>IF(A884=A885,N884-N885,0)</f>
        <v>0</v>
      </c>
      <c r="X884" s="10">
        <f>IF(A884=A885,(N884-N885)/N885,0)</f>
        <v>0</v>
      </c>
    </row>
    <row r="885" spans="1:24" ht="16.5" customHeight="1">
      <c r="A885" s="3" t="s">
        <v>33</v>
      </c>
      <c r="B885" s="3">
        <f t="shared" si="24"/>
        <v>2008</v>
      </c>
      <c r="C885" s="3">
        <f t="shared" si="25"/>
        <v>6</v>
      </c>
      <c r="D885" s="20" t="str">
        <f t="shared" si="26"/>
        <v>NFG20086</v>
      </c>
      <c r="E885" s="2">
        <v>39625</v>
      </c>
      <c r="F885" s="3">
        <v>0.32500000000000001</v>
      </c>
      <c r="G885" s="2">
        <v>39644</v>
      </c>
      <c r="H885" s="3">
        <v>2.1600000000000001E-2</v>
      </c>
      <c r="I885" s="3">
        <v>4.8387096999999997E-2</v>
      </c>
      <c r="J885" s="3">
        <v>1.4999999999999999E-2</v>
      </c>
      <c r="K885" s="3">
        <f t="shared" si="27"/>
        <v>2008</v>
      </c>
      <c r="L885" s="3">
        <f t="shared" si="28"/>
        <v>0</v>
      </c>
      <c r="M885" s="20" t="str">
        <f>A885&amp;L885</f>
        <v>NFG0</v>
      </c>
      <c r="N885" s="3">
        <f>F885</f>
        <v>0.32500000000000001</v>
      </c>
      <c r="O885" s="9">
        <f>H885</f>
        <v>2.1600000000000001E-2</v>
      </c>
      <c r="P885" s="10">
        <f t="shared" si="29"/>
        <v>2.5150000000000002E-2</v>
      </c>
      <c r="Q885" s="10">
        <f>IF(K885=0,IF(A882=A885,AVERAGE(O882:O885),"x"),0)</f>
        <v>0</v>
      </c>
      <c r="R885" s="9">
        <f>IF(L885&gt;2005,AVERAGE(O882:O901),0)</f>
        <v>0</v>
      </c>
      <c r="S885" s="10">
        <f>IF(A885=A886,(N885-N886)/N886,0)</f>
        <v>4.8387096774193589E-2</v>
      </c>
      <c r="T885" s="10">
        <f>IF(L885&gt;2005,(((N885-N905)/N905)+1)^(1/5)-1,0)</f>
        <v>0</v>
      </c>
      <c r="U885" s="10">
        <f t="shared" si="30"/>
        <v>0</v>
      </c>
      <c r="V885" s="26">
        <f t="shared" si="31"/>
        <v>0</v>
      </c>
      <c r="W885" s="3">
        <f>IF(A885=A886,N885-N886,0)</f>
        <v>1.5000000000000013E-2</v>
      </c>
      <c r="X885" s="10">
        <f>IF(A885=A886,(N885-N886)/N886,0)</f>
        <v>4.8387096774193589E-2</v>
      </c>
    </row>
    <row r="886" spans="1:24" ht="16.5" customHeight="1">
      <c r="A886" s="3" t="s">
        <v>33</v>
      </c>
      <c r="B886" s="3">
        <f t="shared" si="24"/>
        <v>2008</v>
      </c>
      <c r="C886" s="3">
        <f t="shared" si="25"/>
        <v>3</v>
      </c>
      <c r="D886" s="20" t="str">
        <f t="shared" si="26"/>
        <v>NFG20083</v>
      </c>
      <c r="E886" s="2">
        <v>39534</v>
      </c>
      <c r="F886" s="3">
        <v>0.31</v>
      </c>
      <c r="G886" s="2">
        <v>39553</v>
      </c>
      <c r="H886" s="3">
        <v>2.64E-2</v>
      </c>
      <c r="I886" s="3">
        <v>0</v>
      </c>
      <c r="J886" s="3">
        <v>0</v>
      </c>
      <c r="K886" s="3">
        <f t="shared" si="27"/>
        <v>0</v>
      </c>
      <c r="L886" s="3">
        <f t="shared" si="28"/>
        <v>2008</v>
      </c>
      <c r="M886" s="20" t="str">
        <f>A886&amp;L886</f>
        <v>NFG2008</v>
      </c>
      <c r="N886" s="3">
        <f>F886</f>
        <v>0.31</v>
      </c>
      <c r="O886" s="9">
        <f>H886</f>
        <v>2.64E-2</v>
      </c>
      <c r="P886" s="10">
        <f t="shared" si="29"/>
        <v>0</v>
      </c>
      <c r="Q886" s="10">
        <f>IF(K886=0,IF(A883=A886,AVERAGE(O883:O886),"x"),0)</f>
        <v>2.9825000000000004E-2</v>
      </c>
      <c r="R886" s="9">
        <f>IF(L886&gt;2005,AVERAGE(O883:O902),0)</f>
        <v>3.3744999999999997E-2</v>
      </c>
      <c r="S886" s="10">
        <f>IF(A886=A887,(N886-N887)/N887,0)</f>
        <v>0</v>
      </c>
      <c r="T886" s="10">
        <f>IF(L886&gt;2005,(((N886-N906)/N906)+1)^(1/5)-1,0)</f>
        <v>3.5804203580214189E-2</v>
      </c>
      <c r="U886" s="10">
        <f t="shared" si="30"/>
        <v>6.9549203580214186E-2</v>
      </c>
      <c r="V886" s="26">
        <f t="shared" si="31"/>
        <v>4.5461835778121573</v>
      </c>
      <c r="W886" s="3">
        <f>IF(A886=A887,N886-N887,0)</f>
        <v>0</v>
      </c>
      <c r="X886" s="10">
        <f>IF(A886=A887,(N886-N887)/N887,0)</f>
        <v>0</v>
      </c>
    </row>
    <row r="887" spans="1:24" ht="16.5" customHeight="1">
      <c r="A887" s="3" t="s">
        <v>33</v>
      </c>
      <c r="B887" s="3">
        <f t="shared" si="24"/>
        <v>2007</v>
      </c>
      <c r="C887" s="3">
        <f t="shared" si="25"/>
        <v>12</v>
      </c>
      <c r="D887" s="20" t="str">
        <f t="shared" si="26"/>
        <v>NFG200712</v>
      </c>
      <c r="E887" s="2">
        <v>39443</v>
      </c>
      <c r="F887" s="3">
        <v>0.31</v>
      </c>
      <c r="G887" s="2">
        <v>39462</v>
      </c>
      <c r="H887" s="3">
        <v>2.58E-2</v>
      </c>
      <c r="I887" s="3">
        <v>0</v>
      </c>
      <c r="J887" s="3">
        <v>0</v>
      </c>
      <c r="K887" s="3">
        <f t="shared" si="27"/>
        <v>2007</v>
      </c>
      <c r="L887" s="3">
        <f t="shared" si="28"/>
        <v>0</v>
      </c>
      <c r="M887" s="20" t="str">
        <f>A887&amp;L887</f>
        <v>NFG0</v>
      </c>
      <c r="N887" s="3">
        <f>F887</f>
        <v>0.31</v>
      </c>
      <c r="O887" s="9">
        <f>H887</f>
        <v>2.58E-2</v>
      </c>
      <c r="P887" s="10">
        <f t="shared" si="29"/>
        <v>0</v>
      </c>
      <c r="Q887" s="10">
        <f>IF(K887=0,IF(A884=A887,AVERAGE(O884:O887),"x"),0)</f>
        <v>0</v>
      </c>
      <c r="R887" s="9">
        <f>IF(L887&gt;2005,AVERAGE(O884:O903),0)</f>
        <v>0</v>
      </c>
      <c r="S887" s="10">
        <f>IF(A887=A888,(N887-N888)/N888,0)</f>
        <v>0</v>
      </c>
      <c r="T887" s="10">
        <f>IF(L887&gt;2005,(((N887-N907)/N907)+1)^(1/5)-1,0)</f>
        <v>0</v>
      </c>
      <c r="U887" s="10">
        <f t="shared" si="30"/>
        <v>0</v>
      </c>
      <c r="V887" s="26">
        <f t="shared" si="31"/>
        <v>0</v>
      </c>
      <c r="W887" s="3">
        <f>IF(A887=A888,N887-N888,0)</f>
        <v>0</v>
      </c>
      <c r="X887" s="10">
        <f>IF(A887=A888,(N887-N888)/N888,0)</f>
        <v>0</v>
      </c>
    </row>
    <row r="888" spans="1:24" ht="16.5" customHeight="1">
      <c r="A888" s="3" t="s">
        <v>33</v>
      </c>
      <c r="B888" s="3">
        <f t="shared" si="24"/>
        <v>2007</v>
      </c>
      <c r="C888" s="3">
        <f t="shared" si="25"/>
        <v>9</v>
      </c>
      <c r="D888" s="20" t="str">
        <f t="shared" si="26"/>
        <v>NFG20079</v>
      </c>
      <c r="E888" s="2">
        <v>39351</v>
      </c>
      <c r="F888" s="3">
        <v>0.31</v>
      </c>
      <c r="G888" s="2">
        <v>39370</v>
      </c>
      <c r="H888" s="3">
        <v>2.6800000000000001E-2</v>
      </c>
      <c r="I888" s="3">
        <v>0</v>
      </c>
      <c r="J888" s="3">
        <v>0</v>
      </c>
      <c r="K888" s="3">
        <f t="shared" si="27"/>
        <v>2007</v>
      </c>
      <c r="L888" s="3">
        <f t="shared" si="28"/>
        <v>0</v>
      </c>
      <c r="M888" s="20" t="str">
        <f>A888&amp;L888</f>
        <v>NFG0</v>
      </c>
      <c r="N888" s="3">
        <f>F888</f>
        <v>0.31</v>
      </c>
      <c r="O888" s="9">
        <f>H888</f>
        <v>2.6800000000000001E-2</v>
      </c>
      <c r="P888" s="10">
        <f t="shared" si="29"/>
        <v>0</v>
      </c>
      <c r="Q888" s="10">
        <f>IF(K888=0,IF(A885=A888,AVERAGE(O885:O888),"x"),0)</f>
        <v>0</v>
      </c>
      <c r="R888" s="9">
        <f>IF(L888&gt;2005,AVERAGE(O885:O904),0)</f>
        <v>0</v>
      </c>
      <c r="S888" s="10">
        <f>IF(A888=A889,(N888-N889)/N889,0)</f>
        <v>0</v>
      </c>
      <c r="T888" s="10">
        <f>IF(L888&gt;2005,(((N888-N908)/N908)+1)^(1/5)-1,0)</f>
        <v>0</v>
      </c>
      <c r="U888" s="10">
        <f t="shared" si="30"/>
        <v>0</v>
      </c>
      <c r="V888" s="26">
        <f t="shared" si="31"/>
        <v>0</v>
      </c>
      <c r="W888" s="3">
        <f>IF(A888=A889,N888-N889,0)</f>
        <v>0</v>
      </c>
      <c r="X888" s="10">
        <f>IF(A888=A889,(N888-N889)/N889,0)</f>
        <v>0</v>
      </c>
    </row>
    <row r="889" spans="1:24" ht="16.5" customHeight="1">
      <c r="A889" s="3" t="s">
        <v>33</v>
      </c>
      <c r="B889" s="3">
        <f t="shared" si="24"/>
        <v>2007</v>
      </c>
      <c r="C889" s="3">
        <f t="shared" si="25"/>
        <v>6</v>
      </c>
      <c r="D889" s="20" t="str">
        <f t="shared" si="26"/>
        <v>NFG20076</v>
      </c>
      <c r="E889" s="2">
        <v>39260</v>
      </c>
      <c r="F889" s="3">
        <v>0.31</v>
      </c>
      <c r="G889" s="2">
        <v>39279</v>
      </c>
      <c r="H889" s="3">
        <v>2.7799999999999998E-2</v>
      </c>
      <c r="I889" s="3">
        <v>3.3333333E-2</v>
      </c>
      <c r="J889" s="3">
        <v>0.01</v>
      </c>
      <c r="K889" s="3">
        <f t="shared" si="27"/>
        <v>2007</v>
      </c>
      <c r="L889" s="3">
        <f t="shared" si="28"/>
        <v>0</v>
      </c>
      <c r="M889" s="20" t="str">
        <f>A889&amp;L889</f>
        <v>NFG0</v>
      </c>
      <c r="N889" s="3">
        <f>F889</f>
        <v>0.31</v>
      </c>
      <c r="O889" s="9">
        <f>H889</f>
        <v>2.7799999999999998E-2</v>
      </c>
      <c r="P889" s="10">
        <f t="shared" si="29"/>
        <v>2.9525000000000003E-2</v>
      </c>
      <c r="Q889" s="10">
        <f>IF(K889=0,IF(A886=A889,AVERAGE(O886:O889),"x"),0)</f>
        <v>0</v>
      </c>
      <c r="R889" s="9">
        <f>IF(L889&gt;2005,AVERAGE(O886:O905),0)</f>
        <v>0</v>
      </c>
      <c r="S889" s="10">
        <f>IF(A889=A890,(N889-N890)/N890,0)</f>
        <v>3.3333333333333368E-2</v>
      </c>
      <c r="T889" s="10">
        <f>IF(L889&gt;2005,(((N889-N909)/N909)+1)^(1/5)-1,0)</f>
        <v>0</v>
      </c>
      <c r="U889" s="10">
        <f t="shared" si="30"/>
        <v>0</v>
      </c>
      <c r="V889" s="26">
        <f t="shared" si="31"/>
        <v>0</v>
      </c>
      <c r="W889" s="3">
        <f>IF(A889=A890,N889-N890,0)</f>
        <v>1.0000000000000009E-2</v>
      </c>
      <c r="X889" s="10">
        <f>IF(A889=A890,(N889-N890)/N890,0)</f>
        <v>3.3333333333333368E-2</v>
      </c>
    </row>
    <row r="890" spans="1:24" ht="16.5" customHeight="1">
      <c r="A890" s="3" t="s">
        <v>33</v>
      </c>
      <c r="B890" s="3">
        <f t="shared" si="24"/>
        <v>2007</v>
      </c>
      <c r="C890" s="3">
        <f t="shared" si="25"/>
        <v>3</v>
      </c>
      <c r="D890" s="20" t="str">
        <f t="shared" si="26"/>
        <v>NFG20073</v>
      </c>
      <c r="E890" s="2">
        <v>39169</v>
      </c>
      <c r="F890" s="3">
        <v>0.3</v>
      </c>
      <c r="G890" s="2">
        <v>39188</v>
      </c>
      <c r="H890" s="3">
        <v>2.7799999999999998E-2</v>
      </c>
      <c r="I890" s="3">
        <v>0</v>
      </c>
      <c r="J890" s="3">
        <v>0</v>
      </c>
      <c r="K890" s="3">
        <f t="shared" si="27"/>
        <v>0</v>
      </c>
      <c r="L890" s="3">
        <f t="shared" si="28"/>
        <v>2007</v>
      </c>
      <c r="M890" s="20" t="str">
        <f>A890&amp;L890</f>
        <v>NFG2007</v>
      </c>
      <c r="N890" s="3">
        <f>F890</f>
        <v>0.3</v>
      </c>
      <c r="O890" s="9">
        <f>H890</f>
        <v>2.7799999999999998E-2</v>
      </c>
      <c r="P890" s="10">
        <f t="shared" si="29"/>
        <v>0</v>
      </c>
      <c r="Q890" s="10">
        <f>IF(K890=0,IF(A887=A890,AVERAGE(O887:O890),"x"),0)</f>
        <v>2.7049999999999998E-2</v>
      </c>
      <c r="R890" s="9">
        <f>IF(L890&gt;2005,AVERAGE(O887:O906),0)</f>
        <v>3.6659999999999998E-2</v>
      </c>
      <c r="S890" s="10">
        <f>IF(A890=A891,(N890-N891)/N891,0)</f>
        <v>0</v>
      </c>
      <c r="T890" s="10">
        <f>IF(L890&gt;2005,(((N890-N910)/N910)+1)^(1/5)-1,0)</f>
        <v>3.5075369861429451E-2</v>
      </c>
      <c r="U890" s="10">
        <f t="shared" si="30"/>
        <v>7.1735369861429449E-2</v>
      </c>
      <c r="V890" s="26">
        <f t="shared" si="31"/>
        <v>4.5097160267411622</v>
      </c>
      <c r="W890" s="3">
        <f>IF(A890=A891,N890-N891,0)</f>
        <v>0</v>
      </c>
      <c r="X890" s="10">
        <f>IF(A890=A891,(N890-N891)/N891,0)</f>
        <v>0</v>
      </c>
    </row>
    <row r="891" spans="1:24" ht="16.5" customHeight="1">
      <c r="A891" s="3" t="s">
        <v>33</v>
      </c>
      <c r="B891" s="3">
        <f t="shared" si="24"/>
        <v>2006</v>
      </c>
      <c r="C891" s="3">
        <f t="shared" si="25"/>
        <v>12</v>
      </c>
      <c r="D891" s="20" t="str">
        <f t="shared" si="26"/>
        <v>NFG200612</v>
      </c>
      <c r="E891" s="2">
        <v>39078</v>
      </c>
      <c r="F891" s="3">
        <v>0.3</v>
      </c>
      <c r="G891" s="2">
        <v>39098</v>
      </c>
      <c r="H891" s="3">
        <v>3.0200000000000001E-2</v>
      </c>
      <c r="I891" s="3">
        <v>0</v>
      </c>
      <c r="J891" s="3">
        <v>0</v>
      </c>
      <c r="K891" s="3">
        <f t="shared" si="27"/>
        <v>2006</v>
      </c>
      <c r="L891" s="3">
        <f t="shared" si="28"/>
        <v>0</v>
      </c>
      <c r="M891" s="20" t="str">
        <f>A891&amp;L891</f>
        <v>NFG0</v>
      </c>
      <c r="N891" s="3">
        <f>F891</f>
        <v>0.3</v>
      </c>
      <c r="O891" s="9">
        <f>H891</f>
        <v>3.0200000000000001E-2</v>
      </c>
      <c r="P891" s="10">
        <f t="shared" si="29"/>
        <v>0</v>
      </c>
      <c r="Q891" s="10">
        <f>IF(K891=0,IF(A888=A891,AVERAGE(O888:O891),"x"),0)</f>
        <v>0</v>
      </c>
      <c r="R891" s="9">
        <f>IF(L891&gt;2005,AVERAGE(O888:O907),0)</f>
        <v>0</v>
      </c>
      <c r="S891" s="10">
        <f>IF(A891=A892,(N891-N892)/N892,0)</f>
        <v>0</v>
      </c>
      <c r="T891" s="10">
        <f>IF(L891&gt;2005,(((N891-N911)/N911)+1)^(1/5)-1,0)</f>
        <v>0</v>
      </c>
      <c r="U891" s="10">
        <f t="shared" si="30"/>
        <v>0</v>
      </c>
      <c r="V891" s="26">
        <f t="shared" si="31"/>
        <v>0</v>
      </c>
      <c r="W891" s="3">
        <f>IF(A891=A892,N891-N892,0)</f>
        <v>0</v>
      </c>
      <c r="X891" s="10">
        <f>IF(A891=A892,(N891-N892)/N892,0)</f>
        <v>0</v>
      </c>
    </row>
    <row r="892" spans="1:24" ht="16.5" customHeight="1">
      <c r="A892" s="3" t="s">
        <v>33</v>
      </c>
      <c r="B892" s="3">
        <f t="shared" si="24"/>
        <v>2006</v>
      </c>
      <c r="C892" s="3">
        <f t="shared" si="25"/>
        <v>9</v>
      </c>
      <c r="D892" s="20" t="str">
        <f t="shared" si="26"/>
        <v>NFG20069</v>
      </c>
      <c r="E892" s="2">
        <v>38987</v>
      </c>
      <c r="F892" s="3">
        <v>0.3</v>
      </c>
      <c r="G892" s="2">
        <v>39006</v>
      </c>
      <c r="H892" s="3">
        <v>3.2300000000000002E-2</v>
      </c>
      <c r="I892" s="3">
        <v>0</v>
      </c>
      <c r="J892" s="3">
        <v>0</v>
      </c>
      <c r="K892" s="3">
        <f t="shared" si="27"/>
        <v>2006</v>
      </c>
      <c r="L892" s="3">
        <f t="shared" si="28"/>
        <v>0</v>
      </c>
      <c r="M892" s="20" t="str">
        <f>A892&amp;L892</f>
        <v>NFG0</v>
      </c>
      <c r="N892" s="3">
        <f>F892</f>
        <v>0.3</v>
      </c>
      <c r="O892" s="9">
        <f>H892</f>
        <v>3.2300000000000002E-2</v>
      </c>
      <c r="P892" s="10">
        <f t="shared" si="29"/>
        <v>0</v>
      </c>
      <c r="Q892" s="10">
        <f>IF(K892=0,IF(A889=A892,AVERAGE(O889:O892),"x"),0)</f>
        <v>0</v>
      </c>
      <c r="R892" s="9">
        <f>IF(L892&gt;2005,AVERAGE(O889:O908),0)</f>
        <v>0</v>
      </c>
      <c r="S892" s="10">
        <f>IF(A892=A893,(N892-N893)/N893,0)</f>
        <v>0</v>
      </c>
      <c r="T892" s="10">
        <f>IF(L892&gt;2005,(((N892-N912)/N912)+1)^(1/5)-1,0)</f>
        <v>0</v>
      </c>
      <c r="U892" s="10">
        <f t="shared" si="30"/>
        <v>0</v>
      </c>
      <c r="V892" s="26">
        <f t="shared" si="31"/>
        <v>0</v>
      </c>
      <c r="W892" s="3">
        <f>IF(A892=A893,N892-N893,0)</f>
        <v>0</v>
      </c>
      <c r="X892" s="10">
        <f>IF(A892=A893,(N892-N893)/N893,0)</f>
        <v>0</v>
      </c>
    </row>
    <row r="893" spans="1:24" ht="16.5" customHeight="1">
      <c r="A893" s="3" t="s">
        <v>33</v>
      </c>
      <c r="B893" s="3">
        <f t="shared" si="24"/>
        <v>2006</v>
      </c>
      <c r="C893" s="3">
        <f t="shared" si="25"/>
        <v>6</v>
      </c>
      <c r="D893" s="20" t="str">
        <f t="shared" si="26"/>
        <v>NFG20066</v>
      </c>
      <c r="E893" s="2">
        <v>38896</v>
      </c>
      <c r="F893" s="3">
        <v>0.3</v>
      </c>
      <c r="G893" s="2">
        <v>38915</v>
      </c>
      <c r="H893" s="3">
        <v>3.3799999999999997E-2</v>
      </c>
      <c r="I893" s="3">
        <v>3.4482759000000002E-2</v>
      </c>
      <c r="J893" s="3">
        <v>0.01</v>
      </c>
      <c r="K893" s="3">
        <f t="shared" si="27"/>
        <v>2006</v>
      </c>
      <c r="L893" s="3">
        <f t="shared" si="28"/>
        <v>0</v>
      </c>
      <c r="M893" s="20" t="str">
        <f>A893&amp;L893</f>
        <v>NFG0</v>
      </c>
      <c r="N893" s="3">
        <f>F893</f>
        <v>0.3</v>
      </c>
      <c r="O893" s="9">
        <f>H893</f>
        <v>3.3799999999999997E-2</v>
      </c>
      <c r="P893" s="10">
        <f t="shared" si="29"/>
        <v>3.4949999999999995E-2</v>
      </c>
      <c r="Q893" s="10">
        <f>IF(K893=0,IF(A890=A893,AVERAGE(O890:O893),"x"),0)</f>
        <v>0</v>
      </c>
      <c r="R893" s="9">
        <f>IF(L893&gt;2005,AVERAGE(O890:O909),0)</f>
        <v>0</v>
      </c>
      <c r="S893" s="10">
        <f>IF(A893=A894,(N893-N894)/N894,0)</f>
        <v>3.4482758620689689E-2</v>
      </c>
      <c r="T893" s="10">
        <f>IF(L893&gt;2005,(((N893-N913)/N913)+1)^(1/5)-1,0)</f>
        <v>0</v>
      </c>
      <c r="U893" s="10">
        <f t="shared" si="30"/>
        <v>0</v>
      </c>
      <c r="V893" s="26">
        <f t="shared" si="31"/>
        <v>0</v>
      </c>
      <c r="W893" s="3">
        <f>IF(A893=A894,N893-N894,0)</f>
        <v>1.0000000000000009E-2</v>
      </c>
      <c r="X893" s="10">
        <f>IF(A893=A894,(N893-N894)/N894,0)</f>
        <v>3.4482758620689689E-2</v>
      </c>
    </row>
    <row r="894" spans="1:24" ht="16.5" customHeight="1">
      <c r="A894" s="3" t="s">
        <v>33</v>
      </c>
      <c r="B894" s="3">
        <f t="shared" si="24"/>
        <v>2006</v>
      </c>
      <c r="C894" s="3">
        <f t="shared" si="25"/>
        <v>3</v>
      </c>
      <c r="D894" s="20" t="str">
        <f t="shared" si="26"/>
        <v>NFG20063</v>
      </c>
      <c r="E894" s="2">
        <v>38805</v>
      </c>
      <c r="F894" s="3">
        <v>0.28999999999999998</v>
      </c>
      <c r="G894" s="2">
        <v>38822</v>
      </c>
      <c r="H894" s="3">
        <v>3.5400000000000001E-2</v>
      </c>
      <c r="I894" s="3">
        <v>0</v>
      </c>
      <c r="J894" s="3">
        <v>0</v>
      </c>
      <c r="K894" s="3">
        <f t="shared" si="27"/>
        <v>0</v>
      </c>
      <c r="L894" s="3">
        <f t="shared" si="28"/>
        <v>2006</v>
      </c>
      <c r="M894" s="20" t="str">
        <f>A894&amp;L894</f>
        <v>NFG2006</v>
      </c>
      <c r="N894" s="3">
        <f>F894</f>
        <v>0.28999999999999998</v>
      </c>
      <c r="O894" s="9">
        <f>H894</f>
        <v>3.5400000000000001E-2</v>
      </c>
      <c r="P894" s="10">
        <f t="shared" si="29"/>
        <v>0</v>
      </c>
      <c r="Q894" s="10">
        <f>IF(K894=0,IF(A891=A894,AVERAGE(O891:O894),"x"),0)</f>
        <v>3.2924999999999996E-2</v>
      </c>
      <c r="R894" s="9">
        <f>IF(L894&gt;2005,AVERAGE(O891:O910),0)</f>
        <v>4.0624999999999994E-2</v>
      </c>
      <c r="S894" s="10">
        <f>IF(A894=A895,(N894-N895)/N895,0)</f>
        <v>0</v>
      </c>
      <c r="T894" s="10">
        <f>IF(L894&gt;2005,(((N894-N914)/N914)+1)^(1/5)-1,0)</f>
        <v>3.8573773084258578E-2</v>
      </c>
      <c r="U894" s="10">
        <f t="shared" si="30"/>
        <v>7.9198773084258572E-2</v>
      </c>
      <c r="V894" s="26">
        <f t="shared" si="31"/>
        <v>4.4628977293612175</v>
      </c>
      <c r="W894" s="3">
        <f>IF(A894=A895,N894-N895,0)</f>
        <v>0</v>
      </c>
      <c r="X894" s="10">
        <f>IF(A894=A895,(N894-N895)/N895,0)</f>
        <v>0</v>
      </c>
    </row>
    <row r="895" spans="1:24" ht="16.5" customHeight="1">
      <c r="A895" s="3" t="s">
        <v>33</v>
      </c>
      <c r="B895" s="3">
        <f t="shared" si="24"/>
        <v>2005</v>
      </c>
      <c r="C895" s="3">
        <f t="shared" si="25"/>
        <v>12</v>
      </c>
      <c r="D895" s="20" t="str">
        <f t="shared" si="26"/>
        <v>NFG200512</v>
      </c>
      <c r="E895" s="2">
        <v>38714</v>
      </c>
      <c r="F895" s="3">
        <v>0.28999999999999998</v>
      </c>
      <c r="G895" s="2">
        <v>38730</v>
      </c>
      <c r="H895" s="3">
        <v>3.6700000000000003E-2</v>
      </c>
      <c r="I895" s="3">
        <v>0</v>
      </c>
      <c r="J895" s="3">
        <v>0</v>
      </c>
      <c r="K895" s="3">
        <f t="shared" si="27"/>
        <v>2005</v>
      </c>
      <c r="L895" s="3">
        <f t="shared" si="28"/>
        <v>0</v>
      </c>
      <c r="M895" s="20" t="str">
        <f>A895&amp;L895</f>
        <v>NFG0</v>
      </c>
      <c r="N895" s="3">
        <f>F895</f>
        <v>0.28999999999999998</v>
      </c>
      <c r="O895" s="9">
        <f>H895</f>
        <v>3.6700000000000003E-2</v>
      </c>
      <c r="P895" s="10">
        <f t="shared" si="29"/>
        <v>0</v>
      </c>
      <c r="Q895" s="10">
        <f>IF(K895=0,IF(A892=A895,AVERAGE(O892:O895),"x"),0)</f>
        <v>0</v>
      </c>
      <c r="R895" s="9">
        <f>IF(L895&gt;2005,AVERAGE(O892:O911),0)</f>
        <v>0</v>
      </c>
      <c r="S895" s="10">
        <f>IF(A895=A896,(N895-N896)/N896,0)</f>
        <v>0</v>
      </c>
      <c r="T895" s="10">
        <f>IF(L895&gt;2005,(((N895-N915)/N915)+1)^(1/5)-1,0)</f>
        <v>0</v>
      </c>
      <c r="U895" s="10">
        <f t="shared" si="30"/>
        <v>0</v>
      </c>
      <c r="V895" s="26">
        <f t="shared" si="31"/>
        <v>0</v>
      </c>
      <c r="W895" s="3">
        <f>IF(A895=A896,N895-N896,0)</f>
        <v>0</v>
      </c>
      <c r="X895" s="10">
        <f>IF(A895=A896,(N895-N896)/N896,0)</f>
        <v>0</v>
      </c>
    </row>
    <row r="896" spans="1:24" ht="16.5" customHeight="1">
      <c r="A896" s="3" t="s">
        <v>33</v>
      </c>
      <c r="B896" s="3">
        <f t="shared" si="24"/>
        <v>2005</v>
      </c>
      <c r="C896" s="3">
        <f t="shared" si="25"/>
        <v>9</v>
      </c>
      <c r="D896" s="20" t="str">
        <f t="shared" si="26"/>
        <v>NFG20059</v>
      </c>
      <c r="E896" s="2">
        <v>38623</v>
      </c>
      <c r="F896" s="3">
        <v>0.28999999999999998</v>
      </c>
      <c r="G896" s="2">
        <v>38640</v>
      </c>
      <c r="H896" s="3">
        <v>3.39E-2</v>
      </c>
      <c r="I896" s="3">
        <v>0</v>
      </c>
      <c r="J896" s="3">
        <v>0</v>
      </c>
      <c r="K896" s="3">
        <f t="shared" si="27"/>
        <v>2005</v>
      </c>
      <c r="L896" s="3">
        <f t="shared" si="28"/>
        <v>0</v>
      </c>
      <c r="M896" s="20" t="str">
        <f>A896&amp;L896</f>
        <v>NFG0</v>
      </c>
      <c r="N896" s="3">
        <f>F896</f>
        <v>0.28999999999999998</v>
      </c>
      <c r="O896" s="9">
        <f>H896</f>
        <v>3.39E-2</v>
      </c>
      <c r="P896" s="10">
        <f t="shared" si="29"/>
        <v>0</v>
      </c>
      <c r="Q896" s="10">
        <f>IF(K896=0,IF(A893=A896,AVERAGE(O893:O896),"x"),0)</f>
        <v>0</v>
      </c>
      <c r="R896" s="9">
        <f>IF(L896&gt;2005,AVERAGE(O893:O912),0)</f>
        <v>0</v>
      </c>
      <c r="S896" s="10">
        <f>IF(A896=A897,(N896-N897)/N897,0)</f>
        <v>0</v>
      </c>
      <c r="T896" s="10">
        <f>IF(L896&gt;2005,(((N896-N916)/N916)+1)^(1/5)-1,0)</f>
        <v>0</v>
      </c>
      <c r="U896" s="10">
        <f t="shared" si="30"/>
        <v>0</v>
      </c>
      <c r="V896" s="26">
        <f t="shared" si="31"/>
        <v>0</v>
      </c>
      <c r="W896" s="3">
        <f>IF(A896=A897,N896-N897,0)</f>
        <v>0</v>
      </c>
      <c r="X896" s="10">
        <f>IF(A896=A897,(N896-N897)/N897,0)</f>
        <v>0</v>
      </c>
    </row>
    <row r="897" spans="1:24" ht="16.5" customHeight="1">
      <c r="A897" s="3" t="s">
        <v>33</v>
      </c>
      <c r="B897" s="3">
        <f t="shared" si="24"/>
        <v>2005</v>
      </c>
      <c r="C897" s="3">
        <f t="shared" si="25"/>
        <v>6</v>
      </c>
      <c r="D897" s="20" t="str">
        <f t="shared" si="26"/>
        <v>NFG20056</v>
      </c>
      <c r="E897" s="2">
        <v>38531</v>
      </c>
      <c r="F897" s="3">
        <v>0.28999999999999998</v>
      </c>
      <c r="G897" s="2">
        <v>38548</v>
      </c>
      <c r="H897" s="3">
        <v>3.9199999999999999E-2</v>
      </c>
      <c r="I897" s="3">
        <v>3.5714285999999998E-2</v>
      </c>
      <c r="J897" s="3">
        <v>0.01</v>
      </c>
      <c r="K897" s="3">
        <f t="shared" si="27"/>
        <v>2005</v>
      </c>
      <c r="L897" s="3">
        <f t="shared" si="28"/>
        <v>0</v>
      </c>
      <c r="M897" s="20" t="str">
        <f>A897&amp;L897</f>
        <v>NFG0</v>
      </c>
      <c r="N897" s="3">
        <f>F897</f>
        <v>0.28999999999999998</v>
      </c>
      <c r="O897" s="9">
        <f>H897</f>
        <v>3.9199999999999999E-2</v>
      </c>
      <c r="P897" s="10">
        <f t="shared" si="29"/>
        <v>3.9324999999999999E-2</v>
      </c>
      <c r="Q897" s="10">
        <f>IF(K897=0,IF(A894=A897,AVERAGE(O894:O897),"x"),0)</f>
        <v>0</v>
      </c>
      <c r="R897" s="9">
        <f>IF(L897&gt;2005,AVERAGE(O894:O913),0)</f>
        <v>0</v>
      </c>
      <c r="S897" s="10">
        <f>IF(A897=A898,(N897-N898)/N898,0)</f>
        <v>3.5714285714285546E-2</v>
      </c>
      <c r="T897" s="10">
        <f>IF(L897&gt;2005,(((N897-N917)/N917)+1)^(1/5)-1,0)</f>
        <v>0</v>
      </c>
      <c r="U897" s="10">
        <f t="shared" si="30"/>
        <v>0</v>
      </c>
      <c r="V897" s="26">
        <f t="shared" si="31"/>
        <v>0</v>
      </c>
      <c r="W897" s="3">
        <f>IF(A897=A898,N897-N898,0)</f>
        <v>9.9999999999999534E-3</v>
      </c>
      <c r="X897" s="10">
        <f>IF(A897=A898,(N897-N898)/N898,0)</f>
        <v>3.5714285714285546E-2</v>
      </c>
    </row>
    <row r="898" spans="1:24" ht="16.5" customHeight="1">
      <c r="A898" s="3" t="s">
        <v>33</v>
      </c>
      <c r="B898" s="3">
        <f t="shared" si="24"/>
        <v>2005</v>
      </c>
      <c r="C898" s="3">
        <f t="shared" si="25"/>
        <v>3</v>
      </c>
      <c r="D898" s="20" t="str">
        <f t="shared" si="26"/>
        <v>NFG20053</v>
      </c>
      <c r="E898" s="2">
        <v>38440</v>
      </c>
      <c r="F898" s="3">
        <v>0.28000000000000003</v>
      </c>
      <c r="G898" s="2">
        <v>38457</v>
      </c>
      <c r="H898" s="3">
        <v>3.95E-2</v>
      </c>
      <c r="I898" s="3">
        <v>0</v>
      </c>
      <c r="J898" s="3">
        <v>0</v>
      </c>
      <c r="K898" s="3">
        <f t="shared" si="27"/>
        <v>0</v>
      </c>
      <c r="L898" s="3">
        <f t="shared" si="28"/>
        <v>2005</v>
      </c>
      <c r="M898" s="20" t="str">
        <f>A898&amp;L898</f>
        <v>NFG2005</v>
      </c>
      <c r="N898" s="3">
        <f>F898</f>
        <v>0.28000000000000003</v>
      </c>
      <c r="O898" s="9">
        <f>H898</f>
        <v>3.95E-2</v>
      </c>
      <c r="P898" s="10">
        <f t="shared" si="29"/>
        <v>0</v>
      </c>
      <c r="Q898" s="10">
        <f>IF(K898=0,IF(A895=A898,AVERAGE(O895:O898),"x"),0)</f>
        <v>3.7324999999999997E-2</v>
      </c>
      <c r="R898" s="9">
        <f>IF(L898&gt;2005,AVERAGE(O895:O914),0)</f>
        <v>0</v>
      </c>
      <c r="S898" s="10">
        <f>IF(A898=A899,(N898-N899)/N899,0)</f>
        <v>0</v>
      </c>
      <c r="T898" s="10">
        <f>IF(L898&gt;2005,(((N898-N918)/N918)+1)^(1/5)-1,0)</f>
        <v>0</v>
      </c>
      <c r="U898" s="10">
        <f t="shared" si="30"/>
        <v>0</v>
      </c>
      <c r="V898" s="26">
        <f t="shared" si="31"/>
        <v>0</v>
      </c>
      <c r="W898" s="3">
        <f>IF(A898=A899,N898-N899,0)</f>
        <v>0</v>
      </c>
      <c r="X898" s="10">
        <f>IF(A898=A899,(N898-N899)/N899,0)</f>
        <v>0</v>
      </c>
    </row>
    <row r="899" spans="1:24" ht="16.5" customHeight="1">
      <c r="A899" s="3" t="s">
        <v>33</v>
      </c>
      <c r="B899" s="3">
        <f t="shared" si="24"/>
        <v>2004</v>
      </c>
      <c r="C899" s="3">
        <f t="shared" si="25"/>
        <v>12</v>
      </c>
      <c r="D899" s="20" t="str">
        <f t="shared" si="26"/>
        <v>NFG200412</v>
      </c>
      <c r="E899" s="2">
        <v>38350</v>
      </c>
      <c r="F899" s="3">
        <v>0.28000000000000003</v>
      </c>
      <c r="G899" s="2">
        <v>38367</v>
      </c>
      <c r="H899" s="3">
        <v>3.9399999999999998E-2</v>
      </c>
      <c r="I899" s="3">
        <v>0</v>
      </c>
      <c r="J899" s="3">
        <v>0</v>
      </c>
      <c r="K899" s="3">
        <f t="shared" si="27"/>
        <v>2004</v>
      </c>
      <c r="L899" s="3">
        <f t="shared" si="28"/>
        <v>0</v>
      </c>
      <c r="M899" s="20" t="str">
        <f>A899&amp;L899</f>
        <v>NFG0</v>
      </c>
      <c r="N899" s="3">
        <f>F899</f>
        <v>0.28000000000000003</v>
      </c>
      <c r="O899" s="9">
        <f>H899</f>
        <v>3.9399999999999998E-2</v>
      </c>
      <c r="P899" s="10">
        <f t="shared" si="29"/>
        <v>0</v>
      </c>
      <c r="Q899" s="10">
        <f>IF(K899=0,IF(A896=A899,AVERAGE(O896:O899),"x"),0)</f>
        <v>0</v>
      </c>
      <c r="R899" s="9">
        <f>IF(L899&gt;2005,AVERAGE(O896:O915),0)</f>
        <v>0</v>
      </c>
      <c r="S899" s="10">
        <f>IF(A899=A900,(N899-N900)/N900,0)</f>
        <v>0</v>
      </c>
      <c r="T899" s="10">
        <f>IF(L899&gt;2005,(((N899-N919)/N919)+1)^(1/5)-1,0)</f>
        <v>0</v>
      </c>
      <c r="U899" s="10">
        <f t="shared" si="30"/>
        <v>0</v>
      </c>
      <c r="V899" s="26">
        <f t="shared" si="31"/>
        <v>0</v>
      </c>
      <c r="W899" s="3">
        <f>IF(A899=A900,N899-N900,0)</f>
        <v>0</v>
      </c>
      <c r="X899" s="10">
        <f>IF(A899=A900,(N899-N900)/N900,0)</f>
        <v>0</v>
      </c>
    </row>
    <row r="900" spans="1:24" ht="16.5" customHeight="1">
      <c r="A900" s="3" t="s">
        <v>33</v>
      </c>
      <c r="B900" s="3">
        <f t="shared" si="24"/>
        <v>2004</v>
      </c>
      <c r="C900" s="3">
        <f t="shared" si="25"/>
        <v>9</v>
      </c>
      <c r="D900" s="20" t="str">
        <f t="shared" si="26"/>
        <v>NFG20049</v>
      </c>
      <c r="E900" s="2">
        <v>38258</v>
      </c>
      <c r="F900" s="3">
        <v>0.28000000000000003</v>
      </c>
      <c r="G900" s="2">
        <v>38275</v>
      </c>
      <c r="H900" s="3">
        <v>3.9199999999999999E-2</v>
      </c>
      <c r="I900" s="3">
        <v>0</v>
      </c>
      <c r="J900" s="3">
        <v>0</v>
      </c>
      <c r="K900" s="3">
        <f t="shared" si="27"/>
        <v>2004</v>
      </c>
      <c r="L900" s="3">
        <f t="shared" si="28"/>
        <v>0</v>
      </c>
      <c r="M900" s="20" t="str">
        <f>A900&amp;L900</f>
        <v>NFG0</v>
      </c>
      <c r="N900" s="3">
        <f>F900</f>
        <v>0.28000000000000003</v>
      </c>
      <c r="O900" s="9">
        <f>H900</f>
        <v>3.9199999999999999E-2</v>
      </c>
      <c r="P900" s="10">
        <f t="shared" si="29"/>
        <v>0</v>
      </c>
      <c r="Q900" s="10">
        <f>IF(K900=0,IF(A897=A900,AVERAGE(O897:O900),"x"),0)</f>
        <v>0</v>
      </c>
      <c r="R900" s="9">
        <f>IF(L900&gt;2005,AVERAGE(O897:O916),0)</f>
        <v>0</v>
      </c>
      <c r="S900" s="10">
        <f>IF(A900=A901,(N900-N901)/N901,0)</f>
        <v>0</v>
      </c>
      <c r="T900" s="10">
        <f>IF(L900&gt;2005,(((N900-N920)/N920)+1)^(1/5)-1,0)</f>
        <v>0</v>
      </c>
      <c r="U900" s="10">
        <f t="shared" si="30"/>
        <v>0</v>
      </c>
      <c r="V900" s="26">
        <f t="shared" si="31"/>
        <v>0</v>
      </c>
      <c r="W900" s="3">
        <f>IF(A900=A901,N900-N901,0)</f>
        <v>0</v>
      </c>
      <c r="X900" s="10">
        <f>IF(A900=A901,(N900-N901)/N901,0)</f>
        <v>0</v>
      </c>
    </row>
    <row r="901" spans="1:24" ht="16.5" customHeight="1">
      <c r="A901" s="3" t="s">
        <v>33</v>
      </c>
      <c r="B901" s="3">
        <f t="shared" si="24"/>
        <v>2004</v>
      </c>
      <c r="C901" s="3">
        <f t="shared" si="25"/>
        <v>6</v>
      </c>
      <c r="D901" s="20" t="str">
        <f t="shared" si="26"/>
        <v>NFG20046</v>
      </c>
      <c r="E901" s="2">
        <v>38166</v>
      </c>
      <c r="F901" s="3">
        <v>0.28000000000000003</v>
      </c>
      <c r="G901" s="2">
        <v>38183</v>
      </c>
      <c r="H901" s="3">
        <v>4.36E-2</v>
      </c>
      <c r="I901" s="3">
        <v>3.7037037000000002E-2</v>
      </c>
      <c r="J901" s="3">
        <v>0.01</v>
      </c>
      <c r="K901" s="3">
        <f t="shared" si="27"/>
        <v>2004</v>
      </c>
      <c r="L901" s="3">
        <f t="shared" si="28"/>
        <v>0</v>
      </c>
      <c r="M901" s="20" t="str">
        <f>A901&amp;L901</f>
        <v>NFG0</v>
      </c>
      <c r="N901" s="3">
        <f>F901</f>
        <v>0.28000000000000003</v>
      </c>
      <c r="O901" s="9">
        <f>H901</f>
        <v>4.36E-2</v>
      </c>
      <c r="P901" s="10">
        <f t="shared" si="29"/>
        <v>4.4250000000000005E-2</v>
      </c>
      <c r="Q901" s="10">
        <f>IF(K901=0,IF(A898=A901,AVERAGE(O898:O901),"x"),0)</f>
        <v>0</v>
      </c>
      <c r="R901" s="9">
        <f>IF(L901&gt;2005,AVERAGE(O898:O917),0)</f>
        <v>0</v>
      </c>
      <c r="S901" s="10">
        <f>IF(A901=A902,(N901-N902)/N902,0)</f>
        <v>3.703703703703707E-2</v>
      </c>
      <c r="T901" s="10">
        <f>IF(L901&gt;2005,(((N901-N921)/N921)+1)^(1/5)-1,0)</f>
        <v>0</v>
      </c>
      <c r="U901" s="10">
        <f t="shared" si="30"/>
        <v>0</v>
      </c>
      <c r="V901" s="26">
        <f t="shared" si="31"/>
        <v>0</v>
      </c>
      <c r="W901" s="3">
        <f>IF(A901=A902,N901-N902,0)</f>
        <v>1.0000000000000009E-2</v>
      </c>
      <c r="X901" s="10">
        <f>IF(A901=A902,(N901-N902)/N902,0)</f>
        <v>3.703703703703707E-2</v>
      </c>
    </row>
    <row r="902" spans="1:24" ht="16.5" customHeight="1">
      <c r="A902" s="3" t="s">
        <v>33</v>
      </c>
      <c r="B902" s="3">
        <f t="shared" si="24"/>
        <v>2004</v>
      </c>
      <c r="C902" s="3">
        <f t="shared" si="25"/>
        <v>3</v>
      </c>
      <c r="D902" s="20" t="str">
        <f t="shared" si="26"/>
        <v>NFG20043</v>
      </c>
      <c r="E902" s="2">
        <v>38075</v>
      </c>
      <c r="F902" s="3">
        <v>0.27</v>
      </c>
      <c r="G902" s="2">
        <v>38092</v>
      </c>
      <c r="H902" s="3">
        <v>4.4200000000000003E-2</v>
      </c>
      <c r="I902" s="3">
        <v>0</v>
      </c>
      <c r="J902" s="3">
        <v>0</v>
      </c>
      <c r="K902" s="3">
        <f t="shared" si="27"/>
        <v>0</v>
      </c>
      <c r="L902" s="3">
        <f t="shared" si="28"/>
        <v>2004</v>
      </c>
      <c r="M902" s="20" t="str">
        <f>A902&amp;L902</f>
        <v>NFG2004</v>
      </c>
      <c r="N902" s="3">
        <f>F902</f>
        <v>0.27</v>
      </c>
      <c r="O902" s="9">
        <f>H902</f>
        <v>4.4200000000000003E-2</v>
      </c>
      <c r="P902" s="10">
        <f t="shared" si="29"/>
        <v>0</v>
      </c>
      <c r="Q902" s="10">
        <f>IF(K902=0,IF(A899=A902,AVERAGE(O899:O902),"x"),0)</f>
        <v>4.1599999999999998E-2</v>
      </c>
      <c r="R902" s="9">
        <f>IF(L902&gt;2005,AVERAGE(O899:O918),0)</f>
        <v>0</v>
      </c>
      <c r="S902" s="10">
        <f>IF(A902=A903,(N902-N903)/N903,0)</f>
        <v>0</v>
      </c>
      <c r="T902" s="10">
        <f>IF(L902&gt;2005,(((N902-N922)/N922)+1)^(1/5)-1,0)</f>
        <v>0</v>
      </c>
      <c r="U902" s="10">
        <f t="shared" si="30"/>
        <v>0</v>
      </c>
      <c r="V902" s="26">
        <f t="shared" si="31"/>
        <v>0</v>
      </c>
      <c r="W902" s="3">
        <f>IF(A902=A903,N902-N903,0)</f>
        <v>0</v>
      </c>
      <c r="X902" s="10">
        <f>IF(A902=A903,(N902-N903)/N903,0)</f>
        <v>0</v>
      </c>
    </row>
    <row r="903" spans="1:24" ht="16.5" customHeight="1">
      <c r="A903" s="3" t="s">
        <v>33</v>
      </c>
      <c r="B903" s="3">
        <f t="shared" si="24"/>
        <v>2003</v>
      </c>
      <c r="C903" s="3">
        <f t="shared" si="25"/>
        <v>12</v>
      </c>
      <c r="D903" s="20" t="str">
        <f t="shared" si="26"/>
        <v>NFG200312</v>
      </c>
      <c r="E903" s="2">
        <v>37984</v>
      </c>
      <c r="F903" s="3">
        <v>0.27</v>
      </c>
      <c r="G903" s="2">
        <v>38001</v>
      </c>
      <c r="H903" s="3">
        <v>4.3400000000000001E-2</v>
      </c>
      <c r="I903" s="3">
        <v>0</v>
      </c>
      <c r="J903" s="3">
        <v>0</v>
      </c>
      <c r="K903" s="3">
        <f t="shared" si="27"/>
        <v>2003</v>
      </c>
      <c r="L903" s="3">
        <f t="shared" si="28"/>
        <v>0</v>
      </c>
      <c r="M903" s="20" t="str">
        <f>A903&amp;L903</f>
        <v>NFG0</v>
      </c>
      <c r="N903" s="3">
        <f>F903</f>
        <v>0.27</v>
      </c>
      <c r="O903" s="9">
        <f>H903</f>
        <v>4.3400000000000001E-2</v>
      </c>
      <c r="P903" s="10">
        <f t="shared" si="29"/>
        <v>0</v>
      </c>
      <c r="Q903" s="10">
        <f>IF(K903=0,IF(A900=A903,AVERAGE(O900:O903),"x"),0)</f>
        <v>0</v>
      </c>
      <c r="R903" s="9">
        <f>IF(L903&gt;2005,AVERAGE(O900:O919),0)</f>
        <v>0</v>
      </c>
      <c r="S903" s="10">
        <f>IF(A903=A904,(N903-N904)/N904,0)</f>
        <v>0</v>
      </c>
      <c r="T903" s="10">
        <f>IF(L903&gt;2005,(((N903-N923)/N923)+1)^(1/5)-1,0)</f>
        <v>0</v>
      </c>
      <c r="U903" s="10">
        <f t="shared" si="30"/>
        <v>0</v>
      </c>
      <c r="V903" s="26">
        <f t="shared" si="31"/>
        <v>0</v>
      </c>
      <c r="W903" s="3">
        <f>IF(A903=A904,N903-N904,0)</f>
        <v>0</v>
      </c>
      <c r="X903" s="10">
        <f>IF(A903=A904,(N903-N904)/N904,0)</f>
        <v>0</v>
      </c>
    </row>
    <row r="904" spans="1:24" ht="16.5" customHeight="1">
      <c r="A904" s="3" t="s">
        <v>33</v>
      </c>
      <c r="B904" s="3">
        <f t="shared" si="24"/>
        <v>2003</v>
      </c>
      <c r="C904" s="3">
        <f t="shared" si="25"/>
        <v>9</v>
      </c>
      <c r="D904" s="20" t="str">
        <f t="shared" si="26"/>
        <v>NFG20039</v>
      </c>
      <c r="E904" s="2">
        <v>37890</v>
      </c>
      <c r="F904" s="3">
        <v>0.27</v>
      </c>
      <c r="G904" s="2">
        <v>37909</v>
      </c>
      <c r="H904" s="3">
        <v>4.58E-2</v>
      </c>
      <c r="I904" s="3">
        <v>0</v>
      </c>
      <c r="J904" s="3">
        <v>0</v>
      </c>
      <c r="K904" s="3">
        <f t="shared" si="27"/>
        <v>2003</v>
      </c>
      <c r="L904" s="3">
        <f t="shared" si="28"/>
        <v>0</v>
      </c>
      <c r="M904" s="20" t="str">
        <f>A904&amp;L904</f>
        <v>NFG0</v>
      </c>
      <c r="N904" s="3">
        <f>F904</f>
        <v>0.27</v>
      </c>
      <c r="O904" s="9">
        <f>H904</f>
        <v>4.58E-2</v>
      </c>
      <c r="P904" s="10">
        <f t="shared" si="29"/>
        <v>0</v>
      </c>
      <c r="Q904" s="10">
        <f>IF(K904=0,IF(A901=A904,AVERAGE(O901:O904),"x"),0)</f>
        <v>0</v>
      </c>
      <c r="R904" s="9">
        <f>IF(L904&gt;2005,AVERAGE(O901:O920),0)</f>
        <v>0</v>
      </c>
      <c r="S904" s="10">
        <f>IF(A904=A905,(N904-N905)/N905,0)</f>
        <v>0</v>
      </c>
      <c r="T904" s="10">
        <f>IF(L904&gt;2005,(((N904-N924)/N924)+1)^(1/5)-1,0)</f>
        <v>0</v>
      </c>
      <c r="U904" s="10">
        <f t="shared" si="30"/>
        <v>0</v>
      </c>
      <c r="V904" s="26">
        <f t="shared" si="31"/>
        <v>0</v>
      </c>
      <c r="W904" s="3">
        <f>IF(A904=A905,N904-N905,0)</f>
        <v>0</v>
      </c>
      <c r="X904" s="10">
        <f>IF(A904=A905,(N904-N905)/N905,0)</f>
        <v>0</v>
      </c>
    </row>
    <row r="905" spans="1:24" ht="16.5" customHeight="1">
      <c r="A905" s="3" t="s">
        <v>33</v>
      </c>
      <c r="B905" s="3">
        <f t="shared" si="24"/>
        <v>2003</v>
      </c>
      <c r="C905" s="3">
        <f t="shared" si="25"/>
        <v>6</v>
      </c>
      <c r="D905" s="20" t="str">
        <f t="shared" si="26"/>
        <v>NFG20036</v>
      </c>
      <c r="E905" s="2">
        <v>37798</v>
      </c>
      <c r="F905" s="3">
        <v>0.27</v>
      </c>
      <c r="G905" s="2">
        <v>37817</v>
      </c>
      <c r="H905" s="3">
        <v>3.9899999999999998E-2</v>
      </c>
      <c r="I905" s="3">
        <v>3.8461538000000003E-2</v>
      </c>
      <c r="J905" s="3">
        <v>0.01</v>
      </c>
      <c r="K905" s="3">
        <f t="shared" si="27"/>
        <v>2003</v>
      </c>
      <c r="L905" s="3">
        <f t="shared" si="28"/>
        <v>0</v>
      </c>
      <c r="M905" s="20" t="str">
        <f>A905&amp;L905</f>
        <v>NFG0</v>
      </c>
      <c r="N905" s="3">
        <f>F905</f>
        <v>0.27</v>
      </c>
      <c r="O905" s="9">
        <f>H905</f>
        <v>3.9899999999999998E-2</v>
      </c>
      <c r="P905" s="10">
        <f t="shared" si="29"/>
        <v>4.7125E-2</v>
      </c>
      <c r="Q905" s="10">
        <f>IF(K905=0,IF(A902=A905,AVERAGE(O902:O905),"x"),0)</f>
        <v>0</v>
      </c>
      <c r="R905" s="9">
        <f>IF(L905&gt;2005,AVERAGE(O902:O921),0)</f>
        <v>0</v>
      </c>
      <c r="S905" s="10">
        <f>IF(A905=A906,(N905-N906)/N906,0)</f>
        <v>3.8461538461538491E-2</v>
      </c>
      <c r="T905" s="10">
        <f>IF(L905&gt;2005,(((N905-N925)/N925)+1)^(1/5)-1,0)</f>
        <v>0</v>
      </c>
      <c r="U905" s="10">
        <f t="shared" si="30"/>
        <v>0</v>
      </c>
      <c r="V905" s="26">
        <f t="shared" si="31"/>
        <v>0</v>
      </c>
      <c r="W905" s="3">
        <f>IF(A905=A906,N905-N906,0)</f>
        <v>1.0000000000000009E-2</v>
      </c>
      <c r="X905" s="10">
        <f>IF(A905=A906,(N905-N906)/N906,0)</f>
        <v>3.8461538461538491E-2</v>
      </c>
    </row>
    <row r="906" spans="1:24" ht="16.5" customHeight="1">
      <c r="A906" s="3" t="s">
        <v>33</v>
      </c>
      <c r="B906" s="3">
        <f t="shared" si="24"/>
        <v>2003</v>
      </c>
      <c r="C906" s="3">
        <f t="shared" si="25"/>
        <v>3</v>
      </c>
      <c r="D906" s="20" t="str">
        <f t="shared" si="26"/>
        <v>NFG20033</v>
      </c>
      <c r="E906" s="2">
        <v>37707</v>
      </c>
      <c r="F906" s="3">
        <v>0.26</v>
      </c>
      <c r="G906" s="2">
        <v>37726</v>
      </c>
      <c r="H906" s="3">
        <v>4.8500000000000001E-2</v>
      </c>
      <c r="I906" s="3">
        <v>0</v>
      </c>
      <c r="J906" s="3">
        <v>0</v>
      </c>
      <c r="K906" s="3">
        <f t="shared" si="27"/>
        <v>0</v>
      </c>
      <c r="L906" s="3">
        <f t="shared" si="28"/>
        <v>2003</v>
      </c>
      <c r="M906" s="20" t="str">
        <f>A906&amp;L906</f>
        <v>NFG2003</v>
      </c>
      <c r="N906" s="3">
        <f>F906</f>
        <v>0.26</v>
      </c>
      <c r="O906" s="9">
        <f>H906</f>
        <v>4.8500000000000001E-2</v>
      </c>
      <c r="P906" s="10">
        <f t="shared" si="29"/>
        <v>0</v>
      </c>
      <c r="Q906" s="10">
        <f>IF(K906=0,IF(A903=A906,AVERAGE(O903:O906),"x"),0)</f>
        <v>4.4399999999999995E-2</v>
      </c>
      <c r="R906" s="9">
        <f>IF(L906&gt;2005,AVERAGE(O903:O922),0)</f>
        <v>0</v>
      </c>
      <c r="S906" s="10">
        <f>IF(A906=A907,(N906-N907)/N907,0)</f>
        <v>0</v>
      </c>
      <c r="T906" s="10">
        <f>IF(L906&gt;2005,(((N906-N926)/N926)+1)^(1/5)-1,0)</f>
        <v>0</v>
      </c>
      <c r="U906" s="10">
        <f t="shared" si="30"/>
        <v>0</v>
      </c>
      <c r="V906" s="26">
        <f t="shared" si="31"/>
        <v>0</v>
      </c>
      <c r="W906" s="3">
        <f>IF(A906=A907,N906-N907,0)</f>
        <v>0</v>
      </c>
      <c r="X906" s="10">
        <f>IF(A906=A907,(N906-N907)/N907,0)</f>
        <v>0</v>
      </c>
    </row>
    <row r="907" spans="1:24" ht="16.5" customHeight="1">
      <c r="A907" s="3" t="s">
        <v>33</v>
      </c>
      <c r="B907" s="3">
        <f t="shared" si="24"/>
        <v>2002</v>
      </c>
      <c r="C907" s="3">
        <f t="shared" si="25"/>
        <v>12</v>
      </c>
      <c r="D907" s="20" t="str">
        <f t="shared" si="26"/>
        <v>NFG200212</v>
      </c>
      <c r="E907" s="2">
        <v>37617</v>
      </c>
      <c r="F907" s="3">
        <v>0.26</v>
      </c>
      <c r="G907" s="2">
        <v>37636</v>
      </c>
      <c r="H907" s="3">
        <v>4.8800000000000003E-2</v>
      </c>
      <c r="I907" s="3">
        <v>0</v>
      </c>
      <c r="J907" s="3">
        <v>0</v>
      </c>
      <c r="K907" s="3">
        <f t="shared" si="27"/>
        <v>2002</v>
      </c>
      <c r="L907" s="3">
        <f t="shared" si="28"/>
        <v>0</v>
      </c>
      <c r="M907" s="20" t="str">
        <f>A907&amp;L907</f>
        <v>NFG0</v>
      </c>
      <c r="N907" s="3">
        <f>F907</f>
        <v>0.26</v>
      </c>
      <c r="O907" s="9">
        <f>H907</f>
        <v>4.8800000000000003E-2</v>
      </c>
      <c r="P907" s="10">
        <f t="shared" si="29"/>
        <v>0</v>
      </c>
      <c r="Q907" s="10">
        <f>IF(K907=0,IF(A904=A907,AVERAGE(O904:O907),"x"),0)</f>
        <v>0</v>
      </c>
      <c r="R907" s="9">
        <f>IF(L907&gt;2005,AVERAGE(O904:O923),0)</f>
        <v>0</v>
      </c>
      <c r="S907" s="10">
        <f>IF(A907=A908,(N907-N908)/N908,0)</f>
        <v>0</v>
      </c>
      <c r="T907" s="10">
        <f>IF(L907&gt;2005,(((N907-N927)/N927)+1)^(1/5)-1,0)</f>
        <v>0</v>
      </c>
      <c r="U907" s="10">
        <f t="shared" si="30"/>
        <v>0</v>
      </c>
      <c r="V907" s="26">
        <f t="shared" si="31"/>
        <v>0</v>
      </c>
      <c r="W907" s="3">
        <f>IF(A907=A908,N907-N908,0)</f>
        <v>0</v>
      </c>
      <c r="X907" s="10">
        <f>IF(A907=A908,(N907-N908)/N908,0)</f>
        <v>0</v>
      </c>
    </row>
    <row r="908" spans="1:24" ht="16.5" customHeight="1">
      <c r="A908" s="3" t="s">
        <v>33</v>
      </c>
      <c r="B908" s="3">
        <f t="shared" si="24"/>
        <v>2002</v>
      </c>
      <c r="C908" s="3">
        <f t="shared" si="25"/>
        <v>9</v>
      </c>
      <c r="D908" s="20" t="str">
        <f t="shared" si="26"/>
        <v>NFG20029</v>
      </c>
      <c r="E908" s="2">
        <v>37525</v>
      </c>
      <c r="F908" s="3">
        <v>0.26</v>
      </c>
      <c r="G908" s="2">
        <v>37544</v>
      </c>
      <c r="H908" s="3">
        <v>5.1299999999999998E-2</v>
      </c>
      <c r="I908" s="3">
        <v>0</v>
      </c>
      <c r="J908" s="3">
        <v>0</v>
      </c>
      <c r="K908" s="3">
        <f t="shared" si="27"/>
        <v>2002</v>
      </c>
      <c r="L908" s="3">
        <f t="shared" si="28"/>
        <v>0</v>
      </c>
      <c r="M908" s="20" t="str">
        <f>A908&amp;L908</f>
        <v>NFG0</v>
      </c>
      <c r="N908" s="3">
        <f>F908</f>
        <v>0.26</v>
      </c>
      <c r="O908" s="9">
        <f>H908</f>
        <v>5.1299999999999998E-2</v>
      </c>
      <c r="P908" s="10">
        <f t="shared" si="29"/>
        <v>0</v>
      </c>
      <c r="Q908" s="10">
        <f>IF(K908=0,IF(A905=A908,AVERAGE(O905:O908),"x"),0)</f>
        <v>0</v>
      </c>
      <c r="R908" s="9">
        <f>IF(L908&gt;2005,AVERAGE(O905:O924),0)</f>
        <v>0</v>
      </c>
      <c r="S908" s="10">
        <f>IF(A908=A909,(N908-N909)/N909,0)</f>
        <v>0</v>
      </c>
      <c r="T908" s="10">
        <f>IF(L908&gt;2005,(((N908-N928)/N928)+1)^(1/5)-1,0)</f>
        <v>0</v>
      </c>
      <c r="U908" s="10">
        <f t="shared" si="30"/>
        <v>0</v>
      </c>
      <c r="V908" s="26">
        <f t="shared" si="31"/>
        <v>0</v>
      </c>
      <c r="W908" s="3">
        <f>IF(A908=A909,N908-N909,0)</f>
        <v>0</v>
      </c>
      <c r="X908" s="10">
        <f>IF(A908=A909,(N908-N909)/N909,0)</f>
        <v>0</v>
      </c>
    </row>
    <row r="909" spans="1:24" ht="16.5" customHeight="1">
      <c r="A909" s="3" t="s">
        <v>33</v>
      </c>
      <c r="B909" s="3">
        <f t="shared" si="24"/>
        <v>2002</v>
      </c>
      <c r="C909" s="3">
        <f t="shared" si="25"/>
        <v>6</v>
      </c>
      <c r="D909" s="20" t="str">
        <f t="shared" si="26"/>
        <v>NFG20026</v>
      </c>
      <c r="E909" s="2">
        <v>37433</v>
      </c>
      <c r="F909" s="3">
        <v>0.26</v>
      </c>
      <c r="G909" s="2">
        <v>37452</v>
      </c>
      <c r="H909" s="3">
        <v>4.5600000000000002E-2</v>
      </c>
      <c r="I909" s="3">
        <v>2.9702969999999999E-2</v>
      </c>
      <c r="J909" s="3">
        <v>7.4999999999999997E-3</v>
      </c>
      <c r="K909" s="3">
        <f t="shared" si="27"/>
        <v>2002</v>
      </c>
      <c r="L909" s="3">
        <f t="shared" si="28"/>
        <v>0</v>
      </c>
      <c r="M909" s="20" t="str">
        <f>A909&amp;L909</f>
        <v>NFG0</v>
      </c>
      <c r="N909" s="3">
        <f>F909</f>
        <v>0.26</v>
      </c>
      <c r="O909" s="9">
        <f>H909</f>
        <v>4.5600000000000002E-2</v>
      </c>
      <c r="P909" s="10">
        <f t="shared" si="29"/>
        <v>4.2825000000000002E-2</v>
      </c>
      <c r="Q909" s="10">
        <f>IF(K909=0,IF(A906=A909,AVERAGE(O906:O909),"x"),0)</f>
        <v>0</v>
      </c>
      <c r="R909" s="9">
        <f>IF(L909&gt;2005,AVERAGE(O906:O925),0)</f>
        <v>0</v>
      </c>
      <c r="S909" s="10">
        <f>IF(A909=A910,(N909-N910)/N910,0)</f>
        <v>2.9702970297029729E-2</v>
      </c>
      <c r="T909" s="10">
        <f>IF(L909&gt;2005,(((N909-N929)/N929)+1)^(1/5)-1,0)</f>
        <v>0</v>
      </c>
      <c r="U909" s="10">
        <f t="shared" si="30"/>
        <v>0</v>
      </c>
      <c r="V909" s="26">
        <f t="shared" si="31"/>
        <v>0</v>
      </c>
      <c r="W909" s="3">
        <f>IF(A909=A910,N909-N910,0)</f>
        <v>7.5000000000000067E-3</v>
      </c>
      <c r="X909" s="10">
        <f>IF(A909=A910,(N909-N910)/N910,0)</f>
        <v>2.9702970297029729E-2</v>
      </c>
    </row>
    <row r="910" spans="1:24" ht="16.5" customHeight="1">
      <c r="A910" s="3" t="s">
        <v>33</v>
      </c>
      <c r="B910" s="3">
        <f t="shared" si="24"/>
        <v>2002</v>
      </c>
      <c r="C910" s="3">
        <f t="shared" si="25"/>
        <v>3</v>
      </c>
      <c r="D910" s="20" t="str">
        <f t="shared" si="26"/>
        <v>NFG20023</v>
      </c>
      <c r="E910" s="2">
        <v>37341</v>
      </c>
      <c r="F910" s="3">
        <v>0.2525</v>
      </c>
      <c r="G910" s="2">
        <v>37361</v>
      </c>
      <c r="H910" s="3">
        <v>4.1799999999999997E-2</v>
      </c>
      <c r="I910" s="3">
        <v>0</v>
      </c>
      <c r="J910" s="3">
        <v>0</v>
      </c>
      <c r="K910" s="3">
        <f t="shared" si="27"/>
        <v>0</v>
      </c>
      <c r="L910" s="3">
        <f t="shared" si="28"/>
        <v>2002</v>
      </c>
      <c r="M910" s="20" t="str">
        <f>A910&amp;L910</f>
        <v>NFG2002</v>
      </c>
      <c r="N910" s="3">
        <f>F910</f>
        <v>0.2525</v>
      </c>
      <c r="O910" s="9">
        <f>H910</f>
        <v>4.1799999999999997E-2</v>
      </c>
      <c r="P910" s="10">
        <f t="shared" si="29"/>
        <v>0</v>
      </c>
      <c r="Q910" s="10">
        <f>IF(K910=0,IF(A907=A910,AVERAGE(O907:O910),"x"),0)</f>
        <v>4.6875E-2</v>
      </c>
      <c r="R910" s="9">
        <f>IF(L910&gt;2005,AVERAGE(O907:O926),0)</f>
        <v>0</v>
      </c>
      <c r="S910" s="10">
        <f>IF(A910=A911,(N910-N911)/N911,0)</f>
        <v>0</v>
      </c>
      <c r="T910" s="10">
        <f>IF(L910&gt;2005,(((N910-N930)/N930)+1)^(1/5)-1,0)</f>
        <v>0</v>
      </c>
      <c r="U910" s="10">
        <f t="shared" si="30"/>
        <v>0</v>
      </c>
      <c r="V910" s="26">
        <f t="shared" si="31"/>
        <v>0</v>
      </c>
      <c r="W910" s="3">
        <f>IF(A910=A911,N910-N911,0)</f>
        <v>0</v>
      </c>
      <c r="X910" s="10">
        <f>IF(A910=A911,(N910-N911)/N911,0)</f>
        <v>0</v>
      </c>
    </row>
    <row r="911" spans="1:24" ht="16.5" customHeight="1">
      <c r="A911" s="3" t="s">
        <v>33</v>
      </c>
      <c r="B911" s="3">
        <f t="shared" si="24"/>
        <v>2001</v>
      </c>
      <c r="C911" s="3">
        <f t="shared" si="25"/>
        <v>12</v>
      </c>
      <c r="D911" s="20" t="str">
        <f t="shared" si="26"/>
        <v>NFG200112</v>
      </c>
      <c r="E911" s="2">
        <v>37252</v>
      </c>
      <c r="F911" s="3">
        <v>0.2525</v>
      </c>
      <c r="G911" s="2">
        <v>37271</v>
      </c>
      <c r="H911" s="3">
        <v>4.07E-2</v>
      </c>
      <c r="I911" s="3">
        <v>0</v>
      </c>
      <c r="J911" s="3">
        <v>0</v>
      </c>
      <c r="K911" s="3">
        <f t="shared" si="27"/>
        <v>2001</v>
      </c>
      <c r="L911" s="3">
        <f t="shared" si="28"/>
        <v>0</v>
      </c>
      <c r="M911" s="20" t="str">
        <f>A911&amp;L911</f>
        <v>NFG0</v>
      </c>
      <c r="N911" s="3">
        <f>F911</f>
        <v>0.2525</v>
      </c>
      <c r="O911" s="9">
        <f>H911</f>
        <v>4.07E-2</v>
      </c>
      <c r="P911" s="10">
        <f t="shared" si="29"/>
        <v>0</v>
      </c>
      <c r="Q911" s="10">
        <f>IF(K911=0,IF(A908=A911,AVERAGE(O908:O911),"x"),0)</f>
        <v>0</v>
      </c>
      <c r="R911" s="9">
        <f>IF(L911&gt;2005,AVERAGE(O908:O927),0)</f>
        <v>0</v>
      </c>
      <c r="S911" s="10">
        <f>IF(A911=A912,(N911-N912)/N912,0)</f>
        <v>0</v>
      </c>
      <c r="T911" s="10">
        <f>IF(L911&gt;2005,(((N911-N931)/N931)+1)^(1/5)-1,0)</f>
        <v>0</v>
      </c>
      <c r="U911" s="10">
        <f t="shared" si="30"/>
        <v>0</v>
      </c>
      <c r="V911" s="26">
        <f t="shared" si="31"/>
        <v>0</v>
      </c>
      <c r="W911" s="3">
        <f>IF(A911=A912,N911-N912,0)</f>
        <v>0</v>
      </c>
      <c r="X911" s="10">
        <f>IF(A911=A912,(N911-N912)/N912,0)</f>
        <v>0</v>
      </c>
    </row>
    <row r="912" spans="1:24" ht="16.5" customHeight="1">
      <c r="A912" s="3" t="s">
        <v>33</v>
      </c>
      <c r="B912" s="3">
        <f t="shared" si="24"/>
        <v>2001</v>
      </c>
      <c r="C912" s="3">
        <f t="shared" si="25"/>
        <v>9</v>
      </c>
      <c r="D912" s="20" t="str">
        <f t="shared" si="26"/>
        <v>NFG20019</v>
      </c>
      <c r="E912" s="2">
        <v>37160</v>
      </c>
      <c r="F912" s="3">
        <v>0.2525</v>
      </c>
      <c r="G912" s="2">
        <v>37179</v>
      </c>
      <c r="H912" s="3">
        <v>4.3200000000000002E-2</v>
      </c>
      <c r="I912" s="3">
        <v>-0.5</v>
      </c>
      <c r="J912" s="3">
        <v>-0.2525</v>
      </c>
      <c r="K912" s="3">
        <f t="shared" si="27"/>
        <v>2001</v>
      </c>
      <c r="L912" s="3">
        <f t="shared" si="28"/>
        <v>0</v>
      </c>
      <c r="M912" s="20" t="str">
        <f>A912&amp;L912</f>
        <v>NFG0</v>
      </c>
      <c r="N912" s="3">
        <f>F912</f>
        <v>0.2525</v>
      </c>
      <c r="O912" s="9">
        <f>H912</f>
        <v>4.3200000000000002E-2</v>
      </c>
      <c r="P912" s="10">
        <f t="shared" si="29"/>
        <v>0</v>
      </c>
      <c r="Q912" s="10">
        <f>IF(K912=0,IF(A909=A912,AVERAGE(O909:O912),"x"),0)</f>
        <v>0</v>
      </c>
      <c r="R912" s="9">
        <f>IF(L912&gt;2005,AVERAGE(O909:O928),0)</f>
        <v>0</v>
      </c>
      <c r="S912" s="10">
        <f>IF(A912=A913,(N912-N913)/N913,0)</f>
        <v>0</v>
      </c>
      <c r="T912" s="10">
        <f>IF(L912&gt;2005,(((N912-N932)/N932)+1)^(1/5)-1,0)</f>
        <v>0</v>
      </c>
      <c r="U912" s="10">
        <f t="shared" si="30"/>
        <v>0</v>
      </c>
      <c r="V912" s="26">
        <f t="shared" si="31"/>
        <v>0</v>
      </c>
      <c r="W912" s="3">
        <f>IF(A912=A913,N912-N913,0)</f>
        <v>0</v>
      </c>
      <c r="X912" s="10">
        <f>IF(A912=A913,(N912-N913)/N913,0)</f>
        <v>0</v>
      </c>
    </row>
    <row r="913" spans="1:24" ht="16.5" customHeight="1">
      <c r="A913" s="3" t="s">
        <v>33</v>
      </c>
      <c r="B913" s="3">
        <f t="shared" si="24"/>
        <v>2001</v>
      </c>
      <c r="C913" s="3">
        <f t="shared" si="25"/>
        <v>6</v>
      </c>
      <c r="D913" s="20" t="str">
        <f t="shared" si="26"/>
        <v>NFG20016</v>
      </c>
      <c r="E913" s="2">
        <v>37069</v>
      </c>
      <c r="F913" s="3">
        <v>0.505</v>
      </c>
      <c r="G913" s="2">
        <v>37088</v>
      </c>
      <c r="H913" s="3">
        <v>3.6600000000000001E-2</v>
      </c>
      <c r="I913" s="3">
        <v>5.2083333000000002E-2</v>
      </c>
      <c r="J913" s="3">
        <v>2.5000000000000001E-2</v>
      </c>
      <c r="K913" s="3">
        <f t="shared" si="27"/>
        <v>2001</v>
      </c>
      <c r="L913" s="3">
        <f t="shared" si="28"/>
        <v>0</v>
      </c>
      <c r="M913" s="20" t="str">
        <f>A913&amp;L913</f>
        <v>NFG0</v>
      </c>
      <c r="N913" s="3">
        <f>F913/2</f>
        <v>0.2525</v>
      </c>
      <c r="O913" s="9">
        <f>H913</f>
        <v>3.6600000000000001E-2</v>
      </c>
      <c r="P913" s="10">
        <f t="shared" si="29"/>
        <v>3.4050000000000004E-2</v>
      </c>
      <c r="Q913" s="10">
        <f>IF(K913=0,IF(A910=A913,AVERAGE(O910:O913),"x"),0)</f>
        <v>0</v>
      </c>
      <c r="R913" s="9">
        <f>IF(L913&gt;2005,AVERAGE(O910:O929),0)</f>
        <v>0</v>
      </c>
      <c r="S913" s="10">
        <f>IF(A913=A914,(N913-N914)/N914,0)</f>
        <v>5.2083333333333384E-2</v>
      </c>
      <c r="T913" s="10">
        <f>IF(L913&gt;2005,(((N913-N933)/N933)+1)^(1/5)-1,0)</f>
        <v>0</v>
      </c>
      <c r="U913" s="10">
        <f t="shared" si="30"/>
        <v>0</v>
      </c>
      <c r="V913" s="26">
        <f t="shared" si="31"/>
        <v>0</v>
      </c>
      <c r="W913" s="3">
        <f>IF(A913=A914,N913-N914,0)</f>
        <v>1.2500000000000011E-2</v>
      </c>
      <c r="X913" s="10">
        <f>IF(A913=A914,(N913-N914)/N914,0)</f>
        <v>5.2083333333333384E-2</v>
      </c>
    </row>
    <row r="914" spans="1:24" ht="16.5" customHeight="1">
      <c r="A914" s="3" t="s">
        <v>33</v>
      </c>
      <c r="B914" s="3">
        <f t="shared" si="24"/>
        <v>2001</v>
      </c>
      <c r="C914" s="3">
        <f t="shared" si="25"/>
        <v>3</v>
      </c>
      <c r="D914" s="20" t="str">
        <f t="shared" si="26"/>
        <v>NFG20013</v>
      </c>
      <c r="E914" s="2">
        <v>36978</v>
      </c>
      <c r="F914" s="3">
        <v>0.48</v>
      </c>
      <c r="G914" s="2">
        <v>36997</v>
      </c>
      <c r="H914" s="3">
        <v>3.5900000000000001E-2</v>
      </c>
      <c r="I914" s="3">
        <v>0</v>
      </c>
      <c r="J914" s="3">
        <v>0</v>
      </c>
      <c r="K914" s="3">
        <f t="shared" si="27"/>
        <v>0</v>
      </c>
      <c r="L914" s="3">
        <f t="shared" si="28"/>
        <v>2001</v>
      </c>
      <c r="M914" s="20" t="str">
        <f>A914&amp;L914</f>
        <v>NFG2001</v>
      </c>
      <c r="N914" s="3">
        <f>F914/2</f>
        <v>0.24</v>
      </c>
      <c r="O914" s="9">
        <f>H914</f>
        <v>3.5900000000000001E-2</v>
      </c>
      <c r="P914" s="10">
        <f t="shared" si="29"/>
        <v>0</v>
      </c>
      <c r="Q914" s="10">
        <f>IF(K914=0,IF(A911=A914,AVERAGE(O911:O914),"x"),0)</f>
        <v>3.9099999999999996E-2</v>
      </c>
      <c r="R914" s="9">
        <f>IF(L914&gt;2005,AVERAGE(O911:O930),0)</f>
        <v>0</v>
      </c>
      <c r="S914" s="10">
        <f>IF(A914=A915,(N914-N915)/N915,0)</f>
        <v>0</v>
      </c>
      <c r="T914" s="10">
        <f>IF(L914&gt;2005,(((N914-N934)/N934)+1)^(1/5)-1,0)</f>
        <v>0</v>
      </c>
      <c r="U914" s="10">
        <f t="shared" si="30"/>
        <v>0</v>
      </c>
      <c r="V914" s="26">
        <f t="shared" si="31"/>
        <v>0</v>
      </c>
      <c r="W914" s="3">
        <f>IF(A914=A915,N914-N915,0)</f>
        <v>0</v>
      </c>
      <c r="X914" s="10">
        <f>IF(A914=A915,(N914-N915)/N915,0)</f>
        <v>0</v>
      </c>
    </row>
    <row r="915" spans="1:24" ht="16.5" customHeight="1">
      <c r="A915" s="3" t="s">
        <v>33</v>
      </c>
      <c r="B915" s="3">
        <f t="shared" si="24"/>
        <v>2000</v>
      </c>
      <c r="C915" s="3">
        <f t="shared" si="25"/>
        <v>12</v>
      </c>
      <c r="D915" s="20" t="str">
        <f t="shared" si="26"/>
        <v>NFG200012</v>
      </c>
      <c r="E915" s="2">
        <v>36887</v>
      </c>
      <c r="F915" s="3">
        <v>0.48</v>
      </c>
      <c r="G915" s="2">
        <v>36906</v>
      </c>
      <c r="H915" s="3">
        <v>3.0200000000000001E-2</v>
      </c>
      <c r="I915" s="3">
        <v>0</v>
      </c>
      <c r="J915" s="3">
        <v>0</v>
      </c>
      <c r="K915" s="3">
        <f t="shared" si="27"/>
        <v>2000</v>
      </c>
      <c r="L915" s="3">
        <f t="shared" si="28"/>
        <v>0</v>
      </c>
      <c r="M915" s="20" t="str">
        <f>A915&amp;L915</f>
        <v>NFG0</v>
      </c>
      <c r="N915" s="3">
        <f>F915/2</f>
        <v>0.24</v>
      </c>
      <c r="O915" s="9">
        <f>H915</f>
        <v>3.0200000000000001E-2</v>
      </c>
      <c r="P915" s="10">
        <f t="shared" si="29"/>
        <v>0</v>
      </c>
      <c r="Q915" s="10">
        <f>IF(K915=0,IF(A912=A915,AVERAGE(O912:O915),"x"),0)</f>
        <v>0</v>
      </c>
      <c r="R915" s="9">
        <f>IF(L915&gt;2005,AVERAGE(O912:O931),0)</f>
        <v>0</v>
      </c>
      <c r="S915" s="10">
        <f>IF(A915=A916,(N915-N916)/N916,0)</f>
        <v>0</v>
      </c>
      <c r="T915" s="10">
        <f>IF(L915&gt;2005,(((N915-N935)/N935)+1)^(1/5)-1,0)</f>
        <v>0</v>
      </c>
      <c r="U915" s="10">
        <f t="shared" si="30"/>
        <v>0</v>
      </c>
      <c r="V915" s="26">
        <f t="shared" si="31"/>
        <v>0</v>
      </c>
      <c r="W915" s="3">
        <f>IF(A915=A916,N915-N916,0)</f>
        <v>0</v>
      </c>
      <c r="X915" s="10">
        <f>IF(A915=A916,(N915-N916)/N916,0)</f>
        <v>0</v>
      </c>
    </row>
    <row r="916" spans="1:24" ht="16.5" customHeight="1">
      <c r="A916" s="3" t="s">
        <v>33</v>
      </c>
      <c r="B916" s="3">
        <f t="shared" si="24"/>
        <v>2000</v>
      </c>
      <c r="C916" s="3">
        <f t="shared" si="25"/>
        <v>9</v>
      </c>
      <c r="D916" s="20" t="str">
        <f t="shared" si="26"/>
        <v>NFG20009</v>
      </c>
      <c r="E916" s="2">
        <v>36796</v>
      </c>
      <c r="F916" s="3">
        <v>0.48</v>
      </c>
      <c r="G916" s="2">
        <v>36812</v>
      </c>
      <c r="H916" s="3">
        <v>3.3500000000000002E-2</v>
      </c>
      <c r="I916" s="3">
        <v>0</v>
      </c>
      <c r="J916" s="3">
        <v>0</v>
      </c>
      <c r="K916" s="3">
        <f t="shared" si="27"/>
        <v>2000</v>
      </c>
      <c r="L916" s="3">
        <f t="shared" si="28"/>
        <v>0</v>
      </c>
      <c r="M916" s="20" t="str">
        <f>A916&amp;L916</f>
        <v>NFG0</v>
      </c>
      <c r="N916" s="3">
        <f>F916/2</f>
        <v>0.24</v>
      </c>
      <c r="O916" s="9">
        <f>H916</f>
        <v>3.3500000000000002E-2</v>
      </c>
      <c r="P916" s="10">
        <f t="shared" si="29"/>
        <v>0</v>
      </c>
      <c r="Q916" s="10">
        <f>IF(K916=0,IF(A913=A916,AVERAGE(O913:O916),"x"),0)</f>
        <v>0</v>
      </c>
      <c r="R916" s="9">
        <f>IF(L916&gt;2005,AVERAGE(O913:O932),0)</f>
        <v>0</v>
      </c>
      <c r="S916" s="10">
        <f>IF(A916=A917,(N916-N917)/N917,0)</f>
        <v>0</v>
      </c>
      <c r="T916" s="10">
        <f>IF(L916&gt;2005,(((N916-N936)/N936)+1)^(1/5)-1,0)</f>
        <v>0</v>
      </c>
      <c r="U916" s="10">
        <f t="shared" si="30"/>
        <v>0</v>
      </c>
      <c r="V916" s="26">
        <f t="shared" si="31"/>
        <v>0</v>
      </c>
      <c r="W916" s="3">
        <f>IF(A916=A917,N916-N917,0)</f>
        <v>0</v>
      </c>
      <c r="X916" s="10">
        <f>IF(A916=A917,(N916-N917)/N917,0)</f>
        <v>0</v>
      </c>
    </row>
    <row r="917" spans="1:24" ht="16.5" customHeight="1">
      <c r="A917" s="3" t="s">
        <v>33</v>
      </c>
      <c r="B917" s="3">
        <f t="shared" si="24"/>
        <v>2000</v>
      </c>
      <c r="C917" s="3">
        <f t="shared" si="25"/>
        <v>6</v>
      </c>
      <c r="D917" s="20" t="str">
        <f t="shared" si="26"/>
        <v>NFG20006</v>
      </c>
      <c r="E917" s="2">
        <v>36705</v>
      </c>
      <c r="F917" s="3">
        <v>0.48</v>
      </c>
      <c r="G917" s="2">
        <v>36722</v>
      </c>
      <c r="H917" s="3">
        <v>3.7900000000000003E-2</v>
      </c>
      <c r="I917" s="3">
        <v>3.2258065000000002E-2</v>
      </c>
      <c r="J917" s="3">
        <v>1.4999999999999999E-2</v>
      </c>
      <c r="K917" s="3">
        <f t="shared" si="27"/>
        <v>2000</v>
      </c>
      <c r="L917" s="3">
        <f t="shared" si="28"/>
        <v>0</v>
      </c>
      <c r="M917" s="20" t="str">
        <f>A917&amp;L917</f>
        <v>NFG0</v>
      </c>
      <c r="N917" s="3">
        <f>F917/2</f>
        <v>0.24</v>
      </c>
      <c r="O917" s="9">
        <f>H917</f>
        <v>3.7900000000000003E-2</v>
      </c>
      <c r="P917" s="10">
        <f t="shared" si="29"/>
        <v>3.2175000000000002E-2</v>
      </c>
      <c r="Q917" s="10">
        <f>IF(K917=0,IF(A914=A917,AVERAGE(O914:O917),"x"),0)</f>
        <v>0</v>
      </c>
      <c r="R917" s="9">
        <f>IF(L917&gt;2005,AVERAGE(O914:O933),0)</f>
        <v>0</v>
      </c>
      <c r="S917" s="10">
        <f>IF(A917=A918,(N917-N918)/N918,0)</f>
        <v>3.2258064516128941E-2</v>
      </c>
      <c r="T917" s="10">
        <f>IF(L917&gt;2005,(((N917-N937)/N937)+1)^(1/5)-1,0)</f>
        <v>0</v>
      </c>
      <c r="U917" s="10">
        <f t="shared" si="30"/>
        <v>0</v>
      </c>
      <c r="V917" s="26">
        <f t="shared" si="31"/>
        <v>0</v>
      </c>
      <c r="W917" s="3">
        <f>IF(A917=A918,N917-N918,0)</f>
        <v>7.4999999999999789E-3</v>
      </c>
      <c r="X917" s="10">
        <f>IF(A917=A918,(N917-N918)/N918,0)</f>
        <v>3.2258064516128941E-2</v>
      </c>
    </row>
    <row r="918" spans="1:24" ht="16.5" customHeight="1">
      <c r="A918" s="14" t="s">
        <v>33</v>
      </c>
      <c r="B918" s="3">
        <f t="shared" si="24"/>
        <v>2000</v>
      </c>
      <c r="C918" s="3">
        <f t="shared" si="25"/>
        <v>3</v>
      </c>
      <c r="D918" s="20" t="str">
        <f t="shared" si="26"/>
        <v>NFG20003</v>
      </c>
      <c r="E918" s="15">
        <v>36614</v>
      </c>
      <c r="F918" s="14">
        <v>0.46500000000000002</v>
      </c>
      <c r="G918" s="15">
        <v>36631</v>
      </c>
      <c r="H918" s="14">
        <v>4.6600000000000003E-2</v>
      </c>
      <c r="I918" s="14">
        <v>0</v>
      </c>
      <c r="J918" s="14">
        <v>0</v>
      </c>
      <c r="K918" s="3">
        <f t="shared" si="27"/>
        <v>0</v>
      </c>
      <c r="L918" s="3">
        <f t="shared" si="28"/>
        <v>2000</v>
      </c>
      <c r="M918" s="20" t="str">
        <f>A918&amp;L918</f>
        <v>NFG2000</v>
      </c>
      <c r="N918" s="14">
        <f>F918/2</f>
        <v>0.23250000000000001</v>
      </c>
      <c r="O918" s="9">
        <f>H918</f>
        <v>4.6600000000000003E-2</v>
      </c>
      <c r="P918" s="10">
        <f t="shared" si="29"/>
        <v>0</v>
      </c>
      <c r="Q918" s="10">
        <f>IF(K918=0,IF(A915=A918,AVERAGE(O915:O918),"x"),0)</f>
        <v>3.705E-2</v>
      </c>
      <c r="R918" s="9">
        <f>IF(L918&gt;2005,AVERAGE(O915:O934),0)</f>
        <v>0</v>
      </c>
      <c r="S918" s="10">
        <f>IF(A918=A919,(N918-N919)/N919,0)</f>
        <v>0</v>
      </c>
      <c r="T918" s="10">
        <f>IF(L918&gt;2005,(((N918-N938)/N938)+1)^(1/5)-1,0)</f>
        <v>0</v>
      </c>
      <c r="U918" s="10">
        <f t="shared" si="30"/>
        <v>0</v>
      </c>
      <c r="V918" s="26">
        <f t="shared" si="31"/>
        <v>0</v>
      </c>
      <c r="W918" s="3">
        <f>IF(A918=A919,N918-N919,0)</f>
        <v>0</v>
      </c>
      <c r="X918" s="10">
        <f>IF(A918=A919,(N918-N919)/N919,0)</f>
        <v>0</v>
      </c>
    </row>
    <row r="919" spans="1:24" ht="16.5" customHeight="1">
      <c r="A919" s="3" t="s">
        <v>34</v>
      </c>
      <c r="B919" s="3">
        <f t="shared" si="24"/>
        <v>2022</v>
      </c>
      <c r="C919" s="3">
        <f t="shared" si="25"/>
        <v>10</v>
      </c>
      <c r="D919" s="20" t="str">
        <f t="shared" si="26"/>
        <v>LOW202210</v>
      </c>
      <c r="E919" s="2">
        <v>44852</v>
      </c>
      <c r="F919" s="3">
        <v>1.05</v>
      </c>
      <c r="G919" s="2">
        <v>44867</v>
      </c>
      <c r="H919" s="3">
        <v>2.1600000000000001E-2</v>
      </c>
      <c r="I919" s="3">
        <v>0</v>
      </c>
      <c r="J919" s="3">
        <v>0</v>
      </c>
      <c r="K919" s="3">
        <f t="shared" si="27"/>
        <v>2022</v>
      </c>
      <c r="L919" s="3">
        <f t="shared" si="28"/>
        <v>0</v>
      </c>
      <c r="M919" s="20" t="str">
        <f>A919&amp;L919</f>
        <v>LOW0</v>
      </c>
      <c r="N919" s="3">
        <f>F919</f>
        <v>1.05</v>
      </c>
      <c r="O919" s="9">
        <f>H919</f>
        <v>2.1600000000000001E-2</v>
      </c>
      <c r="P919" s="10">
        <f t="shared" si="29"/>
        <v>0</v>
      </c>
      <c r="Q919" s="10">
        <f>IF(K919=0,IF(A916=A919,AVERAGE(O916:O919),"x"),0)</f>
        <v>0</v>
      </c>
      <c r="R919" s="9">
        <f>IF(L919&gt;2005,AVERAGE(O916:O935),0)</f>
        <v>0</v>
      </c>
      <c r="S919" s="10">
        <f>IF(A919=A920,(N919-N920)/N920,0)</f>
        <v>0</v>
      </c>
      <c r="T919" s="10">
        <f>IF(L919&gt;2005,(((N919-N939)/N939)+1)^(1/5)-1,0)</f>
        <v>0</v>
      </c>
      <c r="U919" s="10">
        <f t="shared" si="30"/>
        <v>0</v>
      </c>
      <c r="V919" s="26">
        <f t="shared" si="31"/>
        <v>0</v>
      </c>
      <c r="W919" s="3">
        <f>IF(A919=A920,N919-N920,0)</f>
        <v>0</v>
      </c>
      <c r="X919" s="10">
        <f>IF(A919=A920,(N919-N920)/N920,0)</f>
        <v>0</v>
      </c>
    </row>
    <row r="920" spans="1:24" ht="16.5" customHeight="1">
      <c r="A920" s="3" t="s">
        <v>34</v>
      </c>
      <c r="B920" s="3">
        <f t="shared" si="24"/>
        <v>2022</v>
      </c>
      <c r="C920" s="3">
        <f t="shared" si="25"/>
        <v>7</v>
      </c>
      <c r="D920" s="20" t="str">
        <f t="shared" si="26"/>
        <v>LOW20227</v>
      </c>
      <c r="E920" s="2">
        <v>44761</v>
      </c>
      <c r="F920" s="3">
        <v>1.05</v>
      </c>
      <c r="G920" s="2">
        <v>44776</v>
      </c>
      <c r="H920" s="3">
        <v>2.2599999999999999E-2</v>
      </c>
      <c r="I920" s="3">
        <v>0.3125</v>
      </c>
      <c r="J920" s="3">
        <v>0.25</v>
      </c>
      <c r="K920" s="3">
        <f t="shared" si="27"/>
        <v>2022</v>
      </c>
      <c r="L920" s="3">
        <f t="shared" si="28"/>
        <v>0</v>
      </c>
      <c r="M920" s="20" t="str">
        <f>A920&amp;L920</f>
        <v>LOW0</v>
      </c>
      <c r="N920" s="3">
        <f>F920</f>
        <v>1.05</v>
      </c>
      <c r="O920" s="9">
        <f>H920</f>
        <v>2.2599999999999999E-2</v>
      </c>
      <c r="P920" s="10">
        <f t="shared" si="29"/>
        <v>1.6549999999999999E-2</v>
      </c>
      <c r="Q920" s="10">
        <f>IF(K920=0,IF(A917=A920,AVERAGE(O917:O920),"x"),0)</f>
        <v>0</v>
      </c>
      <c r="R920" s="9">
        <f>IF(L920&gt;2005,AVERAGE(O917:O936),0)</f>
        <v>0</v>
      </c>
      <c r="S920" s="10">
        <f>IF(A920=A921,(N920-N921)/N921,0)</f>
        <v>0.3125</v>
      </c>
      <c r="T920" s="10">
        <f>IF(L920&gt;2005,(((N920-N940)/N940)+1)^(1/5)-1,0)</f>
        <v>0</v>
      </c>
      <c r="U920" s="10">
        <f t="shared" si="30"/>
        <v>0</v>
      </c>
      <c r="V920" s="26">
        <f t="shared" si="31"/>
        <v>0</v>
      </c>
      <c r="W920" s="3">
        <f>IF(A920=A921,N920-N921,0)</f>
        <v>0.25</v>
      </c>
      <c r="X920" s="10">
        <f>IF(A920=A921,(N920-N921)/N921,0)</f>
        <v>0.3125</v>
      </c>
    </row>
    <row r="921" spans="1:24" ht="16.5" customHeight="1">
      <c r="A921" s="3" t="s">
        <v>34</v>
      </c>
      <c r="B921" s="3">
        <f t="shared" si="24"/>
        <v>2022</v>
      </c>
      <c r="C921" s="3">
        <f t="shared" si="25"/>
        <v>4</v>
      </c>
      <c r="D921" s="20" t="str">
        <f t="shared" si="26"/>
        <v>LOW20224</v>
      </c>
      <c r="E921" s="2">
        <v>44670</v>
      </c>
      <c r="F921" s="3">
        <v>0.8</v>
      </c>
      <c r="G921" s="2">
        <v>44685</v>
      </c>
      <c r="H921" s="3">
        <v>1.61E-2</v>
      </c>
      <c r="I921" s="3">
        <v>0</v>
      </c>
      <c r="J921" s="3">
        <v>0</v>
      </c>
      <c r="K921" s="3">
        <f t="shared" si="27"/>
        <v>2022</v>
      </c>
      <c r="L921" s="3">
        <f t="shared" si="28"/>
        <v>0</v>
      </c>
      <c r="M921" s="20" t="str">
        <f>A921&amp;L921</f>
        <v>LOW0</v>
      </c>
      <c r="N921" s="3">
        <f>F921</f>
        <v>0.8</v>
      </c>
      <c r="O921" s="9">
        <f>H921</f>
        <v>1.61E-2</v>
      </c>
      <c r="P921" s="10">
        <f t="shared" si="29"/>
        <v>0</v>
      </c>
      <c r="Q921" s="10">
        <f>IF(K921=0,IF(A918=A921,AVERAGE(O918:O921),"x"),0)</f>
        <v>0</v>
      </c>
      <c r="R921" s="9">
        <f>IF(L921&gt;2005,AVERAGE(O918:O937),0)</f>
        <v>0</v>
      </c>
      <c r="S921" s="10">
        <f>IF(A921=A922,(N921-N922)/N922,0)</f>
        <v>0</v>
      </c>
      <c r="T921" s="10">
        <f>IF(L921&gt;2005,(((N921-N941)/N941)+1)^(1/5)-1,0)</f>
        <v>0</v>
      </c>
      <c r="U921" s="10">
        <f t="shared" si="30"/>
        <v>0</v>
      </c>
      <c r="V921" s="26">
        <f t="shared" si="31"/>
        <v>0</v>
      </c>
      <c r="W921" s="3">
        <f>IF(A921=A922,N921-N922,0)</f>
        <v>0</v>
      </c>
      <c r="X921" s="10">
        <f>IF(A921=A922,(N921-N922)/N922,0)</f>
        <v>0</v>
      </c>
    </row>
    <row r="922" spans="1:24" ht="16.5" customHeight="1">
      <c r="A922" s="3" t="s">
        <v>34</v>
      </c>
      <c r="B922" s="3">
        <f t="shared" si="24"/>
        <v>2022</v>
      </c>
      <c r="C922" s="3">
        <f t="shared" si="25"/>
        <v>1</v>
      </c>
      <c r="D922" s="20" t="str">
        <f t="shared" si="26"/>
        <v>LOW20221</v>
      </c>
      <c r="E922" s="2">
        <v>44579</v>
      </c>
      <c r="F922" s="3">
        <v>0.8</v>
      </c>
      <c r="G922" s="2">
        <v>44594</v>
      </c>
      <c r="H922" s="3">
        <v>1.3100000000000001E-2</v>
      </c>
      <c r="I922" s="3">
        <v>0</v>
      </c>
      <c r="J922" s="3">
        <v>0</v>
      </c>
      <c r="K922" s="3">
        <f t="shared" si="27"/>
        <v>0</v>
      </c>
      <c r="L922" s="3">
        <f t="shared" si="28"/>
        <v>2022</v>
      </c>
      <c r="M922" s="20" t="str">
        <f>A922&amp;L922</f>
        <v>LOW2022</v>
      </c>
      <c r="N922" s="3">
        <f>F922</f>
        <v>0.8</v>
      </c>
      <c r="O922" s="9">
        <f>H922</f>
        <v>1.3100000000000001E-2</v>
      </c>
      <c r="P922" s="10">
        <f t="shared" si="29"/>
        <v>0</v>
      </c>
      <c r="Q922" s="10">
        <f>IF(K922=0,IF(A919=A922,AVERAGE(O919:O922),"x"),0)</f>
        <v>1.8350000000000002E-2</v>
      </c>
      <c r="R922" s="9">
        <f>IF(L922&gt;2005,AVERAGE(O919:O938),0)</f>
        <v>1.7615000000000002E-2</v>
      </c>
      <c r="S922" s="10">
        <f>IF(A922=A923,(N922-N923)/N923,0)</f>
        <v>0</v>
      </c>
      <c r="T922" s="10">
        <f>IF(L922&gt;2005,(((N922-N942)/N942)+1)^(1/5)-1,0)</f>
        <v>0.17978912471277986</v>
      </c>
      <c r="U922" s="10">
        <f t="shared" si="30"/>
        <v>0.19740412471277985</v>
      </c>
      <c r="V922" s="26">
        <f t="shared" si="31"/>
        <v>4.7836159413223447</v>
      </c>
      <c r="W922" s="3">
        <f>IF(A922=A923,N922-N923,0)</f>
        <v>0</v>
      </c>
      <c r="X922" s="10">
        <f>IF(A922=A923,(N922-N923)/N923,0)</f>
        <v>0</v>
      </c>
    </row>
    <row r="923" spans="1:24" ht="16.5" customHeight="1">
      <c r="A923" s="3" t="s">
        <v>34</v>
      </c>
      <c r="B923" s="3">
        <f t="shared" si="24"/>
        <v>2021</v>
      </c>
      <c r="C923" s="3">
        <f t="shared" si="25"/>
        <v>10</v>
      </c>
      <c r="D923" s="20" t="str">
        <f t="shared" si="26"/>
        <v>LOW202110</v>
      </c>
      <c r="E923" s="2">
        <v>44488</v>
      </c>
      <c r="F923" s="3">
        <v>0.8</v>
      </c>
      <c r="G923" s="2">
        <v>44503</v>
      </c>
      <c r="H923" s="3">
        <v>1.44E-2</v>
      </c>
      <c r="I923" s="3">
        <v>0</v>
      </c>
      <c r="J923" s="3">
        <v>0</v>
      </c>
      <c r="K923" s="3">
        <f t="shared" si="27"/>
        <v>2021</v>
      </c>
      <c r="L923" s="3">
        <f t="shared" si="28"/>
        <v>0</v>
      </c>
      <c r="M923" s="20" t="str">
        <f>A923&amp;L923</f>
        <v>LOW0</v>
      </c>
      <c r="N923" s="3">
        <f>F923</f>
        <v>0.8</v>
      </c>
      <c r="O923" s="9">
        <f>H923</f>
        <v>1.44E-2</v>
      </c>
      <c r="P923" s="10">
        <f t="shared" si="29"/>
        <v>0</v>
      </c>
      <c r="Q923" s="10">
        <f>IF(K923=0,IF(A920=A923,AVERAGE(O920:O923),"x"),0)</f>
        <v>0</v>
      </c>
      <c r="R923" s="9">
        <f>IF(L923&gt;2005,AVERAGE(O920:O939),0)</f>
        <v>0</v>
      </c>
      <c r="S923" s="10">
        <f>IF(A923=A924,(N923-N924)/N924,0)</f>
        <v>0</v>
      </c>
      <c r="T923" s="10">
        <f>IF(L923&gt;2005,(((N923-N943)/N943)+1)^(1/5)-1,0)</f>
        <v>0</v>
      </c>
      <c r="U923" s="10">
        <f t="shared" si="30"/>
        <v>0</v>
      </c>
      <c r="V923" s="26">
        <f t="shared" si="31"/>
        <v>0</v>
      </c>
      <c r="W923" s="3">
        <f>IF(A923=A924,N923-N924,0)</f>
        <v>0</v>
      </c>
      <c r="X923" s="10">
        <f>IF(A923=A924,(N923-N924)/N924,0)</f>
        <v>0</v>
      </c>
    </row>
    <row r="924" spans="1:24" ht="16.5" customHeight="1">
      <c r="A924" s="3" t="s">
        <v>34</v>
      </c>
      <c r="B924" s="3">
        <f t="shared" si="24"/>
        <v>2021</v>
      </c>
      <c r="C924" s="3">
        <f t="shared" si="25"/>
        <v>7</v>
      </c>
      <c r="D924" s="20" t="str">
        <f t="shared" si="26"/>
        <v>LOW20217</v>
      </c>
      <c r="E924" s="2">
        <v>44397</v>
      </c>
      <c r="F924" s="3">
        <v>0.8</v>
      </c>
      <c r="G924" s="2">
        <v>44412</v>
      </c>
      <c r="H924" s="3">
        <v>1.66E-2</v>
      </c>
      <c r="I924" s="3">
        <v>0.33333333300000001</v>
      </c>
      <c r="J924" s="3">
        <v>0.2</v>
      </c>
      <c r="K924" s="3">
        <f t="shared" si="27"/>
        <v>2021</v>
      </c>
      <c r="L924" s="3">
        <f t="shared" si="28"/>
        <v>0</v>
      </c>
      <c r="M924" s="20" t="str">
        <f>A924&amp;L924</f>
        <v>LOW0</v>
      </c>
      <c r="N924" s="3">
        <f>F924</f>
        <v>0.8</v>
      </c>
      <c r="O924" s="9">
        <f>H924</f>
        <v>1.66E-2</v>
      </c>
      <c r="P924" s="10">
        <f t="shared" si="29"/>
        <v>1.4149999999999999E-2</v>
      </c>
      <c r="Q924" s="10">
        <f>IF(K924=0,IF(A921=A924,AVERAGE(O921:O924),"x"),0)</f>
        <v>0</v>
      </c>
      <c r="R924" s="9">
        <f>IF(L924&gt;2005,AVERAGE(O921:O940),0)</f>
        <v>0</v>
      </c>
      <c r="S924" s="10">
        <f>IF(A924=A925,(N924-N925)/N925,0)</f>
        <v>0.33333333333333348</v>
      </c>
      <c r="T924" s="10">
        <f>IF(L924&gt;2005,(((N924-N944)/N944)+1)^(1/5)-1,0)</f>
        <v>0</v>
      </c>
      <c r="U924" s="10">
        <f t="shared" si="30"/>
        <v>0</v>
      </c>
      <c r="V924" s="26">
        <f t="shared" si="31"/>
        <v>0</v>
      </c>
      <c r="W924" s="3">
        <f>IF(A924=A925,N924-N925,0)</f>
        <v>0.20000000000000007</v>
      </c>
      <c r="X924" s="10">
        <f>IF(A924=A925,(N924-N925)/N925,0)</f>
        <v>0.33333333333333348</v>
      </c>
    </row>
    <row r="925" spans="1:24" ht="16.5" customHeight="1">
      <c r="A925" s="3" t="s">
        <v>34</v>
      </c>
      <c r="B925" s="3">
        <f t="shared" si="24"/>
        <v>2021</v>
      </c>
      <c r="C925" s="3">
        <f t="shared" si="25"/>
        <v>4</v>
      </c>
      <c r="D925" s="20" t="str">
        <f t="shared" si="26"/>
        <v>LOW20214</v>
      </c>
      <c r="E925" s="2">
        <v>44306</v>
      </c>
      <c r="F925" s="3">
        <v>0.6</v>
      </c>
      <c r="G925" s="2">
        <v>44321</v>
      </c>
      <c r="H925" s="3">
        <v>1.18E-2</v>
      </c>
      <c r="I925" s="3">
        <v>0</v>
      </c>
      <c r="J925" s="3">
        <v>0</v>
      </c>
      <c r="K925" s="3">
        <f t="shared" si="27"/>
        <v>2021</v>
      </c>
      <c r="L925" s="3">
        <f t="shared" si="28"/>
        <v>0</v>
      </c>
      <c r="M925" s="20" t="str">
        <f>A925&amp;L925</f>
        <v>LOW0</v>
      </c>
      <c r="N925" s="3">
        <f>F925</f>
        <v>0.6</v>
      </c>
      <c r="O925" s="9">
        <f>H925</f>
        <v>1.18E-2</v>
      </c>
      <c r="P925" s="10">
        <f t="shared" si="29"/>
        <v>0</v>
      </c>
      <c r="Q925" s="10">
        <f>IF(K925=0,IF(A922=A925,AVERAGE(O922:O925),"x"),0)</f>
        <v>0</v>
      </c>
      <c r="R925" s="9">
        <f>IF(L925&gt;2005,AVERAGE(O922:O941),0)</f>
        <v>0</v>
      </c>
      <c r="S925" s="10">
        <f>IF(A925=A926,(N925-N926)/N926,0)</f>
        <v>0</v>
      </c>
      <c r="T925" s="10">
        <f>IF(L925&gt;2005,(((N925-N945)/N945)+1)^(1/5)-1,0)</f>
        <v>0</v>
      </c>
      <c r="U925" s="10">
        <f t="shared" si="30"/>
        <v>0</v>
      </c>
      <c r="V925" s="26">
        <f t="shared" si="31"/>
        <v>0</v>
      </c>
      <c r="W925" s="3">
        <f>IF(A925=A926,N925-N926,0)</f>
        <v>0</v>
      </c>
      <c r="X925" s="10">
        <f>IF(A925=A926,(N925-N926)/N926,0)</f>
        <v>0</v>
      </c>
    </row>
    <row r="926" spans="1:24" ht="16.5" customHeight="1">
      <c r="A926" s="3" t="s">
        <v>34</v>
      </c>
      <c r="B926" s="3">
        <f t="shared" si="24"/>
        <v>2021</v>
      </c>
      <c r="C926" s="3">
        <f t="shared" si="25"/>
        <v>1</v>
      </c>
      <c r="D926" s="20" t="str">
        <f t="shared" si="26"/>
        <v>LOW20211</v>
      </c>
      <c r="E926" s="2">
        <v>44215</v>
      </c>
      <c r="F926" s="3">
        <v>0.6</v>
      </c>
      <c r="G926" s="2">
        <v>44230</v>
      </c>
      <c r="H926" s="3">
        <v>1.4500000000000001E-2</v>
      </c>
      <c r="I926" s="3">
        <v>0</v>
      </c>
      <c r="J926" s="3">
        <v>0</v>
      </c>
      <c r="K926" s="3">
        <f t="shared" si="27"/>
        <v>0</v>
      </c>
      <c r="L926" s="3">
        <f t="shared" si="28"/>
        <v>2021</v>
      </c>
      <c r="M926" s="20" t="str">
        <f>A926&amp;L926</f>
        <v>LOW2021</v>
      </c>
      <c r="N926" s="3">
        <f>F926</f>
        <v>0.6</v>
      </c>
      <c r="O926" s="9">
        <f>H926</f>
        <v>1.4500000000000001E-2</v>
      </c>
      <c r="P926" s="10">
        <f t="shared" si="29"/>
        <v>0</v>
      </c>
      <c r="Q926" s="10">
        <f>IF(K926=0,IF(A923=A926,AVERAGE(O923:O926),"x"),0)</f>
        <v>1.4324999999999999E-2</v>
      </c>
      <c r="R926" s="9">
        <f>IF(L926&gt;2005,AVERAGE(O923:O942),0)</f>
        <v>1.7889999999999996E-2</v>
      </c>
      <c r="S926" s="10">
        <f>IF(A926=A927,(N926-N927)/N927,0)</f>
        <v>0</v>
      </c>
      <c r="T926" s="10">
        <f>IF(L926&gt;2005,(((N926-N946)/N946)+1)^(1/5)-1,0)</f>
        <v>0.16465861577965679</v>
      </c>
      <c r="U926" s="10">
        <f t="shared" si="30"/>
        <v>0.18254861577965678</v>
      </c>
      <c r="V926" s="26">
        <f t="shared" si="31"/>
        <v>4.7776005811819653</v>
      </c>
      <c r="W926" s="3">
        <f>IF(A926=A927,N926-N927,0)</f>
        <v>0</v>
      </c>
      <c r="X926" s="10">
        <f>IF(A926=A927,(N926-N927)/N927,0)</f>
        <v>0</v>
      </c>
    </row>
    <row r="927" spans="1:24" ht="16.5" customHeight="1">
      <c r="A927" s="3" t="s">
        <v>34</v>
      </c>
      <c r="B927" s="3">
        <f t="shared" si="24"/>
        <v>2020</v>
      </c>
      <c r="C927" s="3">
        <f t="shared" si="25"/>
        <v>10</v>
      </c>
      <c r="D927" s="20" t="str">
        <f t="shared" si="26"/>
        <v>LOW202010</v>
      </c>
      <c r="E927" s="2">
        <v>44124</v>
      </c>
      <c r="F927" s="3">
        <v>0.6</v>
      </c>
      <c r="G927" s="2">
        <v>44139</v>
      </c>
      <c r="H927" s="3">
        <v>1.37E-2</v>
      </c>
      <c r="I927" s="3">
        <v>9.0909090999999997E-2</v>
      </c>
      <c r="J927" s="3">
        <v>0.05</v>
      </c>
      <c r="K927" s="3">
        <f t="shared" si="27"/>
        <v>2020</v>
      </c>
      <c r="L927" s="3">
        <f t="shared" si="28"/>
        <v>0</v>
      </c>
      <c r="M927" s="20" t="str">
        <f>A927&amp;L927</f>
        <v>LOW0</v>
      </c>
      <c r="N927" s="3">
        <f>F927</f>
        <v>0.6</v>
      </c>
      <c r="O927" s="9">
        <f>H927</f>
        <v>1.37E-2</v>
      </c>
      <c r="P927" s="10">
        <f t="shared" si="29"/>
        <v>1.7524999999999999E-2</v>
      </c>
      <c r="Q927" s="10">
        <f>IF(K927=0,IF(A924=A927,AVERAGE(O924:O927),"x"),0)</f>
        <v>0</v>
      </c>
      <c r="R927" s="9">
        <f>IF(L927&gt;2005,AVERAGE(O924:O943),0)</f>
        <v>0</v>
      </c>
      <c r="S927" s="10">
        <f>IF(A927=A928,(N927-N928)/N928,0)</f>
        <v>9.0909090909090787E-2</v>
      </c>
      <c r="T927" s="10">
        <f>IF(L927&gt;2005,(((N927-N947)/N947)+1)^(1/5)-1,0)</f>
        <v>0</v>
      </c>
      <c r="U927" s="10">
        <f t="shared" si="30"/>
        <v>0</v>
      </c>
      <c r="V927" s="26">
        <f t="shared" si="31"/>
        <v>0</v>
      </c>
      <c r="W927" s="3">
        <f>IF(A927=A928,N927-N928,0)</f>
        <v>4.9999999999999933E-2</v>
      </c>
      <c r="X927" s="10">
        <f>IF(A927=A928,(N927-N928)/N928,0)</f>
        <v>9.0909090909090787E-2</v>
      </c>
    </row>
    <row r="928" spans="1:24" ht="16.5" customHeight="1">
      <c r="A928" s="3" t="s">
        <v>34</v>
      </c>
      <c r="B928" s="3">
        <f t="shared" si="24"/>
        <v>2020</v>
      </c>
      <c r="C928" s="3">
        <f t="shared" si="25"/>
        <v>7</v>
      </c>
      <c r="D928" s="20" t="str">
        <f t="shared" si="26"/>
        <v>LOW20207</v>
      </c>
      <c r="E928" s="2">
        <v>44033</v>
      </c>
      <c r="F928" s="3">
        <v>0.55000000000000004</v>
      </c>
      <c r="G928" s="2">
        <v>44048</v>
      </c>
      <c r="H928" s="3">
        <v>1.5299999999999999E-2</v>
      </c>
      <c r="I928" s="3">
        <v>0</v>
      </c>
      <c r="J928" s="3">
        <v>0</v>
      </c>
      <c r="K928" s="3">
        <f t="shared" si="27"/>
        <v>2020</v>
      </c>
      <c r="L928" s="3">
        <f t="shared" si="28"/>
        <v>0</v>
      </c>
      <c r="M928" s="20" t="str">
        <f>A928&amp;L928</f>
        <v>LOW0</v>
      </c>
      <c r="N928" s="3">
        <f>F928</f>
        <v>0.55000000000000004</v>
      </c>
      <c r="O928" s="9">
        <f>H928</f>
        <v>1.5299999999999999E-2</v>
      </c>
      <c r="P928" s="10">
        <f t="shared" si="29"/>
        <v>0</v>
      </c>
      <c r="Q928" s="10">
        <f>IF(K928=0,IF(A925=A928,AVERAGE(O925:O928),"x"),0)</f>
        <v>0</v>
      </c>
      <c r="R928" s="9">
        <f>IF(L928&gt;2005,AVERAGE(O925:O944),0)</f>
        <v>0</v>
      </c>
      <c r="S928" s="10">
        <f>IF(A928=A929,(N928-N929)/N929,0)</f>
        <v>0</v>
      </c>
      <c r="T928" s="10">
        <f>IF(L928&gt;2005,(((N928-N948)/N948)+1)^(1/5)-1,0)</f>
        <v>0</v>
      </c>
      <c r="U928" s="10">
        <f t="shared" si="30"/>
        <v>0</v>
      </c>
      <c r="V928" s="26">
        <f t="shared" si="31"/>
        <v>0</v>
      </c>
      <c r="W928" s="3">
        <f>IF(A928=A929,N928-N929,0)</f>
        <v>0</v>
      </c>
      <c r="X928" s="10">
        <f>IF(A928=A929,(N928-N929)/N929,0)</f>
        <v>0</v>
      </c>
    </row>
    <row r="929" spans="1:24" ht="16.5" customHeight="1">
      <c r="A929" s="3" t="s">
        <v>34</v>
      </c>
      <c r="B929" s="3">
        <f t="shared" si="24"/>
        <v>2020</v>
      </c>
      <c r="C929" s="3">
        <f t="shared" si="25"/>
        <v>4</v>
      </c>
      <c r="D929" s="20" t="str">
        <f t="shared" si="26"/>
        <v>LOW20204</v>
      </c>
      <c r="E929" s="2">
        <v>43942</v>
      </c>
      <c r="F929" s="3">
        <v>0.55000000000000004</v>
      </c>
      <c r="G929" s="2">
        <v>43957</v>
      </c>
      <c r="H929" s="3">
        <v>2.3099999999999999E-2</v>
      </c>
      <c r="I929" s="3">
        <v>0</v>
      </c>
      <c r="J929" s="3">
        <v>0</v>
      </c>
      <c r="K929" s="3">
        <f t="shared" si="27"/>
        <v>2020</v>
      </c>
      <c r="L929" s="3">
        <f t="shared" si="28"/>
        <v>0</v>
      </c>
      <c r="M929" s="20" t="str">
        <f>A929&amp;L929</f>
        <v>LOW0</v>
      </c>
      <c r="N929" s="3">
        <f>F929</f>
        <v>0.55000000000000004</v>
      </c>
      <c r="O929" s="9">
        <f>H929</f>
        <v>2.3099999999999999E-2</v>
      </c>
      <c r="P929" s="10">
        <f t="shared" si="29"/>
        <v>0</v>
      </c>
      <c r="Q929" s="10">
        <f>IF(K929=0,IF(A926=A929,AVERAGE(O926:O929),"x"),0)</f>
        <v>0</v>
      </c>
      <c r="R929" s="9">
        <f>IF(L929&gt;2005,AVERAGE(O926:O945),0)</f>
        <v>0</v>
      </c>
      <c r="S929" s="10">
        <f>IF(A929=A930,(N929-N930)/N930,0)</f>
        <v>0</v>
      </c>
      <c r="T929" s="10">
        <f>IF(L929&gt;2005,(((N929-N949)/N949)+1)^(1/5)-1,0)</f>
        <v>0</v>
      </c>
      <c r="U929" s="10">
        <f t="shared" si="30"/>
        <v>0</v>
      </c>
      <c r="V929" s="26">
        <f t="shared" si="31"/>
        <v>0</v>
      </c>
      <c r="W929" s="3">
        <f>IF(A929=A930,N929-N930,0)</f>
        <v>0</v>
      </c>
      <c r="X929" s="10">
        <f>IF(A929=A930,(N929-N930)/N930,0)</f>
        <v>0</v>
      </c>
    </row>
    <row r="930" spans="1:24" ht="16.5" customHeight="1">
      <c r="A930" s="3" t="s">
        <v>34</v>
      </c>
      <c r="B930" s="3">
        <f t="shared" si="24"/>
        <v>2020</v>
      </c>
      <c r="C930" s="3">
        <f t="shared" si="25"/>
        <v>1</v>
      </c>
      <c r="D930" s="20" t="str">
        <f t="shared" si="26"/>
        <v>LOW20201</v>
      </c>
      <c r="E930" s="2">
        <v>43851</v>
      </c>
      <c r="F930" s="3">
        <v>0.55000000000000004</v>
      </c>
      <c r="G930" s="2">
        <v>43866</v>
      </c>
      <c r="H930" s="3">
        <v>1.7999999999999999E-2</v>
      </c>
      <c r="I930" s="3">
        <v>0</v>
      </c>
      <c r="J930" s="3">
        <v>0</v>
      </c>
      <c r="K930" s="3">
        <f t="shared" si="27"/>
        <v>0</v>
      </c>
      <c r="L930" s="3">
        <f t="shared" si="28"/>
        <v>2020</v>
      </c>
      <c r="M930" s="20" t="str">
        <f>A930&amp;L930</f>
        <v>LOW2020</v>
      </c>
      <c r="N930" s="3">
        <f>F930</f>
        <v>0.55000000000000004</v>
      </c>
      <c r="O930" s="9">
        <f>H930</f>
        <v>1.7999999999999999E-2</v>
      </c>
      <c r="P930" s="10">
        <f t="shared" si="29"/>
        <v>0</v>
      </c>
      <c r="Q930" s="10">
        <f>IF(K930=0,IF(A927=A930,AVERAGE(O927:O930),"x"),0)</f>
        <v>1.7524999999999999E-2</v>
      </c>
      <c r="R930" s="9">
        <f>IF(L930&gt;2005,AVERAGE(O927:O946),0)</f>
        <v>1.8349999999999998E-2</v>
      </c>
      <c r="S930" s="10">
        <f>IF(A930=A931,(N930-N931)/N931,0)</f>
        <v>0</v>
      </c>
      <c r="T930" s="10">
        <f>IF(L930&gt;2005,(((N930-N950)/N950)+1)^(1/5)-1,0)</f>
        <v>0.19049334145198071</v>
      </c>
      <c r="U930" s="10">
        <f t="shared" si="30"/>
        <v>0.20884334145198072</v>
      </c>
      <c r="V930" s="26">
        <f t="shared" si="31"/>
        <v>4.776859378790653</v>
      </c>
      <c r="W930" s="3">
        <f>IF(A930=A931,N930-N931,0)</f>
        <v>0</v>
      </c>
      <c r="X930" s="10">
        <f>IF(A930=A931,(N930-N931)/N931,0)</f>
        <v>0</v>
      </c>
    </row>
    <row r="931" spans="1:24" ht="16.5" customHeight="1">
      <c r="A931" s="3" t="s">
        <v>34</v>
      </c>
      <c r="B931" s="3">
        <f t="shared" si="24"/>
        <v>2019</v>
      </c>
      <c r="C931" s="3">
        <f t="shared" si="25"/>
        <v>10</v>
      </c>
      <c r="D931" s="20" t="str">
        <f t="shared" si="26"/>
        <v>LOW201910</v>
      </c>
      <c r="E931" s="2">
        <v>43760</v>
      </c>
      <c r="F931" s="3">
        <v>0.55000000000000004</v>
      </c>
      <c r="G931" s="2">
        <v>43775</v>
      </c>
      <c r="H931" s="3">
        <v>1.9699999999999999E-2</v>
      </c>
      <c r="I931" s="3">
        <v>0</v>
      </c>
      <c r="J931" s="3">
        <v>0</v>
      </c>
      <c r="K931" s="3">
        <f t="shared" si="27"/>
        <v>2019</v>
      </c>
      <c r="L931" s="3">
        <f t="shared" si="28"/>
        <v>0</v>
      </c>
      <c r="M931" s="20" t="str">
        <f>A931&amp;L931</f>
        <v>LOW0</v>
      </c>
      <c r="N931" s="3">
        <f>F931</f>
        <v>0.55000000000000004</v>
      </c>
      <c r="O931" s="9">
        <f>H931</f>
        <v>1.9699999999999999E-2</v>
      </c>
      <c r="P931" s="10">
        <f t="shared" si="29"/>
        <v>0</v>
      </c>
      <c r="Q931" s="10">
        <f>IF(K931=0,IF(A928=A931,AVERAGE(O928:O931),"x"),0)</f>
        <v>0</v>
      </c>
      <c r="R931" s="9">
        <f>IF(L931&gt;2005,AVERAGE(O928:O947),0)</f>
        <v>0</v>
      </c>
      <c r="S931" s="10">
        <f>IF(A931=A932,(N931-N932)/N932,0)</f>
        <v>0</v>
      </c>
      <c r="T931" s="10">
        <f>IF(L931&gt;2005,(((N931-N951)/N951)+1)^(1/5)-1,0)</f>
        <v>0</v>
      </c>
      <c r="U931" s="10">
        <f t="shared" si="30"/>
        <v>0</v>
      </c>
      <c r="V931" s="26">
        <f t="shared" si="31"/>
        <v>0</v>
      </c>
      <c r="W931" s="3">
        <f>IF(A931=A932,N931-N932,0)</f>
        <v>0</v>
      </c>
      <c r="X931" s="10">
        <f>IF(A931=A932,(N931-N932)/N932,0)</f>
        <v>0</v>
      </c>
    </row>
    <row r="932" spans="1:24" ht="16.5" customHeight="1">
      <c r="A932" s="3" t="s">
        <v>34</v>
      </c>
      <c r="B932" s="3">
        <f t="shared" si="24"/>
        <v>2019</v>
      </c>
      <c r="C932" s="3">
        <f t="shared" si="25"/>
        <v>7</v>
      </c>
      <c r="D932" s="20" t="str">
        <f t="shared" si="26"/>
        <v>LOW20197</v>
      </c>
      <c r="E932" s="2">
        <v>43669</v>
      </c>
      <c r="F932" s="3">
        <v>0.55000000000000004</v>
      </c>
      <c r="G932" s="2">
        <v>43684</v>
      </c>
      <c r="H932" s="3">
        <v>2.1499999999999998E-2</v>
      </c>
      <c r="I932" s="3">
        <v>0.14583333300000001</v>
      </c>
      <c r="J932" s="3">
        <v>7.0000000000000007E-2</v>
      </c>
      <c r="K932" s="3">
        <f t="shared" si="27"/>
        <v>2019</v>
      </c>
      <c r="L932" s="3">
        <f t="shared" si="28"/>
        <v>0</v>
      </c>
      <c r="M932" s="20" t="str">
        <f>A932&amp;L932</f>
        <v>LOW0</v>
      </c>
      <c r="N932" s="3">
        <f>F932</f>
        <v>0.55000000000000004</v>
      </c>
      <c r="O932" s="9">
        <f>H932</f>
        <v>2.1499999999999998E-2</v>
      </c>
      <c r="P932" s="10">
        <f t="shared" si="29"/>
        <v>1.9525000000000001E-2</v>
      </c>
      <c r="Q932" s="10">
        <f>IF(K932=0,IF(A929=A932,AVERAGE(O929:O932),"x"),0)</f>
        <v>0</v>
      </c>
      <c r="R932" s="9">
        <f>IF(L932&gt;2005,AVERAGE(O929:O948),0)</f>
        <v>0</v>
      </c>
      <c r="S932" s="10">
        <f>IF(A932=A933,(N932-N933)/N933,0)</f>
        <v>0.14583333333333348</v>
      </c>
      <c r="T932" s="10">
        <f>IF(L932&gt;2005,(((N932-N952)/N952)+1)^(1/5)-1,0)</f>
        <v>0</v>
      </c>
      <c r="U932" s="10">
        <f t="shared" si="30"/>
        <v>0</v>
      </c>
      <c r="V932" s="26">
        <f t="shared" si="31"/>
        <v>0</v>
      </c>
      <c r="W932" s="3">
        <f>IF(A932=A933,N932-N933,0)</f>
        <v>7.0000000000000062E-2</v>
      </c>
      <c r="X932" s="10">
        <f>IF(A932=A933,(N932-N933)/N933,0)</f>
        <v>0.14583333333333348</v>
      </c>
    </row>
    <row r="933" spans="1:24" ht="16.5" customHeight="1">
      <c r="A933" s="3" t="s">
        <v>34</v>
      </c>
      <c r="B933" s="3">
        <f t="shared" si="24"/>
        <v>2019</v>
      </c>
      <c r="C933" s="3">
        <f t="shared" si="25"/>
        <v>4</v>
      </c>
      <c r="D933" s="20" t="str">
        <f t="shared" si="26"/>
        <v>LOW20194</v>
      </c>
      <c r="E933" s="2">
        <v>43578</v>
      </c>
      <c r="F933" s="3">
        <v>0.48</v>
      </c>
      <c r="G933" s="2">
        <v>43593</v>
      </c>
      <c r="H933" s="3">
        <v>1.6899999999999998E-2</v>
      </c>
      <c r="I933" s="3">
        <v>0</v>
      </c>
      <c r="J933" s="3">
        <v>0</v>
      </c>
      <c r="K933" s="3">
        <f t="shared" si="27"/>
        <v>2019</v>
      </c>
      <c r="L933" s="3">
        <f t="shared" si="28"/>
        <v>0</v>
      </c>
      <c r="M933" s="20" t="str">
        <f>A933&amp;L933</f>
        <v>LOW0</v>
      </c>
      <c r="N933" s="3">
        <f>F933</f>
        <v>0.48</v>
      </c>
      <c r="O933" s="9">
        <f>H933</f>
        <v>1.6899999999999998E-2</v>
      </c>
      <c r="P933" s="10">
        <f t="shared" si="29"/>
        <v>0</v>
      </c>
      <c r="Q933" s="10">
        <f>IF(K933=0,IF(A930=A933,AVERAGE(O930:O933),"x"),0)</f>
        <v>0</v>
      </c>
      <c r="R933" s="9">
        <f>IF(L933&gt;2005,AVERAGE(O930:O949),0)</f>
        <v>0</v>
      </c>
      <c r="S933" s="10">
        <f>IF(A933=A934,(N933-N934)/N934,0)</f>
        <v>0</v>
      </c>
      <c r="T933" s="10">
        <f>IF(L933&gt;2005,(((N933-N953)/N953)+1)^(1/5)-1,0)</f>
        <v>0</v>
      </c>
      <c r="U933" s="10">
        <f t="shared" si="30"/>
        <v>0</v>
      </c>
      <c r="V933" s="26">
        <f t="shared" si="31"/>
        <v>0</v>
      </c>
      <c r="W933" s="3">
        <f>IF(A933=A934,N933-N934,0)</f>
        <v>0</v>
      </c>
      <c r="X933" s="10">
        <f>IF(A933=A934,(N933-N934)/N934,0)</f>
        <v>0</v>
      </c>
    </row>
    <row r="934" spans="1:24" ht="16.5" customHeight="1">
      <c r="A934" s="3" t="s">
        <v>34</v>
      </c>
      <c r="B934" s="3">
        <f t="shared" si="24"/>
        <v>2019</v>
      </c>
      <c r="C934" s="3">
        <f t="shared" si="25"/>
        <v>1</v>
      </c>
      <c r="D934" s="20" t="str">
        <f t="shared" si="26"/>
        <v>LOW20191</v>
      </c>
      <c r="E934" s="2">
        <v>43487</v>
      </c>
      <c r="F934" s="3">
        <v>0.48</v>
      </c>
      <c r="G934" s="2">
        <v>43502</v>
      </c>
      <c r="H934" s="3">
        <v>2.0199999999999999E-2</v>
      </c>
      <c r="I934" s="3">
        <v>0</v>
      </c>
      <c r="J934" s="3">
        <v>0</v>
      </c>
      <c r="K934" s="3">
        <f t="shared" si="27"/>
        <v>0</v>
      </c>
      <c r="L934" s="3">
        <f t="shared" si="28"/>
        <v>2019</v>
      </c>
      <c r="M934" s="20" t="str">
        <f>A934&amp;L934</f>
        <v>LOW2019</v>
      </c>
      <c r="N934" s="3">
        <f>F934</f>
        <v>0.48</v>
      </c>
      <c r="O934" s="9">
        <f>H934</f>
        <v>2.0199999999999999E-2</v>
      </c>
      <c r="P934" s="10">
        <f t="shared" si="29"/>
        <v>0</v>
      </c>
      <c r="Q934" s="10">
        <f>IF(K934=0,IF(A931=A934,AVERAGE(O931:O934),"x"),0)</f>
        <v>1.9574999999999999E-2</v>
      </c>
      <c r="R934" s="9">
        <f>IF(L934&gt;2005,AVERAGE(O931:O950),0)</f>
        <v>1.7555000000000001E-2</v>
      </c>
      <c r="S934" s="10">
        <f>IF(A934=A935,(N934-N935)/N935,0)</f>
        <v>0</v>
      </c>
      <c r="T934" s="10">
        <f>IF(L934&gt;2005,(((N934-N954)/N954)+1)^(1/5)-1,0)</f>
        <v>0.21672868378641152</v>
      </c>
      <c r="U934" s="10">
        <f t="shared" si="30"/>
        <v>0.23428368378641151</v>
      </c>
      <c r="V934" s="26">
        <f t="shared" si="31"/>
        <v>4.7906604979665302</v>
      </c>
      <c r="W934" s="3">
        <f>IF(A934=A935,N934-N935,0)</f>
        <v>0</v>
      </c>
      <c r="X934" s="10">
        <f>IF(A934=A935,(N934-N935)/N935,0)</f>
        <v>0</v>
      </c>
    </row>
    <row r="935" spans="1:24" ht="16.5" customHeight="1">
      <c r="A935" s="3" t="s">
        <v>34</v>
      </c>
      <c r="B935" s="3">
        <f t="shared" si="24"/>
        <v>2018</v>
      </c>
      <c r="C935" s="3">
        <f t="shared" si="25"/>
        <v>10</v>
      </c>
      <c r="D935" s="20" t="str">
        <f t="shared" si="26"/>
        <v>LOW201810</v>
      </c>
      <c r="E935" s="2">
        <v>43396</v>
      </c>
      <c r="F935" s="3">
        <v>0.48</v>
      </c>
      <c r="G935" s="2">
        <v>43411</v>
      </c>
      <c r="H935" s="3">
        <v>1.95E-2</v>
      </c>
      <c r="I935" s="3">
        <v>0</v>
      </c>
      <c r="J935" s="3">
        <v>0</v>
      </c>
      <c r="K935" s="3">
        <f t="shared" si="27"/>
        <v>2018</v>
      </c>
      <c r="L935" s="3">
        <f t="shared" si="28"/>
        <v>0</v>
      </c>
      <c r="M935" s="20" t="str">
        <f>A935&amp;L935</f>
        <v>LOW0</v>
      </c>
      <c r="N935" s="3">
        <f>F935</f>
        <v>0.48</v>
      </c>
      <c r="O935" s="9">
        <f>H935</f>
        <v>1.95E-2</v>
      </c>
      <c r="P935" s="10">
        <f t="shared" si="29"/>
        <v>0</v>
      </c>
      <c r="Q935" s="10">
        <f>IF(K935=0,IF(A932=A935,AVERAGE(O932:O935),"x"),0)</f>
        <v>0</v>
      </c>
      <c r="R935" s="9">
        <f>IF(L935&gt;2005,AVERAGE(O932:O951),0)</f>
        <v>0</v>
      </c>
      <c r="S935" s="10">
        <f>IF(A935=A936,(N935-N936)/N936,0)</f>
        <v>0</v>
      </c>
      <c r="T935" s="10">
        <f>IF(L935&gt;2005,(((N935-N955)/N955)+1)^(1/5)-1,0)</f>
        <v>0</v>
      </c>
      <c r="U935" s="10">
        <f t="shared" si="30"/>
        <v>0</v>
      </c>
      <c r="V935" s="26">
        <f t="shared" si="31"/>
        <v>0</v>
      </c>
      <c r="W935" s="3">
        <f>IF(A935=A936,N935-N936,0)</f>
        <v>0</v>
      </c>
      <c r="X935" s="10">
        <f>IF(A935=A936,(N935-N936)/N936,0)</f>
        <v>0</v>
      </c>
    </row>
    <row r="936" spans="1:24" ht="16.5" customHeight="1">
      <c r="A936" s="3" t="s">
        <v>34</v>
      </c>
      <c r="B936" s="3">
        <f t="shared" si="24"/>
        <v>2018</v>
      </c>
      <c r="C936" s="3">
        <f t="shared" si="25"/>
        <v>7</v>
      </c>
      <c r="D936" s="20" t="str">
        <f t="shared" si="26"/>
        <v>LOW20187</v>
      </c>
      <c r="E936" s="2">
        <v>43305</v>
      </c>
      <c r="F936" s="3">
        <v>0.48</v>
      </c>
      <c r="G936" s="2">
        <v>43320</v>
      </c>
      <c r="H936" s="3">
        <v>1.9E-2</v>
      </c>
      <c r="I936" s="3">
        <v>0.17073170700000001</v>
      </c>
      <c r="J936" s="3">
        <v>7.0000000000000007E-2</v>
      </c>
      <c r="K936" s="3">
        <f t="shared" si="27"/>
        <v>2018</v>
      </c>
      <c r="L936" s="3">
        <f t="shared" si="28"/>
        <v>0</v>
      </c>
      <c r="M936" s="20" t="str">
        <f>A936&amp;L936</f>
        <v>LOW0</v>
      </c>
      <c r="N936" s="3">
        <f>F936</f>
        <v>0.48</v>
      </c>
      <c r="O936" s="9">
        <f>H936</f>
        <v>1.9E-2</v>
      </c>
      <c r="P936" s="10">
        <f t="shared" si="29"/>
        <v>1.8525E-2</v>
      </c>
      <c r="Q936" s="10">
        <f>IF(K936=0,IF(A933=A936,AVERAGE(O933:O936),"x"),0)</f>
        <v>0</v>
      </c>
      <c r="R936" s="9">
        <f>IF(L936&gt;2005,AVERAGE(O933:O952),0)</f>
        <v>0</v>
      </c>
      <c r="S936" s="10">
        <f>IF(A936=A937,(N936-N937)/N937,0)</f>
        <v>0.17073170731707318</v>
      </c>
      <c r="T936" s="10">
        <f>IF(L936&gt;2005,(((N936-N956)/N956)+1)^(1/5)-1,0)</f>
        <v>0</v>
      </c>
      <c r="U936" s="10">
        <f t="shared" si="30"/>
        <v>0</v>
      </c>
      <c r="V936" s="26">
        <f t="shared" si="31"/>
        <v>0</v>
      </c>
      <c r="W936" s="3">
        <f>IF(A936=A937,N936-N937,0)</f>
        <v>7.0000000000000007E-2</v>
      </c>
      <c r="X936" s="10">
        <f>IF(A936=A937,(N936-N937)/N937,0)</f>
        <v>0.17073170731707318</v>
      </c>
    </row>
    <row r="937" spans="1:24" ht="16.5" customHeight="1">
      <c r="A937" s="3" t="s">
        <v>34</v>
      </c>
      <c r="B937" s="3">
        <f t="shared" si="24"/>
        <v>2018</v>
      </c>
      <c r="C937" s="3">
        <f t="shared" si="25"/>
        <v>4</v>
      </c>
      <c r="D937" s="20" t="str">
        <f t="shared" si="26"/>
        <v>LOW20184</v>
      </c>
      <c r="E937" s="2">
        <v>43214</v>
      </c>
      <c r="F937" s="3">
        <v>0.41</v>
      </c>
      <c r="G937" s="2">
        <v>43229</v>
      </c>
      <c r="H937" s="3">
        <v>1.9400000000000001E-2</v>
      </c>
      <c r="I937" s="3">
        <v>0</v>
      </c>
      <c r="J937" s="3">
        <v>0</v>
      </c>
      <c r="K937" s="3">
        <f t="shared" si="27"/>
        <v>2018</v>
      </c>
      <c r="L937" s="3">
        <f t="shared" si="28"/>
        <v>0</v>
      </c>
      <c r="M937" s="20" t="str">
        <f>A937&amp;L937</f>
        <v>LOW0</v>
      </c>
      <c r="N937" s="3">
        <f>F937</f>
        <v>0.41</v>
      </c>
      <c r="O937" s="9">
        <f>H937</f>
        <v>1.9400000000000001E-2</v>
      </c>
      <c r="P937" s="10">
        <f t="shared" si="29"/>
        <v>0</v>
      </c>
      <c r="Q937" s="10">
        <f>IF(K937=0,IF(A934=A937,AVERAGE(O934:O937),"x"),0)</f>
        <v>0</v>
      </c>
      <c r="R937" s="9">
        <f>IF(L937&gt;2005,AVERAGE(O934:O953),0)</f>
        <v>0</v>
      </c>
      <c r="S937" s="10">
        <f>IF(A937=A938,(N937-N938)/N938,0)</f>
        <v>0</v>
      </c>
      <c r="T937" s="10">
        <f>IF(L937&gt;2005,(((N937-N957)/N957)+1)^(1/5)-1,0)</f>
        <v>0</v>
      </c>
      <c r="U937" s="10">
        <f t="shared" si="30"/>
        <v>0</v>
      </c>
      <c r="V937" s="26">
        <f t="shared" si="31"/>
        <v>0</v>
      </c>
      <c r="W937" s="3">
        <f>IF(A937=A938,N937-N938,0)</f>
        <v>0</v>
      </c>
      <c r="X937" s="10">
        <f>IF(A937=A938,(N937-N938)/N938,0)</f>
        <v>0</v>
      </c>
    </row>
    <row r="938" spans="1:24" ht="16.5" customHeight="1">
      <c r="A938" s="3" t="s">
        <v>34</v>
      </c>
      <c r="B938" s="3">
        <f t="shared" si="24"/>
        <v>2018</v>
      </c>
      <c r="C938" s="3">
        <f t="shared" si="25"/>
        <v>1</v>
      </c>
      <c r="D938" s="20" t="str">
        <f t="shared" si="26"/>
        <v>LOW20181</v>
      </c>
      <c r="E938" s="2">
        <v>43123</v>
      </c>
      <c r="F938" s="3">
        <v>0.41</v>
      </c>
      <c r="G938" s="2">
        <v>43138</v>
      </c>
      <c r="H938" s="3">
        <v>1.5299999999999999E-2</v>
      </c>
      <c r="I938" s="3">
        <v>0</v>
      </c>
      <c r="J938" s="3">
        <v>0</v>
      </c>
      <c r="K938" s="3">
        <f t="shared" si="27"/>
        <v>0</v>
      </c>
      <c r="L938" s="3">
        <f t="shared" si="28"/>
        <v>2018</v>
      </c>
      <c r="M938" s="20" t="str">
        <f>A938&amp;L938</f>
        <v>LOW2018</v>
      </c>
      <c r="N938" s="3">
        <f>F938</f>
        <v>0.41</v>
      </c>
      <c r="O938" s="9">
        <f>H938</f>
        <v>1.5299999999999999E-2</v>
      </c>
      <c r="P938" s="10">
        <f t="shared" si="29"/>
        <v>0</v>
      </c>
      <c r="Q938" s="10">
        <f>IF(K938=0,IF(A935=A938,AVERAGE(O935:O938),"x"),0)</f>
        <v>1.83E-2</v>
      </c>
      <c r="R938" s="9">
        <f>IF(L938&gt;2005,AVERAGE(O935:O954),0)</f>
        <v>1.6720000000000006E-2</v>
      </c>
      <c r="S938" s="10">
        <f>IF(A938=A939,(N938-N939)/N939,0)</f>
        <v>0</v>
      </c>
      <c r="T938" s="10">
        <f>IF(L938&gt;2005,(((N938-N958)/N958)+1)^(1/5)-1,0)</f>
        <v>0.2070708853018679</v>
      </c>
      <c r="U938" s="10">
        <f t="shared" si="30"/>
        <v>0.22379088530186791</v>
      </c>
      <c r="V938" s="26">
        <f t="shared" si="31"/>
        <v>4.7987582400674524</v>
      </c>
      <c r="W938" s="3">
        <f>IF(A938=A939,N938-N939,0)</f>
        <v>0</v>
      </c>
      <c r="X938" s="10">
        <f>IF(A938=A939,(N938-N939)/N939,0)</f>
        <v>0</v>
      </c>
    </row>
    <row r="939" spans="1:24" ht="16.5" customHeight="1">
      <c r="A939" s="3" t="s">
        <v>34</v>
      </c>
      <c r="B939" s="3">
        <f t="shared" si="24"/>
        <v>2017</v>
      </c>
      <c r="C939" s="3">
        <f t="shared" si="25"/>
        <v>10</v>
      </c>
      <c r="D939" s="20" t="str">
        <f t="shared" si="26"/>
        <v>LOW201710</v>
      </c>
      <c r="E939" s="2">
        <v>43032</v>
      </c>
      <c r="F939" s="3">
        <v>0.41</v>
      </c>
      <c r="G939" s="2">
        <v>43047</v>
      </c>
      <c r="H939" s="3">
        <v>2.0400000000000001E-2</v>
      </c>
      <c r="I939" s="3">
        <v>0</v>
      </c>
      <c r="J939" s="3">
        <v>0</v>
      </c>
      <c r="K939" s="3">
        <f t="shared" si="27"/>
        <v>2017</v>
      </c>
      <c r="L939" s="3">
        <f t="shared" si="28"/>
        <v>0</v>
      </c>
      <c r="M939" s="20" t="str">
        <f>A939&amp;L939</f>
        <v>LOW0</v>
      </c>
      <c r="N939" s="3">
        <f>F939</f>
        <v>0.41</v>
      </c>
      <c r="O939" s="9">
        <f>H939</f>
        <v>2.0400000000000001E-2</v>
      </c>
      <c r="P939" s="10">
        <f t="shared" si="29"/>
        <v>0</v>
      </c>
      <c r="Q939" s="10">
        <f>IF(K939=0,IF(A936=A939,AVERAGE(O936:O939),"x"),0)</f>
        <v>0</v>
      </c>
      <c r="R939" s="9">
        <f>IF(L939&gt;2005,AVERAGE(O936:O955),0)</f>
        <v>0</v>
      </c>
      <c r="S939" s="10">
        <f>IF(A939=A940,(N939-N940)/N940,0)</f>
        <v>0</v>
      </c>
      <c r="T939" s="10">
        <f>IF(L939&gt;2005,(((N939-N959)/N959)+1)^(1/5)-1,0)</f>
        <v>0</v>
      </c>
      <c r="U939" s="10">
        <f t="shared" si="30"/>
        <v>0</v>
      </c>
      <c r="V939" s="26">
        <f t="shared" si="31"/>
        <v>0</v>
      </c>
      <c r="W939" s="3">
        <f>IF(A939=A940,N939-N940,0)</f>
        <v>0</v>
      </c>
      <c r="X939" s="10">
        <f>IF(A939=A940,(N939-N940)/N940,0)</f>
        <v>0</v>
      </c>
    </row>
    <row r="940" spans="1:24" ht="16.5" customHeight="1">
      <c r="A940" s="3" t="s">
        <v>34</v>
      </c>
      <c r="B940" s="3">
        <f t="shared" si="24"/>
        <v>2017</v>
      </c>
      <c r="C940" s="3">
        <f t="shared" si="25"/>
        <v>7</v>
      </c>
      <c r="D940" s="20" t="str">
        <f t="shared" si="26"/>
        <v>LOW20177</v>
      </c>
      <c r="E940" s="2">
        <v>42940</v>
      </c>
      <c r="F940" s="3">
        <v>0.41</v>
      </c>
      <c r="G940" s="2">
        <v>42956</v>
      </c>
      <c r="H940" s="3">
        <v>2.2200000000000001E-2</v>
      </c>
      <c r="I940" s="3">
        <v>0.171428571</v>
      </c>
      <c r="J940" s="3">
        <v>0.06</v>
      </c>
      <c r="K940" s="3">
        <f t="shared" si="27"/>
        <v>2017</v>
      </c>
      <c r="L940" s="3">
        <f t="shared" si="28"/>
        <v>0</v>
      </c>
      <c r="M940" s="20" t="str">
        <f>A940&amp;L940</f>
        <v>LOW0</v>
      </c>
      <c r="N940" s="3">
        <f>F940</f>
        <v>0.41</v>
      </c>
      <c r="O940" s="9">
        <f>H940</f>
        <v>2.2200000000000001E-2</v>
      </c>
      <c r="P940" s="10">
        <f t="shared" si="29"/>
        <v>1.9525000000000001E-2</v>
      </c>
      <c r="Q940" s="10">
        <f>IF(K940=0,IF(A937=A940,AVERAGE(O937:O940),"x"),0)</f>
        <v>0</v>
      </c>
      <c r="R940" s="9">
        <f>IF(L940&gt;2005,AVERAGE(O937:O956),0)</f>
        <v>0</v>
      </c>
      <c r="S940" s="10">
        <f>IF(A940=A941,(N940-N941)/N941,0)</f>
        <v>0.17142857142857143</v>
      </c>
      <c r="T940" s="10">
        <f>IF(L940&gt;2005,(((N940-N960)/N960)+1)^(1/5)-1,0)</f>
        <v>0</v>
      </c>
      <c r="U940" s="10">
        <f t="shared" si="30"/>
        <v>0</v>
      </c>
      <c r="V940" s="26">
        <f t="shared" si="31"/>
        <v>0</v>
      </c>
      <c r="W940" s="3">
        <f>IF(A940=A941,N940-N941,0)</f>
        <v>0.06</v>
      </c>
      <c r="X940" s="10">
        <f>IF(A940=A941,(N940-N941)/N941,0)</f>
        <v>0.17142857142857143</v>
      </c>
    </row>
    <row r="941" spans="1:24" ht="16.5" customHeight="1">
      <c r="A941" s="3" t="s">
        <v>34</v>
      </c>
      <c r="B941" s="3">
        <f t="shared" si="24"/>
        <v>2017</v>
      </c>
      <c r="C941" s="3">
        <f t="shared" si="25"/>
        <v>4</v>
      </c>
      <c r="D941" s="20" t="str">
        <f t="shared" si="26"/>
        <v>LOW20174</v>
      </c>
      <c r="E941" s="2">
        <v>42849</v>
      </c>
      <c r="F941" s="3">
        <v>0.35</v>
      </c>
      <c r="G941" s="2">
        <v>42865</v>
      </c>
      <c r="H941" s="3">
        <v>1.6799999999999999E-2</v>
      </c>
      <c r="I941" s="3">
        <v>0</v>
      </c>
      <c r="J941" s="3">
        <v>0</v>
      </c>
      <c r="K941" s="3">
        <f t="shared" si="27"/>
        <v>2017</v>
      </c>
      <c r="L941" s="3">
        <f t="shared" si="28"/>
        <v>0</v>
      </c>
      <c r="M941" s="20" t="str">
        <f>A941&amp;L941</f>
        <v>LOW0</v>
      </c>
      <c r="N941" s="3">
        <f>F941</f>
        <v>0.35</v>
      </c>
      <c r="O941" s="9">
        <f>H941</f>
        <v>1.6799999999999999E-2</v>
      </c>
      <c r="P941" s="10">
        <f t="shared" si="29"/>
        <v>0</v>
      </c>
      <c r="Q941" s="10">
        <f>IF(K941=0,IF(A938=A941,AVERAGE(O938:O941),"x"),0)</f>
        <v>0</v>
      </c>
      <c r="R941" s="9">
        <f>IF(L941&gt;2005,AVERAGE(O938:O957),0)</f>
        <v>0</v>
      </c>
      <c r="S941" s="10">
        <f>IF(A941=A942,(N941-N942)/N942,0)</f>
        <v>0</v>
      </c>
      <c r="T941" s="10">
        <f>IF(L941&gt;2005,(((N941-N961)/N961)+1)^(1/5)-1,0)</f>
        <v>0</v>
      </c>
      <c r="U941" s="10">
        <f t="shared" si="30"/>
        <v>0</v>
      </c>
      <c r="V941" s="26">
        <f t="shared" si="31"/>
        <v>0</v>
      </c>
      <c r="W941" s="3">
        <f>IF(A941=A942,N941-N942,0)</f>
        <v>0</v>
      </c>
      <c r="X941" s="10">
        <f>IF(A941=A942,(N941-N942)/N942,0)</f>
        <v>0</v>
      </c>
    </row>
    <row r="942" spans="1:24" ht="16.5" customHeight="1">
      <c r="A942" s="3" t="s">
        <v>34</v>
      </c>
      <c r="B942" s="3">
        <f t="shared" si="24"/>
        <v>2017</v>
      </c>
      <c r="C942" s="3">
        <f t="shared" si="25"/>
        <v>1</v>
      </c>
      <c r="D942" s="20" t="str">
        <f t="shared" si="26"/>
        <v>LOW20171</v>
      </c>
      <c r="E942" s="2">
        <v>42758</v>
      </c>
      <c r="F942" s="3">
        <v>0.35</v>
      </c>
      <c r="G942" s="2">
        <v>42774</v>
      </c>
      <c r="H942" s="3">
        <v>1.95E-2</v>
      </c>
      <c r="I942" s="3">
        <v>0</v>
      </c>
      <c r="J942" s="3">
        <v>0</v>
      </c>
      <c r="K942" s="3">
        <f t="shared" si="27"/>
        <v>0</v>
      </c>
      <c r="L942" s="3">
        <f t="shared" si="28"/>
        <v>2017</v>
      </c>
      <c r="M942" s="20" t="str">
        <f>A942&amp;L942</f>
        <v>LOW2017</v>
      </c>
      <c r="N942" s="3">
        <f>F942</f>
        <v>0.35</v>
      </c>
      <c r="O942" s="9">
        <f>H942</f>
        <v>1.95E-2</v>
      </c>
      <c r="P942" s="10">
        <f t="shared" si="29"/>
        <v>0</v>
      </c>
      <c r="Q942" s="10">
        <f>IF(K942=0,IF(A939=A942,AVERAGE(O939:O942),"x"),0)</f>
        <v>1.9724999999999999E-2</v>
      </c>
      <c r="R942" s="9">
        <f>IF(L942&gt;2005,AVERAGE(O939:O958),0)</f>
        <v>1.6199999999999999E-2</v>
      </c>
      <c r="S942" s="10">
        <f>IF(A942=A943,(N942-N943)/N943,0)</f>
        <v>0</v>
      </c>
      <c r="T942" s="10">
        <f>IF(L942&gt;2005,(((N942-N962)/N962)+1)^(1/5)-1,0)</f>
        <v>0.20112443398143109</v>
      </c>
      <c r="U942" s="10">
        <f t="shared" si="30"/>
        <v>0.21732443398143109</v>
      </c>
      <c r="V942" s="26">
        <f t="shared" si="31"/>
        <v>4.8038887179009881</v>
      </c>
      <c r="W942" s="3">
        <f>IF(A942=A943,N942-N943,0)</f>
        <v>0</v>
      </c>
      <c r="X942" s="10">
        <f>IF(A942=A943,(N942-N943)/N943,0)</f>
        <v>0</v>
      </c>
    </row>
    <row r="943" spans="1:24" ht="16.5" customHeight="1">
      <c r="A943" s="3" t="s">
        <v>34</v>
      </c>
      <c r="B943" s="3">
        <f t="shared" si="24"/>
        <v>2016</v>
      </c>
      <c r="C943" s="3">
        <f t="shared" si="25"/>
        <v>10</v>
      </c>
      <c r="D943" s="20" t="str">
        <f t="shared" si="26"/>
        <v>LOW201610</v>
      </c>
      <c r="E943" s="2">
        <v>42660</v>
      </c>
      <c r="F943" s="3">
        <v>0.35</v>
      </c>
      <c r="G943" s="2">
        <v>42676</v>
      </c>
      <c r="H943" s="3">
        <v>1.9599999999999999E-2</v>
      </c>
      <c r="I943" s="3">
        <v>0</v>
      </c>
      <c r="J943" s="3">
        <v>0</v>
      </c>
      <c r="K943" s="3">
        <f t="shared" si="27"/>
        <v>2016</v>
      </c>
      <c r="L943" s="3">
        <f t="shared" si="28"/>
        <v>0</v>
      </c>
      <c r="M943" s="20" t="str">
        <f>A943&amp;L943</f>
        <v>LOW0</v>
      </c>
      <c r="N943" s="3">
        <f>F943</f>
        <v>0.35</v>
      </c>
      <c r="O943" s="9">
        <f>H943</f>
        <v>1.9599999999999999E-2</v>
      </c>
      <c r="P943" s="10">
        <f t="shared" si="29"/>
        <v>0</v>
      </c>
      <c r="Q943" s="10">
        <f>IF(K943=0,IF(A940=A943,AVERAGE(O940:O943),"x"),0)</f>
        <v>0</v>
      </c>
      <c r="R943" s="9">
        <f>IF(L943&gt;2005,AVERAGE(O940:O959),0)</f>
        <v>0</v>
      </c>
      <c r="S943" s="10">
        <f>IF(A943=A944,(N943-N944)/N944,0)</f>
        <v>0</v>
      </c>
      <c r="T943" s="10">
        <f>IF(L943&gt;2005,(((N943-N963)/N963)+1)^(1/5)-1,0)</f>
        <v>0</v>
      </c>
      <c r="U943" s="10">
        <f t="shared" si="30"/>
        <v>0</v>
      </c>
      <c r="V943" s="26">
        <f t="shared" si="31"/>
        <v>0</v>
      </c>
      <c r="W943" s="3">
        <f>IF(A943=A944,N943-N944,0)</f>
        <v>0</v>
      </c>
      <c r="X943" s="10">
        <f>IF(A943=A944,(N943-N944)/N944,0)</f>
        <v>0</v>
      </c>
    </row>
    <row r="944" spans="1:24" ht="16.5" customHeight="1">
      <c r="A944" s="3" t="s">
        <v>34</v>
      </c>
      <c r="B944" s="3">
        <f t="shared" si="24"/>
        <v>2016</v>
      </c>
      <c r="C944" s="3">
        <f t="shared" si="25"/>
        <v>7</v>
      </c>
      <c r="D944" s="20" t="str">
        <f t="shared" si="26"/>
        <v>LOW20167</v>
      </c>
      <c r="E944" s="2">
        <v>42569</v>
      </c>
      <c r="F944" s="3">
        <v>0.35</v>
      </c>
      <c r="G944" s="2">
        <v>42585</v>
      </c>
      <c r="H944" s="3">
        <v>1.7100000000000001E-2</v>
      </c>
      <c r="I944" s="3">
        <v>0.25</v>
      </c>
      <c r="J944" s="3">
        <v>7.0000000000000007E-2</v>
      </c>
      <c r="K944" s="3">
        <f t="shared" si="27"/>
        <v>2016</v>
      </c>
      <c r="L944" s="3">
        <f t="shared" si="28"/>
        <v>0</v>
      </c>
      <c r="M944" s="20" t="str">
        <f>A944&amp;L944</f>
        <v>LOW0</v>
      </c>
      <c r="N944" s="3">
        <f>F944</f>
        <v>0.35</v>
      </c>
      <c r="O944" s="9">
        <f>H944</f>
        <v>1.7100000000000001E-2</v>
      </c>
      <c r="P944" s="10">
        <f t="shared" si="29"/>
        <v>1.5225000000000001E-2</v>
      </c>
      <c r="Q944" s="10">
        <f>IF(K944=0,IF(A941=A944,AVERAGE(O941:O944),"x"),0)</f>
        <v>0</v>
      </c>
      <c r="R944" s="9">
        <f>IF(L944&gt;2005,AVERAGE(O941:O960),0)</f>
        <v>0</v>
      </c>
      <c r="S944" s="10">
        <f>IF(A944=A945,(N944-N945)/N945,0)</f>
        <v>0.24999999999999981</v>
      </c>
      <c r="T944" s="10">
        <f>IF(L944&gt;2005,(((N944-N964)/N964)+1)^(1/5)-1,0)</f>
        <v>0</v>
      </c>
      <c r="U944" s="10">
        <f t="shared" si="30"/>
        <v>0</v>
      </c>
      <c r="V944" s="26">
        <f t="shared" si="31"/>
        <v>0</v>
      </c>
      <c r="W944" s="3">
        <f>IF(A944=A945,N944-N945,0)</f>
        <v>6.9999999999999951E-2</v>
      </c>
      <c r="X944" s="10">
        <f>IF(A944=A945,(N944-N945)/N945,0)</f>
        <v>0.24999999999999981</v>
      </c>
    </row>
    <row r="945" spans="1:24" ht="16.5" customHeight="1">
      <c r="A945" s="3" t="s">
        <v>34</v>
      </c>
      <c r="B945" s="3">
        <f t="shared" si="24"/>
        <v>2016</v>
      </c>
      <c r="C945" s="3">
        <f t="shared" si="25"/>
        <v>4</v>
      </c>
      <c r="D945" s="20" t="str">
        <f t="shared" si="26"/>
        <v>LOW20164</v>
      </c>
      <c r="E945" s="2">
        <v>42478</v>
      </c>
      <c r="F945" s="3">
        <v>0.28000000000000003</v>
      </c>
      <c r="G945" s="2">
        <v>42494</v>
      </c>
      <c r="H945" s="3">
        <v>1.4500000000000001E-2</v>
      </c>
      <c r="I945" s="3">
        <v>0</v>
      </c>
      <c r="J945" s="3">
        <v>0</v>
      </c>
      <c r="K945" s="3">
        <f t="shared" si="27"/>
        <v>2016</v>
      </c>
      <c r="L945" s="3">
        <f t="shared" si="28"/>
        <v>0</v>
      </c>
      <c r="M945" s="20" t="str">
        <f>A945&amp;L945</f>
        <v>LOW0</v>
      </c>
      <c r="N945" s="3">
        <f>F945</f>
        <v>0.28000000000000003</v>
      </c>
      <c r="O945" s="9">
        <f>H945</f>
        <v>1.4500000000000001E-2</v>
      </c>
      <c r="P945" s="10">
        <f t="shared" si="29"/>
        <v>0</v>
      </c>
      <c r="Q945" s="10">
        <f>IF(K945=0,IF(A942=A945,AVERAGE(O942:O945),"x"),0)</f>
        <v>0</v>
      </c>
      <c r="R945" s="9">
        <f>IF(L945&gt;2005,AVERAGE(O942:O961),0)</f>
        <v>0</v>
      </c>
      <c r="S945" s="10">
        <f>IF(A945=A946,(N945-N946)/N946,0)</f>
        <v>0</v>
      </c>
      <c r="T945" s="10">
        <f>IF(L945&gt;2005,(((N945-N965)/N965)+1)^(1/5)-1,0)</f>
        <v>0</v>
      </c>
      <c r="U945" s="10">
        <f t="shared" si="30"/>
        <v>0</v>
      </c>
      <c r="V945" s="26">
        <f t="shared" si="31"/>
        <v>0</v>
      </c>
      <c r="W945" s="3">
        <f>IF(A945=A946,N945-N946,0)</f>
        <v>0</v>
      </c>
      <c r="X945" s="10">
        <f>IF(A945=A946,(N945-N946)/N946,0)</f>
        <v>0</v>
      </c>
    </row>
    <row r="946" spans="1:24" ht="16.5" customHeight="1">
      <c r="A946" s="3" t="s">
        <v>34</v>
      </c>
      <c r="B946" s="3">
        <f t="shared" si="24"/>
        <v>2016</v>
      </c>
      <c r="C946" s="3">
        <f t="shared" si="25"/>
        <v>1</v>
      </c>
      <c r="D946" s="20" t="str">
        <f t="shared" si="26"/>
        <v>LOW20161</v>
      </c>
      <c r="E946" s="2">
        <v>42384</v>
      </c>
      <c r="F946" s="3">
        <v>0.28000000000000003</v>
      </c>
      <c r="G946" s="2">
        <v>42403</v>
      </c>
      <c r="H946" s="3">
        <v>1.5299999999999999E-2</v>
      </c>
      <c r="I946" s="3">
        <v>0</v>
      </c>
      <c r="J946" s="3">
        <v>0</v>
      </c>
      <c r="K946" s="3">
        <f t="shared" si="27"/>
        <v>0</v>
      </c>
      <c r="L946" s="3">
        <f t="shared" si="28"/>
        <v>2016</v>
      </c>
      <c r="M946" s="20" t="str">
        <f>A946&amp;L946</f>
        <v>LOW2016</v>
      </c>
      <c r="N946" s="3">
        <f>F946</f>
        <v>0.28000000000000003</v>
      </c>
      <c r="O946" s="9">
        <f>H946</f>
        <v>1.5299999999999999E-2</v>
      </c>
      <c r="P946" s="10">
        <f t="shared" si="29"/>
        <v>0</v>
      </c>
      <c r="Q946" s="10">
        <f>IF(K946=0,IF(A943=A946,AVERAGE(O943:O946),"x"),0)</f>
        <v>1.6624999999999997E-2</v>
      </c>
      <c r="R946" s="9">
        <f>IF(L946&gt;2005,AVERAGE(O943:O962),0)</f>
        <v>1.6185000000000001E-2</v>
      </c>
      <c r="S946" s="10">
        <f>IF(A946=A947,(N946-N947)/N947,0)</f>
        <v>0</v>
      </c>
      <c r="T946" s="10">
        <f>IF(L946&gt;2005,(((N946-N966)/N966)+1)^(1/5)-1,0)</f>
        <v>0.20546073610157212</v>
      </c>
      <c r="U946" s="10">
        <f t="shared" si="30"/>
        <v>0.22164573610157212</v>
      </c>
      <c r="V946" s="26">
        <f t="shared" si="31"/>
        <v>4.8047479446449017</v>
      </c>
      <c r="W946" s="3">
        <f>IF(A946=A947,N946-N947,0)</f>
        <v>0</v>
      </c>
      <c r="X946" s="10">
        <f>IF(A946=A947,(N946-N947)/N947,0)</f>
        <v>0</v>
      </c>
    </row>
    <row r="947" spans="1:24" ht="16.5" customHeight="1">
      <c r="A947" s="3" t="s">
        <v>34</v>
      </c>
      <c r="B947" s="3">
        <f t="shared" si="24"/>
        <v>2015</v>
      </c>
      <c r="C947" s="3">
        <f t="shared" si="25"/>
        <v>10</v>
      </c>
      <c r="D947" s="20" t="str">
        <f t="shared" si="26"/>
        <v>LOW201510</v>
      </c>
      <c r="E947" s="2">
        <v>42296</v>
      </c>
      <c r="F947" s="3">
        <v>0.28000000000000003</v>
      </c>
      <c r="G947" s="2">
        <v>42312</v>
      </c>
      <c r="H947" s="3">
        <v>1.4E-2</v>
      </c>
      <c r="I947" s="3">
        <v>0</v>
      </c>
      <c r="J947" s="3">
        <v>0</v>
      </c>
      <c r="K947" s="3">
        <f t="shared" si="27"/>
        <v>2015</v>
      </c>
      <c r="L947" s="3">
        <f t="shared" si="28"/>
        <v>0</v>
      </c>
      <c r="M947" s="20" t="str">
        <f>A947&amp;L947</f>
        <v>LOW0</v>
      </c>
      <c r="N947" s="3">
        <f>F947</f>
        <v>0.28000000000000003</v>
      </c>
      <c r="O947" s="9">
        <f>H947</f>
        <v>1.4E-2</v>
      </c>
      <c r="P947" s="10">
        <f t="shared" si="29"/>
        <v>0</v>
      </c>
      <c r="Q947" s="10">
        <f>IF(K947=0,IF(A944=A947,AVERAGE(O944:O947),"x"),0)</f>
        <v>0</v>
      </c>
      <c r="R947" s="9">
        <f>IF(L947&gt;2005,AVERAGE(O944:O963),0)</f>
        <v>0</v>
      </c>
      <c r="S947" s="10">
        <f>IF(A947=A948,(N947-N948)/N948,0)</f>
        <v>0</v>
      </c>
      <c r="T947" s="10">
        <f>IF(L947&gt;2005,(((N947-N967)/N967)+1)^(1/5)-1,0)</f>
        <v>0</v>
      </c>
      <c r="U947" s="10">
        <f t="shared" si="30"/>
        <v>0</v>
      </c>
      <c r="V947" s="26">
        <f t="shared" si="31"/>
        <v>0</v>
      </c>
      <c r="W947" s="3">
        <f>IF(A947=A948,N947-N948,0)</f>
        <v>0</v>
      </c>
      <c r="X947" s="10">
        <f>IF(A947=A948,(N947-N948)/N948,0)</f>
        <v>0</v>
      </c>
    </row>
    <row r="948" spans="1:24" ht="16.5" customHeight="1">
      <c r="A948" s="3" t="s">
        <v>34</v>
      </c>
      <c r="B948" s="3">
        <f t="shared" si="24"/>
        <v>2015</v>
      </c>
      <c r="C948" s="3">
        <f t="shared" si="25"/>
        <v>7</v>
      </c>
      <c r="D948" s="20" t="str">
        <f t="shared" si="26"/>
        <v>LOW20157</v>
      </c>
      <c r="E948" s="2">
        <v>42205</v>
      </c>
      <c r="F948" s="3">
        <v>0.28000000000000003</v>
      </c>
      <c r="G948" s="2">
        <v>42221</v>
      </c>
      <c r="H948" s="3">
        <v>1.44E-2</v>
      </c>
      <c r="I948" s="3">
        <v>0.21739130400000001</v>
      </c>
      <c r="J948" s="3">
        <v>0.05</v>
      </c>
      <c r="K948" s="3">
        <f t="shared" si="27"/>
        <v>2015</v>
      </c>
      <c r="L948" s="3">
        <f t="shared" si="28"/>
        <v>0</v>
      </c>
      <c r="M948" s="20" t="str">
        <f>A948&amp;L948</f>
        <v>LOW0</v>
      </c>
      <c r="N948" s="3">
        <f>F948</f>
        <v>0.28000000000000003</v>
      </c>
      <c r="O948" s="9">
        <f>H948</f>
        <v>1.44E-2</v>
      </c>
      <c r="P948" s="10">
        <f t="shared" si="29"/>
        <v>1.3950000000000001E-2</v>
      </c>
      <c r="Q948" s="10">
        <f>IF(K948=0,IF(A945=A948,AVERAGE(O945:O948),"x"),0)</f>
        <v>0</v>
      </c>
      <c r="R948" s="9">
        <f>IF(L948&gt;2005,AVERAGE(O945:O964),0)</f>
        <v>0</v>
      </c>
      <c r="S948" s="10">
        <f>IF(A948=A949,(N948-N949)/N949,0)</f>
        <v>0.21739130434782614</v>
      </c>
      <c r="T948" s="10">
        <f>IF(L948&gt;2005,(((N948-N968)/N968)+1)^(1/5)-1,0)</f>
        <v>0</v>
      </c>
      <c r="U948" s="10">
        <f t="shared" si="30"/>
        <v>0</v>
      </c>
      <c r="V948" s="26">
        <f t="shared" si="31"/>
        <v>0</v>
      </c>
      <c r="W948" s="3">
        <f>IF(A948=A949,N948-N949,0)</f>
        <v>5.0000000000000017E-2</v>
      </c>
      <c r="X948" s="10">
        <f>IF(A948=A949,(N948-N949)/N949,0)</f>
        <v>0.21739130434782614</v>
      </c>
    </row>
    <row r="949" spans="1:24" ht="16.5" customHeight="1">
      <c r="A949" s="3" t="s">
        <v>34</v>
      </c>
      <c r="B949" s="3">
        <f t="shared" si="24"/>
        <v>2015</v>
      </c>
      <c r="C949" s="3">
        <f t="shared" si="25"/>
        <v>4</v>
      </c>
      <c r="D949" s="20" t="str">
        <f t="shared" si="26"/>
        <v>LOW20154</v>
      </c>
      <c r="E949" s="2">
        <v>42114</v>
      </c>
      <c r="F949" s="3">
        <v>0.23</v>
      </c>
      <c r="G949" s="2">
        <v>42130</v>
      </c>
      <c r="H949" s="3">
        <v>1.2699999999999999E-2</v>
      </c>
      <c r="I949" s="3">
        <v>0</v>
      </c>
      <c r="J949" s="3">
        <v>0</v>
      </c>
      <c r="K949" s="3">
        <f t="shared" si="27"/>
        <v>2015</v>
      </c>
      <c r="L949" s="3">
        <f t="shared" si="28"/>
        <v>0</v>
      </c>
      <c r="M949" s="20" t="str">
        <f>A949&amp;L949</f>
        <v>LOW0</v>
      </c>
      <c r="N949" s="3">
        <f>F949</f>
        <v>0.23</v>
      </c>
      <c r="O949" s="9">
        <f>H949</f>
        <v>1.2699999999999999E-2</v>
      </c>
      <c r="P949" s="10">
        <f t="shared" si="29"/>
        <v>0</v>
      </c>
      <c r="Q949" s="10">
        <f>IF(K949=0,IF(A946=A949,AVERAGE(O946:O949),"x"),0)</f>
        <v>0</v>
      </c>
      <c r="R949" s="9">
        <f>IF(L949&gt;2005,AVERAGE(O946:O965),0)</f>
        <v>0</v>
      </c>
      <c r="S949" s="10">
        <f>IF(A949=A950,(N949-N950)/N950,0)</f>
        <v>0</v>
      </c>
      <c r="T949" s="10">
        <f>IF(L949&gt;2005,(((N949-N969)/N969)+1)^(1/5)-1,0)</f>
        <v>0</v>
      </c>
      <c r="U949" s="10">
        <f t="shared" si="30"/>
        <v>0</v>
      </c>
      <c r="V949" s="26">
        <f t="shared" si="31"/>
        <v>0</v>
      </c>
      <c r="W949" s="3">
        <f>IF(A949=A950,N949-N950,0)</f>
        <v>0</v>
      </c>
      <c r="X949" s="10">
        <f>IF(A949=A950,(N949-N950)/N950,0)</f>
        <v>0</v>
      </c>
    </row>
    <row r="950" spans="1:24" ht="16.5" customHeight="1">
      <c r="A950" s="3" t="s">
        <v>34</v>
      </c>
      <c r="B950" s="3">
        <f t="shared" si="24"/>
        <v>2015</v>
      </c>
      <c r="C950" s="3">
        <f t="shared" si="25"/>
        <v>1</v>
      </c>
      <c r="D950" s="20" t="str">
        <f t="shared" si="26"/>
        <v>LOW20151</v>
      </c>
      <c r="E950" s="2">
        <v>42020</v>
      </c>
      <c r="F950" s="3">
        <v>0.23</v>
      </c>
      <c r="G950" s="2">
        <v>42039</v>
      </c>
      <c r="H950" s="3">
        <v>1.3100000000000001E-2</v>
      </c>
      <c r="I950" s="3">
        <v>0</v>
      </c>
      <c r="J950" s="3">
        <v>0</v>
      </c>
      <c r="K950" s="3">
        <f t="shared" si="27"/>
        <v>0</v>
      </c>
      <c r="L950" s="3">
        <f t="shared" si="28"/>
        <v>2015</v>
      </c>
      <c r="M950" s="20" t="str">
        <f>A950&amp;L950</f>
        <v>LOW2015</v>
      </c>
      <c r="N950" s="3">
        <f>F950</f>
        <v>0.23</v>
      </c>
      <c r="O950" s="9">
        <f>H950</f>
        <v>1.3100000000000001E-2</v>
      </c>
      <c r="P950" s="10">
        <f t="shared" si="29"/>
        <v>0</v>
      </c>
      <c r="Q950" s="10">
        <f>IF(K950=0,IF(A947=A950,AVERAGE(O947:O950),"x"),0)</f>
        <v>1.355E-2</v>
      </c>
      <c r="R950" s="9">
        <f>IF(L950&gt;2005,AVERAGE(O947:O966),0)</f>
        <v>1.6754999999999999E-2</v>
      </c>
      <c r="S950" s="10">
        <f>IF(A950=A951,(N950-N951)/N951,0)</f>
        <v>0</v>
      </c>
      <c r="T950" s="10">
        <f>IF(L950&gt;2005,(((N950-N970)/N970)+1)^(1/5)-1,0)</f>
        <v>0.20641593598215136</v>
      </c>
      <c r="U950" s="10">
        <f t="shared" si="30"/>
        <v>0.22317093598215135</v>
      </c>
      <c r="V950" s="26">
        <f t="shared" si="31"/>
        <v>4.7982443080110571</v>
      </c>
      <c r="W950" s="3">
        <f>IF(A950=A951,N950-N951,0)</f>
        <v>0</v>
      </c>
      <c r="X950" s="10">
        <f>IF(A950=A951,(N950-N951)/N951,0)</f>
        <v>0</v>
      </c>
    </row>
    <row r="951" spans="1:24" ht="16.5" customHeight="1">
      <c r="A951" s="3" t="s">
        <v>34</v>
      </c>
      <c r="B951" s="3">
        <f t="shared" si="24"/>
        <v>2014</v>
      </c>
      <c r="C951" s="3">
        <f t="shared" si="25"/>
        <v>10</v>
      </c>
      <c r="D951" s="20" t="str">
        <f t="shared" si="26"/>
        <v>LOW201410</v>
      </c>
      <c r="E951" s="2">
        <v>41932</v>
      </c>
      <c r="F951" s="3">
        <v>0.23</v>
      </c>
      <c r="G951" s="2">
        <v>41948</v>
      </c>
      <c r="H951" s="3">
        <v>1.5599999999999999E-2</v>
      </c>
      <c r="I951" s="3">
        <v>0</v>
      </c>
      <c r="J951" s="3">
        <v>0</v>
      </c>
      <c r="K951" s="3">
        <f t="shared" si="27"/>
        <v>2014</v>
      </c>
      <c r="L951" s="3">
        <f t="shared" si="28"/>
        <v>0</v>
      </c>
      <c r="M951" s="20" t="str">
        <f>A951&amp;L951</f>
        <v>LOW0</v>
      </c>
      <c r="N951" s="3">
        <f>F951</f>
        <v>0.23</v>
      </c>
      <c r="O951" s="9">
        <f>H951</f>
        <v>1.5599999999999999E-2</v>
      </c>
      <c r="P951" s="10">
        <f t="shared" si="29"/>
        <v>0</v>
      </c>
      <c r="Q951" s="10">
        <f>IF(K951=0,IF(A948=A951,AVERAGE(O948:O951),"x"),0)</f>
        <v>0</v>
      </c>
      <c r="R951" s="9">
        <f>IF(L951&gt;2005,AVERAGE(O948:O967),0)</f>
        <v>0</v>
      </c>
      <c r="S951" s="10">
        <f>IF(A951=A952,(N951-N952)/N952,0)</f>
        <v>0</v>
      </c>
      <c r="T951" s="10">
        <f>IF(L951&gt;2005,(((N951-N971)/N971)+1)^(1/5)-1,0)</f>
        <v>0</v>
      </c>
      <c r="U951" s="10">
        <f t="shared" si="30"/>
        <v>0</v>
      </c>
      <c r="V951" s="26">
        <f t="shared" si="31"/>
        <v>0</v>
      </c>
      <c r="W951" s="3">
        <f>IF(A951=A952,N951-N952,0)</f>
        <v>0</v>
      </c>
      <c r="X951" s="10">
        <f>IF(A951=A952,(N951-N952)/N952,0)</f>
        <v>0</v>
      </c>
    </row>
    <row r="952" spans="1:24" ht="16.5" customHeight="1">
      <c r="A952" s="3" t="s">
        <v>34</v>
      </c>
      <c r="B952" s="3">
        <f t="shared" si="24"/>
        <v>2014</v>
      </c>
      <c r="C952" s="3">
        <f t="shared" si="25"/>
        <v>7</v>
      </c>
      <c r="D952" s="20" t="str">
        <f t="shared" si="26"/>
        <v>LOW20147</v>
      </c>
      <c r="E952" s="2">
        <v>41841</v>
      </c>
      <c r="F952" s="3">
        <v>0.23</v>
      </c>
      <c r="G952" s="2">
        <v>41857</v>
      </c>
      <c r="H952" s="3">
        <v>1.61E-2</v>
      </c>
      <c r="I952" s="3">
        <v>0.27777777799999998</v>
      </c>
      <c r="J952" s="3">
        <v>0.05</v>
      </c>
      <c r="K952" s="3">
        <f t="shared" si="27"/>
        <v>2014</v>
      </c>
      <c r="L952" s="3">
        <f t="shared" si="28"/>
        <v>0</v>
      </c>
      <c r="M952" s="20" t="str">
        <f>A952&amp;L952</f>
        <v>LOW0</v>
      </c>
      <c r="N952" s="3">
        <f>F952</f>
        <v>0.23</v>
      </c>
      <c r="O952" s="9">
        <f>H952</f>
        <v>1.61E-2</v>
      </c>
      <c r="P952" s="10">
        <f t="shared" si="29"/>
        <v>1.5075E-2</v>
      </c>
      <c r="Q952" s="10">
        <f>IF(K952=0,IF(A949=A952,AVERAGE(O949:O952),"x"),0)</f>
        <v>0</v>
      </c>
      <c r="R952" s="9">
        <f>IF(L952&gt;2005,AVERAGE(O949:O968),0)</f>
        <v>0</v>
      </c>
      <c r="S952" s="10">
        <f>IF(A952=A953,(N952-N953)/N953,0)</f>
        <v>0.2777777777777779</v>
      </c>
      <c r="T952" s="10">
        <f>IF(L952&gt;2005,(((N952-N972)/N972)+1)^(1/5)-1,0)</f>
        <v>0</v>
      </c>
      <c r="U952" s="10">
        <f t="shared" si="30"/>
        <v>0</v>
      </c>
      <c r="V952" s="26">
        <f t="shared" si="31"/>
        <v>0</v>
      </c>
      <c r="W952" s="3">
        <f>IF(A952=A953,N952-N953,0)</f>
        <v>5.0000000000000017E-2</v>
      </c>
      <c r="X952" s="10">
        <f>IF(A952=A953,(N952-N953)/N953,0)</f>
        <v>0.2777777777777779</v>
      </c>
    </row>
    <row r="953" spans="1:24" ht="16.5" customHeight="1">
      <c r="A953" s="3" t="s">
        <v>34</v>
      </c>
      <c r="B953" s="3">
        <f t="shared" si="24"/>
        <v>2014</v>
      </c>
      <c r="C953" s="3">
        <f t="shared" si="25"/>
        <v>4</v>
      </c>
      <c r="D953" s="20" t="str">
        <f t="shared" si="26"/>
        <v>LOW20144</v>
      </c>
      <c r="E953" s="2">
        <v>41750</v>
      </c>
      <c r="F953" s="3">
        <v>0.18</v>
      </c>
      <c r="G953" s="2">
        <v>41766</v>
      </c>
      <c r="H953" s="3">
        <v>1.54E-2</v>
      </c>
      <c r="I953" s="3">
        <v>0</v>
      </c>
      <c r="J953" s="3">
        <v>0</v>
      </c>
      <c r="K953" s="3">
        <f t="shared" si="27"/>
        <v>2014</v>
      </c>
      <c r="L953" s="3">
        <f t="shared" si="28"/>
        <v>0</v>
      </c>
      <c r="M953" s="20" t="str">
        <f>A953&amp;L953</f>
        <v>LOW0</v>
      </c>
      <c r="N953" s="3">
        <f>F953</f>
        <v>0.18</v>
      </c>
      <c r="O953" s="9">
        <f>H953</f>
        <v>1.54E-2</v>
      </c>
      <c r="P953" s="10">
        <f t="shared" si="29"/>
        <v>0</v>
      </c>
      <c r="Q953" s="10">
        <f>IF(K953=0,IF(A950=A953,AVERAGE(O950:O953),"x"),0)</f>
        <v>0</v>
      </c>
      <c r="R953" s="9">
        <f>IF(L953&gt;2005,AVERAGE(O950:O969),0)</f>
        <v>0</v>
      </c>
      <c r="S953" s="10">
        <f>IF(A953=A954,(N953-N954)/N954,0)</f>
        <v>0</v>
      </c>
      <c r="T953" s="10">
        <f>IF(L953&gt;2005,(((N953-N973)/N973)+1)^(1/5)-1,0)</f>
        <v>0</v>
      </c>
      <c r="U953" s="10">
        <f t="shared" si="30"/>
        <v>0</v>
      </c>
      <c r="V953" s="26">
        <f t="shared" si="31"/>
        <v>0</v>
      </c>
      <c r="W953" s="3">
        <f>IF(A953=A954,N953-N954,0)</f>
        <v>0</v>
      </c>
      <c r="X953" s="10">
        <f>IF(A953=A954,(N953-N954)/N954,0)</f>
        <v>0</v>
      </c>
    </row>
    <row r="954" spans="1:24" ht="16.5" customHeight="1">
      <c r="A954" s="3" t="s">
        <v>34</v>
      </c>
      <c r="B954" s="3">
        <f t="shared" si="24"/>
        <v>2014</v>
      </c>
      <c r="C954" s="3">
        <f t="shared" si="25"/>
        <v>1</v>
      </c>
      <c r="D954" s="20" t="str">
        <f t="shared" si="26"/>
        <v>LOW20141</v>
      </c>
      <c r="E954" s="2">
        <v>41656</v>
      </c>
      <c r="F954" s="3">
        <v>0.18</v>
      </c>
      <c r="G954" s="2">
        <v>41675</v>
      </c>
      <c r="H954" s="3">
        <v>1.4500000000000001E-2</v>
      </c>
      <c r="I954" s="3">
        <v>0</v>
      </c>
      <c r="J954" s="3">
        <v>0</v>
      </c>
      <c r="K954" s="3">
        <f t="shared" si="27"/>
        <v>0</v>
      </c>
      <c r="L954" s="3">
        <f t="shared" si="28"/>
        <v>2014</v>
      </c>
      <c r="M954" s="20" t="str">
        <f>A954&amp;L954</f>
        <v>LOW2014</v>
      </c>
      <c r="N954" s="3">
        <f>F954</f>
        <v>0.18</v>
      </c>
      <c r="O954" s="9">
        <f>H954</f>
        <v>1.4500000000000001E-2</v>
      </c>
      <c r="P954" s="10">
        <f t="shared" si="29"/>
        <v>0</v>
      </c>
      <c r="Q954" s="10">
        <f>IF(K954=0,IF(A951=A954,AVERAGE(O951:O954),"x"),0)</f>
        <v>1.54E-2</v>
      </c>
      <c r="R954" s="9">
        <f>IF(L954&gt;2005,AVERAGE(O951:O970),0)</f>
        <v>1.7374999999999998E-2</v>
      </c>
      <c r="S954" s="10">
        <f>IF(A954=A955,(N954-N955)/N955,0)</f>
        <v>0</v>
      </c>
      <c r="T954" s="10">
        <f>IF(L954&gt;2005,(((N954-N974)/N974)+1)^(1/5)-1,0)</f>
        <v>0.16190525490598984</v>
      </c>
      <c r="U954" s="10">
        <f t="shared" si="30"/>
        <v>0.17928025490598984</v>
      </c>
      <c r="V954" s="26">
        <f t="shared" si="31"/>
        <v>4.7832904188048611</v>
      </c>
      <c r="W954" s="3">
        <f>IF(A954=A955,N954-N955,0)</f>
        <v>0</v>
      </c>
      <c r="X954" s="10">
        <f>IF(A954=A955,(N954-N955)/N955,0)</f>
        <v>0</v>
      </c>
    </row>
    <row r="955" spans="1:24" ht="16.5" customHeight="1">
      <c r="A955" s="3" t="s">
        <v>34</v>
      </c>
      <c r="B955" s="3">
        <f t="shared" si="24"/>
        <v>2013</v>
      </c>
      <c r="C955" s="3">
        <f t="shared" si="25"/>
        <v>10</v>
      </c>
      <c r="D955" s="20" t="str">
        <f t="shared" si="26"/>
        <v>LOW201310</v>
      </c>
      <c r="E955" s="2">
        <v>41568</v>
      </c>
      <c r="F955" s="3">
        <v>0.18</v>
      </c>
      <c r="G955" s="2">
        <v>41584</v>
      </c>
      <c r="H955" s="3">
        <v>1.43E-2</v>
      </c>
      <c r="I955" s="3">
        <v>0</v>
      </c>
      <c r="J955" s="3">
        <v>0</v>
      </c>
      <c r="K955" s="3">
        <f t="shared" si="27"/>
        <v>2013</v>
      </c>
      <c r="L955" s="3">
        <f t="shared" si="28"/>
        <v>0</v>
      </c>
      <c r="M955" s="20" t="str">
        <f>A955&amp;L955</f>
        <v>LOW0</v>
      </c>
      <c r="N955" s="3">
        <f>F955</f>
        <v>0.18</v>
      </c>
      <c r="O955" s="9">
        <f>H955</f>
        <v>1.43E-2</v>
      </c>
      <c r="P955" s="10">
        <f t="shared" si="29"/>
        <v>0</v>
      </c>
      <c r="Q955" s="10">
        <f>IF(K955=0,IF(A952=A955,AVERAGE(O952:O955),"x"),0)</f>
        <v>0</v>
      </c>
      <c r="R955" s="9">
        <f>IF(L955&gt;2005,AVERAGE(O952:O971),0)</f>
        <v>0</v>
      </c>
      <c r="S955" s="10">
        <f>IF(A955=A956,(N955-N956)/N956,0)</f>
        <v>0</v>
      </c>
      <c r="T955" s="10">
        <f>IF(L955&gt;2005,(((N955-N975)/N975)+1)^(1/5)-1,0)</f>
        <v>0</v>
      </c>
      <c r="U955" s="10">
        <f t="shared" si="30"/>
        <v>0</v>
      </c>
      <c r="V955" s="26">
        <f t="shared" si="31"/>
        <v>0</v>
      </c>
      <c r="W955" s="3">
        <f>IF(A955=A956,N955-N956,0)</f>
        <v>0</v>
      </c>
      <c r="X955" s="10">
        <f>IF(A955=A956,(N955-N956)/N956,0)</f>
        <v>0</v>
      </c>
    </row>
    <row r="956" spans="1:24" ht="16.5" customHeight="1">
      <c r="A956" s="3" t="s">
        <v>34</v>
      </c>
      <c r="B956" s="3">
        <f t="shared" si="24"/>
        <v>2013</v>
      </c>
      <c r="C956" s="3">
        <f t="shared" si="25"/>
        <v>7</v>
      </c>
      <c r="D956" s="20" t="str">
        <f t="shared" si="26"/>
        <v>LOW20137</v>
      </c>
      <c r="E956" s="2">
        <v>41477</v>
      </c>
      <c r="F956" s="3">
        <v>0.18</v>
      </c>
      <c r="G956" s="2">
        <v>41493</v>
      </c>
      <c r="H956" s="3">
        <v>1.49E-2</v>
      </c>
      <c r="I956" s="3">
        <v>0.125</v>
      </c>
      <c r="J956" s="3">
        <v>0.02</v>
      </c>
      <c r="K956" s="3">
        <f t="shared" si="27"/>
        <v>2013</v>
      </c>
      <c r="L956" s="3">
        <f t="shared" si="28"/>
        <v>0</v>
      </c>
      <c r="M956" s="20" t="str">
        <f>A956&amp;L956</f>
        <v>LOW0</v>
      </c>
      <c r="N956" s="3">
        <f>F956</f>
        <v>0.18</v>
      </c>
      <c r="O956" s="9">
        <f>H956</f>
        <v>1.49E-2</v>
      </c>
      <c r="P956" s="10">
        <f t="shared" si="29"/>
        <v>1.6725E-2</v>
      </c>
      <c r="Q956" s="10">
        <f>IF(K956=0,IF(A953=A956,AVERAGE(O953:O956),"x"),0)</f>
        <v>0</v>
      </c>
      <c r="R956" s="9">
        <f>IF(L956&gt;2005,AVERAGE(O953:O972),0)</f>
        <v>0</v>
      </c>
      <c r="S956" s="10">
        <f>IF(A956=A957,(N956-N957)/N957,0)</f>
        <v>0.12499999999999993</v>
      </c>
      <c r="T956" s="10">
        <f>IF(L956&gt;2005,(((N956-N976)/N976)+1)^(1/5)-1,0)</f>
        <v>0</v>
      </c>
      <c r="U956" s="10">
        <f t="shared" si="30"/>
        <v>0</v>
      </c>
      <c r="V956" s="26">
        <f t="shared" si="31"/>
        <v>0</v>
      </c>
      <c r="W956" s="3">
        <f>IF(A956=A957,N956-N957,0)</f>
        <v>1.999999999999999E-2</v>
      </c>
      <c r="X956" s="10">
        <f>IF(A956=A957,(N956-N957)/N957,0)</f>
        <v>0.12499999999999993</v>
      </c>
    </row>
    <row r="957" spans="1:24" ht="16.5" customHeight="1">
      <c r="A957" s="3" t="s">
        <v>34</v>
      </c>
      <c r="B957" s="3">
        <f t="shared" si="24"/>
        <v>2013</v>
      </c>
      <c r="C957" s="3">
        <f t="shared" si="25"/>
        <v>4</v>
      </c>
      <c r="D957" s="20" t="str">
        <f t="shared" si="26"/>
        <v>LOW20134</v>
      </c>
      <c r="E957" s="2">
        <v>41386</v>
      </c>
      <c r="F957" s="3">
        <v>0.16</v>
      </c>
      <c r="G957" s="2">
        <v>41402</v>
      </c>
      <c r="H957" s="3">
        <v>1.6799999999999999E-2</v>
      </c>
      <c r="I957" s="3">
        <v>0</v>
      </c>
      <c r="J957" s="3">
        <v>0</v>
      </c>
      <c r="K957" s="3">
        <f t="shared" si="27"/>
        <v>2013</v>
      </c>
      <c r="L957" s="3">
        <f t="shared" si="28"/>
        <v>0</v>
      </c>
      <c r="M957" s="20" t="str">
        <f>A957&amp;L957</f>
        <v>LOW0</v>
      </c>
      <c r="N957" s="3">
        <f>F957</f>
        <v>0.16</v>
      </c>
      <c r="O957" s="9">
        <f>H957</f>
        <v>1.6799999999999999E-2</v>
      </c>
      <c r="P957" s="10">
        <f t="shared" si="29"/>
        <v>0</v>
      </c>
      <c r="Q957" s="10">
        <f>IF(K957=0,IF(A954=A957,AVERAGE(O954:O957),"x"),0)</f>
        <v>0</v>
      </c>
      <c r="R957" s="9">
        <f>IF(L957&gt;2005,AVERAGE(O954:O973),0)</f>
        <v>0</v>
      </c>
      <c r="S957" s="10">
        <f>IF(A957=A958,(N957-N958)/N958,0)</f>
        <v>0</v>
      </c>
      <c r="T957" s="10">
        <f>IF(L957&gt;2005,(((N957-N977)/N977)+1)^(1/5)-1,0)</f>
        <v>0</v>
      </c>
      <c r="U957" s="10">
        <f t="shared" si="30"/>
        <v>0</v>
      </c>
      <c r="V957" s="26">
        <f t="shared" si="31"/>
        <v>0</v>
      </c>
      <c r="W957" s="3">
        <f>IF(A957=A958,N957-N958,0)</f>
        <v>0</v>
      </c>
      <c r="X957" s="10">
        <f>IF(A957=A958,(N957-N958)/N958,0)</f>
        <v>0</v>
      </c>
    </row>
    <row r="958" spans="1:24" ht="16.5" customHeight="1">
      <c r="A958" s="3" t="s">
        <v>34</v>
      </c>
      <c r="B958" s="3">
        <f t="shared" si="24"/>
        <v>2013</v>
      </c>
      <c r="C958" s="3">
        <f t="shared" si="25"/>
        <v>1</v>
      </c>
      <c r="D958" s="20" t="str">
        <f t="shared" si="26"/>
        <v>LOW20131</v>
      </c>
      <c r="E958" s="2">
        <v>41292</v>
      </c>
      <c r="F958" s="3">
        <v>0.16</v>
      </c>
      <c r="G958" s="2">
        <v>41311</v>
      </c>
      <c r="H958" s="3">
        <v>1.6799999999999999E-2</v>
      </c>
      <c r="I958" s="3">
        <v>0</v>
      </c>
      <c r="J958" s="3">
        <v>0</v>
      </c>
      <c r="K958" s="3">
        <f t="shared" si="27"/>
        <v>0</v>
      </c>
      <c r="L958" s="3">
        <f t="shared" si="28"/>
        <v>2013</v>
      </c>
      <c r="M958" s="20" t="str">
        <f>A958&amp;L958</f>
        <v>LOW2013</v>
      </c>
      <c r="N958" s="3">
        <f>F958</f>
        <v>0.16</v>
      </c>
      <c r="O958" s="9">
        <f>H958</f>
        <v>1.6799999999999999E-2</v>
      </c>
      <c r="P958" s="10">
        <f t="shared" si="29"/>
        <v>0</v>
      </c>
      <c r="Q958" s="10">
        <f>IF(K958=0,IF(A955=A958,AVERAGE(O955:O958),"x"),0)</f>
        <v>1.5699999999999999E-2</v>
      </c>
      <c r="R958" s="9">
        <f>IF(L958&gt;2005,AVERAGE(O955:O974),0)</f>
        <v>1.7669999999999998E-2</v>
      </c>
      <c r="S958" s="10">
        <f>IF(A958=A959,(N958-N959)/N959,0)</f>
        <v>0</v>
      </c>
      <c r="T958" s="10">
        <f>IF(L958&gt;2005,(((N958-N978)/N978)+1)^(1/5)-1,0)</f>
        <v>0.1486983549970351</v>
      </c>
      <c r="U958" s="10">
        <f t="shared" si="30"/>
        <v>0.16636835499703509</v>
      </c>
      <c r="V958" s="26">
        <f t="shared" si="31"/>
        <v>4.7772945412749497</v>
      </c>
      <c r="W958" s="3">
        <f>IF(A958=A959,N958-N959,0)</f>
        <v>0</v>
      </c>
      <c r="X958" s="10">
        <f>IF(A958=A959,(N958-N959)/N959,0)</f>
        <v>0</v>
      </c>
    </row>
    <row r="959" spans="1:24" ht="16.5" customHeight="1">
      <c r="A959" s="3" t="s">
        <v>34</v>
      </c>
      <c r="B959" s="3">
        <f t="shared" si="24"/>
        <v>2012</v>
      </c>
      <c r="C959" s="3">
        <f t="shared" si="25"/>
        <v>10</v>
      </c>
      <c r="D959" s="20" t="str">
        <f t="shared" si="26"/>
        <v>LOW201210</v>
      </c>
      <c r="E959" s="2">
        <v>41204</v>
      </c>
      <c r="F959" s="3">
        <v>0.16</v>
      </c>
      <c r="G959" s="2">
        <v>41220</v>
      </c>
      <c r="H959" s="3">
        <v>1.84E-2</v>
      </c>
      <c r="I959" s="3">
        <v>0</v>
      </c>
      <c r="J959" s="3">
        <v>0</v>
      </c>
      <c r="K959" s="3">
        <f t="shared" si="27"/>
        <v>2012</v>
      </c>
      <c r="L959" s="3">
        <f t="shared" si="28"/>
        <v>0</v>
      </c>
      <c r="M959" s="20" t="str">
        <f>A959&amp;L959</f>
        <v>LOW0</v>
      </c>
      <c r="N959" s="3">
        <f>F959</f>
        <v>0.16</v>
      </c>
      <c r="O959" s="9">
        <f>H959</f>
        <v>1.84E-2</v>
      </c>
      <c r="P959" s="10">
        <f t="shared" si="29"/>
        <v>0</v>
      </c>
      <c r="Q959" s="10">
        <f>IF(K959=0,IF(A956=A959,AVERAGE(O956:O959),"x"),0)</f>
        <v>0</v>
      </c>
      <c r="R959" s="9">
        <f>IF(L959&gt;2005,AVERAGE(O956:O975),0)</f>
        <v>0</v>
      </c>
      <c r="S959" s="10">
        <f>IF(A959=A960,(N959-N960)/N960,0)</f>
        <v>0</v>
      </c>
      <c r="T959" s="10">
        <f>IF(L959&gt;2005,(((N959-N979)/N979)+1)^(1/5)-1,0)</f>
        <v>0</v>
      </c>
      <c r="U959" s="10">
        <f t="shared" si="30"/>
        <v>0</v>
      </c>
      <c r="V959" s="26">
        <f t="shared" si="31"/>
        <v>0</v>
      </c>
      <c r="W959" s="3">
        <f>IF(A959=A960,N959-N960,0)</f>
        <v>0</v>
      </c>
      <c r="X959" s="10">
        <f>IF(A959=A960,(N959-N960)/N960,0)</f>
        <v>0</v>
      </c>
    </row>
    <row r="960" spans="1:24" ht="16.5" customHeight="1">
      <c r="A960" s="3" t="s">
        <v>34</v>
      </c>
      <c r="B960" s="3">
        <f t="shared" si="24"/>
        <v>2012</v>
      </c>
      <c r="C960" s="3">
        <f t="shared" si="25"/>
        <v>7</v>
      </c>
      <c r="D960" s="20" t="str">
        <f t="shared" si="26"/>
        <v>LOW20127</v>
      </c>
      <c r="E960" s="2">
        <v>41113</v>
      </c>
      <c r="F960" s="3">
        <v>0.16</v>
      </c>
      <c r="G960" s="2">
        <v>41129</v>
      </c>
      <c r="H960" s="3">
        <v>2.2499999999999999E-2</v>
      </c>
      <c r="I960" s="3">
        <v>0.14285714299999999</v>
      </c>
      <c r="J960" s="3">
        <v>0.02</v>
      </c>
      <c r="K960" s="3">
        <f t="shared" si="27"/>
        <v>2012</v>
      </c>
      <c r="L960" s="3">
        <f t="shared" si="28"/>
        <v>0</v>
      </c>
      <c r="M960" s="20" t="str">
        <f>A960&amp;L960</f>
        <v>LOW0</v>
      </c>
      <c r="N960" s="3">
        <f>F960</f>
        <v>0.16</v>
      </c>
      <c r="O960" s="9">
        <f>H960</f>
        <v>2.2499999999999999E-2</v>
      </c>
      <c r="P960" s="10">
        <f t="shared" si="29"/>
        <v>2.1025000000000002E-2</v>
      </c>
      <c r="Q960" s="10">
        <f>IF(K960=0,IF(A957=A960,AVERAGE(O957:O960),"x"),0)</f>
        <v>0</v>
      </c>
      <c r="R960" s="9">
        <f>IF(L960&gt;2005,AVERAGE(O957:O976),0)</f>
        <v>0</v>
      </c>
      <c r="S960" s="10">
        <f>IF(A960=A961,(N960-N961)/N961,0)</f>
        <v>0.14285714285714277</v>
      </c>
      <c r="T960" s="10">
        <f>IF(L960&gt;2005,(((N960-N980)/N980)+1)^(1/5)-1,0)</f>
        <v>0</v>
      </c>
      <c r="U960" s="10">
        <f t="shared" si="30"/>
        <v>0</v>
      </c>
      <c r="V960" s="26">
        <f t="shared" si="31"/>
        <v>0</v>
      </c>
      <c r="W960" s="3">
        <f>IF(A960=A961,N960-N961,0)</f>
        <v>1.999999999999999E-2</v>
      </c>
      <c r="X960" s="10">
        <f>IF(A960=A961,(N960-N961)/N961,0)</f>
        <v>0.14285714285714277</v>
      </c>
    </row>
    <row r="961" spans="1:24" ht="16.5" customHeight="1">
      <c r="A961" s="3" t="s">
        <v>34</v>
      </c>
      <c r="B961" s="3">
        <f t="shared" si="24"/>
        <v>2012</v>
      </c>
      <c r="C961" s="3">
        <f t="shared" si="25"/>
        <v>4</v>
      </c>
      <c r="D961" s="20" t="str">
        <f t="shared" si="26"/>
        <v>LOW20124</v>
      </c>
      <c r="E961" s="2">
        <v>41022</v>
      </c>
      <c r="F961" s="3">
        <v>0.14000000000000001</v>
      </c>
      <c r="G961" s="2">
        <v>41038</v>
      </c>
      <c r="H961" s="3">
        <v>1.77E-2</v>
      </c>
      <c r="I961" s="3">
        <v>0</v>
      </c>
      <c r="J961" s="3">
        <v>0</v>
      </c>
      <c r="K961" s="3">
        <f t="shared" si="27"/>
        <v>2012</v>
      </c>
      <c r="L961" s="3">
        <f t="shared" si="28"/>
        <v>0</v>
      </c>
      <c r="M961" s="20" t="str">
        <f>A961&amp;L961</f>
        <v>LOW0</v>
      </c>
      <c r="N961" s="3">
        <f>F961</f>
        <v>0.14000000000000001</v>
      </c>
      <c r="O961" s="9">
        <f>H961</f>
        <v>1.77E-2</v>
      </c>
      <c r="P961" s="10">
        <f t="shared" si="29"/>
        <v>0</v>
      </c>
      <c r="Q961" s="10">
        <f>IF(K961=0,IF(A958=A961,AVERAGE(O958:O961),"x"),0)</f>
        <v>0</v>
      </c>
      <c r="R961" s="9">
        <f>IF(L961&gt;2005,AVERAGE(O958:O977),0)</f>
        <v>0</v>
      </c>
      <c r="S961" s="10">
        <f>IF(A961=A962,(N961-N962)/N962,0)</f>
        <v>0</v>
      </c>
      <c r="T961" s="10">
        <f>IF(L961&gt;2005,(((N961-N981)/N981)+1)^(1/5)-1,0)</f>
        <v>0</v>
      </c>
      <c r="U961" s="10">
        <f t="shared" si="30"/>
        <v>0</v>
      </c>
      <c r="V961" s="26">
        <f t="shared" si="31"/>
        <v>0</v>
      </c>
      <c r="W961" s="3">
        <f>IF(A961=A962,N961-N962,0)</f>
        <v>0</v>
      </c>
      <c r="X961" s="10">
        <f>IF(A961=A962,(N961-N962)/N962,0)</f>
        <v>0</v>
      </c>
    </row>
    <row r="962" spans="1:24" ht="16.5" customHeight="1">
      <c r="A962" s="3" t="s">
        <v>34</v>
      </c>
      <c r="B962" s="3">
        <f t="shared" si="24"/>
        <v>2012</v>
      </c>
      <c r="C962" s="3">
        <f t="shared" si="25"/>
        <v>1</v>
      </c>
      <c r="D962" s="20" t="str">
        <f t="shared" si="26"/>
        <v>LOW20121</v>
      </c>
      <c r="E962" s="2">
        <v>40931</v>
      </c>
      <c r="F962" s="3">
        <v>0.14000000000000001</v>
      </c>
      <c r="G962" s="2">
        <v>40947</v>
      </c>
      <c r="H962" s="3">
        <v>0.02</v>
      </c>
      <c r="I962" s="3">
        <v>0</v>
      </c>
      <c r="J962" s="3">
        <v>0</v>
      </c>
      <c r="K962" s="3">
        <f t="shared" si="27"/>
        <v>0</v>
      </c>
      <c r="L962" s="3">
        <f t="shared" si="28"/>
        <v>2012</v>
      </c>
      <c r="M962" s="20" t="str">
        <f>A962&amp;L962</f>
        <v>LOW2012</v>
      </c>
      <c r="N962" s="3">
        <f>F962</f>
        <v>0.14000000000000001</v>
      </c>
      <c r="O962" s="9">
        <f>H962</f>
        <v>0.02</v>
      </c>
      <c r="P962" s="10">
        <f t="shared" si="29"/>
        <v>0</v>
      </c>
      <c r="Q962" s="10">
        <f>IF(K962=0,IF(A959=A962,AVERAGE(O959:O962),"x"),0)</f>
        <v>1.9650000000000001E-2</v>
      </c>
      <c r="R962" s="9">
        <f>IF(L962&gt;2005,AVERAGE(O959:O978),0)</f>
        <v>1.7639999999999999E-2</v>
      </c>
      <c r="S962" s="10">
        <f>IF(A962=A963,(N962-N963)/N963,0)</f>
        <v>0</v>
      </c>
      <c r="T962" s="10">
        <f>IF(L962&gt;2005,(((N962-N982)/N982)+1)^(1/5)-1,0)</f>
        <v>0.22865967908314722</v>
      </c>
      <c r="U962" s="10">
        <f t="shared" si="30"/>
        <v>0.2462996790831472</v>
      </c>
      <c r="V962" s="26">
        <f t="shared" si="31"/>
        <v>4.791655877471765</v>
      </c>
      <c r="W962" s="3">
        <f>IF(A962=A963,N962-N963,0)</f>
        <v>0</v>
      </c>
      <c r="X962" s="10">
        <f>IF(A962=A963,(N962-N963)/N963,0)</f>
        <v>0</v>
      </c>
    </row>
    <row r="963" spans="1:24" ht="16.5" customHeight="1">
      <c r="A963" s="3" t="s">
        <v>34</v>
      </c>
      <c r="B963" s="3">
        <f t="shared" si="24"/>
        <v>2011</v>
      </c>
      <c r="C963" s="3">
        <f t="shared" si="25"/>
        <v>10</v>
      </c>
      <c r="D963" s="20" t="str">
        <f t="shared" si="26"/>
        <v>LOW201110</v>
      </c>
      <c r="E963" s="2">
        <v>40833</v>
      </c>
      <c r="F963" s="3">
        <v>0.14000000000000001</v>
      </c>
      <c r="G963" s="2">
        <v>40849</v>
      </c>
      <c r="H963" s="3">
        <v>2.3900000000000001E-2</v>
      </c>
      <c r="I963" s="3">
        <v>0</v>
      </c>
      <c r="J963" s="3">
        <v>0</v>
      </c>
      <c r="K963" s="3">
        <f t="shared" si="27"/>
        <v>2011</v>
      </c>
      <c r="L963" s="3">
        <f t="shared" si="28"/>
        <v>0</v>
      </c>
      <c r="M963" s="20" t="str">
        <f>A963&amp;L963</f>
        <v>LOW0</v>
      </c>
      <c r="N963" s="3">
        <f>F963</f>
        <v>0.14000000000000001</v>
      </c>
      <c r="O963" s="9">
        <f>H963</f>
        <v>2.3900000000000001E-2</v>
      </c>
      <c r="P963" s="10">
        <f t="shared" si="29"/>
        <v>0</v>
      </c>
      <c r="Q963" s="10">
        <f>IF(K963=0,IF(A960=A963,AVERAGE(O960:O963),"x"),0)</f>
        <v>0</v>
      </c>
      <c r="R963" s="9">
        <f>IF(L963&gt;2005,AVERAGE(O960:O979),0)</f>
        <v>0</v>
      </c>
      <c r="S963" s="10">
        <f>IF(A963=A964,(N963-N964)/N964,0)</f>
        <v>0</v>
      </c>
      <c r="T963" s="10">
        <f>IF(L963&gt;2005,(((N963-N983)/N983)+1)^(1/5)-1,0)</f>
        <v>0</v>
      </c>
      <c r="U963" s="10">
        <f t="shared" si="30"/>
        <v>0</v>
      </c>
      <c r="V963" s="26">
        <f t="shared" si="31"/>
        <v>0</v>
      </c>
      <c r="W963" s="3">
        <f>IF(A963=A964,N963-N964,0)</f>
        <v>0</v>
      </c>
      <c r="X963" s="10">
        <f>IF(A963=A964,(N963-N964)/N964,0)</f>
        <v>0</v>
      </c>
    </row>
    <row r="964" spans="1:24" ht="16.5" customHeight="1">
      <c r="A964" s="3" t="s">
        <v>34</v>
      </c>
      <c r="B964" s="3">
        <f t="shared" si="24"/>
        <v>2011</v>
      </c>
      <c r="C964" s="3">
        <f t="shared" si="25"/>
        <v>7</v>
      </c>
      <c r="D964" s="20" t="str">
        <f t="shared" si="26"/>
        <v>LOW20117</v>
      </c>
      <c r="E964" s="2">
        <v>40742</v>
      </c>
      <c r="F964" s="3">
        <v>0.14000000000000001</v>
      </c>
      <c r="G964" s="2">
        <v>40758</v>
      </c>
      <c r="H964" s="3">
        <v>2.06E-2</v>
      </c>
      <c r="I964" s="3">
        <v>0.27272727299999999</v>
      </c>
      <c r="J964" s="3">
        <v>0.03</v>
      </c>
      <c r="K964" s="3">
        <f t="shared" si="27"/>
        <v>2011</v>
      </c>
      <c r="L964" s="3">
        <f t="shared" si="28"/>
        <v>0</v>
      </c>
      <c r="M964" s="20" t="str">
        <f>A964&amp;L964</f>
        <v>LOW0</v>
      </c>
      <c r="N964" s="3">
        <f>F964</f>
        <v>0.14000000000000001</v>
      </c>
      <c r="O964" s="9">
        <f>H964</f>
        <v>2.06E-2</v>
      </c>
      <c r="P964" s="10">
        <f t="shared" si="29"/>
        <v>1.8149999999999999E-2</v>
      </c>
      <c r="Q964" s="10">
        <f>IF(K964=0,IF(A961=A964,AVERAGE(O961:O964),"x"),0)</f>
        <v>0</v>
      </c>
      <c r="R964" s="9">
        <f>IF(L964&gt;2005,AVERAGE(O961:O980),0)</f>
        <v>0</v>
      </c>
      <c r="S964" s="10">
        <f>IF(A964=A965,(N964-N965)/N965,0)</f>
        <v>0.27272727272727282</v>
      </c>
      <c r="T964" s="10">
        <f>IF(L964&gt;2005,(((N964-N984)/N984)+1)^(1/5)-1,0)</f>
        <v>0</v>
      </c>
      <c r="U964" s="10">
        <f t="shared" si="30"/>
        <v>0</v>
      </c>
      <c r="V964" s="26">
        <f t="shared" si="31"/>
        <v>0</v>
      </c>
      <c r="W964" s="3">
        <f>IF(A964=A965,N964-N965,0)</f>
        <v>3.0000000000000013E-2</v>
      </c>
      <c r="X964" s="10">
        <f>IF(A964=A965,(N964-N965)/N965,0)</f>
        <v>0.27272727272727282</v>
      </c>
    </row>
    <row r="965" spans="1:24" ht="16.5" customHeight="1">
      <c r="A965" s="3" t="s">
        <v>34</v>
      </c>
      <c r="B965" s="3">
        <f t="shared" si="24"/>
        <v>2011</v>
      </c>
      <c r="C965" s="3">
        <f t="shared" si="25"/>
        <v>4</v>
      </c>
      <c r="D965" s="20" t="str">
        <f t="shared" si="26"/>
        <v>LOW20114</v>
      </c>
      <c r="E965" s="2">
        <v>40651</v>
      </c>
      <c r="F965" s="3">
        <v>0.11</v>
      </c>
      <c r="G965" s="2">
        <v>40667</v>
      </c>
      <c r="H965" s="3">
        <v>1.6299999999999999E-2</v>
      </c>
      <c r="I965" s="3">
        <v>0</v>
      </c>
      <c r="J965" s="3">
        <v>0</v>
      </c>
      <c r="K965" s="3">
        <f t="shared" si="27"/>
        <v>2011</v>
      </c>
      <c r="L965" s="3">
        <f t="shared" si="28"/>
        <v>0</v>
      </c>
      <c r="M965" s="20" t="str">
        <f>A965&amp;L965</f>
        <v>LOW0</v>
      </c>
      <c r="N965" s="3">
        <f>F965</f>
        <v>0.11</v>
      </c>
      <c r="O965" s="9">
        <f>H965</f>
        <v>1.6299999999999999E-2</v>
      </c>
      <c r="P965" s="10">
        <f t="shared" si="29"/>
        <v>0</v>
      </c>
      <c r="Q965" s="10">
        <f>IF(K965=0,IF(A962=A965,AVERAGE(O962:O965),"x"),0)</f>
        <v>0</v>
      </c>
      <c r="R965" s="9">
        <f>IF(L965&gt;2005,AVERAGE(O962:O981),0)</f>
        <v>0</v>
      </c>
      <c r="S965" s="10">
        <f>IF(A965=A966,(N965-N966)/N966,0)</f>
        <v>0</v>
      </c>
      <c r="T965" s="10">
        <f>IF(L965&gt;2005,(((N965-N985)/N985)+1)^(1/5)-1,0)</f>
        <v>0</v>
      </c>
      <c r="U965" s="10">
        <f t="shared" si="30"/>
        <v>0</v>
      </c>
      <c r="V965" s="26">
        <f t="shared" si="31"/>
        <v>0</v>
      </c>
      <c r="W965" s="3">
        <f>IF(A965=A966,N965-N966,0)</f>
        <v>0</v>
      </c>
      <c r="X965" s="10">
        <f>IF(A965=A966,(N965-N966)/N966,0)</f>
        <v>0</v>
      </c>
    </row>
    <row r="966" spans="1:24" ht="16.5" customHeight="1">
      <c r="A966" s="3" t="s">
        <v>34</v>
      </c>
      <c r="B966" s="3">
        <f t="shared" si="24"/>
        <v>2011</v>
      </c>
      <c r="C966" s="3">
        <f t="shared" si="25"/>
        <v>1</v>
      </c>
      <c r="D966" s="20" t="str">
        <f t="shared" si="26"/>
        <v>LOW20111</v>
      </c>
      <c r="E966" s="2">
        <v>40557</v>
      </c>
      <c r="F966" s="3">
        <v>0.11</v>
      </c>
      <c r="G966" s="2">
        <v>40576</v>
      </c>
      <c r="H966" s="3">
        <v>1.7100000000000001E-2</v>
      </c>
      <c r="I966" s="3">
        <v>0</v>
      </c>
      <c r="J966" s="3">
        <v>0</v>
      </c>
      <c r="K966" s="3">
        <f t="shared" si="27"/>
        <v>0</v>
      </c>
      <c r="L966" s="3">
        <f t="shared" si="28"/>
        <v>2011</v>
      </c>
      <c r="M966" s="20" t="str">
        <f>A966&amp;L966</f>
        <v>LOW2011</v>
      </c>
      <c r="N966" s="3">
        <f>F966</f>
        <v>0.11</v>
      </c>
      <c r="O966" s="9">
        <f>H966</f>
        <v>1.7100000000000001E-2</v>
      </c>
      <c r="P966" s="10">
        <f t="shared" si="29"/>
        <v>0</v>
      </c>
      <c r="Q966" s="10">
        <f>IF(K966=0,IF(A963=A966,AVERAGE(O963:O966),"x"),0)</f>
        <v>1.9474999999999999E-2</v>
      </c>
      <c r="R966" s="9">
        <f>IF(L966&gt;2005,AVERAGE(O963:O982),0)</f>
        <v>1.5150000000000005E-2</v>
      </c>
      <c r="S966" s="10">
        <f>IF(A966=A967,(N966-N967)/N967,0)</f>
        <v>0</v>
      </c>
      <c r="T966" s="10">
        <f>IF(L966&gt;2005,(((N966-N986)/N986)+1)^(1/5)-1,0)</f>
        <v>0.61539426620217808</v>
      </c>
      <c r="U966" s="10">
        <f t="shared" si="30"/>
        <v>0.63054426620217807</v>
      </c>
      <c r="V966" s="26">
        <f t="shared" si="31"/>
        <v>4.8623439649469695</v>
      </c>
      <c r="W966" s="3">
        <f>IF(A966=A967,N966-N967,0)</f>
        <v>0</v>
      </c>
      <c r="X966" s="10">
        <f>IF(A966=A967,(N966-N967)/N967,0)</f>
        <v>0</v>
      </c>
    </row>
    <row r="967" spans="1:24" ht="16.5" customHeight="1">
      <c r="A967" s="3" t="s">
        <v>34</v>
      </c>
      <c r="B967" s="3">
        <f t="shared" si="24"/>
        <v>2010</v>
      </c>
      <c r="C967" s="3">
        <f t="shared" si="25"/>
        <v>10</v>
      </c>
      <c r="D967" s="20" t="str">
        <f t="shared" si="26"/>
        <v>LOW201010</v>
      </c>
      <c r="E967" s="2">
        <v>40469</v>
      </c>
      <c r="F967" s="3">
        <v>0.11</v>
      </c>
      <c r="G967" s="2">
        <v>40485</v>
      </c>
      <c r="H967" s="3">
        <v>1.8599999999999998E-2</v>
      </c>
      <c r="I967" s="3">
        <v>0</v>
      </c>
      <c r="J967" s="3">
        <v>0</v>
      </c>
      <c r="K967" s="3">
        <f t="shared" si="27"/>
        <v>2010</v>
      </c>
      <c r="L967" s="3">
        <f t="shared" si="28"/>
        <v>0</v>
      </c>
      <c r="M967" s="20" t="str">
        <f>A967&amp;L967</f>
        <v>LOW0</v>
      </c>
      <c r="N967" s="3">
        <f>F967</f>
        <v>0.11</v>
      </c>
      <c r="O967" s="9">
        <f>H967</f>
        <v>1.8599999999999998E-2</v>
      </c>
      <c r="P967" s="10">
        <f t="shared" si="29"/>
        <v>0</v>
      </c>
      <c r="Q967" s="10">
        <f>IF(K967=0,IF(A964=A967,AVERAGE(O964:O967),"x"),0)</f>
        <v>0</v>
      </c>
      <c r="R967" s="9">
        <f>IF(L967&gt;2005,AVERAGE(O964:O983),0)</f>
        <v>0</v>
      </c>
      <c r="S967" s="10">
        <f>IF(A967=A968,(N967-N968)/N968,0)</f>
        <v>0</v>
      </c>
      <c r="T967" s="10">
        <f>IF(L967&gt;2005,(((N967-N987)/N987)+1)^(1/5)-1,0)</f>
        <v>0</v>
      </c>
      <c r="U967" s="10">
        <f t="shared" si="30"/>
        <v>0</v>
      </c>
      <c r="V967" s="26">
        <f t="shared" si="31"/>
        <v>0</v>
      </c>
      <c r="W967" s="3">
        <f>IF(A967=A968,N967-N968,0)</f>
        <v>0</v>
      </c>
      <c r="X967" s="10">
        <f>IF(A967=A968,(N967-N968)/N968,0)</f>
        <v>0</v>
      </c>
    </row>
    <row r="968" spans="1:24" ht="16.5" customHeight="1">
      <c r="A968" s="3" t="s">
        <v>34</v>
      </c>
      <c r="B968" s="3">
        <f t="shared" si="24"/>
        <v>2010</v>
      </c>
      <c r="C968" s="3">
        <f t="shared" si="25"/>
        <v>7</v>
      </c>
      <c r="D968" s="20" t="str">
        <f t="shared" si="26"/>
        <v>LOW20107</v>
      </c>
      <c r="E968" s="2">
        <v>40378</v>
      </c>
      <c r="F968" s="3">
        <v>0.11</v>
      </c>
      <c r="G968" s="2">
        <v>40394</v>
      </c>
      <c r="H968" s="3">
        <v>1.9E-2</v>
      </c>
      <c r="I968" s="3">
        <v>0.222222222</v>
      </c>
      <c r="J968" s="3">
        <v>0.02</v>
      </c>
      <c r="K968" s="3">
        <f t="shared" si="27"/>
        <v>2010</v>
      </c>
      <c r="L968" s="3">
        <f t="shared" si="28"/>
        <v>0</v>
      </c>
      <c r="M968" s="20" t="str">
        <f>A968&amp;L968</f>
        <v>LOW0</v>
      </c>
      <c r="N968" s="3">
        <f>F968</f>
        <v>0.11</v>
      </c>
      <c r="O968" s="9">
        <f>H968</f>
        <v>1.9E-2</v>
      </c>
      <c r="P968" s="10">
        <f t="shared" si="29"/>
        <v>1.6074999999999999E-2</v>
      </c>
      <c r="Q968" s="10">
        <f>IF(K968=0,IF(A965=A968,AVERAGE(O965:O968),"x"),0)</f>
        <v>0</v>
      </c>
      <c r="R968" s="9">
        <f>IF(L968&gt;2005,AVERAGE(O965:O984),0)</f>
        <v>0</v>
      </c>
      <c r="S968" s="10">
        <f>IF(A968=A969,(N968-N969)/N969,0)</f>
        <v>0.22222222222222227</v>
      </c>
      <c r="T968" s="10">
        <f>IF(L968&gt;2005,(((N968-N988)/N988)+1)^(1/5)-1,0)</f>
        <v>0</v>
      </c>
      <c r="U968" s="10">
        <f t="shared" si="30"/>
        <v>0</v>
      </c>
      <c r="V968" s="26">
        <f t="shared" si="31"/>
        <v>0</v>
      </c>
      <c r="W968" s="3">
        <f>IF(A968=A969,N968-N969,0)</f>
        <v>2.0000000000000004E-2</v>
      </c>
      <c r="X968" s="10">
        <f>IF(A968=A969,(N968-N969)/N969,0)</f>
        <v>0.22222222222222227</v>
      </c>
    </row>
    <row r="969" spans="1:24" ht="16.5" customHeight="1">
      <c r="A969" s="3" t="s">
        <v>34</v>
      </c>
      <c r="B969" s="3">
        <f t="shared" si="24"/>
        <v>2010</v>
      </c>
      <c r="C969" s="3">
        <f t="shared" si="25"/>
        <v>4</v>
      </c>
      <c r="D969" s="20" t="str">
        <f t="shared" si="26"/>
        <v>LOW20104</v>
      </c>
      <c r="E969" s="2">
        <v>40287</v>
      </c>
      <c r="F969" s="3">
        <v>0.09</v>
      </c>
      <c r="G969" s="2">
        <v>40303</v>
      </c>
      <c r="H969" s="3">
        <v>1.37E-2</v>
      </c>
      <c r="I969" s="3">
        <v>0</v>
      </c>
      <c r="J969" s="3">
        <v>0</v>
      </c>
      <c r="K969" s="3">
        <f t="shared" si="27"/>
        <v>2010</v>
      </c>
      <c r="L969" s="3">
        <f t="shared" si="28"/>
        <v>0</v>
      </c>
      <c r="M969" s="20" t="str">
        <f>A969&amp;L969</f>
        <v>LOW0</v>
      </c>
      <c r="N969" s="3">
        <f>F969</f>
        <v>0.09</v>
      </c>
      <c r="O969" s="9">
        <f>H969</f>
        <v>1.37E-2</v>
      </c>
      <c r="P969" s="10">
        <f t="shared" si="29"/>
        <v>0</v>
      </c>
      <c r="Q969" s="10">
        <f>IF(K969=0,IF(A966=A969,AVERAGE(O966:O969),"x"),0)</f>
        <v>0</v>
      </c>
      <c r="R969" s="9">
        <f>IF(L969&gt;2005,AVERAGE(O966:O985),0)</f>
        <v>0</v>
      </c>
      <c r="S969" s="10">
        <f>IF(A969=A970,(N969-N970)/N970,0)</f>
        <v>0</v>
      </c>
      <c r="T969" s="10">
        <f>IF(L969&gt;2005,(((N969-N989)/N989)+1)^(1/5)-1,0)</f>
        <v>0</v>
      </c>
      <c r="U969" s="10">
        <f t="shared" si="30"/>
        <v>0</v>
      </c>
      <c r="V969" s="26">
        <f t="shared" si="31"/>
        <v>0</v>
      </c>
      <c r="W969" s="3">
        <f>IF(A969=A970,N969-N970,0)</f>
        <v>0</v>
      </c>
      <c r="X969" s="10">
        <f>IF(A969=A970,(N969-N970)/N970,0)</f>
        <v>0</v>
      </c>
    </row>
    <row r="970" spans="1:24" ht="16.5" customHeight="1">
      <c r="A970" s="3" t="s">
        <v>34</v>
      </c>
      <c r="B970" s="3">
        <f t="shared" si="24"/>
        <v>2010</v>
      </c>
      <c r="C970" s="3">
        <f t="shared" si="25"/>
        <v>1</v>
      </c>
      <c r="D970" s="20" t="str">
        <f t="shared" si="26"/>
        <v>LOW20101</v>
      </c>
      <c r="E970" s="2">
        <v>40193</v>
      </c>
      <c r="F970" s="3">
        <v>0.09</v>
      </c>
      <c r="G970" s="2">
        <v>40212</v>
      </c>
      <c r="H970" s="3">
        <v>1.5299999999999999E-2</v>
      </c>
      <c r="I970" s="3">
        <v>0</v>
      </c>
      <c r="J970" s="3">
        <v>0</v>
      </c>
      <c r="K970" s="3">
        <f t="shared" si="27"/>
        <v>0</v>
      </c>
      <c r="L970" s="3">
        <f t="shared" si="28"/>
        <v>2010</v>
      </c>
      <c r="M970" s="20" t="str">
        <f>A970&amp;L970</f>
        <v>LOW2010</v>
      </c>
      <c r="N970" s="3">
        <f>F970</f>
        <v>0.09</v>
      </c>
      <c r="O970" s="9">
        <f>H970</f>
        <v>1.5299999999999999E-2</v>
      </c>
      <c r="P970" s="10">
        <f t="shared" si="29"/>
        <v>0</v>
      </c>
      <c r="Q970" s="10">
        <f>IF(K970=0,IF(A967=A970,AVERAGE(O967:O970),"x"),0)</f>
        <v>1.6649999999999998E-2</v>
      </c>
      <c r="R970" s="9">
        <f>IF(L970&gt;2005,AVERAGE(O967:O986),0)</f>
        <v>1.2120000000000001E-2</v>
      </c>
      <c r="S970" s="10">
        <f>IF(A970=A971,(N970-N971)/N971,0)</f>
        <v>0</v>
      </c>
      <c r="T970" s="10">
        <f>IF(L970&gt;2005,(((N970-N990)/N990)+1)^(1/5)-1,0)</f>
        <v>0.68293271816929924</v>
      </c>
      <c r="U970" s="10">
        <f t="shared" si="30"/>
        <v>0.69505271816929926</v>
      </c>
      <c r="V970" s="26">
        <f t="shared" si="31"/>
        <v>4.8937637438583446</v>
      </c>
      <c r="W970" s="3">
        <f>IF(A970=A971,N970-N971,0)</f>
        <v>0</v>
      </c>
      <c r="X970" s="10">
        <f>IF(A970=A971,(N970-N971)/N971,0)</f>
        <v>0</v>
      </c>
    </row>
    <row r="971" spans="1:24" ht="16.5" customHeight="1">
      <c r="A971" s="3" t="s">
        <v>34</v>
      </c>
      <c r="B971" s="3">
        <f t="shared" si="24"/>
        <v>2009</v>
      </c>
      <c r="C971" s="3">
        <f t="shared" si="25"/>
        <v>10</v>
      </c>
      <c r="D971" s="20" t="str">
        <f t="shared" si="26"/>
        <v>LOW200910</v>
      </c>
      <c r="E971" s="2">
        <v>40100</v>
      </c>
      <c r="F971" s="3">
        <v>0.09</v>
      </c>
      <c r="G971" s="2">
        <v>40116</v>
      </c>
      <c r="H971" s="3">
        <v>1.6299999999999999E-2</v>
      </c>
      <c r="I971" s="3">
        <v>0</v>
      </c>
      <c r="J971" s="3">
        <v>0</v>
      </c>
      <c r="K971" s="3">
        <f t="shared" si="27"/>
        <v>2009</v>
      </c>
      <c r="L971" s="3">
        <f t="shared" si="28"/>
        <v>0</v>
      </c>
      <c r="M971" s="20" t="str">
        <f>A971&amp;L971</f>
        <v>LOW0</v>
      </c>
      <c r="N971" s="3">
        <f>F971</f>
        <v>0.09</v>
      </c>
      <c r="O971" s="9">
        <f>H971</f>
        <v>1.6299999999999999E-2</v>
      </c>
      <c r="P971" s="10">
        <f t="shared" si="29"/>
        <v>0</v>
      </c>
      <c r="Q971" s="10">
        <f>IF(K971=0,IF(A968=A971,AVERAGE(O968:O971),"x"),0)</f>
        <v>0</v>
      </c>
      <c r="R971" s="9">
        <f>IF(L971&gt;2005,AVERAGE(O968:O987),0)</f>
        <v>0</v>
      </c>
      <c r="S971" s="10">
        <f>IF(A971=A972,(N971-N972)/N972,0)</f>
        <v>0</v>
      </c>
      <c r="T971" s="10">
        <f>IF(L971&gt;2005,(((N971-N991)/N991)+1)^(1/5)-1,0)</f>
        <v>0</v>
      </c>
      <c r="U971" s="10">
        <f t="shared" si="30"/>
        <v>0</v>
      </c>
      <c r="V971" s="26">
        <f t="shared" si="31"/>
        <v>0</v>
      </c>
      <c r="W971" s="3">
        <f>IF(A971=A972,N971-N972,0)</f>
        <v>0</v>
      </c>
      <c r="X971" s="10">
        <f>IF(A971=A972,(N971-N972)/N972,0)</f>
        <v>0</v>
      </c>
    </row>
    <row r="972" spans="1:24" ht="16.5" customHeight="1">
      <c r="A972" s="3" t="s">
        <v>34</v>
      </c>
      <c r="B972" s="3">
        <f t="shared" si="24"/>
        <v>2009</v>
      </c>
      <c r="C972" s="3">
        <f t="shared" si="25"/>
        <v>7</v>
      </c>
      <c r="D972" s="20" t="str">
        <f t="shared" si="26"/>
        <v>LOW20097</v>
      </c>
      <c r="E972" s="2">
        <v>40009</v>
      </c>
      <c r="F972" s="3">
        <v>0.09</v>
      </c>
      <c r="G972" s="2">
        <v>40025</v>
      </c>
      <c r="H972" s="3">
        <v>1.7600000000000001E-2</v>
      </c>
      <c r="I972" s="3">
        <v>5.8823528999999999E-2</v>
      </c>
      <c r="J972" s="3">
        <v>5.0000000000000001E-3</v>
      </c>
      <c r="K972" s="3">
        <f t="shared" si="27"/>
        <v>2009</v>
      </c>
      <c r="L972" s="3">
        <f t="shared" si="28"/>
        <v>0</v>
      </c>
      <c r="M972" s="20" t="str">
        <f>A972&amp;L972</f>
        <v>LOW0</v>
      </c>
      <c r="N972" s="3">
        <f>F972</f>
        <v>0.09</v>
      </c>
      <c r="O972" s="9">
        <f>H972</f>
        <v>1.7600000000000001E-2</v>
      </c>
      <c r="P972" s="10">
        <f t="shared" si="29"/>
        <v>1.7100000000000001E-2</v>
      </c>
      <c r="Q972" s="10">
        <f>IF(K972=0,IF(A969=A972,AVERAGE(O969:O972),"x"),0)</f>
        <v>0</v>
      </c>
      <c r="R972" s="9">
        <f>IF(L972&gt;2005,AVERAGE(O969:O988),0)</f>
        <v>0</v>
      </c>
      <c r="S972" s="10">
        <f>IF(A972=A973,(N972-N973)/N973,0)</f>
        <v>5.8823529411764594E-2</v>
      </c>
      <c r="T972" s="10">
        <f>IF(L972&gt;2005,(((N972-N992)/N992)+1)^(1/5)-1,0)</f>
        <v>0</v>
      </c>
      <c r="U972" s="10">
        <f t="shared" si="30"/>
        <v>0</v>
      </c>
      <c r="V972" s="26">
        <f t="shared" si="31"/>
        <v>0</v>
      </c>
      <c r="W972" s="3">
        <f>IF(A972=A973,N972-N973,0)</f>
        <v>4.9999999999999906E-3</v>
      </c>
      <c r="X972" s="10">
        <f>IF(A972=A973,(N972-N973)/N973,0)</f>
        <v>5.8823529411764594E-2</v>
      </c>
    </row>
    <row r="973" spans="1:24" ht="16.5" customHeight="1">
      <c r="A973" s="3" t="s">
        <v>34</v>
      </c>
      <c r="B973" s="3">
        <f t="shared" si="24"/>
        <v>2009</v>
      </c>
      <c r="C973" s="3">
        <f t="shared" si="25"/>
        <v>4</v>
      </c>
      <c r="D973" s="20" t="str">
        <f t="shared" si="26"/>
        <v>LOW20094</v>
      </c>
      <c r="E973" s="2">
        <v>39918</v>
      </c>
      <c r="F973" s="3">
        <v>8.5000000000000006E-2</v>
      </c>
      <c r="G973" s="2">
        <v>39934</v>
      </c>
      <c r="H973" s="3">
        <v>1.7100000000000001E-2</v>
      </c>
      <c r="I973" s="3">
        <v>0</v>
      </c>
      <c r="J973" s="3">
        <v>0</v>
      </c>
      <c r="K973" s="3">
        <f t="shared" si="27"/>
        <v>2009</v>
      </c>
      <c r="L973" s="3">
        <f t="shared" si="28"/>
        <v>0</v>
      </c>
      <c r="M973" s="20" t="str">
        <f>A973&amp;L973</f>
        <v>LOW0</v>
      </c>
      <c r="N973" s="3">
        <f>F973</f>
        <v>8.5000000000000006E-2</v>
      </c>
      <c r="O973" s="9">
        <f>H973</f>
        <v>1.7100000000000001E-2</v>
      </c>
      <c r="P973" s="10">
        <f t="shared" si="29"/>
        <v>0</v>
      </c>
      <c r="Q973" s="10">
        <f>IF(K973=0,IF(A970=A973,AVERAGE(O970:O973),"x"),0)</f>
        <v>0</v>
      </c>
      <c r="R973" s="9">
        <f>IF(L973&gt;2005,AVERAGE(O970:O989),0)</f>
        <v>0</v>
      </c>
      <c r="S973" s="10">
        <f>IF(A973=A974,(N973-N974)/N974,0)</f>
        <v>0</v>
      </c>
      <c r="T973" s="10">
        <f>IF(L973&gt;2005,(((N973-N993)/N993)+1)^(1/5)-1,0)</f>
        <v>0</v>
      </c>
      <c r="U973" s="10">
        <f t="shared" si="30"/>
        <v>0</v>
      </c>
      <c r="V973" s="26">
        <f t="shared" si="31"/>
        <v>0</v>
      </c>
      <c r="W973" s="3">
        <f>IF(A973=A974,N973-N974,0)</f>
        <v>0</v>
      </c>
      <c r="X973" s="10">
        <f>IF(A973=A974,(N973-N974)/N974,0)</f>
        <v>0</v>
      </c>
    </row>
    <row r="974" spans="1:24" ht="16.5" customHeight="1">
      <c r="A974" s="3" t="s">
        <v>34</v>
      </c>
      <c r="B974" s="3">
        <f t="shared" si="24"/>
        <v>2009</v>
      </c>
      <c r="C974" s="3">
        <f t="shared" si="25"/>
        <v>1</v>
      </c>
      <c r="D974" s="20" t="str">
        <f t="shared" si="26"/>
        <v>LOW20091</v>
      </c>
      <c r="E974" s="2">
        <v>39827</v>
      </c>
      <c r="F974" s="3">
        <v>8.5000000000000006E-2</v>
      </c>
      <c r="G974" s="2">
        <v>39843</v>
      </c>
      <c r="H974" s="3">
        <v>1.6500000000000001E-2</v>
      </c>
      <c r="I974" s="3">
        <v>0</v>
      </c>
      <c r="J974" s="3">
        <v>0</v>
      </c>
      <c r="K974" s="3">
        <f t="shared" si="27"/>
        <v>0</v>
      </c>
      <c r="L974" s="3">
        <f t="shared" si="28"/>
        <v>2009</v>
      </c>
      <c r="M974" s="20" t="str">
        <f>A974&amp;L974</f>
        <v>LOW2009</v>
      </c>
      <c r="N974" s="3">
        <f>F974</f>
        <v>8.5000000000000006E-2</v>
      </c>
      <c r="O974" s="9">
        <f>H974</f>
        <v>1.6500000000000001E-2</v>
      </c>
      <c r="P974" s="10">
        <f t="shared" si="29"/>
        <v>0</v>
      </c>
      <c r="Q974" s="10">
        <f>IF(K974=0,IF(A971=A974,AVERAGE(O971:O974),"x"),0)</f>
        <v>1.6875000000000001E-2</v>
      </c>
      <c r="R974" s="9">
        <f>IF(L974&gt;2005,AVERAGE(O971:O990),0)</f>
        <v>9.3749999999999997E-3</v>
      </c>
      <c r="S974" s="10">
        <f>IF(A974=A975,(N974-N975)/N975,0)</f>
        <v>0</v>
      </c>
      <c r="T974" s="10">
        <f>IF(L974&gt;2005,(((N974-N994)/N994)+1)^(1/5)-1,0)</f>
        <v>0.76234034783231719</v>
      </c>
      <c r="U974" s="10">
        <f t="shared" si="30"/>
        <v>0.77171534783231721</v>
      </c>
      <c r="V974" s="26">
        <f t="shared" si="31"/>
        <v>4.9211855468626924</v>
      </c>
      <c r="W974" s="3">
        <f>IF(A974=A975,N974-N975,0)</f>
        <v>0</v>
      </c>
      <c r="X974" s="10">
        <f>IF(A974=A975,(N974-N975)/N975,0)</f>
        <v>0</v>
      </c>
    </row>
    <row r="975" spans="1:24" ht="16.5" customHeight="1">
      <c r="A975" s="3" t="s">
        <v>34</v>
      </c>
      <c r="B975" s="3">
        <f t="shared" si="24"/>
        <v>2008</v>
      </c>
      <c r="C975" s="3">
        <f t="shared" si="25"/>
        <v>10</v>
      </c>
      <c r="D975" s="20" t="str">
        <f t="shared" si="26"/>
        <v>LOW200810</v>
      </c>
      <c r="E975" s="2">
        <v>39736</v>
      </c>
      <c r="F975" s="3">
        <v>8.5000000000000006E-2</v>
      </c>
      <c r="G975" s="2">
        <v>39752</v>
      </c>
      <c r="H975" s="3">
        <v>1.72E-2</v>
      </c>
      <c r="I975" s="3">
        <v>0</v>
      </c>
      <c r="J975" s="3">
        <v>0</v>
      </c>
      <c r="K975" s="3">
        <f t="shared" si="27"/>
        <v>2008</v>
      </c>
      <c r="L975" s="3">
        <f t="shared" si="28"/>
        <v>0</v>
      </c>
      <c r="M975" s="20" t="str">
        <f>A975&amp;L975</f>
        <v>LOW0</v>
      </c>
      <c r="N975" s="3">
        <f>F975</f>
        <v>8.5000000000000006E-2</v>
      </c>
      <c r="O975" s="9">
        <f>H975</f>
        <v>1.72E-2</v>
      </c>
      <c r="P975" s="10">
        <f t="shared" si="29"/>
        <v>0</v>
      </c>
      <c r="Q975" s="10">
        <f>IF(K975=0,IF(A972=A975,AVERAGE(O972:O975),"x"),0)</f>
        <v>0</v>
      </c>
      <c r="R975" s="9">
        <f>IF(L975&gt;2005,AVERAGE(O972:O991),0)</f>
        <v>0</v>
      </c>
      <c r="S975" s="10">
        <f>IF(A975=A976,(N975-N976)/N976,0)</f>
        <v>0</v>
      </c>
      <c r="T975" s="10">
        <f>IF(L975&gt;2005,(((N975-N995)/N995)+1)^(1/5)-1,0)</f>
        <v>0</v>
      </c>
      <c r="U975" s="10">
        <f t="shared" si="30"/>
        <v>0</v>
      </c>
      <c r="V975" s="26">
        <f t="shared" si="31"/>
        <v>0</v>
      </c>
      <c r="W975" s="3">
        <f>IF(A975=A976,N975-N976,0)</f>
        <v>0</v>
      </c>
      <c r="X975" s="10">
        <f>IF(A975=A976,(N975-N976)/N976,0)</f>
        <v>0</v>
      </c>
    </row>
    <row r="976" spans="1:24" ht="16.5" customHeight="1">
      <c r="A976" s="3" t="s">
        <v>34</v>
      </c>
      <c r="B976" s="3">
        <f t="shared" si="24"/>
        <v>2008</v>
      </c>
      <c r="C976" s="3">
        <f t="shared" si="25"/>
        <v>7</v>
      </c>
      <c r="D976" s="20" t="str">
        <f t="shared" si="26"/>
        <v>LOW20087</v>
      </c>
      <c r="E976" s="2">
        <v>39645</v>
      </c>
      <c r="F976" s="3">
        <v>8.5000000000000006E-2</v>
      </c>
      <c r="G976" s="2">
        <v>39661</v>
      </c>
      <c r="H976" s="3">
        <v>1.78E-2</v>
      </c>
      <c r="I976" s="3">
        <v>6.25E-2</v>
      </c>
      <c r="J976" s="3">
        <v>5.0000000000000001E-3</v>
      </c>
      <c r="K976" s="3">
        <f t="shared" si="27"/>
        <v>2008</v>
      </c>
      <c r="L976" s="3">
        <f t="shared" si="28"/>
        <v>0</v>
      </c>
      <c r="M976" s="20" t="str">
        <f>A976&amp;L976</f>
        <v>LOW0</v>
      </c>
      <c r="N976" s="3">
        <f>F976</f>
        <v>8.5000000000000006E-2</v>
      </c>
      <c r="O976" s="9">
        <f>H976</f>
        <v>1.78E-2</v>
      </c>
      <c r="P976" s="10">
        <f t="shared" si="29"/>
        <v>1.3599999999999999E-2</v>
      </c>
      <c r="Q976" s="10">
        <f>IF(K976=0,IF(A973=A976,AVERAGE(O973:O976),"x"),0)</f>
        <v>0</v>
      </c>
      <c r="R976" s="9">
        <f>IF(L976&gt;2005,AVERAGE(O973:O992),0)</f>
        <v>0</v>
      </c>
      <c r="S976" s="10">
        <f>IF(A976=A977,(N976-N977)/N977,0)</f>
        <v>6.2500000000000056E-2</v>
      </c>
      <c r="T976" s="10">
        <f>IF(L976&gt;2005,(((N976-N996)/N996)+1)^(1/5)-1,0)</f>
        <v>0</v>
      </c>
      <c r="U976" s="10">
        <f t="shared" si="30"/>
        <v>0</v>
      </c>
      <c r="V976" s="26">
        <f t="shared" si="31"/>
        <v>0</v>
      </c>
      <c r="W976" s="3">
        <f>IF(A976=A977,N976-N977,0)</f>
        <v>5.0000000000000044E-3</v>
      </c>
      <c r="X976" s="10">
        <f>IF(A976=A977,(N976-N977)/N977,0)</f>
        <v>6.2500000000000056E-2</v>
      </c>
    </row>
    <row r="977" spans="1:24" ht="16.5" customHeight="1">
      <c r="A977" s="3" t="s">
        <v>34</v>
      </c>
      <c r="B977" s="3">
        <f t="shared" si="24"/>
        <v>2008</v>
      </c>
      <c r="C977" s="3">
        <f t="shared" si="25"/>
        <v>4</v>
      </c>
      <c r="D977" s="20" t="str">
        <f t="shared" si="26"/>
        <v>LOW20084</v>
      </c>
      <c r="E977" s="2">
        <v>39554</v>
      </c>
      <c r="F977" s="3">
        <v>0.08</v>
      </c>
      <c r="G977" s="2">
        <v>39570</v>
      </c>
      <c r="H977" s="3">
        <v>1.32E-2</v>
      </c>
      <c r="I977" s="3">
        <v>0</v>
      </c>
      <c r="J977" s="3">
        <v>0</v>
      </c>
      <c r="K977" s="3">
        <f t="shared" si="27"/>
        <v>2008</v>
      </c>
      <c r="L977" s="3">
        <f t="shared" si="28"/>
        <v>0</v>
      </c>
      <c r="M977" s="20" t="str">
        <f>A977&amp;L977</f>
        <v>LOW0</v>
      </c>
      <c r="N977" s="3">
        <f>F977</f>
        <v>0.08</v>
      </c>
      <c r="O977" s="9">
        <f>H977</f>
        <v>1.32E-2</v>
      </c>
      <c r="P977" s="10">
        <f t="shared" si="29"/>
        <v>0</v>
      </c>
      <c r="Q977" s="10">
        <f>IF(K977=0,IF(A974=A977,AVERAGE(O974:O977),"x"),0)</f>
        <v>0</v>
      </c>
      <c r="R977" s="9">
        <f>IF(L977&gt;2005,AVERAGE(O974:O993),0)</f>
        <v>0</v>
      </c>
      <c r="S977" s="10">
        <f>IF(A977=A978,(N977-N978)/N978,0)</f>
        <v>0</v>
      </c>
      <c r="T977" s="10">
        <f>IF(L977&gt;2005,(((N977-N997)/N997)+1)^(1/5)-1,0)</f>
        <v>0</v>
      </c>
      <c r="U977" s="10">
        <f t="shared" si="30"/>
        <v>0</v>
      </c>
      <c r="V977" s="26">
        <f t="shared" si="31"/>
        <v>0</v>
      </c>
      <c r="W977" s="3">
        <f>IF(A977=A978,N977-N978,0)</f>
        <v>0</v>
      </c>
      <c r="X977" s="10">
        <f>IF(A977=A978,(N977-N978)/N978,0)</f>
        <v>0</v>
      </c>
    </row>
    <row r="978" spans="1:24" ht="16.5" customHeight="1">
      <c r="A978" s="3" t="s">
        <v>34</v>
      </c>
      <c r="B978" s="3">
        <f t="shared" si="24"/>
        <v>2008</v>
      </c>
      <c r="C978" s="3">
        <f t="shared" si="25"/>
        <v>1</v>
      </c>
      <c r="D978" s="20" t="str">
        <f t="shared" si="26"/>
        <v>LOW20081</v>
      </c>
      <c r="E978" s="2">
        <v>39463</v>
      </c>
      <c r="F978" s="3">
        <v>0.08</v>
      </c>
      <c r="G978" s="2">
        <v>39479</v>
      </c>
      <c r="H978" s="3">
        <v>1.4E-2</v>
      </c>
      <c r="I978" s="3">
        <v>0</v>
      </c>
      <c r="J978" s="3">
        <v>0</v>
      </c>
      <c r="K978" s="3">
        <f t="shared" si="27"/>
        <v>0</v>
      </c>
      <c r="L978" s="3">
        <f t="shared" si="28"/>
        <v>2008</v>
      </c>
      <c r="M978" s="20" t="str">
        <f>A978&amp;L978</f>
        <v>LOW2008</v>
      </c>
      <c r="N978" s="3">
        <f>F978</f>
        <v>0.08</v>
      </c>
      <c r="O978" s="9">
        <f>H978</f>
        <v>1.4E-2</v>
      </c>
      <c r="P978" s="10">
        <f t="shared" si="29"/>
        <v>0</v>
      </c>
      <c r="Q978" s="10">
        <f>IF(K978=0,IF(A975=A978,AVERAGE(O975:O978),"x"),0)</f>
        <v>1.5550000000000001E-2</v>
      </c>
      <c r="R978" s="9">
        <f>IF(L978&gt;2005,AVERAGE(O975:O994),0)</f>
        <v>6.4650000000000003E-3</v>
      </c>
      <c r="S978" s="10">
        <f>IF(A978=A979,(N978-N979)/N979,0)</f>
        <v>0</v>
      </c>
      <c r="T978" s="10">
        <f>IF(L978&gt;2005,(((N978-N998)/N998)+1)^(1/5)-1,0)</f>
        <v>0.80576090289486868</v>
      </c>
      <c r="U978" s="10">
        <f t="shared" si="30"/>
        <v>0.81222590289486873</v>
      </c>
      <c r="V978" s="26">
        <f t="shared" si="31"/>
        <v>4.9467423113379398</v>
      </c>
      <c r="W978" s="3">
        <f>IF(A978=A979,N978-N979,0)</f>
        <v>0</v>
      </c>
      <c r="X978" s="10">
        <f>IF(A978=A979,(N978-N979)/N979,0)</f>
        <v>0</v>
      </c>
    </row>
    <row r="979" spans="1:24" ht="16.5" customHeight="1">
      <c r="A979" s="3" t="s">
        <v>34</v>
      </c>
      <c r="B979" s="3">
        <f t="shared" si="24"/>
        <v>2007</v>
      </c>
      <c r="C979" s="3">
        <f t="shared" si="25"/>
        <v>10</v>
      </c>
      <c r="D979" s="20" t="str">
        <f t="shared" si="26"/>
        <v>LOW200710</v>
      </c>
      <c r="E979" s="2">
        <v>39372</v>
      </c>
      <c r="F979" s="3">
        <v>0.08</v>
      </c>
      <c r="G979" s="2">
        <v>39388</v>
      </c>
      <c r="H979" s="3">
        <v>9.4000000000000004E-3</v>
      </c>
      <c r="I979" s="3">
        <v>0</v>
      </c>
      <c r="J979" s="3">
        <v>0</v>
      </c>
      <c r="K979" s="3">
        <f t="shared" si="27"/>
        <v>2007</v>
      </c>
      <c r="L979" s="3">
        <f t="shared" si="28"/>
        <v>0</v>
      </c>
      <c r="M979" s="20" t="str">
        <f>A979&amp;L979</f>
        <v>LOW0</v>
      </c>
      <c r="N979" s="3">
        <f>F979</f>
        <v>0.08</v>
      </c>
      <c r="O979" s="9">
        <f>H979</f>
        <v>9.4000000000000004E-3</v>
      </c>
      <c r="P979" s="10">
        <f t="shared" si="29"/>
        <v>0</v>
      </c>
      <c r="Q979" s="10">
        <f>IF(K979=0,IF(A976=A979,AVERAGE(O976:O979),"x"),0)</f>
        <v>0</v>
      </c>
      <c r="R979" s="9">
        <f>IF(L979&gt;2005,AVERAGE(O976:O995),0)</f>
        <v>0</v>
      </c>
      <c r="S979" s="10">
        <f>IF(A979=A980,(N979-N980)/N980,0)</f>
        <v>0</v>
      </c>
      <c r="T979" s="10">
        <f>IF(L979&gt;2005,(((N979-N999)/N999)+1)^(1/5)-1,0)</f>
        <v>0</v>
      </c>
      <c r="U979" s="10">
        <f t="shared" si="30"/>
        <v>0</v>
      </c>
      <c r="V979" s="26">
        <f t="shared" si="31"/>
        <v>0</v>
      </c>
      <c r="W979" s="3">
        <f>IF(A979=A980,N979-N980,0)</f>
        <v>0</v>
      </c>
      <c r="X979" s="10">
        <f>IF(A979=A980,(N979-N980)/N980,0)</f>
        <v>0</v>
      </c>
    </row>
    <row r="980" spans="1:24" ht="16.5" customHeight="1">
      <c r="A980" s="3" t="s">
        <v>34</v>
      </c>
      <c r="B980" s="3">
        <f t="shared" si="24"/>
        <v>2007</v>
      </c>
      <c r="C980" s="3">
        <f t="shared" si="25"/>
        <v>7</v>
      </c>
      <c r="D980" s="20" t="str">
        <f t="shared" si="26"/>
        <v>LOW20077</v>
      </c>
      <c r="E980" s="2">
        <v>39281</v>
      </c>
      <c r="F980" s="3">
        <v>0.08</v>
      </c>
      <c r="G980" s="2">
        <v>39297</v>
      </c>
      <c r="H980" s="3">
        <v>7.7000000000000002E-3</v>
      </c>
      <c r="I980" s="3">
        <v>0.6</v>
      </c>
      <c r="J980" s="3">
        <v>0.03</v>
      </c>
      <c r="K980" s="3">
        <f t="shared" si="27"/>
        <v>2007</v>
      </c>
      <c r="L980" s="3">
        <f t="shared" si="28"/>
        <v>0</v>
      </c>
      <c r="M980" s="20" t="str">
        <f>A980&amp;L980</f>
        <v>LOW0</v>
      </c>
      <c r="N980" s="3">
        <f>F980</f>
        <v>0.08</v>
      </c>
      <c r="O980" s="9">
        <f>H980</f>
        <v>7.7000000000000002E-3</v>
      </c>
      <c r="P980" s="10">
        <f t="shared" si="29"/>
        <v>6.1500000000000001E-3</v>
      </c>
      <c r="Q980" s="10">
        <f>IF(K980=0,IF(A977=A980,AVERAGE(O977:O980),"x"),0)</f>
        <v>0</v>
      </c>
      <c r="R980" s="9">
        <f>IF(L980&gt;2005,AVERAGE(O977:O996),0)</f>
        <v>0</v>
      </c>
      <c r="S980" s="10">
        <f>IF(A980=A981,(N980-N981)/N981,0)</f>
        <v>0.6</v>
      </c>
      <c r="T980" s="10">
        <f>IF(L980&gt;2005,(((N980-N1000)/N1000)+1)^(1/5)-1,0)</f>
        <v>0</v>
      </c>
      <c r="U980" s="10">
        <f t="shared" si="30"/>
        <v>0</v>
      </c>
      <c r="V980" s="26">
        <f t="shared" si="31"/>
        <v>0</v>
      </c>
      <c r="W980" s="3">
        <f>IF(A980=A981,N980-N981,0)</f>
        <v>0.03</v>
      </c>
      <c r="X980" s="10">
        <f>IF(A980=A981,(N980-N981)/N981,0)</f>
        <v>0.6</v>
      </c>
    </row>
    <row r="981" spans="1:24" ht="16.5" customHeight="1">
      <c r="A981" s="3" t="s">
        <v>34</v>
      </c>
      <c r="B981" s="3">
        <f t="shared" si="24"/>
        <v>2007</v>
      </c>
      <c r="C981" s="3">
        <f t="shared" si="25"/>
        <v>4</v>
      </c>
      <c r="D981" s="20" t="str">
        <f t="shared" si="26"/>
        <v>LOW20074</v>
      </c>
      <c r="E981" s="2">
        <v>39190</v>
      </c>
      <c r="F981" s="3">
        <v>0.05</v>
      </c>
      <c r="G981" s="2">
        <v>39206</v>
      </c>
      <c r="H981" s="3">
        <v>6.3E-3</v>
      </c>
      <c r="I981" s="3">
        <v>0</v>
      </c>
      <c r="J981" s="3">
        <v>0</v>
      </c>
      <c r="K981" s="3">
        <f t="shared" si="27"/>
        <v>2007</v>
      </c>
      <c r="L981" s="3">
        <f t="shared" si="28"/>
        <v>0</v>
      </c>
      <c r="M981" s="20" t="str">
        <f>A981&amp;L981</f>
        <v>LOW0</v>
      </c>
      <c r="N981" s="3">
        <f>F981</f>
        <v>0.05</v>
      </c>
      <c r="O981" s="9">
        <f>H981</f>
        <v>6.3E-3</v>
      </c>
      <c r="P981" s="10">
        <f t="shared" si="29"/>
        <v>0</v>
      </c>
      <c r="Q981" s="10">
        <f>IF(K981=0,IF(A978=A981,AVERAGE(O978:O981),"x"),0)</f>
        <v>0</v>
      </c>
      <c r="R981" s="9">
        <f>IF(L981&gt;2005,AVERAGE(O978:O997),0)</f>
        <v>0</v>
      </c>
      <c r="S981" s="10">
        <f>IF(A981=A982,(N981-N982)/N982,0)</f>
        <v>0</v>
      </c>
      <c r="T981" s="10">
        <f>IF(L981&gt;2005,(((N981-N1001)/N1001)+1)^(1/5)-1,0)</f>
        <v>0</v>
      </c>
      <c r="U981" s="10">
        <f t="shared" si="30"/>
        <v>0</v>
      </c>
      <c r="V981" s="26">
        <f t="shared" si="31"/>
        <v>0</v>
      </c>
      <c r="W981" s="3">
        <f>IF(A981=A982,N981-N982,0)</f>
        <v>0</v>
      </c>
      <c r="X981" s="10">
        <f>IF(A981=A982,(N981-N982)/N982,0)</f>
        <v>0</v>
      </c>
    </row>
    <row r="982" spans="1:24" ht="16.5" customHeight="1">
      <c r="A982" s="3" t="s">
        <v>34</v>
      </c>
      <c r="B982" s="3">
        <f t="shared" si="24"/>
        <v>2007</v>
      </c>
      <c r="C982" s="3">
        <f t="shared" si="25"/>
        <v>1</v>
      </c>
      <c r="D982" s="20" t="str">
        <f t="shared" si="26"/>
        <v>LOW20071</v>
      </c>
      <c r="E982" s="2">
        <v>39099</v>
      </c>
      <c r="F982" s="3">
        <v>0.05</v>
      </c>
      <c r="G982" s="2">
        <v>39115</v>
      </c>
      <c r="H982" s="3">
        <v>5.4000000000000003E-3</v>
      </c>
      <c r="I982" s="3">
        <v>0</v>
      </c>
      <c r="J982" s="3">
        <v>0</v>
      </c>
      <c r="K982" s="3">
        <f t="shared" si="27"/>
        <v>0</v>
      </c>
      <c r="L982" s="3">
        <f t="shared" si="28"/>
        <v>2007</v>
      </c>
      <c r="M982" s="20" t="str">
        <f>A982&amp;L982</f>
        <v>LOW2007</v>
      </c>
      <c r="N982" s="3">
        <f>F982</f>
        <v>0.05</v>
      </c>
      <c r="O982" s="9">
        <f>H982</f>
        <v>5.4000000000000003E-3</v>
      </c>
      <c r="P982" s="10">
        <f t="shared" si="29"/>
        <v>0</v>
      </c>
      <c r="Q982" s="10">
        <f>IF(K982=0,IF(A979=A982,AVERAGE(O979:O982),"x"),0)</f>
        <v>7.1999999999999998E-3</v>
      </c>
      <c r="R982" s="9">
        <f>IF(L982&gt;2005,AVERAGE(O979:O998),0)</f>
        <v>3.7599999999999995E-3</v>
      </c>
      <c r="S982" s="10">
        <f>IF(A982=A983,(N982-N983)/N983,0)</f>
        <v>0</v>
      </c>
      <c r="T982" s="10">
        <f>IF(L982&gt;2005,(((N982-N1002)/N1002)+1)^(1/5)-1,0)</f>
        <v>0.71877192758747888</v>
      </c>
      <c r="U982" s="10">
        <f t="shared" si="30"/>
        <v>0.72253192758747886</v>
      </c>
      <c r="V982" s="26">
        <f t="shared" si="31"/>
        <v>4.9673526402993353</v>
      </c>
      <c r="W982" s="3">
        <f>IF(A982=A983,N982-N983,0)</f>
        <v>0</v>
      </c>
      <c r="X982" s="10">
        <f>IF(A982=A983,(N982-N983)/N983,0)</f>
        <v>0</v>
      </c>
    </row>
    <row r="983" spans="1:24" ht="16.5" customHeight="1">
      <c r="A983" s="3" t="s">
        <v>34</v>
      </c>
      <c r="B983" s="3">
        <f t="shared" si="24"/>
        <v>2006</v>
      </c>
      <c r="C983" s="3">
        <f t="shared" si="25"/>
        <v>10</v>
      </c>
      <c r="D983" s="20" t="str">
        <f t="shared" si="26"/>
        <v>LOW200610</v>
      </c>
      <c r="E983" s="2">
        <v>39008</v>
      </c>
      <c r="F983" s="3">
        <v>0.05</v>
      </c>
      <c r="G983" s="2">
        <v>39024</v>
      </c>
      <c r="H983" s="3">
        <v>5.1999999999999998E-3</v>
      </c>
      <c r="I983" s="3">
        <v>0</v>
      </c>
      <c r="J983" s="3">
        <v>0</v>
      </c>
      <c r="K983" s="3">
        <f t="shared" si="27"/>
        <v>2006</v>
      </c>
      <c r="L983" s="3">
        <f t="shared" si="28"/>
        <v>0</v>
      </c>
      <c r="M983" s="20" t="str">
        <f>A983&amp;L983</f>
        <v>LOW0</v>
      </c>
      <c r="N983" s="3">
        <f>F983</f>
        <v>0.05</v>
      </c>
      <c r="O983" s="9">
        <f>H983</f>
        <v>5.1999999999999998E-3</v>
      </c>
      <c r="P983" s="10">
        <f t="shared" si="29"/>
        <v>0</v>
      </c>
      <c r="Q983" s="10">
        <f>IF(K983=0,IF(A980=A983,AVERAGE(O980:O983),"x"),0)</f>
        <v>0</v>
      </c>
      <c r="R983" s="9">
        <f>IF(L983&gt;2005,AVERAGE(O980:O999),0)</f>
        <v>0</v>
      </c>
      <c r="S983" s="10">
        <f>IF(A983=A984,(N983-N984)/N984,0)</f>
        <v>0</v>
      </c>
      <c r="T983" s="10">
        <f>IF(L983&gt;2005,(((N983-N1003)/N1003)+1)^(1/5)-1,0)</f>
        <v>0</v>
      </c>
      <c r="U983" s="10">
        <f t="shared" si="30"/>
        <v>0</v>
      </c>
      <c r="V983" s="26">
        <f t="shared" si="31"/>
        <v>0</v>
      </c>
      <c r="W983" s="3">
        <f>IF(A983=A984,N983-N984,0)</f>
        <v>0</v>
      </c>
      <c r="X983" s="10">
        <f>IF(A983=A984,(N983-N984)/N984,0)</f>
        <v>0</v>
      </c>
    </row>
    <row r="984" spans="1:24" ht="16.5" customHeight="1">
      <c r="A984" s="3" t="s">
        <v>34</v>
      </c>
      <c r="B984" s="3">
        <f t="shared" si="24"/>
        <v>2006</v>
      </c>
      <c r="C984" s="3">
        <f t="shared" si="25"/>
        <v>7</v>
      </c>
      <c r="D984" s="20" t="str">
        <f t="shared" si="26"/>
        <v>LOW20067</v>
      </c>
      <c r="E984" s="2">
        <v>38917</v>
      </c>
      <c r="F984" s="3">
        <v>0.05</v>
      </c>
      <c r="G984" s="2">
        <v>38933</v>
      </c>
      <c r="H984" s="3">
        <v>5.0000000000000001E-3</v>
      </c>
      <c r="I984" s="3">
        <v>-0.16666666699999999</v>
      </c>
      <c r="J984" s="3">
        <v>-0.01</v>
      </c>
      <c r="K984" s="3">
        <f t="shared" si="27"/>
        <v>2006</v>
      </c>
      <c r="L984" s="3">
        <f t="shared" si="28"/>
        <v>0</v>
      </c>
      <c r="M984" s="20" t="str">
        <f>A984&amp;L984</f>
        <v>LOW0</v>
      </c>
      <c r="N984" s="3">
        <f>F984</f>
        <v>0.05</v>
      </c>
      <c r="O984" s="9">
        <f>H984</f>
        <v>5.0000000000000001E-3</v>
      </c>
      <c r="P984" s="10">
        <f t="shared" si="29"/>
        <v>3.8500000000000001E-3</v>
      </c>
      <c r="Q984" s="10">
        <f>IF(K984=0,IF(A981=A984,AVERAGE(O981:O984),"x"),0)</f>
        <v>0</v>
      </c>
      <c r="R984" s="9">
        <f>IF(L984&gt;2005,AVERAGE(O981:O1000),0)</f>
        <v>0</v>
      </c>
      <c r="S984" s="10">
        <f>IF(A984=A985,(N984-N985)/N985,0)</f>
        <v>4</v>
      </c>
      <c r="T984" s="10">
        <f>IF(L984&gt;2005,(((N984-N1004)/N1004)+1)^(1/5)-1,0)</f>
        <v>0</v>
      </c>
      <c r="U984" s="10">
        <f t="shared" si="30"/>
        <v>0</v>
      </c>
      <c r="V984" s="26">
        <f t="shared" si="31"/>
        <v>0</v>
      </c>
      <c r="W984" s="3">
        <f>IF(A984=A985,N984-N985,0)</f>
        <v>0.04</v>
      </c>
      <c r="X984" s="10">
        <f>IF(A984=A985,(N984-N985)/N985,0)</f>
        <v>4</v>
      </c>
    </row>
    <row r="985" spans="1:24" ht="16.5" customHeight="1">
      <c r="A985" s="3" t="s">
        <v>34</v>
      </c>
      <c r="B985" s="3">
        <f t="shared" si="24"/>
        <v>2006</v>
      </c>
      <c r="C985" s="3">
        <f t="shared" si="25"/>
        <v>4</v>
      </c>
      <c r="D985" s="20" t="str">
        <f t="shared" si="26"/>
        <v>LOW20064</v>
      </c>
      <c r="E985" s="2">
        <v>38826</v>
      </c>
      <c r="F985" s="3">
        <v>0.06</v>
      </c>
      <c r="G985" s="2">
        <v>38842</v>
      </c>
      <c r="H985" s="3">
        <v>3.7000000000000002E-3</v>
      </c>
      <c r="I985" s="3">
        <v>0</v>
      </c>
      <c r="J985" s="3">
        <v>0</v>
      </c>
      <c r="K985" s="3">
        <f t="shared" si="27"/>
        <v>2006</v>
      </c>
      <c r="L985" s="3">
        <f t="shared" si="28"/>
        <v>0</v>
      </c>
      <c r="M985" s="20" t="str">
        <f>A985&amp;L985</f>
        <v>LOW0</v>
      </c>
      <c r="N985" s="3">
        <f>F985/6</f>
        <v>0.01</v>
      </c>
      <c r="O985" s="9">
        <f>H985</f>
        <v>3.7000000000000002E-3</v>
      </c>
      <c r="P985" s="10">
        <f t="shared" si="29"/>
        <v>0</v>
      </c>
      <c r="Q985" s="10">
        <f>IF(K985=0,IF(A982=A985,AVERAGE(O982:O985),"x"),0)</f>
        <v>0</v>
      </c>
      <c r="R985" s="9">
        <f>IF(L985&gt;2005,AVERAGE(O982:O1001),0)</f>
        <v>0</v>
      </c>
      <c r="S985" s="10">
        <f>IF(A985=A986,(N985-N986)/N986,0)</f>
        <v>0</v>
      </c>
      <c r="T985" s="10">
        <f>IF(L985&gt;2005,(((N985-N1005)/N1005)+1)^(1/5)-1,0)</f>
        <v>0</v>
      </c>
      <c r="U985" s="10">
        <f t="shared" si="30"/>
        <v>0</v>
      </c>
      <c r="V985" s="26">
        <f t="shared" si="31"/>
        <v>0</v>
      </c>
      <c r="W985" s="3">
        <f>IF(A985=A986,N985-N986,0)</f>
        <v>0</v>
      </c>
      <c r="X985" s="10">
        <f>IF(A985=A986,(N985-N986)/N986,0)</f>
        <v>0</v>
      </c>
    </row>
    <row r="986" spans="1:24" ht="16.5" customHeight="1">
      <c r="A986" s="3" t="s">
        <v>34</v>
      </c>
      <c r="B986" s="3">
        <f t="shared" si="24"/>
        <v>2006</v>
      </c>
      <c r="C986" s="3">
        <f t="shared" si="25"/>
        <v>1</v>
      </c>
      <c r="D986" s="20" t="str">
        <f t="shared" si="26"/>
        <v>LOW20061</v>
      </c>
      <c r="E986" s="2">
        <v>38735</v>
      </c>
      <c r="F986" s="3">
        <v>0.06</v>
      </c>
      <c r="G986" s="2">
        <v>38751</v>
      </c>
      <c r="H986" s="3">
        <v>3.3999999999999998E-3</v>
      </c>
      <c r="I986" s="3">
        <v>0</v>
      </c>
      <c r="J986" s="3">
        <v>0</v>
      </c>
      <c r="K986" s="3">
        <f t="shared" si="27"/>
        <v>0</v>
      </c>
      <c r="L986" s="3">
        <f t="shared" si="28"/>
        <v>2006</v>
      </c>
      <c r="M986" s="20" t="str">
        <f>A986&amp;L986</f>
        <v>LOW2006</v>
      </c>
      <c r="N986" s="3">
        <f>F986/6</f>
        <v>0.01</v>
      </c>
      <c r="O986" s="9">
        <f>H986</f>
        <v>3.3999999999999998E-3</v>
      </c>
      <c r="P986" s="10">
        <f t="shared" si="29"/>
        <v>0</v>
      </c>
      <c r="Q986" s="10">
        <f>IF(K986=0,IF(A983=A986,AVERAGE(O983:O986),"x"),0)</f>
        <v>4.3249999999999999E-3</v>
      </c>
      <c r="R986" s="9">
        <f>IF(L986&gt;2005,AVERAGE(O983:O1002),0)</f>
        <v>2.7000000000000006E-3</v>
      </c>
      <c r="S986" s="10">
        <f>IF(A986=A987,(N986-N987)/N987,0)</f>
        <v>0</v>
      </c>
      <c r="T986" s="10">
        <f>IF(L986&gt;2005,(((N986-N1006)/N1006)+1)^(1/5)-1,0)</f>
        <v>0.27944800171705086</v>
      </c>
      <c r="U986" s="10">
        <f t="shared" si="30"/>
        <v>0.28214800171705084</v>
      </c>
      <c r="V986" s="26">
        <f t="shared" si="31"/>
        <v>4.968500934390141</v>
      </c>
      <c r="W986" s="3">
        <f>IF(A986=A987,N986-N987,0)</f>
        <v>0</v>
      </c>
      <c r="X986" s="10">
        <f>IF(A986=A987,(N986-N987)/N987,0)</f>
        <v>0</v>
      </c>
    </row>
    <row r="987" spans="1:24" ht="16.5" customHeight="1">
      <c r="A987" s="3" t="s">
        <v>34</v>
      </c>
      <c r="B987" s="3">
        <f t="shared" si="24"/>
        <v>2005</v>
      </c>
      <c r="C987" s="3">
        <f t="shared" si="25"/>
        <v>10</v>
      </c>
      <c r="D987" s="20" t="str">
        <f t="shared" si="26"/>
        <v>LOW200510</v>
      </c>
      <c r="E987" s="2">
        <v>38637</v>
      </c>
      <c r="F987" s="3">
        <v>0.06</v>
      </c>
      <c r="G987" s="2">
        <v>38653</v>
      </c>
      <c r="H987" s="3">
        <v>3.3E-3</v>
      </c>
      <c r="I987" s="3">
        <v>0</v>
      </c>
      <c r="J987" s="3">
        <v>0</v>
      </c>
      <c r="K987" s="3">
        <f t="shared" si="27"/>
        <v>2005</v>
      </c>
      <c r="L987" s="3">
        <f t="shared" si="28"/>
        <v>0</v>
      </c>
      <c r="M987" s="20" t="str">
        <f>A987&amp;L987</f>
        <v>LOW0</v>
      </c>
      <c r="N987" s="3">
        <f>F987/6</f>
        <v>0.01</v>
      </c>
      <c r="O987" s="9">
        <f>H987</f>
        <v>3.3E-3</v>
      </c>
      <c r="P987" s="10">
        <f t="shared" si="29"/>
        <v>0</v>
      </c>
      <c r="Q987" s="10">
        <f>IF(K987=0,IF(A984=A987,AVERAGE(O984:O987),"x"),0)</f>
        <v>0</v>
      </c>
      <c r="R987" s="9">
        <f>IF(L987&gt;2005,AVERAGE(O984:O1003),0)</f>
        <v>0</v>
      </c>
      <c r="S987" s="10">
        <f>IF(A987=A988,(N987-N988)/N988,0)</f>
        <v>0</v>
      </c>
      <c r="T987" s="10">
        <f>IF(L987&gt;2005,(((N987-N1007)/N1007)+1)^(1/5)-1,0)</f>
        <v>0</v>
      </c>
      <c r="U987" s="10">
        <f t="shared" si="30"/>
        <v>0</v>
      </c>
      <c r="V987" s="26">
        <f t="shared" si="31"/>
        <v>0</v>
      </c>
      <c r="W987" s="3">
        <f>IF(A987=A988,N987-N988,0)</f>
        <v>0</v>
      </c>
      <c r="X987" s="10">
        <f>IF(A987=A988,(N987-N988)/N988,0)</f>
        <v>0</v>
      </c>
    </row>
    <row r="988" spans="1:24" ht="16.5" customHeight="1">
      <c r="A988" s="3" t="s">
        <v>34</v>
      </c>
      <c r="B988" s="3">
        <f t="shared" si="24"/>
        <v>2005</v>
      </c>
      <c r="C988" s="3">
        <f t="shared" si="25"/>
        <v>7</v>
      </c>
      <c r="D988" s="20" t="str">
        <f t="shared" si="26"/>
        <v>LOW20057</v>
      </c>
      <c r="E988" s="2">
        <v>38546</v>
      </c>
      <c r="F988" s="3">
        <v>0.06</v>
      </c>
      <c r="G988" s="2">
        <v>38562</v>
      </c>
      <c r="H988" s="3">
        <v>2.8999999999999998E-3</v>
      </c>
      <c r="I988" s="3">
        <v>0.5</v>
      </c>
      <c r="J988" s="3">
        <v>0.02</v>
      </c>
      <c r="K988" s="3">
        <f t="shared" si="27"/>
        <v>2005</v>
      </c>
      <c r="L988" s="3">
        <f t="shared" si="28"/>
        <v>0</v>
      </c>
      <c r="M988" s="20" t="str">
        <f>A988&amp;L988</f>
        <v>LOW0</v>
      </c>
      <c r="N988" s="3">
        <f>F988/6</f>
        <v>0.01</v>
      </c>
      <c r="O988" s="9">
        <f>H988</f>
        <v>2.8999999999999998E-3</v>
      </c>
      <c r="P988" s="10">
        <f t="shared" si="29"/>
        <v>2.725E-3</v>
      </c>
      <c r="Q988" s="10">
        <f>IF(K988=0,IF(A985=A988,AVERAGE(O985:O988),"x"),0)</f>
        <v>0</v>
      </c>
      <c r="R988" s="9">
        <f>IF(L988&gt;2005,AVERAGE(O985:O1004),0)</f>
        <v>0</v>
      </c>
      <c r="S988" s="10">
        <f>IF(A988=A989,(N988-N989)/N989,0)</f>
        <v>0.49999999999999994</v>
      </c>
      <c r="T988" s="10">
        <f>IF(L988&gt;2005,(((N988-N1008)/N1008)+1)^(1/5)-1,0)</f>
        <v>0</v>
      </c>
      <c r="U988" s="10">
        <f t="shared" si="30"/>
        <v>0</v>
      </c>
      <c r="V988" s="26">
        <f t="shared" si="31"/>
        <v>0</v>
      </c>
      <c r="W988" s="3">
        <f>IF(A988=A989,N988-N989,0)</f>
        <v>3.3333333333333331E-3</v>
      </c>
      <c r="X988" s="10">
        <f>IF(A988=A989,(N988-N989)/N989,0)</f>
        <v>0.49999999999999994</v>
      </c>
    </row>
    <row r="989" spans="1:24" ht="16.5" customHeight="1">
      <c r="A989" s="3" t="s">
        <v>34</v>
      </c>
      <c r="B989" s="3">
        <f t="shared" si="24"/>
        <v>2005</v>
      </c>
      <c r="C989" s="3">
        <f t="shared" si="25"/>
        <v>4</v>
      </c>
      <c r="D989" s="20" t="str">
        <f t="shared" si="26"/>
        <v>LOW20054</v>
      </c>
      <c r="E989" s="2">
        <v>38455</v>
      </c>
      <c r="F989" s="3">
        <v>0.04</v>
      </c>
      <c r="G989" s="2">
        <v>38471</v>
      </c>
      <c r="H989" s="3">
        <v>2.8999999999999998E-3</v>
      </c>
      <c r="I989" s="3">
        <v>0</v>
      </c>
      <c r="J989" s="3">
        <v>0</v>
      </c>
      <c r="K989" s="3">
        <f t="shared" si="27"/>
        <v>2005</v>
      </c>
      <c r="L989" s="3">
        <f t="shared" si="28"/>
        <v>0</v>
      </c>
      <c r="M989" s="20" t="str">
        <f>A989&amp;L989</f>
        <v>LOW0</v>
      </c>
      <c r="N989" s="3">
        <f>F989/6</f>
        <v>6.6666666666666671E-3</v>
      </c>
      <c r="O989" s="9">
        <f>H989</f>
        <v>2.8999999999999998E-3</v>
      </c>
      <c r="P989" s="10">
        <f t="shared" si="29"/>
        <v>0</v>
      </c>
      <c r="Q989" s="10">
        <f>IF(K989=0,IF(A986=A989,AVERAGE(O986:O989),"x"),0)</f>
        <v>0</v>
      </c>
      <c r="R989" s="9">
        <f>IF(L989&gt;2005,AVERAGE(O986:O1005),0)</f>
        <v>0</v>
      </c>
      <c r="S989" s="10">
        <f>IF(A989=A990,(N989-N990)/N990,0)</f>
        <v>0</v>
      </c>
      <c r="T989" s="10">
        <f>IF(L989&gt;2005,(((N989-N1009)/N1009)+1)^(1/5)-1,0)</f>
        <v>0</v>
      </c>
      <c r="U989" s="10">
        <f t="shared" si="30"/>
        <v>0</v>
      </c>
      <c r="V989" s="26">
        <f t="shared" si="31"/>
        <v>0</v>
      </c>
      <c r="W989" s="3">
        <f>IF(A989=A990,N989-N990,0)</f>
        <v>0</v>
      </c>
      <c r="X989" s="10">
        <f>IF(A989=A990,(N989-N990)/N990,0)</f>
        <v>0</v>
      </c>
    </row>
    <row r="990" spans="1:24" ht="16.5" customHeight="1">
      <c r="A990" s="3" t="s">
        <v>34</v>
      </c>
      <c r="B990" s="3">
        <f t="shared" si="24"/>
        <v>2005</v>
      </c>
      <c r="C990" s="3">
        <f t="shared" si="25"/>
        <v>1</v>
      </c>
      <c r="D990" s="20" t="str">
        <f t="shared" si="26"/>
        <v>LOW20051</v>
      </c>
      <c r="E990" s="2">
        <v>38364</v>
      </c>
      <c r="F990" s="3">
        <v>0.04</v>
      </c>
      <c r="G990" s="2">
        <v>38380</v>
      </c>
      <c r="H990" s="3">
        <v>2.5999999999999999E-3</v>
      </c>
      <c r="I990" s="3">
        <v>0</v>
      </c>
      <c r="J990" s="3">
        <v>0</v>
      </c>
      <c r="K990" s="3">
        <f t="shared" si="27"/>
        <v>0</v>
      </c>
      <c r="L990" s="3">
        <f t="shared" si="28"/>
        <v>2005</v>
      </c>
      <c r="M990" s="20" t="str">
        <f>A990&amp;L990</f>
        <v>LOW2005</v>
      </c>
      <c r="N990" s="3">
        <f>F990/6</f>
        <v>6.6666666666666671E-3</v>
      </c>
      <c r="O990" s="9">
        <f>H990</f>
        <v>2.5999999999999999E-3</v>
      </c>
      <c r="P990" s="10">
        <f t="shared" si="29"/>
        <v>0</v>
      </c>
      <c r="Q990" s="10">
        <f>IF(K990=0,IF(A987=A990,AVERAGE(O987:O990),"x"),0)</f>
        <v>2.9250000000000001E-3</v>
      </c>
      <c r="R990" s="9">
        <f>IF(L990&gt;2005,AVERAGE(O987:O1006),0)</f>
        <v>0</v>
      </c>
      <c r="S990" s="10">
        <f>IF(A990=A991,(N990-N991)/N991,0)</f>
        <v>0</v>
      </c>
      <c r="T990" s="10">
        <f>IF(L990&gt;2005,(((N990-N1010)/N1010)+1)^(1/5)-1,0)</f>
        <v>0</v>
      </c>
      <c r="U990" s="10">
        <f t="shared" si="30"/>
        <v>0</v>
      </c>
      <c r="V990" s="26">
        <f t="shared" si="31"/>
        <v>0</v>
      </c>
      <c r="W990" s="3">
        <f>IF(A990=A991,N990-N991,0)</f>
        <v>0</v>
      </c>
      <c r="X990" s="10">
        <f>IF(A990=A991,(N990-N991)/N991,0)</f>
        <v>0</v>
      </c>
    </row>
    <row r="991" spans="1:24" ht="16.5" customHeight="1">
      <c r="A991" s="3" t="s">
        <v>34</v>
      </c>
      <c r="B991" s="3">
        <f t="shared" si="24"/>
        <v>2004</v>
      </c>
      <c r="C991" s="3">
        <f t="shared" si="25"/>
        <v>10</v>
      </c>
      <c r="D991" s="20" t="str">
        <f t="shared" si="26"/>
        <v>LOW200410</v>
      </c>
      <c r="E991" s="2">
        <v>38273</v>
      </c>
      <c r="F991" s="3">
        <v>0.04</v>
      </c>
      <c r="G991" s="2">
        <v>38289</v>
      </c>
      <c r="H991" s="3">
        <v>2.5000000000000001E-3</v>
      </c>
      <c r="I991" s="3">
        <v>0</v>
      </c>
      <c r="J991" s="3">
        <v>0</v>
      </c>
      <c r="K991" s="3">
        <f t="shared" si="27"/>
        <v>2004</v>
      </c>
      <c r="L991" s="3">
        <f t="shared" si="28"/>
        <v>0</v>
      </c>
      <c r="M991" s="20" t="str">
        <f>A991&amp;L991</f>
        <v>LOW0</v>
      </c>
      <c r="N991" s="3">
        <f>F991/6</f>
        <v>6.6666666666666671E-3</v>
      </c>
      <c r="O991" s="9">
        <f>H991</f>
        <v>2.5000000000000001E-3</v>
      </c>
      <c r="P991" s="10">
        <f t="shared" si="29"/>
        <v>0</v>
      </c>
      <c r="Q991" s="10">
        <f>IF(K991=0,IF(A988=A991,AVERAGE(O988:O991),"x"),0)</f>
        <v>0</v>
      </c>
      <c r="R991" s="9">
        <f>IF(L991&gt;2005,AVERAGE(O988:O1007),0)</f>
        <v>0</v>
      </c>
      <c r="S991" s="10">
        <f>IF(A991=A992,(N991-N992)/N992,0)</f>
        <v>0</v>
      </c>
      <c r="T991" s="10">
        <f>IF(L991&gt;2005,(((N991-N1011)/N1011)+1)^(1/5)-1,0)</f>
        <v>0</v>
      </c>
      <c r="U991" s="10">
        <f t="shared" si="30"/>
        <v>0</v>
      </c>
      <c r="V991" s="26">
        <f t="shared" si="31"/>
        <v>0</v>
      </c>
      <c r="W991" s="3">
        <f>IF(A991=A992,N991-N992,0)</f>
        <v>0</v>
      </c>
      <c r="X991" s="10">
        <f>IF(A991=A992,(N991-N992)/N992,0)</f>
        <v>0</v>
      </c>
    </row>
    <row r="992" spans="1:24" ht="16.5" customHeight="1">
      <c r="A992" s="3" t="s">
        <v>34</v>
      </c>
      <c r="B992" s="3">
        <f t="shared" si="24"/>
        <v>2004</v>
      </c>
      <c r="C992" s="3">
        <f t="shared" si="25"/>
        <v>7</v>
      </c>
      <c r="D992" s="20" t="str">
        <f t="shared" si="26"/>
        <v>LOW20047</v>
      </c>
      <c r="E992" s="2">
        <v>38182</v>
      </c>
      <c r="F992" s="3">
        <v>0.04</v>
      </c>
      <c r="G992" s="2">
        <v>38198</v>
      </c>
      <c r="H992" s="3">
        <v>2.5000000000000001E-3</v>
      </c>
      <c r="I992" s="3">
        <v>0.33333333300000001</v>
      </c>
      <c r="J992" s="3">
        <v>0.01</v>
      </c>
      <c r="K992" s="3">
        <f t="shared" si="27"/>
        <v>2004</v>
      </c>
      <c r="L992" s="3">
        <f t="shared" si="28"/>
        <v>0</v>
      </c>
      <c r="M992" s="20" t="str">
        <f>A992&amp;L992</f>
        <v>LOW0</v>
      </c>
      <c r="N992" s="3">
        <f>F992/6</f>
        <v>6.6666666666666671E-3</v>
      </c>
      <c r="O992" s="9">
        <f>H992</f>
        <v>2.5000000000000001E-3</v>
      </c>
      <c r="P992" s="10">
        <f t="shared" si="29"/>
        <v>2.15E-3</v>
      </c>
      <c r="Q992" s="10">
        <f>IF(K992=0,IF(A989=A992,AVERAGE(O989:O992),"x"),0)</f>
        <v>0</v>
      </c>
      <c r="R992" s="9">
        <f>IF(L992&gt;2005,AVERAGE(O989:O1008),0)</f>
        <v>0</v>
      </c>
      <c r="S992" s="10">
        <f>IF(A992=A993,(N992-N993)/N993,0)</f>
        <v>0.33333333333333337</v>
      </c>
      <c r="T992" s="10">
        <f>IF(L992&gt;2005,(((N992-N1012)/N1012)+1)^(1/5)-1,0)</f>
        <v>0</v>
      </c>
      <c r="U992" s="10">
        <f t="shared" si="30"/>
        <v>0</v>
      </c>
      <c r="V992" s="26">
        <f t="shared" si="31"/>
        <v>0</v>
      </c>
      <c r="W992" s="3">
        <f>IF(A992=A993,N992-N993,0)</f>
        <v>1.666666666666667E-3</v>
      </c>
      <c r="X992" s="10">
        <f>IF(A992=A993,(N992-N993)/N993,0)</f>
        <v>0.33333333333333337</v>
      </c>
    </row>
    <row r="993" spans="1:24" ht="16.5" customHeight="1">
      <c r="A993" s="3" t="s">
        <v>34</v>
      </c>
      <c r="B993" s="3">
        <f t="shared" si="24"/>
        <v>2004</v>
      </c>
      <c r="C993" s="3">
        <f t="shared" si="25"/>
        <v>4</v>
      </c>
      <c r="D993" s="20" t="str">
        <f t="shared" si="26"/>
        <v>LOW20044</v>
      </c>
      <c r="E993" s="2">
        <v>38091</v>
      </c>
      <c r="F993" s="3">
        <v>0.03</v>
      </c>
      <c r="G993" s="2">
        <v>38107</v>
      </c>
      <c r="H993" s="3">
        <v>2.2000000000000001E-3</v>
      </c>
      <c r="I993" s="3">
        <v>0</v>
      </c>
      <c r="J993" s="3">
        <v>0</v>
      </c>
      <c r="K993" s="3">
        <f t="shared" si="27"/>
        <v>2004</v>
      </c>
      <c r="L993" s="3">
        <f t="shared" si="28"/>
        <v>0</v>
      </c>
      <c r="M993" s="20" t="str">
        <f>A993&amp;L993</f>
        <v>LOW0</v>
      </c>
      <c r="N993" s="3">
        <f>F993/6</f>
        <v>5.0000000000000001E-3</v>
      </c>
      <c r="O993" s="9">
        <f>H993</f>
        <v>2.2000000000000001E-3</v>
      </c>
      <c r="P993" s="10">
        <f t="shared" si="29"/>
        <v>0</v>
      </c>
      <c r="Q993" s="10">
        <f>IF(K993=0,IF(A990=A993,AVERAGE(O990:O993),"x"),0)</f>
        <v>0</v>
      </c>
      <c r="R993" s="9">
        <f>IF(L993&gt;2005,AVERAGE(O990:O1009),0)</f>
        <v>0</v>
      </c>
      <c r="S993" s="10">
        <f>IF(A993=A994,(N993-N994)/N994,0)</f>
        <v>0</v>
      </c>
      <c r="T993" s="10">
        <f>IF(L993&gt;2005,(((N993-N1013)/N1013)+1)^(1/5)-1,0)</f>
        <v>0</v>
      </c>
      <c r="U993" s="10">
        <f t="shared" si="30"/>
        <v>0</v>
      </c>
      <c r="V993" s="26">
        <f t="shared" si="31"/>
        <v>0</v>
      </c>
      <c r="W993" s="3">
        <f>IF(A993=A994,N993-N994,0)</f>
        <v>0</v>
      </c>
      <c r="X993" s="10">
        <f>IF(A993=A994,(N993-N994)/N994,0)</f>
        <v>0</v>
      </c>
    </row>
    <row r="994" spans="1:24" ht="16.5" customHeight="1">
      <c r="A994" s="3" t="s">
        <v>34</v>
      </c>
      <c r="B994" s="3">
        <f t="shared" si="24"/>
        <v>2004</v>
      </c>
      <c r="C994" s="3">
        <f t="shared" si="25"/>
        <v>1</v>
      </c>
      <c r="D994" s="20" t="str">
        <f t="shared" si="26"/>
        <v>LOW20041</v>
      </c>
      <c r="E994" s="2">
        <v>38000</v>
      </c>
      <c r="F994" s="3">
        <v>0.03</v>
      </c>
      <c r="G994" s="2">
        <v>38016</v>
      </c>
      <c r="H994" s="3">
        <v>2.0999999999999999E-3</v>
      </c>
      <c r="I994" s="3">
        <v>0</v>
      </c>
      <c r="J994" s="3">
        <v>0</v>
      </c>
      <c r="K994" s="3">
        <f t="shared" si="27"/>
        <v>0</v>
      </c>
      <c r="L994" s="3">
        <f t="shared" si="28"/>
        <v>2004</v>
      </c>
      <c r="M994" s="20" t="str">
        <f>A994&amp;L994</f>
        <v>LOW2004</v>
      </c>
      <c r="N994" s="3">
        <f>F994/6</f>
        <v>5.0000000000000001E-3</v>
      </c>
      <c r="O994" s="9">
        <f>H994</f>
        <v>2.0999999999999999E-3</v>
      </c>
      <c r="P994" s="10">
        <f t="shared" si="29"/>
        <v>0</v>
      </c>
      <c r="Q994" s="10">
        <f>IF(K994=0,IF(A991=A994,AVERAGE(O991:O994),"x"),0)</f>
        <v>2.3249999999999998E-3</v>
      </c>
      <c r="R994" s="9">
        <f>IF(L994&gt;2005,AVERAGE(O991:O1010),0)</f>
        <v>0</v>
      </c>
      <c r="S994" s="10">
        <f>IF(A994=A995,(N994-N995)/N995,0)</f>
        <v>0</v>
      </c>
      <c r="T994" s="10">
        <f>IF(L994&gt;2005,(((N994-N1014)/N1014)+1)^(1/5)-1,0)</f>
        <v>0</v>
      </c>
      <c r="U994" s="10">
        <f t="shared" si="30"/>
        <v>0</v>
      </c>
      <c r="V994" s="26">
        <f t="shared" si="31"/>
        <v>0</v>
      </c>
      <c r="W994" s="3">
        <f>IF(A994=A995,N994-N995,0)</f>
        <v>0</v>
      </c>
      <c r="X994" s="10">
        <f>IF(A994=A995,(N994-N995)/N995,0)</f>
        <v>0</v>
      </c>
    </row>
    <row r="995" spans="1:24" ht="16.5" customHeight="1">
      <c r="A995" s="3" t="s">
        <v>34</v>
      </c>
      <c r="B995" s="3">
        <f t="shared" si="24"/>
        <v>2003</v>
      </c>
      <c r="C995" s="3">
        <f t="shared" si="25"/>
        <v>10</v>
      </c>
      <c r="D995" s="20" t="str">
        <f t="shared" si="26"/>
        <v>LOW200310</v>
      </c>
      <c r="E995" s="2">
        <v>37909</v>
      </c>
      <c r="F995" s="3">
        <v>0.03</v>
      </c>
      <c r="G995" s="2">
        <v>37925</v>
      </c>
      <c r="H995" s="3">
        <v>1.8E-3</v>
      </c>
      <c r="I995" s="3">
        <v>0.2</v>
      </c>
      <c r="J995" s="3">
        <v>5.0000000000000001E-3</v>
      </c>
      <c r="K995" s="3">
        <f t="shared" si="27"/>
        <v>2003</v>
      </c>
      <c r="L995" s="3">
        <f t="shared" si="28"/>
        <v>0</v>
      </c>
      <c r="M995" s="20" t="str">
        <f>A995&amp;L995</f>
        <v>LOW0</v>
      </c>
      <c r="N995" s="3">
        <f>F995/6</f>
        <v>5.0000000000000001E-3</v>
      </c>
      <c r="O995" s="9">
        <f>H995</f>
        <v>1.8E-3</v>
      </c>
      <c r="P995" s="10">
        <f t="shared" si="29"/>
        <v>2.0249999999999999E-3</v>
      </c>
      <c r="Q995" s="10">
        <f>IF(K995=0,IF(A992=A995,AVERAGE(O992:O995),"x"),0)</f>
        <v>0</v>
      </c>
      <c r="R995" s="9">
        <f>IF(L995&gt;2005,AVERAGE(O992:O1011),0)</f>
        <v>0</v>
      </c>
      <c r="S995" s="10">
        <f>IF(A995=A996,(N995-N996)/N996,0)</f>
        <v>0.20000000000000004</v>
      </c>
      <c r="T995" s="10">
        <f>IF(L995&gt;2005,(((N995-N1015)/N1015)+1)^(1/5)-1,0)</f>
        <v>0</v>
      </c>
      <c r="U995" s="10">
        <f t="shared" si="30"/>
        <v>0</v>
      </c>
      <c r="V995" s="26">
        <f t="shared" si="31"/>
        <v>0</v>
      </c>
      <c r="W995" s="3">
        <f>IF(A995=A996,N995-N996,0)</f>
        <v>8.333333333333335E-4</v>
      </c>
      <c r="X995" s="10">
        <f>IF(A995=A996,(N995-N996)/N996,0)</f>
        <v>0.20000000000000004</v>
      </c>
    </row>
    <row r="996" spans="1:24" ht="16.5" customHeight="1">
      <c r="A996" s="3" t="s">
        <v>34</v>
      </c>
      <c r="B996" s="3">
        <f t="shared" si="24"/>
        <v>2003</v>
      </c>
      <c r="C996" s="3">
        <f t="shared" si="25"/>
        <v>7</v>
      </c>
      <c r="D996" s="20" t="str">
        <f t="shared" si="26"/>
        <v>LOW20037</v>
      </c>
      <c r="E996" s="2">
        <v>37818</v>
      </c>
      <c r="F996" s="3">
        <v>2.5000000000000001E-2</v>
      </c>
      <c r="G996" s="2">
        <v>37834</v>
      </c>
      <c r="H996" s="3">
        <v>2E-3</v>
      </c>
      <c r="I996" s="3">
        <v>0</v>
      </c>
      <c r="J996" s="3">
        <v>0</v>
      </c>
      <c r="K996" s="3">
        <f t="shared" si="27"/>
        <v>2003</v>
      </c>
      <c r="L996" s="3">
        <f t="shared" si="28"/>
        <v>0</v>
      </c>
      <c r="M996" s="20" t="str">
        <f>A996&amp;L996</f>
        <v>LOW0</v>
      </c>
      <c r="N996" s="3">
        <f>F996/6</f>
        <v>4.1666666666666666E-3</v>
      </c>
      <c r="O996" s="9">
        <f>H996</f>
        <v>2E-3</v>
      </c>
      <c r="P996" s="10">
        <f t="shared" si="29"/>
        <v>0</v>
      </c>
      <c r="Q996" s="10">
        <f>IF(K996=0,IF(A993=A996,AVERAGE(O993:O996),"x"),0)</f>
        <v>0</v>
      </c>
      <c r="R996" s="9">
        <f>IF(L996&gt;2005,AVERAGE(O993:O1012),0)</f>
        <v>0</v>
      </c>
      <c r="S996" s="10">
        <f>IF(A996=A997,(N996-N997)/N997,0)</f>
        <v>0</v>
      </c>
      <c r="T996" s="10">
        <f>IF(L996&gt;2005,(((N996-N1016)/N1016)+1)^(1/5)-1,0)</f>
        <v>0</v>
      </c>
      <c r="U996" s="10">
        <f t="shared" si="30"/>
        <v>0</v>
      </c>
      <c r="V996" s="26">
        <f t="shared" si="31"/>
        <v>0</v>
      </c>
      <c r="W996" s="3">
        <f>IF(A996=A997,N996-N997,0)</f>
        <v>0</v>
      </c>
      <c r="X996" s="10">
        <f>IF(A996=A997,(N996-N997)/N997,0)</f>
        <v>0</v>
      </c>
    </row>
    <row r="997" spans="1:24" ht="16.5" customHeight="1">
      <c r="A997" s="3" t="s">
        <v>34</v>
      </c>
      <c r="B997" s="3">
        <f t="shared" si="24"/>
        <v>2003</v>
      </c>
      <c r="C997" s="3">
        <f t="shared" si="25"/>
        <v>4</v>
      </c>
      <c r="D997" s="20" t="str">
        <f t="shared" si="26"/>
        <v>LOW20034</v>
      </c>
      <c r="E997" s="2">
        <v>37726</v>
      </c>
      <c r="F997" s="3">
        <v>2.5000000000000001E-2</v>
      </c>
      <c r="G997" s="2">
        <v>37743</v>
      </c>
      <c r="H997" s="3">
        <v>2E-3</v>
      </c>
      <c r="I997" s="3">
        <v>0</v>
      </c>
      <c r="J997" s="3">
        <v>0</v>
      </c>
      <c r="K997" s="3">
        <f t="shared" si="27"/>
        <v>2003</v>
      </c>
      <c r="L997" s="3">
        <f t="shared" si="28"/>
        <v>0</v>
      </c>
      <c r="M997" s="20" t="str">
        <f>A997&amp;L997</f>
        <v>LOW0</v>
      </c>
      <c r="N997" s="3">
        <f>F997/6</f>
        <v>4.1666666666666666E-3</v>
      </c>
      <c r="O997" s="9">
        <f>H997</f>
        <v>2E-3</v>
      </c>
      <c r="P997" s="10">
        <f t="shared" si="29"/>
        <v>0</v>
      </c>
      <c r="Q997" s="10">
        <f>IF(K997=0,IF(A994=A997,AVERAGE(O994:O997),"x"),0)</f>
        <v>0</v>
      </c>
      <c r="R997" s="9">
        <f>IF(L997&gt;2005,AVERAGE(O994:O1013),0)</f>
        <v>0</v>
      </c>
      <c r="S997" s="10">
        <f>IF(A997=A998,(N997-N998)/N998,0)</f>
        <v>0</v>
      </c>
      <c r="T997" s="10">
        <f>IF(L997&gt;2005,(((N997-N1017)/N1017)+1)^(1/5)-1,0)</f>
        <v>0</v>
      </c>
      <c r="U997" s="10">
        <f t="shared" si="30"/>
        <v>0</v>
      </c>
      <c r="V997" s="26">
        <f t="shared" si="31"/>
        <v>0</v>
      </c>
      <c r="W997" s="3">
        <f>IF(A997=A998,N997-N998,0)</f>
        <v>0</v>
      </c>
      <c r="X997" s="10">
        <f>IF(A997=A998,(N997-N998)/N998,0)</f>
        <v>0</v>
      </c>
    </row>
    <row r="998" spans="1:24" ht="16.5" customHeight="1">
      <c r="A998" s="3" t="s">
        <v>34</v>
      </c>
      <c r="B998" s="3">
        <f t="shared" si="24"/>
        <v>2003</v>
      </c>
      <c r="C998" s="3">
        <f t="shared" si="25"/>
        <v>1</v>
      </c>
      <c r="D998" s="20" t="str">
        <f t="shared" si="26"/>
        <v>LOW20031</v>
      </c>
      <c r="E998" s="2">
        <v>37636</v>
      </c>
      <c r="F998" s="3">
        <v>2.5000000000000001E-2</v>
      </c>
      <c r="G998" s="2">
        <v>37652</v>
      </c>
      <c r="H998" s="3">
        <v>2.3E-3</v>
      </c>
      <c r="I998" s="3">
        <v>0.25</v>
      </c>
      <c r="J998" s="3">
        <v>5.0000000000000001E-3</v>
      </c>
      <c r="K998" s="3">
        <f t="shared" si="27"/>
        <v>0</v>
      </c>
      <c r="L998" s="3">
        <f t="shared" si="28"/>
        <v>2003</v>
      </c>
      <c r="M998" s="20" t="str">
        <f>A998&amp;L998</f>
        <v>LOW2003</v>
      </c>
      <c r="N998" s="3">
        <f>F998/6</f>
        <v>4.1666666666666666E-3</v>
      </c>
      <c r="O998" s="9">
        <f>H998</f>
        <v>2.3E-3</v>
      </c>
      <c r="P998" s="10">
        <f t="shared" si="29"/>
        <v>2.0249999999999999E-3</v>
      </c>
      <c r="Q998" s="10">
        <f>IF(K998=0,IF(A995=A998,AVERAGE(O995:O998),"x"),0)</f>
        <v>2.0249999999999999E-3</v>
      </c>
      <c r="R998" s="9">
        <f>IF(L998&gt;2005,AVERAGE(O995:O1014),0)</f>
        <v>0</v>
      </c>
      <c r="S998" s="10">
        <f>IF(A998=A999,(N998-N999)/N999,0)</f>
        <v>0.24999999999999989</v>
      </c>
      <c r="T998" s="10">
        <f>IF(L998&gt;2005,(((N998-N1018)/N1018)+1)^(1/5)-1,0)</f>
        <v>0</v>
      </c>
      <c r="U998" s="10">
        <f t="shared" si="30"/>
        <v>0</v>
      </c>
      <c r="V998" s="26">
        <f t="shared" si="31"/>
        <v>0</v>
      </c>
      <c r="W998" s="3">
        <f>IF(A998=A999,N998-N999,0)</f>
        <v>8.3333333333333306E-4</v>
      </c>
      <c r="X998" s="10">
        <f>IF(A998=A999,(N998-N999)/N999,0)</f>
        <v>0.24999999999999989</v>
      </c>
    </row>
    <row r="999" spans="1:24" ht="16.5" customHeight="1">
      <c r="A999" s="3" t="s">
        <v>34</v>
      </c>
      <c r="B999" s="3">
        <f t="shared" si="24"/>
        <v>2002</v>
      </c>
      <c r="C999" s="3">
        <f t="shared" si="25"/>
        <v>10</v>
      </c>
      <c r="D999" s="20" t="str">
        <f t="shared" si="26"/>
        <v>LOW200210</v>
      </c>
      <c r="E999" s="2">
        <v>37545</v>
      </c>
      <c r="F999" s="3">
        <v>0.02</v>
      </c>
      <c r="G999" s="2">
        <v>37561</v>
      </c>
      <c r="H999" s="3">
        <v>1.9E-3</v>
      </c>
      <c r="I999" s="3">
        <v>0</v>
      </c>
      <c r="J999" s="3">
        <v>0</v>
      </c>
      <c r="K999" s="3">
        <f t="shared" si="27"/>
        <v>2002</v>
      </c>
      <c r="L999" s="3">
        <f t="shared" si="28"/>
        <v>0</v>
      </c>
      <c r="M999" s="20" t="str">
        <f>A999&amp;L999</f>
        <v>LOW0</v>
      </c>
      <c r="N999" s="3">
        <f>F999/6</f>
        <v>3.3333333333333335E-3</v>
      </c>
      <c r="O999" s="9">
        <f>H999</f>
        <v>1.9E-3</v>
      </c>
      <c r="P999" s="10">
        <f t="shared" si="29"/>
        <v>0</v>
      </c>
      <c r="Q999" s="10">
        <f>IF(K999=0,IF(A996=A999,AVERAGE(O996:O999),"x"),0)</f>
        <v>0</v>
      </c>
      <c r="R999" s="9">
        <f>IF(L999&gt;2005,AVERAGE(O996:O1015),0)</f>
        <v>0</v>
      </c>
      <c r="S999" s="10">
        <f>IF(A999=A1000,(N999-N1000)/N1000,0)</f>
        <v>0</v>
      </c>
      <c r="T999" s="10">
        <f>IF(L999&gt;2005,(((N999-N1019)/N1019)+1)^(1/5)-1,0)</f>
        <v>0</v>
      </c>
      <c r="U999" s="10">
        <f t="shared" si="30"/>
        <v>0</v>
      </c>
      <c r="V999" s="26">
        <f t="shared" si="31"/>
        <v>0</v>
      </c>
      <c r="W999" s="3">
        <f>IF(A999=A1000,N999-N1000,0)</f>
        <v>0</v>
      </c>
      <c r="X999" s="10">
        <f>IF(A999=A1000,(N999-N1000)/N1000,0)</f>
        <v>0</v>
      </c>
    </row>
    <row r="1000" spans="1:24" ht="16.5" customHeight="1">
      <c r="A1000" s="3" t="s">
        <v>34</v>
      </c>
      <c r="B1000" s="3">
        <f t="shared" si="24"/>
        <v>2002</v>
      </c>
      <c r="C1000" s="3">
        <f t="shared" si="25"/>
        <v>7</v>
      </c>
      <c r="D1000" s="20" t="str">
        <f t="shared" si="26"/>
        <v>LOW20027</v>
      </c>
      <c r="E1000" s="2">
        <v>37454</v>
      </c>
      <c r="F1000" s="3">
        <v>0.02</v>
      </c>
      <c r="G1000" s="2">
        <v>37470</v>
      </c>
      <c r="H1000" s="3">
        <v>2.0999999999999999E-3</v>
      </c>
      <c r="I1000" s="3">
        <v>0</v>
      </c>
      <c r="J1000" s="3">
        <v>0</v>
      </c>
      <c r="K1000" s="3">
        <f t="shared" si="27"/>
        <v>2002</v>
      </c>
      <c r="L1000" s="3">
        <f t="shared" si="28"/>
        <v>0</v>
      </c>
      <c r="M1000" s="20" t="str">
        <f>A1000&amp;L1000</f>
        <v>LOW0</v>
      </c>
      <c r="N1000" s="3">
        <f>F1000/6</f>
        <v>3.3333333333333335E-3</v>
      </c>
      <c r="O1000" s="9">
        <f>H1000</f>
        <v>2.0999999999999999E-3</v>
      </c>
      <c r="P1000" s="10">
        <f t="shared" si="29"/>
        <v>0</v>
      </c>
      <c r="Q1000" s="10">
        <f>IF(K1000=0,IF(A997=A1000,AVERAGE(O997:O1000),"x"),0)</f>
        <v>0</v>
      </c>
      <c r="R1000" s="9">
        <f>IF(L1000&gt;2005,AVERAGE(O997:O1016),0)</f>
        <v>0</v>
      </c>
      <c r="S1000" s="10">
        <f>IF(A1000=A1001,(N1000-N1001)/N1001,0)</f>
        <v>0</v>
      </c>
      <c r="T1000" s="10">
        <f>IF(L1000&gt;2005,(((N1000-N1020)/N1020)+1)^(1/5)-1,0)</f>
        <v>0</v>
      </c>
      <c r="U1000" s="10">
        <f t="shared" si="30"/>
        <v>0</v>
      </c>
      <c r="V1000" s="26">
        <f t="shared" si="31"/>
        <v>0</v>
      </c>
      <c r="W1000" s="3">
        <f>IF(A1000=A1001,N1000-N1001,0)</f>
        <v>0</v>
      </c>
      <c r="X1000" s="10">
        <f>IF(A1000=A1001,(N1000-N1001)/N1001,0)</f>
        <v>0</v>
      </c>
    </row>
    <row r="1001" spans="1:24" ht="16.5" customHeight="1">
      <c r="A1001" s="3" t="s">
        <v>34</v>
      </c>
      <c r="B1001" s="3">
        <f t="shared" si="24"/>
        <v>2002</v>
      </c>
      <c r="C1001" s="3">
        <f t="shared" si="25"/>
        <v>4</v>
      </c>
      <c r="D1001" s="20" t="str">
        <f t="shared" si="26"/>
        <v>LOW20024</v>
      </c>
      <c r="E1001" s="2">
        <v>37363</v>
      </c>
      <c r="F1001" s="3">
        <v>0.02</v>
      </c>
      <c r="G1001" s="2">
        <v>37379</v>
      </c>
      <c r="H1001" s="3">
        <v>1.8E-3</v>
      </c>
      <c r="I1001" s="3">
        <v>0</v>
      </c>
      <c r="J1001" s="3">
        <v>0</v>
      </c>
      <c r="K1001" s="3">
        <f t="shared" si="27"/>
        <v>2002</v>
      </c>
      <c r="L1001" s="3">
        <f t="shared" si="28"/>
        <v>0</v>
      </c>
      <c r="M1001" s="20" t="str">
        <f>A1001&amp;L1001</f>
        <v>LOW0</v>
      </c>
      <c r="N1001" s="3">
        <f>F1001/6</f>
        <v>3.3333333333333335E-3</v>
      </c>
      <c r="O1001" s="9">
        <f>H1001</f>
        <v>1.8E-3</v>
      </c>
      <c r="P1001" s="10">
        <f t="shared" si="29"/>
        <v>0</v>
      </c>
      <c r="Q1001" s="10">
        <f>IF(K1001=0,IF(A998=A1001,AVERAGE(O998:O1001),"x"),0)</f>
        <v>0</v>
      </c>
      <c r="R1001" s="9">
        <f>IF(L1001&gt;2005,AVERAGE(O998:O1017),0)</f>
        <v>0</v>
      </c>
      <c r="S1001" s="10">
        <f>IF(A1001=A1002,(N1001-N1002)/N1002,0)</f>
        <v>0</v>
      </c>
      <c r="T1001" s="10">
        <f>IF(L1001&gt;2005,(((N1001-N1021)/N1021)+1)^(1/5)-1,0)</f>
        <v>0</v>
      </c>
      <c r="U1001" s="10">
        <f t="shared" si="30"/>
        <v>0</v>
      </c>
      <c r="V1001" s="26">
        <f t="shared" si="31"/>
        <v>0</v>
      </c>
      <c r="W1001" s="3">
        <f>IF(A1001=A1002,N1001-N1002,0)</f>
        <v>0</v>
      </c>
      <c r="X1001" s="10">
        <f>IF(A1001=A1002,(N1001-N1002)/N1002,0)</f>
        <v>0</v>
      </c>
    </row>
    <row r="1002" spans="1:24" ht="16.5" customHeight="1">
      <c r="A1002" s="3" t="s">
        <v>34</v>
      </c>
      <c r="B1002" s="3">
        <f t="shared" si="24"/>
        <v>2002</v>
      </c>
      <c r="C1002" s="3">
        <f t="shared" si="25"/>
        <v>1</v>
      </c>
      <c r="D1002" s="20" t="str">
        <f t="shared" si="26"/>
        <v>LOW20021</v>
      </c>
      <c r="E1002" s="2">
        <v>37272</v>
      </c>
      <c r="F1002" s="3">
        <v>0.02</v>
      </c>
      <c r="G1002" s="2">
        <v>37288</v>
      </c>
      <c r="H1002" s="3">
        <v>1.8E-3</v>
      </c>
      <c r="I1002" s="3">
        <v>0</v>
      </c>
      <c r="J1002" s="3">
        <v>0</v>
      </c>
      <c r="K1002" s="3">
        <f t="shared" si="27"/>
        <v>0</v>
      </c>
      <c r="L1002" s="3">
        <f t="shared" si="28"/>
        <v>2002</v>
      </c>
      <c r="M1002" s="20" t="str">
        <f>A1002&amp;L1002</f>
        <v>LOW2002</v>
      </c>
      <c r="N1002" s="3">
        <f>F1002/6</f>
        <v>3.3333333333333335E-3</v>
      </c>
      <c r="O1002" s="9">
        <f>H1002</f>
        <v>1.8E-3</v>
      </c>
      <c r="P1002" s="10">
        <f t="shared" si="29"/>
        <v>0</v>
      </c>
      <c r="Q1002" s="10">
        <f>IF(K1002=0,IF(A999=A1002,AVERAGE(O999:O1002),"x"),0)</f>
        <v>1.8999999999999998E-3</v>
      </c>
      <c r="R1002" s="9">
        <f>IF(L1002&gt;2005,AVERAGE(O999:O1018),0)</f>
        <v>0</v>
      </c>
      <c r="S1002" s="10">
        <f>IF(A1002=A1003,(N1002-N1003)/N1003,0)</f>
        <v>0</v>
      </c>
      <c r="T1002" s="10">
        <f>IF(L1002&gt;2005,(((N1002-N1022)/N1022)+1)^(1/5)-1,0)</f>
        <v>0</v>
      </c>
      <c r="U1002" s="10">
        <f t="shared" si="30"/>
        <v>0</v>
      </c>
      <c r="V1002" s="26">
        <f t="shared" si="31"/>
        <v>0</v>
      </c>
      <c r="W1002" s="3">
        <f>IF(A1002=A1003,N1002-N1003,0)</f>
        <v>0</v>
      </c>
      <c r="X1002" s="10">
        <f>IF(A1002=A1003,(N1002-N1003)/N1003,0)</f>
        <v>0</v>
      </c>
    </row>
    <row r="1003" spans="1:24" ht="16.5" customHeight="1">
      <c r="A1003" s="3" t="s">
        <v>34</v>
      </c>
      <c r="B1003" s="3">
        <f t="shared" si="24"/>
        <v>2001</v>
      </c>
      <c r="C1003" s="3">
        <f t="shared" si="25"/>
        <v>10</v>
      </c>
      <c r="D1003" s="20" t="str">
        <f t="shared" si="26"/>
        <v>LOW200110</v>
      </c>
      <c r="E1003" s="2">
        <v>37181</v>
      </c>
      <c r="F1003" s="3">
        <v>0.02</v>
      </c>
      <c r="G1003" s="2">
        <v>37197</v>
      </c>
      <c r="H1003" s="3">
        <v>2.2000000000000001E-3</v>
      </c>
      <c r="I1003" s="3">
        <v>0</v>
      </c>
      <c r="J1003" s="3">
        <v>0</v>
      </c>
      <c r="K1003" s="3">
        <f t="shared" si="27"/>
        <v>2001</v>
      </c>
      <c r="L1003" s="3">
        <f t="shared" si="28"/>
        <v>0</v>
      </c>
      <c r="M1003" s="20" t="str">
        <f>A1003&amp;L1003</f>
        <v>LOW0</v>
      </c>
      <c r="N1003" s="3">
        <f>F1003/6</f>
        <v>3.3333333333333335E-3</v>
      </c>
      <c r="O1003" s="9">
        <f>H1003</f>
        <v>2.2000000000000001E-3</v>
      </c>
      <c r="P1003" s="10">
        <f t="shared" si="29"/>
        <v>0</v>
      </c>
      <c r="Q1003" s="10">
        <f>IF(K1003=0,IF(A1000=A1003,AVERAGE(O1000:O1003),"x"),0)</f>
        <v>0</v>
      </c>
      <c r="R1003" s="9">
        <f>IF(L1003&gt;2005,AVERAGE(O1000:O1019),0)</f>
        <v>0</v>
      </c>
      <c r="S1003" s="10">
        <f>IF(A1003=A1004,(N1003-N1004)/N1004,0)</f>
        <v>0</v>
      </c>
      <c r="T1003" s="10">
        <f>IF(L1003&gt;2005,(((N1003-N1023)/N1023)+1)^(1/5)-1,0)</f>
        <v>0</v>
      </c>
      <c r="U1003" s="10">
        <f t="shared" si="30"/>
        <v>0</v>
      </c>
      <c r="V1003" s="26">
        <f t="shared" si="31"/>
        <v>0</v>
      </c>
      <c r="W1003" s="3">
        <f>IF(A1003=A1004,N1003-N1004,0)</f>
        <v>0</v>
      </c>
      <c r="X1003" s="10">
        <f>IF(A1003=A1004,(N1003-N1004)/N1004,0)</f>
        <v>0</v>
      </c>
    </row>
    <row r="1004" spans="1:24" ht="16.5" customHeight="1">
      <c r="A1004" s="3" t="s">
        <v>34</v>
      </c>
      <c r="B1004" s="3">
        <f t="shared" si="24"/>
        <v>2001</v>
      </c>
      <c r="C1004" s="3">
        <f t="shared" si="25"/>
        <v>7</v>
      </c>
      <c r="D1004" s="20" t="str">
        <f t="shared" si="26"/>
        <v>LOW20017</v>
      </c>
      <c r="E1004" s="2">
        <v>37090</v>
      </c>
      <c r="F1004" s="3">
        <v>0.02</v>
      </c>
      <c r="G1004" s="2">
        <v>37106</v>
      </c>
      <c r="H1004" s="3">
        <v>2E-3</v>
      </c>
      <c r="I1004" s="3">
        <v>-0.428571429</v>
      </c>
      <c r="J1004" s="3">
        <v>-1.4999999999999999E-2</v>
      </c>
      <c r="K1004" s="3">
        <f t="shared" si="27"/>
        <v>2001</v>
      </c>
      <c r="L1004" s="3">
        <f t="shared" si="28"/>
        <v>0</v>
      </c>
      <c r="M1004" s="20" t="str">
        <f>A1004&amp;L1004</f>
        <v>LOW0</v>
      </c>
      <c r="N1004" s="3">
        <f>F1004/6</f>
        <v>3.3333333333333335E-3</v>
      </c>
      <c r="O1004" s="9">
        <f>H1004</f>
        <v>2E-3</v>
      </c>
      <c r="P1004" s="10">
        <f t="shared" si="29"/>
        <v>2.7000000000000001E-3</v>
      </c>
      <c r="Q1004" s="10">
        <f>IF(K1004=0,IF(A1001=A1004,AVERAGE(O1001:O1004),"x"),0)</f>
        <v>0</v>
      </c>
      <c r="R1004" s="9">
        <f>IF(L1004&gt;2005,AVERAGE(O1001:O1020),0)</f>
        <v>0</v>
      </c>
      <c r="S1004" s="10">
        <f>IF(A1004=A1005,(N1004-N1005)/N1005,0)</f>
        <v>0.14285714285714288</v>
      </c>
      <c r="T1004" s="10">
        <f>IF(L1004&gt;2005,(((N1004-N1024)/N1024)+1)^(1/5)-1,0)</f>
        <v>0</v>
      </c>
      <c r="U1004" s="10">
        <f t="shared" si="30"/>
        <v>0</v>
      </c>
      <c r="V1004" s="26">
        <f t="shared" si="31"/>
        <v>0</v>
      </c>
      <c r="W1004" s="3">
        <f>IF(A1004=A1005,N1004-N1005,0)</f>
        <v>4.1666666666666675E-4</v>
      </c>
      <c r="X1004" s="10">
        <f>IF(A1004=A1005,(N1004-N1005)/N1005,0)</f>
        <v>0.14285714285714288</v>
      </c>
    </row>
    <row r="1005" spans="1:24" ht="16.5" customHeight="1">
      <c r="A1005" s="3" t="s">
        <v>34</v>
      </c>
      <c r="B1005" s="3">
        <f t="shared" si="24"/>
        <v>2001</v>
      </c>
      <c r="C1005" s="3">
        <f t="shared" si="25"/>
        <v>4</v>
      </c>
      <c r="D1005" s="20" t="str">
        <f t="shared" si="26"/>
        <v>LOW20014</v>
      </c>
      <c r="E1005" s="2">
        <v>36999</v>
      </c>
      <c r="F1005" s="3">
        <v>3.5000000000000003E-2</v>
      </c>
      <c r="G1005" s="2">
        <v>37015</v>
      </c>
      <c r="H1005" s="3">
        <v>2.7000000000000001E-3</v>
      </c>
      <c r="I1005" s="3">
        <v>0</v>
      </c>
      <c r="J1005" s="3">
        <v>0</v>
      </c>
      <c r="K1005" s="3">
        <f t="shared" si="27"/>
        <v>2001</v>
      </c>
      <c r="L1005" s="3">
        <f t="shared" si="28"/>
        <v>0</v>
      </c>
      <c r="M1005" s="20" t="str">
        <f>A1005&amp;L1005</f>
        <v>LOW0</v>
      </c>
      <c r="N1005" s="3">
        <f>F1005/12</f>
        <v>2.9166666666666668E-3</v>
      </c>
      <c r="O1005" s="9">
        <f>H1005</f>
        <v>2.7000000000000001E-3</v>
      </c>
      <c r="P1005" s="10">
        <f t="shared" si="29"/>
        <v>0</v>
      </c>
      <c r="Q1005" s="10">
        <f>IF(K1005=0,IF(A1002=A1005,AVERAGE(O1002:O1005),"x"),0)</f>
        <v>0</v>
      </c>
      <c r="R1005" s="9">
        <f>IF(L1005&gt;2005,AVERAGE(O1002:O1021),0)</f>
        <v>0</v>
      </c>
      <c r="S1005" s="10">
        <f>IF(A1005=A1006,(N1005-N1006)/N1006,0)</f>
        <v>0</v>
      </c>
      <c r="T1005" s="10">
        <f>IF(L1005&gt;2005,(((N1005-N1025)/N1025)+1)^(1/5)-1,0)</f>
        <v>0</v>
      </c>
      <c r="U1005" s="10">
        <f t="shared" si="30"/>
        <v>0</v>
      </c>
      <c r="V1005" s="26">
        <f t="shared" si="31"/>
        <v>0</v>
      </c>
      <c r="W1005" s="3">
        <f>IF(A1005=A1006,N1005-N1006,0)</f>
        <v>0</v>
      </c>
      <c r="X1005" s="10">
        <f>IF(A1005=A1006,(N1005-N1006)/N1006,0)</f>
        <v>0</v>
      </c>
    </row>
    <row r="1006" spans="1:24" ht="16.5" customHeight="1">
      <c r="A1006" s="3" t="s">
        <v>34</v>
      </c>
      <c r="B1006" s="3">
        <f t="shared" si="24"/>
        <v>2001</v>
      </c>
      <c r="C1006" s="3">
        <f t="shared" si="25"/>
        <v>1</v>
      </c>
      <c r="D1006" s="20" t="str">
        <f t="shared" si="26"/>
        <v>LOW20011</v>
      </c>
      <c r="E1006" s="2">
        <v>36908</v>
      </c>
      <c r="F1006" s="3">
        <v>3.5000000000000003E-2</v>
      </c>
      <c r="G1006" s="2">
        <v>36924</v>
      </c>
      <c r="H1006" s="3">
        <v>2.8E-3</v>
      </c>
      <c r="I1006" s="3">
        <v>0</v>
      </c>
      <c r="J1006" s="3">
        <v>0</v>
      </c>
      <c r="K1006" s="3">
        <f t="shared" si="27"/>
        <v>0</v>
      </c>
      <c r="L1006" s="3">
        <f t="shared" si="28"/>
        <v>2001</v>
      </c>
      <c r="M1006" s="20" t="str">
        <f>A1006&amp;L1006</f>
        <v>LOW2001</v>
      </c>
      <c r="N1006" s="3">
        <f>F1006/12</f>
        <v>2.9166666666666668E-3</v>
      </c>
      <c r="O1006" s="9">
        <f>H1006</f>
        <v>2.8E-3</v>
      </c>
      <c r="P1006" s="10">
        <f t="shared" si="29"/>
        <v>0</v>
      </c>
      <c r="Q1006" s="10">
        <f>IF(K1006=0,IF(A1003=A1006,AVERAGE(O1003:O1006),"x"),0)</f>
        <v>2.4250000000000001E-3</v>
      </c>
      <c r="R1006" s="9">
        <f>IF(L1006&gt;2005,AVERAGE(O1003:O1022),0)</f>
        <v>0</v>
      </c>
      <c r="S1006" s="10">
        <f>IF(A1006=A1007,(N1006-N1007)/N1007,0)</f>
        <v>0</v>
      </c>
      <c r="T1006" s="10">
        <f>IF(L1006&gt;2005,(((N1006-N1026)/N1026)+1)^(1/5)-1,0)</f>
        <v>0</v>
      </c>
      <c r="U1006" s="10">
        <f t="shared" si="30"/>
        <v>0</v>
      </c>
      <c r="V1006" s="26">
        <f t="shared" si="31"/>
        <v>0</v>
      </c>
      <c r="W1006" s="3">
        <f>IF(A1006=A1007,N1006-N1007,0)</f>
        <v>0</v>
      </c>
      <c r="X1006" s="10">
        <f>IF(A1006=A1007,(N1006-N1007)/N1007,0)</f>
        <v>0</v>
      </c>
    </row>
    <row r="1007" spans="1:24" ht="16.5" customHeight="1">
      <c r="A1007" s="3" t="s">
        <v>34</v>
      </c>
      <c r="B1007" s="3">
        <f t="shared" si="24"/>
        <v>2000</v>
      </c>
      <c r="C1007" s="3">
        <f t="shared" si="25"/>
        <v>10</v>
      </c>
      <c r="D1007" s="20" t="str">
        <f t="shared" si="26"/>
        <v>LOW200010</v>
      </c>
      <c r="E1007" s="2">
        <v>36810</v>
      </c>
      <c r="F1007" s="3">
        <v>3.5000000000000003E-2</v>
      </c>
      <c r="G1007" s="2">
        <v>36826</v>
      </c>
      <c r="H1007" s="3">
        <v>3.3E-3</v>
      </c>
      <c r="I1007" s="3">
        <v>0</v>
      </c>
      <c r="J1007" s="3">
        <v>0</v>
      </c>
      <c r="K1007" s="3">
        <f t="shared" si="27"/>
        <v>2000</v>
      </c>
      <c r="L1007" s="3">
        <f t="shared" si="28"/>
        <v>0</v>
      </c>
      <c r="M1007" s="20" t="str">
        <f>A1007&amp;L1007</f>
        <v>LOW0</v>
      </c>
      <c r="N1007" s="3">
        <f>F1007/12</f>
        <v>2.9166666666666668E-3</v>
      </c>
      <c r="O1007" s="9">
        <f>H1007</f>
        <v>3.3E-3</v>
      </c>
      <c r="P1007" s="10">
        <f t="shared" si="29"/>
        <v>0</v>
      </c>
      <c r="Q1007" s="10">
        <f>IF(K1007=0,IF(A1004=A1007,AVERAGE(O1004:O1007),"x"),0)</f>
        <v>0</v>
      </c>
      <c r="R1007" s="9">
        <f>IF(L1007&gt;2005,AVERAGE(O1004:O1023),0)</f>
        <v>0</v>
      </c>
      <c r="S1007" s="10">
        <f>IF(A1007=A1008,(N1007-N1008)/N1008,0)</f>
        <v>0</v>
      </c>
      <c r="T1007" s="10">
        <f>IF(L1007&gt;2005,(((N1007-N1027)/N1027)+1)^(1/5)-1,0)</f>
        <v>0</v>
      </c>
      <c r="U1007" s="10">
        <f t="shared" si="30"/>
        <v>0</v>
      </c>
      <c r="V1007" s="26">
        <f t="shared" si="31"/>
        <v>0</v>
      </c>
      <c r="W1007" s="3">
        <f>IF(A1007=A1008,N1007-N1008,0)</f>
        <v>0</v>
      </c>
      <c r="X1007" s="10">
        <f>IF(A1007=A1008,(N1007-N1008)/N1008,0)</f>
        <v>0</v>
      </c>
    </row>
    <row r="1008" spans="1:24" ht="16.5" customHeight="1">
      <c r="A1008" s="3" t="s">
        <v>34</v>
      </c>
      <c r="B1008" s="3">
        <f t="shared" si="24"/>
        <v>2000</v>
      </c>
      <c r="C1008" s="3">
        <f t="shared" si="25"/>
        <v>7</v>
      </c>
      <c r="D1008" s="20" t="str">
        <f t="shared" si="26"/>
        <v>LOW20007</v>
      </c>
      <c r="E1008" s="2">
        <v>36719</v>
      </c>
      <c r="F1008" s="3">
        <v>3.5000000000000003E-2</v>
      </c>
      <c r="G1008" s="2">
        <v>36735</v>
      </c>
      <c r="H1008" s="3">
        <v>2.8E-3</v>
      </c>
      <c r="I1008" s="3">
        <v>0</v>
      </c>
      <c r="J1008" s="3">
        <v>0</v>
      </c>
      <c r="K1008" s="3">
        <f t="shared" si="27"/>
        <v>2000</v>
      </c>
      <c r="L1008" s="3">
        <f t="shared" si="28"/>
        <v>0</v>
      </c>
      <c r="M1008" s="20" t="str">
        <f>A1008&amp;L1008</f>
        <v>LOW0</v>
      </c>
      <c r="N1008" s="3">
        <f>F1008/12</f>
        <v>2.9166666666666668E-3</v>
      </c>
      <c r="O1008" s="9">
        <f>H1008</f>
        <v>2.8E-3</v>
      </c>
      <c r="P1008" s="10">
        <f t="shared" si="29"/>
        <v>0</v>
      </c>
      <c r="Q1008" s="10">
        <f>IF(K1008=0,IF(A1005=A1008,AVERAGE(O1005:O1008),"x"),0)</f>
        <v>0</v>
      </c>
      <c r="R1008" s="9">
        <f>IF(L1008&gt;2005,AVERAGE(O1005:O1024),0)</f>
        <v>0</v>
      </c>
      <c r="S1008" s="10">
        <f>IF(A1008=A1009,(N1008-N1009)/N1009,0)</f>
        <v>0</v>
      </c>
      <c r="T1008" s="10">
        <f>IF(L1008&gt;2005,(((N1008-N1028)/N1028)+1)^(1/5)-1,0)</f>
        <v>0</v>
      </c>
      <c r="U1008" s="10">
        <f t="shared" si="30"/>
        <v>0</v>
      </c>
      <c r="V1008" s="26">
        <f t="shared" si="31"/>
        <v>0</v>
      </c>
      <c r="W1008" s="3">
        <f>IF(A1008=A1009,N1008-N1009,0)</f>
        <v>0</v>
      </c>
      <c r="X1008" s="10">
        <f>IF(A1008=A1009,(N1008-N1009)/N1009,0)</f>
        <v>0</v>
      </c>
    </row>
    <row r="1009" spans="1:24" ht="16.5" customHeight="1">
      <c r="A1009" s="3" t="s">
        <v>34</v>
      </c>
      <c r="B1009" s="3">
        <f t="shared" si="24"/>
        <v>2000</v>
      </c>
      <c r="C1009" s="3">
        <f t="shared" si="25"/>
        <v>4</v>
      </c>
      <c r="D1009" s="20" t="str">
        <f t="shared" si="26"/>
        <v>LOW20004</v>
      </c>
      <c r="E1009" s="2">
        <v>36628</v>
      </c>
      <c r="F1009" s="3">
        <v>3.5000000000000003E-2</v>
      </c>
      <c r="G1009" s="2">
        <v>36644</v>
      </c>
      <c r="H1009" s="3">
        <v>2.0999999999999999E-3</v>
      </c>
      <c r="I1009" s="3">
        <v>0</v>
      </c>
      <c r="J1009" s="3">
        <v>0</v>
      </c>
      <c r="K1009" s="3">
        <f t="shared" si="27"/>
        <v>2000</v>
      </c>
      <c r="L1009" s="3">
        <f t="shared" si="28"/>
        <v>0</v>
      </c>
      <c r="M1009" s="20" t="str">
        <f>A1009&amp;L1009</f>
        <v>LOW0</v>
      </c>
      <c r="N1009" s="3">
        <f>F1009/12</f>
        <v>2.9166666666666668E-3</v>
      </c>
      <c r="O1009" s="9">
        <f>H1009</f>
        <v>2.0999999999999999E-3</v>
      </c>
      <c r="P1009" s="10">
        <f t="shared" si="29"/>
        <v>0</v>
      </c>
      <c r="Q1009" s="10">
        <f>IF(K1009=0,IF(A1006=A1009,AVERAGE(O1006:O1009),"x"),0)</f>
        <v>0</v>
      </c>
      <c r="R1009" s="9">
        <f>IF(L1009&gt;2005,AVERAGE(O1006:O1025),0)</f>
        <v>0</v>
      </c>
      <c r="S1009" s="10">
        <f>IF(A1009=A1010,(N1009-N1010)/N1010,0)</f>
        <v>0</v>
      </c>
      <c r="T1009" s="10">
        <f>IF(L1009&gt;2005,(((N1009-N1029)/N1029)+1)^(1/5)-1,0)</f>
        <v>0</v>
      </c>
      <c r="U1009" s="10">
        <f t="shared" si="30"/>
        <v>0</v>
      </c>
      <c r="V1009" s="26">
        <f t="shared" si="31"/>
        <v>0</v>
      </c>
      <c r="W1009" s="3">
        <f>IF(A1009=A1010,N1009-N1010,0)</f>
        <v>0</v>
      </c>
      <c r="X1009" s="10">
        <f>IF(A1009=A1010,(N1009-N1010)/N1010,0)</f>
        <v>0</v>
      </c>
    </row>
    <row r="1010" spans="1:24" ht="16.5" customHeight="1">
      <c r="A1010" s="14" t="s">
        <v>34</v>
      </c>
      <c r="B1010" s="3">
        <f t="shared" si="24"/>
        <v>2000</v>
      </c>
      <c r="C1010" s="3">
        <f t="shared" si="25"/>
        <v>1</v>
      </c>
      <c r="D1010" s="20" t="str">
        <f t="shared" si="26"/>
        <v>LOW20001</v>
      </c>
      <c r="E1010" s="15">
        <v>36537</v>
      </c>
      <c r="F1010" s="14">
        <v>3.5000000000000003E-2</v>
      </c>
      <c r="G1010" s="15">
        <v>36553</v>
      </c>
      <c r="H1010" s="14">
        <v>2.3E-3</v>
      </c>
      <c r="I1010" s="14">
        <v>0</v>
      </c>
      <c r="J1010" s="14">
        <v>0</v>
      </c>
      <c r="K1010" s="3">
        <f t="shared" si="27"/>
        <v>0</v>
      </c>
      <c r="L1010" s="3">
        <f t="shared" si="28"/>
        <v>2000</v>
      </c>
      <c r="M1010" s="20" t="str">
        <f>A1010&amp;L1010</f>
        <v>LOW2000</v>
      </c>
      <c r="N1010" s="3">
        <f>F1010/12</f>
        <v>2.9166666666666668E-3</v>
      </c>
      <c r="O1010" s="9">
        <f>H1010</f>
        <v>2.3E-3</v>
      </c>
      <c r="P1010" s="10">
        <f t="shared" si="29"/>
        <v>0</v>
      </c>
      <c r="Q1010" s="10">
        <f>IF(K1010=0,IF(A1007=A1010,AVERAGE(O1007:O1010),"x"),0)</f>
        <v>2.6249999999999997E-3</v>
      </c>
      <c r="R1010" s="9">
        <f>IF(L1010&gt;2005,AVERAGE(O1007:O1026),0)</f>
        <v>0</v>
      </c>
      <c r="S1010" s="10">
        <f>IF(A1010=A1011,(N1010-N1011)/N1011,0)</f>
        <v>0</v>
      </c>
      <c r="T1010" s="10">
        <f>IF(L1010&gt;2005,(((N1010-N1030)/N1030)+1)^(1/5)-1,0)</f>
        <v>0</v>
      </c>
      <c r="U1010" s="10">
        <f t="shared" si="30"/>
        <v>0</v>
      </c>
      <c r="V1010" s="26">
        <f t="shared" si="31"/>
        <v>0</v>
      </c>
      <c r="W1010" s="3">
        <f>IF(A1010=A1011,N1010-N1011,0)</f>
        <v>0</v>
      </c>
      <c r="X1010" s="10">
        <f>IF(A1010=A1011,(N1010-N1011)/N1011,0)</f>
        <v>0</v>
      </c>
    </row>
    <row r="1011" spans="1:24" ht="16.5" customHeight="1">
      <c r="A1011" s="3" t="s">
        <v>35</v>
      </c>
      <c r="B1011" s="3">
        <f t="shared" si="24"/>
        <v>2022</v>
      </c>
      <c r="C1011" s="3">
        <f t="shared" si="25"/>
        <v>8</v>
      </c>
      <c r="D1011" s="20" t="str">
        <f t="shared" si="26"/>
        <v>ATO20228</v>
      </c>
      <c r="E1011" s="2">
        <v>44792</v>
      </c>
      <c r="F1011" s="3">
        <v>0.68</v>
      </c>
      <c r="G1011" s="2">
        <v>44810</v>
      </c>
      <c r="H1011" s="3">
        <v>2.3E-2</v>
      </c>
      <c r="I1011" s="3">
        <v>0</v>
      </c>
      <c r="J1011" s="3">
        <v>0</v>
      </c>
      <c r="K1011" s="3">
        <f t="shared" si="27"/>
        <v>2022</v>
      </c>
      <c r="L1011" s="3">
        <f t="shared" si="28"/>
        <v>0</v>
      </c>
      <c r="M1011" s="20" t="str">
        <f>A1011&amp;L1011</f>
        <v>ATO0</v>
      </c>
      <c r="N1011" s="3">
        <f>F1011</f>
        <v>0.68</v>
      </c>
      <c r="O1011" s="9">
        <f>H1011</f>
        <v>2.3E-2</v>
      </c>
      <c r="P1011" s="10">
        <f t="shared" si="29"/>
        <v>0</v>
      </c>
      <c r="Q1011" s="10">
        <f>IF(K1011=0,IF(A1008=A1011,AVERAGE(O1008:O1011),"x"),0)</f>
        <v>0</v>
      </c>
      <c r="R1011" s="9">
        <f>IF(L1011&gt;2005,AVERAGE(O1008:O1027),0)</f>
        <v>0</v>
      </c>
      <c r="S1011" s="10">
        <f>IF(A1011=A1012,(N1011-N1012)/N1012,0)</f>
        <v>0</v>
      </c>
      <c r="T1011" s="10">
        <f>IF(L1011&gt;2005,(((N1011-N1031)/N1031)+1)^(1/5)-1,0)</f>
        <v>0</v>
      </c>
      <c r="U1011" s="10">
        <f t="shared" si="30"/>
        <v>0</v>
      </c>
      <c r="V1011" s="26">
        <f t="shared" si="31"/>
        <v>0</v>
      </c>
      <c r="W1011" s="3">
        <f>IF(A1011=A1012,N1011-N1012,0)</f>
        <v>0</v>
      </c>
      <c r="X1011" s="10">
        <f>IF(A1011=A1012,(N1011-N1012)/N1012,0)</f>
        <v>0</v>
      </c>
    </row>
    <row r="1012" spans="1:24" ht="16.5" customHeight="1">
      <c r="A1012" s="3" t="s">
        <v>35</v>
      </c>
      <c r="B1012" s="3">
        <f t="shared" si="24"/>
        <v>2022</v>
      </c>
      <c r="C1012" s="3">
        <f t="shared" si="25"/>
        <v>5</v>
      </c>
      <c r="D1012" s="20" t="str">
        <f t="shared" si="26"/>
        <v>ATO20225</v>
      </c>
      <c r="E1012" s="2">
        <v>44701</v>
      </c>
      <c r="F1012" s="3">
        <v>0.68</v>
      </c>
      <c r="G1012" s="2">
        <v>44718</v>
      </c>
      <c r="H1012" s="3">
        <v>2.4400000000000002E-2</v>
      </c>
      <c r="I1012" s="3">
        <v>0</v>
      </c>
      <c r="J1012" s="3">
        <v>0</v>
      </c>
      <c r="K1012" s="3">
        <f t="shared" si="27"/>
        <v>2022</v>
      </c>
      <c r="L1012" s="3">
        <f t="shared" si="28"/>
        <v>0</v>
      </c>
      <c r="M1012" s="20" t="str">
        <f>A1012&amp;L1012</f>
        <v>ATO0</v>
      </c>
      <c r="N1012" s="3">
        <f>F1012</f>
        <v>0.68</v>
      </c>
      <c r="O1012" s="9">
        <f>H1012</f>
        <v>2.4400000000000002E-2</v>
      </c>
      <c r="P1012" s="10">
        <f t="shared" si="29"/>
        <v>0</v>
      </c>
      <c r="Q1012" s="10">
        <f>IF(K1012=0,IF(A1009=A1012,AVERAGE(O1009:O1012),"x"),0)</f>
        <v>0</v>
      </c>
      <c r="R1012" s="9">
        <f>IF(L1012&gt;2005,AVERAGE(O1009:O1028),0)</f>
        <v>0</v>
      </c>
      <c r="S1012" s="10">
        <f>IF(A1012=A1013,(N1012-N1013)/N1013,0)</f>
        <v>0</v>
      </c>
      <c r="T1012" s="10">
        <f>IF(L1012&gt;2005,(((N1012-N1032)/N1032)+1)^(1/5)-1,0)</f>
        <v>0</v>
      </c>
      <c r="U1012" s="10">
        <f t="shared" si="30"/>
        <v>0</v>
      </c>
      <c r="V1012" s="26">
        <f t="shared" si="31"/>
        <v>0</v>
      </c>
      <c r="W1012" s="3">
        <f>IF(A1012=A1013,N1012-N1013,0)</f>
        <v>0</v>
      </c>
      <c r="X1012" s="10">
        <f>IF(A1012=A1013,(N1012-N1013)/N1013,0)</f>
        <v>0</v>
      </c>
    </row>
    <row r="1013" spans="1:24" ht="16.5" customHeight="1">
      <c r="A1013" s="3" t="s">
        <v>35</v>
      </c>
      <c r="B1013" s="3">
        <f t="shared" si="24"/>
        <v>2022</v>
      </c>
      <c r="C1013" s="3">
        <f t="shared" si="25"/>
        <v>2</v>
      </c>
      <c r="D1013" s="20" t="str">
        <f t="shared" si="26"/>
        <v>ATO20222</v>
      </c>
      <c r="E1013" s="2">
        <v>44609</v>
      </c>
      <c r="F1013" s="3">
        <v>0.68</v>
      </c>
      <c r="G1013" s="2">
        <v>44627</v>
      </c>
      <c r="H1013" s="3">
        <v>2.5600000000000001E-2</v>
      </c>
      <c r="I1013" s="3">
        <v>0</v>
      </c>
      <c r="J1013" s="3">
        <v>0</v>
      </c>
      <c r="K1013" s="3">
        <f t="shared" si="27"/>
        <v>0</v>
      </c>
      <c r="L1013" s="3">
        <f t="shared" si="28"/>
        <v>2022</v>
      </c>
      <c r="M1013" s="20" t="str">
        <f>A1013&amp;L1013</f>
        <v>ATO2022</v>
      </c>
      <c r="N1013" s="3">
        <f>F1013</f>
        <v>0.68</v>
      </c>
      <c r="O1013" s="9">
        <f>H1013</f>
        <v>2.5600000000000001E-2</v>
      </c>
      <c r="P1013" s="10">
        <f t="shared" si="29"/>
        <v>0</v>
      </c>
      <c r="Q1013" s="10" t="str">
        <f>IF(K1013=0,IF(A1010=A1013,AVERAGE(O1010:O1013),"x"),0)</f>
        <v>x</v>
      </c>
      <c r="R1013" s="9">
        <f>IF(L1013&gt;2005,AVERAGE(O1010:O1029),0)</f>
        <v>2.2140000000000003E-2</v>
      </c>
      <c r="S1013" s="10">
        <f>IF(A1013=A1014,(N1013-N1014)/N1014,0)</f>
        <v>0</v>
      </c>
      <c r="T1013" s="10">
        <f>IF(L1013&gt;2005,(((N1013-N1033)/N1033)+1)^(1/5)-1,0)</f>
        <v>8.6073656722112313E-2</v>
      </c>
      <c r="U1013" s="10">
        <f t="shared" si="30"/>
        <v>0.10821365672211232</v>
      </c>
      <c r="V1013" s="26">
        <f t="shared" si="31"/>
        <v>4.70819237774736</v>
      </c>
      <c r="W1013" s="3">
        <f>IF(A1013=A1014,N1013-N1014,0)</f>
        <v>0</v>
      </c>
      <c r="X1013" s="10">
        <f>IF(A1013=A1014,(N1013-N1014)/N1014,0)</f>
        <v>0</v>
      </c>
    </row>
    <row r="1014" spans="1:24" ht="16.5" customHeight="1">
      <c r="A1014" s="3" t="s">
        <v>35</v>
      </c>
      <c r="B1014" s="3">
        <f t="shared" si="24"/>
        <v>2021</v>
      </c>
      <c r="C1014" s="3">
        <f t="shared" si="25"/>
        <v>11</v>
      </c>
      <c r="D1014" s="20" t="str">
        <f t="shared" si="26"/>
        <v>ATO202111</v>
      </c>
      <c r="E1014" s="2">
        <v>44526</v>
      </c>
      <c r="F1014" s="3">
        <v>0.68</v>
      </c>
      <c r="G1014" s="2">
        <v>44543</v>
      </c>
      <c r="H1014" s="3">
        <v>2.86E-2</v>
      </c>
      <c r="I1014" s="3">
        <v>8.7999999999999995E-2</v>
      </c>
      <c r="J1014" s="3">
        <v>5.5E-2</v>
      </c>
      <c r="K1014" s="3">
        <f t="shared" si="27"/>
        <v>2021</v>
      </c>
      <c r="L1014" s="3">
        <f t="shared" si="28"/>
        <v>0</v>
      </c>
      <c r="M1014" s="20" t="str">
        <f>A1014&amp;L1014</f>
        <v>ATO0</v>
      </c>
      <c r="N1014" s="3">
        <f>F1014</f>
        <v>0.68</v>
      </c>
      <c r="O1014" s="9">
        <f>H1014</f>
        <v>2.86E-2</v>
      </c>
      <c r="P1014" s="10">
        <f t="shared" si="29"/>
        <v>2.6500000000000003E-2</v>
      </c>
      <c r="Q1014" s="10">
        <f>IF(K1014=0,IF(A1011=A1014,AVERAGE(O1011:O1014),"x"),0)</f>
        <v>0</v>
      </c>
      <c r="R1014" s="9">
        <f>IF(L1014&gt;2005,AVERAGE(O1011:O1030),0)</f>
        <v>0</v>
      </c>
      <c r="S1014" s="10">
        <f>IF(A1014=A1015,(N1014-N1015)/N1015,0)</f>
        <v>8.8000000000000078E-2</v>
      </c>
      <c r="T1014" s="10">
        <f>IF(L1014&gt;2005,(((N1014-N1034)/N1034)+1)^(1/5)-1,0)</f>
        <v>0</v>
      </c>
      <c r="U1014" s="10">
        <f t="shared" si="30"/>
        <v>0</v>
      </c>
      <c r="V1014" s="26">
        <f t="shared" si="31"/>
        <v>0</v>
      </c>
      <c r="W1014" s="3">
        <f>IF(A1014=A1015,N1014-N1015,0)</f>
        <v>5.5000000000000049E-2</v>
      </c>
      <c r="X1014" s="10">
        <f>IF(A1014=A1015,(N1014-N1015)/N1015,0)</f>
        <v>8.8000000000000078E-2</v>
      </c>
    </row>
    <row r="1015" spans="1:24" ht="16.5" customHeight="1">
      <c r="A1015" s="3" t="s">
        <v>35</v>
      </c>
      <c r="B1015" s="3">
        <f t="shared" si="24"/>
        <v>2021</v>
      </c>
      <c r="C1015" s="3">
        <f t="shared" si="25"/>
        <v>8</v>
      </c>
      <c r="D1015" s="20" t="str">
        <f t="shared" si="26"/>
        <v>ATO20218</v>
      </c>
      <c r="E1015" s="2">
        <v>44428</v>
      </c>
      <c r="F1015" s="3">
        <v>0.625</v>
      </c>
      <c r="G1015" s="2">
        <v>44446</v>
      </c>
      <c r="H1015" s="3">
        <v>2.53E-2</v>
      </c>
      <c r="I1015" s="3">
        <v>0</v>
      </c>
      <c r="J1015" s="3">
        <v>0</v>
      </c>
      <c r="K1015" s="3">
        <f t="shared" si="27"/>
        <v>2021</v>
      </c>
      <c r="L1015" s="3">
        <f t="shared" si="28"/>
        <v>0</v>
      </c>
      <c r="M1015" s="20" t="str">
        <f>A1015&amp;L1015</f>
        <v>ATO0</v>
      </c>
      <c r="N1015" s="3">
        <f>F1015</f>
        <v>0.625</v>
      </c>
      <c r="O1015" s="9">
        <f>H1015</f>
        <v>2.53E-2</v>
      </c>
      <c r="P1015" s="10">
        <f t="shared" si="29"/>
        <v>0</v>
      </c>
      <c r="Q1015" s="10">
        <f>IF(K1015=0,IF(A1012=A1015,AVERAGE(O1012:O1015),"x"),0)</f>
        <v>0</v>
      </c>
      <c r="R1015" s="9">
        <f>IF(L1015&gt;2005,AVERAGE(O1012:O1031),0)</f>
        <v>0</v>
      </c>
      <c r="S1015" s="10">
        <f>IF(A1015=A1016,(N1015-N1016)/N1016,0)</f>
        <v>0</v>
      </c>
      <c r="T1015" s="10">
        <f>IF(L1015&gt;2005,(((N1015-N1035)/N1035)+1)^(1/5)-1,0)</f>
        <v>0</v>
      </c>
      <c r="U1015" s="10">
        <f t="shared" si="30"/>
        <v>0</v>
      </c>
      <c r="V1015" s="26">
        <f t="shared" si="31"/>
        <v>0</v>
      </c>
      <c r="W1015" s="3">
        <f>IF(A1015=A1016,N1015-N1016,0)</f>
        <v>0</v>
      </c>
      <c r="X1015" s="10">
        <f>IF(A1015=A1016,(N1015-N1016)/N1016,0)</f>
        <v>0</v>
      </c>
    </row>
    <row r="1016" spans="1:24" ht="16.5" customHeight="1">
      <c r="A1016" s="3" t="s">
        <v>35</v>
      </c>
      <c r="B1016" s="3">
        <f t="shared" si="24"/>
        <v>2021</v>
      </c>
      <c r="C1016" s="3">
        <f t="shared" si="25"/>
        <v>5</v>
      </c>
      <c r="D1016" s="20" t="str">
        <f t="shared" si="26"/>
        <v>ATO20215</v>
      </c>
      <c r="E1016" s="2">
        <v>44337</v>
      </c>
      <c r="F1016" s="3">
        <v>0.625</v>
      </c>
      <c r="G1016" s="2">
        <v>44354</v>
      </c>
      <c r="H1016" s="3">
        <v>2.5399999999999999E-2</v>
      </c>
      <c r="I1016" s="3">
        <v>0</v>
      </c>
      <c r="J1016" s="3">
        <v>0</v>
      </c>
      <c r="K1016" s="3">
        <f t="shared" si="27"/>
        <v>2021</v>
      </c>
      <c r="L1016" s="3">
        <f t="shared" si="28"/>
        <v>0</v>
      </c>
      <c r="M1016" s="20" t="str">
        <f>A1016&amp;L1016</f>
        <v>ATO0</v>
      </c>
      <c r="N1016" s="3">
        <f>F1016</f>
        <v>0.625</v>
      </c>
      <c r="O1016" s="9">
        <f>H1016</f>
        <v>2.5399999999999999E-2</v>
      </c>
      <c r="P1016" s="10">
        <f t="shared" si="29"/>
        <v>0</v>
      </c>
      <c r="Q1016" s="10">
        <f>IF(K1016=0,IF(A1013=A1016,AVERAGE(O1013:O1016),"x"),0)</f>
        <v>0</v>
      </c>
      <c r="R1016" s="9">
        <f>IF(L1016&gt;2005,AVERAGE(O1013:O1032),0)</f>
        <v>0</v>
      </c>
      <c r="S1016" s="10">
        <f>IF(A1016=A1017,(N1016-N1017)/N1017,0)</f>
        <v>0</v>
      </c>
      <c r="T1016" s="10">
        <f>IF(L1016&gt;2005,(((N1016-N1036)/N1036)+1)^(1/5)-1,0)</f>
        <v>0</v>
      </c>
      <c r="U1016" s="10">
        <f t="shared" si="30"/>
        <v>0</v>
      </c>
      <c r="V1016" s="26">
        <f t="shared" si="31"/>
        <v>0</v>
      </c>
      <c r="W1016" s="3">
        <f>IF(A1016=A1017,N1016-N1017,0)</f>
        <v>0</v>
      </c>
      <c r="X1016" s="10">
        <f>IF(A1016=A1017,(N1016-N1017)/N1017,0)</f>
        <v>0</v>
      </c>
    </row>
    <row r="1017" spans="1:24" ht="16.5" customHeight="1">
      <c r="A1017" s="3" t="s">
        <v>35</v>
      </c>
      <c r="B1017" s="3">
        <f t="shared" si="24"/>
        <v>2021</v>
      </c>
      <c r="C1017" s="3">
        <f t="shared" si="25"/>
        <v>2</v>
      </c>
      <c r="D1017" s="20" t="str">
        <f t="shared" si="26"/>
        <v>ATO20212</v>
      </c>
      <c r="E1017" s="2">
        <v>44246</v>
      </c>
      <c r="F1017" s="3">
        <v>0.625</v>
      </c>
      <c r="G1017" s="2">
        <v>44263</v>
      </c>
      <c r="H1017" s="3">
        <v>2.6700000000000002E-2</v>
      </c>
      <c r="I1017" s="3">
        <v>0</v>
      </c>
      <c r="J1017" s="3">
        <v>0</v>
      </c>
      <c r="K1017" s="3">
        <f t="shared" si="27"/>
        <v>0</v>
      </c>
      <c r="L1017" s="3">
        <f t="shared" si="28"/>
        <v>2021</v>
      </c>
      <c r="M1017" s="20" t="str">
        <f>A1017&amp;L1017</f>
        <v>ATO2021</v>
      </c>
      <c r="N1017" s="3">
        <f>F1017</f>
        <v>0.625</v>
      </c>
      <c r="O1017" s="9">
        <f>H1017</f>
        <v>2.6700000000000002E-2</v>
      </c>
      <c r="P1017" s="10">
        <f t="shared" si="29"/>
        <v>0</v>
      </c>
      <c r="Q1017" s="10">
        <f>IF(K1017=0,IF(A1014=A1017,AVERAGE(O1014:O1017),"x"),0)</f>
        <v>2.6500000000000003E-2</v>
      </c>
      <c r="R1017" s="9">
        <f>IF(L1017&gt;2005,AVERAGE(O1014:O1033),0)</f>
        <v>2.2765000000000001E-2</v>
      </c>
      <c r="S1017" s="10">
        <f>IF(A1017=A1018,(N1017-N1018)/N1018,0)</f>
        <v>0</v>
      </c>
      <c r="T1017" s="10">
        <f>IF(L1017&gt;2005,(((N1017-N1037)/N1037)+1)^(1/5)-1,0)</f>
        <v>8.2744896555654535E-2</v>
      </c>
      <c r="U1017" s="10">
        <f t="shared" si="30"/>
        <v>0.10550989655565454</v>
      </c>
      <c r="V1017" s="26">
        <f t="shared" si="31"/>
        <v>4.6994663414254401</v>
      </c>
      <c r="W1017" s="3">
        <f>IF(A1017=A1018,N1017-N1018,0)</f>
        <v>0</v>
      </c>
      <c r="X1017" s="10">
        <f>IF(A1017=A1018,(N1017-N1018)/N1018,0)</f>
        <v>0</v>
      </c>
    </row>
    <row r="1018" spans="1:24" ht="16.5" customHeight="1">
      <c r="A1018" s="3" t="s">
        <v>35</v>
      </c>
      <c r="B1018" s="3">
        <f t="shared" si="24"/>
        <v>2020</v>
      </c>
      <c r="C1018" s="3">
        <f t="shared" si="25"/>
        <v>11</v>
      </c>
      <c r="D1018" s="20" t="str">
        <f t="shared" si="26"/>
        <v>ATO202011</v>
      </c>
      <c r="E1018" s="2">
        <v>44162</v>
      </c>
      <c r="F1018" s="3">
        <v>0.625</v>
      </c>
      <c r="G1018" s="2">
        <v>44179</v>
      </c>
      <c r="H1018" s="3">
        <v>2.5100000000000001E-2</v>
      </c>
      <c r="I1018" s="3">
        <v>8.6956521999999994E-2</v>
      </c>
      <c r="J1018" s="3">
        <v>0.05</v>
      </c>
      <c r="K1018" s="3">
        <f t="shared" si="27"/>
        <v>2020</v>
      </c>
      <c r="L1018" s="3">
        <f t="shared" si="28"/>
        <v>0</v>
      </c>
      <c r="M1018" s="20" t="str">
        <f>A1018&amp;L1018</f>
        <v>ATO0</v>
      </c>
      <c r="N1018" s="3">
        <f>F1018</f>
        <v>0.625</v>
      </c>
      <c r="O1018" s="9">
        <f>H1018</f>
        <v>2.5100000000000001E-2</v>
      </c>
      <c r="P1018" s="10">
        <f t="shared" si="29"/>
        <v>2.2624999999999999E-2</v>
      </c>
      <c r="Q1018" s="10">
        <f>IF(K1018=0,IF(A1015=A1018,AVERAGE(O1015:O1018),"x"),0)</f>
        <v>0</v>
      </c>
      <c r="R1018" s="9">
        <f>IF(L1018&gt;2005,AVERAGE(O1015:O1034),0)</f>
        <v>0</v>
      </c>
      <c r="S1018" s="10">
        <f>IF(A1018=A1019,(N1018-N1019)/N1019,0)</f>
        <v>8.6956521739130516E-2</v>
      </c>
      <c r="T1018" s="10">
        <f>IF(L1018&gt;2005,(((N1018-N1038)/N1038)+1)^(1/5)-1,0)</f>
        <v>0</v>
      </c>
      <c r="U1018" s="10">
        <f t="shared" si="30"/>
        <v>0</v>
      </c>
      <c r="V1018" s="26">
        <f t="shared" si="31"/>
        <v>0</v>
      </c>
      <c r="W1018" s="3">
        <f>IF(A1018=A1019,N1018-N1019,0)</f>
        <v>5.0000000000000044E-2</v>
      </c>
      <c r="X1018" s="10">
        <f>IF(A1018=A1019,(N1018-N1019)/N1019,0)</f>
        <v>8.6956521739130516E-2</v>
      </c>
    </row>
    <row r="1019" spans="1:24" ht="16.5" customHeight="1">
      <c r="A1019" s="3" t="s">
        <v>35</v>
      </c>
      <c r="B1019" s="3">
        <f t="shared" si="24"/>
        <v>2020</v>
      </c>
      <c r="C1019" s="3">
        <f t="shared" si="25"/>
        <v>8</v>
      </c>
      <c r="D1019" s="20" t="str">
        <f t="shared" si="26"/>
        <v>ATO20208</v>
      </c>
      <c r="E1019" s="2">
        <v>44064</v>
      </c>
      <c r="F1019" s="3">
        <v>0.57499999999999996</v>
      </c>
      <c r="G1019" s="2">
        <v>44082</v>
      </c>
      <c r="H1019" s="3">
        <v>2.2599999999999999E-2</v>
      </c>
      <c r="I1019" s="3">
        <v>0</v>
      </c>
      <c r="J1019" s="3">
        <v>0</v>
      </c>
      <c r="K1019" s="3">
        <f t="shared" si="27"/>
        <v>2020</v>
      </c>
      <c r="L1019" s="3">
        <f t="shared" si="28"/>
        <v>0</v>
      </c>
      <c r="M1019" s="20" t="str">
        <f>A1019&amp;L1019</f>
        <v>ATO0</v>
      </c>
      <c r="N1019" s="3">
        <f>F1019</f>
        <v>0.57499999999999996</v>
      </c>
      <c r="O1019" s="9">
        <f>H1019</f>
        <v>2.2599999999999999E-2</v>
      </c>
      <c r="P1019" s="10">
        <f t="shared" si="29"/>
        <v>0</v>
      </c>
      <c r="Q1019" s="10">
        <f>IF(K1019=0,IF(A1016=A1019,AVERAGE(O1016:O1019),"x"),0)</f>
        <v>0</v>
      </c>
      <c r="R1019" s="9">
        <f>IF(L1019&gt;2005,AVERAGE(O1016:O1035),0)</f>
        <v>0</v>
      </c>
      <c r="S1019" s="10">
        <f>IF(A1019=A1020,(N1019-N1020)/N1020,0)</f>
        <v>0</v>
      </c>
      <c r="T1019" s="10">
        <f>IF(L1019&gt;2005,(((N1019-N1039)/N1039)+1)^(1/5)-1,0)</f>
        <v>0</v>
      </c>
      <c r="U1019" s="10">
        <f t="shared" si="30"/>
        <v>0</v>
      </c>
      <c r="V1019" s="26">
        <f t="shared" si="31"/>
        <v>0</v>
      </c>
      <c r="W1019" s="3">
        <f>IF(A1019=A1020,N1019-N1020,0)</f>
        <v>0</v>
      </c>
      <c r="X1019" s="10">
        <f>IF(A1019=A1020,(N1019-N1020)/N1020,0)</f>
        <v>0</v>
      </c>
    </row>
    <row r="1020" spans="1:24" ht="16.5" customHeight="1">
      <c r="A1020" s="3" t="s">
        <v>35</v>
      </c>
      <c r="B1020" s="3">
        <f t="shared" si="24"/>
        <v>2020</v>
      </c>
      <c r="C1020" s="3">
        <f t="shared" si="25"/>
        <v>5</v>
      </c>
      <c r="D1020" s="20" t="str">
        <f t="shared" si="26"/>
        <v>ATO20205</v>
      </c>
      <c r="E1020" s="2">
        <v>43973</v>
      </c>
      <c r="F1020" s="3">
        <v>0.57499999999999996</v>
      </c>
      <c r="G1020" s="2">
        <v>43990</v>
      </c>
      <c r="H1020" s="3">
        <v>2.35E-2</v>
      </c>
      <c r="I1020" s="3">
        <v>0</v>
      </c>
      <c r="J1020" s="3">
        <v>0</v>
      </c>
      <c r="K1020" s="3">
        <f t="shared" si="27"/>
        <v>2020</v>
      </c>
      <c r="L1020" s="3">
        <f t="shared" si="28"/>
        <v>0</v>
      </c>
      <c r="M1020" s="20" t="str">
        <f>A1020&amp;L1020</f>
        <v>ATO0</v>
      </c>
      <c r="N1020" s="3">
        <f>F1020</f>
        <v>0.57499999999999996</v>
      </c>
      <c r="O1020" s="9">
        <f>H1020</f>
        <v>2.35E-2</v>
      </c>
      <c r="P1020" s="10">
        <f t="shared" si="29"/>
        <v>0</v>
      </c>
      <c r="Q1020" s="10">
        <f>IF(K1020=0,IF(A1017=A1020,AVERAGE(O1017:O1020),"x"),0)</f>
        <v>0</v>
      </c>
      <c r="R1020" s="9">
        <f>IF(L1020&gt;2005,AVERAGE(O1017:O1036),0)</f>
        <v>0</v>
      </c>
      <c r="S1020" s="10">
        <f>IF(A1020=A1021,(N1020-N1021)/N1021,0)</f>
        <v>0</v>
      </c>
      <c r="T1020" s="10">
        <f>IF(L1020&gt;2005,(((N1020-N1040)/N1040)+1)^(1/5)-1,0)</f>
        <v>0</v>
      </c>
      <c r="U1020" s="10">
        <f t="shared" si="30"/>
        <v>0</v>
      </c>
      <c r="V1020" s="26">
        <f t="shared" si="31"/>
        <v>0</v>
      </c>
      <c r="W1020" s="3">
        <f>IF(A1020=A1021,N1020-N1021,0)</f>
        <v>0</v>
      </c>
      <c r="X1020" s="10">
        <f>IF(A1020=A1021,(N1020-N1021)/N1021,0)</f>
        <v>0</v>
      </c>
    </row>
    <row r="1021" spans="1:24" ht="16.5" customHeight="1">
      <c r="A1021" s="3" t="s">
        <v>35</v>
      </c>
      <c r="B1021" s="3">
        <f t="shared" si="24"/>
        <v>2020</v>
      </c>
      <c r="C1021" s="3">
        <f t="shared" si="25"/>
        <v>2</v>
      </c>
      <c r="D1021" s="20" t="str">
        <f t="shared" si="26"/>
        <v>ATO20202</v>
      </c>
      <c r="E1021" s="2">
        <v>43882</v>
      </c>
      <c r="F1021" s="3">
        <v>0.57499999999999996</v>
      </c>
      <c r="G1021" s="2">
        <v>43899</v>
      </c>
      <c r="H1021" s="3">
        <v>1.9300000000000001E-2</v>
      </c>
      <c r="I1021" s="3">
        <v>0</v>
      </c>
      <c r="J1021" s="3">
        <v>0</v>
      </c>
      <c r="K1021" s="3">
        <f t="shared" si="27"/>
        <v>0</v>
      </c>
      <c r="L1021" s="3">
        <f t="shared" si="28"/>
        <v>2020</v>
      </c>
      <c r="M1021" s="20" t="str">
        <f>A1021&amp;L1021</f>
        <v>ATO2020</v>
      </c>
      <c r="N1021" s="3">
        <f>F1021</f>
        <v>0.57499999999999996</v>
      </c>
      <c r="O1021" s="9">
        <f>H1021</f>
        <v>1.9300000000000001E-2</v>
      </c>
      <c r="P1021" s="10">
        <f t="shared" si="29"/>
        <v>0</v>
      </c>
      <c r="Q1021" s="10">
        <f>IF(K1021=0,IF(A1018=A1021,AVERAGE(O1018:O1021),"x"),0)</f>
        <v>2.2624999999999999E-2</v>
      </c>
      <c r="R1021" s="9">
        <f>IF(L1021&gt;2005,AVERAGE(O1018:O1037),0)</f>
        <v>2.2199999999999994E-2</v>
      </c>
      <c r="S1021" s="10">
        <f>IF(A1021=A1022,(N1021-N1022)/N1022,0)</f>
        <v>0</v>
      </c>
      <c r="T1021" s="10">
        <f>IF(L1021&gt;2005,(((N1021-N1041)/N1041)+1)^(1/5)-1,0)</f>
        <v>8.0738561153020472E-2</v>
      </c>
      <c r="U1021" s="10">
        <f t="shared" si="30"/>
        <v>0.10293856115302047</v>
      </c>
      <c r="V1021" s="26">
        <f t="shared" si="31"/>
        <v>4.7060607120573703</v>
      </c>
      <c r="W1021" s="3">
        <f>IF(A1021=A1022,N1021-N1022,0)</f>
        <v>0</v>
      </c>
      <c r="X1021" s="10">
        <f>IF(A1021=A1022,(N1021-N1022)/N1022,0)</f>
        <v>0</v>
      </c>
    </row>
    <row r="1022" spans="1:24" ht="16.5" customHeight="1">
      <c r="A1022" s="3" t="s">
        <v>35</v>
      </c>
      <c r="B1022" s="3">
        <f t="shared" ref="B1022:B1276" si="32">YEAR(E1022)</f>
        <v>2019</v>
      </c>
      <c r="C1022" s="3">
        <f t="shared" ref="C1022:C1276" si="33">MONTH(E1022)</f>
        <v>11</v>
      </c>
      <c r="D1022" s="20" t="str">
        <f t="shared" ref="D1022:D1276" si="34">A1022&amp;B1022&amp;C1022</f>
        <v>ATO201911</v>
      </c>
      <c r="E1022" s="2">
        <v>43791</v>
      </c>
      <c r="F1022" s="3">
        <v>0.57499999999999996</v>
      </c>
      <c r="G1022" s="2">
        <v>43808</v>
      </c>
      <c r="H1022" s="3">
        <v>2.1299999999999999E-2</v>
      </c>
      <c r="I1022" s="3">
        <v>9.5238094999999995E-2</v>
      </c>
      <c r="J1022" s="3">
        <v>0.05</v>
      </c>
      <c r="K1022" s="3">
        <f t="shared" ref="K1022:K1276" si="35">IF(YEAR(E1022)=YEAR(E1023),YEAR(E1022),0)</f>
        <v>2019</v>
      </c>
      <c r="L1022" s="3">
        <f t="shared" ref="L1022:L1276" si="36">IF(K1022=0,K1021,0)</f>
        <v>0</v>
      </c>
      <c r="M1022" s="20" t="str">
        <f>A1022&amp;L1022</f>
        <v>ATO0</v>
      </c>
      <c r="N1022" s="3">
        <f>F1022</f>
        <v>0.57499999999999996</v>
      </c>
      <c r="O1022" s="9">
        <f>H1022</f>
        <v>2.1299999999999999E-2</v>
      </c>
      <c r="P1022" s="10">
        <f t="shared" ref="P1022:P1276" si="37">IF(S1022&gt;0,SUM(O1022:O1025)/4,0)</f>
        <v>2.0424999999999999E-2</v>
      </c>
      <c r="Q1022" s="10">
        <f>IF(K1022=0,IF(A1019=A1022,AVERAGE(O1019:O1022),"x"),0)</f>
        <v>0</v>
      </c>
      <c r="R1022" s="9">
        <f>IF(L1022&gt;2005,AVERAGE(O1019:O1038),0)</f>
        <v>0</v>
      </c>
      <c r="S1022" s="10">
        <f>IF(A1022=A1023,(N1022-N1023)/N1023,0)</f>
        <v>9.5238095238095108E-2</v>
      </c>
      <c r="T1022" s="10">
        <f>IF(L1022&gt;2005,(((N1022-N1042)/N1042)+1)^(1/5)-1,0)</f>
        <v>0</v>
      </c>
      <c r="U1022" s="10">
        <f t="shared" si="30"/>
        <v>0</v>
      </c>
      <c r="V1022" s="26">
        <f t="shared" si="31"/>
        <v>0</v>
      </c>
      <c r="W1022" s="3">
        <f>IF(A1022=A1023,N1022-N1023,0)</f>
        <v>4.9999999999999933E-2</v>
      </c>
      <c r="X1022" s="10">
        <f>IF(A1022=A1023,(N1022-N1023)/N1023,0)</f>
        <v>9.5238095238095108E-2</v>
      </c>
    </row>
    <row r="1023" spans="1:24" ht="16.5" customHeight="1">
      <c r="A1023" s="3" t="s">
        <v>35</v>
      </c>
      <c r="B1023" s="3">
        <f t="shared" si="32"/>
        <v>2019</v>
      </c>
      <c r="C1023" s="3">
        <f t="shared" si="33"/>
        <v>8</v>
      </c>
      <c r="D1023" s="20" t="str">
        <f t="shared" si="34"/>
        <v>ATO20198</v>
      </c>
      <c r="E1023" s="2">
        <v>43700</v>
      </c>
      <c r="F1023" s="3">
        <v>0.52500000000000002</v>
      </c>
      <c r="G1023" s="2">
        <v>43717</v>
      </c>
      <c r="H1023" s="3">
        <v>1.89E-2</v>
      </c>
      <c r="I1023" s="3">
        <v>0</v>
      </c>
      <c r="J1023" s="3">
        <v>0</v>
      </c>
      <c r="K1023" s="3">
        <f t="shared" si="35"/>
        <v>2019</v>
      </c>
      <c r="L1023" s="3">
        <f t="shared" si="36"/>
        <v>0</v>
      </c>
      <c r="M1023" s="20" t="str">
        <f>A1023&amp;L1023</f>
        <v>ATO0</v>
      </c>
      <c r="N1023" s="3">
        <f>F1023</f>
        <v>0.52500000000000002</v>
      </c>
      <c r="O1023" s="9">
        <f>H1023</f>
        <v>1.89E-2</v>
      </c>
      <c r="P1023" s="10">
        <f t="shared" si="37"/>
        <v>0</v>
      </c>
      <c r="Q1023" s="10">
        <f>IF(K1023=0,IF(A1020=A1023,AVERAGE(O1020:O1023),"x"),0)</f>
        <v>0</v>
      </c>
      <c r="R1023" s="9">
        <f>IF(L1023&gt;2005,AVERAGE(O1020:O1039),0)</f>
        <v>0</v>
      </c>
      <c r="S1023" s="10">
        <f>IF(A1023=A1024,(N1023-N1024)/N1024,0)</f>
        <v>0</v>
      </c>
      <c r="T1023" s="10">
        <f>IF(L1023&gt;2005,(((N1023-N1043)/N1043)+1)^(1/5)-1,0)</f>
        <v>0</v>
      </c>
      <c r="U1023" s="10">
        <f t="shared" si="30"/>
        <v>0</v>
      </c>
      <c r="V1023" s="26">
        <f t="shared" si="31"/>
        <v>0</v>
      </c>
      <c r="W1023" s="3">
        <f>IF(A1023=A1024,N1023-N1024,0)</f>
        <v>0</v>
      </c>
      <c r="X1023" s="10">
        <f>IF(A1023=A1024,(N1023-N1024)/N1024,0)</f>
        <v>0</v>
      </c>
    </row>
    <row r="1024" spans="1:24" ht="16.5" customHeight="1">
      <c r="A1024" s="3" t="s">
        <v>35</v>
      </c>
      <c r="B1024" s="3">
        <f t="shared" si="32"/>
        <v>2019</v>
      </c>
      <c r="C1024" s="3">
        <f t="shared" si="33"/>
        <v>5</v>
      </c>
      <c r="D1024" s="20" t="str">
        <f t="shared" si="34"/>
        <v>ATO20195</v>
      </c>
      <c r="E1024" s="2">
        <v>43609</v>
      </c>
      <c r="F1024" s="3">
        <v>0.52500000000000002</v>
      </c>
      <c r="G1024" s="2">
        <v>43626</v>
      </c>
      <c r="H1024" s="3">
        <v>2.0299999999999999E-2</v>
      </c>
      <c r="I1024" s="3">
        <v>0</v>
      </c>
      <c r="J1024" s="3">
        <v>0</v>
      </c>
      <c r="K1024" s="3">
        <f t="shared" si="35"/>
        <v>2019</v>
      </c>
      <c r="L1024" s="3">
        <f t="shared" si="36"/>
        <v>0</v>
      </c>
      <c r="M1024" s="20" t="str">
        <f>A1024&amp;L1024</f>
        <v>ATO0</v>
      </c>
      <c r="N1024" s="3">
        <f>F1024</f>
        <v>0.52500000000000002</v>
      </c>
      <c r="O1024" s="9">
        <f>H1024</f>
        <v>2.0299999999999999E-2</v>
      </c>
      <c r="P1024" s="10">
        <f t="shared" si="37"/>
        <v>0</v>
      </c>
      <c r="Q1024" s="10">
        <f>IF(K1024=0,IF(A1021=A1024,AVERAGE(O1021:O1024),"x"),0)</f>
        <v>0</v>
      </c>
      <c r="R1024" s="9">
        <f>IF(L1024&gt;2005,AVERAGE(O1021:O1040),0)</f>
        <v>0</v>
      </c>
      <c r="S1024" s="10">
        <f>IF(A1024=A1025,(N1024-N1025)/N1025,0)</f>
        <v>0</v>
      </c>
      <c r="T1024" s="10">
        <f>IF(L1024&gt;2005,(((N1024-N1044)/N1044)+1)^(1/5)-1,0)</f>
        <v>0</v>
      </c>
      <c r="U1024" s="10">
        <f t="shared" si="30"/>
        <v>0</v>
      </c>
      <c r="V1024" s="26">
        <f t="shared" si="31"/>
        <v>0</v>
      </c>
      <c r="W1024" s="3">
        <f>IF(A1024=A1025,N1024-N1025,0)</f>
        <v>0</v>
      </c>
      <c r="X1024" s="10">
        <f>IF(A1024=A1025,(N1024-N1025)/N1025,0)</f>
        <v>0</v>
      </c>
    </row>
    <row r="1025" spans="1:24" ht="16.5" customHeight="1">
      <c r="A1025" s="3" t="s">
        <v>35</v>
      </c>
      <c r="B1025" s="3">
        <f t="shared" si="32"/>
        <v>2019</v>
      </c>
      <c r="C1025" s="3">
        <f t="shared" si="33"/>
        <v>2</v>
      </c>
      <c r="D1025" s="20" t="str">
        <f t="shared" si="34"/>
        <v>ATO20192</v>
      </c>
      <c r="E1025" s="2">
        <v>43518</v>
      </c>
      <c r="F1025" s="3">
        <v>0.52500000000000002</v>
      </c>
      <c r="G1025" s="2">
        <v>43535</v>
      </c>
      <c r="H1025" s="3">
        <v>2.12E-2</v>
      </c>
      <c r="I1025" s="3">
        <v>0</v>
      </c>
      <c r="J1025" s="3">
        <v>0</v>
      </c>
      <c r="K1025" s="3">
        <f t="shared" si="35"/>
        <v>0</v>
      </c>
      <c r="L1025" s="3">
        <f t="shared" si="36"/>
        <v>2019</v>
      </c>
      <c r="M1025" s="20" t="str">
        <f>A1025&amp;L1025</f>
        <v>ATO2019</v>
      </c>
      <c r="N1025" s="3">
        <f>F1025</f>
        <v>0.52500000000000002</v>
      </c>
      <c r="O1025" s="9">
        <f>H1025</f>
        <v>2.12E-2</v>
      </c>
      <c r="P1025" s="10">
        <f t="shared" si="37"/>
        <v>0</v>
      </c>
      <c r="Q1025" s="10">
        <f>IF(K1025=0,IF(A1022=A1025,AVERAGE(O1022:O1025),"x"),0)</f>
        <v>2.0424999999999999E-2</v>
      </c>
      <c r="R1025" s="9">
        <f>IF(L1025&gt;2005,AVERAGE(O1022:O1041),0)</f>
        <v>2.3154999999999995E-2</v>
      </c>
      <c r="S1025" s="10">
        <f>IF(A1025=A1026,(N1025-N1026)/N1026,0)</f>
        <v>0</v>
      </c>
      <c r="T1025" s="10">
        <f>IF(L1025&gt;2005,(((N1025-N1045)/N1045)+1)^(1/5)-1,0)</f>
        <v>7.2485713934655305E-2</v>
      </c>
      <c r="U1025" s="10">
        <f t="shared" ref="U1025:U1279" si="38">IF(T1025&gt;0,R1025+T1025,0)</f>
        <v>9.56407139346553E-2</v>
      </c>
      <c r="V1025" s="26">
        <f t="shared" ref="V1025:V1279" si="39">IF(U1025&gt;0,(1+T1025)*(1-((1+T1025)/(1+U1025))^5)/(U1025-T1025),0)</f>
        <v>4.6917860246424654</v>
      </c>
      <c r="W1025" s="3">
        <f>IF(A1025=A1026,N1025-N1026,0)</f>
        <v>0</v>
      </c>
      <c r="X1025" s="10">
        <f>IF(A1025=A1026,(N1025-N1026)/N1026,0)</f>
        <v>0</v>
      </c>
    </row>
    <row r="1026" spans="1:24" ht="16.5" customHeight="1">
      <c r="A1026" s="3" t="s">
        <v>35</v>
      </c>
      <c r="B1026" s="3">
        <f t="shared" si="32"/>
        <v>2018</v>
      </c>
      <c r="C1026" s="3">
        <f t="shared" si="33"/>
        <v>11</v>
      </c>
      <c r="D1026" s="20" t="str">
        <f t="shared" si="34"/>
        <v>ATO201811</v>
      </c>
      <c r="E1026" s="2">
        <v>43427</v>
      </c>
      <c r="F1026" s="3">
        <v>0.52500000000000002</v>
      </c>
      <c r="G1026" s="2">
        <v>43444</v>
      </c>
      <c r="H1026" s="3">
        <v>2.1499999999999998E-2</v>
      </c>
      <c r="I1026" s="3">
        <v>8.2474226999999997E-2</v>
      </c>
      <c r="J1026" s="3">
        <v>0.04</v>
      </c>
      <c r="K1026" s="3">
        <f t="shared" si="35"/>
        <v>2018</v>
      </c>
      <c r="L1026" s="3">
        <f t="shared" si="36"/>
        <v>0</v>
      </c>
      <c r="M1026" s="20" t="str">
        <f>A1026&amp;L1026</f>
        <v>ATO0</v>
      </c>
      <c r="N1026" s="3">
        <f>F1026</f>
        <v>0.52500000000000002</v>
      </c>
      <c r="O1026" s="9">
        <f>H1026</f>
        <v>2.1499999999999998E-2</v>
      </c>
      <c r="P1026" s="10">
        <f t="shared" si="37"/>
        <v>2.2324999999999998E-2</v>
      </c>
      <c r="Q1026" s="10">
        <f>IF(K1026=0,IF(A1023=A1026,AVERAGE(O1023:O1026),"x"),0)</f>
        <v>0</v>
      </c>
      <c r="R1026" s="9">
        <f>IF(L1026&gt;2005,AVERAGE(O1023:O1042),0)</f>
        <v>0</v>
      </c>
      <c r="S1026" s="10">
        <f>IF(A1026=A1027,(N1026-N1027)/N1027,0)</f>
        <v>8.2474226804123793E-2</v>
      </c>
      <c r="T1026" s="10">
        <f>IF(L1026&gt;2005,(((N1026-N1046)/N1046)+1)^(1/5)-1,0)</f>
        <v>0</v>
      </c>
      <c r="U1026" s="10">
        <f t="shared" si="38"/>
        <v>0</v>
      </c>
      <c r="V1026" s="26">
        <f t="shared" si="39"/>
        <v>0</v>
      </c>
      <c r="W1026" s="3">
        <f>IF(A1026=A1027,N1026-N1027,0)</f>
        <v>4.0000000000000036E-2</v>
      </c>
      <c r="X1026" s="10">
        <f>IF(A1026=A1027,(N1026-N1027)/N1027,0)</f>
        <v>8.2474226804123793E-2</v>
      </c>
    </row>
    <row r="1027" spans="1:24" ht="16.5" customHeight="1">
      <c r="A1027" s="3" t="s">
        <v>35</v>
      </c>
      <c r="B1027" s="3">
        <f t="shared" si="32"/>
        <v>2018</v>
      </c>
      <c r="C1027" s="3">
        <f t="shared" si="33"/>
        <v>8</v>
      </c>
      <c r="D1027" s="20" t="str">
        <f t="shared" si="34"/>
        <v>ATO20188</v>
      </c>
      <c r="E1027" s="2">
        <v>43336</v>
      </c>
      <c r="F1027" s="3">
        <v>0.48499999999999999</v>
      </c>
      <c r="G1027" s="2">
        <v>43353</v>
      </c>
      <c r="H1027" s="3">
        <v>2.1100000000000001E-2</v>
      </c>
      <c r="I1027" s="3">
        <v>0</v>
      </c>
      <c r="J1027" s="3">
        <v>0</v>
      </c>
      <c r="K1027" s="3">
        <f t="shared" si="35"/>
        <v>2018</v>
      </c>
      <c r="L1027" s="3">
        <f t="shared" si="36"/>
        <v>0</v>
      </c>
      <c r="M1027" s="20" t="str">
        <f>A1027&amp;L1027</f>
        <v>ATO0</v>
      </c>
      <c r="N1027" s="3">
        <f>F1027</f>
        <v>0.48499999999999999</v>
      </c>
      <c r="O1027" s="9">
        <f>H1027</f>
        <v>2.1100000000000001E-2</v>
      </c>
      <c r="P1027" s="10">
        <f t="shared" si="37"/>
        <v>0</v>
      </c>
      <c r="Q1027" s="10">
        <f>IF(K1027=0,IF(A1024=A1027,AVERAGE(O1024:O1027),"x"),0)</f>
        <v>0</v>
      </c>
      <c r="R1027" s="9">
        <f>IF(L1027&gt;2005,AVERAGE(O1024:O1043),0)</f>
        <v>0</v>
      </c>
      <c r="S1027" s="10">
        <f>IF(A1027=A1028,(N1027-N1028)/N1028,0)</f>
        <v>0</v>
      </c>
      <c r="T1027" s="10">
        <f>IF(L1027&gt;2005,(((N1027-N1047)/N1047)+1)^(1/5)-1,0)</f>
        <v>0</v>
      </c>
      <c r="U1027" s="10">
        <f t="shared" si="38"/>
        <v>0</v>
      </c>
      <c r="V1027" s="26">
        <f t="shared" si="39"/>
        <v>0</v>
      </c>
      <c r="W1027" s="3">
        <f>IF(A1027=A1028,N1027-N1028,0)</f>
        <v>0</v>
      </c>
      <c r="X1027" s="10">
        <f>IF(A1027=A1028,(N1027-N1028)/N1028,0)</f>
        <v>0</v>
      </c>
    </row>
    <row r="1028" spans="1:24" ht="16.5" customHeight="1">
      <c r="A1028" s="3" t="s">
        <v>35</v>
      </c>
      <c r="B1028" s="3">
        <f t="shared" si="32"/>
        <v>2018</v>
      </c>
      <c r="C1028" s="3">
        <f t="shared" si="33"/>
        <v>5</v>
      </c>
      <c r="D1028" s="20" t="str">
        <f t="shared" si="34"/>
        <v>ATO20185</v>
      </c>
      <c r="E1028" s="2">
        <v>43238</v>
      </c>
      <c r="F1028" s="3">
        <v>0.48499999999999999</v>
      </c>
      <c r="G1028" s="2">
        <v>43255</v>
      </c>
      <c r="H1028" s="3">
        <v>2.2700000000000001E-2</v>
      </c>
      <c r="I1028" s="3">
        <v>0</v>
      </c>
      <c r="J1028" s="3">
        <v>0</v>
      </c>
      <c r="K1028" s="3">
        <f t="shared" si="35"/>
        <v>2018</v>
      </c>
      <c r="L1028" s="3">
        <f t="shared" si="36"/>
        <v>0</v>
      </c>
      <c r="M1028" s="20" t="str">
        <f>A1028&amp;L1028</f>
        <v>ATO0</v>
      </c>
      <c r="N1028" s="3">
        <f>F1028</f>
        <v>0.48499999999999999</v>
      </c>
      <c r="O1028" s="9">
        <f>H1028</f>
        <v>2.2700000000000001E-2</v>
      </c>
      <c r="P1028" s="10">
        <f t="shared" si="37"/>
        <v>0</v>
      </c>
      <c r="Q1028" s="10">
        <f>IF(K1028=0,IF(A1025=A1028,AVERAGE(O1025:O1028),"x"),0)</f>
        <v>0</v>
      </c>
      <c r="R1028" s="9">
        <f>IF(L1028&gt;2005,AVERAGE(O1025:O1044),0)</f>
        <v>0</v>
      </c>
      <c r="S1028" s="10">
        <f>IF(A1028=A1029,(N1028-N1029)/N1029,0)</f>
        <v>0</v>
      </c>
      <c r="T1028" s="10">
        <f>IF(L1028&gt;2005,(((N1028-N1048)/N1048)+1)^(1/5)-1,0)</f>
        <v>0</v>
      </c>
      <c r="U1028" s="10">
        <f t="shared" si="38"/>
        <v>0</v>
      </c>
      <c r="V1028" s="26">
        <f t="shared" si="39"/>
        <v>0</v>
      </c>
      <c r="W1028" s="3">
        <f>IF(A1028=A1029,N1028-N1029,0)</f>
        <v>0</v>
      </c>
      <c r="X1028" s="10">
        <f>IF(A1028=A1029,(N1028-N1029)/N1029,0)</f>
        <v>0</v>
      </c>
    </row>
    <row r="1029" spans="1:24" ht="16.5" customHeight="1">
      <c r="A1029" s="3" t="s">
        <v>35</v>
      </c>
      <c r="B1029" s="3">
        <f t="shared" si="32"/>
        <v>2018</v>
      </c>
      <c r="C1029" s="3">
        <f t="shared" si="33"/>
        <v>2</v>
      </c>
      <c r="D1029" s="20" t="str">
        <f t="shared" si="34"/>
        <v>ATO20182</v>
      </c>
      <c r="E1029" s="2">
        <v>43154</v>
      </c>
      <c r="F1029" s="3">
        <v>0.48499999999999999</v>
      </c>
      <c r="G1029" s="2">
        <v>43171</v>
      </c>
      <c r="H1029" s="3">
        <v>2.4E-2</v>
      </c>
      <c r="I1029" s="3">
        <v>0</v>
      </c>
      <c r="J1029" s="3">
        <v>0</v>
      </c>
      <c r="K1029" s="3">
        <f t="shared" si="35"/>
        <v>0</v>
      </c>
      <c r="L1029" s="3">
        <f t="shared" si="36"/>
        <v>2018</v>
      </c>
      <c r="M1029" s="20" t="str">
        <f>A1029&amp;L1029</f>
        <v>ATO2018</v>
      </c>
      <c r="N1029" s="3">
        <f>F1029</f>
        <v>0.48499999999999999</v>
      </c>
      <c r="O1029" s="9">
        <f>H1029</f>
        <v>2.4E-2</v>
      </c>
      <c r="P1029" s="10">
        <f t="shared" si="37"/>
        <v>0</v>
      </c>
      <c r="Q1029" s="10">
        <f>IF(K1029=0,IF(A1026=A1029,AVERAGE(O1026:O1029),"x"),0)</f>
        <v>2.2324999999999998E-2</v>
      </c>
      <c r="R1029" s="9">
        <f>IF(L1029&gt;2005,AVERAGE(O1026:O1045),0)</f>
        <v>2.4990000000000002E-2</v>
      </c>
      <c r="S1029" s="10">
        <f>IF(A1029=A1030,(N1029-N1030)/N1030,0)</f>
        <v>0</v>
      </c>
      <c r="T1029" s="10">
        <f>IF(L1029&gt;2005,(((N1029-N1049)/N1049)+1)^(1/5)-1,0)</f>
        <v>6.7418532757929972E-2</v>
      </c>
      <c r="U1029" s="10">
        <f t="shared" si="38"/>
        <v>9.240853275792997E-2</v>
      </c>
      <c r="V1029" s="26">
        <f t="shared" si="39"/>
        <v>4.6671474893761005</v>
      </c>
      <c r="W1029" s="3">
        <f>IF(A1029=A1030,N1029-N1030,0)</f>
        <v>0</v>
      </c>
      <c r="X1029" s="10">
        <f>IF(A1029=A1030,(N1029-N1030)/N1030,0)</f>
        <v>0</v>
      </c>
    </row>
    <row r="1030" spans="1:24" ht="16.5" customHeight="1">
      <c r="A1030" s="3" t="s">
        <v>35</v>
      </c>
      <c r="B1030" s="3">
        <f t="shared" si="32"/>
        <v>2017</v>
      </c>
      <c r="C1030" s="3">
        <f t="shared" si="33"/>
        <v>11</v>
      </c>
      <c r="D1030" s="20" t="str">
        <f t="shared" si="34"/>
        <v>ATO201711</v>
      </c>
      <c r="E1030" s="2">
        <v>43063</v>
      </c>
      <c r="F1030" s="3">
        <v>0.48499999999999999</v>
      </c>
      <c r="G1030" s="2">
        <v>43080</v>
      </c>
      <c r="H1030" s="3">
        <v>2.18E-2</v>
      </c>
      <c r="I1030" s="3">
        <v>7.7777778000000006E-2</v>
      </c>
      <c r="J1030" s="3">
        <v>3.5000000000000003E-2</v>
      </c>
      <c r="K1030" s="3">
        <f t="shared" si="35"/>
        <v>2017</v>
      </c>
      <c r="L1030" s="3">
        <f t="shared" si="36"/>
        <v>0</v>
      </c>
      <c r="M1030" s="20" t="str">
        <f>A1030&amp;L1030</f>
        <v>ATO0</v>
      </c>
      <c r="N1030" s="3">
        <f>F1030</f>
        <v>0.48499999999999999</v>
      </c>
      <c r="O1030" s="9">
        <f>H1030</f>
        <v>2.18E-2</v>
      </c>
      <c r="P1030" s="10">
        <f t="shared" si="37"/>
        <v>2.1950000000000001E-2</v>
      </c>
      <c r="Q1030" s="10">
        <f>IF(K1030=0,IF(A1027=A1030,AVERAGE(O1027:O1030),"x"),0)</f>
        <v>0</v>
      </c>
      <c r="R1030" s="9">
        <f>IF(L1030&gt;2005,AVERAGE(O1027:O1046),0)</f>
        <v>0</v>
      </c>
      <c r="S1030" s="10">
        <f>IF(A1030=A1031,(N1030-N1031)/N1031,0)</f>
        <v>7.7777777777777724E-2</v>
      </c>
      <c r="T1030" s="10">
        <f>IF(L1030&gt;2005,(((N1030-N1050)/N1050)+1)^(1/5)-1,0)</f>
        <v>0</v>
      </c>
      <c r="U1030" s="10">
        <f t="shared" si="38"/>
        <v>0</v>
      </c>
      <c r="V1030" s="26">
        <f t="shared" si="39"/>
        <v>0</v>
      </c>
      <c r="W1030" s="3">
        <f>IF(A1030=A1031,N1030-N1031,0)</f>
        <v>3.4999999999999976E-2</v>
      </c>
      <c r="X1030" s="10">
        <f>IF(A1030=A1031,(N1030-N1031)/N1031,0)</f>
        <v>7.7777777777777724E-2</v>
      </c>
    </row>
    <row r="1031" spans="1:24" ht="16.5" customHeight="1">
      <c r="A1031" s="3" t="s">
        <v>35</v>
      </c>
      <c r="B1031" s="3">
        <f t="shared" si="32"/>
        <v>2017</v>
      </c>
      <c r="C1031" s="3">
        <f t="shared" si="33"/>
        <v>8</v>
      </c>
      <c r="D1031" s="20" t="str">
        <f t="shared" si="34"/>
        <v>ATO20178</v>
      </c>
      <c r="E1031" s="2">
        <v>42964</v>
      </c>
      <c r="F1031" s="3">
        <v>0.45</v>
      </c>
      <c r="G1031" s="2">
        <v>42983</v>
      </c>
      <c r="H1031" s="3">
        <v>2.0400000000000001E-2</v>
      </c>
      <c r="I1031" s="3">
        <v>0</v>
      </c>
      <c r="J1031" s="3">
        <v>0</v>
      </c>
      <c r="K1031" s="3">
        <f t="shared" si="35"/>
        <v>2017</v>
      </c>
      <c r="L1031" s="3">
        <f t="shared" si="36"/>
        <v>0</v>
      </c>
      <c r="M1031" s="20" t="str">
        <f>A1031&amp;L1031</f>
        <v>ATO0</v>
      </c>
      <c r="N1031" s="3">
        <f>F1031</f>
        <v>0.45</v>
      </c>
      <c r="O1031" s="9">
        <f>H1031</f>
        <v>2.0400000000000001E-2</v>
      </c>
      <c r="P1031" s="10">
        <f t="shared" si="37"/>
        <v>0</v>
      </c>
      <c r="Q1031" s="10">
        <f>IF(K1031=0,IF(A1028=A1031,AVERAGE(O1028:O1031),"x"),0)</f>
        <v>0</v>
      </c>
      <c r="R1031" s="9">
        <f>IF(L1031&gt;2005,AVERAGE(O1028:O1047),0)</f>
        <v>0</v>
      </c>
      <c r="S1031" s="10">
        <f>IF(A1031=A1032,(N1031-N1032)/N1032,0)</f>
        <v>0</v>
      </c>
      <c r="T1031" s="10">
        <f>IF(L1031&gt;2005,(((N1031-N1051)/N1051)+1)^(1/5)-1,0)</f>
        <v>0</v>
      </c>
      <c r="U1031" s="10">
        <f t="shared" si="38"/>
        <v>0</v>
      </c>
      <c r="V1031" s="26">
        <f t="shared" si="39"/>
        <v>0</v>
      </c>
      <c r="W1031" s="3">
        <f>IF(A1031=A1032,N1031-N1032,0)</f>
        <v>0</v>
      </c>
      <c r="X1031" s="10">
        <f>IF(A1031=A1032,(N1031-N1032)/N1032,0)</f>
        <v>0</v>
      </c>
    </row>
    <row r="1032" spans="1:24" ht="16.5" customHeight="1">
      <c r="A1032" s="3" t="s">
        <v>35</v>
      </c>
      <c r="B1032" s="3">
        <f t="shared" si="32"/>
        <v>2017</v>
      </c>
      <c r="C1032" s="3">
        <f t="shared" si="33"/>
        <v>5</v>
      </c>
      <c r="D1032" s="20" t="str">
        <f t="shared" si="34"/>
        <v>ATO20175</v>
      </c>
      <c r="E1032" s="2">
        <v>42873</v>
      </c>
      <c r="F1032" s="3">
        <v>0.45</v>
      </c>
      <c r="G1032" s="2">
        <v>42891</v>
      </c>
      <c r="H1032" s="3">
        <v>2.23E-2</v>
      </c>
      <c r="I1032" s="3">
        <v>0</v>
      </c>
      <c r="J1032" s="3">
        <v>0</v>
      </c>
      <c r="K1032" s="3">
        <f t="shared" si="35"/>
        <v>2017</v>
      </c>
      <c r="L1032" s="3">
        <f t="shared" si="36"/>
        <v>0</v>
      </c>
      <c r="M1032" s="20" t="str">
        <f>A1032&amp;L1032</f>
        <v>ATO0</v>
      </c>
      <c r="N1032" s="3">
        <f>F1032</f>
        <v>0.45</v>
      </c>
      <c r="O1032" s="9">
        <f>H1032</f>
        <v>2.23E-2</v>
      </c>
      <c r="P1032" s="10">
        <f t="shared" si="37"/>
        <v>0</v>
      </c>
      <c r="Q1032" s="10">
        <f>IF(K1032=0,IF(A1029=A1032,AVERAGE(O1029:O1032),"x"),0)</f>
        <v>0</v>
      </c>
      <c r="R1032" s="9">
        <f>IF(L1032&gt;2005,AVERAGE(O1029:O1048),0)</f>
        <v>0</v>
      </c>
      <c r="S1032" s="10">
        <f>IF(A1032=A1033,(N1032-N1033)/N1033,0)</f>
        <v>0</v>
      </c>
      <c r="T1032" s="10">
        <f>IF(L1032&gt;2005,(((N1032-N1052)/N1052)+1)^(1/5)-1,0)</f>
        <v>0</v>
      </c>
      <c r="U1032" s="10">
        <f t="shared" si="38"/>
        <v>0</v>
      </c>
      <c r="V1032" s="26">
        <f t="shared" si="39"/>
        <v>0</v>
      </c>
      <c r="W1032" s="3">
        <f>IF(A1032=A1033,N1032-N1033,0)</f>
        <v>0</v>
      </c>
      <c r="X1032" s="10">
        <f>IF(A1032=A1033,(N1032-N1033)/N1033,0)</f>
        <v>0</v>
      </c>
    </row>
    <row r="1033" spans="1:24" ht="16.5" customHeight="1">
      <c r="A1033" s="3" t="s">
        <v>35</v>
      </c>
      <c r="B1033" s="3">
        <f t="shared" si="32"/>
        <v>2017</v>
      </c>
      <c r="C1033" s="3">
        <f t="shared" si="33"/>
        <v>2</v>
      </c>
      <c r="D1033" s="20" t="str">
        <f t="shared" si="34"/>
        <v>ATO20172</v>
      </c>
      <c r="E1033" s="2">
        <v>42789</v>
      </c>
      <c r="F1033" s="3">
        <v>0.45</v>
      </c>
      <c r="G1033" s="2">
        <v>42807</v>
      </c>
      <c r="H1033" s="3">
        <v>2.3300000000000001E-2</v>
      </c>
      <c r="I1033" s="3">
        <v>0</v>
      </c>
      <c r="J1033" s="3">
        <v>0</v>
      </c>
      <c r="K1033" s="3">
        <f t="shared" si="35"/>
        <v>0</v>
      </c>
      <c r="L1033" s="3">
        <f t="shared" si="36"/>
        <v>2017</v>
      </c>
      <c r="M1033" s="20" t="str">
        <f>A1033&amp;L1033</f>
        <v>ATO2017</v>
      </c>
      <c r="N1033" s="3">
        <f>F1033</f>
        <v>0.45</v>
      </c>
      <c r="O1033" s="9">
        <f>H1033</f>
        <v>2.3300000000000001E-2</v>
      </c>
      <c r="P1033" s="10">
        <f t="shared" si="37"/>
        <v>0</v>
      </c>
      <c r="Q1033" s="10">
        <f>IF(K1033=0,IF(A1030=A1033,AVERAGE(O1030:O1033),"x"),0)</f>
        <v>2.1950000000000001E-2</v>
      </c>
      <c r="R1033" s="9">
        <f>IF(L1033&gt;2005,AVERAGE(O1030:O1049),0)</f>
        <v>2.7155000000000002E-2</v>
      </c>
      <c r="S1033" s="10">
        <f>IF(A1033=A1034,(N1033-N1034)/N1034,0)</f>
        <v>0</v>
      </c>
      <c r="T1033" s="10">
        <f>IF(L1033&gt;2005,(((N1033-N1053)/N1053)+1)^(1/5)-1,0)</f>
        <v>5.4577943305794463E-2</v>
      </c>
      <c r="U1033" s="10">
        <f t="shared" si="38"/>
        <v>8.1732943305794462E-2</v>
      </c>
      <c r="V1033" s="26">
        <f t="shared" si="39"/>
        <v>4.6358199572059426</v>
      </c>
      <c r="W1033" s="3">
        <f>IF(A1033=A1034,N1033-N1034,0)</f>
        <v>0</v>
      </c>
      <c r="X1033" s="10">
        <f>IF(A1033=A1034,(N1033-N1034)/N1034,0)</f>
        <v>0</v>
      </c>
    </row>
    <row r="1034" spans="1:24" ht="16.5" customHeight="1">
      <c r="A1034" s="3" t="s">
        <v>35</v>
      </c>
      <c r="B1034" s="3">
        <f t="shared" si="32"/>
        <v>2016</v>
      </c>
      <c r="C1034" s="3">
        <f t="shared" si="33"/>
        <v>11</v>
      </c>
      <c r="D1034" s="20" t="str">
        <f t="shared" si="34"/>
        <v>ATO201611</v>
      </c>
      <c r="E1034" s="2">
        <v>42697</v>
      </c>
      <c r="F1034" s="3">
        <v>0.45</v>
      </c>
      <c r="G1034" s="2">
        <v>42716</v>
      </c>
      <c r="H1034" s="3">
        <v>2.4899999999999999E-2</v>
      </c>
      <c r="I1034" s="3">
        <v>7.1428570999999996E-2</v>
      </c>
      <c r="J1034" s="3">
        <v>0.03</v>
      </c>
      <c r="K1034" s="3">
        <f t="shared" si="35"/>
        <v>2016</v>
      </c>
      <c r="L1034" s="3">
        <f t="shared" si="36"/>
        <v>0</v>
      </c>
      <c r="M1034" s="20" t="str">
        <f>A1034&amp;L1034</f>
        <v>ATO0</v>
      </c>
      <c r="N1034" s="3">
        <f>F1034</f>
        <v>0.45</v>
      </c>
      <c r="O1034" s="9">
        <f>H1034</f>
        <v>2.4899999999999999E-2</v>
      </c>
      <c r="P1034" s="10">
        <f t="shared" si="37"/>
        <v>2.3674999999999998E-2</v>
      </c>
      <c r="Q1034" s="10">
        <f>IF(K1034=0,IF(A1031=A1034,AVERAGE(O1031:O1034),"x"),0)</f>
        <v>0</v>
      </c>
      <c r="R1034" s="9">
        <f>IF(L1034&gt;2005,AVERAGE(O1031:O1050),0)</f>
        <v>0</v>
      </c>
      <c r="S1034" s="10">
        <f>IF(A1034=A1035,(N1034-N1035)/N1035,0)</f>
        <v>7.1428571428571494E-2</v>
      </c>
      <c r="T1034" s="10">
        <f>IF(L1034&gt;2005,(((N1034-N1054)/N1054)+1)^(1/5)-1,0)</f>
        <v>0</v>
      </c>
      <c r="U1034" s="10">
        <f t="shared" si="38"/>
        <v>0</v>
      </c>
      <c r="V1034" s="26">
        <f t="shared" si="39"/>
        <v>0</v>
      </c>
      <c r="W1034" s="3">
        <f>IF(A1034=A1035,N1034-N1035,0)</f>
        <v>3.0000000000000027E-2</v>
      </c>
      <c r="X1034" s="10">
        <f>IF(A1034=A1035,(N1034-N1035)/N1035,0)</f>
        <v>7.1428571428571494E-2</v>
      </c>
    </row>
    <row r="1035" spans="1:24" ht="16.5" customHeight="1">
      <c r="A1035" s="3" t="s">
        <v>35</v>
      </c>
      <c r="B1035" s="3">
        <f t="shared" si="32"/>
        <v>2016</v>
      </c>
      <c r="C1035" s="3">
        <f t="shared" si="33"/>
        <v>8</v>
      </c>
      <c r="D1035" s="20" t="str">
        <f t="shared" si="34"/>
        <v>ATO20168</v>
      </c>
      <c r="E1035" s="2">
        <v>42600</v>
      </c>
      <c r="F1035" s="3">
        <v>0.42</v>
      </c>
      <c r="G1035" s="2">
        <v>42619</v>
      </c>
      <c r="H1035" s="3">
        <v>2.23E-2</v>
      </c>
      <c r="I1035" s="3">
        <v>0</v>
      </c>
      <c r="J1035" s="3">
        <v>0</v>
      </c>
      <c r="K1035" s="3">
        <f t="shared" si="35"/>
        <v>2016</v>
      </c>
      <c r="L1035" s="3">
        <f t="shared" si="36"/>
        <v>0</v>
      </c>
      <c r="M1035" s="20" t="str">
        <f>A1035&amp;L1035</f>
        <v>ATO0</v>
      </c>
      <c r="N1035" s="3">
        <f>F1035</f>
        <v>0.42</v>
      </c>
      <c r="O1035" s="9">
        <f>H1035</f>
        <v>2.23E-2</v>
      </c>
      <c r="P1035" s="10">
        <f t="shared" si="37"/>
        <v>0</v>
      </c>
      <c r="Q1035" s="10">
        <f>IF(K1035=0,IF(A1032=A1035,AVERAGE(O1032:O1035),"x"),0)</f>
        <v>0</v>
      </c>
      <c r="R1035" s="9">
        <f>IF(L1035&gt;2005,AVERAGE(O1032:O1051),0)</f>
        <v>0</v>
      </c>
      <c r="S1035" s="10">
        <f>IF(A1035=A1036,(N1035-N1036)/N1036,0)</f>
        <v>0</v>
      </c>
      <c r="T1035" s="10">
        <f>IF(L1035&gt;2005,(((N1035-N1055)/N1055)+1)^(1/5)-1,0)</f>
        <v>0</v>
      </c>
      <c r="U1035" s="10">
        <f t="shared" si="38"/>
        <v>0</v>
      </c>
      <c r="V1035" s="26">
        <f t="shared" si="39"/>
        <v>0</v>
      </c>
      <c r="W1035" s="3">
        <f>IF(A1035=A1036,N1035-N1036,0)</f>
        <v>0</v>
      </c>
      <c r="X1035" s="10">
        <f>IF(A1035=A1036,(N1035-N1036)/N1036,0)</f>
        <v>0</v>
      </c>
    </row>
    <row r="1036" spans="1:24" ht="16.5" customHeight="1">
      <c r="A1036" s="3" t="s">
        <v>35</v>
      </c>
      <c r="B1036" s="3">
        <f t="shared" si="32"/>
        <v>2016</v>
      </c>
      <c r="C1036" s="3">
        <f t="shared" si="33"/>
        <v>5</v>
      </c>
      <c r="D1036" s="20" t="str">
        <f t="shared" si="34"/>
        <v>ATO20165</v>
      </c>
      <c r="E1036" s="2">
        <v>42509</v>
      </c>
      <c r="F1036" s="3">
        <v>0.42</v>
      </c>
      <c r="G1036" s="2">
        <v>42527</v>
      </c>
      <c r="H1036" s="3">
        <v>2.3400000000000001E-2</v>
      </c>
      <c r="I1036" s="3">
        <v>0</v>
      </c>
      <c r="J1036" s="3">
        <v>0</v>
      </c>
      <c r="K1036" s="3">
        <f t="shared" si="35"/>
        <v>2016</v>
      </c>
      <c r="L1036" s="3">
        <f t="shared" si="36"/>
        <v>0</v>
      </c>
      <c r="M1036" s="20" t="str">
        <f>A1036&amp;L1036</f>
        <v>ATO0</v>
      </c>
      <c r="N1036" s="3">
        <f>F1036</f>
        <v>0.42</v>
      </c>
      <c r="O1036" s="9">
        <f>H1036</f>
        <v>2.3400000000000001E-2</v>
      </c>
      <c r="P1036" s="10">
        <f t="shared" si="37"/>
        <v>0</v>
      </c>
      <c r="Q1036" s="10">
        <f>IF(K1036=0,IF(A1033=A1036,AVERAGE(O1033:O1036),"x"),0)</f>
        <v>0</v>
      </c>
      <c r="R1036" s="9">
        <f>IF(L1036&gt;2005,AVERAGE(O1033:O1052),0)</f>
        <v>0</v>
      </c>
      <c r="S1036" s="10">
        <f>IF(A1036=A1037,(N1036-N1037)/N1037,0)</f>
        <v>0</v>
      </c>
      <c r="T1036" s="10">
        <f>IF(L1036&gt;2005,(((N1036-N1056)/N1056)+1)^(1/5)-1,0)</f>
        <v>0</v>
      </c>
      <c r="U1036" s="10">
        <f t="shared" si="38"/>
        <v>0</v>
      </c>
      <c r="V1036" s="26">
        <f t="shared" si="39"/>
        <v>0</v>
      </c>
      <c r="W1036" s="3">
        <f>IF(A1036=A1037,N1036-N1037,0)</f>
        <v>0</v>
      </c>
      <c r="X1036" s="10">
        <f>IF(A1036=A1037,(N1036-N1037)/N1037,0)</f>
        <v>0</v>
      </c>
    </row>
    <row r="1037" spans="1:24" ht="16.5" customHeight="1">
      <c r="A1037" s="3" t="s">
        <v>35</v>
      </c>
      <c r="B1037" s="3">
        <f t="shared" si="32"/>
        <v>2016</v>
      </c>
      <c r="C1037" s="3">
        <f t="shared" si="33"/>
        <v>2</v>
      </c>
      <c r="D1037" s="20" t="str">
        <f t="shared" si="34"/>
        <v>ATO20162</v>
      </c>
      <c r="E1037" s="2">
        <v>42418</v>
      </c>
      <c r="F1037" s="3">
        <v>0.42</v>
      </c>
      <c r="G1037" s="2">
        <v>42436</v>
      </c>
      <c r="H1037" s="3">
        <v>2.41E-2</v>
      </c>
      <c r="I1037" s="3">
        <v>0</v>
      </c>
      <c r="J1037" s="3">
        <v>0</v>
      </c>
      <c r="K1037" s="3">
        <f t="shared" si="35"/>
        <v>0</v>
      </c>
      <c r="L1037" s="3">
        <f t="shared" si="36"/>
        <v>2016</v>
      </c>
      <c r="M1037" s="20" t="str">
        <f>A1037&amp;L1037</f>
        <v>ATO2016</v>
      </c>
      <c r="N1037" s="3">
        <f>F1037</f>
        <v>0.42</v>
      </c>
      <c r="O1037" s="9">
        <f>H1037</f>
        <v>2.41E-2</v>
      </c>
      <c r="P1037" s="10">
        <f t="shared" si="37"/>
        <v>0</v>
      </c>
      <c r="Q1037" s="10">
        <f>IF(K1037=0,IF(A1034=A1037,AVERAGE(O1034:O1037),"x"),0)</f>
        <v>2.3674999999999998E-2</v>
      </c>
      <c r="R1037" s="9">
        <f>IF(L1037&gt;2005,AVERAGE(O1034:O1053),0)</f>
        <v>3.0929999999999996E-2</v>
      </c>
      <c r="S1037" s="10">
        <f>IF(A1037=A1038,(N1037-N1038)/N1038,0)</f>
        <v>0</v>
      </c>
      <c r="T1037" s="10">
        <f>IF(L1037&gt;2005,(((N1037-N1057)/N1057)+1)^(1/5)-1,0)</f>
        <v>4.3167563810134979E-2</v>
      </c>
      <c r="U1037" s="10">
        <f t="shared" si="38"/>
        <v>7.4097563810134978E-2</v>
      </c>
      <c r="V1037" s="26">
        <f t="shared" si="39"/>
        <v>4.584286424974878</v>
      </c>
      <c r="W1037" s="3">
        <f>IF(A1037=A1038,N1037-N1038,0)</f>
        <v>0</v>
      </c>
      <c r="X1037" s="10">
        <f>IF(A1037=A1038,(N1037-N1038)/N1038,0)</f>
        <v>0</v>
      </c>
    </row>
    <row r="1038" spans="1:24" ht="16.5" customHeight="1">
      <c r="A1038" s="3" t="s">
        <v>35</v>
      </c>
      <c r="B1038" s="3">
        <f t="shared" si="32"/>
        <v>2015</v>
      </c>
      <c r="C1038" s="3">
        <f t="shared" si="33"/>
        <v>11</v>
      </c>
      <c r="D1038" s="20" t="str">
        <f t="shared" si="34"/>
        <v>ATO201511</v>
      </c>
      <c r="E1038" s="2">
        <v>42327</v>
      </c>
      <c r="F1038" s="3">
        <v>0.42</v>
      </c>
      <c r="G1038" s="2">
        <v>42345</v>
      </c>
      <c r="H1038" s="3">
        <v>2.5700000000000001E-2</v>
      </c>
      <c r="I1038" s="3">
        <v>7.6923077000000006E-2</v>
      </c>
      <c r="J1038" s="3">
        <v>0.03</v>
      </c>
      <c r="K1038" s="3">
        <f t="shared" si="35"/>
        <v>2015</v>
      </c>
      <c r="L1038" s="3">
        <f t="shared" si="36"/>
        <v>0</v>
      </c>
      <c r="M1038" s="20" t="str">
        <f>A1038&amp;L1038</f>
        <v>ATO0</v>
      </c>
      <c r="N1038" s="3">
        <f>F1038</f>
        <v>0.42</v>
      </c>
      <c r="O1038" s="9">
        <f>H1038</f>
        <v>2.5700000000000001E-2</v>
      </c>
      <c r="P1038" s="10">
        <f t="shared" si="37"/>
        <v>2.7400000000000001E-2</v>
      </c>
      <c r="Q1038" s="10">
        <f>IF(K1038=0,IF(A1035=A1038,AVERAGE(O1035:O1038),"x"),0)</f>
        <v>0</v>
      </c>
      <c r="R1038" s="9">
        <f>IF(L1038&gt;2005,AVERAGE(O1035:O1054),0)</f>
        <v>0</v>
      </c>
      <c r="S1038" s="10">
        <f>IF(A1038=A1039,(N1038-N1039)/N1039,0)</f>
        <v>7.6923076923076844E-2</v>
      </c>
      <c r="T1038" s="10">
        <f>IF(L1038&gt;2005,(((N1038-N1058)/N1058)+1)^(1/5)-1,0)</f>
        <v>0</v>
      </c>
      <c r="U1038" s="10">
        <f t="shared" si="38"/>
        <v>0</v>
      </c>
      <c r="V1038" s="26">
        <f t="shared" si="39"/>
        <v>0</v>
      </c>
      <c r="W1038" s="3">
        <f>IF(A1038=A1039,N1038-N1039,0)</f>
        <v>2.9999999999999971E-2</v>
      </c>
      <c r="X1038" s="10">
        <f>IF(A1038=A1039,(N1038-N1039)/N1039,0)</f>
        <v>7.6923076923076844E-2</v>
      </c>
    </row>
    <row r="1039" spans="1:24" ht="16.5" customHeight="1">
      <c r="A1039" s="3" t="s">
        <v>35</v>
      </c>
      <c r="B1039" s="3">
        <f t="shared" si="32"/>
        <v>2015</v>
      </c>
      <c r="C1039" s="3">
        <f t="shared" si="33"/>
        <v>8</v>
      </c>
      <c r="D1039" s="20" t="str">
        <f t="shared" si="34"/>
        <v>ATO20158</v>
      </c>
      <c r="E1039" s="2">
        <v>42236</v>
      </c>
      <c r="F1039" s="3">
        <v>0.39</v>
      </c>
      <c r="G1039" s="2">
        <v>42255</v>
      </c>
      <c r="H1039" s="3">
        <v>2.7099999999999999E-2</v>
      </c>
      <c r="I1039" s="3">
        <v>0</v>
      </c>
      <c r="J1039" s="3">
        <v>0</v>
      </c>
      <c r="K1039" s="3">
        <f t="shared" si="35"/>
        <v>2015</v>
      </c>
      <c r="L1039" s="3">
        <f t="shared" si="36"/>
        <v>0</v>
      </c>
      <c r="M1039" s="20" t="str">
        <f>A1039&amp;L1039</f>
        <v>ATO0</v>
      </c>
      <c r="N1039" s="3">
        <f>F1039</f>
        <v>0.39</v>
      </c>
      <c r="O1039" s="9">
        <f>H1039</f>
        <v>2.7099999999999999E-2</v>
      </c>
      <c r="P1039" s="10">
        <f t="shared" si="37"/>
        <v>0</v>
      </c>
      <c r="Q1039" s="10">
        <f>IF(K1039=0,IF(A1036=A1039,AVERAGE(O1036:O1039),"x"),0)</f>
        <v>0</v>
      </c>
      <c r="R1039" s="9">
        <f>IF(L1039&gt;2005,AVERAGE(O1036:O1055),0)</f>
        <v>0</v>
      </c>
      <c r="S1039" s="10">
        <f>IF(A1039=A1040,(N1039-N1040)/N1040,0)</f>
        <v>0</v>
      </c>
      <c r="T1039" s="10">
        <f>IF(L1039&gt;2005,(((N1039-N1059)/N1059)+1)^(1/5)-1,0)</f>
        <v>0</v>
      </c>
      <c r="U1039" s="10">
        <f t="shared" si="38"/>
        <v>0</v>
      </c>
      <c r="V1039" s="26">
        <f t="shared" si="39"/>
        <v>0</v>
      </c>
      <c r="W1039" s="3">
        <f>IF(A1039=A1040,N1039-N1040,0)</f>
        <v>0</v>
      </c>
      <c r="X1039" s="10">
        <f>IF(A1039=A1040,(N1039-N1040)/N1040,0)</f>
        <v>0</v>
      </c>
    </row>
    <row r="1040" spans="1:24" ht="16.5" customHeight="1">
      <c r="A1040" s="3" t="s">
        <v>35</v>
      </c>
      <c r="B1040" s="3">
        <f t="shared" si="32"/>
        <v>2015</v>
      </c>
      <c r="C1040" s="3">
        <f t="shared" si="33"/>
        <v>5</v>
      </c>
      <c r="D1040" s="20" t="str">
        <f t="shared" si="34"/>
        <v>ATO20155</v>
      </c>
      <c r="E1040" s="2">
        <v>42145</v>
      </c>
      <c r="F1040" s="3">
        <v>0.39</v>
      </c>
      <c r="G1040" s="2">
        <v>42163</v>
      </c>
      <c r="H1040" s="3">
        <v>2.8400000000000002E-2</v>
      </c>
      <c r="I1040" s="3">
        <v>0</v>
      </c>
      <c r="J1040" s="3">
        <v>0</v>
      </c>
      <c r="K1040" s="3">
        <f t="shared" si="35"/>
        <v>2015</v>
      </c>
      <c r="L1040" s="3">
        <f t="shared" si="36"/>
        <v>0</v>
      </c>
      <c r="M1040" s="20" t="str">
        <f>A1040&amp;L1040</f>
        <v>ATO0</v>
      </c>
      <c r="N1040" s="3">
        <f>F1040</f>
        <v>0.39</v>
      </c>
      <c r="O1040" s="9">
        <f>H1040</f>
        <v>2.8400000000000002E-2</v>
      </c>
      <c r="P1040" s="10">
        <f t="shared" si="37"/>
        <v>0</v>
      </c>
      <c r="Q1040" s="10">
        <f>IF(K1040=0,IF(A1037=A1040,AVERAGE(O1037:O1040),"x"),0)</f>
        <v>0</v>
      </c>
      <c r="R1040" s="9">
        <f>IF(L1040&gt;2005,AVERAGE(O1037:O1056),0)</f>
        <v>0</v>
      </c>
      <c r="S1040" s="10">
        <f>IF(A1040=A1041,(N1040-N1041)/N1041,0)</f>
        <v>0</v>
      </c>
      <c r="T1040" s="10">
        <f>IF(L1040&gt;2005,(((N1040-N1060)/N1060)+1)^(1/5)-1,0)</f>
        <v>0</v>
      </c>
      <c r="U1040" s="10">
        <f t="shared" si="38"/>
        <v>0</v>
      </c>
      <c r="V1040" s="26">
        <f t="shared" si="39"/>
        <v>0</v>
      </c>
      <c r="W1040" s="3">
        <f>IF(A1040=A1041,N1040-N1041,0)</f>
        <v>0</v>
      </c>
      <c r="X1040" s="10">
        <f>IF(A1040=A1041,(N1040-N1041)/N1041,0)</f>
        <v>0</v>
      </c>
    </row>
    <row r="1041" spans="1:24" ht="16.5" customHeight="1">
      <c r="A1041" s="3" t="s">
        <v>35</v>
      </c>
      <c r="B1041" s="3">
        <f t="shared" si="32"/>
        <v>2015</v>
      </c>
      <c r="C1041" s="3">
        <f t="shared" si="33"/>
        <v>2</v>
      </c>
      <c r="D1041" s="20" t="str">
        <f t="shared" si="34"/>
        <v>ATO20152</v>
      </c>
      <c r="E1041" s="2">
        <v>42054</v>
      </c>
      <c r="F1041" s="3">
        <v>0.39</v>
      </c>
      <c r="G1041" s="2">
        <v>42072</v>
      </c>
      <c r="H1041" s="3">
        <v>2.8400000000000002E-2</v>
      </c>
      <c r="I1041" s="3">
        <v>0</v>
      </c>
      <c r="J1041" s="3">
        <v>0</v>
      </c>
      <c r="K1041" s="3">
        <f t="shared" si="35"/>
        <v>0</v>
      </c>
      <c r="L1041" s="3">
        <f t="shared" si="36"/>
        <v>2015</v>
      </c>
      <c r="M1041" s="20" t="str">
        <f>A1041&amp;L1041</f>
        <v>ATO2015</v>
      </c>
      <c r="N1041" s="3">
        <f>F1041</f>
        <v>0.39</v>
      </c>
      <c r="O1041" s="9">
        <f>H1041</f>
        <v>2.8400000000000002E-2</v>
      </c>
      <c r="P1041" s="10">
        <f t="shared" si="37"/>
        <v>0</v>
      </c>
      <c r="Q1041" s="10">
        <f>IF(K1041=0,IF(A1038=A1041,AVERAGE(O1038:O1041),"x"),0)</f>
        <v>2.7400000000000001E-2</v>
      </c>
      <c r="R1041" s="9">
        <f>IF(L1041&gt;2005,AVERAGE(O1038:O1057),0)</f>
        <v>3.4340000000000002E-2</v>
      </c>
      <c r="S1041" s="10">
        <f>IF(A1041=A1042,(N1041-N1042)/N1042,0)</f>
        <v>0</v>
      </c>
      <c r="T1041" s="10">
        <f>IF(L1041&gt;2005,(((N1041-N1061)/N1061)+1)^(1/5)-1,0)</f>
        <v>3.0870139733077728E-2</v>
      </c>
      <c r="U1041" s="10">
        <f t="shared" si="38"/>
        <v>6.5210139733077738E-2</v>
      </c>
      <c r="V1041" s="26">
        <f t="shared" si="39"/>
        <v>4.5367228073261066</v>
      </c>
      <c r="W1041" s="3">
        <f>IF(A1041=A1042,N1041-N1042,0)</f>
        <v>0</v>
      </c>
      <c r="X1041" s="10">
        <f>IF(A1041=A1042,(N1041-N1042)/N1042,0)</f>
        <v>0</v>
      </c>
    </row>
    <row r="1042" spans="1:24" ht="16.5" customHeight="1">
      <c r="A1042" s="3" t="s">
        <v>35</v>
      </c>
      <c r="B1042" s="3">
        <f t="shared" si="32"/>
        <v>2014</v>
      </c>
      <c r="C1042" s="3">
        <f t="shared" si="33"/>
        <v>11</v>
      </c>
      <c r="D1042" s="20" t="str">
        <f t="shared" si="34"/>
        <v>ATO201411</v>
      </c>
      <c r="E1042" s="2">
        <v>41963</v>
      </c>
      <c r="F1042" s="3">
        <v>0.39</v>
      </c>
      <c r="G1042" s="2">
        <v>41981</v>
      </c>
      <c r="H1042" s="3">
        <v>2.8199999999999999E-2</v>
      </c>
      <c r="I1042" s="3">
        <v>5.4054053999999997E-2</v>
      </c>
      <c r="J1042" s="3">
        <v>0.02</v>
      </c>
      <c r="K1042" s="3">
        <f t="shared" si="35"/>
        <v>2014</v>
      </c>
      <c r="L1042" s="3">
        <f t="shared" si="36"/>
        <v>0</v>
      </c>
      <c r="M1042" s="20" t="str">
        <f>A1042&amp;L1042</f>
        <v>ATO0</v>
      </c>
      <c r="N1042" s="3">
        <f>F1042</f>
        <v>0.39</v>
      </c>
      <c r="O1042" s="9">
        <f>H1042</f>
        <v>2.8199999999999999E-2</v>
      </c>
      <c r="P1042" s="10">
        <f t="shared" si="37"/>
        <v>2.9600000000000001E-2</v>
      </c>
      <c r="Q1042" s="10">
        <f>IF(K1042=0,IF(A1039=A1042,AVERAGE(O1039:O1042),"x"),0)</f>
        <v>0</v>
      </c>
      <c r="R1042" s="9">
        <f>IF(L1042&gt;2005,AVERAGE(O1039:O1058),0)</f>
        <v>0</v>
      </c>
      <c r="S1042" s="10">
        <f>IF(A1042=A1043,(N1042-N1043)/N1043,0)</f>
        <v>5.4054054054054106E-2</v>
      </c>
      <c r="T1042" s="10">
        <f>IF(L1042&gt;2005,(((N1042-N1062)/N1062)+1)^(1/5)-1,0)</f>
        <v>0</v>
      </c>
      <c r="U1042" s="10">
        <f t="shared" si="38"/>
        <v>0</v>
      </c>
      <c r="V1042" s="26">
        <f t="shared" si="39"/>
        <v>0</v>
      </c>
      <c r="W1042" s="3">
        <f>IF(A1042=A1043,N1042-N1043,0)</f>
        <v>2.0000000000000018E-2</v>
      </c>
      <c r="X1042" s="10">
        <f>IF(A1042=A1043,(N1042-N1043)/N1043,0)</f>
        <v>5.4054054054054106E-2</v>
      </c>
    </row>
    <row r="1043" spans="1:24" ht="16.5" customHeight="1">
      <c r="A1043" s="3" t="s">
        <v>35</v>
      </c>
      <c r="B1043" s="3">
        <f t="shared" si="32"/>
        <v>2014</v>
      </c>
      <c r="C1043" s="3">
        <f t="shared" si="33"/>
        <v>8</v>
      </c>
      <c r="D1043" s="20" t="str">
        <f t="shared" si="34"/>
        <v>ATO20148</v>
      </c>
      <c r="E1043" s="2">
        <v>41872</v>
      </c>
      <c r="F1043" s="3">
        <v>0.37</v>
      </c>
      <c r="G1043" s="2">
        <v>41890</v>
      </c>
      <c r="H1043" s="3">
        <v>2.92E-2</v>
      </c>
      <c r="I1043" s="3">
        <v>0</v>
      </c>
      <c r="J1043" s="3">
        <v>0</v>
      </c>
      <c r="K1043" s="3">
        <f t="shared" si="35"/>
        <v>2014</v>
      </c>
      <c r="L1043" s="3">
        <f t="shared" si="36"/>
        <v>0</v>
      </c>
      <c r="M1043" s="20" t="str">
        <f>A1043&amp;L1043</f>
        <v>ATO0</v>
      </c>
      <c r="N1043" s="3">
        <f>F1043</f>
        <v>0.37</v>
      </c>
      <c r="O1043" s="9">
        <f>H1043</f>
        <v>2.92E-2</v>
      </c>
      <c r="P1043" s="10">
        <f t="shared" si="37"/>
        <v>0</v>
      </c>
      <c r="Q1043" s="10">
        <f>IF(K1043=0,IF(A1040=A1043,AVERAGE(O1040:O1043),"x"),0)</f>
        <v>0</v>
      </c>
      <c r="R1043" s="9">
        <f>IF(L1043&gt;2005,AVERAGE(O1040:O1059),0)</f>
        <v>0</v>
      </c>
      <c r="S1043" s="10">
        <f>IF(A1043=A1044,(N1043-N1044)/N1044,0)</f>
        <v>0</v>
      </c>
      <c r="T1043" s="10">
        <f>IF(L1043&gt;2005,(((N1043-N1063)/N1063)+1)^(1/5)-1,0)</f>
        <v>0</v>
      </c>
      <c r="U1043" s="10">
        <f t="shared" si="38"/>
        <v>0</v>
      </c>
      <c r="V1043" s="26">
        <f t="shared" si="39"/>
        <v>0</v>
      </c>
      <c r="W1043" s="3">
        <f>IF(A1043=A1044,N1043-N1044,0)</f>
        <v>0</v>
      </c>
      <c r="X1043" s="10">
        <f>IF(A1043=A1044,(N1043-N1044)/N1044,0)</f>
        <v>0</v>
      </c>
    </row>
    <row r="1044" spans="1:24" ht="16.5" customHeight="1">
      <c r="A1044" s="3" t="s">
        <v>35</v>
      </c>
      <c r="B1044" s="3">
        <f t="shared" si="32"/>
        <v>2014</v>
      </c>
      <c r="C1044" s="3">
        <f t="shared" si="33"/>
        <v>5</v>
      </c>
      <c r="D1044" s="20" t="str">
        <f t="shared" si="34"/>
        <v>ATO20145</v>
      </c>
      <c r="E1044" s="2">
        <v>41781</v>
      </c>
      <c r="F1044" s="3">
        <v>0.37</v>
      </c>
      <c r="G1044" s="2">
        <v>41799</v>
      </c>
      <c r="H1044" s="3">
        <v>2.9000000000000001E-2</v>
      </c>
      <c r="I1044" s="3">
        <v>0</v>
      </c>
      <c r="J1044" s="3">
        <v>0</v>
      </c>
      <c r="K1044" s="3">
        <f t="shared" si="35"/>
        <v>2014</v>
      </c>
      <c r="L1044" s="3">
        <f t="shared" si="36"/>
        <v>0</v>
      </c>
      <c r="M1044" s="20" t="str">
        <f>A1044&amp;L1044</f>
        <v>ATO0</v>
      </c>
      <c r="N1044" s="3">
        <f>F1044</f>
        <v>0.37</v>
      </c>
      <c r="O1044" s="9">
        <f>H1044</f>
        <v>2.9000000000000001E-2</v>
      </c>
      <c r="P1044" s="10">
        <f t="shared" si="37"/>
        <v>0</v>
      </c>
      <c r="Q1044" s="10">
        <f>IF(K1044=0,IF(A1041=A1044,AVERAGE(O1041:O1044),"x"),0)</f>
        <v>0</v>
      </c>
      <c r="R1044" s="9">
        <f>IF(L1044&gt;2005,AVERAGE(O1041:O1060),0)</f>
        <v>0</v>
      </c>
      <c r="S1044" s="10">
        <f>IF(A1044=A1045,(N1044-N1045)/N1045,0)</f>
        <v>0</v>
      </c>
      <c r="T1044" s="10">
        <f>IF(L1044&gt;2005,(((N1044-N1064)/N1064)+1)^(1/5)-1,0)</f>
        <v>0</v>
      </c>
      <c r="U1044" s="10">
        <f t="shared" si="38"/>
        <v>0</v>
      </c>
      <c r="V1044" s="26">
        <f t="shared" si="39"/>
        <v>0</v>
      </c>
      <c r="W1044" s="3">
        <f>IF(A1044=A1045,N1044-N1045,0)</f>
        <v>0</v>
      </c>
      <c r="X1044" s="10">
        <f>IF(A1044=A1045,(N1044-N1045)/N1045,0)</f>
        <v>0</v>
      </c>
    </row>
    <row r="1045" spans="1:24" ht="16.5" customHeight="1">
      <c r="A1045" s="3" t="s">
        <v>35</v>
      </c>
      <c r="B1045" s="3">
        <f t="shared" si="32"/>
        <v>2014</v>
      </c>
      <c r="C1045" s="3">
        <f t="shared" si="33"/>
        <v>2</v>
      </c>
      <c r="D1045" s="20" t="str">
        <f t="shared" si="34"/>
        <v>ATO20142</v>
      </c>
      <c r="E1045" s="2">
        <v>41690</v>
      </c>
      <c r="F1045" s="3">
        <v>0.37</v>
      </c>
      <c r="G1045" s="2">
        <v>41708</v>
      </c>
      <c r="H1045" s="3">
        <v>3.2000000000000001E-2</v>
      </c>
      <c r="I1045" s="3">
        <v>0</v>
      </c>
      <c r="J1045" s="3">
        <v>0</v>
      </c>
      <c r="K1045" s="3">
        <f t="shared" si="35"/>
        <v>0</v>
      </c>
      <c r="L1045" s="3">
        <f t="shared" si="36"/>
        <v>2014</v>
      </c>
      <c r="M1045" s="20" t="str">
        <f>A1045&amp;L1045</f>
        <v>ATO2014</v>
      </c>
      <c r="N1045" s="3">
        <f>F1045</f>
        <v>0.37</v>
      </c>
      <c r="O1045" s="9">
        <f>H1045</f>
        <v>3.2000000000000001E-2</v>
      </c>
      <c r="P1045" s="10">
        <f t="shared" si="37"/>
        <v>0</v>
      </c>
      <c r="Q1045" s="10">
        <f>IF(K1045=0,IF(A1042=A1045,AVERAGE(O1042:O1045),"x"),0)</f>
        <v>2.9600000000000001E-2</v>
      </c>
      <c r="R1045" s="9">
        <f>IF(L1045&gt;2005,AVERAGE(O1042:O1061),0)</f>
        <v>3.8220000000000004E-2</v>
      </c>
      <c r="S1045" s="10">
        <f>IF(A1045=A1046,(N1045-N1046)/N1046,0)</f>
        <v>0</v>
      </c>
      <c r="T1045" s="10">
        <f>IF(L1045&gt;2005,(((N1045-N1065)/N1065)+1)^(1/5)-1,0)</f>
        <v>2.3145873080461676E-2</v>
      </c>
      <c r="U1045" s="10">
        <f t="shared" si="38"/>
        <v>6.136587308046168E-2</v>
      </c>
      <c r="V1045" s="26">
        <f t="shared" si="39"/>
        <v>4.4850912497845634</v>
      </c>
      <c r="W1045" s="3">
        <f>IF(A1045=A1046,N1045-N1046,0)</f>
        <v>0</v>
      </c>
      <c r="X1045" s="10">
        <f>IF(A1045=A1046,(N1045-N1046)/N1046,0)</f>
        <v>0</v>
      </c>
    </row>
    <row r="1046" spans="1:24" ht="16.5" customHeight="1">
      <c r="A1046" s="3" t="s">
        <v>35</v>
      </c>
      <c r="B1046" s="3">
        <f t="shared" si="32"/>
        <v>2013</v>
      </c>
      <c r="C1046" s="3">
        <f t="shared" si="33"/>
        <v>11</v>
      </c>
      <c r="D1046" s="20" t="str">
        <f t="shared" si="34"/>
        <v>ATO201311</v>
      </c>
      <c r="E1046" s="2">
        <v>41599</v>
      </c>
      <c r="F1046" s="3">
        <v>0.37</v>
      </c>
      <c r="G1046" s="2">
        <v>41617</v>
      </c>
      <c r="H1046" s="3">
        <v>3.1300000000000001E-2</v>
      </c>
      <c r="I1046" s="3">
        <v>5.7142856999999998E-2</v>
      </c>
      <c r="J1046" s="3">
        <v>0.02</v>
      </c>
      <c r="K1046" s="3">
        <f t="shared" si="35"/>
        <v>2013</v>
      </c>
      <c r="L1046" s="3">
        <f t="shared" si="36"/>
        <v>0</v>
      </c>
      <c r="M1046" s="20" t="str">
        <f>A1046&amp;L1046</f>
        <v>ATO0</v>
      </c>
      <c r="N1046" s="3">
        <f>F1046</f>
        <v>0.37</v>
      </c>
      <c r="O1046" s="9">
        <f>H1046</f>
        <v>3.1300000000000001E-2</v>
      </c>
      <c r="P1046" s="10">
        <f t="shared" si="37"/>
        <v>3.3149999999999999E-2</v>
      </c>
      <c r="Q1046" s="10">
        <f>IF(K1046=0,IF(A1043=A1046,AVERAGE(O1043:O1046),"x"),0)</f>
        <v>0</v>
      </c>
      <c r="R1046" s="9">
        <f>IF(L1046&gt;2005,AVERAGE(O1043:O1062),0)</f>
        <v>0</v>
      </c>
      <c r="S1046" s="10">
        <f>IF(A1046=A1047,(N1046-N1047)/N1047,0)</f>
        <v>5.7142857142857197E-2</v>
      </c>
      <c r="T1046" s="10">
        <f>IF(L1046&gt;2005,(((N1046-N1066)/N1066)+1)^(1/5)-1,0)</f>
        <v>0</v>
      </c>
      <c r="U1046" s="10">
        <f t="shared" si="38"/>
        <v>0</v>
      </c>
      <c r="V1046" s="26">
        <f t="shared" si="39"/>
        <v>0</v>
      </c>
      <c r="W1046" s="3">
        <f>IF(A1046=A1047,N1046-N1047,0)</f>
        <v>2.0000000000000018E-2</v>
      </c>
      <c r="X1046" s="10">
        <f>IF(A1046=A1047,(N1046-N1047)/N1047,0)</f>
        <v>5.7142857142857197E-2</v>
      </c>
    </row>
    <row r="1047" spans="1:24" ht="16.5" customHeight="1">
      <c r="A1047" s="3" t="s">
        <v>35</v>
      </c>
      <c r="B1047" s="3">
        <f t="shared" si="32"/>
        <v>2013</v>
      </c>
      <c r="C1047" s="3">
        <f t="shared" si="33"/>
        <v>8</v>
      </c>
      <c r="D1047" s="20" t="str">
        <f t="shared" si="34"/>
        <v>ATO20138</v>
      </c>
      <c r="E1047" s="2">
        <v>41508</v>
      </c>
      <c r="F1047" s="3">
        <v>0.35</v>
      </c>
      <c r="G1047" s="2">
        <v>41526</v>
      </c>
      <c r="H1047" s="3">
        <v>3.3799999999999997E-2</v>
      </c>
      <c r="I1047" s="3">
        <v>0</v>
      </c>
      <c r="J1047" s="3">
        <v>0</v>
      </c>
      <c r="K1047" s="3">
        <f t="shared" si="35"/>
        <v>2013</v>
      </c>
      <c r="L1047" s="3">
        <f t="shared" si="36"/>
        <v>0</v>
      </c>
      <c r="M1047" s="20" t="str">
        <f>A1047&amp;L1047</f>
        <v>ATO0</v>
      </c>
      <c r="N1047" s="3">
        <f>F1047</f>
        <v>0.35</v>
      </c>
      <c r="O1047" s="9">
        <f>H1047</f>
        <v>3.3799999999999997E-2</v>
      </c>
      <c r="P1047" s="10">
        <f t="shared" si="37"/>
        <v>0</v>
      </c>
      <c r="Q1047" s="10">
        <f>IF(K1047=0,IF(A1044=A1047,AVERAGE(O1044:O1047),"x"),0)</f>
        <v>0</v>
      </c>
      <c r="R1047" s="9">
        <f>IF(L1047&gt;2005,AVERAGE(O1044:O1063),0)</f>
        <v>0</v>
      </c>
      <c r="S1047" s="10">
        <f>IF(A1047=A1048,(N1047-N1048)/N1048,0)</f>
        <v>0</v>
      </c>
      <c r="T1047" s="10">
        <f>IF(L1047&gt;2005,(((N1047-N1067)/N1067)+1)^(1/5)-1,0)</f>
        <v>0</v>
      </c>
      <c r="U1047" s="10">
        <f t="shared" si="38"/>
        <v>0</v>
      </c>
      <c r="V1047" s="26">
        <f t="shared" si="39"/>
        <v>0</v>
      </c>
      <c r="W1047" s="3">
        <f>IF(A1047=A1048,N1047-N1048,0)</f>
        <v>0</v>
      </c>
      <c r="X1047" s="10">
        <f>IF(A1047=A1048,(N1047-N1048)/N1048,0)</f>
        <v>0</v>
      </c>
    </row>
    <row r="1048" spans="1:24" ht="16.5" customHeight="1">
      <c r="A1048" s="3" t="s">
        <v>35</v>
      </c>
      <c r="B1048" s="3">
        <f t="shared" si="32"/>
        <v>2013</v>
      </c>
      <c r="C1048" s="3">
        <f t="shared" si="33"/>
        <v>5</v>
      </c>
      <c r="D1048" s="20" t="str">
        <f t="shared" si="34"/>
        <v>ATO20135</v>
      </c>
      <c r="E1048" s="2">
        <v>41410</v>
      </c>
      <c r="F1048" s="3">
        <v>0.35</v>
      </c>
      <c r="G1048" s="2">
        <v>41428</v>
      </c>
      <c r="H1048" s="3">
        <v>3.1300000000000001E-2</v>
      </c>
      <c r="I1048" s="3">
        <v>0</v>
      </c>
      <c r="J1048" s="3">
        <v>0</v>
      </c>
      <c r="K1048" s="3">
        <f t="shared" si="35"/>
        <v>2013</v>
      </c>
      <c r="L1048" s="3">
        <f t="shared" si="36"/>
        <v>0</v>
      </c>
      <c r="M1048" s="20" t="str">
        <f>A1048&amp;L1048</f>
        <v>ATO0</v>
      </c>
      <c r="N1048" s="3">
        <f>F1048</f>
        <v>0.35</v>
      </c>
      <c r="O1048" s="9">
        <f>H1048</f>
        <v>3.1300000000000001E-2</v>
      </c>
      <c r="P1048" s="10">
        <f t="shared" si="37"/>
        <v>0</v>
      </c>
      <c r="Q1048" s="10">
        <f>IF(K1048=0,IF(A1045=A1048,AVERAGE(O1045:O1048),"x"),0)</f>
        <v>0</v>
      </c>
      <c r="R1048" s="9">
        <f>IF(L1048&gt;2005,AVERAGE(O1045:O1064),0)</f>
        <v>0</v>
      </c>
      <c r="S1048" s="10">
        <f>IF(A1048=A1049,(N1048-N1049)/N1049,0)</f>
        <v>0</v>
      </c>
      <c r="T1048" s="10">
        <f>IF(L1048&gt;2005,(((N1048-N1068)/N1068)+1)^(1/5)-1,0)</f>
        <v>0</v>
      </c>
      <c r="U1048" s="10">
        <f t="shared" si="38"/>
        <v>0</v>
      </c>
      <c r="V1048" s="26">
        <f t="shared" si="39"/>
        <v>0</v>
      </c>
      <c r="W1048" s="3">
        <f>IF(A1048=A1049,N1048-N1049,0)</f>
        <v>0</v>
      </c>
      <c r="X1048" s="10">
        <f>IF(A1048=A1049,(N1048-N1049)/N1049,0)</f>
        <v>0</v>
      </c>
    </row>
    <row r="1049" spans="1:24" ht="16.5" customHeight="1">
      <c r="A1049" s="3" t="s">
        <v>35</v>
      </c>
      <c r="B1049" s="3">
        <f t="shared" si="32"/>
        <v>2013</v>
      </c>
      <c r="C1049" s="3">
        <f t="shared" si="33"/>
        <v>2</v>
      </c>
      <c r="D1049" s="20" t="str">
        <f t="shared" si="34"/>
        <v>ATO20132</v>
      </c>
      <c r="E1049" s="2">
        <v>41333</v>
      </c>
      <c r="F1049" s="3">
        <v>0.35</v>
      </c>
      <c r="G1049" s="2">
        <v>41351</v>
      </c>
      <c r="H1049" s="3">
        <v>3.6200000000000003E-2</v>
      </c>
      <c r="I1049" s="3">
        <v>0</v>
      </c>
      <c r="J1049" s="3">
        <v>0</v>
      </c>
      <c r="K1049" s="3">
        <f t="shared" si="35"/>
        <v>0</v>
      </c>
      <c r="L1049" s="3">
        <f t="shared" si="36"/>
        <v>2013</v>
      </c>
      <c r="M1049" s="20" t="str">
        <f>A1049&amp;L1049</f>
        <v>ATO2013</v>
      </c>
      <c r="N1049" s="3">
        <f>F1049</f>
        <v>0.35</v>
      </c>
      <c r="O1049" s="9">
        <f>H1049</f>
        <v>3.6200000000000003E-2</v>
      </c>
      <c r="P1049" s="10">
        <f t="shared" si="37"/>
        <v>0</v>
      </c>
      <c r="Q1049" s="10">
        <f>IF(K1049=0,IF(A1046=A1049,AVERAGE(O1046:O1049),"x"),0)</f>
        <v>3.3149999999999999E-2</v>
      </c>
      <c r="R1049" s="9">
        <f>IF(L1049&gt;2005,AVERAGE(O1046:O1065),0)</f>
        <v>4.2510000000000006E-2</v>
      </c>
      <c r="S1049" s="10">
        <f>IF(A1049=A1050,(N1049-N1050)/N1050,0)</f>
        <v>0</v>
      </c>
      <c r="T1049" s="10">
        <f>IF(L1049&gt;2005,(((N1049-N1069)/N1069)+1)^(1/5)-1,0)</f>
        <v>1.4931978945393665E-2</v>
      </c>
      <c r="U1049" s="10">
        <f t="shared" si="38"/>
        <v>5.7441978945393671E-2</v>
      </c>
      <c r="V1049" s="26">
        <f t="shared" si="39"/>
        <v>4.4283512938479896</v>
      </c>
      <c r="W1049" s="3">
        <f>IF(A1049=A1050,N1049-N1050,0)</f>
        <v>0</v>
      </c>
      <c r="X1049" s="10">
        <f>IF(A1049=A1050,(N1049-N1050)/N1050,0)</f>
        <v>0</v>
      </c>
    </row>
    <row r="1050" spans="1:24" ht="16.5" customHeight="1">
      <c r="A1050" s="3" t="s">
        <v>35</v>
      </c>
      <c r="B1050" s="3">
        <f t="shared" si="32"/>
        <v>2012</v>
      </c>
      <c r="C1050" s="3">
        <f t="shared" si="33"/>
        <v>11</v>
      </c>
      <c r="D1050" s="20" t="str">
        <f t="shared" si="34"/>
        <v>ATO201211</v>
      </c>
      <c r="E1050" s="2">
        <v>41234</v>
      </c>
      <c r="F1050" s="3">
        <v>0.35</v>
      </c>
      <c r="G1050" s="2">
        <v>41253</v>
      </c>
      <c r="H1050" s="3">
        <v>4.02E-2</v>
      </c>
      <c r="I1050" s="3">
        <v>1.4492754E-2</v>
      </c>
      <c r="J1050" s="3">
        <v>5.0000000000000001E-3</v>
      </c>
      <c r="K1050" s="3">
        <f t="shared" si="35"/>
        <v>2012</v>
      </c>
      <c r="L1050" s="3">
        <f t="shared" si="36"/>
        <v>0</v>
      </c>
      <c r="M1050" s="20" t="str">
        <f>A1050&amp;L1050</f>
        <v>ATO0</v>
      </c>
      <c r="N1050" s="3">
        <f>F1050</f>
        <v>0.35</v>
      </c>
      <c r="O1050" s="9">
        <f>H1050</f>
        <v>4.02E-2</v>
      </c>
      <c r="P1050" s="10">
        <f t="shared" si="37"/>
        <v>4.0825E-2</v>
      </c>
      <c r="Q1050" s="10">
        <f>IF(K1050=0,IF(A1047=A1050,AVERAGE(O1047:O1050),"x"),0)</f>
        <v>0</v>
      </c>
      <c r="R1050" s="9">
        <f>IF(L1050&gt;2005,AVERAGE(O1047:O1066),0)</f>
        <v>0</v>
      </c>
      <c r="S1050" s="10">
        <f>IF(A1050=A1051,(N1050-N1051)/N1051,0)</f>
        <v>1.449275362318842E-2</v>
      </c>
      <c r="T1050" s="10">
        <f>IF(L1050&gt;2005,(((N1050-N1070)/N1070)+1)^(1/5)-1,0)</f>
        <v>0</v>
      </c>
      <c r="U1050" s="10">
        <f t="shared" si="38"/>
        <v>0</v>
      </c>
      <c r="V1050" s="26">
        <f t="shared" si="39"/>
        <v>0</v>
      </c>
      <c r="W1050" s="3">
        <f>IF(A1050=A1051,N1050-N1051,0)</f>
        <v>5.0000000000000044E-3</v>
      </c>
      <c r="X1050" s="10">
        <f>IF(A1050=A1051,(N1050-N1051)/N1051,0)</f>
        <v>1.449275362318842E-2</v>
      </c>
    </row>
    <row r="1051" spans="1:24" ht="16.5" customHeight="1">
      <c r="A1051" s="3" t="s">
        <v>35</v>
      </c>
      <c r="B1051" s="3">
        <f t="shared" si="32"/>
        <v>2012</v>
      </c>
      <c r="C1051" s="3">
        <f t="shared" si="33"/>
        <v>8</v>
      </c>
      <c r="D1051" s="20" t="str">
        <f t="shared" si="34"/>
        <v>ATO20128</v>
      </c>
      <c r="E1051" s="2">
        <v>41144</v>
      </c>
      <c r="F1051" s="3">
        <v>0.34499999999999997</v>
      </c>
      <c r="G1051" s="2">
        <v>41162</v>
      </c>
      <c r="H1051" s="3">
        <v>3.8699999999999998E-2</v>
      </c>
      <c r="I1051" s="3">
        <v>0</v>
      </c>
      <c r="J1051" s="3">
        <v>0</v>
      </c>
      <c r="K1051" s="3">
        <f t="shared" si="35"/>
        <v>2012</v>
      </c>
      <c r="L1051" s="3">
        <f t="shared" si="36"/>
        <v>0</v>
      </c>
      <c r="M1051" s="20" t="str">
        <f>A1051&amp;L1051</f>
        <v>ATO0</v>
      </c>
      <c r="N1051" s="3">
        <f>F1051</f>
        <v>0.34499999999999997</v>
      </c>
      <c r="O1051" s="9">
        <f>H1051</f>
        <v>3.8699999999999998E-2</v>
      </c>
      <c r="P1051" s="10">
        <f t="shared" si="37"/>
        <v>0</v>
      </c>
      <c r="Q1051" s="10">
        <f>IF(K1051=0,IF(A1048=A1051,AVERAGE(O1048:O1051),"x"),0)</f>
        <v>0</v>
      </c>
      <c r="R1051" s="9">
        <f>IF(L1051&gt;2005,AVERAGE(O1048:O1067),0)</f>
        <v>0</v>
      </c>
      <c r="S1051" s="10">
        <f>IF(A1051=A1052,(N1051-N1052)/N1052,0)</f>
        <v>0</v>
      </c>
      <c r="T1051" s="10">
        <f>IF(L1051&gt;2005,(((N1051-N1071)/N1071)+1)^(1/5)-1,0)</f>
        <v>0</v>
      </c>
      <c r="U1051" s="10">
        <f t="shared" si="38"/>
        <v>0</v>
      </c>
      <c r="V1051" s="26">
        <f t="shared" si="39"/>
        <v>0</v>
      </c>
      <c r="W1051" s="3">
        <f>IF(A1051=A1052,N1051-N1052,0)</f>
        <v>0</v>
      </c>
      <c r="X1051" s="10">
        <f>IF(A1051=A1052,(N1051-N1052)/N1052,0)</f>
        <v>0</v>
      </c>
    </row>
    <row r="1052" spans="1:24" ht="16.5" customHeight="1">
      <c r="A1052" s="3" t="s">
        <v>35</v>
      </c>
      <c r="B1052" s="3">
        <f t="shared" si="32"/>
        <v>2012</v>
      </c>
      <c r="C1052" s="3">
        <f t="shared" si="33"/>
        <v>5</v>
      </c>
      <c r="D1052" s="20" t="str">
        <f t="shared" si="34"/>
        <v>ATO20125</v>
      </c>
      <c r="E1052" s="2">
        <v>41052</v>
      </c>
      <c r="F1052" s="3">
        <v>0.34499999999999997</v>
      </c>
      <c r="G1052" s="2">
        <v>41071</v>
      </c>
      <c r="H1052" s="3">
        <v>4.1599999999999998E-2</v>
      </c>
      <c r="I1052" s="3">
        <v>0</v>
      </c>
      <c r="J1052" s="3">
        <v>0</v>
      </c>
      <c r="K1052" s="3">
        <f t="shared" si="35"/>
        <v>2012</v>
      </c>
      <c r="L1052" s="3">
        <f t="shared" si="36"/>
        <v>0</v>
      </c>
      <c r="M1052" s="20" t="str">
        <f>A1052&amp;L1052</f>
        <v>ATO0</v>
      </c>
      <c r="N1052" s="3">
        <f>F1052</f>
        <v>0.34499999999999997</v>
      </c>
      <c r="O1052" s="9">
        <f>H1052</f>
        <v>4.1599999999999998E-2</v>
      </c>
      <c r="P1052" s="10">
        <f t="shared" si="37"/>
        <v>0</v>
      </c>
      <c r="Q1052" s="10">
        <f>IF(K1052=0,IF(A1049=A1052,AVERAGE(O1049:O1052),"x"),0)</f>
        <v>0</v>
      </c>
      <c r="R1052" s="9">
        <f>IF(L1052&gt;2005,AVERAGE(O1049:O1068),0)</f>
        <v>0</v>
      </c>
      <c r="S1052" s="10">
        <f>IF(A1052=A1053,(N1052-N1053)/N1053,0)</f>
        <v>0</v>
      </c>
      <c r="T1052" s="10">
        <f>IF(L1052&gt;2005,(((N1052-N1072)/N1072)+1)^(1/5)-1,0)</f>
        <v>0</v>
      </c>
      <c r="U1052" s="10">
        <f t="shared" si="38"/>
        <v>0</v>
      </c>
      <c r="V1052" s="26">
        <f t="shared" si="39"/>
        <v>0</v>
      </c>
      <c r="W1052" s="3">
        <f>IF(A1052=A1053,N1052-N1053,0)</f>
        <v>0</v>
      </c>
      <c r="X1052" s="10">
        <f>IF(A1052=A1053,(N1052-N1053)/N1053,0)</f>
        <v>0</v>
      </c>
    </row>
    <row r="1053" spans="1:24" ht="16.5" customHeight="1">
      <c r="A1053" s="3" t="s">
        <v>35</v>
      </c>
      <c r="B1053" s="3">
        <f t="shared" si="32"/>
        <v>2012</v>
      </c>
      <c r="C1053" s="3">
        <f t="shared" si="33"/>
        <v>2</v>
      </c>
      <c r="D1053" s="20" t="str">
        <f t="shared" si="34"/>
        <v>ATO20122</v>
      </c>
      <c r="E1053" s="2">
        <v>40962</v>
      </c>
      <c r="F1053" s="3">
        <v>0.34499999999999997</v>
      </c>
      <c r="G1053" s="2">
        <v>40980</v>
      </c>
      <c r="H1053" s="3">
        <v>4.2799999999999998E-2</v>
      </c>
      <c r="I1053" s="3">
        <v>0</v>
      </c>
      <c r="J1053" s="3">
        <v>0</v>
      </c>
      <c r="K1053" s="3">
        <f t="shared" si="35"/>
        <v>0</v>
      </c>
      <c r="L1053" s="3">
        <f t="shared" si="36"/>
        <v>2012</v>
      </c>
      <c r="M1053" s="20" t="str">
        <f>A1053&amp;L1053</f>
        <v>ATO2012</v>
      </c>
      <c r="N1053" s="3">
        <f>F1053</f>
        <v>0.34499999999999997</v>
      </c>
      <c r="O1053" s="9">
        <f>H1053</f>
        <v>4.2799999999999998E-2</v>
      </c>
      <c r="P1053" s="10">
        <f t="shared" si="37"/>
        <v>0</v>
      </c>
      <c r="Q1053" s="10">
        <f>IF(K1053=0,IF(A1050=A1053,AVERAGE(O1050:O1053),"x"),0)</f>
        <v>4.0825E-2</v>
      </c>
      <c r="R1053" s="9">
        <f>IF(L1053&gt;2005,AVERAGE(O1050:O1069),0)</f>
        <v>4.5664999999999997E-2</v>
      </c>
      <c r="S1053" s="10">
        <f>IF(A1053=A1054,(N1053-N1054)/N1054,0)</f>
        <v>0</v>
      </c>
      <c r="T1053" s="10">
        <f>IF(L1053&gt;2005,(((N1053-N1073)/N1073)+1)^(1/5)-1,0)</f>
        <v>1.5158425192600689E-2</v>
      </c>
      <c r="U1053" s="10">
        <f t="shared" si="38"/>
        <v>6.0823425192600686E-2</v>
      </c>
      <c r="V1053" s="26">
        <f t="shared" si="39"/>
        <v>4.3901831687990285</v>
      </c>
      <c r="W1053" s="3">
        <f>IF(A1053=A1054,N1053-N1054,0)</f>
        <v>0</v>
      </c>
      <c r="X1053" s="10">
        <f>IF(A1053=A1054,(N1053-N1054)/N1054,0)</f>
        <v>0</v>
      </c>
    </row>
    <row r="1054" spans="1:24" ht="16.5" customHeight="1">
      <c r="A1054" s="3" t="s">
        <v>35</v>
      </c>
      <c r="B1054" s="3">
        <f t="shared" si="32"/>
        <v>2011</v>
      </c>
      <c r="C1054" s="3">
        <f t="shared" si="33"/>
        <v>11</v>
      </c>
      <c r="D1054" s="20" t="str">
        <f t="shared" si="34"/>
        <v>ATO201111</v>
      </c>
      <c r="E1054" s="2">
        <v>40869</v>
      </c>
      <c r="F1054" s="3">
        <v>0.34499999999999997</v>
      </c>
      <c r="G1054" s="2">
        <v>40889</v>
      </c>
      <c r="H1054" s="3">
        <v>0.04</v>
      </c>
      <c r="I1054" s="3">
        <v>1.4705882E-2</v>
      </c>
      <c r="J1054" s="3">
        <v>5.0000000000000001E-3</v>
      </c>
      <c r="K1054" s="3">
        <f t="shared" si="35"/>
        <v>2011</v>
      </c>
      <c r="L1054" s="3">
        <f t="shared" si="36"/>
        <v>0</v>
      </c>
      <c r="M1054" s="20" t="str">
        <f>A1054&amp;L1054</f>
        <v>ATO0</v>
      </c>
      <c r="N1054" s="3">
        <f>F1054</f>
        <v>0.34499999999999997</v>
      </c>
      <c r="O1054" s="9">
        <f>H1054</f>
        <v>0.04</v>
      </c>
      <c r="P1054" s="10">
        <f t="shared" si="37"/>
        <v>4.0724999999999997E-2</v>
      </c>
      <c r="Q1054" s="10">
        <f>IF(K1054=0,IF(A1051=A1054,AVERAGE(O1051:O1054),"x"),0)</f>
        <v>0</v>
      </c>
      <c r="R1054" s="9">
        <f>IF(L1054&gt;2005,AVERAGE(O1051:O1070),0)</f>
        <v>0</v>
      </c>
      <c r="S1054" s="10">
        <f>IF(A1054=A1055,(N1054-N1055)/N1055,0)</f>
        <v>1.4705882352941025E-2</v>
      </c>
      <c r="T1054" s="10">
        <f>IF(L1054&gt;2005,(((N1054-N1074)/N1074)+1)^(1/5)-1,0)</f>
        <v>0</v>
      </c>
      <c r="U1054" s="10">
        <f t="shared" si="38"/>
        <v>0</v>
      </c>
      <c r="V1054" s="26">
        <f t="shared" si="39"/>
        <v>0</v>
      </c>
      <c r="W1054" s="3">
        <f>IF(A1054=A1055,N1054-N1055,0)</f>
        <v>4.9999999999999489E-3</v>
      </c>
      <c r="X1054" s="10">
        <f>IF(A1054=A1055,(N1054-N1055)/N1055,0)</f>
        <v>1.4705882352941025E-2</v>
      </c>
    </row>
    <row r="1055" spans="1:24" ht="16.5" customHeight="1">
      <c r="A1055" s="3" t="s">
        <v>35</v>
      </c>
      <c r="B1055" s="3">
        <f t="shared" si="32"/>
        <v>2011</v>
      </c>
      <c r="C1055" s="3">
        <f t="shared" si="33"/>
        <v>8</v>
      </c>
      <c r="D1055" s="20" t="str">
        <f t="shared" si="34"/>
        <v>ATO20118</v>
      </c>
      <c r="E1055" s="2">
        <v>40778</v>
      </c>
      <c r="F1055" s="3">
        <v>0.34</v>
      </c>
      <c r="G1055" s="2">
        <v>40798</v>
      </c>
      <c r="H1055" s="3">
        <v>4.3200000000000002E-2</v>
      </c>
      <c r="I1055" s="3">
        <v>0</v>
      </c>
      <c r="J1055" s="3">
        <v>0</v>
      </c>
      <c r="K1055" s="3">
        <f t="shared" si="35"/>
        <v>2011</v>
      </c>
      <c r="L1055" s="3">
        <f t="shared" si="36"/>
        <v>0</v>
      </c>
      <c r="M1055" s="20" t="str">
        <f>A1055&amp;L1055</f>
        <v>ATO0</v>
      </c>
      <c r="N1055" s="3">
        <f>F1055</f>
        <v>0.34</v>
      </c>
      <c r="O1055" s="9">
        <f>H1055</f>
        <v>4.3200000000000002E-2</v>
      </c>
      <c r="P1055" s="10">
        <f t="shared" si="37"/>
        <v>0</v>
      </c>
      <c r="Q1055" s="10">
        <f>IF(K1055=0,IF(A1052=A1055,AVERAGE(O1052:O1055),"x"),0)</f>
        <v>0</v>
      </c>
      <c r="R1055" s="9">
        <f>IF(L1055&gt;2005,AVERAGE(O1052:O1071),0)</f>
        <v>0</v>
      </c>
      <c r="S1055" s="10">
        <f>IF(A1055=A1056,(N1055-N1056)/N1056,0)</f>
        <v>0</v>
      </c>
      <c r="T1055" s="10">
        <f>IF(L1055&gt;2005,(((N1055-N1075)/N1075)+1)^(1/5)-1,0)</f>
        <v>0</v>
      </c>
      <c r="U1055" s="10">
        <f t="shared" si="38"/>
        <v>0</v>
      </c>
      <c r="V1055" s="26">
        <f t="shared" si="39"/>
        <v>0</v>
      </c>
      <c r="W1055" s="3">
        <f>IF(A1055=A1056,N1055-N1056,0)</f>
        <v>0</v>
      </c>
      <c r="X1055" s="10">
        <f>IF(A1055=A1056,(N1055-N1056)/N1056,0)</f>
        <v>0</v>
      </c>
    </row>
    <row r="1056" spans="1:24" ht="16.5" customHeight="1">
      <c r="A1056" s="3" t="s">
        <v>35</v>
      </c>
      <c r="B1056" s="3">
        <f t="shared" si="32"/>
        <v>2011</v>
      </c>
      <c r="C1056" s="3">
        <f t="shared" si="33"/>
        <v>5</v>
      </c>
      <c r="D1056" s="20" t="str">
        <f t="shared" si="34"/>
        <v>ATO20115</v>
      </c>
      <c r="E1056" s="2">
        <v>40686</v>
      </c>
      <c r="F1056" s="3">
        <v>0.34</v>
      </c>
      <c r="G1056" s="2">
        <v>40704</v>
      </c>
      <c r="H1056" s="3">
        <v>4.0099999999999997E-2</v>
      </c>
      <c r="I1056" s="3">
        <v>0</v>
      </c>
      <c r="J1056" s="3">
        <v>0</v>
      </c>
      <c r="K1056" s="3">
        <f t="shared" si="35"/>
        <v>2011</v>
      </c>
      <c r="L1056" s="3">
        <f t="shared" si="36"/>
        <v>0</v>
      </c>
      <c r="M1056" s="20" t="str">
        <f>A1056&amp;L1056</f>
        <v>ATO0</v>
      </c>
      <c r="N1056" s="3">
        <f>F1056</f>
        <v>0.34</v>
      </c>
      <c r="O1056" s="9">
        <f>H1056</f>
        <v>4.0099999999999997E-2</v>
      </c>
      <c r="P1056" s="10">
        <f t="shared" si="37"/>
        <v>0</v>
      </c>
      <c r="Q1056" s="10">
        <f>IF(K1056=0,IF(A1053=A1056,AVERAGE(O1053:O1056),"x"),0)</f>
        <v>0</v>
      </c>
      <c r="R1056" s="9">
        <f>IF(L1056&gt;2005,AVERAGE(O1053:O1072),0)</f>
        <v>0</v>
      </c>
      <c r="S1056" s="10">
        <f>IF(A1056=A1057,(N1056-N1057)/N1057,0)</f>
        <v>0</v>
      </c>
      <c r="T1056" s="10">
        <f>IF(L1056&gt;2005,(((N1056-N1076)/N1076)+1)^(1/5)-1,0)</f>
        <v>0</v>
      </c>
      <c r="U1056" s="10">
        <f t="shared" si="38"/>
        <v>0</v>
      </c>
      <c r="V1056" s="26">
        <f t="shared" si="39"/>
        <v>0</v>
      </c>
      <c r="W1056" s="3">
        <f>IF(A1056=A1057,N1056-N1057,0)</f>
        <v>0</v>
      </c>
      <c r="X1056" s="10">
        <f>IF(A1056=A1057,(N1056-N1057)/N1057,0)</f>
        <v>0</v>
      </c>
    </row>
    <row r="1057" spans="1:24" ht="16.5" customHeight="1">
      <c r="A1057" s="3" t="s">
        <v>35</v>
      </c>
      <c r="B1057" s="3">
        <f t="shared" si="32"/>
        <v>2011</v>
      </c>
      <c r="C1057" s="3">
        <f t="shared" si="33"/>
        <v>2</v>
      </c>
      <c r="D1057" s="20" t="str">
        <f t="shared" si="34"/>
        <v>ATO20112</v>
      </c>
      <c r="E1057" s="2">
        <v>40597</v>
      </c>
      <c r="F1057" s="3">
        <v>0.34</v>
      </c>
      <c r="G1057" s="2">
        <v>40612</v>
      </c>
      <c r="H1057" s="3">
        <v>3.9600000000000003E-2</v>
      </c>
      <c r="I1057" s="3">
        <v>0</v>
      </c>
      <c r="J1057" s="3">
        <v>0</v>
      </c>
      <c r="K1057" s="3">
        <f t="shared" si="35"/>
        <v>0</v>
      </c>
      <c r="L1057" s="3">
        <f t="shared" si="36"/>
        <v>2011</v>
      </c>
      <c r="M1057" s="20" t="str">
        <f>A1057&amp;L1057</f>
        <v>ATO2011</v>
      </c>
      <c r="N1057" s="3">
        <f>F1057</f>
        <v>0.34</v>
      </c>
      <c r="O1057" s="9">
        <f>H1057</f>
        <v>3.9600000000000003E-2</v>
      </c>
      <c r="P1057" s="10">
        <f t="shared" si="37"/>
        <v>0</v>
      </c>
      <c r="Q1057" s="10">
        <f>IF(K1057=0,IF(A1054=A1057,AVERAGE(O1054:O1057),"x"),0)</f>
        <v>4.0724999999999997E-2</v>
      </c>
      <c r="R1057" s="9">
        <f>IF(L1057&gt;2005,AVERAGE(O1054:O1073),0)</f>
        <v>4.6064999999999995E-2</v>
      </c>
      <c r="S1057" s="10">
        <f>IF(A1057=A1058,(N1057-N1058)/N1058,0)</f>
        <v>0</v>
      </c>
      <c r="T1057" s="10">
        <f>IF(L1057&gt;2005,(((N1057-N1077)/N1077)+1)^(1/5)-1,0)</f>
        <v>1.539184863075338E-2</v>
      </c>
      <c r="U1057" s="10">
        <f t="shared" si="38"/>
        <v>6.1456848630753375E-2</v>
      </c>
      <c r="V1057" s="26">
        <f t="shared" si="39"/>
        <v>4.3854941406530763</v>
      </c>
      <c r="W1057" s="3">
        <f>IF(A1057=A1058,N1057-N1058,0)</f>
        <v>0</v>
      </c>
      <c r="X1057" s="10">
        <f>IF(A1057=A1058,(N1057-N1058)/N1058,0)</f>
        <v>0</v>
      </c>
    </row>
    <row r="1058" spans="1:24" ht="16.5" customHeight="1">
      <c r="A1058" s="3" t="s">
        <v>35</v>
      </c>
      <c r="B1058" s="3">
        <f t="shared" si="32"/>
        <v>2010</v>
      </c>
      <c r="C1058" s="3">
        <f t="shared" si="33"/>
        <v>11</v>
      </c>
      <c r="D1058" s="20" t="str">
        <f t="shared" si="34"/>
        <v>ATO201011</v>
      </c>
      <c r="E1058" s="2">
        <v>40505</v>
      </c>
      <c r="F1058" s="3">
        <v>0.34</v>
      </c>
      <c r="G1058" s="2">
        <v>40522</v>
      </c>
      <c r="H1058" s="3">
        <v>4.3900000000000002E-2</v>
      </c>
      <c r="I1058" s="3">
        <v>1.4925373E-2</v>
      </c>
      <c r="J1058" s="3">
        <v>5.0000000000000001E-3</v>
      </c>
      <c r="K1058" s="3">
        <f t="shared" si="35"/>
        <v>2010</v>
      </c>
      <c r="L1058" s="3">
        <f t="shared" si="36"/>
        <v>0</v>
      </c>
      <c r="M1058" s="20" t="str">
        <f>A1058&amp;L1058</f>
        <v>ATO0</v>
      </c>
      <c r="N1058" s="3">
        <f>F1058</f>
        <v>0.34</v>
      </c>
      <c r="O1058" s="9">
        <f>H1058</f>
        <v>4.3900000000000002E-2</v>
      </c>
      <c r="P1058" s="10">
        <f t="shared" si="37"/>
        <v>4.6799999999999994E-2</v>
      </c>
      <c r="Q1058" s="10">
        <f>IF(K1058=0,IF(A1055=A1058,AVERAGE(O1055:O1058),"x"),0)</f>
        <v>0</v>
      </c>
      <c r="R1058" s="9">
        <f>IF(L1058&gt;2005,AVERAGE(O1055:O1074),0)</f>
        <v>0</v>
      </c>
      <c r="S1058" s="10">
        <f>IF(A1058=A1059,(N1058-N1059)/N1059,0)</f>
        <v>1.492537313432837E-2</v>
      </c>
      <c r="T1058" s="10">
        <f>IF(L1058&gt;2005,(((N1058-N1078)/N1078)+1)^(1/5)-1,0)</f>
        <v>0</v>
      </c>
      <c r="U1058" s="10">
        <f t="shared" si="38"/>
        <v>0</v>
      </c>
      <c r="V1058" s="26">
        <f t="shared" si="39"/>
        <v>0</v>
      </c>
      <c r="W1058" s="3">
        <f>IF(A1058=A1059,N1058-N1059,0)</f>
        <v>5.0000000000000044E-3</v>
      </c>
      <c r="X1058" s="10">
        <f>IF(A1058=A1059,(N1058-N1059)/N1059,0)</f>
        <v>1.492537313432837E-2</v>
      </c>
    </row>
    <row r="1059" spans="1:24" ht="16.5" customHeight="1">
      <c r="A1059" s="3" t="s">
        <v>35</v>
      </c>
      <c r="B1059" s="3">
        <f t="shared" si="32"/>
        <v>2010</v>
      </c>
      <c r="C1059" s="3">
        <f t="shared" si="33"/>
        <v>8</v>
      </c>
      <c r="D1059" s="20" t="str">
        <f t="shared" si="34"/>
        <v>ATO20108</v>
      </c>
      <c r="E1059" s="2">
        <v>40413</v>
      </c>
      <c r="F1059" s="3">
        <v>0.33500000000000002</v>
      </c>
      <c r="G1059" s="2">
        <v>40431</v>
      </c>
      <c r="H1059" s="3">
        <v>4.6699999999999998E-2</v>
      </c>
      <c r="I1059" s="3">
        <v>0</v>
      </c>
      <c r="J1059" s="3">
        <v>0</v>
      </c>
      <c r="K1059" s="3">
        <f t="shared" si="35"/>
        <v>2010</v>
      </c>
      <c r="L1059" s="3">
        <f t="shared" si="36"/>
        <v>0</v>
      </c>
      <c r="M1059" s="20" t="str">
        <f>A1059&amp;L1059</f>
        <v>ATO0</v>
      </c>
      <c r="N1059" s="3">
        <f>F1059</f>
        <v>0.33500000000000002</v>
      </c>
      <c r="O1059" s="9">
        <f>H1059</f>
        <v>4.6699999999999998E-2</v>
      </c>
      <c r="P1059" s="10">
        <f t="shared" si="37"/>
        <v>0</v>
      </c>
      <c r="Q1059" s="10">
        <f>IF(K1059=0,IF(A1056=A1059,AVERAGE(O1056:O1059),"x"),0)</f>
        <v>0</v>
      </c>
      <c r="R1059" s="9">
        <f>IF(L1059&gt;2005,AVERAGE(O1056:O1075),0)</f>
        <v>0</v>
      </c>
      <c r="S1059" s="10">
        <f>IF(A1059=A1060,(N1059-N1060)/N1060,0)</f>
        <v>0</v>
      </c>
      <c r="T1059" s="10">
        <f>IF(L1059&gt;2005,(((N1059-N1079)/N1079)+1)^(1/5)-1,0)</f>
        <v>0</v>
      </c>
      <c r="U1059" s="10">
        <f t="shared" si="38"/>
        <v>0</v>
      </c>
      <c r="V1059" s="26">
        <f t="shared" si="39"/>
        <v>0</v>
      </c>
      <c r="W1059" s="3">
        <f>IF(A1059=A1060,N1059-N1060,0)</f>
        <v>0</v>
      </c>
      <c r="X1059" s="10">
        <f>IF(A1059=A1060,(N1059-N1060)/N1060,0)</f>
        <v>0</v>
      </c>
    </row>
    <row r="1060" spans="1:24" ht="16.5" customHeight="1">
      <c r="A1060" s="3" t="s">
        <v>35</v>
      </c>
      <c r="B1060" s="3">
        <f t="shared" si="32"/>
        <v>2010</v>
      </c>
      <c r="C1060" s="3">
        <f t="shared" si="33"/>
        <v>5</v>
      </c>
      <c r="D1060" s="20" t="str">
        <f t="shared" si="34"/>
        <v>ATO20105</v>
      </c>
      <c r="E1060" s="2">
        <v>40319</v>
      </c>
      <c r="F1060" s="3">
        <v>0.33500000000000002</v>
      </c>
      <c r="G1060" s="2">
        <v>40339</v>
      </c>
      <c r="H1060" s="3">
        <v>4.9099999999999998E-2</v>
      </c>
      <c r="I1060" s="3">
        <v>0</v>
      </c>
      <c r="J1060" s="3">
        <v>0</v>
      </c>
      <c r="K1060" s="3">
        <f t="shared" si="35"/>
        <v>2010</v>
      </c>
      <c r="L1060" s="3">
        <f t="shared" si="36"/>
        <v>0</v>
      </c>
      <c r="M1060" s="20" t="str">
        <f>A1060&amp;L1060</f>
        <v>ATO0</v>
      </c>
      <c r="N1060" s="3">
        <f>F1060</f>
        <v>0.33500000000000002</v>
      </c>
      <c r="O1060" s="9">
        <f>H1060</f>
        <v>4.9099999999999998E-2</v>
      </c>
      <c r="P1060" s="10">
        <f t="shared" si="37"/>
        <v>0</v>
      </c>
      <c r="Q1060" s="10">
        <f>IF(K1060=0,IF(A1057=A1060,AVERAGE(O1057:O1060),"x"),0)</f>
        <v>0</v>
      </c>
      <c r="R1060" s="9">
        <f>IF(L1060&gt;2005,AVERAGE(O1057:O1076),0)</f>
        <v>0</v>
      </c>
      <c r="S1060" s="10">
        <f>IF(A1060=A1061,(N1060-N1061)/N1061,0)</f>
        <v>0</v>
      </c>
      <c r="T1060" s="10">
        <f>IF(L1060&gt;2005,(((N1060-N1080)/N1080)+1)^(1/5)-1,0)</f>
        <v>0</v>
      </c>
      <c r="U1060" s="10">
        <f t="shared" si="38"/>
        <v>0</v>
      </c>
      <c r="V1060" s="26">
        <f t="shared" si="39"/>
        <v>0</v>
      </c>
      <c r="W1060" s="3">
        <f>IF(A1060=A1061,N1060-N1061,0)</f>
        <v>0</v>
      </c>
      <c r="X1060" s="10">
        <f>IF(A1060=A1061,(N1060-N1061)/N1061,0)</f>
        <v>0</v>
      </c>
    </row>
    <row r="1061" spans="1:24" ht="16.5" customHeight="1">
      <c r="A1061" s="3" t="s">
        <v>35</v>
      </c>
      <c r="B1061" s="3">
        <f t="shared" si="32"/>
        <v>2010</v>
      </c>
      <c r="C1061" s="3">
        <f t="shared" si="33"/>
        <v>2</v>
      </c>
      <c r="D1061" s="20" t="str">
        <f t="shared" si="34"/>
        <v>ATO20102</v>
      </c>
      <c r="E1061" s="2">
        <v>40232</v>
      </c>
      <c r="F1061" s="3">
        <v>0.33500000000000002</v>
      </c>
      <c r="G1061" s="2">
        <v>40247</v>
      </c>
      <c r="H1061" s="3">
        <v>4.7500000000000001E-2</v>
      </c>
      <c r="I1061" s="3">
        <v>0</v>
      </c>
      <c r="J1061" s="3">
        <v>0</v>
      </c>
      <c r="K1061" s="3">
        <f t="shared" si="35"/>
        <v>0</v>
      </c>
      <c r="L1061" s="3">
        <f t="shared" si="36"/>
        <v>2010</v>
      </c>
      <c r="M1061" s="20" t="str">
        <f>A1061&amp;L1061</f>
        <v>ATO2010</v>
      </c>
      <c r="N1061" s="3">
        <f>F1061</f>
        <v>0.33500000000000002</v>
      </c>
      <c r="O1061" s="9">
        <f>H1061</f>
        <v>4.7500000000000001E-2</v>
      </c>
      <c r="P1061" s="10">
        <f t="shared" si="37"/>
        <v>0</v>
      </c>
      <c r="Q1061" s="10">
        <f>IF(K1061=0,IF(A1058=A1061,AVERAGE(O1058:O1061),"x"),0)</f>
        <v>4.6799999999999994E-2</v>
      </c>
      <c r="R1061" s="9">
        <f>IF(L1061&gt;2005,AVERAGE(O1058:O1077),0)</f>
        <v>4.6689999999999995E-2</v>
      </c>
      <c r="S1061" s="10">
        <f>IF(A1061=A1062,(N1061-N1062)/N1062,0)</f>
        <v>0</v>
      </c>
      <c r="T1061" s="10">
        <f>IF(L1061&gt;2005,(((N1061-N1081)/N1081)+1)^(1/5)-1,0)</f>
        <v>1.5632576929179187E-2</v>
      </c>
      <c r="U1061" s="10">
        <f t="shared" si="38"/>
        <v>6.2322576929179183E-2</v>
      </c>
      <c r="V1061" s="26">
        <f t="shared" si="39"/>
        <v>4.3781192877326474</v>
      </c>
      <c r="W1061" s="3">
        <f>IF(A1061=A1062,N1061-N1062,0)</f>
        <v>0</v>
      </c>
      <c r="X1061" s="10">
        <f>IF(A1061=A1062,(N1061-N1062)/N1062,0)</f>
        <v>0</v>
      </c>
    </row>
    <row r="1062" spans="1:24" ht="16.5" customHeight="1">
      <c r="A1062" s="3" t="s">
        <v>35</v>
      </c>
      <c r="B1062" s="3">
        <f t="shared" si="32"/>
        <v>2009</v>
      </c>
      <c r="C1062" s="3">
        <f t="shared" si="33"/>
        <v>11</v>
      </c>
      <c r="D1062" s="20" t="str">
        <f t="shared" si="34"/>
        <v>ATO200911</v>
      </c>
      <c r="E1062" s="2">
        <v>40140</v>
      </c>
      <c r="F1062" s="3">
        <v>0.33500000000000002</v>
      </c>
      <c r="G1062" s="2">
        <v>40157</v>
      </c>
      <c r="H1062" s="3">
        <v>4.7199999999999999E-2</v>
      </c>
      <c r="I1062" s="3">
        <v>1.5151515000000001E-2</v>
      </c>
      <c r="J1062" s="3">
        <v>5.0000000000000001E-3</v>
      </c>
      <c r="K1062" s="3">
        <f t="shared" si="35"/>
        <v>2009</v>
      </c>
      <c r="L1062" s="3">
        <f t="shared" si="36"/>
        <v>0</v>
      </c>
      <c r="M1062" s="20" t="str">
        <f>A1062&amp;L1062</f>
        <v>ATO0</v>
      </c>
      <c r="N1062" s="3">
        <f>F1062</f>
        <v>0.33500000000000002</v>
      </c>
      <c r="O1062" s="9">
        <f>H1062</f>
        <v>4.7199999999999999E-2</v>
      </c>
      <c r="P1062" s="10">
        <f t="shared" si="37"/>
        <v>5.1049999999999998E-2</v>
      </c>
      <c r="Q1062" s="10">
        <f>IF(K1062=0,IF(A1059=A1062,AVERAGE(O1059:O1062),"x"),0)</f>
        <v>0</v>
      </c>
      <c r="R1062" s="9">
        <f>IF(L1062&gt;2005,AVERAGE(O1059:O1078),0)</f>
        <v>0</v>
      </c>
      <c r="S1062" s="10">
        <f>IF(A1062=A1063,(N1062-N1063)/N1063,0)</f>
        <v>1.5151515151515164E-2</v>
      </c>
      <c r="T1062" s="10">
        <f>IF(L1062&gt;2005,(((N1062-N1082)/N1082)+1)^(1/5)-1,0)</f>
        <v>0</v>
      </c>
      <c r="U1062" s="10">
        <f t="shared" si="38"/>
        <v>0</v>
      </c>
      <c r="V1062" s="26">
        <f t="shared" si="39"/>
        <v>0</v>
      </c>
      <c r="W1062" s="3">
        <f>IF(A1062=A1063,N1062-N1063,0)</f>
        <v>5.0000000000000044E-3</v>
      </c>
      <c r="X1062" s="10">
        <f>IF(A1062=A1063,(N1062-N1063)/N1063,0)</f>
        <v>1.5151515151515164E-2</v>
      </c>
    </row>
    <row r="1063" spans="1:24" ht="16.5" customHeight="1">
      <c r="A1063" s="3" t="s">
        <v>35</v>
      </c>
      <c r="B1063" s="3">
        <f t="shared" si="32"/>
        <v>2009</v>
      </c>
      <c r="C1063" s="3">
        <f t="shared" si="33"/>
        <v>8</v>
      </c>
      <c r="D1063" s="20" t="str">
        <f t="shared" si="34"/>
        <v>ATO20098</v>
      </c>
      <c r="E1063" s="2">
        <v>40046</v>
      </c>
      <c r="F1063" s="3">
        <v>0.33</v>
      </c>
      <c r="G1063" s="2">
        <v>40066</v>
      </c>
      <c r="H1063" s="3">
        <v>4.7399999999999998E-2</v>
      </c>
      <c r="I1063" s="3">
        <v>0</v>
      </c>
      <c r="J1063" s="3">
        <v>0</v>
      </c>
      <c r="K1063" s="3">
        <f t="shared" si="35"/>
        <v>2009</v>
      </c>
      <c r="L1063" s="3">
        <f t="shared" si="36"/>
        <v>0</v>
      </c>
      <c r="M1063" s="20" t="str">
        <f>A1063&amp;L1063</f>
        <v>ATO0</v>
      </c>
      <c r="N1063" s="3">
        <f>F1063</f>
        <v>0.33</v>
      </c>
      <c r="O1063" s="9">
        <f>H1063</f>
        <v>4.7399999999999998E-2</v>
      </c>
      <c r="P1063" s="10">
        <f t="shared" si="37"/>
        <v>0</v>
      </c>
      <c r="Q1063" s="10">
        <f>IF(K1063=0,IF(A1060=A1063,AVERAGE(O1060:O1063),"x"),0)</f>
        <v>0</v>
      </c>
      <c r="R1063" s="9">
        <f>IF(L1063&gt;2005,AVERAGE(O1060:O1079),0)</f>
        <v>0</v>
      </c>
      <c r="S1063" s="10">
        <f>IF(A1063=A1064,(N1063-N1064)/N1064,0)</f>
        <v>0</v>
      </c>
      <c r="T1063" s="10">
        <f>IF(L1063&gt;2005,(((N1063-N1083)/N1083)+1)^(1/5)-1,0)</f>
        <v>0</v>
      </c>
      <c r="U1063" s="10">
        <f t="shared" si="38"/>
        <v>0</v>
      </c>
      <c r="V1063" s="26">
        <f t="shared" si="39"/>
        <v>0</v>
      </c>
      <c r="W1063" s="3">
        <f>IF(A1063=A1064,N1063-N1064,0)</f>
        <v>0</v>
      </c>
      <c r="X1063" s="10">
        <f>IF(A1063=A1064,(N1063-N1064)/N1064,0)</f>
        <v>0</v>
      </c>
    </row>
    <row r="1064" spans="1:24" ht="16.5" customHeight="1">
      <c r="A1064" s="3" t="s">
        <v>35</v>
      </c>
      <c r="B1064" s="3">
        <f t="shared" si="32"/>
        <v>2009</v>
      </c>
      <c r="C1064" s="3">
        <f t="shared" si="33"/>
        <v>5</v>
      </c>
      <c r="D1064" s="20" t="str">
        <f t="shared" si="34"/>
        <v>ATO20095</v>
      </c>
      <c r="E1064" s="2">
        <v>39954</v>
      </c>
      <c r="F1064" s="3">
        <v>0.33</v>
      </c>
      <c r="G1064" s="2">
        <v>39974</v>
      </c>
      <c r="H1064" s="3">
        <v>5.3400000000000003E-2</v>
      </c>
      <c r="I1064" s="3">
        <v>0</v>
      </c>
      <c r="J1064" s="3">
        <v>0</v>
      </c>
      <c r="K1064" s="3">
        <f t="shared" si="35"/>
        <v>2009</v>
      </c>
      <c r="L1064" s="3">
        <f t="shared" si="36"/>
        <v>0</v>
      </c>
      <c r="M1064" s="20" t="str">
        <f>A1064&amp;L1064</f>
        <v>ATO0</v>
      </c>
      <c r="N1064" s="3">
        <f>F1064</f>
        <v>0.33</v>
      </c>
      <c r="O1064" s="9">
        <f>H1064</f>
        <v>5.3400000000000003E-2</v>
      </c>
      <c r="P1064" s="10">
        <f t="shared" si="37"/>
        <v>0</v>
      </c>
      <c r="Q1064" s="10">
        <f>IF(K1064=0,IF(A1061=A1064,AVERAGE(O1061:O1064),"x"),0)</f>
        <v>0</v>
      </c>
      <c r="R1064" s="9">
        <f>IF(L1064&gt;2005,AVERAGE(O1061:O1080),0)</f>
        <v>0</v>
      </c>
      <c r="S1064" s="10">
        <f>IF(A1064=A1065,(N1064-N1065)/N1065,0)</f>
        <v>0</v>
      </c>
      <c r="T1064" s="10">
        <f>IF(L1064&gt;2005,(((N1064-N1084)/N1084)+1)^(1/5)-1,0)</f>
        <v>0</v>
      </c>
      <c r="U1064" s="10">
        <f t="shared" si="38"/>
        <v>0</v>
      </c>
      <c r="V1064" s="26">
        <f t="shared" si="39"/>
        <v>0</v>
      </c>
      <c r="W1064" s="3">
        <f>IF(A1064=A1065,N1064-N1065,0)</f>
        <v>0</v>
      </c>
      <c r="X1064" s="10">
        <f>IF(A1064=A1065,(N1064-N1065)/N1065,0)</f>
        <v>0</v>
      </c>
    </row>
    <row r="1065" spans="1:24" ht="16.5" customHeight="1">
      <c r="A1065" s="3" t="s">
        <v>35</v>
      </c>
      <c r="B1065" s="3">
        <f t="shared" si="32"/>
        <v>2009</v>
      </c>
      <c r="C1065" s="3">
        <f t="shared" si="33"/>
        <v>2</v>
      </c>
      <c r="D1065" s="20" t="str">
        <f t="shared" si="34"/>
        <v>ATO20092</v>
      </c>
      <c r="E1065" s="2">
        <v>39867</v>
      </c>
      <c r="F1065" s="3">
        <v>0.33</v>
      </c>
      <c r="G1065" s="2">
        <v>39882</v>
      </c>
      <c r="H1065" s="3">
        <v>5.62E-2</v>
      </c>
      <c r="I1065" s="3">
        <v>0</v>
      </c>
      <c r="J1065" s="3">
        <v>0</v>
      </c>
      <c r="K1065" s="3">
        <f t="shared" si="35"/>
        <v>0</v>
      </c>
      <c r="L1065" s="3">
        <f t="shared" si="36"/>
        <v>2009</v>
      </c>
      <c r="M1065" s="20" t="str">
        <f>A1065&amp;L1065</f>
        <v>ATO2009</v>
      </c>
      <c r="N1065" s="3">
        <f>F1065</f>
        <v>0.33</v>
      </c>
      <c r="O1065" s="9">
        <f>H1065</f>
        <v>5.62E-2</v>
      </c>
      <c r="P1065" s="10">
        <f t="shared" si="37"/>
        <v>0</v>
      </c>
      <c r="Q1065" s="10">
        <f>IF(K1065=0,IF(A1062=A1065,AVERAGE(O1062:O1065),"x"),0)</f>
        <v>5.1049999999999998E-2</v>
      </c>
      <c r="R1065" s="9">
        <f>IF(L1065&gt;2005,AVERAGE(O1062:O1081),0)</f>
        <v>4.6234999999999998E-2</v>
      </c>
      <c r="S1065" s="10">
        <f>IF(A1065=A1066,(N1065-N1066)/N1066,0)</f>
        <v>0</v>
      </c>
      <c r="T1065" s="10">
        <f>IF(L1065&gt;2005,(((N1065-N1085)/N1085)+1)^(1/5)-1,0)</f>
        <v>1.5880958611351526E-2</v>
      </c>
      <c r="U1065" s="10">
        <f t="shared" si="38"/>
        <v>6.2115958611351524E-2</v>
      </c>
      <c r="V1065" s="26">
        <f t="shared" si="39"/>
        <v>4.3837176337416492</v>
      </c>
      <c r="W1065" s="3">
        <f>IF(A1065=A1066,N1065-N1066,0)</f>
        <v>0</v>
      </c>
      <c r="X1065" s="10">
        <f>IF(A1065=A1066,(N1065-N1066)/N1066,0)</f>
        <v>0</v>
      </c>
    </row>
    <row r="1066" spans="1:24" ht="16.5" customHeight="1">
      <c r="A1066" s="3" t="s">
        <v>35</v>
      </c>
      <c r="B1066" s="3">
        <f t="shared" si="32"/>
        <v>2008</v>
      </c>
      <c r="C1066" s="3">
        <f t="shared" si="33"/>
        <v>11</v>
      </c>
      <c r="D1066" s="20" t="str">
        <f t="shared" si="34"/>
        <v>ATO200811</v>
      </c>
      <c r="E1066" s="2">
        <v>39773</v>
      </c>
      <c r="F1066" s="3">
        <v>0.33</v>
      </c>
      <c r="G1066" s="2">
        <v>39792</v>
      </c>
      <c r="H1066" s="3">
        <v>5.5599999999999997E-2</v>
      </c>
      <c r="I1066" s="3">
        <v>1.5384615000000001E-2</v>
      </c>
      <c r="J1066" s="3">
        <v>5.0000000000000001E-3</v>
      </c>
      <c r="K1066" s="3">
        <f t="shared" si="35"/>
        <v>2008</v>
      </c>
      <c r="L1066" s="3">
        <f t="shared" si="36"/>
        <v>0</v>
      </c>
      <c r="M1066" s="20" t="str">
        <f>A1066&amp;L1066</f>
        <v>ATO0</v>
      </c>
      <c r="N1066" s="3">
        <f>F1066</f>
        <v>0.33</v>
      </c>
      <c r="O1066" s="9">
        <f>H1066</f>
        <v>5.5599999999999997E-2</v>
      </c>
      <c r="P1066" s="10">
        <f t="shared" si="37"/>
        <v>4.8924999999999996E-2</v>
      </c>
      <c r="Q1066" s="10">
        <f>IF(K1066=0,IF(A1063=A1066,AVERAGE(O1063:O1066),"x"),0)</f>
        <v>0</v>
      </c>
      <c r="R1066" s="9">
        <f>IF(L1066&gt;2005,AVERAGE(O1063:O1082),0)</f>
        <v>0</v>
      </c>
      <c r="S1066" s="10">
        <f>IF(A1066=A1067,(N1066-N1067)/N1067,0)</f>
        <v>1.5384615384615398E-2</v>
      </c>
      <c r="T1066" s="10">
        <f>IF(L1066&gt;2005,(((N1066-N1086)/N1086)+1)^(1/5)-1,0)</f>
        <v>0</v>
      </c>
      <c r="U1066" s="10">
        <f t="shared" si="38"/>
        <v>0</v>
      </c>
      <c r="V1066" s="26">
        <f t="shared" si="39"/>
        <v>0</v>
      </c>
      <c r="W1066" s="3">
        <f>IF(A1066=A1067,N1066-N1067,0)</f>
        <v>5.0000000000000044E-3</v>
      </c>
      <c r="X1066" s="10">
        <f>IF(A1066=A1067,(N1066-N1067)/N1067,0)</f>
        <v>1.5384615384615398E-2</v>
      </c>
    </row>
    <row r="1067" spans="1:24" ht="16.5" customHeight="1">
      <c r="A1067" s="3" t="s">
        <v>35</v>
      </c>
      <c r="B1067" s="3">
        <f t="shared" si="32"/>
        <v>2008</v>
      </c>
      <c r="C1067" s="3">
        <f t="shared" si="33"/>
        <v>8</v>
      </c>
      <c r="D1067" s="20" t="str">
        <f t="shared" si="34"/>
        <v>ATO20088</v>
      </c>
      <c r="E1067" s="2">
        <v>39681</v>
      </c>
      <c r="F1067" s="3">
        <v>0.32500000000000001</v>
      </c>
      <c r="G1067" s="2">
        <v>39701</v>
      </c>
      <c r="H1067" s="3">
        <v>4.7199999999999999E-2</v>
      </c>
      <c r="I1067" s="3">
        <v>0</v>
      </c>
      <c r="J1067" s="3">
        <v>0</v>
      </c>
      <c r="K1067" s="3">
        <f t="shared" si="35"/>
        <v>2008</v>
      </c>
      <c r="L1067" s="3">
        <f t="shared" si="36"/>
        <v>0</v>
      </c>
      <c r="M1067" s="20" t="str">
        <f>A1067&amp;L1067</f>
        <v>ATO0</v>
      </c>
      <c r="N1067" s="3">
        <f>F1067</f>
        <v>0.32500000000000001</v>
      </c>
      <c r="O1067" s="9">
        <f>H1067</f>
        <v>4.7199999999999999E-2</v>
      </c>
      <c r="P1067" s="10">
        <f t="shared" si="37"/>
        <v>0</v>
      </c>
      <c r="Q1067" s="10">
        <f>IF(K1067=0,IF(A1064=A1067,AVERAGE(O1064:O1067),"x"),0)</f>
        <v>0</v>
      </c>
      <c r="R1067" s="9">
        <f>IF(L1067&gt;2005,AVERAGE(O1064:O1083),0)</f>
        <v>0</v>
      </c>
      <c r="S1067" s="10">
        <f>IF(A1067=A1068,(N1067-N1068)/N1068,0)</f>
        <v>0</v>
      </c>
      <c r="T1067" s="10">
        <f>IF(L1067&gt;2005,(((N1067-N1087)/N1087)+1)^(1/5)-1,0)</f>
        <v>0</v>
      </c>
      <c r="U1067" s="10">
        <f t="shared" si="38"/>
        <v>0</v>
      </c>
      <c r="V1067" s="26">
        <f t="shared" si="39"/>
        <v>0</v>
      </c>
      <c r="W1067" s="3">
        <f>IF(A1067=A1068,N1067-N1068,0)</f>
        <v>0</v>
      </c>
      <c r="X1067" s="10">
        <f>IF(A1067=A1068,(N1067-N1068)/N1068,0)</f>
        <v>0</v>
      </c>
    </row>
    <row r="1068" spans="1:24" ht="16.5" customHeight="1">
      <c r="A1068" s="3" t="s">
        <v>35</v>
      </c>
      <c r="B1068" s="3">
        <f t="shared" si="32"/>
        <v>2008</v>
      </c>
      <c r="C1068" s="3">
        <f t="shared" si="33"/>
        <v>5</v>
      </c>
      <c r="D1068" s="20" t="str">
        <f t="shared" si="34"/>
        <v>ATO20085</v>
      </c>
      <c r="E1068" s="2">
        <v>39590</v>
      </c>
      <c r="F1068" s="3">
        <v>0.32500000000000001</v>
      </c>
      <c r="G1068" s="2">
        <v>39609</v>
      </c>
      <c r="H1068" s="3">
        <v>4.6199999999999998E-2</v>
      </c>
      <c r="I1068" s="3">
        <v>0</v>
      </c>
      <c r="J1068" s="3">
        <v>0</v>
      </c>
      <c r="K1068" s="3">
        <f t="shared" si="35"/>
        <v>2008</v>
      </c>
      <c r="L1068" s="3">
        <f t="shared" si="36"/>
        <v>0</v>
      </c>
      <c r="M1068" s="20" t="str">
        <f>A1068&amp;L1068</f>
        <v>ATO0</v>
      </c>
      <c r="N1068" s="3">
        <f>F1068</f>
        <v>0.32500000000000001</v>
      </c>
      <c r="O1068" s="9">
        <f>H1068</f>
        <v>4.6199999999999998E-2</v>
      </c>
      <c r="P1068" s="10">
        <f t="shared" si="37"/>
        <v>0</v>
      </c>
      <c r="Q1068" s="10">
        <f>IF(K1068=0,IF(A1065=A1068,AVERAGE(O1065:O1068),"x"),0)</f>
        <v>0</v>
      </c>
      <c r="R1068" s="9">
        <f>IF(L1068&gt;2005,AVERAGE(O1065:O1084),0)</f>
        <v>0</v>
      </c>
      <c r="S1068" s="10">
        <f>IF(A1068=A1069,(N1068-N1069)/N1069,0)</f>
        <v>0</v>
      </c>
      <c r="T1068" s="10">
        <f>IF(L1068&gt;2005,(((N1068-N1088)/N1088)+1)^(1/5)-1,0)</f>
        <v>0</v>
      </c>
      <c r="U1068" s="10">
        <f t="shared" si="38"/>
        <v>0</v>
      </c>
      <c r="V1068" s="26">
        <f t="shared" si="39"/>
        <v>0</v>
      </c>
      <c r="W1068" s="3">
        <f>IF(A1068=A1069,N1068-N1069,0)</f>
        <v>0</v>
      </c>
      <c r="X1068" s="10">
        <f>IF(A1068=A1069,(N1068-N1069)/N1069,0)</f>
        <v>0</v>
      </c>
    </row>
    <row r="1069" spans="1:24" ht="16.5" customHeight="1">
      <c r="A1069" s="3" t="s">
        <v>35</v>
      </c>
      <c r="B1069" s="3">
        <f t="shared" si="32"/>
        <v>2008</v>
      </c>
      <c r="C1069" s="3">
        <f t="shared" si="33"/>
        <v>2</v>
      </c>
      <c r="D1069" s="20" t="str">
        <f t="shared" si="34"/>
        <v>ATO20082</v>
      </c>
      <c r="E1069" s="2">
        <v>39499</v>
      </c>
      <c r="F1069" s="3">
        <v>0.32500000000000001</v>
      </c>
      <c r="G1069" s="2">
        <v>39517</v>
      </c>
      <c r="H1069" s="3">
        <v>4.6699999999999998E-2</v>
      </c>
      <c r="I1069" s="3">
        <v>0</v>
      </c>
      <c r="J1069" s="3">
        <v>0</v>
      </c>
      <c r="K1069" s="3">
        <f t="shared" si="35"/>
        <v>0</v>
      </c>
      <c r="L1069" s="3">
        <f t="shared" si="36"/>
        <v>2008</v>
      </c>
      <c r="M1069" s="20" t="str">
        <f>A1069&amp;L1069</f>
        <v>ATO2008</v>
      </c>
      <c r="N1069" s="3">
        <f>F1069</f>
        <v>0.32500000000000001</v>
      </c>
      <c r="O1069" s="9">
        <f>H1069</f>
        <v>4.6699999999999998E-2</v>
      </c>
      <c r="P1069" s="10">
        <f t="shared" si="37"/>
        <v>0</v>
      </c>
      <c r="Q1069" s="10">
        <f>IF(K1069=0,IF(A1066=A1069,AVERAGE(O1066:O1069),"x"),0)</f>
        <v>4.8924999999999996E-2</v>
      </c>
      <c r="R1069" s="9">
        <f>IF(L1069&gt;2005,AVERAGE(O1066:O1085),0)</f>
        <v>4.5599999999999988E-2</v>
      </c>
      <c r="S1069" s="10">
        <f>IF(A1069=A1070,(N1069-N1070)/N1070,0)</f>
        <v>0</v>
      </c>
      <c r="T1069" s="10">
        <f>IF(L1069&gt;2005,(((N1069-N1089)/N1089)+1)^(1/5)-1,0)</f>
        <v>1.6137364741595661E-2</v>
      </c>
      <c r="U1069" s="10">
        <f t="shared" si="38"/>
        <v>6.1737364741595649E-2</v>
      </c>
      <c r="V1069" s="26">
        <f t="shared" si="39"/>
        <v>4.3914962590180604</v>
      </c>
      <c r="W1069" s="3">
        <f>IF(A1069=A1070,N1069-N1070,0)</f>
        <v>0</v>
      </c>
      <c r="X1069" s="10">
        <f>IF(A1069=A1070,(N1069-N1070)/N1070,0)</f>
        <v>0</v>
      </c>
    </row>
    <row r="1070" spans="1:24" ht="16.5" customHeight="1">
      <c r="A1070" s="3" t="s">
        <v>35</v>
      </c>
      <c r="B1070" s="3">
        <f t="shared" si="32"/>
        <v>2007</v>
      </c>
      <c r="C1070" s="3">
        <f t="shared" si="33"/>
        <v>11</v>
      </c>
      <c r="D1070" s="20" t="str">
        <f t="shared" si="34"/>
        <v>ATO200711</v>
      </c>
      <c r="E1070" s="2">
        <v>39407</v>
      </c>
      <c r="F1070" s="3">
        <v>0.32500000000000001</v>
      </c>
      <c r="G1070" s="2">
        <v>39426</v>
      </c>
      <c r="H1070" s="3">
        <v>4.7699999999999999E-2</v>
      </c>
      <c r="I1070" s="3">
        <v>1.5625E-2</v>
      </c>
      <c r="J1070" s="3">
        <v>5.0000000000000001E-3</v>
      </c>
      <c r="K1070" s="3">
        <f t="shared" si="35"/>
        <v>2007</v>
      </c>
      <c r="L1070" s="3">
        <f t="shared" si="36"/>
        <v>0</v>
      </c>
      <c r="M1070" s="20" t="str">
        <f>A1070&amp;L1070</f>
        <v>ATO0</v>
      </c>
      <c r="N1070" s="3">
        <f>F1070</f>
        <v>0.32500000000000001</v>
      </c>
      <c r="O1070" s="9">
        <f>H1070</f>
        <v>4.7699999999999999E-2</v>
      </c>
      <c r="P1070" s="10">
        <f t="shared" si="37"/>
        <v>4.2825000000000002E-2</v>
      </c>
      <c r="Q1070" s="10">
        <f>IF(K1070=0,IF(A1067=A1070,AVERAGE(O1067:O1070),"x"),0)</f>
        <v>0</v>
      </c>
      <c r="R1070" s="9">
        <f>IF(L1070&gt;2005,AVERAGE(O1067:O1086),0)</f>
        <v>0</v>
      </c>
      <c r="S1070" s="10">
        <f>IF(A1070=A1071,(N1070-N1071)/N1071,0)</f>
        <v>1.5625000000000014E-2</v>
      </c>
      <c r="T1070" s="10">
        <f>IF(L1070&gt;2005,(((N1070-N1090)/N1090)+1)^(1/5)-1,0)</f>
        <v>0</v>
      </c>
      <c r="U1070" s="10">
        <f t="shared" si="38"/>
        <v>0</v>
      </c>
      <c r="V1070" s="26">
        <f t="shared" si="39"/>
        <v>0</v>
      </c>
      <c r="W1070" s="3">
        <f>IF(A1070=A1071,N1070-N1071,0)</f>
        <v>5.0000000000000044E-3</v>
      </c>
      <c r="X1070" s="10">
        <f>IF(A1070=A1071,(N1070-N1071)/N1071,0)</f>
        <v>1.5625000000000014E-2</v>
      </c>
    </row>
    <row r="1071" spans="1:24" ht="16.5" customHeight="1">
      <c r="A1071" s="3" t="s">
        <v>35</v>
      </c>
      <c r="B1071" s="3">
        <f t="shared" si="32"/>
        <v>2007</v>
      </c>
      <c r="C1071" s="3">
        <f t="shared" si="33"/>
        <v>8</v>
      </c>
      <c r="D1071" s="20" t="str">
        <f t="shared" si="34"/>
        <v>ATO20078</v>
      </c>
      <c r="E1071" s="2">
        <v>39317</v>
      </c>
      <c r="F1071" s="3">
        <v>0.32</v>
      </c>
      <c r="G1071" s="2">
        <v>39335</v>
      </c>
      <c r="H1071" s="3">
        <v>4.6399999999999997E-2</v>
      </c>
      <c r="I1071" s="3">
        <v>0</v>
      </c>
      <c r="J1071" s="3">
        <v>0</v>
      </c>
      <c r="K1071" s="3">
        <f t="shared" si="35"/>
        <v>2007</v>
      </c>
      <c r="L1071" s="3">
        <f t="shared" si="36"/>
        <v>0</v>
      </c>
      <c r="M1071" s="20" t="str">
        <f>A1071&amp;L1071</f>
        <v>ATO0</v>
      </c>
      <c r="N1071" s="3">
        <f>F1071</f>
        <v>0.32</v>
      </c>
      <c r="O1071" s="9">
        <f>H1071</f>
        <v>4.6399999999999997E-2</v>
      </c>
      <c r="P1071" s="10">
        <f t="shared" si="37"/>
        <v>0</v>
      </c>
      <c r="Q1071" s="10">
        <f>IF(K1071=0,IF(A1068=A1071,AVERAGE(O1068:O1071),"x"),0)</f>
        <v>0</v>
      </c>
      <c r="R1071" s="9">
        <f>IF(L1071&gt;2005,AVERAGE(O1068:O1087),0)</f>
        <v>0</v>
      </c>
      <c r="S1071" s="10">
        <f>IF(A1071=A1072,(N1071-N1072)/N1072,0)</f>
        <v>0</v>
      </c>
      <c r="T1071" s="10">
        <f>IF(L1071&gt;2005,(((N1071-N1091)/N1091)+1)^(1/5)-1,0)</f>
        <v>0</v>
      </c>
      <c r="U1071" s="10">
        <f t="shared" si="38"/>
        <v>0</v>
      </c>
      <c r="V1071" s="26">
        <f t="shared" si="39"/>
        <v>0</v>
      </c>
      <c r="W1071" s="3">
        <f>IF(A1071=A1072,N1071-N1072,0)</f>
        <v>0</v>
      </c>
      <c r="X1071" s="10">
        <f>IF(A1071=A1072,(N1071-N1072)/N1072,0)</f>
        <v>0</v>
      </c>
    </row>
    <row r="1072" spans="1:24" ht="16.5" customHeight="1">
      <c r="A1072" s="3" t="s">
        <v>35</v>
      </c>
      <c r="B1072" s="3">
        <f t="shared" si="32"/>
        <v>2007</v>
      </c>
      <c r="C1072" s="3">
        <f t="shared" si="33"/>
        <v>5</v>
      </c>
      <c r="D1072" s="20" t="str">
        <f t="shared" si="34"/>
        <v>ATO20075</v>
      </c>
      <c r="E1072" s="2">
        <v>39225</v>
      </c>
      <c r="F1072" s="3">
        <v>0.32</v>
      </c>
      <c r="G1072" s="2">
        <v>39244</v>
      </c>
      <c r="H1072" s="3">
        <v>3.85E-2</v>
      </c>
      <c r="I1072" s="3">
        <v>0</v>
      </c>
      <c r="J1072" s="3">
        <v>0</v>
      </c>
      <c r="K1072" s="3">
        <f t="shared" si="35"/>
        <v>2007</v>
      </c>
      <c r="L1072" s="3">
        <f t="shared" si="36"/>
        <v>0</v>
      </c>
      <c r="M1072" s="20" t="str">
        <f>A1072&amp;L1072</f>
        <v>ATO0</v>
      </c>
      <c r="N1072" s="3">
        <f>F1072</f>
        <v>0.32</v>
      </c>
      <c r="O1072" s="9">
        <f>H1072</f>
        <v>3.85E-2</v>
      </c>
      <c r="P1072" s="10">
        <f t="shared" si="37"/>
        <v>0</v>
      </c>
      <c r="Q1072" s="10">
        <f>IF(K1072=0,IF(A1069=A1072,AVERAGE(O1069:O1072),"x"),0)</f>
        <v>0</v>
      </c>
      <c r="R1072" s="9">
        <f>IF(L1072&gt;2005,AVERAGE(O1069:O1088),0)</f>
        <v>0</v>
      </c>
      <c r="S1072" s="10">
        <f>IF(A1072=A1073,(N1072-N1073)/N1073,0)</f>
        <v>0</v>
      </c>
      <c r="T1072" s="10">
        <f>IF(L1072&gt;2005,(((N1072-N1092)/N1092)+1)^(1/5)-1,0)</f>
        <v>0</v>
      </c>
      <c r="U1072" s="10">
        <f t="shared" si="38"/>
        <v>0</v>
      </c>
      <c r="V1072" s="26">
        <f t="shared" si="39"/>
        <v>0</v>
      </c>
      <c r="W1072" s="3">
        <f>IF(A1072=A1073,N1072-N1073,0)</f>
        <v>0</v>
      </c>
      <c r="X1072" s="10">
        <f>IF(A1072=A1073,(N1072-N1073)/N1073,0)</f>
        <v>0</v>
      </c>
    </row>
    <row r="1073" spans="1:24" ht="16.5" customHeight="1">
      <c r="A1073" s="3" t="s">
        <v>35</v>
      </c>
      <c r="B1073" s="3">
        <f t="shared" si="32"/>
        <v>2007</v>
      </c>
      <c r="C1073" s="3">
        <f t="shared" si="33"/>
        <v>2</v>
      </c>
      <c r="D1073" s="20" t="str">
        <f t="shared" si="34"/>
        <v>ATO20072</v>
      </c>
      <c r="E1073" s="2">
        <v>39135</v>
      </c>
      <c r="F1073" s="3">
        <v>0.32</v>
      </c>
      <c r="G1073" s="2">
        <v>39153</v>
      </c>
      <c r="H1073" s="3">
        <v>3.8699999999999998E-2</v>
      </c>
      <c r="I1073" s="3">
        <v>0</v>
      </c>
      <c r="J1073" s="3">
        <v>0</v>
      </c>
      <c r="K1073" s="3">
        <f t="shared" si="35"/>
        <v>0</v>
      </c>
      <c r="L1073" s="3">
        <f t="shared" si="36"/>
        <v>2007</v>
      </c>
      <c r="M1073" s="20" t="str">
        <f>A1073&amp;L1073</f>
        <v>ATO2007</v>
      </c>
      <c r="N1073" s="3">
        <f>F1073</f>
        <v>0.32</v>
      </c>
      <c r="O1073" s="9">
        <f>H1073</f>
        <v>3.8699999999999998E-2</v>
      </c>
      <c r="P1073" s="10">
        <f t="shared" si="37"/>
        <v>0</v>
      </c>
      <c r="Q1073" s="10">
        <f>IF(K1073=0,IF(A1070=A1073,AVERAGE(O1070:O1073),"x"),0)</f>
        <v>4.2825000000000002E-2</v>
      </c>
      <c r="R1073" s="9">
        <f>IF(L1073&gt;2005,AVERAGE(O1070:O1089),0)</f>
        <v>4.5909999999999992E-2</v>
      </c>
      <c r="S1073" s="10">
        <f>IF(A1073=A1074,(N1073-N1074)/N1074,0)</f>
        <v>0</v>
      </c>
      <c r="T1073" s="10">
        <f>IF(L1073&gt;2005,(((N1073-N1093)/N1093)+1)^(1/5)-1,0)</f>
        <v>1.6402190778280978E-2</v>
      </c>
      <c r="U1073" s="10">
        <f t="shared" si="38"/>
        <v>6.2312190778280971E-2</v>
      </c>
      <c r="V1073" s="26">
        <f t="shared" si="39"/>
        <v>4.3879085298604554</v>
      </c>
      <c r="W1073" s="3">
        <f>IF(A1073=A1074,N1073-N1074,0)</f>
        <v>0</v>
      </c>
      <c r="X1073" s="10">
        <f>IF(A1073=A1074,(N1073-N1074)/N1074,0)</f>
        <v>0</v>
      </c>
    </row>
    <row r="1074" spans="1:24" ht="16.5" customHeight="1">
      <c r="A1074" s="3" t="s">
        <v>35</v>
      </c>
      <c r="B1074" s="3">
        <f t="shared" si="32"/>
        <v>2006</v>
      </c>
      <c r="C1074" s="3">
        <f t="shared" si="33"/>
        <v>11</v>
      </c>
      <c r="D1074" s="20" t="str">
        <f t="shared" si="34"/>
        <v>ATO200611</v>
      </c>
      <c r="E1074" s="2">
        <v>39043</v>
      </c>
      <c r="F1074" s="3">
        <v>0.32</v>
      </c>
      <c r="G1074" s="2">
        <v>39062</v>
      </c>
      <c r="H1074" s="3">
        <v>3.85E-2</v>
      </c>
      <c r="I1074" s="3">
        <v>1.5873016E-2</v>
      </c>
      <c r="J1074" s="3">
        <v>5.0000000000000001E-3</v>
      </c>
      <c r="K1074" s="3">
        <f t="shared" si="35"/>
        <v>2006</v>
      </c>
      <c r="L1074" s="3">
        <f t="shared" si="36"/>
        <v>0</v>
      </c>
      <c r="M1074" s="20" t="str">
        <f>A1074&amp;L1074</f>
        <v>ATO0</v>
      </c>
      <c r="N1074" s="3">
        <f>F1074</f>
        <v>0.32</v>
      </c>
      <c r="O1074" s="9">
        <f>H1074</f>
        <v>3.85E-2</v>
      </c>
      <c r="P1074" s="10">
        <f t="shared" si="37"/>
        <v>4.385E-2</v>
      </c>
      <c r="Q1074" s="10">
        <f>IF(K1074=0,IF(A1071=A1074,AVERAGE(O1071:O1074),"x"),0)</f>
        <v>0</v>
      </c>
      <c r="R1074" s="9">
        <f>IF(L1074&gt;2005,AVERAGE(O1071:O1090),0)</f>
        <v>0</v>
      </c>
      <c r="S1074" s="10">
        <f>IF(A1074=A1075,(N1074-N1075)/N1075,0)</f>
        <v>1.5873015873015886E-2</v>
      </c>
      <c r="T1074" s="10">
        <f>IF(L1074&gt;2005,(((N1074-N1094)/N1094)+1)^(1/5)-1,0)</f>
        <v>0</v>
      </c>
      <c r="U1074" s="10">
        <f t="shared" si="38"/>
        <v>0</v>
      </c>
      <c r="V1074" s="26">
        <f t="shared" si="39"/>
        <v>0</v>
      </c>
      <c r="W1074" s="3">
        <f>IF(A1074=A1075,N1074-N1075,0)</f>
        <v>5.0000000000000044E-3</v>
      </c>
      <c r="X1074" s="10">
        <f>IF(A1074=A1075,(N1074-N1075)/N1075,0)</f>
        <v>1.5873015873015886E-2</v>
      </c>
    </row>
    <row r="1075" spans="1:24" ht="16.5" customHeight="1">
      <c r="A1075" s="3" t="s">
        <v>35</v>
      </c>
      <c r="B1075" s="3">
        <f t="shared" si="32"/>
        <v>2006</v>
      </c>
      <c r="C1075" s="3">
        <f t="shared" si="33"/>
        <v>8</v>
      </c>
      <c r="D1075" s="20" t="str">
        <f t="shared" si="34"/>
        <v>ATO20068</v>
      </c>
      <c r="E1075" s="2">
        <v>38952</v>
      </c>
      <c r="F1075" s="3">
        <v>0.315</v>
      </c>
      <c r="G1075" s="2">
        <v>38971</v>
      </c>
      <c r="H1075" s="3">
        <v>4.3400000000000001E-2</v>
      </c>
      <c r="I1075" s="3">
        <v>0</v>
      </c>
      <c r="J1075" s="3">
        <v>0</v>
      </c>
      <c r="K1075" s="3">
        <f t="shared" si="35"/>
        <v>2006</v>
      </c>
      <c r="L1075" s="3">
        <f t="shared" si="36"/>
        <v>0</v>
      </c>
      <c r="M1075" s="20" t="str">
        <f>A1075&amp;L1075</f>
        <v>ATO0</v>
      </c>
      <c r="N1075" s="3">
        <f>F1075</f>
        <v>0.315</v>
      </c>
      <c r="O1075" s="9">
        <f>H1075</f>
        <v>4.3400000000000001E-2</v>
      </c>
      <c r="P1075" s="10">
        <f t="shared" si="37"/>
        <v>0</v>
      </c>
      <c r="Q1075" s="10">
        <f>IF(K1075=0,IF(A1072=A1075,AVERAGE(O1072:O1075),"x"),0)</f>
        <v>0</v>
      </c>
      <c r="R1075" s="9">
        <f>IF(L1075&gt;2005,AVERAGE(O1072:O1091),0)</f>
        <v>0</v>
      </c>
      <c r="S1075" s="10">
        <f>IF(A1075=A1076,(N1075-N1076)/N1076,0)</f>
        <v>0</v>
      </c>
      <c r="T1075" s="10">
        <f>IF(L1075&gt;2005,(((N1075-N1095)/N1095)+1)^(1/5)-1,0)</f>
        <v>0</v>
      </c>
      <c r="U1075" s="10">
        <f t="shared" si="38"/>
        <v>0</v>
      </c>
      <c r="V1075" s="26">
        <f t="shared" si="39"/>
        <v>0</v>
      </c>
      <c r="W1075" s="3">
        <f>IF(A1075=A1076,N1075-N1076,0)</f>
        <v>0</v>
      </c>
      <c r="X1075" s="10">
        <f>IF(A1075=A1076,(N1075-N1076)/N1076,0)</f>
        <v>0</v>
      </c>
    </row>
    <row r="1076" spans="1:24" ht="16.5" customHeight="1">
      <c r="A1076" s="3" t="s">
        <v>35</v>
      </c>
      <c r="B1076" s="3">
        <f t="shared" si="32"/>
        <v>2006</v>
      </c>
      <c r="C1076" s="3">
        <f t="shared" si="33"/>
        <v>5</v>
      </c>
      <c r="D1076" s="20" t="str">
        <f t="shared" si="34"/>
        <v>ATO20065</v>
      </c>
      <c r="E1076" s="2">
        <v>38860</v>
      </c>
      <c r="F1076" s="3">
        <v>0.315</v>
      </c>
      <c r="G1076" s="2">
        <v>38880</v>
      </c>
      <c r="H1076" s="3">
        <v>4.7199999999999999E-2</v>
      </c>
      <c r="I1076" s="3">
        <v>0</v>
      </c>
      <c r="J1076" s="3">
        <v>0</v>
      </c>
      <c r="K1076" s="3">
        <f t="shared" si="35"/>
        <v>2006</v>
      </c>
      <c r="L1076" s="3">
        <f t="shared" si="36"/>
        <v>0</v>
      </c>
      <c r="M1076" s="20" t="str">
        <f>A1076&amp;L1076</f>
        <v>ATO0</v>
      </c>
      <c r="N1076" s="3">
        <f>F1076</f>
        <v>0.315</v>
      </c>
      <c r="O1076" s="9">
        <f>H1076</f>
        <v>4.7199999999999999E-2</v>
      </c>
      <c r="P1076" s="10">
        <f t="shared" si="37"/>
        <v>0</v>
      </c>
      <c r="Q1076" s="10">
        <f>IF(K1076=0,IF(A1073=A1076,AVERAGE(O1073:O1076),"x"),0)</f>
        <v>0</v>
      </c>
      <c r="R1076" s="9">
        <f>IF(L1076&gt;2005,AVERAGE(O1073:O1092),0)</f>
        <v>0</v>
      </c>
      <c r="S1076" s="10">
        <f>IF(A1076=A1077,(N1076-N1077)/N1077,0)</f>
        <v>0</v>
      </c>
      <c r="T1076" s="10">
        <f>IF(L1076&gt;2005,(((N1076-N1096)/N1096)+1)^(1/5)-1,0)</f>
        <v>0</v>
      </c>
      <c r="U1076" s="10">
        <f t="shared" si="38"/>
        <v>0</v>
      </c>
      <c r="V1076" s="26">
        <f t="shared" si="39"/>
        <v>0</v>
      </c>
      <c r="W1076" s="3">
        <f>IF(A1076=A1077,N1076-N1077,0)</f>
        <v>0</v>
      </c>
      <c r="X1076" s="10">
        <f>IF(A1076=A1077,(N1076-N1077)/N1077,0)</f>
        <v>0</v>
      </c>
    </row>
    <row r="1077" spans="1:24" ht="16.5" customHeight="1">
      <c r="A1077" s="3" t="s">
        <v>35</v>
      </c>
      <c r="B1077" s="3">
        <f t="shared" si="32"/>
        <v>2006</v>
      </c>
      <c r="C1077" s="3">
        <f t="shared" si="33"/>
        <v>2</v>
      </c>
      <c r="D1077" s="20" t="str">
        <f t="shared" si="34"/>
        <v>ATO20062</v>
      </c>
      <c r="E1077" s="2">
        <v>38771</v>
      </c>
      <c r="F1077" s="3">
        <v>0.315</v>
      </c>
      <c r="G1077" s="2">
        <v>38786</v>
      </c>
      <c r="H1077" s="3">
        <v>4.6300000000000001E-2</v>
      </c>
      <c r="I1077" s="3">
        <v>0</v>
      </c>
      <c r="J1077" s="3">
        <v>0</v>
      </c>
      <c r="K1077" s="3">
        <f t="shared" si="35"/>
        <v>0</v>
      </c>
      <c r="L1077" s="3">
        <f t="shared" si="36"/>
        <v>2006</v>
      </c>
      <c r="M1077" s="20" t="str">
        <f>A1077&amp;L1077</f>
        <v>ATO2006</v>
      </c>
      <c r="N1077" s="3">
        <f>F1077</f>
        <v>0.315</v>
      </c>
      <c r="O1077" s="9">
        <f>H1077</f>
        <v>4.6300000000000001E-2</v>
      </c>
      <c r="P1077" s="10">
        <f t="shared" si="37"/>
        <v>0</v>
      </c>
      <c r="Q1077" s="10">
        <f>IF(K1077=0,IF(A1074=A1077,AVERAGE(O1074:O1077),"x"),0)</f>
        <v>4.385E-2</v>
      </c>
      <c r="R1077" s="9">
        <f>IF(L1077&gt;2005,AVERAGE(O1074:O1093),0)</f>
        <v>4.7824999999999993E-2</v>
      </c>
      <c r="S1077" s="10">
        <f>IF(A1077=A1078,(N1077-N1078)/N1078,0)</f>
        <v>0</v>
      </c>
      <c r="T1077" s="10">
        <f>IF(L1077&gt;2005,(((N1077-N1097)/N1097)+1)^(1/5)-1,0)</f>
        <v>1.6675858612995365E-2</v>
      </c>
      <c r="U1077" s="10">
        <f t="shared" si="38"/>
        <v>6.4500858612995357E-2</v>
      </c>
      <c r="V1077" s="26">
        <f t="shared" si="39"/>
        <v>4.3651256126485167</v>
      </c>
      <c r="W1077" s="3">
        <f>IF(A1077=A1078,N1077-N1078,0)</f>
        <v>0</v>
      </c>
      <c r="X1077" s="10">
        <f>IF(A1077=A1078,(N1077-N1078)/N1078,0)</f>
        <v>0</v>
      </c>
    </row>
    <row r="1078" spans="1:24" ht="16.5" customHeight="1">
      <c r="A1078" s="3" t="s">
        <v>35</v>
      </c>
      <c r="B1078" s="3">
        <f t="shared" si="32"/>
        <v>2005</v>
      </c>
      <c r="C1078" s="3">
        <f t="shared" si="33"/>
        <v>11</v>
      </c>
      <c r="D1078" s="20" t="str">
        <f t="shared" si="34"/>
        <v>ATO200511</v>
      </c>
      <c r="E1078" s="2">
        <v>38678</v>
      </c>
      <c r="F1078" s="3">
        <v>0.315</v>
      </c>
      <c r="G1078" s="2">
        <v>38698</v>
      </c>
      <c r="H1078" s="3">
        <v>4.65E-2</v>
      </c>
      <c r="I1078" s="3">
        <v>1.6129032000000001E-2</v>
      </c>
      <c r="J1078" s="3">
        <v>5.0000000000000001E-3</v>
      </c>
      <c r="K1078" s="3">
        <f t="shared" si="35"/>
        <v>2005</v>
      </c>
      <c r="L1078" s="3">
        <f t="shared" si="36"/>
        <v>0</v>
      </c>
      <c r="M1078" s="20" t="str">
        <f>A1078&amp;L1078</f>
        <v>ATO0</v>
      </c>
      <c r="N1078" s="3">
        <f>F1078</f>
        <v>0.315</v>
      </c>
      <c r="O1078" s="9">
        <f>H1078</f>
        <v>4.65E-2</v>
      </c>
      <c r="P1078" s="10">
        <f t="shared" si="37"/>
        <v>4.4524999999999995E-2</v>
      </c>
      <c r="Q1078" s="10">
        <f>IF(K1078=0,IF(A1075=A1078,AVERAGE(O1075:O1078),"x"),0)</f>
        <v>0</v>
      </c>
      <c r="R1078" s="9">
        <f>IF(L1078&gt;2005,AVERAGE(O1075:O1094),0)</f>
        <v>0</v>
      </c>
      <c r="S1078" s="10">
        <f>IF(A1078=A1079,(N1078-N1079)/N1079,0)</f>
        <v>1.612903225806453E-2</v>
      </c>
      <c r="T1078" s="10">
        <f>IF(L1078&gt;2005,(((N1078-N1098)/N1098)+1)^(1/5)-1,0)</f>
        <v>0</v>
      </c>
      <c r="U1078" s="10">
        <f t="shared" si="38"/>
        <v>0</v>
      </c>
      <c r="V1078" s="26">
        <f t="shared" si="39"/>
        <v>0</v>
      </c>
      <c r="W1078" s="3">
        <f>IF(A1078=A1079,N1078-N1079,0)</f>
        <v>5.0000000000000044E-3</v>
      </c>
      <c r="X1078" s="10">
        <f>IF(A1078=A1079,(N1078-N1079)/N1079,0)</f>
        <v>1.612903225806453E-2</v>
      </c>
    </row>
    <row r="1079" spans="1:24" ht="16.5" customHeight="1">
      <c r="A1079" s="3" t="s">
        <v>35</v>
      </c>
      <c r="B1079" s="3">
        <f t="shared" si="32"/>
        <v>2005</v>
      </c>
      <c r="C1079" s="3">
        <f t="shared" si="33"/>
        <v>8</v>
      </c>
      <c r="D1079" s="20" t="str">
        <f t="shared" si="34"/>
        <v>ATO20058</v>
      </c>
      <c r="E1079" s="2">
        <v>38587</v>
      </c>
      <c r="F1079" s="3">
        <v>0.31</v>
      </c>
      <c r="G1079" s="2">
        <v>38607</v>
      </c>
      <c r="H1079" s="3">
        <v>4.2700000000000002E-2</v>
      </c>
      <c r="I1079" s="3">
        <v>0</v>
      </c>
      <c r="J1079" s="3">
        <v>0</v>
      </c>
      <c r="K1079" s="3">
        <f t="shared" si="35"/>
        <v>2005</v>
      </c>
      <c r="L1079" s="3">
        <f t="shared" si="36"/>
        <v>0</v>
      </c>
      <c r="M1079" s="20" t="str">
        <f>A1079&amp;L1079</f>
        <v>ATO0</v>
      </c>
      <c r="N1079" s="3">
        <f>F1079</f>
        <v>0.31</v>
      </c>
      <c r="O1079" s="9">
        <f>H1079</f>
        <v>4.2700000000000002E-2</v>
      </c>
      <c r="P1079" s="10">
        <f t="shared" si="37"/>
        <v>0</v>
      </c>
      <c r="Q1079" s="10">
        <f>IF(K1079=0,IF(A1076=A1079,AVERAGE(O1076:O1079),"x"),0)</f>
        <v>0</v>
      </c>
      <c r="R1079" s="9">
        <f>IF(L1079&gt;2005,AVERAGE(O1076:O1095),0)</f>
        <v>0</v>
      </c>
      <c r="S1079" s="10">
        <f>IF(A1079=A1080,(N1079-N1080)/N1080,0)</f>
        <v>0</v>
      </c>
      <c r="T1079" s="10">
        <f>IF(L1079&gt;2005,(((N1079-N1099)/N1099)+1)^(1/5)-1,0)</f>
        <v>0</v>
      </c>
      <c r="U1079" s="10">
        <f t="shared" si="38"/>
        <v>0</v>
      </c>
      <c r="V1079" s="26">
        <f t="shared" si="39"/>
        <v>0</v>
      </c>
      <c r="W1079" s="3">
        <f>IF(A1079=A1080,N1079-N1080,0)</f>
        <v>0</v>
      </c>
      <c r="X1079" s="10">
        <f>IF(A1079=A1080,(N1079-N1080)/N1080,0)</f>
        <v>0</v>
      </c>
    </row>
    <row r="1080" spans="1:24" ht="16.5" customHeight="1">
      <c r="A1080" s="3" t="s">
        <v>35</v>
      </c>
      <c r="B1080" s="3">
        <f t="shared" si="32"/>
        <v>2005</v>
      </c>
      <c r="C1080" s="3">
        <f t="shared" si="33"/>
        <v>5</v>
      </c>
      <c r="D1080" s="20" t="str">
        <f t="shared" si="34"/>
        <v>ATO20055</v>
      </c>
      <c r="E1080" s="2">
        <v>38495</v>
      </c>
      <c r="F1080" s="3">
        <v>0.31</v>
      </c>
      <c r="G1080" s="2">
        <v>38513</v>
      </c>
      <c r="H1080" s="3">
        <v>4.4400000000000002E-2</v>
      </c>
      <c r="I1080" s="3">
        <v>0</v>
      </c>
      <c r="J1080" s="3">
        <v>0</v>
      </c>
      <c r="K1080" s="3">
        <f t="shared" si="35"/>
        <v>2005</v>
      </c>
      <c r="L1080" s="3">
        <f t="shared" si="36"/>
        <v>0</v>
      </c>
      <c r="M1080" s="20" t="str">
        <f>A1080&amp;L1080</f>
        <v>ATO0</v>
      </c>
      <c r="N1080" s="3">
        <f>F1080</f>
        <v>0.31</v>
      </c>
      <c r="O1080" s="9">
        <f>H1080</f>
        <v>4.4400000000000002E-2</v>
      </c>
      <c r="P1080" s="10">
        <f t="shared" si="37"/>
        <v>0</v>
      </c>
      <c r="Q1080" s="10">
        <f>IF(K1080=0,IF(A1077=A1080,AVERAGE(O1077:O1080),"x"),0)</f>
        <v>0</v>
      </c>
      <c r="R1080" s="9">
        <f>IF(L1080&gt;2005,AVERAGE(O1077:O1096),0)</f>
        <v>0</v>
      </c>
      <c r="S1080" s="10">
        <f>IF(A1080=A1081,(N1080-N1081)/N1081,0)</f>
        <v>0</v>
      </c>
      <c r="T1080" s="10">
        <f>IF(L1080&gt;2005,(((N1080-N1100)/N1100)+1)^(1/5)-1,0)</f>
        <v>0</v>
      </c>
      <c r="U1080" s="10">
        <f t="shared" si="38"/>
        <v>0</v>
      </c>
      <c r="V1080" s="26">
        <f t="shared" si="39"/>
        <v>0</v>
      </c>
      <c r="W1080" s="3">
        <f>IF(A1080=A1081,N1080-N1081,0)</f>
        <v>0</v>
      </c>
      <c r="X1080" s="10">
        <f>IF(A1080=A1081,(N1080-N1081)/N1081,0)</f>
        <v>0</v>
      </c>
    </row>
    <row r="1081" spans="1:24" ht="16.5" customHeight="1">
      <c r="A1081" s="3" t="s">
        <v>35</v>
      </c>
      <c r="B1081" s="3">
        <f t="shared" si="32"/>
        <v>2005</v>
      </c>
      <c r="C1081" s="3">
        <f t="shared" si="33"/>
        <v>2</v>
      </c>
      <c r="D1081" s="20" t="str">
        <f t="shared" si="34"/>
        <v>ATO20052</v>
      </c>
      <c r="E1081" s="2">
        <v>38406</v>
      </c>
      <c r="F1081" s="3">
        <v>0.31</v>
      </c>
      <c r="G1081" s="2">
        <v>38421</v>
      </c>
      <c r="H1081" s="3">
        <v>4.4499999999999998E-2</v>
      </c>
      <c r="I1081" s="3">
        <v>0</v>
      </c>
      <c r="J1081" s="3">
        <v>0</v>
      </c>
      <c r="K1081" s="3">
        <f t="shared" si="35"/>
        <v>0</v>
      </c>
      <c r="L1081" s="3">
        <f t="shared" si="36"/>
        <v>2005</v>
      </c>
      <c r="M1081" s="20" t="str">
        <f>A1081&amp;L1081</f>
        <v>ATO2005</v>
      </c>
      <c r="N1081" s="3">
        <f>F1081</f>
        <v>0.31</v>
      </c>
      <c r="O1081" s="9">
        <f>H1081</f>
        <v>4.4499999999999998E-2</v>
      </c>
      <c r="P1081" s="10">
        <f t="shared" si="37"/>
        <v>0</v>
      </c>
      <c r="Q1081" s="10">
        <f>IF(K1081=0,IF(A1078=A1081,AVERAGE(O1078:O1081),"x"),0)</f>
        <v>4.4524999999999995E-2</v>
      </c>
      <c r="R1081" s="9">
        <f>IF(L1081&gt;2005,AVERAGE(O1078:O1097),0)</f>
        <v>0</v>
      </c>
      <c r="S1081" s="10">
        <f>IF(A1081=A1082,(N1081-N1082)/N1082,0)</f>
        <v>0</v>
      </c>
      <c r="T1081" s="10">
        <f>IF(L1081&gt;2005,(((N1081-N1101)/N1101)+1)^(1/5)-1,0)</f>
        <v>0</v>
      </c>
      <c r="U1081" s="10">
        <f t="shared" si="38"/>
        <v>0</v>
      </c>
      <c r="V1081" s="26">
        <f t="shared" si="39"/>
        <v>0</v>
      </c>
      <c r="W1081" s="3">
        <f>IF(A1081=A1082,N1081-N1082,0)</f>
        <v>0</v>
      </c>
      <c r="X1081" s="10">
        <f>IF(A1081=A1082,(N1081-N1082)/N1082,0)</f>
        <v>0</v>
      </c>
    </row>
    <row r="1082" spans="1:24" ht="16.5" customHeight="1">
      <c r="A1082" s="3" t="s">
        <v>35</v>
      </c>
      <c r="B1082" s="3">
        <f t="shared" si="32"/>
        <v>2004</v>
      </c>
      <c r="C1082" s="3">
        <f t="shared" si="33"/>
        <v>11</v>
      </c>
      <c r="D1082" s="20" t="str">
        <f t="shared" si="34"/>
        <v>ATO200411</v>
      </c>
      <c r="E1082" s="2">
        <v>38313</v>
      </c>
      <c r="F1082" s="3">
        <v>0.31</v>
      </c>
      <c r="G1082" s="2">
        <v>38331</v>
      </c>
      <c r="H1082" s="3">
        <v>4.6699999999999998E-2</v>
      </c>
      <c r="I1082" s="3">
        <v>1.6393443000000001E-2</v>
      </c>
      <c r="J1082" s="3">
        <v>5.0000000000000001E-3</v>
      </c>
      <c r="K1082" s="3">
        <f t="shared" si="35"/>
        <v>2004</v>
      </c>
      <c r="L1082" s="3">
        <f t="shared" si="36"/>
        <v>0</v>
      </c>
      <c r="M1082" s="20" t="str">
        <f>A1082&amp;L1082</f>
        <v>ATO0</v>
      </c>
      <c r="N1082" s="3">
        <f>F1082</f>
        <v>0.31</v>
      </c>
      <c r="O1082" s="9">
        <f>H1082</f>
        <v>4.6699999999999998E-2</v>
      </c>
      <c r="P1082" s="10">
        <f t="shared" si="37"/>
        <v>4.7875000000000001E-2</v>
      </c>
      <c r="Q1082" s="10">
        <f>IF(K1082=0,IF(A1079=A1082,AVERAGE(O1079:O1082),"x"),0)</f>
        <v>0</v>
      </c>
      <c r="R1082" s="9">
        <f>IF(L1082&gt;2005,AVERAGE(O1079:O1098),0)</f>
        <v>0</v>
      </c>
      <c r="S1082" s="10">
        <f>IF(A1082=A1083,(N1082-N1083)/N1083,0)</f>
        <v>1.6393442622950834E-2</v>
      </c>
      <c r="T1082" s="10">
        <f>IF(L1082&gt;2005,(((N1082-N1102)/N1102)+1)^(1/5)-1,0)</f>
        <v>0</v>
      </c>
      <c r="U1082" s="10">
        <f t="shared" si="38"/>
        <v>0</v>
      </c>
      <c r="V1082" s="26">
        <f t="shared" si="39"/>
        <v>0</v>
      </c>
      <c r="W1082" s="3">
        <f>IF(A1082=A1083,N1082-N1083,0)</f>
        <v>5.0000000000000044E-3</v>
      </c>
      <c r="X1082" s="10">
        <f>IF(A1082=A1083,(N1082-N1083)/N1083,0)</f>
        <v>1.6393442622950834E-2</v>
      </c>
    </row>
    <row r="1083" spans="1:24" ht="16.5" customHeight="1">
      <c r="A1083" s="3" t="s">
        <v>35</v>
      </c>
      <c r="B1083" s="3">
        <f t="shared" si="32"/>
        <v>2004</v>
      </c>
      <c r="C1083" s="3">
        <f t="shared" si="33"/>
        <v>8</v>
      </c>
      <c r="D1083" s="20" t="str">
        <f t="shared" si="34"/>
        <v>ATO20048</v>
      </c>
      <c r="E1083" s="2">
        <v>38222</v>
      </c>
      <c r="F1083" s="3">
        <v>0.30499999999999999</v>
      </c>
      <c r="G1083" s="2">
        <v>38240</v>
      </c>
      <c r="H1083" s="3">
        <v>4.8500000000000001E-2</v>
      </c>
      <c r="I1083" s="3">
        <v>0</v>
      </c>
      <c r="J1083" s="3">
        <v>0</v>
      </c>
      <c r="K1083" s="3">
        <f t="shared" si="35"/>
        <v>2004</v>
      </c>
      <c r="L1083" s="3">
        <f t="shared" si="36"/>
        <v>0</v>
      </c>
      <c r="M1083" s="20" t="str">
        <f>A1083&amp;L1083</f>
        <v>ATO0</v>
      </c>
      <c r="N1083" s="3">
        <f>F1083</f>
        <v>0.30499999999999999</v>
      </c>
      <c r="O1083" s="9">
        <f>H1083</f>
        <v>4.8500000000000001E-2</v>
      </c>
      <c r="P1083" s="10">
        <f t="shared" si="37"/>
        <v>0</v>
      </c>
      <c r="Q1083" s="10">
        <f>IF(K1083=0,IF(A1080=A1083,AVERAGE(O1080:O1083),"x"),0)</f>
        <v>0</v>
      </c>
      <c r="R1083" s="9">
        <f>IF(L1083&gt;2005,AVERAGE(O1080:O1099),0)</f>
        <v>0</v>
      </c>
      <c r="S1083" s="10">
        <f>IF(A1083=A1084,(N1083-N1084)/N1084,0)</f>
        <v>0</v>
      </c>
      <c r="T1083" s="10">
        <f>IF(L1083&gt;2005,(((N1083-N1103)/N1103)+1)^(1/5)-1,0)</f>
        <v>0</v>
      </c>
      <c r="U1083" s="10">
        <f t="shared" si="38"/>
        <v>0</v>
      </c>
      <c r="V1083" s="26">
        <f t="shared" si="39"/>
        <v>0</v>
      </c>
      <c r="W1083" s="3">
        <f>IF(A1083=A1084,N1083-N1084,0)</f>
        <v>0</v>
      </c>
      <c r="X1083" s="10">
        <f>IF(A1083=A1084,(N1083-N1084)/N1084,0)</f>
        <v>0</v>
      </c>
    </row>
    <row r="1084" spans="1:24" ht="16.5" customHeight="1">
      <c r="A1084" s="3" t="s">
        <v>35</v>
      </c>
      <c r="B1084" s="3">
        <f t="shared" si="32"/>
        <v>2004</v>
      </c>
      <c r="C1084" s="3">
        <f t="shared" si="33"/>
        <v>5</v>
      </c>
      <c r="D1084" s="20" t="str">
        <f t="shared" si="34"/>
        <v>ATO20045</v>
      </c>
      <c r="E1084" s="2">
        <v>38128</v>
      </c>
      <c r="F1084" s="3">
        <v>0.30499999999999999</v>
      </c>
      <c r="G1084" s="2">
        <v>38148</v>
      </c>
      <c r="H1084" s="3">
        <v>5.0500000000000003E-2</v>
      </c>
      <c r="I1084" s="3">
        <v>0</v>
      </c>
      <c r="J1084" s="3">
        <v>0</v>
      </c>
      <c r="K1084" s="3">
        <f t="shared" si="35"/>
        <v>2004</v>
      </c>
      <c r="L1084" s="3">
        <f t="shared" si="36"/>
        <v>0</v>
      </c>
      <c r="M1084" s="20" t="str">
        <f>A1084&amp;L1084</f>
        <v>ATO0</v>
      </c>
      <c r="N1084" s="3">
        <f>F1084</f>
        <v>0.30499999999999999</v>
      </c>
      <c r="O1084" s="9">
        <f>H1084</f>
        <v>5.0500000000000003E-2</v>
      </c>
      <c r="P1084" s="10">
        <f t="shared" si="37"/>
        <v>0</v>
      </c>
      <c r="Q1084" s="10">
        <f>IF(K1084=0,IF(A1081=A1084,AVERAGE(O1081:O1084),"x"),0)</f>
        <v>0</v>
      </c>
      <c r="R1084" s="9">
        <f>IF(L1084&gt;2005,AVERAGE(O1081:O1100),0)</f>
        <v>0</v>
      </c>
      <c r="S1084" s="10">
        <f>IF(A1084=A1085,(N1084-N1085)/N1085,0)</f>
        <v>0</v>
      </c>
      <c r="T1084" s="10">
        <f>IF(L1084&gt;2005,(((N1084-N1104)/N1104)+1)^(1/5)-1,0)</f>
        <v>0</v>
      </c>
      <c r="U1084" s="10">
        <f t="shared" si="38"/>
        <v>0</v>
      </c>
      <c r="V1084" s="26">
        <f t="shared" si="39"/>
        <v>0</v>
      </c>
      <c r="W1084" s="3">
        <f>IF(A1084=A1085,N1084-N1085,0)</f>
        <v>0</v>
      </c>
      <c r="X1084" s="10">
        <f>IF(A1084=A1085,(N1084-N1085)/N1085,0)</f>
        <v>0</v>
      </c>
    </row>
    <row r="1085" spans="1:24" ht="16.5" customHeight="1">
      <c r="A1085" s="3" t="s">
        <v>35</v>
      </c>
      <c r="B1085" s="3">
        <f t="shared" si="32"/>
        <v>2004</v>
      </c>
      <c r="C1085" s="3">
        <f t="shared" si="33"/>
        <v>2</v>
      </c>
      <c r="D1085" s="20" t="str">
        <f t="shared" si="34"/>
        <v>ATO20042</v>
      </c>
      <c r="E1085" s="2">
        <v>38040</v>
      </c>
      <c r="F1085" s="3">
        <v>0.30499999999999999</v>
      </c>
      <c r="G1085" s="2">
        <v>38056</v>
      </c>
      <c r="H1085" s="3">
        <v>4.58E-2</v>
      </c>
      <c r="I1085" s="3">
        <v>0</v>
      </c>
      <c r="J1085" s="3">
        <v>0</v>
      </c>
      <c r="K1085" s="3">
        <f t="shared" si="35"/>
        <v>0</v>
      </c>
      <c r="L1085" s="3">
        <f t="shared" si="36"/>
        <v>2004</v>
      </c>
      <c r="M1085" s="20" t="str">
        <f>A1085&amp;L1085</f>
        <v>ATO2004</v>
      </c>
      <c r="N1085" s="3">
        <f>F1085</f>
        <v>0.30499999999999999</v>
      </c>
      <c r="O1085" s="9">
        <f>H1085</f>
        <v>4.58E-2</v>
      </c>
      <c r="P1085" s="10">
        <f t="shared" si="37"/>
        <v>0</v>
      </c>
      <c r="Q1085" s="10">
        <f>IF(K1085=0,IF(A1082=A1085,AVERAGE(O1082:O1085),"x"),0)</f>
        <v>4.7875000000000001E-2</v>
      </c>
      <c r="R1085" s="9">
        <f>IF(L1085&gt;2005,AVERAGE(O1082:O1101),0)</f>
        <v>0</v>
      </c>
      <c r="S1085" s="10">
        <f>IF(A1085=A1086,(N1085-N1086)/N1086,0)</f>
        <v>0</v>
      </c>
      <c r="T1085" s="10">
        <f>IF(L1085&gt;2005,(((N1085-N1105)/N1105)+1)^(1/5)-1,0)</f>
        <v>0</v>
      </c>
      <c r="U1085" s="10">
        <f t="shared" si="38"/>
        <v>0</v>
      </c>
      <c r="V1085" s="26">
        <f t="shared" si="39"/>
        <v>0</v>
      </c>
      <c r="W1085" s="3">
        <f>IF(A1085=A1086,N1085-N1086,0)</f>
        <v>0</v>
      </c>
      <c r="X1085" s="10">
        <f>IF(A1085=A1086,(N1085-N1086)/N1086,0)</f>
        <v>0</v>
      </c>
    </row>
    <row r="1086" spans="1:24" ht="16.5" customHeight="1">
      <c r="A1086" s="3" t="s">
        <v>35</v>
      </c>
      <c r="B1086" s="3">
        <f t="shared" si="32"/>
        <v>2003</v>
      </c>
      <c r="C1086" s="3">
        <f t="shared" si="33"/>
        <v>11</v>
      </c>
      <c r="D1086" s="20" t="str">
        <f t="shared" si="34"/>
        <v>ATO200311</v>
      </c>
      <c r="E1086" s="2">
        <v>37946</v>
      </c>
      <c r="F1086" s="3">
        <v>0.30499999999999999</v>
      </c>
      <c r="G1086" s="2">
        <v>37965</v>
      </c>
      <c r="H1086" s="3">
        <v>4.9299999999999997E-2</v>
      </c>
      <c r="I1086" s="3">
        <v>1.6666667E-2</v>
      </c>
      <c r="J1086" s="3">
        <v>5.0000000000000001E-3</v>
      </c>
      <c r="K1086" s="3">
        <f t="shared" si="35"/>
        <v>2003</v>
      </c>
      <c r="L1086" s="3">
        <f t="shared" si="36"/>
        <v>0</v>
      </c>
      <c r="M1086" s="20" t="str">
        <f>A1086&amp;L1086</f>
        <v>ATO0</v>
      </c>
      <c r="N1086" s="3">
        <f>F1086</f>
        <v>0.30499999999999999</v>
      </c>
      <c r="O1086" s="9">
        <f>H1086</f>
        <v>4.9299999999999997E-2</v>
      </c>
      <c r="P1086" s="10">
        <f t="shared" si="37"/>
        <v>5.0475000000000006E-2</v>
      </c>
      <c r="Q1086" s="10">
        <f>IF(K1086=0,IF(A1083=A1086,AVERAGE(O1083:O1086),"x"),0)</f>
        <v>0</v>
      </c>
      <c r="R1086" s="9">
        <f>IF(L1086&gt;2005,AVERAGE(O1083:O1102),0)</f>
        <v>0</v>
      </c>
      <c r="S1086" s="10">
        <f>IF(A1086=A1087,(N1086-N1087)/N1087,0)</f>
        <v>1.6666666666666684E-2</v>
      </c>
      <c r="T1086" s="10">
        <f>IF(L1086&gt;2005,(((N1086-N1106)/N1106)+1)^(1/5)-1,0)</f>
        <v>0</v>
      </c>
      <c r="U1086" s="10">
        <f t="shared" si="38"/>
        <v>0</v>
      </c>
      <c r="V1086" s="26">
        <f t="shared" si="39"/>
        <v>0</v>
      </c>
      <c r="W1086" s="3">
        <f>IF(A1086=A1087,N1086-N1087,0)</f>
        <v>5.0000000000000044E-3</v>
      </c>
      <c r="X1086" s="10">
        <f>IF(A1086=A1087,(N1086-N1087)/N1087,0)</f>
        <v>1.6666666666666684E-2</v>
      </c>
    </row>
    <row r="1087" spans="1:24" ht="16.5" customHeight="1">
      <c r="A1087" s="3" t="s">
        <v>35</v>
      </c>
      <c r="B1087" s="3">
        <f t="shared" si="32"/>
        <v>2003</v>
      </c>
      <c r="C1087" s="3">
        <f t="shared" si="33"/>
        <v>8</v>
      </c>
      <c r="D1087" s="20" t="str">
        <f t="shared" si="34"/>
        <v>ATO20038</v>
      </c>
      <c r="E1087" s="2">
        <v>37854</v>
      </c>
      <c r="F1087" s="3">
        <v>0.3</v>
      </c>
      <c r="G1087" s="2">
        <v>37874</v>
      </c>
      <c r="H1087" s="3">
        <v>4.8399999999999999E-2</v>
      </c>
      <c r="I1087" s="3">
        <v>0</v>
      </c>
      <c r="J1087" s="3">
        <v>0</v>
      </c>
      <c r="K1087" s="3">
        <f t="shared" si="35"/>
        <v>2003</v>
      </c>
      <c r="L1087" s="3">
        <f t="shared" si="36"/>
        <v>0</v>
      </c>
      <c r="M1087" s="20" t="str">
        <f>A1087&amp;L1087</f>
        <v>ATO0</v>
      </c>
      <c r="N1087" s="3">
        <f>F1087</f>
        <v>0.3</v>
      </c>
      <c r="O1087" s="9">
        <f>H1087</f>
        <v>4.8399999999999999E-2</v>
      </c>
      <c r="P1087" s="10">
        <f t="shared" si="37"/>
        <v>0</v>
      </c>
      <c r="Q1087" s="10">
        <f>IF(K1087=0,IF(A1084=A1087,AVERAGE(O1084:O1087),"x"),0)</f>
        <v>0</v>
      </c>
      <c r="R1087" s="9">
        <f>IF(L1087&gt;2005,AVERAGE(O1084:O1103),0)</f>
        <v>0</v>
      </c>
      <c r="S1087" s="10">
        <f>IF(A1087=A1088,(N1087-N1088)/N1088,0)</f>
        <v>0</v>
      </c>
      <c r="T1087" s="10">
        <f>IF(L1087&gt;2005,(((N1087-N1107)/N1107)+1)^(1/5)-1,0)</f>
        <v>0</v>
      </c>
      <c r="U1087" s="10">
        <f t="shared" si="38"/>
        <v>0</v>
      </c>
      <c r="V1087" s="26">
        <f t="shared" si="39"/>
        <v>0</v>
      </c>
      <c r="W1087" s="3">
        <f>IF(A1087=A1088,N1087-N1088,0)</f>
        <v>0</v>
      </c>
      <c r="X1087" s="10">
        <f>IF(A1087=A1088,(N1087-N1088)/N1088,0)</f>
        <v>0</v>
      </c>
    </row>
    <row r="1088" spans="1:24" ht="16.5" customHeight="1">
      <c r="A1088" s="3" t="s">
        <v>35</v>
      </c>
      <c r="B1088" s="3">
        <f t="shared" si="32"/>
        <v>2003</v>
      </c>
      <c r="C1088" s="3">
        <f t="shared" si="33"/>
        <v>5</v>
      </c>
      <c r="D1088" s="20" t="str">
        <f t="shared" si="34"/>
        <v>ATO20035</v>
      </c>
      <c r="E1088" s="2">
        <v>37763</v>
      </c>
      <c r="F1088" s="3">
        <v>0.3</v>
      </c>
      <c r="G1088" s="2">
        <v>37782</v>
      </c>
      <c r="H1088" s="3">
        <v>5.04E-2</v>
      </c>
      <c r="I1088" s="3">
        <v>0</v>
      </c>
      <c r="J1088" s="3">
        <v>0</v>
      </c>
      <c r="K1088" s="3">
        <f t="shared" si="35"/>
        <v>2003</v>
      </c>
      <c r="L1088" s="3">
        <f t="shared" si="36"/>
        <v>0</v>
      </c>
      <c r="M1088" s="20" t="str">
        <f>A1088&amp;L1088</f>
        <v>ATO0</v>
      </c>
      <c r="N1088" s="3">
        <f>F1088</f>
        <v>0.3</v>
      </c>
      <c r="O1088" s="9">
        <f>H1088</f>
        <v>5.04E-2</v>
      </c>
      <c r="P1088" s="10">
        <f t="shared" si="37"/>
        <v>0</v>
      </c>
      <c r="Q1088" s="10">
        <f>IF(K1088=0,IF(A1085=A1088,AVERAGE(O1085:O1088),"x"),0)</f>
        <v>0</v>
      </c>
      <c r="R1088" s="9">
        <f>IF(L1088&gt;2005,AVERAGE(O1085:O1104),0)</f>
        <v>0</v>
      </c>
      <c r="S1088" s="10">
        <f>IF(A1088=A1089,(N1088-N1089)/N1089,0)</f>
        <v>0</v>
      </c>
      <c r="T1088" s="10">
        <f>IF(L1088&gt;2005,(((N1088-N1108)/N1108)+1)^(1/5)-1,0)</f>
        <v>0</v>
      </c>
      <c r="U1088" s="10">
        <f t="shared" si="38"/>
        <v>0</v>
      </c>
      <c r="V1088" s="26">
        <f t="shared" si="39"/>
        <v>0</v>
      </c>
      <c r="W1088" s="3">
        <f>IF(A1088=A1089,N1088-N1089,0)</f>
        <v>0</v>
      </c>
      <c r="X1088" s="10">
        <f>IF(A1088=A1089,(N1088-N1089)/N1089,0)</f>
        <v>0</v>
      </c>
    </row>
    <row r="1089" spans="1:24" ht="16.5" customHeight="1">
      <c r="A1089" s="3" t="s">
        <v>35</v>
      </c>
      <c r="B1089" s="3">
        <f t="shared" si="32"/>
        <v>2003</v>
      </c>
      <c r="C1089" s="3">
        <f t="shared" si="33"/>
        <v>2</v>
      </c>
      <c r="D1089" s="20" t="str">
        <f t="shared" si="34"/>
        <v>ATO20032</v>
      </c>
      <c r="E1089" s="2">
        <v>37673</v>
      </c>
      <c r="F1089" s="3">
        <v>0.3</v>
      </c>
      <c r="G1089" s="2">
        <v>37690</v>
      </c>
      <c r="H1089" s="3">
        <v>5.3800000000000001E-2</v>
      </c>
      <c r="I1089" s="3">
        <v>0</v>
      </c>
      <c r="J1089" s="3">
        <v>0</v>
      </c>
      <c r="K1089" s="3">
        <f t="shared" si="35"/>
        <v>0</v>
      </c>
      <c r="L1089" s="3">
        <f t="shared" si="36"/>
        <v>2003</v>
      </c>
      <c r="M1089" s="20" t="str">
        <f>A1089&amp;L1089</f>
        <v>ATO2003</v>
      </c>
      <c r="N1089" s="3">
        <f>F1089</f>
        <v>0.3</v>
      </c>
      <c r="O1089" s="9">
        <f>H1089</f>
        <v>5.3800000000000001E-2</v>
      </c>
      <c r="P1089" s="10">
        <f t="shared" si="37"/>
        <v>0</v>
      </c>
      <c r="Q1089" s="10">
        <f>IF(K1089=0,IF(A1086=A1089,AVERAGE(O1086:O1089),"x"),0)</f>
        <v>5.0475000000000006E-2</v>
      </c>
      <c r="R1089" s="9">
        <f>IF(L1089&gt;2005,AVERAGE(O1086:O1105),0)</f>
        <v>0</v>
      </c>
      <c r="S1089" s="10">
        <f>IF(A1089=A1090,(N1089-N1090)/N1090,0)</f>
        <v>0</v>
      </c>
      <c r="T1089" s="10">
        <f>IF(L1089&gt;2005,(((N1089-N1109)/N1109)+1)^(1/5)-1,0)</f>
        <v>0</v>
      </c>
      <c r="U1089" s="10">
        <f t="shared" si="38"/>
        <v>0</v>
      </c>
      <c r="V1089" s="26">
        <f t="shared" si="39"/>
        <v>0</v>
      </c>
      <c r="W1089" s="3">
        <f>IF(A1089=A1090,N1089-N1090,0)</f>
        <v>0</v>
      </c>
      <c r="X1089" s="10">
        <f>IF(A1089=A1090,(N1089-N1090)/N1090,0)</f>
        <v>0</v>
      </c>
    </row>
    <row r="1090" spans="1:24" ht="16.5" customHeight="1">
      <c r="A1090" s="3" t="s">
        <v>35</v>
      </c>
      <c r="B1090" s="3">
        <f t="shared" si="32"/>
        <v>2002</v>
      </c>
      <c r="C1090" s="3">
        <f t="shared" si="33"/>
        <v>11</v>
      </c>
      <c r="D1090" s="20" t="str">
        <f t="shared" si="34"/>
        <v>ATO200211</v>
      </c>
      <c r="E1090" s="2">
        <v>37581</v>
      </c>
      <c r="F1090" s="3">
        <v>0.3</v>
      </c>
      <c r="G1090" s="2">
        <v>37600</v>
      </c>
      <c r="H1090" s="3">
        <v>5.33E-2</v>
      </c>
      <c r="I1090" s="3">
        <v>1.6949153000000002E-2</v>
      </c>
      <c r="J1090" s="3">
        <v>5.0000000000000001E-3</v>
      </c>
      <c r="K1090" s="3">
        <f t="shared" si="35"/>
        <v>2002</v>
      </c>
      <c r="L1090" s="3">
        <f t="shared" si="36"/>
        <v>0</v>
      </c>
      <c r="M1090" s="20" t="str">
        <f>A1090&amp;L1090</f>
        <v>ATO0</v>
      </c>
      <c r="N1090" s="3">
        <f>F1090</f>
        <v>0.3</v>
      </c>
      <c r="O1090" s="9">
        <f>H1090</f>
        <v>5.33E-2</v>
      </c>
      <c r="P1090" s="10">
        <f t="shared" si="37"/>
        <v>5.2400000000000002E-2</v>
      </c>
      <c r="Q1090" s="10">
        <f>IF(K1090=0,IF(A1087=A1090,AVERAGE(O1087:O1090),"x"),0)</f>
        <v>0</v>
      </c>
      <c r="R1090" s="9">
        <f>IF(L1090&gt;2005,AVERAGE(O1087:O1106),0)</f>
        <v>0</v>
      </c>
      <c r="S1090" s="10">
        <f>IF(A1090=A1091,(N1090-N1091)/N1091,0)</f>
        <v>1.6949152542372899E-2</v>
      </c>
      <c r="T1090" s="10">
        <f>IF(L1090&gt;2005,(((N1090-N1110)/N1110)+1)^(1/5)-1,0)</f>
        <v>0</v>
      </c>
      <c r="U1090" s="10">
        <f t="shared" si="38"/>
        <v>0</v>
      </c>
      <c r="V1090" s="26">
        <f t="shared" si="39"/>
        <v>0</v>
      </c>
      <c r="W1090" s="3">
        <f>IF(A1090=A1091,N1090-N1091,0)</f>
        <v>5.0000000000000044E-3</v>
      </c>
      <c r="X1090" s="10">
        <f>IF(A1090=A1091,(N1090-N1091)/N1091,0)</f>
        <v>1.6949152542372899E-2</v>
      </c>
    </row>
    <row r="1091" spans="1:24" ht="16.5" customHeight="1">
      <c r="A1091" s="3" t="s">
        <v>35</v>
      </c>
      <c r="B1091" s="3">
        <f t="shared" si="32"/>
        <v>2002</v>
      </c>
      <c r="C1091" s="3">
        <f t="shared" si="33"/>
        <v>8</v>
      </c>
      <c r="D1091" s="20" t="str">
        <f t="shared" si="34"/>
        <v>ATO20028</v>
      </c>
      <c r="E1091" s="2">
        <v>37490</v>
      </c>
      <c r="F1091" s="3">
        <v>0.29499999999999998</v>
      </c>
      <c r="G1091" s="2">
        <v>37509</v>
      </c>
      <c r="H1091" s="3">
        <v>5.3900000000000003E-2</v>
      </c>
      <c r="I1091" s="3">
        <v>0</v>
      </c>
      <c r="J1091" s="3">
        <v>0</v>
      </c>
      <c r="K1091" s="3">
        <f t="shared" si="35"/>
        <v>2002</v>
      </c>
      <c r="L1091" s="3">
        <f t="shared" si="36"/>
        <v>0</v>
      </c>
      <c r="M1091" s="20" t="str">
        <f>A1091&amp;L1091</f>
        <v>ATO0</v>
      </c>
      <c r="N1091" s="3">
        <f>F1091</f>
        <v>0.29499999999999998</v>
      </c>
      <c r="O1091" s="9">
        <f>H1091</f>
        <v>5.3900000000000003E-2</v>
      </c>
      <c r="P1091" s="10">
        <f t="shared" si="37"/>
        <v>0</v>
      </c>
      <c r="Q1091" s="10">
        <f>IF(K1091=0,IF(A1088=A1091,AVERAGE(O1088:O1091),"x"),0)</f>
        <v>0</v>
      </c>
      <c r="R1091" s="9">
        <f>IF(L1091&gt;2005,AVERAGE(O1088:O1107),0)</f>
        <v>0</v>
      </c>
      <c r="S1091" s="10">
        <f>IF(A1091=A1092,(N1091-N1092)/N1092,0)</f>
        <v>0</v>
      </c>
      <c r="T1091" s="10">
        <f>IF(L1091&gt;2005,(((N1091-N1111)/N1111)+1)^(1/5)-1,0)</f>
        <v>0</v>
      </c>
      <c r="U1091" s="10">
        <f t="shared" si="38"/>
        <v>0</v>
      </c>
      <c r="V1091" s="26">
        <f t="shared" si="39"/>
        <v>0</v>
      </c>
      <c r="W1091" s="3">
        <f>IF(A1091=A1092,N1091-N1092,0)</f>
        <v>0</v>
      </c>
      <c r="X1091" s="10">
        <f>IF(A1091=A1092,(N1091-N1092)/N1092,0)</f>
        <v>0</v>
      </c>
    </row>
    <row r="1092" spans="1:24" ht="16.5" customHeight="1">
      <c r="A1092" s="3" t="s">
        <v>35</v>
      </c>
      <c r="B1092" s="3">
        <f t="shared" si="32"/>
        <v>2002</v>
      </c>
      <c r="C1092" s="3">
        <f t="shared" si="33"/>
        <v>5</v>
      </c>
      <c r="D1092" s="20" t="str">
        <f t="shared" si="34"/>
        <v>ATO20025</v>
      </c>
      <c r="E1092" s="2">
        <v>37399</v>
      </c>
      <c r="F1092" s="3">
        <v>0.29499999999999998</v>
      </c>
      <c r="G1092" s="2">
        <v>37417</v>
      </c>
      <c r="H1092" s="3">
        <v>5.04E-2</v>
      </c>
      <c r="I1092" s="3">
        <v>0</v>
      </c>
      <c r="J1092" s="3">
        <v>0</v>
      </c>
      <c r="K1092" s="3">
        <f t="shared" si="35"/>
        <v>2002</v>
      </c>
      <c r="L1092" s="3">
        <f t="shared" si="36"/>
        <v>0</v>
      </c>
      <c r="M1092" s="20" t="str">
        <f>A1092&amp;L1092</f>
        <v>ATO0</v>
      </c>
      <c r="N1092" s="3">
        <f>F1092</f>
        <v>0.29499999999999998</v>
      </c>
      <c r="O1092" s="9">
        <f>H1092</f>
        <v>5.04E-2</v>
      </c>
      <c r="P1092" s="10">
        <f t="shared" si="37"/>
        <v>0</v>
      </c>
      <c r="Q1092" s="10">
        <f>IF(K1092=0,IF(A1089=A1092,AVERAGE(O1089:O1092),"x"),0)</f>
        <v>0</v>
      </c>
      <c r="R1092" s="9">
        <f>IF(L1092&gt;2005,AVERAGE(O1089:O1108),0)</f>
        <v>0</v>
      </c>
      <c r="S1092" s="10">
        <f>IF(A1092=A1093,(N1092-N1093)/N1093,0)</f>
        <v>0</v>
      </c>
      <c r="T1092" s="10">
        <f>IF(L1092&gt;2005,(((N1092-N1112)/N1112)+1)^(1/5)-1,0)</f>
        <v>0</v>
      </c>
      <c r="U1092" s="10">
        <f t="shared" si="38"/>
        <v>0</v>
      </c>
      <c r="V1092" s="26">
        <f t="shared" si="39"/>
        <v>0</v>
      </c>
      <c r="W1092" s="3">
        <f>IF(A1092=A1093,N1092-N1093,0)</f>
        <v>0</v>
      </c>
      <c r="X1092" s="10">
        <f>IF(A1092=A1093,(N1092-N1093)/N1093,0)</f>
        <v>0</v>
      </c>
    </row>
    <row r="1093" spans="1:24" ht="16.5" customHeight="1">
      <c r="A1093" s="3" t="s">
        <v>35</v>
      </c>
      <c r="B1093" s="3">
        <f t="shared" si="32"/>
        <v>2002</v>
      </c>
      <c r="C1093" s="3">
        <f t="shared" si="33"/>
        <v>2</v>
      </c>
      <c r="D1093" s="20" t="str">
        <f t="shared" si="34"/>
        <v>ATO20022</v>
      </c>
      <c r="E1093" s="2">
        <v>37308</v>
      </c>
      <c r="F1093" s="3">
        <v>0.29499999999999998</v>
      </c>
      <c r="G1093" s="2">
        <v>37326</v>
      </c>
      <c r="H1093" s="3">
        <v>5.1999999999999998E-2</v>
      </c>
      <c r="I1093" s="3">
        <v>0</v>
      </c>
      <c r="J1093" s="3">
        <v>0</v>
      </c>
      <c r="K1093" s="3">
        <f t="shared" si="35"/>
        <v>0</v>
      </c>
      <c r="L1093" s="3">
        <f t="shared" si="36"/>
        <v>2002</v>
      </c>
      <c r="M1093" s="20" t="str">
        <f>A1093&amp;L1093</f>
        <v>ATO2002</v>
      </c>
      <c r="N1093" s="3">
        <f>F1093</f>
        <v>0.29499999999999998</v>
      </c>
      <c r="O1093" s="9">
        <f>H1093</f>
        <v>5.1999999999999998E-2</v>
      </c>
      <c r="P1093" s="10">
        <f t="shared" si="37"/>
        <v>0</v>
      </c>
      <c r="Q1093" s="10">
        <f>IF(K1093=0,IF(A1090=A1093,AVERAGE(O1090:O1093),"x"),0)</f>
        <v>5.2400000000000002E-2</v>
      </c>
      <c r="R1093" s="9">
        <f>IF(L1093&gt;2005,AVERAGE(O1090:O1109),0)</f>
        <v>0</v>
      </c>
      <c r="S1093" s="10">
        <f>IF(A1093=A1094,(N1093-N1094)/N1094,0)</f>
        <v>0</v>
      </c>
      <c r="T1093" s="10">
        <f>IF(L1093&gt;2005,(((N1093-N1113)/N1113)+1)^(1/5)-1,0)</f>
        <v>0</v>
      </c>
      <c r="U1093" s="10">
        <f t="shared" si="38"/>
        <v>0</v>
      </c>
      <c r="V1093" s="26">
        <f t="shared" si="39"/>
        <v>0</v>
      </c>
      <c r="W1093" s="3">
        <f>IF(A1093=A1094,N1093-N1094,0)</f>
        <v>0</v>
      </c>
      <c r="X1093" s="10">
        <f>IF(A1093=A1094,(N1093-N1094)/N1094,0)</f>
        <v>0</v>
      </c>
    </row>
    <row r="1094" spans="1:24" ht="16.5" customHeight="1">
      <c r="A1094" s="3" t="s">
        <v>35</v>
      </c>
      <c r="B1094" s="3">
        <f t="shared" si="32"/>
        <v>2001</v>
      </c>
      <c r="C1094" s="3">
        <f t="shared" si="33"/>
        <v>11</v>
      </c>
      <c r="D1094" s="20" t="str">
        <f t="shared" si="34"/>
        <v>ATO200111</v>
      </c>
      <c r="E1094" s="2">
        <v>37216</v>
      </c>
      <c r="F1094" s="3">
        <v>0.29499999999999998</v>
      </c>
      <c r="G1094" s="2">
        <v>37235</v>
      </c>
      <c r="H1094" s="3">
        <v>5.4300000000000001E-2</v>
      </c>
      <c r="I1094" s="3">
        <v>1.7241379000000001E-2</v>
      </c>
      <c r="J1094" s="3">
        <v>5.0000000000000001E-3</v>
      </c>
      <c r="K1094" s="3">
        <f t="shared" si="35"/>
        <v>2001</v>
      </c>
      <c r="L1094" s="3">
        <f t="shared" si="36"/>
        <v>0</v>
      </c>
      <c r="M1094" s="20" t="str">
        <f>A1094&amp;L1094</f>
        <v>ATO0</v>
      </c>
      <c r="N1094" s="3">
        <f>F1094</f>
        <v>0.29499999999999998</v>
      </c>
      <c r="O1094" s="9">
        <f>H1094</f>
        <v>5.4300000000000001E-2</v>
      </c>
      <c r="P1094" s="10">
        <f t="shared" si="37"/>
        <v>5.0574999999999995E-2</v>
      </c>
      <c r="Q1094" s="10">
        <f>IF(K1094=0,IF(A1091=A1094,AVERAGE(O1091:O1094),"x"),0)</f>
        <v>0</v>
      </c>
      <c r="R1094" s="9">
        <f>IF(L1094&gt;2005,AVERAGE(O1091:O1110),0)</f>
        <v>0</v>
      </c>
      <c r="S1094" s="10">
        <f>IF(A1094=A1095,(N1094-N1095)/N1095,0)</f>
        <v>1.7241379310344845E-2</v>
      </c>
      <c r="T1094" s="10">
        <f>IF(L1094&gt;2005,(((N1094-N1114)/N1114)+1)^(1/5)-1,0)</f>
        <v>0</v>
      </c>
      <c r="U1094" s="10">
        <f t="shared" si="38"/>
        <v>0</v>
      </c>
      <c r="V1094" s="26">
        <f t="shared" si="39"/>
        <v>0</v>
      </c>
      <c r="W1094" s="3">
        <f>IF(A1094=A1095,N1094-N1095,0)</f>
        <v>5.0000000000000044E-3</v>
      </c>
      <c r="X1094" s="10">
        <f>IF(A1094=A1095,(N1094-N1095)/N1095,0)</f>
        <v>1.7241379310344845E-2</v>
      </c>
    </row>
    <row r="1095" spans="1:24" ht="16.5" customHeight="1">
      <c r="A1095" s="3" t="s">
        <v>35</v>
      </c>
      <c r="B1095" s="3">
        <f t="shared" si="32"/>
        <v>2001</v>
      </c>
      <c r="C1095" s="3">
        <f t="shared" si="33"/>
        <v>8</v>
      </c>
      <c r="D1095" s="20" t="str">
        <f t="shared" si="34"/>
        <v>ATO20018</v>
      </c>
      <c r="E1095" s="2">
        <v>37125</v>
      </c>
      <c r="F1095" s="3">
        <v>0.28999999999999998</v>
      </c>
      <c r="G1095" s="2">
        <v>37144</v>
      </c>
      <c r="H1095" s="3">
        <v>5.1499999999999997E-2</v>
      </c>
      <c r="I1095" s="3">
        <v>0</v>
      </c>
      <c r="J1095" s="3">
        <v>0</v>
      </c>
      <c r="K1095" s="3">
        <f t="shared" si="35"/>
        <v>2001</v>
      </c>
      <c r="L1095" s="3">
        <f t="shared" si="36"/>
        <v>0</v>
      </c>
      <c r="M1095" s="20" t="str">
        <f>A1095&amp;L1095</f>
        <v>ATO0</v>
      </c>
      <c r="N1095" s="3">
        <f>F1095</f>
        <v>0.28999999999999998</v>
      </c>
      <c r="O1095" s="9">
        <f>H1095</f>
        <v>5.1499999999999997E-2</v>
      </c>
      <c r="P1095" s="10">
        <f t="shared" si="37"/>
        <v>0</v>
      </c>
      <c r="Q1095" s="10">
        <f>IF(K1095=0,IF(A1092=A1095,AVERAGE(O1092:O1095),"x"),0)</f>
        <v>0</v>
      </c>
      <c r="R1095" s="9">
        <f>IF(L1095&gt;2005,AVERAGE(O1092:O1111),0)</f>
        <v>0</v>
      </c>
      <c r="S1095" s="10">
        <f>IF(A1095=A1096,(N1095-N1096)/N1096,0)</f>
        <v>0</v>
      </c>
      <c r="T1095" s="10">
        <f>IF(L1095&gt;2005,(((N1095-N1115)/N1115)+1)^(1/5)-1,0)</f>
        <v>0</v>
      </c>
      <c r="U1095" s="10">
        <f t="shared" si="38"/>
        <v>0</v>
      </c>
      <c r="V1095" s="26">
        <f t="shared" si="39"/>
        <v>0</v>
      </c>
      <c r="W1095" s="3">
        <f>IF(A1095=A1096,N1095-N1096,0)</f>
        <v>0</v>
      </c>
      <c r="X1095" s="10">
        <f>IF(A1095=A1096,(N1095-N1096)/N1096,0)</f>
        <v>0</v>
      </c>
    </row>
    <row r="1096" spans="1:24" ht="16.5" customHeight="1">
      <c r="A1096" s="3" t="s">
        <v>35</v>
      </c>
      <c r="B1096" s="3">
        <f t="shared" si="32"/>
        <v>2001</v>
      </c>
      <c r="C1096" s="3">
        <f t="shared" si="33"/>
        <v>5</v>
      </c>
      <c r="D1096" s="20" t="str">
        <f t="shared" si="34"/>
        <v>ATO20015</v>
      </c>
      <c r="E1096" s="2">
        <v>37034</v>
      </c>
      <c r="F1096" s="3">
        <v>0.28999999999999998</v>
      </c>
      <c r="G1096" s="2">
        <v>37053</v>
      </c>
      <c r="H1096" s="3">
        <v>4.9000000000000002E-2</v>
      </c>
      <c r="I1096" s="3">
        <v>0</v>
      </c>
      <c r="J1096" s="3">
        <v>0</v>
      </c>
      <c r="K1096" s="3">
        <f t="shared" si="35"/>
        <v>2001</v>
      </c>
      <c r="L1096" s="3">
        <f t="shared" si="36"/>
        <v>0</v>
      </c>
      <c r="M1096" s="20" t="str">
        <f>A1096&amp;L1096</f>
        <v>ATO0</v>
      </c>
      <c r="N1096" s="3">
        <f>F1096</f>
        <v>0.28999999999999998</v>
      </c>
      <c r="O1096" s="9">
        <f>H1096</f>
        <v>4.9000000000000002E-2</v>
      </c>
      <c r="P1096" s="10">
        <f t="shared" si="37"/>
        <v>0</v>
      </c>
      <c r="Q1096" s="10">
        <f>IF(K1096=0,IF(A1093=A1096,AVERAGE(O1093:O1096),"x"),0)</f>
        <v>0</v>
      </c>
      <c r="R1096" s="9">
        <f>IF(L1096&gt;2005,AVERAGE(O1093:O1112),0)</f>
        <v>0</v>
      </c>
      <c r="S1096" s="10">
        <f>IF(A1096=A1097,(N1096-N1097)/N1097,0)</f>
        <v>0</v>
      </c>
      <c r="T1096" s="10">
        <f>IF(L1096&gt;2005,(((N1096-N1116)/N1116)+1)^(1/5)-1,0)</f>
        <v>0</v>
      </c>
      <c r="U1096" s="10">
        <f t="shared" si="38"/>
        <v>0</v>
      </c>
      <c r="V1096" s="26">
        <f t="shared" si="39"/>
        <v>0</v>
      </c>
      <c r="W1096" s="3">
        <f>IF(A1096=A1097,N1096-N1097,0)</f>
        <v>0</v>
      </c>
      <c r="X1096" s="10">
        <f>IF(A1096=A1097,(N1096-N1097)/N1097,0)</f>
        <v>0</v>
      </c>
    </row>
    <row r="1097" spans="1:24" ht="16.5" customHeight="1">
      <c r="A1097" s="3" t="s">
        <v>35</v>
      </c>
      <c r="B1097" s="3">
        <f t="shared" si="32"/>
        <v>2001</v>
      </c>
      <c r="C1097" s="3">
        <f t="shared" si="33"/>
        <v>2</v>
      </c>
      <c r="D1097" s="20" t="str">
        <f t="shared" si="34"/>
        <v>ATO20012</v>
      </c>
      <c r="E1097" s="2">
        <v>36944</v>
      </c>
      <c r="F1097" s="3">
        <v>0.28999999999999998</v>
      </c>
      <c r="G1097" s="2">
        <v>36962</v>
      </c>
      <c r="H1097" s="3">
        <v>4.7500000000000001E-2</v>
      </c>
      <c r="I1097" s="3">
        <v>0</v>
      </c>
      <c r="J1097" s="3">
        <v>0</v>
      </c>
      <c r="K1097" s="3">
        <f t="shared" si="35"/>
        <v>0</v>
      </c>
      <c r="L1097" s="3">
        <f t="shared" si="36"/>
        <v>2001</v>
      </c>
      <c r="M1097" s="20" t="str">
        <f>A1097&amp;L1097</f>
        <v>ATO2001</v>
      </c>
      <c r="N1097" s="3">
        <f>F1097</f>
        <v>0.28999999999999998</v>
      </c>
      <c r="O1097" s="9">
        <f>H1097</f>
        <v>4.7500000000000001E-2</v>
      </c>
      <c r="P1097" s="10">
        <f t="shared" si="37"/>
        <v>0</v>
      </c>
      <c r="Q1097" s="10">
        <f>IF(K1097=0,IF(A1094=A1097,AVERAGE(O1094:O1097),"x"),0)</f>
        <v>5.0574999999999995E-2</v>
      </c>
      <c r="R1097" s="9">
        <f>IF(L1097&gt;2005,AVERAGE(O1094:O1113),0)</f>
        <v>0</v>
      </c>
      <c r="S1097" s="10">
        <f>IF(A1097=A1098,(N1097-N1098)/N1098,0)</f>
        <v>0</v>
      </c>
      <c r="T1097" s="10">
        <f>IF(L1097&gt;2005,(((N1097-N1117)/N1117)+1)^(1/5)-1,0)</f>
        <v>0</v>
      </c>
      <c r="U1097" s="10">
        <f t="shared" si="38"/>
        <v>0</v>
      </c>
      <c r="V1097" s="26">
        <f t="shared" si="39"/>
        <v>0</v>
      </c>
      <c r="W1097" s="3">
        <f>IF(A1097=A1098,N1097-N1098,0)</f>
        <v>0</v>
      </c>
      <c r="X1097" s="10">
        <f>IF(A1097=A1098,(N1097-N1098)/N1098,0)</f>
        <v>0</v>
      </c>
    </row>
    <row r="1098" spans="1:24" ht="16.5" customHeight="1">
      <c r="A1098" s="3" t="s">
        <v>35</v>
      </c>
      <c r="B1098" s="3">
        <f t="shared" si="32"/>
        <v>2000</v>
      </c>
      <c r="C1098" s="3">
        <f t="shared" si="33"/>
        <v>11</v>
      </c>
      <c r="D1098" s="20" t="str">
        <f t="shared" si="34"/>
        <v>ATO200011</v>
      </c>
      <c r="E1098" s="2">
        <v>36850</v>
      </c>
      <c r="F1098" s="3">
        <v>0.28999999999999998</v>
      </c>
      <c r="G1098" s="2">
        <v>36871</v>
      </c>
      <c r="H1098" s="3">
        <v>4.65E-2</v>
      </c>
      <c r="I1098" s="3">
        <v>1.7543860000000001E-2</v>
      </c>
      <c r="J1098" s="3">
        <v>5.0000000000000001E-3</v>
      </c>
      <c r="K1098" s="3">
        <f t="shared" si="35"/>
        <v>2000</v>
      </c>
      <c r="L1098" s="3">
        <f t="shared" si="36"/>
        <v>0</v>
      </c>
      <c r="M1098" s="20" t="str">
        <f>A1098&amp;L1098</f>
        <v>ATO0</v>
      </c>
      <c r="N1098" s="3">
        <f>F1098</f>
        <v>0.28999999999999998</v>
      </c>
      <c r="O1098" s="9">
        <f>H1098</f>
        <v>4.65E-2</v>
      </c>
      <c r="P1098" s="10">
        <f t="shared" si="37"/>
        <v>5.8650000000000001E-2</v>
      </c>
      <c r="Q1098" s="10">
        <f>IF(K1098=0,IF(A1095=A1098,AVERAGE(O1095:O1098),"x"),0)</f>
        <v>0</v>
      </c>
      <c r="R1098" s="9">
        <f>IF(L1098&gt;2005,AVERAGE(O1095:O1114),0)</f>
        <v>0</v>
      </c>
      <c r="S1098" s="10">
        <f>IF(A1098=A1099,(N1098-N1099)/N1099,0)</f>
        <v>1.7543859649122823E-2</v>
      </c>
      <c r="T1098" s="10">
        <f>IF(L1098&gt;2005,(((N1098-N1118)/N1118)+1)^(1/5)-1,0)</f>
        <v>0</v>
      </c>
      <c r="U1098" s="10">
        <f t="shared" si="38"/>
        <v>0</v>
      </c>
      <c r="V1098" s="26">
        <f t="shared" si="39"/>
        <v>0</v>
      </c>
      <c r="W1098" s="3">
        <f>IF(A1098=A1099,N1098-N1099,0)</f>
        <v>5.0000000000000044E-3</v>
      </c>
      <c r="X1098" s="10">
        <f>IF(A1098=A1099,(N1098-N1099)/N1099,0)</f>
        <v>1.7543859649122823E-2</v>
      </c>
    </row>
    <row r="1099" spans="1:24" ht="16.5" customHeight="1">
      <c r="A1099" s="3" t="s">
        <v>35</v>
      </c>
      <c r="B1099" s="3">
        <f t="shared" si="32"/>
        <v>2000</v>
      </c>
      <c r="C1099" s="3">
        <f t="shared" si="33"/>
        <v>8</v>
      </c>
      <c r="D1099" s="20" t="str">
        <f t="shared" si="34"/>
        <v>ATO20008</v>
      </c>
      <c r="E1099" s="2">
        <v>36761</v>
      </c>
      <c r="F1099" s="3">
        <v>0.28499999999999998</v>
      </c>
      <c r="G1099" s="2">
        <v>36780</v>
      </c>
      <c r="H1099" s="3">
        <v>5.1499999999999997E-2</v>
      </c>
      <c r="I1099" s="3">
        <v>0</v>
      </c>
      <c r="J1099" s="3">
        <v>0</v>
      </c>
      <c r="K1099" s="3">
        <f t="shared" si="35"/>
        <v>2000</v>
      </c>
      <c r="L1099" s="3">
        <f t="shared" si="36"/>
        <v>0</v>
      </c>
      <c r="M1099" s="20" t="str">
        <f>A1099&amp;L1099</f>
        <v>ATO0</v>
      </c>
      <c r="N1099" s="3">
        <f>F1099</f>
        <v>0.28499999999999998</v>
      </c>
      <c r="O1099" s="9">
        <f>H1099</f>
        <v>5.1499999999999997E-2</v>
      </c>
      <c r="P1099" s="10">
        <f t="shared" si="37"/>
        <v>0</v>
      </c>
      <c r="Q1099" s="10">
        <f>IF(K1099=0,IF(A1096=A1099,AVERAGE(O1096:O1099),"x"),0)</f>
        <v>0</v>
      </c>
      <c r="R1099" s="9">
        <f>IF(L1099&gt;2005,AVERAGE(O1096:O1115),0)</f>
        <v>0</v>
      </c>
      <c r="S1099" s="10">
        <f>IF(A1099=A1100,(N1099-N1100)/N1100,0)</f>
        <v>0</v>
      </c>
      <c r="T1099" s="10">
        <f>IF(L1099&gt;2005,(((N1099-N1119)/N1119)+1)^(1/5)-1,0)</f>
        <v>0</v>
      </c>
      <c r="U1099" s="10">
        <f t="shared" si="38"/>
        <v>0</v>
      </c>
      <c r="V1099" s="26">
        <f t="shared" si="39"/>
        <v>0</v>
      </c>
      <c r="W1099" s="3">
        <f>IF(A1099=A1100,N1099-N1100,0)</f>
        <v>0</v>
      </c>
      <c r="X1099" s="10">
        <f>IF(A1099=A1100,(N1099-N1100)/N1100,0)</f>
        <v>0</v>
      </c>
    </row>
    <row r="1100" spans="1:24" ht="16.5" customHeight="1">
      <c r="A1100" s="3" t="s">
        <v>35</v>
      </c>
      <c r="B1100" s="3">
        <f t="shared" si="32"/>
        <v>2000</v>
      </c>
      <c r="C1100" s="3">
        <f t="shared" si="33"/>
        <v>5</v>
      </c>
      <c r="D1100" s="20" t="str">
        <f t="shared" si="34"/>
        <v>ATO20005</v>
      </c>
      <c r="E1100" s="2">
        <v>36669</v>
      </c>
      <c r="F1100" s="3">
        <v>0.28499999999999998</v>
      </c>
      <c r="G1100" s="2">
        <v>36689</v>
      </c>
      <c r="H1100" s="3">
        <v>6.9000000000000006E-2</v>
      </c>
      <c r="I1100" s="3">
        <v>0</v>
      </c>
      <c r="J1100" s="3">
        <v>0</v>
      </c>
      <c r="K1100" s="3">
        <f t="shared" si="35"/>
        <v>2000</v>
      </c>
      <c r="L1100" s="3">
        <f t="shared" si="36"/>
        <v>0</v>
      </c>
      <c r="M1100" s="20" t="str">
        <f>A1100&amp;L1100</f>
        <v>ATO0</v>
      </c>
      <c r="N1100" s="3">
        <f>F1100</f>
        <v>0.28499999999999998</v>
      </c>
      <c r="O1100" s="9">
        <f>H1100</f>
        <v>6.9000000000000006E-2</v>
      </c>
      <c r="P1100" s="10">
        <f t="shared" si="37"/>
        <v>0</v>
      </c>
      <c r="Q1100" s="10">
        <f>IF(K1100=0,IF(A1097=A1100,AVERAGE(O1097:O1100),"x"),0)</f>
        <v>0</v>
      </c>
      <c r="R1100" s="9">
        <f>IF(L1100&gt;2005,AVERAGE(O1097:O1116),0)</f>
        <v>0</v>
      </c>
      <c r="S1100" s="10">
        <f>IF(A1100=A1101,(N1100-N1101)/N1101,0)</f>
        <v>0</v>
      </c>
      <c r="T1100" s="10">
        <f>IF(L1100&gt;2005,(((N1100-N1120)/N1120)+1)^(1/5)-1,0)</f>
        <v>0</v>
      </c>
      <c r="U1100" s="10">
        <f t="shared" si="38"/>
        <v>0</v>
      </c>
      <c r="V1100" s="26">
        <f t="shared" si="39"/>
        <v>0</v>
      </c>
      <c r="W1100" s="3">
        <f>IF(A1100=A1101,N1100-N1101,0)</f>
        <v>0</v>
      </c>
      <c r="X1100" s="10">
        <f>IF(A1100=A1101,(N1100-N1101)/N1101,0)</f>
        <v>0</v>
      </c>
    </row>
    <row r="1101" spans="1:24" ht="16.5" customHeight="1">
      <c r="A1101" s="14" t="s">
        <v>35</v>
      </c>
      <c r="B1101" s="3">
        <f t="shared" si="32"/>
        <v>2000</v>
      </c>
      <c r="C1101" s="3">
        <f t="shared" si="33"/>
        <v>2</v>
      </c>
      <c r="D1101" s="20" t="str">
        <f t="shared" si="34"/>
        <v>ATO20002</v>
      </c>
      <c r="E1101" s="15">
        <v>36579</v>
      </c>
      <c r="F1101" s="14">
        <v>0.28499999999999998</v>
      </c>
      <c r="G1101" s="15">
        <v>36595</v>
      </c>
      <c r="H1101" s="14">
        <v>6.7599999999999993E-2</v>
      </c>
      <c r="I1101" s="14">
        <v>0</v>
      </c>
      <c r="J1101" s="14">
        <v>0</v>
      </c>
      <c r="K1101" s="3">
        <f t="shared" si="35"/>
        <v>0</v>
      </c>
      <c r="L1101" s="3">
        <f t="shared" si="36"/>
        <v>2000</v>
      </c>
      <c r="M1101" s="20" t="str">
        <f>A1101&amp;L1101</f>
        <v>ATO2000</v>
      </c>
      <c r="N1101" s="14">
        <f>F1101</f>
        <v>0.28499999999999998</v>
      </c>
      <c r="O1101" s="9">
        <f>H1101</f>
        <v>6.7599999999999993E-2</v>
      </c>
      <c r="P1101" s="10">
        <f t="shared" si="37"/>
        <v>0</v>
      </c>
      <c r="Q1101" s="10">
        <f>IF(K1101=0,IF(A1098=A1101,AVERAGE(O1098:O1101),"x"),0)</f>
        <v>5.8650000000000001E-2</v>
      </c>
      <c r="R1101" s="9">
        <f>IF(L1101&gt;2005,AVERAGE(O1098:O1117),0)</f>
        <v>0</v>
      </c>
      <c r="S1101" s="10">
        <f>IF(A1101=A1102,(N1101-N1102)/N1102,0)</f>
        <v>0</v>
      </c>
      <c r="T1101" s="10">
        <f>IF(L1101&gt;2005,(((N1101-N1121)/N1121)+1)^(1/5)-1,0)</f>
        <v>0</v>
      </c>
      <c r="U1101" s="10">
        <f t="shared" si="38"/>
        <v>0</v>
      </c>
      <c r="V1101" s="26">
        <f t="shared" si="39"/>
        <v>0</v>
      </c>
      <c r="W1101" s="3">
        <f>IF(A1101=A1102,N1101-N1102,0)</f>
        <v>0</v>
      </c>
      <c r="X1101" s="10">
        <f>IF(A1101=A1102,(N1101-N1102)/N1102,0)</f>
        <v>0</v>
      </c>
    </row>
    <row r="1102" spans="1:24" ht="16.5" customHeight="1">
      <c r="A1102" s="3" t="s">
        <v>36</v>
      </c>
      <c r="B1102" s="3">
        <f t="shared" si="32"/>
        <v>2022</v>
      </c>
      <c r="C1102" s="3">
        <f t="shared" si="33"/>
        <v>11</v>
      </c>
      <c r="D1102" s="20" t="str">
        <f t="shared" si="34"/>
        <v>CVX202211</v>
      </c>
      <c r="E1102" s="2">
        <v>44882</v>
      </c>
      <c r="F1102" s="3">
        <v>1.42</v>
      </c>
      <c r="G1102" s="2">
        <v>44907</v>
      </c>
      <c r="H1102" s="3">
        <v>3.1600000000000003E-2</v>
      </c>
      <c r="I1102" s="3">
        <v>0</v>
      </c>
      <c r="J1102" s="3">
        <v>0</v>
      </c>
      <c r="K1102" s="3">
        <f t="shared" si="35"/>
        <v>2022</v>
      </c>
      <c r="L1102" s="3">
        <f t="shared" si="36"/>
        <v>0</v>
      </c>
      <c r="M1102" s="20" t="str">
        <f>A1102&amp;L1102</f>
        <v>CVX0</v>
      </c>
      <c r="N1102" s="3">
        <f>F1102</f>
        <v>1.42</v>
      </c>
      <c r="O1102" s="9">
        <f>H1102</f>
        <v>3.1600000000000003E-2</v>
      </c>
      <c r="P1102" s="10">
        <f t="shared" si="37"/>
        <v>0</v>
      </c>
      <c r="Q1102" s="10">
        <f>IF(K1102=0,IF(A1099=A1102,AVERAGE(O1099:O1102),"x"),0)</f>
        <v>0</v>
      </c>
      <c r="R1102" s="9">
        <f>IF(L1102&gt;2005,AVERAGE(O1099:O1118),0)</f>
        <v>0</v>
      </c>
      <c r="S1102" s="10">
        <f>IF(A1102=A1103,(N1102-N1103)/N1103,0)</f>
        <v>0</v>
      </c>
      <c r="T1102" s="10">
        <f>IF(L1102&gt;2005,(((N1102-N1122)/N1122)+1)^(1/5)-1,0)</f>
        <v>0</v>
      </c>
      <c r="U1102" s="10">
        <f t="shared" si="38"/>
        <v>0</v>
      </c>
      <c r="V1102" s="26">
        <f t="shared" si="39"/>
        <v>0</v>
      </c>
      <c r="W1102" s="3">
        <f>IF(A1102=A1103,N1102-N1103,0)</f>
        <v>0</v>
      </c>
      <c r="X1102" s="10">
        <f>IF(A1102=A1103,(N1102-N1103)/N1103,0)</f>
        <v>0</v>
      </c>
    </row>
    <row r="1103" spans="1:24" ht="16.5" customHeight="1">
      <c r="A1103" s="3" t="s">
        <v>36</v>
      </c>
      <c r="B1103" s="3">
        <f t="shared" si="32"/>
        <v>2022</v>
      </c>
      <c r="C1103" s="3">
        <f t="shared" si="33"/>
        <v>8</v>
      </c>
      <c r="D1103" s="20" t="str">
        <f t="shared" si="34"/>
        <v>CVX20228</v>
      </c>
      <c r="E1103" s="2">
        <v>44791</v>
      </c>
      <c r="F1103" s="3">
        <v>1.42</v>
      </c>
      <c r="G1103" s="2">
        <v>44816</v>
      </c>
      <c r="H1103" s="3">
        <v>3.5999999999999997E-2</v>
      </c>
      <c r="I1103" s="3">
        <v>0</v>
      </c>
      <c r="J1103" s="3">
        <v>0</v>
      </c>
      <c r="K1103" s="3">
        <f t="shared" si="35"/>
        <v>2022</v>
      </c>
      <c r="L1103" s="3">
        <f t="shared" si="36"/>
        <v>0</v>
      </c>
      <c r="M1103" s="20" t="str">
        <f>A1103&amp;L1103</f>
        <v>CVX0</v>
      </c>
      <c r="N1103" s="3">
        <f>F1103</f>
        <v>1.42</v>
      </c>
      <c r="O1103" s="9">
        <f>H1103</f>
        <v>3.5999999999999997E-2</v>
      </c>
      <c r="P1103" s="10">
        <f t="shared" si="37"/>
        <v>0</v>
      </c>
      <c r="Q1103" s="10">
        <f>IF(K1103=0,IF(A1100=A1103,AVERAGE(O1100:O1103),"x"),0)</f>
        <v>0</v>
      </c>
      <c r="R1103" s="9">
        <f>IF(L1103&gt;2005,AVERAGE(O1100:O1119),0)</f>
        <v>0</v>
      </c>
      <c r="S1103" s="10">
        <f>IF(A1103=A1104,(N1103-N1104)/N1104,0)</f>
        <v>0</v>
      </c>
      <c r="T1103" s="10">
        <f>IF(L1103&gt;2005,(((N1103-N1123)/N1123)+1)^(1/5)-1,0)</f>
        <v>0</v>
      </c>
      <c r="U1103" s="10">
        <f t="shared" si="38"/>
        <v>0</v>
      </c>
      <c r="V1103" s="26">
        <f t="shared" si="39"/>
        <v>0</v>
      </c>
      <c r="W1103" s="3">
        <f>IF(A1103=A1104,N1103-N1104,0)</f>
        <v>0</v>
      </c>
      <c r="X1103" s="10">
        <f>IF(A1103=A1104,(N1103-N1104)/N1104,0)</f>
        <v>0</v>
      </c>
    </row>
    <row r="1104" spans="1:24" ht="16.5" customHeight="1">
      <c r="A1104" s="3" t="s">
        <v>36</v>
      </c>
      <c r="B1104" s="3">
        <f t="shared" si="32"/>
        <v>2022</v>
      </c>
      <c r="C1104" s="3">
        <f t="shared" si="33"/>
        <v>5</v>
      </c>
      <c r="D1104" s="20" t="str">
        <f t="shared" si="34"/>
        <v>CVX20225</v>
      </c>
      <c r="E1104" s="2">
        <v>44699</v>
      </c>
      <c r="F1104" s="3">
        <v>1.42</v>
      </c>
      <c r="G1104" s="2">
        <v>44722</v>
      </c>
      <c r="H1104" s="3">
        <v>3.2599999999999997E-2</v>
      </c>
      <c r="I1104" s="3">
        <v>0</v>
      </c>
      <c r="J1104" s="3">
        <v>0</v>
      </c>
      <c r="K1104" s="3">
        <f t="shared" si="35"/>
        <v>2022</v>
      </c>
      <c r="L1104" s="3">
        <f t="shared" si="36"/>
        <v>0</v>
      </c>
      <c r="M1104" s="20" t="str">
        <f>A1104&amp;L1104</f>
        <v>CVX0</v>
      </c>
      <c r="N1104" s="3">
        <f>F1104</f>
        <v>1.42</v>
      </c>
      <c r="O1104" s="9">
        <f>H1104</f>
        <v>3.2599999999999997E-2</v>
      </c>
      <c r="P1104" s="10">
        <f t="shared" si="37"/>
        <v>0</v>
      </c>
      <c r="Q1104" s="10">
        <f>IF(K1104=0,IF(A1101=A1104,AVERAGE(O1101:O1104),"x"),0)</f>
        <v>0</v>
      </c>
      <c r="R1104" s="9">
        <f>IF(L1104&gt;2005,AVERAGE(O1101:O1120),0)</f>
        <v>0</v>
      </c>
      <c r="S1104" s="10">
        <f>IF(A1104=A1105,(N1104-N1105)/N1105,0)</f>
        <v>0</v>
      </c>
      <c r="T1104" s="10">
        <f>IF(L1104&gt;2005,(((N1104-N1124)/N1124)+1)^(1/5)-1,0)</f>
        <v>0</v>
      </c>
      <c r="U1104" s="10">
        <f t="shared" si="38"/>
        <v>0</v>
      </c>
      <c r="V1104" s="26">
        <f t="shared" si="39"/>
        <v>0</v>
      </c>
      <c r="W1104" s="3">
        <f>IF(A1104=A1105,N1104-N1105,0)</f>
        <v>0</v>
      </c>
      <c r="X1104" s="10">
        <f>IF(A1104=A1105,(N1104-N1105)/N1105,0)</f>
        <v>0</v>
      </c>
    </row>
    <row r="1105" spans="1:24" ht="16.5" customHeight="1">
      <c r="A1105" s="3" t="s">
        <v>36</v>
      </c>
      <c r="B1105" s="3">
        <f t="shared" si="32"/>
        <v>2022</v>
      </c>
      <c r="C1105" s="3">
        <f t="shared" si="33"/>
        <v>2</v>
      </c>
      <c r="D1105" s="20" t="str">
        <f t="shared" si="34"/>
        <v>CVX20222</v>
      </c>
      <c r="E1105" s="2">
        <v>44607</v>
      </c>
      <c r="F1105" s="3">
        <v>1.42</v>
      </c>
      <c r="G1105" s="2">
        <v>44630</v>
      </c>
      <c r="H1105" s="3">
        <v>4.1599999999999998E-2</v>
      </c>
      <c r="I1105" s="3">
        <v>5.9701493000000001E-2</v>
      </c>
      <c r="J1105" s="3">
        <v>0.08</v>
      </c>
      <c r="K1105" s="3">
        <f t="shared" si="35"/>
        <v>0</v>
      </c>
      <c r="L1105" s="3">
        <f t="shared" si="36"/>
        <v>2022</v>
      </c>
      <c r="M1105" s="20" t="str">
        <f>A1105&amp;L1105</f>
        <v>CVX2022</v>
      </c>
      <c r="N1105" s="3">
        <f>F1105</f>
        <v>1.42</v>
      </c>
      <c r="O1105" s="9">
        <f>H1105</f>
        <v>4.1599999999999998E-2</v>
      </c>
      <c r="P1105" s="10">
        <f t="shared" si="37"/>
        <v>4.7224999999999996E-2</v>
      </c>
      <c r="Q1105" s="10">
        <f>IF(K1105=0,IF(A1102=A1105,AVERAGE(O1102:O1105),"x"),0)</f>
        <v>3.5449999999999995E-2</v>
      </c>
      <c r="R1105" s="9">
        <f>IF(L1105&gt;2005,AVERAGE(O1102:O1121),0)</f>
        <v>4.3649999999999994E-2</v>
      </c>
      <c r="S1105" s="10">
        <f>IF(A1105=A1106,(N1105-N1106)/N1106,0)</f>
        <v>5.9701492537313314E-2</v>
      </c>
      <c r="T1105" s="10">
        <f>IF(L1105&gt;2005,(((N1105-N1125)/N1125)+1)^(1/5)-1,0)</f>
        <v>5.6265068998998302E-2</v>
      </c>
      <c r="U1105" s="10">
        <f t="shared" si="38"/>
        <v>9.9915068998998297E-2</v>
      </c>
      <c r="V1105" s="26">
        <f t="shared" si="39"/>
        <v>4.4353018572602334</v>
      </c>
      <c r="W1105" s="3">
        <f>IF(A1105=A1106,N1105-N1106,0)</f>
        <v>7.9999999999999849E-2</v>
      </c>
      <c r="X1105" s="10">
        <f>IF(A1105=A1106,(N1105-N1106)/N1106,0)</f>
        <v>5.9701492537313314E-2</v>
      </c>
    </row>
    <row r="1106" spans="1:24" ht="16.5" customHeight="1">
      <c r="A1106" s="3" t="s">
        <v>36</v>
      </c>
      <c r="B1106" s="3">
        <f t="shared" si="32"/>
        <v>2021</v>
      </c>
      <c r="C1106" s="3">
        <f t="shared" si="33"/>
        <v>11</v>
      </c>
      <c r="D1106" s="20" t="str">
        <f t="shared" si="34"/>
        <v>CVX202111</v>
      </c>
      <c r="E1106" s="2">
        <v>44517</v>
      </c>
      <c r="F1106" s="3">
        <v>1.34</v>
      </c>
      <c r="G1106" s="2">
        <v>44540</v>
      </c>
      <c r="H1106" s="3">
        <v>4.5699999999999998E-2</v>
      </c>
      <c r="I1106" s="3">
        <v>0</v>
      </c>
      <c r="J1106" s="3">
        <v>0</v>
      </c>
      <c r="K1106" s="3">
        <f t="shared" si="35"/>
        <v>2021</v>
      </c>
      <c r="L1106" s="3">
        <f t="shared" si="36"/>
        <v>0</v>
      </c>
      <c r="M1106" s="20" t="str">
        <f>A1106&amp;L1106</f>
        <v>CVX0</v>
      </c>
      <c r="N1106" s="3">
        <f>F1106</f>
        <v>1.34</v>
      </c>
      <c r="O1106" s="9">
        <f>H1106</f>
        <v>4.5699999999999998E-2</v>
      </c>
      <c r="P1106" s="10">
        <f t="shared" si="37"/>
        <v>0</v>
      </c>
      <c r="Q1106" s="10">
        <f>IF(K1106=0,IF(A1103=A1106,AVERAGE(O1103:O1106),"x"),0)</f>
        <v>0</v>
      </c>
      <c r="R1106" s="9">
        <f>IF(L1106&gt;2005,AVERAGE(O1103:O1122),0)</f>
        <v>0</v>
      </c>
      <c r="S1106" s="10">
        <f>IF(A1106=A1107,(N1106-N1107)/N1107,0)</f>
        <v>0</v>
      </c>
      <c r="T1106" s="10">
        <f>IF(L1106&gt;2005,(((N1106-N1126)/N1126)+1)^(1/5)-1,0)</f>
        <v>0</v>
      </c>
      <c r="U1106" s="10">
        <f t="shared" si="38"/>
        <v>0</v>
      </c>
      <c r="V1106" s="26">
        <f t="shared" si="39"/>
        <v>0</v>
      </c>
      <c r="W1106" s="3">
        <f>IF(A1106=A1107,N1106-N1107,0)</f>
        <v>0</v>
      </c>
      <c r="X1106" s="10">
        <f>IF(A1106=A1107,(N1106-N1107)/N1107,0)</f>
        <v>0</v>
      </c>
    </row>
    <row r="1107" spans="1:24" ht="16.5" customHeight="1">
      <c r="A1107" s="3" t="s">
        <v>36</v>
      </c>
      <c r="B1107" s="3">
        <f t="shared" si="32"/>
        <v>2021</v>
      </c>
      <c r="C1107" s="3">
        <f t="shared" si="33"/>
        <v>8</v>
      </c>
      <c r="D1107" s="20" t="str">
        <f t="shared" si="34"/>
        <v>CVX20218</v>
      </c>
      <c r="E1107" s="2">
        <v>44426</v>
      </c>
      <c r="F1107" s="3">
        <v>1.34</v>
      </c>
      <c r="G1107" s="2">
        <v>44449</v>
      </c>
      <c r="H1107" s="3">
        <v>5.3199999999999997E-2</v>
      </c>
      <c r="I1107" s="3">
        <v>0</v>
      </c>
      <c r="J1107" s="3">
        <v>0</v>
      </c>
      <c r="K1107" s="3">
        <f t="shared" si="35"/>
        <v>2021</v>
      </c>
      <c r="L1107" s="3">
        <f t="shared" si="36"/>
        <v>0</v>
      </c>
      <c r="M1107" s="20" t="str">
        <f>A1107&amp;L1107</f>
        <v>CVX0</v>
      </c>
      <c r="N1107" s="3">
        <f>F1107</f>
        <v>1.34</v>
      </c>
      <c r="O1107" s="9">
        <f>H1107</f>
        <v>5.3199999999999997E-2</v>
      </c>
      <c r="P1107" s="10">
        <f t="shared" si="37"/>
        <v>0</v>
      </c>
      <c r="Q1107" s="10">
        <f>IF(K1107=0,IF(A1104=A1107,AVERAGE(O1104:O1107),"x"),0)</f>
        <v>0</v>
      </c>
      <c r="R1107" s="9">
        <f>IF(L1107&gt;2005,AVERAGE(O1104:O1123),0)</f>
        <v>0</v>
      </c>
      <c r="S1107" s="10">
        <f>IF(A1107=A1108,(N1107-N1108)/N1108,0)</f>
        <v>0</v>
      </c>
      <c r="T1107" s="10">
        <f>IF(L1107&gt;2005,(((N1107-N1127)/N1127)+1)^(1/5)-1,0)</f>
        <v>0</v>
      </c>
      <c r="U1107" s="10">
        <f t="shared" si="38"/>
        <v>0</v>
      </c>
      <c r="V1107" s="26">
        <f t="shared" si="39"/>
        <v>0</v>
      </c>
      <c r="W1107" s="3">
        <f>IF(A1107=A1108,N1107-N1108,0)</f>
        <v>0</v>
      </c>
      <c r="X1107" s="10">
        <f>IF(A1107=A1108,(N1107-N1108)/N1108,0)</f>
        <v>0</v>
      </c>
    </row>
    <row r="1108" spans="1:24" ht="16.5" customHeight="1">
      <c r="A1108" s="3" t="s">
        <v>36</v>
      </c>
      <c r="B1108" s="3">
        <f t="shared" si="32"/>
        <v>2021</v>
      </c>
      <c r="C1108" s="3">
        <f t="shared" si="33"/>
        <v>5</v>
      </c>
      <c r="D1108" s="20" t="str">
        <f t="shared" si="34"/>
        <v>CVX20215</v>
      </c>
      <c r="E1108" s="2">
        <v>44334</v>
      </c>
      <c r="F1108" s="3">
        <v>1.34</v>
      </c>
      <c r="G1108" s="2">
        <v>44357</v>
      </c>
      <c r="H1108" s="3">
        <v>4.8399999999999999E-2</v>
      </c>
      <c r="I1108" s="3">
        <v>3.8759689999999999E-2</v>
      </c>
      <c r="J1108" s="3">
        <v>0.05</v>
      </c>
      <c r="K1108" s="3">
        <f t="shared" si="35"/>
        <v>2021</v>
      </c>
      <c r="L1108" s="3">
        <f t="shared" si="36"/>
        <v>0</v>
      </c>
      <c r="M1108" s="20" t="str">
        <f>A1108&amp;L1108</f>
        <v>CVX0</v>
      </c>
      <c r="N1108" s="3">
        <f>F1108</f>
        <v>1.34</v>
      </c>
      <c r="O1108" s="9">
        <f>H1108</f>
        <v>4.8399999999999999E-2</v>
      </c>
      <c r="P1108" s="10">
        <f t="shared" si="37"/>
        <v>5.4750000000000007E-2</v>
      </c>
      <c r="Q1108" s="10">
        <f>IF(K1108=0,IF(A1105=A1108,AVERAGE(O1105:O1108),"x"),0)</f>
        <v>0</v>
      </c>
      <c r="R1108" s="9">
        <f>IF(L1108&gt;2005,AVERAGE(O1105:O1124),0)</f>
        <v>0</v>
      </c>
      <c r="S1108" s="10">
        <f>IF(A1108=A1109,(N1108-N1109)/N1109,0)</f>
        <v>3.8759689922480654E-2</v>
      </c>
      <c r="T1108" s="10">
        <f>IF(L1108&gt;2005,(((N1108-N1128)/N1128)+1)^(1/5)-1,0)</f>
        <v>0</v>
      </c>
      <c r="U1108" s="10">
        <f t="shared" si="38"/>
        <v>0</v>
      </c>
      <c r="V1108" s="26">
        <f t="shared" si="39"/>
        <v>0</v>
      </c>
      <c r="W1108" s="3">
        <f>IF(A1108=A1109,N1108-N1109,0)</f>
        <v>5.0000000000000044E-2</v>
      </c>
      <c r="X1108" s="10">
        <f>IF(A1108=A1109,(N1108-N1109)/N1109,0)</f>
        <v>3.8759689922480654E-2</v>
      </c>
    </row>
    <row r="1109" spans="1:24" ht="16.5" customHeight="1">
      <c r="A1109" s="3" t="s">
        <v>36</v>
      </c>
      <c r="B1109" s="3">
        <f t="shared" si="32"/>
        <v>2021</v>
      </c>
      <c r="C1109" s="3">
        <f t="shared" si="33"/>
        <v>2</v>
      </c>
      <c r="D1109" s="20" t="str">
        <f t="shared" si="34"/>
        <v>CVX20212</v>
      </c>
      <c r="E1109" s="2">
        <v>44243</v>
      </c>
      <c r="F1109" s="3">
        <v>1.29</v>
      </c>
      <c r="G1109" s="2">
        <v>44265</v>
      </c>
      <c r="H1109" s="3">
        <v>5.5800000000000002E-2</v>
      </c>
      <c r="I1109" s="3">
        <v>0</v>
      </c>
      <c r="J1109" s="3">
        <v>0</v>
      </c>
      <c r="K1109" s="3">
        <f t="shared" si="35"/>
        <v>0</v>
      </c>
      <c r="L1109" s="3">
        <f t="shared" si="36"/>
        <v>2021</v>
      </c>
      <c r="M1109" s="20" t="str">
        <f>A1109&amp;L1109</f>
        <v>CVX2021</v>
      </c>
      <c r="N1109" s="3">
        <f>F1109</f>
        <v>1.29</v>
      </c>
      <c r="O1109" s="9">
        <f>H1109</f>
        <v>5.5800000000000002E-2</v>
      </c>
      <c r="P1109" s="10">
        <f t="shared" si="37"/>
        <v>0</v>
      </c>
      <c r="Q1109" s="10">
        <f>IF(K1109=0,IF(A1106=A1109,AVERAGE(O1106:O1109),"x"),0)</f>
        <v>5.0775000000000001E-2</v>
      </c>
      <c r="R1109" s="9">
        <f>IF(L1109&gt;2005,AVERAGE(O1106:O1125),0)</f>
        <v>4.4315000000000007E-2</v>
      </c>
      <c r="S1109" s="10">
        <f>IF(A1109=A1110,(N1109-N1110)/N1110,0)</f>
        <v>0</v>
      </c>
      <c r="T1109" s="10">
        <f>IF(L1109&gt;2005,(((N1109-N1129)/N1129)+1)^(1/5)-1,0)</f>
        <v>3.8104769834314878E-2</v>
      </c>
      <c r="U1109" s="10">
        <f t="shared" si="38"/>
        <v>8.2419769834314885E-2</v>
      </c>
      <c r="V1109" s="26">
        <f t="shared" si="39"/>
        <v>4.4184000106433974</v>
      </c>
      <c r="W1109" s="3">
        <f>IF(A1109=A1110,N1109-N1110,0)</f>
        <v>0</v>
      </c>
      <c r="X1109" s="10">
        <f>IF(A1109=A1110,(N1109-N1110)/N1110,0)</f>
        <v>0</v>
      </c>
    </row>
    <row r="1110" spans="1:24" ht="16.5" customHeight="1">
      <c r="A1110" s="3" t="s">
        <v>36</v>
      </c>
      <c r="B1110" s="3">
        <f t="shared" si="32"/>
        <v>2020</v>
      </c>
      <c r="C1110" s="3">
        <f t="shared" si="33"/>
        <v>11</v>
      </c>
      <c r="D1110" s="20" t="str">
        <f t="shared" si="34"/>
        <v>CVX202011</v>
      </c>
      <c r="E1110" s="2">
        <v>44152</v>
      </c>
      <c r="F1110" s="3">
        <v>1.29</v>
      </c>
      <c r="G1110" s="2">
        <v>44175</v>
      </c>
      <c r="H1110" s="3">
        <v>5.8000000000000003E-2</v>
      </c>
      <c r="I1110" s="3">
        <v>0</v>
      </c>
      <c r="J1110" s="3">
        <v>0</v>
      </c>
      <c r="K1110" s="3">
        <f t="shared" si="35"/>
        <v>2020</v>
      </c>
      <c r="L1110" s="3">
        <f t="shared" si="36"/>
        <v>0</v>
      </c>
      <c r="M1110" s="20" t="str">
        <f>A1110&amp;L1110</f>
        <v>CVX0</v>
      </c>
      <c r="N1110" s="3">
        <f>F1110</f>
        <v>1.29</v>
      </c>
      <c r="O1110" s="9">
        <f>H1110</f>
        <v>5.8000000000000003E-2</v>
      </c>
      <c r="P1110" s="10">
        <f t="shared" si="37"/>
        <v>0</v>
      </c>
      <c r="Q1110" s="10">
        <f>IF(K1110=0,IF(A1107=A1110,AVERAGE(O1107:O1110),"x"),0)</f>
        <v>0</v>
      </c>
      <c r="R1110" s="9">
        <f>IF(L1110&gt;2005,AVERAGE(O1107:O1126),0)</f>
        <v>0</v>
      </c>
      <c r="S1110" s="10">
        <f>IF(A1110=A1111,(N1110-N1111)/N1111,0)</f>
        <v>0</v>
      </c>
      <c r="T1110" s="10">
        <f>IF(L1110&gt;2005,(((N1110-N1130)/N1130)+1)^(1/5)-1,0)</f>
        <v>0</v>
      </c>
      <c r="U1110" s="10">
        <f t="shared" si="38"/>
        <v>0</v>
      </c>
      <c r="V1110" s="26">
        <f t="shared" si="39"/>
        <v>0</v>
      </c>
      <c r="W1110" s="3">
        <f>IF(A1110=A1111,N1110-N1111,0)</f>
        <v>0</v>
      </c>
      <c r="X1110" s="10">
        <f>IF(A1110=A1111,(N1110-N1111)/N1111,0)</f>
        <v>0</v>
      </c>
    </row>
    <row r="1111" spans="1:24" ht="16.5" customHeight="1">
      <c r="A1111" s="3" t="s">
        <v>36</v>
      </c>
      <c r="B1111" s="3">
        <f t="shared" si="32"/>
        <v>2020</v>
      </c>
      <c r="C1111" s="3">
        <f t="shared" si="33"/>
        <v>8</v>
      </c>
      <c r="D1111" s="20" t="str">
        <f t="shared" si="34"/>
        <v>CVX20208</v>
      </c>
      <c r="E1111" s="2">
        <v>44061</v>
      </c>
      <c r="F1111" s="3">
        <v>1.29</v>
      </c>
      <c r="G1111" s="2">
        <v>44084</v>
      </c>
      <c r="H1111" s="3">
        <v>5.6800000000000003E-2</v>
      </c>
      <c r="I1111" s="3">
        <v>0</v>
      </c>
      <c r="J1111" s="3">
        <v>0</v>
      </c>
      <c r="K1111" s="3">
        <f t="shared" si="35"/>
        <v>2020</v>
      </c>
      <c r="L1111" s="3">
        <f t="shared" si="36"/>
        <v>0</v>
      </c>
      <c r="M1111" s="20" t="str">
        <f>A1111&amp;L1111</f>
        <v>CVX0</v>
      </c>
      <c r="N1111" s="3">
        <f>F1111</f>
        <v>1.29</v>
      </c>
      <c r="O1111" s="9">
        <f>H1111</f>
        <v>5.6800000000000003E-2</v>
      </c>
      <c r="P1111" s="10">
        <f t="shared" si="37"/>
        <v>0</v>
      </c>
      <c r="Q1111" s="10">
        <f>IF(K1111=0,IF(A1108=A1111,AVERAGE(O1108:O1111),"x"),0)</f>
        <v>0</v>
      </c>
      <c r="R1111" s="9">
        <f>IF(L1111&gt;2005,AVERAGE(O1108:O1127),0)</f>
        <v>0</v>
      </c>
      <c r="S1111" s="10">
        <f>IF(A1111=A1112,(N1111-N1112)/N1112,0)</f>
        <v>0</v>
      </c>
      <c r="T1111" s="10">
        <f>IF(L1111&gt;2005,(((N1111-N1131)/N1131)+1)^(1/5)-1,0)</f>
        <v>0</v>
      </c>
      <c r="U1111" s="10">
        <f t="shared" si="38"/>
        <v>0</v>
      </c>
      <c r="V1111" s="26">
        <f t="shared" si="39"/>
        <v>0</v>
      </c>
      <c r="W1111" s="3">
        <f>IF(A1111=A1112,N1111-N1112,0)</f>
        <v>0</v>
      </c>
      <c r="X1111" s="10">
        <f>IF(A1111=A1112,(N1111-N1112)/N1112,0)</f>
        <v>0</v>
      </c>
    </row>
    <row r="1112" spans="1:24" ht="16.5" customHeight="1">
      <c r="A1112" s="3" t="s">
        <v>36</v>
      </c>
      <c r="B1112" s="3">
        <f t="shared" si="32"/>
        <v>2020</v>
      </c>
      <c r="C1112" s="3">
        <f t="shared" si="33"/>
        <v>5</v>
      </c>
      <c r="D1112" s="20" t="str">
        <f t="shared" si="34"/>
        <v>CVX20205</v>
      </c>
      <c r="E1112" s="2">
        <v>43969</v>
      </c>
      <c r="F1112" s="3">
        <v>1.29</v>
      </c>
      <c r="G1112" s="2">
        <v>43992</v>
      </c>
      <c r="H1112" s="3">
        <v>5.79E-2</v>
      </c>
      <c r="I1112" s="3">
        <v>0</v>
      </c>
      <c r="J1112" s="3">
        <v>0</v>
      </c>
      <c r="K1112" s="3">
        <f t="shared" si="35"/>
        <v>2020</v>
      </c>
      <c r="L1112" s="3">
        <f t="shared" si="36"/>
        <v>0</v>
      </c>
      <c r="M1112" s="20" t="str">
        <f>A1112&amp;L1112</f>
        <v>CVX0</v>
      </c>
      <c r="N1112" s="3">
        <f>F1112</f>
        <v>1.29</v>
      </c>
      <c r="O1112" s="9">
        <f>H1112</f>
        <v>5.79E-2</v>
      </c>
      <c r="P1112" s="10">
        <f t="shared" si="37"/>
        <v>0</v>
      </c>
      <c r="Q1112" s="10">
        <f>IF(K1112=0,IF(A1109=A1112,AVERAGE(O1109:O1112),"x"),0)</f>
        <v>0</v>
      </c>
      <c r="R1112" s="9">
        <f>IF(L1112&gt;2005,AVERAGE(O1109:O1128),0)</f>
        <v>0</v>
      </c>
      <c r="S1112" s="10">
        <f>IF(A1112=A1113,(N1112-N1113)/N1113,0)</f>
        <v>0</v>
      </c>
      <c r="T1112" s="10">
        <f>IF(L1112&gt;2005,(((N1112-N1132)/N1132)+1)^(1/5)-1,0)</f>
        <v>0</v>
      </c>
      <c r="U1112" s="10">
        <f t="shared" si="38"/>
        <v>0</v>
      </c>
      <c r="V1112" s="26">
        <f t="shared" si="39"/>
        <v>0</v>
      </c>
      <c r="W1112" s="3">
        <f>IF(A1112=A1113,N1112-N1113,0)</f>
        <v>0</v>
      </c>
      <c r="X1112" s="10">
        <f>IF(A1112=A1113,(N1112-N1113)/N1113,0)</f>
        <v>0</v>
      </c>
    </row>
    <row r="1113" spans="1:24" ht="16.5" customHeight="1">
      <c r="A1113" s="3" t="s">
        <v>36</v>
      </c>
      <c r="B1113" s="3">
        <f t="shared" si="32"/>
        <v>2020</v>
      </c>
      <c r="C1113" s="3">
        <f t="shared" si="33"/>
        <v>2</v>
      </c>
      <c r="D1113" s="20" t="str">
        <f t="shared" si="34"/>
        <v>CVX20202</v>
      </c>
      <c r="E1113" s="2">
        <v>43875</v>
      </c>
      <c r="F1113" s="3">
        <v>1.29</v>
      </c>
      <c r="G1113" s="2">
        <v>43900</v>
      </c>
      <c r="H1113" s="3">
        <v>4.6199999999999998E-2</v>
      </c>
      <c r="I1113" s="3">
        <v>8.4033612999999993E-2</v>
      </c>
      <c r="J1113" s="3">
        <v>0.1</v>
      </c>
      <c r="K1113" s="3">
        <f t="shared" si="35"/>
        <v>0</v>
      </c>
      <c r="L1113" s="3">
        <f t="shared" si="36"/>
        <v>2020</v>
      </c>
      <c r="M1113" s="20" t="str">
        <f>A1113&amp;L1113</f>
        <v>CVX2020</v>
      </c>
      <c r="N1113" s="3">
        <f>F1113</f>
        <v>1.29</v>
      </c>
      <c r="O1113" s="9">
        <f>H1113</f>
        <v>4.6199999999999998E-2</v>
      </c>
      <c r="P1113" s="10">
        <f t="shared" si="37"/>
        <v>4.1225000000000005E-2</v>
      </c>
      <c r="Q1113" s="10">
        <f>IF(K1113=0,IF(A1110=A1113,AVERAGE(O1110:O1113),"x"),0)</f>
        <v>5.4725000000000003E-2</v>
      </c>
      <c r="R1113" s="9">
        <f>IF(L1113&gt;2005,AVERAGE(O1110:O1129),0)</f>
        <v>4.2819999999999997E-2</v>
      </c>
      <c r="S1113" s="10">
        <f>IF(A1113=A1114,(N1113-N1114)/N1114,0)</f>
        <v>8.4033613445378227E-2</v>
      </c>
      <c r="T1113" s="10">
        <f>IF(L1113&gt;2005,(((N1113-N1133)/N1133)+1)^(1/5)-1,0)</f>
        <v>3.8104769834314878E-2</v>
      </c>
      <c r="U1113" s="10">
        <f t="shared" si="38"/>
        <v>8.0924769834314875E-2</v>
      </c>
      <c r="V1113" s="26">
        <f t="shared" si="39"/>
        <v>4.4362545117158669</v>
      </c>
      <c r="W1113" s="3">
        <f>IF(A1113=A1114,N1113-N1114,0)</f>
        <v>0.10000000000000009</v>
      </c>
      <c r="X1113" s="10">
        <f>IF(A1113=A1114,(N1113-N1114)/N1114,0)</f>
        <v>8.4033613445378227E-2</v>
      </c>
    </row>
    <row r="1114" spans="1:24" ht="16.5" customHeight="1">
      <c r="A1114" s="3" t="s">
        <v>36</v>
      </c>
      <c r="B1114" s="3">
        <f t="shared" si="32"/>
        <v>2019</v>
      </c>
      <c r="C1114" s="3">
        <f t="shared" si="33"/>
        <v>11</v>
      </c>
      <c r="D1114" s="20" t="str">
        <f t="shared" si="34"/>
        <v>CVX201911</v>
      </c>
      <c r="E1114" s="2">
        <v>43784</v>
      </c>
      <c r="F1114" s="3">
        <v>1.19</v>
      </c>
      <c r="G1114" s="2">
        <v>43809</v>
      </c>
      <c r="H1114" s="3">
        <v>3.9E-2</v>
      </c>
      <c r="I1114" s="3">
        <v>0</v>
      </c>
      <c r="J1114" s="3">
        <v>0</v>
      </c>
      <c r="K1114" s="3">
        <f t="shared" si="35"/>
        <v>2019</v>
      </c>
      <c r="L1114" s="3">
        <f t="shared" si="36"/>
        <v>0</v>
      </c>
      <c r="M1114" s="20" t="str">
        <f>A1114&amp;L1114</f>
        <v>CVX0</v>
      </c>
      <c r="N1114" s="3">
        <f>F1114</f>
        <v>1.19</v>
      </c>
      <c r="O1114" s="9">
        <f>H1114</f>
        <v>3.9E-2</v>
      </c>
      <c r="P1114" s="10">
        <f t="shared" si="37"/>
        <v>0</v>
      </c>
      <c r="Q1114" s="10">
        <f>IF(K1114=0,IF(A1111=A1114,AVERAGE(O1111:O1114),"x"),0)</f>
        <v>0</v>
      </c>
      <c r="R1114" s="9">
        <f>IF(L1114&gt;2005,AVERAGE(O1111:O1130),0)</f>
        <v>0</v>
      </c>
      <c r="S1114" s="10">
        <f>IF(A1114=A1115,(N1114-N1115)/N1115,0)</f>
        <v>0</v>
      </c>
      <c r="T1114" s="10">
        <f>IF(L1114&gt;2005,(((N1114-N1134)/N1134)+1)^(1/5)-1,0)</f>
        <v>0</v>
      </c>
      <c r="U1114" s="10">
        <f t="shared" si="38"/>
        <v>0</v>
      </c>
      <c r="V1114" s="26">
        <f t="shared" si="39"/>
        <v>0</v>
      </c>
      <c r="W1114" s="3">
        <f>IF(A1114=A1115,N1114-N1115,0)</f>
        <v>0</v>
      </c>
      <c r="X1114" s="10">
        <f>IF(A1114=A1115,(N1114-N1115)/N1115,0)</f>
        <v>0</v>
      </c>
    </row>
    <row r="1115" spans="1:24" ht="16.5" customHeight="1">
      <c r="A1115" s="3" t="s">
        <v>36</v>
      </c>
      <c r="B1115" s="3">
        <f t="shared" si="32"/>
        <v>2019</v>
      </c>
      <c r="C1115" s="3">
        <f t="shared" si="33"/>
        <v>8</v>
      </c>
      <c r="D1115" s="20" t="str">
        <f t="shared" si="34"/>
        <v>CVX20198</v>
      </c>
      <c r="E1115" s="2">
        <v>43693</v>
      </c>
      <c r="F1115" s="3">
        <v>1.19</v>
      </c>
      <c r="G1115" s="2">
        <v>43718</v>
      </c>
      <c r="H1115" s="3">
        <v>4.07E-2</v>
      </c>
      <c r="I1115" s="3">
        <v>0</v>
      </c>
      <c r="J1115" s="3">
        <v>0</v>
      </c>
      <c r="K1115" s="3">
        <f t="shared" si="35"/>
        <v>2019</v>
      </c>
      <c r="L1115" s="3">
        <f t="shared" si="36"/>
        <v>0</v>
      </c>
      <c r="M1115" s="20" t="str">
        <f>A1115&amp;L1115</f>
        <v>CVX0</v>
      </c>
      <c r="N1115" s="3">
        <f>F1115</f>
        <v>1.19</v>
      </c>
      <c r="O1115" s="9">
        <f>H1115</f>
        <v>4.07E-2</v>
      </c>
      <c r="P1115" s="10">
        <f t="shared" si="37"/>
        <v>0</v>
      </c>
      <c r="Q1115" s="10">
        <f>IF(K1115=0,IF(A1112=A1115,AVERAGE(O1112:O1115),"x"),0)</f>
        <v>0</v>
      </c>
      <c r="R1115" s="9">
        <f>IF(L1115&gt;2005,AVERAGE(O1112:O1131),0)</f>
        <v>0</v>
      </c>
      <c r="S1115" s="10">
        <f>IF(A1115=A1116,(N1115-N1116)/N1116,0)</f>
        <v>0</v>
      </c>
      <c r="T1115" s="10">
        <f>IF(L1115&gt;2005,(((N1115-N1135)/N1135)+1)^(1/5)-1,0)</f>
        <v>0</v>
      </c>
      <c r="U1115" s="10">
        <f t="shared" si="38"/>
        <v>0</v>
      </c>
      <c r="V1115" s="26">
        <f t="shared" si="39"/>
        <v>0</v>
      </c>
      <c r="W1115" s="3">
        <f>IF(A1115=A1116,N1115-N1116,0)</f>
        <v>0</v>
      </c>
      <c r="X1115" s="10">
        <f>IF(A1115=A1116,(N1115-N1116)/N1116,0)</f>
        <v>0</v>
      </c>
    </row>
    <row r="1116" spans="1:24" ht="16.5" customHeight="1">
      <c r="A1116" s="3" t="s">
        <v>36</v>
      </c>
      <c r="B1116" s="3">
        <f t="shared" si="32"/>
        <v>2019</v>
      </c>
      <c r="C1116" s="3">
        <f t="shared" si="33"/>
        <v>5</v>
      </c>
      <c r="D1116" s="20" t="str">
        <f t="shared" si="34"/>
        <v>CVX20195</v>
      </c>
      <c r="E1116" s="2">
        <v>43601</v>
      </c>
      <c r="F1116" s="3">
        <v>1.19</v>
      </c>
      <c r="G1116" s="2">
        <v>43626</v>
      </c>
      <c r="H1116" s="3">
        <v>3.9E-2</v>
      </c>
      <c r="I1116" s="3">
        <v>0</v>
      </c>
      <c r="J1116" s="3">
        <v>0</v>
      </c>
      <c r="K1116" s="3">
        <f t="shared" si="35"/>
        <v>2019</v>
      </c>
      <c r="L1116" s="3">
        <f t="shared" si="36"/>
        <v>0</v>
      </c>
      <c r="M1116" s="20" t="str">
        <f>A1116&amp;L1116</f>
        <v>CVX0</v>
      </c>
      <c r="N1116" s="3">
        <f>F1116</f>
        <v>1.19</v>
      </c>
      <c r="O1116" s="9">
        <f>H1116</f>
        <v>3.9E-2</v>
      </c>
      <c r="P1116" s="10">
        <f t="shared" si="37"/>
        <v>0</v>
      </c>
      <c r="Q1116" s="10">
        <f>IF(K1116=0,IF(A1113=A1116,AVERAGE(O1113:O1116),"x"),0)</f>
        <v>0</v>
      </c>
      <c r="R1116" s="9">
        <f>IF(L1116&gt;2005,AVERAGE(O1113:O1132),0)</f>
        <v>0</v>
      </c>
      <c r="S1116" s="10">
        <f>IF(A1116=A1117,(N1116-N1117)/N1117,0)</f>
        <v>0</v>
      </c>
      <c r="T1116" s="10">
        <f>IF(L1116&gt;2005,(((N1116-N1136)/N1136)+1)^(1/5)-1,0)</f>
        <v>0</v>
      </c>
      <c r="U1116" s="10">
        <f t="shared" si="38"/>
        <v>0</v>
      </c>
      <c r="V1116" s="26">
        <f t="shared" si="39"/>
        <v>0</v>
      </c>
      <c r="W1116" s="3">
        <f>IF(A1116=A1117,N1116-N1117,0)</f>
        <v>0</v>
      </c>
      <c r="X1116" s="10">
        <f>IF(A1116=A1117,(N1116-N1117)/N1117,0)</f>
        <v>0</v>
      </c>
    </row>
    <row r="1117" spans="1:24" ht="16.5" customHeight="1">
      <c r="A1117" s="3" t="s">
        <v>36</v>
      </c>
      <c r="B1117" s="3">
        <f t="shared" si="32"/>
        <v>2019</v>
      </c>
      <c r="C1117" s="3">
        <f t="shared" si="33"/>
        <v>2</v>
      </c>
      <c r="D1117" s="20" t="str">
        <f t="shared" si="34"/>
        <v>CVX20192</v>
      </c>
      <c r="E1117" s="2">
        <v>43510</v>
      </c>
      <c r="F1117" s="3">
        <v>1.19</v>
      </c>
      <c r="G1117" s="2">
        <v>43535</v>
      </c>
      <c r="H1117" s="3">
        <v>3.9800000000000002E-2</v>
      </c>
      <c r="I1117" s="3">
        <v>6.25E-2</v>
      </c>
      <c r="J1117" s="3">
        <v>7.0000000000000007E-2</v>
      </c>
      <c r="K1117" s="3">
        <f t="shared" si="35"/>
        <v>0</v>
      </c>
      <c r="L1117" s="3">
        <f t="shared" si="36"/>
        <v>2019</v>
      </c>
      <c r="M1117" s="20" t="str">
        <f>A1117&amp;L1117</f>
        <v>CVX2019</v>
      </c>
      <c r="N1117" s="3">
        <f>F1117</f>
        <v>1.19</v>
      </c>
      <c r="O1117" s="9">
        <f>H1117</f>
        <v>3.9800000000000002E-2</v>
      </c>
      <c r="P1117" s="10">
        <f t="shared" si="37"/>
        <v>3.7774999999999996E-2</v>
      </c>
      <c r="Q1117" s="10">
        <f>IF(K1117=0,IF(A1114=A1117,AVERAGE(O1114:O1117),"x"),0)</f>
        <v>3.9625E-2</v>
      </c>
      <c r="R1117" s="9">
        <f>IF(L1117&gt;2005,AVERAGE(O1114:O1133),0)</f>
        <v>4.07E-2</v>
      </c>
      <c r="S1117" s="10">
        <f>IF(A1117=A1118,(N1117-N1118)/N1118,0)</f>
        <v>6.2499999999999854E-2</v>
      </c>
      <c r="T1117" s="10">
        <f>IF(L1117&gt;2005,(((N1117-N1137)/N1137)+1)^(1/5)-1,0)</f>
        <v>3.5402936335428681E-2</v>
      </c>
      <c r="U1117" s="10">
        <f t="shared" si="38"/>
        <v>7.6102936335428681E-2</v>
      </c>
      <c r="V1117" s="26">
        <f t="shared" si="39"/>
        <v>4.4604853059763876</v>
      </c>
      <c r="W1117" s="3">
        <f>IF(A1117=A1118,N1117-N1118,0)</f>
        <v>6.999999999999984E-2</v>
      </c>
      <c r="X1117" s="10">
        <f>IF(A1117=A1118,(N1117-N1118)/N1118,0)</f>
        <v>6.2499999999999854E-2</v>
      </c>
    </row>
    <row r="1118" spans="1:24" ht="16.5" customHeight="1">
      <c r="A1118" s="3" t="s">
        <v>36</v>
      </c>
      <c r="B1118" s="3">
        <f t="shared" si="32"/>
        <v>2018</v>
      </c>
      <c r="C1118" s="3">
        <f t="shared" si="33"/>
        <v>11</v>
      </c>
      <c r="D1118" s="20" t="str">
        <f t="shared" si="34"/>
        <v>CVX201811</v>
      </c>
      <c r="E1118" s="2">
        <v>43419</v>
      </c>
      <c r="F1118" s="3">
        <v>1.1200000000000001</v>
      </c>
      <c r="G1118" s="2">
        <v>43444</v>
      </c>
      <c r="H1118" s="3">
        <v>3.8699999999999998E-2</v>
      </c>
      <c r="I1118" s="3">
        <v>0</v>
      </c>
      <c r="J1118" s="3">
        <v>0</v>
      </c>
      <c r="K1118" s="3">
        <f t="shared" si="35"/>
        <v>2018</v>
      </c>
      <c r="L1118" s="3">
        <f t="shared" si="36"/>
        <v>0</v>
      </c>
      <c r="M1118" s="20" t="str">
        <f>A1118&amp;L1118</f>
        <v>CVX0</v>
      </c>
      <c r="N1118" s="3">
        <f>F1118</f>
        <v>1.1200000000000001</v>
      </c>
      <c r="O1118" s="9">
        <f>H1118</f>
        <v>3.8699999999999998E-2</v>
      </c>
      <c r="P1118" s="10">
        <f t="shared" si="37"/>
        <v>0</v>
      </c>
      <c r="Q1118" s="10">
        <f>IF(K1118=0,IF(A1115=A1118,AVERAGE(O1115:O1118),"x"),0)</f>
        <v>0</v>
      </c>
      <c r="R1118" s="9">
        <f>IF(L1118&gt;2005,AVERAGE(O1115:O1134),0)</f>
        <v>0</v>
      </c>
      <c r="S1118" s="10">
        <f>IF(A1118=A1119,(N1118-N1119)/N1119,0)</f>
        <v>0</v>
      </c>
      <c r="T1118" s="10">
        <f>IF(L1118&gt;2005,(((N1118-N1138)/N1138)+1)^(1/5)-1,0)</f>
        <v>0</v>
      </c>
      <c r="U1118" s="10">
        <f t="shared" si="38"/>
        <v>0</v>
      </c>
      <c r="V1118" s="26">
        <f t="shared" si="39"/>
        <v>0</v>
      </c>
      <c r="W1118" s="3">
        <f>IF(A1118=A1119,N1118-N1119,0)</f>
        <v>0</v>
      </c>
      <c r="X1118" s="10">
        <f>IF(A1118=A1119,(N1118-N1119)/N1119,0)</f>
        <v>0</v>
      </c>
    </row>
    <row r="1119" spans="1:24" ht="16.5" customHeight="1">
      <c r="A1119" s="3" t="s">
        <v>36</v>
      </c>
      <c r="B1119" s="3">
        <f t="shared" si="32"/>
        <v>2018</v>
      </c>
      <c r="C1119" s="3">
        <f t="shared" si="33"/>
        <v>8</v>
      </c>
      <c r="D1119" s="20" t="str">
        <f t="shared" si="34"/>
        <v>CVX20188</v>
      </c>
      <c r="E1119" s="2">
        <v>43328</v>
      </c>
      <c r="F1119" s="3">
        <v>1.1200000000000001</v>
      </c>
      <c r="G1119" s="2">
        <v>43353</v>
      </c>
      <c r="H1119" s="3">
        <v>3.7999999999999999E-2</v>
      </c>
      <c r="I1119" s="3">
        <v>0</v>
      </c>
      <c r="J1119" s="3">
        <v>0</v>
      </c>
      <c r="K1119" s="3">
        <f t="shared" si="35"/>
        <v>2018</v>
      </c>
      <c r="L1119" s="3">
        <f t="shared" si="36"/>
        <v>0</v>
      </c>
      <c r="M1119" s="20" t="str">
        <f>A1119&amp;L1119</f>
        <v>CVX0</v>
      </c>
      <c r="N1119" s="3">
        <f>F1119</f>
        <v>1.1200000000000001</v>
      </c>
      <c r="O1119" s="9">
        <f>H1119</f>
        <v>3.7999999999999999E-2</v>
      </c>
      <c r="P1119" s="10">
        <f t="shared" si="37"/>
        <v>0</v>
      </c>
      <c r="Q1119" s="10">
        <f>IF(K1119=0,IF(A1116=A1119,AVERAGE(O1116:O1119),"x"),0)</f>
        <v>0</v>
      </c>
      <c r="R1119" s="9">
        <f>IF(L1119&gt;2005,AVERAGE(O1116:O1135),0)</f>
        <v>0</v>
      </c>
      <c r="S1119" s="10">
        <f>IF(A1119=A1120,(N1119-N1120)/N1120,0)</f>
        <v>0</v>
      </c>
      <c r="T1119" s="10">
        <f>IF(L1119&gt;2005,(((N1119-N1139)/N1139)+1)^(1/5)-1,0)</f>
        <v>0</v>
      </c>
      <c r="U1119" s="10">
        <f t="shared" si="38"/>
        <v>0</v>
      </c>
      <c r="V1119" s="26">
        <f t="shared" si="39"/>
        <v>0</v>
      </c>
      <c r="W1119" s="3">
        <f>IF(A1119=A1120,N1119-N1120,0)</f>
        <v>0</v>
      </c>
      <c r="X1119" s="10">
        <f>IF(A1119=A1120,(N1119-N1120)/N1120,0)</f>
        <v>0</v>
      </c>
    </row>
    <row r="1120" spans="1:24" ht="16.5" customHeight="1">
      <c r="A1120" s="3" t="s">
        <v>36</v>
      </c>
      <c r="B1120" s="3">
        <f t="shared" si="32"/>
        <v>2018</v>
      </c>
      <c r="C1120" s="3">
        <f t="shared" si="33"/>
        <v>5</v>
      </c>
      <c r="D1120" s="20" t="str">
        <f t="shared" si="34"/>
        <v>CVX20185</v>
      </c>
      <c r="E1120" s="2">
        <v>43237</v>
      </c>
      <c r="F1120" s="3">
        <v>1.1200000000000001</v>
      </c>
      <c r="G1120" s="2">
        <v>43262</v>
      </c>
      <c r="H1120" s="3">
        <v>3.4599999999999999E-2</v>
      </c>
      <c r="I1120" s="3">
        <v>0</v>
      </c>
      <c r="J1120" s="3">
        <v>0</v>
      </c>
      <c r="K1120" s="3">
        <f t="shared" si="35"/>
        <v>2018</v>
      </c>
      <c r="L1120" s="3">
        <f t="shared" si="36"/>
        <v>0</v>
      </c>
      <c r="M1120" s="20" t="str">
        <f>A1120&amp;L1120</f>
        <v>CVX0</v>
      </c>
      <c r="N1120" s="3">
        <f>F1120</f>
        <v>1.1200000000000001</v>
      </c>
      <c r="O1120" s="9">
        <f>H1120</f>
        <v>3.4599999999999999E-2</v>
      </c>
      <c r="P1120" s="10">
        <f t="shared" si="37"/>
        <v>0</v>
      </c>
      <c r="Q1120" s="10">
        <f>IF(K1120=0,IF(A1117=A1120,AVERAGE(O1117:O1120),"x"),0)</f>
        <v>0</v>
      </c>
      <c r="R1120" s="9">
        <f>IF(L1120&gt;2005,AVERAGE(O1117:O1136),0)</f>
        <v>0</v>
      </c>
      <c r="S1120" s="10">
        <f>IF(A1120=A1121,(N1120-N1121)/N1121,0)</f>
        <v>0</v>
      </c>
      <c r="T1120" s="10">
        <f>IF(L1120&gt;2005,(((N1120-N1140)/N1140)+1)^(1/5)-1,0)</f>
        <v>0</v>
      </c>
      <c r="U1120" s="10">
        <f t="shared" si="38"/>
        <v>0</v>
      </c>
      <c r="V1120" s="26">
        <f t="shared" si="39"/>
        <v>0</v>
      </c>
      <c r="W1120" s="3">
        <f>IF(A1120=A1121,N1120-N1121,0)</f>
        <v>0</v>
      </c>
      <c r="X1120" s="10">
        <f>IF(A1120=A1121,(N1120-N1121)/N1121,0)</f>
        <v>0</v>
      </c>
    </row>
    <row r="1121" spans="1:24" ht="16.5" customHeight="1">
      <c r="A1121" s="3" t="s">
        <v>36</v>
      </c>
      <c r="B1121" s="3">
        <f t="shared" si="32"/>
        <v>2018</v>
      </c>
      <c r="C1121" s="3">
        <f t="shared" si="33"/>
        <v>2</v>
      </c>
      <c r="D1121" s="20" t="str">
        <f t="shared" si="34"/>
        <v>CVX20182</v>
      </c>
      <c r="E1121" s="2">
        <v>43146</v>
      </c>
      <c r="F1121" s="3">
        <v>1.1200000000000001</v>
      </c>
      <c r="G1121" s="2">
        <v>43171</v>
      </c>
      <c r="H1121" s="3">
        <v>3.9399999999999998E-2</v>
      </c>
      <c r="I1121" s="3">
        <v>3.7037037000000002E-2</v>
      </c>
      <c r="J1121" s="3">
        <v>0.04</v>
      </c>
      <c r="K1121" s="3">
        <f t="shared" si="35"/>
        <v>0</v>
      </c>
      <c r="L1121" s="3">
        <f t="shared" si="36"/>
        <v>2018</v>
      </c>
      <c r="M1121" s="20" t="str">
        <f>A1121&amp;L1121</f>
        <v>CVX2018</v>
      </c>
      <c r="N1121" s="3">
        <f>F1121</f>
        <v>1.1200000000000001</v>
      </c>
      <c r="O1121" s="9">
        <f>H1121</f>
        <v>3.9399999999999998E-2</v>
      </c>
      <c r="P1121" s="10">
        <f t="shared" si="37"/>
        <v>3.9150000000000004E-2</v>
      </c>
      <c r="Q1121" s="10">
        <f>IF(K1121=0,IF(A1118=A1121,AVERAGE(O1118:O1121),"x"),0)</f>
        <v>3.7674999999999993E-2</v>
      </c>
      <c r="R1121" s="9">
        <f>IF(L1121&gt;2005,AVERAGE(O1118:O1137),0)</f>
        <v>3.9584999999999995E-2</v>
      </c>
      <c r="S1121" s="10">
        <f>IF(A1121=A1122,(N1121-N1122)/N1122,0)</f>
        <v>3.703703703703707E-2</v>
      </c>
      <c r="T1121" s="10">
        <f>IF(L1121&gt;2005,(((N1121-N1141)/N1141)+1)^(1/5)-1,0)</f>
        <v>4.4708438422444985E-2</v>
      </c>
      <c r="U1121" s="10">
        <f t="shared" si="38"/>
        <v>8.429343842244498E-2</v>
      </c>
      <c r="V1121" s="26">
        <f t="shared" si="39"/>
        <v>4.4783222150534145</v>
      </c>
      <c r="W1121" s="3">
        <f>IF(A1121=A1122,N1121-N1122,0)</f>
        <v>4.0000000000000036E-2</v>
      </c>
      <c r="X1121" s="10">
        <f>IF(A1121=A1122,(N1121-N1122)/N1122,0)</f>
        <v>3.703703703703707E-2</v>
      </c>
    </row>
    <row r="1122" spans="1:24" ht="16.5" customHeight="1">
      <c r="A1122" s="3" t="s">
        <v>36</v>
      </c>
      <c r="B1122" s="3">
        <f t="shared" si="32"/>
        <v>2017</v>
      </c>
      <c r="C1122" s="3">
        <f t="shared" si="33"/>
        <v>11</v>
      </c>
      <c r="D1122" s="20" t="str">
        <f t="shared" si="34"/>
        <v>CVX201711</v>
      </c>
      <c r="E1122" s="2">
        <v>43055</v>
      </c>
      <c r="F1122" s="3">
        <v>1.08</v>
      </c>
      <c r="G1122" s="2">
        <v>43080</v>
      </c>
      <c r="H1122" s="3">
        <v>3.7100000000000001E-2</v>
      </c>
      <c r="I1122" s="3">
        <v>0</v>
      </c>
      <c r="J1122" s="3">
        <v>0</v>
      </c>
      <c r="K1122" s="3">
        <f t="shared" si="35"/>
        <v>2017</v>
      </c>
      <c r="L1122" s="3">
        <f t="shared" si="36"/>
        <v>0</v>
      </c>
      <c r="M1122" s="20" t="str">
        <f>A1122&amp;L1122</f>
        <v>CVX0</v>
      </c>
      <c r="N1122" s="3">
        <f>F1122</f>
        <v>1.08</v>
      </c>
      <c r="O1122" s="9">
        <f>H1122</f>
        <v>3.7100000000000001E-2</v>
      </c>
      <c r="P1122" s="10">
        <f t="shared" si="37"/>
        <v>0</v>
      </c>
      <c r="Q1122" s="10">
        <f>IF(K1122=0,IF(A1119=A1122,AVERAGE(O1119:O1122),"x"),0)</f>
        <v>0</v>
      </c>
      <c r="R1122" s="9">
        <f>IF(L1122&gt;2005,AVERAGE(O1119:O1138),0)</f>
        <v>0</v>
      </c>
      <c r="S1122" s="10">
        <f>IF(A1122=A1123,(N1122-N1123)/N1123,0)</f>
        <v>0</v>
      </c>
      <c r="T1122" s="10">
        <f>IF(L1122&gt;2005,(((N1122-N1142)/N1142)+1)^(1/5)-1,0)</f>
        <v>0</v>
      </c>
      <c r="U1122" s="10">
        <f t="shared" si="38"/>
        <v>0</v>
      </c>
      <c r="V1122" s="26">
        <f t="shared" si="39"/>
        <v>0</v>
      </c>
      <c r="W1122" s="3">
        <f>IF(A1122=A1123,N1122-N1123,0)</f>
        <v>0</v>
      </c>
      <c r="X1122" s="10">
        <f>IF(A1122=A1123,(N1122-N1123)/N1123,0)</f>
        <v>0</v>
      </c>
    </row>
    <row r="1123" spans="1:24" ht="16.5" customHeight="1">
      <c r="A1123" s="3" t="s">
        <v>36</v>
      </c>
      <c r="B1123" s="3">
        <f t="shared" si="32"/>
        <v>2017</v>
      </c>
      <c r="C1123" s="3">
        <f t="shared" si="33"/>
        <v>8</v>
      </c>
      <c r="D1123" s="20" t="str">
        <f t="shared" si="34"/>
        <v>CVX20178</v>
      </c>
      <c r="E1123" s="2">
        <v>42963</v>
      </c>
      <c r="F1123" s="3">
        <v>1.08</v>
      </c>
      <c r="G1123" s="2">
        <v>42989</v>
      </c>
      <c r="H1123" s="3">
        <v>3.9800000000000002E-2</v>
      </c>
      <c r="I1123" s="3">
        <v>0</v>
      </c>
      <c r="J1123" s="3">
        <v>0</v>
      </c>
      <c r="K1123" s="3">
        <f t="shared" si="35"/>
        <v>2017</v>
      </c>
      <c r="L1123" s="3">
        <f t="shared" si="36"/>
        <v>0</v>
      </c>
      <c r="M1123" s="20" t="str">
        <f>A1123&amp;L1123</f>
        <v>CVX0</v>
      </c>
      <c r="N1123" s="3">
        <f>F1123</f>
        <v>1.08</v>
      </c>
      <c r="O1123" s="9">
        <f>H1123</f>
        <v>3.9800000000000002E-2</v>
      </c>
      <c r="P1123" s="10">
        <f t="shared" si="37"/>
        <v>0</v>
      </c>
      <c r="Q1123" s="10">
        <f>IF(K1123=0,IF(A1120=A1123,AVERAGE(O1120:O1123),"x"),0)</f>
        <v>0</v>
      </c>
      <c r="R1123" s="9">
        <f>IF(L1123&gt;2005,AVERAGE(O1120:O1139),0)</f>
        <v>0</v>
      </c>
      <c r="S1123" s="10">
        <f>IF(A1123=A1124,(N1123-N1124)/N1124,0)</f>
        <v>0</v>
      </c>
      <c r="T1123" s="10">
        <f>IF(L1123&gt;2005,(((N1123-N1143)/N1143)+1)^(1/5)-1,0)</f>
        <v>0</v>
      </c>
      <c r="U1123" s="10">
        <f t="shared" si="38"/>
        <v>0</v>
      </c>
      <c r="V1123" s="26">
        <f t="shared" si="39"/>
        <v>0</v>
      </c>
      <c r="W1123" s="3">
        <f>IF(A1123=A1124,N1123-N1124,0)</f>
        <v>0</v>
      </c>
      <c r="X1123" s="10">
        <f>IF(A1123=A1124,(N1123-N1124)/N1124,0)</f>
        <v>0</v>
      </c>
    </row>
    <row r="1124" spans="1:24" ht="16.5" customHeight="1">
      <c r="A1124" s="3" t="s">
        <v>36</v>
      </c>
      <c r="B1124" s="3">
        <f t="shared" si="32"/>
        <v>2017</v>
      </c>
      <c r="C1124" s="3">
        <f t="shared" si="33"/>
        <v>5</v>
      </c>
      <c r="D1124" s="20" t="str">
        <f t="shared" si="34"/>
        <v>CVX20175</v>
      </c>
      <c r="E1124" s="2">
        <v>42872</v>
      </c>
      <c r="F1124" s="3">
        <v>1.08</v>
      </c>
      <c r="G1124" s="2">
        <v>42898</v>
      </c>
      <c r="H1124" s="3">
        <v>4.0300000000000002E-2</v>
      </c>
      <c r="I1124" s="3">
        <v>0</v>
      </c>
      <c r="J1124" s="3">
        <v>0</v>
      </c>
      <c r="K1124" s="3">
        <f t="shared" si="35"/>
        <v>2017</v>
      </c>
      <c r="L1124" s="3">
        <f t="shared" si="36"/>
        <v>0</v>
      </c>
      <c r="M1124" s="20" t="str">
        <f>A1124&amp;L1124</f>
        <v>CVX0</v>
      </c>
      <c r="N1124" s="3">
        <f>F1124</f>
        <v>1.08</v>
      </c>
      <c r="O1124" s="9">
        <f>H1124</f>
        <v>4.0300000000000002E-2</v>
      </c>
      <c r="P1124" s="10">
        <f t="shared" si="37"/>
        <v>0</v>
      </c>
      <c r="Q1124" s="10">
        <f>IF(K1124=0,IF(A1121=A1124,AVERAGE(O1121:O1124),"x"),0)</f>
        <v>0</v>
      </c>
      <c r="R1124" s="9">
        <f>IF(L1124&gt;2005,AVERAGE(O1121:O1140),0)</f>
        <v>0</v>
      </c>
      <c r="S1124" s="10">
        <f>IF(A1124=A1125,(N1124-N1125)/N1125,0)</f>
        <v>0</v>
      </c>
      <c r="T1124" s="10">
        <f>IF(L1124&gt;2005,(((N1124-N1144)/N1144)+1)^(1/5)-1,0)</f>
        <v>0</v>
      </c>
      <c r="U1124" s="10">
        <f t="shared" si="38"/>
        <v>0</v>
      </c>
      <c r="V1124" s="26">
        <f t="shared" si="39"/>
        <v>0</v>
      </c>
      <c r="W1124" s="3">
        <f>IF(A1124=A1125,N1124-N1125,0)</f>
        <v>0</v>
      </c>
      <c r="X1124" s="10">
        <f>IF(A1124=A1125,(N1124-N1125)/N1125,0)</f>
        <v>0</v>
      </c>
    </row>
    <row r="1125" spans="1:24" ht="16.5" customHeight="1">
      <c r="A1125" s="3" t="s">
        <v>36</v>
      </c>
      <c r="B1125" s="3">
        <f t="shared" si="32"/>
        <v>2017</v>
      </c>
      <c r="C1125" s="3">
        <f t="shared" si="33"/>
        <v>2</v>
      </c>
      <c r="D1125" s="20" t="str">
        <f t="shared" si="34"/>
        <v>CVX20172</v>
      </c>
      <c r="E1125" s="2">
        <v>42780</v>
      </c>
      <c r="F1125" s="3">
        <v>1.08</v>
      </c>
      <c r="G1125" s="2">
        <v>42804</v>
      </c>
      <c r="H1125" s="3">
        <v>3.7900000000000003E-2</v>
      </c>
      <c r="I1125" s="3">
        <v>0</v>
      </c>
      <c r="J1125" s="3">
        <v>0</v>
      </c>
      <c r="K1125" s="3">
        <f t="shared" si="35"/>
        <v>0</v>
      </c>
      <c r="L1125" s="3">
        <f t="shared" si="36"/>
        <v>2017</v>
      </c>
      <c r="M1125" s="20" t="str">
        <f>A1125&amp;L1125</f>
        <v>CVX2017</v>
      </c>
      <c r="N1125" s="3">
        <f>F1125</f>
        <v>1.08</v>
      </c>
      <c r="O1125" s="9">
        <f>H1125</f>
        <v>3.7900000000000003E-2</v>
      </c>
      <c r="P1125" s="10">
        <f t="shared" si="37"/>
        <v>0</v>
      </c>
      <c r="Q1125" s="10">
        <f>IF(K1125=0,IF(A1122=A1125,AVERAGE(O1122:O1125),"x"),0)</f>
        <v>3.8775000000000004E-2</v>
      </c>
      <c r="R1125" s="9">
        <f>IF(L1125&gt;2005,AVERAGE(O1122:O1141),0)</f>
        <v>3.8254999999999997E-2</v>
      </c>
      <c r="S1125" s="10">
        <f>IF(A1125=A1126,(N1125-N1126)/N1126,0)</f>
        <v>0</v>
      </c>
      <c r="T1125" s="10">
        <f>IF(L1125&gt;2005,(((N1125-N1145)/N1145)+1)^(1/5)-1,0)</f>
        <v>5.9223841048812176E-2</v>
      </c>
      <c r="U1125" s="10">
        <f t="shared" si="38"/>
        <v>9.7478841048812173E-2</v>
      </c>
      <c r="V1125" s="26">
        <f t="shared" si="39"/>
        <v>4.5008164999623448</v>
      </c>
      <c r="W1125" s="3">
        <f>IF(A1125=A1126,N1125-N1126,0)</f>
        <v>0</v>
      </c>
      <c r="X1125" s="10">
        <f>IF(A1125=A1126,(N1125-N1126)/N1126,0)</f>
        <v>0</v>
      </c>
    </row>
    <row r="1126" spans="1:24" ht="16.5" customHeight="1">
      <c r="A1126" s="3" t="s">
        <v>36</v>
      </c>
      <c r="B1126" s="3">
        <f t="shared" si="32"/>
        <v>2016</v>
      </c>
      <c r="C1126" s="3">
        <f t="shared" si="33"/>
        <v>11</v>
      </c>
      <c r="D1126" s="20" t="str">
        <f t="shared" si="34"/>
        <v>CVX201611</v>
      </c>
      <c r="E1126" s="2">
        <v>42690</v>
      </c>
      <c r="F1126" s="3">
        <v>1.08</v>
      </c>
      <c r="G1126" s="2">
        <v>42716</v>
      </c>
      <c r="H1126" s="3">
        <v>3.9600000000000003E-2</v>
      </c>
      <c r="I1126" s="3">
        <v>9.3457939999999993E-3</v>
      </c>
      <c r="J1126" s="3">
        <v>0.01</v>
      </c>
      <c r="K1126" s="3">
        <f t="shared" si="35"/>
        <v>2016</v>
      </c>
      <c r="L1126" s="3">
        <f t="shared" si="36"/>
        <v>0</v>
      </c>
      <c r="M1126" s="20" t="str">
        <f>A1126&amp;L1126</f>
        <v>CVX0</v>
      </c>
      <c r="N1126" s="3">
        <f>F1126</f>
        <v>1.08</v>
      </c>
      <c r="O1126" s="9">
        <f>H1126</f>
        <v>3.9600000000000003E-2</v>
      </c>
      <c r="P1126" s="10">
        <f t="shared" si="37"/>
        <v>4.3300000000000005E-2</v>
      </c>
      <c r="Q1126" s="10">
        <f>IF(K1126=0,IF(A1123=A1126,AVERAGE(O1123:O1126),"x"),0)</f>
        <v>0</v>
      </c>
      <c r="R1126" s="9">
        <f>IF(L1126&gt;2005,AVERAGE(O1123:O1142),0)</f>
        <v>0</v>
      </c>
      <c r="S1126" s="10">
        <f>IF(A1126=A1127,(N1126-N1127)/N1127,0)</f>
        <v>9.3457943925233725E-3</v>
      </c>
      <c r="T1126" s="10">
        <f>IF(L1126&gt;2005,(((N1126-N1146)/N1146)+1)^(1/5)-1,0)</f>
        <v>0</v>
      </c>
      <c r="U1126" s="10">
        <f t="shared" si="38"/>
        <v>0</v>
      </c>
      <c r="V1126" s="26">
        <f t="shared" si="39"/>
        <v>0</v>
      </c>
      <c r="W1126" s="3">
        <f>IF(A1126=A1127,N1126-N1127,0)</f>
        <v>1.0000000000000009E-2</v>
      </c>
      <c r="X1126" s="10">
        <f>IF(A1126=A1127,(N1126-N1127)/N1127,0)</f>
        <v>9.3457943925233725E-3</v>
      </c>
    </row>
    <row r="1127" spans="1:24" ht="16.5" customHeight="1">
      <c r="A1127" s="3" t="s">
        <v>36</v>
      </c>
      <c r="B1127" s="3">
        <f t="shared" si="32"/>
        <v>2016</v>
      </c>
      <c r="C1127" s="3">
        <f t="shared" si="33"/>
        <v>8</v>
      </c>
      <c r="D1127" s="20" t="str">
        <f t="shared" si="34"/>
        <v>CVX20168</v>
      </c>
      <c r="E1127" s="2">
        <v>42599</v>
      </c>
      <c r="F1127" s="3">
        <v>1.07</v>
      </c>
      <c r="G1127" s="2">
        <v>42625</v>
      </c>
      <c r="H1127" s="3">
        <v>4.1700000000000001E-2</v>
      </c>
      <c r="I1127" s="3">
        <v>0</v>
      </c>
      <c r="J1127" s="3">
        <v>0</v>
      </c>
      <c r="K1127" s="3">
        <f t="shared" si="35"/>
        <v>2016</v>
      </c>
      <c r="L1127" s="3">
        <f t="shared" si="36"/>
        <v>0</v>
      </c>
      <c r="M1127" s="20" t="str">
        <f>A1127&amp;L1127</f>
        <v>CVX0</v>
      </c>
      <c r="N1127" s="3">
        <f>F1127</f>
        <v>1.07</v>
      </c>
      <c r="O1127" s="9">
        <f>H1127</f>
        <v>4.1700000000000001E-2</v>
      </c>
      <c r="P1127" s="10">
        <f t="shared" si="37"/>
        <v>0</v>
      </c>
      <c r="Q1127" s="10">
        <f>IF(K1127=0,IF(A1124=A1127,AVERAGE(O1124:O1127),"x"),0)</f>
        <v>0</v>
      </c>
      <c r="R1127" s="9">
        <f>IF(L1127&gt;2005,AVERAGE(O1124:O1143),0)</f>
        <v>0</v>
      </c>
      <c r="S1127" s="10">
        <f>IF(A1127=A1128,(N1127-N1128)/N1128,0)</f>
        <v>0</v>
      </c>
      <c r="T1127" s="10">
        <f>IF(L1127&gt;2005,(((N1127-N1147)/N1147)+1)^(1/5)-1,0)</f>
        <v>0</v>
      </c>
      <c r="U1127" s="10">
        <f t="shared" si="38"/>
        <v>0</v>
      </c>
      <c r="V1127" s="26">
        <f t="shared" si="39"/>
        <v>0</v>
      </c>
      <c r="W1127" s="3">
        <f>IF(A1127=A1128,N1127-N1128,0)</f>
        <v>0</v>
      </c>
      <c r="X1127" s="10">
        <f>IF(A1127=A1128,(N1127-N1128)/N1128,0)</f>
        <v>0</v>
      </c>
    </row>
    <row r="1128" spans="1:24" ht="16.5" customHeight="1">
      <c r="A1128" s="3" t="s">
        <v>36</v>
      </c>
      <c r="B1128" s="3">
        <f t="shared" si="32"/>
        <v>2016</v>
      </c>
      <c r="C1128" s="3">
        <f t="shared" si="33"/>
        <v>5</v>
      </c>
      <c r="D1128" s="20" t="str">
        <f t="shared" si="34"/>
        <v>CVX20165</v>
      </c>
      <c r="E1128" s="2">
        <v>42507</v>
      </c>
      <c r="F1128" s="3">
        <v>1.07</v>
      </c>
      <c r="G1128" s="2">
        <v>42531</v>
      </c>
      <c r="H1128" s="3">
        <v>4.1799999999999997E-2</v>
      </c>
      <c r="I1128" s="3">
        <v>0</v>
      </c>
      <c r="J1128" s="3">
        <v>0</v>
      </c>
      <c r="K1128" s="3">
        <f t="shared" si="35"/>
        <v>2016</v>
      </c>
      <c r="L1128" s="3">
        <f t="shared" si="36"/>
        <v>0</v>
      </c>
      <c r="M1128" s="20" t="str">
        <f>A1128&amp;L1128</f>
        <v>CVX0</v>
      </c>
      <c r="N1128" s="3">
        <f>F1128</f>
        <v>1.07</v>
      </c>
      <c r="O1128" s="9">
        <f>H1128</f>
        <v>4.1799999999999997E-2</v>
      </c>
      <c r="P1128" s="10">
        <f t="shared" si="37"/>
        <v>0</v>
      </c>
      <c r="Q1128" s="10">
        <f>IF(K1128=0,IF(A1125=A1128,AVERAGE(O1125:O1128),"x"),0)</f>
        <v>0</v>
      </c>
      <c r="R1128" s="9">
        <f>IF(L1128&gt;2005,AVERAGE(O1125:O1144),0)</f>
        <v>0</v>
      </c>
      <c r="S1128" s="10">
        <f>IF(A1128=A1129,(N1128-N1129)/N1129,0)</f>
        <v>0</v>
      </c>
      <c r="T1128" s="10">
        <f>IF(L1128&gt;2005,(((N1128-N1148)/N1148)+1)^(1/5)-1,0)</f>
        <v>0</v>
      </c>
      <c r="U1128" s="10">
        <f t="shared" si="38"/>
        <v>0</v>
      </c>
      <c r="V1128" s="26">
        <f t="shared" si="39"/>
        <v>0</v>
      </c>
      <c r="W1128" s="3">
        <f>IF(A1128=A1129,N1128-N1129,0)</f>
        <v>0</v>
      </c>
      <c r="X1128" s="10">
        <f>IF(A1128=A1129,(N1128-N1129)/N1129,0)</f>
        <v>0</v>
      </c>
    </row>
    <row r="1129" spans="1:24" ht="16.5" customHeight="1">
      <c r="A1129" s="3" t="s">
        <v>36</v>
      </c>
      <c r="B1129" s="3">
        <f t="shared" si="32"/>
        <v>2016</v>
      </c>
      <c r="C1129" s="3">
        <f t="shared" si="33"/>
        <v>2</v>
      </c>
      <c r="D1129" s="20" t="str">
        <f t="shared" si="34"/>
        <v>CVX20162</v>
      </c>
      <c r="E1129" s="2">
        <v>42416</v>
      </c>
      <c r="F1129" s="3">
        <v>1.07</v>
      </c>
      <c r="G1129" s="2">
        <v>42439</v>
      </c>
      <c r="H1129" s="3">
        <v>5.0099999999999999E-2</v>
      </c>
      <c r="I1129" s="3">
        <v>0</v>
      </c>
      <c r="J1129" s="3">
        <v>0</v>
      </c>
      <c r="K1129" s="3">
        <f t="shared" si="35"/>
        <v>0</v>
      </c>
      <c r="L1129" s="3">
        <f t="shared" si="36"/>
        <v>2016</v>
      </c>
      <c r="M1129" s="20" t="str">
        <f>A1129&amp;L1129</f>
        <v>CVX2016</v>
      </c>
      <c r="N1129" s="3">
        <f>F1129</f>
        <v>1.07</v>
      </c>
      <c r="O1129" s="9">
        <f>H1129</f>
        <v>5.0099999999999999E-2</v>
      </c>
      <c r="P1129" s="10">
        <f t="shared" si="37"/>
        <v>0</v>
      </c>
      <c r="Q1129" s="10">
        <f>IF(K1129=0,IF(A1126=A1129,AVERAGE(O1126:O1129),"x"),0)</f>
        <v>4.3300000000000005E-2</v>
      </c>
      <c r="R1129" s="9">
        <f>IF(L1129&gt;2005,AVERAGE(O1126:O1145),0)</f>
        <v>3.6805000000000004E-2</v>
      </c>
      <c r="S1129" s="10">
        <f>IF(A1129=A1130,(N1129-N1130)/N1130,0)</f>
        <v>0</v>
      </c>
      <c r="T1129" s="10">
        <f>IF(L1129&gt;2005,(((N1129-N1149)/N1149)+1)^(1/5)-1,0)</f>
        <v>8.2456010469547092E-2</v>
      </c>
      <c r="U1129" s="10">
        <f t="shared" si="38"/>
        <v>0.1192610104695471</v>
      </c>
      <c r="V1129" s="26">
        <f t="shared" si="39"/>
        <v>4.5278502948574619</v>
      </c>
      <c r="W1129" s="3">
        <f>IF(A1129=A1130,N1129-N1130,0)</f>
        <v>0</v>
      </c>
      <c r="X1129" s="10">
        <f>IF(A1129=A1130,(N1129-N1130)/N1130,0)</f>
        <v>0</v>
      </c>
    </row>
    <row r="1130" spans="1:24" ht="16.5" customHeight="1">
      <c r="A1130" s="3" t="s">
        <v>36</v>
      </c>
      <c r="B1130" s="3">
        <f t="shared" si="32"/>
        <v>2015</v>
      </c>
      <c r="C1130" s="3">
        <f t="shared" si="33"/>
        <v>11</v>
      </c>
      <c r="D1130" s="20" t="str">
        <f t="shared" si="34"/>
        <v>CVX201511</v>
      </c>
      <c r="E1130" s="2">
        <v>42324</v>
      </c>
      <c r="F1130" s="3">
        <v>1.07</v>
      </c>
      <c r="G1130" s="2">
        <v>42348</v>
      </c>
      <c r="H1130" s="3">
        <v>4.8300000000000003E-2</v>
      </c>
      <c r="I1130" s="3">
        <v>0</v>
      </c>
      <c r="J1130" s="3">
        <v>0</v>
      </c>
      <c r="K1130" s="3">
        <f t="shared" si="35"/>
        <v>2015</v>
      </c>
      <c r="L1130" s="3">
        <f t="shared" si="36"/>
        <v>0</v>
      </c>
      <c r="M1130" s="20" t="str">
        <f>A1130&amp;L1130</f>
        <v>CVX0</v>
      </c>
      <c r="N1130" s="3">
        <f>F1130</f>
        <v>1.07</v>
      </c>
      <c r="O1130" s="9">
        <f>H1130</f>
        <v>4.8300000000000003E-2</v>
      </c>
      <c r="P1130" s="10">
        <f t="shared" si="37"/>
        <v>0</v>
      </c>
      <c r="Q1130" s="10">
        <f>IF(K1130=0,IF(A1127=A1130,AVERAGE(O1127:O1130),"x"),0)</f>
        <v>0</v>
      </c>
      <c r="R1130" s="9">
        <f>IF(L1130&gt;2005,AVERAGE(O1127:O1146),0)</f>
        <v>0</v>
      </c>
      <c r="S1130" s="10">
        <f>IF(A1130=A1131,(N1130-N1131)/N1131,0)</f>
        <v>0</v>
      </c>
      <c r="T1130" s="10">
        <f>IF(L1130&gt;2005,(((N1130-N1150)/N1150)+1)^(1/5)-1,0)</f>
        <v>0</v>
      </c>
      <c r="U1130" s="10">
        <f t="shared" si="38"/>
        <v>0</v>
      </c>
      <c r="V1130" s="26">
        <f t="shared" si="39"/>
        <v>0</v>
      </c>
      <c r="W1130" s="3">
        <f>IF(A1130=A1131,N1130-N1131,0)</f>
        <v>0</v>
      </c>
      <c r="X1130" s="10">
        <f>IF(A1130=A1131,(N1130-N1131)/N1131,0)</f>
        <v>0</v>
      </c>
    </row>
    <row r="1131" spans="1:24" ht="16.5" customHeight="1">
      <c r="A1131" s="3" t="s">
        <v>36</v>
      </c>
      <c r="B1131" s="3">
        <f t="shared" si="32"/>
        <v>2015</v>
      </c>
      <c r="C1131" s="3">
        <f t="shared" si="33"/>
        <v>8</v>
      </c>
      <c r="D1131" s="20" t="str">
        <f t="shared" si="34"/>
        <v>CVX20158</v>
      </c>
      <c r="E1131" s="2">
        <v>42233</v>
      </c>
      <c r="F1131" s="3">
        <v>1.07</v>
      </c>
      <c r="G1131" s="2">
        <v>42257</v>
      </c>
      <c r="H1131" s="3">
        <v>4.9799999999999997E-2</v>
      </c>
      <c r="I1131" s="3">
        <v>0</v>
      </c>
      <c r="J1131" s="3">
        <v>0</v>
      </c>
      <c r="K1131" s="3">
        <f t="shared" si="35"/>
        <v>2015</v>
      </c>
      <c r="L1131" s="3">
        <f t="shared" si="36"/>
        <v>0</v>
      </c>
      <c r="M1131" s="20" t="str">
        <f>A1131&amp;L1131</f>
        <v>CVX0</v>
      </c>
      <c r="N1131" s="3">
        <f>F1131</f>
        <v>1.07</v>
      </c>
      <c r="O1131" s="9">
        <f>H1131</f>
        <v>4.9799999999999997E-2</v>
      </c>
      <c r="P1131" s="10">
        <f t="shared" si="37"/>
        <v>0</v>
      </c>
      <c r="Q1131" s="10">
        <f>IF(K1131=0,IF(A1128=A1131,AVERAGE(O1128:O1131),"x"),0)</f>
        <v>0</v>
      </c>
      <c r="R1131" s="9">
        <f>IF(L1131&gt;2005,AVERAGE(O1128:O1147),0)</f>
        <v>0</v>
      </c>
      <c r="S1131" s="10">
        <f>IF(A1131=A1132,(N1131-N1132)/N1132,0)</f>
        <v>0</v>
      </c>
      <c r="T1131" s="10">
        <f>IF(L1131&gt;2005,(((N1131-N1151)/N1151)+1)^(1/5)-1,0)</f>
        <v>0</v>
      </c>
      <c r="U1131" s="10">
        <f t="shared" si="38"/>
        <v>0</v>
      </c>
      <c r="V1131" s="26">
        <f t="shared" si="39"/>
        <v>0</v>
      </c>
      <c r="W1131" s="3">
        <f>IF(A1131=A1132,N1131-N1132,0)</f>
        <v>0</v>
      </c>
      <c r="X1131" s="10">
        <f>IF(A1131=A1132,(N1131-N1132)/N1132,0)</f>
        <v>0</v>
      </c>
    </row>
    <row r="1132" spans="1:24" ht="16.5" customHeight="1">
      <c r="A1132" s="3" t="s">
        <v>36</v>
      </c>
      <c r="B1132" s="3">
        <f t="shared" si="32"/>
        <v>2015</v>
      </c>
      <c r="C1132" s="3">
        <f t="shared" si="33"/>
        <v>5</v>
      </c>
      <c r="D1132" s="20" t="str">
        <f t="shared" si="34"/>
        <v>CVX20155</v>
      </c>
      <c r="E1132" s="2">
        <v>42139</v>
      </c>
      <c r="F1132" s="3">
        <v>1.07</v>
      </c>
      <c r="G1132" s="2">
        <v>42165</v>
      </c>
      <c r="H1132" s="3">
        <v>3.95E-2</v>
      </c>
      <c r="I1132" s="3">
        <v>0</v>
      </c>
      <c r="J1132" s="3">
        <v>0</v>
      </c>
      <c r="K1132" s="3">
        <f t="shared" si="35"/>
        <v>2015</v>
      </c>
      <c r="L1132" s="3">
        <f t="shared" si="36"/>
        <v>0</v>
      </c>
      <c r="M1132" s="20" t="str">
        <f>A1132&amp;L1132</f>
        <v>CVX0</v>
      </c>
      <c r="N1132" s="3">
        <f>F1132</f>
        <v>1.07</v>
      </c>
      <c r="O1132" s="9">
        <f>H1132</f>
        <v>3.95E-2</v>
      </c>
      <c r="P1132" s="10">
        <f t="shared" si="37"/>
        <v>0</v>
      </c>
      <c r="Q1132" s="10">
        <f>IF(K1132=0,IF(A1129=A1132,AVERAGE(O1129:O1132),"x"),0)</f>
        <v>0</v>
      </c>
      <c r="R1132" s="9">
        <f>IF(L1132&gt;2005,AVERAGE(O1129:O1148),0)</f>
        <v>0</v>
      </c>
      <c r="S1132" s="10">
        <f>IF(A1132=A1133,(N1132-N1133)/N1133,0)</f>
        <v>0</v>
      </c>
      <c r="T1132" s="10">
        <f>IF(L1132&gt;2005,(((N1132-N1152)/N1152)+1)^(1/5)-1,0)</f>
        <v>0</v>
      </c>
      <c r="U1132" s="10">
        <f t="shared" si="38"/>
        <v>0</v>
      </c>
      <c r="V1132" s="26">
        <f t="shared" si="39"/>
        <v>0</v>
      </c>
      <c r="W1132" s="3">
        <f>IF(A1132=A1133,N1132-N1133,0)</f>
        <v>0</v>
      </c>
      <c r="X1132" s="10">
        <f>IF(A1132=A1133,(N1132-N1133)/N1133,0)</f>
        <v>0</v>
      </c>
    </row>
    <row r="1133" spans="1:24" ht="16.5" customHeight="1">
      <c r="A1133" s="3" t="s">
        <v>36</v>
      </c>
      <c r="B1133" s="3">
        <f t="shared" si="32"/>
        <v>2015</v>
      </c>
      <c r="C1133" s="3">
        <f t="shared" si="33"/>
        <v>2</v>
      </c>
      <c r="D1133" s="20" t="str">
        <f t="shared" si="34"/>
        <v>CVX20152</v>
      </c>
      <c r="E1133" s="2">
        <v>42047</v>
      </c>
      <c r="F1133" s="3">
        <v>1.07</v>
      </c>
      <c r="G1133" s="2">
        <v>42073</v>
      </c>
      <c r="H1133" s="3">
        <v>3.8899999999999997E-2</v>
      </c>
      <c r="I1133" s="3">
        <v>0</v>
      </c>
      <c r="J1133" s="3">
        <v>0</v>
      </c>
      <c r="K1133" s="3">
        <f t="shared" si="35"/>
        <v>0</v>
      </c>
      <c r="L1133" s="3">
        <f t="shared" si="36"/>
        <v>2015</v>
      </c>
      <c r="M1133" s="20" t="str">
        <f>A1133&amp;L1133</f>
        <v>CVX2015</v>
      </c>
      <c r="N1133" s="3">
        <f>F1133</f>
        <v>1.07</v>
      </c>
      <c r="O1133" s="9">
        <f>H1133</f>
        <v>3.8899999999999997E-2</v>
      </c>
      <c r="P1133" s="10">
        <f t="shared" si="37"/>
        <v>0</v>
      </c>
      <c r="Q1133" s="10">
        <f>IF(K1133=0,IF(A1130=A1133,AVERAGE(O1130:O1133),"x"),0)</f>
        <v>4.4124999999999998E-2</v>
      </c>
      <c r="R1133" s="9">
        <f>IF(L1133&gt;2005,AVERAGE(O1130:O1149),0)</f>
        <v>3.4110000000000001E-2</v>
      </c>
      <c r="S1133" s="10">
        <f>IF(A1133=A1134,(N1133-N1134)/N1134,0)</f>
        <v>0</v>
      </c>
      <c r="T1133" s="10">
        <f>IF(L1133&gt;2005,(((N1133-N1153)/N1153)+1)^(1/5)-1,0)</f>
        <v>9.4901303982790397E-2</v>
      </c>
      <c r="U1133" s="10">
        <f t="shared" si="38"/>
        <v>0.1290113039827904</v>
      </c>
      <c r="V1133" s="26">
        <f t="shared" si="39"/>
        <v>4.5646628218766692</v>
      </c>
      <c r="W1133" s="3">
        <f>IF(A1133=A1134,N1133-N1134,0)</f>
        <v>0</v>
      </c>
      <c r="X1133" s="10">
        <f>IF(A1133=A1134,(N1133-N1134)/N1134,0)</f>
        <v>0</v>
      </c>
    </row>
    <row r="1134" spans="1:24" ht="16.5" customHeight="1">
      <c r="A1134" s="3" t="s">
        <v>36</v>
      </c>
      <c r="B1134" s="3">
        <f t="shared" si="32"/>
        <v>2014</v>
      </c>
      <c r="C1134" s="3">
        <f t="shared" si="33"/>
        <v>11</v>
      </c>
      <c r="D1134" s="20" t="str">
        <f t="shared" si="34"/>
        <v>CVX201411</v>
      </c>
      <c r="E1134" s="2">
        <v>41957</v>
      </c>
      <c r="F1134" s="3">
        <v>1.07</v>
      </c>
      <c r="G1134" s="2">
        <v>41983</v>
      </c>
      <c r="H1134" s="3">
        <v>3.6200000000000003E-2</v>
      </c>
      <c r="I1134" s="3">
        <v>0</v>
      </c>
      <c r="J1134" s="3">
        <v>0</v>
      </c>
      <c r="K1134" s="3">
        <f t="shared" si="35"/>
        <v>2014</v>
      </c>
      <c r="L1134" s="3">
        <f t="shared" si="36"/>
        <v>0</v>
      </c>
      <c r="M1134" s="20" t="str">
        <f>A1134&amp;L1134</f>
        <v>CVX0</v>
      </c>
      <c r="N1134" s="3">
        <f>F1134</f>
        <v>1.07</v>
      </c>
      <c r="O1134" s="9">
        <f>H1134</f>
        <v>3.6200000000000003E-2</v>
      </c>
      <c r="P1134" s="10">
        <f t="shared" si="37"/>
        <v>0</v>
      </c>
      <c r="Q1134" s="10">
        <f>IF(K1134=0,IF(A1131=A1134,AVERAGE(O1131:O1134),"x"),0)</f>
        <v>0</v>
      </c>
      <c r="R1134" s="9">
        <f>IF(L1134&gt;2005,AVERAGE(O1131:O1150),0)</f>
        <v>0</v>
      </c>
      <c r="S1134" s="10">
        <f>IF(A1134=A1135,(N1134-N1135)/N1135,0)</f>
        <v>0</v>
      </c>
      <c r="T1134" s="10">
        <f>IF(L1134&gt;2005,(((N1134-N1154)/N1154)+1)^(1/5)-1,0)</f>
        <v>0</v>
      </c>
      <c r="U1134" s="10">
        <f t="shared" si="38"/>
        <v>0</v>
      </c>
      <c r="V1134" s="26">
        <f t="shared" si="39"/>
        <v>0</v>
      </c>
      <c r="W1134" s="3">
        <f>IF(A1134=A1135,N1134-N1135,0)</f>
        <v>0</v>
      </c>
      <c r="X1134" s="10">
        <f>IF(A1134=A1135,(N1134-N1135)/N1135,0)</f>
        <v>0</v>
      </c>
    </row>
    <row r="1135" spans="1:24" ht="16.5" customHeight="1">
      <c r="A1135" s="3" t="s">
        <v>36</v>
      </c>
      <c r="B1135" s="3">
        <f t="shared" si="32"/>
        <v>2014</v>
      </c>
      <c r="C1135" s="3">
        <f t="shared" si="33"/>
        <v>8</v>
      </c>
      <c r="D1135" s="20" t="str">
        <f t="shared" si="34"/>
        <v>CVX20148</v>
      </c>
      <c r="E1135" s="2">
        <v>41866</v>
      </c>
      <c r="F1135" s="3">
        <v>1.07</v>
      </c>
      <c r="G1135" s="2">
        <v>41892</v>
      </c>
      <c r="H1135" s="3">
        <v>3.2599999999999997E-2</v>
      </c>
      <c r="I1135" s="3">
        <v>0</v>
      </c>
      <c r="J1135" s="3">
        <v>0</v>
      </c>
      <c r="K1135" s="3">
        <f t="shared" si="35"/>
        <v>2014</v>
      </c>
      <c r="L1135" s="3">
        <f t="shared" si="36"/>
        <v>0</v>
      </c>
      <c r="M1135" s="20" t="str">
        <f>A1135&amp;L1135</f>
        <v>CVX0</v>
      </c>
      <c r="N1135" s="3">
        <f>F1135</f>
        <v>1.07</v>
      </c>
      <c r="O1135" s="9">
        <f>H1135</f>
        <v>3.2599999999999997E-2</v>
      </c>
      <c r="P1135" s="10">
        <f t="shared" si="37"/>
        <v>0</v>
      </c>
      <c r="Q1135" s="10">
        <f>IF(K1135=0,IF(A1132=A1135,AVERAGE(O1132:O1135),"x"),0)</f>
        <v>0</v>
      </c>
      <c r="R1135" s="9">
        <f>IF(L1135&gt;2005,AVERAGE(O1132:O1151),0)</f>
        <v>0</v>
      </c>
      <c r="S1135" s="10">
        <f>IF(A1135=A1136,(N1135-N1136)/N1136,0)</f>
        <v>0</v>
      </c>
      <c r="T1135" s="10">
        <f>IF(L1135&gt;2005,(((N1135-N1155)/N1155)+1)^(1/5)-1,0)</f>
        <v>0</v>
      </c>
      <c r="U1135" s="10">
        <f t="shared" si="38"/>
        <v>0</v>
      </c>
      <c r="V1135" s="26">
        <f t="shared" si="39"/>
        <v>0</v>
      </c>
      <c r="W1135" s="3">
        <f>IF(A1135=A1136,N1135-N1136,0)</f>
        <v>0</v>
      </c>
      <c r="X1135" s="10">
        <f>IF(A1135=A1136,(N1135-N1136)/N1136,0)</f>
        <v>0</v>
      </c>
    </row>
    <row r="1136" spans="1:24" ht="16.5" customHeight="1">
      <c r="A1136" s="3" t="s">
        <v>36</v>
      </c>
      <c r="B1136" s="3">
        <f t="shared" si="32"/>
        <v>2014</v>
      </c>
      <c r="C1136" s="3">
        <f t="shared" si="33"/>
        <v>5</v>
      </c>
      <c r="D1136" s="20" t="str">
        <f t="shared" si="34"/>
        <v>CVX20145</v>
      </c>
      <c r="E1136" s="2">
        <v>41774</v>
      </c>
      <c r="F1136" s="3">
        <v>1.07</v>
      </c>
      <c r="G1136" s="2">
        <v>41800</v>
      </c>
      <c r="H1136" s="3">
        <v>3.2199999999999999E-2</v>
      </c>
      <c r="I1136" s="3">
        <v>7.0000000000000007E-2</v>
      </c>
      <c r="J1136" s="3">
        <v>7.0000000000000007E-2</v>
      </c>
      <c r="K1136" s="3">
        <f t="shared" si="35"/>
        <v>2014</v>
      </c>
      <c r="L1136" s="3">
        <f t="shared" si="36"/>
        <v>0</v>
      </c>
      <c r="M1136" s="20" t="str">
        <f>A1136&amp;L1136</f>
        <v>CVX0</v>
      </c>
      <c r="N1136" s="3">
        <f>F1136</f>
        <v>1.07</v>
      </c>
      <c r="O1136" s="9">
        <f>H1136</f>
        <v>3.2199999999999999E-2</v>
      </c>
      <c r="P1136" s="10">
        <f t="shared" si="37"/>
        <v>3.2750000000000001E-2</v>
      </c>
      <c r="Q1136" s="10">
        <f>IF(K1136=0,IF(A1133=A1136,AVERAGE(O1133:O1136),"x"),0)</f>
        <v>0</v>
      </c>
      <c r="R1136" s="9">
        <f>IF(L1136&gt;2005,AVERAGE(O1133:O1152),0)</f>
        <v>0</v>
      </c>
      <c r="S1136" s="10">
        <f>IF(A1136=A1137,(N1136-N1137)/N1137,0)</f>
        <v>7.0000000000000062E-2</v>
      </c>
      <c r="T1136" s="10">
        <f>IF(L1136&gt;2005,(((N1136-N1156)/N1156)+1)^(1/5)-1,0)</f>
        <v>0</v>
      </c>
      <c r="U1136" s="10">
        <f t="shared" si="38"/>
        <v>0</v>
      </c>
      <c r="V1136" s="26">
        <f t="shared" si="39"/>
        <v>0</v>
      </c>
      <c r="W1136" s="3">
        <f>IF(A1136=A1137,N1136-N1137,0)</f>
        <v>7.0000000000000062E-2</v>
      </c>
      <c r="X1136" s="10">
        <f>IF(A1136=A1137,(N1136-N1137)/N1137,0)</f>
        <v>7.0000000000000062E-2</v>
      </c>
    </row>
    <row r="1137" spans="1:24" ht="16.5" customHeight="1">
      <c r="A1137" s="3" t="s">
        <v>36</v>
      </c>
      <c r="B1137" s="3">
        <f t="shared" si="32"/>
        <v>2014</v>
      </c>
      <c r="C1137" s="3">
        <f t="shared" si="33"/>
        <v>2</v>
      </c>
      <c r="D1137" s="20" t="str">
        <f t="shared" si="34"/>
        <v>CVX20142</v>
      </c>
      <c r="E1137" s="2">
        <v>41682</v>
      </c>
      <c r="F1137" s="3">
        <v>1</v>
      </c>
      <c r="G1137" s="2">
        <v>41708</v>
      </c>
      <c r="H1137" s="3">
        <v>3.5200000000000002E-2</v>
      </c>
      <c r="I1137" s="3">
        <v>0</v>
      </c>
      <c r="J1137" s="3">
        <v>0</v>
      </c>
      <c r="K1137" s="3">
        <f t="shared" si="35"/>
        <v>0</v>
      </c>
      <c r="L1137" s="3">
        <f t="shared" si="36"/>
        <v>2014</v>
      </c>
      <c r="M1137" s="20" t="str">
        <f>A1137&amp;L1137</f>
        <v>CVX2014</v>
      </c>
      <c r="N1137" s="3">
        <f>F1137</f>
        <v>1</v>
      </c>
      <c r="O1137" s="9">
        <f>H1137</f>
        <v>3.5200000000000002E-2</v>
      </c>
      <c r="P1137" s="10">
        <f t="shared" si="37"/>
        <v>0</v>
      </c>
      <c r="Q1137" s="10">
        <f>IF(K1137=0,IF(A1134=A1137,AVERAGE(O1134:O1137),"x"),0)</f>
        <v>3.4050000000000004E-2</v>
      </c>
      <c r="R1137" s="9">
        <f>IF(L1137&gt;2005,AVERAGE(O1134:O1153),0)</f>
        <v>3.2409999999999994E-2</v>
      </c>
      <c r="S1137" s="10">
        <f>IF(A1137=A1138,(N1137-N1138)/N1138,0)</f>
        <v>0</v>
      </c>
      <c r="T1137" s="10">
        <f>IF(L1137&gt;2005,(((N1137-N1157)/N1157)+1)^(1/5)-1,0)</f>
        <v>8.9976987048345336E-2</v>
      </c>
      <c r="U1137" s="10">
        <f t="shared" si="38"/>
        <v>0.12238698704834533</v>
      </c>
      <c r="V1137" s="26">
        <f t="shared" si="39"/>
        <v>4.5831800335833739</v>
      </c>
      <c r="W1137" s="3">
        <f>IF(A1137=A1138,N1137-N1138,0)</f>
        <v>0</v>
      </c>
      <c r="X1137" s="10">
        <f>IF(A1137=A1138,(N1137-N1138)/N1138,0)</f>
        <v>0</v>
      </c>
    </row>
    <row r="1138" spans="1:24" ht="16.5" customHeight="1">
      <c r="A1138" s="3" t="s">
        <v>36</v>
      </c>
      <c r="B1138" s="3">
        <f t="shared" si="32"/>
        <v>2013</v>
      </c>
      <c r="C1138" s="3">
        <f t="shared" si="33"/>
        <v>11</v>
      </c>
      <c r="D1138" s="20" t="str">
        <f t="shared" si="34"/>
        <v>CVX201311</v>
      </c>
      <c r="E1138" s="2">
        <v>41592</v>
      </c>
      <c r="F1138" s="3">
        <v>1</v>
      </c>
      <c r="G1138" s="2">
        <v>41618</v>
      </c>
      <c r="H1138" s="3">
        <v>3.2500000000000001E-2</v>
      </c>
      <c r="I1138" s="3">
        <v>0</v>
      </c>
      <c r="J1138" s="3">
        <v>0</v>
      </c>
      <c r="K1138" s="3">
        <f t="shared" si="35"/>
        <v>2013</v>
      </c>
      <c r="L1138" s="3">
        <f t="shared" si="36"/>
        <v>0</v>
      </c>
      <c r="M1138" s="20" t="str">
        <f>A1138&amp;L1138</f>
        <v>CVX0</v>
      </c>
      <c r="N1138" s="3">
        <f>F1138</f>
        <v>1</v>
      </c>
      <c r="O1138" s="9">
        <f>H1138</f>
        <v>3.2500000000000001E-2</v>
      </c>
      <c r="P1138" s="10">
        <f t="shared" si="37"/>
        <v>0</v>
      </c>
      <c r="Q1138" s="10">
        <f>IF(K1138=0,IF(A1135=A1138,AVERAGE(O1135:O1138),"x"),0)</f>
        <v>0</v>
      </c>
      <c r="R1138" s="9">
        <f>IF(L1138&gt;2005,AVERAGE(O1135:O1154),0)</f>
        <v>0</v>
      </c>
      <c r="S1138" s="10">
        <f>IF(A1138=A1139,(N1138-N1139)/N1139,0)</f>
        <v>0</v>
      </c>
      <c r="T1138" s="10">
        <f>IF(L1138&gt;2005,(((N1138-N1158)/N1158)+1)^(1/5)-1,0)</f>
        <v>0</v>
      </c>
      <c r="U1138" s="10">
        <f t="shared" si="38"/>
        <v>0</v>
      </c>
      <c r="V1138" s="26">
        <f t="shared" si="39"/>
        <v>0</v>
      </c>
      <c r="W1138" s="3">
        <f>IF(A1138=A1139,N1138-N1139,0)</f>
        <v>0</v>
      </c>
      <c r="X1138" s="10">
        <f>IF(A1138=A1139,(N1138-N1139)/N1139,0)</f>
        <v>0</v>
      </c>
    </row>
    <row r="1139" spans="1:24" ht="16.5" customHeight="1">
      <c r="A1139" s="3" t="s">
        <v>36</v>
      </c>
      <c r="B1139" s="3">
        <f t="shared" si="32"/>
        <v>2013</v>
      </c>
      <c r="C1139" s="3">
        <f t="shared" si="33"/>
        <v>8</v>
      </c>
      <c r="D1139" s="20" t="str">
        <f t="shared" si="34"/>
        <v>CVX20138</v>
      </c>
      <c r="E1139" s="2">
        <v>41501</v>
      </c>
      <c r="F1139" s="3">
        <v>1</v>
      </c>
      <c r="G1139" s="2">
        <v>41527</v>
      </c>
      <c r="H1139" s="3">
        <v>3.1099999999999999E-2</v>
      </c>
      <c r="I1139" s="3">
        <v>0</v>
      </c>
      <c r="J1139" s="3">
        <v>0</v>
      </c>
      <c r="K1139" s="3">
        <f t="shared" si="35"/>
        <v>2013</v>
      </c>
      <c r="L1139" s="3">
        <f t="shared" si="36"/>
        <v>0</v>
      </c>
      <c r="M1139" s="20" t="str">
        <f>A1139&amp;L1139</f>
        <v>CVX0</v>
      </c>
      <c r="N1139" s="3">
        <f>F1139</f>
        <v>1</v>
      </c>
      <c r="O1139" s="9">
        <f>H1139</f>
        <v>3.1099999999999999E-2</v>
      </c>
      <c r="P1139" s="10">
        <f t="shared" si="37"/>
        <v>0</v>
      </c>
      <c r="Q1139" s="10">
        <f>IF(K1139=0,IF(A1136=A1139,AVERAGE(O1136:O1139),"x"),0)</f>
        <v>0</v>
      </c>
      <c r="R1139" s="9">
        <f>IF(L1139&gt;2005,AVERAGE(O1136:O1155),0)</f>
        <v>0</v>
      </c>
      <c r="S1139" s="10">
        <f>IF(A1139=A1140,(N1139-N1140)/N1140,0)</f>
        <v>0</v>
      </c>
      <c r="T1139" s="10">
        <f>IF(L1139&gt;2005,(((N1139-N1159)/N1159)+1)^(1/5)-1,0)</f>
        <v>0</v>
      </c>
      <c r="U1139" s="10">
        <f t="shared" si="38"/>
        <v>0</v>
      </c>
      <c r="V1139" s="26">
        <f t="shared" si="39"/>
        <v>0</v>
      </c>
      <c r="W1139" s="3">
        <f>IF(A1139=A1140,N1139-N1140,0)</f>
        <v>0</v>
      </c>
      <c r="X1139" s="10">
        <f>IF(A1139=A1140,(N1139-N1140)/N1140,0)</f>
        <v>0</v>
      </c>
    </row>
    <row r="1140" spans="1:24" ht="16.5" customHeight="1">
      <c r="A1140" s="3" t="s">
        <v>36</v>
      </c>
      <c r="B1140" s="3">
        <f t="shared" si="32"/>
        <v>2013</v>
      </c>
      <c r="C1140" s="3">
        <f t="shared" si="33"/>
        <v>5</v>
      </c>
      <c r="D1140" s="20" t="str">
        <f t="shared" si="34"/>
        <v>CVX20135</v>
      </c>
      <c r="E1140" s="2">
        <v>41409</v>
      </c>
      <c r="F1140" s="3">
        <v>1</v>
      </c>
      <c r="G1140" s="2">
        <v>41435</v>
      </c>
      <c r="H1140" s="3">
        <v>2.9600000000000001E-2</v>
      </c>
      <c r="I1140" s="3">
        <v>0.111111111</v>
      </c>
      <c r="J1140" s="3">
        <v>0.1</v>
      </c>
      <c r="K1140" s="3">
        <f t="shared" si="35"/>
        <v>2013</v>
      </c>
      <c r="L1140" s="3">
        <f t="shared" si="36"/>
        <v>0</v>
      </c>
      <c r="M1140" s="20" t="str">
        <f>A1140&amp;L1140</f>
        <v>CVX0</v>
      </c>
      <c r="N1140" s="3">
        <f>F1140</f>
        <v>1</v>
      </c>
      <c r="O1140" s="9">
        <f>H1140</f>
        <v>2.9600000000000001E-2</v>
      </c>
      <c r="P1140" s="10">
        <f t="shared" si="37"/>
        <v>3.1E-2</v>
      </c>
      <c r="Q1140" s="10">
        <f>IF(K1140=0,IF(A1137=A1140,AVERAGE(O1137:O1140),"x"),0)</f>
        <v>0</v>
      </c>
      <c r="R1140" s="9">
        <f>IF(L1140&gt;2005,AVERAGE(O1137:O1156),0)</f>
        <v>0</v>
      </c>
      <c r="S1140" s="10">
        <f>IF(A1140=A1141,(N1140-N1141)/N1141,0)</f>
        <v>0.11111111111111108</v>
      </c>
      <c r="T1140" s="10">
        <f>IF(L1140&gt;2005,(((N1140-N1160)/N1160)+1)^(1/5)-1,0)</f>
        <v>0</v>
      </c>
      <c r="U1140" s="10">
        <f t="shared" si="38"/>
        <v>0</v>
      </c>
      <c r="V1140" s="26">
        <f t="shared" si="39"/>
        <v>0</v>
      </c>
      <c r="W1140" s="3">
        <f>IF(A1140=A1141,N1140-N1141,0)</f>
        <v>9.9999999999999978E-2</v>
      </c>
      <c r="X1140" s="10">
        <f>IF(A1140=A1141,(N1140-N1141)/N1141,0)</f>
        <v>0.11111111111111108</v>
      </c>
    </row>
    <row r="1141" spans="1:24" ht="16.5" customHeight="1">
      <c r="A1141" s="3" t="s">
        <v>36</v>
      </c>
      <c r="B1141" s="3">
        <f t="shared" si="32"/>
        <v>2013</v>
      </c>
      <c r="C1141" s="3">
        <f t="shared" si="33"/>
        <v>2</v>
      </c>
      <c r="D1141" s="20" t="str">
        <f t="shared" si="34"/>
        <v>CVX20132</v>
      </c>
      <c r="E1141" s="2">
        <v>41318</v>
      </c>
      <c r="F1141" s="3">
        <v>0.9</v>
      </c>
      <c r="G1141" s="2">
        <v>41344</v>
      </c>
      <c r="H1141" s="3">
        <v>3.09E-2</v>
      </c>
      <c r="I1141" s="3">
        <v>0</v>
      </c>
      <c r="J1141" s="3">
        <v>0</v>
      </c>
      <c r="K1141" s="3">
        <f t="shared" si="35"/>
        <v>0</v>
      </c>
      <c r="L1141" s="3">
        <f t="shared" si="36"/>
        <v>2013</v>
      </c>
      <c r="M1141" s="20" t="str">
        <f>A1141&amp;L1141</f>
        <v>CVX2013</v>
      </c>
      <c r="N1141" s="3">
        <f>F1141</f>
        <v>0.9</v>
      </c>
      <c r="O1141" s="9">
        <f>H1141</f>
        <v>3.09E-2</v>
      </c>
      <c r="P1141" s="10">
        <f t="shared" si="37"/>
        <v>0</v>
      </c>
      <c r="Q1141" s="10">
        <f>IF(K1141=0,IF(A1138=A1141,AVERAGE(O1138:O1141),"x"),0)</f>
        <v>3.1025E-2</v>
      </c>
      <c r="R1141" s="9">
        <f>IF(L1141&gt;2005,AVERAGE(O1138:O1157),0)</f>
        <v>3.2960000000000003E-2</v>
      </c>
      <c r="S1141" s="10">
        <f>IF(A1141=A1142,(N1141-N1142)/N1142,0)</f>
        <v>0</v>
      </c>
      <c r="T1141" s="10">
        <f>IF(L1141&gt;2005,(((N1141-N1161)/N1161)+1)^(1/5)-1,0)</f>
        <v>9.1849810789540687E-2</v>
      </c>
      <c r="U1141" s="10">
        <f t="shared" si="38"/>
        <v>0.12480981078954069</v>
      </c>
      <c r="V1141" s="26">
        <f t="shared" si="39"/>
        <v>4.5772590176026995</v>
      </c>
      <c r="W1141" s="3">
        <f>IF(A1141=A1142,N1141-N1142,0)</f>
        <v>0</v>
      </c>
      <c r="X1141" s="10">
        <f>IF(A1141=A1142,(N1141-N1142)/N1142,0)</f>
        <v>0</v>
      </c>
    </row>
    <row r="1142" spans="1:24" ht="16.5" customHeight="1">
      <c r="A1142" s="3" t="s">
        <v>36</v>
      </c>
      <c r="B1142" s="3">
        <f t="shared" si="32"/>
        <v>2012</v>
      </c>
      <c r="C1142" s="3">
        <f t="shared" si="33"/>
        <v>11</v>
      </c>
      <c r="D1142" s="20" t="str">
        <f t="shared" si="34"/>
        <v>CVX201211</v>
      </c>
      <c r="E1142" s="2">
        <v>41227</v>
      </c>
      <c r="F1142" s="3">
        <v>0.9</v>
      </c>
      <c r="G1142" s="2">
        <v>41253</v>
      </c>
      <c r="H1142" s="3">
        <v>3.3300000000000003E-2</v>
      </c>
      <c r="I1142" s="3">
        <v>0</v>
      </c>
      <c r="J1142" s="3">
        <v>0</v>
      </c>
      <c r="K1142" s="3">
        <f t="shared" si="35"/>
        <v>2012</v>
      </c>
      <c r="L1142" s="3">
        <f t="shared" si="36"/>
        <v>0</v>
      </c>
      <c r="M1142" s="20" t="str">
        <f>A1142&amp;L1142</f>
        <v>CVX0</v>
      </c>
      <c r="N1142" s="3">
        <f>F1142</f>
        <v>0.9</v>
      </c>
      <c r="O1142" s="9">
        <f>H1142</f>
        <v>3.3300000000000003E-2</v>
      </c>
      <c r="P1142" s="10">
        <f t="shared" si="37"/>
        <v>0</v>
      </c>
      <c r="Q1142" s="10">
        <f>IF(K1142=0,IF(A1139=A1142,AVERAGE(O1139:O1142),"x"),0)</f>
        <v>0</v>
      </c>
      <c r="R1142" s="9">
        <f>IF(L1142&gt;2005,AVERAGE(O1139:O1158),0)</f>
        <v>0</v>
      </c>
      <c r="S1142" s="10">
        <f>IF(A1142=A1143,(N1142-N1143)/N1143,0)</f>
        <v>0</v>
      </c>
      <c r="T1142" s="10">
        <f>IF(L1142&gt;2005,(((N1142-N1162)/N1162)+1)^(1/5)-1,0)</f>
        <v>0</v>
      </c>
      <c r="U1142" s="10">
        <f t="shared" si="38"/>
        <v>0</v>
      </c>
      <c r="V1142" s="26">
        <f t="shared" si="39"/>
        <v>0</v>
      </c>
      <c r="W1142" s="3">
        <f>IF(A1142=A1143,N1142-N1143,0)</f>
        <v>0</v>
      </c>
      <c r="X1142" s="10">
        <f>IF(A1142=A1143,(N1142-N1143)/N1143,0)</f>
        <v>0</v>
      </c>
    </row>
    <row r="1143" spans="1:24" ht="16.5" customHeight="1">
      <c r="A1143" s="3" t="s">
        <v>36</v>
      </c>
      <c r="B1143" s="3">
        <f t="shared" si="32"/>
        <v>2012</v>
      </c>
      <c r="C1143" s="3">
        <f t="shared" si="33"/>
        <v>8</v>
      </c>
      <c r="D1143" s="20" t="str">
        <f t="shared" si="34"/>
        <v>CVX20128</v>
      </c>
      <c r="E1143" s="2">
        <v>41136</v>
      </c>
      <c r="F1143" s="3">
        <v>0.9</v>
      </c>
      <c r="G1143" s="2">
        <v>41162</v>
      </c>
      <c r="H1143" s="3">
        <v>3.0200000000000001E-2</v>
      </c>
      <c r="I1143" s="3">
        <v>0</v>
      </c>
      <c r="J1143" s="3">
        <v>0</v>
      </c>
      <c r="K1143" s="3">
        <f t="shared" si="35"/>
        <v>2012</v>
      </c>
      <c r="L1143" s="3">
        <f t="shared" si="36"/>
        <v>0</v>
      </c>
      <c r="M1143" s="20" t="str">
        <f>A1143&amp;L1143</f>
        <v>CVX0</v>
      </c>
      <c r="N1143" s="3">
        <f>F1143</f>
        <v>0.9</v>
      </c>
      <c r="O1143" s="9">
        <f>H1143</f>
        <v>3.0200000000000001E-2</v>
      </c>
      <c r="P1143" s="10">
        <f t="shared" si="37"/>
        <v>0</v>
      </c>
      <c r="Q1143" s="10">
        <f>IF(K1143=0,IF(A1140=A1143,AVERAGE(O1140:O1143),"x"),0)</f>
        <v>0</v>
      </c>
      <c r="R1143" s="9">
        <f>IF(L1143&gt;2005,AVERAGE(O1140:O1159),0)</f>
        <v>0</v>
      </c>
      <c r="S1143" s="10">
        <f>IF(A1143=A1144,(N1143-N1144)/N1144,0)</f>
        <v>0</v>
      </c>
      <c r="T1143" s="10">
        <f>IF(L1143&gt;2005,(((N1143-N1163)/N1163)+1)^(1/5)-1,0)</f>
        <v>0</v>
      </c>
      <c r="U1143" s="10">
        <f t="shared" si="38"/>
        <v>0</v>
      </c>
      <c r="V1143" s="26">
        <f t="shared" si="39"/>
        <v>0</v>
      </c>
      <c r="W1143" s="3">
        <f>IF(A1143=A1144,N1143-N1144,0)</f>
        <v>0</v>
      </c>
      <c r="X1143" s="10">
        <f>IF(A1143=A1144,(N1143-N1144)/N1144,0)</f>
        <v>0</v>
      </c>
    </row>
    <row r="1144" spans="1:24" ht="16.5" customHeight="1">
      <c r="A1144" s="3" t="s">
        <v>36</v>
      </c>
      <c r="B1144" s="3">
        <f t="shared" si="32"/>
        <v>2012</v>
      </c>
      <c r="C1144" s="3">
        <f t="shared" si="33"/>
        <v>5</v>
      </c>
      <c r="D1144" s="20" t="str">
        <f t="shared" si="34"/>
        <v>CVX20125</v>
      </c>
      <c r="E1144" s="2">
        <v>41045</v>
      </c>
      <c r="F1144" s="3">
        <v>0.9</v>
      </c>
      <c r="G1144" s="2">
        <v>41071</v>
      </c>
      <c r="H1144" s="3">
        <v>3.27E-2</v>
      </c>
      <c r="I1144" s="3">
        <v>0.111111111</v>
      </c>
      <c r="J1144" s="3">
        <v>0.09</v>
      </c>
      <c r="K1144" s="3">
        <f t="shared" si="35"/>
        <v>2012</v>
      </c>
      <c r="L1144" s="3">
        <f t="shared" si="36"/>
        <v>0</v>
      </c>
      <c r="M1144" s="20" t="str">
        <f>A1144&amp;L1144</f>
        <v>CVX0</v>
      </c>
      <c r="N1144" s="3">
        <f>F1144</f>
        <v>0.9</v>
      </c>
      <c r="O1144" s="9">
        <f>H1144</f>
        <v>3.27E-2</v>
      </c>
      <c r="P1144" s="10">
        <f t="shared" si="37"/>
        <v>3.0775E-2</v>
      </c>
      <c r="Q1144" s="10">
        <f>IF(K1144=0,IF(A1141=A1144,AVERAGE(O1141:O1144),"x"),0)</f>
        <v>0</v>
      </c>
      <c r="R1144" s="9">
        <f>IF(L1144&gt;2005,AVERAGE(O1141:O1160),0)</f>
        <v>0</v>
      </c>
      <c r="S1144" s="10">
        <f>IF(A1144=A1145,(N1144-N1145)/N1145,0)</f>
        <v>0.11111111111111106</v>
      </c>
      <c r="T1144" s="10">
        <f>IF(L1144&gt;2005,(((N1144-N1164)/N1164)+1)^(1/5)-1,0)</f>
        <v>0</v>
      </c>
      <c r="U1144" s="10">
        <f t="shared" si="38"/>
        <v>0</v>
      </c>
      <c r="V1144" s="26">
        <f t="shared" si="39"/>
        <v>0</v>
      </c>
      <c r="W1144" s="3">
        <f>IF(A1144=A1145,N1144-N1145,0)</f>
        <v>8.9999999999999969E-2</v>
      </c>
      <c r="X1144" s="10">
        <f>IF(A1144=A1145,(N1144-N1145)/N1145,0)</f>
        <v>0.11111111111111106</v>
      </c>
    </row>
    <row r="1145" spans="1:24" ht="16.5" customHeight="1">
      <c r="A1145" s="3" t="s">
        <v>36</v>
      </c>
      <c r="B1145" s="3">
        <f t="shared" si="32"/>
        <v>2012</v>
      </c>
      <c r="C1145" s="3">
        <f t="shared" si="33"/>
        <v>2</v>
      </c>
      <c r="D1145" s="20" t="str">
        <f t="shared" si="34"/>
        <v>CVX20122</v>
      </c>
      <c r="E1145" s="2">
        <v>40954</v>
      </c>
      <c r="F1145" s="3">
        <v>0.81</v>
      </c>
      <c r="G1145" s="2">
        <v>40980</v>
      </c>
      <c r="H1145" s="3">
        <v>2.9899999999999999E-2</v>
      </c>
      <c r="I1145" s="3">
        <v>0</v>
      </c>
      <c r="J1145" s="3">
        <v>0</v>
      </c>
      <c r="K1145" s="3">
        <f t="shared" si="35"/>
        <v>0</v>
      </c>
      <c r="L1145" s="3">
        <f t="shared" si="36"/>
        <v>2012</v>
      </c>
      <c r="M1145" s="20" t="str">
        <f>A1145&amp;L1145</f>
        <v>CVX2012</v>
      </c>
      <c r="N1145" s="3">
        <f>F1145</f>
        <v>0.81</v>
      </c>
      <c r="O1145" s="9">
        <f>H1145</f>
        <v>2.9899999999999999E-2</v>
      </c>
      <c r="P1145" s="10">
        <f t="shared" si="37"/>
        <v>0</v>
      </c>
      <c r="Q1145" s="10">
        <f>IF(K1145=0,IF(A1142=A1145,AVERAGE(O1142:O1145),"x"),0)</f>
        <v>3.1525000000000004E-2</v>
      </c>
      <c r="R1145" s="9">
        <f>IF(L1145&gt;2005,AVERAGE(O1142:O1161),0)</f>
        <v>3.2499999999999994E-2</v>
      </c>
      <c r="S1145" s="10">
        <f>IF(A1145=A1146,(N1145-N1146)/N1146,0)</f>
        <v>0</v>
      </c>
      <c r="T1145" s="10">
        <f>IF(L1145&gt;2005,(((N1145-N1165)/N1165)+1)^(1/5)-1,0)</f>
        <v>9.2688406103258902E-2</v>
      </c>
      <c r="U1145" s="10">
        <f t="shared" si="38"/>
        <v>0.1251884061032589</v>
      </c>
      <c r="V1145" s="26">
        <f t="shared" si="39"/>
        <v>4.5830676861746467</v>
      </c>
      <c r="W1145" s="3">
        <f>IF(A1145=A1146,N1145-N1146,0)</f>
        <v>0</v>
      </c>
      <c r="X1145" s="10">
        <f>IF(A1145=A1146,(N1145-N1146)/N1146,0)</f>
        <v>0</v>
      </c>
    </row>
    <row r="1146" spans="1:24" ht="16.5" customHeight="1">
      <c r="A1146" s="3" t="s">
        <v>36</v>
      </c>
      <c r="B1146" s="3">
        <f t="shared" si="32"/>
        <v>2011</v>
      </c>
      <c r="C1146" s="3">
        <f t="shared" si="33"/>
        <v>11</v>
      </c>
      <c r="D1146" s="20" t="str">
        <f t="shared" si="34"/>
        <v>CVX201111</v>
      </c>
      <c r="E1146" s="2">
        <v>40863</v>
      </c>
      <c r="F1146" s="3">
        <v>0.81</v>
      </c>
      <c r="G1146" s="2">
        <v>40889</v>
      </c>
      <c r="H1146" s="3">
        <v>2.9899999999999999E-2</v>
      </c>
      <c r="I1146" s="3">
        <v>3.8461538000000003E-2</v>
      </c>
      <c r="J1146" s="3">
        <v>0.03</v>
      </c>
      <c r="K1146" s="3">
        <f t="shared" si="35"/>
        <v>2011</v>
      </c>
      <c r="L1146" s="3">
        <f t="shared" si="36"/>
        <v>0</v>
      </c>
      <c r="M1146" s="20" t="str">
        <f>A1146&amp;L1146</f>
        <v>CVX0</v>
      </c>
      <c r="N1146" s="3">
        <f>F1146</f>
        <v>0.81</v>
      </c>
      <c r="O1146" s="9">
        <f>H1146</f>
        <v>2.9899999999999999E-2</v>
      </c>
      <c r="P1146" s="10">
        <f t="shared" si="37"/>
        <v>2.9824999999999997E-2</v>
      </c>
      <c r="Q1146" s="10">
        <f>IF(K1146=0,IF(A1143=A1146,AVERAGE(O1143:O1146),"x"),0)</f>
        <v>0</v>
      </c>
      <c r="R1146" s="9">
        <f>IF(L1146&gt;2005,AVERAGE(O1143:O1162),0)</f>
        <v>0</v>
      </c>
      <c r="S1146" s="10">
        <f>IF(A1146=A1147,(N1146-N1147)/N1147,0)</f>
        <v>3.8461538461538491E-2</v>
      </c>
      <c r="T1146" s="10">
        <f>IF(L1146&gt;2005,(((N1146-N1166)/N1166)+1)^(1/5)-1,0)</f>
        <v>0</v>
      </c>
      <c r="U1146" s="10">
        <f t="shared" si="38"/>
        <v>0</v>
      </c>
      <c r="V1146" s="26">
        <f t="shared" si="39"/>
        <v>0</v>
      </c>
      <c r="W1146" s="3">
        <f>IF(A1146=A1147,N1146-N1147,0)</f>
        <v>3.0000000000000027E-2</v>
      </c>
      <c r="X1146" s="10">
        <f>IF(A1146=A1147,(N1146-N1147)/N1147,0)</f>
        <v>3.8461538461538491E-2</v>
      </c>
    </row>
    <row r="1147" spans="1:24" ht="16.5" customHeight="1">
      <c r="A1147" s="3" t="s">
        <v>36</v>
      </c>
      <c r="B1147" s="3">
        <f t="shared" si="32"/>
        <v>2011</v>
      </c>
      <c r="C1147" s="3">
        <f t="shared" si="33"/>
        <v>8</v>
      </c>
      <c r="D1147" s="20" t="str">
        <f t="shared" si="34"/>
        <v>CVX20118</v>
      </c>
      <c r="E1147" s="2">
        <v>40772</v>
      </c>
      <c r="F1147" s="3">
        <v>0.78</v>
      </c>
      <c r="G1147" s="2">
        <v>40798</v>
      </c>
      <c r="H1147" s="3">
        <v>3.0599999999999999E-2</v>
      </c>
      <c r="I1147" s="3">
        <v>0</v>
      </c>
      <c r="J1147" s="3">
        <v>0</v>
      </c>
      <c r="K1147" s="3">
        <f t="shared" si="35"/>
        <v>2011</v>
      </c>
      <c r="L1147" s="3">
        <f t="shared" si="36"/>
        <v>0</v>
      </c>
      <c r="M1147" s="20" t="str">
        <f>A1147&amp;L1147</f>
        <v>CVX0</v>
      </c>
      <c r="N1147" s="3">
        <f>F1147</f>
        <v>0.78</v>
      </c>
      <c r="O1147" s="9">
        <f>H1147</f>
        <v>3.0599999999999999E-2</v>
      </c>
      <c r="P1147" s="10">
        <f t="shared" si="37"/>
        <v>0</v>
      </c>
      <c r="Q1147" s="10">
        <f>IF(K1147=0,IF(A1144=A1147,AVERAGE(O1144:O1147),"x"),0)</f>
        <v>0</v>
      </c>
      <c r="R1147" s="9">
        <f>IF(L1147&gt;2005,AVERAGE(O1144:O1163),0)</f>
        <v>0</v>
      </c>
      <c r="S1147" s="10">
        <f>IF(A1147=A1148,(N1147-N1148)/N1148,0)</f>
        <v>0</v>
      </c>
      <c r="T1147" s="10">
        <f>IF(L1147&gt;2005,(((N1147-N1167)/N1167)+1)^(1/5)-1,0)</f>
        <v>0</v>
      </c>
      <c r="U1147" s="10">
        <f t="shared" si="38"/>
        <v>0</v>
      </c>
      <c r="V1147" s="26">
        <f t="shared" si="39"/>
        <v>0</v>
      </c>
      <c r="W1147" s="3">
        <f>IF(A1147=A1148,N1147-N1148,0)</f>
        <v>0</v>
      </c>
      <c r="X1147" s="10">
        <f>IF(A1147=A1148,(N1147-N1148)/N1148,0)</f>
        <v>0</v>
      </c>
    </row>
    <row r="1148" spans="1:24" ht="16.5" customHeight="1">
      <c r="A1148" s="3" t="s">
        <v>36</v>
      </c>
      <c r="B1148" s="3">
        <f t="shared" si="32"/>
        <v>2011</v>
      </c>
      <c r="C1148" s="3">
        <f t="shared" si="33"/>
        <v>5</v>
      </c>
      <c r="D1148" s="20" t="str">
        <f t="shared" si="34"/>
        <v>CVX20115</v>
      </c>
      <c r="E1148" s="2">
        <v>40680</v>
      </c>
      <c r="F1148" s="3">
        <v>0.78</v>
      </c>
      <c r="G1148" s="2">
        <v>40704</v>
      </c>
      <c r="H1148" s="3">
        <v>2.8899999999999999E-2</v>
      </c>
      <c r="I1148" s="3">
        <v>8.3333332999999996E-2</v>
      </c>
      <c r="J1148" s="3">
        <v>0.06</v>
      </c>
      <c r="K1148" s="3">
        <f t="shared" si="35"/>
        <v>2011</v>
      </c>
      <c r="L1148" s="3">
        <f t="shared" si="36"/>
        <v>0</v>
      </c>
      <c r="M1148" s="20" t="str">
        <f>A1148&amp;L1148</f>
        <v>CVX0</v>
      </c>
      <c r="N1148" s="3">
        <f>F1148</f>
        <v>0.78</v>
      </c>
      <c r="O1148" s="9">
        <f>H1148</f>
        <v>2.8899999999999999E-2</v>
      </c>
      <c r="P1148" s="10">
        <f t="shared" si="37"/>
        <v>3.2074999999999999E-2</v>
      </c>
      <c r="Q1148" s="10">
        <f>IF(K1148=0,IF(A1145=A1148,AVERAGE(O1145:O1148),"x"),0)</f>
        <v>0</v>
      </c>
      <c r="R1148" s="9">
        <f>IF(L1148&gt;2005,AVERAGE(O1145:O1164),0)</f>
        <v>0</v>
      </c>
      <c r="S1148" s="10">
        <f>IF(A1148=A1149,(N1148-N1149)/N1149,0)</f>
        <v>8.3333333333333412E-2</v>
      </c>
      <c r="T1148" s="10">
        <f>IF(L1148&gt;2005,(((N1148-N1168)/N1168)+1)^(1/5)-1,0)</f>
        <v>0</v>
      </c>
      <c r="U1148" s="10">
        <f t="shared" si="38"/>
        <v>0</v>
      </c>
      <c r="V1148" s="26">
        <f t="shared" si="39"/>
        <v>0</v>
      </c>
      <c r="W1148" s="3">
        <f>IF(A1148=A1149,N1148-N1149,0)</f>
        <v>6.0000000000000053E-2</v>
      </c>
      <c r="X1148" s="10">
        <f>IF(A1148=A1149,(N1148-N1149)/N1149,0)</f>
        <v>8.3333333333333412E-2</v>
      </c>
    </row>
    <row r="1149" spans="1:24" ht="16.5" customHeight="1">
      <c r="A1149" s="3" t="s">
        <v>36</v>
      </c>
      <c r="B1149" s="3">
        <f t="shared" si="32"/>
        <v>2011</v>
      </c>
      <c r="C1149" s="3">
        <f t="shared" si="33"/>
        <v>2</v>
      </c>
      <c r="D1149" s="20" t="str">
        <f t="shared" si="34"/>
        <v>CVX20112</v>
      </c>
      <c r="E1149" s="2">
        <v>40588</v>
      </c>
      <c r="F1149" s="3">
        <v>0.72</v>
      </c>
      <c r="G1149" s="2">
        <v>40612</v>
      </c>
      <c r="H1149" s="3">
        <v>2.9899999999999999E-2</v>
      </c>
      <c r="I1149" s="3">
        <v>0</v>
      </c>
      <c r="J1149" s="3">
        <v>0</v>
      </c>
      <c r="K1149" s="3">
        <f t="shared" si="35"/>
        <v>0</v>
      </c>
      <c r="L1149" s="3">
        <f t="shared" si="36"/>
        <v>2011</v>
      </c>
      <c r="M1149" s="20" t="str">
        <f>A1149&amp;L1149</f>
        <v>CVX2011</v>
      </c>
      <c r="N1149" s="3">
        <f>F1149</f>
        <v>0.72</v>
      </c>
      <c r="O1149" s="9">
        <f>H1149</f>
        <v>2.9899999999999999E-2</v>
      </c>
      <c r="P1149" s="10">
        <f t="shared" si="37"/>
        <v>0</v>
      </c>
      <c r="Q1149" s="10">
        <f>IF(K1149=0,IF(A1146=A1149,AVERAGE(O1146:O1149),"x"),0)</f>
        <v>2.9824999999999997E-2</v>
      </c>
      <c r="R1149" s="9">
        <f>IF(L1149&gt;2005,AVERAGE(O1146:O1165),0)</f>
        <v>3.1584999999999995E-2</v>
      </c>
      <c r="S1149" s="10">
        <f>IF(A1149=A1150,(N1149-N1150)/N1150,0)</f>
        <v>0</v>
      </c>
      <c r="T1149" s="10">
        <f>IF(L1149&gt;2005,(((N1149-N1169)/N1169)+1)^(1/5)-1,0)</f>
        <v>9.8560543306117632E-2</v>
      </c>
      <c r="U1149" s="10">
        <f t="shared" si="38"/>
        <v>0.13014554330611763</v>
      </c>
      <c r="V1149" s="26">
        <f t="shared" si="39"/>
        <v>4.5960817971597132</v>
      </c>
      <c r="W1149" s="3">
        <f>IF(A1149=A1150,N1149-N1150,0)</f>
        <v>0</v>
      </c>
      <c r="X1149" s="10">
        <f>IF(A1149=A1150,(N1149-N1150)/N1150,0)</f>
        <v>0</v>
      </c>
    </row>
    <row r="1150" spans="1:24" ht="16.5" customHeight="1">
      <c r="A1150" s="3" t="s">
        <v>36</v>
      </c>
      <c r="B1150" s="3">
        <f t="shared" si="32"/>
        <v>2010</v>
      </c>
      <c r="C1150" s="3">
        <f t="shared" si="33"/>
        <v>11</v>
      </c>
      <c r="D1150" s="20" t="str">
        <f t="shared" si="34"/>
        <v>CVX201011</v>
      </c>
      <c r="E1150" s="2">
        <v>40498</v>
      </c>
      <c r="F1150" s="3">
        <v>0.72</v>
      </c>
      <c r="G1150" s="2">
        <v>40522</v>
      </c>
      <c r="H1150" s="3">
        <v>3.3500000000000002E-2</v>
      </c>
      <c r="I1150" s="3">
        <v>0</v>
      </c>
      <c r="J1150" s="3">
        <v>0</v>
      </c>
      <c r="K1150" s="3">
        <f t="shared" si="35"/>
        <v>2010</v>
      </c>
      <c r="L1150" s="3">
        <f t="shared" si="36"/>
        <v>0</v>
      </c>
      <c r="M1150" s="20" t="str">
        <f>A1150&amp;L1150</f>
        <v>CVX0</v>
      </c>
      <c r="N1150" s="3">
        <f>F1150</f>
        <v>0.72</v>
      </c>
      <c r="O1150" s="9">
        <f>H1150</f>
        <v>3.3500000000000002E-2</v>
      </c>
      <c r="P1150" s="10">
        <f t="shared" si="37"/>
        <v>0</v>
      </c>
      <c r="Q1150" s="10">
        <f>IF(K1150=0,IF(A1147=A1150,AVERAGE(O1147:O1150),"x"),0)</f>
        <v>0</v>
      </c>
      <c r="R1150" s="9">
        <f>IF(L1150&gt;2005,AVERAGE(O1147:O1166),0)</f>
        <v>0</v>
      </c>
      <c r="S1150" s="10">
        <f>IF(A1150=A1151,(N1150-N1151)/N1151,0)</f>
        <v>0</v>
      </c>
      <c r="T1150" s="10">
        <f>IF(L1150&gt;2005,(((N1150-N1170)/N1170)+1)^(1/5)-1,0)</f>
        <v>0</v>
      </c>
      <c r="U1150" s="10">
        <f t="shared" si="38"/>
        <v>0</v>
      </c>
      <c r="V1150" s="26">
        <f t="shared" si="39"/>
        <v>0</v>
      </c>
      <c r="W1150" s="3">
        <f>IF(A1150=A1151,N1150-N1151,0)</f>
        <v>0</v>
      </c>
      <c r="X1150" s="10">
        <f>IF(A1150=A1151,(N1150-N1151)/N1151,0)</f>
        <v>0</v>
      </c>
    </row>
    <row r="1151" spans="1:24" ht="16.5" customHeight="1">
      <c r="A1151" s="3" t="s">
        <v>36</v>
      </c>
      <c r="B1151" s="3">
        <f t="shared" si="32"/>
        <v>2010</v>
      </c>
      <c r="C1151" s="3">
        <f t="shared" si="33"/>
        <v>8</v>
      </c>
      <c r="D1151" s="20" t="str">
        <f t="shared" si="34"/>
        <v>CVX20108</v>
      </c>
      <c r="E1151" s="2">
        <v>40407</v>
      </c>
      <c r="F1151" s="3">
        <v>0.72</v>
      </c>
      <c r="G1151" s="2">
        <v>40431</v>
      </c>
      <c r="H1151" s="3">
        <v>3.5999999999999997E-2</v>
      </c>
      <c r="I1151" s="3">
        <v>0</v>
      </c>
      <c r="J1151" s="3">
        <v>0</v>
      </c>
      <c r="K1151" s="3">
        <f t="shared" si="35"/>
        <v>2010</v>
      </c>
      <c r="L1151" s="3">
        <f t="shared" si="36"/>
        <v>0</v>
      </c>
      <c r="M1151" s="20" t="str">
        <f>A1151&amp;L1151</f>
        <v>CVX0</v>
      </c>
      <c r="N1151" s="3">
        <f>F1151</f>
        <v>0.72</v>
      </c>
      <c r="O1151" s="9">
        <f>H1151</f>
        <v>3.5999999999999997E-2</v>
      </c>
      <c r="P1151" s="10">
        <f t="shared" si="37"/>
        <v>0</v>
      </c>
      <c r="Q1151" s="10">
        <f>IF(K1151=0,IF(A1148=A1151,AVERAGE(O1148:O1151),"x"),0)</f>
        <v>0</v>
      </c>
      <c r="R1151" s="9">
        <f>IF(L1151&gt;2005,AVERAGE(O1148:O1167),0)</f>
        <v>0</v>
      </c>
      <c r="S1151" s="10">
        <f>IF(A1151=A1152,(N1151-N1152)/N1152,0)</f>
        <v>0</v>
      </c>
      <c r="T1151" s="10">
        <f>IF(L1151&gt;2005,(((N1151-N1171)/N1171)+1)^(1/5)-1,0)</f>
        <v>0</v>
      </c>
      <c r="U1151" s="10">
        <f t="shared" si="38"/>
        <v>0</v>
      </c>
      <c r="V1151" s="26">
        <f t="shared" si="39"/>
        <v>0</v>
      </c>
      <c r="W1151" s="3">
        <f>IF(A1151=A1152,N1151-N1152,0)</f>
        <v>0</v>
      </c>
      <c r="X1151" s="10">
        <f>IF(A1151=A1152,(N1151-N1152)/N1152,0)</f>
        <v>0</v>
      </c>
    </row>
    <row r="1152" spans="1:24" ht="16.5" customHeight="1">
      <c r="A1152" s="3" t="s">
        <v>36</v>
      </c>
      <c r="B1152" s="3">
        <f t="shared" si="32"/>
        <v>2010</v>
      </c>
      <c r="C1152" s="3">
        <f t="shared" si="33"/>
        <v>5</v>
      </c>
      <c r="D1152" s="20" t="str">
        <f t="shared" si="34"/>
        <v>CVX20105</v>
      </c>
      <c r="E1152" s="2">
        <v>40315</v>
      </c>
      <c r="F1152" s="3">
        <v>0.72</v>
      </c>
      <c r="G1152" s="2">
        <v>40339</v>
      </c>
      <c r="H1152" s="3">
        <v>3.5499999999999997E-2</v>
      </c>
      <c r="I1152" s="3">
        <v>5.8823528999999999E-2</v>
      </c>
      <c r="J1152" s="3">
        <v>0.04</v>
      </c>
      <c r="K1152" s="3">
        <f t="shared" si="35"/>
        <v>2010</v>
      </c>
      <c r="L1152" s="3">
        <f t="shared" si="36"/>
        <v>0</v>
      </c>
      <c r="M1152" s="20" t="str">
        <f>A1152&amp;L1152</f>
        <v>CVX0</v>
      </c>
      <c r="N1152" s="3">
        <f>F1152</f>
        <v>0.72</v>
      </c>
      <c r="O1152" s="9">
        <f>H1152</f>
        <v>3.5499999999999997E-2</v>
      </c>
      <c r="P1152" s="10">
        <f t="shared" si="37"/>
        <v>3.635E-2</v>
      </c>
      <c r="Q1152" s="10">
        <f>IF(K1152=0,IF(A1149=A1152,AVERAGE(O1149:O1152),"x"),0)</f>
        <v>0</v>
      </c>
      <c r="R1152" s="9">
        <f>IF(L1152&gt;2005,AVERAGE(O1149:O1168),0)</f>
        <v>0</v>
      </c>
      <c r="S1152" s="10">
        <f>IF(A1152=A1153,(N1152-N1153)/N1153,0)</f>
        <v>5.8823529411764594E-2</v>
      </c>
      <c r="T1152" s="10">
        <f>IF(L1152&gt;2005,(((N1152-N1172)/N1172)+1)^(1/5)-1,0)</f>
        <v>0</v>
      </c>
      <c r="U1152" s="10">
        <f t="shared" si="38"/>
        <v>0</v>
      </c>
      <c r="V1152" s="26">
        <f t="shared" si="39"/>
        <v>0</v>
      </c>
      <c r="W1152" s="3">
        <f>IF(A1152=A1153,N1152-N1153,0)</f>
        <v>3.9999999999999925E-2</v>
      </c>
      <c r="X1152" s="10">
        <f>IF(A1152=A1153,(N1152-N1153)/N1153,0)</f>
        <v>5.8823529411764594E-2</v>
      </c>
    </row>
    <row r="1153" spans="1:24" ht="16.5" customHeight="1">
      <c r="A1153" s="3" t="s">
        <v>36</v>
      </c>
      <c r="B1153" s="3">
        <f t="shared" si="32"/>
        <v>2010</v>
      </c>
      <c r="C1153" s="3">
        <f t="shared" si="33"/>
        <v>2</v>
      </c>
      <c r="D1153" s="20" t="str">
        <f t="shared" si="34"/>
        <v>CVX20102</v>
      </c>
      <c r="E1153" s="2">
        <v>40221</v>
      </c>
      <c r="F1153" s="3">
        <v>0.68</v>
      </c>
      <c r="G1153" s="2">
        <v>40247</v>
      </c>
      <c r="H1153" s="3">
        <v>3.7499999999999999E-2</v>
      </c>
      <c r="I1153" s="3">
        <v>0</v>
      </c>
      <c r="J1153" s="3">
        <v>0</v>
      </c>
      <c r="K1153" s="3">
        <f t="shared" si="35"/>
        <v>0</v>
      </c>
      <c r="L1153" s="3">
        <f t="shared" si="36"/>
        <v>2010</v>
      </c>
      <c r="M1153" s="20" t="str">
        <f>A1153&amp;L1153</f>
        <v>CVX2010</v>
      </c>
      <c r="N1153" s="3">
        <f>F1153</f>
        <v>0.68</v>
      </c>
      <c r="O1153" s="9">
        <f>H1153</f>
        <v>3.7499999999999999E-2</v>
      </c>
      <c r="P1153" s="10">
        <f t="shared" si="37"/>
        <v>0</v>
      </c>
      <c r="Q1153" s="10">
        <f>IF(K1153=0,IF(A1150=A1153,AVERAGE(O1150:O1153),"x"),0)</f>
        <v>3.5625000000000004E-2</v>
      </c>
      <c r="R1153" s="9">
        <f>IF(L1153&gt;2005,AVERAGE(O1150:O1169),0)</f>
        <v>3.1619999999999995E-2</v>
      </c>
      <c r="S1153" s="10">
        <f>IF(A1153=A1154,(N1153-N1154)/N1154,0)</f>
        <v>0</v>
      </c>
      <c r="T1153" s="10">
        <f>IF(L1153&gt;2005,(((N1153-N1173)/N1173)+1)^(1/5)-1,0)</f>
        <v>0.11196158593857897</v>
      </c>
      <c r="U1153" s="10">
        <f t="shared" si="38"/>
        <v>0.14358158593857895</v>
      </c>
      <c r="V1153" s="26">
        <f t="shared" si="39"/>
        <v>4.6002272308424743</v>
      </c>
      <c r="W1153" s="3">
        <f>IF(A1153=A1154,N1153-N1154,0)</f>
        <v>0</v>
      </c>
      <c r="X1153" s="10">
        <f>IF(A1153=A1154,(N1153-N1154)/N1154,0)</f>
        <v>0</v>
      </c>
    </row>
    <row r="1154" spans="1:24" ht="16.5" customHeight="1">
      <c r="A1154" s="3" t="s">
        <v>36</v>
      </c>
      <c r="B1154" s="3">
        <f t="shared" si="32"/>
        <v>2009</v>
      </c>
      <c r="C1154" s="3">
        <f t="shared" si="33"/>
        <v>11</v>
      </c>
      <c r="D1154" s="20" t="str">
        <f t="shared" si="34"/>
        <v>CVX200911</v>
      </c>
      <c r="E1154" s="2">
        <v>40133</v>
      </c>
      <c r="F1154" s="3">
        <v>0.68</v>
      </c>
      <c r="G1154" s="2">
        <v>40157</v>
      </c>
      <c r="H1154" s="3">
        <v>3.4099999999999998E-2</v>
      </c>
      <c r="I1154" s="3">
        <v>0</v>
      </c>
      <c r="J1154" s="3">
        <v>0</v>
      </c>
      <c r="K1154" s="3">
        <f t="shared" si="35"/>
        <v>2009</v>
      </c>
      <c r="L1154" s="3">
        <f t="shared" si="36"/>
        <v>0</v>
      </c>
      <c r="M1154" s="20" t="str">
        <f>A1154&amp;L1154</f>
        <v>CVX0</v>
      </c>
      <c r="N1154" s="3">
        <f>F1154</f>
        <v>0.68</v>
      </c>
      <c r="O1154" s="9">
        <f>H1154</f>
        <v>3.4099999999999998E-2</v>
      </c>
      <c r="P1154" s="10">
        <f t="shared" si="37"/>
        <v>0</v>
      </c>
      <c r="Q1154" s="10">
        <f>IF(K1154=0,IF(A1151=A1154,AVERAGE(O1151:O1154),"x"),0)</f>
        <v>0</v>
      </c>
      <c r="R1154" s="9">
        <f>IF(L1154&gt;2005,AVERAGE(O1151:O1170),0)</f>
        <v>0</v>
      </c>
      <c r="S1154" s="10">
        <f>IF(A1154=A1155,(N1154-N1155)/N1155,0)</f>
        <v>0</v>
      </c>
      <c r="T1154" s="10">
        <f>IF(L1154&gt;2005,(((N1154-N1174)/N1174)+1)^(1/5)-1,0)</f>
        <v>0</v>
      </c>
      <c r="U1154" s="10">
        <f t="shared" si="38"/>
        <v>0</v>
      </c>
      <c r="V1154" s="26">
        <f t="shared" si="39"/>
        <v>0</v>
      </c>
      <c r="W1154" s="3">
        <f>IF(A1154=A1155,N1154-N1155,0)</f>
        <v>0</v>
      </c>
      <c r="X1154" s="10">
        <f>IF(A1154=A1155,(N1154-N1155)/N1155,0)</f>
        <v>0</v>
      </c>
    </row>
    <row r="1155" spans="1:24" ht="16.5" customHeight="1">
      <c r="A1155" s="3" t="s">
        <v>36</v>
      </c>
      <c r="B1155" s="3">
        <f t="shared" si="32"/>
        <v>2009</v>
      </c>
      <c r="C1155" s="3">
        <f t="shared" si="33"/>
        <v>8</v>
      </c>
      <c r="D1155" s="20" t="str">
        <f t="shared" si="34"/>
        <v>CVX20098</v>
      </c>
      <c r="E1155" s="2">
        <v>40042</v>
      </c>
      <c r="F1155" s="3">
        <v>0.68</v>
      </c>
      <c r="G1155" s="2">
        <v>40066</v>
      </c>
      <c r="H1155" s="3">
        <v>3.8300000000000001E-2</v>
      </c>
      <c r="I1155" s="3">
        <v>4.6153845999999998E-2</v>
      </c>
      <c r="J1155" s="3">
        <v>0.03</v>
      </c>
      <c r="K1155" s="3">
        <f t="shared" si="35"/>
        <v>2009</v>
      </c>
      <c r="L1155" s="3">
        <f t="shared" si="36"/>
        <v>0</v>
      </c>
      <c r="M1155" s="20" t="str">
        <f>A1155&amp;L1155</f>
        <v>CVX0</v>
      </c>
      <c r="N1155" s="3">
        <f>F1155</f>
        <v>0.68</v>
      </c>
      <c r="O1155" s="9">
        <f>H1155</f>
        <v>3.8300000000000001E-2</v>
      </c>
      <c r="P1155" s="10">
        <f t="shared" si="37"/>
        <v>3.6625000000000005E-2</v>
      </c>
      <c r="Q1155" s="10">
        <f>IF(K1155=0,IF(A1152=A1155,AVERAGE(O1152:O1155),"x"),0)</f>
        <v>0</v>
      </c>
      <c r="R1155" s="9">
        <f>IF(L1155&gt;2005,AVERAGE(O1152:O1171),0)</f>
        <v>0</v>
      </c>
      <c r="S1155" s="10">
        <f>IF(A1155=A1156,(N1155-N1156)/N1156,0)</f>
        <v>4.6153846153846191E-2</v>
      </c>
      <c r="T1155" s="10">
        <f>IF(L1155&gt;2005,(((N1155-N1175)/N1175)+1)^(1/5)-1,0)</f>
        <v>0</v>
      </c>
      <c r="U1155" s="10">
        <f t="shared" si="38"/>
        <v>0</v>
      </c>
      <c r="V1155" s="26">
        <f t="shared" si="39"/>
        <v>0</v>
      </c>
      <c r="W1155" s="3">
        <f>IF(A1155=A1156,N1155-N1156,0)</f>
        <v>3.0000000000000027E-2</v>
      </c>
      <c r="X1155" s="10">
        <f>IF(A1155=A1156,(N1155-N1156)/N1156,0)</f>
        <v>4.6153846153846191E-2</v>
      </c>
    </row>
    <row r="1156" spans="1:24" ht="16.5" customHeight="1">
      <c r="A1156" s="3" t="s">
        <v>36</v>
      </c>
      <c r="B1156" s="3">
        <f t="shared" si="32"/>
        <v>2009</v>
      </c>
      <c r="C1156" s="3">
        <f t="shared" si="33"/>
        <v>5</v>
      </c>
      <c r="D1156" s="20" t="str">
        <f t="shared" si="34"/>
        <v>CVX20095</v>
      </c>
      <c r="E1156" s="2">
        <v>39948</v>
      </c>
      <c r="F1156" s="3">
        <v>0.65</v>
      </c>
      <c r="G1156" s="2">
        <v>39974</v>
      </c>
      <c r="H1156" s="3">
        <v>3.8300000000000001E-2</v>
      </c>
      <c r="I1156" s="3">
        <v>0</v>
      </c>
      <c r="J1156" s="3">
        <v>0</v>
      </c>
      <c r="K1156" s="3">
        <f t="shared" si="35"/>
        <v>2009</v>
      </c>
      <c r="L1156" s="3">
        <f t="shared" si="36"/>
        <v>0</v>
      </c>
      <c r="M1156" s="20" t="str">
        <f>A1156&amp;L1156</f>
        <v>CVX0</v>
      </c>
      <c r="N1156" s="3">
        <f>F1156</f>
        <v>0.65</v>
      </c>
      <c r="O1156" s="9">
        <f>H1156</f>
        <v>3.8300000000000001E-2</v>
      </c>
      <c r="P1156" s="10">
        <f t="shared" si="37"/>
        <v>0</v>
      </c>
      <c r="Q1156" s="10">
        <f>IF(K1156=0,IF(A1153=A1156,AVERAGE(O1153:O1156),"x"),0)</f>
        <v>0</v>
      </c>
      <c r="R1156" s="9">
        <f>IF(L1156&gt;2005,AVERAGE(O1153:O1172),0)</f>
        <v>0</v>
      </c>
      <c r="S1156" s="10">
        <f>IF(A1156=A1157,(N1156-N1157)/N1157,0)</f>
        <v>0</v>
      </c>
      <c r="T1156" s="10">
        <f>IF(L1156&gt;2005,(((N1156-N1176)/N1176)+1)^(1/5)-1,0)</f>
        <v>0</v>
      </c>
      <c r="U1156" s="10">
        <f t="shared" si="38"/>
        <v>0</v>
      </c>
      <c r="V1156" s="26">
        <f t="shared" si="39"/>
        <v>0</v>
      </c>
      <c r="W1156" s="3">
        <f>IF(A1156=A1157,N1156-N1157,0)</f>
        <v>0</v>
      </c>
      <c r="X1156" s="10">
        <f>IF(A1156=A1157,(N1156-N1157)/N1157,0)</f>
        <v>0</v>
      </c>
    </row>
    <row r="1157" spans="1:24" ht="16.5" customHeight="1">
      <c r="A1157" s="3" t="s">
        <v>36</v>
      </c>
      <c r="B1157" s="3">
        <f t="shared" si="32"/>
        <v>2009</v>
      </c>
      <c r="C1157" s="3">
        <f t="shared" si="33"/>
        <v>2</v>
      </c>
      <c r="D1157" s="20" t="str">
        <f t="shared" si="34"/>
        <v>CVX20092</v>
      </c>
      <c r="E1157" s="2">
        <v>39856</v>
      </c>
      <c r="F1157" s="3">
        <v>0.65</v>
      </c>
      <c r="G1157" s="2">
        <v>39882</v>
      </c>
      <c r="H1157" s="3">
        <v>3.6499999999999998E-2</v>
      </c>
      <c r="I1157" s="3">
        <v>0</v>
      </c>
      <c r="J1157" s="3">
        <v>0</v>
      </c>
      <c r="K1157" s="3">
        <f t="shared" si="35"/>
        <v>0</v>
      </c>
      <c r="L1157" s="3">
        <f t="shared" si="36"/>
        <v>2009</v>
      </c>
      <c r="M1157" s="20" t="str">
        <f>A1157&amp;L1157</f>
        <v>CVX2009</v>
      </c>
      <c r="N1157" s="3">
        <f>F1157</f>
        <v>0.65</v>
      </c>
      <c r="O1157" s="9">
        <f>H1157</f>
        <v>3.6499999999999998E-2</v>
      </c>
      <c r="P1157" s="10">
        <f t="shared" si="37"/>
        <v>0</v>
      </c>
      <c r="Q1157" s="10">
        <f>IF(K1157=0,IF(A1154=A1157,AVERAGE(O1154:O1157),"x"),0)</f>
        <v>3.6799999999999999E-2</v>
      </c>
      <c r="R1157" s="9">
        <f>IF(L1157&gt;2005,AVERAGE(O1154:O1173),0)</f>
        <v>3.0415000000000008E-2</v>
      </c>
      <c r="S1157" s="10">
        <f>IF(A1157=A1158,(N1157-N1158)/N1158,0)</f>
        <v>0</v>
      </c>
      <c r="T1157" s="10">
        <f>IF(L1157&gt;2005,(((N1157-N1177)/N1177)+1)^(1/5)-1,0)</f>
        <v>0.12233911375838735</v>
      </c>
      <c r="U1157" s="10">
        <f t="shared" si="38"/>
        <v>0.15275411375838735</v>
      </c>
      <c r="V1157" s="26">
        <f t="shared" si="39"/>
        <v>4.6178807926976235</v>
      </c>
      <c r="W1157" s="3">
        <f>IF(A1157=A1158,N1157-N1158,0)</f>
        <v>0</v>
      </c>
      <c r="X1157" s="10">
        <f>IF(A1157=A1158,(N1157-N1158)/N1158,0)</f>
        <v>0</v>
      </c>
    </row>
    <row r="1158" spans="1:24" ht="16.5" customHeight="1">
      <c r="A1158" s="3" t="s">
        <v>36</v>
      </c>
      <c r="B1158" s="3">
        <f t="shared" si="32"/>
        <v>2008</v>
      </c>
      <c r="C1158" s="3">
        <f t="shared" si="33"/>
        <v>11</v>
      </c>
      <c r="D1158" s="20" t="str">
        <f t="shared" si="34"/>
        <v>CVX200811</v>
      </c>
      <c r="E1158" s="2">
        <v>39766</v>
      </c>
      <c r="F1158" s="3">
        <v>0.65</v>
      </c>
      <c r="G1158" s="2">
        <v>39792</v>
      </c>
      <c r="H1158" s="3">
        <v>3.3399999999999999E-2</v>
      </c>
      <c r="I1158" s="3">
        <v>0</v>
      </c>
      <c r="J1158" s="3">
        <v>0</v>
      </c>
      <c r="K1158" s="3">
        <f t="shared" si="35"/>
        <v>2008</v>
      </c>
      <c r="L1158" s="3">
        <f t="shared" si="36"/>
        <v>0</v>
      </c>
      <c r="M1158" s="20" t="str">
        <f>A1158&amp;L1158</f>
        <v>CVX0</v>
      </c>
      <c r="N1158" s="3">
        <f>F1158</f>
        <v>0.65</v>
      </c>
      <c r="O1158" s="9">
        <f>H1158</f>
        <v>3.3399999999999999E-2</v>
      </c>
      <c r="P1158" s="10">
        <f t="shared" si="37"/>
        <v>0</v>
      </c>
      <c r="Q1158" s="10">
        <f>IF(K1158=0,IF(A1155=A1158,AVERAGE(O1155:O1158),"x"),0)</f>
        <v>0</v>
      </c>
      <c r="R1158" s="9">
        <f>IF(L1158&gt;2005,AVERAGE(O1155:O1174),0)</f>
        <v>0</v>
      </c>
      <c r="S1158" s="10">
        <f>IF(A1158=A1159,(N1158-N1159)/N1159,0)</f>
        <v>0</v>
      </c>
      <c r="T1158" s="10">
        <f>IF(L1158&gt;2005,(((N1158-N1178)/N1178)+1)^(1/5)-1,0)</f>
        <v>0</v>
      </c>
      <c r="U1158" s="10">
        <f t="shared" si="38"/>
        <v>0</v>
      </c>
      <c r="V1158" s="26">
        <f t="shared" si="39"/>
        <v>0</v>
      </c>
      <c r="W1158" s="3">
        <f>IF(A1158=A1159,N1158-N1159,0)</f>
        <v>0</v>
      </c>
      <c r="X1158" s="10">
        <f>IF(A1158=A1159,(N1158-N1159)/N1159,0)</f>
        <v>0</v>
      </c>
    </row>
    <row r="1159" spans="1:24" ht="16.5" customHeight="1">
      <c r="A1159" s="3" t="s">
        <v>36</v>
      </c>
      <c r="B1159" s="3">
        <f t="shared" si="32"/>
        <v>2008</v>
      </c>
      <c r="C1159" s="3">
        <f t="shared" si="33"/>
        <v>8</v>
      </c>
      <c r="D1159" s="20" t="str">
        <f t="shared" si="34"/>
        <v>CVX20088</v>
      </c>
      <c r="E1159" s="2">
        <v>39675</v>
      </c>
      <c r="F1159" s="3">
        <v>0.65</v>
      </c>
      <c r="G1159" s="2">
        <v>39701</v>
      </c>
      <c r="H1159" s="3">
        <v>2.8400000000000002E-2</v>
      </c>
      <c r="I1159" s="3">
        <v>0</v>
      </c>
      <c r="J1159" s="3">
        <v>0</v>
      </c>
      <c r="K1159" s="3">
        <f t="shared" si="35"/>
        <v>2008</v>
      </c>
      <c r="L1159" s="3">
        <f t="shared" si="36"/>
        <v>0</v>
      </c>
      <c r="M1159" s="20" t="str">
        <f>A1159&amp;L1159</f>
        <v>CVX0</v>
      </c>
      <c r="N1159" s="3">
        <f>F1159</f>
        <v>0.65</v>
      </c>
      <c r="O1159" s="9">
        <f>H1159</f>
        <v>2.8400000000000002E-2</v>
      </c>
      <c r="P1159" s="10">
        <f t="shared" si="37"/>
        <v>0</v>
      </c>
      <c r="Q1159" s="10">
        <f>IF(K1159=0,IF(A1156=A1159,AVERAGE(O1156:O1159),"x"),0)</f>
        <v>0</v>
      </c>
      <c r="R1159" s="9">
        <f>IF(L1159&gt;2005,AVERAGE(O1156:O1175),0)</f>
        <v>0</v>
      </c>
      <c r="S1159" s="10">
        <f>IF(A1159=A1160,(N1159-N1160)/N1160,0)</f>
        <v>0</v>
      </c>
      <c r="T1159" s="10">
        <f>IF(L1159&gt;2005,(((N1159-N1179)/N1179)+1)^(1/5)-1,0)</f>
        <v>0</v>
      </c>
      <c r="U1159" s="10">
        <f t="shared" si="38"/>
        <v>0</v>
      </c>
      <c r="V1159" s="26">
        <f t="shared" si="39"/>
        <v>0</v>
      </c>
      <c r="W1159" s="3">
        <f>IF(A1159=A1160,N1159-N1160,0)</f>
        <v>0</v>
      </c>
      <c r="X1159" s="10">
        <f>IF(A1159=A1160,(N1159-N1160)/N1160,0)</f>
        <v>0</v>
      </c>
    </row>
    <row r="1160" spans="1:24" ht="16.5" customHeight="1">
      <c r="A1160" s="3" t="s">
        <v>36</v>
      </c>
      <c r="B1160" s="3">
        <f t="shared" si="32"/>
        <v>2008</v>
      </c>
      <c r="C1160" s="3">
        <f t="shared" si="33"/>
        <v>5</v>
      </c>
      <c r="D1160" s="20" t="str">
        <f t="shared" si="34"/>
        <v>CVX20085</v>
      </c>
      <c r="E1160" s="2">
        <v>39583</v>
      </c>
      <c r="F1160" s="3">
        <v>0.65</v>
      </c>
      <c r="G1160" s="2">
        <v>39609</v>
      </c>
      <c r="H1160" s="3">
        <v>2.4500000000000001E-2</v>
      </c>
      <c r="I1160" s="3">
        <v>0.12068965500000001</v>
      </c>
      <c r="J1160" s="3">
        <v>7.0000000000000007E-2</v>
      </c>
      <c r="K1160" s="3">
        <f t="shared" si="35"/>
        <v>2008</v>
      </c>
      <c r="L1160" s="3">
        <f t="shared" si="36"/>
        <v>0</v>
      </c>
      <c r="M1160" s="20" t="str">
        <f>A1160&amp;L1160</f>
        <v>CVX0</v>
      </c>
      <c r="N1160" s="3">
        <f>F1160</f>
        <v>0.65</v>
      </c>
      <c r="O1160" s="9">
        <f>H1160</f>
        <v>2.4500000000000001E-2</v>
      </c>
      <c r="P1160" s="10">
        <f t="shared" si="37"/>
        <v>2.6450000000000001E-2</v>
      </c>
      <c r="Q1160" s="10">
        <f>IF(K1160=0,IF(A1157=A1160,AVERAGE(O1157:O1160),"x"),0)</f>
        <v>0</v>
      </c>
      <c r="R1160" s="9">
        <f>IF(L1160&gt;2005,AVERAGE(O1157:O1176),0)</f>
        <v>0</v>
      </c>
      <c r="S1160" s="10">
        <f>IF(A1160=A1161,(N1160-N1161)/N1161,0)</f>
        <v>0.12068965517241391</v>
      </c>
      <c r="T1160" s="10">
        <f>IF(L1160&gt;2005,(((N1160-N1180)/N1180)+1)^(1/5)-1,0)</f>
        <v>0</v>
      </c>
      <c r="U1160" s="10">
        <f t="shared" si="38"/>
        <v>0</v>
      </c>
      <c r="V1160" s="26">
        <f t="shared" si="39"/>
        <v>0</v>
      </c>
      <c r="W1160" s="3">
        <f>IF(A1160=A1161,N1160-N1161,0)</f>
        <v>7.0000000000000062E-2</v>
      </c>
      <c r="X1160" s="10">
        <f>IF(A1160=A1161,(N1160-N1161)/N1161,0)</f>
        <v>0.12068965517241391</v>
      </c>
    </row>
    <row r="1161" spans="1:24" ht="16.5" customHeight="1">
      <c r="A1161" s="3" t="s">
        <v>36</v>
      </c>
      <c r="B1161" s="3">
        <f t="shared" si="32"/>
        <v>2008</v>
      </c>
      <c r="C1161" s="3">
        <f t="shared" si="33"/>
        <v>2</v>
      </c>
      <c r="D1161" s="20" t="str">
        <f t="shared" si="34"/>
        <v>CVX20082</v>
      </c>
      <c r="E1161" s="2">
        <v>39491</v>
      </c>
      <c r="F1161" s="3">
        <v>0.57999999999999996</v>
      </c>
      <c r="G1161" s="2">
        <v>39517</v>
      </c>
      <c r="H1161" s="3">
        <v>2.86E-2</v>
      </c>
      <c r="I1161" s="3">
        <v>0</v>
      </c>
      <c r="J1161" s="3">
        <v>0</v>
      </c>
      <c r="K1161" s="3">
        <f t="shared" si="35"/>
        <v>0</v>
      </c>
      <c r="L1161" s="3">
        <f t="shared" si="36"/>
        <v>2008</v>
      </c>
      <c r="M1161" s="20" t="str">
        <f>A1161&amp;L1161</f>
        <v>CVX2008</v>
      </c>
      <c r="N1161" s="3">
        <f>F1161</f>
        <v>0.57999999999999996</v>
      </c>
      <c r="O1161" s="9">
        <f>H1161</f>
        <v>2.86E-2</v>
      </c>
      <c r="P1161" s="10">
        <f t="shared" si="37"/>
        <v>0</v>
      </c>
      <c r="Q1161" s="10">
        <f>IF(K1161=0,IF(A1158=A1161,AVERAGE(O1158:O1161),"x"),0)</f>
        <v>2.8725000000000001E-2</v>
      </c>
      <c r="R1161" s="9">
        <f>IF(L1161&gt;2005,AVERAGE(O1158:O1177),0)</f>
        <v>2.9275000000000002E-2</v>
      </c>
      <c r="S1161" s="10">
        <f>IF(A1161=A1162,(N1161-N1162)/N1162,0)</f>
        <v>0</v>
      </c>
      <c r="T1161" s="10">
        <f>IF(L1161&gt;2005,(((N1161-N1181)/N1181)+1)^(1/5)-1,0)</f>
        <v>0.10629764994767821</v>
      </c>
      <c r="U1161" s="10">
        <f t="shared" si="38"/>
        <v>0.1355726499476782</v>
      </c>
      <c r="V1161" s="26">
        <f t="shared" si="39"/>
        <v>4.6263385783370534</v>
      </c>
      <c r="W1161" s="3">
        <f>IF(A1161=A1162,N1161-N1162,0)</f>
        <v>0</v>
      </c>
      <c r="X1161" s="10">
        <f>IF(A1161=A1162,(N1161-N1162)/N1162,0)</f>
        <v>0</v>
      </c>
    </row>
    <row r="1162" spans="1:24" ht="16.5" customHeight="1">
      <c r="A1162" s="3" t="s">
        <v>36</v>
      </c>
      <c r="B1162" s="3">
        <f t="shared" si="32"/>
        <v>2007</v>
      </c>
      <c r="C1162" s="3">
        <f t="shared" si="33"/>
        <v>11</v>
      </c>
      <c r="D1162" s="20" t="str">
        <f t="shared" si="34"/>
        <v>CVX200711</v>
      </c>
      <c r="E1162" s="2">
        <v>39400</v>
      </c>
      <c r="F1162" s="3">
        <v>0.57999999999999996</v>
      </c>
      <c r="G1162" s="2">
        <v>39426</v>
      </c>
      <c r="H1162" s="3">
        <v>2.5999999999999999E-2</v>
      </c>
      <c r="I1162" s="3">
        <v>0</v>
      </c>
      <c r="J1162" s="3">
        <v>0</v>
      </c>
      <c r="K1162" s="3">
        <f t="shared" si="35"/>
        <v>2007</v>
      </c>
      <c r="L1162" s="3">
        <f t="shared" si="36"/>
        <v>0</v>
      </c>
      <c r="M1162" s="20" t="str">
        <f>A1162&amp;L1162</f>
        <v>CVX0</v>
      </c>
      <c r="N1162" s="3">
        <f>F1162</f>
        <v>0.57999999999999996</v>
      </c>
      <c r="O1162" s="9">
        <f>H1162</f>
        <v>2.5999999999999999E-2</v>
      </c>
      <c r="P1162" s="10">
        <f t="shared" si="37"/>
        <v>0</v>
      </c>
      <c r="Q1162" s="10">
        <f>IF(K1162=0,IF(A1159=A1162,AVERAGE(O1159:O1162),"x"),0)</f>
        <v>0</v>
      </c>
      <c r="R1162" s="9">
        <f>IF(L1162&gt;2005,AVERAGE(O1159:O1178),0)</f>
        <v>0</v>
      </c>
      <c r="S1162" s="10">
        <f>IF(A1162=A1163,(N1162-N1163)/N1163,0)</f>
        <v>0</v>
      </c>
      <c r="T1162" s="10">
        <f>IF(L1162&gt;2005,(((N1162-N1182)/N1182)+1)^(1/5)-1,0)</f>
        <v>0</v>
      </c>
      <c r="U1162" s="10">
        <f t="shared" si="38"/>
        <v>0</v>
      </c>
      <c r="V1162" s="26">
        <f t="shared" si="39"/>
        <v>0</v>
      </c>
      <c r="W1162" s="3">
        <f>IF(A1162=A1163,N1162-N1163,0)</f>
        <v>0</v>
      </c>
      <c r="X1162" s="10">
        <f>IF(A1162=A1163,(N1162-N1163)/N1163,0)</f>
        <v>0</v>
      </c>
    </row>
    <row r="1163" spans="1:24" ht="16.5" customHeight="1">
      <c r="A1163" s="3" t="s">
        <v>36</v>
      </c>
      <c r="B1163" s="3">
        <f t="shared" si="32"/>
        <v>2007</v>
      </c>
      <c r="C1163" s="3">
        <f t="shared" si="33"/>
        <v>8</v>
      </c>
      <c r="D1163" s="20" t="str">
        <f t="shared" si="34"/>
        <v>CVX20078</v>
      </c>
      <c r="E1163" s="2">
        <v>39309</v>
      </c>
      <c r="F1163" s="3">
        <v>0.57999999999999996</v>
      </c>
      <c r="G1163" s="2">
        <v>39335</v>
      </c>
      <c r="H1163" s="3">
        <v>2.6700000000000002E-2</v>
      </c>
      <c r="I1163" s="3">
        <v>0</v>
      </c>
      <c r="J1163" s="3">
        <v>0</v>
      </c>
      <c r="K1163" s="3">
        <f t="shared" si="35"/>
        <v>2007</v>
      </c>
      <c r="L1163" s="3">
        <f t="shared" si="36"/>
        <v>0</v>
      </c>
      <c r="M1163" s="20" t="str">
        <f>A1163&amp;L1163</f>
        <v>CVX0</v>
      </c>
      <c r="N1163" s="3">
        <f>F1163</f>
        <v>0.57999999999999996</v>
      </c>
      <c r="O1163" s="9">
        <f>H1163</f>
        <v>2.6700000000000002E-2</v>
      </c>
      <c r="P1163" s="10">
        <f t="shared" si="37"/>
        <v>0</v>
      </c>
      <c r="Q1163" s="10">
        <f>IF(K1163=0,IF(A1160=A1163,AVERAGE(O1160:O1163),"x"),0)</f>
        <v>0</v>
      </c>
      <c r="R1163" s="9">
        <f>IF(L1163&gt;2005,AVERAGE(O1160:O1179),0)</f>
        <v>0</v>
      </c>
      <c r="S1163" s="10">
        <f>IF(A1163=A1164,(N1163-N1164)/N1164,0)</f>
        <v>0</v>
      </c>
      <c r="T1163" s="10">
        <f>IF(L1163&gt;2005,(((N1163-N1183)/N1183)+1)^(1/5)-1,0)</f>
        <v>0</v>
      </c>
      <c r="U1163" s="10">
        <f t="shared" si="38"/>
        <v>0</v>
      </c>
      <c r="V1163" s="26">
        <f t="shared" si="39"/>
        <v>0</v>
      </c>
      <c r="W1163" s="3">
        <f>IF(A1163=A1164,N1163-N1164,0)</f>
        <v>0</v>
      </c>
      <c r="X1163" s="10">
        <f>IF(A1163=A1164,(N1163-N1164)/N1164,0)</f>
        <v>0</v>
      </c>
    </row>
    <row r="1164" spans="1:24" ht="16.5" customHeight="1">
      <c r="A1164" s="3" t="s">
        <v>36</v>
      </c>
      <c r="B1164" s="3">
        <f t="shared" si="32"/>
        <v>2007</v>
      </c>
      <c r="C1164" s="3">
        <f t="shared" si="33"/>
        <v>5</v>
      </c>
      <c r="D1164" s="20" t="str">
        <f t="shared" si="34"/>
        <v>CVX20075</v>
      </c>
      <c r="E1164" s="2">
        <v>39218</v>
      </c>
      <c r="F1164" s="3">
        <v>0.57999999999999996</v>
      </c>
      <c r="G1164" s="2">
        <v>39244</v>
      </c>
      <c r="H1164" s="3">
        <v>2.6499999999999999E-2</v>
      </c>
      <c r="I1164" s="3">
        <v>0.115384615</v>
      </c>
      <c r="J1164" s="3">
        <v>0.06</v>
      </c>
      <c r="K1164" s="3">
        <f t="shared" si="35"/>
        <v>2007</v>
      </c>
      <c r="L1164" s="3">
        <f t="shared" si="36"/>
        <v>0</v>
      </c>
      <c r="M1164" s="20" t="str">
        <f>A1164&amp;L1164</f>
        <v>CVX0</v>
      </c>
      <c r="N1164" s="3">
        <f>F1164</f>
        <v>0.57999999999999996</v>
      </c>
      <c r="O1164" s="9">
        <f>H1164</f>
        <v>2.6499999999999999E-2</v>
      </c>
      <c r="P1164" s="10">
        <f t="shared" si="37"/>
        <v>2.8174999999999999E-2</v>
      </c>
      <c r="Q1164" s="10">
        <f>IF(K1164=0,IF(A1161=A1164,AVERAGE(O1161:O1164),"x"),0)</f>
        <v>0</v>
      </c>
      <c r="R1164" s="9">
        <f>IF(L1164&gt;2005,AVERAGE(O1161:O1180),0)</f>
        <v>0</v>
      </c>
      <c r="S1164" s="10">
        <f>IF(A1164=A1165,(N1164-N1165)/N1165,0)</f>
        <v>0.11538461538461527</v>
      </c>
      <c r="T1164" s="10">
        <f>IF(L1164&gt;2005,(((N1164-N1184)/N1184)+1)^(1/5)-1,0)</f>
        <v>0</v>
      </c>
      <c r="U1164" s="10">
        <f t="shared" si="38"/>
        <v>0</v>
      </c>
      <c r="V1164" s="26">
        <f t="shared" si="39"/>
        <v>0</v>
      </c>
      <c r="W1164" s="3">
        <f>IF(A1164=A1165,N1164-N1165,0)</f>
        <v>5.9999999999999942E-2</v>
      </c>
      <c r="X1164" s="10">
        <f>IF(A1164=A1165,(N1164-N1165)/N1165,0)</f>
        <v>0.11538461538461527</v>
      </c>
    </row>
    <row r="1165" spans="1:24" ht="16.5" customHeight="1">
      <c r="A1165" s="3" t="s">
        <v>36</v>
      </c>
      <c r="B1165" s="3">
        <f t="shared" si="32"/>
        <v>2007</v>
      </c>
      <c r="C1165" s="3">
        <f t="shared" si="33"/>
        <v>2</v>
      </c>
      <c r="D1165" s="20" t="str">
        <f t="shared" si="34"/>
        <v>CVX20072</v>
      </c>
      <c r="E1165" s="2">
        <v>39127</v>
      </c>
      <c r="F1165" s="3">
        <v>0.52</v>
      </c>
      <c r="G1165" s="2">
        <v>39153</v>
      </c>
      <c r="H1165" s="3">
        <v>2.86E-2</v>
      </c>
      <c r="I1165" s="3">
        <v>0</v>
      </c>
      <c r="J1165" s="3">
        <v>0</v>
      </c>
      <c r="K1165" s="3">
        <f t="shared" si="35"/>
        <v>0</v>
      </c>
      <c r="L1165" s="3">
        <f t="shared" si="36"/>
        <v>2007</v>
      </c>
      <c r="M1165" s="20" t="str">
        <f>A1165&amp;L1165</f>
        <v>CVX2007</v>
      </c>
      <c r="N1165" s="3">
        <f>F1165</f>
        <v>0.52</v>
      </c>
      <c r="O1165" s="9">
        <f>H1165</f>
        <v>2.86E-2</v>
      </c>
      <c r="P1165" s="10">
        <f t="shared" si="37"/>
        <v>0</v>
      </c>
      <c r="Q1165" s="10">
        <f>IF(K1165=0,IF(A1162=A1165,AVERAGE(O1162:O1165),"x"),0)</f>
        <v>2.6949999999999998E-2</v>
      </c>
      <c r="R1165" s="9">
        <f>IF(L1165&gt;2005,AVERAGE(O1162:O1181),0)</f>
        <v>3.1559999999999998E-2</v>
      </c>
      <c r="S1165" s="10">
        <f>IF(A1165=A1166,(N1165-N1166)/N1166,0)</f>
        <v>0</v>
      </c>
      <c r="T1165" s="10">
        <f>IF(L1165&gt;2005,(((N1165-N1185)/N1185)+1)^(1/5)-1,0)</f>
        <v>8.2398196229486853E-2</v>
      </c>
      <c r="U1165" s="10">
        <f t="shared" si="38"/>
        <v>0.11395819622948686</v>
      </c>
      <c r="V1165" s="26">
        <f t="shared" si="39"/>
        <v>4.5907450418078559</v>
      </c>
      <c r="W1165" s="3">
        <f>IF(A1165=A1166,N1165-N1166,0)</f>
        <v>0</v>
      </c>
      <c r="X1165" s="10">
        <f>IF(A1165=A1166,(N1165-N1166)/N1166,0)</f>
        <v>0</v>
      </c>
    </row>
    <row r="1166" spans="1:24" ht="16.5" customHeight="1">
      <c r="A1166" s="3" t="s">
        <v>36</v>
      </c>
      <c r="B1166" s="3">
        <f t="shared" si="32"/>
        <v>2006</v>
      </c>
      <c r="C1166" s="3">
        <f t="shared" si="33"/>
        <v>11</v>
      </c>
      <c r="D1166" s="20" t="str">
        <f t="shared" si="34"/>
        <v>CVX200611</v>
      </c>
      <c r="E1166" s="2">
        <v>39036</v>
      </c>
      <c r="F1166" s="3">
        <v>0.52</v>
      </c>
      <c r="G1166" s="2">
        <v>39062</v>
      </c>
      <c r="H1166" s="3">
        <v>2.86E-2</v>
      </c>
      <c r="I1166" s="3">
        <v>0</v>
      </c>
      <c r="J1166" s="3">
        <v>0</v>
      </c>
      <c r="K1166" s="3">
        <f t="shared" si="35"/>
        <v>2006</v>
      </c>
      <c r="L1166" s="3">
        <f t="shared" si="36"/>
        <v>0</v>
      </c>
      <c r="M1166" s="20" t="str">
        <f>A1166&amp;L1166</f>
        <v>CVX0</v>
      </c>
      <c r="N1166" s="3">
        <f>F1166</f>
        <v>0.52</v>
      </c>
      <c r="O1166" s="9">
        <f>H1166</f>
        <v>2.86E-2</v>
      </c>
      <c r="P1166" s="10">
        <f t="shared" si="37"/>
        <v>0</v>
      </c>
      <c r="Q1166" s="10">
        <f>IF(K1166=0,IF(A1163=A1166,AVERAGE(O1163:O1166),"x"),0)</f>
        <v>0</v>
      </c>
      <c r="R1166" s="9">
        <f>IF(L1166&gt;2005,AVERAGE(O1163:O1182),0)</f>
        <v>0</v>
      </c>
      <c r="S1166" s="10">
        <f>IF(A1166=A1167,(N1166-N1167)/N1167,0)</f>
        <v>0</v>
      </c>
      <c r="T1166" s="10">
        <f>IF(L1166&gt;2005,(((N1166-N1186)/N1186)+1)^(1/5)-1,0)</f>
        <v>0</v>
      </c>
      <c r="U1166" s="10">
        <f t="shared" si="38"/>
        <v>0</v>
      </c>
      <c r="V1166" s="26">
        <f t="shared" si="39"/>
        <v>0</v>
      </c>
      <c r="W1166" s="3">
        <f>IF(A1166=A1167,N1166-N1167,0)</f>
        <v>0</v>
      </c>
      <c r="X1166" s="10">
        <f>IF(A1166=A1167,(N1166-N1167)/N1167,0)</f>
        <v>0</v>
      </c>
    </row>
    <row r="1167" spans="1:24" ht="16.5" customHeight="1">
      <c r="A1167" s="3" t="s">
        <v>36</v>
      </c>
      <c r="B1167" s="3">
        <f t="shared" si="32"/>
        <v>2006</v>
      </c>
      <c r="C1167" s="3">
        <f t="shared" si="33"/>
        <v>8</v>
      </c>
      <c r="D1167" s="20" t="str">
        <f t="shared" si="34"/>
        <v>CVX20068</v>
      </c>
      <c r="E1167" s="2">
        <v>38945</v>
      </c>
      <c r="F1167" s="3">
        <v>0.52</v>
      </c>
      <c r="G1167" s="2">
        <v>38971</v>
      </c>
      <c r="H1167" s="3">
        <v>2.9000000000000001E-2</v>
      </c>
      <c r="I1167" s="3">
        <v>0</v>
      </c>
      <c r="J1167" s="3">
        <v>0</v>
      </c>
      <c r="K1167" s="3">
        <f t="shared" si="35"/>
        <v>2006</v>
      </c>
      <c r="L1167" s="3">
        <f t="shared" si="36"/>
        <v>0</v>
      </c>
      <c r="M1167" s="20" t="str">
        <f>A1167&amp;L1167</f>
        <v>CVX0</v>
      </c>
      <c r="N1167" s="3">
        <f>F1167</f>
        <v>0.52</v>
      </c>
      <c r="O1167" s="9">
        <f>H1167</f>
        <v>2.9000000000000001E-2</v>
      </c>
      <c r="P1167" s="10">
        <f t="shared" si="37"/>
        <v>0</v>
      </c>
      <c r="Q1167" s="10">
        <f>IF(K1167=0,IF(A1164=A1167,AVERAGE(O1164:O1167),"x"),0)</f>
        <v>0</v>
      </c>
      <c r="R1167" s="9">
        <f>IF(L1167&gt;2005,AVERAGE(O1164:O1183),0)</f>
        <v>0</v>
      </c>
      <c r="S1167" s="10">
        <f>IF(A1167=A1168,(N1167-N1168)/N1168,0)</f>
        <v>0</v>
      </c>
      <c r="T1167" s="10">
        <f>IF(L1167&gt;2005,(((N1167-N1187)/N1187)+1)^(1/5)-1,0)</f>
        <v>0</v>
      </c>
      <c r="U1167" s="10">
        <f t="shared" si="38"/>
        <v>0</v>
      </c>
      <c r="V1167" s="26">
        <f t="shared" si="39"/>
        <v>0</v>
      </c>
      <c r="W1167" s="3">
        <f>IF(A1167=A1168,N1167-N1168,0)</f>
        <v>0</v>
      </c>
      <c r="X1167" s="10">
        <f>IF(A1167=A1168,(N1167-N1168)/N1168,0)</f>
        <v>0</v>
      </c>
    </row>
    <row r="1168" spans="1:24" ht="16.5" customHeight="1">
      <c r="A1168" s="3" t="s">
        <v>36</v>
      </c>
      <c r="B1168" s="3">
        <f t="shared" si="32"/>
        <v>2006</v>
      </c>
      <c r="C1168" s="3">
        <f t="shared" si="33"/>
        <v>5</v>
      </c>
      <c r="D1168" s="20" t="str">
        <f t="shared" si="34"/>
        <v>CVX20065</v>
      </c>
      <c r="E1168" s="2">
        <v>38854</v>
      </c>
      <c r="F1168" s="3">
        <v>0.52</v>
      </c>
      <c r="G1168" s="2">
        <v>38880</v>
      </c>
      <c r="H1168" s="3">
        <v>3.0599999999999999E-2</v>
      </c>
      <c r="I1168" s="3">
        <v>0.15555555600000001</v>
      </c>
      <c r="J1168" s="3">
        <v>7.0000000000000007E-2</v>
      </c>
      <c r="K1168" s="3">
        <f t="shared" si="35"/>
        <v>2006</v>
      </c>
      <c r="L1168" s="3">
        <f t="shared" si="36"/>
        <v>0</v>
      </c>
      <c r="M1168" s="20" t="str">
        <f>A1168&amp;L1168</f>
        <v>CVX0</v>
      </c>
      <c r="N1168" s="3">
        <f>F1168</f>
        <v>0.52</v>
      </c>
      <c r="O1168" s="9">
        <f>H1168</f>
        <v>3.0599999999999999E-2</v>
      </c>
      <c r="P1168" s="10">
        <f t="shared" si="37"/>
        <v>3.0300000000000001E-2</v>
      </c>
      <c r="Q1168" s="10">
        <f>IF(K1168=0,IF(A1165=A1168,AVERAGE(O1165:O1168),"x"),0)</f>
        <v>0</v>
      </c>
      <c r="R1168" s="9">
        <f>IF(L1168&gt;2005,AVERAGE(O1165:O1184),0)</f>
        <v>0</v>
      </c>
      <c r="S1168" s="10">
        <f>IF(A1168=A1169,(N1168-N1169)/N1169,0)</f>
        <v>0.15555555555555556</v>
      </c>
      <c r="T1168" s="10">
        <f>IF(L1168&gt;2005,(((N1168-N1188)/N1188)+1)^(1/5)-1,0)</f>
        <v>0</v>
      </c>
      <c r="U1168" s="10">
        <f t="shared" si="38"/>
        <v>0</v>
      </c>
      <c r="V1168" s="26">
        <f t="shared" si="39"/>
        <v>0</v>
      </c>
      <c r="W1168" s="3">
        <f>IF(A1168=A1169,N1168-N1169,0)</f>
        <v>7.0000000000000007E-2</v>
      </c>
      <c r="X1168" s="10">
        <f>IF(A1168=A1169,(N1168-N1169)/N1169,0)</f>
        <v>0.15555555555555556</v>
      </c>
    </row>
    <row r="1169" spans="1:24" ht="16.5" customHeight="1">
      <c r="A1169" s="3" t="s">
        <v>36</v>
      </c>
      <c r="B1169" s="3">
        <f t="shared" si="32"/>
        <v>2006</v>
      </c>
      <c r="C1169" s="3">
        <f t="shared" si="33"/>
        <v>2</v>
      </c>
      <c r="D1169" s="20" t="str">
        <f t="shared" si="34"/>
        <v>CVX20062</v>
      </c>
      <c r="E1169" s="2">
        <v>38762</v>
      </c>
      <c r="F1169" s="3">
        <v>0.45</v>
      </c>
      <c r="G1169" s="2">
        <v>38786</v>
      </c>
      <c r="H1169" s="3">
        <v>3.1800000000000002E-2</v>
      </c>
      <c r="I1169" s="3">
        <v>0</v>
      </c>
      <c r="J1169" s="3">
        <v>0</v>
      </c>
      <c r="K1169" s="3">
        <f t="shared" si="35"/>
        <v>0</v>
      </c>
      <c r="L1169" s="3">
        <f t="shared" si="36"/>
        <v>2006</v>
      </c>
      <c r="M1169" s="20" t="str">
        <f>A1169&amp;L1169</f>
        <v>CVX2006</v>
      </c>
      <c r="N1169" s="3">
        <f>F1169</f>
        <v>0.45</v>
      </c>
      <c r="O1169" s="9">
        <f>H1169</f>
        <v>3.1800000000000002E-2</v>
      </c>
      <c r="P1169" s="10">
        <f t="shared" si="37"/>
        <v>0</v>
      </c>
      <c r="Q1169" s="10">
        <f>IF(K1169=0,IF(A1166=A1169,AVERAGE(O1166:O1169),"x"),0)</f>
        <v>0.03</v>
      </c>
      <c r="R1169" s="9">
        <f>IF(L1169&gt;2005,AVERAGE(O1166:O1185),0)</f>
        <v>3.3255000000000007E-2</v>
      </c>
      <c r="S1169" s="10">
        <f>IF(A1169=A1170,(N1169-N1170)/N1170,0)</f>
        <v>0</v>
      </c>
      <c r="T1169" s="10">
        <f>IF(L1169&gt;2005,(((N1169-N1189)/N1189)+1)^(1/5)-1,0)</f>
        <v>6.7249181879538877E-2</v>
      </c>
      <c r="U1169" s="10">
        <f t="shared" si="38"/>
        <v>0.10050418187953888</v>
      </c>
      <c r="V1169" s="26">
        <f t="shared" si="39"/>
        <v>4.5645840793066377</v>
      </c>
      <c r="W1169" s="3">
        <f>IF(A1169=A1170,N1169-N1170,0)</f>
        <v>0</v>
      </c>
      <c r="X1169" s="10">
        <f>IF(A1169=A1170,(N1169-N1170)/N1170,0)</f>
        <v>0</v>
      </c>
    </row>
    <row r="1170" spans="1:24" ht="16.5" customHeight="1">
      <c r="A1170" s="3" t="s">
        <v>36</v>
      </c>
      <c r="B1170" s="3">
        <f t="shared" si="32"/>
        <v>2005</v>
      </c>
      <c r="C1170" s="3">
        <f t="shared" si="33"/>
        <v>11</v>
      </c>
      <c r="D1170" s="20" t="str">
        <f t="shared" si="34"/>
        <v>CVX200511</v>
      </c>
      <c r="E1170" s="2">
        <v>38672</v>
      </c>
      <c r="F1170" s="3">
        <v>0.45</v>
      </c>
      <c r="G1170" s="2">
        <v>38698</v>
      </c>
      <c r="H1170" s="3">
        <v>3.09E-2</v>
      </c>
      <c r="I1170" s="3">
        <v>0</v>
      </c>
      <c r="J1170" s="3">
        <v>0</v>
      </c>
      <c r="K1170" s="3">
        <f t="shared" si="35"/>
        <v>2005</v>
      </c>
      <c r="L1170" s="3">
        <f t="shared" si="36"/>
        <v>0</v>
      </c>
      <c r="M1170" s="20" t="str">
        <f>A1170&amp;L1170</f>
        <v>CVX0</v>
      </c>
      <c r="N1170" s="3">
        <f>F1170</f>
        <v>0.45</v>
      </c>
      <c r="O1170" s="9">
        <f>H1170</f>
        <v>3.09E-2</v>
      </c>
      <c r="P1170" s="10">
        <f t="shared" si="37"/>
        <v>0</v>
      </c>
      <c r="Q1170" s="10">
        <f>IF(K1170=0,IF(A1167=A1170,AVERAGE(O1167:O1170),"x"),0)</f>
        <v>0</v>
      </c>
      <c r="R1170" s="9">
        <f>IF(L1170&gt;2005,AVERAGE(O1167:O1186),0)</f>
        <v>0</v>
      </c>
      <c r="S1170" s="10">
        <f>IF(A1170=A1171,(N1170-N1171)/N1171,0)</f>
        <v>0</v>
      </c>
      <c r="T1170" s="10">
        <f>IF(L1170&gt;2005,(((N1170-N1190)/N1190)+1)^(1/5)-1,0)</f>
        <v>0</v>
      </c>
      <c r="U1170" s="10">
        <f t="shared" si="38"/>
        <v>0</v>
      </c>
      <c r="V1170" s="26">
        <f t="shared" si="39"/>
        <v>0</v>
      </c>
      <c r="W1170" s="3">
        <f>IF(A1170=A1171,N1170-N1171,0)</f>
        <v>0</v>
      </c>
      <c r="X1170" s="10">
        <f>IF(A1170=A1171,(N1170-N1171)/N1171,0)</f>
        <v>0</v>
      </c>
    </row>
    <row r="1171" spans="1:24" ht="16.5" customHeight="1">
      <c r="A1171" s="3" t="s">
        <v>36</v>
      </c>
      <c r="B1171" s="3">
        <f t="shared" si="32"/>
        <v>2005</v>
      </c>
      <c r="C1171" s="3">
        <f t="shared" si="33"/>
        <v>8</v>
      </c>
      <c r="D1171" s="20" t="str">
        <f t="shared" si="34"/>
        <v>CVX20058</v>
      </c>
      <c r="E1171" s="2">
        <v>38581</v>
      </c>
      <c r="F1171" s="3">
        <v>0.45</v>
      </c>
      <c r="G1171" s="2">
        <v>38607</v>
      </c>
      <c r="H1171" s="3">
        <v>2.7900000000000001E-2</v>
      </c>
      <c r="I1171" s="3">
        <v>0</v>
      </c>
      <c r="J1171" s="3">
        <v>0</v>
      </c>
      <c r="K1171" s="3">
        <f t="shared" si="35"/>
        <v>2005</v>
      </c>
      <c r="L1171" s="3">
        <f t="shared" si="36"/>
        <v>0</v>
      </c>
      <c r="M1171" s="20" t="str">
        <f>A1171&amp;L1171</f>
        <v>CVX0</v>
      </c>
      <c r="N1171" s="3">
        <f>F1171</f>
        <v>0.45</v>
      </c>
      <c r="O1171" s="9">
        <f>H1171</f>
        <v>2.7900000000000001E-2</v>
      </c>
      <c r="P1171" s="10">
        <f t="shared" si="37"/>
        <v>0</v>
      </c>
      <c r="Q1171" s="10">
        <f>IF(K1171=0,IF(A1168=A1171,AVERAGE(O1168:O1171),"x"),0)</f>
        <v>0</v>
      </c>
      <c r="R1171" s="9">
        <f>IF(L1171&gt;2005,AVERAGE(O1168:O1187),0)</f>
        <v>0</v>
      </c>
      <c r="S1171" s="10">
        <f>IF(A1171=A1172,(N1171-N1172)/N1172,0)</f>
        <v>0</v>
      </c>
      <c r="T1171" s="10">
        <f>IF(L1171&gt;2005,(((N1171-N1191)/N1191)+1)^(1/5)-1,0)</f>
        <v>0</v>
      </c>
      <c r="U1171" s="10">
        <f t="shared" si="38"/>
        <v>0</v>
      </c>
      <c r="V1171" s="26">
        <f t="shared" si="39"/>
        <v>0</v>
      </c>
      <c r="W1171" s="3">
        <f>IF(A1171=A1172,N1171-N1172,0)</f>
        <v>0</v>
      </c>
      <c r="X1171" s="10">
        <f>IF(A1171=A1172,(N1171-N1172)/N1172,0)</f>
        <v>0</v>
      </c>
    </row>
    <row r="1172" spans="1:24" ht="16.5" customHeight="1">
      <c r="A1172" s="3" t="s">
        <v>36</v>
      </c>
      <c r="B1172" s="3">
        <f t="shared" si="32"/>
        <v>2005</v>
      </c>
      <c r="C1172" s="3">
        <f t="shared" si="33"/>
        <v>5</v>
      </c>
      <c r="D1172" s="20" t="str">
        <f t="shared" si="34"/>
        <v>CVX20055</v>
      </c>
      <c r="E1172" s="2">
        <v>38489</v>
      </c>
      <c r="F1172" s="3">
        <v>0.45</v>
      </c>
      <c r="G1172" s="2">
        <v>38513</v>
      </c>
      <c r="H1172" s="3">
        <v>3.27E-2</v>
      </c>
      <c r="I1172" s="3">
        <v>0.125</v>
      </c>
      <c r="J1172" s="3">
        <v>0.05</v>
      </c>
      <c r="K1172" s="3">
        <f t="shared" si="35"/>
        <v>2005</v>
      </c>
      <c r="L1172" s="3">
        <f t="shared" si="36"/>
        <v>0</v>
      </c>
      <c r="M1172" s="20" t="str">
        <f>A1172&amp;L1172</f>
        <v>CVX0</v>
      </c>
      <c r="N1172" s="3">
        <f>F1172</f>
        <v>0.45</v>
      </c>
      <c r="O1172" s="9">
        <f>H1172</f>
        <v>3.27E-2</v>
      </c>
      <c r="P1172" s="10">
        <f t="shared" si="37"/>
        <v>2.9849999999999998E-2</v>
      </c>
      <c r="Q1172" s="10">
        <f>IF(K1172=0,IF(A1169=A1172,AVERAGE(O1169:O1172),"x"),0)</f>
        <v>0</v>
      </c>
      <c r="R1172" s="9">
        <f>IF(L1172&gt;2005,AVERAGE(O1169:O1188),0)</f>
        <v>0</v>
      </c>
      <c r="S1172" s="10">
        <f>IF(A1172=A1173,(N1172-N1173)/N1173,0)</f>
        <v>0.12499999999999997</v>
      </c>
      <c r="T1172" s="10">
        <f>IF(L1172&gt;2005,(((N1172-N1192)/N1192)+1)^(1/5)-1,0)</f>
        <v>0</v>
      </c>
      <c r="U1172" s="10">
        <f t="shared" si="38"/>
        <v>0</v>
      </c>
      <c r="V1172" s="26">
        <f t="shared" si="39"/>
        <v>0</v>
      </c>
      <c r="W1172" s="3">
        <f>IF(A1172=A1173,N1172-N1173,0)</f>
        <v>4.9999999999999989E-2</v>
      </c>
      <c r="X1172" s="10">
        <f>IF(A1172=A1173,(N1172-N1173)/N1173,0)</f>
        <v>0.12499999999999997</v>
      </c>
    </row>
    <row r="1173" spans="1:24" ht="16.5" customHeight="1">
      <c r="A1173" s="3" t="s">
        <v>36</v>
      </c>
      <c r="B1173" s="3">
        <f t="shared" si="32"/>
        <v>2005</v>
      </c>
      <c r="C1173" s="3">
        <f t="shared" si="33"/>
        <v>2</v>
      </c>
      <c r="D1173" s="20" t="str">
        <f t="shared" si="34"/>
        <v>CVX20052</v>
      </c>
      <c r="E1173" s="2">
        <v>38397</v>
      </c>
      <c r="F1173" s="3">
        <v>0.4</v>
      </c>
      <c r="G1173" s="2">
        <v>38421</v>
      </c>
      <c r="H1173" s="3">
        <v>2.69E-2</v>
      </c>
      <c r="I1173" s="3">
        <v>0</v>
      </c>
      <c r="J1173" s="3">
        <v>0</v>
      </c>
      <c r="K1173" s="3">
        <f t="shared" si="35"/>
        <v>0</v>
      </c>
      <c r="L1173" s="3">
        <f t="shared" si="36"/>
        <v>2005</v>
      </c>
      <c r="M1173" s="20" t="str">
        <f>A1173&amp;L1173</f>
        <v>CVX2005</v>
      </c>
      <c r="N1173" s="3">
        <f>F1173</f>
        <v>0.4</v>
      </c>
      <c r="O1173" s="9">
        <f>H1173</f>
        <v>2.69E-2</v>
      </c>
      <c r="P1173" s="10">
        <f t="shared" si="37"/>
        <v>0</v>
      </c>
      <c r="Q1173" s="10">
        <f>IF(K1173=0,IF(A1170=A1173,AVERAGE(O1170:O1173),"x"),0)</f>
        <v>2.9600000000000001E-2</v>
      </c>
      <c r="R1173" s="9">
        <f>IF(L1173&gt;2005,AVERAGE(O1170:O1189),0)</f>
        <v>0</v>
      </c>
      <c r="S1173" s="10">
        <f>IF(A1173=A1174,(N1173-N1174)/N1174,0)</f>
        <v>0</v>
      </c>
      <c r="T1173" s="10">
        <f>IF(L1173&gt;2005,(((N1173-N1193)/N1193)+1)^(1/5)-1,0)</f>
        <v>0</v>
      </c>
      <c r="U1173" s="10">
        <f t="shared" si="38"/>
        <v>0</v>
      </c>
      <c r="V1173" s="26">
        <f t="shared" si="39"/>
        <v>0</v>
      </c>
      <c r="W1173" s="3">
        <f>IF(A1173=A1174,N1173-N1174,0)</f>
        <v>0</v>
      </c>
      <c r="X1173" s="10">
        <f>IF(A1173=A1174,(N1173-N1174)/N1174,0)</f>
        <v>0</v>
      </c>
    </row>
    <row r="1174" spans="1:24" ht="16.5" customHeight="1">
      <c r="A1174" s="3" t="s">
        <v>36</v>
      </c>
      <c r="B1174" s="3">
        <f t="shared" si="32"/>
        <v>2004</v>
      </c>
      <c r="C1174" s="3">
        <f t="shared" si="33"/>
        <v>11</v>
      </c>
      <c r="D1174" s="20" t="str">
        <f t="shared" si="34"/>
        <v>CVX200411</v>
      </c>
      <c r="E1174" s="2">
        <v>38307</v>
      </c>
      <c r="F1174" s="3">
        <v>0.4</v>
      </c>
      <c r="G1174" s="2">
        <v>38331</v>
      </c>
      <c r="H1174" s="3">
        <v>2.8899999999999999E-2</v>
      </c>
      <c r="I1174" s="3">
        <v>-0.5</v>
      </c>
      <c r="J1174" s="3">
        <v>-0.4</v>
      </c>
      <c r="K1174" s="3">
        <f t="shared" si="35"/>
        <v>2004</v>
      </c>
      <c r="L1174" s="3">
        <f t="shared" si="36"/>
        <v>0</v>
      </c>
      <c r="M1174" s="20" t="str">
        <f>A1174&amp;L1174</f>
        <v>CVX0</v>
      </c>
      <c r="N1174" s="3">
        <f>F1174</f>
        <v>0.4</v>
      </c>
      <c r="O1174" s="9">
        <f>H1174</f>
        <v>2.8899999999999999E-2</v>
      </c>
      <c r="P1174" s="10">
        <f t="shared" si="37"/>
        <v>0</v>
      </c>
      <c r="Q1174" s="10">
        <f>IF(K1174=0,IF(A1171=A1174,AVERAGE(O1171:O1174),"x"),0)</f>
        <v>0</v>
      </c>
      <c r="R1174" s="9">
        <f>IF(L1174&gt;2005,AVERAGE(O1171:O1190),0)</f>
        <v>0</v>
      </c>
      <c r="S1174" s="10">
        <f>IF(A1174=A1175,(N1174-N1175)/N1175,0)</f>
        <v>0</v>
      </c>
      <c r="T1174" s="10">
        <f>IF(L1174&gt;2005,(((N1174-N1194)/N1194)+1)^(1/5)-1,0)</f>
        <v>0</v>
      </c>
      <c r="U1174" s="10">
        <f t="shared" si="38"/>
        <v>0</v>
      </c>
      <c r="V1174" s="26">
        <f t="shared" si="39"/>
        <v>0</v>
      </c>
      <c r="W1174" s="3">
        <f>IF(A1174=A1175,N1174-N1175,0)</f>
        <v>0</v>
      </c>
      <c r="X1174" s="10">
        <f>IF(A1174=A1175,(N1174-N1175)/N1175,0)</f>
        <v>0</v>
      </c>
    </row>
    <row r="1175" spans="1:24" ht="16.5" customHeight="1">
      <c r="A1175" s="3" t="s">
        <v>36</v>
      </c>
      <c r="B1175" s="3">
        <f t="shared" si="32"/>
        <v>2004</v>
      </c>
      <c r="C1175" s="3">
        <f t="shared" si="33"/>
        <v>8</v>
      </c>
      <c r="D1175" s="20" t="str">
        <f t="shared" si="34"/>
        <v>CVX20048</v>
      </c>
      <c r="E1175" s="2">
        <v>38216</v>
      </c>
      <c r="F1175" s="3">
        <v>0.8</v>
      </c>
      <c r="G1175" s="2">
        <v>38240</v>
      </c>
      <c r="H1175" s="3">
        <v>3.09E-2</v>
      </c>
      <c r="I1175" s="3">
        <v>9.5890410999999995E-2</v>
      </c>
      <c r="J1175" s="3">
        <v>7.0000000000000007E-2</v>
      </c>
      <c r="K1175" s="3">
        <f t="shared" si="35"/>
        <v>2004</v>
      </c>
      <c r="L1175" s="3">
        <f t="shared" si="36"/>
        <v>0</v>
      </c>
      <c r="M1175" s="20" t="str">
        <f>A1175&amp;L1175</f>
        <v>CVX0</v>
      </c>
      <c r="N1175" s="3">
        <f>F1175/2</f>
        <v>0.4</v>
      </c>
      <c r="O1175" s="9">
        <f>H1175</f>
        <v>3.09E-2</v>
      </c>
      <c r="P1175" s="10">
        <f t="shared" si="37"/>
        <v>3.3325E-2</v>
      </c>
      <c r="Q1175" s="10">
        <f>IF(K1175=0,IF(A1172=A1175,AVERAGE(O1172:O1175),"x"),0)</f>
        <v>0</v>
      </c>
      <c r="R1175" s="9">
        <f>IF(L1175&gt;2005,AVERAGE(O1172:O1191),0)</f>
        <v>0</v>
      </c>
      <c r="S1175" s="10">
        <f>IF(A1175=A1176,(N1175-N1176)/N1176,0)</f>
        <v>9.5890410958904201E-2</v>
      </c>
      <c r="T1175" s="10">
        <f>IF(L1175&gt;2005,(((N1175-N1195)/N1195)+1)^(1/5)-1,0)</f>
        <v>0</v>
      </c>
      <c r="U1175" s="10">
        <f t="shared" si="38"/>
        <v>0</v>
      </c>
      <c r="V1175" s="26">
        <f t="shared" si="39"/>
        <v>0</v>
      </c>
      <c r="W1175" s="3">
        <f>IF(A1175=A1176,N1175-N1176,0)</f>
        <v>3.5000000000000031E-2</v>
      </c>
      <c r="X1175" s="10">
        <f>IF(A1175=A1176,(N1175-N1176)/N1176,0)</f>
        <v>9.5890410958904201E-2</v>
      </c>
    </row>
    <row r="1176" spans="1:24" ht="16.5" customHeight="1">
      <c r="A1176" s="3" t="s">
        <v>36</v>
      </c>
      <c r="B1176" s="3">
        <f t="shared" si="32"/>
        <v>2004</v>
      </c>
      <c r="C1176" s="3">
        <f t="shared" si="33"/>
        <v>5</v>
      </c>
      <c r="D1176" s="20" t="str">
        <f t="shared" si="34"/>
        <v>CVX20045</v>
      </c>
      <c r="E1176" s="2">
        <v>38124</v>
      </c>
      <c r="F1176" s="3">
        <v>0.73</v>
      </c>
      <c r="G1176" s="2">
        <v>38148</v>
      </c>
      <c r="H1176" s="3">
        <v>3.15E-2</v>
      </c>
      <c r="I1176" s="3">
        <v>0</v>
      </c>
      <c r="J1176" s="3">
        <v>0</v>
      </c>
      <c r="K1176" s="3">
        <f t="shared" si="35"/>
        <v>2004</v>
      </c>
      <c r="L1176" s="3">
        <f t="shared" si="36"/>
        <v>0</v>
      </c>
      <c r="M1176" s="20" t="str">
        <f>A1176&amp;L1176</f>
        <v>CVX0</v>
      </c>
      <c r="N1176" s="3">
        <f>F1176/2</f>
        <v>0.36499999999999999</v>
      </c>
      <c r="O1176" s="9">
        <f>H1176</f>
        <v>3.15E-2</v>
      </c>
      <c r="P1176" s="10">
        <f t="shared" si="37"/>
        <v>0</v>
      </c>
      <c r="Q1176" s="10">
        <f>IF(K1176=0,IF(A1173=A1176,AVERAGE(O1173:O1176),"x"),0)</f>
        <v>0</v>
      </c>
      <c r="R1176" s="9">
        <f>IF(L1176&gt;2005,AVERAGE(O1173:O1192),0)</f>
        <v>0</v>
      </c>
      <c r="S1176" s="10">
        <f>IF(A1176=A1177,(N1176-N1177)/N1177,0)</f>
        <v>0</v>
      </c>
      <c r="T1176" s="10">
        <f>IF(L1176&gt;2005,(((N1176-N1196)/N1196)+1)^(1/5)-1,0)</f>
        <v>0</v>
      </c>
      <c r="U1176" s="10">
        <f t="shared" si="38"/>
        <v>0</v>
      </c>
      <c r="V1176" s="26">
        <f t="shared" si="39"/>
        <v>0</v>
      </c>
      <c r="W1176" s="3">
        <f>IF(A1176=A1177,N1176-N1177,0)</f>
        <v>0</v>
      </c>
      <c r="X1176" s="10">
        <f>IF(A1176=A1177,(N1176-N1177)/N1177,0)</f>
        <v>0</v>
      </c>
    </row>
    <row r="1177" spans="1:24" ht="16.5" customHeight="1">
      <c r="A1177" s="3" t="s">
        <v>36</v>
      </c>
      <c r="B1177" s="3">
        <f t="shared" si="32"/>
        <v>2004</v>
      </c>
      <c r="C1177" s="3">
        <f t="shared" si="33"/>
        <v>2</v>
      </c>
      <c r="D1177" s="20" t="str">
        <f t="shared" si="34"/>
        <v>CVX20042</v>
      </c>
      <c r="E1177" s="2">
        <v>38030</v>
      </c>
      <c r="F1177" s="3">
        <v>0.73</v>
      </c>
      <c r="G1177" s="2">
        <v>38056</v>
      </c>
      <c r="H1177" s="3">
        <v>3.3099999999999997E-2</v>
      </c>
      <c r="I1177" s="3">
        <v>0</v>
      </c>
      <c r="J1177" s="3">
        <v>0</v>
      </c>
      <c r="K1177" s="3">
        <f t="shared" si="35"/>
        <v>0</v>
      </c>
      <c r="L1177" s="3">
        <f t="shared" si="36"/>
        <v>2004</v>
      </c>
      <c r="M1177" s="20" t="str">
        <f>A1177&amp;L1177</f>
        <v>CVX2004</v>
      </c>
      <c r="N1177" s="3">
        <f>F1177/2</f>
        <v>0.36499999999999999</v>
      </c>
      <c r="O1177" s="9">
        <f>H1177</f>
        <v>3.3099999999999997E-2</v>
      </c>
      <c r="P1177" s="10">
        <f t="shared" si="37"/>
        <v>0</v>
      </c>
      <c r="Q1177" s="10">
        <f>IF(K1177=0,IF(A1174=A1177,AVERAGE(O1174:O1177),"x"),0)</f>
        <v>3.1099999999999996E-2</v>
      </c>
      <c r="R1177" s="9">
        <f>IF(L1177&gt;2005,AVERAGE(O1174:O1193),0)</f>
        <v>0</v>
      </c>
      <c r="S1177" s="10">
        <f>IF(A1177=A1178,(N1177-N1178)/N1178,0)</f>
        <v>0</v>
      </c>
      <c r="T1177" s="10">
        <f>IF(L1177&gt;2005,(((N1177-N1197)/N1197)+1)^(1/5)-1,0)</f>
        <v>0</v>
      </c>
      <c r="U1177" s="10">
        <f t="shared" si="38"/>
        <v>0</v>
      </c>
      <c r="V1177" s="26">
        <f t="shared" si="39"/>
        <v>0</v>
      </c>
      <c r="W1177" s="3">
        <f>IF(A1177=A1178,N1177-N1178,0)</f>
        <v>0</v>
      </c>
      <c r="X1177" s="10">
        <f>IF(A1177=A1178,(N1177-N1178)/N1178,0)</f>
        <v>0</v>
      </c>
    </row>
    <row r="1178" spans="1:24" ht="16.5" customHeight="1">
      <c r="A1178" s="3" t="s">
        <v>36</v>
      </c>
      <c r="B1178" s="3">
        <f t="shared" si="32"/>
        <v>2003</v>
      </c>
      <c r="C1178" s="3">
        <f t="shared" si="33"/>
        <v>11</v>
      </c>
      <c r="D1178" s="20" t="str">
        <f t="shared" si="34"/>
        <v>CVX200311</v>
      </c>
      <c r="E1178" s="2">
        <v>37939</v>
      </c>
      <c r="F1178" s="3">
        <v>0.73</v>
      </c>
      <c r="G1178" s="2">
        <v>37965</v>
      </c>
      <c r="H1178" s="3">
        <v>3.78E-2</v>
      </c>
      <c r="I1178" s="3">
        <v>0</v>
      </c>
      <c r="J1178" s="3">
        <v>0</v>
      </c>
      <c r="K1178" s="3">
        <f t="shared" si="35"/>
        <v>2003</v>
      </c>
      <c r="L1178" s="3">
        <f t="shared" si="36"/>
        <v>0</v>
      </c>
      <c r="M1178" s="20" t="str">
        <f>A1178&amp;L1178</f>
        <v>CVX0</v>
      </c>
      <c r="N1178" s="3">
        <f>F1178/2</f>
        <v>0.36499999999999999</v>
      </c>
      <c r="O1178" s="9">
        <f>H1178</f>
        <v>3.78E-2</v>
      </c>
      <c r="P1178" s="10">
        <f t="shared" si="37"/>
        <v>0</v>
      </c>
      <c r="Q1178" s="10">
        <f>IF(K1178=0,IF(A1175=A1178,AVERAGE(O1175:O1178),"x"),0)</f>
        <v>0</v>
      </c>
      <c r="R1178" s="9">
        <f>IF(L1178&gt;2005,AVERAGE(O1175:O1194),0)</f>
        <v>0</v>
      </c>
      <c r="S1178" s="10">
        <f>IF(A1178=A1179,(N1178-N1179)/N1179,0)</f>
        <v>0</v>
      </c>
      <c r="T1178" s="10">
        <f>IF(L1178&gt;2005,(((N1178-N1198)/N1198)+1)^(1/5)-1,0)</f>
        <v>0</v>
      </c>
      <c r="U1178" s="10">
        <f t="shared" si="38"/>
        <v>0</v>
      </c>
      <c r="V1178" s="26">
        <f t="shared" si="39"/>
        <v>0</v>
      </c>
      <c r="W1178" s="3">
        <f>IF(A1178=A1179,N1178-N1179,0)</f>
        <v>0</v>
      </c>
      <c r="X1178" s="10">
        <f>IF(A1178=A1179,(N1178-N1179)/N1179,0)</f>
        <v>0</v>
      </c>
    </row>
    <row r="1179" spans="1:24" ht="16.5" customHeight="1">
      <c r="A1179" s="3" t="s">
        <v>36</v>
      </c>
      <c r="B1179" s="3">
        <f t="shared" si="32"/>
        <v>2003</v>
      </c>
      <c r="C1179" s="3">
        <f t="shared" si="33"/>
        <v>8</v>
      </c>
      <c r="D1179" s="20" t="str">
        <f t="shared" si="34"/>
        <v>CVX20038</v>
      </c>
      <c r="E1179" s="2">
        <v>37848</v>
      </c>
      <c r="F1179" s="3">
        <v>0.73</v>
      </c>
      <c r="G1179" s="2">
        <v>37874</v>
      </c>
      <c r="H1179" s="3">
        <v>3.8100000000000002E-2</v>
      </c>
      <c r="I1179" s="3">
        <v>4.2857143E-2</v>
      </c>
      <c r="J1179" s="3">
        <v>0.03</v>
      </c>
      <c r="K1179" s="3">
        <f t="shared" si="35"/>
        <v>2003</v>
      </c>
      <c r="L1179" s="3">
        <f t="shared" si="36"/>
        <v>0</v>
      </c>
      <c r="M1179" s="20" t="str">
        <f>A1179&amp;L1179</f>
        <v>CVX0</v>
      </c>
      <c r="N1179" s="3">
        <f>F1179/2</f>
        <v>0.36499999999999999</v>
      </c>
      <c r="O1179" s="9">
        <f>H1179</f>
        <v>3.8100000000000002E-2</v>
      </c>
      <c r="P1179" s="10">
        <f t="shared" si="37"/>
        <v>4.1224999999999998E-2</v>
      </c>
      <c r="Q1179" s="10">
        <f>IF(K1179=0,IF(A1176=A1179,AVERAGE(O1176:O1179),"x"),0)</f>
        <v>0</v>
      </c>
      <c r="R1179" s="9">
        <f>IF(L1179&gt;2005,AVERAGE(O1176:O1195),0)</f>
        <v>0</v>
      </c>
      <c r="S1179" s="10">
        <f>IF(A1179=A1180,(N1179-N1180)/N1180,0)</f>
        <v>4.2857142857142899E-2</v>
      </c>
      <c r="T1179" s="10">
        <f>IF(L1179&gt;2005,(((N1179-N1199)/N1199)+1)^(1/5)-1,0)</f>
        <v>0</v>
      </c>
      <c r="U1179" s="10">
        <f t="shared" si="38"/>
        <v>0</v>
      </c>
      <c r="V1179" s="26">
        <f t="shared" si="39"/>
        <v>0</v>
      </c>
      <c r="W1179" s="3">
        <f>IF(A1179=A1180,N1179-N1180,0)</f>
        <v>1.5000000000000013E-2</v>
      </c>
      <c r="X1179" s="10">
        <f>IF(A1179=A1180,(N1179-N1180)/N1180,0)</f>
        <v>4.2857142857142899E-2</v>
      </c>
    </row>
    <row r="1180" spans="1:24" ht="16.5" customHeight="1">
      <c r="A1180" s="3" t="s">
        <v>36</v>
      </c>
      <c r="B1180" s="3">
        <f t="shared" si="32"/>
        <v>2003</v>
      </c>
      <c r="C1180" s="3">
        <f t="shared" si="33"/>
        <v>5</v>
      </c>
      <c r="D1180" s="20" t="str">
        <f t="shared" si="34"/>
        <v>CVX20035</v>
      </c>
      <c r="E1180" s="2">
        <v>37756</v>
      </c>
      <c r="F1180" s="3">
        <v>0.7</v>
      </c>
      <c r="G1180" s="2">
        <v>37782</v>
      </c>
      <c r="H1180" s="3">
        <v>4.1300000000000003E-2</v>
      </c>
      <c r="I1180" s="3">
        <v>0</v>
      </c>
      <c r="J1180" s="3">
        <v>0</v>
      </c>
      <c r="K1180" s="3">
        <f t="shared" si="35"/>
        <v>2003</v>
      </c>
      <c r="L1180" s="3">
        <f t="shared" si="36"/>
        <v>0</v>
      </c>
      <c r="M1180" s="20" t="str">
        <f>A1180&amp;L1180</f>
        <v>CVX0</v>
      </c>
      <c r="N1180" s="3">
        <f>F1180/2</f>
        <v>0.35</v>
      </c>
      <c r="O1180" s="9">
        <f>H1180</f>
        <v>4.1300000000000003E-2</v>
      </c>
      <c r="P1180" s="10">
        <f t="shared" si="37"/>
        <v>0</v>
      </c>
      <c r="Q1180" s="10">
        <f>IF(K1180=0,IF(A1177=A1180,AVERAGE(O1177:O1180),"x"),0)</f>
        <v>0</v>
      </c>
      <c r="R1180" s="9">
        <f>IF(L1180&gt;2005,AVERAGE(O1177:O1196),0)</f>
        <v>0</v>
      </c>
      <c r="S1180" s="10">
        <f>IF(A1180=A1181,(N1180-N1181)/N1181,0)</f>
        <v>0</v>
      </c>
      <c r="T1180" s="10">
        <f>IF(L1180&gt;2005,(((N1180-N1200)/N1200)+1)^(1/5)-1,0)</f>
        <v>0</v>
      </c>
      <c r="U1180" s="10">
        <f t="shared" si="38"/>
        <v>0</v>
      </c>
      <c r="V1180" s="26">
        <f t="shared" si="39"/>
        <v>0</v>
      </c>
      <c r="W1180" s="3">
        <f>IF(A1180=A1181,N1180-N1181,0)</f>
        <v>0</v>
      </c>
      <c r="X1180" s="10">
        <f>IF(A1180=A1181,(N1180-N1181)/N1181,0)</f>
        <v>0</v>
      </c>
    </row>
    <row r="1181" spans="1:24" ht="16.5" customHeight="1">
      <c r="A1181" s="3" t="s">
        <v>36</v>
      </c>
      <c r="B1181" s="3">
        <f t="shared" si="32"/>
        <v>2003</v>
      </c>
      <c r="C1181" s="3">
        <f t="shared" si="33"/>
        <v>2</v>
      </c>
      <c r="D1181" s="20" t="str">
        <f t="shared" si="34"/>
        <v>CVX20032</v>
      </c>
      <c r="E1181" s="2">
        <v>37664</v>
      </c>
      <c r="F1181" s="3">
        <v>0.7</v>
      </c>
      <c r="G1181" s="2">
        <v>37690</v>
      </c>
      <c r="H1181" s="3">
        <v>4.3400000000000001E-2</v>
      </c>
      <c r="I1181" s="3">
        <v>0</v>
      </c>
      <c r="J1181" s="3">
        <v>0</v>
      </c>
      <c r="K1181" s="3">
        <f t="shared" si="35"/>
        <v>0</v>
      </c>
      <c r="L1181" s="3">
        <f t="shared" si="36"/>
        <v>2003</v>
      </c>
      <c r="M1181" s="20" t="str">
        <f>A1181&amp;L1181</f>
        <v>CVX2003</v>
      </c>
      <c r="N1181" s="3">
        <f>F1181/2</f>
        <v>0.35</v>
      </c>
      <c r="O1181" s="9">
        <f>H1181</f>
        <v>4.3400000000000001E-2</v>
      </c>
      <c r="P1181" s="10">
        <f t="shared" si="37"/>
        <v>0</v>
      </c>
      <c r="Q1181" s="10">
        <f>IF(K1181=0,IF(A1178=A1181,AVERAGE(O1178:O1181),"x"),0)</f>
        <v>4.0149999999999998E-2</v>
      </c>
      <c r="R1181" s="9">
        <f>IF(L1181&gt;2005,AVERAGE(O1178:O1197),0)</f>
        <v>0</v>
      </c>
      <c r="S1181" s="10">
        <f>IF(A1181=A1182,(N1181-N1182)/N1182,0)</f>
        <v>0</v>
      </c>
      <c r="T1181" s="10">
        <f>IF(L1181&gt;2005,(((N1181-N1201)/N1201)+1)^(1/5)-1,0)</f>
        <v>0</v>
      </c>
      <c r="U1181" s="10">
        <f t="shared" si="38"/>
        <v>0</v>
      </c>
      <c r="V1181" s="26">
        <f t="shared" si="39"/>
        <v>0</v>
      </c>
      <c r="W1181" s="3">
        <f>IF(A1181=A1182,N1181-N1182,0)</f>
        <v>0</v>
      </c>
      <c r="X1181" s="10">
        <f>IF(A1181=A1182,(N1181-N1182)/N1182,0)</f>
        <v>0</v>
      </c>
    </row>
    <row r="1182" spans="1:24" ht="16.5" customHeight="1">
      <c r="A1182" s="3" t="s">
        <v>36</v>
      </c>
      <c r="B1182" s="3">
        <f t="shared" si="32"/>
        <v>2002</v>
      </c>
      <c r="C1182" s="3">
        <f t="shared" si="33"/>
        <v>11</v>
      </c>
      <c r="D1182" s="20" t="str">
        <f t="shared" si="34"/>
        <v>CVX200211</v>
      </c>
      <c r="E1182" s="2">
        <v>37574</v>
      </c>
      <c r="F1182" s="3">
        <v>0.7</v>
      </c>
      <c r="G1182" s="2">
        <v>37600</v>
      </c>
      <c r="H1182" s="3">
        <v>4.2099999999999999E-2</v>
      </c>
      <c r="I1182" s="3">
        <v>0</v>
      </c>
      <c r="J1182" s="3">
        <v>0</v>
      </c>
      <c r="K1182" s="3">
        <f t="shared" si="35"/>
        <v>2002</v>
      </c>
      <c r="L1182" s="3">
        <f t="shared" si="36"/>
        <v>0</v>
      </c>
      <c r="M1182" s="20" t="str">
        <f>A1182&amp;L1182</f>
        <v>CVX0</v>
      </c>
      <c r="N1182" s="3">
        <f>F1182/2</f>
        <v>0.35</v>
      </c>
      <c r="O1182" s="9">
        <f>H1182</f>
        <v>4.2099999999999999E-2</v>
      </c>
      <c r="P1182" s="10">
        <f t="shared" si="37"/>
        <v>0</v>
      </c>
      <c r="Q1182" s="10">
        <f>IF(K1182=0,IF(A1179=A1182,AVERAGE(O1179:O1182),"x"),0)</f>
        <v>0</v>
      </c>
      <c r="R1182" s="9">
        <f>IF(L1182&gt;2005,AVERAGE(O1179:O1198),0)</f>
        <v>0</v>
      </c>
      <c r="S1182" s="10">
        <f>IF(A1182=A1183,(N1182-N1183)/N1183,0)</f>
        <v>0</v>
      </c>
      <c r="T1182" s="10">
        <f>IF(L1182&gt;2005,(((N1182-N1202)/N1202)+1)^(1/5)-1,0)</f>
        <v>0</v>
      </c>
      <c r="U1182" s="10">
        <f t="shared" si="38"/>
        <v>0</v>
      </c>
      <c r="V1182" s="26">
        <f t="shared" si="39"/>
        <v>0</v>
      </c>
      <c r="W1182" s="3">
        <f>IF(A1182=A1183,N1182-N1183,0)</f>
        <v>0</v>
      </c>
      <c r="X1182" s="10">
        <f>IF(A1182=A1183,(N1182-N1183)/N1183,0)</f>
        <v>0</v>
      </c>
    </row>
    <row r="1183" spans="1:24" ht="16.5" customHeight="1">
      <c r="A1183" s="3" t="s">
        <v>36</v>
      </c>
      <c r="B1183" s="3">
        <f t="shared" si="32"/>
        <v>2002</v>
      </c>
      <c r="C1183" s="3">
        <f t="shared" si="33"/>
        <v>8</v>
      </c>
      <c r="D1183" s="20" t="str">
        <f t="shared" si="34"/>
        <v>CVX20028</v>
      </c>
      <c r="E1183" s="2">
        <v>37483</v>
      </c>
      <c r="F1183" s="3">
        <v>0.7</v>
      </c>
      <c r="G1183" s="2">
        <v>37509</v>
      </c>
      <c r="H1183" s="3">
        <v>3.6200000000000003E-2</v>
      </c>
      <c r="I1183" s="3">
        <v>0</v>
      </c>
      <c r="J1183" s="3">
        <v>0</v>
      </c>
      <c r="K1183" s="3">
        <f t="shared" si="35"/>
        <v>2002</v>
      </c>
      <c r="L1183" s="3">
        <f t="shared" si="36"/>
        <v>0</v>
      </c>
      <c r="M1183" s="20" t="str">
        <f>A1183&amp;L1183</f>
        <v>CVX0</v>
      </c>
      <c r="N1183" s="3">
        <f>F1183/2</f>
        <v>0.35</v>
      </c>
      <c r="O1183" s="9">
        <f>H1183</f>
        <v>3.6200000000000003E-2</v>
      </c>
      <c r="P1183" s="10">
        <f t="shared" si="37"/>
        <v>0</v>
      </c>
      <c r="Q1183" s="10">
        <f>IF(K1183=0,IF(A1180=A1183,AVERAGE(O1180:O1183),"x"),0)</f>
        <v>0</v>
      </c>
      <c r="R1183" s="9">
        <f>IF(L1183&gt;2005,AVERAGE(O1180:O1199),0)</f>
        <v>0</v>
      </c>
      <c r="S1183" s="10">
        <f>IF(A1183=A1184,(N1183-N1184)/N1184,0)</f>
        <v>0</v>
      </c>
      <c r="T1183" s="10">
        <f>IF(L1183&gt;2005,(((N1183-N1203)/N1203)+1)^(1/5)-1,0)</f>
        <v>0</v>
      </c>
      <c r="U1183" s="10">
        <f t="shared" si="38"/>
        <v>0</v>
      </c>
      <c r="V1183" s="26">
        <f t="shared" si="39"/>
        <v>0</v>
      </c>
      <c r="W1183" s="3">
        <f>IF(A1183=A1184,N1183-N1184,0)</f>
        <v>0</v>
      </c>
      <c r="X1183" s="10">
        <f>IF(A1183=A1184,(N1183-N1184)/N1184,0)</f>
        <v>0</v>
      </c>
    </row>
    <row r="1184" spans="1:24" ht="16.5" customHeight="1">
      <c r="A1184" s="3" t="s">
        <v>36</v>
      </c>
      <c r="B1184" s="3">
        <f t="shared" si="32"/>
        <v>2002</v>
      </c>
      <c r="C1184" s="3">
        <f t="shared" si="33"/>
        <v>5</v>
      </c>
      <c r="D1184" s="20" t="str">
        <f t="shared" si="34"/>
        <v>CVX20025</v>
      </c>
      <c r="E1184" s="2">
        <v>37391</v>
      </c>
      <c r="F1184" s="3">
        <v>0.7</v>
      </c>
      <c r="G1184" s="2">
        <v>37417</v>
      </c>
      <c r="H1184" s="3">
        <v>3.0599999999999999E-2</v>
      </c>
      <c r="I1184" s="3">
        <v>0</v>
      </c>
      <c r="J1184" s="3">
        <v>0</v>
      </c>
      <c r="K1184" s="3">
        <f t="shared" si="35"/>
        <v>2002</v>
      </c>
      <c r="L1184" s="3">
        <f t="shared" si="36"/>
        <v>0</v>
      </c>
      <c r="M1184" s="20" t="str">
        <f>A1184&amp;L1184</f>
        <v>CVX0</v>
      </c>
      <c r="N1184" s="3">
        <f>F1184/2</f>
        <v>0.35</v>
      </c>
      <c r="O1184" s="9">
        <f>H1184</f>
        <v>3.0599999999999999E-2</v>
      </c>
      <c r="P1184" s="10">
        <f t="shared" si="37"/>
        <v>0</v>
      </c>
      <c r="Q1184" s="10">
        <f>IF(K1184=0,IF(A1181=A1184,AVERAGE(O1181:O1184),"x"),0)</f>
        <v>0</v>
      </c>
      <c r="R1184" s="9">
        <f>IF(L1184&gt;2005,AVERAGE(O1181:O1200),0)</f>
        <v>0</v>
      </c>
      <c r="S1184" s="10">
        <f>IF(A1184=A1185,(N1184-N1185)/N1185,0)</f>
        <v>0</v>
      </c>
      <c r="T1184" s="10">
        <f>IF(L1184&gt;2005,(((N1184-N1204)/N1204)+1)^(1/5)-1,0)</f>
        <v>0</v>
      </c>
      <c r="U1184" s="10">
        <f t="shared" si="38"/>
        <v>0</v>
      </c>
      <c r="V1184" s="26">
        <f t="shared" si="39"/>
        <v>0</v>
      </c>
      <c r="W1184" s="3">
        <f>IF(A1184=A1185,N1184-N1185,0)</f>
        <v>0</v>
      </c>
      <c r="X1184" s="10">
        <f>IF(A1184=A1185,(N1184-N1185)/N1185,0)</f>
        <v>0</v>
      </c>
    </row>
    <row r="1185" spans="1:24" ht="16.5" customHeight="1">
      <c r="A1185" s="3" t="s">
        <v>36</v>
      </c>
      <c r="B1185" s="3">
        <f t="shared" si="32"/>
        <v>2002</v>
      </c>
      <c r="C1185" s="3">
        <f t="shared" si="33"/>
        <v>2</v>
      </c>
      <c r="D1185" s="20" t="str">
        <f t="shared" si="34"/>
        <v>CVX20022</v>
      </c>
      <c r="E1185" s="2">
        <v>37300</v>
      </c>
      <c r="F1185" s="3">
        <v>0.7</v>
      </c>
      <c r="G1185" s="2">
        <v>37326</v>
      </c>
      <c r="H1185" s="3">
        <v>3.2800000000000003E-2</v>
      </c>
      <c r="I1185" s="3">
        <v>0</v>
      </c>
      <c r="J1185" s="3">
        <v>0</v>
      </c>
      <c r="K1185" s="3">
        <f t="shared" si="35"/>
        <v>0</v>
      </c>
      <c r="L1185" s="3">
        <f t="shared" si="36"/>
        <v>2002</v>
      </c>
      <c r="M1185" s="20" t="str">
        <f>A1185&amp;L1185</f>
        <v>CVX2002</v>
      </c>
      <c r="N1185" s="3">
        <f>F1185/2</f>
        <v>0.35</v>
      </c>
      <c r="O1185" s="9">
        <f>H1185</f>
        <v>3.2800000000000003E-2</v>
      </c>
      <c r="P1185" s="10">
        <f t="shared" si="37"/>
        <v>0</v>
      </c>
      <c r="Q1185" s="10">
        <f>IF(K1185=0,IF(A1182=A1185,AVERAGE(O1182:O1185),"x"),0)</f>
        <v>3.5425000000000005E-2</v>
      </c>
      <c r="R1185" s="9">
        <f>IF(L1185&gt;2005,AVERAGE(O1182:O1201),0)</f>
        <v>0</v>
      </c>
      <c r="S1185" s="10">
        <f>IF(A1185=A1186,(N1185-N1186)/N1186,0)</f>
        <v>0</v>
      </c>
      <c r="T1185" s="10">
        <f>IF(L1185&gt;2005,(((N1185-N1205)/N1205)+1)^(1/5)-1,0)</f>
        <v>0</v>
      </c>
      <c r="U1185" s="10">
        <f t="shared" si="38"/>
        <v>0</v>
      </c>
      <c r="V1185" s="26">
        <f t="shared" si="39"/>
        <v>0</v>
      </c>
      <c r="W1185" s="3">
        <f>IF(A1185=A1186,N1185-N1186,0)</f>
        <v>0</v>
      </c>
      <c r="X1185" s="10">
        <f>IF(A1185=A1186,(N1185-N1186)/N1186,0)</f>
        <v>0</v>
      </c>
    </row>
    <row r="1186" spans="1:24" ht="16.5" customHeight="1">
      <c r="A1186" s="3" t="s">
        <v>36</v>
      </c>
      <c r="B1186" s="3">
        <f t="shared" si="32"/>
        <v>2001</v>
      </c>
      <c r="C1186" s="3">
        <f t="shared" si="33"/>
        <v>11</v>
      </c>
      <c r="D1186" s="20" t="str">
        <f t="shared" si="34"/>
        <v>CVX200111</v>
      </c>
      <c r="E1186" s="2">
        <v>37209</v>
      </c>
      <c r="F1186" s="3">
        <v>0.7</v>
      </c>
      <c r="G1186" s="2">
        <v>37235</v>
      </c>
      <c r="H1186" s="3">
        <v>2.9399999999999999E-2</v>
      </c>
      <c r="I1186" s="3">
        <v>7.6923077000000006E-2</v>
      </c>
      <c r="J1186" s="3">
        <v>0.05</v>
      </c>
      <c r="K1186" s="3">
        <f t="shared" si="35"/>
        <v>2001</v>
      </c>
      <c r="L1186" s="3">
        <f t="shared" si="36"/>
        <v>0</v>
      </c>
      <c r="M1186" s="20" t="str">
        <f>A1186&amp;L1186</f>
        <v>CVX0</v>
      </c>
      <c r="N1186" s="3">
        <f>F1186/2</f>
        <v>0.35</v>
      </c>
      <c r="O1186" s="9">
        <f>H1186</f>
        <v>2.9399999999999999E-2</v>
      </c>
      <c r="P1186" s="10">
        <f t="shared" si="37"/>
        <v>2.8775000000000002E-2</v>
      </c>
      <c r="Q1186" s="10">
        <f>IF(K1186=0,IF(A1183=A1186,AVERAGE(O1183:O1186),"x"),0)</f>
        <v>0</v>
      </c>
      <c r="R1186" s="9">
        <f>IF(L1186&gt;2005,AVERAGE(O1183:O1202),0)</f>
        <v>0</v>
      </c>
      <c r="S1186" s="10">
        <f>IF(A1186=A1187,(N1186-N1187)/N1187,0)</f>
        <v>7.6923076923076816E-2</v>
      </c>
      <c r="T1186" s="10">
        <f>IF(L1186&gt;2005,(((N1186-N1206)/N1206)+1)^(1/5)-1,0)</f>
        <v>0</v>
      </c>
      <c r="U1186" s="10">
        <f t="shared" si="38"/>
        <v>0</v>
      </c>
      <c r="V1186" s="26">
        <f t="shared" si="39"/>
        <v>0</v>
      </c>
      <c r="W1186" s="3">
        <f>IF(A1186=A1187,N1186-N1187,0)</f>
        <v>2.4999999999999967E-2</v>
      </c>
      <c r="X1186" s="10">
        <f>IF(A1186=A1187,(N1186-N1187)/N1187,0)</f>
        <v>7.6923076923076816E-2</v>
      </c>
    </row>
    <row r="1187" spans="1:24" ht="16.5" customHeight="1">
      <c r="A1187" s="3" t="s">
        <v>36</v>
      </c>
      <c r="B1187" s="3">
        <f t="shared" si="32"/>
        <v>2001</v>
      </c>
      <c r="C1187" s="3">
        <f t="shared" si="33"/>
        <v>8</v>
      </c>
      <c r="D1187" s="20" t="str">
        <f t="shared" si="34"/>
        <v>CVX20018</v>
      </c>
      <c r="E1187" s="2">
        <v>37118</v>
      </c>
      <c r="F1187" s="3">
        <v>0.65</v>
      </c>
      <c r="G1187" s="2">
        <v>37144</v>
      </c>
      <c r="H1187" s="3">
        <v>2.8199999999999999E-2</v>
      </c>
      <c r="I1187" s="3">
        <v>0</v>
      </c>
      <c r="J1187" s="3">
        <v>0</v>
      </c>
      <c r="K1187" s="3">
        <f t="shared" si="35"/>
        <v>2001</v>
      </c>
      <c r="L1187" s="3">
        <f t="shared" si="36"/>
        <v>0</v>
      </c>
      <c r="M1187" s="20" t="str">
        <f>A1187&amp;L1187</f>
        <v>CVX0</v>
      </c>
      <c r="N1187" s="3">
        <f>F1187/2</f>
        <v>0.32500000000000001</v>
      </c>
      <c r="O1187" s="9">
        <f>H1187</f>
        <v>2.8199999999999999E-2</v>
      </c>
      <c r="P1187" s="10">
        <f t="shared" si="37"/>
        <v>0</v>
      </c>
      <c r="Q1187" s="10">
        <f>IF(K1187=0,IF(A1184=A1187,AVERAGE(O1184:O1187),"x"),0)</f>
        <v>0</v>
      </c>
      <c r="R1187" s="9">
        <f>IF(L1187&gt;2005,AVERAGE(O1184:O1203),0)</f>
        <v>0</v>
      </c>
      <c r="S1187" s="10">
        <f>IF(A1187=A1188,(N1187-N1188)/N1188,0)</f>
        <v>0</v>
      </c>
      <c r="T1187" s="10">
        <f>IF(L1187&gt;2005,(((N1187-N1207)/N1207)+1)^(1/5)-1,0)</f>
        <v>0</v>
      </c>
      <c r="U1187" s="10">
        <f t="shared" si="38"/>
        <v>0</v>
      </c>
      <c r="V1187" s="26">
        <f t="shared" si="39"/>
        <v>0</v>
      </c>
      <c r="W1187" s="3">
        <f>IF(A1187=A1188,N1187-N1188,0)</f>
        <v>0</v>
      </c>
      <c r="X1187" s="10">
        <f>IF(A1187=A1188,(N1187-N1188)/N1188,0)</f>
        <v>0</v>
      </c>
    </row>
    <row r="1188" spans="1:24" ht="16.5" customHeight="1">
      <c r="A1188" s="3" t="s">
        <v>36</v>
      </c>
      <c r="B1188" s="3">
        <f t="shared" si="32"/>
        <v>2001</v>
      </c>
      <c r="C1188" s="3">
        <f t="shared" si="33"/>
        <v>5</v>
      </c>
      <c r="D1188" s="20" t="str">
        <f t="shared" si="34"/>
        <v>CVX20015</v>
      </c>
      <c r="E1188" s="2">
        <v>37027</v>
      </c>
      <c r="F1188" s="3">
        <v>0.65</v>
      </c>
      <c r="G1188" s="2">
        <v>37053</v>
      </c>
      <c r="H1188" s="3">
        <v>2.7300000000000001E-2</v>
      </c>
      <c r="I1188" s="3">
        <v>0</v>
      </c>
      <c r="J1188" s="3">
        <v>0</v>
      </c>
      <c r="K1188" s="3">
        <f t="shared" si="35"/>
        <v>2001</v>
      </c>
      <c r="L1188" s="3">
        <f t="shared" si="36"/>
        <v>0</v>
      </c>
      <c r="M1188" s="20" t="str">
        <f>A1188&amp;L1188</f>
        <v>CVX0</v>
      </c>
      <c r="N1188" s="3">
        <f>F1188/2</f>
        <v>0.32500000000000001</v>
      </c>
      <c r="O1188" s="9">
        <f>H1188</f>
        <v>2.7300000000000001E-2</v>
      </c>
      <c r="P1188" s="10">
        <f t="shared" si="37"/>
        <v>0</v>
      </c>
      <c r="Q1188" s="10">
        <f>IF(K1188=0,IF(A1185=A1188,AVERAGE(O1185:O1188),"x"),0)</f>
        <v>0</v>
      </c>
      <c r="R1188" s="9">
        <f>IF(L1188&gt;2005,AVERAGE(O1185:O1204),0)</f>
        <v>0</v>
      </c>
      <c r="S1188" s="10">
        <f>IF(A1188=A1189,(N1188-N1189)/N1189,0)</f>
        <v>0</v>
      </c>
      <c r="T1188" s="10">
        <f>IF(L1188&gt;2005,(((N1188-N1208)/N1208)+1)^(1/5)-1,0)</f>
        <v>0</v>
      </c>
      <c r="U1188" s="10">
        <f t="shared" si="38"/>
        <v>0</v>
      </c>
      <c r="V1188" s="26">
        <f t="shared" si="39"/>
        <v>0</v>
      </c>
      <c r="W1188" s="3">
        <f>IF(A1188=A1189,N1188-N1189,0)</f>
        <v>0</v>
      </c>
      <c r="X1188" s="10">
        <f>IF(A1188=A1189,(N1188-N1189)/N1189,0)</f>
        <v>0</v>
      </c>
    </row>
    <row r="1189" spans="1:24" ht="16.5" customHeight="1">
      <c r="A1189" s="3" t="s">
        <v>36</v>
      </c>
      <c r="B1189" s="3">
        <f t="shared" si="32"/>
        <v>2001</v>
      </c>
      <c r="C1189" s="3">
        <f t="shared" si="33"/>
        <v>2</v>
      </c>
      <c r="D1189" s="20" t="str">
        <f t="shared" si="34"/>
        <v>CVX20012</v>
      </c>
      <c r="E1189" s="2">
        <v>36936</v>
      </c>
      <c r="F1189" s="3">
        <v>0.65</v>
      </c>
      <c r="G1189" s="2">
        <v>36962</v>
      </c>
      <c r="H1189" s="3">
        <v>3.0200000000000001E-2</v>
      </c>
      <c r="I1189" s="3">
        <v>0</v>
      </c>
      <c r="J1189" s="3">
        <v>0</v>
      </c>
      <c r="K1189" s="3">
        <f t="shared" si="35"/>
        <v>0</v>
      </c>
      <c r="L1189" s="3">
        <f t="shared" si="36"/>
        <v>2001</v>
      </c>
      <c r="M1189" s="20" t="str">
        <f>A1189&amp;L1189</f>
        <v>CVX2001</v>
      </c>
      <c r="N1189" s="3">
        <f>F1189/2</f>
        <v>0.32500000000000001</v>
      </c>
      <c r="O1189" s="9">
        <f>H1189</f>
        <v>3.0200000000000001E-2</v>
      </c>
      <c r="P1189" s="10">
        <f t="shared" si="37"/>
        <v>0</v>
      </c>
      <c r="Q1189" s="10">
        <f>IF(K1189=0,IF(A1186=A1189,AVERAGE(O1186:O1189),"x"),0)</f>
        <v>2.8775000000000002E-2</v>
      </c>
      <c r="R1189" s="9">
        <f>IF(L1189&gt;2005,AVERAGE(O1186:O1205),0)</f>
        <v>0</v>
      </c>
      <c r="S1189" s="10">
        <f>IF(A1189=A1190,(N1189-N1190)/N1190,0)</f>
        <v>0</v>
      </c>
      <c r="T1189" s="10">
        <f>IF(L1189&gt;2005,(((N1189-N1209)/N1209)+1)^(1/5)-1,0)</f>
        <v>0</v>
      </c>
      <c r="U1189" s="10">
        <f t="shared" si="38"/>
        <v>0</v>
      </c>
      <c r="V1189" s="26">
        <f t="shared" si="39"/>
        <v>0</v>
      </c>
      <c r="W1189" s="3">
        <f>IF(A1189=A1190,N1189-N1190,0)</f>
        <v>0</v>
      </c>
      <c r="X1189" s="10">
        <f>IF(A1189=A1190,(N1189-N1190)/N1190,0)</f>
        <v>0</v>
      </c>
    </row>
    <row r="1190" spans="1:24" ht="16.5" customHeight="1">
      <c r="A1190" s="3" t="s">
        <v>36</v>
      </c>
      <c r="B1190" s="3">
        <f t="shared" si="32"/>
        <v>2000</v>
      </c>
      <c r="C1190" s="3">
        <f t="shared" si="33"/>
        <v>11</v>
      </c>
      <c r="D1190" s="20" t="str">
        <f t="shared" si="34"/>
        <v>CVX200011</v>
      </c>
      <c r="E1190" s="2">
        <v>36845</v>
      </c>
      <c r="F1190" s="3">
        <v>0.65</v>
      </c>
      <c r="G1190" s="2">
        <v>36871</v>
      </c>
      <c r="H1190" s="3">
        <v>3.09E-2</v>
      </c>
      <c r="I1190" s="3">
        <v>0</v>
      </c>
      <c r="J1190" s="3">
        <v>0</v>
      </c>
      <c r="K1190" s="3">
        <f t="shared" si="35"/>
        <v>2000</v>
      </c>
      <c r="L1190" s="3">
        <f t="shared" si="36"/>
        <v>0</v>
      </c>
      <c r="M1190" s="20" t="str">
        <f>A1190&amp;L1190</f>
        <v>CVX0</v>
      </c>
      <c r="N1190" s="3">
        <f>F1190/2</f>
        <v>0.32500000000000001</v>
      </c>
      <c r="O1190" s="9">
        <f>H1190</f>
        <v>3.09E-2</v>
      </c>
      <c r="P1190" s="10">
        <f t="shared" si="37"/>
        <v>0</v>
      </c>
      <c r="Q1190" s="10">
        <f>IF(K1190=0,IF(A1187=A1190,AVERAGE(O1187:O1190),"x"),0)</f>
        <v>0</v>
      </c>
      <c r="R1190" s="9">
        <f>IF(L1190&gt;2005,AVERAGE(O1187:O1206),0)</f>
        <v>0</v>
      </c>
      <c r="S1190" s="10">
        <f>IF(A1190=A1191,(N1190-N1191)/N1191,0)</f>
        <v>0</v>
      </c>
      <c r="T1190" s="10">
        <f>IF(L1190&gt;2005,(((N1190-N1210)/N1210)+1)^(1/5)-1,0)</f>
        <v>0</v>
      </c>
      <c r="U1190" s="10">
        <f t="shared" si="38"/>
        <v>0</v>
      </c>
      <c r="V1190" s="26">
        <f t="shared" si="39"/>
        <v>0</v>
      </c>
      <c r="W1190" s="3">
        <f>IF(A1190=A1191,N1190-N1191,0)</f>
        <v>0</v>
      </c>
      <c r="X1190" s="10">
        <f>IF(A1190=A1191,(N1190-N1191)/N1191,0)</f>
        <v>0</v>
      </c>
    </row>
    <row r="1191" spans="1:24" ht="16.5" customHeight="1">
      <c r="A1191" s="3" t="s">
        <v>36</v>
      </c>
      <c r="B1191" s="3">
        <f t="shared" si="32"/>
        <v>2000</v>
      </c>
      <c r="C1191" s="3">
        <f t="shared" si="33"/>
        <v>8</v>
      </c>
      <c r="D1191" s="20" t="str">
        <f t="shared" si="34"/>
        <v>CVX20008</v>
      </c>
      <c r="E1191" s="2">
        <v>36754</v>
      </c>
      <c r="F1191" s="3">
        <v>0.65</v>
      </c>
      <c r="G1191" s="2">
        <v>36780</v>
      </c>
      <c r="H1191" s="3">
        <v>3.1099999999999999E-2</v>
      </c>
      <c r="I1191" s="3">
        <v>0</v>
      </c>
      <c r="J1191" s="3">
        <v>0</v>
      </c>
      <c r="K1191" s="3">
        <f t="shared" si="35"/>
        <v>2000</v>
      </c>
      <c r="L1191" s="3">
        <f t="shared" si="36"/>
        <v>0</v>
      </c>
      <c r="M1191" s="20" t="str">
        <f>A1191&amp;L1191</f>
        <v>CVX0</v>
      </c>
      <c r="N1191" s="3">
        <f>F1191/2</f>
        <v>0.32500000000000001</v>
      </c>
      <c r="O1191" s="9">
        <f>H1191</f>
        <v>3.1099999999999999E-2</v>
      </c>
      <c r="P1191" s="10">
        <f t="shared" si="37"/>
        <v>0</v>
      </c>
      <c r="Q1191" s="10">
        <f>IF(K1191=0,IF(A1188=A1191,AVERAGE(O1188:O1191),"x"),0)</f>
        <v>0</v>
      </c>
      <c r="R1191" s="9">
        <f>IF(L1191&gt;2005,AVERAGE(O1188:O1207),0)</f>
        <v>0</v>
      </c>
      <c r="S1191" s="10">
        <f>IF(A1191=A1192,(N1191-N1192)/N1192,0)</f>
        <v>0</v>
      </c>
      <c r="T1191" s="10">
        <f>IF(L1191&gt;2005,(((N1191-N1211)/N1211)+1)^(1/5)-1,0)</f>
        <v>0</v>
      </c>
      <c r="U1191" s="10">
        <f t="shared" si="38"/>
        <v>0</v>
      </c>
      <c r="V1191" s="26">
        <f t="shared" si="39"/>
        <v>0</v>
      </c>
      <c r="W1191" s="3">
        <f>IF(A1191=A1192,N1191-N1192,0)</f>
        <v>0</v>
      </c>
      <c r="X1191" s="10">
        <f>IF(A1191=A1192,(N1191-N1192)/N1192,0)</f>
        <v>0</v>
      </c>
    </row>
    <row r="1192" spans="1:24" ht="16.5" customHeight="1">
      <c r="A1192" s="3" t="s">
        <v>36</v>
      </c>
      <c r="B1192" s="3">
        <f t="shared" si="32"/>
        <v>2000</v>
      </c>
      <c r="C1192" s="3">
        <f t="shared" si="33"/>
        <v>5</v>
      </c>
      <c r="D1192" s="20" t="str">
        <f t="shared" si="34"/>
        <v>CVX20005</v>
      </c>
      <c r="E1192" s="2">
        <v>36663</v>
      </c>
      <c r="F1192" s="3">
        <v>0.65</v>
      </c>
      <c r="G1192" s="2">
        <v>36689</v>
      </c>
      <c r="H1192" s="3">
        <v>2.75E-2</v>
      </c>
      <c r="I1192" s="3">
        <v>0</v>
      </c>
      <c r="J1192" s="3">
        <v>0</v>
      </c>
      <c r="K1192" s="3">
        <f t="shared" si="35"/>
        <v>2000</v>
      </c>
      <c r="L1192" s="3">
        <f t="shared" si="36"/>
        <v>0</v>
      </c>
      <c r="M1192" s="20" t="str">
        <f>A1192&amp;L1192</f>
        <v>CVX0</v>
      </c>
      <c r="N1192" s="3">
        <f>F1192/2</f>
        <v>0.32500000000000001</v>
      </c>
      <c r="O1192" s="9">
        <f>H1192</f>
        <v>2.75E-2</v>
      </c>
      <c r="P1192" s="10">
        <f t="shared" si="37"/>
        <v>0</v>
      </c>
      <c r="Q1192" s="10">
        <f>IF(K1192=0,IF(A1189=A1192,AVERAGE(O1189:O1192),"x"),0)</f>
        <v>0</v>
      </c>
      <c r="R1192" s="9">
        <f>IF(L1192&gt;2005,AVERAGE(O1189:O1208),0)</f>
        <v>0</v>
      </c>
      <c r="S1192" s="10">
        <f>IF(A1192=A1193,(N1192-N1193)/N1193,0)</f>
        <v>0</v>
      </c>
      <c r="T1192" s="10">
        <f>IF(L1192&gt;2005,(((N1192-N1212)/N1212)+1)^(1/5)-1,0)</f>
        <v>0</v>
      </c>
      <c r="U1192" s="10">
        <f t="shared" si="38"/>
        <v>0</v>
      </c>
      <c r="V1192" s="26">
        <f t="shared" si="39"/>
        <v>0</v>
      </c>
      <c r="W1192" s="3">
        <f>IF(A1192=A1193,N1192-N1193,0)</f>
        <v>0</v>
      </c>
      <c r="X1192" s="10">
        <f>IF(A1192=A1193,(N1192-N1193)/N1193,0)</f>
        <v>0</v>
      </c>
    </row>
    <row r="1193" spans="1:24" ht="16.5" customHeight="1">
      <c r="A1193" s="14" t="s">
        <v>36</v>
      </c>
      <c r="B1193" s="3">
        <f t="shared" si="32"/>
        <v>2000</v>
      </c>
      <c r="C1193" s="3">
        <f t="shared" si="33"/>
        <v>2</v>
      </c>
      <c r="D1193" s="20" t="str">
        <f t="shared" si="34"/>
        <v>CVX20002</v>
      </c>
      <c r="E1193" s="15">
        <v>36572</v>
      </c>
      <c r="F1193" s="14">
        <v>0.65</v>
      </c>
      <c r="G1193" s="15">
        <v>36595</v>
      </c>
      <c r="H1193" s="14">
        <v>3.2500000000000001E-2</v>
      </c>
      <c r="I1193" s="14">
        <v>0</v>
      </c>
      <c r="J1193" s="14">
        <v>0</v>
      </c>
      <c r="K1193" s="3">
        <f t="shared" si="35"/>
        <v>0</v>
      </c>
      <c r="L1193" s="3">
        <f t="shared" si="36"/>
        <v>2000</v>
      </c>
      <c r="M1193" s="20" t="str">
        <f>A1193&amp;L1193</f>
        <v>CVX2000</v>
      </c>
      <c r="N1193" s="14">
        <f>F1193/2</f>
        <v>0.32500000000000001</v>
      </c>
      <c r="O1193" s="9">
        <f>H1193</f>
        <v>3.2500000000000001E-2</v>
      </c>
      <c r="P1193" s="10">
        <f t="shared" si="37"/>
        <v>0</v>
      </c>
      <c r="Q1193" s="10">
        <f>IF(K1193=0,IF(A1190=A1193,AVERAGE(O1190:O1193),"x"),0)</f>
        <v>3.0499999999999999E-2</v>
      </c>
      <c r="R1193" s="9">
        <f>IF(L1193&gt;2005,AVERAGE(O1190:O1209),0)</f>
        <v>0</v>
      </c>
      <c r="S1193" s="10">
        <f>IF(A1193=A1194,(N1193-N1194)/N1194,0)</f>
        <v>0</v>
      </c>
      <c r="T1193" s="10">
        <f>IF(L1193&gt;2005,(((N1193-N1213)/N1213)+1)^(1/5)-1,0)</f>
        <v>0</v>
      </c>
      <c r="U1193" s="10">
        <f t="shared" si="38"/>
        <v>0</v>
      </c>
      <c r="V1193" s="26">
        <f t="shared" si="39"/>
        <v>0</v>
      </c>
      <c r="W1193" s="3">
        <f>IF(A1193=A1194,N1193-N1194,0)</f>
        <v>0</v>
      </c>
      <c r="X1193" s="10">
        <f>IF(A1193=A1194,(N1193-N1194)/N1194,0)</f>
        <v>0</v>
      </c>
    </row>
    <row r="1194" spans="1:24" ht="16.5" customHeight="1">
      <c r="A1194" s="3" t="s">
        <v>37</v>
      </c>
      <c r="B1194" s="3">
        <f t="shared" si="32"/>
        <v>2022</v>
      </c>
      <c r="C1194" s="3">
        <f t="shared" si="33"/>
        <v>11</v>
      </c>
      <c r="D1194" s="20" t="str">
        <f t="shared" si="34"/>
        <v>CWT202211</v>
      </c>
      <c r="E1194" s="2">
        <v>44869</v>
      </c>
      <c r="F1194" s="3">
        <v>0.25</v>
      </c>
      <c r="G1194" s="2">
        <v>44883</v>
      </c>
      <c r="H1194" s="3">
        <v>1.6400000000000001E-2</v>
      </c>
      <c r="I1194" s="3">
        <v>0</v>
      </c>
      <c r="J1194" s="3">
        <v>0</v>
      </c>
      <c r="K1194" s="3">
        <f t="shared" si="35"/>
        <v>2022</v>
      </c>
      <c r="L1194" s="3">
        <f t="shared" si="36"/>
        <v>0</v>
      </c>
      <c r="M1194" s="20" t="str">
        <f>A1194&amp;L1194</f>
        <v>CWT0</v>
      </c>
      <c r="N1194" s="3">
        <f>F1194</f>
        <v>0.25</v>
      </c>
      <c r="O1194" s="9">
        <f>H1194</f>
        <v>1.6400000000000001E-2</v>
      </c>
      <c r="P1194" s="10">
        <f t="shared" si="37"/>
        <v>0</v>
      </c>
      <c r="Q1194" s="10">
        <f>IF(K1194=0,IF(A1191=A1194,AVERAGE(O1191:O1194),"x"),0)</f>
        <v>0</v>
      </c>
      <c r="R1194" s="9">
        <f>IF(L1194&gt;2005,AVERAGE(O1191:O1210),0)</f>
        <v>0</v>
      </c>
      <c r="S1194" s="10">
        <f>IF(A1194=A1195,(N1194-N1195)/N1195,0)</f>
        <v>0</v>
      </c>
      <c r="T1194" s="10">
        <f>IF(L1194&gt;2005,(((N1194-N1214)/N1214)+1)^(1/5)-1,0)</f>
        <v>0</v>
      </c>
      <c r="U1194" s="10">
        <f t="shared" si="38"/>
        <v>0</v>
      </c>
      <c r="V1194" s="26">
        <f t="shared" si="39"/>
        <v>0</v>
      </c>
      <c r="W1194" s="3">
        <f>IF(A1194=A1195,N1194-N1195,0)</f>
        <v>0</v>
      </c>
      <c r="X1194" s="10">
        <f>IF(A1194=A1195,(N1194-N1195)/N1195,0)</f>
        <v>0</v>
      </c>
    </row>
    <row r="1195" spans="1:24" ht="16.5" customHeight="1">
      <c r="A1195" s="3" t="s">
        <v>37</v>
      </c>
      <c r="B1195" s="3">
        <f t="shared" si="32"/>
        <v>2022</v>
      </c>
      <c r="C1195" s="3">
        <f t="shared" si="33"/>
        <v>8</v>
      </c>
      <c r="D1195" s="20" t="str">
        <f t="shared" si="34"/>
        <v>CWT20228</v>
      </c>
      <c r="E1195" s="2">
        <v>44778</v>
      </c>
      <c r="F1195" s="3">
        <v>0.25</v>
      </c>
      <c r="G1195" s="2">
        <v>44792</v>
      </c>
      <c r="H1195" s="3">
        <v>1.6299999999999999E-2</v>
      </c>
      <c r="I1195" s="3">
        <v>0</v>
      </c>
      <c r="J1195" s="3">
        <v>0</v>
      </c>
      <c r="K1195" s="3">
        <f t="shared" si="35"/>
        <v>2022</v>
      </c>
      <c r="L1195" s="3">
        <f t="shared" si="36"/>
        <v>0</v>
      </c>
      <c r="M1195" s="20" t="str">
        <f>A1195&amp;L1195</f>
        <v>CWT0</v>
      </c>
      <c r="N1195" s="3">
        <f>F1195</f>
        <v>0.25</v>
      </c>
      <c r="O1195" s="9">
        <f>H1195</f>
        <v>1.6299999999999999E-2</v>
      </c>
      <c r="P1195" s="10">
        <f t="shared" si="37"/>
        <v>0</v>
      </c>
      <c r="Q1195" s="10">
        <f>IF(K1195=0,IF(A1192=A1195,AVERAGE(O1192:O1195),"x"),0)</f>
        <v>0</v>
      </c>
      <c r="R1195" s="9">
        <f>IF(L1195&gt;2005,AVERAGE(O1192:O1211),0)</f>
        <v>0</v>
      </c>
      <c r="S1195" s="10">
        <f>IF(A1195=A1196,(N1195-N1196)/N1196,0)</f>
        <v>0</v>
      </c>
      <c r="T1195" s="10">
        <f>IF(L1195&gt;2005,(((N1195-N1215)/N1215)+1)^(1/5)-1,0)</f>
        <v>0</v>
      </c>
      <c r="U1195" s="10">
        <f t="shared" si="38"/>
        <v>0</v>
      </c>
      <c r="V1195" s="26">
        <f t="shared" si="39"/>
        <v>0</v>
      </c>
      <c r="W1195" s="3">
        <f>IF(A1195=A1196,N1195-N1196,0)</f>
        <v>0</v>
      </c>
      <c r="X1195" s="10">
        <f>IF(A1195=A1196,(N1195-N1196)/N1196,0)</f>
        <v>0</v>
      </c>
    </row>
    <row r="1196" spans="1:24" ht="16.5" customHeight="1">
      <c r="A1196" s="3" t="s">
        <v>37</v>
      </c>
      <c r="B1196" s="3">
        <f t="shared" si="32"/>
        <v>2022</v>
      </c>
      <c r="C1196" s="3">
        <f t="shared" si="33"/>
        <v>5</v>
      </c>
      <c r="D1196" s="20" t="str">
        <f t="shared" si="34"/>
        <v>CWT20225</v>
      </c>
      <c r="E1196" s="2">
        <v>44687</v>
      </c>
      <c r="F1196" s="3">
        <v>0.25</v>
      </c>
      <c r="G1196" s="2">
        <v>44701</v>
      </c>
      <c r="H1196" s="3">
        <v>1.9699999999999999E-2</v>
      </c>
      <c r="I1196" s="3">
        <v>0</v>
      </c>
      <c r="J1196" s="3">
        <v>0</v>
      </c>
      <c r="K1196" s="3">
        <f t="shared" si="35"/>
        <v>2022</v>
      </c>
      <c r="L1196" s="3">
        <f t="shared" si="36"/>
        <v>0</v>
      </c>
      <c r="M1196" s="20" t="str">
        <f>A1196&amp;L1196</f>
        <v>CWT0</v>
      </c>
      <c r="N1196" s="3">
        <f>F1196</f>
        <v>0.25</v>
      </c>
      <c r="O1196" s="9">
        <f>H1196</f>
        <v>1.9699999999999999E-2</v>
      </c>
      <c r="P1196" s="10">
        <f t="shared" si="37"/>
        <v>0</v>
      </c>
      <c r="Q1196" s="10">
        <f>IF(K1196=0,IF(A1193=A1196,AVERAGE(O1193:O1196),"x"),0)</f>
        <v>0</v>
      </c>
      <c r="R1196" s="9">
        <f>IF(L1196&gt;2005,AVERAGE(O1193:O1212),0)</f>
        <v>0</v>
      </c>
      <c r="S1196" s="10">
        <f>IF(A1196=A1197,(N1196-N1197)/N1197,0)</f>
        <v>0</v>
      </c>
      <c r="T1196" s="10">
        <f>IF(L1196&gt;2005,(((N1196-N1216)/N1216)+1)^(1/5)-1,0)</f>
        <v>0</v>
      </c>
      <c r="U1196" s="10">
        <f t="shared" si="38"/>
        <v>0</v>
      </c>
      <c r="V1196" s="26">
        <f t="shared" si="39"/>
        <v>0</v>
      </c>
      <c r="W1196" s="3">
        <f>IF(A1196=A1197,N1196-N1197,0)</f>
        <v>0</v>
      </c>
      <c r="X1196" s="10">
        <f>IF(A1196=A1197,(N1196-N1197)/N1197,0)</f>
        <v>0</v>
      </c>
    </row>
    <row r="1197" spans="1:24" ht="16.5" customHeight="1">
      <c r="A1197" s="3" t="s">
        <v>37</v>
      </c>
      <c r="B1197" s="3">
        <f t="shared" si="32"/>
        <v>2022</v>
      </c>
      <c r="C1197" s="3">
        <f t="shared" si="33"/>
        <v>2</v>
      </c>
      <c r="D1197" s="20" t="str">
        <f t="shared" si="34"/>
        <v>CWT20222</v>
      </c>
      <c r="E1197" s="2">
        <v>44596</v>
      </c>
      <c r="F1197" s="3">
        <v>0.25</v>
      </c>
      <c r="G1197" s="2">
        <v>44610</v>
      </c>
      <c r="H1197" s="3">
        <v>1.6500000000000001E-2</v>
      </c>
      <c r="I1197" s="3">
        <v>8.6956521999999994E-2</v>
      </c>
      <c r="J1197" s="3">
        <v>0.02</v>
      </c>
      <c r="K1197" s="3">
        <f t="shared" si="35"/>
        <v>0</v>
      </c>
      <c r="L1197" s="3">
        <f t="shared" si="36"/>
        <v>2022</v>
      </c>
      <c r="M1197" s="20" t="str">
        <f>A1197&amp;L1197</f>
        <v>CWT2022</v>
      </c>
      <c r="N1197" s="3">
        <f>F1197</f>
        <v>0.25</v>
      </c>
      <c r="O1197" s="9">
        <f>H1197</f>
        <v>1.6500000000000001E-2</v>
      </c>
      <c r="P1197" s="10">
        <f t="shared" si="37"/>
        <v>1.5275E-2</v>
      </c>
      <c r="Q1197" s="10">
        <f>IF(K1197=0,IF(A1194=A1197,AVERAGE(O1194:O1197),"x"),0)</f>
        <v>1.7225000000000001E-2</v>
      </c>
      <c r="R1197" s="9">
        <f>IF(L1197&gt;2005,AVERAGE(O1194:O1213),0)</f>
        <v>1.6794999999999997E-2</v>
      </c>
      <c r="S1197" s="10">
        <f>IF(A1197=A1198,(N1197-N1198)/N1198,0)</f>
        <v>8.6956521739130391E-2</v>
      </c>
      <c r="T1197" s="10">
        <f>IF(L1197&gt;2005,(((N1197-N1217)/N1217)+1)^(1/5)-1,0)</f>
        <v>6.790716584560208E-2</v>
      </c>
      <c r="U1197" s="10">
        <f t="shared" si="38"/>
        <v>8.4702165845602084E-2</v>
      </c>
      <c r="V1197" s="26">
        <f t="shared" si="39"/>
        <v>4.772486753527323</v>
      </c>
      <c r="W1197" s="3">
        <f>IF(A1197=A1198,N1197-N1198,0)</f>
        <v>1.999999999999999E-2</v>
      </c>
      <c r="X1197" s="10">
        <f>IF(A1197=A1198,(N1197-N1198)/N1198,0)</f>
        <v>8.6956521739130391E-2</v>
      </c>
    </row>
    <row r="1198" spans="1:24" ht="16.5" customHeight="1">
      <c r="A1198" s="3" t="s">
        <v>37</v>
      </c>
      <c r="B1198" s="3">
        <f t="shared" si="32"/>
        <v>2021</v>
      </c>
      <c r="C1198" s="3">
        <f t="shared" si="33"/>
        <v>11</v>
      </c>
      <c r="D1198" s="20" t="str">
        <f t="shared" si="34"/>
        <v>CWT202111</v>
      </c>
      <c r="E1198" s="2">
        <v>44505</v>
      </c>
      <c r="F1198" s="3">
        <v>0.23</v>
      </c>
      <c r="G1198" s="2">
        <v>44519</v>
      </c>
      <c r="H1198" s="3">
        <v>1.47E-2</v>
      </c>
      <c r="I1198" s="3">
        <v>0</v>
      </c>
      <c r="J1198" s="3">
        <v>0</v>
      </c>
      <c r="K1198" s="3">
        <f t="shared" si="35"/>
        <v>2021</v>
      </c>
      <c r="L1198" s="3">
        <f t="shared" si="36"/>
        <v>0</v>
      </c>
      <c r="M1198" s="20" t="str">
        <f>A1198&amp;L1198</f>
        <v>CWT0</v>
      </c>
      <c r="N1198" s="3">
        <f>F1198</f>
        <v>0.23</v>
      </c>
      <c r="O1198" s="9">
        <f>H1198</f>
        <v>1.47E-2</v>
      </c>
      <c r="P1198" s="10">
        <f t="shared" si="37"/>
        <v>0</v>
      </c>
      <c r="Q1198" s="10">
        <f>IF(K1198=0,IF(A1195=A1198,AVERAGE(O1195:O1198),"x"),0)</f>
        <v>0</v>
      </c>
      <c r="R1198" s="9">
        <f>IF(L1198&gt;2005,AVERAGE(O1195:O1214),0)</f>
        <v>0</v>
      </c>
      <c r="S1198" s="10">
        <f>IF(A1198=A1199,(N1198-N1199)/N1199,0)</f>
        <v>0</v>
      </c>
      <c r="T1198" s="10">
        <f>IF(L1198&gt;2005,(((N1198-N1218)/N1218)+1)^(1/5)-1,0)</f>
        <v>0</v>
      </c>
      <c r="U1198" s="10">
        <f t="shared" si="38"/>
        <v>0</v>
      </c>
      <c r="V1198" s="26">
        <f t="shared" si="39"/>
        <v>0</v>
      </c>
      <c r="W1198" s="3">
        <f>IF(A1198=A1199,N1198-N1199,0)</f>
        <v>0</v>
      </c>
      <c r="X1198" s="10">
        <f>IF(A1198=A1199,(N1198-N1199)/N1199,0)</f>
        <v>0</v>
      </c>
    </row>
    <row r="1199" spans="1:24" ht="16.5" customHeight="1">
      <c r="A1199" s="3" t="s">
        <v>37</v>
      </c>
      <c r="B1199" s="3">
        <f t="shared" si="32"/>
        <v>2021</v>
      </c>
      <c r="C1199" s="3">
        <f t="shared" si="33"/>
        <v>8</v>
      </c>
      <c r="D1199" s="20" t="str">
        <f t="shared" si="34"/>
        <v>CWT20218</v>
      </c>
      <c r="E1199" s="2">
        <v>44414</v>
      </c>
      <c r="F1199" s="3">
        <v>0.23</v>
      </c>
      <c r="G1199" s="2">
        <v>44428</v>
      </c>
      <c r="H1199" s="3">
        <v>1.4E-2</v>
      </c>
      <c r="I1199" s="3">
        <v>0</v>
      </c>
      <c r="J1199" s="3">
        <v>0</v>
      </c>
      <c r="K1199" s="3">
        <f t="shared" si="35"/>
        <v>2021</v>
      </c>
      <c r="L1199" s="3">
        <f t="shared" si="36"/>
        <v>0</v>
      </c>
      <c r="M1199" s="20" t="str">
        <f>A1199&amp;L1199</f>
        <v>CWT0</v>
      </c>
      <c r="N1199" s="3">
        <f>F1199</f>
        <v>0.23</v>
      </c>
      <c r="O1199" s="9">
        <f>H1199</f>
        <v>1.4E-2</v>
      </c>
      <c r="P1199" s="10">
        <f t="shared" si="37"/>
        <v>0</v>
      </c>
      <c r="Q1199" s="10">
        <f>IF(K1199=0,IF(A1196=A1199,AVERAGE(O1196:O1199),"x"),0)</f>
        <v>0</v>
      </c>
      <c r="R1199" s="9">
        <f>IF(L1199&gt;2005,AVERAGE(O1196:O1215),0)</f>
        <v>0</v>
      </c>
      <c r="S1199" s="10">
        <f>IF(A1199=A1200,(N1199-N1200)/N1200,0)</f>
        <v>0</v>
      </c>
      <c r="T1199" s="10">
        <f>IF(L1199&gt;2005,(((N1199-N1219)/N1219)+1)^(1/5)-1,0)</f>
        <v>0</v>
      </c>
      <c r="U1199" s="10">
        <f t="shared" si="38"/>
        <v>0</v>
      </c>
      <c r="V1199" s="26">
        <f t="shared" si="39"/>
        <v>0</v>
      </c>
      <c r="W1199" s="3">
        <f>IF(A1199=A1200,N1199-N1200,0)</f>
        <v>0</v>
      </c>
      <c r="X1199" s="10">
        <f>IF(A1199=A1200,(N1199-N1200)/N1200,0)</f>
        <v>0</v>
      </c>
    </row>
    <row r="1200" spans="1:24" ht="16.5" customHeight="1">
      <c r="A1200" s="3" t="s">
        <v>37</v>
      </c>
      <c r="B1200" s="3">
        <f t="shared" si="32"/>
        <v>2021</v>
      </c>
      <c r="C1200" s="3">
        <f t="shared" si="33"/>
        <v>5</v>
      </c>
      <c r="D1200" s="20" t="str">
        <f t="shared" si="34"/>
        <v>CWT20215</v>
      </c>
      <c r="E1200" s="2">
        <v>44323</v>
      </c>
      <c r="F1200" s="3">
        <v>0.23</v>
      </c>
      <c r="G1200" s="2">
        <v>44337</v>
      </c>
      <c r="H1200" s="3">
        <v>1.5900000000000001E-2</v>
      </c>
      <c r="I1200" s="3">
        <v>0</v>
      </c>
      <c r="J1200" s="3">
        <v>0</v>
      </c>
      <c r="K1200" s="3">
        <f t="shared" si="35"/>
        <v>2021</v>
      </c>
      <c r="L1200" s="3">
        <f t="shared" si="36"/>
        <v>0</v>
      </c>
      <c r="M1200" s="20" t="str">
        <f>A1200&amp;L1200</f>
        <v>CWT0</v>
      </c>
      <c r="N1200" s="3">
        <f>F1200</f>
        <v>0.23</v>
      </c>
      <c r="O1200" s="9">
        <f>H1200</f>
        <v>1.5900000000000001E-2</v>
      </c>
      <c r="P1200" s="10">
        <f t="shared" si="37"/>
        <v>0</v>
      </c>
      <c r="Q1200" s="10">
        <f>IF(K1200=0,IF(A1197=A1200,AVERAGE(O1197:O1200),"x"),0)</f>
        <v>0</v>
      </c>
      <c r="R1200" s="9">
        <f>IF(L1200&gt;2005,AVERAGE(O1197:O1216),0)</f>
        <v>0</v>
      </c>
      <c r="S1200" s="10">
        <f>IF(A1200=A1201,(N1200-N1201)/N1201,0)</f>
        <v>0</v>
      </c>
      <c r="T1200" s="10">
        <f>IF(L1200&gt;2005,(((N1200-N1220)/N1220)+1)^(1/5)-1,0)</f>
        <v>0</v>
      </c>
      <c r="U1200" s="10">
        <f t="shared" si="38"/>
        <v>0</v>
      </c>
      <c r="V1200" s="26">
        <f t="shared" si="39"/>
        <v>0</v>
      </c>
      <c r="W1200" s="3">
        <f>IF(A1200=A1201,N1200-N1201,0)</f>
        <v>0</v>
      </c>
      <c r="X1200" s="10">
        <f>IF(A1200=A1201,(N1200-N1201)/N1201,0)</f>
        <v>0</v>
      </c>
    </row>
    <row r="1201" spans="1:24" ht="16.5" customHeight="1">
      <c r="A1201" s="3" t="s">
        <v>37</v>
      </c>
      <c r="B1201" s="3">
        <f t="shared" si="32"/>
        <v>2021</v>
      </c>
      <c r="C1201" s="3">
        <f t="shared" si="33"/>
        <v>2</v>
      </c>
      <c r="D1201" s="20" t="str">
        <f t="shared" si="34"/>
        <v>CWT20212</v>
      </c>
      <c r="E1201" s="2">
        <v>44232</v>
      </c>
      <c r="F1201" s="3">
        <v>0.23</v>
      </c>
      <c r="G1201" s="2">
        <v>44246</v>
      </c>
      <c r="H1201" s="3">
        <v>1.6400000000000001E-2</v>
      </c>
      <c r="I1201" s="3">
        <v>8.2352940999999999E-2</v>
      </c>
      <c r="J1201" s="3">
        <v>1.7500000000000002E-2</v>
      </c>
      <c r="K1201" s="3">
        <f t="shared" si="35"/>
        <v>0</v>
      </c>
      <c r="L1201" s="3">
        <f t="shared" si="36"/>
        <v>2021</v>
      </c>
      <c r="M1201" s="20" t="str">
        <f>A1201&amp;L1201</f>
        <v>CWT2021</v>
      </c>
      <c r="N1201" s="3">
        <f>F1201</f>
        <v>0.23</v>
      </c>
      <c r="O1201" s="9">
        <f>H1201</f>
        <v>1.6400000000000001E-2</v>
      </c>
      <c r="P1201" s="10">
        <f t="shared" si="37"/>
        <v>1.7950000000000001E-2</v>
      </c>
      <c r="Q1201" s="10">
        <f>IF(K1201=0,IF(A1198=A1201,AVERAGE(O1198:O1201),"x"),0)</f>
        <v>1.525E-2</v>
      </c>
      <c r="R1201" s="9">
        <f>IF(L1201&gt;2005,AVERAGE(O1198:O1217),0)</f>
        <v>1.7215000000000001E-2</v>
      </c>
      <c r="S1201" s="10">
        <f>IF(A1201=A1202,(N1201-N1202)/N1202,0)</f>
        <v>8.235294117647067E-2</v>
      </c>
      <c r="T1201" s="10">
        <f>IF(L1201&gt;2005,(((N1201-N1221)/N1221)+1)^(1/5)-1,0)</f>
        <v>5.9223841048812176E-2</v>
      </c>
      <c r="U1201" s="10">
        <f t="shared" si="38"/>
        <v>7.6438841048812184E-2</v>
      </c>
      <c r="V1201" s="26">
        <f t="shared" si="39"/>
        <v>4.7651660468664128</v>
      </c>
      <c r="W1201" s="3">
        <f>IF(A1201=A1202,N1201-N1202,0)</f>
        <v>1.7500000000000016E-2</v>
      </c>
      <c r="X1201" s="10">
        <f>IF(A1201=A1202,(N1201-N1202)/N1202,0)</f>
        <v>8.235294117647067E-2</v>
      </c>
    </row>
    <row r="1202" spans="1:24" ht="16.5" customHeight="1">
      <c r="A1202" s="3" t="s">
        <v>37</v>
      </c>
      <c r="B1202" s="3">
        <f t="shared" si="32"/>
        <v>2020</v>
      </c>
      <c r="C1202" s="3">
        <f t="shared" si="33"/>
        <v>11</v>
      </c>
      <c r="D1202" s="20" t="str">
        <f t="shared" si="34"/>
        <v>CWT202011</v>
      </c>
      <c r="E1202" s="2">
        <v>44141</v>
      </c>
      <c r="F1202" s="3">
        <v>0.21249999999999999</v>
      </c>
      <c r="G1202" s="2">
        <v>44155</v>
      </c>
      <c r="H1202" s="3">
        <v>1.8499999999999999E-2</v>
      </c>
      <c r="I1202" s="3">
        <v>0</v>
      </c>
      <c r="J1202" s="3">
        <v>0</v>
      </c>
      <c r="K1202" s="3">
        <f t="shared" si="35"/>
        <v>2020</v>
      </c>
      <c r="L1202" s="3">
        <f t="shared" si="36"/>
        <v>0</v>
      </c>
      <c r="M1202" s="20" t="str">
        <f>A1202&amp;L1202</f>
        <v>CWT0</v>
      </c>
      <c r="N1202" s="3">
        <f>F1202</f>
        <v>0.21249999999999999</v>
      </c>
      <c r="O1202" s="9">
        <f>H1202</f>
        <v>1.8499999999999999E-2</v>
      </c>
      <c r="P1202" s="10">
        <f t="shared" si="37"/>
        <v>0</v>
      </c>
      <c r="Q1202" s="10">
        <f>IF(K1202=0,IF(A1199=A1202,AVERAGE(O1199:O1202),"x"),0)</f>
        <v>0</v>
      </c>
      <c r="R1202" s="9">
        <f>IF(L1202&gt;2005,AVERAGE(O1199:O1218),0)</f>
        <v>0</v>
      </c>
      <c r="S1202" s="10">
        <f>IF(A1202=A1203,(N1202-N1203)/N1203,0)</f>
        <v>0</v>
      </c>
      <c r="T1202" s="10">
        <f>IF(L1202&gt;2005,(((N1202-N1222)/N1222)+1)^(1/5)-1,0)</f>
        <v>0</v>
      </c>
      <c r="U1202" s="10">
        <f t="shared" si="38"/>
        <v>0</v>
      </c>
      <c r="V1202" s="26">
        <f t="shared" si="39"/>
        <v>0</v>
      </c>
      <c r="W1202" s="3">
        <f>IF(A1202=A1203,N1202-N1203,0)</f>
        <v>0</v>
      </c>
      <c r="X1202" s="10">
        <f>IF(A1202=A1203,(N1202-N1203)/N1203,0)</f>
        <v>0</v>
      </c>
    </row>
    <row r="1203" spans="1:24" ht="16.5" customHeight="1">
      <c r="A1203" s="3" t="s">
        <v>37</v>
      </c>
      <c r="B1203" s="3">
        <f t="shared" si="32"/>
        <v>2020</v>
      </c>
      <c r="C1203" s="3">
        <f t="shared" si="33"/>
        <v>8</v>
      </c>
      <c r="D1203" s="20" t="str">
        <f t="shared" si="34"/>
        <v>CWT20208</v>
      </c>
      <c r="E1203" s="2">
        <v>44050</v>
      </c>
      <c r="F1203" s="3">
        <v>0.21249999999999999</v>
      </c>
      <c r="G1203" s="2">
        <v>44064</v>
      </c>
      <c r="H1203" s="3">
        <v>1.8100000000000002E-2</v>
      </c>
      <c r="I1203" s="3">
        <v>0</v>
      </c>
      <c r="J1203" s="3">
        <v>0</v>
      </c>
      <c r="K1203" s="3">
        <f t="shared" si="35"/>
        <v>2020</v>
      </c>
      <c r="L1203" s="3">
        <f t="shared" si="36"/>
        <v>0</v>
      </c>
      <c r="M1203" s="20" t="str">
        <f>A1203&amp;L1203</f>
        <v>CWT0</v>
      </c>
      <c r="N1203" s="3">
        <f>F1203</f>
        <v>0.21249999999999999</v>
      </c>
      <c r="O1203" s="9">
        <f>H1203</f>
        <v>1.8100000000000002E-2</v>
      </c>
      <c r="P1203" s="10">
        <f t="shared" si="37"/>
        <v>0</v>
      </c>
      <c r="Q1203" s="10">
        <f>IF(K1203=0,IF(A1200=A1203,AVERAGE(O1200:O1203),"x"),0)</f>
        <v>0</v>
      </c>
      <c r="R1203" s="9">
        <f>IF(L1203&gt;2005,AVERAGE(O1200:O1219),0)</f>
        <v>0</v>
      </c>
      <c r="S1203" s="10">
        <f>IF(A1203=A1204,(N1203-N1204)/N1204,0)</f>
        <v>0</v>
      </c>
      <c r="T1203" s="10">
        <f>IF(L1203&gt;2005,(((N1203-N1223)/N1223)+1)^(1/5)-1,0)</f>
        <v>0</v>
      </c>
      <c r="U1203" s="10">
        <f t="shared" si="38"/>
        <v>0</v>
      </c>
      <c r="V1203" s="26">
        <f t="shared" si="39"/>
        <v>0</v>
      </c>
      <c r="W1203" s="3">
        <f>IF(A1203=A1204,N1203-N1204,0)</f>
        <v>0</v>
      </c>
      <c r="X1203" s="10">
        <f>IF(A1203=A1204,(N1203-N1204)/N1204,0)</f>
        <v>0</v>
      </c>
    </row>
    <row r="1204" spans="1:24" ht="16.5" customHeight="1">
      <c r="A1204" s="3" t="s">
        <v>37</v>
      </c>
      <c r="B1204" s="3">
        <f t="shared" si="32"/>
        <v>2020</v>
      </c>
      <c r="C1204" s="3">
        <f t="shared" si="33"/>
        <v>5</v>
      </c>
      <c r="D1204" s="20" t="str">
        <f t="shared" si="34"/>
        <v>CWT20205</v>
      </c>
      <c r="E1204" s="2">
        <v>43959</v>
      </c>
      <c r="F1204" s="3">
        <v>0.21249999999999999</v>
      </c>
      <c r="G1204" s="2">
        <v>43973</v>
      </c>
      <c r="H1204" s="3">
        <v>1.8800000000000001E-2</v>
      </c>
      <c r="I1204" s="3">
        <v>0</v>
      </c>
      <c r="J1204" s="3">
        <v>0</v>
      </c>
      <c r="K1204" s="3">
        <f t="shared" si="35"/>
        <v>2020</v>
      </c>
      <c r="L1204" s="3">
        <f t="shared" si="36"/>
        <v>0</v>
      </c>
      <c r="M1204" s="20" t="str">
        <f>A1204&amp;L1204</f>
        <v>CWT0</v>
      </c>
      <c r="N1204" s="3">
        <f>F1204</f>
        <v>0.21249999999999999</v>
      </c>
      <c r="O1204" s="9">
        <f>H1204</f>
        <v>1.8800000000000001E-2</v>
      </c>
      <c r="P1204" s="10">
        <f t="shared" si="37"/>
        <v>0</v>
      </c>
      <c r="Q1204" s="10">
        <f>IF(K1204=0,IF(A1201=A1204,AVERAGE(O1201:O1204),"x"),0)</f>
        <v>0</v>
      </c>
      <c r="R1204" s="9">
        <f>IF(L1204&gt;2005,AVERAGE(O1201:O1220),0)</f>
        <v>0</v>
      </c>
      <c r="S1204" s="10">
        <f>IF(A1204=A1205,(N1204-N1205)/N1205,0)</f>
        <v>0</v>
      </c>
      <c r="T1204" s="10">
        <f>IF(L1204&gt;2005,(((N1204-N1224)/N1224)+1)^(1/5)-1,0)</f>
        <v>0</v>
      </c>
      <c r="U1204" s="10">
        <f t="shared" si="38"/>
        <v>0</v>
      </c>
      <c r="V1204" s="26">
        <f t="shared" si="39"/>
        <v>0</v>
      </c>
      <c r="W1204" s="3">
        <f>IF(A1204=A1205,N1204-N1205,0)</f>
        <v>0</v>
      </c>
      <c r="X1204" s="10">
        <f>IF(A1204=A1205,(N1204-N1205)/N1205,0)</f>
        <v>0</v>
      </c>
    </row>
    <row r="1205" spans="1:24" ht="16.5" customHeight="1">
      <c r="A1205" s="3" t="s">
        <v>37</v>
      </c>
      <c r="B1205" s="3">
        <f t="shared" si="32"/>
        <v>2020</v>
      </c>
      <c r="C1205" s="3">
        <f t="shared" si="33"/>
        <v>2</v>
      </c>
      <c r="D1205" s="20" t="str">
        <f t="shared" si="34"/>
        <v>CWT20202</v>
      </c>
      <c r="E1205" s="2">
        <v>43868</v>
      </c>
      <c r="F1205" s="3">
        <v>0.21249999999999999</v>
      </c>
      <c r="G1205" s="2">
        <v>43882</v>
      </c>
      <c r="H1205" s="3">
        <v>1.5699999999999999E-2</v>
      </c>
      <c r="I1205" s="3">
        <v>7.5949367000000004E-2</v>
      </c>
      <c r="J1205" s="3">
        <v>1.4999999999999999E-2</v>
      </c>
      <c r="K1205" s="3">
        <f t="shared" si="35"/>
        <v>0</v>
      </c>
      <c r="L1205" s="3">
        <f t="shared" si="36"/>
        <v>2020</v>
      </c>
      <c r="M1205" s="20" t="str">
        <f>A1205&amp;L1205</f>
        <v>CWT2020</v>
      </c>
      <c r="N1205" s="3">
        <f>F1205</f>
        <v>0.21249999999999999</v>
      </c>
      <c r="O1205" s="9">
        <f>H1205</f>
        <v>1.5699999999999999E-2</v>
      </c>
      <c r="P1205" s="10">
        <f t="shared" si="37"/>
        <v>1.5275E-2</v>
      </c>
      <c r="Q1205" s="10">
        <f>IF(K1205=0,IF(A1202=A1205,AVERAGE(O1202:O1205),"x"),0)</f>
        <v>1.7774999999999999E-2</v>
      </c>
      <c r="R1205" s="9">
        <f>IF(L1205&gt;2005,AVERAGE(O1202:O1221),0)</f>
        <v>1.8914999999999998E-2</v>
      </c>
      <c r="S1205" s="10">
        <f>IF(A1205=A1206,(N1205-N1206)/N1206,0)</f>
        <v>7.5949367088607514E-2</v>
      </c>
      <c r="T1205" s="10">
        <f>IF(L1205&gt;2005,(((N1205-N1225)/N1225)+1)^(1/5)-1,0)</f>
        <v>4.8742395143417827E-2</v>
      </c>
      <c r="U1205" s="10">
        <f t="shared" si="38"/>
        <v>6.7657395143417828E-2</v>
      </c>
      <c r="V1205" s="26">
        <f t="shared" si="39"/>
        <v>4.7404492053209948</v>
      </c>
      <c r="W1205" s="3">
        <f>IF(A1205=A1206,N1205-N1206,0)</f>
        <v>1.4999999999999986E-2</v>
      </c>
      <c r="X1205" s="10">
        <f>IF(A1205=A1206,(N1205-N1206)/N1206,0)</f>
        <v>7.5949367088607514E-2</v>
      </c>
    </row>
    <row r="1206" spans="1:24" ht="16.5" customHeight="1">
      <c r="A1206" s="3" t="s">
        <v>37</v>
      </c>
      <c r="B1206" s="3">
        <f t="shared" si="32"/>
        <v>2019</v>
      </c>
      <c r="C1206" s="3">
        <f t="shared" si="33"/>
        <v>11</v>
      </c>
      <c r="D1206" s="20" t="str">
        <f t="shared" si="34"/>
        <v>CWT201911</v>
      </c>
      <c r="E1206" s="2">
        <v>43776</v>
      </c>
      <c r="F1206" s="3">
        <v>0.19750000000000001</v>
      </c>
      <c r="G1206" s="2">
        <v>43791</v>
      </c>
      <c r="H1206" s="3">
        <v>1.4800000000000001E-2</v>
      </c>
      <c r="I1206" s="3">
        <v>0</v>
      </c>
      <c r="J1206" s="3">
        <v>0</v>
      </c>
      <c r="K1206" s="3">
        <f t="shared" si="35"/>
        <v>2019</v>
      </c>
      <c r="L1206" s="3">
        <f t="shared" si="36"/>
        <v>0</v>
      </c>
      <c r="M1206" s="20" t="str">
        <f>A1206&amp;L1206</f>
        <v>CWT0</v>
      </c>
      <c r="N1206" s="3">
        <f>F1206</f>
        <v>0.19750000000000001</v>
      </c>
      <c r="O1206" s="9">
        <f>H1206</f>
        <v>1.4800000000000001E-2</v>
      </c>
      <c r="P1206" s="10">
        <f t="shared" si="37"/>
        <v>0</v>
      </c>
      <c r="Q1206" s="10">
        <f>IF(K1206=0,IF(A1203=A1206,AVERAGE(O1203:O1206),"x"),0)</f>
        <v>0</v>
      </c>
      <c r="R1206" s="9">
        <f>IF(L1206&gt;2005,AVERAGE(O1203:O1222),0)</f>
        <v>0</v>
      </c>
      <c r="S1206" s="10">
        <f>IF(A1206=A1207,(N1206-N1207)/N1207,0)</f>
        <v>0</v>
      </c>
      <c r="T1206" s="10">
        <f>IF(L1206&gt;2005,(((N1206-N1226)/N1226)+1)^(1/5)-1,0)</f>
        <v>0</v>
      </c>
      <c r="U1206" s="10">
        <f t="shared" si="38"/>
        <v>0</v>
      </c>
      <c r="V1206" s="26">
        <f t="shared" si="39"/>
        <v>0</v>
      </c>
      <c r="W1206" s="3">
        <f>IF(A1206=A1207,N1206-N1207,0)</f>
        <v>0</v>
      </c>
      <c r="X1206" s="10">
        <f>IF(A1206=A1207,(N1206-N1207)/N1207,0)</f>
        <v>0</v>
      </c>
    </row>
    <row r="1207" spans="1:24" ht="16.5" customHeight="1">
      <c r="A1207" s="3" t="s">
        <v>37</v>
      </c>
      <c r="B1207" s="3">
        <f t="shared" si="32"/>
        <v>2019</v>
      </c>
      <c r="C1207" s="3">
        <f t="shared" si="33"/>
        <v>8</v>
      </c>
      <c r="D1207" s="20" t="str">
        <f t="shared" si="34"/>
        <v>CWT20198</v>
      </c>
      <c r="E1207" s="2">
        <v>43686</v>
      </c>
      <c r="F1207" s="3">
        <v>0.19750000000000001</v>
      </c>
      <c r="G1207" s="2">
        <v>43700</v>
      </c>
      <c r="H1207" s="3">
        <v>1.47E-2</v>
      </c>
      <c r="I1207" s="3">
        <v>0</v>
      </c>
      <c r="J1207" s="3">
        <v>0</v>
      </c>
      <c r="K1207" s="3">
        <f t="shared" si="35"/>
        <v>2019</v>
      </c>
      <c r="L1207" s="3">
        <f t="shared" si="36"/>
        <v>0</v>
      </c>
      <c r="M1207" s="20" t="str">
        <f>A1207&amp;L1207</f>
        <v>CWT0</v>
      </c>
      <c r="N1207" s="3">
        <f>F1207</f>
        <v>0.19750000000000001</v>
      </c>
      <c r="O1207" s="9">
        <f>H1207</f>
        <v>1.47E-2</v>
      </c>
      <c r="P1207" s="10">
        <f t="shared" si="37"/>
        <v>0</v>
      </c>
      <c r="Q1207" s="10">
        <f>IF(K1207=0,IF(A1204=A1207,AVERAGE(O1204:O1207),"x"),0)</f>
        <v>0</v>
      </c>
      <c r="R1207" s="9">
        <f>IF(L1207&gt;2005,AVERAGE(O1204:O1223),0)</f>
        <v>0</v>
      </c>
      <c r="S1207" s="10">
        <f>IF(A1207=A1208,(N1207-N1208)/N1208,0)</f>
        <v>0</v>
      </c>
      <c r="T1207" s="10">
        <f>IF(L1207&gt;2005,(((N1207-N1227)/N1227)+1)^(1/5)-1,0)</f>
        <v>0</v>
      </c>
      <c r="U1207" s="10">
        <f t="shared" si="38"/>
        <v>0</v>
      </c>
      <c r="V1207" s="26">
        <f t="shared" si="39"/>
        <v>0</v>
      </c>
      <c r="W1207" s="3">
        <f>IF(A1207=A1208,N1207-N1208,0)</f>
        <v>0</v>
      </c>
      <c r="X1207" s="10">
        <f>IF(A1207=A1208,(N1207-N1208)/N1208,0)</f>
        <v>0</v>
      </c>
    </row>
    <row r="1208" spans="1:24" ht="16.5" customHeight="1">
      <c r="A1208" s="3" t="s">
        <v>37</v>
      </c>
      <c r="B1208" s="3">
        <f t="shared" si="32"/>
        <v>2019</v>
      </c>
      <c r="C1208" s="3">
        <f t="shared" si="33"/>
        <v>5</v>
      </c>
      <c r="D1208" s="20" t="str">
        <f t="shared" si="34"/>
        <v>CWT20195</v>
      </c>
      <c r="E1208" s="2">
        <v>43588</v>
      </c>
      <c r="F1208" s="3">
        <v>0.19750000000000001</v>
      </c>
      <c r="G1208" s="2">
        <v>43602</v>
      </c>
      <c r="H1208" s="3">
        <v>1.5900000000000001E-2</v>
      </c>
      <c r="I1208" s="3">
        <v>0</v>
      </c>
      <c r="J1208" s="3">
        <v>0</v>
      </c>
      <c r="K1208" s="3">
        <f t="shared" si="35"/>
        <v>2019</v>
      </c>
      <c r="L1208" s="3">
        <f t="shared" si="36"/>
        <v>0</v>
      </c>
      <c r="M1208" s="20" t="str">
        <f>A1208&amp;L1208</f>
        <v>CWT0</v>
      </c>
      <c r="N1208" s="3">
        <f>F1208</f>
        <v>0.19750000000000001</v>
      </c>
      <c r="O1208" s="9">
        <f>H1208</f>
        <v>1.5900000000000001E-2</v>
      </c>
      <c r="P1208" s="10">
        <f t="shared" si="37"/>
        <v>0</v>
      </c>
      <c r="Q1208" s="10">
        <f>IF(K1208=0,IF(A1205=A1208,AVERAGE(O1205:O1208),"x"),0)</f>
        <v>0</v>
      </c>
      <c r="R1208" s="9">
        <f>IF(L1208&gt;2005,AVERAGE(O1205:O1224),0)</f>
        <v>0</v>
      </c>
      <c r="S1208" s="10">
        <f>IF(A1208=A1209,(N1208-N1209)/N1209,0)</f>
        <v>0</v>
      </c>
      <c r="T1208" s="10">
        <f>IF(L1208&gt;2005,(((N1208-N1228)/N1228)+1)^(1/5)-1,0)</f>
        <v>0</v>
      </c>
      <c r="U1208" s="10">
        <f t="shared" si="38"/>
        <v>0</v>
      </c>
      <c r="V1208" s="26">
        <f t="shared" si="39"/>
        <v>0</v>
      </c>
      <c r="W1208" s="3">
        <f>IF(A1208=A1209,N1208-N1209,0)</f>
        <v>0</v>
      </c>
      <c r="X1208" s="10">
        <f>IF(A1208=A1209,(N1208-N1209)/N1209,0)</f>
        <v>0</v>
      </c>
    </row>
    <row r="1209" spans="1:24" ht="16.5" customHeight="1">
      <c r="A1209" s="3" t="s">
        <v>37</v>
      </c>
      <c r="B1209" s="3">
        <f t="shared" si="32"/>
        <v>2019</v>
      </c>
      <c r="C1209" s="3">
        <f t="shared" si="33"/>
        <v>2</v>
      </c>
      <c r="D1209" s="20" t="str">
        <f t="shared" si="34"/>
        <v>CWT20192</v>
      </c>
      <c r="E1209" s="2">
        <v>43504</v>
      </c>
      <c r="F1209" s="3">
        <v>0.19750000000000001</v>
      </c>
      <c r="G1209" s="2">
        <v>43518</v>
      </c>
      <c r="H1209" s="3">
        <v>1.5599999999999999E-2</v>
      </c>
      <c r="I1209" s="3">
        <v>5.3333332999999997E-2</v>
      </c>
      <c r="J1209" s="3">
        <v>0.01</v>
      </c>
      <c r="K1209" s="3">
        <f t="shared" si="35"/>
        <v>0</v>
      </c>
      <c r="L1209" s="3">
        <f t="shared" si="36"/>
        <v>2019</v>
      </c>
      <c r="M1209" s="20" t="str">
        <f>A1209&amp;L1209</f>
        <v>CWT2019</v>
      </c>
      <c r="N1209" s="3">
        <f>F1209</f>
        <v>0.19750000000000001</v>
      </c>
      <c r="O1209" s="9">
        <f>H1209</f>
        <v>1.5599999999999999E-2</v>
      </c>
      <c r="P1209" s="10">
        <f t="shared" si="37"/>
        <v>1.7349999999999997E-2</v>
      </c>
      <c r="Q1209" s="10">
        <f>IF(K1209=0,IF(A1206=A1209,AVERAGE(O1206:O1209),"x"),0)</f>
        <v>1.525E-2</v>
      </c>
      <c r="R1209" s="9">
        <f>IF(L1209&gt;2005,AVERAGE(O1206:O1225),0)</f>
        <v>2.1065E-2</v>
      </c>
      <c r="S1209" s="10">
        <f>IF(A1209=A1210,(N1209-N1210)/N1210,0)</f>
        <v>5.3333333333333378E-2</v>
      </c>
      <c r="T1209" s="10">
        <f>IF(L1209&gt;2005,(((N1209-N1229)/N1229)+1)^(1/5)-1,0)</f>
        <v>3.9783082120392388E-2</v>
      </c>
      <c r="U1209" s="10">
        <f t="shared" si="38"/>
        <v>6.0848082120392388E-2</v>
      </c>
      <c r="V1209" s="26">
        <f t="shared" si="39"/>
        <v>4.709917985225923</v>
      </c>
      <c r="W1209" s="3">
        <f>IF(A1209=A1210,N1209-N1210,0)</f>
        <v>1.0000000000000009E-2</v>
      </c>
      <c r="X1209" s="10">
        <f>IF(A1209=A1210,(N1209-N1210)/N1210,0)</f>
        <v>5.3333333333333378E-2</v>
      </c>
    </row>
    <row r="1210" spans="1:24" ht="16.5" customHeight="1">
      <c r="A1210" s="3" t="s">
        <v>37</v>
      </c>
      <c r="B1210" s="3">
        <f t="shared" si="32"/>
        <v>2018</v>
      </c>
      <c r="C1210" s="3">
        <f t="shared" si="33"/>
        <v>11</v>
      </c>
      <c r="D1210" s="20" t="str">
        <f t="shared" si="34"/>
        <v>CWT201811</v>
      </c>
      <c r="E1210" s="2">
        <v>43412</v>
      </c>
      <c r="F1210" s="3">
        <v>0.1875</v>
      </c>
      <c r="G1210" s="2">
        <v>43427</v>
      </c>
      <c r="H1210" s="3">
        <v>1.67E-2</v>
      </c>
      <c r="I1210" s="3">
        <v>0</v>
      </c>
      <c r="J1210" s="3">
        <v>0</v>
      </c>
      <c r="K1210" s="3">
        <f t="shared" si="35"/>
        <v>2018</v>
      </c>
      <c r="L1210" s="3">
        <f t="shared" si="36"/>
        <v>0</v>
      </c>
      <c r="M1210" s="20" t="str">
        <f>A1210&amp;L1210</f>
        <v>CWT0</v>
      </c>
      <c r="N1210" s="3">
        <f>F1210</f>
        <v>0.1875</v>
      </c>
      <c r="O1210" s="9">
        <f>H1210</f>
        <v>1.67E-2</v>
      </c>
      <c r="P1210" s="10">
        <f t="shared" si="37"/>
        <v>0</v>
      </c>
      <c r="Q1210" s="10">
        <f>IF(K1210=0,IF(A1207=A1210,AVERAGE(O1207:O1210),"x"),0)</f>
        <v>0</v>
      </c>
      <c r="R1210" s="9">
        <f>IF(L1210&gt;2005,AVERAGE(O1207:O1226),0)</f>
        <v>0</v>
      </c>
      <c r="S1210" s="10">
        <f>IF(A1210=A1211,(N1210-N1211)/N1211,0)</f>
        <v>0</v>
      </c>
      <c r="T1210" s="10">
        <f>IF(L1210&gt;2005,(((N1210-N1230)/N1230)+1)^(1/5)-1,0)</f>
        <v>0</v>
      </c>
      <c r="U1210" s="10">
        <f t="shared" si="38"/>
        <v>0</v>
      </c>
      <c r="V1210" s="26">
        <f t="shared" si="39"/>
        <v>0</v>
      </c>
      <c r="W1210" s="3">
        <f>IF(A1210=A1211,N1210-N1211,0)</f>
        <v>0</v>
      </c>
      <c r="X1210" s="10">
        <f>IF(A1210=A1211,(N1210-N1211)/N1211,0)</f>
        <v>0</v>
      </c>
    </row>
    <row r="1211" spans="1:24" ht="16.5" customHeight="1">
      <c r="A1211" s="3" t="s">
        <v>37</v>
      </c>
      <c r="B1211" s="3">
        <f t="shared" si="32"/>
        <v>2018</v>
      </c>
      <c r="C1211" s="3">
        <f t="shared" si="33"/>
        <v>8</v>
      </c>
      <c r="D1211" s="20" t="str">
        <f t="shared" si="34"/>
        <v>CWT20188</v>
      </c>
      <c r="E1211" s="2">
        <v>43315</v>
      </c>
      <c r="F1211" s="3">
        <v>0.1875</v>
      </c>
      <c r="G1211" s="2">
        <v>43329</v>
      </c>
      <c r="H1211" s="3">
        <v>1.83E-2</v>
      </c>
      <c r="I1211" s="3">
        <v>0</v>
      </c>
      <c r="J1211" s="3">
        <v>0</v>
      </c>
      <c r="K1211" s="3">
        <f t="shared" si="35"/>
        <v>2018</v>
      </c>
      <c r="L1211" s="3">
        <f t="shared" si="36"/>
        <v>0</v>
      </c>
      <c r="M1211" s="20" t="str">
        <f>A1211&amp;L1211</f>
        <v>CWT0</v>
      </c>
      <c r="N1211" s="3">
        <f>F1211</f>
        <v>0.1875</v>
      </c>
      <c r="O1211" s="9">
        <f>H1211</f>
        <v>1.83E-2</v>
      </c>
      <c r="P1211" s="10">
        <f t="shared" si="37"/>
        <v>0</v>
      </c>
      <c r="Q1211" s="10">
        <f>IF(K1211=0,IF(A1208=A1211,AVERAGE(O1208:O1211),"x"),0)</f>
        <v>0</v>
      </c>
      <c r="R1211" s="9">
        <f>IF(L1211&gt;2005,AVERAGE(O1208:O1227),0)</f>
        <v>0</v>
      </c>
      <c r="S1211" s="10">
        <f>IF(A1211=A1212,(N1211-N1212)/N1212,0)</f>
        <v>0</v>
      </c>
      <c r="T1211" s="10">
        <f>IF(L1211&gt;2005,(((N1211-N1231)/N1231)+1)^(1/5)-1,0)</f>
        <v>0</v>
      </c>
      <c r="U1211" s="10">
        <f t="shared" si="38"/>
        <v>0</v>
      </c>
      <c r="V1211" s="26">
        <f t="shared" si="39"/>
        <v>0</v>
      </c>
      <c r="W1211" s="3">
        <f>IF(A1211=A1212,N1211-N1212,0)</f>
        <v>0</v>
      </c>
      <c r="X1211" s="10">
        <f>IF(A1211=A1212,(N1211-N1212)/N1212,0)</f>
        <v>0</v>
      </c>
    </row>
    <row r="1212" spans="1:24" ht="16.5" customHeight="1">
      <c r="A1212" s="3" t="s">
        <v>37</v>
      </c>
      <c r="B1212" s="3">
        <f t="shared" si="32"/>
        <v>2018</v>
      </c>
      <c r="C1212" s="3">
        <f t="shared" si="33"/>
        <v>5</v>
      </c>
      <c r="D1212" s="20" t="str">
        <f t="shared" si="34"/>
        <v>CWT20185</v>
      </c>
      <c r="E1212" s="2">
        <v>43224</v>
      </c>
      <c r="F1212" s="3">
        <v>0.1875</v>
      </c>
      <c r="G1212" s="2">
        <v>43238</v>
      </c>
      <c r="H1212" s="3">
        <v>1.8800000000000001E-2</v>
      </c>
      <c r="I1212" s="3">
        <v>0</v>
      </c>
      <c r="J1212" s="3">
        <v>0</v>
      </c>
      <c r="K1212" s="3">
        <f t="shared" si="35"/>
        <v>2018</v>
      </c>
      <c r="L1212" s="3">
        <f t="shared" si="36"/>
        <v>0</v>
      </c>
      <c r="M1212" s="20" t="str">
        <f>A1212&amp;L1212</f>
        <v>CWT0</v>
      </c>
      <c r="N1212" s="3">
        <f>F1212</f>
        <v>0.1875</v>
      </c>
      <c r="O1212" s="9">
        <f>H1212</f>
        <v>1.8800000000000001E-2</v>
      </c>
      <c r="P1212" s="10">
        <f t="shared" si="37"/>
        <v>0</v>
      </c>
      <c r="Q1212" s="10">
        <f>IF(K1212=0,IF(A1209=A1212,AVERAGE(O1209:O1212),"x"),0)</f>
        <v>0</v>
      </c>
      <c r="R1212" s="9">
        <f>IF(L1212&gt;2005,AVERAGE(O1209:O1228),0)</f>
        <v>0</v>
      </c>
      <c r="S1212" s="10">
        <f>IF(A1212=A1213,(N1212-N1213)/N1213,0)</f>
        <v>0</v>
      </c>
      <c r="T1212" s="10">
        <f>IF(L1212&gt;2005,(((N1212-N1232)/N1232)+1)^(1/5)-1,0)</f>
        <v>0</v>
      </c>
      <c r="U1212" s="10">
        <f t="shared" si="38"/>
        <v>0</v>
      </c>
      <c r="V1212" s="26">
        <f t="shared" si="39"/>
        <v>0</v>
      </c>
      <c r="W1212" s="3">
        <f>IF(A1212=A1213,N1212-N1213,0)</f>
        <v>0</v>
      </c>
      <c r="X1212" s="10">
        <f>IF(A1212=A1213,(N1212-N1213)/N1213,0)</f>
        <v>0</v>
      </c>
    </row>
    <row r="1213" spans="1:24" ht="16.5" customHeight="1">
      <c r="A1213" s="3" t="s">
        <v>37</v>
      </c>
      <c r="B1213" s="3">
        <f t="shared" si="32"/>
        <v>2018</v>
      </c>
      <c r="C1213" s="3">
        <f t="shared" si="33"/>
        <v>2</v>
      </c>
      <c r="D1213" s="20" t="str">
        <f t="shared" si="34"/>
        <v>CWT20182</v>
      </c>
      <c r="E1213" s="2">
        <v>43140</v>
      </c>
      <c r="F1213" s="3">
        <v>0.1875</v>
      </c>
      <c r="G1213" s="2">
        <v>43154</v>
      </c>
      <c r="H1213" s="3">
        <v>2.01E-2</v>
      </c>
      <c r="I1213" s="3">
        <v>4.1666666999999998E-2</v>
      </c>
      <c r="J1213" s="3">
        <v>7.4999999999999997E-3</v>
      </c>
      <c r="K1213" s="3">
        <f t="shared" si="35"/>
        <v>0</v>
      </c>
      <c r="L1213" s="3">
        <f t="shared" si="36"/>
        <v>2018</v>
      </c>
      <c r="M1213" s="20" t="str">
        <f>A1213&amp;L1213</f>
        <v>CWT2018</v>
      </c>
      <c r="N1213" s="3">
        <f>F1213</f>
        <v>0.1875</v>
      </c>
      <c r="O1213" s="9">
        <f>H1213</f>
        <v>2.01E-2</v>
      </c>
      <c r="P1213" s="10">
        <f t="shared" si="37"/>
        <v>1.9E-2</v>
      </c>
      <c r="Q1213" s="10">
        <f>IF(K1213=0,IF(A1210=A1213,AVERAGE(O1210:O1213),"x"),0)</f>
        <v>1.8474999999999998E-2</v>
      </c>
      <c r="R1213" s="9">
        <f>IF(L1213&gt;2005,AVERAGE(O1210:O1229),0)</f>
        <v>2.3600000000000003E-2</v>
      </c>
      <c r="S1213" s="10">
        <f>IF(A1213=A1214,(N1213-N1214)/N1214,0)</f>
        <v>4.1666666666666706E-2</v>
      </c>
      <c r="T1213" s="10">
        <f>IF(L1213&gt;2005,(((N1213-N1233)/N1233)+1)^(1/5)-1,0)</f>
        <v>3.222947933334197E-2</v>
      </c>
      <c r="U1213" s="10">
        <f t="shared" si="38"/>
        <v>5.5829479333341973E-2</v>
      </c>
      <c r="V1213" s="26">
        <f t="shared" si="39"/>
        <v>4.6745448891719965</v>
      </c>
      <c r="W1213" s="3">
        <f>IF(A1213=A1214,N1213-N1214,0)</f>
        <v>7.5000000000000067E-3</v>
      </c>
      <c r="X1213" s="10">
        <f>IF(A1213=A1214,(N1213-N1214)/N1214,0)</f>
        <v>4.1666666666666706E-2</v>
      </c>
    </row>
    <row r="1214" spans="1:24" ht="16.5" customHeight="1">
      <c r="A1214" s="3" t="s">
        <v>37</v>
      </c>
      <c r="B1214" s="3">
        <f t="shared" si="32"/>
        <v>2017</v>
      </c>
      <c r="C1214" s="3">
        <f t="shared" si="33"/>
        <v>11</v>
      </c>
      <c r="D1214" s="20" t="str">
        <f t="shared" si="34"/>
        <v>CWT201711</v>
      </c>
      <c r="E1214" s="2">
        <v>43042</v>
      </c>
      <c r="F1214" s="3">
        <v>0.18</v>
      </c>
      <c r="G1214" s="2">
        <v>43056</v>
      </c>
      <c r="H1214" s="3">
        <v>1.66E-2</v>
      </c>
      <c r="I1214" s="3">
        <v>0</v>
      </c>
      <c r="J1214" s="3">
        <v>0</v>
      </c>
      <c r="K1214" s="3">
        <f t="shared" si="35"/>
        <v>2017</v>
      </c>
      <c r="L1214" s="3">
        <f t="shared" si="36"/>
        <v>0</v>
      </c>
      <c r="M1214" s="20" t="str">
        <f>A1214&amp;L1214</f>
        <v>CWT0</v>
      </c>
      <c r="N1214" s="3">
        <f>F1214</f>
        <v>0.18</v>
      </c>
      <c r="O1214" s="9">
        <f>H1214</f>
        <v>1.66E-2</v>
      </c>
      <c r="P1214" s="10">
        <f t="shared" si="37"/>
        <v>0</v>
      </c>
      <c r="Q1214" s="10">
        <f>IF(K1214=0,IF(A1211=A1214,AVERAGE(O1211:O1214),"x"),0)</f>
        <v>0</v>
      </c>
      <c r="R1214" s="9">
        <f>IF(L1214&gt;2005,AVERAGE(O1211:O1230),0)</f>
        <v>0</v>
      </c>
      <c r="S1214" s="10">
        <f>IF(A1214=A1215,(N1214-N1215)/N1215,0)</f>
        <v>0</v>
      </c>
      <c r="T1214" s="10">
        <f>IF(L1214&gt;2005,(((N1214-N1234)/N1234)+1)^(1/5)-1,0)</f>
        <v>0</v>
      </c>
      <c r="U1214" s="10">
        <f t="shared" si="38"/>
        <v>0</v>
      </c>
      <c r="V1214" s="26">
        <f t="shared" si="39"/>
        <v>0</v>
      </c>
      <c r="W1214" s="3">
        <f>IF(A1214=A1215,N1214-N1215,0)</f>
        <v>0</v>
      </c>
      <c r="X1214" s="10">
        <f>IF(A1214=A1215,(N1214-N1215)/N1215,0)</f>
        <v>0</v>
      </c>
    </row>
    <row r="1215" spans="1:24" ht="16.5" customHeight="1">
      <c r="A1215" s="3" t="s">
        <v>37</v>
      </c>
      <c r="B1215" s="3">
        <f t="shared" si="32"/>
        <v>2017</v>
      </c>
      <c r="C1215" s="3">
        <f t="shared" si="33"/>
        <v>8</v>
      </c>
      <c r="D1215" s="20" t="str">
        <f t="shared" si="34"/>
        <v>CWT20178</v>
      </c>
      <c r="E1215" s="2">
        <v>42950</v>
      </c>
      <c r="F1215" s="3">
        <v>0.18</v>
      </c>
      <c r="G1215" s="2">
        <v>42965</v>
      </c>
      <c r="H1215" s="3">
        <v>1.8800000000000001E-2</v>
      </c>
      <c r="I1215" s="3">
        <v>0</v>
      </c>
      <c r="J1215" s="3">
        <v>0</v>
      </c>
      <c r="K1215" s="3">
        <f t="shared" si="35"/>
        <v>2017</v>
      </c>
      <c r="L1215" s="3">
        <f t="shared" si="36"/>
        <v>0</v>
      </c>
      <c r="M1215" s="20" t="str">
        <f>A1215&amp;L1215</f>
        <v>CWT0</v>
      </c>
      <c r="N1215" s="3">
        <f>F1215</f>
        <v>0.18</v>
      </c>
      <c r="O1215" s="9">
        <f>H1215</f>
        <v>1.8800000000000001E-2</v>
      </c>
      <c r="P1215" s="10">
        <f t="shared" si="37"/>
        <v>0</v>
      </c>
      <c r="Q1215" s="10">
        <f>IF(K1215=0,IF(A1212=A1215,AVERAGE(O1212:O1215),"x"),0)</f>
        <v>0</v>
      </c>
      <c r="R1215" s="9">
        <f>IF(L1215&gt;2005,AVERAGE(O1212:O1231),0)</f>
        <v>0</v>
      </c>
      <c r="S1215" s="10">
        <f>IF(A1215=A1216,(N1215-N1216)/N1216,0)</f>
        <v>0</v>
      </c>
      <c r="T1215" s="10">
        <f>IF(L1215&gt;2005,(((N1215-N1235)/N1235)+1)^(1/5)-1,0)</f>
        <v>0</v>
      </c>
      <c r="U1215" s="10">
        <f t="shared" si="38"/>
        <v>0</v>
      </c>
      <c r="V1215" s="26">
        <f t="shared" si="39"/>
        <v>0</v>
      </c>
      <c r="W1215" s="3">
        <f>IF(A1215=A1216,N1215-N1216,0)</f>
        <v>0</v>
      </c>
      <c r="X1215" s="10">
        <f>IF(A1215=A1216,(N1215-N1216)/N1216,0)</f>
        <v>0</v>
      </c>
    </row>
    <row r="1216" spans="1:24" ht="16.5" customHeight="1">
      <c r="A1216" s="3" t="s">
        <v>37</v>
      </c>
      <c r="B1216" s="3">
        <f t="shared" si="32"/>
        <v>2017</v>
      </c>
      <c r="C1216" s="3">
        <f t="shared" si="33"/>
        <v>5</v>
      </c>
      <c r="D1216" s="20" t="str">
        <f t="shared" si="34"/>
        <v>CWT20175</v>
      </c>
      <c r="E1216" s="2">
        <v>42859</v>
      </c>
      <c r="F1216" s="3">
        <v>0.18</v>
      </c>
      <c r="G1216" s="2">
        <v>42874</v>
      </c>
      <c r="H1216" s="3">
        <v>2.0500000000000001E-2</v>
      </c>
      <c r="I1216" s="3">
        <v>0</v>
      </c>
      <c r="J1216" s="3">
        <v>0</v>
      </c>
      <c r="K1216" s="3">
        <f t="shared" si="35"/>
        <v>2017</v>
      </c>
      <c r="L1216" s="3">
        <f t="shared" si="36"/>
        <v>0</v>
      </c>
      <c r="M1216" s="20" t="str">
        <f>A1216&amp;L1216</f>
        <v>CWT0</v>
      </c>
      <c r="N1216" s="3">
        <f>F1216</f>
        <v>0.18</v>
      </c>
      <c r="O1216" s="9">
        <f>H1216</f>
        <v>2.0500000000000001E-2</v>
      </c>
      <c r="P1216" s="10">
        <f t="shared" si="37"/>
        <v>0</v>
      </c>
      <c r="Q1216" s="10">
        <f>IF(K1216=0,IF(A1213=A1216,AVERAGE(O1213:O1216),"x"),0)</f>
        <v>0</v>
      </c>
      <c r="R1216" s="9">
        <f>IF(L1216&gt;2005,AVERAGE(O1213:O1232),0)</f>
        <v>0</v>
      </c>
      <c r="S1216" s="10">
        <f>IF(A1216=A1217,(N1216-N1217)/N1217,0)</f>
        <v>0</v>
      </c>
      <c r="T1216" s="10">
        <f>IF(L1216&gt;2005,(((N1216-N1236)/N1236)+1)^(1/5)-1,0)</f>
        <v>0</v>
      </c>
      <c r="U1216" s="10">
        <f t="shared" si="38"/>
        <v>0</v>
      </c>
      <c r="V1216" s="26">
        <f t="shared" si="39"/>
        <v>0</v>
      </c>
      <c r="W1216" s="3">
        <f>IF(A1216=A1217,N1216-N1217,0)</f>
        <v>0</v>
      </c>
      <c r="X1216" s="10">
        <f>IF(A1216=A1217,(N1216-N1217)/N1217,0)</f>
        <v>0</v>
      </c>
    </row>
    <row r="1217" spans="1:24" ht="16.5" customHeight="1">
      <c r="A1217" s="3" t="s">
        <v>37</v>
      </c>
      <c r="B1217" s="3">
        <f t="shared" si="32"/>
        <v>2017</v>
      </c>
      <c r="C1217" s="3">
        <f t="shared" si="33"/>
        <v>2</v>
      </c>
      <c r="D1217" s="20" t="str">
        <f t="shared" si="34"/>
        <v>CWT20172</v>
      </c>
      <c r="E1217" s="2">
        <v>42768</v>
      </c>
      <c r="F1217" s="3">
        <v>0.18</v>
      </c>
      <c r="G1217" s="2">
        <v>42783</v>
      </c>
      <c r="H1217" s="3">
        <v>2.1399999999999999E-2</v>
      </c>
      <c r="I1217" s="3">
        <v>4.3478260999999997E-2</v>
      </c>
      <c r="J1217" s="3">
        <v>7.4999999999999997E-3</v>
      </c>
      <c r="K1217" s="3">
        <f t="shared" si="35"/>
        <v>0</v>
      </c>
      <c r="L1217" s="3">
        <f t="shared" si="36"/>
        <v>2017</v>
      </c>
      <c r="M1217" s="20" t="str">
        <f>A1217&amp;L1217</f>
        <v>CWT2017</v>
      </c>
      <c r="N1217" s="3">
        <f>F1217</f>
        <v>0.18</v>
      </c>
      <c r="O1217" s="9">
        <f>H1217</f>
        <v>2.1399999999999999E-2</v>
      </c>
      <c r="P1217" s="10">
        <f t="shared" si="37"/>
        <v>2.2200000000000001E-2</v>
      </c>
      <c r="Q1217" s="10">
        <f>IF(K1217=0,IF(A1214=A1217,AVERAGE(O1214:O1217),"x"),0)</f>
        <v>1.9325000000000002E-2</v>
      </c>
      <c r="R1217" s="9">
        <f>IF(L1217&gt;2005,AVERAGE(O1214:O1233),0)</f>
        <v>2.6009999999999998E-2</v>
      </c>
      <c r="S1217" s="10">
        <f>IF(A1217=A1218,(N1217-N1218)/N1218,0)</f>
        <v>4.3478260869565258E-2</v>
      </c>
      <c r="T1217" s="10">
        <f>IF(L1217&gt;2005,(((N1217-N1237)/N1237)+1)^(1/5)-1,0)</f>
        <v>2.7066087089351765E-2</v>
      </c>
      <c r="U1217" s="10">
        <f t="shared" si="38"/>
        <v>5.3076087089351763E-2</v>
      </c>
      <c r="V1217" s="26">
        <f t="shared" si="39"/>
        <v>4.6414910419655824</v>
      </c>
      <c r="W1217" s="3">
        <f>IF(A1217=A1218,N1217-N1218,0)</f>
        <v>7.5000000000000067E-3</v>
      </c>
      <c r="X1217" s="10">
        <f>IF(A1217=A1218,(N1217-N1218)/N1218,0)</f>
        <v>4.3478260869565258E-2</v>
      </c>
    </row>
    <row r="1218" spans="1:24" ht="16.5" customHeight="1">
      <c r="A1218" s="3" t="s">
        <v>37</v>
      </c>
      <c r="B1218" s="3">
        <f t="shared" si="32"/>
        <v>2016</v>
      </c>
      <c r="C1218" s="3">
        <f t="shared" si="33"/>
        <v>11</v>
      </c>
      <c r="D1218" s="20" t="str">
        <f t="shared" si="34"/>
        <v>CWT201611</v>
      </c>
      <c r="E1218" s="2">
        <v>42677</v>
      </c>
      <c r="F1218" s="3">
        <v>0.17249999999999999</v>
      </c>
      <c r="G1218" s="2">
        <v>42692</v>
      </c>
      <c r="H1218" s="3">
        <v>2.24E-2</v>
      </c>
      <c r="I1218" s="3">
        <v>0</v>
      </c>
      <c r="J1218" s="3">
        <v>0</v>
      </c>
      <c r="K1218" s="3">
        <f t="shared" si="35"/>
        <v>2016</v>
      </c>
      <c r="L1218" s="3">
        <f t="shared" si="36"/>
        <v>0</v>
      </c>
      <c r="M1218" s="20" t="str">
        <f>A1218&amp;L1218</f>
        <v>CWT0</v>
      </c>
      <c r="N1218" s="3">
        <f>F1218</f>
        <v>0.17249999999999999</v>
      </c>
      <c r="O1218" s="9">
        <f>H1218</f>
        <v>2.24E-2</v>
      </c>
      <c r="P1218" s="10">
        <f t="shared" si="37"/>
        <v>0</v>
      </c>
      <c r="Q1218" s="10">
        <f>IF(K1218=0,IF(A1215=A1218,AVERAGE(O1215:O1218),"x"),0)</f>
        <v>0</v>
      </c>
      <c r="R1218" s="9">
        <f>IF(L1218&gt;2005,AVERAGE(O1215:O1234),0)</f>
        <v>0</v>
      </c>
      <c r="S1218" s="10">
        <f>IF(A1218=A1219,(N1218-N1219)/N1219,0)</f>
        <v>0</v>
      </c>
      <c r="T1218" s="10">
        <f>IF(L1218&gt;2005,(((N1218-N1238)/N1238)+1)^(1/5)-1,0)</f>
        <v>0</v>
      </c>
      <c r="U1218" s="10">
        <f t="shared" si="38"/>
        <v>0</v>
      </c>
      <c r="V1218" s="26">
        <f t="shared" si="39"/>
        <v>0</v>
      </c>
      <c r="W1218" s="3">
        <f>IF(A1218=A1219,N1218-N1219,0)</f>
        <v>0</v>
      </c>
      <c r="X1218" s="10">
        <f>IF(A1218=A1219,(N1218-N1219)/N1219,0)</f>
        <v>0</v>
      </c>
    </row>
    <row r="1219" spans="1:24" ht="16.5" customHeight="1">
      <c r="A1219" s="3" t="s">
        <v>37</v>
      </c>
      <c r="B1219" s="3">
        <f t="shared" si="32"/>
        <v>2016</v>
      </c>
      <c r="C1219" s="3">
        <f t="shared" si="33"/>
        <v>8</v>
      </c>
      <c r="D1219" s="20" t="str">
        <f t="shared" si="34"/>
        <v>CWT20168</v>
      </c>
      <c r="E1219" s="2">
        <v>42586</v>
      </c>
      <c r="F1219" s="3">
        <v>0.17249999999999999</v>
      </c>
      <c r="G1219" s="2">
        <v>42601</v>
      </c>
      <c r="H1219" s="3">
        <v>2.12E-2</v>
      </c>
      <c r="I1219" s="3">
        <v>0</v>
      </c>
      <c r="J1219" s="3">
        <v>0</v>
      </c>
      <c r="K1219" s="3">
        <f t="shared" si="35"/>
        <v>2016</v>
      </c>
      <c r="L1219" s="3">
        <f t="shared" si="36"/>
        <v>0</v>
      </c>
      <c r="M1219" s="20" t="str">
        <f>A1219&amp;L1219</f>
        <v>CWT0</v>
      </c>
      <c r="N1219" s="3">
        <f>F1219</f>
        <v>0.17249999999999999</v>
      </c>
      <c r="O1219" s="9">
        <f>H1219</f>
        <v>2.12E-2</v>
      </c>
      <c r="P1219" s="10">
        <f t="shared" si="37"/>
        <v>0</v>
      </c>
      <c r="Q1219" s="10">
        <f>IF(K1219=0,IF(A1216=A1219,AVERAGE(O1216:O1219),"x"),0)</f>
        <v>0</v>
      </c>
      <c r="R1219" s="9">
        <f>IF(L1219&gt;2005,AVERAGE(O1216:O1235),0)</f>
        <v>0</v>
      </c>
      <c r="S1219" s="10">
        <f>IF(A1219=A1220,(N1219-N1220)/N1220,0)</f>
        <v>0</v>
      </c>
      <c r="T1219" s="10">
        <f>IF(L1219&gt;2005,(((N1219-N1239)/N1239)+1)^(1/5)-1,0)</f>
        <v>0</v>
      </c>
      <c r="U1219" s="10">
        <f t="shared" si="38"/>
        <v>0</v>
      </c>
      <c r="V1219" s="26">
        <f t="shared" si="39"/>
        <v>0</v>
      </c>
      <c r="W1219" s="3">
        <f>IF(A1219=A1220,N1219-N1220,0)</f>
        <v>0</v>
      </c>
      <c r="X1219" s="10">
        <f>IF(A1219=A1220,(N1219-N1220)/N1220,0)</f>
        <v>0</v>
      </c>
    </row>
    <row r="1220" spans="1:24" ht="16.5" customHeight="1">
      <c r="A1220" s="3" t="s">
        <v>37</v>
      </c>
      <c r="B1220" s="3">
        <f t="shared" si="32"/>
        <v>2016</v>
      </c>
      <c r="C1220" s="3">
        <f t="shared" si="33"/>
        <v>5</v>
      </c>
      <c r="D1220" s="20" t="str">
        <f t="shared" si="34"/>
        <v>CWT20165</v>
      </c>
      <c r="E1220" s="2">
        <v>42495</v>
      </c>
      <c r="F1220" s="3">
        <v>0.17249999999999999</v>
      </c>
      <c r="G1220" s="2">
        <v>42510</v>
      </c>
      <c r="H1220" s="3">
        <v>2.3800000000000002E-2</v>
      </c>
      <c r="I1220" s="3">
        <v>0</v>
      </c>
      <c r="J1220" s="3">
        <v>0</v>
      </c>
      <c r="K1220" s="3">
        <f t="shared" si="35"/>
        <v>2016</v>
      </c>
      <c r="L1220" s="3">
        <f t="shared" si="36"/>
        <v>0</v>
      </c>
      <c r="M1220" s="20" t="str">
        <f>A1220&amp;L1220</f>
        <v>CWT0</v>
      </c>
      <c r="N1220" s="3">
        <f>F1220</f>
        <v>0.17249999999999999</v>
      </c>
      <c r="O1220" s="9">
        <f>H1220</f>
        <v>2.3800000000000002E-2</v>
      </c>
      <c r="P1220" s="10">
        <f t="shared" si="37"/>
        <v>0</v>
      </c>
      <c r="Q1220" s="10">
        <f>IF(K1220=0,IF(A1217=A1220,AVERAGE(O1217:O1220),"x"),0)</f>
        <v>0</v>
      </c>
      <c r="R1220" s="9">
        <f>IF(L1220&gt;2005,AVERAGE(O1217:O1236),0)</f>
        <v>0</v>
      </c>
      <c r="S1220" s="10">
        <f>IF(A1220=A1221,(N1220-N1221)/N1221,0)</f>
        <v>0</v>
      </c>
      <c r="T1220" s="10">
        <f>IF(L1220&gt;2005,(((N1220-N1240)/N1240)+1)^(1/5)-1,0)</f>
        <v>0</v>
      </c>
      <c r="U1220" s="10">
        <f t="shared" si="38"/>
        <v>0</v>
      </c>
      <c r="V1220" s="26">
        <f t="shared" si="39"/>
        <v>0</v>
      </c>
      <c r="W1220" s="3">
        <f>IF(A1220=A1221,N1220-N1221,0)</f>
        <v>0</v>
      </c>
      <c r="X1220" s="10">
        <f>IF(A1220=A1221,(N1220-N1221)/N1221,0)</f>
        <v>0</v>
      </c>
    </row>
    <row r="1221" spans="1:24" ht="16.5" customHeight="1">
      <c r="A1221" s="3" t="s">
        <v>37</v>
      </c>
      <c r="B1221" s="3">
        <f t="shared" si="32"/>
        <v>2016</v>
      </c>
      <c r="C1221" s="3">
        <f t="shared" si="33"/>
        <v>2</v>
      </c>
      <c r="D1221" s="20" t="str">
        <f t="shared" si="34"/>
        <v>CWT20162</v>
      </c>
      <c r="E1221" s="2">
        <v>42404</v>
      </c>
      <c r="F1221" s="3">
        <v>0.17249999999999999</v>
      </c>
      <c r="G1221" s="2">
        <v>42419</v>
      </c>
      <c r="H1221" s="3">
        <v>2.76E-2</v>
      </c>
      <c r="I1221" s="3">
        <v>2.9850746000000001E-2</v>
      </c>
      <c r="J1221" s="3">
        <v>5.0000000000000001E-3</v>
      </c>
      <c r="K1221" s="3">
        <f t="shared" si="35"/>
        <v>0</v>
      </c>
      <c r="L1221" s="3">
        <f t="shared" si="36"/>
        <v>2016</v>
      </c>
      <c r="M1221" s="20" t="str">
        <f>A1221&amp;L1221</f>
        <v>CWT2016</v>
      </c>
      <c r="N1221" s="3">
        <f>F1221</f>
        <v>0.17249999999999999</v>
      </c>
      <c r="O1221" s="9">
        <f>H1221</f>
        <v>2.76E-2</v>
      </c>
      <c r="P1221" s="10">
        <f t="shared" si="37"/>
        <v>2.8875000000000001E-2</v>
      </c>
      <c r="Q1221" s="10">
        <f>IF(K1221=0,IF(A1218=A1221,AVERAGE(O1218:O1221),"x"),0)</f>
        <v>2.375E-2</v>
      </c>
      <c r="R1221" s="9">
        <f>IF(L1221&gt;2005,AVERAGE(O1218:O1237),0)</f>
        <v>2.8929999999999994E-2</v>
      </c>
      <c r="S1221" s="10">
        <f>IF(A1221=A1222,(N1221-N1222)/N1222,0)</f>
        <v>2.9850746268656577E-2</v>
      </c>
      <c r="T1221" s="10">
        <f>IF(L1221&gt;2005,(((N1221-N1241)/N1241)+1)^(1/5)-1,0)</f>
        <v>2.3280728215380408E-2</v>
      </c>
      <c r="U1221" s="10">
        <f t="shared" si="38"/>
        <v>5.2210728215380406E-2</v>
      </c>
      <c r="V1221" s="26">
        <f t="shared" si="39"/>
        <v>4.6023932018189981</v>
      </c>
      <c r="W1221" s="3">
        <f>IF(A1221=A1222,N1221-N1222,0)</f>
        <v>4.9999999999999767E-3</v>
      </c>
      <c r="X1221" s="10">
        <f>IF(A1221=A1222,(N1221-N1222)/N1222,0)</f>
        <v>2.9850746268656577E-2</v>
      </c>
    </row>
    <row r="1222" spans="1:24" ht="16.5" customHeight="1">
      <c r="A1222" s="3" t="s">
        <v>37</v>
      </c>
      <c r="B1222" s="3">
        <f t="shared" si="32"/>
        <v>2015</v>
      </c>
      <c r="C1222" s="3">
        <f t="shared" si="33"/>
        <v>11</v>
      </c>
      <c r="D1222" s="20" t="str">
        <f t="shared" si="34"/>
        <v>CWT201511</v>
      </c>
      <c r="E1222" s="2">
        <v>42313</v>
      </c>
      <c r="F1222" s="3">
        <v>0.16750000000000001</v>
      </c>
      <c r="G1222" s="2">
        <v>42328</v>
      </c>
      <c r="H1222" s="3">
        <v>2.9499999999999998E-2</v>
      </c>
      <c r="I1222" s="3">
        <v>0</v>
      </c>
      <c r="J1222" s="3">
        <v>0</v>
      </c>
      <c r="K1222" s="3">
        <f t="shared" si="35"/>
        <v>2015</v>
      </c>
      <c r="L1222" s="3">
        <f t="shared" si="36"/>
        <v>0</v>
      </c>
      <c r="M1222" s="20" t="str">
        <f>A1222&amp;L1222</f>
        <v>CWT0</v>
      </c>
      <c r="N1222" s="3">
        <f>F1222</f>
        <v>0.16750000000000001</v>
      </c>
      <c r="O1222" s="9">
        <f>H1222</f>
        <v>2.9499999999999998E-2</v>
      </c>
      <c r="P1222" s="10">
        <f t="shared" si="37"/>
        <v>0</v>
      </c>
      <c r="Q1222" s="10">
        <f>IF(K1222=0,IF(A1219=A1222,AVERAGE(O1219:O1222),"x"),0)</f>
        <v>0</v>
      </c>
      <c r="R1222" s="9">
        <f>IF(L1222&gt;2005,AVERAGE(O1219:O1238),0)</f>
        <v>0</v>
      </c>
      <c r="S1222" s="10">
        <f>IF(A1222=A1223,(N1222-N1223)/N1223,0)</f>
        <v>0</v>
      </c>
      <c r="T1222" s="10">
        <f>IF(L1222&gt;2005,(((N1222-N1242)/N1242)+1)^(1/5)-1,0)</f>
        <v>0</v>
      </c>
      <c r="U1222" s="10">
        <f t="shared" si="38"/>
        <v>0</v>
      </c>
      <c r="V1222" s="26">
        <f t="shared" si="39"/>
        <v>0</v>
      </c>
      <c r="W1222" s="3">
        <f>IF(A1222=A1223,N1222-N1223,0)</f>
        <v>0</v>
      </c>
      <c r="X1222" s="10">
        <f>IF(A1222=A1223,(N1222-N1223)/N1223,0)</f>
        <v>0</v>
      </c>
    </row>
    <row r="1223" spans="1:24" ht="16.5" customHeight="1">
      <c r="A1223" s="3" t="s">
        <v>37</v>
      </c>
      <c r="B1223" s="3">
        <f t="shared" si="32"/>
        <v>2015</v>
      </c>
      <c r="C1223" s="3">
        <f t="shared" si="33"/>
        <v>8</v>
      </c>
      <c r="D1223" s="20" t="str">
        <f t="shared" si="34"/>
        <v>CWT20158</v>
      </c>
      <c r="E1223" s="2">
        <v>42222</v>
      </c>
      <c r="F1223" s="3">
        <v>0.16750000000000001</v>
      </c>
      <c r="G1223" s="2">
        <v>42237</v>
      </c>
      <c r="H1223" s="3">
        <v>3.0800000000000001E-2</v>
      </c>
      <c r="I1223" s="3">
        <v>0</v>
      </c>
      <c r="J1223" s="3">
        <v>0</v>
      </c>
      <c r="K1223" s="3">
        <f t="shared" si="35"/>
        <v>2015</v>
      </c>
      <c r="L1223" s="3">
        <f t="shared" si="36"/>
        <v>0</v>
      </c>
      <c r="M1223" s="20" t="str">
        <f>A1223&amp;L1223</f>
        <v>CWT0</v>
      </c>
      <c r="N1223" s="3">
        <f>F1223</f>
        <v>0.16750000000000001</v>
      </c>
      <c r="O1223" s="9">
        <f>H1223</f>
        <v>3.0800000000000001E-2</v>
      </c>
      <c r="P1223" s="10">
        <f t="shared" si="37"/>
        <v>0</v>
      </c>
      <c r="Q1223" s="10">
        <f>IF(K1223=0,IF(A1220=A1223,AVERAGE(O1220:O1223),"x"),0)</f>
        <v>0</v>
      </c>
      <c r="R1223" s="9">
        <f>IF(L1223&gt;2005,AVERAGE(O1220:O1239),0)</f>
        <v>0</v>
      </c>
      <c r="S1223" s="10">
        <f>IF(A1223=A1224,(N1223-N1224)/N1224,0)</f>
        <v>0</v>
      </c>
      <c r="T1223" s="10">
        <f>IF(L1223&gt;2005,(((N1223-N1243)/N1243)+1)^(1/5)-1,0)</f>
        <v>0</v>
      </c>
      <c r="U1223" s="10">
        <f t="shared" si="38"/>
        <v>0</v>
      </c>
      <c r="V1223" s="26">
        <f t="shared" si="39"/>
        <v>0</v>
      </c>
      <c r="W1223" s="3">
        <f>IF(A1223=A1224,N1223-N1224,0)</f>
        <v>0</v>
      </c>
      <c r="X1223" s="10">
        <f>IF(A1223=A1224,(N1223-N1224)/N1224,0)</f>
        <v>0</v>
      </c>
    </row>
    <row r="1224" spans="1:24" ht="16.5" customHeight="1">
      <c r="A1224" s="3" t="s">
        <v>37</v>
      </c>
      <c r="B1224" s="3">
        <f t="shared" si="32"/>
        <v>2015</v>
      </c>
      <c r="C1224" s="3">
        <f t="shared" si="33"/>
        <v>5</v>
      </c>
      <c r="D1224" s="20" t="str">
        <f t="shared" si="34"/>
        <v>CWT20155</v>
      </c>
      <c r="E1224" s="2">
        <v>42131</v>
      </c>
      <c r="F1224" s="3">
        <v>0.16750000000000001</v>
      </c>
      <c r="G1224" s="2">
        <v>42146</v>
      </c>
      <c r="H1224" s="3">
        <v>2.76E-2</v>
      </c>
      <c r="I1224" s="3">
        <v>0</v>
      </c>
      <c r="J1224" s="3">
        <v>0</v>
      </c>
      <c r="K1224" s="3">
        <f t="shared" si="35"/>
        <v>2015</v>
      </c>
      <c r="L1224" s="3">
        <f t="shared" si="36"/>
        <v>0</v>
      </c>
      <c r="M1224" s="20" t="str">
        <f>A1224&amp;L1224</f>
        <v>CWT0</v>
      </c>
      <c r="N1224" s="3">
        <f>F1224</f>
        <v>0.16750000000000001</v>
      </c>
      <c r="O1224" s="9">
        <f>H1224</f>
        <v>2.76E-2</v>
      </c>
      <c r="P1224" s="10">
        <f t="shared" si="37"/>
        <v>0</v>
      </c>
      <c r="Q1224" s="10">
        <f>IF(K1224=0,IF(A1221=A1224,AVERAGE(O1221:O1224),"x"),0)</f>
        <v>0</v>
      </c>
      <c r="R1224" s="9">
        <f>IF(L1224&gt;2005,AVERAGE(O1221:O1240),0)</f>
        <v>0</v>
      </c>
      <c r="S1224" s="10">
        <f>IF(A1224=A1225,(N1224-N1225)/N1225,0)</f>
        <v>0</v>
      </c>
      <c r="T1224" s="10">
        <f>IF(L1224&gt;2005,(((N1224-N1244)/N1244)+1)^(1/5)-1,0)</f>
        <v>0</v>
      </c>
      <c r="U1224" s="10">
        <f t="shared" si="38"/>
        <v>0</v>
      </c>
      <c r="V1224" s="26">
        <f t="shared" si="39"/>
        <v>0</v>
      </c>
      <c r="W1224" s="3">
        <f>IF(A1224=A1225,N1224-N1225,0)</f>
        <v>0</v>
      </c>
      <c r="X1224" s="10">
        <f>IF(A1224=A1225,(N1224-N1225)/N1225,0)</f>
        <v>0</v>
      </c>
    </row>
    <row r="1225" spans="1:24" ht="16.5" customHeight="1">
      <c r="A1225" s="3" t="s">
        <v>37</v>
      </c>
      <c r="B1225" s="3">
        <f t="shared" si="32"/>
        <v>2015</v>
      </c>
      <c r="C1225" s="3">
        <f t="shared" si="33"/>
        <v>2</v>
      </c>
      <c r="D1225" s="20" t="str">
        <f t="shared" si="34"/>
        <v>CWT20152</v>
      </c>
      <c r="E1225" s="2">
        <v>42040</v>
      </c>
      <c r="F1225" s="3">
        <v>0.16750000000000001</v>
      </c>
      <c r="G1225" s="2">
        <v>42055</v>
      </c>
      <c r="H1225" s="3">
        <v>2.6200000000000001E-2</v>
      </c>
      <c r="I1225" s="3">
        <v>3.0769231000000001E-2</v>
      </c>
      <c r="J1225" s="3">
        <v>5.0000000000000001E-3</v>
      </c>
      <c r="K1225" s="3">
        <f t="shared" si="35"/>
        <v>0</v>
      </c>
      <c r="L1225" s="3">
        <f t="shared" si="36"/>
        <v>2015</v>
      </c>
      <c r="M1225" s="20" t="str">
        <f>A1225&amp;L1225</f>
        <v>CWT2015</v>
      </c>
      <c r="N1225" s="3">
        <f>F1225</f>
        <v>0.16750000000000001</v>
      </c>
      <c r="O1225" s="9">
        <f>H1225</f>
        <v>2.6200000000000001E-2</v>
      </c>
      <c r="P1225" s="10">
        <f t="shared" si="37"/>
        <v>2.7150000000000001E-2</v>
      </c>
      <c r="Q1225" s="10">
        <f>IF(K1225=0,IF(A1222=A1225,AVERAGE(O1222:O1225),"x"),0)</f>
        <v>2.8525000000000002E-2</v>
      </c>
      <c r="R1225" s="9">
        <f>IF(L1225&gt;2005,AVERAGE(O1222:O1241),0)</f>
        <v>3.0759999999999999E-2</v>
      </c>
      <c r="S1225" s="10">
        <f>IF(A1225=A1226,(N1225-N1226)/N1226,0)</f>
        <v>3.0769230769230795E-2</v>
      </c>
      <c r="T1225" s="10">
        <f>IF(L1225&gt;2005,(((N1225-N1245)/N1245)+1)^(1/5)-1,0)</f>
        <v>2.4027376750527463E-2</v>
      </c>
      <c r="U1225" s="10">
        <f t="shared" si="38"/>
        <v>5.4787376750527458E-2</v>
      </c>
      <c r="V1225" s="26">
        <f t="shared" si="39"/>
        <v>4.5792069423644328</v>
      </c>
      <c r="W1225" s="3">
        <f>IF(A1225=A1226,N1225-N1226,0)</f>
        <v>5.0000000000000044E-3</v>
      </c>
      <c r="X1225" s="10">
        <f>IF(A1225=A1226,(N1225-N1226)/N1226,0)</f>
        <v>3.0769230769230795E-2</v>
      </c>
    </row>
    <row r="1226" spans="1:24" ht="16.5" customHeight="1">
      <c r="A1226" s="3" t="s">
        <v>37</v>
      </c>
      <c r="B1226" s="3">
        <f t="shared" si="32"/>
        <v>2014</v>
      </c>
      <c r="C1226" s="3">
        <f t="shared" si="33"/>
        <v>11</v>
      </c>
      <c r="D1226" s="20" t="str">
        <f t="shared" si="34"/>
        <v>CWT201411</v>
      </c>
      <c r="E1226" s="2">
        <v>41949</v>
      </c>
      <c r="F1226" s="3">
        <v>0.16250000000000001</v>
      </c>
      <c r="G1226" s="2">
        <v>41964</v>
      </c>
      <c r="H1226" s="3">
        <v>2.5000000000000001E-2</v>
      </c>
      <c r="I1226" s="3">
        <v>0</v>
      </c>
      <c r="J1226" s="3">
        <v>0</v>
      </c>
      <c r="K1226" s="3">
        <f t="shared" si="35"/>
        <v>2014</v>
      </c>
      <c r="L1226" s="3">
        <f t="shared" si="36"/>
        <v>0</v>
      </c>
      <c r="M1226" s="20" t="str">
        <f>A1226&amp;L1226</f>
        <v>CWT0</v>
      </c>
      <c r="N1226" s="3">
        <f>F1226</f>
        <v>0.16250000000000001</v>
      </c>
      <c r="O1226" s="9">
        <f>H1226</f>
        <v>2.5000000000000001E-2</v>
      </c>
      <c r="P1226" s="10">
        <f t="shared" si="37"/>
        <v>0</v>
      </c>
      <c r="Q1226" s="10">
        <f>IF(K1226=0,IF(A1223=A1226,AVERAGE(O1223:O1226),"x"),0)</f>
        <v>0</v>
      </c>
      <c r="R1226" s="9">
        <f>IF(L1226&gt;2005,AVERAGE(O1223:O1242),0)</f>
        <v>0</v>
      </c>
      <c r="S1226" s="10">
        <f>IF(A1226=A1227,(N1226-N1227)/N1227,0)</f>
        <v>0</v>
      </c>
      <c r="T1226" s="10">
        <f>IF(L1226&gt;2005,(((N1226-N1246)/N1246)+1)^(1/5)-1,0)</f>
        <v>0</v>
      </c>
      <c r="U1226" s="10">
        <f t="shared" si="38"/>
        <v>0</v>
      </c>
      <c r="V1226" s="26">
        <f t="shared" si="39"/>
        <v>0</v>
      </c>
      <c r="W1226" s="3">
        <f>IF(A1226=A1227,N1226-N1227,0)</f>
        <v>0</v>
      </c>
      <c r="X1226" s="10">
        <f>IF(A1226=A1227,(N1226-N1227)/N1227,0)</f>
        <v>0</v>
      </c>
    </row>
    <row r="1227" spans="1:24" ht="16.5" customHeight="1">
      <c r="A1227" s="3" t="s">
        <v>37</v>
      </c>
      <c r="B1227" s="3">
        <f t="shared" si="32"/>
        <v>2014</v>
      </c>
      <c r="C1227" s="3">
        <f t="shared" si="33"/>
        <v>8</v>
      </c>
      <c r="D1227" s="20" t="str">
        <f t="shared" si="34"/>
        <v>CWT20148</v>
      </c>
      <c r="E1227" s="2">
        <v>41858</v>
      </c>
      <c r="F1227" s="3">
        <v>0.16250000000000001</v>
      </c>
      <c r="G1227" s="2">
        <v>41873</v>
      </c>
      <c r="H1227" s="3">
        <v>2.76E-2</v>
      </c>
      <c r="I1227" s="3">
        <v>0</v>
      </c>
      <c r="J1227" s="3">
        <v>0</v>
      </c>
      <c r="K1227" s="3">
        <f t="shared" si="35"/>
        <v>2014</v>
      </c>
      <c r="L1227" s="3">
        <f t="shared" si="36"/>
        <v>0</v>
      </c>
      <c r="M1227" s="20" t="str">
        <f>A1227&amp;L1227</f>
        <v>CWT0</v>
      </c>
      <c r="N1227" s="3">
        <f>F1227</f>
        <v>0.16250000000000001</v>
      </c>
      <c r="O1227" s="9">
        <f>H1227</f>
        <v>2.76E-2</v>
      </c>
      <c r="P1227" s="10">
        <f t="shared" si="37"/>
        <v>0</v>
      </c>
      <c r="Q1227" s="10">
        <f>IF(K1227=0,IF(A1224=A1227,AVERAGE(O1224:O1227),"x"),0)</f>
        <v>0</v>
      </c>
      <c r="R1227" s="9">
        <f>IF(L1227&gt;2005,AVERAGE(O1224:O1243),0)</f>
        <v>0</v>
      </c>
      <c r="S1227" s="10">
        <f>IF(A1227=A1228,(N1227-N1228)/N1228,0)</f>
        <v>0</v>
      </c>
      <c r="T1227" s="10">
        <f>IF(L1227&gt;2005,(((N1227-N1247)/N1247)+1)^(1/5)-1,0)</f>
        <v>0</v>
      </c>
      <c r="U1227" s="10">
        <f t="shared" si="38"/>
        <v>0</v>
      </c>
      <c r="V1227" s="26">
        <f t="shared" si="39"/>
        <v>0</v>
      </c>
      <c r="W1227" s="3">
        <f>IF(A1227=A1228,N1227-N1228,0)</f>
        <v>0</v>
      </c>
      <c r="X1227" s="10">
        <f>IF(A1227=A1228,(N1227-N1228)/N1228,0)</f>
        <v>0</v>
      </c>
    </row>
    <row r="1228" spans="1:24" ht="16.5" customHeight="1">
      <c r="A1228" s="3" t="s">
        <v>37</v>
      </c>
      <c r="B1228" s="3">
        <f t="shared" si="32"/>
        <v>2014</v>
      </c>
      <c r="C1228" s="3">
        <f t="shared" si="33"/>
        <v>5</v>
      </c>
      <c r="D1228" s="20" t="str">
        <f t="shared" si="34"/>
        <v>CWT20145</v>
      </c>
      <c r="E1228" s="2">
        <v>41767</v>
      </c>
      <c r="F1228" s="3">
        <v>0.16250000000000001</v>
      </c>
      <c r="G1228" s="2">
        <v>41782</v>
      </c>
      <c r="H1228" s="3">
        <v>2.98E-2</v>
      </c>
      <c r="I1228" s="3">
        <v>0</v>
      </c>
      <c r="J1228" s="3">
        <v>0</v>
      </c>
      <c r="K1228" s="3">
        <f t="shared" si="35"/>
        <v>2014</v>
      </c>
      <c r="L1228" s="3">
        <f t="shared" si="36"/>
        <v>0</v>
      </c>
      <c r="M1228" s="20" t="str">
        <f>A1228&amp;L1228</f>
        <v>CWT0</v>
      </c>
      <c r="N1228" s="3">
        <f>F1228</f>
        <v>0.16250000000000001</v>
      </c>
      <c r="O1228" s="9">
        <f>H1228</f>
        <v>2.98E-2</v>
      </c>
      <c r="P1228" s="10">
        <f t="shared" si="37"/>
        <v>0</v>
      </c>
      <c r="Q1228" s="10">
        <f>IF(K1228=0,IF(A1225=A1228,AVERAGE(O1225:O1228),"x"),0)</f>
        <v>0</v>
      </c>
      <c r="R1228" s="9">
        <f>IF(L1228&gt;2005,AVERAGE(O1225:O1244),0)</f>
        <v>0</v>
      </c>
      <c r="S1228" s="10">
        <f>IF(A1228=A1229,(N1228-N1229)/N1229,0)</f>
        <v>0</v>
      </c>
      <c r="T1228" s="10">
        <f>IF(L1228&gt;2005,(((N1228-N1248)/N1248)+1)^(1/5)-1,0)</f>
        <v>0</v>
      </c>
      <c r="U1228" s="10">
        <f t="shared" si="38"/>
        <v>0</v>
      </c>
      <c r="V1228" s="26">
        <f t="shared" si="39"/>
        <v>0</v>
      </c>
      <c r="W1228" s="3">
        <f>IF(A1228=A1229,N1228-N1229,0)</f>
        <v>0</v>
      </c>
      <c r="X1228" s="10">
        <f>IF(A1228=A1229,(N1228-N1229)/N1229,0)</f>
        <v>0</v>
      </c>
    </row>
    <row r="1229" spans="1:24" ht="16.5" customHeight="1">
      <c r="A1229" s="3" t="s">
        <v>37</v>
      </c>
      <c r="B1229" s="3">
        <f t="shared" si="32"/>
        <v>2014</v>
      </c>
      <c r="C1229" s="3">
        <f t="shared" si="33"/>
        <v>2</v>
      </c>
      <c r="D1229" s="20" t="str">
        <f t="shared" si="34"/>
        <v>CWT20142</v>
      </c>
      <c r="E1229" s="2">
        <v>41676</v>
      </c>
      <c r="F1229" s="3">
        <v>0.16250000000000001</v>
      </c>
      <c r="G1229" s="2">
        <v>41691</v>
      </c>
      <c r="H1229" s="3">
        <v>2.93E-2</v>
      </c>
      <c r="I1229" s="3">
        <v>1.5625E-2</v>
      </c>
      <c r="J1229" s="3">
        <v>2.5000000000000001E-3</v>
      </c>
      <c r="K1229" s="3">
        <f t="shared" si="35"/>
        <v>0</v>
      </c>
      <c r="L1229" s="3">
        <f t="shared" si="36"/>
        <v>2014</v>
      </c>
      <c r="M1229" s="20" t="str">
        <f>A1229&amp;L1229</f>
        <v>CWT2014</v>
      </c>
      <c r="N1229" s="3">
        <f>F1229</f>
        <v>0.16250000000000001</v>
      </c>
      <c r="O1229" s="9">
        <f>H1229</f>
        <v>2.93E-2</v>
      </c>
      <c r="P1229" s="10">
        <f t="shared" si="37"/>
        <v>2.9775000000000003E-2</v>
      </c>
      <c r="Q1229" s="10">
        <f>IF(K1229=0,IF(A1226=A1229,AVERAGE(O1226:O1229),"x"),0)</f>
        <v>2.7924999999999998E-2</v>
      </c>
      <c r="R1229" s="9">
        <f>IF(L1229&gt;2005,AVERAGE(O1226:O1245),0)</f>
        <v>3.1465E-2</v>
      </c>
      <c r="S1229" s="10">
        <f>IF(A1229=A1230,(N1229-N1230)/N1230,0)</f>
        <v>1.5625000000000014E-2</v>
      </c>
      <c r="T1229" s="10">
        <f>IF(L1229&gt;2005,(((N1229-N1249)/N1249)+1)^(1/5)-1,0)</f>
        <v>1.9558780116283092E-2</v>
      </c>
      <c r="U1229" s="10">
        <f t="shared" si="38"/>
        <v>5.1023780116283092E-2</v>
      </c>
      <c r="V1229" s="26">
        <f t="shared" si="39"/>
        <v>4.5684652212634731</v>
      </c>
      <c r="W1229" s="3">
        <f>IF(A1229=A1230,N1229-N1230,0)</f>
        <v>2.5000000000000022E-3</v>
      </c>
      <c r="X1229" s="10">
        <f>IF(A1229=A1230,(N1229-N1230)/N1230,0)</f>
        <v>1.5625000000000014E-2</v>
      </c>
    </row>
    <row r="1230" spans="1:24" ht="16.5" customHeight="1">
      <c r="A1230" s="3" t="s">
        <v>37</v>
      </c>
      <c r="B1230" s="3">
        <f t="shared" si="32"/>
        <v>2013</v>
      </c>
      <c r="C1230" s="3">
        <f t="shared" si="33"/>
        <v>11</v>
      </c>
      <c r="D1230" s="20" t="str">
        <f t="shared" si="34"/>
        <v>CWT201311</v>
      </c>
      <c r="E1230" s="2">
        <v>41585</v>
      </c>
      <c r="F1230" s="3">
        <v>0.16</v>
      </c>
      <c r="G1230" s="2">
        <v>41603</v>
      </c>
      <c r="H1230" s="3">
        <v>2.8400000000000002E-2</v>
      </c>
      <c r="I1230" s="3">
        <v>0</v>
      </c>
      <c r="J1230" s="3">
        <v>0</v>
      </c>
      <c r="K1230" s="3">
        <f t="shared" si="35"/>
        <v>2013</v>
      </c>
      <c r="L1230" s="3">
        <f t="shared" si="36"/>
        <v>0</v>
      </c>
      <c r="M1230" s="20" t="str">
        <f>A1230&amp;L1230</f>
        <v>CWT0</v>
      </c>
      <c r="N1230" s="3">
        <f>F1230</f>
        <v>0.16</v>
      </c>
      <c r="O1230" s="9">
        <f>H1230</f>
        <v>2.8400000000000002E-2</v>
      </c>
      <c r="P1230" s="10">
        <f t="shared" si="37"/>
        <v>0</v>
      </c>
      <c r="Q1230" s="10">
        <f>IF(K1230=0,IF(A1227=A1230,AVERAGE(O1227:O1230),"x"),0)</f>
        <v>0</v>
      </c>
      <c r="R1230" s="9">
        <f>IF(L1230&gt;2005,AVERAGE(O1227:O1246),0)</f>
        <v>0</v>
      </c>
      <c r="S1230" s="10">
        <f>IF(A1230=A1231,(N1230-N1231)/N1231,0)</f>
        <v>0</v>
      </c>
      <c r="T1230" s="10">
        <f>IF(L1230&gt;2005,(((N1230-N1250)/N1250)+1)^(1/5)-1,0)</f>
        <v>0</v>
      </c>
      <c r="U1230" s="10">
        <f t="shared" si="38"/>
        <v>0</v>
      </c>
      <c r="V1230" s="26">
        <f t="shared" si="39"/>
        <v>0</v>
      </c>
      <c r="W1230" s="3">
        <f>IF(A1230=A1231,N1230-N1231,0)</f>
        <v>0</v>
      </c>
      <c r="X1230" s="10">
        <f>IF(A1230=A1231,(N1230-N1231)/N1231,0)</f>
        <v>0</v>
      </c>
    </row>
    <row r="1231" spans="1:24" ht="16.5" customHeight="1">
      <c r="A1231" s="3" t="s">
        <v>37</v>
      </c>
      <c r="B1231" s="3">
        <f t="shared" si="32"/>
        <v>2013</v>
      </c>
      <c r="C1231" s="3">
        <f t="shared" si="33"/>
        <v>8</v>
      </c>
      <c r="D1231" s="20" t="str">
        <f t="shared" si="34"/>
        <v>CWT20138</v>
      </c>
      <c r="E1231" s="2">
        <v>41494</v>
      </c>
      <c r="F1231" s="3">
        <v>0.16</v>
      </c>
      <c r="G1231" s="2">
        <v>41509</v>
      </c>
      <c r="H1231" s="3">
        <v>2.92E-2</v>
      </c>
      <c r="I1231" s="3">
        <v>0</v>
      </c>
      <c r="J1231" s="3">
        <v>0</v>
      </c>
      <c r="K1231" s="3">
        <f t="shared" si="35"/>
        <v>2013</v>
      </c>
      <c r="L1231" s="3">
        <f t="shared" si="36"/>
        <v>0</v>
      </c>
      <c r="M1231" s="20" t="str">
        <f>A1231&amp;L1231</f>
        <v>CWT0</v>
      </c>
      <c r="N1231" s="3">
        <f>F1231</f>
        <v>0.16</v>
      </c>
      <c r="O1231" s="9">
        <f>H1231</f>
        <v>2.92E-2</v>
      </c>
      <c r="P1231" s="10">
        <f t="shared" si="37"/>
        <v>0</v>
      </c>
      <c r="Q1231" s="10">
        <f>IF(K1231=0,IF(A1228=A1231,AVERAGE(O1228:O1231),"x"),0)</f>
        <v>0</v>
      </c>
      <c r="R1231" s="9">
        <f>IF(L1231&gt;2005,AVERAGE(O1228:O1247),0)</f>
        <v>0</v>
      </c>
      <c r="S1231" s="10">
        <f>IF(A1231=A1232,(N1231-N1232)/N1232,0)</f>
        <v>0</v>
      </c>
      <c r="T1231" s="10">
        <f>IF(L1231&gt;2005,(((N1231-N1251)/N1251)+1)^(1/5)-1,0)</f>
        <v>0</v>
      </c>
      <c r="U1231" s="10">
        <f t="shared" si="38"/>
        <v>0</v>
      </c>
      <c r="V1231" s="26">
        <f t="shared" si="39"/>
        <v>0</v>
      </c>
      <c r="W1231" s="3">
        <f>IF(A1231=A1232,N1231-N1232,0)</f>
        <v>0</v>
      </c>
      <c r="X1231" s="10">
        <f>IF(A1231=A1232,(N1231-N1232)/N1232,0)</f>
        <v>0</v>
      </c>
    </row>
    <row r="1232" spans="1:24" ht="16.5" customHeight="1">
      <c r="A1232" s="3" t="s">
        <v>37</v>
      </c>
      <c r="B1232" s="3">
        <f t="shared" si="32"/>
        <v>2013</v>
      </c>
      <c r="C1232" s="3">
        <f t="shared" si="33"/>
        <v>5</v>
      </c>
      <c r="D1232" s="20" t="str">
        <f t="shared" si="34"/>
        <v>CWT20135</v>
      </c>
      <c r="E1232" s="2">
        <v>41396</v>
      </c>
      <c r="F1232" s="3">
        <v>0.16</v>
      </c>
      <c r="G1232" s="2">
        <v>41411</v>
      </c>
      <c r="H1232" s="3">
        <v>3.2199999999999999E-2</v>
      </c>
      <c r="I1232" s="3">
        <v>0</v>
      </c>
      <c r="J1232" s="3">
        <v>0</v>
      </c>
      <c r="K1232" s="3">
        <f t="shared" si="35"/>
        <v>2013</v>
      </c>
      <c r="L1232" s="3">
        <f t="shared" si="36"/>
        <v>0</v>
      </c>
      <c r="M1232" s="20" t="str">
        <f>A1232&amp;L1232</f>
        <v>CWT0</v>
      </c>
      <c r="N1232" s="3">
        <f>F1232</f>
        <v>0.16</v>
      </c>
      <c r="O1232" s="9">
        <f>H1232</f>
        <v>3.2199999999999999E-2</v>
      </c>
      <c r="P1232" s="10">
        <f t="shared" si="37"/>
        <v>0</v>
      </c>
      <c r="Q1232" s="10">
        <f>IF(K1232=0,IF(A1229=A1232,AVERAGE(O1229:O1232),"x"),0)</f>
        <v>0</v>
      </c>
      <c r="R1232" s="9">
        <f>IF(L1232&gt;2005,AVERAGE(O1229:O1248),0)</f>
        <v>0</v>
      </c>
      <c r="S1232" s="10">
        <f>IF(A1232=A1233,(N1232-N1233)/N1233,0)</f>
        <v>0</v>
      </c>
      <c r="T1232" s="10">
        <f>IF(L1232&gt;2005,(((N1232-N1252)/N1252)+1)^(1/5)-1,0)</f>
        <v>0</v>
      </c>
      <c r="U1232" s="10">
        <f t="shared" si="38"/>
        <v>0</v>
      </c>
      <c r="V1232" s="26">
        <f t="shared" si="39"/>
        <v>0</v>
      </c>
      <c r="W1232" s="3">
        <f>IF(A1232=A1233,N1232-N1233,0)</f>
        <v>0</v>
      </c>
      <c r="X1232" s="10">
        <f>IF(A1232=A1233,(N1232-N1233)/N1233,0)</f>
        <v>0</v>
      </c>
    </row>
    <row r="1233" spans="1:24" ht="16.5" customHeight="1">
      <c r="A1233" s="3" t="s">
        <v>37</v>
      </c>
      <c r="B1233" s="3">
        <f t="shared" si="32"/>
        <v>2013</v>
      </c>
      <c r="C1233" s="3">
        <f t="shared" si="33"/>
        <v>2</v>
      </c>
      <c r="D1233" s="20" t="str">
        <f t="shared" si="34"/>
        <v>CWT20132</v>
      </c>
      <c r="E1233" s="2">
        <v>41312</v>
      </c>
      <c r="F1233" s="3">
        <v>0.16</v>
      </c>
      <c r="G1233" s="2">
        <v>41327</v>
      </c>
      <c r="H1233" s="3">
        <v>3.2300000000000002E-2</v>
      </c>
      <c r="I1233" s="3">
        <v>1.5873016E-2</v>
      </c>
      <c r="J1233" s="3">
        <v>2.5000000000000001E-3</v>
      </c>
      <c r="K1233" s="3">
        <f t="shared" si="35"/>
        <v>0</v>
      </c>
      <c r="L1233" s="3">
        <f t="shared" si="36"/>
        <v>2013</v>
      </c>
      <c r="M1233" s="20" t="str">
        <f>A1233&amp;L1233</f>
        <v>CWT2013</v>
      </c>
      <c r="N1233" s="3">
        <f>F1233</f>
        <v>0.16</v>
      </c>
      <c r="O1233" s="9">
        <f>H1233</f>
        <v>3.2300000000000002E-2</v>
      </c>
      <c r="P1233" s="10">
        <f t="shared" si="37"/>
        <v>3.3825000000000008E-2</v>
      </c>
      <c r="Q1233" s="10">
        <f>IF(K1233=0,IF(A1230=A1233,AVERAGE(O1230:O1233),"x"),0)</f>
        <v>3.0524999999999997E-2</v>
      </c>
      <c r="R1233" s="9">
        <f>IF(L1233&gt;2005,AVERAGE(O1230:O1249),0)</f>
        <v>3.1979999999999995E-2</v>
      </c>
      <c r="S1233" s="10">
        <f>IF(A1233=A1234,(N1233-N1234)/N1234,0)</f>
        <v>1.5873015873015886E-2</v>
      </c>
      <c r="T1233" s="10">
        <f>IF(L1233&gt;2005,(((N1233-N1253)/N1253)+1)^(1/5)-1,0)</f>
        <v>1.8133720736333014E-2</v>
      </c>
      <c r="U1233" s="10">
        <f t="shared" si="38"/>
        <v>5.0113720736333009E-2</v>
      </c>
      <c r="V1233" s="26">
        <f t="shared" si="39"/>
        <v>4.5613225393192769</v>
      </c>
      <c r="W1233" s="3">
        <f>IF(A1233=A1234,N1233-N1234,0)</f>
        <v>2.5000000000000022E-3</v>
      </c>
      <c r="X1233" s="10">
        <f>IF(A1233=A1234,(N1233-N1234)/N1234,0)</f>
        <v>1.5873015873015886E-2</v>
      </c>
    </row>
    <row r="1234" spans="1:24" ht="16.5" customHeight="1">
      <c r="A1234" s="3" t="s">
        <v>37</v>
      </c>
      <c r="B1234" s="3">
        <f t="shared" si="32"/>
        <v>2012</v>
      </c>
      <c r="C1234" s="3">
        <f t="shared" si="33"/>
        <v>11</v>
      </c>
      <c r="D1234" s="20" t="str">
        <f t="shared" si="34"/>
        <v>CWT201211</v>
      </c>
      <c r="E1234" s="2">
        <v>41220</v>
      </c>
      <c r="F1234" s="3">
        <v>0.1575</v>
      </c>
      <c r="G1234" s="2">
        <v>41236</v>
      </c>
      <c r="H1234" s="3">
        <v>3.39E-2</v>
      </c>
      <c r="I1234" s="3">
        <v>0</v>
      </c>
      <c r="J1234" s="3">
        <v>0</v>
      </c>
      <c r="K1234" s="3">
        <f t="shared" si="35"/>
        <v>2012</v>
      </c>
      <c r="L1234" s="3">
        <f t="shared" si="36"/>
        <v>0</v>
      </c>
      <c r="M1234" s="20" t="str">
        <f>A1234&amp;L1234</f>
        <v>CWT0</v>
      </c>
      <c r="N1234" s="3">
        <f>F1234</f>
        <v>0.1575</v>
      </c>
      <c r="O1234" s="9">
        <f>H1234</f>
        <v>3.39E-2</v>
      </c>
      <c r="P1234" s="10">
        <f t="shared" si="37"/>
        <v>0</v>
      </c>
      <c r="Q1234" s="10">
        <f>IF(K1234=0,IF(A1231=A1234,AVERAGE(O1231:O1234),"x"),0)</f>
        <v>0</v>
      </c>
      <c r="R1234" s="9">
        <f>IF(L1234&gt;2005,AVERAGE(O1231:O1250),0)</f>
        <v>0</v>
      </c>
      <c r="S1234" s="10">
        <f>IF(A1234=A1235,(N1234-N1235)/N1235,0)</f>
        <v>0</v>
      </c>
      <c r="T1234" s="10">
        <f>IF(L1234&gt;2005,(((N1234-N1254)/N1254)+1)^(1/5)-1,0)</f>
        <v>0</v>
      </c>
      <c r="U1234" s="10">
        <f t="shared" si="38"/>
        <v>0</v>
      </c>
      <c r="V1234" s="26">
        <f t="shared" si="39"/>
        <v>0</v>
      </c>
      <c r="W1234" s="3">
        <f>IF(A1234=A1235,N1234-N1235,0)</f>
        <v>0</v>
      </c>
      <c r="X1234" s="10">
        <f>IF(A1234=A1235,(N1234-N1235)/N1235,0)</f>
        <v>0</v>
      </c>
    </row>
    <row r="1235" spans="1:24" ht="16.5" customHeight="1">
      <c r="A1235" s="3" t="s">
        <v>37</v>
      </c>
      <c r="B1235" s="3">
        <f t="shared" si="32"/>
        <v>2012</v>
      </c>
      <c r="C1235" s="3">
        <f t="shared" si="33"/>
        <v>8</v>
      </c>
      <c r="D1235" s="20" t="str">
        <f t="shared" si="34"/>
        <v>CWT20128</v>
      </c>
      <c r="E1235" s="2">
        <v>41123</v>
      </c>
      <c r="F1235" s="3">
        <v>0.1575</v>
      </c>
      <c r="G1235" s="2">
        <v>41138</v>
      </c>
      <c r="H1235" s="3">
        <v>3.4200000000000001E-2</v>
      </c>
      <c r="I1235" s="3">
        <v>0</v>
      </c>
      <c r="J1235" s="3">
        <v>0</v>
      </c>
      <c r="K1235" s="3">
        <f t="shared" si="35"/>
        <v>2012</v>
      </c>
      <c r="L1235" s="3">
        <f t="shared" si="36"/>
        <v>0</v>
      </c>
      <c r="M1235" s="20" t="str">
        <f>A1235&amp;L1235</f>
        <v>CWT0</v>
      </c>
      <c r="N1235" s="3">
        <f>F1235</f>
        <v>0.1575</v>
      </c>
      <c r="O1235" s="9">
        <f>H1235</f>
        <v>3.4200000000000001E-2</v>
      </c>
      <c r="P1235" s="10">
        <f t="shared" si="37"/>
        <v>0</v>
      </c>
      <c r="Q1235" s="10">
        <f>IF(K1235=0,IF(A1232=A1235,AVERAGE(O1232:O1235),"x"),0)</f>
        <v>0</v>
      </c>
      <c r="R1235" s="9">
        <f>IF(L1235&gt;2005,AVERAGE(O1232:O1251),0)</f>
        <v>0</v>
      </c>
      <c r="S1235" s="10">
        <f>IF(A1235=A1236,(N1235-N1236)/N1236,0)</f>
        <v>0</v>
      </c>
      <c r="T1235" s="10">
        <f>IF(L1235&gt;2005,(((N1235-N1255)/N1255)+1)^(1/5)-1,0)</f>
        <v>0</v>
      </c>
      <c r="U1235" s="10">
        <f t="shared" si="38"/>
        <v>0</v>
      </c>
      <c r="V1235" s="26">
        <f t="shared" si="39"/>
        <v>0</v>
      </c>
      <c r="W1235" s="3">
        <f>IF(A1235=A1236,N1235-N1236,0)</f>
        <v>0</v>
      </c>
      <c r="X1235" s="10">
        <f>IF(A1235=A1236,(N1235-N1236)/N1236,0)</f>
        <v>0</v>
      </c>
    </row>
    <row r="1236" spans="1:24" ht="16.5" customHeight="1">
      <c r="A1236" s="3" t="s">
        <v>37</v>
      </c>
      <c r="B1236" s="3">
        <f t="shared" si="32"/>
        <v>2012</v>
      </c>
      <c r="C1236" s="3">
        <f t="shared" si="33"/>
        <v>5</v>
      </c>
      <c r="D1236" s="20" t="str">
        <f t="shared" si="34"/>
        <v>CWT20125</v>
      </c>
      <c r="E1236" s="2">
        <v>41032</v>
      </c>
      <c r="F1236" s="3">
        <v>0.1575</v>
      </c>
      <c r="G1236" s="2">
        <v>41047</v>
      </c>
      <c r="H1236" s="3">
        <v>3.49E-2</v>
      </c>
      <c r="I1236" s="3">
        <v>0</v>
      </c>
      <c r="J1236" s="3">
        <v>0</v>
      </c>
      <c r="K1236" s="3">
        <f t="shared" si="35"/>
        <v>2012</v>
      </c>
      <c r="L1236" s="3">
        <f t="shared" si="36"/>
        <v>0</v>
      </c>
      <c r="M1236" s="20" t="str">
        <f>A1236&amp;L1236</f>
        <v>CWT0</v>
      </c>
      <c r="N1236" s="3">
        <f>F1236</f>
        <v>0.1575</v>
      </c>
      <c r="O1236" s="9">
        <f>H1236</f>
        <v>3.49E-2</v>
      </c>
      <c r="P1236" s="10">
        <f t="shared" si="37"/>
        <v>0</v>
      </c>
      <c r="Q1236" s="10">
        <f>IF(K1236=0,IF(A1233=A1236,AVERAGE(O1233:O1236),"x"),0)</f>
        <v>0</v>
      </c>
      <c r="R1236" s="9">
        <f>IF(L1236&gt;2005,AVERAGE(O1233:O1252),0)</f>
        <v>0</v>
      </c>
      <c r="S1236" s="10">
        <f>IF(A1236=A1237,(N1236-N1237)/N1237,0)</f>
        <v>0</v>
      </c>
      <c r="T1236" s="10">
        <f>IF(L1236&gt;2005,(((N1236-N1256)/N1256)+1)^(1/5)-1,0)</f>
        <v>0</v>
      </c>
      <c r="U1236" s="10">
        <f t="shared" si="38"/>
        <v>0</v>
      </c>
      <c r="V1236" s="26">
        <f t="shared" si="39"/>
        <v>0</v>
      </c>
      <c r="W1236" s="3">
        <f>IF(A1236=A1237,N1236-N1237,0)</f>
        <v>0</v>
      </c>
      <c r="X1236" s="10">
        <f>IF(A1236=A1237,(N1236-N1237)/N1237,0)</f>
        <v>0</v>
      </c>
    </row>
    <row r="1237" spans="1:24" ht="16.5" customHeight="1">
      <c r="A1237" s="3" t="s">
        <v>37</v>
      </c>
      <c r="B1237" s="3">
        <f t="shared" si="32"/>
        <v>2012</v>
      </c>
      <c r="C1237" s="3">
        <f t="shared" si="33"/>
        <v>2</v>
      </c>
      <c r="D1237" s="20" t="str">
        <f t="shared" si="34"/>
        <v>CWT20122</v>
      </c>
      <c r="E1237" s="2">
        <v>40941</v>
      </c>
      <c r="F1237" s="3">
        <v>0.1575</v>
      </c>
      <c r="G1237" s="2">
        <v>40956</v>
      </c>
      <c r="H1237" s="3">
        <v>3.27E-2</v>
      </c>
      <c r="I1237" s="3">
        <v>2.4390243999999998E-2</v>
      </c>
      <c r="J1237" s="3">
        <v>3.7499999999999999E-3</v>
      </c>
      <c r="K1237" s="3">
        <f t="shared" si="35"/>
        <v>0</v>
      </c>
      <c r="L1237" s="3">
        <f t="shared" si="36"/>
        <v>2012</v>
      </c>
      <c r="M1237" s="20" t="str">
        <f>A1237&amp;L1237</f>
        <v>CWT2012</v>
      </c>
      <c r="N1237" s="3">
        <f>F1237</f>
        <v>0.1575</v>
      </c>
      <c r="O1237" s="9">
        <f>H1237</f>
        <v>3.27E-2</v>
      </c>
      <c r="P1237" s="10">
        <f t="shared" si="37"/>
        <v>3.2825000000000007E-2</v>
      </c>
      <c r="Q1237" s="10">
        <f>IF(K1237=0,IF(A1234=A1237,AVERAGE(O1234:O1237),"x"),0)</f>
        <v>3.3924999999999997E-2</v>
      </c>
      <c r="R1237" s="9">
        <f>IF(L1237&gt;2005,AVERAGE(O1234:O1253),0)</f>
        <v>3.2545000000000004E-2</v>
      </c>
      <c r="S1237" s="10">
        <f>IF(A1237=A1238,(N1237-N1238)/N1238,0)</f>
        <v>2.4390243902439046E-2</v>
      </c>
      <c r="T1237" s="10">
        <f>IF(L1237&gt;2005,(((N1237-N1257)/N1257)+1)^(1/5)-1,0)</f>
        <v>1.6675858612995365E-2</v>
      </c>
      <c r="U1237" s="10">
        <f t="shared" si="38"/>
        <v>4.9220858612995369E-2</v>
      </c>
      <c r="V1237" s="26">
        <f t="shared" si="39"/>
        <v>4.5535266903297806</v>
      </c>
      <c r="W1237" s="3">
        <f>IF(A1237=A1238,N1237-N1238,0)</f>
        <v>3.7500000000000033E-3</v>
      </c>
      <c r="X1237" s="10">
        <f>IF(A1237=A1238,(N1237-N1238)/N1238,0)</f>
        <v>2.4390243902439046E-2</v>
      </c>
    </row>
    <row r="1238" spans="1:24" ht="16.5" customHeight="1">
      <c r="A1238" s="3" t="s">
        <v>37</v>
      </c>
      <c r="B1238" s="3">
        <f t="shared" si="32"/>
        <v>2011</v>
      </c>
      <c r="C1238" s="3">
        <f t="shared" si="33"/>
        <v>11</v>
      </c>
      <c r="D1238" s="20" t="str">
        <f t="shared" si="34"/>
        <v>CWT201111</v>
      </c>
      <c r="E1238" s="2">
        <v>40850</v>
      </c>
      <c r="F1238" s="3">
        <v>0.15375</v>
      </c>
      <c r="G1238" s="2">
        <v>40865</v>
      </c>
      <c r="H1238" s="3">
        <v>3.3000000000000002E-2</v>
      </c>
      <c r="I1238" s="3">
        <v>0</v>
      </c>
      <c r="J1238" s="3">
        <v>0</v>
      </c>
      <c r="K1238" s="3">
        <f t="shared" si="35"/>
        <v>2011</v>
      </c>
      <c r="L1238" s="3">
        <f t="shared" si="36"/>
        <v>0</v>
      </c>
      <c r="M1238" s="20" t="str">
        <f>A1238&amp;L1238</f>
        <v>CWT0</v>
      </c>
      <c r="N1238" s="3">
        <f>F1238</f>
        <v>0.15375</v>
      </c>
      <c r="O1238" s="9">
        <f>H1238</f>
        <v>3.3000000000000002E-2</v>
      </c>
      <c r="P1238" s="10">
        <f t="shared" si="37"/>
        <v>0</v>
      </c>
      <c r="Q1238" s="10">
        <f>IF(K1238=0,IF(A1235=A1238,AVERAGE(O1235:O1238),"x"),0)</f>
        <v>0</v>
      </c>
      <c r="R1238" s="9">
        <f>IF(L1238&gt;2005,AVERAGE(O1235:O1254),0)</f>
        <v>0</v>
      </c>
      <c r="S1238" s="10">
        <f>IF(A1238=A1239,(N1238-N1239)/N1239,0)</f>
        <v>0</v>
      </c>
      <c r="T1238" s="10">
        <f>IF(L1238&gt;2005,(((N1238-N1258)/N1258)+1)^(1/5)-1,0)</f>
        <v>0</v>
      </c>
      <c r="U1238" s="10">
        <f t="shared" si="38"/>
        <v>0</v>
      </c>
      <c r="V1238" s="26">
        <f t="shared" si="39"/>
        <v>0</v>
      </c>
      <c r="W1238" s="3">
        <f>IF(A1238=A1239,N1238-N1239,0)</f>
        <v>0</v>
      </c>
      <c r="X1238" s="10">
        <f>IF(A1238=A1239,(N1238-N1239)/N1239,0)</f>
        <v>0</v>
      </c>
    </row>
    <row r="1239" spans="1:24" ht="16.5" customHeight="1">
      <c r="A1239" s="3" t="s">
        <v>37</v>
      </c>
      <c r="B1239" s="3">
        <f t="shared" si="32"/>
        <v>2011</v>
      </c>
      <c r="C1239" s="3">
        <f t="shared" si="33"/>
        <v>8</v>
      </c>
      <c r="D1239" s="20" t="str">
        <f t="shared" si="34"/>
        <v>CWT20118</v>
      </c>
      <c r="E1239" s="2">
        <v>40759</v>
      </c>
      <c r="F1239" s="3">
        <v>0.15375</v>
      </c>
      <c r="G1239" s="2">
        <v>40774</v>
      </c>
      <c r="H1239" s="3">
        <v>3.32E-2</v>
      </c>
      <c r="I1239" s="3">
        <v>-0.5</v>
      </c>
      <c r="J1239" s="3">
        <v>-0.15375</v>
      </c>
      <c r="K1239" s="3">
        <f t="shared" si="35"/>
        <v>2011</v>
      </c>
      <c r="L1239" s="3">
        <f t="shared" si="36"/>
        <v>0</v>
      </c>
      <c r="M1239" s="20" t="str">
        <f>A1239&amp;L1239</f>
        <v>CWT0</v>
      </c>
      <c r="N1239" s="3">
        <f>F1239</f>
        <v>0.15375</v>
      </c>
      <c r="O1239" s="9">
        <f>H1239</f>
        <v>3.32E-2</v>
      </c>
      <c r="P1239" s="10">
        <f t="shared" si="37"/>
        <v>0</v>
      </c>
      <c r="Q1239" s="10">
        <f>IF(K1239=0,IF(A1236=A1239,AVERAGE(O1236:O1239),"x"),0)</f>
        <v>0</v>
      </c>
      <c r="R1239" s="9">
        <f>IF(L1239&gt;2005,AVERAGE(O1236:O1255),0)</f>
        <v>0</v>
      </c>
      <c r="S1239" s="10">
        <f>IF(A1239=A1240,(N1239-N1240)/N1240,0)</f>
        <v>0</v>
      </c>
      <c r="T1239" s="10">
        <f>IF(L1239&gt;2005,(((N1239-N1259)/N1259)+1)^(1/5)-1,0)</f>
        <v>0</v>
      </c>
      <c r="U1239" s="10">
        <f t="shared" si="38"/>
        <v>0</v>
      </c>
      <c r="V1239" s="26">
        <f t="shared" si="39"/>
        <v>0</v>
      </c>
      <c r="W1239" s="3">
        <f>IF(A1239=A1240,N1239-N1240,0)</f>
        <v>0</v>
      </c>
      <c r="X1239" s="10">
        <f>IF(A1239=A1240,(N1239-N1240)/N1240,0)</f>
        <v>0</v>
      </c>
    </row>
    <row r="1240" spans="1:24" ht="16.5" customHeight="1">
      <c r="A1240" s="3" t="s">
        <v>37</v>
      </c>
      <c r="B1240" s="3">
        <f t="shared" si="32"/>
        <v>2011</v>
      </c>
      <c r="C1240" s="3">
        <f t="shared" si="33"/>
        <v>5</v>
      </c>
      <c r="D1240" s="20" t="str">
        <f t="shared" si="34"/>
        <v>CWT20115</v>
      </c>
      <c r="E1240" s="2">
        <v>40668</v>
      </c>
      <c r="F1240" s="3">
        <v>0.3075</v>
      </c>
      <c r="G1240" s="2">
        <v>40683</v>
      </c>
      <c r="H1240" s="3">
        <v>3.2399999999999998E-2</v>
      </c>
      <c r="I1240" s="3">
        <v>0</v>
      </c>
      <c r="J1240" s="3">
        <v>0</v>
      </c>
      <c r="K1240" s="3">
        <f t="shared" si="35"/>
        <v>2011</v>
      </c>
      <c r="L1240" s="3">
        <f t="shared" si="36"/>
        <v>0</v>
      </c>
      <c r="M1240" s="20" t="str">
        <f>A1240&amp;L1240</f>
        <v>CWT0</v>
      </c>
      <c r="N1240" s="3">
        <f>F1240/2</f>
        <v>0.15375</v>
      </c>
      <c r="O1240" s="9">
        <f>H1240</f>
        <v>3.2399999999999998E-2</v>
      </c>
      <c r="P1240" s="10">
        <f t="shared" si="37"/>
        <v>0</v>
      </c>
      <c r="Q1240" s="10">
        <f>IF(K1240=0,IF(A1237=A1240,AVERAGE(O1237:O1240),"x"),0)</f>
        <v>0</v>
      </c>
      <c r="R1240" s="9">
        <f>IF(L1240&gt;2005,AVERAGE(O1237:O1256),0)</f>
        <v>0</v>
      </c>
      <c r="S1240" s="10">
        <f>IF(A1240=A1241,(N1240-N1241)/N1241,0)</f>
        <v>0</v>
      </c>
      <c r="T1240" s="10">
        <f>IF(L1240&gt;2005,(((N1240-N1260)/N1260)+1)^(1/5)-1,0)</f>
        <v>0</v>
      </c>
      <c r="U1240" s="10">
        <f t="shared" si="38"/>
        <v>0</v>
      </c>
      <c r="V1240" s="26">
        <f t="shared" si="39"/>
        <v>0</v>
      </c>
      <c r="W1240" s="3">
        <f>IF(A1240=A1241,N1240-N1241,0)</f>
        <v>0</v>
      </c>
      <c r="X1240" s="10">
        <f>IF(A1240=A1241,(N1240-N1241)/N1241,0)</f>
        <v>0</v>
      </c>
    </row>
    <row r="1241" spans="1:24" ht="16.5" customHeight="1">
      <c r="A1241" s="3" t="s">
        <v>37</v>
      </c>
      <c r="B1241" s="3">
        <f t="shared" si="32"/>
        <v>2011</v>
      </c>
      <c r="C1241" s="3">
        <f t="shared" si="33"/>
        <v>2</v>
      </c>
      <c r="D1241" s="20" t="str">
        <f t="shared" si="34"/>
        <v>CWT20112</v>
      </c>
      <c r="E1241" s="2">
        <v>40577</v>
      </c>
      <c r="F1241" s="3">
        <v>0.3075</v>
      </c>
      <c r="G1241" s="2">
        <v>40592</v>
      </c>
      <c r="H1241" s="3">
        <v>3.3000000000000002E-2</v>
      </c>
      <c r="I1241" s="3">
        <v>3.3613444999999999E-2</v>
      </c>
      <c r="J1241" s="3">
        <v>0.01</v>
      </c>
      <c r="K1241" s="3">
        <f t="shared" si="35"/>
        <v>0</v>
      </c>
      <c r="L1241" s="3">
        <f t="shared" si="36"/>
        <v>2011</v>
      </c>
      <c r="M1241" s="20" t="str">
        <f>A1241&amp;L1241</f>
        <v>CWT2011</v>
      </c>
      <c r="N1241" s="3">
        <f>F1241/2</f>
        <v>0.15375</v>
      </c>
      <c r="O1241" s="9">
        <f>H1241</f>
        <v>3.3000000000000002E-2</v>
      </c>
      <c r="P1241" s="10">
        <f t="shared" si="37"/>
        <v>3.2199999999999999E-2</v>
      </c>
      <c r="Q1241" s="10">
        <f>IF(K1241=0,IF(A1238=A1241,AVERAGE(O1238:O1241),"x"),0)</f>
        <v>3.2899999999999999E-2</v>
      </c>
      <c r="R1241" s="9">
        <f>IF(L1241&gt;2005,AVERAGE(O1238:O1257),0)</f>
        <v>3.1520000000000006E-2</v>
      </c>
      <c r="S1241" s="10">
        <f>IF(A1241=A1242,(N1241-N1242)/N1242,0)</f>
        <v>3.3613445378151294E-2</v>
      </c>
      <c r="T1241" s="10">
        <f>IF(L1241&gt;2005,(((N1241-N1261)/N1261)+1)^(1/5)-1,0)</f>
        <v>1.3541309573408933E-2</v>
      </c>
      <c r="U1241" s="10">
        <f t="shared" si="38"/>
        <v>4.5061309573408939E-2</v>
      </c>
      <c r="V1241" s="26">
        <f t="shared" si="39"/>
        <v>4.5653733494788753</v>
      </c>
      <c r="W1241" s="3">
        <f>IF(A1241=A1242,N1241-N1242,0)</f>
        <v>5.0000000000000044E-3</v>
      </c>
      <c r="X1241" s="10">
        <f>IF(A1241=A1242,(N1241-N1242)/N1242,0)</f>
        <v>3.3613445378151294E-2</v>
      </c>
    </row>
    <row r="1242" spans="1:24" ht="16.5" customHeight="1">
      <c r="A1242" s="3" t="s">
        <v>37</v>
      </c>
      <c r="B1242" s="3">
        <f t="shared" si="32"/>
        <v>2010</v>
      </c>
      <c r="C1242" s="3">
        <f t="shared" si="33"/>
        <v>11</v>
      </c>
      <c r="D1242" s="20" t="str">
        <f t="shared" si="34"/>
        <v>CWT201011</v>
      </c>
      <c r="E1242" s="2">
        <v>40486</v>
      </c>
      <c r="F1242" s="3">
        <v>0.29749999999999999</v>
      </c>
      <c r="G1242" s="2">
        <v>40501</v>
      </c>
      <c r="H1242" s="3">
        <v>3.1899999999999998E-2</v>
      </c>
      <c r="I1242" s="3">
        <v>0</v>
      </c>
      <c r="J1242" s="3">
        <v>0</v>
      </c>
      <c r="K1242" s="3">
        <f t="shared" si="35"/>
        <v>2010</v>
      </c>
      <c r="L1242" s="3">
        <f t="shared" si="36"/>
        <v>0</v>
      </c>
      <c r="M1242" s="20" t="str">
        <f>A1242&amp;L1242</f>
        <v>CWT0</v>
      </c>
      <c r="N1242" s="3">
        <f>F1242/2</f>
        <v>0.14874999999999999</v>
      </c>
      <c r="O1242" s="9">
        <f>H1242</f>
        <v>3.1899999999999998E-2</v>
      </c>
      <c r="P1242" s="10">
        <f t="shared" si="37"/>
        <v>0</v>
      </c>
      <c r="Q1242" s="10">
        <f>IF(K1242=0,IF(A1239=A1242,AVERAGE(O1239:O1242),"x"),0)</f>
        <v>0</v>
      </c>
      <c r="R1242" s="9">
        <f>IF(L1242&gt;2005,AVERAGE(O1239:O1258),0)</f>
        <v>0</v>
      </c>
      <c r="S1242" s="10">
        <f>IF(A1242=A1243,(N1242-N1243)/N1243,0)</f>
        <v>0</v>
      </c>
      <c r="T1242" s="10">
        <f>IF(L1242&gt;2005,(((N1242-N1262)/N1262)+1)^(1/5)-1,0)</f>
        <v>0</v>
      </c>
      <c r="U1242" s="10">
        <f t="shared" si="38"/>
        <v>0</v>
      </c>
      <c r="V1242" s="26">
        <f t="shared" si="39"/>
        <v>0</v>
      </c>
      <c r="W1242" s="3">
        <f>IF(A1242=A1243,N1242-N1243,0)</f>
        <v>0</v>
      </c>
      <c r="X1242" s="10">
        <f>IF(A1242=A1243,(N1242-N1243)/N1243,0)</f>
        <v>0</v>
      </c>
    </row>
    <row r="1243" spans="1:24" ht="16.5" customHeight="1">
      <c r="A1243" s="3" t="s">
        <v>37</v>
      </c>
      <c r="B1243" s="3">
        <f t="shared" si="32"/>
        <v>2010</v>
      </c>
      <c r="C1243" s="3">
        <f t="shared" si="33"/>
        <v>8</v>
      </c>
      <c r="D1243" s="20" t="str">
        <f t="shared" si="34"/>
        <v>CWT20108</v>
      </c>
      <c r="E1243" s="2">
        <v>40395</v>
      </c>
      <c r="F1243" s="3">
        <v>0.29749999999999999</v>
      </c>
      <c r="G1243" s="2">
        <v>40410</v>
      </c>
      <c r="H1243" s="3">
        <v>3.32E-2</v>
      </c>
      <c r="I1243" s="3">
        <v>0</v>
      </c>
      <c r="J1243" s="3">
        <v>0</v>
      </c>
      <c r="K1243" s="3">
        <f t="shared" si="35"/>
        <v>2010</v>
      </c>
      <c r="L1243" s="3">
        <f t="shared" si="36"/>
        <v>0</v>
      </c>
      <c r="M1243" s="20" t="str">
        <f>A1243&amp;L1243</f>
        <v>CWT0</v>
      </c>
      <c r="N1243" s="3">
        <f>F1243/2</f>
        <v>0.14874999999999999</v>
      </c>
      <c r="O1243" s="9">
        <f>H1243</f>
        <v>3.32E-2</v>
      </c>
      <c r="P1243" s="10">
        <f t="shared" si="37"/>
        <v>0</v>
      </c>
      <c r="Q1243" s="10">
        <f>IF(K1243=0,IF(A1240=A1243,AVERAGE(O1240:O1243),"x"),0)</f>
        <v>0</v>
      </c>
      <c r="R1243" s="9">
        <f>IF(L1243&gt;2005,AVERAGE(O1240:O1259),0)</f>
        <v>0</v>
      </c>
      <c r="S1243" s="10">
        <f>IF(A1243=A1244,(N1243-N1244)/N1244,0)</f>
        <v>0</v>
      </c>
      <c r="T1243" s="10">
        <f>IF(L1243&gt;2005,(((N1243-N1263)/N1263)+1)^(1/5)-1,0)</f>
        <v>0</v>
      </c>
      <c r="U1243" s="10">
        <f t="shared" si="38"/>
        <v>0</v>
      </c>
      <c r="V1243" s="26">
        <f t="shared" si="39"/>
        <v>0</v>
      </c>
      <c r="W1243" s="3">
        <f>IF(A1243=A1244,N1243-N1244,0)</f>
        <v>0</v>
      </c>
      <c r="X1243" s="10">
        <f>IF(A1243=A1244,(N1243-N1244)/N1244,0)</f>
        <v>0</v>
      </c>
    </row>
    <row r="1244" spans="1:24" ht="16.5" customHeight="1">
      <c r="A1244" s="3" t="s">
        <v>37</v>
      </c>
      <c r="B1244" s="3">
        <f t="shared" si="32"/>
        <v>2010</v>
      </c>
      <c r="C1244" s="3">
        <f t="shared" si="33"/>
        <v>5</v>
      </c>
      <c r="D1244" s="20" t="str">
        <f t="shared" si="34"/>
        <v>CWT20105</v>
      </c>
      <c r="E1244" s="2">
        <v>40304</v>
      </c>
      <c r="F1244" s="3">
        <v>0.29749999999999999</v>
      </c>
      <c r="G1244" s="2">
        <v>40319</v>
      </c>
      <c r="H1244" s="3">
        <v>3.0700000000000002E-2</v>
      </c>
      <c r="I1244" s="3">
        <v>0</v>
      </c>
      <c r="J1244" s="3">
        <v>0</v>
      </c>
      <c r="K1244" s="3">
        <f t="shared" si="35"/>
        <v>2010</v>
      </c>
      <c r="L1244" s="3">
        <f t="shared" si="36"/>
        <v>0</v>
      </c>
      <c r="M1244" s="20" t="str">
        <f>A1244&amp;L1244</f>
        <v>CWT0</v>
      </c>
      <c r="N1244" s="3">
        <f>F1244/2</f>
        <v>0.14874999999999999</v>
      </c>
      <c r="O1244" s="9">
        <f>H1244</f>
        <v>3.0700000000000002E-2</v>
      </c>
      <c r="P1244" s="10">
        <f t="shared" si="37"/>
        <v>0</v>
      </c>
      <c r="Q1244" s="10">
        <f>IF(K1244=0,IF(A1241=A1244,AVERAGE(O1241:O1244),"x"),0)</f>
        <v>0</v>
      </c>
      <c r="R1244" s="9">
        <f>IF(L1244&gt;2005,AVERAGE(O1241:O1260),0)</f>
        <v>0</v>
      </c>
      <c r="S1244" s="10">
        <f>IF(A1244=A1245,(N1244-N1245)/N1245,0)</f>
        <v>0</v>
      </c>
      <c r="T1244" s="10">
        <f>IF(L1244&gt;2005,(((N1244-N1264)/N1264)+1)^(1/5)-1,0)</f>
        <v>0</v>
      </c>
      <c r="U1244" s="10">
        <f t="shared" si="38"/>
        <v>0</v>
      </c>
      <c r="V1244" s="26">
        <f t="shared" si="39"/>
        <v>0</v>
      </c>
      <c r="W1244" s="3">
        <f>IF(A1244=A1245,N1244-N1245,0)</f>
        <v>0</v>
      </c>
      <c r="X1244" s="10">
        <f>IF(A1244=A1245,(N1244-N1245)/N1245,0)</f>
        <v>0</v>
      </c>
    </row>
    <row r="1245" spans="1:24" ht="16.5" customHeight="1">
      <c r="A1245" s="3" t="s">
        <v>37</v>
      </c>
      <c r="B1245" s="3">
        <f t="shared" si="32"/>
        <v>2010</v>
      </c>
      <c r="C1245" s="3">
        <f t="shared" si="33"/>
        <v>2</v>
      </c>
      <c r="D1245" s="20" t="str">
        <f t="shared" si="34"/>
        <v>CWT20102</v>
      </c>
      <c r="E1245" s="2">
        <v>40213</v>
      </c>
      <c r="F1245" s="3">
        <v>0.29749999999999999</v>
      </c>
      <c r="G1245" s="2">
        <v>40228</v>
      </c>
      <c r="H1245" s="3">
        <v>3.2399999999999998E-2</v>
      </c>
      <c r="I1245" s="3">
        <v>8.4745759999999993E-3</v>
      </c>
      <c r="J1245" s="3">
        <v>2.5000000000000001E-3</v>
      </c>
      <c r="K1245" s="3">
        <f t="shared" si="35"/>
        <v>0</v>
      </c>
      <c r="L1245" s="3">
        <f t="shared" si="36"/>
        <v>2010</v>
      </c>
      <c r="M1245" s="20" t="str">
        <f>A1245&amp;L1245</f>
        <v>CWT2010</v>
      </c>
      <c r="N1245" s="3">
        <f>F1245/2</f>
        <v>0.14874999999999999</v>
      </c>
      <c r="O1245" s="9">
        <f>H1245</f>
        <v>3.2399999999999998E-2</v>
      </c>
      <c r="P1245" s="10">
        <f t="shared" si="37"/>
        <v>3.2099999999999997E-2</v>
      </c>
      <c r="Q1245" s="10">
        <f>IF(K1245=0,IF(A1242=A1245,AVERAGE(O1242:O1245),"x"),0)</f>
        <v>3.2049999999999995E-2</v>
      </c>
      <c r="R1245" s="9">
        <f>IF(L1245&gt;2005,AVERAGE(O1242:O1261),0)</f>
        <v>3.0735000000000002E-2</v>
      </c>
      <c r="S1245" s="10">
        <f>IF(A1245=A1246,(N1245-N1246)/N1246,0)</f>
        <v>8.4745762711864493E-3</v>
      </c>
      <c r="T1245" s="10">
        <f>IF(L1245&gt;2005,(((N1245-N1265)/N1265)+1)^(1/5)-1,0)</f>
        <v>8.621965815340138E-3</v>
      </c>
      <c r="U1245" s="10">
        <f t="shared" si="38"/>
        <v>3.9356965815340136E-2</v>
      </c>
      <c r="V1245" s="26">
        <f t="shared" si="39"/>
        <v>4.5735382382046126</v>
      </c>
      <c r="W1245" s="3">
        <f>IF(A1245=A1246,N1245-N1246,0)</f>
        <v>1.2500000000000011E-3</v>
      </c>
      <c r="X1245" s="10">
        <f>IF(A1245=A1246,(N1245-N1246)/N1246,0)</f>
        <v>8.4745762711864493E-3</v>
      </c>
    </row>
    <row r="1246" spans="1:24" ht="16.5" customHeight="1">
      <c r="A1246" s="3" t="s">
        <v>37</v>
      </c>
      <c r="B1246" s="3">
        <f t="shared" si="32"/>
        <v>2009</v>
      </c>
      <c r="C1246" s="3">
        <f t="shared" si="33"/>
        <v>11</v>
      </c>
      <c r="D1246" s="20" t="str">
        <f t="shared" si="34"/>
        <v>CWT200911</v>
      </c>
      <c r="E1246" s="2">
        <v>40122</v>
      </c>
      <c r="F1246" s="3">
        <v>0.29499999999999998</v>
      </c>
      <c r="G1246" s="2">
        <v>40137</v>
      </c>
      <c r="H1246" s="3">
        <v>3.3000000000000002E-2</v>
      </c>
      <c r="I1246" s="3">
        <v>0</v>
      </c>
      <c r="J1246" s="3">
        <v>0</v>
      </c>
      <c r="K1246" s="3">
        <f t="shared" si="35"/>
        <v>2009</v>
      </c>
      <c r="L1246" s="3">
        <f t="shared" si="36"/>
        <v>0</v>
      </c>
      <c r="M1246" s="20" t="str">
        <f>A1246&amp;L1246</f>
        <v>CWT0</v>
      </c>
      <c r="N1246" s="3">
        <f>F1246/2</f>
        <v>0.14749999999999999</v>
      </c>
      <c r="O1246" s="9">
        <f>H1246</f>
        <v>3.3000000000000002E-2</v>
      </c>
      <c r="P1246" s="10">
        <f t="shared" si="37"/>
        <v>0</v>
      </c>
      <c r="Q1246" s="10">
        <f>IF(K1246=0,IF(A1243=A1246,AVERAGE(O1243:O1246),"x"),0)</f>
        <v>0</v>
      </c>
      <c r="R1246" s="9">
        <f>IF(L1246&gt;2005,AVERAGE(O1243:O1262),0)</f>
        <v>0</v>
      </c>
      <c r="S1246" s="10">
        <f>IF(A1246=A1247,(N1246-N1247)/N1247,0)</f>
        <v>0</v>
      </c>
      <c r="T1246" s="10">
        <f>IF(L1246&gt;2005,(((N1246-N1266)/N1266)+1)^(1/5)-1,0)</f>
        <v>0</v>
      </c>
      <c r="U1246" s="10">
        <f t="shared" si="38"/>
        <v>0</v>
      </c>
      <c r="V1246" s="26">
        <f t="shared" si="39"/>
        <v>0</v>
      </c>
      <c r="W1246" s="3">
        <f>IF(A1246=A1247,N1246-N1247,0)</f>
        <v>0</v>
      </c>
      <c r="X1246" s="10">
        <f>IF(A1246=A1247,(N1246-N1247)/N1247,0)</f>
        <v>0</v>
      </c>
    </row>
    <row r="1247" spans="1:24" ht="16.5" customHeight="1">
      <c r="A1247" s="3" t="s">
        <v>37</v>
      </c>
      <c r="B1247" s="3">
        <f t="shared" si="32"/>
        <v>2009</v>
      </c>
      <c r="C1247" s="3">
        <f t="shared" si="33"/>
        <v>8</v>
      </c>
      <c r="D1247" s="20" t="str">
        <f t="shared" si="34"/>
        <v>CWT20098</v>
      </c>
      <c r="E1247" s="2">
        <v>40031</v>
      </c>
      <c r="F1247" s="3">
        <v>0.29499999999999998</v>
      </c>
      <c r="G1247" s="2">
        <v>40046</v>
      </c>
      <c r="H1247" s="3">
        <v>3.1699999999999999E-2</v>
      </c>
      <c r="I1247" s="3">
        <v>0</v>
      </c>
      <c r="J1247" s="3">
        <v>0</v>
      </c>
      <c r="K1247" s="3">
        <f t="shared" si="35"/>
        <v>2009</v>
      </c>
      <c r="L1247" s="3">
        <f t="shared" si="36"/>
        <v>0</v>
      </c>
      <c r="M1247" s="20" t="str">
        <f>A1247&amp;L1247</f>
        <v>CWT0</v>
      </c>
      <c r="N1247" s="3">
        <f>F1247/2</f>
        <v>0.14749999999999999</v>
      </c>
      <c r="O1247" s="9">
        <f>H1247</f>
        <v>3.1699999999999999E-2</v>
      </c>
      <c r="P1247" s="10">
        <f t="shared" si="37"/>
        <v>0</v>
      </c>
      <c r="Q1247" s="10">
        <f>IF(K1247=0,IF(A1244=A1247,AVERAGE(O1244:O1247),"x"),0)</f>
        <v>0</v>
      </c>
      <c r="R1247" s="9">
        <f>IF(L1247&gt;2005,AVERAGE(O1244:O1263),0)</f>
        <v>0</v>
      </c>
      <c r="S1247" s="10">
        <f>IF(A1247=A1248,(N1247-N1248)/N1248,0)</f>
        <v>0</v>
      </c>
      <c r="T1247" s="10">
        <f>IF(L1247&gt;2005,(((N1247-N1267)/N1267)+1)^(1/5)-1,0)</f>
        <v>0</v>
      </c>
      <c r="U1247" s="10">
        <f t="shared" si="38"/>
        <v>0</v>
      </c>
      <c r="V1247" s="26">
        <f t="shared" si="39"/>
        <v>0</v>
      </c>
      <c r="W1247" s="3">
        <f>IF(A1247=A1248,N1247-N1248,0)</f>
        <v>0</v>
      </c>
      <c r="X1247" s="10">
        <f>IF(A1247=A1248,(N1247-N1248)/N1248,0)</f>
        <v>0</v>
      </c>
    </row>
    <row r="1248" spans="1:24" ht="16.5" customHeight="1">
      <c r="A1248" s="3" t="s">
        <v>37</v>
      </c>
      <c r="B1248" s="3">
        <f t="shared" si="32"/>
        <v>2009</v>
      </c>
      <c r="C1248" s="3">
        <f t="shared" si="33"/>
        <v>5</v>
      </c>
      <c r="D1248" s="20" t="str">
        <f t="shared" si="34"/>
        <v>CWT20095</v>
      </c>
      <c r="E1248" s="2">
        <v>39939</v>
      </c>
      <c r="F1248" s="3">
        <v>0.29499999999999998</v>
      </c>
      <c r="G1248" s="2">
        <v>39951</v>
      </c>
      <c r="H1248" s="3">
        <v>3.1300000000000001E-2</v>
      </c>
      <c r="I1248" s="3">
        <v>0</v>
      </c>
      <c r="J1248" s="3">
        <v>0</v>
      </c>
      <c r="K1248" s="3">
        <f t="shared" si="35"/>
        <v>2009</v>
      </c>
      <c r="L1248" s="3">
        <f t="shared" si="36"/>
        <v>0</v>
      </c>
      <c r="M1248" s="20" t="str">
        <f>A1248&amp;L1248</f>
        <v>CWT0</v>
      </c>
      <c r="N1248" s="3">
        <f>F1248/2</f>
        <v>0.14749999999999999</v>
      </c>
      <c r="O1248" s="9">
        <f>H1248</f>
        <v>3.1300000000000001E-2</v>
      </c>
      <c r="P1248" s="10">
        <f t="shared" si="37"/>
        <v>0</v>
      </c>
      <c r="Q1248" s="10">
        <f>IF(K1248=0,IF(A1245=A1248,AVERAGE(O1245:O1248),"x"),0)</f>
        <v>0</v>
      </c>
      <c r="R1248" s="9">
        <f>IF(L1248&gt;2005,AVERAGE(O1245:O1264),0)</f>
        <v>0</v>
      </c>
      <c r="S1248" s="10">
        <f>IF(A1248=A1249,(N1248-N1249)/N1249,0)</f>
        <v>0</v>
      </c>
      <c r="T1248" s="10">
        <f>IF(L1248&gt;2005,(((N1248-N1268)/N1268)+1)^(1/5)-1,0)</f>
        <v>0</v>
      </c>
      <c r="U1248" s="10">
        <f t="shared" si="38"/>
        <v>0</v>
      </c>
      <c r="V1248" s="26">
        <f t="shared" si="39"/>
        <v>0</v>
      </c>
      <c r="W1248" s="3">
        <f>IF(A1248=A1249,N1248-N1249,0)</f>
        <v>0</v>
      </c>
      <c r="X1248" s="10">
        <f>IF(A1248=A1249,(N1248-N1249)/N1249,0)</f>
        <v>0</v>
      </c>
    </row>
    <row r="1249" spans="1:24" ht="16.5" customHeight="1">
      <c r="A1249" s="3" t="s">
        <v>37</v>
      </c>
      <c r="B1249" s="3">
        <f t="shared" si="32"/>
        <v>2009</v>
      </c>
      <c r="C1249" s="3">
        <f t="shared" si="33"/>
        <v>2</v>
      </c>
      <c r="D1249" s="20" t="str">
        <f t="shared" si="34"/>
        <v>CWT20092</v>
      </c>
      <c r="E1249" s="2">
        <v>39849</v>
      </c>
      <c r="F1249" s="3">
        <v>0.29499999999999998</v>
      </c>
      <c r="G1249" s="2">
        <v>39864</v>
      </c>
      <c r="H1249" s="3">
        <v>2.5999999999999999E-2</v>
      </c>
      <c r="I1249" s="3">
        <v>8.5470089999999995E-3</v>
      </c>
      <c r="J1249" s="3">
        <v>2.5000000000000001E-3</v>
      </c>
      <c r="K1249" s="3">
        <f t="shared" si="35"/>
        <v>0</v>
      </c>
      <c r="L1249" s="3">
        <f t="shared" si="36"/>
        <v>2009</v>
      </c>
      <c r="M1249" s="20" t="str">
        <f>A1249&amp;L1249</f>
        <v>CWT2009</v>
      </c>
      <c r="N1249" s="3">
        <f>F1249/2</f>
        <v>0.14749999999999999</v>
      </c>
      <c r="O1249" s="9">
        <f>H1249</f>
        <v>2.5999999999999999E-2</v>
      </c>
      <c r="P1249" s="10">
        <f t="shared" si="37"/>
        <v>3.1199999999999999E-2</v>
      </c>
      <c r="Q1249" s="10">
        <f>IF(K1249=0,IF(A1246=A1249,AVERAGE(O1246:O1249),"x"),0)</f>
        <v>3.0499999999999999E-2</v>
      </c>
      <c r="R1249" s="9">
        <f>IF(L1249&gt;2005,AVERAGE(O1246:O1265),0)</f>
        <v>3.0600000000000006E-2</v>
      </c>
      <c r="S1249" s="10">
        <f>IF(A1249=A1250,(N1249-N1250)/N1250,0)</f>
        <v>8.5470085470085548E-3</v>
      </c>
      <c r="T1249" s="10">
        <f>IF(L1249&gt;2005,(((N1249-N1269)/N1269)+1)^(1/5)-1,0)</f>
        <v>8.6969618728141018E-3</v>
      </c>
      <c r="U1249" s="10">
        <f t="shared" si="38"/>
        <v>3.9296961872814104E-2</v>
      </c>
      <c r="V1249" s="26">
        <f t="shared" si="39"/>
        <v>4.5753147068141118</v>
      </c>
      <c r="W1249" s="3">
        <f>IF(A1249=A1250,N1249-N1250,0)</f>
        <v>1.2500000000000011E-3</v>
      </c>
      <c r="X1249" s="10">
        <f>IF(A1249=A1250,(N1249-N1250)/N1250,0)</f>
        <v>8.5470085470085548E-3</v>
      </c>
    </row>
    <row r="1250" spans="1:24" ht="16.5" customHeight="1">
      <c r="A1250" s="3" t="s">
        <v>37</v>
      </c>
      <c r="B1250" s="3">
        <f t="shared" si="32"/>
        <v>2008</v>
      </c>
      <c r="C1250" s="3">
        <f t="shared" si="33"/>
        <v>10</v>
      </c>
      <c r="D1250" s="20" t="str">
        <f t="shared" si="34"/>
        <v>CWT200810</v>
      </c>
      <c r="E1250" s="2">
        <v>39751</v>
      </c>
      <c r="F1250" s="3">
        <v>0.29249999999999998</v>
      </c>
      <c r="G1250" s="2">
        <v>39766</v>
      </c>
      <c r="H1250" s="3">
        <v>3.4799999999999998E-2</v>
      </c>
      <c r="I1250" s="3">
        <v>0</v>
      </c>
      <c r="J1250" s="3">
        <v>0</v>
      </c>
      <c r="K1250" s="3">
        <f t="shared" si="35"/>
        <v>2008</v>
      </c>
      <c r="L1250" s="3">
        <f t="shared" si="36"/>
        <v>0</v>
      </c>
      <c r="M1250" s="20" t="str">
        <f>A1250&amp;L1250</f>
        <v>CWT0</v>
      </c>
      <c r="N1250" s="3">
        <f>F1250/2</f>
        <v>0.14624999999999999</v>
      </c>
      <c r="O1250" s="9">
        <f>H1250</f>
        <v>3.4799999999999998E-2</v>
      </c>
      <c r="P1250" s="10">
        <f t="shared" si="37"/>
        <v>0</v>
      </c>
      <c r="Q1250" s="10">
        <f>IF(K1250=0,IF(A1247=A1250,AVERAGE(O1247:O1250),"x"),0)</f>
        <v>0</v>
      </c>
      <c r="R1250" s="9">
        <f>IF(L1250&gt;2005,AVERAGE(O1247:O1266),0)</f>
        <v>0</v>
      </c>
      <c r="S1250" s="10">
        <f>IF(A1250=A1251,(N1250-N1251)/N1251,0)</f>
        <v>0</v>
      </c>
      <c r="T1250" s="10">
        <f>IF(L1250&gt;2005,(((N1250-N1270)/N1270)+1)^(1/5)-1,0)</f>
        <v>0</v>
      </c>
      <c r="U1250" s="10">
        <f t="shared" si="38"/>
        <v>0</v>
      </c>
      <c r="V1250" s="26">
        <f t="shared" si="39"/>
        <v>0</v>
      </c>
      <c r="W1250" s="3">
        <f>IF(A1250=A1251,N1250-N1251,0)</f>
        <v>0</v>
      </c>
      <c r="X1250" s="10">
        <f>IF(A1250=A1251,(N1250-N1251)/N1251,0)</f>
        <v>0</v>
      </c>
    </row>
    <row r="1251" spans="1:24" ht="16.5" customHeight="1">
      <c r="A1251" s="3" t="s">
        <v>37</v>
      </c>
      <c r="B1251" s="3">
        <f t="shared" si="32"/>
        <v>2008</v>
      </c>
      <c r="C1251" s="3">
        <f t="shared" si="33"/>
        <v>7</v>
      </c>
      <c r="D1251" s="20" t="str">
        <f t="shared" si="34"/>
        <v>CWT20087</v>
      </c>
      <c r="E1251" s="2">
        <v>39660</v>
      </c>
      <c r="F1251" s="3">
        <v>0.29249999999999998</v>
      </c>
      <c r="G1251" s="2">
        <v>39675</v>
      </c>
      <c r="H1251" s="3">
        <v>3.2899999999999999E-2</v>
      </c>
      <c r="I1251" s="3">
        <v>0</v>
      </c>
      <c r="J1251" s="3">
        <v>0</v>
      </c>
      <c r="K1251" s="3">
        <f t="shared" si="35"/>
        <v>2008</v>
      </c>
      <c r="L1251" s="3">
        <f t="shared" si="36"/>
        <v>0</v>
      </c>
      <c r="M1251" s="20" t="str">
        <f>A1251&amp;L1251</f>
        <v>CWT0</v>
      </c>
      <c r="N1251" s="3">
        <f>F1251/2</f>
        <v>0.14624999999999999</v>
      </c>
      <c r="O1251" s="9">
        <f>H1251</f>
        <v>3.2899999999999999E-2</v>
      </c>
      <c r="P1251" s="10">
        <f t="shared" si="37"/>
        <v>0</v>
      </c>
      <c r="Q1251" s="10">
        <f>IF(K1251=0,IF(A1248=A1251,AVERAGE(O1248:O1251),"x"),0)</f>
        <v>0</v>
      </c>
      <c r="R1251" s="9">
        <f>IF(L1251&gt;2005,AVERAGE(O1248:O1267),0)</f>
        <v>0</v>
      </c>
      <c r="S1251" s="10">
        <f>IF(A1251=A1252,(N1251-N1252)/N1252,0)</f>
        <v>0</v>
      </c>
      <c r="T1251" s="10">
        <f>IF(L1251&gt;2005,(((N1251-N1271)/N1271)+1)^(1/5)-1,0)</f>
        <v>0</v>
      </c>
      <c r="U1251" s="10">
        <f t="shared" si="38"/>
        <v>0</v>
      </c>
      <c r="V1251" s="26">
        <f t="shared" si="39"/>
        <v>0</v>
      </c>
      <c r="W1251" s="3">
        <f>IF(A1251=A1252,N1251-N1252,0)</f>
        <v>0</v>
      </c>
      <c r="X1251" s="10">
        <f>IF(A1251=A1252,(N1251-N1252)/N1252,0)</f>
        <v>0</v>
      </c>
    </row>
    <row r="1252" spans="1:24" ht="16.5" customHeight="1">
      <c r="A1252" s="3" t="s">
        <v>37</v>
      </c>
      <c r="B1252" s="3">
        <f t="shared" si="32"/>
        <v>2008</v>
      </c>
      <c r="C1252" s="3">
        <f t="shared" si="33"/>
        <v>5</v>
      </c>
      <c r="D1252" s="20" t="str">
        <f t="shared" si="34"/>
        <v>CWT20085</v>
      </c>
      <c r="E1252" s="2">
        <v>39570</v>
      </c>
      <c r="F1252" s="3">
        <v>0.29249999999999998</v>
      </c>
      <c r="G1252" s="2">
        <v>39584</v>
      </c>
      <c r="H1252" s="3">
        <v>3.1099999999999999E-2</v>
      </c>
      <c r="I1252" s="3">
        <v>0</v>
      </c>
      <c r="J1252" s="3">
        <v>0</v>
      </c>
      <c r="K1252" s="3">
        <f t="shared" si="35"/>
        <v>2008</v>
      </c>
      <c r="L1252" s="3">
        <f t="shared" si="36"/>
        <v>0</v>
      </c>
      <c r="M1252" s="20" t="str">
        <f>A1252&amp;L1252</f>
        <v>CWT0</v>
      </c>
      <c r="N1252" s="3">
        <f>F1252/2</f>
        <v>0.14624999999999999</v>
      </c>
      <c r="O1252" s="9">
        <f>H1252</f>
        <v>3.1099999999999999E-2</v>
      </c>
      <c r="P1252" s="10">
        <f t="shared" si="37"/>
        <v>0</v>
      </c>
      <c r="Q1252" s="10">
        <f>IF(K1252=0,IF(A1249=A1252,AVERAGE(O1249:O1252),"x"),0)</f>
        <v>0</v>
      </c>
      <c r="R1252" s="9">
        <f>IF(L1252&gt;2005,AVERAGE(O1249:O1268),0)</f>
        <v>0</v>
      </c>
      <c r="S1252" s="10">
        <f>IF(A1252=A1253,(N1252-N1253)/N1253,0)</f>
        <v>0</v>
      </c>
      <c r="T1252" s="10">
        <f>IF(L1252&gt;2005,(((N1252-N1272)/N1272)+1)^(1/5)-1,0)</f>
        <v>0</v>
      </c>
      <c r="U1252" s="10">
        <f t="shared" si="38"/>
        <v>0</v>
      </c>
      <c r="V1252" s="26">
        <f t="shared" si="39"/>
        <v>0</v>
      </c>
      <c r="W1252" s="3">
        <f>IF(A1252=A1253,N1252-N1253,0)</f>
        <v>0</v>
      </c>
      <c r="X1252" s="10">
        <f>IF(A1252=A1253,(N1252-N1253)/N1253,0)</f>
        <v>0</v>
      </c>
    </row>
    <row r="1253" spans="1:24" ht="16.5" customHeight="1">
      <c r="A1253" s="3" t="s">
        <v>37</v>
      </c>
      <c r="B1253" s="3">
        <f t="shared" si="32"/>
        <v>2008</v>
      </c>
      <c r="C1253" s="3">
        <f t="shared" si="33"/>
        <v>1</v>
      </c>
      <c r="D1253" s="20" t="str">
        <f t="shared" si="34"/>
        <v>CWT20081</v>
      </c>
      <c r="E1253" s="2">
        <v>39478</v>
      </c>
      <c r="F1253" s="3">
        <v>0.29249999999999998</v>
      </c>
      <c r="G1253" s="2">
        <v>39493</v>
      </c>
      <c r="H1253" s="3">
        <v>3.4599999999999999E-2</v>
      </c>
      <c r="I1253" s="3">
        <v>8.6206900000000003E-3</v>
      </c>
      <c r="J1253" s="3">
        <v>2.5000000000000001E-3</v>
      </c>
      <c r="K1253" s="3">
        <f t="shared" si="35"/>
        <v>0</v>
      </c>
      <c r="L1253" s="3">
        <f t="shared" si="36"/>
        <v>2008</v>
      </c>
      <c r="M1253" s="20" t="str">
        <f>A1253&amp;L1253</f>
        <v>CWT2008</v>
      </c>
      <c r="N1253" s="3">
        <f>F1253/2</f>
        <v>0.14624999999999999</v>
      </c>
      <c r="O1253" s="9">
        <f>H1253</f>
        <v>3.4599999999999999E-2</v>
      </c>
      <c r="P1253" s="10">
        <f t="shared" si="37"/>
        <v>3.0199999999999998E-2</v>
      </c>
      <c r="Q1253" s="10">
        <f>IF(K1253=0,IF(A1250=A1253,AVERAGE(O1250:O1253),"x"),0)</f>
        <v>3.3349999999999998E-2</v>
      </c>
      <c r="R1253" s="9">
        <f>IF(L1253&gt;2005,AVERAGE(O1250:O1269),0)</f>
        <v>3.2295000000000004E-2</v>
      </c>
      <c r="S1253" s="10">
        <f>IF(A1253=A1254,(N1253-N1254)/N1254,0)</f>
        <v>8.6206896551724223E-3</v>
      </c>
      <c r="T1253" s="10">
        <f>IF(L1253&gt;2005,(((N1253-N1273)/N1273)+1)^(1/5)-1,0)</f>
        <v>7.8749885178921453E-3</v>
      </c>
      <c r="U1253" s="10">
        <f t="shared" si="38"/>
        <v>4.016998851789215E-2</v>
      </c>
      <c r="V1253" s="26">
        <f t="shared" si="39"/>
        <v>4.5531187931916106</v>
      </c>
      <c r="W1253" s="3">
        <f>IF(A1253=A1254,N1253-N1254,0)</f>
        <v>1.2500000000000011E-3</v>
      </c>
      <c r="X1253" s="10">
        <f>IF(A1253=A1254,(N1253-N1254)/N1254,0)</f>
        <v>8.6206896551724223E-3</v>
      </c>
    </row>
    <row r="1254" spans="1:24" ht="16.5" customHeight="1">
      <c r="A1254" s="3" t="s">
        <v>37</v>
      </c>
      <c r="B1254" s="3">
        <f t="shared" si="32"/>
        <v>2007</v>
      </c>
      <c r="C1254" s="3">
        <f t="shared" si="33"/>
        <v>11</v>
      </c>
      <c r="D1254" s="20" t="str">
        <f t="shared" si="34"/>
        <v>CWT200711</v>
      </c>
      <c r="E1254" s="2">
        <v>39387</v>
      </c>
      <c r="F1254" s="3">
        <v>0.28999999999999998</v>
      </c>
      <c r="G1254" s="2">
        <v>39402</v>
      </c>
      <c r="H1254" s="3">
        <v>2.6100000000000002E-2</v>
      </c>
      <c r="I1254" s="3">
        <v>0</v>
      </c>
      <c r="J1254" s="3">
        <v>0</v>
      </c>
      <c r="K1254" s="3">
        <f t="shared" si="35"/>
        <v>2007</v>
      </c>
      <c r="L1254" s="3">
        <f t="shared" si="36"/>
        <v>0</v>
      </c>
      <c r="M1254" s="20" t="str">
        <f>A1254&amp;L1254</f>
        <v>CWT0</v>
      </c>
      <c r="N1254" s="3">
        <f>F1254/2</f>
        <v>0.14499999999999999</v>
      </c>
      <c r="O1254" s="9">
        <f>H1254</f>
        <v>2.6100000000000002E-2</v>
      </c>
      <c r="P1254" s="10">
        <f t="shared" si="37"/>
        <v>0</v>
      </c>
      <c r="Q1254" s="10">
        <f>IF(K1254=0,IF(A1251=A1254,AVERAGE(O1251:O1254),"x"),0)</f>
        <v>0</v>
      </c>
      <c r="R1254" s="9">
        <f>IF(L1254&gt;2005,AVERAGE(O1251:O1270),0)</f>
        <v>0</v>
      </c>
      <c r="S1254" s="10">
        <f>IF(A1254=A1255,(N1254-N1255)/N1255,0)</f>
        <v>0</v>
      </c>
      <c r="T1254" s="10">
        <f>IF(L1254&gt;2005,(((N1254-N1274)/N1274)+1)^(1/5)-1,0)</f>
        <v>0</v>
      </c>
      <c r="U1254" s="10">
        <f t="shared" si="38"/>
        <v>0</v>
      </c>
      <c r="V1254" s="26">
        <f t="shared" si="39"/>
        <v>0</v>
      </c>
      <c r="W1254" s="3">
        <f>IF(A1254=A1255,N1254-N1255,0)</f>
        <v>0</v>
      </c>
      <c r="X1254" s="10">
        <f>IF(A1254=A1255,(N1254-N1255)/N1255,0)</f>
        <v>0</v>
      </c>
    </row>
    <row r="1255" spans="1:24" ht="16.5" customHeight="1">
      <c r="A1255" s="3" t="s">
        <v>37</v>
      </c>
      <c r="B1255" s="3">
        <f t="shared" si="32"/>
        <v>2007</v>
      </c>
      <c r="C1255" s="3">
        <f t="shared" si="33"/>
        <v>8</v>
      </c>
      <c r="D1255" s="20" t="str">
        <f t="shared" si="34"/>
        <v>CWT20078</v>
      </c>
      <c r="E1255" s="2">
        <v>39296</v>
      </c>
      <c r="F1255" s="3">
        <v>0.28999999999999998</v>
      </c>
      <c r="G1255" s="2">
        <v>39311</v>
      </c>
      <c r="H1255" s="3">
        <v>3.0300000000000001E-2</v>
      </c>
      <c r="I1255" s="3">
        <v>0</v>
      </c>
      <c r="J1255" s="3">
        <v>0</v>
      </c>
      <c r="K1255" s="3">
        <f t="shared" si="35"/>
        <v>2007</v>
      </c>
      <c r="L1255" s="3">
        <f t="shared" si="36"/>
        <v>0</v>
      </c>
      <c r="M1255" s="20" t="str">
        <f>A1255&amp;L1255</f>
        <v>CWT0</v>
      </c>
      <c r="N1255" s="3">
        <f>F1255/2</f>
        <v>0.14499999999999999</v>
      </c>
      <c r="O1255" s="9">
        <f>H1255</f>
        <v>3.0300000000000001E-2</v>
      </c>
      <c r="P1255" s="10">
        <f t="shared" si="37"/>
        <v>0</v>
      </c>
      <c r="Q1255" s="10">
        <f>IF(K1255=0,IF(A1252=A1255,AVERAGE(O1252:O1255),"x"),0)</f>
        <v>0</v>
      </c>
      <c r="R1255" s="9">
        <f>IF(L1255&gt;2005,AVERAGE(O1252:O1271),0)</f>
        <v>0</v>
      </c>
      <c r="S1255" s="10">
        <f>IF(A1255=A1256,(N1255-N1256)/N1256,0)</f>
        <v>0</v>
      </c>
      <c r="T1255" s="10">
        <f>IF(L1255&gt;2005,(((N1255-N1275)/N1275)+1)^(1/5)-1,0)</f>
        <v>0</v>
      </c>
      <c r="U1255" s="10">
        <f t="shared" si="38"/>
        <v>0</v>
      </c>
      <c r="V1255" s="26">
        <f t="shared" si="39"/>
        <v>0</v>
      </c>
      <c r="W1255" s="3">
        <f>IF(A1255=A1256,N1255-N1256,0)</f>
        <v>0</v>
      </c>
      <c r="X1255" s="10">
        <f>IF(A1255=A1256,(N1255-N1256)/N1256,0)</f>
        <v>0</v>
      </c>
    </row>
    <row r="1256" spans="1:24" ht="16.5" customHeight="1">
      <c r="A1256" s="3" t="s">
        <v>37</v>
      </c>
      <c r="B1256" s="3">
        <f t="shared" si="32"/>
        <v>2007</v>
      </c>
      <c r="C1256" s="3">
        <f t="shared" si="33"/>
        <v>5</v>
      </c>
      <c r="D1256" s="20" t="str">
        <f t="shared" si="34"/>
        <v>CWT20075</v>
      </c>
      <c r="E1256" s="2">
        <v>39205</v>
      </c>
      <c r="F1256" s="3">
        <v>0.28999999999999998</v>
      </c>
      <c r="G1256" s="2">
        <v>39220</v>
      </c>
      <c r="H1256" s="3">
        <v>2.98E-2</v>
      </c>
      <c r="I1256" s="3">
        <v>0</v>
      </c>
      <c r="J1256" s="3">
        <v>0</v>
      </c>
      <c r="K1256" s="3">
        <f t="shared" si="35"/>
        <v>2007</v>
      </c>
      <c r="L1256" s="3">
        <f t="shared" si="36"/>
        <v>0</v>
      </c>
      <c r="M1256" s="20" t="str">
        <f>A1256&amp;L1256</f>
        <v>CWT0</v>
      </c>
      <c r="N1256" s="3">
        <f>F1256/2</f>
        <v>0.14499999999999999</v>
      </c>
      <c r="O1256" s="9">
        <f>H1256</f>
        <v>2.98E-2</v>
      </c>
      <c r="P1256" s="10">
        <f t="shared" si="37"/>
        <v>0</v>
      </c>
      <c r="Q1256" s="10">
        <f>IF(K1256=0,IF(A1253=A1256,AVERAGE(O1253:O1256),"x"),0)</f>
        <v>0</v>
      </c>
      <c r="R1256" s="9">
        <f>IF(L1256&gt;2005,AVERAGE(O1253:O1272),0)</f>
        <v>0</v>
      </c>
      <c r="S1256" s="10">
        <f>IF(A1256=A1257,(N1256-N1257)/N1257,0)</f>
        <v>0</v>
      </c>
      <c r="T1256" s="10">
        <f>IF(L1256&gt;2005,(((N1256-N1276)/N1276)+1)^(1/5)-1,0)</f>
        <v>0</v>
      </c>
      <c r="U1256" s="10">
        <f t="shared" si="38"/>
        <v>0</v>
      </c>
      <c r="V1256" s="26">
        <f t="shared" si="39"/>
        <v>0</v>
      </c>
      <c r="W1256" s="3">
        <f>IF(A1256=A1257,N1256-N1257,0)</f>
        <v>0</v>
      </c>
      <c r="X1256" s="10">
        <f>IF(A1256=A1257,(N1256-N1257)/N1257,0)</f>
        <v>0</v>
      </c>
    </row>
    <row r="1257" spans="1:24" ht="16.5" customHeight="1">
      <c r="A1257" s="3" t="s">
        <v>37</v>
      </c>
      <c r="B1257" s="3">
        <f t="shared" si="32"/>
        <v>2007</v>
      </c>
      <c r="C1257" s="3">
        <f t="shared" si="33"/>
        <v>2</v>
      </c>
      <c r="D1257" s="20" t="str">
        <f t="shared" si="34"/>
        <v>CWT20072</v>
      </c>
      <c r="E1257" s="2">
        <v>39114</v>
      </c>
      <c r="F1257" s="3">
        <v>0.28999999999999998</v>
      </c>
      <c r="G1257" s="2">
        <v>39129</v>
      </c>
      <c r="H1257" s="3">
        <v>2.9000000000000001E-2</v>
      </c>
      <c r="I1257" s="3">
        <v>8.6956519999999999E-3</v>
      </c>
      <c r="J1257" s="3">
        <v>2.5000000000000001E-3</v>
      </c>
      <c r="K1257" s="3">
        <f t="shared" si="35"/>
        <v>0</v>
      </c>
      <c r="L1257" s="3">
        <f t="shared" si="36"/>
        <v>2007</v>
      </c>
      <c r="M1257" s="20" t="str">
        <f>A1257&amp;L1257</f>
        <v>CWT2007</v>
      </c>
      <c r="N1257" s="3">
        <f>F1257/2</f>
        <v>0.14499999999999999</v>
      </c>
      <c r="O1257" s="9">
        <f>H1257</f>
        <v>2.9000000000000001E-2</v>
      </c>
      <c r="P1257" s="10">
        <f t="shared" si="37"/>
        <v>2.9475000000000001E-2</v>
      </c>
      <c r="Q1257" s="10">
        <f>IF(K1257=0,IF(A1254=A1257,AVERAGE(O1254:O1257),"x"),0)</f>
        <v>2.8799999999999999E-2</v>
      </c>
      <c r="R1257" s="9">
        <f>IF(L1257&gt;2005,AVERAGE(O1254:O1273),0)</f>
        <v>3.4004999999999994E-2</v>
      </c>
      <c r="S1257" s="10">
        <f>IF(A1257=A1258,(N1257-N1258)/N1258,0)</f>
        <v>8.6956521739130523E-3</v>
      </c>
      <c r="T1257" s="10">
        <f>IF(L1257&gt;2005,(((N1257-N1277)/N1277)+1)^(1/5)-1,0)</f>
        <v>7.0429496933102076E-3</v>
      </c>
      <c r="U1257" s="10">
        <f t="shared" si="38"/>
        <v>4.1047949693310201E-2</v>
      </c>
      <c r="V1257" s="26">
        <f t="shared" si="39"/>
        <v>4.5308600057260717</v>
      </c>
      <c r="W1257" s="3">
        <f>IF(A1257=A1258,N1257-N1258,0)</f>
        <v>1.2500000000000011E-3</v>
      </c>
      <c r="X1257" s="10">
        <f>IF(A1257=A1258,(N1257-N1258)/N1258,0)</f>
        <v>8.6956521739130523E-3</v>
      </c>
    </row>
    <row r="1258" spans="1:24" ht="16.5" customHeight="1">
      <c r="A1258" s="3" t="s">
        <v>37</v>
      </c>
      <c r="B1258" s="3">
        <f t="shared" si="32"/>
        <v>2006</v>
      </c>
      <c r="C1258" s="3">
        <f t="shared" si="33"/>
        <v>11</v>
      </c>
      <c r="D1258" s="20" t="str">
        <f t="shared" si="34"/>
        <v>CWT200611</v>
      </c>
      <c r="E1258" s="2">
        <v>39023</v>
      </c>
      <c r="F1258" s="3">
        <v>0.28749999999999998</v>
      </c>
      <c r="G1258" s="2">
        <v>39038</v>
      </c>
      <c r="H1258" s="3">
        <v>3.0599999999999999E-2</v>
      </c>
      <c r="I1258" s="3">
        <v>0</v>
      </c>
      <c r="J1258" s="3">
        <v>0</v>
      </c>
      <c r="K1258" s="3">
        <f t="shared" si="35"/>
        <v>2006</v>
      </c>
      <c r="L1258" s="3">
        <f t="shared" si="36"/>
        <v>0</v>
      </c>
      <c r="M1258" s="20" t="str">
        <f>A1258&amp;L1258</f>
        <v>CWT0</v>
      </c>
      <c r="N1258" s="3">
        <f>F1258/2</f>
        <v>0.14374999999999999</v>
      </c>
      <c r="O1258" s="9">
        <f>H1258</f>
        <v>3.0599999999999999E-2</v>
      </c>
      <c r="P1258" s="10">
        <f t="shared" si="37"/>
        <v>0</v>
      </c>
      <c r="Q1258" s="10">
        <f>IF(K1258=0,IF(A1255=A1258,AVERAGE(O1255:O1258),"x"),0)</f>
        <v>0</v>
      </c>
      <c r="R1258" s="9">
        <f>IF(L1258&gt;2005,AVERAGE(O1255:O1274),0)</f>
        <v>0</v>
      </c>
      <c r="S1258" s="10">
        <f>IF(A1258=A1259,(N1258-N1259)/N1259,0)</f>
        <v>0</v>
      </c>
      <c r="T1258" s="10">
        <f>IF(L1258&gt;2005,(((N1258-N1278)/N1278)+1)^(1/5)-1,0)</f>
        <v>0</v>
      </c>
      <c r="U1258" s="10">
        <f t="shared" si="38"/>
        <v>0</v>
      </c>
      <c r="V1258" s="26">
        <f t="shared" si="39"/>
        <v>0</v>
      </c>
      <c r="W1258" s="3">
        <f>IF(A1258=A1259,N1258-N1259,0)</f>
        <v>0</v>
      </c>
      <c r="X1258" s="10">
        <f>IF(A1258=A1259,(N1258-N1259)/N1259,0)</f>
        <v>0</v>
      </c>
    </row>
    <row r="1259" spans="1:24" ht="16.5" customHeight="1">
      <c r="A1259" s="3" t="s">
        <v>37</v>
      </c>
      <c r="B1259" s="3">
        <f t="shared" si="32"/>
        <v>2006</v>
      </c>
      <c r="C1259" s="3">
        <f t="shared" si="33"/>
        <v>8</v>
      </c>
      <c r="D1259" s="20" t="str">
        <f t="shared" si="34"/>
        <v>CWT20068</v>
      </c>
      <c r="E1259" s="2">
        <v>38932</v>
      </c>
      <c r="F1259" s="3">
        <v>0.28749999999999998</v>
      </c>
      <c r="G1259" s="2">
        <v>38947</v>
      </c>
      <c r="H1259" s="3">
        <v>3.1E-2</v>
      </c>
      <c r="I1259" s="3">
        <v>0</v>
      </c>
      <c r="J1259" s="3">
        <v>0</v>
      </c>
      <c r="K1259" s="3">
        <f t="shared" si="35"/>
        <v>2006</v>
      </c>
      <c r="L1259" s="3">
        <f t="shared" si="36"/>
        <v>0</v>
      </c>
      <c r="M1259" s="20" t="str">
        <f>A1259&amp;L1259</f>
        <v>CWT0</v>
      </c>
      <c r="N1259" s="3">
        <f>F1259/2</f>
        <v>0.14374999999999999</v>
      </c>
      <c r="O1259" s="9">
        <f>H1259</f>
        <v>3.1E-2</v>
      </c>
      <c r="P1259" s="10">
        <f t="shared" si="37"/>
        <v>0</v>
      </c>
      <c r="Q1259" s="10">
        <f>IF(K1259=0,IF(A1256=A1259,AVERAGE(O1256:O1259),"x"),0)</f>
        <v>0</v>
      </c>
      <c r="R1259" s="9">
        <f>IF(L1259&gt;2005,AVERAGE(O1256:O1275),0)</f>
        <v>0</v>
      </c>
      <c r="S1259" s="10">
        <f>IF(A1259=A1260,(N1259-N1260)/N1260,0)</f>
        <v>0</v>
      </c>
      <c r="T1259" s="10">
        <f>IF(L1259&gt;2005,(((N1259-N1279)/N1279)+1)^(1/5)-1,0)</f>
        <v>0</v>
      </c>
      <c r="U1259" s="10">
        <f t="shared" si="38"/>
        <v>0</v>
      </c>
      <c r="V1259" s="26">
        <f t="shared" si="39"/>
        <v>0</v>
      </c>
      <c r="W1259" s="3">
        <f>IF(A1259=A1260,N1259-N1260,0)</f>
        <v>0</v>
      </c>
      <c r="X1259" s="10">
        <f>IF(A1259=A1260,(N1259-N1260)/N1260,0)</f>
        <v>0</v>
      </c>
    </row>
    <row r="1260" spans="1:24" ht="16.5" customHeight="1">
      <c r="A1260" s="3" t="s">
        <v>37</v>
      </c>
      <c r="B1260" s="3">
        <f t="shared" si="32"/>
        <v>2006</v>
      </c>
      <c r="C1260" s="3">
        <f t="shared" si="33"/>
        <v>5</v>
      </c>
      <c r="D1260" s="20" t="str">
        <f t="shared" si="34"/>
        <v>CWT20065</v>
      </c>
      <c r="E1260" s="2">
        <v>38841</v>
      </c>
      <c r="F1260" s="3">
        <v>0.28749999999999998</v>
      </c>
      <c r="G1260" s="2">
        <v>38856</v>
      </c>
      <c r="H1260" s="3">
        <v>2.7300000000000001E-2</v>
      </c>
      <c r="I1260" s="3">
        <v>0</v>
      </c>
      <c r="J1260" s="3">
        <v>0</v>
      </c>
      <c r="K1260" s="3">
        <f t="shared" si="35"/>
        <v>2006</v>
      </c>
      <c r="L1260" s="3">
        <f t="shared" si="36"/>
        <v>0</v>
      </c>
      <c r="M1260" s="20" t="str">
        <f>A1260&amp;L1260</f>
        <v>CWT0</v>
      </c>
      <c r="N1260" s="3">
        <f>F1260/2</f>
        <v>0.14374999999999999</v>
      </c>
      <c r="O1260" s="9">
        <f>H1260</f>
        <v>2.7300000000000001E-2</v>
      </c>
      <c r="P1260" s="10">
        <f t="shared" si="37"/>
        <v>0</v>
      </c>
      <c r="Q1260" s="10">
        <f>IF(K1260=0,IF(A1257=A1260,AVERAGE(O1257:O1260),"x"),0)</f>
        <v>0</v>
      </c>
      <c r="R1260" s="9">
        <f>IF(L1260&gt;2005,AVERAGE(O1257:O1276),0)</f>
        <v>0</v>
      </c>
      <c r="S1260" s="10">
        <f>IF(A1260=A1261,(N1260-N1261)/N1261,0)</f>
        <v>0</v>
      </c>
      <c r="T1260" s="10">
        <f>IF(L1260&gt;2005,(((N1260-N1280)/N1280)+1)^(1/5)-1,0)</f>
        <v>0</v>
      </c>
      <c r="U1260" s="10">
        <f t="shared" si="38"/>
        <v>0</v>
      </c>
      <c r="V1260" s="26">
        <f t="shared" si="39"/>
        <v>0</v>
      </c>
      <c r="W1260" s="3">
        <f>IF(A1260=A1261,N1260-N1261,0)</f>
        <v>0</v>
      </c>
      <c r="X1260" s="10">
        <f>IF(A1260=A1261,(N1260-N1261)/N1261,0)</f>
        <v>0</v>
      </c>
    </row>
    <row r="1261" spans="1:24" ht="16.5" customHeight="1">
      <c r="A1261" s="3" t="s">
        <v>37</v>
      </c>
      <c r="B1261" s="3">
        <f t="shared" si="32"/>
        <v>2006</v>
      </c>
      <c r="C1261" s="3">
        <f t="shared" si="33"/>
        <v>2</v>
      </c>
      <c r="D1261" s="20" t="str">
        <f t="shared" si="34"/>
        <v>CWT20062</v>
      </c>
      <c r="E1261" s="2">
        <v>38750</v>
      </c>
      <c r="F1261" s="3">
        <v>0.28749999999999998</v>
      </c>
      <c r="G1261" s="2">
        <v>38765</v>
      </c>
      <c r="H1261" s="3">
        <v>2.7E-2</v>
      </c>
      <c r="I1261" s="3">
        <v>8.7719300000000007E-3</v>
      </c>
      <c r="J1261" s="3">
        <v>2.5000000000000001E-3</v>
      </c>
      <c r="K1261" s="3">
        <f t="shared" si="35"/>
        <v>0</v>
      </c>
      <c r="L1261" s="3">
        <f t="shared" si="36"/>
        <v>2006</v>
      </c>
      <c r="M1261" s="20" t="str">
        <f>A1261&amp;L1261</f>
        <v>CWT2006</v>
      </c>
      <c r="N1261" s="3">
        <f>F1261/2</f>
        <v>0.14374999999999999</v>
      </c>
      <c r="O1261" s="9">
        <f>H1261</f>
        <v>2.7E-2</v>
      </c>
      <c r="P1261" s="10">
        <f t="shared" si="37"/>
        <v>2.93E-2</v>
      </c>
      <c r="Q1261" s="10">
        <f>IF(K1261=0,IF(A1258=A1261,AVERAGE(O1258:O1261),"x"),0)</f>
        <v>2.8975000000000001E-2</v>
      </c>
      <c r="R1261" s="9">
        <f>IF(L1261&gt;2005,AVERAGE(O1258:O1277),0)</f>
        <v>3.7309999999999996E-2</v>
      </c>
      <c r="S1261" s="10">
        <f>IF(A1261=A1262,(N1261-N1262)/N1262,0)</f>
        <v>8.7719298245614117E-3</v>
      </c>
      <c r="T1261" s="10">
        <f>IF(L1261&gt;2005,(((N1261-N1281)/N1281)+1)^(1/5)-1,0)</f>
        <v>6.2006524379343286E-3</v>
      </c>
      <c r="U1261" s="10">
        <f t="shared" si="38"/>
        <v>4.3510652437934325E-2</v>
      </c>
      <c r="V1261" s="26">
        <f t="shared" si="39"/>
        <v>4.4885769455219338</v>
      </c>
      <c r="W1261" s="3">
        <f>IF(A1261=A1262,N1261-N1262,0)</f>
        <v>1.2500000000000011E-3</v>
      </c>
      <c r="X1261" s="10">
        <f>IF(A1261=A1262,(N1261-N1262)/N1262,0)</f>
        <v>8.7719298245614117E-3</v>
      </c>
    </row>
    <row r="1262" spans="1:24" ht="16.5" customHeight="1">
      <c r="A1262" s="3" t="s">
        <v>37</v>
      </c>
      <c r="B1262" s="3">
        <f t="shared" si="32"/>
        <v>2005</v>
      </c>
      <c r="C1262" s="3">
        <f t="shared" si="33"/>
        <v>11</v>
      </c>
      <c r="D1262" s="20" t="str">
        <f t="shared" si="34"/>
        <v>CWT200511</v>
      </c>
      <c r="E1262" s="2">
        <v>38659</v>
      </c>
      <c r="F1262" s="3">
        <v>0.28499999999999998</v>
      </c>
      <c r="G1262" s="2">
        <v>38674</v>
      </c>
      <c r="H1262" s="3">
        <v>3.09E-2</v>
      </c>
      <c r="I1262" s="3">
        <v>0</v>
      </c>
      <c r="J1262" s="3">
        <v>0</v>
      </c>
      <c r="K1262" s="3">
        <f t="shared" si="35"/>
        <v>2005</v>
      </c>
      <c r="L1262" s="3">
        <f t="shared" si="36"/>
        <v>0</v>
      </c>
      <c r="M1262" s="20" t="str">
        <f>A1262&amp;L1262</f>
        <v>CWT0</v>
      </c>
      <c r="N1262" s="3">
        <f>F1262/2</f>
        <v>0.14249999999999999</v>
      </c>
      <c r="O1262" s="9">
        <f>H1262</f>
        <v>3.09E-2</v>
      </c>
      <c r="P1262" s="10">
        <f t="shared" si="37"/>
        <v>0</v>
      </c>
      <c r="Q1262" s="10">
        <f>IF(K1262=0,IF(A1259=A1262,AVERAGE(O1259:O1262),"x"),0)</f>
        <v>0</v>
      </c>
      <c r="R1262" s="9">
        <f>IF(L1262&gt;2005,AVERAGE(O1259:O1278),0)</f>
        <v>0</v>
      </c>
      <c r="S1262" s="10">
        <f>IF(A1262=A1263,(N1262-N1263)/N1263,0)</f>
        <v>0</v>
      </c>
      <c r="T1262" s="10">
        <f>IF(L1262&gt;2005,(((N1262-N1282)/N1282)+1)^(1/5)-1,0)</f>
        <v>0</v>
      </c>
      <c r="U1262" s="10">
        <f t="shared" si="38"/>
        <v>0</v>
      </c>
      <c r="V1262" s="26">
        <f t="shared" si="39"/>
        <v>0</v>
      </c>
      <c r="W1262" s="3">
        <f>IF(A1262=A1263,N1262-N1263,0)</f>
        <v>0</v>
      </c>
      <c r="X1262" s="10">
        <f>IF(A1262=A1263,(N1262-N1263)/N1263,0)</f>
        <v>0</v>
      </c>
    </row>
    <row r="1263" spans="1:24" ht="16.5" customHeight="1">
      <c r="A1263" s="3" t="s">
        <v>37</v>
      </c>
      <c r="B1263" s="3">
        <f t="shared" si="32"/>
        <v>2005</v>
      </c>
      <c r="C1263" s="3">
        <f t="shared" si="33"/>
        <v>8</v>
      </c>
      <c r="D1263" s="20" t="str">
        <f t="shared" si="34"/>
        <v>CWT20058</v>
      </c>
      <c r="E1263" s="2">
        <v>38568</v>
      </c>
      <c r="F1263" s="3">
        <v>0.28499999999999998</v>
      </c>
      <c r="G1263" s="2">
        <v>38583</v>
      </c>
      <c r="H1263" s="3">
        <v>2.7099999999999999E-2</v>
      </c>
      <c r="I1263" s="3">
        <v>0</v>
      </c>
      <c r="J1263" s="3">
        <v>0</v>
      </c>
      <c r="K1263" s="3">
        <f t="shared" si="35"/>
        <v>2005</v>
      </c>
      <c r="L1263" s="3">
        <f t="shared" si="36"/>
        <v>0</v>
      </c>
      <c r="M1263" s="20" t="str">
        <f>A1263&amp;L1263</f>
        <v>CWT0</v>
      </c>
      <c r="N1263" s="3">
        <f>F1263/2</f>
        <v>0.14249999999999999</v>
      </c>
      <c r="O1263" s="9">
        <f>H1263</f>
        <v>2.7099999999999999E-2</v>
      </c>
      <c r="P1263" s="10">
        <f t="shared" si="37"/>
        <v>0</v>
      </c>
      <c r="Q1263" s="10">
        <f>IF(K1263=0,IF(A1260=A1263,AVERAGE(O1260:O1263),"x"),0)</f>
        <v>0</v>
      </c>
      <c r="R1263" s="9">
        <f>IF(L1263&gt;2005,AVERAGE(O1260:O1279),0)</f>
        <v>0</v>
      </c>
      <c r="S1263" s="10">
        <f>IF(A1263=A1264,(N1263-N1264)/N1264,0)</f>
        <v>0</v>
      </c>
      <c r="T1263" s="10">
        <f>IF(L1263&gt;2005,(((N1263-N1283)/N1283)+1)^(1/5)-1,0)</f>
        <v>0</v>
      </c>
      <c r="U1263" s="10">
        <f t="shared" si="38"/>
        <v>0</v>
      </c>
      <c r="V1263" s="26">
        <f t="shared" si="39"/>
        <v>0</v>
      </c>
      <c r="W1263" s="3">
        <f>IF(A1263=A1264,N1263-N1264,0)</f>
        <v>0</v>
      </c>
      <c r="X1263" s="10">
        <f>IF(A1263=A1264,(N1263-N1264)/N1264,0)</f>
        <v>0</v>
      </c>
    </row>
    <row r="1264" spans="1:24" ht="16.5" customHeight="1">
      <c r="A1264" s="3" t="s">
        <v>37</v>
      </c>
      <c r="B1264" s="3">
        <f t="shared" si="32"/>
        <v>2005</v>
      </c>
      <c r="C1264" s="3">
        <f t="shared" si="33"/>
        <v>5</v>
      </c>
      <c r="D1264" s="20" t="str">
        <f t="shared" si="34"/>
        <v>CWT20055</v>
      </c>
      <c r="E1264" s="2">
        <v>38477</v>
      </c>
      <c r="F1264" s="3">
        <v>0.28499999999999998</v>
      </c>
      <c r="G1264" s="2">
        <v>38492</v>
      </c>
      <c r="H1264" s="3">
        <v>3.2199999999999999E-2</v>
      </c>
      <c r="I1264" s="3">
        <v>0</v>
      </c>
      <c r="J1264" s="3">
        <v>0</v>
      </c>
      <c r="K1264" s="3">
        <f t="shared" si="35"/>
        <v>2005</v>
      </c>
      <c r="L1264" s="3">
        <f t="shared" si="36"/>
        <v>0</v>
      </c>
      <c r="M1264" s="20" t="str">
        <f>A1264&amp;L1264</f>
        <v>CWT0</v>
      </c>
      <c r="N1264" s="3">
        <f>F1264/2</f>
        <v>0.14249999999999999</v>
      </c>
      <c r="O1264" s="9">
        <f>H1264</f>
        <v>3.2199999999999999E-2</v>
      </c>
      <c r="P1264" s="10">
        <f t="shared" si="37"/>
        <v>0</v>
      </c>
      <c r="Q1264" s="10">
        <f>IF(K1264=0,IF(A1261=A1264,AVERAGE(O1261:O1264),"x"),0)</f>
        <v>0</v>
      </c>
      <c r="R1264" s="9">
        <f>IF(L1264&gt;2005,AVERAGE(O1261:O1280),0)</f>
        <v>0</v>
      </c>
      <c r="S1264" s="10">
        <f>IF(A1264=A1265,(N1264-N1265)/N1265,0)</f>
        <v>0</v>
      </c>
      <c r="T1264" s="10">
        <f>IF(L1264&gt;2005,(((N1264-N1284)/N1284)+1)^(1/5)-1,0)</f>
        <v>0</v>
      </c>
      <c r="U1264" s="10">
        <f t="shared" si="38"/>
        <v>0</v>
      </c>
      <c r="V1264" s="26">
        <f t="shared" si="39"/>
        <v>0</v>
      </c>
      <c r="W1264" s="3">
        <f>IF(A1264=A1265,N1264-N1265,0)</f>
        <v>0</v>
      </c>
      <c r="X1264" s="10">
        <f>IF(A1264=A1265,(N1264-N1265)/N1265,0)</f>
        <v>0</v>
      </c>
    </row>
    <row r="1265" spans="1:24" ht="16.5" customHeight="1">
      <c r="A1265" s="3" t="s">
        <v>37</v>
      </c>
      <c r="B1265" s="3">
        <f t="shared" si="32"/>
        <v>2005</v>
      </c>
      <c r="C1265" s="3">
        <f t="shared" si="33"/>
        <v>2</v>
      </c>
      <c r="D1265" s="20" t="str">
        <f t="shared" si="34"/>
        <v>CWT20052</v>
      </c>
      <c r="E1265" s="2">
        <v>38386</v>
      </c>
      <c r="F1265" s="3">
        <v>0.28499999999999998</v>
      </c>
      <c r="G1265" s="2">
        <v>38401</v>
      </c>
      <c r="H1265" s="3">
        <v>3.5299999999999998E-2</v>
      </c>
      <c r="I1265" s="3">
        <v>8.8495580000000004E-3</v>
      </c>
      <c r="J1265" s="3">
        <v>2.5000000000000001E-3</v>
      </c>
      <c r="K1265" s="3">
        <f t="shared" si="35"/>
        <v>0</v>
      </c>
      <c r="L1265" s="3">
        <f t="shared" si="36"/>
        <v>2005</v>
      </c>
      <c r="M1265" s="20" t="str">
        <f>A1265&amp;L1265</f>
        <v>CWT2005</v>
      </c>
      <c r="N1265" s="3">
        <f>F1265/2</f>
        <v>0.14249999999999999</v>
      </c>
      <c r="O1265" s="9">
        <f>H1265</f>
        <v>3.5299999999999998E-2</v>
      </c>
      <c r="P1265" s="10">
        <f t="shared" si="37"/>
        <v>3.8199999999999998E-2</v>
      </c>
      <c r="Q1265" s="10">
        <f>IF(K1265=0,IF(A1262=A1265,AVERAGE(O1262:O1265),"x"),0)</f>
        <v>3.1375E-2</v>
      </c>
      <c r="R1265" s="9">
        <f>IF(L1265&gt;2005,AVERAGE(O1262:O1281),0)</f>
        <v>0</v>
      </c>
      <c r="S1265" s="10">
        <f>IF(A1265=A1266,(N1265-N1266)/N1266,0)</f>
        <v>8.8495575221239024E-3</v>
      </c>
      <c r="T1265" s="10">
        <f>IF(L1265&gt;2005,(((N1265-N1285)/N1285)+1)^(1/5)-1,0)</f>
        <v>0</v>
      </c>
      <c r="U1265" s="10">
        <f t="shared" si="38"/>
        <v>0</v>
      </c>
      <c r="V1265" s="26">
        <f t="shared" si="39"/>
        <v>0</v>
      </c>
      <c r="W1265" s="3">
        <f>IF(A1265=A1266,N1265-N1266,0)</f>
        <v>1.2500000000000011E-3</v>
      </c>
      <c r="X1265" s="10">
        <f>IF(A1265=A1266,(N1265-N1266)/N1266,0)</f>
        <v>8.8495575221239024E-3</v>
      </c>
    </row>
    <row r="1266" spans="1:24" ht="16.5" customHeight="1">
      <c r="A1266" s="3" t="s">
        <v>37</v>
      </c>
      <c r="B1266" s="3">
        <f t="shared" si="32"/>
        <v>2004</v>
      </c>
      <c r="C1266" s="3">
        <f t="shared" si="33"/>
        <v>11</v>
      </c>
      <c r="D1266" s="20" t="str">
        <f t="shared" si="34"/>
        <v>CWT200411</v>
      </c>
      <c r="E1266" s="2">
        <v>38295</v>
      </c>
      <c r="F1266" s="3">
        <v>0.28249999999999997</v>
      </c>
      <c r="G1266" s="2">
        <v>38310</v>
      </c>
      <c r="H1266" s="3">
        <v>3.7199999999999997E-2</v>
      </c>
      <c r="I1266" s="3">
        <v>0</v>
      </c>
      <c r="J1266" s="3">
        <v>0</v>
      </c>
      <c r="K1266" s="3">
        <f t="shared" si="35"/>
        <v>2004</v>
      </c>
      <c r="L1266" s="3">
        <f t="shared" si="36"/>
        <v>0</v>
      </c>
      <c r="M1266" s="20" t="str">
        <f>A1266&amp;L1266</f>
        <v>CWT0</v>
      </c>
      <c r="N1266" s="3">
        <f>F1266/2</f>
        <v>0.14124999999999999</v>
      </c>
      <c r="O1266" s="9">
        <f>H1266</f>
        <v>3.7199999999999997E-2</v>
      </c>
      <c r="P1266" s="10">
        <f t="shared" si="37"/>
        <v>0</v>
      </c>
      <c r="Q1266" s="10">
        <f>IF(K1266=0,IF(A1263=A1266,AVERAGE(O1263:O1266),"x"),0)</f>
        <v>0</v>
      </c>
      <c r="R1266" s="9">
        <f>IF(L1266&gt;2005,AVERAGE(O1263:O1282),0)</f>
        <v>0</v>
      </c>
      <c r="S1266" s="10">
        <f>IF(A1266=A1267,(N1266-N1267)/N1267,0)</f>
        <v>0</v>
      </c>
      <c r="T1266" s="10">
        <f>IF(L1266&gt;2005,(((N1266-N1286)/N1286)+1)^(1/5)-1,0)</f>
        <v>0</v>
      </c>
      <c r="U1266" s="10">
        <f t="shared" si="38"/>
        <v>0</v>
      </c>
      <c r="V1266" s="26">
        <f t="shared" si="39"/>
        <v>0</v>
      </c>
      <c r="W1266" s="3">
        <f>IF(A1266=A1267,N1266-N1267,0)</f>
        <v>0</v>
      </c>
      <c r="X1266" s="10">
        <f>IF(A1266=A1267,(N1266-N1267)/N1267,0)</f>
        <v>0</v>
      </c>
    </row>
    <row r="1267" spans="1:24" ht="16.5" customHeight="1">
      <c r="A1267" s="3" t="s">
        <v>37</v>
      </c>
      <c r="B1267" s="3">
        <f t="shared" si="32"/>
        <v>2004</v>
      </c>
      <c r="C1267" s="3">
        <f t="shared" si="33"/>
        <v>8</v>
      </c>
      <c r="D1267" s="20" t="str">
        <f t="shared" si="34"/>
        <v>CWT20048</v>
      </c>
      <c r="E1267" s="2">
        <v>38204</v>
      </c>
      <c r="F1267" s="3">
        <v>0.28249999999999997</v>
      </c>
      <c r="G1267" s="2">
        <v>38219</v>
      </c>
      <c r="H1267" s="3">
        <v>4.0399999999999998E-2</v>
      </c>
      <c r="I1267" s="3">
        <v>0</v>
      </c>
      <c r="J1267" s="3">
        <v>0</v>
      </c>
      <c r="K1267" s="3">
        <f t="shared" si="35"/>
        <v>2004</v>
      </c>
      <c r="L1267" s="3">
        <f t="shared" si="36"/>
        <v>0</v>
      </c>
      <c r="M1267" s="20" t="str">
        <f>A1267&amp;L1267</f>
        <v>CWT0</v>
      </c>
      <c r="N1267" s="3">
        <f>F1267/2</f>
        <v>0.14124999999999999</v>
      </c>
      <c r="O1267" s="9">
        <f>H1267</f>
        <v>4.0399999999999998E-2</v>
      </c>
      <c r="P1267" s="10">
        <f t="shared" si="37"/>
        <v>0</v>
      </c>
      <c r="Q1267" s="10">
        <f>IF(K1267=0,IF(A1264=A1267,AVERAGE(O1264:O1267),"x"),0)</f>
        <v>0</v>
      </c>
      <c r="R1267" s="9">
        <f>IF(L1267&gt;2005,AVERAGE(O1264:O1283),0)</f>
        <v>0</v>
      </c>
      <c r="S1267" s="10">
        <f>IF(A1267=A1268,(N1267-N1268)/N1268,0)</f>
        <v>0</v>
      </c>
      <c r="T1267" s="10">
        <f>IF(L1267&gt;2005,(((N1267-N1287)/N1287)+1)^(1/5)-1,0)</f>
        <v>0</v>
      </c>
      <c r="U1267" s="10">
        <f t="shared" si="38"/>
        <v>0</v>
      </c>
      <c r="V1267" s="26">
        <f t="shared" si="39"/>
        <v>0</v>
      </c>
      <c r="W1267" s="3">
        <f>IF(A1267=A1268,N1267-N1268,0)</f>
        <v>0</v>
      </c>
      <c r="X1267" s="10">
        <f>IF(A1267=A1268,(N1267-N1268)/N1268,0)</f>
        <v>0</v>
      </c>
    </row>
    <row r="1268" spans="1:24" ht="16.5" customHeight="1">
      <c r="A1268" s="3" t="s">
        <v>37</v>
      </c>
      <c r="B1268" s="3">
        <f t="shared" si="32"/>
        <v>2004</v>
      </c>
      <c r="C1268" s="3">
        <f t="shared" si="33"/>
        <v>5</v>
      </c>
      <c r="D1268" s="20" t="str">
        <f t="shared" si="34"/>
        <v>CWT20045</v>
      </c>
      <c r="E1268" s="2">
        <v>38113</v>
      </c>
      <c r="F1268" s="3">
        <v>0.28249999999999997</v>
      </c>
      <c r="G1268" s="2">
        <v>38128</v>
      </c>
      <c r="H1268" s="3">
        <v>3.9899999999999998E-2</v>
      </c>
      <c r="I1268" s="3">
        <v>0</v>
      </c>
      <c r="J1268" s="3">
        <v>0</v>
      </c>
      <c r="K1268" s="3">
        <f t="shared" si="35"/>
        <v>2004</v>
      </c>
      <c r="L1268" s="3">
        <f t="shared" si="36"/>
        <v>0</v>
      </c>
      <c r="M1268" s="20" t="str">
        <f>A1268&amp;L1268</f>
        <v>CWT0</v>
      </c>
      <c r="N1268" s="3">
        <f>F1268/2</f>
        <v>0.14124999999999999</v>
      </c>
      <c r="O1268" s="9">
        <f>H1268</f>
        <v>3.9899999999999998E-2</v>
      </c>
      <c r="P1268" s="10">
        <f t="shared" si="37"/>
        <v>0</v>
      </c>
      <c r="Q1268" s="10">
        <f>IF(K1268=0,IF(A1265=A1268,AVERAGE(O1265:O1268),"x"),0)</f>
        <v>0</v>
      </c>
      <c r="R1268" s="9">
        <f>IF(L1268&gt;2005,AVERAGE(O1265:O1284),0)</f>
        <v>0</v>
      </c>
      <c r="S1268" s="10">
        <f>IF(A1268=A1269,(N1268-N1269)/N1269,0)</f>
        <v>0</v>
      </c>
      <c r="T1268" s="10">
        <f>IF(L1268&gt;2005,(((N1268-N1288)/N1288)+1)^(1/5)-1,0)</f>
        <v>0</v>
      </c>
      <c r="U1268" s="10">
        <f t="shared" si="38"/>
        <v>0</v>
      </c>
      <c r="V1268" s="26">
        <f t="shared" si="39"/>
        <v>0</v>
      </c>
      <c r="W1268" s="3">
        <f>IF(A1268=A1269,N1268-N1269,0)</f>
        <v>0</v>
      </c>
      <c r="X1268" s="10">
        <f>IF(A1268=A1269,(N1268-N1269)/N1269,0)</f>
        <v>0</v>
      </c>
    </row>
    <row r="1269" spans="1:24" ht="16.5" customHeight="1">
      <c r="A1269" s="3" t="s">
        <v>37</v>
      </c>
      <c r="B1269" s="3">
        <f t="shared" si="32"/>
        <v>2004</v>
      </c>
      <c r="C1269" s="3">
        <f t="shared" si="33"/>
        <v>2</v>
      </c>
      <c r="D1269" s="20" t="str">
        <f t="shared" si="34"/>
        <v>CWT20042</v>
      </c>
      <c r="E1269" s="2">
        <v>38021</v>
      </c>
      <c r="F1269" s="3">
        <v>0.28249999999999997</v>
      </c>
      <c r="G1269" s="2">
        <v>38037</v>
      </c>
      <c r="H1269" s="3">
        <v>3.8399999999999997E-2</v>
      </c>
      <c r="I1269" s="3">
        <v>4.4444439999999997E-3</v>
      </c>
      <c r="J1269" s="3">
        <v>1.25E-3</v>
      </c>
      <c r="K1269" s="3">
        <f t="shared" si="35"/>
        <v>0</v>
      </c>
      <c r="L1269" s="3">
        <f t="shared" si="36"/>
        <v>2004</v>
      </c>
      <c r="M1269" s="20" t="str">
        <f>A1269&amp;L1269</f>
        <v>CWT2004</v>
      </c>
      <c r="N1269" s="3">
        <f>F1269/2</f>
        <v>0.14124999999999999</v>
      </c>
      <c r="O1269" s="9">
        <f>H1269</f>
        <v>3.8399999999999997E-2</v>
      </c>
      <c r="P1269" s="10">
        <f t="shared" si="37"/>
        <v>4.0099999999999997E-2</v>
      </c>
      <c r="Q1269" s="10">
        <f>IF(K1269=0,IF(A1266=A1269,AVERAGE(O1266:O1269),"x"),0)</f>
        <v>3.8974999999999996E-2</v>
      </c>
      <c r="R1269" s="9">
        <f>IF(L1269&gt;2005,AVERAGE(O1266:O1285),0)</f>
        <v>0</v>
      </c>
      <c r="S1269" s="10">
        <f>IF(A1269=A1270,(N1269-N1270)/N1270,0)</f>
        <v>4.4444444444443499E-3</v>
      </c>
      <c r="T1269" s="10">
        <f>IF(L1269&gt;2005,(((N1269-N1289)/N1289)+1)^(1/5)-1,0)</f>
        <v>0</v>
      </c>
      <c r="U1269" s="10">
        <f t="shared" si="38"/>
        <v>0</v>
      </c>
      <c r="V1269" s="26">
        <f t="shared" si="39"/>
        <v>0</v>
      </c>
      <c r="W1269" s="3">
        <f>IF(A1269=A1270,N1269-N1270,0)</f>
        <v>6.2499999999998668E-4</v>
      </c>
      <c r="X1269" s="10">
        <f>IF(A1269=A1270,(N1269-N1270)/N1270,0)</f>
        <v>4.4444444444443499E-3</v>
      </c>
    </row>
    <row r="1270" spans="1:24" ht="16.5" customHeight="1">
      <c r="A1270" s="3" t="s">
        <v>37</v>
      </c>
      <c r="B1270" s="3">
        <f t="shared" si="32"/>
        <v>2003</v>
      </c>
      <c r="C1270" s="3">
        <f t="shared" si="33"/>
        <v>10</v>
      </c>
      <c r="D1270" s="20" t="str">
        <f t="shared" si="34"/>
        <v>CWT200310</v>
      </c>
      <c r="E1270" s="2">
        <v>37923</v>
      </c>
      <c r="F1270" s="3">
        <v>0.28125</v>
      </c>
      <c r="G1270" s="2">
        <v>37939</v>
      </c>
      <c r="H1270" s="3">
        <v>4.2000000000000003E-2</v>
      </c>
      <c r="I1270" s="3">
        <v>0</v>
      </c>
      <c r="J1270" s="3">
        <v>0</v>
      </c>
      <c r="K1270" s="3">
        <f t="shared" si="35"/>
        <v>2003</v>
      </c>
      <c r="L1270" s="3">
        <f t="shared" si="36"/>
        <v>0</v>
      </c>
      <c r="M1270" s="20" t="str">
        <f>A1270&amp;L1270</f>
        <v>CWT0</v>
      </c>
      <c r="N1270" s="3">
        <f>F1270/2</f>
        <v>0.140625</v>
      </c>
      <c r="O1270" s="9">
        <f>H1270</f>
        <v>4.2000000000000003E-2</v>
      </c>
      <c r="P1270" s="10">
        <f t="shared" si="37"/>
        <v>0</v>
      </c>
      <c r="Q1270" s="10">
        <f>IF(K1270=0,IF(A1267=A1270,AVERAGE(O1267:O1270),"x"),0)</f>
        <v>0</v>
      </c>
      <c r="R1270" s="9">
        <f>IF(L1270&gt;2005,AVERAGE(O1267:O1286),0)</f>
        <v>0</v>
      </c>
      <c r="S1270" s="10">
        <f>IF(A1270=A1271,(N1270-N1271)/N1271,0)</f>
        <v>0</v>
      </c>
      <c r="T1270" s="10">
        <f>IF(L1270&gt;2005,(((N1270-N1290)/N1290)+1)^(1/5)-1,0)</f>
        <v>0</v>
      </c>
      <c r="U1270" s="10">
        <f t="shared" si="38"/>
        <v>0</v>
      </c>
      <c r="V1270" s="26">
        <f t="shared" si="39"/>
        <v>0</v>
      </c>
      <c r="W1270" s="3">
        <f>IF(A1270=A1271,N1270-N1271,0)</f>
        <v>0</v>
      </c>
      <c r="X1270" s="10">
        <f>IF(A1270=A1271,(N1270-N1271)/N1271,0)</f>
        <v>0</v>
      </c>
    </row>
    <row r="1271" spans="1:24" ht="16.5" customHeight="1">
      <c r="A1271" s="3" t="s">
        <v>37</v>
      </c>
      <c r="B1271" s="3">
        <f t="shared" si="32"/>
        <v>2003</v>
      </c>
      <c r="C1271" s="3">
        <f t="shared" si="33"/>
        <v>7</v>
      </c>
      <c r="D1271" s="20" t="str">
        <f t="shared" si="34"/>
        <v>CWT20037</v>
      </c>
      <c r="E1271" s="2">
        <v>37832</v>
      </c>
      <c r="F1271" s="3">
        <v>0.28125</v>
      </c>
      <c r="G1271" s="2">
        <v>37848</v>
      </c>
      <c r="H1271" s="3">
        <v>3.8800000000000001E-2</v>
      </c>
      <c r="I1271" s="3">
        <v>0</v>
      </c>
      <c r="J1271" s="3">
        <v>0</v>
      </c>
      <c r="K1271" s="3">
        <f t="shared" si="35"/>
        <v>2003</v>
      </c>
      <c r="L1271" s="3">
        <f t="shared" si="36"/>
        <v>0</v>
      </c>
      <c r="M1271" s="20" t="str">
        <f>A1271&amp;L1271</f>
        <v>CWT0</v>
      </c>
      <c r="N1271" s="3">
        <f>F1271/2</f>
        <v>0.140625</v>
      </c>
      <c r="O1271" s="9">
        <f>H1271</f>
        <v>3.8800000000000001E-2</v>
      </c>
      <c r="P1271" s="10">
        <f t="shared" si="37"/>
        <v>0</v>
      </c>
      <c r="Q1271" s="10">
        <f>IF(K1271=0,IF(A1268=A1271,AVERAGE(O1268:O1271),"x"),0)</f>
        <v>0</v>
      </c>
      <c r="R1271" s="9">
        <f>IF(L1271&gt;2005,AVERAGE(O1268:O1287),0)</f>
        <v>0</v>
      </c>
      <c r="S1271" s="10">
        <f>IF(A1271=A1272,(N1271-N1272)/N1272,0)</f>
        <v>0</v>
      </c>
      <c r="T1271" s="10">
        <f>IF(L1271&gt;2005,(((N1271-N1291)/N1291)+1)^(1/5)-1,0)</f>
        <v>0</v>
      </c>
      <c r="U1271" s="10">
        <f t="shared" si="38"/>
        <v>0</v>
      </c>
      <c r="V1271" s="26">
        <f t="shared" si="39"/>
        <v>0</v>
      </c>
      <c r="W1271" s="3">
        <f>IF(A1271=A1272,N1271-N1272,0)</f>
        <v>0</v>
      </c>
      <c r="X1271" s="10">
        <f>IF(A1271=A1272,(N1271-N1272)/N1272,0)</f>
        <v>0</v>
      </c>
    </row>
    <row r="1272" spans="1:24" ht="16.5" customHeight="1">
      <c r="A1272" s="3" t="s">
        <v>37</v>
      </c>
      <c r="B1272" s="3">
        <f t="shared" si="32"/>
        <v>2003</v>
      </c>
      <c r="C1272" s="3">
        <f t="shared" si="33"/>
        <v>4</v>
      </c>
      <c r="D1272" s="20" t="str">
        <f t="shared" si="34"/>
        <v>CWT20034</v>
      </c>
      <c r="E1272" s="2">
        <v>37741</v>
      </c>
      <c r="F1272" s="3">
        <v>0.28125</v>
      </c>
      <c r="G1272" s="2">
        <v>37757</v>
      </c>
      <c r="H1272" s="3">
        <v>4.1200000000000001E-2</v>
      </c>
      <c r="I1272" s="3">
        <v>0</v>
      </c>
      <c r="J1272" s="3">
        <v>0</v>
      </c>
      <c r="K1272" s="3">
        <f t="shared" si="35"/>
        <v>2003</v>
      </c>
      <c r="L1272" s="3">
        <f t="shared" si="36"/>
        <v>0</v>
      </c>
      <c r="M1272" s="20" t="str">
        <f>A1272&amp;L1272</f>
        <v>CWT0</v>
      </c>
      <c r="N1272" s="3">
        <f>F1272/2</f>
        <v>0.140625</v>
      </c>
      <c r="O1272" s="9">
        <f>H1272</f>
        <v>4.1200000000000001E-2</v>
      </c>
      <c r="P1272" s="10">
        <f t="shared" si="37"/>
        <v>0</v>
      </c>
      <c r="Q1272" s="10">
        <f>IF(K1272=0,IF(A1269=A1272,AVERAGE(O1269:O1272),"x"),0)</f>
        <v>0</v>
      </c>
      <c r="R1272" s="9">
        <f>IF(L1272&gt;2005,AVERAGE(O1269:O1288),0)</f>
        <v>0</v>
      </c>
      <c r="S1272" s="10">
        <f>IF(A1272=A1273,(N1272-N1273)/N1273,0)</f>
        <v>0</v>
      </c>
      <c r="T1272" s="10">
        <f>IF(L1272&gt;2005,(((N1272-N1292)/N1292)+1)^(1/5)-1,0)</f>
        <v>0</v>
      </c>
      <c r="U1272" s="10">
        <f t="shared" si="38"/>
        <v>0</v>
      </c>
      <c r="V1272" s="26">
        <f t="shared" si="39"/>
        <v>0</v>
      </c>
      <c r="W1272" s="3">
        <f>IF(A1272=A1273,N1272-N1273,0)</f>
        <v>0</v>
      </c>
      <c r="X1272" s="10">
        <f>IF(A1272=A1273,(N1272-N1273)/N1273,0)</f>
        <v>0</v>
      </c>
    </row>
    <row r="1273" spans="1:24" ht="16.5" customHeight="1">
      <c r="A1273" s="3" t="s">
        <v>37</v>
      </c>
      <c r="B1273" s="3">
        <f t="shared" si="32"/>
        <v>2003</v>
      </c>
      <c r="C1273" s="3">
        <f t="shared" si="33"/>
        <v>2</v>
      </c>
      <c r="D1273" s="20" t="str">
        <f t="shared" si="34"/>
        <v>CWT20032</v>
      </c>
      <c r="E1273" s="2">
        <v>37657</v>
      </c>
      <c r="F1273" s="3">
        <v>0.28125</v>
      </c>
      <c r="G1273" s="2">
        <v>37673</v>
      </c>
      <c r="H1273" s="3">
        <v>4.5600000000000002E-2</v>
      </c>
      <c r="I1273" s="3">
        <v>4.4642859999999996E-3</v>
      </c>
      <c r="J1273" s="3">
        <v>1.25E-3</v>
      </c>
      <c r="K1273" s="3">
        <f t="shared" si="35"/>
        <v>0</v>
      </c>
      <c r="L1273" s="3">
        <f t="shared" si="36"/>
        <v>2003</v>
      </c>
      <c r="M1273" s="20" t="str">
        <f>A1273&amp;L1273</f>
        <v>CWT2003</v>
      </c>
      <c r="N1273" s="3">
        <f>F1273/2</f>
        <v>0.140625</v>
      </c>
      <c r="O1273" s="9">
        <f>H1273</f>
        <v>4.5600000000000002E-2</v>
      </c>
      <c r="P1273" s="10">
        <f t="shared" si="37"/>
        <v>4.5249999999999999E-2</v>
      </c>
      <c r="Q1273" s="10">
        <f>IF(K1273=0,IF(A1270=A1273,AVERAGE(O1270:O1273),"x"),0)</f>
        <v>4.1900000000000007E-2</v>
      </c>
      <c r="R1273" s="9">
        <f>IF(L1273&gt;2005,AVERAGE(O1270:O1289),0)</f>
        <v>0</v>
      </c>
      <c r="S1273" s="10">
        <f>IF(A1273=A1274,(N1273-N1274)/N1274,0)</f>
        <v>4.4642857142856186E-3</v>
      </c>
      <c r="T1273" s="10">
        <f>IF(L1273&gt;2005,(((N1273-N1293)/N1293)+1)^(1/5)-1,0)</f>
        <v>0</v>
      </c>
      <c r="U1273" s="10">
        <f t="shared" si="38"/>
        <v>0</v>
      </c>
      <c r="V1273" s="26">
        <f t="shared" si="39"/>
        <v>0</v>
      </c>
      <c r="W1273" s="3">
        <f>IF(A1273=A1274,N1273-N1274,0)</f>
        <v>6.2499999999998668E-4</v>
      </c>
      <c r="X1273" s="10">
        <f>IF(A1273=A1274,(N1273-N1274)/N1274,0)</f>
        <v>4.4642857142856186E-3</v>
      </c>
    </row>
    <row r="1274" spans="1:24" ht="16.5" customHeight="1">
      <c r="A1274" s="3" t="s">
        <v>37</v>
      </c>
      <c r="B1274" s="3">
        <f t="shared" si="32"/>
        <v>2002</v>
      </c>
      <c r="C1274" s="3">
        <f t="shared" si="33"/>
        <v>10</v>
      </c>
      <c r="D1274" s="20" t="str">
        <f t="shared" si="34"/>
        <v>CWT200210</v>
      </c>
      <c r="E1274" s="2">
        <v>37560</v>
      </c>
      <c r="F1274" s="3">
        <v>0.28000000000000003</v>
      </c>
      <c r="G1274" s="2">
        <v>37578</v>
      </c>
      <c r="H1274" s="3">
        <v>4.4600000000000001E-2</v>
      </c>
      <c r="I1274" s="3">
        <v>0</v>
      </c>
      <c r="J1274" s="3">
        <v>0</v>
      </c>
      <c r="K1274" s="3">
        <f t="shared" si="35"/>
        <v>2002</v>
      </c>
      <c r="L1274" s="3">
        <f t="shared" si="36"/>
        <v>0</v>
      </c>
      <c r="M1274" s="20" t="str">
        <f>A1274&amp;L1274</f>
        <v>CWT0</v>
      </c>
      <c r="N1274" s="3">
        <f>F1274/2</f>
        <v>0.14000000000000001</v>
      </c>
      <c r="O1274" s="9">
        <f>H1274</f>
        <v>4.4600000000000001E-2</v>
      </c>
      <c r="P1274" s="10">
        <f t="shared" si="37"/>
        <v>0</v>
      </c>
      <c r="Q1274" s="10">
        <f>IF(K1274=0,IF(A1271=A1274,AVERAGE(O1271:O1274),"x"),0)</f>
        <v>0</v>
      </c>
      <c r="R1274" s="9">
        <f>IF(L1274&gt;2005,AVERAGE(O1271:O1290),0)</f>
        <v>0</v>
      </c>
      <c r="S1274" s="10">
        <f>IF(A1274=A1275,(N1274-N1275)/N1275,0)</f>
        <v>0</v>
      </c>
      <c r="T1274" s="10">
        <f>IF(L1274&gt;2005,(((N1274-N1294)/N1294)+1)^(1/5)-1,0)</f>
        <v>0</v>
      </c>
      <c r="U1274" s="10">
        <f t="shared" si="38"/>
        <v>0</v>
      </c>
      <c r="V1274" s="26">
        <f t="shared" si="39"/>
        <v>0</v>
      </c>
      <c r="W1274" s="3">
        <f>IF(A1274=A1275,N1274-N1275,0)</f>
        <v>0</v>
      </c>
      <c r="X1274" s="10">
        <f>IF(A1274=A1275,(N1274-N1275)/N1275,0)</f>
        <v>0</v>
      </c>
    </row>
    <row r="1275" spans="1:24" ht="16.5" customHeight="1">
      <c r="A1275" s="3" t="s">
        <v>37</v>
      </c>
      <c r="B1275" s="3">
        <f t="shared" si="32"/>
        <v>2002</v>
      </c>
      <c r="C1275" s="3">
        <f t="shared" si="33"/>
        <v>8</v>
      </c>
      <c r="D1275" s="20" t="str">
        <f t="shared" si="34"/>
        <v>CWT20028</v>
      </c>
      <c r="E1275" s="2">
        <v>37469</v>
      </c>
      <c r="F1275" s="3">
        <v>0.28000000000000003</v>
      </c>
      <c r="G1275" s="2">
        <v>37487</v>
      </c>
      <c r="H1275" s="3">
        <v>4.6100000000000002E-2</v>
      </c>
      <c r="I1275" s="3">
        <v>0</v>
      </c>
      <c r="J1275" s="3">
        <v>0</v>
      </c>
      <c r="K1275" s="3">
        <f t="shared" si="35"/>
        <v>2002</v>
      </c>
      <c r="L1275" s="3">
        <f t="shared" si="36"/>
        <v>0</v>
      </c>
      <c r="M1275" s="20" t="str">
        <f>A1275&amp;L1275</f>
        <v>CWT0</v>
      </c>
      <c r="N1275" s="3">
        <f>F1275/2</f>
        <v>0.14000000000000001</v>
      </c>
      <c r="O1275" s="9">
        <f>H1275</f>
        <v>4.6100000000000002E-2</v>
      </c>
      <c r="P1275" s="10">
        <f t="shared" si="37"/>
        <v>0</v>
      </c>
      <c r="Q1275" s="10">
        <f>IF(K1275=0,IF(A1272=A1275,AVERAGE(O1272:O1275),"x"),0)</f>
        <v>0</v>
      </c>
      <c r="R1275" s="9">
        <f>IF(L1275&gt;2005,AVERAGE(O1272:O1291),0)</f>
        <v>0</v>
      </c>
      <c r="S1275" s="10">
        <f>IF(A1275=A1276,(N1275-N1276)/N1276,0)</f>
        <v>0</v>
      </c>
      <c r="T1275" s="10">
        <f>IF(L1275&gt;2005,(((N1275-N1295)/N1295)+1)^(1/5)-1,0)</f>
        <v>0</v>
      </c>
      <c r="U1275" s="10">
        <f t="shared" si="38"/>
        <v>0</v>
      </c>
      <c r="V1275" s="26">
        <f t="shared" si="39"/>
        <v>0</v>
      </c>
      <c r="W1275" s="3">
        <f>IF(A1275=A1276,N1275-N1276,0)</f>
        <v>0</v>
      </c>
      <c r="X1275" s="10">
        <f>IF(A1275=A1276,(N1275-N1276)/N1276,0)</f>
        <v>0</v>
      </c>
    </row>
    <row r="1276" spans="1:24" ht="16.5" customHeight="1">
      <c r="A1276" s="3" t="s">
        <v>37</v>
      </c>
      <c r="B1276" s="3">
        <f t="shared" si="32"/>
        <v>2002</v>
      </c>
      <c r="C1276" s="3">
        <f t="shared" si="33"/>
        <v>5</v>
      </c>
      <c r="D1276" s="20" t="str">
        <f t="shared" si="34"/>
        <v>CWT20025</v>
      </c>
      <c r="E1276" s="2">
        <v>37378</v>
      </c>
      <c r="F1276" s="3">
        <v>0.28000000000000003</v>
      </c>
      <c r="G1276" s="2">
        <v>37396</v>
      </c>
      <c r="H1276" s="3">
        <v>4.4699999999999997E-2</v>
      </c>
      <c r="I1276" s="3">
        <v>0</v>
      </c>
      <c r="J1276" s="3">
        <v>0</v>
      </c>
      <c r="K1276" s="3">
        <f t="shared" si="35"/>
        <v>2002</v>
      </c>
      <c r="L1276" s="3">
        <f t="shared" si="36"/>
        <v>0</v>
      </c>
      <c r="M1276" s="20" t="str">
        <f>A1276&amp;L1276</f>
        <v>CWT0</v>
      </c>
      <c r="N1276" s="3">
        <f>F1276/2</f>
        <v>0.14000000000000001</v>
      </c>
      <c r="O1276" s="9">
        <f>H1276</f>
        <v>4.4699999999999997E-2</v>
      </c>
      <c r="P1276" s="10">
        <f t="shared" si="37"/>
        <v>0</v>
      </c>
      <c r="Q1276" s="10">
        <f>IF(K1276=0,IF(A1273=A1276,AVERAGE(O1273:O1276),"x"),0)</f>
        <v>0</v>
      </c>
      <c r="R1276" s="9">
        <f>IF(L1276&gt;2005,AVERAGE(O1273:O1292),0)</f>
        <v>0</v>
      </c>
      <c r="S1276" s="10">
        <f>IF(A1276=A1277,(N1276-N1277)/N1277,0)</f>
        <v>0</v>
      </c>
      <c r="T1276" s="10">
        <f>IF(L1276&gt;2005,(((N1276-N1296)/N1296)+1)^(1/5)-1,0)</f>
        <v>0</v>
      </c>
      <c r="U1276" s="10">
        <f t="shared" si="38"/>
        <v>0</v>
      </c>
      <c r="V1276" s="26">
        <f t="shared" si="39"/>
        <v>0</v>
      </c>
      <c r="W1276" s="3">
        <f>IF(A1276=A1277,N1276-N1277,0)</f>
        <v>0</v>
      </c>
      <c r="X1276" s="10">
        <f>IF(A1276=A1277,(N1276-N1277)/N1277,0)</f>
        <v>0</v>
      </c>
    </row>
    <row r="1277" spans="1:24" ht="16.5" customHeight="1">
      <c r="A1277" s="3" t="s">
        <v>37</v>
      </c>
      <c r="B1277" s="3">
        <f t="shared" ref="B1277:B1531" si="40">YEAR(E1277)</f>
        <v>2002</v>
      </c>
      <c r="C1277" s="3">
        <f t="shared" ref="C1277:C1531" si="41">MONTH(E1277)</f>
        <v>2</v>
      </c>
      <c r="D1277" s="20" t="str">
        <f t="shared" ref="D1277:D1531" si="42">A1277&amp;B1277&amp;C1277</f>
        <v>CWT20022</v>
      </c>
      <c r="E1277" s="2">
        <v>37293</v>
      </c>
      <c r="F1277" s="3">
        <v>0.28000000000000003</v>
      </c>
      <c r="G1277" s="2">
        <v>37309</v>
      </c>
      <c r="H1277" s="3">
        <v>4.5900000000000003E-2</v>
      </c>
      <c r="I1277" s="3">
        <v>4.4843050000000001E-3</v>
      </c>
      <c r="J1277" s="3">
        <v>1.25E-3</v>
      </c>
      <c r="K1277" s="3">
        <f t="shared" ref="K1277:K1531" si="43">IF(YEAR(E1277)=YEAR(E1278),YEAR(E1277),0)</f>
        <v>0</v>
      </c>
      <c r="L1277" s="3">
        <f t="shared" ref="L1277:L1531" si="44">IF(K1277=0,K1276,0)</f>
        <v>2002</v>
      </c>
      <c r="M1277" s="20" t="str">
        <f>A1277&amp;L1277</f>
        <v>CWT2002</v>
      </c>
      <c r="N1277" s="3">
        <f>F1277/2</f>
        <v>0.14000000000000001</v>
      </c>
      <c r="O1277" s="9">
        <f>H1277</f>
        <v>4.5900000000000003E-2</v>
      </c>
      <c r="P1277" s="10">
        <f t="shared" ref="P1277:P1531" si="45">IF(S1277&gt;0,SUM(O1277:O1280)/4,0)</f>
        <v>4.3950000000000003E-2</v>
      </c>
      <c r="Q1277" s="10">
        <f>IF(K1277=0,IF(A1274=A1277,AVERAGE(O1274:O1277),"x"),0)</f>
        <v>4.5324999999999997E-2</v>
      </c>
      <c r="R1277" s="9">
        <f>IF(L1277&gt;2005,AVERAGE(O1274:O1293),0)</f>
        <v>0</v>
      </c>
      <c r="S1277" s="10">
        <f>IF(A1277=A1278,(N1277-N1278)/N1278,0)</f>
        <v>4.48430493273553E-3</v>
      </c>
      <c r="T1277" s="10">
        <f>IF(L1277&gt;2005,(((N1277-N1297)/N1297)+1)^(1/5)-1,0)</f>
        <v>0</v>
      </c>
      <c r="U1277" s="10">
        <f t="shared" si="38"/>
        <v>0</v>
      </c>
      <c r="V1277" s="26">
        <f t="shared" si="39"/>
        <v>0</v>
      </c>
      <c r="W1277" s="3">
        <f>IF(A1277=A1278,N1277-N1278,0)</f>
        <v>6.2500000000001443E-4</v>
      </c>
      <c r="X1277" s="10">
        <f>IF(A1277=A1278,(N1277-N1278)/N1278,0)</f>
        <v>4.48430493273553E-3</v>
      </c>
    </row>
    <row r="1278" spans="1:24" ht="16.5" customHeight="1">
      <c r="A1278" s="3" t="s">
        <v>37</v>
      </c>
      <c r="B1278" s="3">
        <f t="shared" si="40"/>
        <v>2001</v>
      </c>
      <c r="C1278" s="3">
        <f t="shared" si="41"/>
        <v>10</v>
      </c>
      <c r="D1278" s="20" t="str">
        <f t="shared" si="42"/>
        <v>CWT200110</v>
      </c>
      <c r="E1278" s="2">
        <v>37194</v>
      </c>
      <c r="F1278" s="3">
        <v>0.27875</v>
      </c>
      <c r="G1278" s="2">
        <v>37210</v>
      </c>
      <c r="H1278" s="3">
        <v>4.2299999999999997E-2</v>
      </c>
      <c r="I1278" s="3">
        <v>0</v>
      </c>
      <c r="J1278" s="3">
        <v>0</v>
      </c>
      <c r="K1278" s="3">
        <f t="shared" si="43"/>
        <v>2001</v>
      </c>
      <c r="L1278" s="3">
        <f t="shared" si="44"/>
        <v>0</v>
      </c>
      <c r="M1278" s="20" t="str">
        <f>A1278&amp;L1278</f>
        <v>CWT0</v>
      </c>
      <c r="N1278" s="3">
        <f>F1278/2</f>
        <v>0.139375</v>
      </c>
      <c r="O1278" s="9">
        <f>H1278</f>
        <v>4.2299999999999997E-2</v>
      </c>
      <c r="P1278" s="10">
        <f t="shared" si="45"/>
        <v>0</v>
      </c>
      <c r="Q1278" s="10">
        <f>IF(K1278=0,IF(A1275=A1278,AVERAGE(O1275:O1278),"x"),0)</f>
        <v>0</v>
      </c>
      <c r="R1278" s="9">
        <f>IF(L1278&gt;2005,AVERAGE(O1275:O1294),0)</f>
        <v>0</v>
      </c>
      <c r="S1278" s="10">
        <f>IF(A1278=A1279,(N1278-N1279)/N1279,0)</f>
        <v>0</v>
      </c>
      <c r="T1278" s="10">
        <f>IF(L1278&gt;2005,(((N1278-N1298)/N1298)+1)^(1/5)-1,0)</f>
        <v>0</v>
      </c>
      <c r="U1278" s="10">
        <f t="shared" si="38"/>
        <v>0</v>
      </c>
      <c r="V1278" s="26">
        <f t="shared" si="39"/>
        <v>0</v>
      </c>
      <c r="W1278" s="3">
        <f>IF(A1278=A1279,N1278-N1279,0)</f>
        <v>0</v>
      </c>
      <c r="X1278" s="10">
        <f>IF(A1278=A1279,(N1278-N1279)/N1279,0)</f>
        <v>0</v>
      </c>
    </row>
    <row r="1279" spans="1:24" ht="16.5" customHeight="1">
      <c r="A1279" s="3" t="s">
        <v>37</v>
      </c>
      <c r="B1279" s="3">
        <f t="shared" si="40"/>
        <v>2001</v>
      </c>
      <c r="C1279" s="3">
        <f t="shared" si="41"/>
        <v>7</v>
      </c>
      <c r="D1279" s="20" t="str">
        <f t="shared" si="42"/>
        <v>CWT20017</v>
      </c>
      <c r="E1279" s="2">
        <v>37102</v>
      </c>
      <c r="F1279" s="3">
        <v>0.27875</v>
      </c>
      <c r="G1279" s="2">
        <v>37118</v>
      </c>
      <c r="H1279" s="3">
        <v>4.58E-2</v>
      </c>
      <c r="I1279" s="3">
        <v>0</v>
      </c>
      <c r="J1279" s="3">
        <v>0</v>
      </c>
      <c r="K1279" s="3">
        <f t="shared" si="43"/>
        <v>2001</v>
      </c>
      <c r="L1279" s="3">
        <f t="shared" si="44"/>
        <v>0</v>
      </c>
      <c r="M1279" s="20" t="str">
        <f>A1279&amp;L1279</f>
        <v>CWT0</v>
      </c>
      <c r="N1279" s="3">
        <f>F1279/2</f>
        <v>0.139375</v>
      </c>
      <c r="O1279" s="9">
        <f>H1279</f>
        <v>4.58E-2</v>
      </c>
      <c r="P1279" s="10">
        <f t="shared" si="45"/>
        <v>0</v>
      </c>
      <c r="Q1279" s="10">
        <f>IF(K1279=0,IF(A1276=A1279,AVERAGE(O1276:O1279),"x"),0)</f>
        <v>0</v>
      </c>
      <c r="R1279" s="9">
        <f>IF(L1279&gt;2005,AVERAGE(O1276:O1295),0)</f>
        <v>0</v>
      </c>
      <c r="S1279" s="10">
        <f>IF(A1279=A1280,(N1279-N1280)/N1280,0)</f>
        <v>0</v>
      </c>
      <c r="T1279" s="10">
        <f>IF(L1279&gt;2005,(((N1279-N1299)/N1299)+1)^(1/5)-1,0)</f>
        <v>0</v>
      </c>
      <c r="U1279" s="10">
        <f t="shared" si="38"/>
        <v>0</v>
      </c>
      <c r="V1279" s="26">
        <f t="shared" si="39"/>
        <v>0</v>
      </c>
      <c r="W1279" s="3">
        <f>IF(A1279=A1280,N1279-N1280,0)</f>
        <v>0</v>
      </c>
      <c r="X1279" s="10">
        <f>IF(A1279=A1280,(N1279-N1280)/N1280,0)</f>
        <v>0</v>
      </c>
    </row>
    <row r="1280" spans="1:24" ht="16.5" customHeight="1">
      <c r="A1280" s="3" t="s">
        <v>37</v>
      </c>
      <c r="B1280" s="3">
        <f t="shared" si="40"/>
        <v>2001</v>
      </c>
      <c r="C1280" s="3">
        <f t="shared" si="41"/>
        <v>4</v>
      </c>
      <c r="D1280" s="20" t="str">
        <f t="shared" si="42"/>
        <v>CWT20014</v>
      </c>
      <c r="E1280" s="2">
        <v>37008</v>
      </c>
      <c r="F1280" s="3">
        <v>0.27875</v>
      </c>
      <c r="G1280" s="2">
        <v>37026</v>
      </c>
      <c r="H1280" s="3">
        <v>4.1799999999999997E-2</v>
      </c>
      <c r="I1280" s="3">
        <v>0</v>
      </c>
      <c r="J1280" s="3">
        <v>0</v>
      </c>
      <c r="K1280" s="3">
        <f t="shared" si="43"/>
        <v>2001</v>
      </c>
      <c r="L1280" s="3">
        <f t="shared" si="44"/>
        <v>0</v>
      </c>
      <c r="M1280" s="20" t="str">
        <f>A1280&amp;L1280</f>
        <v>CWT0</v>
      </c>
      <c r="N1280" s="3">
        <f>F1280/2</f>
        <v>0.139375</v>
      </c>
      <c r="O1280" s="9">
        <f>H1280</f>
        <v>4.1799999999999997E-2</v>
      </c>
      <c r="P1280" s="10">
        <f t="shared" si="45"/>
        <v>0</v>
      </c>
      <c r="Q1280" s="10">
        <f>IF(K1280=0,IF(A1277=A1280,AVERAGE(O1277:O1280),"x"),0)</f>
        <v>0</v>
      </c>
      <c r="R1280" s="9">
        <f>IF(L1280&gt;2005,AVERAGE(O1277:O1296),0)</f>
        <v>0</v>
      </c>
      <c r="S1280" s="10">
        <f>IF(A1280=A1281,(N1280-N1281)/N1281,0)</f>
        <v>0</v>
      </c>
      <c r="T1280" s="10">
        <f>IF(L1280&gt;2005,(((N1280-N1300)/N1300)+1)^(1/5)-1,0)</f>
        <v>0</v>
      </c>
      <c r="U1280" s="10">
        <f t="shared" ref="U1280:U1534" si="46">IF(T1280&gt;0,R1280+T1280,0)</f>
        <v>0</v>
      </c>
      <c r="V1280" s="26">
        <f t="shared" ref="V1280:V1534" si="47">IF(U1280&gt;0,(1+T1280)*(1-((1+T1280)/(1+U1280))^5)/(U1280-T1280),0)</f>
        <v>0</v>
      </c>
      <c r="W1280" s="3">
        <f>IF(A1280=A1281,N1280-N1281,0)</f>
        <v>0</v>
      </c>
      <c r="X1280" s="10">
        <f>IF(A1280=A1281,(N1280-N1281)/N1281,0)</f>
        <v>0</v>
      </c>
    </row>
    <row r="1281" spans="1:24" ht="16.5" customHeight="1">
      <c r="A1281" s="3" t="s">
        <v>37</v>
      </c>
      <c r="B1281" s="3">
        <f t="shared" si="40"/>
        <v>2001</v>
      </c>
      <c r="C1281" s="3">
        <f t="shared" si="41"/>
        <v>1</v>
      </c>
      <c r="D1281" s="20" t="str">
        <f t="shared" si="42"/>
        <v>CWT20011</v>
      </c>
      <c r="E1281" s="2">
        <v>36921</v>
      </c>
      <c r="F1281" s="3">
        <v>0.27875</v>
      </c>
      <c r="G1281" s="2">
        <v>36937</v>
      </c>
      <c r="H1281" s="3">
        <v>4.5100000000000001E-2</v>
      </c>
      <c r="I1281" s="3">
        <v>1.3636364E-2</v>
      </c>
      <c r="J1281" s="3">
        <v>3.7499999999999999E-3</v>
      </c>
      <c r="K1281" s="3">
        <f t="shared" si="43"/>
        <v>0</v>
      </c>
      <c r="L1281" s="3">
        <f t="shared" si="44"/>
        <v>2001</v>
      </c>
      <c r="M1281" s="20" t="str">
        <f>A1281&amp;L1281</f>
        <v>CWT2001</v>
      </c>
      <c r="N1281" s="3">
        <f>F1281/2</f>
        <v>0.139375</v>
      </c>
      <c r="O1281" s="9">
        <f>H1281</f>
        <v>4.5100000000000001E-2</v>
      </c>
      <c r="P1281" s="10">
        <f t="shared" si="45"/>
        <v>4.4925E-2</v>
      </c>
      <c r="Q1281" s="10">
        <f>IF(K1281=0,IF(A1278=A1281,AVERAGE(O1278:O1281),"x"),0)</f>
        <v>4.3749999999999997E-2</v>
      </c>
      <c r="R1281" s="9">
        <f>IF(L1281&gt;2005,AVERAGE(O1278:O1297),0)</f>
        <v>0</v>
      </c>
      <c r="S1281" s="10">
        <f>IF(A1281=A1282,(N1281-N1282)/N1282,0)</f>
        <v>1.3636363636363547E-2</v>
      </c>
      <c r="T1281" s="10">
        <f>IF(L1281&gt;2005,(((N1281-N1301)/N1301)+1)^(1/5)-1,0)</f>
        <v>0</v>
      </c>
      <c r="U1281" s="10">
        <f t="shared" si="46"/>
        <v>0</v>
      </c>
      <c r="V1281" s="26">
        <f t="shared" si="47"/>
        <v>0</v>
      </c>
      <c r="W1281" s="3">
        <f>IF(A1281=A1282,N1281-N1282,0)</f>
        <v>1.8749999999999878E-3</v>
      </c>
      <c r="X1281" s="10">
        <f>IF(A1281=A1282,(N1281-N1282)/N1282,0)</f>
        <v>1.3636363636363547E-2</v>
      </c>
    </row>
    <row r="1282" spans="1:24" ht="16.5" customHeight="1">
      <c r="A1282" s="3" t="s">
        <v>37</v>
      </c>
      <c r="B1282" s="3">
        <f t="shared" si="40"/>
        <v>2000</v>
      </c>
      <c r="C1282" s="3">
        <f t="shared" si="41"/>
        <v>10</v>
      </c>
      <c r="D1282" s="20" t="str">
        <f t="shared" si="42"/>
        <v>CWT200010</v>
      </c>
      <c r="E1282" s="2">
        <v>36829</v>
      </c>
      <c r="F1282" s="3">
        <v>0.27500000000000002</v>
      </c>
      <c r="G1282" s="2">
        <v>36845</v>
      </c>
      <c r="H1282" s="3">
        <v>4.2500000000000003E-2</v>
      </c>
      <c r="I1282" s="3">
        <v>0</v>
      </c>
      <c r="J1282" s="3">
        <v>0</v>
      </c>
      <c r="K1282" s="3">
        <f t="shared" si="43"/>
        <v>2000</v>
      </c>
      <c r="L1282" s="3">
        <f t="shared" si="44"/>
        <v>0</v>
      </c>
      <c r="M1282" s="20" t="str">
        <f>A1282&amp;L1282</f>
        <v>CWT0</v>
      </c>
      <c r="N1282" s="3">
        <f>F1282/2</f>
        <v>0.13750000000000001</v>
      </c>
      <c r="O1282" s="9">
        <f>H1282</f>
        <v>4.2500000000000003E-2</v>
      </c>
      <c r="P1282" s="10">
        <f t="shared" si="45"/>
        <v>0</v>
      </c>
      <c r="Q1282" s="10">
        <f>IF(K1282=0,IF(A1279=A1282,AVERAGE(O1279:O1282),"x"),0)</f>
        <v>0</v>
      </c>
      <c r="R1282" s="9">
        <f>IF(L1282&gt;2005,AVERAGE(O1279:O1298),0)</f>
        <v>0</v>
      </c>
      <c r="S1282" s="10">
        <f>IF(A1282=A1283,(N1282-N1283)/N1283,0)</f>
        <v>0</v>
      </c>
      <c r="T1282" s="10">
        <f>IF(L1282&gt;2005,(((N1282-N1302)/N1302)+1)^(1/5)-1,0)</f>
        <v>0</v>
      </c>
      <c r="U1282" s="10">
        <f t="shared" si="46"/>
        <v>0</v>
      </c>
      <c r="V1282" s="26">
        <f t="shared" si="47"/>
        <v>0</v>
      </c>
      <c r="W1282" s="3">
        <f>IF(A1282=A1283,N1282-N1283,0)</f>
        <v>0</v>
      </c>
      <c r="X1282" s="10">
        <f>IF(A1282=A1283,(N1282-N1283)/N1283,0)</f>
        <v>0</v>
      </c>
    </row>
    <row r="1283" spans="1:24" ht="16.5" customHeight="1">
      <c r="A1283" s="3" t="s">
        <v>37</v>
      </c>
      <c r="B1283" s="3">
        <f t="shared" si="40"/>
        <v>2000</v>
      </c>
      <c r="C1283" s="3">
        <f t="shared" si="41"/>
        <v>7</v>
      </c>
      <c r="D1283" s="20" t="str">
        <f t="shared" si="42"/>
        <v>CWT20007</v>
      </c>
      <c r="E1283" s="2">
        <v>36735</v>
      </c>
      <c r="F1283" s="3">
        <v>0.27500000000000002</v>
      </c>
      <c r="G1283" s="2">
        <v>36753</v>
      </c>
      <c r="H1283" s="3">
        <v>4.7399999999999998E-2</v>
      </c>
      <c r="I1283" s="3">
        <v>0</v>
      </c>
      <c r="J1283" s="3">
        <v>0</v>
      </c>
      <c r="K1283" s="3">
        <f t="shared" si="43"/>
        <v>2000</v>
      </c>
      <c r="L1283" s="3">
        <f t="shared" si="44"/>
        <v>0</v>
      </c>
      <c r="M1283" s="20" t="str">
        <f>A1283&amp;L1283</f>
        <v>CWT0</v>
      </c>
      <c r="N1283" s="3">
        <f>F1283/2</f>
        <v>0.13750000000000001</v>
      </c>
      <c r="O1283" s="9">
        <f>H1283</f>
        <v>4.7399999999999998E-2</v>
      </c>
      <c r="P1283" s="10">
        <f t="shared" si="45"/>
        <v>0</v>
      </c>
      <c r="Q1283" s="10">
        <f>IF(K1283=0,IF(A1280=A1283,AVERAGE(O1280:O1283),"x"),0)</f>
        <v>0</v>
      </c>
      <c r="R1283" s="9">
        <f>IF(L1283&gt;2005,AVERAGE(O1280:O1299),0)</f>
        <v>0</v>
      </c>
      <c r="S1283" s="10">
        <f>IF(A1283=A1284,(N1283-N1284)/N1284,0)</f>
        <v>0</v>
      </c>
      <c r="T1283" s="10">
        <f>IF(L1283&gt;2005,(((N1283-N1303)/N1303)+1)^(1/5)-1,0)</f>
        <v>0</v>
      </c>
      <c r="U1283" s="10">
        <f t="shared" si="46"/>
        <v>0</v>
      </c>
      <c r="V1283" s="26">
        <f t="shared" si="47"/>
        <v>0</v>
      </c>
      <c r="W1283" s="3">
        <f>IF(A1283=A1284,N1283-N1284,0)</f>
        <v>0</v>
      </c>
      <c r="X1283" s="10">
        <f>IF(A1283=A1284,(N1283-N1284)/N1284,0)</f>
        <v>0</v>
      </c>
    </row>
    <row r="1284" spans="1:24" ht="16.5" customHeight="1">
      <c r="A1284" s="3" t="s">
        <v>37</v>
      </c>
      <c r="B1284" s="3">
        <f t="shared" si="40"/>
        <v>2000</v>
      </c>
      <c r="C1284" s="3">
        <f t="shared" si="41"/>
        <v>4</v>
      </c>
      <c r="D1284" s="20" t="str">
        <f t="shared" si="42"/>
        <v>CWT20004</v>
      </c>
      <c r="E1284" s="2">
        <v>36643</v>
      </c>
      <c r="F1284" s="3">
        <v>0.27500000000000002</v>
      </c>
      <c r="G1284" s="2">
        <v>36661</v>
      </c>
      <c r="H1284" s="3">
        <v>4.4699999999999997E-2</v>
      </c>
      <c r="I1284" s="3">
        <v>0</v>
      </c>
      <c r="J1284" s="3">
        <v>0</v>
      </c>
      <c r="K1284" s="3">
        <f t="shared" si="43"/>
        <v>2000</v>
      </c>
      <c r="L1284" s="3">
        <f t="shared" si="44"/>
        <v>0</v>
      </c>
      <c r="M1284" s="20" t="str">
        <f>A1284&amp;L1284</f>
        <v>CWT0</v>
      </c>
      <c r="N1284" s="3">
        <f>F1284/2</f>
        <v>0.13750000000000001</v>
      </c>
      <c r="O1284" s="9">
        <f>H1284</f>
        <v>4.4699999999999997E-2</v>
      </c>
      <c r="P1284" s="10">
        <f t="shared" si="45"/>
        <v>0</v>
      </c>
      <c r="Q1284" s="10">
        <f>IF(K1284=0,IF(A1281=A1284,AVERAGE(O1281:O1284),"x"),0)</f>
        <v>0</v>
      </c>
      <c r="R1284" s="9">
        <f>IF(L1284&gt;2005,AVERAGE(O1281:O1300),0)</f>
        <v>0</v>
      </c>
      <c r="S1284" s="10">
        <f>IF(A1284=A1285,(N1284-N1285)/N1285,0)</f>
        <v>0</v>
      </c>
      <c r="T1284" s="10">
        <f>IF(L1284&gt;2005,(((N1284-N1304)/N1304)+1)^(1/5)-1,0)</f>
        <v>0</v>
      </c>
      <c r="U1284" s="10">
        <f t="shared" si="46"/>
        <v>0</v>
      </c>
      <c r="V1284" s="26">
        <f t="shared" si="47"/>
        <v>0</v>
      </c>
      <c r="W1284" s="3">
        <f>IF(A1284=A1285,N1284-N1285,0)</f>
        <v>0</v>
      </c>
      <c r="X1284" s="10">
        <f>IF(A1284=A1285,(N1284-N1285)/N1285,0)</f>
        <v>0</v>
      </c>
    </row>
    <row r="1285" spans="1:24" ht="16.5" customHeight="1">
      <c r="A1285" s="14" t="s">
        <v>37</v>
      </c>
      <c r="B1285" s="3">
        <f t="shared" si="40"/>
        <v>2000</v>
      </c>
      <c r="C1285" s="3">
        <f t="shared" si="41"/>
        <v>1</v>
      </c>
      <c r="D1285" s="20" t="str">
        <f t="shared" si="42"/>
        <v>CWT20001</v>
      </c>
      <c r="E1285" s="15">
        <v>36553</v>
      </c>
      <c r="F1285" s="14">
        <v>0.27500000000000002</v>
      </c>
      <c r="G1285" s="15">
        <v>36571</v>
      </c>
      <c r="H1285" s="14">
        <v>4.0500000000000001E-2</v>
      </c>
      <c r="I1285" s="14">
        <v>0</v>
      </c>
      <c r="J1285" s="14">
        <v>0</v>
      </c>
      <c r="K1285" s="3">
        <f t="shared" si="43"/>
        <v>0</v>
      </c>
      <c r="L1285" s="3">
        <f t="shared" si="44"/>
        <v>2000</v>
      </c>
      <c r="M1285" s="20" t="str">
        <f>A1285&amp;L1285</f>
        <v>CWT2000</v>
      </c>
      <c r="N1285" s="14">
        <f>F1285/2</f>
        <v>0.13750000000000001</v>
      </c>
      <c r="O1285" s="9">
        <f>H1285</f>
        <v>4.0500000000000001E-2</v>
      </c>
      <c r="P1285" s="10">
        <f t="shared" si="45"/>
        <v>0</v>
      </c>
      <c r="Q1285" s="10">
        <f>IF(K1285=0,IF(A1282=A1285,AVERAGE(O1282:O1285),"x"),0)</f>
        <v>4.3775000000000001E-2</v>
      </c>
      <c r="R1285" s="9">
        <f>IF(L1285&gt;2005,AVERAGE(O1282:O1301),0)</f>
        <v>0</v>
      </c>
      <c r="S1285" s="10">
        <f>IF(A1285=A1286,(N1285-N1286)/N1286,0)</f>
        <v>0</v>
      </c>
      <c r="T1285" s="10">
        <f>IF(L1285&gt;2005,(((N1285-N1305)/N1305)+1)^(1/5)-1,0)</f>
        <v>0</v>
      </c>
      <c r="U1285" s="10">
        <f t="shared" si="46"/>
        <v>0</v>
      </c>
      <c r="V1285" s="26">
        <f t="shared" si="47"/>
        <v>0</v>
      </c>
      <c r="W1285" s="3">
        <f>IF(A1285=A1286,N1285-N1286,0)</f>
        <v>0</v>
      </c>
      <c r="X1285" s="10">
        <f>IF(A1285=A1286,(N1285-N1286)/N1286,0)</f>
        <v>0</v>
      </c>
    </row>
    <row r="1286" spans="1:24" ht="16.5" customHeight="1">
      <c r="A1286" s="3" t="s">
        <v>38</v>
      </c>
      <c r="B1286" s="3">
        <f t="shared" si="40"/>
        <v>2022</v>
      </c>
      <c r="C1286" s="3">
        <f t="shared" si="41"/>
        <v>9</v>
      </c>
      <c r="D1286" s="20" t="str">
        <f t="shared" si="42"/>
        <v>LEG20229</v>
      </c>
      <c r="E1286" s="2">
        <v>44818</v>
      </c>
      <c r="F1286" s="3">
        <v>0.44</v>
      </c>
      <c r="G1286" s="2">
        <v>44848</v>
      </c>
      <c r="H1286" s="3">
        <v>4.65E-2</v>
      </c>
      <c r="I1286" s="3">
        <v>0</v>
      </c>
      <c r="J1286" s="3">
        <v>0</v>
      </c>
      <c r="K1286" s="3">
        <f t="shared" si="43"/>
        <v>2022</v>
      </c>
      <c r="L1286" s="3">
        <f t="shared" si="44"/>
        <v>0</v>
      </c>
      <c r="M1286" s="20" t="str">
        <f>A1286&amp;L1286</f>
        <v>LEG0</v>
      </c>
      <c r="N1286" s="3">
        <f>F1286</f>
        <v>0.44</v>
      </c>
      <c r="O1286" s="9">
        <f>H1286</f>
        <v>4.65E-2</v>
      </c>
      <c r="P1286" s="10">
        <f t="shared" si="45"/>
        <v>0</v>
      </c>
      <c r="Q1286" s="10">
        <f>IF(K1286=0,IF(A1283=A1286,AVERAGE(O1283:O1286),"x"),0)</f>
        <v>0</v>
      </c>
      <c r="R1286" s="9">
        <f>IF(L1286&gt;2005,AVERAGE(O1283:O1302),0)</f>
        <v>0</v>
      </c>
      <c r="S1286" s="10">
        <f>IF(A1286=A1287,(N1286-N1287)/N1287,0)</f>
        <v>0</v>
      </c>
      <c r="T1286" s="10">
        <f>IF(L1286&gt;2005,(((N1286-N1306)/N1306)+1)^(1/5)-1,0)</f>
        <v>0</v>
      </c>
      <c r="U1286" s="10">
        <f t="shared" si="46"/>
        <v>0</v>
      </c>
      <c r="V1286" s="26">
        <f t="shared" si="47"/>
        <v>0</v>
      </c>
      <c r="W1286" s="3">
        <f>IF(A1286=A1287,N1286-N1287,0)</f>
        <v>0</v>
      </c>
      <c r="X1286" s="10">
        <f>IF(A1286=A1287,(N1286-N1287)/N1287,0)</f>
        <v>0</v>
      </c>
    </row>
    <row r="1287" spans="1:24" ht="16.5" customHeight="1">
      <c r="A1287" s="3" t="s">
        <v>38</v>
      </c>
      <c r="B1287" s="3">
        <f t="shared" si="40"/>
        <v>2022</v>
      </c>
      <c r="C1287" s="3">
        <f t="shared" si="41"/>
        <v>6</v>
      </c>
      <c r="D1287" s="20" t="str">
        <f t="shared" si="42"/>
        <v>LEG20226</v>
      </c>
      <c r="E1287" s="2">
        <v>44726</v>
      </c>
      <c r="F1287" s="3">
        <v>0.44</v>
      </c>
      <c r="G1287" s="2">
        <v>44757</v>
      </c>
      <c r="H1287" s="3">
        <v>4.8599999999999997E-2</v>
      </c>
      <c r="I1287" s="3">
        <v>4.7619047999999997E-2</v>
      </c>
      <c r="J1287" s="3">
        <v>0.02</v>
      </c>
      <c r="K1287" s="3">
        <f t="shared" si="43"/>
        <v>2022</v>
      </c>
      <c r="L1287" s="3">
        <f t="shared" si="44"/>
        <v>0</v>
      </c>
      <c r="M1287" s="20" t="str">
        <f>A1287&amp;L1287</f>
        <v>LEG0</v>
      </c>
      <c r="N1287" s="3">
        <f>F1287</f>
        <v>0.44</v>
      </c>
      <c r="O1287" s="9">
        <f>H1287</f>
        <v>4.8599999999999997E-2</v>
      </c>
      <c r="P1287" s="10">
        <f t="shared" si="45"/>
        <v>4.2825000000000002E-2</v>
      </c>
      <c r="Q1287" s="10">
        <f>IF(K1287=0,IF(A1284=A1287,AVERAGE(O1284:O1287),"x"),0)</f>
        <v>0</v>
      </c>
      <c r="R1287" s="9">
        <f>IF(L1287&gt;2005,AVERAGE(O1284:O1303),0)</f>
        <v>0</v>
      </c>
      <c r="S1287" s="10">
        <f>IF(A1287=A1288,(N1287-N1288)/N1288,0)</f>
        <v>4.7619047619047665E-2</v>
      </c>
      <c r="T1287" s="10">
        <f>IF(L1287&gt;2005,(((N1287-N1307)/N1307)+1)^(1/5)-1,0)</f>
        <v>0</v>
      </c>
      <c r="U1287" s="10">
        <f t="shared" si="46"/>
        <v>0</v>
      </c>
      <c r="V1287" s="26">
        <f t="shared" si="47"/>
        <v>0</v>
      </c>
      <c r="W1287" s="3">
        <f>IF(A1287=A1288,N1287-N1288,0)</f>
        <v>2.0000000000000018E-2</v>
      </c>
      <c r="X1287" s="10">
        <f>IF(A1287=A1288,(N1287-N1288)/N1288,0)</f>
        <v>4.7619047619047665E-2</v>
      </c>
    </row>
    <row r="1288" spans="1:24" ht="16.5" customHeight="1">
      <c r="A1288" s="3" t="s">
        <v>38</v>
      </c>
      <c r="B1288" s="3">
        <f t="shared" si="40"/>
        <v>2022</v>
      </c>
      <c r="C1288" s="3">
        <f t="shared" si="41"/>
        <v>3</v>
      </c>
      <c r="D1288" s="20" t="str">
        <f t="shared" si="42"/>
        <v>LEG20223</v>
      </c>
      <c r="E1288" s="2">
        <v>44634</v>
      </c>
      <c r="F1288" s="3">
        <v>0.42</v>
      </c>
      <c r="G1288" s="2">
        <v>44666</v>
      </c>
      <c r="H1288" s="3">
        <v>4.65E-2</v>
      </c>
      <c r="I1288" s="3">
        <v>0</v>
      </c>
      <c r="J1288" s="3">
        <v>0</v>
      </c>
      <c r="K1288" s="3">
        <f t="shared" si="43"/>
        <v>0</v>
      </c>
      <c r="L1288" s="3">
        <f t="shared" si="44"/>
        <v>2022</v>
      </c>
      <c r="M1288" s="20" t="str">
        <f>A1288&amp;L1288</f>
        <v>LEG2022</v>
      </c>
      <c r="N1288" s="3">
        <f>F1288</f>
        <v>0.42</v>
      </c>
      <c r="O1288" s="9">
        <f>H1288</f>
        <v>4.65E-2</v>
      </c>
      <c r="P1288" s="10">
        <f t="shared" si="45"/>
        <v>0</v>
      </c>
      <c r="Q1288" s="10" t="str">
        <f>IF(K1288=0,IF(A1285=A1288,AVERAGE(O1285:O1288),"x"),0)</f>
        <v>x</v>
      </c>
      <c r="R1288" s="9">
        <f>IF(L1288&gt;2005,AVERAGE(O1285:O1304),0)</f>
        <v>3.8845000000000005E-2</v>
      </c>
      <c r="S1288" s="10">
        <f>IF(A1288=A1289,(N1288-N1289)/N1289,0)</f>
        <v>0</v>
      </c>
      <c r="T1288" s="10">
        <f>IF(L1288&gt;2005,(((N1288-N1308)/N1308)+1)^(1/5)-1,0)</f>
        <v>4.3167563810134979E-2</v>
      </c>
      <c r="U1288" s="10">
        <f t="shared" si="46"/>
        <v>8.2012563810134984E-2</v>
      </c>
      <c r="V1288" s="26">
        <f t="shared" si="47"/>
        <v>4.4865826541214471</v>
      </c>
      <c r="W1288" s="3">
        <f>IF(A1288=A1289,N1288-N1289,0)</f>
        <v>0</v>
      </c>
      <c r="X1288" s="10">
        <f>IF(A1288=A1289,(N1288-N1289)/N1289,0)</f>
        <v>0</v>
      </c>
    </row>
    <row r="1289" spans="1:24" ht="16.5" customHeight="1">
      <c r="A1289" s="3" t="s">
        <v>38</v>
      </c>
      <c r="B1289" s="3">
        <f t="shared" si="40"/>
        <v>2021</v>
      </c>
      <c r="C1289" s="3">
        <f t="shared" si="41"/>
        <v>12</v>
      </c>
      <c r="D1289" s="20" t="str">
        <f t="shared" si="42"/>
        <v>LEG202112</v>
      </c>
      <c r="E1289" s="2">
        <v>44544</v>
      </c>
      <c r="F1289" s="3">
        <v>0.42</v>
      </c>
      <c r="G1289" s="2">
        <v>44575</v>
      </c>
      <c r="H1289" s="3">
        <v>4.1000000000000002E-2</v>
      </c>
      <c r="I1289" s="3">
        <v>0</v>
      </c>
      <c r="J1289" s="3">
        <v>0</v>
      </c>
      <c r="K1289" s="3">
        <f t="shared" si="43"/>
        <v>2021</v>
      </c>
      <c r="L1289" s="3">
        <f t="shared" si="44"/>
        <v>0</v>
      </c>
      <c r="M1289" s="20" t="str">
        <f>A1289&amp;L1289</f>
        <v>LEG0</v>
      </c>
      <c r="N1289" s="3">
        <f>F1289</f>
        <v>0.42</v>
      </c>
      <c r="O1289" s="9">
        <f>H1289</f>
        <v>4.1000000000000002E-2</v>
      </c>
      <c r="P1289" s="10">
        <f t="shared" si="45"/>
        <v>0</v>
      </c>
      <c r="Q1289" s="10">
        <f>IF(K1289=0,IF(A1286=A1289,AVERAGE(O1286:O1289),"x"),0)</f>
        <v>0</v>
      </c>
      <c r="R1289" s="9">
        <f>IF(L1289&gt;2005,AVERAGE(O1286:O1305),0)</f>
        <v>0</v>
      </c>
      <c r="S1289" s="10">
        <f>IF(A1289=A1290,(N1289-N1290)/N1290,0)</f>
        <v>0</v>
      </c>
      <c r="T1289" s="10">
        <f>IF(L1289&gt;2005,(((N1289-N1309)/N1309)+1)^(1/5)-1,0)</f>
        <v>0</v>
      </c>
      <c r="U1289" s="10">
        <f t="shared" si="46"/>
        <v>0</v>
      </c>
      <c r="V1289" s="26">
        <f t="shared" si="47"/>
        <v>0</v>
      </c>
      <c r="W1289" s="3">
        <f>IF(A1289=A1290,N1289-N1290,0)</f>
        <v>0</v>
      </c>
      <c r="X1289" s="10">
        <f>IF(A1289=A1290,(N1289-N1290)/N1290,0)</f>
        <v>0</v>
      </c>
    </row>
    <row r="1290" spans="1:24" ht="16.5" customHeight="1">
      <c r="A1290" s="3" t="s">
        <v>38</v>
      </c>
      <c r="B1290" s="3">
        <f t="shared" si="40"/>
        <v>2021</v>
      </c>
      <c r="C1290" s="3">
        <f t="shared" si="41"/>
        <v>9</v>
      </c>
      <c r="D1290" s="20" t="str">
        <f t="shared" si="42"/>
        <v>LEG20219</v>
      </c>
      <c r="E1290" s="2">
        <v>44453</v>
      </c>
      <c r="F1290" s="3">
        <v>0.42</v>
      </c>
      <c r="G1290" s="2">
        <v>44484</v>
      </c>
      <c r="H1290" s="3">
        <v>3.5200000000000002E-2</v>
      </c>
      <c r="I1290" s="3">
        <v>0</v>
      </c>
      <c r="J1290" s="3">
        <v>0</v>
      </c>
      <c r="K1290" s="3">
        <f t="shared" si="43"/>
        <v>2021</v>
      </c>
      <c r="L1290" s="3">
        <f t="shared" si="44"/>
        <v>0</v>
      </c>
      <c r="M1290" s="20" t="str">
        <f>A1290&amp;L1290</f>
        <v>LEG0</v>
      </c>
      <c r="N1290" s="3">
        <f>F1290</f>
        <v>0.42</v>
      </c>
      <c r="O1290" s="9">
        <f>H1290</f>
        <v>3.5200000000000002E-2</v>
      </c>
      <c r="P1290" s="10">
        <f t="shared" si="45"/>
        <v>0</v>
      </c>
      <c r="Q1290" s="10">
        <f>IF(K1290=0,IF(A1287=A1290,AVERAGE(O1287:O1290),"x"),0)</f>
        <v>0</v>
      </c>
      <c r="R1290" s="9">
        <f>IF(L1290&gt;2005,AVERAGE(O1287:O1306),0)</f>
        <v>0</v>
      </c>
      <c r="S1290" s="10">
        <f>IF(A1290=A1291,(N1290-N1291)/N1291,0)</f>
        <v>0</v>
      </c>
      <c r="T1290" s="10">
        <f>IF(L1290&gt;2005,(((N1290-N1310)/N1310)+1)^(1/5)-1,0)</f>
        <v>0</v>
      </c>
      <c r="U1290" s="10">
        <f t="shared" si="46"/>
        <v>0</v>
      </c>
      <c r="V1290" s="26">
        <f t="shared" si="47"/>
        <v>0</v>
      </c>
      <c r="W1290" s="3">
        <f>IF(A1290=A1291,N1290-N1291,0)</f>
        <v>0</v>
      </c>
      <c r="X1290" s="10">
        <f>IF(A1290=A1291,(N1290-N1291)/N1291,0)</f>
        <v>0</v>
      </c>
    </row>
    <row r="1291" spans="1:24" ht="16.5" customHeight="1">
      <c r="A1291" s="3" t="s">
        <v>38</v>
      </c>
      <c r="B1291" s="3">
        <f t="shared" si="40"/>
        <v>2021</v>
      </c>
      <c r="C1291" s="3">
        <f t="shared" si="41"/>
        <v>6</v>
      </c>
      <c r="D1291" s="20" t="str">
        <f t="shared" si="42"/>
        <v>LEG20216</v>
      </c>
      <c r="E1291" s="2">
        <v>44361</v>
      </c>
      <c r="F1291" s="3">
        <v>0.42</v>
      </c>
      <c r="G1291" s="2">
        <v>44392</v>
      </c>
      <c r="H1291" s="3">
        <v>3.1099999999999999E-2</v>
      </c>
      <c r="I1291" s="3">
        <v>0.05</v>
      </c>
      <c r="J1291" s="3">
        <v>0.02</v>
      </c>
      <c r="K1291" s="3">
        <f t="shared" si="43"/>
        <v>2021</v>
      </c>
      <c r="L1291" s="3">
        <f t="shared" si="44"/>
        <v>0</v>
      </c>
      <c r="M1291" s="20" t="str">
        <f>A1291&amp;L1291</f>
        <v>LEG0</v>
      </c>
      <c r="N1291" s="3">
        <f>F1291</f>
        <v>0.42</v>
      </c>
      <c r="O1291" s="9">
        <f>H1291</f>
        <v>3.1099999999999999E-2</v>
      </c>
      <c r="P1291" s="10">
        <f t="shared" si="45"/>
        <v>3.4750000000000003E-2</v>
      </c>
      <c r="Q1291" s="10">
        <f>IF(K1291=0,IF(A1288=A1291,AVERAGE(O1288:O1291),"x"),0)</f>
        <v>0</v>
      </c>
      <c r="R1291" s="9">
        <f>IF(L1291&gt;2005,AVERAGE(O1288:O1307),0)</f>
        <v>0</v>
      </c>
      <c r="S1291" s="10">
        <f>IF(A1291=A1292,(N1291-N1292)/N1292,0)</f>
        <v>4.9999999999999906E-2</v>
      </c>
      <c r="T1291" s="10">
        <f>IF(L1291&gt;2005,(((N1291-N1311)/N1311)+1)^(1/5)-1,0)</f>
        <v>0</v>
      </c>
      <c r="U1291" s="10">
        <f t="shared" si="46"/>
        <v>0</v>
      </c>
      <c r="V1291" s="26">
        <f t="shared" si="47"/>
        <v>0</v>
      </c>
      <c r="W1291" s="3">
        <f>IF(A1291=A1292,N1291-N1292,0)</f>
        <v>1.9999999999999962E-2</v>
      </c>
      <c r="X1291" s="10">
        <f>IF(A1291=A1292,(N1291-N1292)/N1292,0)</f>
        <v>4.9999999999999906E-2</v>
      </c>
    </row>
    <row r="1292" spans="1:24" ht="16.5" customHeight="1">
      <c r="A1292" s="3" t="s">
        <v>38</v>
      </c>
      <c r="B1292" s="3">
        <f t="shared" si="40"/>
        <v>2021</v>
      </c>
      <c r="C1292" s="3">
        <f t="shared" si="41"/>
        <v>3</v>
      </c>
      <c r="D1292" s="20" t="str">
        <f t="shared" si="42"/>
        <v>LEG20213</v>
      </c>
      <c r="E1292" s="2">
        <v>44267</v>
      </c>
      <c r="F1292" s="3">
        <v>0.4</v>
      </c>
      <c r="G1292" s="2">
        <v>44301</v>
      </c>
      <c r="H1292" s="3">
        <v>3.3099999999999997E-2</v>
      </c>
      <c r="I1292" s="3">
        <v>0</v>
      </c>
      <c r="J1292" s="3">
        <v>0</v>
      </c>
      <c r="K1292" s="3">
        <f t="shared" si="43"/>
        <v>0</v>
      </c>
      <c r="L1292" s="3">
        <f t="shared" si="44"/>
        <v>2021</v>
      </c>
      <c r="M1292" s="20" t="str">
        <f>A1292&amp;L1292</f>
        <v>LEG2021</v>
      </c>
      <c r="N1292" s="3">
        <f>F1292</f>
        <v>0.4</v>
      </c>
      <c r="O1292" s="9">
        <f>H1292</f>
        <v>3.3099999999999997E-2</v>
      </c>
      <c r="P1292" s="10">
        <f t="shared" si="45"/>
        <v>0</v>
      </c>
      <c r="Q1292" s="10">
        <f>IF(K1292=0,IF(A1289=A1292,AVERAGE(O1289:O1292),"x"),0)</f>
        <v>3.5099999999999999E-2</v>
      </c>
      <c r="R1292" s="9">
        <f>IF(L1292&gt;2005,AVERAGE(O1289:O1308),0)</f>
        <v>3.5630000000000002E-2</v>
      </c>
      <c r="S1292" s="10">
        <f>IF(A1292=A1293,(N1292-N1293)/N1293,0)</f>
        <v>0</v>
      </c>
      <c r="T1292" s="10">
        <f>IF(L1292&gt;2005,(((N1292-N1312)/N1312)+1)^(1/5)-1,0)</f>
        <v>4.5639552591273169E-2</v>
      </c>
      <c r="U1292" s="10">
        <f t="shared" si="46"/>
        <v>8.1269552591273164E-2</v>
      </c>
      <c r="V1292" s="26">
        <f t="shared" si="47"/>
        <v>4.5269069428487461</v>
      </c>
      <c r="W1292" s="3">
        <f>IF(A1292=A1293,N1292-N1293,0)</f>
        <v>0</v>
      </c>
      <c r="X1292" s="10">
        <f>IF(A1292=A1293,(N1292-N1293)/N1293,0)</f>
        <v>0</v>
      </c>
    </row>
    <row r="1293" spans="1:24" ht="16.5" customHeight="1">
      <c r="A1293" s="3" t="s">
        <v>38</v>
      </c>
      <c r="B1293" s="3">
        <f t="shared" si="40"/>
        <v>2020</v>
      </c>
      <c r="C1293" s="3">
        <f t="shared" si="41"/>
        <v>12</v>
      </c>
      <c r="D1293" s="20" t="str">
        <f t="shared" si="42"/>
        <v>LEG202012</v>
      </c>
      <c r="E1293" s="2">
        <v>44179</v>
      </c>
      <c r="F1293" s="3">
        <v>0.4</v>
      </c>
      <c r="G1293" s="2">
        <v>44211</v>
      </c>
      <c r="H1293" s="3">
        <v>3.8899999999999997E-2</v>
      </c>
      <c r="I1293" s="3">
        <v>0</v>
      </c>
      <c r="J1293" s="3">
        <v>0</v>
      </c>
      <c r="K1293" s="3">
        <f t="shared" si="43"/>
        <v>2020</v>
      </c>
      <c r="L1293" s="3">
        <f t="shared" si="44"/>
        <v>0</v>
      </c>
      <c r="M1293" s="20" t="str">
        <f>A1293&amp;L1293</f>
        <v>LEG0</v>
      </c>
      <c r="N1293" s="3">
        <f>F1293</f>
        <v>0.4</v>
      </c>
      <c r="O1293" s="9">
        <f>H1293</f>
        <v>3.8899999999999997E-2</v>
      </c>
      <c r="P1293" s="10">
        <f t="shared" si="45"/>
        <v>0</v>
      </c>
      <c r="Q1293" s="10">
        <f>IF(K1293=0,IF(A1290=A1293,AVERAGE(O1290:O1293),"x"),0)</f>
        <v>0</v>
      </c>
      <c r="R1293" s="9">
        <f>IF(L1293&gt;2005,AVERAGE(O1290:O1309),0)</f>
        <v>0</v>
      </c>
      <c r="S1293" s="10">
        <f>IF(A1293=A1294,(N1293-N1294)/N1294,0)</f>
        <v>0</v>
      </c>
      <c r="T1293" s="10">
        <f>IF(L1293&gt;2005,(((N1293-N1313)/N1313)+1)^(1/5)-1,0)</f>
        <v>0</v>
      </c>
      <c r="U1293" s="10">
        <f t="shared" si="46"/>
        <v>0</v>
      </c>
      <c r="V1293" s="26">
        <f t="shared" si="47"/>
        <v>0</v>
      </c>
      <c r="W1293" s="3">
        <f>IF(A1293=A1294,N1293-N1294,0)</f>
        <v>0</v>
      </c>
      <c r="X1293" s="10">
        <f>IF(A1293=A1294,(N1293-N1294)/N1294,0)</f>
        <v>0</v>
      </c>
    </row>
    <row r="1294" spans="1:24" ht="16.5" customHeight="1">
      <c r="A1294" s="3" t="s">
        <v>38</v>
      </c>
      <c r="B1294" s="3">
        <f t="shared" si="40"/>
        <v>2020</v>
      </c>
      <c r="C1294" s="3">
        <f t="shared" si="41"/>
        <v>9</v>
      </c>
      <c r="D1294" s="20" t="str">
        <f t="shared" si="42"/>
        <v>LEG20209</v>
      </c>
      <c r="E1294" s="2">
        <v>44088</v>
      </c>
      <c r="F1294" s="3">
        <v>0.4</v>
      </c>
      <c r="G1294" s="2">
        <v>44119</v>
      </c>
      <c r="H1294" s="3">
        <v>3.5900000000000001E-2</v>
      </c>
      <c r="I1294" s="3">
        <v>0</v>
      </c>
      <c r="J1294" s="3">
        <v>0</v>
      </c>
      <c r="K1294" s="3">
        <f t="shared" si="43"/>
        <v>2020</v>
      </c>
      <c r="L1294" s="3">
        <f t="shared" si="44"/>
        <v>0</v>
      </c>
      <c r="M1294" s="20" t="str">
        <f>A1294&amp;L1294</f>
        <v>LEG0</v>
      </c>
      <c r="N1294" s="3">
        <f>F1294</f>
        <v>0.4</v>
      </c>
      <c r="O1294" s="9">
        <f>H1294</f>
        <v>3.5900000000000001E-2</v>
      </c>
      <c r="P1294" s="10">
        <f t="shared" si="45"/>
        <v>0</v>
      </c>
      <c r="Q1294" s="10">
        <f>IF(K1294=0,IF(A1291=A1294,AVERAGE(O1291:O1294),"x"),0)</f>
        <v>0</v>
      </c>
      <c r="R1294" s="9">
        <f>IF(L1294&gt;2005,AVERAGE(O1291:O1310),0)</f>
        <v>0</v>
      </c>
      <c r="S1294" s="10">
        <f>IF(A1294=A1295,(N1294-N1295)/N1295,0)</f>
        <v>0</v>
      </c>
      <c r="T1294" s="10">
        <f>IF(L1294&gt;2005,(((N1294-N1314)/N1314)+1)^(1/5)-1,0)</f>
        <v>0</v>
      </c>
      <c r="U1294" s="10">
        <f t="shared" si="46"/>
        <v>0</v>
      </c>
      <c r="V1294" s="26">
        <f t="shared" si="47"/>
        <v>0</v>
      </c>
      <c r="W1294" s="3">
        <f>IF(A1294=A1295,N1294-N1295,0)</f>
        <v>0</v>
      </c>
      <c r="X1294" s="10">
        <f>IF(A1294=A1295,(N1294-N1295)/N1295,0)</f>
        <v>0</v>
      </c>
    </row>
    <row r="1295" spans="1:24" ht="16.5" customHeight="1">
      <c r="A1295" s="3" t="s">
        <v>38</v>
      </c>
      <c r="B1295" s="3">
        <f t="shared" si="40"/>
        <v>2020</v>
      </c>
      <c r="C1295" s="3">
        <f t="shared" si="41"/>
        <v>6</v>
      </c>
      <c r="D1295" s="20" t="str">
        <f t="shared" si="42"/>
        <v>LEG20206</v>
      </c>
      <c r="E1295" s="2">
        <v>43994</v>
      </c>
      <c r="F1295" s="3">
        <v>0.4</v>
      </c>
      <c r="G1295" s="2">
        <v>44027</v>
      </c>
      <c r="H1295" s="3">
        <v>4.82E-2</v>
      </c>
      <c r="I1295" s="3">
        <v>0</v>
      </c>
      <c r="J1295" s="3">
        <v>0</v>
      </c>
      <c r="K1295" s="3">
        <f t="shared" si="43"/>
        <v>2020</v>
      </c>
      <c r="L1295" s="3">
        <f t="shared" si="44"/>
        <v>0</v>
      </c>
      <c r="M1295" s="20" t="str">
        <f>A1295&amp;L1295</f>
        <v>LEG0</v>
      </c>
      <c r="N1295" s="3">
        <f>F1295</f>
        <v>0.4</v>
      </c>
      <c r="O1295" s="9">
        <f>H1295</f>
        <v>4.82E-2</v>
      </c>
      <c r="P1295" s="10">
        <f t="shared" si="45"/>
        <v>0</v>
      </c>
      <c r="Q1295" s="10">
        <f>IF(K1295=0,IF(A1292=A1295,AVERAGE(O1292:O1295),"x"),0)</f>
        <v>0</v>
      </c>
      <c r="R1295" s="9">
        <f>IF(L1295&gt;2005,AVERAGE(O1292:O1311),0)</f>
        <v>0</v>
      </c>
      <c r="S1295" s="10">
        <f>IF(A1295=A1296,(N1295-N1296)/N1296,0)</f>
        <v>0</v>
      </c>
      <c r="T1295" s="10">
        <f>IF(L1295&gt;2005,(((N1295-N1315)/N1315)+1)^(1/5)-1,0)</f>
        <v>0</v>
      </c>
      <c r="U1295" s="10">
        <f t="shared" si="46"/>
        <v>0</v>
      </c>
      <c r="V1295" s="26">
        <f t="shared" si="47"/>
        <v>0</v>
      </c>
      <c r="W1295" s="3">
        <f>IF(A1295=A1296,N1295-N1296,0)</f>
        <v>0</v>
      </c>
      <c r="X1295" s="10">
        <f>IF(A1295=A1296,(N1295-N1296)/N1296,0)</f>
        <v>0</v>
      </c>
    </row>
    <row r="1296" spans="1:24" ht="16.5" customHeight="1">
      <c r="A1296" s="3" t="s">
        <v>38</v>
      </c>
      <c r="B1296" s="3">
        <f t="shared" si="40"/>
        <v>2020</v>
      </c>
      <c r="C1296" s="3">
        <f t="shared" si="41"/>
        <v>3</v>
      </c>
      <c r="D1296" s="20" t="str">
        <f t="shared" si="42"/>
        <v>LEG20203</v>
      </c>
      <c r="E1296" s="2">
        <v>43902</v>
      </c>
      <c r="F1296" s="3">
        <v>0.4</v>
      </c>
      <c r="G1296" s="2">
        <v>43936</v>
      </c>
      <c r="H1296" s="3">
        <v>4.6600000000000003E-2</v>
      </c>
      <c r="I1296" s="3">
        <v>0</v>
      </c>
      <c r="J1296" s="3">
        <v>0</v>
      </c>
      <c r="K1296" s="3">
        <f t="shared" si="43"/>
        <v>0</v>
      </c>
      <c r="L1296" s="3">
        <f t="shared" si="44"/>
        <v>2020</v>
      </c>
      <c r="M1296" s="20" t="str">
        <f>A1296&amp;L1296</f>
        <v>LEG2020</v>
      </c>
      <c r="N1296" s="3">
        <f>F1296</f>
        <v>0.4</v>
      </c>
      <c r="O1296" s="9">
        <f>H1296</f>
        <v>4.6600000000000003E-2</v>
      </c>
      <c r="P1296" s="10">
        <f t="shared" si="45"/>
        <v>0</v>
      </c>
      <c r="Q1296" s="10">
        <f>IF(K1296=0,IF(A1293=A1296,AVERAGE(O1293:O1296),"x"),0)</f>
        <v>4.24E-2</v>
      </c>
      <c r="R1296" s="9">
        <f>IF(L1296&gt;2005,AVERAGE(O1293:O1312),0)</f>
        <v>3.4064999999999998E-2</v>
      </c>
      <c r="S1296" s="10">
        <f>IF(A1296=A1297,(N1296-N1297)/N1297,0)</f>
        <v>0</v>
      </c>
      <c r="T1296" s="10">
        <f>IF(L1296&gt;2005,(((N1296-N1316)/N1316)+1)^(1/5)-1,0)</f>
        <v>5.2300215891077695E-2</v>
      </c>
      <c r="U1296" s="10">
        <f t="shared" si="46"/>
        <v>8.6365215891077693E-2</v>
      </c>
      <c r="V1296" s="26">
        <f t="shared" si="47"/>
        <v>4.5488554732137745</v>
      </c>
      <c r="W1296" s="3">
        <f>IF(A1296=A1297,N1296-N1297,0)</f>
        <v>0</v>
      </c>
      <c r="X1296" s="10">
        <f>IF(A1296=A1297,(N1296-N1297)/N1297,0)</f>
        <v>0</v>
      </c>
    </row>
    <row r="1297" spans="1:24" ht="16.5" customHeight="1">
      <c r="A1297" s="3" t="s">
        <v>38</v>
      </c>
      <c r="B1297" s="3">
        <f t="shared" si="40"/>
        <v>2019</v>
      </c>
      <c r="C1297" s="3">
        <f t="shared" si="41"/>
        <v>12</v>
      </c>
      <c r="D1297" s="20" t="str">
        <f t="shared" si="42"/>
        <v>LEG201912</v>
      </c>
      <c r="E1297" s="2">
        <v>43811</v>
      </c>
      <c r="F1297" s="3">
        <v>0.4</v>
      </c>
      <c r="G1297" s="2">
        <v>43845</v>
      </c>
      <c r="H1297" s="3">
        <v>3.1E-2</v>
      </c>
      <c r="I1297" s="3">
        <v>0</v>
      </c>
      <c r="J1297" s="3">
        <v>0</v>
      </c>
      <c r="K1297" s="3">
        <f t="shared" si="43"/>
        <v>2019</v>
      </c>
      <c r="L1297" s="3">
        <f t="shared" si="44"/>
        <v>0</v>
      </c>
      <c r="M1297" s="20" t="str">
        <f>A1297&amp;L1297</f>
        <v>LEG0</v>
      </c>
      <c r="N1297" s="3">
        <f>F1297</f>
        <v>0.4</v>
      </c>
      <c r="O1297" s="9">
        <f>H1297</f>
        <v>3.1E-2</v>
      </c>
      <c r="P1297" s="10">
        <f t="shared" si="45"/>
        <v>0</v>
      </c>
      <c r="Q1297" s="10">
        <f>IF(K1297=0,IF(A1294=A1297,AVERAGE(O1294:O1297),"x"),0)</f>
        <v>0</v>
      </c>
      <c r="R1297" s="9">
        <f>IF(L1297&gt;2005,AVERAGE(O1294:O1313),0)</f>
        <v>0</v>
      </c>
      <c r="S1297" s="10">
        <f>IF(A1297=A1298,(N1297-N1298)/N1298,0)</f>
        <v>0</v>
      </c>
      <c r="T1297" s="10">
        <f>IF(L1297&gt;2005,(((N1297-N1317)/N1317)+1)^(1/5)-1,0)</f>
        <v>0</v>
      </c>
      <c r="U1297" s="10">
        <f t="shared" si="46"/>
        <v>0</v>
      </c>
      <c r="V1297" s="26">
        <f t="shared" si="47"/>
        <v>0</v>
      </c>
      <c r="W1297" s="3">
        <f>IF(A1297=A1298,N1297-N1298,0)</f>
        <v>0</v>
      </c>
      <c r="X1297" s="10">
        <f>IF(A1297=A1298,(N1297-N1298)/N1298,0)</f>
        <v>0</v>
      </c>
    </row>
    <row r="1298" spans="1:24" ht="16.5" customHeight="1">
      <c r="A1298" s="3" t="s">
        <v>38</v>
      </c>
      <c r="B1298" s="3">
        <f t="shared" si="40"/>
        <v>2019</v>
      </c>
      <c r="C1298" s="3">
        <f t="shared" si="41"/>
        <v>9</v>
      </c>
      <c r="D1298" s="20" t="str">
        <f t="shared" si="42"/>
        <v>LEG20199</v>
      </c>
      <c r="E1298" s="2">
        <v>43720</v>
      </c>
      <c r="F1298" s="3">
        <v>0.4</v>
      </c>
      <c r="G1298" s="2">
        <v>43753</v>
      </c>
      <c r="H1298" s="3">
        <v>3.8100000000000002E-2</v>
      </c>
      <c r="I1298" s="3">
        <v>0</v>
      </c>
      <c r="J1298" s="3">
        <v>0</v>
      </c>
      <c r="K1298" s="3">
        <f t="shared" si="43"/>
        <v>2019</v>
      </c>
      <c r="L1298" s="3">
        <f t="shared" si="44"/>
        <v>0</v>
      </c>
      <c r="M1298" s="20" t="str">
        <f>A1298&amp;L1298</f>
        <v>LEG0</v>
      </c>
      <c r="N1298" s="3">
        <f>F1298</f>
        <v>0.4</v>
      </c>
      <c r="O1298" s="9">
        <f>H1298</f>
        <v>3.8100000000000002E-2</v>
      </c>
      <c r="P1298" s="10">
        <f t="shared" si="45"/>
        <v>0</v>
      </c>
      <c r="Q1298" s="10">
        <f>IF(K1298=0,IF(A1295=A1298,AVERAGE(O1295:O1298),"x"),0)</f>
        <v>0</v>
      </c>
      <c r="R1298" s="9">
        <f>IF(L1298&gt;2005,AVERAGE(O1295:O1314),0)</f>
        <v>0</v>
      </c>
      <c r="S1298" s="10">
        <f>IF(A1298=A1299,(N1298-N1299)/N1299,0)</f>
        <v>0</v>
      </c>
      <c r="T1298" s="10">
        <f>IF(L1298&gt;2005,(((N1298-N1318)/N1318)+1)^(1/5)-1,0)</f>
        <v>0</v>
      </c>
      <c r="U1298" s="10">
        <f t="shared" si="46"/>
        <v>0</v>
      </c>
      <c r="V1298" s="26">
        <f t="shared" si="47"/>
        <v>0</v>
      </c>
      <c r="W1298" s="3">
        <f>IF(A1298=A1299,N1298-N1299,0)</f>
        <v>0</v>
      </c>
      <c r="X1298" s="10">
        <f>IF(A1298=A1299,(N1298-N1299)/N1299,0)</f>
        <v>0</v>
      </c>
    </row>
    <row r="1299" spans="1:24" ht="16.5" customHeight="1">
      <c r="A1299" s="3" t="s">
        <v>38</v>
      </c>
      <c r="B1299" s="3">
        <f t="shared" si="40"/>
        <v>2019</v>
      </c>
      <c r="C1299" s="3">
        <f t="shared" si="41"/>
        <v>6</v>
      </c>
      <c r="D1299" s="20" t="str">
        <f t="shared" si="42"/>
        <v>LEG20196</v>
      </c>
      <c r="E1299" s="2">
        <v>43629</v>
      </c>
      <c r="F1299" s="3">
        <v>0.4</v>
      </c>
      <c r="G1299" s="2">
        <v>43661</v>
      </c>
      <c r="H1299" s="3">
        <v>4.2299999999999997E-2</v>
      </c>
      <c r="I1299" s="3">
        <v>5.2631578999999998E-2</v>
      </c>
      <c r="J1299" s="3">
        <v>0.02</v>
      </c>
      <c r="K1299" s="3">
        <f t="shared" si="43"/>
        <v>2019</v>
      </c>
      <c r="L1299" s="3">
        <f t="shared" si="44"/>
        <v>0</v>
      </c>
      <c r="M1299" s="20" t="str">
        <f>A1299&amp;L1299</f>
        <v>LEG0</v>
      </c>
      <c r="N1299" s="3">
        <f>F1299</f>
        <v>0.4</v>
      </c>
      <c r="O1299" s="9">
        <f>H1299</f>
        <v>4.2299999999999997E-2</v>
      </c>
      <c r="P1299" s="10">
        <f t="shared" si="45"/>
        <v>3.7650000000000003E-2</v>
      </c>
      <c r="Q1299" s="10">
        <f>IF(K1299=0,IF(A1296=A1299,AVERAGE(O1296:O1299),"x"),0)</f>
        <v>0</v>
      </c>
      <c r="R1299" s="9">
        <f>IF(L1299&gt;2005,AVERAGE(O1296:O1315),0)</f>
        <v>0</v>
      </c>
      <c r="S1299" s="10">
        <f>IF(A1299=A1300,(N1299-N1300)/N1300,0)</f>
        <v>5.2631578947368467E-2</v>
      </c>
      <c r="T1299" s="10">
        <f>IF(L1299&gt;2005,(((N1299-N1319)/N1319)+1)^(1/5)-1,0)</f>
        <v>0</v>
      </c>
      <c r="U1299" s="10">
        <f t="shared" si="46"/>
        <v>0</v>
      </c>
      <c r="V1299" s="26">
        <f t="shared" si="47"/>
        <v>0</v>
      </c>
      <c r="W1299" s="3">
        <f>IF(A1299=A1300,N1299-N1300,0)</f>
        <v>2.0000000000000018E-2</v>
      </c>
      <c r="X1299" s="10">
        <f>IF(A1299=A1300,(N1299-N1300)/N1300,0)</f>
        <v>5.2631578947368467E-2</v>
      </c>
    </row>
    <row r="1300" spans="1:24" ht="16.5" customHeight="1">
      <c r="A1300" s="3" t="s">
        <v>38</v>
      </c>
      <c r="B1300" s="3">
        <f t="shared" si="40"/>
        <v>2019</v>
      </c>
      <c r="C1300" s="3">
        <f t="shared" si="41"/>
        <v>3</v>
      </c>
      <c r="D1300" s="20" t="str">
        <f t="shared" si="42"/>
        <v>LEG20193</v>
      </c>
      <c r="E1300" s="2">
        <v>43538</v>
      </c>
      <c r="F1300" s="3">
        <v>0.38</v>
      </c>
      <c r="G1300" s="2">
        <v>43570</v>
      </c>
      <c r="H1300" s="3">
        <v>3.4799999999999998E-2</v>
      </c>
      <c r="I1300" s="3">
        <v>0</v>
      </c>
      <c r="J1300" s="3">
        <v>0</v>
      </c>
      <c r="K1300" s="3">
        <f t="shared" si="43"/>
        <v>0</v>
      </c>
      <c r="L1300" s="3">
        <f t="shared" si="44"/>
        <v>2019</v>
      </c>
      <c r="M1300" s="20" t="str">
        <f>A1300&amp;L1300</f>
        <v>LEG2019</v>
      </c>
      <c r="N1300" s="3">
        <f>F1300</f>
        <v>0.38</v>
      </c>
      <c r="O1300" s="9">
        <f>H1300</f>
        <v>3.4799999999999998E-2</v>
      </c>
      <c r="P1300" s="10">
        <f t="shared" si="45"/>
        <v>0</v>
      </c>
      <c r="Q1300" s="10">
        <f>IF(K1300=0,IF(A1297=A1300,AVERAGE(O1297:O1300),"x"),0)</f>
        <v>3.6549999999999999E-2</v>
      </c>
      <c r="R1300" s="9">
        <f>IF(L1300&gt;2005,AVERAGE(O1297:O1316),0)</f>
        <v>3.109E-2</v>
      </c>
      <c r="S1300" s="10">
        <f>IF(A1300=A1301,(N1300-N1301)/N1301,0)</f>
        <v>0</v>
      </c>
      <c r="T1300" s="10">
        <f>IF(L1300&gt;2005,(((N1300-N1320)/N1320)+1)^(1/5)-1,0)</f>
        <v>4.8413171284721557E-2</v>
      </c>
      <c r="U1300" s="10">
        <f t="shared" si="46"/>
        <v>7.9503171284721563E-2</v>
      </c>
      <c r="V1300" s="26">
        <f t="shared" si="47"/>
        <v>4.5842306198043774</v>
      </c>
      <c r="W1300" s="3">
        <f>IF(A1300=A1301,N1300-N1301,0)</f>
        <v>0</v>
      </c>
      <c r="X1300" s="10">
        <f>IF(A1300=A1301,(N1300-N1301)/N1301,0)</f>
        <v>0</v>
      </c>
    </row>
    <row r="1301" spans="1:24" ht="16.5" customHeight="1">
      <c r="A1301" s="3" t="s">
        <v>38</v>
      </c>
      <c r="B1301" s="3">
        <f t="shared" si="40"/>
        <v>2018</v>
      </c>
      <c r="C1301" s="3">
        <f t="shared" si="41"/>
        <v>12</v>
      </c>
      <c r="D1301" s="20" t="str">
        <f t="shared" si="42"/>
        <v>LEG201812</v>
      </c>
      <c r="E1301" s="2">
        <v>43447</v>
      </c>
      <c r="F1301" s="3">
        <v>0.38</v>
      </c>
      <c r="G1301" s="2">
        <v>43480</v>
      </c>
      <c r="H1301" s="3">
        <v>4.0500000000000001E-2</v>
      </c>
      <c r="I1301" s="3">
        <v>0</v>
      </c>
      <c r="J1301" s="3">
        <v>0</v>
      </c>
      <c r="K1301" s="3">
        <f t="shared" si="43"/>
        <v>2018</v>
      </c>
      <c r="L1301" s="3">
        <f t="shared" si="44"/>
        <v>0</v>
      </c>
      <c r="M1301" s="20" t="str">
        <f>A1301&amp;L1301</f>
        <v>LEG0</v>
      </c>
      <c r="N1301" s="3">
        <f>F1301</f>
        <v>0.38</v>
      </c>
      <c r="O1301" s="9">
        <f>H1301</f>
        <v>4.0500000000000001E-2</v>
      </c>
      <c r="P1301" s="10">
        <f t="shared" si="45"/>
        <v>0</v>
      </c>
      <c r="Q1301" s="10">
        <f>IF(K1301=0,IF(A1298=A1301,AVERAGE(O1298:O1301),"x"),0)</f>
        <v>0</v>
      </c>
      <c r="R1301" s="9">
        <f>IF(L1301&gt;2005,AVERAGE(O1298:O1317),0)</f>
        <v>0</v>
      </c>
      <c r="S1301" s="10">
        <f>IF(A1301=A1302,(N1301-N1302)/N1302,0)</f>
        <v>0</v>
      </c>
      <c r="T1301" s="10">
        <f>IF(L1301&gt;2005,(((N1301-N1321)/N1321)+1)^(1/5)-1,0)</f>
        <v>0</v>
      </c>
      <c r="U1301" s="10">
        <f t="shared" si="46"/>
        <v>0</v>
      </c>
      <c r="V1301" s="26">
        <f t="shared" si="47"/>
        <v>0</v>
      </c>
      <c r="W1301" s="3">
        <f>IF(A1301=A1302,N1301-N1302,0)</f>
        <v>0</v>
      </c>
      <c r="X1301" s="10">
        <f>IF(A1301=A1302,(N1301-N1302)/N1302,0)</f>
        <v>0</v>
      </c>
    </row>
    <row r="1302" spans="1:24" ht="16.5" customHeight="1">
      <c r="A1302" s="3" t="s">
        <v>38</v>
      </c>
      <c r="B1302" s="3">
        <f t="shared" si="40"/>
        <v>2018</v>
      </c>
      <c r="C1302" s="3">
        <f t="shared" si="41"/>
        <v>9</v>
      </c>
      <c r="D1302" s="20" t="str">
        <f t="shared" si="42"/>
        <v>LEG20189</v>
      </c>
      <c r="E1302" s="2">
        <v>43364</v>
      </c>
      <c r="F1302" s="3">
        <v>0.38</v>
      </c>
      <c r="G1302" s="2">
        <v>43388</v>
      </c>
      <c r="H1302" s="3">
        <v>3.3000000000000002E-2</v>
      </c>
      <c r="I1302" s="3">
        <v>0</v>
      </c>
      <c r="J1302" s="3">
        <v>0</v>
      </c>
      <c r="K1302" s="3">
        <f t="shared" si="43"/>
        <v>2018</v>
      </c>
      <c r="L1302" s="3">
        <f t="shared" si="44"/>
        <v>0</v>
      </c>
      <c r="M1302" s="20" t="str">
        <f>A1302&amp;L1302</f>
        <v>LEG0</v>
      </c>
      <c r="N1302" s="3">
        <f>F1302</f>
        <v>0.38</v>
      </c>
      <c r="O1302" s="9">
        <f>H1302</f>
        <v>3.3000000000000002E-2</v>
      </c>
      <c r="P1302" s="10">
        <f t="shared" si="45"/>
        <v>0</v>
      </c>
      <c r="Q1302" s="10">
        <f>IF(K1302=0,IF(A1299=A1302,AVERAGE(O1299:O1302),"x"),0)</f>
        <v>0</v>
      </c>
      <c r="R1302" s="9">
        <f>IF(L1302&gt;2005,AVERAGE(O1299:O1318),0)</f>
        <v>0</v>
      </c>
      <c r="S1302" s="10">
        <f>IF(A1302=A1303,(N1302-N1303)/N1303,0)</f>
        <v>0</v>
      </c>
      <c r="T1302" s="10">
        <f>IF(L1302&gt;2005,(((N1302-N1322)/N1322)+1)^(1/5)-1,0)</f>
        <v>0</v>
      </c>
      <c r="U1302" s="10">
        <f t="shared" si="46"/>
        <v>0</v>
      </c>
      <c r="V1302" s="26">
        <f t="shared" si="47"/>
        <v>0</v>
      </c>
      <c r="W1302" s="3">
        <f>IF(A1302=A1303,N1302-N1303,0)</f>
        <v>0</v>
      </c>
      <c r="X1302" s="10">
        <f>IF(A1302=A1303,(N1302-N1303)/N1303,0)</f>
        <v>0</v>
      </c>
    </row>
    <row r="1303" spans="1:24" ht="16.5" customHeight="1">
      <c r="A1303" s="3" t="s">
        <v>38</v>
      </c>
      <c r="B1303" s="3">
        <f t="shared" si="40"/>
        <v>2018</v>
      </c>
      <c r="C1303" s="3">
        <f t="shared" si="41"/>
        <v>6</v>
      </c>
      <c r="D1303" s="20" t="str">
        <f t="shared" si="42"/>
        <v>LEG20186</v>
      </c>
      <c r="E1303" s="2">
        <v>43265</v>
      </c>
      <c r="F1303" s="3">
        <v>0.38</v>
      </c>
      <c r="G1303" s="2">
        <v>43294</v>
      </c>
      <c r="H1303" s="3">
        <v>3.4500000000000003E-2</v>
      </c>
      <c r="I1303" s="3">
        <v>5.5555555999999999E-2</v>
      </c>
      <c r="J1303" s="3">
        <v>0.02</v>
      </c>
      <c r="K1303" s="3">
        <f t="shared" si="43"/>
        <v>2018</v>
      </c>
      <c r="L1303" s="3">
        <f t="shared" si="44"/>
        <v>0</v>
      </c>
      <c r="M1303" s="20" t="str">
        <f>A1303&amp;L1303</f>
        <v>LEG0</v>
      </c>
      <c r="N1303" s="3">
        <f>F1303</f>
        <v>0.38</v>
      </c>
      <c r="O1303" s="9">
        <f>H1303</f>
        <v>3.4500000000000003E-2</v>
      </c>
      <c r="P1303" s="10">
        <f t="shared" si="45"/>
        <v>3.1950000000000006E-2</v>
      </c>
      <c r="Q1303" s="10">
        <f>IF(K1303=0,IF(A1300=A1303,AVERAGE(O1300:O1303),"x"),0)</f>
        <v>0</v>
      </c>
      <c r="R1303" s="9">
        <f>IF(L1303&gt;2005,AVERAGE(O1300:O1319),0)</f>
        <v>0</v>
      </c>
      <c r="S1303" s="10">
        <f>IF(A1303=A1304,(N1303-N1304)/N1304,0)</f>
        <v>5.5555555555555608E-2</v>
      </c>
      <c r="T1303" s="10">
        <f>IF(L1303&gt;2005,(((N1303-N1323)/N1323)+1)^(1/5)-1,0)</f>
        <v>0</v>
      </c>
      <c r="U1303" s="10">
        <f t="shared" si="46"/>
        <v>0</v>
      </c>
      <c r="V1303" s="26">
        <f t="shared" si="47"/>
        <v>0</v>
      </c>
      <c r="W1303" s="3">
        <f>IF(A1303=A1304,N1303-N1304,0)</f>
        <v>2.0000000000000018E-2</v>
      </c>
      <c r="X1303" s="10">
        <f>IF(A1303=A1304,(N1303-N1304)/N1304,0)</f>
        <v>5.5555555555555608E-2</v>
      </c>
    </row>
    <row r="1304" spans="1:24" ht="16.5" customHeight="1">
      <c r="A1304" s="3" t="s">
        <v>38</v>
      </c>
      <c r="B1304" s="3">
        <f t="shared" si="40"/>
        <v>2018</v>
      </c>
      <c r="C1304" s="3">
        <f t="shared" si="41"/>
        <v>3</v>
      </c>
      <c r="D1304" s="20" t="str">
        <f t="shared" si="42"/>
        <v>LEG20183</v>
      </c>
      <c r="E1304" s="2">
        <v>43173</v>
      </c>
      <c r="F1304" s="3">
        <v>0.36</v>
      </c>
      <c r="G1304" s="2">
        <v>43203</v>
      </c>
      <c r="H1304" s="3">
        <v>3.0599999999999999E-2</v>
      </c>
      <c r="I1304" s="3">
        <v>0</v>
      </c>
      <c r="J1304" s="3">
        <v>0</v>
      </c>
      <c r="K1304" s="3">
        <f t="shared" si="43"/>
        <v>0</v>
      </c>
      <c r="L1304" s="3">
        <f t="shared" si="44"/>
        <v>2018</v>
      </c>
      <c r="M1304" s="20" t="str">
        <f>A1304&amp;L1304</f>
        <v>LEG2018</v>
      </c>
      <c r="N1304" s="3">
        <f>F1304</f>
        <v>0.36</v>
      </c>
      <c r="O1304" s="9">
        <f>H1304</f>
        <v>3.0599999999999999E-2</v>
      </c>
      <c r="P1304" s="10">
        <f t="shared" si="45"/>
        <v>0</v>
      </c>
      <c r="Q1304" s="10">
        <f>IF(K1304=0,IF(A1301=A1304,AVERAGE(O1301:O1304),"x"),0)</f>
        <v>3.465E-2</v>
      </c>
      <c r="R1304" s="9">
        <f>IF(L1304&gt;2005,AVERAGE(O1301:O1320),0)</f>
        <v>3.0570000000000003E-2</v>
      </c>
      <c r="S1304" s="10">
        <f>IF(A1304=A1305,(N1304-N1305)/N1305,0)</f>
        <v>0</v>
      </c>
      <c r="T1304" s="10">
        <f>IF(L1304&gt;2005,(((N1304-N1324)/N1324)+1)^(1/5)-1,0)</f>
        <v>4.4193295943856237E-2</v>
      </c>
      <c r="U1304" s="10">
        <f t="shared" si="46"/>
        <v>7.4763295943856237E-2</v>
      </c>
      <c r="V1304" s="26">
        <f t="shared" si="47"/>
        <v>4.5891872720697826</v>
      </c>
      <c r="W1304" s="3">
        <f>IF(A1304=A1305,N1304-N1305,0)</f>
        <v>0</v>
      </c>
      <c r="X1304" s="10">
        <f>IF(A1304=A1305,(N1304-N1305)/N1305,0)</f>
        <v>0</v>
      </c>
    </row>
    <row r="1305" spans="1:24" ht="16.5" customHeight="1">
      <c r="A1305" s="3" t="s">
        <v>38</v>
      </c>
      <c r="B1305" s="3">
        <f t="shared" si="40"/>
        <v>2017</v>
      </c>
      <c r="C1305" s="3">
        <f t="shared" si="41"/>
        <v>12</v>
      </c>
      <c r="D1305" s="20" t="str">
        <f t="shared" si="42"/>
        <v>LEG201712</v>
      </c>
      <c r="E1305" s="2">
        <v>43083</v>
      </c>
      <c r="F1305" s="3">
        <v>0.36</v>
      </c>
      <c r="G1305" s="2">
        <v>43112</v>
      </c>
      <c r="H1305" s="3">
        <v>3.1099999999999999E-2</v>
      </c>
      <c r="I1305" s="3">
        <v>0</v>
      </c>
      <c r="J1305" s="3">
        <v>0</v>
      </c>
      <c r="K1305" s="3">
        <f t="shared" si="43"/>
        <v>2017</v>
      </c>
      <c r="L1305" s="3">
        <f t="shared" si="44"/>
        <v>0</v>
      </c>
      <c r="M1305" s="20" t="str">
        <f>A1305&amp;L1305</f>
        <v>LEG0</v>
      </c>
      <c r="N1305" s="3">
        <f>F1305</f>
        <v>0.36</v>
      </c>
      <c r="O1305" s="9">
        <f>H1305</f>
        <v>3.1099999999999999E-2</v>
      </c>
      <c r="P1305" s="10">
        <f t="shared" si="45"/>
        <v>0</v>
      </c>
      <c r="Q1305" s="10">
        <f>IF(K1305=0,IF(A1302=A1305,AVERAGE(O1302:O1305),"x"),0)</f>
        <v>0</v>
      </c>
      <c r="R1305" s="9">
        <f>IF(L1305&gt;2005,AVERAGE(O1302:O1321),0)</f>
        <v>0</v>
      </c>
      <c r="S1305" s="10">
        <f>IF(A1305=A1306,(N1305-N1306)/N1306,0)</f>
        <v>0</v>
      </c>
      <c r="T1305" s="10">
        <f>IF(L1305&gt;2005,(((N1305-N1325)/N1325)+1)^(1/5)-1,0)</f>
        <v>0</v>
      </c>
      <c r="U1305" s="10">
        <f t="shared" si="46"/>
        <v>0</v>
      </c>
      <c r="V1305" s="26">
        <f t="shared" si="47"/>
        <v>0</v>
      </c>
      <c r="W1305" s="3">
        <f>IF(A1305=A1306,N1305-N1306,0)</f>
        <v>0</v>
      </c>
      <c r="X1305" s="10">
        <f>IF(A1305=A1306,(N1305-N1306)/N1306,0)</f>
        <v>0</v>
      </c>
    </row>
    <row r="1306" spans="1:24" ht="16.5" customHeight="1">
      <c r="A1306" s="3" t="s">
        <v>38</v>
      </c>
      <c r="B1306" s="3">
        <f t="shared" si="40"/>
        <v>2017</v>
      </c>
      <c r="C1306" s="3">
        <f t="shared" si="41"/>
        <v>9</v>
      </c>
      <c r="D1306" s="20" t="str">
        <f t="shared" si="42"/>
        <v>LEG20179</v>
      </c>
      <c r="E1306" s="2">
        <v>42992</v>
      </c>
      <c r="F1306" s="3">
        <v>0.36</v>
      </c>
      <c r="G1306" s="2">
        <v>43021</v>
      </c>
      <c r="H1306" s="3">
        <v>3.1600000000000003E-2</v>
      </c>
      <c r="I1306" s="3">
        <v>0</v>
      </c>
      <c r="J1306" s="3">
        <v>0</v>
      </c>
      <c r="K1306" s="3">
        <f t="shared" si="43"/>
        <v>2017</v>
      </c>
      <c r="L1306" s="3">
        <f t="shared" si="44"/>
        <v>0</v>
      </c>
      <c r="M1306" s="20" t="str">
        <f>A1306&amp;L1306</f>
        <v>LEG0</v>
      </c>
      <c r="N1306" s="3">
        <f>F1306</f>
        <v>0.36</v>
      </c>
      <c r="O1306" s="9">
        <f>H1306</f>
        <v>3.1600000000000003E-2</v>
      </c>
      <c r="P1306" s="10">
        <f t="shared" si="45"/>
        <v>0</v>
      </c>
      <c r="Q1306" s="10">
        <f>IF(K1306=0,IF(A1303=A1306,AVERAGE(O1303:O1306),"x"),0)</f>
        <v>0</v>
      </c>
      <c r="R1306" s="9">
        <f>IF(L1306&gt;2005,AVERAGE(O1303:O1322),0)</f>
        <v>0</v>
      </c>
      <c r="S1306" s="10">
        <f>IF(A1306=A1307,(N1306-N1307)/N1307,0)</f>
        <v>0</v>
      </c>
      <c r="T1306" s="10">
        <f>IF(L1306&gt;2005,(((N1306-N1326)/N1326)+1)^(1/5)-1,0)</f>
        <v>0</v>
      </c>
      <c r="U1306" s="10">
        <f t="shared" si="46"/>
        <v>0</v>
      </c>
      <c r="V1306" s="26">
        <f t="shared" si="47"/>
        <v>0</v>
      </c>
      <c r="W1306" s="3">
        <f>IF(A1306=A1307,N1306-N1307,0)</f>
        <v>0</v>
      </c>
      <c r="X1306" s="10">
        <f>IF(A1306=A1307,(N1306-N1307)/N1307,0)</f>
        <v>0</v>
      </c>
    </row>
    <row r="1307" spans="1:24" ht="16.5" customHeight="1">
      <c r="A1307" s="3" t="s">
        <v>38</v>
      </c>
      <c r="B1307" s="3">
        <f t="shared" si="40"/>
        <v>2017</v>
      </c>
      <c r="C1307" s="3">
        <f t="shared" si="41"/>
        <v>6</v>
      </c>
      <c r="D1307" s="20" t="str">
        <f t="shared" si="42"/>
        <v>LEG20176</v>
      </c>
      <c r="E1307" s="2">
        <v>42899</v>
      </c>
      <c r="F1307" s="3">
        <v>0.36</v>
      </c>
      <c r="G1307" s="2">
        <v>42930</v>
      </c>
      <c r="H1307" s="3">
        <v>2.7300000000000001E-2</v>
      </c>
      <c r="I1307" s="3">
        <v>5.8823528999999999E-2</v>
      </c>
      <c r="J1307" s="3">
        <v>0.02</v>
      </c>
      <c r="K1307" s="3">
        <f t="shared" si="43"/>
        <v>2017</v>
      </c>
      <c r="L1307" s="3">
        <f t="shared" si="44"/>
        <v>0</v>
      </c>
      <c r="M1307" s="20" t="str">
        <f>A1307&amp;L1307</f>
        <v>LEG0</v>
      </c>
      <c r="N1307" s="3">
        <f>F1307</f>
        <v>0.36</v>
      </c>
      <c r="O1307" s="9">
        <f>H1307</f>
        <v>2.7300000000000001E-2</v>
      </c>
      <c r="P1307" s="10">
        <f t="shared" si="45"/>
        <v>2.7349999999999999E-2</v>
      </c>
      <c r="Q1307" s="10">
        <f>IF(K1307=0,IF(A1304=A1307,AVERAGE(O1304:O1307),"x"),0)</f>
        <v>0</v>
      </c>
      <c r="R1307" s="9">
        <f>IF(L1307&gt;2005,AVERAGE(O1304:O1323),0)</f>
        <v>0</v>
      </c>
      <c r="S1307" s="10">
        <f>IF(A1307=A1308,(N1307-N1308)/N1308,0)</f>
        <v>5.8823529411764594E-2</v>
      </c>
      <c r="T1307" s="10">
        <f>IF(L1307&gt;2005,(((N1307-N1327)/N1327)+1)^(1/5)-1,0)</f>
        <v>0</v>
      </c>
      <c r="U1307" s="10">
        <f t="shared" si="46"/>
        <v>0</v>
      </c>
      <c r="V1307" s="26">
        <f t="shared" si="47"/>
        <v>0</v>
      </c>
      <c r="W1307" s="3">
        <f>IF(A1307=A1308,N1307-N1308,0)</f>
        <v>1.9999999999999962E-2</v>
      </c>
      <c r="X1307" s="10">
        <f>IF(A1307=A1308,(N1307-N1308)/N1308,0)</f>
        <v>5.8823529411764594E-2</v>
      </c>
    </row>
    <row r="1308" spans="1:24" ht="16.5" customHeight="1">
      <c r="A1308" s="3" t="s">
        <v>38</v>
      </c>
      <c r="B1308" s="3">
        <f t="shared" si="40"/>
        <v>2017</v>
      </c>
      <c r="C1308" s="3">
        <f t="shared" si="41"/>
        <v>3</v>
      </c>
      <c r="D1308" s="20" t="str">
        <f t="shared" si="42"/>
        <v>LEG20173</v>
      </c>
      <c r="E1308" s="2">
        <v>42807</v>
      </c>
      <c r="F1308" s="3">
        <v>0.34</v>
      </c>
      <c r="G1308" s="2">
        <v>42838</v>
      </c>
      <c r="H1308" s="3">
        <v>2.7799999999999998E-2</v>
      </c>
      <c r="I1308" s="3">
        <v>0</v>
      </c>
      <c r="J1308" s="3">
        <v>0</v>
      </c>
      <c r="K1308" s="3">
        <f t="shared" si="43"/>
        <v>0</v>
      </c>
      <c r="L1308" s="3">
        <f t="shared" si="44"/>
        <v>2017</v>
      </c>
      <c r="M1308" s="20" t="str">
        <f>A1308&amp;L1308</f>
        <v>LEG2017</v>
      </c>
      <c r="N1308" s="3">
        <f>F1308</f>
        <v>0.34</v>
      </c>
      <c r="O1308" s="9">
        <f>H1308</f>
        <v>2.7799999999999998E-2</v>
      </c>
      <c r="P1308" s="10">
        <f t="shared" si="45"/>
        <v>0</v>
      </c>
      <c r="Q1308" s="10">
        <f>IF(K1308=0,IF(A1305=A1308,AVERAGE(O1305:O1308),"x"),0)</f>
        <v>2.9450000000000004E-2</v>
      </c>
      <c r="R1308" s="9">
        <f>IF(L1308&gt;2005,AVERAGE(O1305:O1324),0)</f>
        <v>3.1154999999999999E-2</v>
      </c>
      <c r="S1308" s="10">
        <f>IF(A1308=A1309,(N1308-N1309)/N1309,0)</f>
        <v>0</v>
      </c>
      <c r="T1308" s="10">
        <f>IF(L1308&gt;2005,(((N1308-N1328)/N1328)+1)^(1/5)-1,0)</f>
        <v>3.9594988207552584E-2</v>
      </c>
      <c r="U1308" s="10">
        <f t="shared" si="46"/>
        <v>7.0749988207552586E-2</v>
      </c>
      <c r="V1308" s="26">
        <f t="shared" si="47"/>
        <v>4.5801204047333535</v>
      </c>
      <c r="W1308" s="3">
        <f>IF(A1308=A1309,N1308-N1309,0)</f>
        <v>0</v>
      </c>
      <c r="X1308" s="10">
        <f>IF(A1308=A1309,(N1308-N1309)/N1309,0)</f>
        <v>0</v>
      </c>
    </row>
    <row r="1309" spans="1:24" ht="16.5" customHeight="1">
      <c r="A1309" s="3" t="s">
        <v>38</v>
      </c>
      <c r="B1309" s="3">
        <f t="shared" si="40"/>
        <v>2016</v>
      </c>
      <c r="C1309" s="3">
        <f t="shared" si="41"/>
        <v>12</v>
      </c>
      <c r="D1309" s="20" t="str">
        <f t="shared" si="42"/>
        <v>LEG201612</v>
      </c>
      <c r="E1309" s="2">
        <v>42717</v>
      </c>
      <c r="F1309" s="3">
        <v>0.34</v>
      </c>
      <c r="G1309" s="2">
        <v>42748</v>
      </c>
      <c r="H1309" s="3">
        <v>2.7099999999999999E-2</v>
      </c>
      <c r="I1309" s="3">
        <v>0</v>
      </c>
      <c r="J1309" s="3">
        <v>0</v>
      </c>
      <c r="K1309" s="3">
        <f t="shared" si="43"/>
        <v>2016</v>
      </c>
      <c r="L1309" s="3">
        <f t="shared" si="44"/>
        <v>0</v>
      </c>
      <c r="M1309" s="20" t="str">
        <f>A1309&amp;L1309</f>
        <v>LEG0</v>
      </c>
      <c r="N1309" s="3">
        <f>F1309</f>
        <v>0.34</v>
      </c>
      <c r="O1309" s="9">
        <f>H1309</f>
        <v>2.7099999999999999E-2</v>
      </c>
      <c r="P1309" s="10">
        <f t="shared" si="45"/>
        <v>0</v>
      </c>
      <c r="Q1309" s="10">
        <f>IF(K1309=0,IF(A1306=A1309,AVERAGE(O1306:O1309),"x"),0)</f>
        <v>0</v>
      </c>
      <c r="R1309" s="9">
        <f>IF(L1309&gt;2005,AVERAGE(O1306:O1325),0)</f>
        <v>0</v>
      </c>
      <c r="S1309" s="10">
        <f>IF(A1309=A1310,(N1309-N1310)/N1310,0)</f>
        <v>0</v>
      </c>
      <c r="T1309" s="10">
        <f>IF(L1309&gt;2005,(((N1309-N1329)/N1329)+1)^(1/5)-1,0)</f>
        <v>0</v>
      </c>
      <c r="U1309" s="10">
        <f t="shared" si="46"/>
        <v>0</v>
      </c>
      <c r="V1309" s="26">
        <f t="shared" si="47"/>
        <v>0</v>
      </c>
      <c r="W1309" s="3">
        <f>IF(A1309=A1310,N1309-N1310,0)</f>
        <v>0</v>
      </c>
      <c r="X1309" s="10">
        <f>IF(A1309=A1310,(N1309-N1310)/N1310,0)</f>
        <v>0</v>
      </c>
    </row>
    <row r="1310" spans="1:24" ht="16.5" customHeight="1">
      <c r="A1310" s="3" t="s">
        <v>38</v>
      </c>
      <c r="B1310" s="3">
        <f t="shared" si="40"/>
        <v>2016</v>
      </c>
      <c r="C1310" s="3">
        <f t="shared" si="41"/>
        <v>9</v>
      </c>
      <c r="D1310" s="20" t="str">
        <f t="shared" si="42"/>
        <v>LEG20169</v>
      </c>
      <c r="E1310" s="2">
        <v>42626</v>
      </c>
      <c r="F1310" s="3">
        <v>0.34</v>
      </c>
      <c r="G1310" s="2">
        <v>42657</v>
      </c>
      <c r="H1310" s="3">
        <v>2.7199999999999998E-2</v>
      </c>
      <c r="I1310" s="3">
        <v>0</v>
      </c>
      <c r="J1310" s="3">
        <v>0</v>
      </c>
      <c r="K1310" s="3">
        <f t="shared" si="43"/>
        <v>2016</v>
      </c>
      <c r="L1310" s="3">
        <f t="shared" si="44"/>
        <v>0</v>
      </c>
      <c r="M1310" s="20" t="str">
        <f>A1310&amp;L1310</f>
        <v>LEG0</v>
      </c>
      <c r="N1310" s="3">
        <f>F1310</f>
        <v>0.34</v>
      </c>
      <c r="O1310" s="9">
        <f>H1310</f>
        <v>2.7199999999999998E-2</v>
      </c>
      <c r="P1310" s="10">
        <f t="shared" si="45"/>
        <v>0</v>
      </c>
      <c r="Q1310" s="10">
        <f>IF(K1310=0,IF(A1307=A1310,AVERAGE(O1307:O1310),"x"),0)</f>
        <v>0</v>
      </c>
      <c r="R1310" s="9">
        <f>IF(L1310&gt;2005,AVERAGE(O1307:O1326),0)</f>
        <v>0</v>
      </c>
      <c r="S1310" s="10">
        <f>IF(A1310=A1311,(N1310-N1311)/N1311,0)</f>
        <v>0</v>
      </c>
      <c r="T1310" s="10">
        <f>IF(L1310&gt;2005,(((N1310-N1330)/N1330)+1)^(1/5)-1,0)</f>
        <v>0</v>
      </c>
      <c r="U1310" s="10">
        <f t="shared" si="46"/>
        <v>0</v>
      </c>
      <c r="V1310" s="26">
        <f t="shared" si="47"/>
        <v>0</v>
      </c>
      <c r="W1310" s="3">
        <f>IF(A1310=A1311,N1310-N1311,0)</f>
        <v>0</v>
      </c>
      <c r="X1310" s="10">
        <f>IF(A1310=A1311,(N1310-N1311)/N1311,0)</f>
        <v>0</v>
      </c>
    </row>
    <row r="1311" spans="1:24" ht="16.5" customHeight="1">
      <c r="A1311" s="3" t="s">
        <v>38</v>
      </c>
      <c r="B1311" s="3">
        <f t="shared" si="40"/>
        <v>2016</v>
      </c>
      <c r="C1311" s="3">
        <f t="shared" si="41"/>
        <v>6</v>
      </c>
      <c r="D1311" s="20" t="str">
        <f t="shared" si="42"/>
        <v>LEG20166</v>
      </c>
      <c r="E1311" s="2">
        <v>42534</v>
      </c>
      <c r="F1311" s="3">
        <v>0.34</v>
      </c>
      <c r="G1311" s="2">
        <v>42566</v>
      </c>
      <c r="H1311" s="3">
        <v>2.7099999999999999E-2</v>
      </c>
      <c r="I1311" s="3">
        <v>6.25E-2</v>
      </c>
      <c r="J1311" s="3">
        <v>0.02</v>
      </c>
      <c r="K1311" s="3">
        <f t="shared" si="43"/>
        <v>2016</v>
      </c>
      <c r="L1311" s="3">
        <f t="shared" si="44"/>
        <v>0</v>
      </c>
      <c r="M1311" s="20" t="str">
        <f>A1311&amp;L1311</f>
        <v>LEG0</v>
      </c>
      <c r="N1311" s="3">
        <f>F1311</f>
        <v>0.34</v>
      </c>
      <c r="O1311" s="9">
        <f>H1311</f>
        <v>2.7099999999999999E-2</v>
      </c>
      <c r="P1311" s="10">
        <f t="shared" si="45"/>
        <v>2.7999999999999997E-2</v>
      </c>
      <c r="Q1311" s="10">
        <f>IF(K1311=0,IF(A1308=A1311,AVERAGE(O1308:O1311),"x"),0)</f>
        <v>0</v>
      </c>
      <c r="R1311" s="9">
        <f>IF(L1311&gt;2005,AVERAGE(O1308:O1327),0)</f>
        <v>0</v>
      </c>
      <c r="S1311" s="10">
        <f>IF(A1311=A1312,(N1311-N1312)/N1312,0)</f>
        <v>6.2500000000000056E-2</v>
      </c>
      <c r="T1311" s="10">
        <f>IF(L1311&gt;2005,(((N1311-N1331)/N1331)+1)^(1/5)-1,0)</f>
        <v>0</v>
      </c>
      <c r="U1311" s="10">
        <f t="shared" si="46"/>
        <v>0</v>
      </c>
      <c r="V1311" s="26">
        <f t="shared" si="47"/>
        <v>0</v>
      </c>
      <c r="W1311" s="3">
        <f>IF(A1311=A1312,N1311-N1312,0)</f>
        <v>2.0000000000000018E-2</v>
      </c>
      <c r="X1311" s="10">
        <f>IF(A1311=A1312,(N1311-N1312)/N1312,0)</f>
        <v>6.2500000000000056E-2</v>
      </c>
    </row>
    <row r="1312" spans="1:24" ht="16.5" customHeight="1">
      <c r="A1312" s="3" t="s">
        <v>38</v>
      </c>
      <c r="B1312" s="3">
        <f t="shared" si="40"/>
        <v>2016</v>
      </c>
      <c r="C1312" s="3">
        <f t="shared" si="41"/>
        <v>3</v>
      </c>
      <c r="D1312" s="20" t="str">
        <f t="shared" si="42"/>
        <v>LEG20163</v>
      </c>
      <c r="E1312" s="2">
        <v>42440</v>
      </c>
      <c r="F1312" s="3">
        <v>0.32</v>
      </c>
      <c r="G1312" s="2">
        <v>42475</v>
      </c>
      <c r="H1312" s="3">
        <v>2.7699999999999999E-2</v>
      </c>
      <c r="I1312" s="3">
        <v>0</v>
      </c>
      <c r="J1312" s="3">
        <v>0</v>
      </c>
      <c r="K1312" s="3">
        <f t="shared" si="43"/>
        <v>0</v>
      </c>
      <c r="L1312" s="3">
        <f t="shared" si="44"/>
        <v>2016</v>
      </c>
      <c r="M1312" s="20" t="str">
        <f>A1312&amp;L1312</f>
        <v>LEG2016</v>
      </c>
      <c r="N1312" s="3">
        <f>F1312</f>
        <v>0.32</v>
      </c>
      <c r="O1312" s="9">
        <f>H1312</f>
        <v>2.7699999999999999E-2</v>
      </c>
      <c r="P1312" s="10">
        <f t="shared" si="45"/>
        <v>0</v>
      </c>
      <c r="Q1312" s="10">
        <f>IF(K1312=0,IF(A1309=A1312,AVERAGE(O1309:O1312),"x"),0)</f>
        <v>2.7275000000000001E-2</v>
      </c>
      <c r="R1312" s="9">
        <f>IF(L1312&gt;2005,AVERAGE(O1309:O1328),0)</f>
        <v>3.4780000000000005E-2</v>
      </c>
      <c r="S1312" s="10">
        <f>IF(A1312=A1313,(N1312-N1313)/N1313,0)</f>
        <v>0</v>
      </c>
      <c r="T1312" s="10">
        <f>IF(L1312&gt;2005,(((N1312-N1332)/N1332)+1)^(1/5)-1,0)</f>
        <v>3.4563715943573214E-2</v>
      </c>
      <c r="U1312" s="10">
        <f t="shared" si="46"/>
        <v>6.934371594357322E-2</v>
      </c>
      <c r="V1312" s="26">
        <f t="shared" si="47"/>
        <v>4.5327782774619196</v>
      </c>
      <c r="W1312" s="3">
        <f>IF(A1312=A1313,N1312-N1313,0)</f>
        <v>0</v>
      </c>
      <c r="X1312" s="10">
        <f>IF(A1312=A1313,(N1312-N1313)/N1313,0)</f>
        <v>0</v>
      </c>
    </row>
    <row r="1313" spans="1:24" ht="16.5" customHeight="1">
      <c r="A1313" s="3" t="s">
        <v>38</v>
      </c>
      <c r="B1313" s="3">
        <f t="shared" si="40"/>
        <v>2015</v>
      </c>
      <c r="C1313" s="3">
        <f t="shared" si="41"/>
        <v>12</v>
      </c>
      <c r="D1313" s="20" t="str">
        <f t="shared" si="42"/>
        <v>LEG201512</v>
      </c>
      <c r="E1313" s="2">
        <v>42349</v>
      </c>
      <c r="F1313" s="3">
        <v>0.32</v>
      </c>
      <c r="G1313" s="2">
        <v>42384</v>
      </c>
      <c r="H1313" s="3">
        <v>2.8899999999999999E-2</v>
      </c>
      <c r="I1313" s="3">
        <v>0</v>
      </c>
      <c r="J1313" s="3">
        <v>0</v>
      </c>
      <c r="K1313" s="3">
        <f t="shared" si="43"/>
        <v>2015</v>
      </c>
      <c r="L1313" s="3">
        <f t="shared" si="44"/>
        <v>0</v>
      </c>
      <c r="M1313" s="20" t="str">
        <f>A1313&amp;L1313</f>
        <v>LEG0</v>
      </c>
      <c r="N1313" s="3">
        <f>F1313</f>
        <v>0.32</v>
      </c>
      <c r="O1313" s="9">
        <f>H1313</f>
        <v>2.8899999999999999E-2</v>
      </c>
      <c r="P1313" s="10">
        <f t="shared" si="45"/>
        <v>0</v>
      </c>
      <c r="Q1313" s="10">
        <f>IF(K1313=0,IF(A1310=A1313,AVERAGE(O1310:O1313),"x"),0)</f>
        <v>0</v>
      </c>
      <c r="R1313" s="9">
        <f>IF(L1313&gt;2005,AVERAGE(O1310:O1329),0)</f>
        <v>0</v>
      </c>
      <c r="S1313" s="10">
        <f>IF(A1313=A1314,(N1313-N1314)/N1314,0)</f>
        <v>0</v>
      </c>
      <c r="T1313" s="10">
        <f>IF(L1313&gt;2005,(((N1313-N1333)/N1333)+1)^(1/5)-1,0)</f>
        <v>0</v>
      </c>
      <c r="U1313" s="10">
        <f t="shared" si="46"/>
        <v>0</v>
      </c>
      <c r="V1313" s="26">
        <f t="shared" si="47"/>
        <v>0</v>
      </c>
      <c r="W1313" s="3">
        <f>IF(A1313=A1314,N1313-N1314,0)</f>
        <v>0</v>
      </c>
      <c r="X1313" s="10">
        <f>IF(A1313=A1314,(N1313-N1314)/N1314,0)</f>
        <v>0</v>
      </c>
    </row>
    <row r="1314" spans="1:24" ht="16.5" customHeight="1">
      <c r="A1314" s="3" t="s">
        <v>38</v>
      </c>
      <c r="B1314" s="3">
        <f t="shared" si="40"/>
        <v>2015</v>
      </c>
      <c r="C1314" s="3">
        <f t="shared" si="41"/>
        <v>9</v>
      </c>
      <c r="D1314" s="20" t="str">
        <f t="shared" si="42"/>
        <v>LEG20159</v>
      </c>
      <c r="E1314" s="2">
        <v>42258</v>
      </c>
      <c r="F1314" s="3">
        <v>0.32</v>
      </c>
      <c r="G1314" s="2">
        <v>42292</v>
      </c>
      <c r="H1314" s="3">
        <v>2.8299999999999999E-2</v>
      </c>
      <c r="I1314" s="3">
        <v>3.2258065000000002E-2</v>
      </c>
      <c r="J1314" s="3">
        <v>0.01</v>
      </c>
      <c r="K1314" s="3">
        <f t="shared" si="43"/>
        <v>2015</v>
      </c>
      <c r="L1314" s="3">
        <f t="shared" si="44"/>
        <v>0</v>
      </c>
      <c r="M1314" s="20" t="str">
        <f>A1314&amp;L1314</f>
        <v>LEG0</v>
      </c>
      <c r="N1314" s="3">
        <f>F1314</f>
        <v>0.32</v>
      </c>
      <c r="O1314" s="9">
        <f>H1314</f>
        <v>2.8299999999999999E-2</v>
      </c>
      <c r="P1314" s="10">
        <f t="shared" si="45"/>
        <v>2.7649999999999997E-2</v>
      </c>
      <c r="Q1314" s="10">
        <f>IF(K1314=0,IF(A1311=A1314,AVERAGE(O1311:O1314),"x"),0)</f>
        <v>0</v>
      </c>
      <c r="R1314" s="9">
        <f>IF(L1314&gt;2005,AVERAGE(O1311:O1330),0)</f>
        <v>0</v>
      </c>
      <c r="S1314" s="10">
        <f>IF(A1314=A1315,(N1314-N1315)/N1315,0)</f>
        <v>3.2258064516129059E-2</v>
      </c>
      <c r="T1314" s="10">
        <f>IF(L1314&gt;2005,(((N1314-N1334)/N1334)+1)^(1/5)-1,0)</f>
        <v>0</v>
      </c>
      <c r="U1314" s="10">
        <f t="shared" si="46"/>
        <v>0</v>
      </c>
      <c r="V1314" s="26">
        <f t="shared" si="47"/>
        <v>0</v>
      </c>
      <c r="W1314" s="3">
        <f>IF(A1314=A1315,N1314-N1315,0)</f>
        <v>1.0000000000000009E-2</v>
      </c>
      <c r="X1314" s="10">
        <f>IF(A1314=A1315,(N1314-N1315)/N1315,0)</f>
        <v>3.2258064516129059E-2</v>
      </c>
    </row>
    <row r="1315" spans="1:24" ht="16.5" customHeight="1">
      <c r="A1315" s="3" t="s">
        <v>38</v>
      </c>
      <c r="B1315" s="3">
        <f t="shared" si="40"/>
        <v>2015</v>
      </c>
      <c r="C1315" s="3">
        <f t="shared" si="41"/>
        <v>6</v>
      </c>
      <c r="D1315" s="20" t="str">
        <f t="shared" si="42"/>
        <v>LEG20156</v>
      </c>
      <c r="E1315" s="2">
        <v>42166</v>
      </c>
      <c r="F1315" s="3">
        <v>0.31</v>
      </c>
      <c r="G1315" s="2">
        <v>42200</v>
      </c>
      <c r="H1315" s="3">
        <v>2.52E-2</v>
      </c>
      <c r="I1315" s="3">
        <v>0</v>
      </c>
      <c r="J1315" s="3">
        <v>0</v>
      </c>
      <c r="K1315" s="3">
        <f t="shared" si="43"/>
        <v>2015</v>
      </c>
      <c r="L1315" s="3">
        <f t="shared" si="44"/>
        <v>0</v>
      </c>
      <c r="M1315" s="20" t="str">
        <f>A1315&amp;L1315</f>
        <v>LEG0</v>
      </c>
      <c r="N1315" s="3">
        <f>F1315</f>
        <v>0.31</v>
      </c>
      <c r="O1315" s="9">
        <f>H1315</f>
        <v>2.52E-2</v>
      </c>
      <c r="P1315" s="10">
        <f t="shared" si="45"/>
        <v>0</v>
      </c>
      <c r="Q1315" s="10">
        <f>IF(K1315=0,IF(A1312=A1315,AVERAGE(O1312:O1315),"x"),0)</f>
        <v>0</v>
      </c>
      <c r="R1315" s="9">
        <f>IF(L1315&gt;2005,AVERAGE(O1312:O1331),0)</f>
        <v>0</v>
      </c>
      <c r="S1315" s="10">
        <f>IF(A1315=A1316,(N1315-N1316)/N1316,0)</f>
        <v>0</v>
      </c>
      <c r="T1315" s="10">
        <f>IF(L1315&gt;2005,(((N1315-N1335)/N1335)+1)^(1/5)-1,0)</f>
        <v>0</v>
      </c>
      <c r="U1315" s="10">
        <f t="shared" si="46"/>
        <v>0</v>
      </c>
      <c r="V1315" s="26">
        <f t="shared" si="47"/>
        <v>0</v>
      </c>
      <c r="W1315" s="3">
        <f>IF(A1315=A1316,N1315-N1316,0)</f>
        <v>0</v>
      </c>
      <c r="X1315" s="10">
        <f>IF(A1315=A1316,(N1315-N1316)/N1316,0)</f>
        <v>0</v>
      </c>
    </row>
    <row r="1316" spans="1:24" ht="16.5" customHeight="1">
      <c r="A1316" s="3" t="s">
        <v>38</v>
      </c>
      <c r="B1316" s="3">
        <f t="shared" si="40"/>
        <v>2015</v>
      </c>
      <c r="C1316" s="3">
        <f t="shared" si="41"/>
        <v>3</v>
      </c>
      <c r="D1316" s="20" t="str">
        <f t="shared" si="42"/>
        <v>LEG20153</v>
      </c>
      <c r="E1316" s="2">
        <v>42074</v>
      </c>
      <c r="F1316" s="3">
        <v>0.31</v>
      </c>
      <c r="G1316" s="2">
        <v>42109</v>
      </c>
      <c r="H1316" s="3">
        <v>2.7699999999999999E-2</v>
      </c>
      <c r="I1316" s="3">
        <v>0</v>
      </c>
      <c r="J1316" s="3">
        <v>0</v>
      </c>
      <c r="K1316" s="3">
        <f t="shared" si="43"/>
        <v>0</v>
      </c>
      <c r="L1316" s="3">
        <f t="shared" si="44"/>
        <v>2015</v>
      </c>
      <c r="M1316" s="20" t="str">
        <f>A1316&amp;L1316</f>
        <v>LEG2015</v>
      </c>
      <c r="N1316" s="3">
        <f>F1316</f>
        <v>0.31</v>
      </c>
      <c r="O1316" s="9">
        <f>H1316</f>
        <v>2.7699999999999999E-2</v>
      </c>
      <c r="P1316" s="10">
        <f t="shared" si="45"/>
        <v>0</v>
      </c>
      <c r="Q1316" s="10">
        <f>IF(K1316=0,IF(A1313=A1316,AVERAGE(O1313:O1316),"x"),0)</f>
        <v>2.7525000000000001E-2</v>
      </c>
      <c r="R1316" s="9">
        <f>IF(L1316&gt;2005,AVERAGE(O1313:O1332),0)</f>
        <v>3.8959999999999988E-2</v>
      </c>
      <c r="S1316" s="10">
        <f>IF(A1316=A1317,(N1316-N1317)/N1317,0)</f>
        <v>0</v>
      </c>
      <c r="T1316" s="10">
        <f>IF(L1316&gt;2005,(((N1316-N1336)/N1336)+1)^(1/5)-1,0)</f>
        <v>3.5804203580214189E-2</v>
      </c>
      <c r="U1316" s="10">
        <f t="shared" si="46"/>
        <v>7.4764203580214184E-2</v>
      </c>
      <c r="V1316" s="26">
        <f t="shared" si="47"/>
        <v>4.4818295888901094</v>
      </c>
      <c r="W1316" s="3">
        <f>IF(A1316=A1317,N1316-N1317,0)</f>
        <v>0</v>
      </c>
      <c r="X1316" s="10">
        <f>IF(A1316=A1317,(N1316-N1317)/N1317,0)</f>
        <v>0</v>
      </c>
    </row>
    <row r="1317" spans="1:24" ht="16.5" customHeight="1">
      <c r="A1317" s="3" t="s">
        <v>38</v>
      </c>
      <c r="B1317" s="3">
        <f t="shared" si="40"/>
        <v>2014</v>
      </c>
      <c r="C1317" s="3">
        <f t="shared" si="41"/>
        <v>12</v>
      </c>
      <c r="D1317" s="20" t="str">
        <f t="shared" si="42"/>
        <v>LEG201412</v>
      </c>
      <c r="E1317" s="2">
        <v>41984</v>
      </c>
      <c r="F1317" s="3">
        <v>0.31</v>
      </c>
      <c r="G1317" s="2">
        <v>42019</v>
      </c>
      <c r="H1317" s="3">
        <v>2.9399999999999999E-2</v>
      </c>
      <c r="I1317" s="3">
        <v>0</v>
      </c>
      <c r="J1317" s="3">
        <v>0</v>
      </c>
      <c r="K1317" s="3">
        <f t="shared" si="43"/>
        <v>2014</v>
      </c>
      <c r="L1317" s="3">
        <f t="shared" si="44"/>
        <v>0</v>
      </c>
      <c r="M1317" s="20" t="str">
        <f>A1317&amp;L1317</f>
        <v>LEG0</v>
      </c>
      <c r="N1317" s="3">
        <f>F1317</f>
        <v>0.31</v>
      </c>
      <c r="O1317" s="9">
        <f>H1317</f>
        <v>2.9399999999999999E-2</v>
      </c>
      <c r="P1317" s="10">
        <f t="shared" si="45"/>
        <v>0</v>
      </c>
      <c r="Q1317" s="10">
        <f>IF(K1317=0,IF(A1314=A1317,AVERAGE(O1314:O1317),"x"),0)</f>
        <v>0</v>
      </c>
      <c r="R1317" s="9">
        <f>IF(L1317&gt;2005,AVERAGE(O1314:O1333),0)</f>
        <v>0</v>
      </c>
      <c r="S1317" s="10">
        <f>IF(A1317=A1318,(N1317-N1318)/N1318,0)</f>
        <v>0</v>
      </c>
      <c r="T1317" s="10">
        <f>IF(L1317&gt;2005,(((N1317-N1337)/N1337)+1)^(1/5)-1,0)</f>
        <v>0</v>
      </c>
      <c r="U1317" s="10">
        <f t="shared" si="46"/>
        <v>0</v>
      </c>
      <c r="V1317" s="26">
        <f t="shared" si="47"/>
        <v>0</v>
      </c>
      <c r="W1317" s="3">
        <f>IF(A1317=A1318,N1317-N1318,0)</f>
        <v>0</v>
      </c>
      <c r="X1317" s="10">
        <f>IF(A1317=A1318,(N1317-N1318)/N1318,0)</f>
        <v>0</v>
      </c>
    </row>
    <row r="1318" spans="1:24" ht="16.5" customHeight="1">
      <c r="A1318" s="3" t="s">
        <v>38</v>
      </c>
      <c r="B1318" s="3">
        <f t="shared" si="40"/>
        <v>2014</v>
      </c>
      <c r="C1318" s="3">
        <f t="shared" si="41"/>
        <v>9</v>
      </c>
      <c r="D1318" s="20" t="str">
        <f t="shared" si="42"/>
        <v>LEG20149</v>
      </c>
      <c r="E1318" s="2">
        <v>41893</v>
      </c>
      <c r="F1318" s="3">
        <v>0.31</v>
      </c>
      <c r="G1318" s="2">
        <v>41927</v>
      </c>
      <c r="H1318" s="3">
        <v>3.4099999999999998E-2</v>
      </c>
      <c r="I1318" s="3">
        <v>3.3333333E-2</v>
      </c>
      <c r="J1318" s="3">
        <v>0.01</v>
      </c>
      <c r="K1318" s="3">
        <f t="shared" si="43"/>
        <v>2014</v>
      </c>
      <c r="L1318" s="3">
        <f t="shared" si="44"/>
        <v>0</v>
      </c>
      <c r="M1318" s="20" t="str">
        <f>A1318&amp;L1318</f>
        <v>LEG0</v>
      </c>
      <c r="N1318" s="3">
        <f>F1318</f>
        <v>0.31</v>
      </c>
      <c r="O1318" s="9">
        <f>H1318</f>
        <v>3.4099999999999998E-2</v>
      </c>
      <c r="P1318" s="10">
        <f t="shared" si="45"/>
        <v>3.6549999999999999E-2</v>
      </c>
      <c r="Q1318" s="10">
        <f>IF(K1318=0,IF(A1315=A1318,AVERAGE(O1315:O1318),"x"),0)</f>
        <v>0</v>
      </c>
      <c r="R1318" s="9">
        <f>IF(L1318&gt;2005,AVERAGE(O1315:O1334),0)</f>
        <v>0</v>
      </c>
      <c r="S1318" s="10">
        <f>IF(A1318=A1319,(N1318-N1319)/N1319,0)</f>
        <v>3.3333333333333368E-2</v>
      </c>
      <c r="T1318" s="10">
        <f>IF(L1318&gt;2005,(((N1318-N1338)/N1338)+1)^(1/5)-1,0)</f>
        <v>0</v>
      </c>
      <c r="U1318" s="10">
        <f t="shared" si="46"/>
        <v>0</v>
      </c>
      <c r="V1318" s="26">
        <f t="shared" si="47"/>
        <v>0</v>
      </c>
      <c r="W1318" s="3">
        <f>IF(A1318=A1319,N1318-N1319,0)</f>
        <v>1.0000000000000009E-2</v>
      </c>
      <c r="X1318" s="10">
        <f>IF(A1318=A1319,(N1318-N1319)/N1319,0)</f>
        <v>3.3333333333333368E-2</v>
      </c>
    </row>
    <row r="1319" spans="1:24" ht="16.5" customHeight="1">
      <c r="A1319" s="3" t="s">
        <v>38</v>
      </c>
      <c r="B1319" s="3">
        <f t="shared" si="40"/>
        <v>2014</v>
      </c>
      <c r="C1319" s="3">
        <f t="shared" si="41"/>
        <v>6</v>
      </c>
      <c r="D1319" s="20" t="str">
        <f t="shared" si="42"/>
        <v>LEG20146</v>
      </c>
      <c r="E1319" s="2">
        <v>41801</v>
      </c>
      <c r="F1319" s="3">
        <v>0.3</v>
      </c>
      <c r="G1319" s="2">
        <v>41835</v>
      </c>
      <c r="H1319" s="3">
        <v>3.5200000000000002E-2</v>
      </c>
      <c r="I1319" s="3">
        <v>0</v>
      </c>
      <c r="J1319" s="3">
        <v>0</v>
      </c>
      <c r="K1319" s="3">
        <f t="shared" si="43"/>
        <v>2014</v>
      </c>
      <c r="L1319" s="3">
        <f t="shared" si="44"/>
        <v>0</v>
      </c>
      <c r="M1319" s="20" t="str">
        <f>A1319&amp;L1319</f>
        <v>LEG0</v>
      </c>
      <c r="N1319" s="3">
        <f>F1319</f>
        <v>0.3</v>
      </c>
      <c r="O1319" s="9">
        <f>H1319</f>
        <v>3.5200000000000002E-2</v>
      </c>
      <c r="P1319" s="10">
        <f t="shared" si="45"/>
        <v>0</v>
      </c>
      <c r="Q1319" s="10">
        <f>IF(K1319=0,IF(A1316=A1319,AVERAGE(O1316:O1319),"x"),0)</f>
        <v>0</v>
      </c>
      <c r="R1319" s="9">
        <f>IF(L1319&gt;2005,AVERAGE(O1316:O1335),0)</f>
        <v>0</v>
      </c>
      <c r="S1319" s="10">
        <f>IF(A1319=A1320,(N1319-N1320)/N1320,0)</f>
        <v>0</v>
      </c>
      <c r="T1319" s="10">
        <f>IF(L1319&gt;2005,(((N1319-N1339)/N1339)+1)^(1/5)-1,0)</f>
        <v>0</v>
      </c>
      <c r="U1319" s="10">
        <f t="shared" si="46"/>
        <v>0</v>
      </c>
      <c r="V1319" s="26">
        <f t="shared" si="47"/>
        <v>0</v>
      </c>
      <c r="W1319" s="3">
        <f>IF(A1319=A1320,N1319-N1320,0)</f>
        <v>0</v>
      </c>
      <c r="X1319" s="10">
        <f>IF(A1319=A1320,(N1319-N1320)/N1320,0)</f>
        <v>0</v>
      </c>
    </row>
    <row r="1320" spans="1:24" ht="16.5" customHeight="1">
      <c r="A1320" s="3" t="s">
        <v>38</v>
      </c>
      <c r="B1320" s="3">
        <f t="shared" si="40"/>
        <v>2014</v>
      </c>
      <c r="C1320" s="3">
        <f t="shared" si="41"/>
        <v>3</v>
      </c>
      <c r="D1320" s="20" t="str">
        <f t="shared" si="42"/>
        <v>LEG20143</v>
      </c>
      <c r="E1320" s="2">
        <v>41710</v>
      </c>
      <c r="F1320" s="3">
        <v>0.3</v>
      </c>
      <c r="G1320" s="2">
        <v>41744</v>
      </c>
      <c r="H1320" s="3">
        <v>3.7100000000000001E-2</v>
      </c>
      <c r="I1320" s="3">
        <v>0</v>
      </c>
      <c r="J1320" s="3">
        <v>0</v>
      </c>
      <c r="K1320" s="3">
        <f t="shared" si="43"/>
        <v>0</v>
      </c>
      <c r="L1320" s="3">
        <f t="shared" si="44"/>
        <v>2014</v>
      </c>
      <c r="M1320" s="20" t="str">
        <f>A1320&amp;L1320</f>
        <v>LEG2014</v>
      </c>
      <c r="N1320" s="3">
        <f>F1320</f>
        <v>0.3</v>
      </c>
      <c r="O1320" s="9">
        <f>H1320</f>
        <v>3.7100000000000001E-2</v>
      </c>
      <c r="P1320" s="10">
        <f t="shared" si="45"/>
        <v>0</v>
      </c>
      <c r="Q1320" s="10">
        <f>IF(K1320=0,IF(A1317=A1320,AVERAGE(O1317:O1320),"x"),0)</f>
        <v>3.3950000000000001E-2</v>
      </c>
      <c r="R1320" s="9">
        <f>IF(L1320&gt;2005,AVERAGE(O1317:O1336),0)</f>
        <v>4.2954999999999986E-2</v>
      </c>
      <c r="S1320" s="10">
        <f>IF(A1320=A1321,(N1320-N1321)/N1321,0)</f>
        <v>0</v>
      </c>
      <c r="T1320" s="10">
        <f>IF(L1320&gt;2005,(((N1320-N1340)/N1340)+1)^(1/5)-1,0)</f>
        <v>3.7137289336648172E-2</v>
      </c>
      <c r="U1320" s="10">
        <f t="shared" si="46"/>
        <v>8.0092289336648165E-2</v>
      </c>
      <c r="V1320" s="26">
        <f t="shared" si="47"/>
        <v>4.4341578069900747</v>
      </c>
      <c r="W1320" s="3">
        <f>IF(A1320=A1321,N1320-N1321,0)</f>
        <v>0</v>
      </c>
      <c r="X1320" s="10">
        <f>IF(A1320=A1321,(N1320-N1321)/N1321,0)</f>
        <v>0</v>
      </c>
    </row>
    <row r="1321" spans="1:24" ht="16.5" customHeight="1">
      <c r="A1321" s="3" t="s">
        <v>38</v>
      </c>
      <c r="B1321" s="3">
        <f t="shared" si="40"/>
        <v>2013</v>
      </c>
      <c r="C1321" s="3">
        <f t="shared" si="41"/>
        <v>12</v>
      </c>
      <c r="D1321" s="20" t="str">
        <f t="shared" si="42"/>
        <v>LEG201312</v>
      </c>
      <c r="E1321" s="2">
        <v>41619</v>
      </c>
      <c r="F1321" s="3">
        <v>0.3</v>
      </c>
      <c r="G1321" s="2">
        <v>41654</v>
      </c>
      <c r="H1321" s="3">
        <v>3.9800000000000002E-2</v>
      </c>
      <c r="I1321" s="3">
        <v>0</v>
      </c>
      <c r="J1321" s="3">
        <v>0</v>
      </c>
      <c r="K1321" s="3">
        <f t="shared" si="43"/>
        <v>2013</v>
      </c>
      <c r="L1321" s="3">
        <f t="shared" si="44"/>
        <v>0</v>
      </c>
      <c r="M1321" s="20" t="str">
        <f>A1321&amp;L1321</f>
        <v>LEG0</v>
      </c>
      <c r="N1321" s="3">
        <f>F1321</f>
        <v>0.3</v>
      </c>
      <c r="O1321" s="9">
        <f>H1321</f>
        <v>3.9800000000000002E-2</v>
      </c>
      <c r="P1321" s="10">
        <f t="shared" si="45"/>
        <v>0</v>
      </c>
      <c r="Q1321" s="10">
        <f>IF(K1321=0,IF(A1318=A1321,AVERAGE(O1318:O1321),"x"),0)</f>
        <v>0</v>
      </c>
      <c r="R1321" s="9">
        <f>IF(L1321&gt;2005,AVERAGE(O1318:O1337),0)</f>
        <v>0</v>
      </c>
      <c r="S1321" s="10">
        <f>IF(A1321=A1322,(N1321-N1322)/N1322,0)</f>
        <v>0</v>
      </c>
      <c r="T1321" s="10">
        <f>IF(L1321&gt;2005,(((N1321-N1341)/N1341)+1)^(1/5)-1,0)</f>
        <v>0</v>
      </c>
      <c r="U1321" s="10">
        <f t="shared" si="46"/>
        <v>0</v>
      </c>
      <c r="V1321" s="26">
        <f t="shared" si="47"/>
        <v>0</v>
      </c>
      <c r="W1321" s="3">
        <f>IF(A1321=A1322,N1321-N1322,0)</f>
        <v>0</v>
      </c>
      <c r="X1321" s="10">
        <f>IF(A1321=A1322,(N1321-N1322)/N1322,0)</f>
        <v>0</v>
      </c>
    </row>
    <row r="1322" spans="1:24" ht="16.5" customHeight="1">
      <c r="A1322" s="3" t="s">
        <v>38</v>
      </c>
      <c r="B1322" s="3">
        <f t="shared" si="40"/>
        <v>2013</v>
      </c>
      <c r="C1322" s="3">
        <f t="shared" si="41"/>
        <v>9</v>
      </c>
      <c r="D1322" s="20" t="str">
        <f t="shared" si="42"/>
        <v>LEG20139</v>
      </c>
      <c r="E1322" s="2">
        <v>41528</v>
      </c>
      <c r="F1322" s="3">
        <v>0.3</v>
      </c>
      <c r="G1322" s="2">
        <v>41562</v>
      </c>
      <c r="H1322" s="3">
        <v>3.8699999999999998E-2</v>
      </c>
      <c r="I1322" s="3">
        <v>3.4482759000000002E-2</v>
      </c>
      <c r="J1322" s="3">
        <v>0.01</v>
      </c>
      <c r="K1322" s="3">
        <f t="shared" si="43"/>
        <v>2013</v>
      </c>
      <c r="L1322" s="3">
        <f t="shared" si="44"/>
        <v>0</v>
      </c>
      <c r="M1322" s="20" t="str">
        <f>A1322&amp;L1322</f>
        <v>LEG0</v>
      </c>
      <c r="N1322" s="3">
        <f>F1322</f>
        <v>0.3</v>
      </c>
      <c r="O1322" s="9">
        <f>H1322</f>
        <v>3.8699999999999998E-2</v>
      </c>
      <c r="P1322" s="10">
        <f t="shared" si="45"/>
        <v>3.8124999999999999E-2</v>
      </c>
      <c r="Q1322" s="10">
        <f>IF(K1322=0,IF(A1319=A1322,AVERAGE(O1319:O1322),"x"),0)</f>
        <v>0</v>
      </c>
      <c r="R1322" s="9">
        <f>IF(L1322&gt;2005,AVERAGE(O1319:O1338),0)</f>
        <v>0</v>
      </c>
      <c r="S1322" s="10">
        <f>IF(A1322=A1323,(N1322-N1323)/N1323,0)</f>
        <v>3.4482758620689689E-2</v>
      </c>
      <c r="T1322" s="10">
        <f>IF(L1322&gt;2005,(((N1322-N1342)/N1342)+1)^(1/5)-1,0)</f>
        <v>0</v>
      </c>
      <c r="U1322" s="10">
        <f t="shared" si="46"/>
        <v>0</v>
      </c>
      <c r="V1322" s="26">
        <f t="shared" si="47"/>
        <v>0</v>
      </c>
      <c r="W1322" s="3">
        <f>IF(A1322=A1323,N1322-N1323,0)</f>
        <v>1.0000000000000009E-2</v>
      </c>
      <c r="X1322" s="10">
        <f>IF(A1322=A1323,(N1322-N1323)/N1323,0)</f>
        <v>3.4482758620689689E-2</v>
      </c>
    </row>
    <row r="1323" spans="1:24" ht="16.5" customHeight="1">
      <c r="A1323" s="3" t="s">
        <v>38</v>
      </c>
      <c r="B1323" s="3">
        <f t="shared" si="40"/>
        <v>2013</v>
      </c>
      <c r="C1323" s="3">
        <f t="shared" si="41"/>
        <v>6</v>
      </c>
      <c r="D1323" s="20" t="str">
        <f t="shared" si="42"/>
        <v>LEG20136</v>
      </c>
      <c r="E1323" s="2">
        <v>41437</v>
      </c>
      <c r="F1323" s="3">
        <v>0.28999999999999998</v>
      </c>
      <c r="G1323" s="2">
        <v>41470</v>
      </c>
      <c r="H1323" s="3">
        <v>3.6400000000000002E-2</v>
      </c>
      <c r="I1323" s="3">
        <v>0</v>
      </c>
      <c r="J1323" s="3">
        <v>0</v>
      </c>
      <c r="K1323" s="3">
        <f t="shared" si="43"/>
        <v>2013</v>
      </c>
      <c r="L1323" s="3">
        <f t="shared" si="44"/>
        <v>0</v>
      </c>
      <c r="M1323" s="20" t="str">
        <f>A1323&amp;L1323</f>
        <v>LEG0</v>
      </c>
      <c r="N1323" s="3">
        <f>F1323</f>
        <v>0.28999999999999998</v>
      </c>
      <c r="O1323" s="9">
        <f>H1323</f>
        <v>3.6400000000000002E-2</v>
      </c>
      <c r="P1323" s="10">
        <f t="shared" si="45"/>
        <v>0</v>
      </c>
      <c r="Q1323" s="10">
        <f>IF(K1323=0,IF(A1320=A1323,AVERAGE(O1320:O1323),"x"),0)</f>
        <v>0</v>
      </c>
      <c r="R1323" s="9">
        <f>IF(L1323&gt;2005,AVERAGE(O1320:O1339),0)</f>
        <v>0</v>
      </c>
      <c r="S1323" s="10">
        <f>IF(A1323=A1324,(N1323-N1324)/N1324,0)</f>
        <v>0</v>
      </c>
      <c r="T1323" s="10">
        <f>IF(L1323&gt;2005,(((N1323-N1343)/N1343)+1)^(1/5)-1,0)</f>
        <v>0</v>
      </c>
      <c r="U1323" s="10">
        <f t="shared" si="46"/>
        <v>0</v>
      </c>
      <c r="V1323" s="26">
        <f t="shared" si="47"/>
        <v>0</v>
      </c>
      <c r="W1323" s="3">
        <f>IF(A1323=A1324,N1323-N1324,0)</f>
        <v>0</v>
      </c>
      <c r="X1323" s="10">
        <f>IF(A1323=A1324,(N1323-N1324)/N1324,0)</f>
        <v>0</v>
      </c>
    </row>
    <row r="1324" spans="1:24" ht="16.5" customHeight="1">
      <c r="A1324" s="3" t="s">
        <v>38</v>
      </c>
      <c r="B1324" s="3">
        <f t="shared" si="40"/>
        <v>2013</v>
      </c>
      <c r="C1324" s="3">
        <f t="shared" si="41"/>
        <v>3</v>
      </c>
      <c r="D1324" s="20" t="str">
        <f t="shared" si="42"/>
        <v>LEG20133</v>
      </c>
      <c r="E1324" s="2">
        <v>41346</v>
      </c>
      <c r="F1324" s="3">
        <v>0.28999999999999998</v>
      </c>
      <c r="G1324" s="2">
        <v>41379</v>
      </c>
      <c r="H1324" s="3">
        <v>3.5400000000000001E-2</v>
      </c>
      <c r="I1324" s="3">
        <v>0</v>
      </c>
      <c r="J1324" s="3">
        <v>0</v>
      </c>
      <c r="K1324" s="3">
        <f t="shared" si="43"/>
        <v>0</v>
      </c>
      <c r="L1324" s="3">
        <f t="shared" si="44"/>
        <v>2013</v>
      </c>
      <c r="M1324" s="20" t="str">
        <f>A1324&amp;L1324</f>
        <v>LEG2013</v>
      </c>
      <c r="N1324" s="3">
        <f>F1324</f>
        <v>0.28999999999999998</v>
      </c>
      <c r="O1324" s="9">
        <f>H1324</f>
        <v>3.5400000000000001E-2</v>
      </c>
      <c r="P1324" s="10">
        <f t="shared" si="45"/>
        <v>0</v>
      </c>
      <c r="Q1324" s="10">
        <f>IF(K1324=0,IF(A1321=A1324,AVERAGE(O1321:O1324),"x"),0)</f>
        <v>3.7574999999999997E-2</v>
      </c>
      <c r="R1324" s="9">
        <f>IF(L1324&gt;2005,AVERAGE(O1321:O1340),0)</f>
        <v>4.897E-2</v>
      </c>
      <c r="S1324" s="10">
        <f>IF(A1324=A1325,(N1324-N1325)/N1325,0)</f>
        <v>0</v>
      </c>
      <c r="T1324" s="10">
        <f>IF(L1324&gt;2005,(((N1324-N1344)/N1344)+1)^(1/5)-1,0)</f>
        <v>3.0128962818398941E-2</v>
      </c>
      <c r="U1324" s="10">
        <f t="shared" si="46"/>
        <v>7.9098962818398941E-2</v>
      </c>
      <c r="V1324" s="26">
        <f t="shared" si="47"/>
        <v>4.3591043286302327</v>
      </c>
      <c r="W1324" s="3">
        <f>IF(A1324=A1325,N1324-N1325,0)</f>
        <v>0</v>
      </c>
      <c r="X1324" s="10">
        <f>IF(A1324=A1325,(N1324-N1325)/N1325,0)</f>
        <v>0</v>
      </c>
    </row>
    <row r="1325" spans="1:24" ht="16.5" customHeight="1">
      <c r="A1325" s="3" t="s">
        <v>38</v>
      </c>
      <c r="B1325" s="3">
        <f t="shared" si="40"/>
        <v>2012</v>
      </c>
      <c r="C1325" s="3">
        <f t="shared" si="41"/>
        <v>12</v>
      </c>
      <c r="D1325" s="20" t="str">
        <f t="shared" si="42"/>
        <v>LEG201212</v>
      </c>
      <c r="E1325" s="2">
        <v>41249</v>
      </c>
      <c r="F1325" s="3">
        <v>0.28999999999999998</v>
      </c>
      <c r="G1325" s="2">
        <v>41270</v>
      </c>
      <c r="H1325" s="3">
        <v>4.2000000000000003E-2</v>
      </c>
      <c r="I1325" s="3">
        <v>0</v>
      </c>
      <c r="J1325" s="3">
        <v>0</v>
      </c>
      <c r="K1325" s="3">
        <f t="shared" si="43"/>
        <v>2012</v>
      </c>
      <c r="L1325" s="3">
        <f t="shared" si="44"/>
        <v>0</v>
      </c>
      <c r="M1325" s="20" t="str">
        <f>A1325&amp;L1325</f>
        <v>LEG0</v>
      </c>
      <c r="N1325" s="3">
        <f>F1325</f>
        <v>0.28999999999999998</v>
      </c>
      <c r="O1325" s="9">
        <f>H1325</f>
        <v>4.2000000000000003E-2</v>
      </c>
      <c r="P1325" s="10">
        <f t="shared" si="45"/>
        <v>0</v>
      </c>
      <c r="Q1325" s="10">
        <f>IF(K1325=0,IF(A1322=A1325,AVERAGE(O1322:O1325),"x"),0)</f>
        <v>0</v>
      </c>
      <c r="R1325" s="9">
        <f>IF(L1325&gt;2005,AVERAGE(O1322:O1341),0)</f>
        <v>0</v>
      </c>
      <c r="S1325" s="10">
        <f>IF(A1325=A1326,(N1325-N1326)/N1326,0)</f>
        <v>0</v>
      </c>
      <c r="T1325" s="10">
        <f>IF(L1325&gt;2005,(((N1325-N1345)/N1345)+1)^(1/5)-1,0)</f>
        <v>0</v>
      </c>
      <c r="U1325" s="10">
        <f t="shared" si="46"/>
        <v>0</v>
      </c>
      <c r="V1325" s="26">
        <f t="shared" si="47"/>
        <v>0</v>
      </c>
      <c r="W1325" s="3">
        <f>IF(A1325=A1326,N1325-N1326,0)</f>
        <v>0</v>
      </c>
      <c r="X1325" s="10">
        <f>IF(A1325=A1326,(N1325-N1326)/N1326,0)</f>
        <v>0</v>
      </c>
    </row>
    <row r="1326" spans="1:24" ht="16.5" customHeight="1">
      <c r="A1326" s="3" t="s">
        <v>38</v>
      </c>
      <c r="B1326" s="3">
        <f t="shared" si="40"/>
        <v>2012</v>
      </c>
      <c r="C1326" s="3">
        <f t="shared" si="41"/>
        <v>9</v>
      </c>
      <c r="D1326" s="20" t="str">
        <f t="shared" si="42"/>
        <v>LEG20129</v>
      </c>
      <c r="E1326" s="2">
        <v>41164</v>
      </c>
      <c r="F1326" s="3">
        <v>0.28999999999999998</v>
      </c>
      <c r="G1326" s="2">
        <v>41197</v>
      </c>
      <c r="H1326" s="3">
        <v>4.5999999999999999E-2</v>
      </c>
      <c r="I1326" s="3">
        <v>3.5714285999999998E-2</v>
      </c>
      <c r="J1326" s="3">
        <v>0.01</v>
      </c>
      <c r="K1326" s="3">
        <f t="shared" si="43"/>
        <v>2012</v>
      </c>
      <c r="L1326" s="3">
        <f t="shared" si="44"/>
        <v>0</v>
      </c>
      <c r="M1326" s="20" t="str">
        <f>A1326&amp;L1326</f>
        <v>LEG0</v>
      </c>
      <c r="N1326" s="3">
        <f>F1326</f>
        <v>0.28999999999999998</v>
      </c>
      <c r="O1326" s="9">
        <f>H1326</f>
        <v>4.5999999999999999E-2</v>
      </c>
      <c r="P1326" s="10">
        <f t="shared" si="45"/>
        <v>4.9024999999999999E-2</v>
      </c>
      <c r="Q1326" s="10">
        <f>IF(K1326=0,IF(A1323=A1326,AVERAGE(O1323:O1326),"x"),0)</f>
        <v>0</v>
      </c>
      <c r="R1326" s="9">
        <f>IF(L1326&gt;2005,AVERAGE(O1323:O1342),0)</f>
        <v>0</v>
      </c>
      <c r="S1326" s="10">
        <f>IF(A1326=A1327,(N1326-N1327)/N1327,0)</f>
        <v>3.5714285714285546E-2</v>
      </c>
      <c r="T1326" s="10">
        <f>IF(L1326&gt;2005,(((N1326-N1346)/N1346)+1)^(1/5)-1,0)</f>
        <v>0</v>
      </c>
      <c r="U1326" s="10">
        <f t="shared" si="46"/>
        <v>0</v>
      </c>
      <c r="V1326" s="26">
        <f t="shared" si="47"/>
        <v>0</v>
      </c>
      <c r="W1326" s="3">
        <f>IF(A1326=A1327,N1326-N1327,0)</f>
        <v>9.9999999999999534E-3</v>
      </c>
      <c r="X1326" s="10">
        <f>IF(A1326=A1327,(N1326-N1327)/N1327,0)</f>
        <v>3.5714285714285546E-2</v>
      </c>
    </row>
    <row r="1327" spans="1:24" ht="16.5" customHeight="1">
      <c r="A1327" s="3" t="s">
        <v>38</v>
      </c>
      <c r="B1327" s="3">
        <f t="shared" si="40"/>
        <v>2012</v>
      </c>
      <c r="C1327" s="3">
        <f t="shared" si="41"/>
        <v>6</v>
      </c>
      <c r="D1327" s="20" t="str">
        <f t="shared" si="42"/>
        <v>LEG20126</v>
      </c>
      <c r="E1327" s="2">
        <v>41073</v>
      </c>
      <c r="F1327" s="3">
        <v>0.28000000000000003</v>
      </c>
      <c r="G1327" s="2">
        <v>41103</v>
      </c>
      <c r="H1327" s="3">
        <v>5.3600000000000002E-2</v>
      </c>
      <c r="I1327" s="3">
        <v>0</v>
      </c>
      <c r="J1327" s="3">
        <v>0</v>
      </c>
      <c r="K1327" s="3">
        <f t="shared" si="43"/>
        <v>2012</v>
      </c>
      <c r="L1327" s="3">
        <f t="shared" si="44"/>
        <v>0</v>
      </c>
      <c r="M1327" s="20" t="str">
        <f>A1327&amp;L1327</f>
        <v>LEG0</v>
      </c>
      <c r="N1327" s="3">
        <f>F1327</f>
        <v>0.28000000000000003</v>
      </c>
      <c r="O1327" s="9">
        <f>H1327</f>
        <v>5.3600000000000002E-2</v>
      </c>
      <c r="P1327" s="10">
        <f t="shared" si="45"/>
        <v>0</v>
      </c>
      <c r="Q1327" s="10">
        <f>IF(K1327=0,IF(A1324=A1327,AVERAGE(O1324:O1327),"x"),0)</f>
        <v>0</v>
      </c>
      <c r="R1327" s="9">
        <f>IF(L1327&gt;2005,AVERAGE(O1324:O1343),0)</f>
        <v>0</v>
      </c>
      <c r="S1327" s="10">
        <f>IF(A1327=A1328,(N1327-N1328)/N1328,0)</f>
        <v>0</v>
      </c>
      <c r="T1327" s="10">
        <f>IF(L1327&gt;2005,(((N1327-N1347)/N1347)+1)^(1/5)-1,0)</f>
        <v>0</v>
      </c>
      <c r="U1327" s="10">
        <f t="shared" si="46"/>
        <v>0</v>
      </c>
      <c r="V1327" s="26">
        <f t="shared" si="47"/>
        <v>0</v>
      </c>
      <c r="W1327" s="3">
        <f>IF(A1327=A1328,N1327-N1328,0)</f>
        <v>0</v>
      </c>
      <c r="X1327" s="10">
        <f>IF(A1327=A1328,(N1327-N1328)/N1328,0)</f>
        <v>0</v>
      </c>
    </row>
    <row r="1328" spans="1:24" ht="16.5" customHeight="1">
      <c r="A1328" s="3" t="s">
        <v>38</v>
      </c>
      <c r="B1328" s="3">
        <f t="shared" si="40"/>
        <v>2012</v>
      </c>
      <c r="C1328" s="3">
        <f t="shared" si="41"/>
        <v>3</v>
      </c>
      <c r="D1328" s="20" t="str">
        <f t="shared" si="42"/>
        <v>LEG20123</v>
      </c>
      <c r="E1328" s="2">
        <v>40981</v>
      </c>
      <c r="F1328" s="3">
        <v>0.28000000000000003</v>
      </c>
      <c r="G1328" s="2">
        <v>41012</v>
      </c>
      <c r="H1328" s="3">
        <v>4.87E-2</v>
      </c>
      <c r="I1328" s="3">
        <v>0</v>
      </c>
      <c r="J1328" s="3">
        <v>0</v>
      </c>
      <c r="K1328" s="3">
        <f t="shared" si="43"/>
        <v>0</v>
      </c>
      <c r="L1328" s="3">
        <f t="shared" si="44"/>
        <v>2012</v>
      </c>
      <c r="M1328" s="20" t="str">
        <f>A1328&amp;L1328</f>
        <v>LEG2012</v>
      </c>
      <c r="N1328" s="3">
        <f>F1328</f>
        <v>0.28000000000000003</v>
      </c>
      <c r="O1328" s="9">
        <f>H1328</f>
        <v>4.87E-2</v>
      </c>
      <c r="P1328" s="10">
        <f t="shared" si="45"/>
        <v>0</v>
      </c>
      <c r="Q1328" s="10">
        <f>IF(K1328=0,IF(A1325=A1328,AVERAGE(O1325:O1328),"x"),0)</f>
        <v>4.7574999999999999E-2</v>
      </c>
      <c r="R1328" s="9">
        <f>IF(L1328&gt;2005,AVERAGE(O1325:O1344),0)</f>
        <v>5.2144999999999997E-2</v>
      </c>
      <c r="S1328" s="10">
        <f>IF(A1328=A1329,(N1328-N1329)/N1329,0)</f>
        <v>0</v>
      </c>
      <c r="T1328" s="10">
        <f>IF(L1328&gt;2005,(((N1328-N1348)/N1348)+1)^(1/5)-1,0)</f>
        <v>0.10494795379650301</v>
      </c>
      <c r="U1328" s="10">
        <f t="shared" si="46"/>
        <v>0.15709295379650301</v>
      </c>
      <c r="V1328" s="26">
        <f t="shared" si="47"/>
        <v>4.3632868791938124</v>
      </c>
      <c r="W1328" s="3">
        <f>IF(A1328=A1329,N1328-N1329,0)</f>
        <v>0</v>
      </c>
      <c r="X1328" s="10">
        <f>IF(A1328=A1329,(N1328-N1329)/N1329,0)</f>
        <v>0</v>
      </c>
    </row>
    <row r="1329" spans="1:24" ht="16.5" customHeight="1">
      <c r="A1329" s="3" t="s">
        <v>38</v>
      </c>
      <c r="B1329" s="3">
        <f t="shared" si="40"/>
        <v>2011</v>
      </c>
      <c r="C1329" s="3">
        <f t="shared" si="41"/>
        <v>12</v>
      </c>
      <c r="D1329" s="20" t="str">
        <f t="shared" si="42"/>
        <v>LEG201112</v>
      </c>
      <c r="E1329" s="2">
        <v>40890</v>
      </c>
      <c r="F1329" s="3">
        <v>0.28000000000000003</v>
      </c>
      <c r="G1329" s="2">
        <v>40921</v>
      </c>
      <c r="H1329" s="3">
        <v>4.7800000000000002E-2</v>
      </c>
      <c r="I1329" s="3">
        <v>0</v>
      </c>
      <c r="J1329" s="3">
        <v>0</v>
      </c>
      <c r="K1329" s="3">
        <f t="shared" si="43"/>
        <v>2011</v>
      </c>
      <c r="L1329" s="3">
        <f t="shared" si="44"/>
        <v>0</v>
      </c>
      <c r="M1329" s="20" t="str">
        <f>A1329&amp;L1329</f>
        <v>LEG0</v>
      </c>
      <c r="N1329" s="3">
        <f>F1329</f>
        <v>0.28000000000000003</v>
      </c>
      <c r="O1329" s="9">
        <f>H1329</f>
        <v>4.7800000000000002E-2</v>
      </c>
      <c r="P1329" s="10">
        <f t="shared" si="45"/>
        <v>0</v>
      </c>
      <c r="Q1329" s="10">
        <f>IF(K1329=0,IF(A1326=A1329,AVERAGE(O1326:O1329),"x"),0)</f>
        <v>0</v>
      </c>
      <c r="R1329" s="9">
        <f>IF(L1329&gt;2005,AVERAGE(O1326:O1345),0)</f>
        <v>0</v>
      </c>
      <c r="S1329" s="10">
        <f>IF(A1329=A1330,(N1329-N1330)/N1330,0)</f>
        <v>0</v>
      </c>
      <c r="T1329" s="10">
        <f>IF(L1329&gt;2005,(((N1329-N1349)/N1349)+1)^(1/5)-1,0)</f>
        <v>0</v>
      </c>
      <c r="U1329" s="10">
        <f t="shared" si="46"/>
        <v>0</v>
      </c>
      <c r="V1329" s="26">
        <f t="shared" si="47"/>
        <v>0</v>
      </c>
      <c r="W1329" s="3">
        <f>IF(A1329=A1330,N1329-N1330,0)</f>
        <v>0</v>
      </c>
      <c r="X1329" s="10">
        <f>IF(A1329=A1330,(N1329-N1330)/N1330,0)</f>
        <v>0</v>
      </c>
    </row>
    <row r="1330" spans="1:24" ht="16.5" customHeight="1">
      <c r="A1330" s="3" t="s">
        <v>38</v>
      </c>
      <c r="B1330" s="3">
        <f t="shared" si="40"/>
        <v>2011</v>
      </c>
      <c r="C1330" s="3">
        <f t="shared" si="41"/>
        <v>9</v>
      </c>
      <c r="D1330" s="20" t="str">
        <f t="shared" si="42"/>
        <v>LEG20119</v>
      </c>
      <c r="E1330" s="2">
        <v>40799</v>
      </c>
      <c r="F1330" s="3">
        <v>0.28000000000000003</v>
      </c>
      <c r="G1330" s="2">
        <v>40830</v>
      </c>
      <c r="H1330" s="3">
        <v>5.28E-2</v>
      </c>
      <c r="I1330" s="3">
        <v>3.7037037000000002E-2</v>
      </c>
      <c r="J1330" s="3">
        <v>0.01</v>
      </c>
      <c r="K1330" s="3">
        <f t="shared" si="43"/>
        <v>2011</v>
      </c>
      <c r="L1330" s="3">
        <f t="shared" si="44"/>
        <v>0</v>
      </c>
      <c r="M1330" s="20" t="str">
        <f>A1330&amp;L1330</f>
        <v>LEG0</v>
      </c>
      <c r="N1330" s="3">
        <f>F1330</f>
        <v>0.28000000000000003</v>
      </c>
      <c r="O1330" s="9">
        <f>H1330</f>
        <v>5.28E-2</v>
      </c>
      <c r="P1330" s="10">
        <f t="shared" si="45"/>
        <v>4.8175000000000003E-2</v>
      </c>
      <c r="Q1330" s="10">
        <f>IF(K1330=0,IF(A1327=A1330,AVERAGE(O1327:O1330),"x"),0)</f>
        <v>0</v>
      </c>
      <c r="R1330" s="9">
        <f>IF(L1330&gt;2005,AVERAGE(O1327:O1346),0)</f>
        <v>0</v>
      </c>
      <c r="S1330" s="10">
        <f>IF(A1330=A1331,(N1330-N1331)/N1331,0)</f>
        <v>3.703703703703707E-2</v>
      </c>
      <c r="T1330" s="10">
        <f>IF(L1330&gt;2005,(((N1330-N1350)/N1350)+1)^(1/5)-1,0)</f>
        <v>0</v>
      </c>
      <c r="U1330" s="10">
        <f t="shared" si="46"/>
        <v>0</v>
      </c>
      <c r="V1330" s="26">
        <f t="shared" si="47"/>
        <v>0</v>
      </c>
      <c r="W1330" s="3">
        <f>IF(A1330=A1331,N1330-N1331,0)</f>
        <v>1.0000000000000009E-2</v>
      </c>
      <c r="X1330" s="10">
        <f>IF(A1330=A1331,(N1330-N1331)/N1331,0)</f>
        <v>3.703703703703707E-2</v>
      </c>
    </row>
    <row r="1331" spans="1:24" ht="16.5" customHeight="1">
      <c r="A1331" s="3" t="s">
        <v>38</v>
      </c>
      <c r="B1331" s="3">
        <f t="shared" si="40"/>
        <v>2011</v>
      </c>
      <c r="C1331" s="3">
        <f t="shared" si="41"/>
        <v>6</v>
      </c>
      <c r="D1331" s="20" t="str">
        <f t="shared" si="42"/>
        <v>LEG20116</v>
      </c>
      <c r="E1331" s="2">
        <v>40707</v>
      </c>
      <c r="F1331" s="3">
        <v>0.27</v>
      </c>
      <c r="G1331" s="2">
        <v>40739</v>
      </c>
      <c r="H1331" s="3">
        <v>4.6399999999999997E-2</v>
      </c>
      <c r="I1331" s="3">
        <v>0</v>
      </c>
      <c r="J1331" s="3">
        <v>0</v>
      </c>
      <c r="K1331" s="3">
        <f t="shared" si="43"/>
        <v>2011</v>
      </c>
      <c r="L1331" s="3">
        <f t="shared" si="44"/>
        <v>0</v>
      </c>
      <c r="M1331" s="20" t="str">
        <f>A1331&amp;L1331</f>
        <v>LEG0</v>
      </c>
      <c r="N1331" s="3">
        <f>F1331</f>
        <v>0.27</v>
      </c>
      <c r="O1331" s="9">
        <f>H1331</f>
        <v>4.6399999999999997E-2</v>
      </c>
      <c r="P1331" s="10">
        <f t="shared" si="45"/>
        <v>0</v>
      </c>
      <c r="Q1331" s="10">
        <f>IF(K1331=0,IF(A1328=A1331,AVERAGE(O1328:O1331),"x"),0)</f>
        <v>0</v>
      </c>
      <c r="R1331" s="9">
        <f>IF(L1331&gt;2005,AVERAGE(O1328:O1347),0)</f>
        <v>0</v>
      </c>
      <c r="S1331" s="10">
        <f>IF(A1331=A1332,(N1331-N1332)/N1332,0)</f>
        <v>0</v>
      </c>
      <c r="T1331" s="10">
        <f>IF(L1331&gt;2005,(((N1331-N1351)/N1351)+1)^(1/5)-1,0)</f>
        <v>0</v>
      </c>
      <c r="U1331" s="10">
        <f t="shared" si="46"/>
        <v>0</v>
      </c>
      <c r="V1331" s="26">
        <f t="shared" si="47"/>
        <v>0</v>
      </c>
      <c r="W1331" s="3">
        <f>IF(A1331=A1332,N1331-N1332,0)</f>
        <v>0</v>
      </c>
      <c r="X1331" s="10">
        <f>IF(A1331=A1332,(N1331-N1332)/N1332,0)</f>
        <v>0</v>
      </c>
    </row>
    <row r="1332" spans="1:24" ht="16.5" customHeight="1">
      <c r="A1332" s="3" t="s">
        <v>38</v>
      </c>
      <c r="B1332" s="3">
        <f t="shared" si="40"/>
        <v>2011</v>
      </c>
      <c r="C1332" s="3">
        <f t="shared" si="41"/>
        <v>3</v>
      </c>
      <c r="D1332" s="20" t="str">
        <f t="shared" si="42"/>
        <v>LEG20113</v>
      </c>
      <c r="E1332" s="2">
        <v>40613</v>
      </c>
      <c r="F1332" s="3">
        <v>0.27</v>
      </c>
      <c r="G1332" s="2">
        <v>40648</v>
      </c>
      <c r="H1332" s="3">
        <v>4.5699999999999998E-2</v>
      </c>
      <c r="I1332" s="3">
        <v>0</v>
      </c>
      <c r="J1332" s="3">
        <v>0</v>
      </c>
      <c r="K1332" s="3">
        <f t="shared" si="43"/>
        <v>0</v>
      </c>
      <c r="L1332" s="3">
        <f t="shared" si="44"/>
        <v>2011</v>
      </c>
      <c r="M1332" s="20" t="str">
        <f>A1332&amp;L1332</f>
        <v>LEG2011</v>
      </c>
      <c r="N1332" s="3">
        <f>F1332</f>
        <v>0.27</v>
      </c>
      <c r="O1332" s="9">
        <f>H1332</f>
        <v>4.5699999999999998E-2</v>
      </c>
      <c r="P1332" s="10">
        <f t="shared" si="45"/>
        <v>0</v>
      </c>
      <c r="Q1332" s="10">
        <f>IF(K1332=0,IF(A1329=A1332,AVERAGE(O1329:O1332),"x"),0)</f>
        <v>4.8174999999999996E-2</v>
      </c>
      <c r="R1332" s="9">
        <f>IF(L1332&gt;2005,AVERAGE(O1329:O1348),0)</f>
        <v>4.9349999999999991E-2</v>
      </c>
      <c r="S1332" s="10">
        <f>IF(A1332=A1333,(N1332-N1333)/N1333,0)</f>
        <v>0</v>
      </c>
      <c r="T1332" s="10">
        <f>IF(L1332&gt;2005,(((N1332-N1352)/N1352)+1)^(1/5)-1,0)</f>
        <v>0.11032151746146002</v>
      </c>
      <c r="U1332" s="10">
        <f t="shared" si="46"/>
        <v>0.15967151746146002</v>
      </c>
      <c r="V1332" s="26">
        <f t="shared" si="47"/>
        <v>4.3967550771175592</v>
      </c>
      <c r="W1332" s="3">
        <f>IF(A1332=A1333,N1332-N1333,0)</f>
        <v>0</v>
      </c>
      <c r="X1332" s="10">
        <f>IF(A1332=A1333,(N1332-N1333)/N1333,0)</f>
        <v>0</v>
      </c>
    </row>
    <row r="1333" spans="1:24" ht="16.5" customHeight="1">
      <c r="A1333" s="3" t="s">
        <v>38</v>
      </c>
      <c r="B1333" s="3">
        <f t="shared" si="40"/>
        <v>2010</v>
      </c>
      <c r="C1333" s="3">
        <f t="shared" si="41"/>
        <v>12</v>
      </c>
      <c r="D1333" s="20" t="str">
        <f t="shared" si="42"/>
        <v>LEG201012</v>
      </c>
      <c r="E1333" s="2">
        <v>40525</v>
      </c>
      <c r="F1333" s="3">
        <v>0.27</v>
      </c>
      <c r="G1333" s="2">
        <v>40557</v>
      </c>
      <c r="H1333" s="3">
        <v>4.7800000000000002E-2</v>
      </c>
      <c r="I1333" s="3">
        <v>0</v>
      </c>
      <c r="J1333" s="3">
        <v>0</v>
      </c>
      <c r="K1333" s="3">
        <f t="shared" si="43"/>
        <v>2010</v>
      </c>
      <c r="L1333" s="3">
        <f t="shared" si="44"/>
        <v>0</v>
      </c>
      <c r="M1333" s="20" t="str">
        <f>A1333&amp;L1333</f>
        <v>LEG0</v>
      </c>
      <c r="N1333" s="3">
        <f>F1333</f>
        <v>0.27</v>
      </c>
      <c r="O1333" s="9">
        <f>H1333</f>
        <v>4.7800000000000002E-2</v>
      </c>
      <c r="P1333" s="10">
        <f t="shared" si="45"/>
        <v>0</v>
      </c>
      <c r="Q1333" s="10">
        <f>IF(K1333=0,IF(A1330=A1333,AVERAGE(O1330:O1333),"x"),0)</f>
        <v>0</v>
      </c>
      <c r="R1333" s="9">
        <f>IF(L1333&gt;2005,AVERAGE(O1330:O1349),0)</f>
        <v>0</v>
      </c>
      <c r="S1333" s="10">
        <f>IF(A1333=A1334,(N1333-N1334)/N1334,0)</f>
        <v>0</v>
      </c>
      <c r="T1333" s="10">
        <f>IF(L1333&gt;2005,(((N1333-N1353)/N1353)+1)^(1/5)-1,0)</f>
        <v>0</v>
      </c>
      <c r="U1333" s="10">
        <f t="shared" si="46"/>
        <v>0</v>
      </c>
      <c r="V1333" s="26">
        <f t="shared" si="47"/>
        <v>0</v>
      </c>
      <c r="W1333" s="3">
        <f>IF(A1333=A1334,N1333-N1334,0)</f>
        <v>0</v>
      </c>
      <c r="X1333" s="10">
        <f>IF(A1333=A1334,(N1333-N1334)/N1334,0)</f>
        <v>0</v>
      </c>
    </row>
    <row r="1334" spans="1:24" ht="16.5" customHeight="1">
      <c r="A1334" s="3" t="s">
        <v>38</v>
      </c>
      <c r="B1334" s="3">
        <f t="shared" si="40"/>
        <v>2010</v>
      </c>
      <c r="C1334" s="3">
        <f t="shared" si="41"/>
        <v>9</v>
      </c>
      <c r="D1334" s="20" t="str">
        <f t="shared" si="42"/>
        <v>LEG20109</v>
      </c>
      <c r="E1334" s="2">
        <v>40434</v>
      </c>
      <c r="F1334" s="3">
        <v>0.27</v>
      </c>
      <c r="G1334" s="2">
        <v>40466</v>
      </c>
      <c r="H1334" s="3">
        <v>4.9099999999999998E-2</v>
      </c>
      <c r="I1334" s="3">
        <v>3.8461538000000003E-2</v>
      </c>
      <c r="J1334" s="3">
        <v>0.01</v>
      </c>
      <c r="K1334" s="3">
        <f t="shared" si="43"/>
        <v>2010</v>
      </c>
      <c r="L1334" s="3">
        <f t="shared" si="44"/>
        <v>0</v>
      </c>
      <c r="M1334" s="20" t="str">
        <f>A1334&amp;L1334</f>
        <v>LEG0</v>
      </c>
      <c r="N1334" s="3">
        <f>F1334</f>
        <v>0.27</v>
      </c>
      <c r="O1334" s="9">
        <f>H1334</f>
        <v>4.9099999999999998E-2</v>
      </c>
      <c r="P1334" s="10">
        <f t="shared" si="45"/>
        <v>4.8424999999999996E-2</v>
      </c>
      <c r="Q1334" s="10">
        <f>IF(K1334=0,IF(A1331=A1334,AVERAGE(O1331:O1334),"x"),0)</f>
        <v>0</v>
      </c>
      <c r="R1334" s="9">
        <f>IF(L1334&gt;2005,AVERAGE(O1331:O1350),0)</f>
        <v>0</v>
      </c>
      <c r="S1334" s="10">
        <f>IF(A1334=A1335,(N1334-N1335)/N1335,0)</f>
        <v>3.8461538461538491E-2</v>
      </c>
      <c r="T1334" s="10">
        <f>IF(L1334&gt;2005,(((N1334-N1354)/N1354)+1)^(1/5)-1,0)</f>
        <v>0</v>
      </c>
      <c r="U1334" s="10">
        <f t="shared" si="46"/>
        <v>0</v>
      </c>
      <c r="V1334" s="26">
        <f t="shared" si="47"/>
        <v>0</v>
      </c>
      <c r="W1334" s="3">
        <f>IF(A1334=A1335,N1334-N1335,0)</f>
        <v>1.0000000000000009E-2</v>
      </c>
      <c r="X1334" s="10">
        <f>IF(A1334=A1335,(N1334-N1335)/N1335,0)</f>
        <v>3.8461538461538491E-2</v>
      </c>
    </row>
    <row r="1335" spans="1:24" ht="16.5" customHeight="1">
      <c r="A1335" s="3" t="s">
        <v>38</v>
      </c>
      <c r="B1335" s="3">
        <f t="shared" si="40"/>
        <v>2010</v>
      </c>
      <c r="C1335" s="3">
        <f t="shared" si="41"/>
        <v>6</v>
      </c>
      <c r="D1335" s="20" t="str">
        <f t="shared" si="42"/>
        <v>LEG20106</v>
      </c>
      <c r="E1335" s="2">
        <v>40340</v>
      </c>
      <c r="F1335" s="3">
        <v>0.26</v>
      </c>
      <c r="G1335" s="2">
        <v>40374</v>
      </c>
      <c r="H1335" s="3">
        <v>4.53E-2</v>
      </c>
      <c r="I1335" s="3">
        <v>0</v>
      </c>
      <c r="J1335" s="3">
        <v>0</v>
      </c>
      <c r="K1335" s="3">
        <f t="shared" si="43"/>
        <v>2010</v>
      </c>
      <c r="L1335" s="3">
        <f t="shared" si="44"/>
        <v>0</v>
      </c>
      <c r="M1335" s="20" t="str">
        <f>A1335&amp;L1335</f>
        <v>LEG0</v>
      </c>
      <c r="N1335" s="3">
        <f>F1335</f>
        <v>0.26</v>
      </c>
      <c r="O1335" s="9">
        <f>H1335</f>
        <v>4.53E-2</v>
      </c>
      <c r="P1335" s="10">
        <f t="shared" si="45"/>
        <v>0</v>
      </c>
      <c r="Q1335" s="10">
        <f>IF(K1335=0,IF(A1332=A1335,AVERAGE(O1332:O1335),"x"),0)</f>
        <v>0</v>
      </c>
      <c r="R1335" s="9">
        <f>IF(L1335&gt;2005,AVERAGE(O1332:O1351),0)</f>
        <v>0</v>
      </c>
      <c r="S1335" s="10">
        <f>IF(A1335=A1336,(N1335-N1336)/N1336,0)</f>
        <v>0</v>
      </c>
      <c r="T1335" s="10">
        <f>IF(L1335&gt;2005,(((N1335-N1355)/N1355)+1)^(1/5)-1,0)</f>
        <v>0</v>
      </c>
      <c r="U1335" s="10">
        <f t="shared" si="46"/>
        <v>0</v>
      </c>
      <c r="V1335" s="26">
        <f t="shared" si="47"/>
        <v>0</v>
      </c>
      <c r="W1335" s="3">
        <f>IF(A1335=A1336,N1335-N1336,0)</f>
        <v>0</v>
      </c>
      <c r="X1335" s="10">
        <f>IF(A1335=A1336,(N1335-N1336)/N1336,0)</f>
        <v>0</v>
      </c>
    </row>
    <row r="1336" spans="1:24" ht="16.5" customHeight="1">
      <c r="A1336" s="3" t="s">
        <v>38</v>
      </c>
      <c r="B1336" s="3">
        <f t="shared" si="40"/>
        <v>2010</v>
      </c>
      <c r="C1336" s="3">
        <f t="shared" si="41"/>
        <v>3</v>
      </c>
      <c r="D1336" s="20" t="str">
        <f t="shared" si="42"/>
        <v>LEG20103</v>
      </c>
      <c r="E1336" s="2">
        <v>40248</v>
      </c>
      <c r="F1336" s="3">
        <v>0.26</v>
      </c>
      <c r="G1336" s="2">
        <v>40283</v>
      </c>
      <c r="H1336" s="3">
        <v>4.7800000000000002E-2</v>
      </c>
      <c r="I1336" s="3">
        <v>0</v>
      </c>
      <c r="J1336" s="3">
        <v>0</v>
      </c>
      <c r="K1336" s="3">
        <f t="shared" si="43"/>
        <v>0</v>
      </c>
      <c r="L1336" s="3">
        <f t="shared" si="44"/>
        <v>2010</v>
      </c>
      <c r="M1336" s="20" t="str">
        <f>A1336&amp;L1336</f>
        <v>LEG2010</v>
      </c>
      <c r="N1336" s="3">
        <f>F1336</f>
        <v>0.26</v>
      </c>
      <c r="O1336" s="9">
        <f>H1336</f>
        <v>4.7800000000000002E-2</v>
      </c>
      <c r="P1336" s="10">
        <f t="shared" si="45"/>
        <v>0</v>
      </c>
      <c r="Q1336" s="10">
        <f>IF(K1336=0,IF(A1333=A1336,AVERAGE(O1333:O1336),"x"),0)</f>
        <v>4.7500000000000001E-2</v>
      </c>
      <c r="R1336" s="9">
        <f>IF(L1336&gt;2005,AVERAGE(O1333:O1352),0)</f>
        <v>4.514E-2</v>
      </c>
      <c r="S1336" s="10">
        <f>IF(A1336=A1337,(N1336-N1337)/N1337,0)</f>
        <v>0</v>
      </c>
      <c r="T1336" s="10">
        <f>IF(L1336&gt;2005,(((N1336-N1356)/N1356)+1)^(1/5)-1,0)</f>
        <v>0.11628841548417412</v>
      </c>
      <c r="U1336" s="10">
        <f t="shared" si="46"/>
        <v>0.16142841548417414</v>
      </c>
      <c r="V1336" s="26">
        <f t="shared" si="47"/>
        <v>4.4463551698847423</v>
      </c>
      <c r="W1336" s="3">
        <f>IF(A1336=A1337,N1336-N1337,0)</f>
        <v>0</v>
      </c>
      <c r="X1336" s="10">
        <f>IF(A1336=A1337,(N1336-N1337)/N1337,0)</f>
        <v>0</v>
      </c>
    </row>
    <row r="1337" spans="1:24" ht="16.5" customHeight="1">
      <c r="A1337" s="3" t="s">
        <v>38</v>
      </c>
      <c r="B1337" s="3">
        <f t="shared" si="40"/>
        <v>2009</v>
      </c>
      <c r="C1337" s="3">
        <f t="shared" si="41"/>
        <v>12</v>
      </c>
      <c r="D1337" s="20" t="str">
        <f t="shared" si="42"/>
        <v>LEG200912</v>
      </c>
      <c r="E1337" s="2">
        <v>40158</v>
      </c>
      <c r="F1337" s="3">
        <v>0.26</v>
      </c>
      <c r="G1337" s="2">
        <v>40193</v>
      </c>
      <c r="H1337" s="3">
        <v>5.1499999999999997E-2</v>
      </c>
      <c r="I1337" s="3">
        <v>0</v>
      </c>
      <c r="J1337" s="3">
        <v>0</v>
      </c>
      <c r="K1337" s="3">
        <f t="shared" si="43"/>
        <v>2009</v>
      </c>
      <c r="L1337" s="3">
        <f t="shared" si="44"/>
        <v>0</v>
      </c>
      <c r="M1337" s="20" t="str">
        <f>A1337&amp;L1337</f>
        <v>LEG0</v>
      </c>
      <c r="N1337" s="3">
        <f>F1337</f>
        <v>0.26</v>
      </c>
      <c r="O1337" s="9">
        <f>H1337</f>
        <v>5.1499999999999997E-2</v>
      </c>
      <c r="P1337" s="10">
        <f t="shared" si="45"/>
        <v>0</v>
      </c>
      <c r="Q1337" s="10">
        <f>IF(K1337=0,IF(A1334=A1337,AVERAGE(O1334:O1337),"x"),0)</f>
        <v>0</v>
      </c>
      <c r="R1337" s="9">
        <f>IF(L1337&gt;2005,AVERAGE(O1334:O1353),0)</f>
        <v>0</v>
      </c>
      <c r="S1337" s="10">
        <f>IF(A1337=A1338,(N1337-N1338)/N1338,0)</f>
        <v>0</v>
      </c>
      <c r="T1337" s="10">
        <f>IF(L1337&gt;2005,(((N1337-N1357)/N1357)+1)^(1/5)-1,0)</f>
        <v>0</v>
      </c>
      <c r="U1337" s="10">
        <f t="shared" si="46"/>
        <v>0</v>
      </c>
      <c r="V1337" s="26">
        <f t="shared" si="47"/>
        <v>0</v>
      </c>
      <c r="W1337" s="3">
        <f>IF(A1337=A1338,N1337-N1338,0)</f>
        <v>0</v>
      </c>
      <c r="X1337" s="10">
        <f>IF(A1337=A1338,(N1337-N1338)/N1338,0)</f>
        <v>0</v>
      </c>
    </row>
    <row r="1338" spans="1:24" ht="16.5" customHeight="1">
      <c r="A1338" s="3" t="s">
        <v>38</v>
      </c>
      <c r="B1338" s="3">
        <f t="shared" si="40"/>
        <v>2009</v>
      </c>
      <c r="C1338" s="3">
        <f t="shared" si="41"/>
        <v>9</v>
      </c>
      <c r="D1338" s="20" t="str">
        <f t="shared" si="42"/>
        <v>LEG20099</v>
      </c>
      <c r="E1338" s="2">
        <v>40067</v>
      </c>
      <c r="F1338" s="3">
        <v>0.26</v>
      </c>
      <c r="G1338" s="2">
        <v>40101</v>
      </c>
      <c r="H1338" s="3">
        <v>5.3199999999999997E-2</v>
      </c>
      <c r="I1338" s="3">
        <v>0.04</v>
      </c>
      <c r="J1338" s="3">
        <v>0.01</v>
      </c>
      <c r="K1338" s="3">
        <f t="shared" si="43"/>
        <v>2009</v>
      </c>
      <c r="L1338" s="3">
        <f t="shared" si="44"/>
        <v>0</v>
      </c>
      <c r="M1338" s="20" t="str">
        <f>A1338&amp;L1338</f>
        <v>LEG0</v>
      </c>
      <c r="N1338" s="3">
        <f>F1338</f>
        <v>0.26</v>
      </c>
      <c r="O1338" s="9">
        <f>H1338</f>
        <v>5.3199999999999997E-2</v>
      </c>
      <c r="P1338" s="10">
        <f t="shared" si="45"/>
        <v>6.7549999999999999E-2</v>
      </c>
      <c r="Q1338" s="10">
        <f>IF(K1338=0,IF(A1335=A1338,AVERAGE(O1335:O1338),"x"),0)</f>
        <v>0</v>
      </c>
      <c r="R1338" s="9">
        <f>IF(L1338&gt;2005,AVERAGE(O1335:O1354),0)</f>
        <v>0</v>
      </c>
      <c r="S1338" s="10">
        <f>IF(A1338=A1339,(N1338-N1339)/N1339,0)</f>
        <v>4.0000000000000036E-2</v>
      </c>
      <c r="T1338" s="10">
        <f>IF(L1338&gt;2005,(((N1338-N1358)/N1358)+1)^(1/5)-1,0)</f>
        <v>0</v>
      </c>
      <c r="U1338" s="10">
        <f t="shared" si="46"/>
        <v>0</v>
      </c>
      <c r="V1338" s="26">
        <f t="shared" si="47"/>
        <v>0</v>
      </c>
      <c r="W1338" s="3">
        <f>IF(A1338=A1339,N1338-N1339,0)</f>
        <v>1.0000000000000009E-2</v>
      </c>
      <c r="X1338" s="10">
        <f>IF(A1338=A1339,(N1338-N1339)/N1339,0)</f>
        <v>4.0000000000000036E-2</v>
      </c>
    </row>
    <row r="1339" spans="1:24" ht="16.5" customHeight="1">
      <c r="A1339" s="3" t="s">
        <v>38</v>
      </c>
      <c r="B1339" s="3">
        <f t="shared" si="40"/>
        <v>2009</v>
      </c>
      <c r="C1339" s="3">
        <f t="shared" si="41"/>
        <v>6</v>
      </c>
      <c r="D1339" s="20" t="str">
        <f t="shared" si="42"/>
        <v>LEG20096</v>
      </c>
      <c r="E1339" s="2">
        <v>39975</v>
      </c>
      <c r="F1339" s="3">
        <v>0.25</v>
      </c>
      <c r="G1339" s="2">
        <v>40009</v>
      </c>
      <c r="H1339" s="3">
        <v>6.1600000000000002E-2</v>
      </c>
      <c r="I1339" s="3">
        <v>0</v>
      </c>
      <c r="J1339" s="3">
        <v>0</v>
      </c>
      <c r="K1339" s="3">
        <f t="shared" si="43"/>
        <v>2009</v>
      </c>
      <c r="L1339" s="3">
        <f t="shared" si="44"/>
        <v>0</v>
      </c>
      <c r="M1339" s="20" t="str">
        <f>A1339&amp;L1339</f>
        <v>LEG0</v>
      </c>
      <c r="N1339" s="3">
        <f>F1339</f>
        <v>0.25</v>
      </c>
      <c r="O1339" s="9">
        <f>H1339</f>
        <v>6.1600000000000002E-2</v>
      </c>
      <c r="P1339" s="10">
        <f t="shared" si="45"/>
        <v>0</v>
      </c>
      <c r="Q1339" s="10">
        <f>IF(K1339=0,IF(A1336=A1339,AVERAGE(O1336:O1339),"x"),0)</f>
        <v>0</v>
      </c>
      <c r="R1339" s="9">
        <f>IF(L1339&gt;2005,AVERAGE(O1336:O1355),0)</f>
        <v>0</v>
      </c>
      <c r="S1339" s="10">
        <f>IF(A1339=A1340,(N1339-N1340)/N1340,0)</f>
        <v>0</v>
      </c>
      <c r="T1339" s="10">
        <f>IF(L1339&gt;2005,(((N1339-N1359)/N1359)+1)^(1/5)-1,0)</f>
        <v>0</v>
      </c>
      <c r="U1339" s="10">
        <f t="shared" si="46"/>
        <v>0</v>
      </c>
      <c r="V1339" s="26">
        <f t="shared" si="47"/>
        <v>0</v>
      </c>
      <c r="W1339" s="3">
        <f>IF(A1339=A1340,N1339-N1340,0)</f>
        <v>0</v>
      </c>
      <c r="X1339" s="10">
        <f>IF(A1339=A1340,(N1339-N1340)/N1340,0)</f>
        <v>0</v>
      </c>
    </row>
    <row r="1340" spans="1:24" ht="16.5" customHeight="1">
      <c r="A1340" s="3" t="s">
        <v>38</v>
      </c>
      <c r="B1340" s="3">
        <f t="shared" si="40"/>
        <v>2009</v>
      </c>
      <c r="C1340" s="3">
        <f t="shared" si="41"/>
        <v>3</v>
      </c>
      <c r="D1340" s="20" t="str">
        <f t="shared" si="42"/>
        <v>LEG20093</v>
      </c>
      <c r="E1340" s="2">
        <v>39883</v>
      </c>
      <c r="F1340" s="3">
        <v>0.25</v>
      </c>
      <c r="G1340" s="2">
        <v>39918</v>
      </c>
      <c r="H1340" s="3">
        <v>8.9800000000000005E-2</v>
      </c>
      <c r="I1340" s="3">
        <v>0</v>
      </c>
      <c r="J1340" s="3">
        <v>0</v>
      </c>
      <c r="K1340" s="3">
        <f t="shared" si="43"/>
        <v>0</v>
      </c>
      <c r="L1340" s="3">
        <f t="shared" si="44"/>
        <v>2009</v>
      </c>
      <c r="M1340" s="20" t="str">
        <f>A1340&amp;L1340</f>
        <v>LEG2009</v>
      </c>
      <c r="N1340" s="3">
        <f>F1340</f>
        <v>0.25</v>
      </c>
      <c r="O1340" s="9">
        <f>H1340</f>
        <v>8.9800000000000005E-2</v>
      </c>
      <c r="P1340" s="10">
        <f t="shared" si="45"/>
        <v>0</v>
      </c>
      <c r="Q1340" s="10">
        <f>IF(K1340=0,IF(A1337=A1340,AVERAGE(O1337:O1340),"x"),0)</f>
        <v>6.4024999999999999E-2</v>
      </c>
      <c r="R1340" s="9">
        <f>IF(L1340&gt;2005,AVERAGE(O1337:O1356),0)</f>
        <v>4.0419999999999998E-2</v>
      </c>
      <c r="S1340" s="10">
        <f>IF(A1340=A1341,(N1340-N1341)/N1341,0)</f>
        <v>0</v>
      </c>
      <c r="T1340" s="10">
        <f>IF(L1340&gt;2005,(((N1340-N1360)/N1360)+1)^(1/5)-1,0)</f>
        <v>0.12295510705682089</v>
      </c>
      <c r="U1340" s="10">
        <f t="shared" si="46"/>
        <v>0.1633751070568209</v>
      </c>
      <c r="V1340" s="26">
        <f t="shared" si="47"/>
        <v>4.5023660661854148</v>
      </c>
      <c r="W1340" s="3">
        <f>IF(A1340=A1341,N1340-N1341,0)</f>
        <v>0</v>
      </c>
      <c r="X1340" s="10">
        <f>IF(A1340=A1341,(N1340-N1341)/N1341,0)</f>
        <v>0</v>
      </c>
    </row>
    <row r="1341" spans="1:24" ht="16.5" customHeight="1">
      <c r="A1341" s="3" t="s">
        <v>38</v>
      </c>
      <c r="B1341" s="3">
        <f t="shared" si="40"/>
        <v>2008</v>
      </c>
      <c r="C1341" s="3">
        <f t="shared" si="41"/>
        <v>12</v>
      </c>
      <c r="D1341" s="20" t="str">
        <f t="shared" si="42"/>
        <v>LEG200812</v>
      </c>
      <c r="E1341" s="2">
        <v>39793</v>
      </c>
      <c r="F1341" s="3">
        <v>0.25</v>
      </c>
      <c r="G1341" s="2">
        <v>39828</v>
      </c>
      <c r="H1341" s="3">
        <v>6.5600000000000006E-2</v>
      </c>
      <c r="I1341" s="3">
        <v>0</v>
      </c>
      <c r="J1341" s="3">
        <v>0</v>
      </c>
      <c r="K1341" s="3">
        <f t="shared" si="43"/>
        <v>2008</v>
      </c>
      <c r="L1341" s="3">
        <f t="shared" si="44"/>
        <v>0</v>
      </c>
      <c r="M1341" s="20" t="str">
        <f>A1341&amp;L1341</f>
        <v>LEG0</v>
      </c>
      <c r="N1341" s="3">
        <f>F1341</f>
        <v>0.25</v>
      </c>
      <c r="O1341" s="9">
        <f>H1341</f>
        <v>6.5600000000000006E-2</v>
      </c>
      <c r="P1341" s="10">
        <f t="shared" si="45"/>
        <v>0</v>
      </c>
      <c r="Q1341" s="10">
        <f>IF(K1341=0,IF(A1338=A1341,AVERAGE(O1338:O1341),"x"),0)</f>
        <v>0</v>
      </c>
      <c r="R1341" s="9">
        <f>IF(L1341&gt;2005,AVERAGE(O1338:O1357),0)</f>
        <v>0</v>
      </c>
      <c r="S1341" s="10">
        <f>IF(A1341=A1342,(N1341-N1342)/N1342,0)</f>
        <v>0</v>
      </c>
      <c r="T1341" s="10">
        <f>IF(L1341&gt;2005,(((N1341-N1361)/N1361)+1)^(1/5)-1,0)</f>
        <v>0</v>
      </c>
      <c r="U1341" s="10">
        <f t="shared" si="46"/>
        <v>0</v>
      </c>
      <c r="V1341" s="26">
        <f t="shared" si="47"/>
        <v>0</v>
      </c>
      <c r="W1341" s="3">
        <f>IF(A1341=A1342,N1341-N1342,0)</f>
        <v>0</v>
      </c>
      <c r="X1341" s="10">
        <f>IF(A1341=A1342,(N1341-N1342)/N1342,0)</f>
        <v>0</v>
      </c>
    </row>
    <row r="1342" spans="1:24" ht="16.5" customHeight="1">
      <c r="A1342" s="3" t="s">
        <v>38</v>
      </c>
      <c r="B1342" s="3">
        <f t="shared" si="40"/>
        <v>2008</v>
      </c>
      <c r="C1342" s="3">
        <f t="shared" si="41"/>
        <v>9</v>
      </c>
      <c r="D1342" s="20" t="str">
        <f t="shared" si="42"/>
        <v>LEG20089</v>
      </c>
      <c r="E1342" s="2">
        <v>39702</v>
      </c>
      <c r="F1342" s="3">
        <v>0.25</v>
      </c>
      <c r="G1342" s="2">
        <v>39736</v>
      </c>
      <c r="H1342" s="3">
        <v>4.2799999999999998E-2</v>
      </c>
      <c r="I1342" s="3">
        <v>0</v>
      </c>
      <c r="J1342" s="3">
        <v>0</v>
      </c>
      <c r="K1342" s="3">
        <f t="shared" si="43"/>
        <v>2008</v>
      </c>
      <c r="L1342" s="3">
        <f t="shared" si="44"/>
        <v>0</v>
      </c>
      <c r="M1342" s="20" t="str">
        <f>A1342&amp;L1342</f>
        <v>LEG0</v>
      </c>
      <c r="N1342" s="3">
        <f>F1342</f>
        <v>0.25</v>
      </c>
      <c r="O1342" s="9">
        <f>H1342</f>
        <v>4.2799999999999998E-2</v>
      </c>
      <c r="P1342" s="10">
        <f t="shared" si="45"/>
        <v>0</v>
      </c>
      <c r="Q1342" s="10">
        <f>IF(K1342=0,IF(A1339=A1342,AVERAGE(O1339:O1342),"x"),0)</f>
        <v>0</v>
      </c>
      <c r="R1342" s="9">
        <f>IF(L1342&gt;2005,AVERAGE(O1339:O1358),0)</f>
        <v>0</v>
      </c>
      <c r="S1342" s="10">
        <f>IF(A1342=A1343,(N1342-N1343)/N1343,0)</f>
        <v>0</v>
      </c>
      <c r="T1342" s="10">
        <f>IF(L1342&gt;2005,(((N1342-N1362)/N1362)+1)^(1/5)-1,0)</f>
        <v>0</v>
      </c>
      <c r="U1342" s="10">
        <f t="shared" si="46"/>
        <v>0</v>
      </c>
      <c r="V1342" s="26">
        <f t="shared" si="47"/>
        <v>0</v>
      </c>
      <c r="W1342" s="3">
        <f>IF(A1342=A1343,N1342-N1343,0)</f>
        <v>0</v>
      </c>
      <c r="X1342" s="10">
        <f>IF(A1342=A1343,(N1342-N1343)/N1343,0)</f>
        <v>0</v>
      </c>
    </row>
    <row r="1343" spans="1:24" ht="16.5" customHeight="1">
      <c r="A1343" s="3" t="s">
        <v>38</v>
      </c>
      <c r="B1343" s="3">
        <f t="shared" si="40"/>
        <v>2008</v>
      </c>
      <c r="C1343" s="3">
        <f t="shared" si="41"/>
        <v>6</v>
      </c>
      <c r="D1343" s="20" t="str">
        <f t="shared" si="42"/>
        <v>LEG20086</v>
      </c>
      <c r="E1343" s="2">
        <v>39610</v>
      </c>
      <c r="F1343" s="3">
        <v>0.25</v>
      </c>
      <c r="G1343" s="2">
        <v>39644</v>
      </c>
      <c r="H1343" s="3">
        <v>4.9399999999999999E-2</v>
      </c>
      <c r="I1343" s="3">
        <v>0</v>
      </c>
      <c r="J1343" s="3">
        <v>0</v>
      </c>
      <c r="K1343" s="3">
        <f t="shared" si="43"/>
        <v>2008</v>
      </c>
      <c r="L1343" s="3">
        <f t="shared" si="44"/>
        <v>0</v>
      </c>
      <c r="M1343" s="20" t="str">
        <f>A1343&amp;L1343</f>
        <v>LEG0</v>
      </c>
      <c r="N1343" s="3">
        <f>F1343</f>
        <v>0.25</v>
      </c>
      <c r="O1343" s="9">
        <f>H1343</f>
        <v>4.9399999999999999E-2</v>
      </c>
      <c r="P1343" s="10">
        <f t="shared" si="45"/>
        <v>0</v>
      </c>
      <c r="Q1343" s="10">
        <f>IF(K1343=0,IF(A1340=A1343,AVERAGE(O1340:O1343),"x"),0)</f>
        <v>0</v>
      </c>
      <c r="R1343" s="9">
        <f>IF(L1343&gt;2005,AVERAGE(O1340:O1359),0)</f>
        <v>0</v>
      </c>
      <c r="S1343" s="10">
        <f>IF(A1343=A1344,(N1343-N1344)/N1344,0)</f>
        <v>0</v>
      </c>
      <c r="T1343" s="10">
        <f>IF(L1343&gt;2005,(((N1343-N1363)/N1363)+1)^(1/5)-1,0)</f>
        <v>0</v>
      </c>
      <c r="U1343" s="10">
        <f t="shared" si="46"/>
        <v>0</v>
      </c>
      <c r="V1343" s="26">
        <f t="shared" si="47"/>
        <v>0</v>
      </c>
      <c r="W1343" s="3">
        <f>IF(A1343=A1344,N1343-N1344,0)</f>
        <v>0</v>
      </c>
      <c r="X1343" s="10">
        <f>IF(A1343=A1344,(N1343-N1344)/N1344,0)</f>
        <v>0</v>
      </c>
    </row>
    <row r="1344" spans="1:24" ht="16.5" customHeight="1">
      <c r="A1344" s="3" t="s">
        <v>38</v>
      </c>
      <c r="B1344" s="3">
        <f t="shared" si="40"/>
        <v>2008</v>
      </c>
      <c r="C1344" s="3">
        <f t="shared" si="41"/>
        <v>3</v>
      </c>
      <c r="D1344" s="20" t="str">
        <f t="shared" si="42"/>
        <v>LEG20083</v>
      </c>
      <c r="E1344" s="2">
        <v>39519</v>
      </c>
      <c r="F1344" s="3">
        <v>0.25</v>
      </c>
      <c r="G1344" s="2">
        <v>39553</v>
      </c>
      <c r="H1344" s="3">
        <v>5.6000000000000001E-2</v>
      </c>
      <c r="I1344" s="3">
        <v>0</v>
      </c>
      <c r="J1344" s="3">
        <v>0</v>
      </c>
      <c r="K1344" s="3">
        <f t="shared" si="43"/>
        <v>0</v>
      </c>
      <c r="L1344" s="3">
        <f t="shared" si="44"/>
        <v>2008</v>
      </c>
      <c r="M1344" s="20" t="str">
        <f>A1344&amp;L1344</f>
        <v>LEG2008</v>
      </c>
      <c r="N1344" s="3">
        <f>F1344</f>
        <v>0.25</v>
      </c>
      <c r="O1344" s="9">
        <f>H1344</f>
        <v>5.6000000000000001E-2</v>
      </c>
      <c r="P1344" s="10">
        <f t="shared" si="45"/>
        <v>0</v>
      </c>
      <c r="Q1344" s="10">
        <f>IF(K1344=0,IF(A1341=A1344,AVERAGE(O1341:O1344),"x"),0)</f>
        <v>5.3449999999999998E-2</v>
      </c>
      <c r="R1344" s="9">
        <f>IF(L1344&gt;2005,AVERAGE(O1341:O1360),0)</f>
        <v>3.191999999999999E-2</v>
      </c>
      <c r="S1344" s="10">
        <f>IF(A1344=A1345,(N1344-N1345)/N1345,0)</f>
        <v>0</v>
      </c>
      <c r="T1344" s="10">
        <f>IF(L1344&gt;2005,(((N1344-N1364)/N1364)+1)^(1/5)-1,0)</f>
        <v>0.13972304907201583</v>
      </c>
      <c r="U1344" s="10">
        <f t="shared" si="46"/>
        <v>0.17164304907201583</v>
      </c>
      <c r="V1344" s="26">
        <f t="shared" si="47"/>
        <v>4.6058875737690013</v>
      </c>
      <c r="W1344" s="3">
        <f>IF(A1344=A1345,N1344-N1345,0)</f>
        <v>0</v>
      </c>
      <c r="X1344" s="10">
        <f>IF(A1344=A1345,(N1344-N1345)/N1345,0)</f>
        <v>0</v>
      </c>
    </row>
    <row r="1345" spans="1:24" ht="16.5" customHeight="1">
      <c r="A1345" s="3" t="s">
        <v>38</v>
      </c>
      <c r="B1345" s="3">
        <f t="shared" si="40"/>
        <v>2007</v>
      </c>
      <c r="C1345" s="3">
        <f t="shared" si="41"/>
        <v>12</v>
      </c>
      <c r="D1345" s="20" t="str">
        <f t="shared" si="42"/>
        <v>LEG200712</v>
      </c>
      <c r="E1345" s="2">
        <v>39428</v>
      </c>
      <c r="F1345" s="3">
        <v>0.25</v>
      </c>
      <c r="G1345" s="2">
        <v>39462</v>
      </c>
      <c r="H1345" s="3">
        <v>3.9699999999999999E-2</v>
      </c>
      <c r="I1345" s="3">
        <v>0.38888888900000002</v>
      </c>
      <c r="J1345" s="3">
        <v>7.0000000000000007E-2</v>
      </c>
      <c r="K1345" s="3">
        <f t="shared" si="43"/>
        <v>2007</v>
      </c>
      <c r="L1345" s="3">
        <f t="shared" si="44"/>
        <v>0</v>
      </c>
      <c r="M1345" s="20" t="str">
        <f>A1345&amp;L1345</f>
        <v>LEG0</v>
      </c>
      <c r="N1345" s="3">
        <f>F1345</f>
        <v>0.25</v>
      </c>
      <c r="O1345" s="9">
        <f>H1345</f>
        <v>3.9699999999999999E-2</v>
      </c>
      <c r="P1345" s="10">
        <f t="shared" si="45"/>
        <v>3.3599999999999998E-2</v>
      </c>
      <c r="Q1345" s="10">
        <f>IF(K1345=0,IF(A1342=A1345,AVERAGE(O1342:O1345),"x"),0)</f>
        <v>0</v>
      </c>
      <c r="R1345" s="9">
        <f>IF(L1345&gt;2005,AVERAGE(O1342:O1361),0)</f>
        <v>0</v>
      </c>
      <c r="S1345" s="10">
        <f>IF(A1345=A1346,(N1345-N1346)/N1346,0)</f>
        <v>0.38888888888888895</v>
      </c>
      <c r="T1345" s="10">
        <f>IF(L1345&gt;2005,(((N1345-N1365)/N1365)+1)^(1/5)-1,0)</f>
        <v>0</v>
      </c>
      <c r="U1345" s="10">
        <f t="shared" si="46"/>
        <v>0</v>
      </c>
      <c r="V1345" s="26">
        <f t="shared" si="47"/>
        <v>0</v>
      </c>
      <c r="W1345" s="3">
        <f>IF(A1345=A1346,N1345-N1346,0)</f>
        <v>7.0000000000000007E-2</v>
      </c>
      <c r="X1345" s="10">
        <f>IF(A1345=A1346,(N1345-N1346)/N1346,0)</f>
        <v>0.38888888888888895</v>
      </c>
    </row>
    <row r="1346" spans="1:24" ht="16.5" customHeight="1">
      <c r="A1346" s="3" t="s">
        <v>38</v>
      </c>
      <c r="B1346" s="3">
        <f t="shared" si="40"/>
        <v>2007</v>
      </c>
      <c r="C1346" s="3">
        <f t="shared" si="41"/>
        <v>9</v>
      </c>
      <c r="D1346" s="20" t="str">
        <f t="shared" si="42"/>
        <v>LEG20079</v>
      </c>
      <c r="E1346" s="2">
        <v>39337</v>
      </c>
      <c r="F1346" s="3">
        <v>0.18</v>
      </c>
      <c r="G1346" s="2">
        <v>39370</v>
      </c>
      <c r="H1346" s="3">
        <v>3.6299999999999999E-2</v>
      </c>
      <c r="I1346" s="3">
        <v>0</v>
      </c>
      <c r="J1346" s="3">
        <v>0</v>
      </c>
      <c r="K1346" s="3">
        <f t="shared" si="43"/>
        <v>2007</v>
      </c>
      <c r="L1346" s="3">
        <f t="shared" si="44"/>
        <v>0</v>
      </c>
      <c r="M1346" s="20" t="str">
        <f>A1346&amp;L1346</f>
        <v>LEG0</v>
      </c>
      <c r="N1346" s="3">
        <f>F1346</f>
        <v>0.18</v>
      </c>
      <c r="O1346" s="9">
        <f>H1346</f>
        <v>3.6299999999999999E-2</v>
      </c>
      <c r="P1346" s="10">
        <f t="shared" si="45"/>
        <v>0</v>
      </c>
      <c r="Q1346" s="10">
        <f>IF(K1346=0,IF(A1343=A1346,AVERAGE(O1343:O1346),"x"),0)</f>
        <v>0</v>
      </c>
      <c r="R1346" s="9">
        <f>IF(L1346&gt;2005,AVERAGE(O1343:O1362),0)</f>
        <v>0</v>
      </c>
      <c r="S1346" s="10">
        <f>IF(A1346=A1347,(N1346-N1347)/N1347,0)</f>
        <v>0</v>
      </c>
      <c r="T1346" s="10">
        <f>IF(L1346&gt;2005,(((N1346-N1366)/N1366)+1)^(1/5)-1,0)</f>
        <v>0</v>
      </c>
      <c r="U1346" s="10">
        <f t="shared" si="46"/>
        <v>0</v>
      </c>
      <c r="V1346" s="26">
        <f t="shared" si="47"/>
        <v>0</v>
      </c>
      <c r="W1346" s="3">
        <f>IF(A1346=A1347,N1346-N1347,0)</f>
        <v>0</v>
      </c>
      <c r="X1346" s="10">
        <f>IF(A1346=A1347,(N1346-N1347)/N1347,0)</f>
        <v>0</v>
      </c>
    </row>
    <row r="1347" spans="1:24" ht="16.5" customHeight="1">
      <c r="A1347" s="3" t="s">
        <v>38</v>
      </c>
      <c r="B1347" s="3">
        <f t="shared" si="40"/>
        <v>2007</v>
      </c>
      <c r="C1347" s="3">
        <f t="shared" si="41"/>
        <v>6</v>
      </c>
      <c r="D1347" s="20" t="str">
        <f t="shared" si="42"/>
        <v>LEG20076</v>
      </c>
      <c r="E1347" s="2">
        <v>39246</v>
      </c>
      <c r="F1347" s="3">
        <v>0.18</v>
      </c>
      <c r="G1347" s="2">
        <v>39276</v>
      </c>
      <c r="H1347" s="3">
        <v>2.9600000000000001E-2</v>
      </c>
      <c r="I1347" s="3">
        <v>5.8823528999999999E-2</v>
      </c>
      <c r="J1347" s="3">
        <v>0.01</v>
      </c>
      <c r="K1347" s="3">
        <f t="shared" si="43"/>
        <v>2007</v>
      </c>
      <c r="L1347" s="3">
        <f t="shared" si="44"/>
        <v>0</v>
      </c>
      <c r="M1347" s="20" t="str">
        <f>A1347&amp;L1347</f>
        <v>LEG0</v>
      </c>
      <c r="N1347" s="3">
        <f>F1347</f>
        <v>0.18</v>
      </c>
      <c r="O1347" s="9">
        <f>H1347</f>
        <v>2.9600000000000001E-2</v>
      </c>
      <c r="P1347" s="10">
        <f t="shared" si="45"/>
        <v>2.8375000000000001E-2</v>
      </c>
      <c r="Q1347" s="10">
        <f>IF(K1347=0,IF(A1344=A1347,AVERAGE(O1344:O1347),"x"),0)</f>
        <v>0</v>
      </c>
      <c r="R1347" s="9">
        <f>IF(L1347&gt;2005,AVERAGE(O1344:O1363),0)</f>
        <v>0</v>
      </c>
      <c r="S1347" s="10">
        <f>IF(A1347=A1348,(N1347-N1348)/N1348,0)</f>
        <v>5.8823529411764594E-2</v>
      </c>
      <c r="T1347" s="10">
        <f>IF(L1347&gt;2005,(((N1347-N1367)/N1367)+1)^(1/5)-1,0)</f>
        <v>0</v>
      </c>
      <c r="U1347" s="10">
        <f t="shared" si="46"/>
        <v>0</v>
      </c>
      <c r="V1347" s="26">
        <f t="shared" si="47"/>
        <v>0</v>
      </c>
      <c r="W1347" s="3">
        <f>IF(A1347=A1348,N1347-N1348,0)</f>
        <v>9.9999999999999811E-3</v>
      </c>
      <c r="X1347" s="10">
        <f>IF(A1347=A1348,(N1347-N1348)/N1348,0)</f>
        <v>5.8823529411764594E-2</v>
      </c>
    </row>
    <row r="1348" spans="1:24" ht="16.5" customHeight="1">
      <c r="A1348" s="3" t="s">
        <v>38</v>
      </c>
      <c r="B1348" s="3">
        <f t="shared" si="40"/>
        <v>2007</v>
      </c>
      <c r="C1348" s="3">
        <f t="shared" si="41"/>
        <v>3</v>
      </c>
      <c r="D1348" s="20" t="str">
        <f t="shared" si="42"/>
        <v>LEG20073</v>
      </c>
      <c r="E1348" s="2">
        <v>39154</v>
      </c>
      <c r="F1348" s="3">
        <v>0.17</v>
      </c>
      <c r="G1348" s="2">
        <v>39185</v>
      </c>
      <c r="H1348" s="3">
        <v>2.8799999999999999E-2</v>
      </c>
      <c r="I1348" s="3">
        <v>0</v>
      </c>
      <c r="J1348" s="3">
        <v>0</v>
      </c>
      <c r="K1348" s="3">
        <f t="shared" si="43"/>
        <v>0</v>
      </c>
      <c r="L1348" s="3">
        <f t="shared" si="44"/>
        <v>2007</v>
      </c>
      <c r="M1348" s="20" t="str">
        <f>A1348&amp;L1348</f>
        <v>LEG2007</v>
      </c>
      <c r="N1348" s="3">
        <f>F1348</f>
        <v>0.17</v>
      </c>
      <c r="O1348" s="9">
        <f>H1348</f>
        <v>2.8799999999999999E-2</v>
      </c>
      <c r="P1348" s="10">
        <f t="shared" si="45"/>
        <v>0</v>
      </c>
      <c r="Q1348" s="10">
        <f>IF(K1348=0,IF(A1345=A1348,AVERAGE(O1345:O1348),"x"),0)</f>
        <v>3.3599999999999998E-2</v>
      </c>
      <c r="R1348" s="9">
        <f>IF(L1348&gt;2005,AVERAGE(O1345:O1364),0)</f>
        <v>2.6314999999999998E-2</v>
      </c>
      <c r="S1348" s="10">
        <f>IF(A1348=A1349,(N1348-N1349)/N1349,0)</f>
        <v>0</v>
      </c>
      <c r="T1348" s="10">
        <f>IF(L1348&gt;2005,(((N1348-N1368)/N1368)+1)^(1/5)-1,0)</f>
        <v>7.2145025900850923E-2</v>
      </c>
      <c r="U1348" s="10">
        <f t="shared" si="46"/>
        <v>9.8460025900850928E-2</v>
      </c>
      <c r="V1348" s="26">
        <f t="shared" si="47"/>
        <v>4.6519298107399791</v>
      </c>
      <c r="W1348" s="3">
        <f>IF(A1348=A1349,N1348-N1349,0)</f>
        <v>0</v>
      </c>
      <c r="X1348" s="10">
        <f>IF(A1348=A1349,(N1348-N1349)/N1349,0)</f>
        <v>0</v>
      </c>
    </row>
    <row r="1349" spans="1:24" ht="16.5" customHeight="1">
      <c r="A1349" s="3" t="s">
        <v>38</v>
      </c>
      <c r="B1349" s="3">
        <f t="shared" si="40"/>
        <v>2006</v>
      </c>
      <c r="C1349" s="3">
        <f t="shared" si="41"/>
        <v>12</v>
      </c>
      <c r="D1349" s="20" t="str">
        <f t="shared" si="42"/>
        <v>LEG200612</v>
      </c>
      <c r="E1349" s="2">
        <v>39064</v>
      </c>
      <c r="F1349" s="3">
        <v>0.17</v>
      </c>
      <c r="G1349" s="2">
        <v>39097</v>
      </c>
      <c r="H1349" s="3">
        <v>2.8400000000000002E-2</v>
      </c>
      <c r="I1349" s="3">
        <v>0</v>
      </c>
      <c r="J1349" s="3">
        <v>0</v>
      </c>
      <c r="K1349" s="3">
        <f t="shared" si="43"/>
        <v>2006</v>
      </c>
      <c r="L1349" s="3">
        <f t="shared" si="44"/>
        <v>0</v>
      </c>
      <c r="M1349" s="20" t="str">
        <f>A1349&amp;L1349</f>
        <v>LEG0</v>
      </c>
      <c r="N1349" s="3">
        <f>F1349</f>
        <v>0.17</v>
      </c>
      <c r="O1349" s="9">
        <f>H1349</f>
        <v>2.8400000000000002E-2</v>
      </c>
      <c r="P1349" s="10">
        <f t="shared" si="45"/>
        <v>0</v>
      </c>
      <c r="Q1349" s="10">
        <f>IF(K1349=0,IF(A1346=A1349,AVERAGE(O1346:O1349),"x"),0)</f>
        <v>0</v>
      </c>
      <c r="R1349" s="9">
        <f>IF(L1349&gt;2005,AVERAGE(O1346:O1365),0)</f>
        <v>0</v>
      </c>
      <c r="S1349" s="10">
        <f>IF(A1349=A1350,(N1349-N1350)/N1350,0)</f>
        <v>0</v>
      </c>
      <c r="T1349" s="10">
        <f>IF(L1349&gt;2005,(((N1349-N1369)/N1369)+1)^(1/5)-1,0)</f>
        <v>0</v>
      </c>
      <c r="U1349" s="10">
        <f t="shared" si="46"/>
        <v>0</v>
      </c>
      <c r="V1349" s="26">
        <f t="shared" si="47"/>
        <v>0</v>
      </c>
      <c r="W1349" s="3">
        <f>IF(A1349=A1350,N1349-N1350,0)</f>
        <v>0</v>
      </c>
      <c r="X1349" s="10">
        <f>IF(A1349=A1350,(N1349-N1350)/N1350,0)</f>
        <v>0</v>
      </c>
    </row>
    <row r="1350" spans="1:24" ht="16.5" customHeight="1">
      <c r="A1350" s="3" t="s">
        <v>38</v>
      </c>
      <c r="B1350" s="3">
        <f t="shared" si="40"/>
        <v>2006</v>
      </c>
      <c r="C1350" s="3">
        <f t="shared" si="41"/>
        <v>9</v>
      </c>
      <c r="D1350" s="20" t="str">
        <f t="shared" si="42"/>
        <v>LEG20069</v>
      </c>
      <c r="E1350" s="2">
        <v>38973</v>
      </c>
      <c r="F1350" s="3">
        <v>0.17</v>
      </c>
      <c r="G1350" s="2">
        <v>39003</v>
      </c>
      <c r="H1350" s="3">
        <v>2.6700000000000002E-2</v>
      </c>
      <c r="I1350" s="3">
        <v>0</v>
      </c>
      <c r="J1350" s="3">
        <v>0</v>
      </c>
      <c r="K1350" s="3">
        <f t="shared" si="43"/>
        <v>2006</v>
      </c>
      <c r="L1350" s="3">
        <f t="shared" si="44"/>
        <v>0</v>
      </c>
      <c r="M1350" s="20" t="str">
        <f>A1350&amp;L1350</f>
        <v>LEG0</v>
      </c>
      <c r="N1350" s="3">
        <f>F1350</f>
        <v>0.17</v>
      </c>
      <c r="O1350" s="9">
        <f>H1350</f>
        <v>2.6700000000000002E-2</v>
      </c>
      <c r="P1350" s="10">
        <f t="shared" si="45"/>
        <v>0</v>
      </c>
      <c r="Q1350" s="10">
        <f>IF(K1350=0,IF(A1347=A1350,AVERAGE(O1347:O1350),"x"),0)</f>
        <v>0</v>
      </c>
      <c r="R1350" s="9">
        <f>IF(L1350&gt;2005,AVERAGE(O1347:O1366),0)</f>
        <v>0</v>
      </c>
      <c r="S1350" s="10">
        <f>IF(A1350=A1351,(N1350-N1351)/N1351,0)</f>
        <v>0</v>
      </c>
      <c r="T1350" s="10">
        <f>IF(L1350&gt;2005,(((N1350-N1370)/N1370)+1)^(1/5)-1,0)</f>
        <v>0</v>
      </c>
      <c r="U1350" s="10">
        <f t="shared" si="46"/>
        <v>0</v>
      </c>
      <c r="V1350" s="26">
        <f t="shared" si="47"/>
        <v>0</v>
      </c>
      <c r="W1350" s="3">
        <f>IF(A1350=A1351,N1350-N1351,0)</f>
        <v>0</v>
      </c>
      <c r="X1350" s="10">
        <f>IF(A1350=A1351,(N1350-N1351)/N1351,0)</f>
        <v>0</v>
      </c>
    </row>
    <row r="1351" spans="1:24" ht="16.5" customHeight="1">
      <c r="A1351" s="3" t="s">
        <v>38</v>
      </c>
      <c r="B1351" s="3">
        <f t="shared" si="40"/>
        <v>2006</v>
      </c>
      <c r="C1351" s="3">
        <f t="shared" si="41"/>
        <v>6</v>
      </c>
      <c r="D1351" s="20" t="str">
        <f t="shared" si="42"/>
        <v>LEG20066</v>
      </c>
      <c r="E1351" s="2">
        <v>38881</v>
      </c>
      <c r="F1351" s="3">
        <v>0.17</v>
      </c>
      <c r="G1351" s="2">
        <v>38912</v>
      </c>
      <c r="H1351" s="3">
        <v>2.6499999999999999E-2</v>
      </c>
      <c r="I1351" s="3">
        <v>6.25E-2</v>
      </c>
      <c r="J1351" s="3">
        <v>0.01</v>
      </c>
      <c r="K1351" s="3">
        <f t="shared" si="43"/>
        <v>2006</v>
      </c>
      <c r="L1351" s="3">
        <f t="shared" si="44"/>
        <v>0</v>
      </c>
      <c r="M1351" s="20" t="str">
        <f>A1351&amp;L1351</f>
        <v>LEG0</v>
      </c>
      <c r="N1351" s="3">
        <f>F1351</f>
        <v>0.17</v>
      </c>
      <c r="O1351" s="9">
        <f>H1351</f>
        <v>2.6499999999999999E-2</v>
      </c>
      <c r="P1351" s="10">
        <f t="shared" si="45"/>
        <v>2.6275E-2</v>
      </c>
      <c r="Q1351" s="10">
        <f>IF(K1351=0,IF(A1348=A1351,AVERAGE(O1348:O1351),"x"),0)</f>
        <v>0</v>
      </c>
      <c r="R1351" s="9">
        <f>IF(L1351&gt;2005,AVERAGE(O1348:O1367),0)</f>
        <v>0</v>
      </c>
      <c r="S1351" s="10">
        <f>IF(A1351=A1352,(N1351-N1352)/N1352,0)</f>
        <v>6.2500000000000056E-2</v>
      </c>
      <c r="T1351" s="10">
        <f>IF(L1351&gt;2005,(((N1351-N1371)/N1371)+1)^(1/5)-1,0)</f>
        <v>0</v>
      </c>
      <c r="U1351" s="10">
        <f t="shared" si="46"/>
        <v>0</v>
      </c>
      <c r="V1351" s="26">
        <f t="shared" si="47"/>
        <v>0</v>
      </c>
      <c r="W1351" s="3">
        <f>IF(A1351=A1352,N1351-N1352,0)</f>
        <v>1.0000000000000009E-2</v>
      </c>
      <c r="X1351" s="10">
        <f>IF(A1351=A1352,(N1351-N1352)/N1352,0)</f>
        <v>6.2500000000000056E-2</v>
      </c>
    </row>
    <row r="1352" spans="1:24" ht="16.5" customHeight="1">
      <c r="A1352" s="3" t="s">
        <v>38</v>
      </c>
      <c r="B1352" s="3">
        <f t="shared" si="40"/>
        <v>2006</v>
      </c>
      <c r="C1352" s="3">
        <f t="shared" si="41"/>
        <v>3</v>
      </c>
      <c r="D1352" s="20" t="str">
        <f t="shared" si="42"/>
        <v>LEG20063</v>
      </c>
      <c r="E1352" s="2">
        <v>38789</v>
      </c>
      <c r="F1352" s="3">
        <v>0.16</v>
      </c>
      <c r="G1352" s="2">
        <v>38821</v>
      </c>
      <c r="H1352" s="3">
        <v>2.69E-2</v>
      </c>
      <c r="I1352" s="3">
        <v>0</v>
      </c>
      <c r="J1352" s="3">
        <v>0</v>
      </c>
      <c r="K1352" s="3">
        <f t="shared" si="43"/>
        <v>0</v>
      </c>
      <c r="L1352" s="3">
        <f t="shared" si="44"/>
        <v>2006</v>
      </c>
      <c r="M1352" s="20" t="str">
        <f>A1352&amp;L1352</f>
        <v>LEG2006</v>
      </c>
      <c r="N1352" s="3">
        <f>F1352</f>
        <v>0.16</v>
      </c>
      <c r="O1352" s="9">
        <f>H1352</f>
        <v>2.69E-2</v>
      </c>
      <c r="P1352" s="10">
        <f t="shared" si="45"/>
        <v>0</v>
      </c>
      <c r="Q1352" s="10">
        <f>IF(K1352=0,IF(A1349=A1352,AVERAGE(O1349:O1352),"x"),0)</f>
        <v>2.7125000000000003E-2</v>
      </c>
      <c r="R1352" s="9">
        <f>IF(L1352&gt;2005,AVERAGE(O1349:O1368),0)</f>
        <v>2.3615000000000004E-2</v>
      </c>
      <c r="S1352" s="10">
        <f>IF(A1352=A1353,(N1352-N1353)/N1353,0)</f>
        <v>0</v>
      </c>
      <c r="T1352" s="10">
        <f>IF(L1352&gt;2005,(((N1352-N1372)/N1372)+1)^(1/5)-1,0)</f>
        <v>5.9223841048812176E-2</v>
      </c>
      <c r="U1352" s="10">
        <f t="shared" si="46"/>
        <v>8.2838841048812173E-2</v>
      </c>
      <c r="V1352" s="26">
        <f t="shared" si="47"/>
        <v>4.6822316676941984</v>
      </c>
      <c r="W1352" s="3">
        <f>IF(A1352=A1353,N1352-N1353,0)</f>
        <v>0</v>
      </c>
      <c r="X1352" s="10">
        <f>IF(A1352=A1353,(N1352-N1353)/N1353,0)</f>
        <v>0</v>
      </c>
    </row>
    <row r="1353" spans="1:24" ht="16.5" customHeight="1">
      <c r="A1353" s="3" t="s">
        <v>38</v>
      </c>
      <c r="B1353" s="3">
        <f t="shared" si="40"/>
        <v>2005</v>
      </c>
      <c r="C1353" s="3">
        <f t="shared" si="41"/>
        <v>12</v>
      </c>
      <c r="D1353" s="20" t="str">
        <f t="shared" si="42"/>
        <v>LEG200512</v>
      </c>
      <c r="E1353" s="2">
        <v>38699</v>
      </c>
      <c r="F1353" s="3">
        <v>0.16</v>
      </c>
      <c r="G1353" s="2">
        <v>38730</v>
      </c>
      <c r="H1353" s="3">
        <v>2.6200000000000001E-2</v>
      </c>
      <c r="I1353" s="3">
        <v>0</v>
      </c>
      <c r="J1353" s="3">
        <v>0</v>
      </c>
      <c r="K1353" s="3">
        <f t="shared" si="43"/>
        <v>2005</v>
      </c>
      <c r="L1353" s="3">
        <f t="shared" si="44"/>
        <v>0</v>
      </c>
      <c r="M1353" s="20" t="str">
        <f>A1353&amp;L1353</f>
        <v>LEG0</v>
      </c>
      <c r="N1353" s="3">
        <f>F1353</f>
        <v>0.16</v>
      </c>
      <c r="O1353" s="9">
        <f>H1353</f>
        <v>2.6200000000000001E-2</v>
      </c>
      <c r="P1353" s="10">
        <f t="shared" si="45"/>
        <v>0</v>
      </c>
      <c r="Q1353" s="10">
        <f>IF(K1353=0,IF(A1350=A1353,AVERAGE(O1350:O1353),"x"),0)</f>
        <v>0</v>
      </c>
      <c r="R1353" s="9">
        <f>IF(L1353&gt;2005,AVERAGE(O1350:O1369),0)</f>
        <v>0</v>
      </c>
      <c r="S1353" s="10">
        <f>IF(A1353=A1354,(N1353-N1354)/N1354,0)</f>
        <v>0</v>
      </c>
      <c r="T1353" s="10">
        <f>IF(L1353&gt;2005,(((N1353-N1373)/N1373)+1)^(1/5)-1,0)</f>
        <v>0</v>
      </c>
      <c r="U1353" s="10">
        <f t="shared" si="46"/>
        <v>0</v>
      </c>
      <c r="V1353" s="26">
        <f t="shared" si="47"/>
        <v>0</v>
      </c>
      <c r="W1353" s="3">
        <f>IF(A1353=A1354,N1353-N1354,0)</f>
        <v>0</v>
      </c>
      <c r="X1353" s="10">
        <f>IF(A1353=A1354,(N1353-N1354)/N1354,0)</f>
        <v>0</v>
      </c>
    </row>
    <row r="1354" spans="1:24" ht="16.5" customHeight="1">
      <c r="A1354" s="3" t="s">
        <v>38</v>
      </c>
      <c r="B1354" s="3">
        <f t="shared" si="40"/>
        <v>2005</v>
      </c>
      <c r="C1354" s="3">
        <f t="shared" si="41"/>
        <v>9</v>
      </c>
      <c r="D1354" s="20" t="str">
        <f t="shared" si="42"/>
        <v>LEG20059</v>
      </c>
      <c r="E1354" s="2">
        <v>38608</v>
      </c>
      <c r="F1354" s="3">
        <v>0.16</v>
      </c>
      <c r="G1354" s="2">
        <v>38639</v>
      </c>
      <c r="H1354" s="3">
        <v>2.5499999999999998E-2</v>
      </c>
      <c r="I1354" s="3">
        <v>0</v>
      </c>
      <c r="J1354" s="3">
        <v>0</v>
      </c>
      <c r="K1354" s="3">
        <f t="shared" si="43"/>
        <v>2005</v>
      </c>
      <c r="L1354" s="3">
        <f t="shared" si="44"/>
        <v>0</v>
      </c>
      <c r="M1354" s="20" t="str">
        <f>A1354&amp;L1354</f>
        <v>LEG0</v>
      </c>
      <c r="N1354" s="3">
        <f>F1354</f>
        <v>0.16</v>
      </c>
      <c r="O1354" s="9">
        <f>H1354</f>
        <v>2.5499999999999998E-2</v>
      </c>
      <c r="P1354" s="10">
        <f t="shared" si="45"/>
        <v>0</v>
      </c>
      <c r="Q1354" s="10">
        <f>IF(K1354=0,IF(A1351=A1354,AVERAGE(O1351:O1354),"x"),0)</f>
        <v>0</v>
      </c>
      <c r="R1354" s="9">
        <f>IF(L1354&gt;2005,AVERAGE(O1351:O1370),0)</f>
        <v>0</v>
      </c>
      <c r="S1354" s="10">
        <f>IF(A1354=A1355,(N1354-N1355)/N1355,0)</f>
        <v>0</v>
      </c>
      <c r="T1354" s="10">
        <f>IF(L1354&gt;2005,(((N1354-N1374)/N1374)+1)^(1/5)-1,0)</f>
        <v>0</v>
      </c>
      <c r="U1354" s="10">
        <f t="shared" si="46"/>
        <v>0</v>
      </c>
      <c r="V1354" s="26">
        <f t="shared" si="47"/>
        <v>0</v>
      </c>
      <c r="W1354" s="3">
        <f>IF(A1354=A1355,N1354-N1355,0)</f>
        <v>0</v>
      </c>
      <c r="X1354" s="10">
        <f>IF(A1354=A1355,(N1354-N1355)/N1355,0)</f>
        <v>0</v>
      </c>
    </row>
    <row r="1355" spans="1:24" ht="16.5" customHeight="1">
      <c r="A1355" s="3" t="s">
        <v>38</v>
      </c>
      <c r="B1355" s="3">
        <f t="shared" si="40"/>
        <v>2005</v>
      </c>
      <c r="C1355" s="3">
        <f t="shared" si="41"/>
        <v>6</v>
      </c>
      <c r="D1355" s="20" t="str">
        <f t="shared" si="42"/>
        <v>LEG20056</v>
      </c>
      <c r="E1355" s="2">
        <v>38516</v>
      </c>
      <c r="F1355" s="3">
        <v>0.16</v>
      </c>
      <c r="G1355" s="2">
        <v>38548</v>
      </c>
      <c r="H1355" s="3">
        <v>2.3599999999999999E-2</v>
      </c>
      <c r="I1355" s="3">
        <v>6.6666666999999999E-2</v>
      </c>
      <c r="J1355" s="3">
        <v>0.01</v>
      </c>
      <c r="K1355" s="3">
        <f t="shared" si="43"/>
        <v>2005</v>
      </c>
      <c r="L1355" s="3">
        <f t="shared" si="44"/>
        <v>0</v>
      </c>
      <c r="M1355" s="20" t="str">
        <f>A1355&amp;L1355</f>
        <v>LEG0</v>
      </c>
      <c r="N1355" s="3">
        <f>F1355</f>
        <v>0.16</v>
      </c>
      <c r="O1355" s="9">
        <f>H1355</f>
        <v>2.3599999999999999E-2</v>
      </c>
      <c r="P1355" s="10">
        <f t="shared" si="45"/>
        <v>2.0924999999999999E-2</v>
      </c>
      <c r="Q1355" s="10">
        <f>IF(K1355=0,IF(A1352=A1355,AVERAGE(O1352:O1355),"x"),0)</f>
        <v>0</v>
      </c>
      <c r="R1355" s="9">
        <f>IF(L1355&gt;2005,AVERAGE(O1352:O1371),0)</f>
        <v>0</v>
      </c>
      <c r="S1355" s="10">
        <f>IF(A1355=A1356,(N1355-N1356)/N1356,0)</f>
        <v>6.6666666666666735E-2</v>
      </c>
      <c r="T1355" s="10">
        <f>IF(L1355&gt;2005,(((N1355-N1375)/N1375)+1)^(1/5)-1,0)</f>
        <v>0</v>
      </c>
      <c r="U1355" s="10">
        <f t="shared" si="46"/>
        <v>0</v>
      </c>
      <c r="V1355" s="26">
        <f t="shared" si="47"/>
        <v>0</v>
      </c>
      <c r="W1355" s="3">
        <f>IF(A1355=A1356,N1355-N1356,0)</f>
        <v>1.0000000000000009E-2</v>
      </c>
      <c r="X1355" s="10">
        <f>IF(A1355=A1356,(N1355-N1356)/N1356,0)</f>
        <v>6.6666666666666735E-2</v>
      </c>
    </row>
    <row r="1356" spans="1:24" ht="16.5" customHeight="1">
      <c r="A1356" s="3" t="s">
        <v>38</v>
      </c>
      <c r="B1356" s="3">
        <f t="shared" si="40"/>
        <v>2005</v>
      </c>
      <c r="C1356" s="3">
        <f t="shared" si="41"/>
        <v>3</v>
      </c>
      <c r="D1356" s="20" t="str">
        <f t="shared" si="42"/>
        <v>LEG20053</v>
      </c>
      <c r="E1356" s="2">
        <v>38422</v>
      </c>
      <c r="F1356" s="3">
        <v>0.15</v>
      </c>
      <c r="G1356" s="2">
        <v>38457</v>
      </c>
      <c r="H1356" s="3">
        <v>2.0299999999999999E-2</v>
      </c>
      <c r="I1356" s="3">
        <v>0</v>
      </c>
      <c r="J1356" s="3">
        <v>0</v>
      </c>
      <c r="K1356" s="3">
        <f t="shared" si="43"/>
        <v>0</v>
      </c>
      <c r="L1356" s="3">
        <f t="shared" si="44"/>
        <v>2005</v>
      </c>
      <c r="M1356" s="20" t="str">
        <f>A1356&amp;L1356</f>
        <v>LEG2005</v>
      </c>
      <c r="N1356" s="3">
        <f>F1356</f>
        <v>0.15</v>
      </c>
      <c r="O1356" s="9">
        <f>H1356</f>
        <v>2.0299999999999999E-2</v>
      </c>
      <c r="P1356" s="10">
        <f t="shared" si="45"/>
        <v>0</v>
      </c>
      <c r="Q1356" s="10">
        <f>IF(K1356=0,IF(A1353=A1356,AVERAGE(O1353:O1356),"x"),0)</f>
        <v>2.3899999999999998E-2</v>
      </c>
      <c r="R1356" s="9">
        <f>IF(L1356&gt;2005,AVERAGE(O1353:O1372),0)</f>
        <v>0</v>
      </c>
      <c r="S1356" s="10">
        <f>IF(A1356=A1357,(N1356-N1357)/N1357,0)</f>
        <v>0</v>
      </c>
      <c r="T1356" s="10">
        <f>IF(L1356&gt;2005,(((N1356-N1376)/N1376)+1)^(1/5)-1,0)</f>
        <v>0</v>
      </c>
      <c r="U1356" s="10">
        <f t="shared" si="46"/>
        <v>0</v>
      </c>
      <c r="V1356" s="26">
        <f t="shared" si="47"/>
        <v>0</v>
      </c>
      <c r="W1356" s="3">
        <f>IF(A1356=A1357,N1356-N1357,0)</f>
        <v>0</v>
      </c>
      <c r="X1356" s="10">
        <f>IF(A1356=A1357,(N1356-N1357)/N1357,0)</f>
        <v>0</v>
      </c>
    </row>
    <row r="1357" spans="1:24" ht="16.5" customHeight="1">
      <c r="A1357" s="3" t="s">
        <v>38</v>
      </c>
      <c r="B1357" s="3">
        <f t="shared" si="40"/>
        <v>2004</v>
      </c>
      <c r="C1357" s="3">
        <f t="shared" si="41"/>
        <v>12</v>
      </c>
      <c r="D1357" s="20" t="str">
        <f t="shared" si="42"/>
        <v>LEG200412</v>
      </c>
      <c r="E1357" s="2">
        <v>38334</v>
      </c>
      <c r="F1357" s="3">
        <v>0.15</v>
      </c>
      <c r="G1357" s="2">
        <v>38366</v>
      </c>
      <c r="H1357" s="3">
        <v>1.95E-2</v>
      </c>
      <c r="I1357" s="3">
        <v>0</v>
      </c>
      <c r="J1357" s="3">
        <v>0</v>
      </c>
      <c r="K1357" s="3">
        <f t="shared" si="43"/>
        <v>2004</v>
      </c>
      <c r="L1357" s="3">
        <f t="shared" si="44"/>
        <v>0</v>
      </c>
      <c r="M1357" s="20" t="str">
        <f>A1357&amp;L1357</f>
        <v>LEG0</v>
      </c>
      <c r="N1357" s="3">
        <f>F1357</f>
        <v>0.15</v>
      </c>
      <c r="O1357" s="9">
        <f>H1357</f>
        <v>1.95E-2</v>
      </c>
      <c r="P1357" s="10">
        <f t="shared" si="45"/>
        <v>0</v>
      </c>
      <c r="Q1357" s="10">
        <f>IF(K1357=0,IF(A1354=A1357,AVERAGE(O1354:O1357),"x"),0)</f>
        <v>0</v>
      </c>
      <c r="R1357" s="9">
        <f>IF(L1357&gt;2005,AVERAGE(O1354:O1373),0)</f>
        <v>0</v>
      </c>
      <c r="S1357" s="10">
        <f>IF(A1357=A1358,(N1357-N1358)/N1358,0)</f>
        <v>0</v>
      </c>
      <c r="T1357" s="10">
        <f>IF(L1357&gt;2005,(((N1357-N1377)/N1377)+1)^(1/5)-1,0)</f>
        <v>0</v>
      </c>
      <c r="U1357" s="10">
        <f t="shared" si="46"/>
        <v>0</v>
      </c>
      <c r="V1357" s="26">
        <f t="shared" si="47"/>
        <v>0</v>
      </c>
      <c r="W1357" s="3">
        <f>IF(A1357=A1358,N1357-N1358,0)</f>
        <v>0</v>
      </c>
      <c r="X1357" s="10">
        <f>IF(A1357=A1358,(N1357-N1358)/N1358,0)</f>
        <v>0</v>
      </c>
    </row>
    <row r="1358" spans="1:24" ht="16.5" customHeight="1">
      <c r="A1358" s="3" t="s">
        <v>38</v>
      </c>
      <c r="B1358" s="3">
        <f t="shared" si="40"/>
        <v>2004</v>
      </c>
      <c r="C1358" s="3">
        <f t="shared" si="41"/>
        <v>9</v>
      </c>
      <c r="D1358" s="20" t="str">
        <f t="shared" si="42"/>
        <v>LEG20049</v>
      </c>
      <c r="E1358" s="2">
        <v>38243</v>
      </c>
      <c r="F1358" s="3">
        <v>0.15</v>
      </c>
      <c r="G1358" s="2">
        <v>38275</v>
      </c>
      <c r="H1358" s="3">
        <v>2.0299999999999999E-2</v>
      </c>
      <c r="I1358" s="3">
        <v>7.1428570999999996E-2</v>
      </c>
      <c r="J1358" s="3">
        <v>0.01</v>
      </c>
      <c r="K1358" s="3">
        <f t="shared" si="43"/>
        <v>2004</v>
      </c>
      <c r="L1358" s="3">
        <f t="shared" si="44"/>
        <v>0</v>
      </c>
      <c r="M1358" s="20" t="str">
        <f>A1358&amp;L1358</f>
        <v>LEG0</v>
      </c>
      <c r="N1358" s="3">
        <f>F1358</f>
        <v>0.15</v>
      </c>
      <c r="O1358" s="9">
        <f>H1358</f>
        <v>2.0299999999999999E-2</v>
      </c>
      <c r="P1358" s="10">
        <f t="shared" si="45"/>
        <v>2.3074999999999998E-2</v>
      </c>
      <c r="Q1358" s="10">
        <f>IF(K1358=0,IF(A1355=A1358,AVERAGE(O1355:O1358),"x"),0)</f>
        <v>0</v>
      </c>
      <c r="R1358" s="9">
        <f>IF(L1358&gt;2005,AVERAGE(O1355:O1374),0)</f>
        <v>0</v>
      </c>
      <c r="S1358" s="10">
        <f>IF(A1358=A1359,(N1358-N1359)/N1359,0)</f>
        <v>7.1428571428571286E-2</v>
      </c>
      <c r="T1358" s="10">
        <f>IF(L1358&gt;2005,(((N1358-N1378)/N1378)+1)^(1/5)-1,0)</f>
        <v>0</v>
      </c>
      <c r="U1358" s="10">
        <f t="shared" si="46"/>
        <v>0</v>
      </c>
      <c r="V1358" s="26">
        <f t="shared" si="47"/>
        <v>0</v>
      </c>
      <c r="W1358" s="3">
        <f>IF(A1358=A1359,N1358-N1359,0)</f>
        <v>9.9999999999999811E-3</v>
      </c>
      <c r="X1358" s="10">
        <f>IF(A1358=A1359,(N1358-N1359)/N1359,0)</f>
        <v>7.1428571428571286E-2</v>
      </c>
    </row>
    <row r="1359" spans="1:24" ht="16.5" customHeight="1">
      <c r="A1359" s="3" t="s">
        <v>38</v>
      </c>
      <c r="B1359" s="3">
        <f t="shared" si="40"/>
        <v>2004</v>
      </c>
      <c r="C1359" s="3">
        <f t="shared" si="41"/>
        <v>6</v>
      </c>
      <c r="D1359" s="20" t="str">
        <f t="shared" si="42"/>
        <v>LEG20046</v>
      </c>
      <c r="E1359" s="2">
        <v>38152</v>
      </c>
      <c r="F1359" s="3">
        <v>0.14000000000000001</v>
      </c>
      <c r="G1359" s="2">
        <v>38183</v>
      </c>
      <c r="H1359" s="3">
        <v>2.3199999999999998E-2</v>
      </c>
      <c r="I1359" s="3">
        <v>0</v>
      </c>
      <c r="J1359" s="3">
        <v>0</v>
      </c>
      <c r="K1359" s="3">
        <f t="shared" si="43"/>
        <v>2004</v>
      </c>
      <c r="L1359" s="3">
        <f t="shared" si="44"/>
        <v>0</v>
      </c>
      <c r="M1359" s="20" t="str">
        <f>A1359&amp;L1359</f>
        <v>LEG0</v>
      </c>
      <c r="N1359" s="3">
        <f>F1359</f>
        <v>0.14000000000000001</v>
      </c>
      <c r="O1359" s="9">
        <f>H1359</f>
        <v>2.3199999999999998E-2</v>
      </c>
      <c r="P1359" s="10">
        <f t="shared" si="45"/>
        <v>0</v>
      </c>
      <c r="Q1359" s="10">
        <f>IF(K1359=0,IF(A1356=A1359,AVERAGE(O1356:O1359),"x"),0)</f>
        <v>0</v>
      </c>
      <c r="R1359" s="9">
        <f>IF(L1359&gt;2005,AVERAGE(O1356:O1375),0)</f>
        <v>0</v>
      </c>
      <c r="S1359" s="10">
        <f>IF(A1359=A1360,(N1359-N1360)/N1360,0)</f>
        <v>0</v>
      </c>
      <c r="T1359" s="10">
        <f>IF(L1359&gt;2005,(((N1359-N1379)/N1379)+1)^(1/5)-1,0)</f>
        <v>0</v>
      </c>
      <c r="U1359" s="10">
        <f t="shared" si="46"/>
        <v>0</v>
      </c>
      <c r="V1359" s="26">
        <f t="shared" si="47"/>
        <v>0</v>
      </c>
      <c r="W1359" s="3">
        <f>IF(A1359=A1360,N1359-N1360,0)</f>
        <v>0</v>
      </c>
      <c r="X1359" s="10">
        <f>IF(A1359=A1360,(N1359-N1360)/N1360,0)</f>
        <v>0</v>
      </c>
    </row>
    <row r="1360" spans="1:24" ht="16.5" customHeight="1">
      <c r="A1360" s="3" t="s">
        <v>38</v>
      </c>
      <c r="B1360" s="3">
        <f t="shared" si="40"/>
        <v>2004</v>
      </c>
      <c r="C1360" s="3">
        <f t="shared" si="41"/>
        <v>3</v>
      </c>
      <c r="D1360" s="20" t="str">
        <f t="shared" si="42"/>
        <v>LEG20043</v>
      </c>
      <c r="E1360" s="2">
        <v>38057</v>
      </c>
      <c r="F1360" s="3">
        <v>0.14000000000000001</v>
      </c>
      <c r="G1360" s="2">
        <v>38092</v>
      </c>
      <c r="H1360" s="3">
        <v>2.3099999999999999E-2</v>
      </c>
      <c r="I1360" s="3">
        <v>0</v>
      </c>
      <c r="J1360" s="3">
        <v>0</v>
      </c>
      <c r="K1360" s="3">
        <f t="shared" si="43"/>
        <v>0</v>
      </c>
      <c r="L1360" s="3">
        <f t="shared" si="44"/>
        <v>2004</v>
      </c>
      <c r="M1360" s="20" t="str">
        <f>A1360&amp;L1360</f>
        <v>LEG2004</v>
      </c>
      <c r="N1360" s="3">
        <f>F1360</f>
        <v>0.14000000000000001</v>
      </c>
      <c r="O1360" s="9">
        <f>H1360</f>
        <v>2.3099999999999999E-2</v>
      </c>
      <c r="P1360" s="10">
        <f t="shared" si="45"/>
        <v>0</v>
      </c>
      <c r="Q1360" s="10">
        <f>IF(K1360=0,IF(A1357=A1360,AVERAGE(O1357:O1360),"x"),0)</f>
        <v>2.1524999999999999E-2</v>
      </c>
      <c r="R1360" s="9">
        <f>IF(L1360&gt;2005,AVERAGE(O1357:O1376),0)</f>
        <v>0</v>
      </c>
      <c r="S1360" s="10">
        <f>IF(A1360=A1361,(N1360-N1361)/N1361,0)</f>
        <v>0</v>
      </c>
      <c r="T1360" s="10">
        <f>IF(L1360&gt;2005,(((N1360-N1380)/N1380)+1)^(1/5)-1,0)</f>
        <v>0</v>
      </c>
      <c r="U1360" s="10">
        <f t="shared" si="46"/>
        <v>0</v>
      </c>
      <c r="V1360" s="26">
        <f t="shared" si="47"/>
        <v>0</v>
      </c>
      <c r="W1360" s="3">
        <f>IF(A1360=A1361,N1360-N1361,0)</f>
        <v>0</v>
      </c>
      <c r="X1360" s="10">
        <f>IF(A1360=A1361,(N1360-N1361)/N1361,0)</f>
        <v>0</v>
      </c>
    </row>
    <row r="1361" spans="1:24" ht="16.5" customHeight="1">
      <c r="A1361" s="3" t="s">
        <v>38</v>
      </c>
      <c r="B1361" s="3">
        <f t="shared" si="40"/>
        <v>2003</v>
      </c>
      <c r="C1361" s="3">
        <f t="shared" si="41"/>
        <v>12</v>
      </c>
      <c r="D1361" s="20" t="str">
        <f t="shared" si="42"/>
        <v>LEG200312</v>
      </c>
      <c r="E1361" s="2">
        <v>37966</v>
      </c>
      <c r="F1361" s="3">
        <v>0.14000000000000001</v>
      </c>
      <c r="G1361" s="2">
        <v>38001</v>
      </c>
      <c r="H1361" s="3">
        <v>2.5700000000000001E-2</v>
      </c>
      <c r="I1361" s="3">
        <v>0</v>
      </c>
      <c r="J1361" s="3">
        <v>0</v>
      </c>
      <c r="K1361" s="3">
        <f t="shared" si="43"/>
        <v>2003</v>
      </c>
      <c r="L1361" s="3">
        <f t="shared" si="44"/>
        <v>0</v>
      </c>
      <c r="M1361" s="20" t="str">
        <f>A1361&amp;L1361</f>
        <v>LEG0</v>
      </c>
      <c r="N1361" s="3">
        <f>F1361</f>
        <v>0.14000000000000001</v>
      </c>
      <c r="O1361" s="9">
        <f>H1361</f>
        <v>2.5700000000000001E-2</v>
      </c>
      <c r="P1361" s="10">
        <f t="shared" si="45"/>
        <v>0</v>
      </c>
      <c r="Q1361" s="10">
        <f>IF(K1361=0,IF(A1358=A1361,AVERAGE(O1358:O1361),"x"),0)</f>
        <v>0</v>
      </c>
      <c r="R1361" s="9">
        <f>IF(L1361&gt;2005,AVERAGE(O1358:O1377),0)</f>
        <v>0</v>
      </c>
      <c r="S1361" s="10">
        <f>IF(A1361=A1362,(N1361-N1362)/N1362,0)</f>
        <v>0</v>
      </c>
      <c r="T1361" s="10">
        <f>IF(L1361&gt;2005,(((N1361-N1381)/N1381)+1)^(1/5)-1,0)</f>
        <v>0</v>
      </c>
      <c r="U1361" s="10">
        <f t="shared" si="46"/>
        <v>0</v>
      </c>
      <c r="V1361" s="26">
        <f t="shared" si="47"/>
        <v>0</v>
      </c>
      <c r="W1361" s="3">
        <f>IF(A1361=A1362,N1361-N1362,0)</f>
        <v>0</v>
      </c>
      <c r="X1361" s="10">
        <f>IF(A1361=A1362,(N1361-N1362)/N1362,0)</f>
        <v>0</v>
      </c>
    </row>
    <row r="1362" spans="1:24" ht="16.5" customHeight="1">
      <c r="A1362" s="3" t="s">
        <v>38</v>
      </c>
      <c r="B1362" s="3">
        <f t="shared" si="40"/>
        <v>2003</v>
      </c>
      <c r="C1362" s="3">
        <f t="shared" si="41"/>
        <v>9</v>
      </c>
      <c r="D1362" s="20" t="str">
        <f t="shared" si="42"/>
        <v>LEG20039</v>
      </c>
      <c r="E1362" s="2">
        <v>37875</v>
      </c>
      <c r="F1362" s="3">
        <v>0.14000000000000001</v>
      </c>
      <c r="G1362" s="2">
        <v>37909</v>
      </c>
      <c r="H1362" s="3">
        <v>2.3900000000000001E-2</v>
      </c>
      <c r="I1362" s="3">
        <v>7.6923077000000006E-2</v>
      </c>
      <c r="J1362" s="3">
        <v>0.01</v>
      </c>
      <c r="K1362" s="3">
        <f t="shared" si="43"/>
        <v>2003</v>
      </c>
      <c r="L1362" s="3">
        <f t="shared" si="44"/>
        <v>0</v>
      </c>
      <c r="M1362" s="20" t="str">
        <f>A1362&amp;L1362</f>
        <v>LEG0</v>
      </c>
      <c r="N1362" s="3">
        <f>F1362</f>
        <v>0.14000000000000001</v>
      </c>
      <c r="O1362" s="9">
        <f>H1362</f>
        <v>2.3900000000000001E-2</v>
      </c>
      <c r="P1362" s="10">
        <f t="shared" si="45"/>
        <v>2.4500000000000001E-2</v>
      </c>
      <c r="Q1362" s="10">
        <f>IF(K1362=0,IF(A1359=A1362,AVERAGE(O1359:O1362),"x"),0)</f>
        <v>0</v>
      </c>
      <c r="R1362" s="9">
        <f>IF(L1362&gt;2005,AVERAGE(O1359:O1378),0)</f>
        <v>0</v>
      </c>
      <c r="S1362" s="10">
        <f>IF(A1362=A1363,(N1362-N1363)/N1363,0)</f>
        <v>7.6923076923076983E-2</v>
      </c>
      <c r="T1362" s="10">
        <f>IF(L1362&gt;2005,(((N1362-N1382)/N1382)+1)^(1/5)-1,0)</f>
        <v>0</v>
      </c>
      <c r="U1362" s="10">
        <f t="shared" si="46"/>
        <v>0</v>
      </c>
      <c r="V1362" s="26">
        <f t="shared" si="47"/>
        <v>0</v>
      </c>
      <c r="W1362" s="3">
        <f>IF(A1362=A1363,N1362-N1363,0)</f>
        <v>1.0000000000000009E-2</v>
      </c>
      <c r="X1362" s="10">
        <f>IF(A1362=A1363,(N1362-N1363)/N1363,0)</f>
        <v>7.6923076923076983E-2</v>
      </c>
    </row>
    <row r="1363" spans="1:24" ht="16.5" customHeight="1">
      <c r="A1363" s="3" t="s">
        <v>38</v>
      </c>
      <c r="B1363" s="3">
        <f t="shared" si="40"/>
        <v>2003</v>
      </c>
      <c r="C1363" s="3">
        <f t="shared" si="41"/>
        <v>6</v>
      </c>
      <c r="D1363" s="20" t="str">
        <f t="shared" si="42"/>
        <v>LEG20036</v>
      </c>
      <c r="E1363" s="2">
        <v>37783</v>
      </c>
      <c r="F1363" s="3">
        <v>0.13</v>
      </c>
      <c r="G1363" s="2">
        <v>37817</v>
      </c>
      <c r="H1363" s="3">
        <v>2.3099999999999999E-2</v>
      </c>
      <c r="I1363" s="3">
        <v>0</v>
      </c>
      <c r="J1363" s="3">
        <v>0</v>
      </c>
      <c r="K1363" s="3">
        <f t="shared" si="43"/>
        <v>2003</v>
      </c>
      <c r="L1363" s="3">
        <f t="shared" si="44"/>
        <v>0</v>
      </c>
      <c r="M1363" s="20" t="str">
        <f>A1363&amp;L1363</f>
        <v>LEG0</v>
      </c>
      <c r="N1363" s="3">
        <f>F1363</f>
        <v>0.13</v>
      </c>
      <c r="O1363" s="9">
        <f>H1363</f>
        <v>2.3099999999999999E-2</v>
      </c>
      <c r="P1363" s="10">
        <f t="shared" si="45"/>
        <v>0</v>
      </c>
      <c r="Q1363" s="10">
        <f>IF(K1363=0,IF(A1360=A1363,AVERAGE(O1360:O1363),"x"),0)</f>
        <v>0</v>
      </c>
      <c r="R1363" s="9">
        <f>IF(L1363&gt;2005,AVERAGE(O1360:O1379),0)</f>
        <v>0</v>
      </c>
      <c r="S1363" s="10">
        <f>IF(A1363=A1364,(N1363-N1364)/N1364,0)</f>
        <v>0</v>
      </c>
      <c r="T1363" s="10">
        <f>IF(L1363&gt;2005,(((N1363-N1383)/N1383)+1)^(1/5)-1,0)</f>
        <v>0</v>
      </c>
      <c r="U1363" s="10">
        <f t="shared" si="46"/>
        <v>0</v>
      </c>
      <c r="V1363" s="26">
        <f t="shared" si="47"/>
        <v>0</v>
      </c>
      <c r="W1363" s="3">
        <f>IF(A1363=A1364,N1363-N1364,0)</f>
        <v>0</v>
      </c>
      <c r="X1363" s="10">
        <f>IF(A1363=A1364,(N1363-N1364)/N1364,0)</f>
        <v>0</v>
      </c>
    </row>
    <row r="1364" spans="1:24" ht="16.5" customHeight="1">
      <c r="A1364" s="3" t="s">
        <v>38</v>
      </c>
      <c r="B1364" s="3">
        <f t="shared" si="40"/>
        <v>2003</v>
      </c>
      <c r="C1364" s="3">
        <f t="shared" si="41"/>
        <v>3</v>
      </c>
      <c r="D1364" s="20" t="str">
        <f t="shared" si="42"/>
        <v>LEG20033</v>
      </c>
      <c r="E1364" s="2">
        <v>37692</v>
      </c>
      <c r="F1364" s="3">
        <v>0.13</v>
      </c>
      <c r="G1364" s="2">
        <v>37726</v>
      </c>
      <c r="H1364" s="3">
        <v>2.9000000000000001E-2</v>
      </c>
      <c r="I1364" s="3">
        <v>0</v>
      </c>
      <c r="J1364" s="3">
        <v>0</v>
      </c>
      <c r="K1364" s="3">
        <f t="shared" si="43"/>
        <v>0</v>
      </c>
      <c r="L1364" s="3">
        <f t="shared" si="44"/>
        <v>2003</v>
      </c>
      <c r="M1364" s="20" t="str">
        <f>A1364&amp;L1364</f>
        <v>LEG2003</v>
      </c>
      <c r="N1364" s="3">
        <f>F1364</f>
        <v>0.13</v>
      </c>
      <c r="O1364" s="9">
        <f>H1364</f>
        <v>2.9000000000000001E-2</v>
      </c>
      <c r="P1364" s="10">
        <f t="shared" si="45"/>
        <v>0</v>
      </c>
      <c r="Q1364" s="10">
        <f>IF(K1364=0,IF(A1361=A1364,AVERAGE(O1361:O1364),"x"),0)</f>
        <v>2.5425E-2</v>
      </c>
      <c r="R1364" s="9">
        <f>IF(L1364&gt;2005,AVERAGE(O1361:O1380),0)</f>
        <v>0</v>
      </c>
      <c r="S1364" s="10">
        <f>IF(A1364=A1365,(N1364-N1365)/N1365,0)</f>
        <v>0</v>
      </c>
      <c r="T1364" s="10">
        <f>IF(L1364&gt;2005,(((N1364-N1384)/N1384)+1)^(1/5)-1,0)</f>
        <v>0</v>
      </c>
      <c r="U1364" s="10">
        <f t="shared" si="46"/>
        <v>0</v>
      </c>
      <c r="V1364" s="26">
        <f t="shared" si="47"/>
        <v>0</v>
      </c>
      <c r="W1364" s="3">
        <f>IF(A1364=A1365,N1364-N1365,0)</f>
        <v>0</v>
      </c>
      <c r="X1364" s="10">
        <f>IF(A1364=A1365,(N1364-N1365)/N1365,0)</f>
        <v>0</v>
      </c>
    </row>
    <row r="1365" spans="1:24" ht="16.5" customHeight="1">
      <c r="A1365" s="3" t="s">
        <v>38</v>
      </c>
      <c r="B1365" s="3">
        <f t="shared" si="40"/>
        <v>2002</v>
      </c>
      <c r="C1365" s="3">
        <f t="shared" si="41"/>
        <v>12</v>
      </c>
      <c r="D1365" s="20" t="str">
        <f t="shared" si="42"/>
        <v>LEG200212</v>
      </c>
      <c r="E1365" s="2">
        <v>37601</v>
      </c>
      <c r="F1365" s="3">
        <v>0.13</v>
      </c>
      <c r="G1365" s="2">
        <v>37636</v>
      </c>
      <c r="H1365" s="3">
        <v>2.1999999999999999E-2</v>
      </c>
      <c r="I1365" s="3">
        <v>0</v>
      </c>
      <c r="J1365" s="3">
        <v>0</v>
      </c>
      <c r="K1365" s="3">
        <f t="shared" si="43"/>
        <v>2002</v>
      </c>
      <c r="L1365" s="3">
        <f t="shared" si="44"/>
        <v>0</v>
      </c>
      <c r="M1365" s="20" t="str">
        <f>A1365&amp;L1365</f>
        <v>LEG0</v>
      </c>
      <c r="N1365" s="3">
        <f>F1365</f>
        <v>0.13</v>
      </c>
      <c r="O1365" s="9">
        <f>H1365</f>
        <v>2.1999999999999999E-2</v>
      </c>
      <c r="P1365" s="10">
        <f t="shared" si="45"/>
        <v>0</v>
      </c>
      <c r="Q1365" s="10">
        <f>IF(K1365=0,IF(A1362=A1365,AVERAGE(O1362:O1365),"x"),0)</f>
        <v>0</v>
      </c>
      <c r="R1365" s="9">
        <f>IF(L1365&gt;2005,AVERAGE(O1362:O1381),0)</f>
        <v>0</v>
      </c>
      <c r="S1365" s="10">
        <f>IF(A1365=A1366,(N1365-N1366)/N1366,0)</f>
        <v>0</v>
      </c>
      <c r="T1365" s="10">
        <f>IF(L1365&gt;2005,(((N1365-N1385)/N1385)+1)^(1/5)-1,0)</f>
        <v>0</v>
      </c>
      <c r="U1365" s="10">
        <f t="shared" si="46"/>
        <v>0</v>
      </c>
      <c r="V1365" s="26">
        <f t="shared" si="47"/>
        <v>0</v>
      </c>
      <c r="W1365" s="3">
        <f>IF(A1365=A1366,N1365-N1366,0)</f>
        <v>0</v>
      </c>
      <c r="X1365" s="10">
        <f>IF(A1365=A1366,(N1365-N1366)/N1366,0)</f>
        <v>0</v>
      </c>
    </row>
    <row r="1366" spans="1:24" ht="16.5" customHeight="1">
      <c r="A1366" s="3" t="s">
        <v>38</v>
      </c>
      <c r="B1366" s="3">
        <f t="shared" si="40"/>
        <v>2002</v>
      </c>
      <c r="C1366" s="3">
        <f t="shared" si="41"/>
        <v>9</v>
      </c>
      <c r="D1366" s="20" t="str">
        <f t="shared" si="42"/>
        <v>LEG20029</v>
      </c>
      <c r="E1366" s="2">
        <v>37510</v>
      </c>
      <c r="F1366" s="3">
        <v>0.13</v>
      </c>
      <c r="G1366" s="2">
        <v>37544</v>
      </c>
      <c r="H1366" s="3">
        <v>2.1000000000000001E-2</v>
      </c>
      <c r="I1366" s="3">
        <v>8.3333332999999996E-2</v>
      </c>
      <c r="J1366" s="3">
        <v>0.01</v>
      </c>
      <c r="K1366" s="3">
        <f t="shared" si="43"/>
        <v>2002</v>
      </c>
      <c r="L1366" s="3">
        <f t="shared" si="44"/>
        <v>0</v>
      </c>
      <c r="M1366" s="20" t="str">
        <f>A1366&amp;L1366</f>
        <v>LEG0</v>
      </c>
      <c r="N1366" s="3">
        <f>F1366</f>
        <v>0.13</v>
      </c>
      <c r="O1366" s="9">
        <f>H1366</f>
        <v>2.1000000000000001E-2</v>
      </c>
      <c r="P1366" s="10">
        <f t="shared" si="45"/>
        <v>1.9800000000000002E-2</v>
      </c>
      <c r="Q1366" s="10">
        <f>IF(K1366=0,IF(A1363=A1366,AVERAGE(O1363:O1366),"x"),0)</f>
        <v>0</v>
      </c>
      <c r="R1366" s="9">
        <f>IF(L1366&gt;2005,AVERAGE(O1363:O1382),0)</f>
        <v>0</v>
      </c>
      <c r="S1366" s="10">
        <f>IF(A1366=A1367,(N1366-N1367)/N1367,0)</f>
        <v>8.3333333333333412E-2</v>
      </c>
      <c r="T1366" s="10">
        <f>IF(L1366&gt;2005,(((N1366-N1386)/N1386)+1)^(1/5)-1,0)</f>
        <v>0</v>
      </c>
      <c r="U1366" s="10">
        <f t="shared" si="46"/>
        <v>0</v>
      </c>
      <c r="V1366" s="26">
        <f t="shared" si="47"/>
        <v>0</v>
      </c>
      <c r="W1366" s="3">
        <f>IF(A1366=A1367,N1366-N1367,0)</f>
        <v>1.0000000000000009E-2</v>
      </c>
      <c r="X1366" s="10">
        <f>IF(A1366=A1367,(N1366-N1367)/N1367,0)</f>
        <v>8.3333333333333412E-2</v>
      </c>
    </row>
    <row r="1367" spans="1:24" ht="16.5" customHeight="1">
      <c r="A1367" s="3" t="s">
        <v>38</v>
      </c>
      <c r="B1367" s="3">
        <f t="shared" si="40"/>
        <v>2002</v>
      </c>
      <c r="C1367" s="3">
        <f t="shared" si="41"/>
        <v>6</v>
      </c>
      <c r="D1367" s="20" t="str">
        <f t="shared" si="42"/>
        <v>LEG20026</v>
      </c>
      <c r="E1367" s="2">
        <v>37419</v>
      </c>
      <c r="F1367" s="3">
        <v>0.12</v>
      </c>
      <c r="G1367" s="2">
        <v>37452</v>
      </c>
      <c r="H1367" s="3">
        <v>1.89E-2</v>
      </c>
      <c r="I1367" s="3">
        <v>0</v>
      </c>
      <c r="J1367" s="3">
        <v>0</v>
      </c>
      <c r="K1367" s="3">
        <f t="shared" si="43"/>
        <v>2002</v>
      </c>
      <c r="L1367" s="3">
        <f t="shared" si="44"/>
        <v>0</v>
      </c>
      <c r="M1367" s="20" t="str">
        <f>A1367&amp;L1367</f>
        <v>LEG0</v>
      </c>
      <c r="N1367" s="3">
        <f>F1367</f>
        <v>0.12</v>
      </c>
      <c r="O1367" s="9">
        <f>H1367</f>
        <v>1.89E-2</v>
      </c>
      <c r="P1367" s="10">
        <f t="shared" si="45"/>
        <v>0</v>
      </c>
      <c r="Q1367" s="10">
        <f>IF(K1367=0,IF(A1364=A1367,AVERAGE(O1364:O1367),"x"),0)</f>
        <v>0</v>
      </c>
      <c r="R1367" s="9">
        <f>IF(L1367&gt;2005,AVERAGE(O1364:O1383),0)</f>
        <v>0</v>
      </c>
      <c r="S1367" s="10">
        <f>IF(A1367=A1368,(N1367-N1368)/N1368,0)</f>
        <v>0</v>
      </c>
      <c r="T1367" s="10">
        <f>IF(L1367&gt;2005,(((N1367-N1387)/N1387)+1)^(1/5)-1,0)</f>
        <v>0</v>
      </c>
      <c r="U1367" s="10">
        <f t="shared" si="46"/>
        <v>0</v>
      </c>
      <c r="V1367" s="26">
        <f t="shared" si="47"/>
        <v>0</v>
      </c>
      <c r="W1367" s="3">
        <f>IF(A1367=A1368,N1367-N1368,0)</f>
        <v>0</v>
      </c>
      <c r="X1367" s="10">
        <f>IF(A1367=A1368,(N1367-N1368)/N1368,0)</f>
        <v>0</v>
      </c>
    </row>
    <row r="1368" spans="1:24" ht="16.5" customHeight="1">
      <c r="A1368" s="3" t="s">
        <v>38</v>
      </c>
      <c r="B1368" s="3">
        <f t="shared" si="40"/>
        <v>2002</v>
      </c>
      <c r="C1368" s="3">
        <f t="shared" si="41"/>
        <v>3</v>
      </c>
      <c r="D1368" s="20" t="str">
        <f t="shared" si="42"/>
        <v>LEG20023</v>
      </c>
      <c r="E1368" s="2">
        <v>37328</v>
      </c>
      <c r="F1368" s="3">
        <v>0.12</v>
      </c>
      <c r="G1368" s="2">
        <v>37361</v>
      </c>
      <c r="H1368" s="3">
        <v>1.8499999999999999E-2</v>
      </c>
      <c r="I1368" s="3">
        <v>0</v>
      </c>
      <c r="J1368" s="3">
        <v>0</v>
      </c>
      <c r="K1368" s="3">
        <f t="shared" si="43"/>
        <v>0</v>
      </c>
      <c r="L1368" s="3">
        <f t="shared" si="44"/>
        <v>2002</v>
      </c>
      <c r="M1368" s="20" t="str">
        <f>A1368&amp;L1368</f>
        <v>LEG2002</v>
      </c>
      <c r="N1368" s="3">
        <f>F1368</f>
        <v>0.12</v>
      </c>
      <c r="O1368" s="9">
        <f>H1368</f>
        <v>1.8499999999999999E-2</v>
      </c>
      <c r="P1368" s="10">
        <f t="shared" si="45"/>
        <v>0</v>
      </c>
      <c r="Q1368" s="10">
        <f>IF(K1368=0,IF(A1365=A1368,AVERAGE(O1365:O1368),"x"),0)</f>
        <v>2.01E-2</v>
      </c>
      <c r="R1368" s="9">
        <f>IF(L1368&gt;2005,AVERAGE(O1365:O1384),0)</f>
        <v>0</v>
      </c>
      <c r="S1368" s="10">
        <f>IF(A1368=A1369,(N1368-N1369)/N1369,0)</f>
        <v>0</v>
      </c>
      <c r="T1368" s="10">
        <f>IF(L1368&gt;2005,(((N1368-N1388)/N1388)+1)^(1/5)-1,0)</f>
        <v>0</v>
      </c>
      <c r="U1368" s="10">
        <f t="shared" si="46"/>
        <v>0</v>
      </c>
      <c r="V1368" s="26">
        <f t="shared" si="47"/>
        <v>0</v>
      </c>
      <c r="W1368" s="3">
        <f>IF(A1368=A1369,N1368-N1369,0)</f>
        <v>0</v>
      </c>
      <c r="X1368" s="10">
        <f>IF(A1368=A1369,(N1368-N1369)/N1369,0)</f>
        <v>0</v>
      </c>
    </row>
    <row r="1369" spans="1:24" ht="16.5" customHeight="1">
      <c r="A1369" s="3" t="s">
        <v>38</v>
      </c>
      <c r="B1369" s="3">
        <f t="shared" si="40"/>
        <v>2001</v>
      </c>
      <c r="C1369" s="3">
        <f t="shared" si="41"/>
        <v>12</v>
      </c>
      <c r="D1369" s="20" t="str">
        <f t="shared" si="42"/>
        <v>LEG200112</v>
      </c>
      <c r="E1369" s="2">
        <v>37237</v>
      </c>
      <c r="F1369" s="3">
        <v>0.12</v>
      </c>
      <c r="G1369" s="2">
        <v>37271</v>
      </c>
      <c r="H1369" s="3">
        <v>2.0799999999999999E-2</v>
      </c>
      <c r="I1369" s="3">
        <v>0</v>
      </c>
      <c r="J1369" s="3">
        <v>0</v>
      </c>
      <c r="K1369" s="3">
        <f t="shared" si="43"/>
        <v>2001</v>
      </c>
      <c r="L1369" s="3">
        <f t="shared" si="44"/>
        <v>0</v>
      </c>
      <c r="M1369" s="20" t="str">
        <f>A1369&amp;L1369</f>
        <v>LEG0</v>
      </c>
      <c r="N1369" s="3">
        <f>F1369</f>
        <v>0.12</v>
      </c>
      <c r="O1369" s="9">
        <f>H1369</f>
        <v>2.0799999999999999E-2</v>
      </c>
      <c r="P1369" s="10">
        <f t="shared" si="45"/>
        <v>0</v>
      </c>
      <c r="Q1369" s="10">
        <f>IF(K1369=0,IF(A1366=A1369,AVERAGE(O1366:O1369),"x"),0)</f>
        <v>0</v>
      </c>
      <c r="R1369" s="9">
        <f>IF(L1369&gt;2005,AVERAGE(O1366:O1385),0)</f>
        <v>0</v>
      </c>
      <c r="S1369" s="10">
        <f>IF(A1369=A1370,(N1369-N1370)/N1370,0)</f>
        <v>0</v>
      </c>
      <c r="T1369" s="10">
        <f>IF(L1369&gt;2005,(((N1369-N1389)/N1389)+1)^(1/5)-1,0)</f>
        <v>0</v>
      </c>
      <c r="U1369" s="10">
        <f t="shared" si="46"/>
        <v>0</v>
      </c>
      <c r="V1369" s="26">
        <f t="shared" si="47"/>
        <v>0</v>
      </c>
      <c r="W1369" s="3">
        <f>IF(A1369=A1370,N1369-N1370,0)</f>
        <v>0</v>
      </c>
      <c r="X1369" s="10">
        <f>IF(A1369=A1370,(N1369-N1370)/N1370,0)</f>
        <v>0</v>
      </c>
    </row>
    <row r="1370" spans="1:24" ht="16.5" customHeight="1">
      <c r="A1370" s="3" t="s">
        <v>38</v>
      </c>
      <c r="B1370" s="3">
        <f t="shared" si="40"/>
        <v>2001</v>
      </c>
      <c r="C1370" s="3">
        <f t="shared" si="41"/>
        <v>8</v>
      </c>
      <c r="D1370" s="20" t="str">
        <f t="shared" si="42"/>
        <v>LEG20018</v>
      </c>
      <c r="E1370" s="2">
        <v>37125</v>
      </c>
      <c r="F1370" s="3">
        <v>0.12</v>
      </c>
      <c r="G1370" s="2">
        <v>37148</v>
      </c>
      <c r="H1370" s="3">
        <v>1.95E-2</v>
      </c>
      <c r="I1370" s="3">
        <v>0</v>
      </c>
      <c r="J1370" s="3">
        <v>0</v>
      </c>
      <c r="K1370" s="3">
        <f t="shared" si="43"/>
        <v>2001</v>
      </c>
      <c r="L1370" s="3">
        <f t="shared" si="44"/>
        <v>0</v>
      </c>
      <c r="M1370" s="20" t="str">
        <f>A1370&amp;L1370</f>
        <v>LEG0</v>
      </c>
      <c r="N1370" s="3">
        <f>F1370</f>
        <v>0.12</v>
      </c>
      <c r="O1370" s="9">
        <f>H1370</f>
        <v>1.95E-2</v>
      </c>
      <c r="P1370" s="10">
        <f t="shared" si="45"/>
        <v>0</v>
      </c>
      <c r="Q1370" s="10">
        <f>IF(K1370=0,IF(A1367=A1370,AVERAGE(O1367:O1370),"x"),0)</f>
        <v>0</v>
      </c>
      <c r="R1370" s="9">
        <f>IF(L1370&gt;2005,AVERAGE(O1367:O1386),0)</f>
        <v>0</v>
      </c>
      <c r="S1370" s="10">
        <f>IF(A1370=A1371,(N1370-N1371)/N1371,0)</f>
        <v>0</v>
      </c>
      <c r="T1370" s="10">
        <f>IF(L1370&gt;2005,(((N1370-N1390)/N1390)+1)^(1/5)-1,0)</f>
        <v>0</v>
      </c>
      <c r="U1370" s="10">
        <f t="shared" si="46"/>
        <v>0</v>
      </c>
      <c r="V1370" s="26">
        <f t="shared" si="47"/>
        <v>0</v>
      </c>
      <c r="W1370" s="3">
        <f>IF(A1370=A1371,N1370-N1371,0)</f>
        <v>0</v>
      </c>
      <c r="X1370" s="10">
        <f>IF(A1370=A1371,(N1370-N1371)/N1371,0)</f>
        <v>0</v>
      </c>
    </row>
    <row r="1371" spans="1:24" ht="16.5" customHeight="1">
      <c r="A1371" s="3" t="s">
        <v>38</v>
      </c>
      <c r="B1371" s="3">
        <f t="shared" si="40"/>
        <v>2001</v>
      </c>
      <c r="C1371" s="3">
        <f t="shared" si="41"/>
        <v>5</v>
      </c>
      <c r="D1371" s="20" t="str">
        <f t="shared" si="42"/>
        <v>LEG20015</v>
      </c>
      <c r="E1371" s="2">
        <v>37034</v>
      </c>
      <c r="F1371" s="3">
        <v>0.12</v>
      </c>
      <c r="G1371" s="2">
        <v>37057</v>
      </c>
      <c r="H1371" s="3">
        <v>2.0500000000000001E-2</v>
      </c>
      <c r="I1371" s="3">
        <v>0</v>
      </c>
      <c r="J1371" s="3">
        <v>0</v>
      </c>
      <c r="K1371" s="3">
        <f t="shared" si="43"/>
        <v>2001</v>
      </c>
      <c r="L1371" s="3">
        <f t="shared" si="44"/>
        <v>0</v>
      </c>
      <c r="M1371" s="20" t="str">
        <f>A1371&amp;L1371</f>
        <v>LEG0</v>
      </c>
      <c r="N1371" s="3">
        <f>F1371</f>
        <v>0.12</v>
      </c>
      <c r="O1371" s="9">
        <f>H1371</f>
        <v>2.0500000000000001E-2</v>
      </c>
      <c r="P1371" s="10">
        <f t="shared" si="45"/>
        <v>0</v>
      </c>
      <c r="Q1371" s="10">
        <f>IF(K1371=0,IF(A1368=A1371,AVERAGE(O1368:O1371),"x"),0)</f>
        <v>0</v>
      </c>
      <c r="R1371" s="9">
        <f>IF(L1371&gt;2005,AVERAGE(O1368:O1387),0)</f>
        <v>0</v>
      </c>
      <c r="S1371" s="10">
        <f>IF(A1371=A1372,(N1371-N1372)/N1372,0)</f>
        <v>0</v>
      </c>
      <c r="T1371" s="10">
        <f>IF(L1371&gt;2005,(((N1371-N1391)/N1391)+1)^(1/5)-1,0)</f>
        <v>0</v>
      </c>
      <c r="U1371" s="10">
        <f t="shared" si="46"/>
        <v>0</v>
      </c>
      <c r="V1371" s="26">
        <f t="shared" si="47"/>
        <v>0</v>
      </c>
      <c r="W1371" s="3">
        <f>IF(A1371=A1372,N1371-N1372,0)</f>
        <v>0</v>
      </c>
      <c r="X1371" s="10">
        <f>IF(A1371=A1372,(N1371-N1372)/N1372,0)</f>
        <v>0</v>
      </c>
    </row>
    <row r="1372" spans="1:24" ht="16.5" customHeight="1">
      <c r="A1372" s="3" t="s">
        <v>38</v>
      </c>
      <c r="B1372" s="3">
        <f t="shared" si="40"/>
        <v>2001</v>
      </c>
      <c r="C1372" s="3">
        <f t="shared" si="41"/>
        <v>2</v>
      </c>
      <c r="D1372" s="20" t="str">
        <f t="shared" si="42"/>
        <v>LEG20012</v>
      </c>
      <c r="E1372" s="2">
        <v>36950</v>
      </c>
      <c r="F1372" s="3">
        <v>0.12</v>
      </c>
      <c r="G1372" s="2">
        <v>36965</v>
      </c>
      <c r="H1372" s="3">
        <v>2.2499999999999999E-2</v>
      </c>
      <c r="I1372" s="3">
        <v>9.0909090999999997E-2</v>
      </c>
      <c r="J1372" s="3">
        <v>0.01</v>
      </c>
      <c r="K1372" s="3">
        <f t="shared" si="43"/>
        <v>0</v>
      </c>
      <c r="L1372" s="3">
        <f t="shared" si="44"/>
        <v>2001</v>
      </c>
      <c r="M1372" s="20" t="str">
        <f>A1372&amp;L1372</f>
        <v>LEG2001</v>
      </c>
      <c r="N1372" s="3">
        <f>F1372</f>
        <v>0.12</v>
      </c>
      <c r="O1372" s="9">
        <f>H1372</f>
        <v>2.2499999999999999E-2</v>
      </c>
      <c r="P1372" s="10">
        <f t="shared" si="45"/>
        <v>2.2074999999999997E-2</v>
      </c>
      <c r="Q1372" s="10">
        <f>IF(K1372=0,IF(A1369=A1372,AVERAGE(O1369:O1372),"x"),0)</f>
        <v>2.0825000000000003E-2</v>
      </c>
      <c r="R1372" s="9">
        <f>IF(L1372&gt;2005,AVERAGE(O1369:O1388),0)</f>
        <v>0</v>
      </c>
      <c r="S1372" s="10">
        <f>IF(A1372=A1373,(N1372-N1373)/N1373,0)</f>
        <v>9.090909090909087E-2</v>
      </c>
      <c r="T1372" s="10">
        <f>IF(L1372&gt;2005,(((N1372-N1392)/N1392)+1)^(1/5)-1,0)</f>
        <v>0</v>
      </c>
      <c r="U1372" s="10">
        <f t="shared" si="46"/>
        <v>0</v>
      </c>
      <c r="V1372" s="26">
        <f t="shared" si="47"/>
        <v>0</v>
      </c>
      <c r="W1372" s="3">
        <f>IF(A1372=A1373,N1372-N1373,0)</f>
        <v>9.999999999999995E-3</v>
      </c>
      <c r="X1372" s="10">
        <f>IF(A1372=A1373,(N1372-N1373)/N1373,0)</f>
        <v>9.090909090909087E-2</v>
      </c>
    </row>
    <row r="1373" spans="1:24" ht="16.5" customHeight="1">
      <c r="A1373" s="3" t="s">
        <v>38</v>
      </c>
      <c r="B1373" s="3">
        <f t="shared" si="40"/>
        <v>2000</v>
      </c>
      <c r="C1373" s="3">
        <f t="shared" si="41"/>
        <v>11</v>
      </c>
      <c r="D1373" s="20" t="str">
        <f t="shared" si="42"/>
        <v>LEG200011</v>
      </c>
      <c r="E1373" s="2">
        <v>36851</v>
      </c>
      <c r="F1373" s="3">
        <v>0.11</v>
      </c>
      <c r="G1373" s="2">
        <v>36893</v>
      </c>
      <c r="H1373" s="3">
        <v>2.63E-2</v>
      </c>
      <c r="I1373" s="3">
        <v>0</v>
      </c>
      <c r="J1373" s="3">
        <v>0</v>
      </c>
      <c r="K1373" s="3">
        <f t="shared" si="43"/>
        <v>2000</v>
      </c>
      <c r="L1373" s="3">
        <f t="shared" si="44"/>
        <v>0</v>
      </c>
      <c r="M1373" s="20" t="str">
        <f>A1373&amp;L1373</f>
        <v>LEG0</v>
      </c>
      <c r="N1373" s="3">
        <f>F1373</f>
        <v>0.11</v>
      </c>
      <c r="O1373" s="9">
        <f>H1373</f>
        <v>2.63E-2</v>
      </c>
      <c r="P1373" s="10">
        <f t="shared" si="45"/>
        <v>0</v>
      </c>
      <c r="Q1373" s="10">
        <f>IF(K1373=0,IF(A1370=A1373,AVERAGE(O1370:O1373),"x"),0)</f>
        <v>0</v>
      </c>
      <c r="R1373" s="9">
        <f>IF(L1373&gt;2005,AVERAGE(O1370:O1389),0)</f>
        <v>0</v>
      </c>
      <c r="S1373" s="10">
        <f>IF(A1373=A1374,(N1373-N1374)/N1374,0)</f>
        <v>0</v>
      </c>
      <c r="T1373" s="10">
        <f>IF(L1373&gt;2005,(((N1373-N1393)/N1393)+1)^(1/5)-1,0)</f>
        <v>0</v>
      </c>
      <c r="U1373" s="10">
        <f t="shared" si="46"/>
        <v>0</v>
      </c>
      <c r="V1373" s="26">
        <f t="shared" si="47"/>
        <v>0</v>
      </c>
      <c r="W1373" s="3">
        <f>IF(A1373=A1374,N1373-N1374,0)</f>
        <v>0</v>
      </c>
      <c r="X1373" s="10">
        <f>IF(A1373=A1374,(N1373-N1374)/N1374,0)</f>
        <v>0</v>
      </c>
    </row>
    <row r="1374" spans="1:24" ht="16.5" customHeight="1">
      <c r="A1374" s="3" t="s">
        <v>38</v>
      </c>
      <c r="B1374" s="3">
        <f t="shared" si="40"/>
        <v>2000</v>
      </c>
      <c r="C1374" s="3">
        <f t="shared" si="41"/>
        <v>8</v>
      </c>
      <c r="D1374" s="20" t="str">
        <f t="shared" si="42"/>
        <v>LEG20008</v>
      </c>
      <c r="E1374" s="2">
        <v>36761</v>
      </c>
      <c r="F1374" s="3">
        <v>0.11</v>
      </c>
      <c r="G1374" s="2">
        <v>36784</v>
      </c>
      <c r="H1374" s="3">
        <v>2.0799999999999999E-2</v>
      </c>
      <c r="I1374" s="3">
        <v>0.1</v>
      </c>
      <c r="J1374" s="3">
        <v>0.01</v>
      </c>
      <c r="K1374" s="3">
        <f t="shared" si="43"/>
        <v>2000</v>
      </c>
      <c r="L1374" s="3">
        <f t="shared" si="44"/>
        <v>0</v>
      </c>
      <c r="M1374" s="20" t="str">
        <f>A1374&amp;L1374</f>
        <v>LEG0</v>
      </c>
      <c r="N1374" s="3">
        <f>F1374</f>
        <v>0.11</v>
      </c>
      <c r="O1374" s="9">
        <f>H1374</f>
        <v>2.0799999999999999E-2</v>
      </c>
      <c r="P1374" s="10">
        <f t="shared" si="45"/>
        <v>2.1675E-2</v>
      </c>
      <c r="Q1374" s="10">
        <f>IF(K1374=0,IF(A1371=A1374,AVERAGE(O1371:O1374),"x"),0)</f>
        <v>0</v>
      </c>
      <c r="R1374" s="9">
        <f>IF(L1374&gt;2005,AVERAGE(O1371:O1390),0)</f>
        <v>0</v>
      </c>
      <c r="S1374" s="10">
        <f>IF(A1374=A1375,(N1374-N1375)/N1375,0)</f>
        <v>9.999999999999995E-2</v>
      </c>
      <c r="T1374" s="10">
        <f>IF(L1374&gt;2005,(((N1374-N1394)/N1394)+1)^(1/5)-1,0)</f>
        <v>0</v>
      </c>
      <c r="U1374" s="10">
        <f t="shared" si="46"/>
        <v>0</v>
      </c>
      <c r="V1374" s="26">
        <f t="shared" si="47"/>
        <v>0</v>
      </c>
      <c r="W1374" s="3">
        <f>IF(A1374=A1375,N1374-N1375,0)</f>
        <v>9.999999999999995E-3</v>
      </c>
      <c r="X1374" s="10">
        <f>IF(A1374=A1375,(N1374-N1375)/N1375,0)</f>
        <v>9.999999999999995E-2</v>
      </c>
    </row>
    <row r="1375" spans="1:24" ht="16.5" customHeight="1">
      <c r="A1375" s="3" t="s">
        <v>38</v>
      </c>
      <c r="B1375" s="3">
        <f t="shared" si="40"/>
        <v>2000</v>
      </c>
      <c r="C1375" s="3">
        <f t="shared" si="41"/>
        <v>5</v>
      </c>
      <c r="D1375" s="20" t="str">
        <f t="shared" si="42"/>
        <v>LEG20005</v>
      </c>
      <c r="E1375" s="2">
        <v>36663</v>
      </c>
      <c r="F1375" s="3">
        <v>0.1</v>
      </c>
      <c r="G1375" s="2">
        <v>36692</v>
      </c>
      <c r="H1375" s="3">
        <v>1.8700000000000001E-2</v>
      </c>
      <c r="I1375" s="3">
        <v>0</v>
      </c>
      <c r="J1375" s="3">
        <v>0</v>
      </c>
      <c r="K1375" s="3">
        <f t="shared" si="43"/>
        <v>2000</v>
      </c>
      <c r="L1375" s="3">
        <f t="shared" si="44"/>
        <v>0</v>
      </c>
      <c r="M1375" s="20" t="str">
        <f>A1375&amp;L1375</f>
        <v>LEG0</v>
      </c>
      <c r="N1375" s="3">
        <f>F1375</f>
        <v>0.1</v>
      </c>
      <c r="O1375" s="9">
        <f>H1375</f>
        <v>1.8700000000000001E-2</v>
      </c>
      <c r="P1375" s="10">
        <f t="shared" si="45"/>
        <v>0</v>
      </c>
      <c r="Q1375" s="10">
        <f>IF(K1375=0,IF(A1372=A1375,AVERAGE(O1372:O1375),"x"),0)</f>
        <v>0</v>
      </c>
      <c r="R1375" s="9">
        <f>IF(L1375&gt;2005,AVERAGE(O1372:O1391),0)</f>
        <v>0</v>
      </c>
      <c r="S1375" s="10">
        <f>IF(A1375=A1376,(N1375-N1376)/N1376,0)</f>
        <v>0</v>
      </c>
      <c r="T1375" s="10">
        <f>IF(L1375&gt;2005,(((N1375-N1395)/N1395)+1)^(1/5)-1,0)</f>
        <v>0</v>
      </c>
      <c r="U1375" s="10">
        <f t="shared" si="46"/>
        <v>0</v>
      </c>
      <c r="V1375" s="26">
        <f t="shared" si="47"/>
        <v>0</v>
      </c>
      <c r="W1375" s="3">
        <f>IF(A1375=A1376,N1375-N1376,0)</f>
        <v>0</v>
      </c>
      <c r="X1375" s="10">
        <f>IF(A1375=A1376,(N1375-N1376)/N1376,0)</f>
        <v>0</v>
      </c>
    </row>
    <row r="1376" spans="1:24" ht="16.5" customHeight="1">
      <c r="A1376" s="14" t="s">
        <v>38</v>
      </c>
      <c r="B1376" s="3">
        <f t="shared" si="40"/>
        <v>2000</v>
      </c>
      <c r="C1376" s="3">
        <f t="shared" si="41"/>
        <v>2</v>
      </c>
      <c r="D1376" s="20" t="str">
        <f t="shared" si="42"/>
        <v>LEG20002</v>
      </c>
      <c r="E1376" s="15">
        <v>36579</v>
      </c>
      <c r="F1376" s="14">
        <v>0.1</v>
      </c>
      <c r="G1376" s="15">
        <v>36600</v>
      </c>
      <c r="H1376" s="14">
        <v>2.2700000000000001E-2</v>
      </c>
      <c r="I1376" s="14">
        <v>0</v>
      </c>
      <c r="J1376" s="14">
        <v>0</v>
      </c>
      <c r="K1376" s="3">
        <f t="shared" si="43"/>
        <v>0</v>
      </c>
      <c r="L1376" s="3">
        <f t="shared" si="44"/>
        <v>2000</v>
      </c>
      <c r="M1376" s="20" t="str">
        <f>A1376&amp;L1376</f>
        <v>LEG2000</v>
      </c>
      <c r="N1376" s="14">
        <f>F1376</f>
        <v>0.1</v>
      </c>
      <c r="O1376" s="9">
        <f>H1376</f>
        <v>2.2700000000000001E-2</v>
      </c>
      <c r="P1376" s="10">
        <f t="shared" si="45"/>
        <v>0</v>
      </c>
      <c r="Q1376" s="10">
        <f>IF(K1376=0,IF(A1373=A1376,AVERAGE(O1373:O1376),"x"),0)</f>
        <v>2.2124999999999999E-2</v>
      </c>
      <c r="R1376" s="9">
        <f>IF(L1376&gt;2005,AVERAGE(O1373:O1392),0)</f>
        <v>0</v>
      </c>
      <c r="S1376" s="10">
        <f>IF(A1376=A1377,(N1376-N1377)/N1377,0)</f>
        <v>0</v>
      </c>
      <c r="T1376" s="10">
        <f>IF(L1376&gt;2005,(((N1376-N1396)/N1396)+1)^(1/5)-1,0)</f>
        <v>0</v>
      </c>
      <c r="U1376" s="10">
        <f t="shared" si="46"/>
        <v>0</v>
      </c>
      <c r="V1376" s="26">
        <f t="shared" si="47"/>
        <v>0</v>
      </c>
      <c r="W1376" s="3">
        <f>IF(A1376=A1377,N1376-N1377,0)</f>
        <v>0</v>
      </c>
      <c r="X1376" s="10">
        <f>IF(A1376=A1377,(N1376-N1377)/N1377,0)</f>
        <v>0</v>
      </c>
    </row>
    <row r="1377" spans="1:24" ht="16.5" customHeight="1">
      <c r="A1377" s="3" t="s">
        <v>39</v>
      </c>
      <c r="B1377" s="3">
        <f t="shared" si="40"/>
        <v>2022</v>
      </c>
      <c r="C1377" s="3">
        <f t="shared" si="41"/>
        <v>12</v>
      </c>
      <c r="D1377" s="20" t="str">
        <f t="shared" si="42"/>
        <v>ITW202212</v>
      </c>
      <c r="E1377" s="2">
        <v>44924</v>
      </c>
      <c r="F1377" s="3">
        <v>1.31</v>
      </c>
      <c r="G1377" s="2">
        <v>44938</v>
      </c>
      <c r="H1377" s="3">
        <v>2.4500000000000001E-2</v>
      </c>
      <c r="I1377" s="3">
        <v>0</v>
      </c>
      <c r="J1377" s="3">
        <v>0</v>
      </c>
      <c r="K1377" s="3">
        <f t="shared" si="43"/>
        <v>2022</v>
      </c>
      <c r="L1377" s="3">
        <f t="shared" si="44"/>
        <v>0</v>
      </c>
      <c r="M1377" s="20" t="str">
        <f>A1377&amp;L1377</f>
        <v>ITW0</v>
      </c>
      <c r="N1377" s="3">
        <f>F1377</f>
        <v>1.31</v>
      </c>
      <c r="O1377" s="9">
        <f>H1377</f>
        <v>2.4500000000000001E-2</v>
      </c>
      <c r="P1377" s="10">
        <f t="shared" si="45"/>
        <v>0</v>
      </c>
      <c r="Q1377" s="10">
        <f>IF(K1377=0,IF(A1374=A1377,AVERAGE(O1374:O1377),"x"),0)</f>
        <v>0</v>
      </c>
      <c r="R1377" s="9">
        <f>IF(L1377&gt;2005,AVERAGE(O1374:O1393),0)</f>
        <v>0</v>
      </c>
      <c r="S1377" s="10">
        <f>IF(A1377=A1378,(N1377-N1378)/N1378,0)</f>
        <v>0</v>
      </c>
      <c r="T1377" s="10">
        <f>IF(L1377&gt;2005,(((N1377-N1397)/N1397)+1)^(1/5)-1,0)</f>
        <v>0</v>
      </c>
      <c r="U1377" s="10">
        <f t="shared" si="46"/>
        <v>0</v>
      </c>
      <c r="V1377" s="26">
        <f t="shared" si="47"/>
        <v>0</v>
      </c>
      <c r="W1377" s="3">
        <f>IF(A1377=A1378,N1377-N1378,0)</f>
        <v>0</v>
      </c>
      <c r="X1377" s="10">
        <f>IF(A1377=A1378,(N1377-N1378)/N1378,0)</f>
        <v>0</v>
      </c>
    </row>
    <row r="1378" spans="1:24" ht="16.5" customHeight="1">
      <c r="A1378" s="3" t="s">
        <v>39</v>
      </c>
      <c r="B1378" s="3">
        <f t="shared" si="40"/>
        <v>2022</v>
      </c>
      <c r="C1378" s="3">
        <f t="shared" si="41"/>
        <v>9</v>
      </c>
      <c r="D1378" s="20" t="str">
        <f t="shared" si="42"/>
        <v>ITW20229</v>
      </c>
      <c r="E1378" s="2">
        <v>44833</v>
      </c>
      <c r="F1378" s="3">
        <v>1.31</v>
      </c>
      <c r="G1378" s="2">
        <v>44848</v>
      </c>
      <c r="H1378" s="3">
        <v>2.7799999999999998E-2</v>
      </c>
      <c r="I1378" s="3">
        <v>7.3770491999999993E-2</v>
      </c>
      <c r="J1378" s="3">
        <v>0.09</v>
      </c>
      <c r="K1378" s="3">
        <f t="shared" si="43"/>
        <v>2022</v>
      </c>
      <c r="L1378" s="3">
        <f t="shared" si="44"/>
        <v>0</v>
      </c>
      <c r="M1378" s="20" t="str">
        <f>A1378&amp;L1378</f>
        <v>ITW0</v>
      </c>
      <c r="N1378" s="3">
        <f>F1378</f>
        <v>1.31</v>
      </c>
      <c r="O1378" s="9">
        <f>H1378</f>
        <v>2.7799999999999998E-2</v>
      </c>
      <c r="P1378" s="10">
        <f t="shared" si="45"/>
        <v>2.4150000000000001E-2</v>
      </c>
      <c r="Q1378" s="10">
        <f>IF(K1378=0,IF(A1375=A1378,AVERAGE(O1375:O1378),"x"),0)</f>
        <v>0</v>
      </c>
      <c r="R1378" s="9">
        <f>IF(L1378&gt;2005,AVERAGE(O1375:O1394),0)</f>
        <v>0</v>
      </c>
      <c r="S1378" s="10">
        <f>IF(A1378=A1379,(N1378-N1379)/N1379,0)</f>
        <v>7.3770491803278757E-2</v>
      </c>
      <c r="T1378" s="10">
        <f>IF(L1378&gt;2005,(((N1378-N1398)/N1398)+1)^(1/5)-1,0)</f>
        <v>0</v>
      </c>
      <c r="U1378" s="10">
        <f t="shared" si="46"/>
        <v>0</v>
      </c>
      <c r="V1378" s="26">
        <f t="shared" si="47"/>
        <v>0</v>
      </c>
      <c r="W1378" s="3">
        <f>IF(A1378=A1379,N1378-N1379,0)</f>
        <v>9.000000000000008E-2</v>
      </c>
      <c r="X1378" s="10">
        <f>IF(A1378=A1379,(N1378-N1379)/N1379,0)</f>
        <v>7.3770491803278757E-2</v>
      </c>
    </row>
    <row r="1379" spans="1:24" ht="16.5" customHeight="1">
      <c r="A1379" s="3" t="s">
        <v>39</v>
      </c>
      <c r="B1379" s="3">
        <f t="shared" si="40"/>
        <v>2022</v>
      </c>
      <c r="C1379" s="3">
        <f t="shared" si="41"/>
        <v>6</v>
      </c>
      <c r="D1379" s="20" t="str">
        <f t="shared" si="42"/>
        <v>ITW20226</v>
      </c>
      <c r="E1379" s="2">
        <v>44741</v>
      </c>
      <c r="F1379" s="3">
        <v>1.22</v>
      </c>
      <c r="G1379" s="2">
        <v>44756</v>
      </c>
      <c r="H1379" s="3">
        <v>2.6700000000000002E-2</v>
      </c>
      <c r="I1379" s="3">
        <v>0</v>
      </c>
      <c r="J1379" s="3">
        <v>0</v>
      </c>
      <c r="K1379" s="3">
        <f t="shared" si="43"/>
        <v>2022</v>
      </c>
      <c r="L1379" s="3">
        <f t="shared" si="44"/>
        <v>0</v>
      </c>
      <c r="M1379" s="20" t="str">
        <f>A1379&amp;L1379</f>
        <v>ITW0</v>
      </c>
      <c r="N1379" s="3">
        <f>F1379</f>
        <v>1.22</v>
      </c>
      <c r="O1379" s="9">
        <f>H1379</f>
        <v>2.6700000000000002E-2</v>
      </c>
      <c r="P1379" s="10">
        <f t="shared" si="45"/>
        <v>0</v>
      </c>
      <c r="Q1379" s="10">
        <f>IF(K1379=0,IF(A1376=A1379,AVERAGE(O1376:O1379),"x"),0)</f>
        <v>0</v>
      </c>
      <c r="R1379" s="9">
        <f>IF(L1379&gt;2005,AVERAGE(O1376:O1395),0)</f>
        <v>0</v>
      </c>
      <c r="S1379" s="10">
        <f>IF(A1379=A1380,(N1379-N1380)/N1380,0)</f>
        <v>0</v>
      </c>
      <c r="T1379" s="10">
        <f>IF(L1379&gt;2005,(((N1379-N1399)/N1399)+1)^(1/5)-1,0)</f>
        <v>0</v>
      </c>
      <c r="U1379" s="10">
        <f t="shared" si="46"/>
        <v>0</v>
      </c>
      <c r="V1379" s="26">
        <f t="shared" si="47"/>
        <v>0</v>
      </c>
      <c r="W1379" s="3">
        <f>IF(A1379=A1380,N1379-N1380,0)</f>
        <v>0</v>
      </c>
      <c r="X1379" s="10">
        <f>IF(A1379=A1380,(N1379-N1380)/N1380,0)</f>
        <v>0</v>
      </c>
    </row>
    <row r="1380" spans="1:24" ht="16.5" customHeight="1">
      <c r="A1380" s="3" t="s">
        <v>39</v>
      </c>
      <c r="B1380" s="3">
        <f t="shared" si="40"/>
        <v>2022</v>
      </c>
      <c r="C1380" s="3">
        <f t="shared" si="41"/>
        <v>3</v>
      </c>
      <c r="D1380" s="20" t="str">
        <f t="shared" si="42"/>
        <v>ITW20223</v>
      </c>
      <c r="E1380" s="2">
        <v>44650</v>
      </c>
      <c r="F1380" s="3">
        <v>1.22</v>
      </c>
      <c r="G1380" s="2">
        <v>44665</v>
      </c>
      <c r="H1380" s="3">
        <v>2.23E-2</v>
      </c>
      <c r="I1380" s="3">
        <v>0</v>
      </c>
      <c r="J1380" s="3">
        <v>0</v>
      </c>
      <c r="K1380" s="3">
        <f t="shared" si="43"/>
        <v>0</v>
      </c>
      <c r="L1380" s="3">
        <f t="shared" si="44"/>
        <v>2022</v>
      </c>
      <c r="M1380" s="20" t="str">
        <f>A1380&amp;L1380</f>
        <v>ITW2022</v>
      </c>
      <c r="N1380" s="3">
        <f>F1380</f>
        <v>1.22</v>
      </c>
      <c r="O1380" s="9">
        <f>H1380</f>
        <v>2.23E-2</v>
      </c>
      <c r="P1380" s="10">
        <f t="shared" si="45"/>
        <v>0</v>
      </c>
      <c r="Q1380" s="10">
        <f>IF(K1380=0,IF(A1377=A1380,AVERAGE(O1377:O1380),"x"),0)</f>
        <v>2.5325E-2</v>
      </c>
      <c r="R1380" s="9">
        <f>IF(L1380&gt;2005,AVERAGE(O1377:O1396),0)</f>
        <v>2.4680000000000004E-2</v>
      </c>
      <c r="S1380" s="10">
        <f>IF(A1380=A1381,(N1380-N1381)/N1381,0)</f>
        <v>0</v>
      </c>
      <c r="T1380" s="10">
        <f>IF(L1380&gt;2005,(((N1380-N1400)/N1400)+1)^(1/5)-1,0)</f>
        <v>0.13419909079131598</v>
      </c>
      <c r="U1380" s="10">
        <f t="shared" si="46"/>
        <v>0.15887909079131599</v>
      </c>
      <c r="V1380" s="26">
        <f t="shared" si="47"/>
        <v>4.689480503720219</v>
      </c>
      <c r="W1380" s="3">
        <f>IF(A1380=A1381,N1380-N1381,0)</f>
        <v>0</v>
      </c>
      <c r="X1380" s="10">
        <f>IF(A1380=A1381,(N1380-N1381)/N1381,0)</f>
        <v>0</v>
      </c>
    </row>
    <row r="1381" spans="1:24" ht="16.5" customHeight="1">
      <c r="A1381" s="3" t="s">
        <v>39</v>
      </c>
      <c r="B1381" s="3">
        <f t="shared" si="40"/>
        <v>2021</v>
      </c>
      <c r="C1381" s="3">
        <f t="shared" si="41"/>
        <v>12</v>
      </c>
      <c r="D1381" s="20" t="str">
        <f t="shared" si="42"/>
        <v>ITW202112</v>
      </c>
      <c r="E1381" s="2">
        <v>44560</v>
      </c>
      <c r="F1381" s="3">
        <v>1.22</v>
      </c>
      <c r="G1381" s="2">
        <v>44575</v>
      </c>
      <c r="H1381" s="3">
        <v>1.9800000000000002E-2</v>
      </c>
      <c r="I1381" s="3">
        <v>0</v>
      </c>
      <c r="J1381" s="3">
        <v>0</v>
      </c>
      <c r="K1381" s="3">
        <f t="shared" si="43"/>
        <v>2021</v>
      </c>
      <c r="L1381" s="3">
        <f t="shared" si="44"/>
        <v>0</v>
      </c>
      <c r="M1381" s="20" t="str">
        <f>A1381&amp;L1381</f>
        <v>ITW0</v>
      </c>
      <c r="N1381" s="3">
        <f>F1381</f>
        <v>1.22</v>
      </c>
      <c r="O1381" s="9">
        <f>H1381</f>
        <v>1.9800000000000002E-2</v>
      </c>
      <c r="P1381" s="10">
        <f t="shared" si="45"/>
        <v>0</v>
      </c>
      <c r="Q1381" s="10">
        <f>IF(K1381=0,IF(A1378=A1381,AVERAGE(O1378:O1381),"x"),0)</f>
        <v>0</v>
      </c>
      <c r="R1381" s="9">
        <f>IF(L1381&gt;2005,AVERAGE(O1378:O1397),0)</f>
        <v>0</v>
      </c>
      <c r="S1381" s="10">
        <f>IF(A1381=A1382,(N1381-N1382)/N1382,0)</f>
        <v>0</v>
      </c>
      <c r="T1381" s="10">
        <f>IF(L1381&gt;2005,(((N1381-N1401)/N1401)+1)^(1/5)-1,0)</f>
        <v>0</v>
      </c>
      <c r="U1381" s="10">
        <f t="shared" si="46"/>
        <v>0</v>
      </c>
      <c r="V1381" s="26">
        <f t="shared" si="47"/>
        <v>0</v>
      </c>
      <c r="W1381" s="3">
        <f>IF(A1381=A1382,N1381-N1382,0)</f>
        <v>0</v>
      </c>
      <c r="X1381" s="10">
        <f>IF(A1381=A1382,(N1381-N1382)/N1382,0)</f>
        <v>0</v>
      </c>
    </row>
    <row r="1382" spans="1:24" ht="16.5" customHeight="1">
      <c r="A1382" s="3" t="s">
        <v>39</v>
      </c>
      <c r="B1382" s="3">
        <f t="shared" si="40"/>
        <v>2021</v>
      </c>
      <c r="C1382" s="3">
        <f t="shared" si="41"/>
        <v>9</v>
      </c>
      <c r="D1382" s="20" t="str">
        <f t="shared" si="42"/>
        <v>ITW20219</v>
      </c>
      <c r="E1382" s="2">
        <v>44468</v>
      </c>
      <c r="F1382" s="3">
        <v>1.22</v>
      </c>
      <c r="G1382" s="2">
        <v>44483</v>
      </c>
      <c r="H1382" s="3">
        <v>2.2800000000000001E-2</v>
      </c>
      <c r="I1382" s="3">
        <v>7.0175439000000006E-2</v>
      </c>
      <c r="J1382" s="3">
        <v>0.08</v>
      </c>
      <c r="K1382" s="3">
        <f t="shared" si="43"/>
        <v>2021</v>
      </c>
      <c r="L1382" s="3">
        <f t="shared" si="44"/>
        <v>0</v>
      </c>
      <c r="M1382" s="20" t="str">
        <f>A1382&amp;L1382</f>
        <v>ITW0</v>
      </c>
      <c r="N1382" s="3">
        <f>F1382</f>
        <v>1.22</v>
      </c>
      <c r="O1382" s="9">
        <f>H1382</f>
        <v>2.2800000000000001E-2</v>
      </c>
      <c r="P1382" s="10">
        <f t="shared" si="45"/>
        <v>2.1500000000000002E-2</v>
      </c>
      <c r="Q1382" s="10">
        <f>IF(K1382=0,IF(A1379=A1382,AVERAGE(O1379:O1382),"x"),0)</f>
        <v>0</v>
      </c>
      <c r="R1382" s="9">
        <f>IF(L1382&gt;2005,AVERAGE(O1379:O1398),0)</f>
        <v>0</v>
      </c>
      <c r="S1382" s="10">
        <f>IF(A1382=A1383,(N1382-N1383)/N1383,0)</f>
        <v>7.0175438596491294E-2</v>
      </c>
      <c r="T1382" s="10">
        <f>IF(L1382&gt;2005,(((N1382-N1402)/N1402)+1)^(1/5)-1,0)</f>
        <v>0</v>
      </c>
      <c r="U1382" s="10">
        <f t="shared" si="46"/>
        <v>0</v>
      </c>
      <c r="V1382" s="26">
        <f t="shared" si="47"/>
        <v>0</v>
      </c>
      <c r="W1382" s="3">
        <f>IF(A1382=A1383,N1382-N1383,0)</f>
        <v>8.0000000000000071E-2</v>
      </c>
      <c r="X1382" s="10">
        <f>IF(A1382=A1383,(N1382-N1383)/N1383,0)</f>
        <v>7.0175438596491294E-2</v>
      </c>
    </row>
    <row r="1383" spans="1:24" ht="16.5" customHeight="1">
      <c r="A1383" s="3" t="s">
        <v>39</v>
      </c>
      <c r="B1383" s="3">
        <f t="shared" si="40"/>
        <v>2021</v>
      </c>
      <c r="C1383" s="3">
        <f t="shared" si="41"/>
        <v>6</v>
      </c>
      <c r="D1383" s="20" t="str">
        <f t="shared" si="42"/>
        <v>ITW20216</v>
      </c>
      <c r="E1383" s="2">
        <v>44376</v>
      </c>
      <c r="F1383" s="3">
        <v>1.1399999999999999</v>
      </c>
      <c r="G1383" s="2">
        <v>44392</v>
      </c>
      <c r="H1383" s="3">
        <v>2.0299999999999999E-2</v>
      </c>
      <c r="I1383" s="3">
        <v>0</v>
      </c>
      <c r="J1383" s="3">
        <v>0</v>
      </c>
      <c r="K1383" s="3">
        <f t="shared" si="43"/>
        <v>2021</v>
      </c>
      <c r="L1383" s="3">
        <f t="shared" si="44"/>
        <v>0</v>
      </c>
      <c r="M1383" s="20" t="str">
        <f>A1383&amp;L1383</f>
        <v>ITW0</v>
      </c>
      <c r="N1383" s="3">
        <f>F1383</f>
        <v>1.1399999999999999</v>
      </c>
      <c r="O1383" s="9">
        <f>H1383</f>
        <v>2.0299999999999999E-2</v>
      </c>
      <c r="P1383" s="10">
        <f t="shared" si="45"/>
        <v>0</v>
      </c>
      <c r="Q1383" s="10">
        <f>IF(K1383=0,IF(A1380=A1383,AVERAGE(O1380:O1383),"x"),0)</f>
        <v>0</v>
      </c>
      <c r="R1383" s="9">
        <f>IF(L1383&gt;2005,AVERAGE(O1380:O1399),0)</f>
        <v>0</v>
      </c>
      <c r="S1383" s="10">
        <f>IF(A1383=A1384,(N1383-N1384)/N1384,0)</f>
        <v>0</v>
      </c>
      <c r="T1383" s="10">
        <f>IF(L1383&gt;2005,(((N1383-N1403)/N1403)+1)^(1/5)-1,0)</f>
        <v>0</v>
      </c>
      <c r="U1383" s="10">
        <f t="shared" si="46"/>
        <v>0</v>
      </c>
      <c r="V1383" s="26">
        <f t="shared" si="47"/>
        <v>0</v>
      </c>
      <c r="W1383" s="3">
        <f>IF(A1383=A1384,N1383-N1384,0)</f>
        <v>0</v>
      </c>
      <c r="X1383" s="10">
        <f>IF(A1383=A1384,(N1383-N1384)/N1384,0)</f>
        <v>0</v>
      </c>
    </row>
    <row r="1384" spans="1:24" ht="16.5" customHeight="1">
      <c r="A1384" s="3" t="s">
        <v>39</v>
      </c>
      <c r="B1384" s="3">
        <f t="shared" si="40"/>
        <v>2021</v>
      </c>
      <c r="C1384" s="3">
        <f t="shared" si="41"/>
        <v>3</v>
      </c>
      <c r="D1384" s="20" t="str">
        <f t="shared" si="42"/>
        <v>ITW20213</v>
      </c>
      <c r="E1384" s="2">
        <v>44285</v>
      </c>
      <c r="F1384" s="3">
        <v>1.1399999999999999</v>
      </c>
      <c r="G1384" s="2">
        <v>44300</v>
      </c>
      <c r="H1384" s="3">
        <v>2.01E-2</v>
      </c>
      <c r="I1384" s="3">
        <v>0</v>
      </c>
      <c r="J1384" s="3">
        <v>0</v>
      </c>
      <c r="K1384" s="3">
        <f t="shared" si="43"/>
        <v>0</v>
      </c>
      <c r="L1384" s="3">
        <f t="shared" si="44"/>
        <v>2021</v>
      </c>
      <c r="M1384" s="20" t="str">
        <f>A1384&amp;L1384</f>
        <v>ITW2021</v>
      </c>
      <c r="N1384" s="3">
        <f>F1384</f>
        <v>1.1399999999999999</v>
      </c>
      <c r="O1384" s="9">
        <f>H1384</f>
        <v>2.01E-2</v>
      </c>
      <c r="P1384" s="10">
        <f t="shared" si="45"/>
        <v>0</v>
      </c>
      <c r="Q1384" s="10">
        <f>IF(K1384=0,IF(A1381=A1384,AVERAGE(O1381:O1384),"x"),0)</f>
        <v>2.0749999999999998E-2</v>
      </c>
      <c r="R1384" s="9">
        <f>IF(L1384&gt;2005,AVERAGE(O1381:O1400),0)</f>
        <v>2.3500000000000004E-2</v>
      </c>
      <c r="S1384" s="10">
        <f>IF(A1384=A1385,(N1384-N1385)/N1385,0)</f>
        <v>0</v>
      </c>
      <c r="T1384" s="10">
        <f>IF(L1384&gt;2005,(((N1384-N1404)/N1404)+1)^(1/5)-1,0)</f>
        <v>0.15693359522062988</v>
      </c>
      <c r="U1384" s="10">
        <f t="shared" si="46"/>
        <v>0.18043359522062988</v>
      </c>
      <c r="V1384" s="26">
        <f t="shared" si="47"/>
        <v>4.7091900245922869</v>
      </c>
      <c r="W1384" s="3">
        <f>IF(A1384=A1385,N1384-N1385,0)</f>
        <v>0</v>
      </c>
      <c r="X1384" s="10">
        <f>IF(A1384=A1385,(N1384-N1385)/N1385,0)</f>
        <v>0</v>
      </c>
    </row>
    <row r="1385" spans="1:24" ht="16.5" customHeight="1">
      <c r="A1385" s="3" t="s">
        <v>39</v>
      </c>
      <c r="B1385" s="3">
        <f t="shared" si="40"/>
        <v>2020</v>
      </c>
      <c r="C1385" s="3">
        <f t="shared" si="41"/>
        <v>12</v>
      </c>
      <c r="D1385" s="20" t="str">
        <f t="shared" si="42"/>
        <v>ITW202012</v>
      </c>
      <c r="E1385" s="2">
        <v>44195</v>
      </c>
      <c r="F1385" s="3">
        <v>1.1399999999999999</v>
      </c>
      <c r="G1385" s="2">
        <v>44210</v>
      </c>
      <c r="H1385" s="3">
        <v>2.2800000000000001E-2</v>
      </c>
      <c r="I1385" s="3">
        <v>0</v>
      </c>
      <c r="J1385" s="3">
        <v>0</v>
      </c>
      <c r="K1385" s="3">
        <f t="shared" si="43"/>
        <v>2020</v>
      </c>
      <c r="L1385" s="3">
        <f t="shared" si="44"/>
        <v>0</v>
      </c>
      <c r="M1385" s="20" t="str">
        <f>A1385&amp;L1385</f>
        <v>ITW0</v>
      </c>
      <c r="N1385" s="3">
        <f>F1385</f>
        <v>1.1399999999999999</v>
      </c>
      <c r="O1385" s="9">
        <f>H1385</f>
        <v>2.2800000000000001E-2</v>
      </c>
      <c r="P1385" s="10">
        <f t="shared" si="45"/>
        <v>0</v>
      </c>
      <c r="Q1385" s="10">
        <f>IF(K1385=0,IF(A1382=A1385,AVERAGE(O1382:O1385),"x"),0)</f>
        <v>0</v>
      </c>
      <c r="R1385" s="9">
        <f>IF(L1385&gt;2005,AVERAGE(O1382:O1401),0)</f>
        <v>0</v>
      </c>
      <c r="S1385" s="10">
        <f>IF(A1385=A1386,(N1385-N1386)/N1386,0)</f>
        <v>0</v>
      </c>
      <c r="T1385" s="10">
        <f>IF(L1385&gt;2005,(((N1385-N1405)/N1405)+1)^(1/5)-1,0)</f>
        <v>0</v>
      </c>
      <c r="U1385" s="10">
        <f t="shared" si="46"/>
        <v>0</v>
      </c>
      <c r="V1385" s="26">
        <f t="shared" si="47"/>
        <v>0</v>
      </c>
      <c r="W1385" s="3">
        <f>IF(A1385=A1386,N1385-N1386,0)</f>
        <v>0</v>
      </c>
      <c r="X1385" s="10">
        <f>IF(A1385=A1386,(N1385-N1386)/N1386,0)</f>
        <v>0</v>
      </c>
    </row>
    <row r="1386" spans="1:24" ht="16.5" customHeight="1">
      <c r="A1386" s="3" t="s">
        <v>39</v>
      </c>
      <c r="B1386" s="3">
        <f t="shared" si="40"/>
        <v>2020</v>
      </c>
      <c r="C1386" s="3">
        <f t="shared" si="41"/>
        <v>9</v>
      </c>
      <c r="D1386" s="20" t="str">
        <f t="shared" si="42"/>
        <v>ITW20209</v>
      </c>
      <c r="E1386" s="2">
        <v>44103</v>
      </c>
      <c r="F1386" s="3">
        <v>1.1399999999999999</v>
      </c>
      <c r="G1386" s="2">
        <v>44118</v>
      </c>
      <c r="H1386" s="3">
        <v>2.3300000000000001E-2</v>
      </c>
      <c r="I1386" s="3">
        <v>6.5420561000000002E-2</v>
      </c>
      <c r="J1386" s="3">
        <v>7.0000000000000007E-2</v>
      </c>
      <c r="K1386" s="3">
        <f t="shared" si="43"/>
        <v>2020</v>
      </c>
      <c r="L1386" s="3">
        <f t="shared" si="44"/>
        <v>0</v>
      </c>
      <c r="M1386" s="20" t="str">
        <f>A1386&amp;L1386</f>
        <v>ITW0</v>
      </c>
      <c r="N1386" s="3">
        <f>F1386</f>
        <v>1.1399999999999999</v>
      </c>
      <c r="O1386" s="9">
        <f>H1386</f>
        <v>2.3300000000000001E-2</v>
      </c>
      <c r="P1386" s="10">
        <f t="shared" si="45"/>
        <v>2.5574999999999997E-2</v>
      </c>
      <c r="Q1386" s="10">
        <f>IF(K1386=0,IF(A1383=A1386,AVERAGE(O1383:O1386),"x"),0)</f>
        <v>0</v>
      </c>
      <c r="R1386" s="9">
        <f>IF(L1386&gt;2005,AVERAGE(O1383:O1402),0)</f>
        <v>0</v>
      </c>
      <c r="S1386" s="10">
        <f>IF(A1386=A1387,(N1386-N1387)/N1387,0)</f>
        <v>6.5420560747663392E-2</v>
      </c>
      <c r="T1386" s="10">
        <f>IF(L1386&gt;2005,(((N1386-N1406)/N1406)+1)^(1/5)-1,0)</f>
        <v>0</v>
      </c>
      <c r="U1386" s="10">
        <f t="shared" si="46"/>
        <v>0</v>
      </c>
      <c r="V1386" s="26">
        <f t="shared" si="47"/>
        <v>0</v>
      </c>
      <c r="W1386" s="3">
        <f>IF(A1386=A1387,N1386-N1387,0)</f>
        <v>6.999999999999984E-2</v>
      </c>
      <c r="X1386" s="10">
        <f>IF(A1386=A1387,(N1386-N1387)/N1387,0)</f>
        <v>6.5420560747663392E-2</v>
      </c>
    </row>
    <row r="1387" spans="1:24" ht="16.5" customHeight="1">
      <c r="A1387" s="3" t="s">
        <v>39</v>
      </c>
      <c r="B1387" s="3">
        <f t="shared" si="40"/>
        <v>2020</v>
      </c>
      <c r="C1387" s="3">
        <f t="shared" si="41"/>
        <v>6</v>
      </c>
      <c r="D1387" s="20" t="str">
        <f t="shared" si="42"/>
        <v>ITW20206</v>
      </c>
      <c r="E1387" s="2">
        <v>44011</v>
      </c>
      <c r="F1387" s="3">
        <v>1.07</v>
      </c>
      <c r="G1387" s="2">
        <v>44027</v>
      </c>
      <c r="H1387" s="3">
        <v>2.5499999999999998E-2</v>
      </c>
      <c r="I1387" s="3">
        <v>0</v>
      </c>
      <c r="J1387" s="3">
        <v>0</v>
      </c>
      <c r="K1387" s="3">
        <f t="shared" si="43"/>
        <v>2020</v>
      </c>
      <c r="L1387" s="3">
        <f t="shared" si="44"/>
        <v>0</v>
      </c>
      <c r="M1387" s="20" t="str">
        <f>A1387&amp;L1387</f>
        <v>ITW0</v>
      </c>
      <c r="N1387" s="3">
        <f>F1387</f>
        <v>1.07</v>
      </c>
      <c r="O1387" s="9">
        <f>H1387</f>
        <v>2.5499999999999998E-2</v>
      </c>
      <c r="P1387" s="10">
        <f t="shared" si="45"/>
        <v>0</v>
      </c>
      <c r="Q1387" s="10">
        <f>IF(K1387=0,IF(A1384=A1387,AVERAGE(O1384:O1387),"x"),0)</f>
        <v>0</v>
      </c>
      <c r="R1387" s="9">
        <f>IF(L1387&gt;2005,AVERAGE(O1384:O1403),0)</f>
        <v>0</v>
      </c>
      <c r="S1387" s="10">
        <f>IF(A1387=A1388,(N1387-N1388)/N1388,0)</f>
        <v>0</v>
      </c>
      <c r="T1387" s="10">
        <f>IF(L1387&gt;2005,(((N1387-N1407)/N1407)+1)^(1/5)-1,0)</f>
        <v>0</v>
      </c>
      <c r="U1387" s="10">
        <f t="shared" si="46"/>
        <v>0</v>
      </c>
      <c r="V1387" s="26">
        <f t="shared" si="47"/>
        <v>0</v>
      </c>
      <c r="W1387" s="3">
        <f>IF(A1387=A1388,N1387-N1388,0)</f>
        <v>0</v>
      </c>
      <c r="X1387" s="10">
        <f>IF(A1387=A1388,(N1387-N1388)/N1388,0)</f>
        <v>0</v>
      </c>
    </row>
    <row r="1388" spans="1:24" ht="16.5" customHeight="1">
      <c r="A1388" s="3" t="s">
        <v>39</v>
      </c>
      <c r="B1388" s="3">
        <f t="shared" si="40"/>
        <v>2020</v>
      </c>
      <c r="C1388" s="3">
        <f t="shared" si="41"/>
        <v>3</v>
      </c>
      <c r="D1388" s="20" t="str">
        <f t="shared" si="42"/>
        <v>ITW20203</v>
      </c>
      <c r="E1388" s="2">
        <v>43920</v>
      </c>
      <c r="F1388" s="3">
        <v>1.07</v>
      </c>
      <c r="G1388" s="2">
        <v>43936</v>
      </c>
      <c r="H1388" s="3">
        <v>2.9899999999999999E-2</v>
      </c>
      <c r="I1388" s="3">
        <v>0</v>
      </c>
      <c r="J1388" s="3">
        <v>0</v>
      </c>
      <c r="K1388" s="3">
        <f t="shared" si="43"/>
        <v>0</v>
      </c>
      <c r="L1388" s="3">
        <f t="shared" si="44"/>
        <v>2020</v>
      </c>
      <c r="M1388" s="20" t="str">
        <f>A1388&amp;L1388</f>
        <v>ITW2020</v>
      </c>
      <c r="N1388" s="3">
        <f>F1388</f>
        <v>1.07</v>
      </c>
      <c r="O1388" s="9">
        <f>H1388</f>
        <v>2.9899999999999999E-2</v>
      </c>
      <c r="P1388" s="10">
        <f t="shared" si="45"/>
        <v>0</v>
      </c>
      <c r="Q1388" s="10">
        <f>IF(K1388=0,IF(A1385=A1388,AVERAGE(O1385:O1388),"x"),0)</f>
        <v>2.5374999999999998E-2</v>
      </c>
      <c r="R1388" s="9">
        <f>IF(L1388&gt;2005,AVERAGE(O1385:O1404),0)</f>
        <v>2.368E-2</v>
      </c>
      <c r="S1388" s="10">
        <f>IF(A1388=A1389,(N1388-N1389)/N1389,0)</f>
        <v>0</v>
      </c>
      <c r="T1388" s="10">
        <f>IF(L1388&gt;2005,(((N1388-N1408)/N1408)+1)^(1/5)-1,0)</f>
        <v>0.17146254579668385</v>
      </c>
      <c r="U1388" s="10">
        <f t="shared" si="46"/>
        <v>0.19514254579668386</v>
      </c>
      <c r="V1388" s="26">
        <f t="shared" si="47"/>
        <v>4.7105327292659753</v>
      </c>
      <c r="W1388" s="3">
        <f>IF(A1388=A1389,N1388-N1389,0)</f>
        <v>0</v>
      </c>
      <c r="X1388" s="10">
        <f>IF(A1388=A1389,(N1388-N1389)/N1389,0)</f>
        <v>0</v>
      </c>
    </row>
    <row r="1389" spans="1:24" ht="16.5" customHeight="1">
      <c r="A1389" s="3" t="s">
        <v>39</v>
      </c>
      <c r="B1389" s="3">
        <f t="shared" si="40"/>
        <v>2019</v>
      </c>
      <c r="C1389" s="3">
        <f t="shared" si="41"/>
        <v>12</v>
      </c>
      <c r="D1389" s="20" t="str">
        <f t="shared" si="42"/>
        <v>ITW201912</v>
      </c>
      <c r="E1389" s="2">
        <v>43829</v>
      </c>
      <c r="F1389" s="3">
        <v>1.07</v>
      </c>
      <c r="G1389" s="2">
        <v>43845</v>
      </c>
      <c r="H1389" s="3">
        <v>2.3599999999999999E-2</v>
      </c>
      <c r="I1389" s="3">
        <v>0</v>
      </c>
      <c r="J1389" s="3">
        <v>0</v>
      </c>
      <c r="K1389" s="3">
        <f t="shared" si="43"/>
        <v>2019</v>
      </c>
      <c r="L1389" s="3">
        <f t="shared" si="44"/>
        <v>0</v>
      </c>
      <c r="M1389" s="20" t="str">
        <f>A1389&amp;L1389</f>
        <v>ITW0</v>
      </c>
      <c r="N1389" s="3">
        <f>F1389</f>
        <v>1.07</v>
      </c>
      <c r="O1389" s="9">
        <f>H1389</f>
        <v>2.3599999999999999E-2</v>
      </c>
      <c r="P1389" s="10">
        <f t="shared" si="45"/>
        <v>0</v>
      </c>
      <c r="Q1389" s="10">
        <f>IF(K1389=0,IF(A1386=A1389,AVERAGE(O1386:O1389),"x"),0)</f>
        <v>0</v>
      </c>
      <c r="R1389" s="9">
        <f>IF(L1389&gt;2005,AVERAGE(O1386:O1405),0)</f>
        <v>0</v>
      </c>
      <c r="S1389" s="10">
        <f>IF(A1389=A1390,(N1389-N1390)/N1390,0)</f>
        <v>0</v>
      </c>
      <c r="T1389" s="10">
        <f>IF(L1389&gt;2005,(((N1389-N1409)/N1409)+1)^(1/5)-1,0)</f>
        <v>0</v>
      </c>
      <c r="U1389" s="10">
        <f t="shared" si="46"/>
        <v>0</v>
      </c>
      <c r="V1389" s="26">
        <f t="shared" si="47"/>
        <v>0</v>
      </c>
      <c r="W1389" s="3">
        <f>IF(A1389=A1390,N1389-N1390,0)</f>
        <v>0</v>
      </c>
      <c r="X1389" s="10">
        <f>IF(A1389=A1390,(N1389-N1390)/N1390,0)</f>
        <v>0</v>
      </c>
    </row>
    <row r="1390" spans="1:24" ht="16.5" customHeight="1">
      <c r="A1390" s="3" t="s">
        <v>39</v>
      </c>
      <c r="B1390" s="3">
        <f t="shared" si="40"/>
        <v>2019</v>
      </c>
      <c r="C1390" s="3">
        <f t="shared" si="41"/>
        <v>9</v>
      </c>
      <c r="D1390" s="20" t="str">
        <f t="shared" si="42"/>
        <v>ITW20199</v>
      </c>
      <c r="E1390" s="2">
        <v>43735</v>
      </c>
      <c r="F1390" s="3">
        <v>1.07</v>
      </c>
      <c r="G1390" s="2">
        <v>43747</v>
      </c>
      <c r="H1390" s="3">
        <v>2.76E-2</v>
      </c>
      <c r="I1390" s="3">
        <v>7.0000000000000007E-2</v>
      </c>
      <c r="J1390" s="3">
        <v>7.0000000000000007E-2</v>
      </c>
      <c r="K1390" s="3">
        <f t="shared" si="43"/>
        <v>2019</v>
      </c>
      <c r="L1390" s="3">
        <f t="shared" si="44"/>
        <v>0</v>
      </c>
      <c r="M1390" s="20" t="str">
        <f>A1390&amp;L1390</f>
        <v>ITW0</v>
      </c>
      <c r="N1390" s="3">
        <f>F1390</f>
        <v>1.07</v>
      </c>
      <c r="O1390" s="9">
        <f>H1390</f>
        <v>2.76E-2</v>
      </c>
      <c r="P1390" s="10">
        <f t="shared" si="45"/>
        <v>2.8525000000000002E-2</v>
      </c>
      <c r="Q1390" s="10">
        <f>IF(K1390=0,IF(A1387=A1390,AVERAGE(O1387:O1390),"x"),0)</f>
        <v>0</v>
      </c>
      <c r="R1390" s="9">
        <f>IF(L1390&gt;2005,AVERAGE(O1387:O1406),0)</f>
        <v>0</v>
      </c>
      <c r="S1390" s="10">
        <f>IF(A1390=A1391,(N1390-N1391)/N1391,0)</f>
        <v>7.0000000000000062E-2</v>
      </c>
      <c r="T1390" s="10">
        <f>IF(L1390&gt;2005,(((N1390-N1410)/N1410)+1)^(1/5)-1,0)</f>
        <v>0</v>
      </c>
      <c r="U1390" s="10">
        <f t="shared" si="46"/>
        <v>0</v>
      </c>
      <c r="V1390" s="26">
        <f t="shared" si="47"/>
        <v>0</v>
      </c>
      <c r="W1390" s="3">
        <f>IF(A1390=A1391,N1390-N1391,0)</f>
        <v>7.0000000000000062E-2</v>
      </c>
      <c r="X1390" s="10">
        <f>IF(A1390=A1391,(N1390-N1391)/N1391,0)</f>
        <v>7.0000000000000062E-2</v>
      </c>
    </row>
    <row r="1391" spans="1:24" ht="16.5" customHeight="1">
      <c r="A1391" s="3" t="s">
        <v>39</v>
      </c>
      <c r="B1391" s="3">
        <f t="shared" si="40"/>
        <v>2019</v>
      </c>
      <c r="C1391" s="3">
        <f t="shared" si="41"/>
        <v>6</v>
      </c>
      <c r="D1391" s="20" t="str">
        <f t="shared" si="42"/>
        <v>ITW20196</v>
      </c>
      <c r="E1391" s="2">
        <v>43643</v>
      </c>
      <c r="F1391" s="3">
        <v>1</v>
      </c>
      <c r="G1391" s="2">
        <v>43656</v>
      </c>
      <c r="H1391" s="3">
        <v>2.6700000000000002E-2</v>
      </c>
      <c r="I1391" s="3">
        <v>0</v>
      </c>
      <c r="J1391" s="3">
        <v>0</v>
      </c>
      <c r="K1391" s="3">
        <f t="shared" si="43"/>
        <v>2019</v>
      </c>
      <c r="L1391" s="3">
        <f t="shared" si="44"/>
        <v>0</v>
      </c>
      <c r="M1391" s="20" t="str">
        <f>A1391&amp;L1391</f>
        <v>ITW0</v>
      </c>
      <c r="N1391" s="3">
        <f>F1391</f>
        <v>1</v>
      </c>
      <c r="O1391" s="9">
        <f>H1391</f>
        <v>2.6700000000000002E-2</v>
      </c>
      <c r="P1391" s="10">
        <f t="shared" si="45"/>
        <v>0</v>
      </c>
      <c r="Q1391" s="10">
        <f>IF(K1391=0,IF(A1388=A1391,AVERAGE(O1388:O1391),"x"),0)</f>
        <v>0</v>
      </c>
      <c r="R1391" s="9">
        <f>IF(L1391&gt;2005,AVERAGE(O1388:O1407),0)</f>
        <v>0</v>
      </c>
      <c r="S1391" s="10">
        <f>IF(A1391=A1392,(N1391-N1392)/N1392,0)</f>
        <v>0</v>
      </c>
      <c r="T1391" s="10">
        <f>IF(L1391&gt;2005,(((N1391-N1411)/N1411)+1)^(1/5)-1,0)</f>
        <v>0</v>
      </c>
      <c r="U1391" s="10">
        <f t="shared" si="46"/>
        <v>0</v>
      </c>
      <c r="V1391" s="26">
        <f t="shared" si="47"/>
        <v>0</v>
      </c>
      <c r="W1391" s="3">
        <f>IF(A1391=A1392,N1391-N1392,0)</f>
        <v>0</v>
      </c>
      <c r="X1391" s="10">
        <f>IF(A1391=A1392,(N1391-N1392)/N1392,0)</f>
        <v>0</v>
      </c>
    </row>
    <row r="1392" spans="1:24" ht="16.5" customHeight="1">
      <c r="A1392" s="3" t="s">
        <v>39</v>
      </c>
      <c r="B1392" s="3">
        <f t="shared" si="40"/>
        <v>2019</v>
      </c>
      <c r="C1392" s="3">
        <f t="shared" si="41"/>
        <v>3</v>
      </c>
      <c r="D1392" s="20" t="str">
        <f t="shared" si="42"/>
        <v>ITW20193</v>
      </c>
      <c r="E1392" s="2">
        <v>43552</v>
      </c>
      <c r="F1392" s="3">
        <v>1</v>
      </c>
      <c r="G1392" s="2">
        <v>43565</v>
      </c>
      <c r="H1392" s="3">
        <v>2.8000000000000001E-2</v>
      </c>
      <c r="I1392" s="3">
        <v>0</v>
      </c>
      <c r="J1392" s="3">
        <v>0</v>
      </c>
      <c r="K1392" s="3">
        <f t="shared" si="43"/>
        <v>0</v>
      </c>
      <c r="L1392" s="3">
        <f t="shared" si="44"/>
        <v>2019</v>
      </c>
      <c r="M1392" s="20" t="str">
        <f>A1392&amp;L1392</f>
        <v>ITW2019</v>
      </c>
      <c r="N1392" s="3">
        <f>F1392</f>
        <v>1</v>
      </c>
      <c r="O1392" s="9">
        <f>H1392</f>
        <v>2.8000000000000001E-2</v>
      </c>
      <c r="P1392" s="10">
        <f t="shared" si="45"/>
        <v>0</v>
      </c>
      <c r="Q1392" s="10">
        <f>IF(K1392=0,IF(A1389=A1392,AVERAGE(O1389:O1392),"x"),0)</f>
        <v>2.6474999999999999E-2</v>
      </c>
      <c r="R1392" s="9">
        <f>IF(L1392&gt;2005,AVERAGE(O1389:O1408),0)</f>
        <v>2.2939999999999995E-2</v>
      </c>
      <c r="S1392" s="10">
        <f>IF(A1392=A1393,(N1392-N1393)/N1393,0)</f>
        <v>0</v>
      </c>
      <c r="T1392" s="10">
        <f>IF(L1392&gt;2005,(((N1392-N1412)/N1412)+1)^(1/5)-1,0)</f>
        <v>0.18946082182210611</v>
      </c>
      <c r="U1392" s="10">
        <f t="shared" si="46"/>
        <v>0.2124008218221061</v>
      </c>
      <c r="V1392" s="26">
        <f t="shared" si="47"/>
        <v>4.7232423150198111</v>
      </c>
      <c r="W1392" s="3">
        <f>IF(A1392=A1393,N1392-N1393,0)</f>
        <v>0</v>
      </c>
      <c r="X1392" s="10">
        <f>IF(A1392=A1393,(N1392-N1393)/N1393,0)</f>
        <v>0</v>
      </c>
    </row>
    <row r="1393" spans="1:24" ht="16.5" customHeight="1">
      <c r="A1393" s="3" t="s">
        <v>39</v>
      </c>
      <c r="B1393" s="3">
        <f t="shared" si="40"/>
        <v>2018</v>
      </c>
      <c r="C1393" s="3">
        <f t="shared" si="41"/>
        <v>12</v>
      </c>
      <c r="D1393" s="20" t="str">
        <f t="shared" si="42"/>
        <v>ITW201812</v>
      </c>
      <c r="E1393" s="2">
        <v>43462</v>
      </c>
      <c r="F1393" s="3">
        <v>1</v>
      </c>
      <c r="G1393" s="2">
        <v>43475</v>
      </c>
      <c r="H1393" s="3">
        <v>3.1800000000000002E-2</v>
      </c>
      <c r="I1393" s="3">
        <v>0</v>
      </c>
      <c r="J1393" s="3">
        <v>0</v>
      </c>
      <c r="K1393" s="3">
        <f t="shared" si="43"/>
        <v>2018</v>
      </c>
      <c r="L1393" s="3">
        <f t="shared" si="44"/>
        <v>0</v>
      </c>
      <c r="M1393" s="20" t="str">
        <f>A1393&amp;L1393</f>
        <v>ITW0</v>
      </c>
      <c r="N1393" s="3">
        <f>F1393</f>
        <v>1</v>
      </c>
      <c r="O1393" s="9">
        <f>H1393</f>
        <v>3.1800000000000002E-2</v>
      </c>
      <c r="P1393" s="10">
        <f t="shared" si="45"/>
        <v>0</v>
      </c>
      <c r="Q1393" s="10">
        <f>IF(K1393=0,IF(A1390=A1393,AVERAGE(O1390:O1393),"x"),0)</f>
        <v>0</v>
      </c>
      <c r="R1393" s="9">
        <f>IF(L1393&gt;2005,AVERAGE(O1390:O1409),0)</f>
        <v>0</v>
      </c>
      <c r="S1393" s="10">
        <f>IF(A1393=A1394,(N1393-N1394)/N1394,0)</f>
        <v>0</v>
      </c>
      <c r="T1393" s="10">
        <f>IF(L1393&gt;2005,(((N1393-N1413)/N1413)+1)^(1/5)-1,0)</f>
        <v>0</v>
      </c>
      <c r="U1393" s="10">
        <f t="shared" si="46"/>
        <v>0</v>
      </c>
      <c r="V1393" s="26">
        <f t="shared" si="47"/>
        <v>0</v>
      </c>
      <c r="W1393" s="3">
        <f>IF(A1393=A1394,N1393-N1394,0)</f>
        <v>0</v>
      </c>
      <c r="X1393" s="10">
        <f>IF(A1393=A1394,(N1393-N1394)/N1394,0)</f>
        <v>0</v>
      </c>
    </row>
    <row r="1394" spans="1:24" ht="16.5" customHeight="1">
      <c r="A1394" s="3" t="s">
        <v>39</v>
      </c>
      <c r="B1394" s="3">
        <f t="shared" si="40"/>
        <v>2018</v>
      </c>
      <c r="C1394" s="3">
        <f t="shared" si="41"/>
        <v>9</v>
      </c>
      <c r="D1394" s="20" t="str">
        <f t="shared" si="42"/>
        <v>ITW20189</v>
      </c>
      <c r="E1394" s="2">
        <v>43370</v>
      </c>
      <c r="F1394" s="3">
        <v>1</v>
      </c>
      <c r="G1394" s="2">
        <v>43382</v>
      </c>
      <c r="H1394" s="3">
        <v>2.8000000000000001E-2</v>
      </c>
      <c r="I1394" s="3">
        <v>0.28205128200000001</v>
      </c>
      <c r="J1394" s="3">
        <v>0.22</v>
      </c>
      <c r="K1394" s="3">
        <f t="shared" si="43"/>
        <v>2018</v>
      </c>
      <c r="L1394" s="3">
        <f t="shared" si="44"/>
        <v>0</v>
      </c>
      <c r="M1394" s="20" t="str">
        <f>A1394&amp;L1394</f>
        <v>ITW0</v>
      </c>
      <c r="N1394" s="3">
        <f>F1394</f>
        <v>1</v>
      </c>
      <c r="O1394" s="9">
        <f>H1394</f>
        <v>2.8000000000000001E-2</v>
      </c>
      <c r="P1394" s="10">
        <f t="shared" si="45"/>
        <v>2.2200000000000004E-2</v>
      </c>
      <c r="Q1394" s="10">
        <f>IF(K1394=0,IF(A1391=A1394,AVERAGE(O1391:O1394),"x"),0)</f>
        <v>0</v>
      </c>
      <c r="R1394" s="9">
        <f>IF(L1394&gt;2005,AVERAGE(O1391:O1410),0)</f>
        <v>0</v>
      </c>
      <c r="S1394" s="10">
        <f>IF(A1394=A1395,(N1394-N1395)/N1395,0)</f>
        <v>0.28205128205128199</v>
      </c>
      <c r="T1394" s="10">
        <f>IF(L1394&gt;2005,(((N1394-N1414)/N1414)+1)^(1/5)-1,0)</f>
        <v>0</v>
      </c>
      <c r="U1394" s="10">
        <f t="shared" si="46"/>
        <v>0</v>
      </c>
      <c r="V1394" s="26">
        <f t="shared" si="47"/>
        <v>0</v>
      </c>
      <c r="W1394" s="3">
        <f>IF(A1394=A1395,N1394-N1395,0)</f>
        <v>0.21999999999999997</v>
      </c>
      <c r="X1394" s="10">
        <f>IF(A1394=A1395,(N1394-N1395)/N1395,0)</f>
        <v>0.28205128205128199</v>
      </c>
    </row>
    <row r="1395" spans="1:24" ht="16.5" customHeight="1">
      <c r="A1395" s="3" t="s">
        <v>39</v>
      </c>
      <c r="B1395" s="3">
        <f t="shared" si="40"/>
        <v>2018</v>
      </c>
      <c r="C1395" s="3">
        <f t="shared" si="41"/>
        <v>6</v>
      </c>
      <c r="D1395" s="20" t="str">
        <f t="shared" si="42"/>
        <v>ITW20186</v>
      </c>
      <c r="E1395" s="2">
        <v>43279</v>
      </c>
      <c r="F1395" s="3">
        <v>0.78</v>
      </c>
      <c r="G1395" s="2">
        <v>43292</v>
      </c>
      <c r="H1395" s="3">
        <v>2.2100000000000002E-2</v>
      </c>
      <c r="I1395" s="3">
        <v>0</v>
      </c>
      <c r="J1395" s="3">
        <v>0</v>
      </c>
      <c r="K1395" s="3">
        <f t="shared" si="43"/>
        <v>2018</v>
      </c>
      <c r="L1395" s="3">
        <f t="shared" si="44"/>
        <v>0</v>
      </c>
      <c r="M1395" s="20" t="str">
        <f>A1395&amp;L1395</f>
        <v>ITW0</v>
      </c>
      <c r="N1395" s="3">
        <f>F1395</f>
        <v>0.78</v>
      </c>
      <c r="O1395" s="9">
        <f>H1395</f>
        <v>2.2100000000000002E-2</v>
      </c>
      <c r="P1395" s="10">
        <f t="shared" si="45"/>
        <v>0</v>
      </c>
      <c r="Q1395" s="10">
        <f>IF(K1395=0,IF(A1392=A1395,AVERAGE(O1392:O1395),"x"),0)</f>
        <v>0</v>
      </c>
      <c r="R1395" s="9">
        <f>IF(L1395&gt;2005,AVERAGE(O1392:O1411),0)</f>
        <v>0</v>
      </c>
      <c r="S1395" s="10">
        <f>IF(A1395=A1396,(N1395-N1396)/N1396,0)</f>
        <v>0</v>
      </c>
      <c r="T1395" s="10">
        <f>IF(L1395&gt;2005,(((N1395-N1415)/N1415)+1)^(1/5)-1,0)</f>
        <v>0</v>
      </c>
      <c r="U1395" s="10">
        <f t="shared" si="46"/>
        <v>0</v>
      </c>
      <c r="V1395" s="26">
        <f t="shared" si="47"/>
        <v>0</v>
      </c>
      <c r="W1395" s="3">
        <f>IF(A1395=A1396,N1395-N1396,0)</f>
        <v>0</v>
      </c>
      <c r="X1395" s="10">
        <f>IF(A1395=A1396,(N1395-N1396)/N1396,0)</f>
        <v>0</v>
      </c>
    </row>
    <row r="1396" spans="1:24" ht="16.5" customHeight="1">
      <c r="A1396" s="3" t="s">
        <v>39</v>
      </c>
      <c r="B1396" s="3">
        <f t="shared" si="40"/>
        <v>2018</v>
      </c>
      <c r="C1396" s="3">
        <f t="shared" si="41"/>
        <v>3</v>
      </c>
      <c r="D1396" s="20" t="str">
        <f t="shared" si="42"/>
        <v>ITW20183</v>
      </c>
      <c r="E1396" s="2">
        <v>43187</v>
      </c>
      <c r="F1396" s="3">
        <v>0.78</v>
      </c>
      <c r="G1396" s="2">
        <v>43200</v>
      </c>
      <c r="H1396" s="3">
        <v>0.02</v>
      </c>
      <c r="I1396" s="3">
        <v>0</v>
      </c>
      <c r="J1396" s="3">
        <v>0</v>
      </c>
      <c r="K1396" s="3">
        <f t="shared" si="43"/>
        <v>0</v>
      </c>
      <c r="L1396" s="3">
        <f t="shared" si="44"/>
        <v>2018</v>
      </c>
      <c r="M1396" s="20" t="str">
        <f>A1396&amp;L1396</f>
        <v>ITW2018</v>
      </c>
      <c r="N1396" s="3">
        <f>F1396</f>
        <v>0.78</v>
      </c>
      <c r="O1396" s="9">
        <f>H1396</f>
        <v>0.02</v>
      </c>
      <c r="P1396" s="10">
        <f t="shared" si="45"/>
        <v>0</v>
      </c>
      <c r="Q1396" s="10">
        <f>IF(K1396=0,IF(A1393=A1396,AVERAGE(O1393:O1396),"x"),0)</f>
        <v>2.5475000000000001E-2</v>
      </c>
      <c r="R1396" s="9">
        <f>IF(L1396&gt;2005,AVERAGE(O1393:O1412),0)</f>
        <v>2.1569999999999999E-2</v>
      </c>
      <c r="S1396" s="10">
        <f>IF(A1396=A1397,(N1396-N1397)/N1397,0)</f>
        <v>0</v>
      </c>
      <c r="T1396" s="10">
        <f>IF(L1396&gt;2005,(((N1396-N1416)/N1416)+1)^(1/5)-1,0)</f>
        <v>0.15468148270605053</v>
      </c>
      <c r="U1396" s="10">
        <f t="shared" si="46"/>
        <v>0.17625148270605054</v>
      </c>
      <c r="V1396" s="26">
        <f t="shared" si="47"/>
        <v>4.7315650305491603</v>
      </c>
      <c r="W1396" s="3">
        <f>IF(A1396=A1397,N1396-N1397,0)</f>
        <v>0</v>
      </c>
      <c r="X1396" s="10">
        <f>IF(A1396=A1397,(N1396-N1397)/N1397,0)</f>
        <v>0</v>
      </c>
    </row>
    <row r="1397" spans="1:24" ht="16.5" customHeight="1">
      <c r="A1397" s="3" t="s">
        <v>39</v>
      </c>
      <c r="B1397" s="3">
        <f t="shared" si="40"/>
        <v>2017</v>
      </c>
      <c r="C1397" s="3">
        <f t="shared" si="41"/>
        <v>12</v>
      </c>
      <c r="D1397" s="20" t="str">
        <f t="shared" si="42"/>
        <v>ITW201712</v>
      </c>
      <c r="E1397" s="2">
        <v>43097</v>
      </c>
      <c r="F1397" s="3">
        <v>0.78</v>
      </c>
      <c r="G1397" s="2">
        <v>43110</v>
      </c>
      <c r="H1397" s="3">
        <v>1.8700000000000001E-2</v>
      </c>
      <c r="I1397" s="3">
        <v>0</v>
      </c>
      <c r="J1397" s="3">
        <v>0</v>
      </c>
      <c r="K1397" s="3">
        <f t="shared" si="43"/>
        <v>2017</v>
      </c>
      <c r="L1397" s="3">
        <f t="shared" si="44"/>
        <v>0</v>
      </c>
      <c r="M1397" s="20" t="str">
        <f>A1397&amp;L1397</f>
        <v>ITW0</v>
      </c>
      <c r="N1397" s="3">
        <f>F1397</f>
        <v>0.78</v>
      </c>
      <c r="O1397" s="9">
        <f>H1397</f>
        <v>1.8700000000000001E-2</v>
      </c>
      <c r="P1397" s="10">
        <f t="shared" si="45"/>
        <v>0</v>
      </c>
      <c r="Q1397" s="10">
        <f>IF(K1397=0,IF(A1394=A1397,AVERAGE(O1394:O1397),"x"),0)</f>
        <v>0</v>
      </c>
      <c r="R1397" s="9">
        <f>IF(L1397&gt;2005,AVERAGE(O1394:O1413),0)</f>
        <v>0</v>
      </c>
      <c r="S1397" s="10">
        <f>IF(A1397=A1398,(N1397-N1398)/N1398,0)</f>
        <v>0</v>
      </c>
      <c r="T1397" s="10">
        <f>IF(L1397&gt;2005,(((N1397-N1417)/N1417)+1)^(1/5)-1,0)</f>
        <v>0</v>
      </c>
      <c r="U1397" s="10">
        <f t="shared" si="46"/>
        <v>0</v>
      </c>
      <c r="V1397" s="26">
        <f t="shared" si="47"/>
        <v>0</v>
      </c>
      <c r="W1397" s="3">
        <f>IF(A1397=A1398,N1397-N1398,0)</f>
        <v>0</v>
      </c>
      <c r="X1397" s="10">
        <f>IF(A1397=A1398,(N1397-N1398)/N1398,0)</f>
        <v>0</v>
      </c>
    </row>
    <row r="1398" spans="1:24" ht="16.5" customHeight="1">
      <c r="A1398" s="3" t="s">
        <v>39</v>
      </c>
      <c r="B1398" s="3">
        <f t="shared" si="40"/>
        <v>2017</v>
      </c>
      <c r="C1398" s="3">
        <f t="shared" si="41"/>
        <v>9</v>
      </c>
      <c r="D1398" s="20" t="str">
        <f t="shared" si="42"/>
        <v>ITW20179</v>
      </c>
      <c r="E1398" s="2">
        <v>43006</v>
      </c>
      <c r="F1398" s="3">
        <v>0.78</v>
      </c>
      <c r="G1398" s="2">
        <v>43018</v>
      </c>
      <c r="H1398" s="3">
        <v>2.1100000000000001E-2</v>
      </c>
      <c r="I1398" s="3">
        <v>0.2</v>
      </c>
      <c r="J1398" s="3">
        <v>0.13</v>
      </c>
      <c r="K1398" s="3">
        <f t="shared" si="43"/>
        <v>2017</v>
      </c>
      <c r="L1398" s="3">
        <f t="shared" si="44"/>
        <v>0</v>
      </c>
      <c r="M1398" s="20" t="str">
        <f>A1398&amp;L1398</f>
        <v>ITW0</v>
      </c>
      <c r="N1398" s="3">
        <f>F1398</f>
        <v>0.78</v>
      </c>
      <c r="O1398" s="9">
        <f>H1398</f>
        <v>2.1100000000000001E-2</v>
      </c>
      <c r="P1398" s="10">
        <f t="shared" si="45"/>
        <v>1.9950000000000002E-2</v>
      </c>
      <c r="Q1398" s="10">
        <f>IF(K1398=0,IF(A1395=A1398,AVERAGE(O1395:O1398),"x"),0)</f>
        <v>0</v>
      </c>
      <c r="R1398" s="9">
        <f>IF(L1398&gt;2005,AVERAGE(O1395:O1414),0)</f>
        <v>0</v>
      </c>
      <c r="S1398" s="10">
        <f>IF(A1398=A1399,(N1398-N1399)/N1399,0)</f>
        <v>0.2</v>
      </c>
      <c r="T1398" s="10">
        <f>IF(L1398&gt;2005,(((N1398-N1418)/N1418)+1)^(1/5)-1,0)</f>
        <v>0</v>
      </c>
      <c r="U1398" s="10">
        <f t="shared" si="46"/>
        <v>0</v>
      </c>
      <c r="V1398" s="26">
        <f t="shared" si="47"/>
        <v>0</v>
      </c>
      <c r="W1398" s="3">
        <f>IF(A1398=A1399,N1398-N1399,0)</f>
        <v>0.13</v>
      </c>
      <c r="X1398" s="10">
        <f>IF(A1398=A1399,(N1398-N1399)/N1399,0)</f>
        <v>0.2</v>
      </c>
    </row>
    <row r="1399" spans="1:24" ht="16.5" customHeight="1">
      <c r="A1399" s="3" t="s">
        <v>39</v>
      </c>
      <c r="B1399" s="3">
        <f t="shared" si="40"/>
        <v>2017</v>
      </c>
      <c r="C1399" s="3">
        <f t="shared" si="41"/>
        <v>6</v>
      </c>
      <c r="D1399" s="20" t="str">
        <f t="shared" si="42"/>
        <v>ITW20176</v>
      </c>
      <c r="E1399" s="2">
        <v>42914</v>
      </c>
      <c r="F1399" s="3">
        <v>0.65</v>
      </c>
      <c r="G1399" s="2">
        <v>42928</v>
      </c>
      <c r="H1399" s="3">
        <v>1.83E-2</v>
      </c>
      <c r="I1399" s="3">
        <v>0</v>
      </c>
      <c r="J1399" s="3">
        <v>0</v>
      </c>
      <c r="K1399" s="3">
        <f t="shared" si="43"/>
        <v>2017</v>
      </c>
      <c r="L1399" s="3">
        <f t="shared" si="44"/>
        <v>0</v>
      </c>
      <c r="M1399" s="20" t="str">
        <f>A1399&amp;L1399</f>
        <v>ITW0</v>
      </c>
      <c r="N1399" s="3">
        <f>F1399</f>
        <v>0.65</v>
      </c>
      <c r="O1399" s="9">
        <f>H1399</f>
        <v>1.83E-2</v>
      </c>
      <c r="P1399" s="10">
        <f t="shared" si="45"/>
        <v>0</v>
      </c>
      <c r="Q1399" s="10">
        <f>IF(K1399=0,IF(A1396=A1399,AVERAGE(O1396:O1399),"x"),0)</f>
        <v>0</v>
      </c>
      <c r="R1399" s="9">
        <f>IF(L1399&gt;2005,AVERAGE(O1396:O1415),0)</f>
        <v>0</v>
      </c>
      <c r="S1399" s="10">
        <f>IF(A1399=A1400,(N1399-N1400)/N1400,0)</f>
        <v>0</v>
      </c>
      <c r="T1399" s="10">
        <f>IF(L1399&gt;2005,(((N1399-N1419)/N1419)+1)^(1/5)-1,0)</f>
        <v>0</v>
      </c>
      <c r="U1399" s="10">
        <f t="shared" si="46"/>
        <v>0</v>
      </c>
      <c r="V1399" s="26">
        <f t="shared" si="47"/>
        <v>0</v>
      </c>
      <c r="W1399" s="3">
        <f>IF(A1399=A1400,N1399-N1400,0)</f>
        <v>0</v>
      </c>
      <c r="X1399" s="10">
        <f>IF(A1399=A1400,(N1399-N1400)/N1400,0)</f>
        <v>0</v>
      </c>
    </row>
    <row r="1400" spans="1:24" ht="16.5" customHeight="1">
      <c r="A1400" s="3" t="s">
        <v>39</v>
      </c>
      <c r="B1400" s="3">
        <f t="shared" si="40"/>
        <v>2017</v>
      </c>
      <c r="C1400" s="3">
        <f t="shared" si="41"/>
        <v>3</v>
      </c>
      <c r="D1400" s="20" t="str">
        <f t="shared" si="42"/>
        <v>ITW20173</v>
      </c>
      <c r="E1400" s="2">
        <v>42823</v>
      </c>
      <c r="F1400" s="3">
        <v>0.65</v>
      </c>
      <c r="G1400" s="2">
        <v>42836</v>
      </c>
      <c r="H1400" s="3">
        <v>1.9599999999999999E-2</v>
      </c>
      <c r="I1400" s="3">
        <v>0</v>
      </c>
      <c r="J1400" s="3">
        <v>0</v>
      </c>
      <c r="K1400" s="3">
        <f t="shared" si="43"/>
        <v>0</v>
      </c>
      <c r="L1400" s="3">
        <f t="shared" si="44"/>
        <v>2017</v>
      </c>
      <c r="M1400" s="20" t="str">
        <f>A1400&amp;L1400</f>
        <v>ITW2017</v>
      </c>
      <c r="N1400" s="3">
        <f>F1400</f>
        <v>0.65</v>
      </c>
      <c r="O1400" s="9">
        <f>H1400</f>
        <v>1.9599999999999999E-2</v>
      </c>
      <c r="P1400" s="10">
        <f t="shared" si="45"/>
        <v>0</v>
      </c>
      <c r="Q1400" s="10">
        <f>IF(K1400=0,IF(A1397=A1400,AVERAGE(O1397:O1400),"x"),0)</f>
        <v>1.9424999999999998E-2</v>
      </c>
      <c r="R1400" s="9">
        <f>IF(L1400&gt;2005,AVERAGE(O1397:O1416),0)</f>
        <v>2.078E-2</v>
      </c>
      <c r="S1400" s="10">
        <f>IF(A1400=A1401,(N1400-N1401)/N1401,0)</f>
        <v>0</v>
      </c>
      <c r="T1400" s="10">
        <f>IF(L1400&gt;2005,(((N1400-N1420)/N1420)+1)^(1/5)-1,0)</f>
        <v>0.12543954530480295</v>
      </c>
      <c r="U1400" s="10">
        <f t="shared" si="46"/>
        <v>0.14621954530480294</v>
      </c>
      <c r="V1400" s="26">
        <f t="shared" si="47"/>
        <v>4.7345471675516331</v>
      </c>
      <c r="W1400" s="3">
        <f>IF(A1400=A1401,N1400-N1401,0)</f>
        <v>0</v>
      </c>
      <c r="X1400" s="10">
        <f>IF(A1400=A1401,(N1400-N1401)/N1401,0)</f>
        <v>0</v>
      </c>
    </row>
    <row r="1401" spans="1:24" ht="16.5" customHeight="1">
      <c r="A1401" s="3" t="s">
        <v>39</v>
      </c>
      <c r="B1401" s="3">
        <f t="shared" si="40"/>
        <v>2016</v>
      </c>
      <c r="C1401" s="3">
        <f t="shared" si="41"/>
        <v>12</v>
      </c>
      <c r="D1401" s="20" t="str">
        <f t="shared" si="42"/>
        <v>ITW201612</v>
      </c>
      <c r="E1401" s="2">
        <v>42732</v>
      </c>
      <c r="F1401" s="3">
        <v>0.65</v>
      </c>
      <c r="G1401" s="2">
        <v>42746</v>
      </c>
      <c r="H1401" s="3">
        <v>2.0799999999999999E-2</v>
      </c>
      <c r="I1401" s="3">
        <v>0</v>
      </c>
      <c r="J1401" s="3">
        <v>0</v>
      </c>
      <c r="K1401" s="3">
        <f t="shared" si="43"/>
        <v>2016</v>
      </c>
      <c r="L1401" s="3">
        <f t="shared" si="44"/>
        <v>0</v>
      </c>
      <c r="M1401" s="20" t="str">
        <f>A1401&amp;L1401</f>
        <v>ITW0</v>
      </c>
      <c r="N1401" s="3">
        <f>F1401</f>
        <v>0.65</v>
      </c>
      <c r="O1401" s="9">
        <f>H1401</f>
        <v>2.0799999999999999E-2</v>
      </c>
      <c r="P1401" s="10">
        <f t="shared" si="45"/>
        <v>0</v>
      </c>
      <c r="Q1401" s="10">
        <f>IF(K1401=0,IF(A1398=A1401,AVERAGE(O1398:O1401),"x"),0)</f>
        <v>0</v>
      </c>
      <c r="R1401" s="9">
        <f>IF(L1401&gt;2005,AVERAGE(O1398:O1417),0)</f>
        <v>0</v>
      </c>
      <c r="S1401" s="10">
        <f>IF(A1401=A1402,(N1401-N1402)/N1402,0)</f>
        <v>0</v>
      </c>
      <c r="T1401" s="10">
        <f>IF(L1401&gt;2005,(((N1401-N1421)/N1421)+1)^(1/5)-1,0)</f>
        <v>0</v>
      </c>
      <c r="U1401" s="10">
        <f t="shared" si="46"/>
        <v>0</v>
      </c>
      <c r="V1401" s="26">
        <f t="shared" si="47"/>
        <v>0</v>
      </c>
      <c r="W1401" s="3">
        <f>IF(A1401=A1402,N1401-N1402,0)</f>
        <v>0</v>
      </c>
      <c r="X1401" s="10">
        <f>IF(A1401=A1402,(N1401-N1402)/N1402,0)</f>
        <v>0</v>
      </c>
    </row>
    <row r="1402" spans="1:24" ht="16.5" customHeight="1">
      <c r="A1402" s="3" t="s">
        <v>39</v>
      </c>
      <c r="B1402" s="3">
        <f t="shared" si="40"/>
        <v>2016</v>
      </c>
      <c r="C1402" s="3">
        <f t="shared" si="41"/>
        <v>9</v>
      </c>
      <c r="D1402" s="20" t="str">
        <f t="shared" si="42"/>
        <v>ITW20169</v>
      </c>
      <c r="E1402" s="2">
        <v>42641</v>
      </c>
      <c r="F1402" s="3">
        <v>0.65</v>
      </c>
      <c r="G1402" s="2">
        <v>42649</v>
      </c>
      <c r="H1402" s="3">
        <v>2.18E-2</v>
      </c>
      <c r="I1402" s="3">
        <v>0.18181818199999999</v>
      </c>
      <c r="J1402" s="3">
        <v>0.1</v>
      </c>
      <c r="K1402" s="3">
        <f t="shared" si="43"/>
        <v>2016</v>
      </c>
      <c r="L1402" s="3">
        <f t="shared" si="44"/>
        <v>0</v>
      </c>
      <c r="M1402" s="20" t="str">
        <f>A1402&amp;L1402</f>
        <v>ITW0</v>
      </c>
      <c r="N1402" s="3">
        <f>F1402</f>
        <v>0.65</v>
      </c>
      <c r="O1402" s="9">
        <f>H1402</f>
        <v>2.18E-2</v>
      </c>
      <c r="P1402" s="10">
        <f t="shared" si="45"/>
        <v>2.1975000000000001E-2</v>
      </c>
      <c r="Q1402" s="10">
        <f>IF(K1402=0,IF(A1399=A1402,AVERAGE(O1399:O1402),"x"),0)</f>
        <v>0</v>
      </c>
      <c r="R1402" s="9">
        <f>IF(L1402&gt;2005,AVERAGE(O1399:O1418),0)</f>
        <v>0</v>
      </c>
      <c r="S1402" s="10">
        <f>IF(A1402=A1403,(N1402-N1403)/N1403,0)</f>
        <v>0.18181818181818177</v>
      </c>
      <c r="T1402" s="10">
        <f>IF(L1402&gt;2005,(((N1402-N1422)/N1422)+1)^(1/5)-1,0)</f>
        <v>0</v>
      </c>
      <c r="U1402" s="10">
        <f t="shared" si="46"/>
        <v>0</v>
      </c>
      <c r="V1402" s="26">
        <f t="shared" si="47"/>
        <v>0</v>
      </c>
      <c r="W1402" s="3">
        <f>IF(A1402=A1403,N1402-N1403,0)</f>
        <v>9.9999999999999978E-2</v>
      </c>
      <c r="X1402" s="10">
        <f>IF(A1402=A1403,(N1402-N1403)/N1403,0)</f>
        <v>0.18181818181818177</v>
      </c>
    </row>
    <row r="1403" spans="1:24" ht="16.5" customHeight="1">
      <c r="A1403" s="3" t="s">
        <v>39</v>
      </c>
      <c r="B1403" s="3">
        <f t="shared" si="40"/>
        <v>2016</v>
      </c>
      <c r="C1403" s="3">
        <f t="shared" si="41"/>
        <v>6</v>
      </c>
      <c r="D1403" s="20" t="str">
        <f t="shared" si="42"/>
        <v>ITW20166</v>
      </c>
      <c r="E1403" s="2">
        <v>42549</v>
      </c>
      <c r="F1403" s="3">
        <v>0.55000000000000004</v>
      </c>
      <c r="G1403" s="2">
        <v>42559</v>
      </c>
      <c r="H1403" s="3">
        <v>2.23E-2</v>
      </c>
      <c r="I1403" s="3">
        <v>0</v>
      </c>
      <c r="J1403" s="3">
        <v>0</v>
      </c>
      <c r="K1403" s="3">
        <f t="shared" si="43"/>
        <v>2016</v>
      </c>
      <c r="L1403" s="3">
        <f t="shared" si="44"/>
        <v>0</v>
      </c>
      <c r="M1403" s="20" t="str">
        <f>A1403&amp;L1403</f>
        <v>ITW0</v>
      </c>
      <c r="N1403" s="3">
        <f>F1403</f>
        <v>0.55000000000000004</v>
      </c>
      <c r="O1403" s="9">
        <f>H1403</f>
        <v>2.23E-2</v>
      </c>
      <c r="P1403" s="10">
        <f t="shared" si="45"/>
        <v>0</v>
      </c>
      <c r="Q1403" s="10">
        <f>IF(K1403=0,IF(A1400=A1403,AVERAGE(O1400:O1403),"x"),0)</f>
        <v>0</v>
      </c>
      <c r="R1403" s="9">
        <f>IF(L1403&gt;2005,AVERAGE(O1400:O1419),0)</f>
        <v>0</v>
      </c>
      <c r="S1403" s="10">
        <f>IF(A1403=A1404,(N1403-N1404)/N1404,0)</f>
        <v>0</v>
      </c>
      <c r="T1403" s="10">
        <f>IF(L1403&gt;2005,(((N1403-N1423)/N1423)+1)^(1/5)-1,0)</f>
        <v>0</v>
      </c>
      <c r="U1403" s="10">
        <f t="shared" si="46"/>
        <v>0</v>
      </c>
      <c r="V1403" s="26">
        <f t="shared" si="47"/>
        <v>0</v>
      </c>
      <c r="W1403" s="3">
        <f>IF(A1403=A1404,N1403-N1404,0)</f>
        <v>0</v>
      </c>
      <c r="X1403" s="10">
        <f>IF(A1403=A1404,(N1403-N1404)/N1404,0)</f>
        <v>0</v>
      </c>
    </row>
    <row r="1404" spans="1:24" ht="16.5" customHeight="1">
      <c r="A1404" s="3" t="s">
        <v>39</v>
      </c>
      <c r="B1404" s="3">
        <f t="shared" si="40"/>
        <v>2016</v>
      </c>
      <c r="C1404" s="3">
        <f t="shared" si="41"/>
        <v>3</v>
      </c>
      <c r="D1404" s="20" t="str">
        <f t="shared" si="42"/>
        <v>ITW20163</v>
      </c>
      <c r="E1404" s="2">
        <v>42458</v>
      </c>
      <c r="F1404" s="3">
        <v>0.55000000000000004</v>
      </c>
      <c r="G1404" s="2">
        <v>42467</v>
      </c>
      <c r="H1404" s="3">
        <v>2.1700000000000001E-2</v>
      </c>
      <c r="I1404" s="3">
        <v>0</v>
      </c>
      <c r="J1404" s="3">
        <v>0</v>
      </c>
      <c r="K1404" s="3">
        <f t="shared" si="43"/>
        <v>0</v>
      </c>
      <c r="L1404" s="3">
        <f t="shared" si="44"/>
        <v>2016</v>
      </c>
      <c r="M1404" s="20" t="str">
        <f>A1404&amp;L1404</f>
        <v>ITW2016</v>
      </c>
      <c r="N1404" s="3">
        <f>F1404</f>
        <v>0.55000000000000004</v>
      </c>
      <c r="O1404" s="9">
        <f>H1404</f>
        <v>2.1700000000000001E-2</v>
      </c>
      <c r="P1404" s="10">
        <f t="shared" si="45"/>
        <v>0</v>
      </c>
      <c r="Q1404" s="10">
        <f>IF(K1404=0,IF(A1401=A1404,AVERAGE(O1401:O1404),"x"),0)</f>
        <v>2.1649999999999999E-2</v>
      </c>
      <c r="R1404" s="9">
        <f>IF(L1404&gt;2005,AVERAGE(O1401:O1420),0)</f>
        <v>2.1929999999999995E-2</v>
      </c>
      <c r="S1404" s="10">
        <f>IF(A1404=A1405,(N1404-N1405)/N1405,0)</f>
        <v>0</v>
      </c>
      <c r="T1404" s="10">
        <f>IF(L1404&gt;2005,(((N1404-N1424)/N1424)+1)^(1/5)-1,0)</f>
        <v>0.10097321782112156</v>
      </c>
      <c r="U1404" s="10">
        <f t="shared" si="46"/>
        <v>0.12290321782112155</v>
      </c>
      <c r="V1404" s="26">
        <f t="shared" si="47"/>
        <v>4.7145713521199202</v>
      </c>
      <c r="W1404" s="3">
        <f>IF(A1404=A1405,N1404-N1405,0)</f>
        <v>0</v>
      </c>
      <c r="X1404" s="10">
        <f>IF(A1404=A1405,(N1404-N1405)/N1405,0)</f>
        <v>0</v>
      </c>
    </row>
    <row r="1405" spans="1:24" ht="16.5" customHeight="1">
      <c r="A1405" s="3" t="s">
        <v>39</v>
      </c>
      <c r="B1405" s="3">
        <f t="shared" si="40"/>
        <v>2015</v>
      </c>
      <c r="C1405" s="3">
        <f t="shared" si="41"/>
        <v>12</v>
      </c>
      <c r="D1405" s="20" t="str">
        <f t="shared" si="42"/>
        <v>ITW201512</v>
      </c>
      <c r="E1405" s="2">
        <v>42367</v>
      </c>
      <c r="F1405" s="3">
        <v>0.55000000000000004</v>
      </c>
      <c r="G1405" s="2">
        <v>42376</v>
      </c>
      <c r="H1405" s="3">
        <v>2.2100000000000002E-2</v>
      </c>
      <c r="I1405" s="3">
        <v>0</v>
      </c>
      <c r="J1405" s="3">
        <v>0</v>
      </c>
      <c r="K1405" s="3">
        <f t="shared" si="43"/>
        <v>2015</v>
      </c>
      <c r="L1405" s="3">
        <f t="shared" si="44"/>
        <v>0</v>
      </c>
      <c r="M1405" s="20" t="str">
        <f>A1405&amp;L1405</f>
        <v>ITW0</v>
      </c>
      <c r="N1405" s="3">
        <f>F1405</f>
        <v>0.55000000000000004</v>
      </c>
      <c r="O1405" s="9">
        <f>H1405</f>
        <v>2.2100000000000002E-2</v>
      </c>
      <c r="P1405" s="10">
        <f t="shared" si="45"/>
        <v>0</v>
      </c>
      <c r="Q1405" s="10">
        <f>IF(K1405=0,IF(A1402=A1405,AVERAGE(O1402:O1405),"x"),0)</f>
        <v>0</v>
      </c>
      <c r="R1405" s="9">
        <f>IF(L1405&gt;2005,AVERAGE(O1402:O1421),0)</f>
        <v>0</v>
      </c>
      <c r="S1405" s="10">
        <f>IF(A1405=A1406,(N1405-N1406)/N1406,0)</f>
        <v>0</v>
      </c>
      <c r="T1405" s="10">
        <f>IF(L1405&gt;2005,(((N1405-N1425)/N1425)+1)^(1/5)-1,0)</f>
        <v>0</v>
      </c>
      <c r="U1405" s="10">
        <f t="shared" si="46"/>
        <v>0</v>
      </c>
      <c r="V1405" s="26">
        <f t="shared" si="47"/>
        <v>0</v>
      </c>
      <c r="W1405" s="3">
        <f>IF(A1405=A1406,N1405-N1406,0)</f>
        <v>0</v>
      </c>
      <c r="X1405" s="10">
        <f>IF(A1405=A1406,(N1405-N1406)/N1406,0)</f>
        <v>0</v>
      </c>
    </row>
    <row r="1406" spans="1:24" ht="16.5" customHeight="1">
      <c r="A1406" s="3" t="s">
        <v>39</v>
      </c>
      <c r="B1406" s="3">
        <f t="shared" si="40"/>
        <v>2015</v>
      </c>
      <c r="C1406" s="3">
        <f t="shared" si="41"/>
        <v>9</v>
      </c>
      <c r="D1406" s="20" t="str">
        <f t="shared" si="42"/>
        <v>ITW20159</v>
      </c>
      <c r="E1406" s="2">
        <v>42275</v>
      </c>
      <c r="F1406" s="3">
        <v>0.55000000000000004</v>
      </c>
      <c r="G1406" s="2">
        <v>42283</v>
      </c>
      <c r="H1406" s="3">
        <v>2.4299999999999999E-2</v>
      </c>
      <c r="I1406" s="3">
        <v>0.13402061900000001</v>
      </c>
      <c r="J1406" s="3">
        <v>6.5000000000000002E-2</v>
      </c>
      <c r="K1406" s="3">
        <f t="shared" si="43"/>
        <v>2015</v>
      </c>
      <c r="L1406" s="3">
        <f t="shared" si="44"/>
        <v>0</v>
      </c>
      <c r="M1406" s="20" t="str">
        <f>A1406&amp;L1406</f>
        <v>ITW0</v>
      </c>
      <c r="N1406" s="3">
        <f>F1406</f>
        <v>0.55000000000000004</v>
      </c>
      <c r="O1406" s="9">
        <f>H1406</f>
        <v>2.4299999999999999E-2</v>
      </c>
      <c r="P1406" s="10">
        <f t="shared" si="45"/>
        <v>2.0824999999999996E-2</v>
      </c>
      <c r="Q1406" s="10">
        <f>IF(K1406=0,IF(A1403=A1406,AVERAGE(O1403:O1406),"x"),0)</f>
        <v>0</v>
      </c>
      <c r="R1406" s="9">
        <f>IF(L1406&gt;2005,AVERAGE(O1403:O1422),0)</f>
        <v>0</v>
      </c>
      <c r="S1406" s="10">
        <f>IF(A1406=A1407,(N1406-N1407)/N1407,0)</f>
        <v>0.13402061855670117</v>
      </c>
      <c r="T1406" s="10">
        <f>IF(L1406&gt;2005,(((N1406-N1426)/N1426)+1)^(1/5)-1,0)</f>
        <v>0</v>
      </c>
      <c r="U1406" s="10">
        <f t="shared" si="46"/>
        <v>0</v>
      </c>
      <c r="V1406" s="26">
        <f t="shared" si="47"/>
        <v>0</v>
      </c>
      <c r="W1406" s="3">
        <f>IF(A1406=A1407,N1406-N1407,0)</f>
        <v>6.5000000000000058E-2</v>
      </c>
      <c r="X1406" s="10">
        <f>IF(A1406=A1407,(N1406-N1407)/N1407,0)</f>
        <v>0.13402061855670117</v>
      </c>
    </row>
    <row r="1407" spans="1:24" ht="16.5" customHeight="1">
      <c r="A1407" s="3" t="s">
        <v>39</v>
      </c>
      <c r="B1407" s="3">
        <f t="shared" si="40"/>
        <v>2015</v>
      </c>
      <c r="C1407" s="3">
        <f t="shared" si="41"/>
        <v>6</v>
      </c>
      <c r="D1407" s="20" t="str">
        <f t="shared" si="42"/>
        <v>ITW20156</v>
      </c>
      <c r="E1407" s="2">
        <v>42181</v>
      </c>
      <c r="F1407" s="3">
        <v>0.48499999999999999</v>
      </c>
      <c r="G1407" s="2">
        <v>42192</v>
      </c>
      <c r="H1407" s="3">
        <v>2.0899999999999998E-2</v>
      </c>
      <c r="I1407" s="3">
        <v>0</v>
      </c>
      <c r="J1407" s="3">
        <v>0</v>
      </c>
      <c r="K1407" s="3">
        <f t="shared" si="43"/>
        <v>2015</v>
      </c>
      <c r="L1407" s="3">
        <f t="shared" si="44"/>
        <v>0</v>
      </c>
      <c r="M1407" s="20" t="str">
        <f>A1407&amp;L1407</f>
        <v>ITW0</v>
      </c>
      <c r="N1407" s="3">
        <f>F1407</f>
        <v>0.48499999999999999</v>
      </c>
      <c r="O1407" s="9">
        <f>H1407</f>
        <v>2.0899999999999998E-2</v>
      </c>
      <c r="P1407" s="10">
        <f t="shared" si="45"/>
        <v>0</v>
      </c>
      <c r="Q1407" s="10">
        <f>IF(K1407=0,IF(A1404=A1407,AVERAGE(O1404:O1407),"x"),0)</f>
        <v>0</v>
      </c>
      <c r="R1407" s="9">
        <f>IF(L1407&gt;2005,AVERAGE(O1404:O1423),0)</f>
        <v>0</v>
      </c>
      <c r="S1407" s="10">
        <f>IF(A1407=A1408,(N1407-N1408)/N1408,0)</f>
        <v>0</v>
      </c>
      <c r="T1407" s="10">
        <f>IF(L1407&gt;2005,(((N1407-N1427)/N1427)+1)^(1/5)-1,0)</f>
        <v>0</v>
      </c>
      <c r="U1407" s="10">
        <f t="shared" si="46"/>
        <v>0</v>
      </c>
      <c r="V1407" s="26">
        <f t="shared" si="47"/>
        <v>0</v>
      </c>
      <c r="W1407" s="3">
        <f>IF(A1407=A1408,N1407-N1408,0)</f>
        <v>0</v>
      </c>
      <c r="X1407" s="10">
        <f>IF(A1407=A1408,(N1407-N1408)/N1408,0)</f>
        <v>0</v>
      </c>
    </row>
    <row r="1408" spans="1:24" ht="16.5" customHeight="1">
      <c r="A1408" s="3" t="s">
        <v>39</v>
      </c>
      <c r="B1408" s="3">
        <f t="shared" si="40"/>
        <v>2015</v>
      </c>
      <c r="C1408" s="3">
        <f t="shared" si="41"/>
        <v>3</v>
      </c>
      <c r="D1408" s="20" t="str">
        <f t="shared" si="42"/>
        <v>ITW20153</v>
      </c>
      <c r="E1408" s="2">
        <v>42090</v>
      </c>
      <c r="F1408" s="3">
        <v>0.48499999999999999</v>
      </c>
      <c r="G1408" s="2">
        <v>42101</v>
      </c>
      <c r="H1408" s="3">
        <v>1.9400000000000001E-2</v>
      </c>
      <c r="I1408" s="3">
        <v>0</v>
      </c>
      <c r="J1408" s="3">
        <v>0</v>
      </c>
      <c r="K1408" s="3">
        <f t="shared" si="43"/>
        <v>0</v>
      </c>
      <c r="L1408" s="3">
        <f t="shared" si="44"/>
        <v>2015</v>
      </c>
      <c r="M1408" s="20" t="str">
        <f>A1408&amp;L1408</f>
        <v>ITW2015</v>
      </c>
      <c r="N1408" s="3">
        <f>F1408</f>
        <v>0.48499999999999999</v>
      </c>
      <c r="O1408" s="9">
        <f>H1408</f>
        <v>1.9400000000000001E-2</v>
      </c>
      <c r="P1408" s="10">
        <f t="shared" si="45"/>
        <v>0</v>
      </c>
      <c r="Q1408" s="10">
        <f>IF(K1408=0,IF(A1405=A1408,AVERAGE(O1405:O1408),"x"),0)</f>
        <v>2.1675E-2</v>
      </c>
      <c r="R1408" s="9">
        <f>IF(L1408&gt;2005,AVERAGE(O1405:O1424),0)</f>
        <v>2.3059999999999997E-2</v>
      </c>
      <c r="S1408" s="10">
        <f>IF(A1408=A1409,(N1408-N1409)/N1409,0)</f>
        <v>0</v>
      </c>
      <c r="T1408" s="10">
        <f>IF(L1408&gt;2005,(((N1408-N1428)/N1428)+1)^(1/5)-1,0)</f>
        <v>9.3644086380576086E-2</v>
      </c>
      <c r="U1408" s="10">
        <f t="shared" si="46"/>
        <v>0.11670408638057608</v>
      </c>
      <c r="V1408" s="26">
        <f t="shared" si="47"/>
        <v>4.6986466824781843</v>
      </c>
      <c r="W1408" s="3">
        <f>IF(A1408=A1409,N1408-N1409,0)</f>
        <v>0</v>
      </c>
      <c r="X1408" s="10">
        <f>IF(A1408=A1409,(N1408-N1409)/N1409,0)</f>
        <v>0</v>
      </c>
    </row>
    <row r="1409" spans="1:24" ht="16.5" customHeight="1">
      <c r="A1409" s="3" t="s">
        <v>39</v>
      </c>
      <c r="B1409" s="3">
        <f t="shared" si="40"/>
        <v>2014</v>
      </c>
      <c r="C1409" s="3">
        <f t="shared" si="41"/>
        <v>12</v>
      </c>
      <c r="D1409" s="20" t="str">
        <f t="shared" si="42"/>
        <v>ITW201412</v>
      </c>
      <c r="E1409" s="2">
        <v>42002</v>
      </c>
      <c r="F1409" s="3">
        <v>0.48499999999999999</v>
      </c>
      <c r="G1409" s="2">
        <v>42010</v>
      </c>
      <c r="H1409" s="3">
        <v>1.8700000000000001E-2</v>
      </c>
      <c r="I1409" s="3">
        <v>0</v>
      </c>
      <c r="J1409" s="3">
        <v>0</v>
      </c>
      <c r="K1409" s="3">
        <f t="shared" si="43"/>
        <v>2014</v>
      </c>
      <c r="L1409" s="3">
        <f t="shared" si="44"/>
        <v>0</v>
      </c>
      <c r="M1409" s="20" t="str">
        <f>A1409&amp;L1409</f>
        <v>ITW0</v>
      </c>
      <c r="N1409" s="3">
        <f>F1409</f>
        <v>0.48499999999999999</v>
      </c>
      <c r="O1409" s="9">
        <f>H1409</f>
        <v>1.8700000000000001E-2</v>
      </c>
      <c r="P1409" s="10">
        <f t="shared" si="45"/>
        <v>0</v>
      </c>
      <c r="Q1409" s="10">
        <f>IF(K1409=0,IF(A1406=A1409,AVERAGE(O1406:O1409),"x"),0)</f>
        <v>0</v>
      </c>
      <c r="R1409" s="9">
        <f>IF(L1409&gt;2005,AVERAGE(O1406:O1425),0)</f>
        <v>0</v>
      </c>
      <c r="S1409" s="10">
        <f>IF(A1409=A1410,(N1409-N1410)/N1410,0)</f>
        <v>0</v>
      </c>
      <c r="T1409" s="10">
        <f>IF(L1409&gt;2005,(((N1409-N1429)/N1429)+1)^(1/5)-1,0)</f>
        <v>0</v>
      </c>
      <c r="U1409" s="10">
        <f t="shared" si="46"/>
        <v>0</v>
      </c>
      <c r="V1409" s="26">
        <f t="shared" si="47"/>
        <v>0</v>
      </c>
      <c r="W1409" s="3">
        <f>IF(A1409=A1410,N1409-N1410,0)</f>
        <v>0</v>
      </c>
      <c r="X1409" s="10">
        <f>IF(A1409=A1410,(N1409-N1410)/N1410,0)</f>
        <v>0</v>
      </c>
    </row>
    <row r="1410" spans="1:24" ht="16.5" customHeight="1">
      <c r="A1410" s="3" t="s">
        <v>39</v>
      </c>
      <c r="B1410" s="3">
        <f t="shared" si="40"/>
        <v>2014</v>
      </c>
      <c r="C1410" s="3">
        <f t="shared" si="41"/>
        <v>9</v>
      </c>
      <c r="D1410" s="20" t="str">
        <f t="shared" si="42"/>
        <v>ITW20149</v>
      </c>
      <c r="E1410" s="2">
        <v>41908</v>
      </c>
      <c r="F1410" s="3">
        <v>0.48499999999999999</v>
      </c>
      <c r="G1410" s="2">
        <v>41919</v>
      </c>
      <c r="H1410" s="3">
        <v>2.0500000000000001E-2</v>
      </c>
      <c r="I1410" s="3">
        <v>0.15476190500000001</v>
      </c>
      <c r="J1410" s="3">
        <v>6.5000000000000002E-2</v>
      </c>
      <c r="K1410" s="3">
        <f t="shared" si="43"/>
        <v>2014</v>
      </c>
      <c r="L1410" s="3">
        <f t="shared" si="44"/>
        <v>0</v>
      </c>
      <c r="M1410" s="20" t="str">
        <f>A1410&amp;L1410</f>
        <v>ITW0</v>
      </c>
      <c r="N1410" s="3">
        <f>F1410</f>
        <v>0.48499999999999999</v>
      </c>
      <c r="O1410" s="9">
        <f>H1410</f>
        <v>2.0500000000000001E-2</v>
      </c>
      <c r="P1410" s="10">
        <f t="shared" si="45"/>
        <v>1.9724999999999999E-2</v>
      </c>
      <c r="Q1410" s="10">
        <f>IF(K1410=0,IF(A1407=A1410,AVERAGE(O1407:O1410),"x"),0)</f>
        <v>0</v>
      </c>
      <c r="R1410" s="9">
        <f>IF(L1410&gt;2005,AVERAGE(O1407:O1426),0)</f>
        <v>0</v>
      </c>
      <c r="S1410" s="10">
        <f>IF(A1410=A1411,(N1410-N1411)/N1411,0)</f>
        <v>0.15476190476190477</v>
      </c>
      <c r="T1410" s="10">
        <f>IF(L1410&gt;2005,(((N1410-N1430)/N1430)+1)^(1/5)-1,0)</f>
        <v>0</v>
      </c>
      <c r="U1410" s="10">
        <f t="shared" si="46"/>
        <v>0</v>
      </c>
      <c r="V1410" s="26">
        <f t="shared" si="47"/>
        <v>0</v>
      </c>
      <c r="W1410" s="3">
        <f>IF(A1410=A1411,N1410-N1411,0)</f>
        <v>6.5000000000000002E-2</v>
      </c>
      <c r="X1410" s="10">
        <f>IF(A1410=A1411,(N1410-N1411)/N1411,0)</f>
        <v>0.15476190476190477</v>
      </c>
    </row>
    <row r="1411" spans="1:24" ht="16.5" customHeight="1">
      <c r="A1411" s="3" t="s">
        <v>39</v>
      </c>
      <c r="B1411" s="3">
        <f t="shared" si="40"/>
        <v>2014</v>
      </c>
      <c r="C1411" s="3">
        <f t="shared" si="41"/>
        <v>6</v>
      </c>
      <c r="D1411" s="20" t="str">
        <f t="shared" si="42"/>
        <v>ITW20146</v>
      </c>
      <c r="E1411" s="2">
        <v>41816</v>
      </c>
      <c r="F1411" s="3">
        <v>0.42</v>
      </c>
      <c r="G1411" s="2">
        <v>41828</v>
      </c>
      <c r="H1411" s="3">
        <v>1.9E-2</v>
      </c>
      <c r="I1411" s="3">
        <v>0</v>
      </c>
      <c r="J1411" s="3">
        <v>0</v>
      </c>
      <c r="K1411" s="3">
        <f t="shared" si="43"/>
        <v>2014</v>
      </c>
      <c r="L1411" s="3">
        <f t="shared" si="44"/>
        <v>0</v>
      </c>
      <c r="M1411" s="20" t="str">
        <f>A1411&amp;L1411</f>
        <v>ITW0</v>
      </c>
      <c r="N1411" s="3">
        <f>F1411</f>
        <v>0.42</v>
      </c>
      <c r="O1411" s="9">
        <f>H1411</f>
        <v>1.9E-2</v>
      </c>
      <c r="P1411" s="10">
        <f t="shared" si="45"/>
        <v>0</v>
      </c>
      <c r="Q1411" s="10">
        <f>IF(K1411=0,IF(A1408=A1411,AVERAGE(O1408:O1411),"x"),0)</f>
        <v>0</v>
      </c>
      <c r="R1411" s="9">
        <f>IF(L1411&gt;2005,AVERAGE(O1408:O1427),0)</f>
        <v>0</v>
      </c>
      <c r="S1411" s="10">
        <f>IF(A1411=A1412,(N1411-N1412)/N1412,0)</f>
        <v>0</v>
      </c>
      <c r="T1411" s="10">
        <f>IF(L1411&gt;2005,(((N1411-N1431)/N1431)+1)^(1/5)-1,0)</f>
        <v>0</v>
      </c>
      <c r="U1411" s="10">
        <f t="shared" si="46"/>
        <v>0</v>
      </c>
      <c r="V1411" s="26">
        <f t="shared" si="47"/>
        <v>0</v>
      </c>
      <c r="W1411" s="3">
        <f>IF(A1411=A1412,N1411-N1412,0)</f>
        <v>0</v>
      </c>
      <c r="X1411" s="10">
        <f>IF(A1411=A1412,(N1411-N1412)/N1412,0)</f>
        <v>0</v>
      </c>
    </row>
    <row r="1412" spans="1:24" ht="16.5" customHeight="1">
      <c r="A1412" s="3" t="s">
        <v>39</v>
      </c>
      <c r="B1412" s="3">
        <f t="shared" si="40"/>
        <v>2014</v>
      </c>
      <c r="C1412" s="3">
        <f t="shared" si="41"/>
        <v>3</v>
      </c>
      <c r="D1412" s="20" t="str">
        <f t="shared" si="42"/>
        <v>ITW20143</v>
      </c>
      <c r="E1412" s="2">
        <v>41725</v>
      </c>
      <c r="F1412" s="3">
        <v>0.42</v>
      </c>
      <c r="G1412" s="2">
        <v>41737</v>
      </c>
      <c r="H1412" s="3">
        <v>2.0299999999999999E-2</v>
      </c>
      <c r="I1412" s="3">
        <v>0</v>
      </c>
      <c r="J1412" s="3">
        <v>0</v>
      </c>
      <c r="K1412" s="3">
        <f t="shared" si="43"/>
        <v>0</v>
      </c>
      <c r="L1412" s="3">
        <f t="shared" si="44"/>
        <v>2014</v>
      </c>
      <c r="M1412" s="20" t="str">
        <f>A1412&amp;L1412</f>
        <v>ITW2014</v>
      </c>
      <c r="N1412" s="3">
        <f>F1412</f>
        <v>0.42</v>
      </c>
      <c r="O1412" s="9">
        <f>H1412</f>
        <v>2.0299999999999999E-2</v>
      </c>
      <c r="P1412" s="10">
        <f t="shared" si="45"/>
        <v>0</v>
      </c>
      <c r="Q1412" s="10">
        <f>IF(K1412=0,IF(A1409=A1412,AVERAGE(O1409:O1412),"x"),0)</f>
        <v>1.9625E-2</v>
      </c>
      <c r="R1412" s="9">
        <f>IF(L1412&gt;2005,AVERAGE(O1409:O1428),0)</f>
        <v>2.401E-2</v>
      </c>
      <c r="S1412" s="10">
        <f>IF(A1412=A1413,(N1412-N1413)/N1413,0)</f>
        <v>0</v>
      </c>
      <c r="T1412" s="10">
        <f>IF(L1412&gt;2005,(((N1412-N1432)/N1432)+1)^(1/5)-1,0)</f>
        <v>6.2618858899870622E-2</v>
      </c>
      <c r="U1412" s="10">
        <f t="shared" si="46"/>
        <v>8.6628858899870625E-2</v>
      </c>
      <c r="V1412" s="26">
        <f t="shared" si="47"/>
        <v>4.6781662373559145</v>
      </c>
      <c r="W1412" s="3">
        <f>IF(A1412=A1413,N1412-N1413,0)</f>
        <v>0</v>
      </c>
      <c r="X1412" s="10">
        <f>IF(A1412=A1413,(N1412-N1413)/N1413,0)</f>
        <v>0</v>
      </c>
    </row>
    <row r="1413" spans="1:24" ht="16.5" customHeight="1">
      <c r="A1413" s="3" t="s">
        <v>39</v>
      </c>
      <c r="B1413" s="3">
        <f t="shared" si="40"/>
        <v>2013</v>
      </c>
      <c r="C1413" s="3">
        <f t="shared" si="41"/>
        <v>12</v>
      </c>
      <c r="D1413" s="20" t="str">
        <f t="shared" si="42"/>
        <v>ITW201312</v>
      </c>
      <c r="E1413" s="2">
        <v>41635</v>
      </c>
      <c r="F1413" s="3">
        <v>0.42</v>
      </c>
      <c r="G1413" s="2">
        <v>41646</v>
      </c>
      <c r="H1413" s="3">
        <v>1.9099999999999999E-2</v>
      </c>
      <c r="I1413" s="3">
        <v>0</v>
      </c>
      <c r="J1413" s="3">
        <v>0</v>
      </c>
      <c r="K1413" s="3">
        <f t="shared" si="43"/>
        <v>2013</v>
      </c>
      <c r="L1413" s="3">
        <f t="shared" si="44"/>
        <v>0</v>
      </c>
      <c r="M1413" s="20" t="str">
        <f>A1413&amp;L1413</f>
        <v>ITW0</v>
      </c>
      <c r="N1413" s="3">
        <f>F1413</f>
        <v>0.42</v>
      </c>
      <c r="O1413" s="9">
        <f>H1413</f>
        <v>1.9099999999999999E-2</v>
      </c>
      <c r="P1413" s="10">
        <f t="shared" si="45"/>
        <v>0</v>
      </c>
      <c r="Q1413" s="10">
        <f>IF(K1413=0,IF(A1410=A1413,AVERAGE(O1410:O1413),"x"),0)</f>
        <v>0</v>
      </c>
      <c r="R1413" s="9">
        <f>IF(L1413&gt;2005,AVERAGE(O1410:O1429),0)</f>
        <v>0</v>
      </c>
      <c r="S1413" s="10">
        <f>IF(A1413=A1414,(N1413-N1414)/N1414,0)</f>
        <v>0</v>
      </c>
      <c r="T1413" s="10">
        <f>IF(L1413&gt;2005,(((N1413-N1433)/N1433)+1)^(1/5)-1,0)</f>
        <v>0</v>
      </c>
      <c r="U1413" s="10">
        <f t="shared" si="46"/>
        <v>0</v>
      </c>
      <c r="V1413" s="26">
        <f t="shared" si="47"/>
        <v>0</v>
      </c>
      <c r="W1413" s="3">
        <f>IF(A1413=A1414,N1413-N1414,0)</f>
        <v>0</v>
      </c>
      <c r="X1413" s="10">
        <f>IF(A1413=A1414,(N1413-N1414)/N1414,0)</f>
        <v>0</v>
      </c>
    </row>
    <row r="1414" spans="1:24" ht="16.5" customHeight="1">
      <c r="A1414" s="3" t="s">
        <v>39</v>
      </c>
      <c r="B1414" s="3">
        <f t="shared" si="40"/>
        <v>2013</v>
      </c>
      <c r="C1414" s="3">
        <f t="shared" si="41"/>
        <v>9</v>
      </c>
      <c r="D1414" s="20" t="str">
        <f t="shared" si="42"/>
        <v>ITW20139</v>
      </c>
      <c r="E1414" s="2">
        <v>41543</v>
      </c>
      <c r="F1414" s="3">
        <v>0.42</v>
      </c>
      <c r="G1414" s="2">
        <v>41555</v>
      </c>
      <c r="H1414" s="3">
        <v>2.0199999999999999E-2</v>
      </c>
      <c r="I1414" s="3">
        <v>0.105263158</v>
      </c>
      <c r="J1414" s="3">
        <v>0.04</v>
      </c>
      <c r="K1414" s="3">
        <f t="shared" si="43"/>
        <v>2013</v>
      </c>
      <c r="L1414" s="3">
        <f t="shared" si="44"/>
        <v>0</v>
      </c>
      <c r="M1414" s="20" t="str">
        <f>A1414&amp;L1414</f>
        <v>ITW0</v>
      </c>
      <c r="N1414" s="3">
        <f>F1414</f>
        <v>0.42</v>
      </c>
      <c r="O1414" s="9">
        <f>H1414</f>
        <v>2.0199999999999999E-2</v>
      </c>
      <c r="P1414" s="10">
        <f t="shared" si="45"/>
        <v>2.2725000000000002E-2</v>
      </c>
      <c r="Q1414" s="10">
        <f>IF(K1414=0,IF(A1411=A1414,AVERAGE(O1411:O1414),"x"),0)</f>
        <v>0</v>
      </c>
      <c r="R1414" s="9">
        <f>IF(L1414&gt;2005,AVERAGE(O1411:O1430),0)</f>
        <v>0</v>
      </c>
      <c r="S1414" s="10">
        <f>IF(A1414=A1415,(N1414-N1415)/N1415,0)</f>
        <v>0.10526315789473679</v>
      </c>
      <c r="T1414" s="10">
        <f>IF(L1414&gt;2005,(((N1414-N1434)/N1434)+1)^(1/5)-1,0)</f>
        <v>0</v>
      </c>
      <c r="U1414" s="10">
        <f t="shared" si="46"/>
        <v>0</v>
      </c>
      <c r="V1414" s="26">
        <f t="shared" si="47"/>
        <v>0</v>
      </c>
      <c r="W1414" s="3">
        <f>IF(A1414=A1415,N1414-N1415,0)</f>
        <v>3.999999999999998E-2</v>
      </c>
      <c r="X1414" s="10">
        <f>IF(A1414=A1415,(N1414-N1415)/N1415,0)</f>
        <v>0.10526315789473679</v>
      </c>
    </row>
    <row r="1415" spans="1:24" ht="16.5" customHeight="1">
      <c r="A1415" s="3" t="s">
        <v>39</v>
      </c>
      <c r="B1415" s="3">
        <f t="shared" si="40"/>
        <v>2013</v>
      </c>
      <c r="C1415" s="3">
        <f t="shared" si="41"/>
        <v>6</v>
      </c>
      <c r="D1415" s="20" t="str">
        <f t="shared" si="42"/>
        <v>ITW20136</v>
      </c>
      <c r="E1415" s="2">
        <v>41451</v>
      </c>
      <c r="F1415" s="3">
        <v>0.38</v>
      </c>
      <c r="G1415" s="2">
        <v>41464</v>
      </c>
      <c r="H1415" s="3">
        <v>2.24E-2</v>
      </c>
      <c r="I1415" s="3">
        <v>0</v>
      </c>
      <c r="J1415" s="3">
        <v>0</v>
      </c>
      <c r="K1415" s="3">
        <f t="shared" si="43"/>
        <v>2013</v>
      </c>
      <c r="L1415" s="3">
        <f t="shared" si="44"/>
        <v>0</v>
      </c>
      <c r="M1415" s="20" t="str">
        <f>A1415&amp;L1415</f>
        <v>ITW0</v>
      </c>
      <c r="N1415" s="3">
        <f>F1415</f>
        <v>0.38</v>
      </c>
      <c r="O1415" s="9">
        <f>H1415</f>
        <v>2.24E-2</v>
      </c>
      <c r="P1415" s="10">
        <f t="shared" si="45"/>
        <v>0</v>
      </c>
      <c r="Q1415" s="10">
        <f>IF(K1415=0,IF(A1412=A1415,AVERAGE(O1412:O1415),"x"),0)</f>
        <v>0</v>
      </c>
      <c r="R1415" s="9">
        <f>IF(L1415&gt;2005,AVERAGE(O1412:O1431),0)</f>
        <v>0</v>
      </c>
      <c r="S1415" s="10">
        <f>IF(A1415=A1416,(N1415-N1416)/N1416,0)</f>
        <v>0</v>
      </c>
      <c r="T1415" s="10">
        <f>IF(L1415&gt;2005,(((N1415-N1435)/N1435)+1)^(1/5)-1,0)</f>
        <v>0</v>
      </c>
      <c r="U1415" s="10">
        <f t="shared" si="46"/>
        <v>0</v>
      </c>
      <c r="V1415" s="26">
        <f t="shared" si="47"/>
        <v>0</v>
      </c>
      <c r="W1415" s="3">
        <f>IF(A1415=A1416,N1415-N1416,0)</f>
        <v>0</v>
      </c>
      <c r="X1415" s="10">
        <f>IF(A1415=A1416,(N1415-N1416)/N1416,0)</f>
        <v>0</v>
      </c>
    </row>
    <row r="1416" spans="1:24" ht="16.5" customHeight="1">
      <c r="A1416" s="3" t="s">
        <v>39</v>
      </c>
      <c r="B1416" s="3">
        <f t="shared" si="40"/>
        <v>2013</v>
      </c>
      <c r="C1416" s="3">
        <f t="shared" si="41"/>
        <v>3</v>
      </c>
      <c r="D1416" s="20" t="str">
        <f t="shared" si="42"/>
        <v>ITW20133</v>
      </c>
      <c r="E1416" s="2">
        <v>41359</v>
      </c>
      <c r="F1416" s="3">
        <v>0.38</v>
      </c>
      <c r="G1416" s="2">
        <v>41373</v>
      </c>
      <c r="H1416" s="3">
        <v>2.4400000000000002E-2</v>
      </c>
      <c r="I1416" s="3">
        <v>0</v>
      </c>
      <c r="J1416" s="3">
        <v>0</v>
      </c>
      <c r="K1416" s="3">
        <f t="shared" si="43"/>
        <v>0</v>
      </c>
      <c r="L1416" s="3">
        <f t="shared" si="44"/>
        <v>2013</v>
      </c>
      <c r="M1416" s="20" t="str">
        <f>A1416&amp;L1416</f>
        <v>ITW2013</v>
      </c>
      <c r="N1416" s="3">
        <f>F1416</f>
        <v>0.38</v>
      </c>
      <c r="O1416" s="9">
        <f>H1416</f>
        <v>2.4400000000000002E-2</v>
      </c>
      <c r="P1416" s="10">
        <f t="shared" si="45"/>
        <v>0</v>
      </c>
      <c r="Q1416" s="10">
        <f>IF(K1416=0,IF(A1413=A1416,AVERAGE(O1413:O1416),"x"),0)</f>
        <v>2.1525000000000002E-2</v>
      </c>
      <c r="R1416" s="9">
        <f>IF(L1416&gt;2005,AVERAGE(O1413:O1432),0)</f>
        <v>2.6385000000000002E-2</v>
      </c>
      <c r="S1416" s="10">
        <f>IF(A1416=A1417,(N1416-N1417)/N1417,0)</f>
        <v>0</v>
      </c>
      <c r="T1416" s="10">
        <f>IF(L1416&gt;2005,(((N1416-N1436)/N1436)+1)^(1/5)-1,0)</f>
        <v>6.2980048262344379E-2</v>
      </c>
      <c r="U1416" s="10">
        <f t="shared" si="46"/>
        <v>8.9365048262344385E-2</v>
      </c>
      <c r="V1416" s="26">
        <f t="shared" si="47"/>
        <v>4.6482136440820447</v>
      </c>
      <c r="W1416" s="3">
        <f>IF(A1416=A1417,N1416-N1417,0)</f>
        <v>0</v>
      </c>
      <c r="X1416" s="10">
        <f>IF(A1416=A1417,(N1416-N1417)/N1417,0)</f>
        <v>0</v>
      </c>
    </row>
    <row r="1417" spans="1:24" ht="16.5" customHeight="1">
      <c r="A1417" s="3" t="s">
        <v>39</v>
      </c>
      <c r="B1417" s="3">
        <f t="shared" si="40"/>
        <v>2012</v>
      </c>
      <c r="C1417" s="3">
        <f t="shared" si="41"/>
        <v>12</v>
      </c>
      <c r="D1417" s="20" t="str">
        <f t="shared" si="42"/>
        <v>ITW201212</v>
      </c>
      <c r="E1417" s="2">
        <v>41257</v>
      </c>
      <c r="F1417" s="3">
        <v>0.38</v>
      </c>
      <c r="G1417" s="2">
        <v>41282</v>
      </c>
      <c r="H1417" s="3">
        <v>2.3900000000000001E-2</v>
      </c>
      <c r="I1417" s="3">
        <v>0</v>
      </c>
      <c r="J1417" s="3">
        <v>0</v>
      </c>
      <c r="K1417" s="3">
        <f t="shared" si="43"/>
        <v>2012</v>
      </c>
      <c r="L1417" s="3">
        <f t="shared" si="44"/>
        <v>0</v>
      </c>
      <c r="M1417" s="20" t="str">
        <f>A1417&amp;L1417</f>
        <v>ITW0</v>
      </c>
      <c r="N1417" s="3">
        <f>F1417</f>
        <v>0.38</v>
      </c>
      <c r="O1417" s="9">
        <f>H1417</f>
        <v>2.3900000000000001E-2</v>
      </c>
      <c r="P1417" s="10">
        <f t="shared" si="45"/>
        <v>0</v>
      </c>
      <c r="Q1417" s="10">
        <f>IF(K1417=0,IF(A1414=A1417,AVERAGE(O1414:O1417),"x"),0)</f>
        <v>0</v>
      </c>
      <c r="R1417" s="9">
        <f>IF(L1417&gt;2005,AVERAGE(O1414:O1433),0)</f>
        <v>0</v>
      </c>
      <c r="S1417" s="10">
        <f>IF(A1417=A1418,(N1417-N1418)/N1418,0)</f>
        <v>0</v>
      </c>
      <c r="T1417" s="10">
        <f>IF(L1417&gt;2005,(((N1417-N1437)/N1437)+1)^(1/5)-1,0)</f>
        <v>0</v>
      </c>
      <c r="U1417" s="10">
        <f t="shared" si="46"/>
        <v>0</v>
      </c>
      <c r="V1417" s="26">
        <f t="shared" si="47"/>
        <v>0</v>
      </c>
      <c r="W1417" s="3">
        <f>IF(A1417=A1418,N1417-N1418,0)</f>
        <v>0</v>
      </c>
      <c r="X1417" s="10">
        <f>IF(A1417=A1418,(N1417-N1418)/N1418,0)</f>
        <v>0</v>
      </c>
    </row>
    <row r="1418" spans="1:24" ht="16.5" customHeight="1">
      <c r="A1418" s="3" t="s">
        <v>39</v>
      </c>
      <c r="B1418" s="3">
        <f t="shared" si="40"/>
        <v>2012</v>
      </c>
      <c r="C1418" s="3">
        <f t="shared" si="41"/>
        <v>9</v>
      </c>
      <c r="D1418" s="20" t="str">
        <f t="shared" si="42"/>
        <v>ITW20129</v>
      </c>
      <c r="E1418" s="2">
        <v>41178</v>
      </c>
      <c r="F1418" s="3">
        <v>0.38</v>
      </c>
      <c r="G1418" s="2">
        <v>41192</v>
      </c>
      <c r="H1418" s="3">
        <v>2.4400000000000002E-2</v>
      </c>
      <c r="I1418" s="3">
        <v>5.5555555999999999E-2</v>
      </c>
      <c r="J1418" s="3">
        <v>0.02</v>
      </c>
      <c r="K1418" s="3">
        <f t="shared" si="43"/>
        <v>2012</v>
      </c>
      <c r="L1418" s="3">
        <f t="shared" si="44"/>
        <v>0</v>
      </c>
      <c r="M1418" s="20" t="str">
        <f>A1418&amp;L1418</f>
        <v>ITW0</v>
      </c>
      <c r="N1418" s="3">
        <f>F1418</f>
        <v>0.38</v>
      </c>
      <c r="O1418" s="9">
        <f>H1418</f>
        <v>2.4400000000000002E-2</v>
      </c>
      <c r="P1418" s="10">
        <f t="shared" si="45"/>
        <v>2.6499999999999999E-2</v>
      </c>
      <c r="Q1418" s="10">
        <f>IF(K1418=0,IF(A1415=A1418,AVERAGE(O1415:O1418),"x"),0)</f>
        <v>0</v>
      </c>
      <c r="R1418" s="9">
        <f>IF(L1418&gt;2005,AVERAGE(O1415:O1434),0)</f>
        <v>0</v>
      </c>
      <c r="S1418" s="10">
        <f>IF(A1418=A1419,(N1418-N1419)/N1419,0)</f>
        <v>5.5555555555555608E-2</v>
      </c>
      <c r="T1418" s="10">
        <f>IF(L1418&gt;2005,(((N1418-N1438)/N1438)+1)^(1/5)-1,0)</f>
        <v>0</v>
      </c>
      <c r="U1418" s="10">
        <f t="shared" si="46"/>
        <v>0</v>
      </c>
      <c r="V1418" s="26">
        <f t="shared" si="47"/>
        <v>0</v>
      </c>
      <c r="W1418" s="3">
        <f>IF(A1418=A1419,N1418-N1419,0)</f>
        <v>2.0000000000000018E-2</v>
      </c>
      <c r="X1418" s="10">
        <f>IF(A1418=A1419,(N1418-N1419)/N1419,0)</f>
        <v>5.5555555555555608E-2</v>
      </c>
    </row>
    <row r="1419" spans="1:24" ht="16.5" customHeight="1">
      <c r="A1419" s="3" t="s">
        <v>39</v>
      </c>
      <c r="B1419" s="3">
        <f t="shared" si="40"/>
        <v>2012</v>
      </c>
      <c r="C1419" s="3">
        <f t="shared" si="41"/>
        <v>6</v>
      </c>
      <c r="D1419" s="20" t="str">
        <f t="shared" si="42"/>
        <v>ITW20126</v>
      </c>
      <c r="E1419" s="2">
        <v>41087</v>
      </c>
      <c r="F1419" s="3">
        <v>0.36</v>
      </c>
      <c r="G1419" s="2">
        <v>41100</v>
      </c>
      <c r="H1419" s="3">
        <v>2.7799999999999998E-2</v>
      </c>
      <c r="I1419" s="3">
        <v>0</v>
      </c>
      <c r="J1419" s="3">
        <v>0</v>
      </c>
      <c r="K1419" s="3">
        <f t="shared" si="43"/>
        <v>2012</v>
      </c>
      <c r="L1419" s="3">
        <f t="shared" si="44"/>
        <v>0</v>
      </c>
      <c r="M1419" s="20" t="str">
        <f>A1419&amp;L1419</f>
        <v>ITW0</v>
      </c>
      <c r="N1419" s="3">
        <f>F1419</f>
        <v>0.36</v>
      </c>
      <c r="O1419" s="9">
        <f>H1419</f>
        <v>2.7799999999999998E-2</v>
      </c>
      <c r="P1419" s="10">
        <f t="shared" si="45"/>
        <v>0</v>
      </c>
      <c r="Q1419" s="10">
        <f>IF(K1419=0,IF(A1416=A1419,AVERAGE(O1416:O1419),"x"),0)</f>
        <v>0</v>
      </c>
      <c r="R1419" s="9">
        <f>IF(L1419&gt;2005,AVERAGE(O1416:O1435),0)</f>
        <v>0</v>
      </c>
      <c r="S1419" s="10">
        <f>IF(A1419=A1420,(N1419-N1420)/N1420,0)</f>
        <v>0</v>
      </c>
      <c r="T1419" s="10">
        <f>IF(L1419&gt;2005,(((N1419-N1439)/N1439)+1)^(1/5)-1,0)</f>
        <v>0</v>
      </c>
      <c r="U1419" s="10">
        <f t="shared" si="46"/>
        <v>0</v>
      </c>
      <c r="V1419" s="26">
        <f t="shared" si="47"/>
        <v>0</v>
      </c>
      <c r="W1419" s="3">
        <f>IF(A1419=A1420,N1419-N1420,0)</f>
        <v>0</v>
      </c>
      <c r="X1419" s="10">
        <f>IF(A1419=A1420,(N1419-N1420)/N1420,0)</f>
        <v>0</v>
      </c>
    </row>
    <row r="1420" spans="1:24" ht="16.5" customHeight="1">
      <c r="A1420" s="3" t="s">
        <v>39</v>
      </c>
      <c r="B1420" s="3">
        <f t="shared" si="40"/>
        <v>2012</v>
      </c>
      <c r="C1420" s="3">
        <f t="shared" si="41"/>
        <v>3</v>
      </c>
      <c r="D1420" s="20" t="str">
        <f t="shared" si="42"/>
        <v>ITW20123</v>
      </c>
      <c r="E1420" s="2">
        <v>40996</v>
      </c>
      <c r="F1420" s="3">
        <v>0.36</v>
      </c>
      <c r="G1420" s="2">
        <v>41009</v>
      </c>
      <c r="H1420" s="3">
        <v>2.46E-2</v>
      </c>
      <c r="I1420" s="3">
        <v>0</v>
      </c>
      <c r="J1420" s="3">
        <v>0</v>
      </c>
      <c r="K1420" s="3">
        <f t="shared" si="43"/>
        <v>0</v>
      </c>
      <c r="L1420" s="3">
        <f t="shared" si="44"/>
        <v>2012</v>
      </c>
      <c r="M1420" s="20" t="str">
        <f>A1420&amp;L1420</f>
        <v>ITW2012</v>
      </c>
      <c r="N1420" s="3">
        <f>F1420</f>
        <v>0.36</v>
      </c>
      <c r="O1420" s="9">
        <f>H1420</f>
        <v>2.46E-2</v>
      </c>
      <c r="P1420" s="10">
        <f t="shared" si="45"/>
        <v>0</v>
      </c>
      <c r="Q1420" s="10">
        <f>IF(K1420=0,IF(A1417=A1420,AVERAGE(O1417:O1420),"x"),0)</f>
        <v>2.5174999999999999E-2</v>
      </c>
      <c r="R1420" s="9">
        <f>IF(L1420&gt;2005,AVERAGE(O1417:O1436),0)</f>
        <v>2.7305000000000003E-2</v>
      </c>
      <c r="S1420" s="10">
        <f>IF(A1420=A1421,(N1420-N1421)/N1421,0)</f>
        <v>0</v>
      </c>
      <c r="T1420" s="10">
        <f>IF(L1420&gt;2005,(((N1420-N1440)/N1440)+1)^(1/5)-1,0)</f>
        <v>0.11382417860287908</v>
      </c>
      <c r="U1420" s="10">
        <f t="shared" si="46"/>
        <v>0.14112917860287907</v>
      </c>
      <c r="V1420" s="26">
        <f t="shared" si="47"/>
        <v>4.6523266911475245</v>
      </c>
      <c r="W1420" s="3">
        <f>IF(A1420=A1421,N1420-N1421,0)</f>
        <v>0</v>
      </c>
      <c r="X1420" s="10">
        <f>IF(A1420=A1421,(N1420-N1421)/N1421,0)</f>
        <v>0</v>
      </c>
    </row>
    <row r="1421" spans="1:24" ht="16.5" customHeight="1">
      <c r="A1421" s="3" t="s">
        <v>39</v>
      </c>
      <c r="B1421" s="3">
        <f t="shared" si="40"/>
        <v>2011</v>
      </c>
      <c r="C1421" s="3">
        <f t="shared" si="41"/>
        <v>12</v>
      </c>
      <c r="D1421" s="20" t="str">
        <f t="shared" si="42"/>
        <v>ITW201112</v>
      </c>
      <c r="E1421" s="2">
        <v>40905</v>
      </c>
      <c r="F1421" s="3">
        <v>0.36</v>
      </c>
      <c r="G1421" s="2">
        <v>40918</v>
      </c>
      <c r="H1421" s="3">
        <v>2.92E-2</v>
      </c>
      <c r="I1421" s="3">
        <v>0</v>
      </c>
      <c r="J1421" s="3">
        <v>0</v>
      </c>
      <c r="K1421" s="3">
        <f t="shared" si="43"/>
        <v>2011</v>
      </c>
      <c r="L1421" s="3">
        <f t="shared" si="44"/>
        <v>0</v>
      </c>
      <c r="M1421" s="20" t="str">
        <f>A1421&amp;L1421</f>
        <v>ITW0</v>
      </c>
      <c r="N1421" s="3">
        <f>F1421</f>
        <v>0.36</v>
      </c>
      <c r="O1421" s="9">
        <f>H1421</f>
        <v>2.92E-2</v>
      </c>
      <c r="P1421" s="10">
        <f t="shared" si="45"/>
        <v>0</v>
      </c>
      <c r="Q1421" s="10">
        <f>IF(K1421=0,IF(A1418=A1421,AVERAGE(O1418:O1421),"x"),0)</f>
        <v>0</v>
      </c>
      <c r="R1421" s="9">
        <f>IF(L1421&gt;2005,AVERAGE(O1418:O1437),0)</f>
        <v>0</v>
      </c>
      <c r="S1421" s="10">
        <f>IF(A1421=A1422,(N1421-N1422)/N1422,0)</f>
        <v>0</v>
      </c>
      <c r="T1421" s="10">
        <f>IF(L1421&gt;2005,(((N1421-N1441)/N1441)+1)^(1/5)-1,0)</f>
        <v>0</v>
      </c>
      <c r="U1421" s="10">
        <f t="shared" si="46"/>
        <v>0</v>
      </c>
      <c r="V1421" s="26">
        <f t="shared" si="47"/>
        <v>0</v>
      </c>
      <c r="W1421" s="3">
        <f>IF(A1421=A1422,N1421-N1422,0)</f>
        <v>0</v>
      </c>
      <c r="X1421" s="10">
        <f>IF(A1421=A1422,(N1421-N1422)/N1422,0)</f>
        <v>0</v>
      </c>
    </row>
    <row r="1422" spans="1:24" ht="16.5" customHeight="1">
      <c r="A1422" s="3" t="s">
        <v>39</v>
      </c>
      <c r="B1422" s="3">
        <f t="shared" si="40"/>
        <v>2011</v>
      </c>
      <c r="C1422" s="3">
        <f t="shared" si="41"/>
        <v>9</v>
      </c>
      <c r="D1422" s="20" t="str">
        <f t="shared" si="42"/>
        <v>ITW20119</v>
      </c>
      <c r="E1422" s="2">
        <v>40814</v>
      </c>
      <c r="F1422" s="3">
        <v>0.36</v>
      </c>
      <c r="G1422" s="2">
        <v>40828</v>
      </c>
      <c r="H1422" s="3">
        <v>3.0700000000000002E-2</v>
      </c>
      <c r="I1422" s="3">
        <v>5.8823528999999999E-2</v>
      </c>
      <c r="J1422" s="3">
        <v>0.02</v>
      </c>
      <c r="K1422" s="3">
        <f t="shared" si="43"/>
        <v>2011</v>
      </c>
      <c r="L1422" s="3">
        <f t="shared" si="44"/>
        <v>0</v>
      </c>
      <c r="M1422" s="20" t="str">
        <f>A1422&amp;L1422</f>
        <v>ITW0</v>
      </c>
      <c r="N1422" s="3">
        <f>F1422</f>
        <v>0.36</v>
      </c>
      <c r="O1422" s="9">
        <f>H1422</f>
        <v>3.0700000000000002E-2</v>
      </c>
      <c r="P1422" s="10">
        <f t="shared" si="45"/>
        <v>2.605E-2</v>
      </c>
      <c r="Q1422" s="10">
        <f>IF(K1422=0,IF(A1419=A1422,AVERAGE(O1419:O1422),"x"),0)</f>
        <v>0</v>
      </c>
      <c r="R1422" s="9">
        <f>IF(L1422&gt;2005,AVERAGE(O1419:O1438),0)</f>
        <v>0</v>
      </c>
      <c r="S1422" s="10">
        <f>IF(A1422=A1423,(N1422-N1423)/N1423,0)</f>
        <v>5.8823529411764594E-2</v>
      </c>
      <c r="T1422" s="10">
        <f>IF(L1422&gt;2005,(((N1422-N1442)/N1442)+1)^(1/5)-1,0)</f>
        <v>0</v>
      </c>
      <c r="U1422" s="10">
        <f t="shared" si="46"/>
        <v>0</v>
      </c>
      <c r="V1422" s="26">
        <f t="shared" si="47"/>
        <v>0</v>
      </c>
      <c r="W1422" s="3">
        <f>IF(A1422=A1423,N1422-N1423,0)</f>
        <v>1.9999999999999962E-2</v>
      </c>
      <c r="X1422" s="10">
        <f>IF(A1422=A1423,(N1422-N1423)/N1423,0)</f>
        <v>5.8823529411764594E-2</v>
      </c>
    </row>
    <row r="1423" spans="1:24" ht="16.5" customHeight="1">
      <c r="A1423" s="3" t="s">
        <v>39</v>
      </c>
      <c r="B1423" s="3">
        <f t="shared" si="40"/>
        <v>2011</v>
      </c>
      <c r="C1423" s="3">
        <f t="shared" si="41"/>
        <v>6</v>
      </c>
      <c r="D1423" s="20" t="str">
        <f t="shared" si="42"/>
        <v>ITW20116</v>
      </c>
      <c r="E1423" s="2">
        <v>40722</v>
      </c>
      <c r="F1423" s="3">
        <v>0.34</v>
      </c>
      <c r="G1423" s="2">
        <v>40736</v>
      </c>
      <c r="H1423" s="3">
        <v>2.4799999999999999E-2</v>
      </c>
      <c r="I1423" s="3">
        <v>0</v>
      </c>
      <c r="J1423" s="3">
        <v>0</v>
      </c>
      <c r="K1423" s="3">
        <f t="shared" si="43"/>
        <v>2011</v>
      </c>
      <c r="L1423" s="3">
        <f t="shared" si="44"/>
        <v>0</v>
      </c>
      <c r="M1423" s="20" t="str">
        <f>A1423&amp;L1423</f>
        <v>ITW0</v>
      </c>
      <c r="N1423" s="3">
        <f>F1423</f>
        <v>0.34</v>
      </c>
      <c r="O1423" s="9">
        <f>H1423</f>
        <v>2.4799999999999999E-2</v>
      </c>
      <c r="P1423" s="10">
        <f t="shared" si="45"/>
        <v>0</v>
      </c>
      <c r="Q1423" s="10">
        <f>IF(K1423=0,IF(A1420=A1423,AVERAGE(O1420:O1423),"x"),0)</f>
        <v>0</v>
      </c>
      <c r="R1423" s="9">
        <f>IF(L1423&gt;2005,AVERAGE(O1420:O1439),0)</f>
        <v>0</v>
      </c>
      <c r="S1423" s="10">
        <f>IF(A1423=A1424,(N1423-N1424)/N1424,0)</f>
        <v>0</v>
      </c>
      <c r="T1423" s="10">
        <f>IF(L1423&gt;2005,(((N1423-N1443)/N1443)+1)^(1/5)-1,0)</f>
        <v>0</v>
      </c>
      <c r="U1423" s="10">
        <f t="shared" si="46"/>
        <v>0</v>
      </c>
      <c r="V1423" s="26">
        <f t="shared" si="47"/>
        <v>0</v>
      </c>
      <c r="W1423" s="3">
        <f>IF(A1423=A1424,N1423-N1424,0)</f>
        <v>0</v>
      </c>
      <c r="X1423" s="10">
        <f>IF(A1423=A1424,(N1423-N1424)/N1424,0)</f>
        <v>0</v>
      </c>
    </row>
    <row r="1424" spans="1:24" ht="16.5" customHeight="1">
      <c r="A1424" s="3" t="s">
        <v>39</v>
      </c>
      <c r="B1424" s="3">
        <f t="shared" si="40"/>
        <v>2011</v>
      </c>
      <c r="C1424" s="3">
        <f t="shared" si="41"/>
        <v>3</v>
      </c>
      <c r="D1424" s="20" t="str">
        <f t="shared" si="42"/>
        <v>ITW20113</v>
      </c>
      <c r="E1424" s="2">
        <v>40631</v>
      </c>
      <c r="F1424" s="3">
        <v>0.34</v>
      </c>
      <c r="G1424" s="2">
        <v>40645</v>
      </c>
      <c r="H1424" s="3">
        <v>2.4500000000000001E-2</v>
      </c>
      <c r="I1424" s="3">
        <v>0</v>
      </c>
      <c r="J1424" s="3">
        <v>0</v>
      </c>
      <c r="K1424" s="3">
        <f t="shared" si="43"/>
        <v>0</v>
      </c>
      <c r="L1424" s="3">
        <f t="shared" si="44"/>
        <v>2011</v>
      </c>
      <c r="M1424" s="20" t="str">
        <f>A1424&amp;L1424</f>
        <v>ITW2011</v>
      </c>
      <c r="N1424" s="3">
        <f>F1424</f>
        <v>0.34</v>
      </c>
      <c r="O1424" s="9">
        <f>H1424</f>
        <v>2.4500000000000001E-2</v>
      </c>
      <c r="P1424" s="10">
        <f t="shared" si="45"/>
        <v>0</v>
      </c>
      <c r="Q1424" s="10">
        <f>IF(K1424=0,IF(A1421=A1424,AVERAGE(O1421:O1424),"x"),0)</f>
        <v>2.7299999999999998E-2</v>
      </c>
      <c r="R1424" s="9">
        <f>IF(L1424&gt;2005,AVERAGE(O1421:O1440),0)</f>
        <v>2.5485000000000001E-2</v>
      </c>
      <c r="S1424" s="10">
        <f>IF(A1424=A1425,(N1424-N1425)/N1425,0)</f>
        <v>0</v>
      </c>
      <c r="T1424" s="10">
        <f>IF(L1424&gt;2005,(((N1424-N1444)/N1444)+1)^(1/5)-1,0)</f>
        <v>0.15557728012426564</v>
      </c>
      <c r="U1424" s="10">
        <f t="shared" si="46"/>
        <v>0.18106228012426565</v>
      </c>
      <c r="V1424" s="26">
        <f t="shared" si="47"/>
        <v>4.6854923367980694</v>
      </c>
      <c r="W1424" s="3">
        <f>IF(A1424=A1425,N1424-N1425,0)</f>
        <v>0</v>
      </c>
      <c r="X1424" s="10">
        <f>IF(A1424=A1425,(N1424-N1425)/N1425,0)</f>
        <v>0</v>
      </c>
    </row>
    <row r="1425" spans="1:24" ht="16.5" customHeight="1">
      <c r="A1425" s="3" t="s">
        <v>39</v>
      </c>
      <c r="B1425" s="3">
        <f t="shared" si="40"/>
        <v>2010</v>
      </c>
      <c r="C1425" s="3">
        <f t="shared" si="41"/>
        <v>12</v>
      </c>
      <c r="D1425" s="20" t="str">
        <f t="shared" si="42"/>
        <v>ITW201012</v>
      </c>
      <c r="E1425" s="2">
        <v>40541</v>
      </c>
      <c r="F1425" s="3">
        <v>0.34</v>
      </c>
      <c r="G1425" s="2">
        <v>40554</v>
      </c>
      <c r="H1425" s="3">
        <v>2.4199999999999999E-2</v>
      </c>
      <c r="I1425" s="3">
        <v>0</v>
      </c>
      <c r="J1425" s="3">
        <v>0</v>
      </c>
      <c r="K1425" s="3">
        <f t="shared" si="43"/>
        <v>2010</v>
      </c>
      <c r="L1425" s="3">
        <f t="shared" si="44"/>
        <v>0</v>
      </c>
      <c r="M1425" s="20" t="str">
        <f>A1425&amp;L1425</f>
        <v>ITW0</v>
      </c>
      <c r="N1425" s="3">
        <f>F1425</f>
        <v>0.34</v>
      </c>
      <c r="O1425" s="9">
        <f>H1425</f>
        <v>2.4199999999999999E-2</v>
      </c>
      <c r="P1425" s="10">
        <f t="shared" si="45"/>
        <v>0</v>
      </c>
      <c r="Q1425" s="10">
        <f>IF(K1425=0,IF(A1422=A1425,AVERAGE(O1422:O1425),"x"),0)</f>
        <v>0</v>
      </c>
      <c r="R1425" s="9">
        <f>IF(L1425&gt;2005,AVERAGE(O1422:O1441),0)</f>
        <v>0</v>
      </c>
      <c r="S1425" s="10">
        <f>IF(A1425=A1426,(N1425-N1426)/N1426,0)</f>
        <v>0</v>
      </c>
      <c r="T1425" s="10">
        <f>IF(L1425&gt;2005,(((N1425-N1445)/N1445)+1)^(1/5)-1,0)</f>
        <v>0</v>
      </c>
      <c r="U1425" s="10">
        <f t="shared" si="46"/>
        <v>0</v>
      </c>
      <c r="V1425" s="26">
        <f t="shared" si="47"/>
        <v>0</v>
      </c>
      <c r="W1425" s="3">
        <f>IF(A1425=A1426,N1425-N1426,0)</f>
        <v>0</v>
      </c>
      <c r="X1425" s="10">
        <f>IF(A1425=A1426,(N1425-N1426)/N1426,0)</f>
        <v>0</v>
      </c>
    </row>
    <row r="1426" spans="1:24" ht="16.5" customHeight="1">
      <c r="A1426" s="3" t="s">
        <v>39</v>
      </c>
      <c r="B1426" s="3">
        <f t="shared" si="40"/>
        <v>2010</v>
      </c>
      <c r="C1426" s="3">
        <f t="shared" si="41"/>
        <v>9</v>
      </c>
      <c r="D1426" s="20" t="str">
        <f t="shared" si="42"/>
        <v>ITW20109</v>
      </c>
      <c r="E1426" s="2">
        <v>40449</v>
      </c>
      <c r="F1426" s="3">
        <v>0.34</v>
      </c>
      <c r="G1426" s="2">
        <v>40464</v>
      </c>
      <c r="H1426" s="3">
        <v>2.7099999999999999E-2</v>
      </c>
      <c r="I1426" s="3">
        <v>9.6774193999999994E-2</v>
      </c>
      <c r="J1426" s="3">
        <v>0.03</v>
      </c>
      <c r="K1426" s="3">
        <f t="shared" si="43"/>
        <v>2010</v>
      </c>
      <c r="L1426" s="3">
        <f t="shared" si="44"/>
        <v>0</v>
      </c>
      <c r="M1426" s="20" t="str">
        <f>A1426&amp;L1426</f>
        <v>ITW0</v>
      </c>
      <c r="N1426" s="3">
        <f>F1426</f>
        <v>0.34</v>
      </c>
      <c r="O1426" s="9">
        <f>H1426</f>
        <v>2.7099999999999999E-2</v>
      </c>
      <c r="P1426" s="10">
        <f t="shared" si="45"/>
        <v>2.6800000000000001E-2</v>
      </c>
      <c r="Q1426" s="10">
        <f>IF(K1426=0,IF(A1423=A1426,AVERAGE(O1423:O1426),"x"),0)</f>
        <v>0</v>
      </c>
      <c r="R1426" s="9">
        <f>IF(L1426&gt;2005,AVERAGE(O1423:O1442),0)</f>
        <v>0</v>
      </c>
      <c r="S1426" s="10">
        <f>IF(A1426=A1427,(N1426-N1427)/N1427,0)</f>
        <v>9.6774193548387177E-2</v>
      </c>
      <c r="T1426" s="10">
        <f>IF(L1426&gt;2005,(((N1426-N1446)/N1446)+1)^(1/5)-1,0)</f>
        <v>0</v>
      </c>
      <c r="U1426" s="10">
        <f t="shared" si="46"/>
        <v>0</v>
      </c>
      <c r="V1426" s="26">
        <f t="shared" si="47"/>
        <v>0</v>
      </c>
      <c r="W1426" s="3">
        <f>IF(A1426=A1427,N1426-N1427,0)</f>
        <v>3.0000000000000027E-2</v>
      </c>
      <c r="X1426" s="10">
        <f>IF(A1426=A1427,(N1426-N1427)/N1427,0)</f>
        <v>9.6774193548387177E-2</v>
      </c>
    </row>
    <row r="1427" spans="1:24" ht="16.5" customHeight="1">
      <c r="A1427" s="3" t="s">
        <v>39</v>
      </c>
      <c r="B1427" s="3">
        <f t="shared" si="40"/>
        <v>2010</v>
      </c>
      <c r="C1427" s="3">
        <f t="shared" si="41"/>
        <v>6</v>
      </c>
      <c r="D1427" s="20" t="str">
        <f t="shared" si="42"/>
        <v>ITW20106</v>
      </c>
      <c r="E1427" s="2">
        <v>40357</v>
      </c>
      <c r="F1427" s="3">
        <v>0.31</v>
      </c>
      <c r="G1427" s="2">
        <v>40372</v>
      </c>
      <c r="H1427" s="3">
        <v>2.81E-2</v>
      </c>
      <c r="I1427" s="3">
        <v>0</v>
      </c>
      <c r="J1427" s="3">
        <v>0</v>
      </c>
      <c r="K1427" s="3">
        <f t="shared" si="43"/>
        <v>2010</v>
      </c>
      <c r="L1427" s="3">
        <f t="shared" si="44"/>
        <v>0</v>
      </c>
      <c r="M1427" s="20" t="str">
        <f>A1427&amp;L1427</f>
        <v>ITW0</v>
      </c>
      <c r="N1427" s="3">
        <f>F1427</f>
        <v>0.31</v>
      </c>
      <c r="O1427" s="9">
        <f>H1427</f>
        <v>2.81E-2</v>
      </c>
      <c r="P1427" s="10">
        <f t="shared" si="45"/>
        <v>0</v>
      </c>
      <c r="Q1427" s="10">
        <f>IF(K1427=0,IF(A1424=A1427,AVERAGE(O1424:O1427),"x"),0)</f>
        <v>0</v>
      </c>
      <c r="R1427" s="9">
        <f>IF(L1427&gt;2005,AVERAGE(O1424:O1443),0)</f>
        <v>0</v>
      </c>
      <c r="S1427" s="10">
        <f>IF(A1427=A1428,(N1427-N1428)/N1428,0)</f>
        <v>0</v>
      </c>
      <c r="T1427" s="10">
        <f>IF(L1427&gt;2005,(((N1427-N1447)/N1447)+1)^(1/5)-1,0)</f>
        <v>0</v>
      </c>
      <c r="U1427" s="10">
        <f t="shared" si="46"/>
        <v>0</v>
      </c>
      <c r="V1427" s="26">
        <f t="shared" si="47"/>
        <v>0</v>
      </c>
      <c r="W1427" s="3">
        <f>IF(A1427=A1428,N1427-N1428,0)</f>
        <v>0</v>
      </c>
      <c r="X1427" s="10">
        <f>IF(A1427=A1428,(N1427-N1428)/N1428,0)</f>
        <v>0</v>
      </c>
    </row>
    <row r="1428" spans="1:24" ht="16.5" customHeight="1">
      <c r="A1428" s="3" t="s">
        <v>39</v>
      </c>
      <c r="B1428" s="3">
        <f t="shared" si="40"/>
        <v>2010</v>
      </c>
      <c r="C1428" s="3">
        <f t="shared" si="41"/>
        <v>3</v>
      </c>
      <c r="D1428" s="20" t="str">
        <f t="shared" si="42"/>
        <v>ITW20103</v>
      </c>
      <c r="E1428" s="2">
        <v>40266</v>
      </c>
      <c r="F1428" s="3">
        <v>0.31</v>
      </c>
      <c r="G1428" s="2">
        <v>40281</v>
      </c>
      <c r="H1428" s="3">
        <v>2.63E-2</v>
      </c>
      <c r="I1428" s="3">
        <v>0</v>
      </c>
      <c r="J1428" s="3">
        <v>0</v>
      </c>
      <c r="K1428" s="3">
        <f t="shared" si="43"/>
        <v>0</v>
      </c>
      <c r="L1428" s="3">
        <f t="shared" si="44"/>
        <v>2010</v>
      </c>
      <c r="M1428" s="20" t="str">
        <f>A1428&amp;L1428</f>
        <v>ITW2010</v>
      </c>
      <c r="N1428" s="3">
        <f>F1428</f>
        <v>0.31</v>
      </c>
      <c r="O1428" s="9">
        <f>H1428</f>
        <v>2.63E-2</v>
      </c>
      <c r="P1428" s="10">
        <f t="shared" si="45"/>
        <v>0</v>
      </c>
      <c r="Q1428" s="10">
        <f>IF(K1428=0,IF(A1425=A1428,AVERAGE(O1425:O1428),"x"),0)</f>
        <v>2.6425000000000001E-2</v>
      </c>
      <c r="R1428" s="9">
        <f>IF(L1428&gt;2005,AVERAGE(O1425:O1444),0)</f>
        <v>2.2965000000000003E-2</v>
      </c>
      <c r="S1428" s="10">
        <f>IF(A1428=A1429,(N1428-N1429)/N1429,0)</f>
        <v>0</v>
      </c>
      <c r="T1428" s="10">
        <f>IF(L1428&gt;2005,(((N1428-N1448)/N1448)+1)^(1/5)-1,0)</f>
        <v>0.17232150472580798</v>
      </c>
      <c r="U1428" s="10">
        <f t="shared" si="46"/>
        <v>0.195286504725808</v>
      </c>
      <c r="V1428" s="26">
        <f t="shared" si="47"/>
        <v>4.7190826904426588</v>
      </c>
      <c r="W1428" s="3">
        <f>IF(A1428=A1429,N1428-N1429,0)</f>
        <v>0</v>
      </c>
      <c r="X1428" s="10">
        <f>IF(A1428=A1429,(N1428-N1429)/N1429,0)</f>
        <v>0</v>
      </c>
    </row>
    <row r="1429" spans="1:24" ht="16.5" customHeight="1">
      <c r="A1429" s="3" t="s">
        <v>39</v>
      </c>
      <c r="B1429" s="3">
        <f t="shared" si="40"/>
        <v>2009</v>
      </c>
      <c r="C1429" s="3">
        <f t="shared" si="41"/>
        <v>12</v>
      </c>
      <c r="D1429" s="20" t="str">
        <f t="shared" si="42"/>
        <v>ITW200912</v>
      </c>
      <c r="E1429" s="2">
        <v>40176</v>
      </c>
      <c r="F1429" s="3">
        <v>0.31</v>
      </c>
      <c r="G1429" s="2">
        <v>40190</v>
      </c>
      <c r="H1429" s="3">
        <v>2.5700000000000001E-2</v>
      </c>
      <c r="I1429" s="3">
        <v>0</v>
      </c>
      <c r="J1429" s="3">
        <v>0</v>
      </c>
      <c r="K1429" s="3">
        <f t="shared" si="43"/>
        <v>2009</v>
      </c>
      <c r="L1429" s="3">
        <f t="shared" si="44"/>
        <v>0</v>
      </c>
      <c r="M1429" s="20" t="str">
        <f>A1429&amp;L1429</f>
        <v>ITW0</v>
      </c>
      <c r="N1429" s="3">
        <f>F1429</f>
        <v>0.31</v>
      </c>
      <c r="O1429" s="9">
        <f>H1429</f>
        <v>2.5700000000000001E-2</v>
      </c>
      <c r="P1429" s="10">
        <f t="shared" si="45"/>
        <v>0</v>
      </c>
      <c r="Q1429" s="10">
        <f>IF(K1429=0,IF(A1426=A1429,AVERAGE(O1426:O1429),"x"),0)</f>
        <v>0</v>
      </c>
      <c r="R1429" s="9">
        <f>IF(L1429&gt;2005,AVERAGE(O1426:O1445),0)</f>
        <v>0</v>
      </c>
      <c r="S1429" s="10">
        <f>IF(A1429=A1430,(N1429-N1430)/N1430,0)</f>
        <v>0</v>
      </c>
      <c r="T1429" s="10">
        <f>IF(L1429&gt;2005,(((N1429-N1449)/N1449)+1)^(1/5)-1,0)</f>
        <v>0</v>
      </c>
      <c r="U1429" s="10">
        <f t="shared" si="46"/>
        <v>0</v>
      </c>
      <c r="V1429" s="26">
        <f t="shared" si="47"/>
        <v>0</v>
      </c>
      <c r="W1429" s="3">
        <f>IF(A1429=A1430,N1429-N1430,0)</f>
        <v>0</v>
      </c>
      <c r="X1429" s="10">
        <f>IF(A1429=A1430,(N1429-N1430)/N1430,0)</f>
        <v>0</v>
      </c>
    </row>
    <row r="1430" spans="1:24" ht="16.5" customHeight="1">
      <c r="A1430" s="3" t="s">
        <v>39</v>
      </c>
      <c r="B1430" s="3">
        <f t="shared" si="40"/>
        <v>2009</v>
      </c>
      <c r="C1430" s="3">
        <f t="shared" si="41"/>
        <v>9</v>
      </c>
      <c r="D1430" s="20" t="str">
        <f t="shared" si="42"/>
        <v>ITW20099</v>
      </c>
      <c r="E1430" s="2">
        <v>40084</v>
      </c>
      <c r="F1430" s="3">
        <v>0.31</v>
      </c>
      <c r="G1430" s="2">
        <v>40100</v>
      </c>
      <c r="H1430" s="3">
        <v>2.93E-2</v>
      </c>
      <c r="I1430" s="3">
        <v>0</v>
      </c>
      <c r="J1430" s="3">
        <v>0</v>
      </c>
      <c r="K1430" s="3">
        <f t="shared" si="43"/>
        <v>2009</v>
      </c>
      <c r="L1430" s="3">
        <f t="shared" si="44"/>
        <v>0</v>
      </c>
      <c r="M1430" s="20" t="str">
        <f>A1430&amp;L1430</f>
        <v>ITW0</v>
      </c>
      <c r="N1430" s="3">
        <f>F1430</f>
        <v>0.31</v>
      </c>
      <c r="O1430" s="9">
        <f>H1430</f>
        <v>2.93E-2</v>
      </c>
      <c r="P1430" s="10">
        <f t="shared" si="45"/>
        <v>0</v>
      </c>
      <c r="Q1430" s="10">
        <f>IF(K1430=0,IF(A1427=A1430,AVERAGE(O1427:O1430),"x"),0)</f>
        <v>0</v>
      </c>
      <c r="R1430" s="9">
        <f>IF(L1430&gt;2005,AVERAGE(O1427:O1446),0)</f>
        <v>0</v>
      </c>
      <c r="S1430" s="10">
        <f>IF(A1430=A1431,(N1430-N1431)/N1431,0)</f>
        <v>0</v>
      </c>
      <c r="T1430" s="10">
        <f>IF(L1430&gt;2005,(((N1430-N1450)/N1450)+1)^(1/5)-1,0)</f>
        <v>0</v>
      </c>
      <c r="U1430" s="10">
        <f t="shared" si="46"/>
        <v>0</v>
      </c>
      <c r="V1430" s="26">
        <f t="shared" si="47"/>
        <v>0</v>
      </c>
      <c r="W1430" s="3">
        <f>IF(A1430=A1431,N1430-N1431,0)</f>
        <v>0</v>
      </c>
      <c r="X1430" s="10">
        <f>IF(A1430=A1431,(N1430-N1431)/N1431,0)</f>
        <v>0</v>
      </c>
    </row>
    <row r="1431" spans="1:24" ht="16.5" customHeight="1">
      <c r="A1431" s="3" t="s">
        <v>39</v>
      </c>
      <c r="B1431" s="3">
        <f t="shared" si="40"/>
        <v>2009</v>
      </c>
      <c r="C1431" s="3">
        <f t="shared" si="41"/>
        <v>6</v>
      </c>
      <c r="D1431" s="20" t="str">
        <f t="shared" si="42"/>
        <v>ITW20096</v>
      </c>
      <c r="E1431" s="2">
        <v>39990</v>
      </c>
      <c r="F1431" s="3">
        <v>0.31</v>
      </c>
      <c r="G1431" s="2">
        <v>40008</v>
      </c>
      <c r="H1431" s="3">
        <v>3.3700000000000001E-2</v>
      </c>
      <c r="I1431" s="3">
        <v>0</v>
      </c>
      <c r="J1431" s="3">
        <v>0</v>
      </c>
      <c r="K1431" s="3">
        <f t="shared" si="43"/>
        <v>2009</v>
      </c>
      <c r="L1431" s="3">
        <f t="shared" si="44"/>
        <v>0</v>
      </c>
      <c r="M1431" s="20" t="str">
        <f>A1431&amp;L1431</f>
        <v>ITW0</v>
      </c>
      <c r="N1431" s="3">
        <f>F1431</f>
        <v>0.31</v>
      </c>
      <c r="O1431" s="9">
        <f>H1431</f>
        <v>3.3700000000000001E-2</v>
      </c>
      <c r="P1431" s="10">
        <f t="shared" si="45"/>
        <v>0</v>
      </c>
      <c r="Q1431" s="10">
        <f>IF(K1431=0,IF(A1428=A1431,AVERAGE(O1428:O1431),"x"),0)</f>
        <v>0</v>
      </c>
      <c r="R1431" s="9">
        <f>IF(L1431&gt;2005,AVERAGE(O1428:O1447),0)</f>
        <v>0</v>
      </c>
      <c r="S1431" s="10">
        <f>IF(A1431=A1432,(N1431-N1432)/N1432,0)</f>
        <v>0</v>
      </c>
      <c r="T1431" s="10">
        <f>IF(L1431&gt;2005,(((N1431-N1451)/N1451)+1)^(1/5)-1,0)</f>
        <v>0</v>
      </c>
      <c r="U1431" s="10">
        <f t="shared" si="46"/>
        <v>0</v>
      </c>
      <c r="V1431" s="26">
        <f t="shared" si="47"/>
        <v>0</v>
      </c>
      <c r="W1431" s="3">
        <f>IF(A1431=A1432,N1431-N1432,0)</f>
        <v>0</v>
      </c>
      <c r="X1431" s="10">
        <f>IF(A1431=A1432,(N1431-N1432)/N1432,0)</f>
        <v>0</v>
      </c>
    </row>
    <row r="1432" spans="1:24" ht="16.5" customHeight="1">
      <c r="A1432" s="3" t="s">
        <v>39</v>
      </c>
      <c r="B1432" s="3">
        <f t="shared" si="40"/>
        <v>2009</v>
      </c>
      <c r="C1432" s="3">
        <f t="shared" si="41"/>
        <v>3</v>
      </c>
      <c r="D1432" s="20" t="str">
        <f t="shared" si="42"/>
        <v>ITW20093</v>
      </c>
      <c r="E1432" s="2">
        <v>39899</v>
      </c>
      <c r="F1432" s="3">
        <v>0.31</v>
      </c>
      <c r="G1432" s="2">
        <v>39917</v>
      </c>
      <c r="H1432" s="3">
        <v>3.73E-2</v>
      </c>
      <c r="I1432" s="3">
        <v>0</v>
      </c>
      <c r="J1432" s="3">
        <v>0</v>
      </c>
      <c r="K1432" s="3">
        <f t="shared" si="43"/>
        <v>0</v>
      </c>
      <c r="L1432" s="3">
        <f t="shared" si="44"/>
        <v>2009</v>
      </c>
      <c r="M1432" s="20" t="str">
        <f>A1432&amp;L1432</f>
        <v>ITW2009</v>
      </c>
      <c r="N1432" s="3">
        <f>F1432</f>
        <v>0.31</v>
      </c>
      <c r="O1432" s="9">
        <f>H1432</f>
        <v>3.73E-2</v>
      </c>
      <c r="P1432" s="10">
        <f t="shared" si="45"/>
        <v>0</v>
      </c>
      <c r="Q1432" s="10">
        <f>IF(K1432=0,IF(A1429=A1432,AVERAGE(O1429:O1432),"x"),0)</f>
        <v>3.15E-2</v>
      </c>
      <c r="R1432" s="9">
        <f>IF(L1432&gt;2005,AVERAGE(O1429:O1448),0)</f>
        <v>2.0390000000000002E-2</v>
      </c>
      <c r="S1432" s="10">
        <f>IF(A1432=A1433,(N1432-N1433)/N1433,0)</f>
        <v>0</v>
      </c>
      <c r="T1432" s="10">
        <f>IF(L1432&gt;2005,(((N1432-N1452)/N1452)+1)^(1/5)-1,0)</f>
        <v>0.20902725032898983</v>
      </c>
      <c r="U1432" s="10">
        <f t="shared" si="46"/>
        <v>0.22941725032898982</v>
      </c>
      <c r="V1432" s="26">
        <f t="shared" si="47"/>
        <v>4.7566569275275565</v>
      </c>
      <c r="W1432" s="3">
        <f>IF(A1432=A1433,N1432-N1433,0)</f>
        <v>0</v>
      </c>
      <c r="X1432" s="10">
        <f>IF(A1432=A1433,(N1432-N1433)/N1433,0)</f>
        <v>0</v>
      </c>
    </row>
    <row r="1433" spans="1:24" ht="16.5" customHeight="1">
      <c r="A1433" s="3" t="s">
        <v>39</v>
      </c>
      <c r="B1433" s="3">
        <f t="shared" si="40"/>
        <v>2008</v>
      </c>
      <c r="C1433" s="3">
        <f t="shared" si="41"/>
        <v>12</v>
      </c>
      <c r="D1433" s="20" t="str">
        <f t="shared" si="42"/>
        <v>ITW200812</v>
      </c>
      <c r="E1433" s="2">
        <v>39811</v>
      </c>
      <c r="F1433" s="3">
        <v>0.31</v>
      </c>
      <c r="G1433" s="2">
        <v>39826</v>
      </c>
      <c r="H1433" s="3">
        <v>3.4599999999999999E-2</v>
      </c>
      <c r="I1433" s="3">
        <v>0</v>
      </c>
      <c r="J1433" s="3">
        <v>0</v>
      </c>
      <c r="K1433" s="3">
        <f t="shared" si="43"/>
        <v>2008</v>
      </c>
      <c r="L1433" s="3">
        <f t="shared" si="44"/>
        <v>0</v>
      </c>
      <c r="M1433" s="20" t="str">
        <f>A1433&amp;L1433</f>
        <v>ITW0</v>
      </c>
      <c r="N1433" s="3">
        <f>F1433</f>
        <v>0.31</v>
      </c>
      <c r="O1433" s="9">
        <f>H1433</f>
        <v>3.4599999999999999E-2</v>
      </c>
      <c r="P1433" s="10">
        <f t="shared" si="45"/>
        <v>0</v>
      </c>
      <c r="Q1433" s="10">
        <f>IF(K1433=0,IF(A1430=A1433,AVERAGE(O1430:O1433),"x"),0)</f>
        <v>0</v>
      </c>
      <c r="R1433" s="9">
        <f>IF(L1433&gt;2005,AVERAGE(O1430:O1449),0)</f>
        <v>0</v>
      </c>
      <c r="S1433" s="10">
        <f>IF(A1433=A1434,(N1433-N1434)/N1434,0)</f>
        <v>0</v>
      </c>
      <c r="T1433" s="10">
        <f>IF(L1433&gt;2005,(((N1433-N1453)/N1453)+1)^(1/5)-1,0)</f>
        <v>0</v>
      </c>
      <c r="U1433" s="10">
        <f t="shared" si="46"/>
        <v>0</v>
      </c>
      <c r="V1433" s="26">
        <f t="shared" si="47"/>
        <v>0</v>
      </c>
      <c r="W1433" s="3">
        <f>IF(A1433=A1434,N1433-N1434,0)</f>
        <v>0</v>
      </c>
      <c r="X1433" s="10">
        <f>IF(A1433=A1434,(N1433-N1434)/N1434,0)</f>
        <v>0</v>
      </c>
    </row>
    <row r="1434" spans="1:24" ht="16.5" customHeight="1">
      <c r="A1434" s="3" t="s">
        <v>39</v>
      </c>
      <c r="B1434" s="3">
        <f t="shared" si="40"/>
        <v>2008</v>
      </c>
      <c r="C1434" s="3">
        <f t="shared" si="41"/>
        <v>9</v>
      </c>
      <c r="D1434" s="20" t="str">
        <f t="shared" si="42"/>
        <v>ITW20089</v>
      </c>
      <c r="E1434" s="2">
        <v>39717</v>
      </c>
      <c r="F1434" s="3">
        <v>0.31</v>
      </c>
      <c r="G1434" s="2">
        <v>39735</v>
      </c>
      <c r="H1434" s="3">
        <v>2.5499999999999998E-2</v>
      </c>
      <c r="I1434" s="3">
        <v>0.10714285699999999</v>
      </c>
      <c r="J1434" s="3">
        <v>0.03</v>
      </c>
      <c r="K1434" s="3">
        <f t="shared" si="43"/>
        <v>2008</v>
      </c>
      <c r="L1434" s="3">
        <f t="shared" si="44"/>
        <v>0</v>
      </c>
      <c r="M1434" s="20" t="str">
        <f>A1434&amp;L1434</f>
        <v>ITW0</v>
      </c>
      <c r="N1434" s="3">
        <f>F1434</f>
        <v>0.31</v>
      </c>
      <c r="O1434" s="9">
        <f>H1434</f>
        <v>2.5499999999999998E-2</v>
      </c>
      <c r="P1434" s="10">
        <f t="shared" si="45"/>
        <v>2.1925E-2</v>
      </c>
      <c r="Q1434" s="10">
        <f>IF(K1434=0,IF(A1431=A1434,AVERAGE(O1431:O1434),"x"),0)</f>
        <v>0</v>
      </c>
      <c r="R1434" s="9">
        <f>IF(L1434&gt;2005,AVERAGE(O1431:O1450),0)</f>
        <v>0</v>
      </c>
      <c r="S1434" s="10">
        <f>IF(A1434=A1435,(N1434-N1435)/N1435,0)</f>
        <v>0.10714285714285703</v>
      </c>
      <c r="T1434" s="10">
        <f>IF(L1434&gt;2005,(((N1434-N1454)/N1454)+1)^(1/5)-1,0)</f>
        <v>0</v>
      </c>
      <c r="U1434" s="10">
        <f t="shared" si="46"/>
        <v>0</v>
      </c>
      <c r="V1434" s="26">
        <f t="shared" si="47"/>
        <v>0</v>
      </c>
      <c r="W1434" s="3">
        <f>IF(A1434=A1435,N1434-N1435,0)</f>
        <v>2.9999999999999971E-2</v>
      </c>
      <c r="X1434" s="10">
        <f>IF(A1434=A1435,(N1434-N1435)/N1435,0)</f>
        <v>0.10714285714285703</v>
      </c>
    </row>
    <row r="1435" spans="1:24" ht="16.5" customHeight="1">
      <c r="A1435" s="3" t="s">
        <v>39</v>
      </c>
      <c r="B1435" s="3">
        <f t="shared" si="40"/>
        <v>2008</v>
      </c>
      <c r="C1435" s="3">
        <f t="shared" si="41"/>
        <v>6</v>
      </c>
      <c r="D1435" s="20" t="str">
        <f t="shared" si="42"/>
        <v>ITW20086</v>
      </c>
      <c r="E1435" s="2">
        <v>39625</v>
      </c>
      <c r="F1435" s="3">
        <v>0.28000000000000003</v>
      </c>
      <c r="G1435" s="2">
        <v>39643</v>
      </c>
      <c r="H1435" s="3">
        <v>2.3E-2</v>
      </c>
      <c r="I1435" s="3">
        <v>0</v>
      </c>
      <c r="J1435" s="3">
        <v>0</v>
      </c>
      <c r="K1435" s="3">
        <f t="shared" si="43"/>
        <v>2008</v>
      </c>
      <c r="L1435" s="3">
        <f t="shared" si="44"/>
        <v>0</v>
      </c>
      <c r="M1435" s="20" t="str">
        <f>A1435&amp;L1435</f>
        <v>ITW0</v>
      </c>
      <c r="N1435" s="3">
        <f>F1435</f>
        <v>0.28000000000000003</v>
      </c>
      <c r="O1435" s="9">
        <f>H1435</f>
        <v>2.3E-2</v>
      </c>
      <c r="P1435" s="10">
        <f t="shared" si="45"/>
        <v>0</v>
      </c>
      <c r="Q1435" s="10">
        <f>IF(K1435=0,IF(A1432=A1435,AVERAGE(O1432:O1435),"x"),0)</f>
        <v>0</v>
      </c>
      <c r="R1435" s="9">
        <f>IF(L1435&gt;2005,AVERAGE(O1432:O1451),0)</f>
        <v>0</v>
      </c>
      <c r="S1435" s="10">
        <f>IF(A1435=A1436,(N1435-N1436)/N1436,0)</f>
        <v>0</v>
      </c>
      <c r="T1435" s="10">
        <f>IF(L1435&gt;2005,(((N1435-N1455)/N1455)+1)^(1/5)-1,0)</f>
        <v>0</v>
      </c>
      <c r="U1435" s="10">
        <f t="shared" si="46"/>
        <v>0</v>
      </c>
      <c r="V1435" s="26">
        <f t="shared" si="47"/>
        <v>0</v>
      </c>
      <c r="W1435" s="3">
        <f>IF(A1435=A1436,N1435-N1436,0)</f>
        <v>0</v>
      </c>
      <c r="X1435" s="10">
        <f>IF(A1435=A1436,(N1435-N1436)/N1436,0)</f>
        <v>0</v>
      </c>
    </row>
    <row r="1436" spans="1:24" ht="16.5" customHeight="1">
      <c r="A1436" s="3" t="s">
        <v>39</v>
      </c>
      <c r="B1436" s="3">
        <f t="shared" si="40"/>
        <v>2008</v>
      </c>
      <c r="C1436" s="3">
        <f t="shared" si="41"/>
        <v>3</v>
      </c>
      <c r="D1436" s="20" t="str">
        <f t="shared" si="42"/>
        <v>ITW20083</v>
      </c>
      <c r="E1436" s="2">
        <v>39534</v>
      </c>
      <c r="F1436" s="3">
        <v>0.28000000000000003</v>
      </c>
      <c r="G1436" s="2">
        <v>39552</v>
      </c>
      <c r="H1436" s="3">
        <v>2.1399999999999999E-2</v>
      </c>
      <c r="I1436" s="3">
        <v>0</v>
      </c>
      <c r="J1436" s="3">
        <v>0</v>
      </c>
      <c r="K1436" s="3">
        <f t="shared" si="43"/>
        <v>0</v>
      </c>
      <c r="L1436" s="3">
        <f t="shared" si="44"/>
        <v>2008</v>
      </c>
      <c r="M1436" s="20" t="str">
        <f>A1436&amp;L1436</f>
        <v>ITW2008</v>
      </c>
      <c r="N1436" s="3">
        <f>F1436</f>
        <v>0.28000000000000003</v>
      </c>
      <c r="O1436" s="9">
        <f>H1436</f>
        <v>2.1399999999999999E-2</v>
      </c>
      <c r="P1436" s="10">
        <f t="shared" si="45"/>
        <v>0</v>
      </c>
      <c r="Q1436" s="10">
        <f>IF(K1436=0,IF(A1433=A1436,AVERAGE(O1433:O1436),"x"),0)</f>
        <v>2.6125000000000002E-2</v>
      </c>
      <c r="R1436" s="9">
        <f>IF(L1436&gt;2005,AVERAGE(O1433:O1452),0)</f>
        <v>1.6310000000000002E-2</v>
      </c>
      <c r="S1436" s="10">
        <f>IF(A1436=A1437,(N1436-N1437)/N1437,0)</f>
        <v>0</v>
      </c>
      <c r="T1436" s="10">
        <f>IF(L1436&gt;2005,(((N1436-N1456)/N1456)+1)^(1/5)-1,0)</f>
        <v>0.19479126317807505</v>
      </c>
      <c r="U1436" s="10">
        <f t="shared" si="46"/>
        <v>0.21110126317807504</v>
      </c>
      <c r="V1436" s="26">
        <f t="shared" si="47"/>
        <v>4.8015845768057579</v>
      </c>
      <c r="W1436" s="3">
        <f>IF(A1436=A1437,N1436-N1437,0)</f>
        <v>0</v>
      </c>
      <c r="X1436" s="10">
        <f>IF(A1436=A1437,(N1436-N1437)/N1437,0)</f>
        <v>0</v>
      </c>
    </row>
    <row r="1437" spans="1:24" ht="16.5" customHeight="1">
      <c r="A1437" s="3" t="s">
        <v>39</v>
      </c>
      <c r="B1437" s="3">
        <f t="shared" si="40"/>
        <v>2007</v>
      </c>
      <c r="C1437" s="3">
        <f t="shared" si="41"/>
        <v>12</v>
      </c>
      <c r="D1437" s="20" t="str">
        <f t="shared" si="42"/>
        <v>ITW200712</v>
      </c>
      <c r="E1437" s="2">
        <v>39443</v>
      </c>
      <c r="F1437" s="3">
        <v>0.28000000000000003</v>
      </c>
      <c r="G1437" s="2">
        <v>39461</v>
      </c>
      <c r="H1437" s="3">
        <v>1.78E-2</v>
      </c>
      <c r="I1437" s="3">
        <v>0</v>
      </c>
      <c r="J1437" s="3">
        <v>0</v>
      </c>
      <c r="K1437" s="3">
        <f t="shared" si="43"/>
        <v>2007</v>
      </c>
      <c r="L1437" s="3">
        <f t="shared" si="44"/>
        <v>0</v>
      </c>
      <c r="M1437" s="20" t="str">
        <f>A1437&amp;L1437</f>
        <v>ITW0</v>
      </c>
      <c r="N1437" s="3">
        <f>F1437</f>
        <v>0.28000000000000003</v>
      </c>
      <c r="O1437" s="9">
        <f>H1437</f>
        <v>1.78E-2</v>
      </c>
      <c r="P1437" s="10">
        <f t="shared" si="45"/>
        <v>0</v>
      </c>
      <c r="Q1437" s="10">
        <f>IF(K1437=0,IF(A1434=A1437,AVERAGE(O1434:O1437),"x"),0)</f>
        <v>0</v>
      </c>
      <c r="R1437" s="9">
        <f>IF(L1437&gt;2005,AVERAGE(O1434:O1453),0)</f>
        <v>0</v>
      </c>
      <c r="S1437" s="10">
        <f>IF(A1437=A1438,(N1437-N1438)/N1438,0)</f>
        <v>0</v>
      </c>
      <c r="T1437" s="10">
        <f>IF(L1437&gt;2005,(((N1437-N1457)/N1457)+1)^(1/5)-1,0)</f>
        <v>0</v>
      </c>
      <c r="U1437" s="10">
        <f t="shared" si="46"/>
        <v>0</v>
      </c>
      <c r="V1437" s="26">
        <f t="shared" si="47"/>
        <v>0</v>
      </c>
      <c r="W1437" s="3">
        <f>IF(A1437=A1438,N1437-N1438,0)</f>
        <v>0</v>
      </c>
      <c r="X1437" s="10">
        <f>IF(A1437=A1438,(N1437-N1438)/N1438,0)</f>
        <v>0</v>
      </c>
    </row>
    <row r="1438" spans="1:24" ht="16.5" customHeight="1">
      <c r="A1438" s="3" t="s">
        <v>39</v>
      </c>
      <c r="B1438" s="3">
        <f t="shared" si="40"/>
        <v>2007</v>
      </c>
      <c r="C1438" s="3">
        <f t="shared" si="41"/>
        <v>9</v>
      </c>
      <c r="D1438" s="20" t="str">
        <f t="shared" si="42"/>
        <v>ITW20079</v>
      </c>
      <c r="E1438" s="2">
        <v>39351</v>
      </c>
      <c r="F1438" s="3">
        <v>0.28000000000000003</v>
      </c>
      <c r="G1438" s="2">
        <v>39370</v>
      </c>
      <c r="H1438" s="3">
        <v>1.5699999999999999E-2</v>
      </c>
      <c r="I1438" s="3">
        <v>0.33333333300000001</v>
      </c>
      <c r="J1438" s="3">
        <v>7.0000000000000007E-2</v>
      </c>
      <c r="K1438" s="3">
        <f t="shared" si="43"/>
        <v>2007</v>
      </c>
      <c r="L1438" s="3">
        <f t="shared" si="44"/>
        <v>0</v>
      </c>
      <c r="M1438" s="20" t="str">
        <f>A1438&amp;L1438</f>
        <v>ITW0</v>
      </c>
      <c r="N1438" s="3">
        <f>F1438</f>
        <v>0.28000000000000003</v>
      </c>
      <c r="O1438" s="9">
        <f>H1438</f>
        <v>1.5699999999999999E-2</v>
      </c>
      <c r="P1438" s="10">
        <f t="shared" si="45"/>
        <v>1.5675000000000001E-2</v>
      </c>
      <c r="Q1438" s="10">
        <f>IF(K1438=0,IF(A1435=A1438,AVERAGE(O1435:O1438),"x"),0)</f>
        <v>0</v>
      </c>
      <c r="R1438" s="9">
        <f>IF(L1438&gt;2005,AVERAGE(O1435:O1454),0)</f>
        <v>0</v>
      </c>
      <c r="S1438" s="10">
        <f>IF(A1438=A1439,(N1438-N1439)/N1439,0)</f>
        <v>0.33333333333333354</v>
      </c>
      <c r="T1438" s="10">
        <f>IF(L1438&gt;2005,(((N1438-N1458)/N1458)+1)^(1/5)-1,0)</f>
        <v>0</v>
      </c>
      <c r="U1438" s="10">
        <f t="shared" si="46"/>
        <v>0</v>
      </c>
      <c r="V1438" s="26">
        <f t="shared" si="47"/>
        <v>0</v>
      </c>
      <c r="W1438" s="3">
        <f>IF(A1438=A1439,N1438-N1439,0)</f>
        <v>7.0000000000000034E-2</v>
      </c>
      <c r="X1438" s="10">
        <f>IF(A1438=A1439,(N1438-N1439)/N1439,0)</f>
        <v>0.33333333333333354</v>
      </c>
    </row>
    <row r="1439" spans="1:24" ht="16.5" customHeight="1">
      <c r="A1439" s="3" t="s">
        <v>39</v>
      </c>
      <c r="B1439" s="3">
        <f t="shared" si="40"/>
        <v>2007</v>
      </c>
      <c r="C1439" s="3">
        <f t="shared" si="41"/>
        <v>6</v>
      </c>
      <c r="D1439" s="20" t="str">
        <f t="shared" si="42"/>
        <v>ITW20076</v>
      </c>
      <c r="E1439" s="2">
        <v>39260</v>
      </c>
      <c r="F1439" s="3">
        <v>0.21</v>
      </c>
      <c r="G1439" s="2">
        <v>39279</v>
      </c>
      <c r="H1439" s="3">
        <v>1.55E-2</v>
      </c>
      <c r="I1439" s="3">
        <v>0</v>
      </c>
      <c r="J1439" s="3">
        <v>0</v>
      </c>
      <c r="K1439" s="3">
        <f t="shared" si="43"/>
        <v>2007</v>
      </c>
      <c r="L1439" s="3">
        <f t="shared" si="44"/>
        <v>0</v>
      </c>
      <c r="M1439" s="20" t="str">
        <f>A1439&amp;L1439</f>
        <v>ITW0</v>
      </c>
      <c r="N1439" s="3">
        <f>F1439</f>
        <v>0.21</v>
      </c>
      <c r="O1439" s="9">
        <f>H1439</f>
        <v>1.55E-2</v>
      </c>
      <c r="P1439" s="10">
        <f t="shared" si="45"/>
        <v>0</v>
      </c>
      <c r="Q1439" s="10">
        <f>IF(K1439=0,IF(A1436=A1439,AVERAGE(O1436:O1439),"x"),0)</f>
        <v>0</v>
      </c>
      <c r="R1439" s="9">
        <f>IF(L1439&gt;2005,AVERAGE(O1436:O1455),0)</f>
        <v>0</v>
      </c>
      <c r="S1439" s="10">
        <f>IF(A1439=A1440,(N1439-N1440)/N1440,0)</f>
        <v>0</v>
      </c>
      <c r="T1439" s="10">
        <f>IF(L1439&gt;2005,(((N1439-N1459)/N1459)+1)^(1/5)-1,0)</f>
        <v>0</v>
      </c>
      <c r="U1439" s="10">
        <f t="shared" si="46"/>
        <v>0</v>
      </c>
      <c r="V1439" s="26">
        <f t="shared" si="47"/>
        <v>0</v>
      </c>
      <c r="W1439" s="3">
        <f>IF(A1439=A1440,N1439-N1440,0)</f>
        <v>0</v>
      </c>
      <c r="X1439" s="10">
        <f>IF(A1439=A1440,(N1439-N1440)/N1440,0)</f>
        <v>0</v>
      </c>
    </row>
    <row r="1440" spans="1:24" ht="16.5" customHeight="1">
      <c r="A1440" s="3" t="s">
        <v>39</v>
      </c>
      <c r="B1440" s="3">
        <f t="shared" si="40"/>
        <v>2007</v>
      </c>
      <c r="C1440" s="3">
        <f t="shared" si="41"/>
        <v>3</v>
      </c>
      <c r="D1440" s="20" t="str">
        <f t="shared" si="42"/>
        <v>ITW20073</v>
      </c>
      <c r="E1440" s="2">
        <v>39169</v>
      </c>
      <c r="F1440" s="3">
        <v>0.21</v>
      </c>
      <c r="G1440" s="2">
        <v>39188</v>
      </c>
      <c r="H1440" s="3">
        <v>1.5299999999999999E-2</v>
      </c>
      <c r="I1440" s="3">
        <v>0</v>
      </c>
      <c r="J1440" s="3">
        <v>0</v>
      </c>
      <c r="K1440" s="3">
        <f t="shared" si="43"/>
        <v>0</v>
      </c>
      <c r="L1440" s="3">
        <f t="shared" si="44"/>
        <v>2007</v>
      </c>
      <c r="M1440" s="20" t="str">
        <f>A1440&amp;L1440</f>
        <v>ITW2007</v>
      </c>
      <c r="N1440" s="3">
        <f>F1440</f>
        <v>0.21</v>
      </c>
      <c r="O1440" s="9">
        <f>H1440</f>
        <v>1.5299999999999999E-2</v>
      </c>
      <c r="P1440" s="10">
        <f t="shared" si="45"/>
        <v>0</v>
      </c>
      <c r="Q1440" s="10">
        <f>IF(K1440=0,IF(A1437=A1440,AVERAGE(O1437:O1440),"x"),0)</f>
        <v>1.6074999999999999E-2</v>
      </c>
      <c r="R1440" s="9">
        <f>IF(L1440&gt;2005,AVERAGE(O1437:O1456),0)</f>
        <v>1.3769999999999999E-2</v>
      </c>
      <c r="S1440" s="10">
        <f>IF(A1440=A1441,(N1440-N1441)/N1441,0)</f>
        <v>0</v>
      </c>
      <c r="T1440" s="10">
        <f>IF(L1440&gt;2005,(((N1440-N1460)/N1460)+1)^(1/5)-1,0)</f>
        <v>0.13806042630985371</v>
      </c>
      <c r="U1440" s="10">
        <f t="shared" si="46"/>
        <v>0.15183042630985372</v>
      </c>
      <c r="V1440" s="26">
        <f t="shared" si="47"/>
        <v>4.8235096076738779</v>
      </c>
      <c r="W1440" s="3">
        <f>IF(A1440=A1441,N1440-N1441,0)</f>
        <v>0</v>
      </c>
      <c r="X1440" s="10">
        <f>IF(A1440=A1441,(N1440-N1441)/N1441,0)</f>
        <v>0</v>
      </c>
    </row>
    <row r="1441" spans="1:24" ht="16.5" customHeight="1">
      <c r="A1441" s="3" t="s">
        <v>39</v>
      </c>
      <c r="B1441" s="3">
        <f t="shared" si="40"/>
        <v>2006</v>
      </c>
      <c r="C1441" s="3">
        <f t="shared" si="41"/>
        <v>12</v>
      </c>
      <c r="D1441" s="20" t="str">
        <f t="shared" si="42"/>
        <v>ITW200612</v>
      </c>
      <c r="E1441" s="2">
        <v>39078</v>
      </c>
      <c r="F1441" s="3">
        <v>0.21</v>
      </c>
      <c r="G1441" s="2">
        <v>39104</v>
      </c>
      <c r="H1441" s="3">
        <v>1.6199999999999999E-2</v>
      </c>
      <c r="I1441" s="3">
        <v>0</v>
      </c>
      <c r="J1441" s="3">
        <v>0</v>
      </c>
      <c r="K1441" s="3">
        <f t="shared" si="43"/>
        <v>2006</v>
      </c>
      <c r="L1441" s="3">
        <f t="shared" si="44"/>
        <v>0</v>
      </c>
      <c r="M1441" s="20" t="str">
        <f>A1441&amp;L1441</f>
        <v>ITW0</v>
      </c>
      <c r="N1441" s="3">
        <f>F1441</f>
        <v>0.21</v>
      </c>
      <c r="O1441" s="9">
        <f>H1441</f>
        <v>1.6199999999999999E-2</v>
      </c>
      <c r="P1441" s="10">
        <f t="shared" si="45"/>
        <v>0</v>
      </c>
      <c r="Q1441" s="10">
        <f>IF(K1441=0,IF(A1438=A1441,AVERAGE(O1438:O1441),"x"),0)</f>
        <v>0</v>
      </c>
      <c r="R1441" s="9">
        <f>IF(L1441&gt;2005,AVERAGE(O1438:O1457),0)</f>
        <v>0</v>
      </c>
      <c r="S1441" s="10">
        <f>IF(A1441=A1442,(N1441-N1442)/N1442,0)</f>
        <v>0</v>
      </c>
      <c r="T1441" s="10">
        <f>IF(L1441&gt;2005,(((N1441-N1461)/N1461)+1)^(1/5)-1,0)</f>
        <v>0</v>
      </c>
      <c r="U1441" s="10">
        <f t="shared" si="46"/>
        <v>0</v>
      </c>
      <c r="V1441" s="26">
        <f t="shared" si="47"/>
        <v>0</v>
      </c>
      <c r="W1441" s="3">
        <f>IF(A1441=A1442,N1441-N1442,0)</f>
        <v>0</v>
      </c>
      <c r="X1441" s="10">
        <f>IF(A1441=A1442,(N1441-N1442)/N1442,0)</f>
        <v>0</v>
      </c>
    </row>
    <row r="1442" spans="1:24" ht="16.5" customHeight="1">
      <c r="A1442" s="3" t="s">
        <v>39</v>
      </c>
      <c r="B1442" s="3">
        <f t="shared" si="40"/>
        <v>2006</v>
      </c>
      <c r="C1442" s="3">
        <f t="shared" si="41"/>
        <v>9</v>
      </c>
      <c r="D1442" s="20" t="str">
        <f t="shared" si="42"/>
        <v>ITW20069</v>
      </c>
      <c r="E1442" s="2">
        <v>38987</v>
      </c>
      <c r="F1442" s="3">
        <v>0.21</v>
      </c>
      <c r="G1442" s="2">
        <v>39006</v>
      </c>
      <c r="H1442" s="3">
        <v>1.55E-2</v>
      </c>
      <c r="I1442" s="3">
        <v>0.27272727299999999</v>
      </c>
      <c r="J1442" s="3">
        <v>4.4999999999999998E-2</v>
      </c>
      <c r="K1442" s="3">
        <f t="shared" si="43"/>
        <v>2006</v>
      </c>
      <c r="L1442" s="3">
        <f t="shared" si="44"/>
        <v>0</v>
      </c>
      <c r="M1442" s="20" t="str">
        <f>A1442&amp;L1442</f>
        <v>ITW0</v>
      </c>
      <c r="N1442" s="3">
        <f>F1442</f>
        <v>0.21</v>
      </c>
      <c r="O1442" s="9">
        <f>H1442</f>
        <v>1.55E-2</v>
      </c>
      <c r="P1442" s="10">
        <f t="shared" si="45"/>
        <v>1.4075000000000001E-2</v>
      </c>
      <c r="Q1442" s="10">
        <f>IF(K1442=0,IF(A1439=A1442,AVERAGE(O1439:O1442),"x"),0)</f>
        <v>0</v>
      </c>
      <c r="R1442" s="9">
        <f>IF(L1442&gt;2005,AVERAGE(O1439:O1458),0)</f>
        <v>0</v>
      </c>
      <c r="S1442" s="10">
        <f>IF(A1442=A1443,(N1442-N1443)/N1443,0)</f>
        <v>0.2727272727272726</v>
      </c>
      <c r="T1442" s="10">
        <f>IF(L1442&gt;2005,(((N1442-N1462)/N1462)+1)^(1/5)-1,0)</f>
        <v>0</v>
      </c>
      <c r="U1442" s="10">
        <f t="shared" si="46"/>
        <v>0</v>
      </c>
      <c r="V1442" s="26">
        <f t="shared" si="47"/>
        <v>0</v>
      </c>
      <c r="W1442" s="3">
        <f>IF(A1442=A1443,N1442-N1443,0)</f>
        <v>4.4999999999999984E-2</v>
      </c>
      <c r="X1442" s="10">
        <f>IF(A1442=A1443,(N1442-N1443)/N1443,0)</f>
        <v>0.2727272727272726</v>
      </c>
    </row>
    <row r="1443" spans="1:24" ht="16.5" customHeight="1">
      <c r="A1443" s="3" t="s">
        <v>39</v>
      </c>
      <c r="B1443" s="3">
        <f t="shared" si="40"/>
        <v>2006</v>
      </c>
      <c r="C1443" s="3">
        <f t="shared" si="41"/>
        <v>6</v>
      </c>
      <c r="D1443" s="20" t="str">
        <f t="shared" si="42"/>
        <v>ITW20066</v>
      </c>
      <c r="E1443" s="2">
        <v>38896</v>
      </c>
      <c r="F1443" s="3">
        <v>0.16500000000000001</v>
      </c>
      <c r="G1443" s="2">
        <v>38915</v>
      </c>
      <c r="H1443" s="3">
        <v>1.4E-2</v>
      </c>
      <c r="I1443" s="3">
        <v>-0.5</v>
      </c>
      <c r="J1443" s="3">
        <v>-0.16500000000000001</v>
      </c>
      <c r="K1443" s="3">
        <f t="shared" si="43"/>
        <v>2006</v>
      </c>
      <c r="L1443" s="3">
        <f t="shared" si="44"/>
        <v>0</v>
      </c>
      <c r="M1443" s="20" t="str">
        <f>A1443&amp;L1443</f>
        <v>ITW0</v>
      </c>
      <c r="N1443" s="3">
        <f>F1443</f>
        <v>0.16500000000000001</v>
      </c>
      <c r="O1443" s="9">
        <f>H1443</f>
        <v>1.4E-2</v>
      </c>
      <c r="P1443" s="10">
        <f t="shared" si="45"/>
        <v>0</v>
      </c>
      <c r="Q1443" s="10">
        <f>IF(K1443=0,IF(A1440=A1443,AVERAGE(O1440:O1443),"x"),0)</f>
        <v>0</v>
      </c>
      <c r="R1443" s="9">
        <f>IF(L1443&gt;2005,AVERAGE(O1440:O1459),0)</f>
        <v>0</v>
      </c>
      <c r="S1443" s="10">
        <f>IF(A1443=A1444,(N1443-N1444)/N1444,0)</f>
        <v>0</v>
      </c>
      <c r="T1443" s="10">
        <f>IF(L1443&gt;2005,(((N1443-N1463)/N1463)+1)^(1/5)-1,0)</f>
        <v>0</v>
      </c>
      <c r="U1443" s="10">
        <f t="shared" si="46"/>
        <v>0</v>
      </c>
      <c r="V1443" s="26">
        <f t="shared" si="47"/>
        <v>0</v>
      </c>
      <c r="W1443" s="3">
        <f>IF(A1443=A1444,N1443-N1444,0)</f>
        <v>0</v>
      </c>
      <c r="X1443" s="10">
        <f>IF(A1443=A1444,(N1443-N1444)/N1444,0)</f>
        <v>0</v>
      </c>
    </row>
    <row r="1444" spans="1:24" ht="16.5" customHeight="1">
      <c r="A1444" s="3" t="s">
        <v>39</v>
      </c>
      <c r="B1444" s="3">
        <f t="shared" si="40"/>
        <v>2006</v>
      </c>
      <c r="C1444" s="3">
        <f t="shared" si="41"/>
        <v>3</v>
      </c>
      <c r="D1444" s="20" t="str">
        <f t="shared" si="42"/>
        <v>ITW20063</v>
      </c>
      <c r="E1444" s="2">
        <v>38805</v>
      </c>
      <c r="F1444" s="3">
        <v>0.33</v>
      </c>
      <c r="G1444" s="2">
        <v>38824</v>
      </c>
      <c r="H1444" s="3">
        <v>1.3100000000000001E-2</v>
      </c>
      <c r="I1444" s="3">
        <v>0</v>
      </c>
      <c r="J1444" s="3">
        <v>0</v>
      </c>
      <c r="K1444" s="3">
        <f t="shared" si="43"/>
        <v>0</v>
      </c>
      <c r="L1444" s="3">
        <f t="shared" si="44"/>
        <v>2006</v>
      </c>
      <c r="M1444" s="20" t="str">
        <f>A1444&amp;L1444</f>
        <v>ITW2006</v>
      </c>
      <c r="N1444" s="3">
        <f>F1444/2</f>
        <v>0.16500000000000001</v>
      </c>
      <c r="O1444" s="9">
        <f>H1444</f>
        <v>1.3100000000000001E-2</v>
      </c>
      <c r="P1444" s="10">
        <f t="shared" si="45"/>
        <v>0</v>
      </c>
      <c r="Q1444" s="10">
        <f>IF(K1444=0,IF(A1441=A1444,AVERAGE(O1441:O1444),"x"),0)</f>
        <v>1.47E-2</v>
      </c>
      <c r="R1444" s="9">
        <f>IF(L1444&gt;2005,AVERAGE(O1441:O1460),0)</f>
        <v>1.3235000000000002E-2</v>
      </c>
      <c r="S1444" s="10">
        <f>IF(A1444=A1445,(N1444-N1445)/N1445,0)</f>
        <v>0</v>
      </c>
      <c r="T1444" s="10">
        <f>IF(L1444&gt;2005,(((N1444-N1464)/N1464)+1)^(1/5)-1,0)</f>
        <v>0.10534229649286941</v>
      </c>
      <c r="U1444" s="10">
        <f t="shared" si="46"/>
        <v>0.11857729649286941</v>
      </c>
      <c r="V1444" s="26">
        <f t="shared" si="47"/>
        <v>4.8252952806992067</v>
      </c>
      <c r="W1444" s="3">
        <f>IF(A1444=A1445,N1444-N1445,0)</f>
        <v>0</v>
      </c>
      <c r="X1444" s="10">
        <f>IF(A1444=A1445,(N1444-N1445)/N1445,0)</f>
        <v>0</v>
      </c>
    </row>
    <row r="1445" spans="1:24" ht="16.5" customHeight="1">
      <c r="A1445" s="3" t="s">
        <v>39</v>
      </c>
      <c r="B1445" s="3">
        <f t="shared" si="40"/>
        <v>2005</v>
      </c>
      <c r="C1445" s="3">
        <f t="shared" si="41"/>
        <v>12</v>
      </c>
      <c r="D1445" s="20" t="str">
        <f t="shared" si="42"/>
        <v>ITW200512</v>
      </c>
      <c r="E1445" s="2">
        <v>38714</v>
      </c>
      <c r="F1445" s="3">
        <v>0.33</v>
      </c>
      <c r="G1445" s="2">
        <v>38740</v>
      </c>
      <c r="H1445" s="3">
        <v>1.37E-2</v>
      </c>
      <c r="I1445" s="3">
        <v>0</v>
      </c>
      <c r="J1445" s="3">
        <v>0</v>
      </c>
      <c r="K1445" s="3">
        <f t="shared" si="43"/>
        <v>2005</v>
      </c>
      <c r="L1445" s="3">
        <f t="shared" si="44"/>
        <v>0</v>
      </c>
      <c r="M1445" s="20" t="str">
        <f>A1445&amp;L1445</f>
        <v>ITW0</v>
      </c>
      <c r="N1445" s="3">
        <f>F1445/2</f>
        <v>0.16500000000000001</v>
      </c>
      <c r="O1445" s="9">
        <f>H1445</f>
        <v>1.37E-2</v>
      </c>
      <c r="P1445" s="10">
        <f t="shared" si="45"/>
        <v>0</v>
      </c>
      <c r="Q1445" s="10">
        <f>IF(K1445=0,IF(A1442=A1445,AVERAGE(O1442:O1445),"x"),0)</f>
        <v>0</v>
      </c>
      <c r="R1445" s="9">
        <f>IF(L1445&gt;2005,AVERAGE(O1442:O1461),0)</f>
        <v>0</v>
      </c>
      <c r="S1445" s="10">
        <f>IF(A1445=A1446,(N1445-N1446)/N1446,0)</f>
        <v>0</v>
      </c>
      <c r="T1445" s="10">
        <f>IF(L1445&gt;2005,(((N1445-N1465)/N1465)+1)^(1/5)-1,0)</f>
        <v>0</v>
      </c>
      <c r="U1445" s="10">
        <f t="shared" si="46"/>
        <v>0</v>
      </c>
      <c r="V1445" s="26">
        <f t="shared" si="47"/>
        <v>0</v>
      </c>
      <c r="W1445" s="3">
        <f>IF(A1445=A1446,N1445-N1446,0)</f>
        <v>0</v>
      </c>
      <c r="X1445" s="10">
        <f>IF(A1445=A1446,(N1445-N1446)/N1446,0)</f>
        <v>0</v>
      </c>
    </row>
    <row r="1446" spans="1:24" ht="16.5" customHeight="1">
      <c r="A1446" s="3" t="s">
        <v>39</v>
      </c>
      <c r="B1446" s="3">
        <f t="shared" si="40"/>
        <v>2005</v>
      </c>
      <c r="C1446" s="3">
        <f t="shared" si="41"/>
        <v>9</v>
      </c>
      <c r="D1446" s="20" t="str">
        <f t="shared" si="42"/>
        <v>ITW20059</v>
      </c>
      <c r="E1446" s="2">
        <v>38623</v>
      </c>
      <c r="F1446" s="3">
        <v>0.33</v>
      </c>
      <c r="G1446" s="2">
        <v>38642</v>
      </c>
      <c r="H1446" s="3">
        <v>1.46E-2</v>
      </c>
      <c r="I1446" s="3">
        <v>0.178571429</v>
      </c>
      <c r="J1446" s="3">
        <v>0.05</v>
      </c>
      <c r="K1446" s="3">
        <f t="shared" si="43"/>
        <v>2005</v>
      </c>
      <c r="L1446" s="3">
        <f t="shared" si="44"/>
        <v>0</v>
      </c>
      <c r="M1446" s="20" t="str">
        <f>A1446&amp;L1446</f>
        <v>ITW0</v>
      </c>
      <c r="N1446" s="3">
        <f>F1446/2</f>
        <v>0.16500000000000001</v>
      </c>
      <c r="O1446" s="9">
        <f>H1446</f>
        <v>1.46E-2</v>
      </c>
      <c r="P1446" s="10">
        <f t="shared" si="45"/>
        <v>1.29E-2</v>
      </c>
      <c r="Q1446" s="10">
        <f>IF(K1446=0,IF(A1443=A1446,AVERAGE(O1443:O1446),"x"),0)</f>
        <v>0</v>
      </c>
      <c r="R1446" s="9">
        <f>IF(L1446&gt;2005,AVERAGE(O1443:O1462),0)</f>
        <v>0</v>
      </c>
      <c r="S1446" s="10">
        <f>IF(A1446=A1447,(N1446-N1447)/N1447,0)</f>
        <v>0.17857142857142852</v>
      </c>
      <c r="T1446" s="10">
        <f>IF(L1446&gt;2005,(((N1446-N1466)/N1466)+1)^(1/5)-1,0)</f>
        <v>0</v>
      </c>
      <c r="U1446" s="10">
        <f t="shared" si="46"/>
        <v>0</v>
      </c>
      <c r="V1446" s="26">
        <f t="shared" si="47"/>
        <v>0</v>
      </c>
      <c r="W1446" s="3">
        <f>IF(A1446=A1447,N1446-N1447,0)</f>
        <v>2.4999999999999994E-2</v>
      </c>
      <c r="X1446" s="10">
        <f>IF(A1446=A1447,(N1446-N1447)/N1447,0)</f>
        <v>0.17857142857142852</v>
      </c>
    </row>
    <row r="1447" spans="1:24" ht="16.5" customHeight="1">
      <c r="A1447" s="3" t="s">
        <v>39</v>
      </c>
      <c r="B1447" s="3">
        <f t="shared" si="40"/>
        <v>2005</v>
      </c>
      <c r="C1447" s="3">
        <f t="shared" si="41"/>
        <v>6</v>
      </c>
      <c r="D1447" s="20" t="str">
        <f t="shared" si="42"/>
        <v>ITW20056</v>
      </c>
      <c r="E1447" s="2">
        <v>38531</v>
      </c>
      <c r="F1447" s="3">
        <v>0.28000000000000003</v>
      </c>
      <c r="G1447" s="2">
        <v>38551</v>
      </c>
      <c r="H1447" s="3">
        <v>1.4E-2</v>
      </c>
      <c r="I1447" s="3">
        <v>0</v>
      </c>
      <c r="J1447" s="3">
        <v>0</v>
      </c>
      <c r="K1447" s="3">
        <f t="shared" si="43"/>
        <v>2005</v>
      </c>
      <c r="L1447" s="3">
        <f t="shared" si="44"/>
        <v>0</v>
      </c>
      <c r="M1447" s="20" t="str">
        <f>A1447&amp;L1447</f>
        <v>ITW0</v>
      </c>
      <c r="N1447" s="3">
        <f>F1447/2</f>
        <v>0.14000000000000001</v>
      </c>
      <c r="O1447" s="9">
        <f>H1447</f>
        <v>1.4E-2</v>
      </c>
      <c r="P1447" s="10">
        <f t="shared" si="45"/>
        <v>0</v>
      </c>
      <c r="Q1447" s="10">
        <f>IF(K1447=0,IF(A1444=A1447,AVERAGE(O1444:O1447),"x"),0)</f>
        <v>0</v>
      </c>
      <c r="R1447" s="9">
        <f>IF(L1447&gt;2005,AVERAGE(O1444:O1463),0)</f>
        <v>0</v>
      </c>
      <c r="S1447" s="10">
        <f>IF(A1447=A1448,(N1447-N1448)/N1448,0)</f>
        <v>0</v>
      </c>
      <c r="T1447" s="10">
        <f>IF(L1447&gt;2005,(((N1447-N1467)/N1467)+1)^(1/5)-1,0)</f>
        <v>0</v>
      </c>
      <c r="U1447" s="10">
        <f t="shared" si="46"/>
        <v>0</v>
      </c>
      <c r="V1447" s="26">
        <f t="shared" si="47"/>
        <v>0</v>
      </c>
      <c r="W1447" s="3">
        <f>IF(A1447=A1448,N1447-N1448,0)</f>
        <v>0</v>
      </c>
      <c r="X1447" s="10">
        <f>IF(A1447=A1448,(N1447-N1448)/N1448,0)</f>
        <v>0</v>
      </c>
    </row>
    <row r="1448" spans="1:24" ht="16.5" customHeight="1">
      <c r="A1448" s="3" t="s">
        <v>39</v>
      </c>
      <c r="B1448" s="3">
        <f t="shared" si="40"/>
        <v>2005</v>
      </c>
      <c r="C1448" s="3">
        <f t="shared" si="41"/>
        <v>3</v>
      </c>
      <c r="D1448" s="20" t="str">
        <f t="shared" si="42"/>
        <v>ITW20053</v>
      </c>
      <c r="E1448" s="2">
        <v>38440</v>
      </c>
      <c r="F1448" s="3">
        <v>0.28000000000000003</v>
      </c>
      <c r="G1448" s="2">
        <v>38460</v>
      </c>
      <c r="H1448" s="3">
        <v>1.1900000000000001E-2</v>
      </c>
      <c r="I1448" s="3">
        <v>0</v>
      </c>
      <c r="J1448" s="3">
        <v>0</v>
      </c>
      <c r="K1448" s="3">
        <f t="shared" si="43"/>
        <v>0</v>
      </c>
      <c r="L1448" s="3">
        <f t="shared" si="44"/>
        <v>2005</v>
      </c>
      <c r="M1448" s="20" t="str">
        <f>A1448&amp;L1448</f>
        <v>ITW2005</v>
      </c>
      <c r="N1448" s="3">
        <f>F1448/2</f>
        <v>0.14000000000000001</v>
      </c>
      <c r="O1448" s="9">
        <f>H1448</f>
        <v>1.1900000000000001E-2</v>
      </c>
      <c r="P1448" s="10">
        <f t="shared" si="45"/>
        <v>0</v>
      </c>
      <c r="Q1448" s="10">
        <f>IF(K1448=0,IF(A1445=A1448,AVERAGE(O1445:O1448),"x"),0)</f>
        <v>1.355E-2</v>
      </c>
      <c r="R1448" s="9">
        <f>IF(L1448&gt;2005,AVERAGE(O1445:O1464),0)</f>
        <v>0</v>
      </c>
      <c r="S1448" s="10">
        <f>IF(A1448=A1449,(N1448-N1449)/N1449,0)</f>
        <v>0</v>
      </c>
      <c r="T1448" s="10">
        <f>IF(L1448&gt;2005,(((N1448-N1468)/N1468)+1)^(1/5)-1,0)</f>
        <v>0</v>
      </c>
      <c r="U1448" s="10">
        <f t="shared" si="46"/>
        <v>0</v>
      </c>
      <c r="V1448" s="26">
        <f t="shared" si="47"/>
        <v>0</v>
      </c>
      <c r="W1448" s="3">
        <f>IF(A1448=A1449,N1448-N1449,0)</f>
        <v>0</v>
      </c>
      <c r="X1448" s="10">
        <f>IF(A1448=A1449,(N1448-N1449)/N1449,0)</f>
        <v>0</v>
      </c>
    </row>
    <row r="1449" spans="1:24" ht="16.5" customHeight="1">
      <c r="A1449" s="3" t="s">
        <v>39</v>
      </c>
      <c r="B1449" s="3">
        <f t="shared" si="40"/>
        <v>2004</v>
      </c>
      <c r="C1449" s="3">
        <f t="shared" si="41"/>
        <v>12</v>
      </c>
      <c r="D1449" s="20" t="str">
        <f t="shared" si="42"/>
        <v>ITW200412</v>
      </c>
      <c r="E1449" s="2">
        <v>38350</v>
      </c>
      <c r="F1449" s="3">
        <v>0.28000000000000003</v>
      </c>
      <c r="G1449" s="2">
        <v>38376</v>
      </c>
      <c r="H1449" s="3">
        <v>1.11E-2</v>
      </c>
      <c r="I1449" s="3">
        <v>0</v>
      </c>
      <c r="J1449" s="3">
        <v>0</v>
      </c>
      <c r="K1449" s="3">
        <f t="shared" si="43"/>
        <v>2004</v>
      </c>
      <c r="L1449" s="3">
        <f t="shared" si="44"/>
        <v>0</v>
      </c>
      <c r="M1449" s="20" t="str">
        <f>A1449&amp;L1449</f>
        <v>ITW0</v>
      </c>
      <c r="N1449" s="3">
        <f>F1449/2</f>
        <v>0.14000000000000001</v>
      </c>
      <c r="O1449" s="9">
        <f>H1449</f>
        <v>1.11E-2</v>
      </c>
      <c r="P1449" s="10">
        <f t="shared" si="45"/>
        <v>0</v>
      </c>
      <c r="Q1449" s="10">
        <f>IF(K1449=0,IF(A1446=A1449,AVERAGE(O1446:O1449),"x"),0)</f>
        <v>0</v>
      </c>
      <c r="R1449" s="9">
        <f>IF(L1449&gt;2005,AVERAGE(O1446:O1465),0)</f>
        <v>0</v>
      </c>
      <c r="S1449" s="10">
        <f>IF(A1449=A1450,(N1449-N1450)/N1450,0)</f>
        <v>0</v>
      </c>
      <c r="T1449" s="10">
        <f>IF(L1449&gt;2005,(((N1449-N1469)/N1469)+1)^(1/5)-1,0)</f>
        <v>0</v>
      </c>
      <c r="U1449" s="10">
        <f t="shared" si="46"/>
        <v>0</v>
      </c>
      <c r="V1449" s="26">
        <f t="shared" si="47"/>
        <v>0</v>
      </c>
      <c r="W1449" s="3">
        <f>IF(A1449=A1450,N1449-N1450,0)</f>
        <v>0</v>
      </c>
      <c r="X1449" s="10">
        <f>IF(A1449=A1450,(N1449-N1450)/N1450,0)</f>
        <v>0</v>
      </c>
    </row>
    <row r="1450" spans="1:24" ht="16.5" customHeight="1">
      <c r="A1450" s="3" t="s">
        <v>39</v>
      </c>
      <c r="B1450" s="3">
        <f t="shared" si="40"/>
        <v>2004</v>
      </c>
      <c r="C1450" s="3">
        <f t="shared" si="41"/>
        <v>9</v>
      </c>
      <c r="D1450" s="20" t="str">
        <f t="shared" si="42"/>
        <v>ITW20049</v>
      </c>
      <c r="E1450" s="2">
        <v>38258</v>
      </c>
      <c r="F1450" s="3">
        <v>0.28000000000000003</v>
      </c>
      <c r="G1450" s="2">
        <v>38278</v>
      </c>
      <c r="H1450" s="3">
        <v>1.0999999999999999E-2</v>
      </c>
      <c r="I1450" s="3">
        <v>0.16666666699999999</v>
      </c>
      <c r="J1450" s="3">
        <v>0.04</v>
      </c>
      <c r="K1450" s="3">
        <f t="shared" si="43"/>
        <v>2004</v>
      </c>
      <c r="L1450" s="3">
        <f t="shared" si="44"/>
        <v>0</v>
      </c>
      <c r="M1450" s="20" t="str">
        <f>A1450&amp;L1450</f>
        <v>ITW0</v>
      </c>
      <c r="N1450" s="3">
        <f>F1450/2</f>
        <v>0.14000000000000001</v>
      </c>
      <c r="O1450" s="9">
        <f>H1450</f>
        <v>1.0999999999999999E-2</v>
      </c>
      <c r="P1450" s="10">
        <f t="shared" si="45"/>
        <v>1.1124999999999999E-2</v>
      </c>
      <c r="Q1450" s="10">
        <f>IF(K1450=0,IF(A1447=A1450,AVERAGE(O1447:O1450),"x"),0)</f>
        <v>0</v>
      </c>
      <c r="R1450" s="9">
        <f>IF(L1450&gt;2005,AVERAGE(O1447:O1466),0)</f>
        <v>0</v>
      </c>
      <c r="S1450" s="10">
        <f>IF(A1450=A1451,(N1450-N1451)/N1451,0)</f>
        <v>0.16666666666666682</v>
      </c>
      <c r="T1450" s="10">
        <f>IF(L1450&gt;2005,(((N1450-N1470)/N1470)+1)^(1/5)-1,0)</f>
        <v>0</v>
      </c>
      <c r="U1450" s="10">
        <f t="shared" si="46"/>
        <v>0</v>
      </c>
      <c r="V1450" s="26">
        <f t="shared" si="47"/>
        <v>0</v>
      </c>
      <c r="W1450" s="3">
        <f>IF(A1450=A1451,N1450-N1451,0)</f>
        <v>2.0000000000000018E-2</v>
      </c>
      <c r="X1450" s="10">
        <f>IF(A1450=A1451,(N1450-N1451)/N1451,0)</f>
        <v>0.16666666666666682</v>
      </c>
    </row>
    <row r="1451" spans="1:24" ht="16.5" customHeight="1">
      <c r="A1451" s="3" t="s">
        <v>39</v>
      </c>
      <c r="B1451" s="3">
        <f t="shared" si="40"/>
        <v>2004</v>
      </c>
      <c r="C1451" s="3">
        <f t="shared" si="41"/>
        <v>6</v>
      </c>
      <c r="D1451" s="20" t="str">
        <f t="shared" si="42"/>
        <v>ITW20046</v>
      </c>
      <c r="E1451" s="2">
        <v>38166</v>
      </c>
      <c r="F1451" s="3">
        <v>0.24</v>
      </c>
      <c r="G1451" s="2">
        <v>38187</v>
      </c>
      <c r="H1451" s="3">
        <v>0.01</v>
      </c>
      <c r="I1451" s="3">
        <v>0</v>
      </c>
      <c r="J1451" s="3">
        <v>0</v>
      </c>
      <c r="K1451" s="3">
        <f t="shared" si="43"/>
        <v>2004</v>
      </c>
      <c r="L1451" s="3">
        <f t="shared" si="44"/>
        <v>0</v>
      </c>
      <c r="M1451" s="20" t="str">
        <f>A1451&amp;L1451</f>
        <v>ITW0</v>
      </c>
      <c r="N1451" s="3">
        <f>F1451/2</f>
        <v>0.12</v>
      </c>
      <c r="O1451" s="9">
        <f>H1451</f>
        <v>0.01</v>
      </c>
      <c r="P1451" s="10">
        <f t="shared" si="45"/>
        <v>0</v>
      </c>
      <c r="Q1451" s="10">
        <f>IF(K1451=0,IF(A1448=A1451,AVERAGE(O1448:O1451),"x"),0)</f>
        <v>0</v>
      </c>
      <c r="R1451" s="9">
        <f>IF(L1451&gt;2005,AVERAGE(O1448:O1467),0)</f>
        <v>0</v>
      </c>
      <c r="S1451" s="10">
        <f>IF(A1451=A1452,(N1451-N1452)/N1452,0)</f>
        <v>0</v>
      </c>
      <c r="T1451" s="10">
        <f>IF(L1451&gt;2005,(((N1451-N1471)/N1471)+1)^(1/5)-1,0)</f>
        <v>0</v>
      </c>
      <c r="U1451" s="10">
        <f t="shared" si="46"/>
        <v>0</v>
      </c>
      <c r="V1451" s="26">
        <f t="shared" si="47"/>
        <v>0</v>
      </c>
      <c r="W1451" s="3">
        <f>IF(A1451=A1452,N1451-N1452,0)</f>
        <v>0</v>
      </c>
      <c r="X1451" s="10">
        <f>IF(A1451=A1452,(N1451-N1452)/N1452,0)</f>
        <v>0</v>
      </c>
    </row>
    <row r="1452" spans="1:24" ht="16.5" customHeight="1">
      <c r="A1452" s="3" t="s">
        <v>39</v>
      </c>
      <c r="B1452" s="3">
        <f t="shared" si="40"/>
        <v>2004</v>
      </c>
      <c r="C1452" s="3">
        <f t="shared" si="41"/>
        <v>3</v>
      </c>
      <c r="D1452" s="20" t="str">
        <f t="shared" si="42"/>
        <v>ITW20043</v>
      </c>
      <c r="E1452" s="2">
        <v>38075</v>
      </c>
      <c r="F1452" s="3">
        <v>0.24</v>
      </c>
      <c r="G1452" s="2">
        <v>38096</v>
      </c>
      <c r="H1452" s="3">
        <v>1.23E-2</v>
      </c>
      <c r="I1452" s="3">
        <v>0</v>
      </c>
      <c r="J1452" s="3">
        <v>0</v>
      </c>
      <c r="K1452" s="3">
        <f t="shared" si="43"/>
        <v>0</v>
      </c>
      <c r="L1452" s="3">
        <f t="shared" si="44"/>
        <v>2004</v>
      </c>
      <c r="M1452" s="20" t="str">
        <f>A1452&amp;L1452</f>
        <v>ITW2004</v>
      </c>
      <c r="N1452" s="3">
        <f>F1452/2</f>
        <v>0.12</v>
      </c>
      <c r="O1452" s="9">
        <f>H1452</f>
        <v>1.23E-2</v>
      </c>
      <c r="P1452" s="10">
        <f t="shared" si="45"/>
        <v>0</v>
      </c>
      <c r="Q1452" s="10">
        <f>IF(K1452=0,IF(A1449=A1452,AVERAGE(O1449:O1452),"x"),0)</f>
        <v>1.11E-2</v>
      </c>
      <c r="R1452" s="9">
        <f>IF(L1452&gt;2005,AVERAGE(O1449:O1468),0)</f>
        <v>0</v>
      </c>
      <c r="S1452" s="10">
        <f>IF(A1452=A1453,(N1452-N1453)/N1453,0)</f>
        <v>0</v>
      </c>
      <c r="T1452" s="10">
        <f>IF(L1452&gt;2005,(((N1452-N1472)/N1472)+1)^(1/5)-1,0)</f>
        <v>0</v>
      </c>
      <c r="U1452" s="10">
        <f t="shared" si="46"/>
        <v>0</v>
      </c>
      <c r="V1452" s="26">
        <f t="shared" si="47"/>
        <v>0</v>
      </c>
      <c r="W1452" s="3">
        <f>IF(A1452=A1453,N1452-N1453,0)</f>
        <v>0</v>
      </c>
      <c r="X1452" s="10">
        <f>IF(A1452=A1453,(N1452-N1453)/N1453,0)</f>
        <v>0</v>
      </c>
    </row>
    <row r="1453" spans="1:24" ht="16.5" customHeight="1">
      <c r="A1453" s="3" t="s">
        <v>39</v>
      </c>
      <c r="B1453" s="3">
        <f t="shared" si="40"/>
        <v>2003</v>
      </c>
      <c r="C1453" s="3">
        <f t="shared" si="41"/>
        <v>12</v>
      </c>
      <c r="D1453" s="20" t="str">
        <f t="shared" si="42"/>
        <v>ITW200312</v>
      </c>
      <c r="E1453" s="2">
        <v>37984</v>
      </c>
      <c r="F1453" s="3">
        <v>0.24</v>
      </c>
      <c r="G1453" s="2">
        <v>38012</v>
      </c>
      <c r="H1453" s="3">
        <v>1.12E-2</v>
      </c>
      <c r="I1453" s="3">
        <v>0</v>
      </c>
      <c r="J1453" s="3">
        <v>0</v>
      </c>
      <c r="K1453" s="3">
        <f t="shared" si="43"/>
        <v>2003</v>
      </c>
      <c r="L1453" s="3">
        <f t="shared" si="44"/>
        <v>0</v>
      </c>
      <c r="M1453" s="20" t="str">
        <f>A1453&amp;L1453</f>
        <v>ITW0</v>
      </c>
      <c r="N1453" s="3">
        <f>F1453/2</f>
        <v>0.12</v>
      </c>
      <c r="O1453" s="9">
        <f>H1453</f>
        <v>1.12E-2</v>
      </c>
      <c r="P1453" s="10">
        <f t="shared" si="45"/>
        <v>0</v>
      </c>
      <c r="Q1453" s="10">
        <f>IF(K1453=0,IF(A1450=A1453,AVERAGE(O1450:O1453),"x"),0)</f>
        <v>0</v>
      </c>
      <c r="R1453" s="9">
        <f>IF(L1453&gt;2005,AVERAGE(O1450:O1469),0)</f>
        <v>0</v>
      </c>
      <c r="S1453" s="10">
        <f>IF(A1453=A1454,(N1453-N1454)/N1454,0)</f>
        <v>0</v>
      </c>
      <c r="T1453" s="10">
        <f>IF(L1453&gt;2005,(((N1453-N1473)/N1473)+1)^(1/5)-1,0)</f>
        <v>0</v>
      </c>
      <c r="U1453" s="10">
        <f t="shared" si="46"/>
        <v>0</v>
      </c>
      <c r="V1453" s="26">
        <f t="shared" si="47"/>
        <v>0</v>
      </c>
      <c r="W1453" s="3">
        <f>IF(A1453=A1454,N1453-N1454,0)</f>
        <v>0</v>
      </c>
      <c r="X1453" s="10">
        <f>IF(A1453=A1454,(N1453-N1454)/N1454,0)</f>
        <v>0</v>
      </c>
    </row>
    <row r="1454" spans="1:24" ht="16.5" customHeight="1">
      <c r="A1454" s="3" t="s">
        <v>39</v>
      </c>
      <c r="B1454" s="3">
        <f t="shared" si="40"/>
        <v>2003</v>
      </c>
      <c r="C1454" s="3">
        <f t="shared" si="41"/>
        <v>9</v>
      </c>
      <c r="D1454" s="20" t="str">
        <f t="shared" si="42"/>
        <v>ITW20039</v>
      </c>
      <c r="E1454" s="2">
        <v>37890</v>
      </c>
      <c r="F1454" s="3">
        <v>0.24</v>
      </c>
      <c r="G1454" s="2">
        <v>37914</v>
      </c>
      <c r="H1454" s="3">
        <v>1.3599999999999999E-2</v>
      </c>
      <c r="I1454" s="3">
        <v>4.3478260999999997E-2</v>
      </c>
      <c r="J1454" s="3">
        <v>0.01</v>
      </c>
      <c r="K1454" s="3">
        <f t="shared" si="43"/>
        <v>2003</v>
      </c>
      <c r="L1454" s="3">
        <f t="shared" si="44"/>
        <v>0</v>
      </c>
      <c r="M1454" s="20" t="str">
        <f>A1454&amp;L1454</f>
        <v>ITW0</v>
      </c>
      <c r="N1454" s="3">
        <f>F1454/2</f>
        <v>0.12</v>
      </c>
      <c r="O1454" s="9">
        <f>H1454</f>
        <v>1.3599999999999999E-2</v>
      </c>
      <c r="P1454" s="10">
        <f t="shared" si="45"/>
        <v>1.405E-2</v>
      </c>
      <c r="Q1454" s="10">
        <f>IF(K1454=0,IF(A1451=A1454,AVERAGE(O1451:O1454),"x"),0)</f>
        <v>0</v>
      </c>
      <c r="R1454" s="9">
        <f>IF(L1454&gt;2005,AVERAGE(O1451:O1470),0)</f>
        <v>0</v>
      </c>
      <c r="S1454" s="10">
        <f>IF(A1454=A1455,(N1454-N1455)/N1455,0)</f>
        <v>4.3478260869565133E-2</v>
      </c>
      <c r="T1454" s="10">
        <f>IF(L1454&gt;2005,(((N1454-N1474)/N1474)+1)^(1/5)-1,0)</f>
        <v>0</v>
      </c>
      <c r="U1454" s="10">
        <f t="shared" si="46"/>
        <v>0</v>
      </c>
      <c r="V1454" s="26">
        <f t="shared" si="47"/>
        <v>0</v>
      </c>
      <c r="W1454" s="3">
        <f>IF(A1454=A1455,N1454-N1455,0)</f>
        <v>4.9999999999999906E-3</v>
      </c>
      <c r="X1454" s="10">
        <f>IF(A1454=A1455,(N1454-N1455)/N1455,0)</f>
        <v>4.3478260869565133E-2</v>
      </c>
    </row>
    <row r="1455" spans="1:24" ht="16.5" customHeight="1">
      <c r="A1455" s="3" t="s">
        <v>39</v>
      </c>
      <c r="B1455" s="3">
        <f t="shared" si="40"/>
        <v>2003</v>
      </c>
      <c r="C1455" s="3">
        <f t="shared" si="41"/>
        <v>6</v>
      </c>
      <c r="D1455" s="20" t="str">
        <f t="shared" si="42"/>
        <v>ITW20036</v>
      </c>
      <c r="E1455" s="2">
        <v>37798</v>
      </c>
      <c r="F1455" s="3">
        <v>0.23</v>
      </c>
      <c r="G1455" s="2">
        <v>37823</v>
      </c>
      <c r="H1455" s="3">
        <v>1.38E-2</v>
      </c>
      <c r="I1455" s="3">
        <v>0</v>
      </c>
      <c r="J1455" s="3">
        <v>0</v>
      </c>
      <c r="K1455" s="3">
        <f t="shared" si="43"/>
        <v>2003</v>
      </c>
      <c r="L1455" s="3">
        <f t="shared" si="44"/>
        <v>0</v>
      </c>
      <c r="M1455" s="20" t="str">
        <f>A1455&amp;L1455</f>
        <v>ITW0</v>
      </c>
      <c r="N1455" s="3">
        <f>F1455/2</f>
        <v>0.115</v>
      </c>
      <c r="O1455" s="9">
        <f>H1455</f>
        <v>1.38E-2</v>
      </c>
      <c r="P1455" s="10">
        <f t="shared" si="45"/>
        <v>0</v>
      </c>
      <c r="Q1455" s="10">
        <f>IF(K1455=0,IF(A1452=A1455,AVERAGE(O1452:O1455),"x"),0)</f>
        <v>0</v>
      </c>
      <c r="R1455" s="9">
        <f>IF(L1455&gt;2005,AVERAGE(O1452:O1471),0)</f>
        <v>0</v>
      </c>
      <c r="S1455" s="10">
        <f>IF(A1455=A1456,(N1455-N1456)/N1456,0)</f>
        <v>0</v>
      </c>
      <c r="T1455" s="10">
        <f>IF(L1455&gt;2005,(((N1455-N1475)/N1475)+1)^(1/5)-1,0)</f>
        <v>0</v>
      </c>
      <c r="U1455" s="10">
        <f t="shared" si="46"/>
        <v>0</v>
      </c>
      <c r="V1455" s="26">
        <f t="shared" si="47"/>
        <v>0</v>
      </c>
      <c r="W1455" s="3">
        <f>IF(A1455=A1456,N1455-N1456,0)</f>
        <v>0</v>
      </c>
      <c r="X1455" s="10">
        <f>IF(A1455=A1456,(N1455-N1456)/N1456,0)</f>
        <v>0</v>
      </c>
    </row>
    <row r="1456" spans="1:24" ht="16.5" customHeight="1">
      <c r="A1456" s="3" t="s">
        <v>39</v>
      </c>
      <c r="B1456" s="3">
        <f t="shared" si="40"/>
        <v>2003</v>
      </c>
      <c r="C1456" s="3">
        <f t="shared" si="41"/>
        <v>3</v>
      </c>
      <c r="D1456" s="20" t="str">
        <f t="shared" si="42"/>
        <v>ITW20033</v>
      </c>
      <c r="E1456" s="2">
        <v>37707</v>
      </c>
      <c r="F1456" s="3">
        <v>0.23</v>
      </c>
      <c r="G1456" s="2">
        <v>37732</v>
      </c>
      <c r="H1456" s="3">
        <v>1.5100000000000001E-2</v>
      </c>
      <c r="I1456" s="3">
        <v>0</v>
      </c>
      <c r="J1456" s="3">
        <v>0</v>
      </c>
      <c r="K1456" s="3">
        <f t="shared" si="43"/>
        <v>0</v>
      </c>
      <c r="L1456" s="3">
        <f t="shared" si="44"/>
        <v>2003</v>
      </c>
      <c r="M1456" s="20" t="str">
        <f>A1456&amp;L1456</f>
        <v>ITW2003</v>
      </c>
      <c r="N1456" s="3">
        <f>F1456/2</f>
        <v>0.115</v>
      </c>
      <c r="O1456" s="9">
        <f>H1456</f>
        <v>1.5100000000000001E-2</v>
      </c>
      <c r="P1456" s="10">
        <f t="shared" si="45"/>
        <v>0</v>
      </c>
      <c r="Q1456" s="10">
        <f>IF(K1456=0,IF(A1453=A1456,AVERAGE(O1453:O1456),"x"),0)</f>
        <v>1.3424999999999999E-2</v>
      </c>
      <c r="R1456" s="9">
        <f>IF(L1456&gt;2005,AVERAGE(O1453:O1472),0)</f>
        <v>0</v>
      </c>
      <c r="S1456" s="10">
        <f>IF(A1456=A1457,(N1456-N1457)/N1457,0)</f>
        <v>0</v>
      </c>
      <c r="T1456" s="10">
        <f>IF(L1456&gt;2005,(((N1456-N1476)/N1476)+1)^(1/5)-1,0)</f>
        <v>0</v>
      </c>
      <c r="U1456" s="10">
        <f t="shared" si="46"/>
        <v>0</v>
      </c>
      <c r="V1456" s="26">
        <f t="shared" si="47"/>
        <v>0</v>
      </c>
      <c r="W1456" s="3">
        <f>IF(A1456=A1457,N1456-N1457,0)</f>
        <v>0</v>
      </c>
      <c r="X1456" s="10">
        <f>IF(A1456=A1457,(N1456-N1457)/N1457,0)</f>
        <v>0</v>
      </c>
    </row>
    <row r="1457" spans="1:24" ht="16.5" customHeight="1">
      <c r="A1457" s="3" t="s">
        <v>39</v>
      </c>
      <c r="B1457" s="3">
        <f t="shared" si="40"/>
        <v>2002</v>
      </c>
      <c r="C1457" s="3">
        <f t="shared" si="41"/>
        <v>12</v>
      </c>
      <c r="D1457" s="20" t="str">
        <f t="shared" si="42"/>
        <v>ITW200212</v>
      </c>
      <c r="E1457" s="2">
        <v>37617</v>
      </c>
      <c r="F1457" s="3">
        <v>0.23</v>
      </c>
      <c r="G1457" s="2">
        <v>37648</v>
      </c>
      <c r="H1457" s="3">
        <v>1.37E-2</v>
      </c>
      <c r="I1457" s="3">
        <v>0</v>
      </c>
      <c r="J1457" s="3">
        <v>0</v>
      </c>
      <c r="K1457" s="3">
        <f t="shared" si="43"/>
        <v>2002</v>
      </c>
      <c r="L1457" s="3">
        <f t="shared" si="44"/>
        <v>0</v>
      </c>
      <c r="M1457" s="20" t="str">
        <f>A1457&amp;L1457</f>
        <v>ITW0</v>
      </c>
      <c r="N1457" s="3">
        <f>F1457/2</f>
        <v>0.115</v>
      </c>
      <c r="O1457" s="9">
        <f>H1457</f>
        <v>1.37E-2</v>
      </c>
      <c r="P1457" s="10">
        <f t="shared" si="45"/>
        <v>0</v>
      </c>
      <c r="Q1457" s="10">
        <f>IF(K1457=0,IF(A1454=A1457,AVERAGE(O1454:O1457),"x"),0)</f>
        <v>0</v>
      </c>
      <c r="R1457" s="9">
        <f>IF(L1457&gt;2005,AVERAGE(O1454:O1473),0)</f>
        <v>0</v>
      </c>
      <c r="S1457" s="10">
        <f>IF(A1457=A1458,(N1457-N1458)/N1458,0)</f>
        <v>0</v>
      </c>
      <c r="T1457" s="10">
        <f>IF(L1457&gt;2005,(((N1457-N1477)/N1477)+1)^(1/5)-1,0)</f>
        <v>0</v>
      </c>
      <c r="U1457" s="10">
        <f t="shared" si="46"/>
        <v>0</v>
      </c>
      <c r="V1457" s="26">
        <f t="shared" si="47"/>
        <v>0</v>
      </c>
      <c r="W1457" s="3">
        <f>IF(A1457=A1458,N1457-N1458,0)</f>
        <v>0</v>
      </c>
      <c r="X1457" s="10">
        <f>IF(A1457=A1458,(N1457-N1458)/N1458,0)</f>
        <v>0</v>
      </c>
    </row>
    <row r="1458" spans="1:24" ht="16.5" customHeight="1">
      <c r="A1458" s="3" t="s">
        <v>39</v>
      </c>
      <c r="B1458" s="3">
        <f t="shared" si="40"/>
        <v>2002</v>
      </c>
      <c r="C1458" s="3">
        <f t="shared" si="41"/>
        <v>9</v>
      </c>
      <c r="D1458" s="20" t="str">
        <f t="shared" si="42"/>
        <v>ITW20029</v>
      </c>
      <c r="E1458" s="2">
        <v>37525</v>
      </c>
      <c r="F1458" s="3">
        <v>0.23</v>
      </c>
      <c r="G1458" s="2">
        <v>37547</v>
      </c>
      <c r="H1458" s="3">
        <v>1.4999999999999999E-2</v>
      </c>
      <c r="I1458" s="3">
        <v>4.5454544999999999E-2</v>
      </c>
      <c r="J1458" s="3">
        <v>0.01</v>
      </c>
      <c r="K1458" s="3">
        <f t="shared" si="43"/>
        <v>2002</v>
      </c>
      <c r="L1458" s="3">
        <f t="shared" si="44"/>
        <v>0</v>
      </c>
      <c r="M1458" s="20" t="str">
        <f>A1458&amp;L1458</f>
        <v>ITW0</v>
      </c>
      <c r="N1458" s="3">
        <f>F1458/2</f>
        <v>0.115</v>
      </c>
      <c r="O1458" s="9">
        <f>H1458</f>
        <v>1.4999999999999999E-2</v>
      </c>
      <c r="P1458" s="10">
        <f t="shared" si="45"/>
        <v>1.3025E-2</v>
      </c>
      <c r="Q1458" s="10">
        <f>IF(K1458=0,IF(A1455=A1458,AVERAGE(O1455:O1458),"x"),0)</f>
        <v>0</v>
      </c>
      <c r="R1458" s="9">
        <f>IF(L1458&gt;2005,AVERAGE(O1455:O1474),0)</f>
        <v>0</v>
      </c>
      <c r="S1458" s="10">
        <f>IF(A1458=A1459,(N1458-N1459)/N1459,0)</f>
        <v>4.5454545454545497E-2</v>
      </c>
      <c r="T1458" s="10">
        <f>IF(L1458&gt;2005,(((N1458-N1478)/N1478)+1)^(1/5)-1,0)</f>
        <v>0</v>
      </c>
      <c r="U1458" s="10">
        <f t="shared" si="46"/>
        <v>0</v>
      </c>
      <c r="V1458" s="26">
        <f t="shared" si="47"/>
        <v>0</v>
      </c>
      <c r="W1458" s="3">
        <f>IF(A1458=A1459,N1458-N1459,0)</f>
        <v>5.0000000000000044E-3</v>
      </c>
      <c r="X1458" s="10">
        <f>IF(A1458=A1459,(N1458-N1459)/N1459,0)</f>
        <v>4.5454545454545497E-2</v>
      </c>
    </row>
    <row r="1459" spans="1:24" ht="16.5" customHeight="1">
      <c r="A1459" s="3" t="s">
        <v>39</v>
      </c>
      <c r="B1459" s="3">
        <f t="shared" si="40"/>
        <v>2002</v>
      </c>
      <c r="C1459" s="3">
        <f t="shared" si="41"/>
        <v>6</v>
      </c>
      <c r="D1459" s="20" t="str">
        <f t="shared" si="42"/>
        <v>ITW20026</v>
      </c>
      <c r="E1459" s="2">
        <v>37433</v>
      </c>
      <c r="F1459" s="3">
        <v>0.22</v>
      </c>
      <c r="G1459" s="2">
        <v>37456</v>
      </c>
      <c r="H1459" s="3">
        <v>1.2999999999999999E-2</v>
      </c>
      <c r="I1459" s="3">
        <v>0</v>
      </c>
      <c r="J1459" s="3">
        <v>0</v>
      </c>
      <c r="K1459" s="3">
        <f t="shared" si="43"/>
        <v>2002</v>
      </c>
      <c r="L1459" s="3">
        <f t="shared" si="44"/>
        <v>0</v>
      </c>
      <c r="M1459" s="20" t="str">
        <f>A1459&amp;L1459</f>
        <v>ITW0</v>
      </c>
      <c r="N1459" s="3">
        <f>F1459/2</f>
        <v>0.11</v>
      </c>
      <c r="O1459" s="9">
        <f>H1459</f>
        <v>1.2999999999999999E-2</v>
      </c>
      <c r="P1459" s="10">
        <f t="shared" si="45"/>
        <v>0</v>
      </c>
      <c r="Q1459" s="10">
        <f>IF(K1459=0,IF(A1456=A1459,AVERAGE(O1456:O1459),"x"),0)</f>
        <v>0</v>
      </c>
      <c r="R1459" s="9">
        <f>IF(L1459&gt;2005,AVERAGE(O1456:O1475),0)</f>
        <v>0</v>
      </c>
      <c r="S1459" s="10">
        <f>IF(A1459=A1460,(N1459-N1460)/N1460,0)</f>
        <v>0</v>
      </c>
      <c r="T1459" s="10">
        <f>IF(L1459&gt;2005,(((N1459-N1479)/N1479)+1)^(1/5)-1,0)</f>
        <v>0</v>
      </c>
      <c r="U1459" s="10">
        <f t="shared" si="46"/>
        <v>0</v>
      </c>
      <c r="V1459" s="26">
        <f t="shared" si="47"/>
        <v>0</v>
      </c>
      <c r="W1459" s="3">
        <f>IF(A1459=A1460,N1459-N1460,0)</f>
        <v>0</v>
      </c>
      <c r="X1459" s="10">
        <f>IF(A1459=A1460,(N1459-N1460)/N1460,0)</f>
        <v>0</v>
      </c>
    </row>
    <row r="1460" spans="1:24" ht="16.5" customHeight="1">
      <c r="A1460" s="3" t="s">
        <v>39</v>
      </c>
      <c r="B1460" s="3">
        <f t="shared" si="40"/>
        <v>2002</v>
      </c>
      <c r="C1460" s="3">
        <f t="shared" si="41"/>
        <v>3</v>
      </c>
      <c r="D1460" s="20" t="str">
        <f t="shared" si="42"/>
        <v>ITW20023</v>
      </c>
      <c r="E1460" s="2">
        <v>37341</v>
      </c>
      <c r="F1460" s="3">
        <v>0.22</v>
      </c>
      <c r="G1460" s="2">
        <v>37365</v>
      </c>
      <c r="H1460" s="3">
        <v>1.1900000000000001E-2</v>
      </c>
      <c r="I1460" s="3">
        <v>0</v>
      </c>
      <c r="J1460" s="3">
        <v>0</v>
      </c>
      <c r="K1460" s="3">
        <f t="shared" si="43"/>
        <v>0</v>
      </c>
      <c r="L1460" s="3">
        <f t="shared" si="44"/>
        <v>2002</v>
      </c>
      <c r="M1460" s="20" t="str">
        <f>A1460&amp;L1460</f>
        <v>ITW2002</v>
      </c>
      <c r="N1460" s="3">
        <f>F1460/2</f>
        <v>0.11</v>
      </c>
      <c r="O1460" s="9">
        <f>H1460</f>
        <v>1.1900000000000001E-2</v>
      </c>
      <c r="P1460" s="10">
        <f t="shared" si="45"/>
        <v>0</v>
      </c>
      <c r="Q1460" s="10">
        <f>IF(K1460=0,IF(A1457=A1460,AVERAGE(O1457:O1460),"x"),0)</f>
        <v>1.34E-2</v>
      </c>
      <c r="R1460" s="9">
        <f>IF(L1460&gt;2005,AVERAGE(O1457:O1476),0)</f>
        <v>0</v>
      </c>
      <c r="S1460" s="10">
        <f>IF(A1460=A1461,(N1460-N1461)/N1461,0)</f>
        <v>0</v>
      </c>
      <c r="T1460" s="10">
        <f>IF(L1460&gt;2005,(((N1460-N1480)/N1480)+1)^(1/5)-1,0)</f>
        <v>0</v>
      </c>
      <c r="U1460" s="10">
        <f t="shared" si="46"/>
        <v>0</v>
      </c>
      <c r="V1460" s="26">
        <f t="shared" si="47"/>
        <v>0</v>
      </c>
      <c r="W1460" s="3">
        <f>IF(A1460=A1461,N1460-N1461,0)</f>
        <v>0</v>
      </c>
      <c r="X1460" s="10">
        <f>IF(A1460=A1461,(N1460-N1461)/N1461,0)</f>
        <v>0</v>
      </c>
    </row>
    <row r="1461" spans="1:24" ht="16.5" customHeight="1">
      <c r="A1461" s="3" t="s">
        <v>39</v>
      </c>
      <c r="B1461" s="3">
        <f t="shared" si="40"/>
        <v>2001</v>
      </c>
      <c r="C1461" s="3">
        <f t="shared" si="41"/>
        <v>12</v>
      </c>
      <c r="D1461" s="20" t="str">
        <f t="shared" si="42"/>
        <v>ITW200112</v>
      </c>
      <c r="E1461" s="2">
        <v>37252</v>
      </c>
      <c r="F1461" s="3">
        <v>0.22</v>
      </c>
      <c r="G1461" s="2">
        <v>37281</v>
      </c>
      <c r="H1461" s="3">
        <v>1.2200000000000001E-2</v>
      </c>
      <c r="I1461" s="3">
        <v>0</v>
      </c>
      <c r="J1461" s="3">
        <v>0</v>
      </c>
      <c r="K1461" s="3">
        <f t="shared" si="43"/>
        <v>2001</v>
      </c>
      <c r="L1461" s="3">
        <f t="shared" si="44"/>
        <v>0</v>
      </c>
      <c r="M1461" s="20" t="str">
        <f>A1461&amp;L1461</f>
        <v>ITW0</v>
      </c>
      <c r="N1461" s="3">
        <f>F1461/2</f>
        <v>0.11</v>
      </c>
      <c r="O1461" s="9">
        <f>H1461</f>
        <v>1.2200000000000001E-2</v>
      </c>
      <c r="P1461" s="10">
        <f t="shared" si="45"/>
        <v>0</v>
      </c>
      <c r="Q1461" s="10">
        <f>IF(K1461=0,IF(A1458=A1461,AVERAGE(O1458:O1461),"x"),0)</f>
        <v>0</v>
      </c>
      <c r="R1461" s="9">
        <f>IF(L1461&gt;2005,AVERAGE(O1458:O1477),0)</f>
        <v>0</v>
      </c>
      <c r="S1461" s="10">
        <f>IF(A1461=A1462,(N1461-N1462)/N1462,0)</f>
        <v>0</v>
      </c>
      <c r="T1461" s="10">
        <f>IF(L1461&gt;2005,(((N1461-N1481)/N1481)+1)^(1/5)-1,0)</f>
        <v>0</v>
      </c>
      <c r="U1461" s="10">
        <f t="shared" si="46"/>
        <v>0</v>
      </c>
      <c r="V1461" s="26">
        <f t="shared" si="47"/>
        <v>0</v>
      </c>
      <c r="W1461" s="3">
        <f>IF(A1461=A1462,N1461-N1462,0)</f>
        <v>0</v>
      </c>
      <c r="X1461" s="10">
        <f>IF(A1461=A1462,(N1461-N1462)/N1462,0)</f>
        <v>0</v>
      </c>
    </row>
    <row r="1462" spans="1:24" ht="16.5" customHeight="1">
      <c r="A1462" s="3" t="s">
        <v>39</v>
      </c>
      <c r="B1462" s="3">
        <f t="shared" si="40"/>
        <v>2001</v>
      </c>
      <c r="C1462" s="3">
        <f t="shared" si="41"/>
        <v>9</v>
      </c>
      <c r="D1462" s="20" t="str">
        <f t="shared" si="42"/>
        <v>ITW20019</v>
      </c>
      <c r="E1462" s="2">
        <v>37160</v>
      </c>
      <c r="F1462" s="3">
        <v>0.22</v>
      </c>
      <c r="G1462" s="2">
        <v>37183</v>
      </c>
      <c r="H1462" s="3">
        <v>1.55E-2</v>
      </c>
      <c r="I1462" s="3">
        <v>0.1</v>
      </c>
      <c r="J1462" s="3">
        <v>0.02</v>
      </c>
      <c r="K1462" s="3">
        <f t="shared" si="43"/>
        <v>2001</v>
      </c>
      <c r="L1462" s="3">
        <f t="shared" si="44"/>
        <v>0</v>
      </c>
      <c r="M1462" s="20" t="str">
        <f>A1462&amp;L1462</f>
        <v>ITW0</v>
      </c>
      <c r="N1462" s="3">
        <f>F1462/2</f>
        <v>0.11</v>
      </c>
      <c r="O1462" s="9">
        <f>H1462</f>
        <v>1.55E-2</v>
      </c>
      <c r="P1462" s="10">
        <f t="shared" si="45"/>
        <v>1.3525000000000001E-2</v>
      </c>
      <c r="Q1462" s="10">
        <f>IF(K1462=0,IF(A1459=A1462,AVERAGE(O1459:O1462),"x"),0)</f>
        <v>0</v>
      </c>
      <c r="R1462" s="9">
        <f>IF(L1462&gt;2005,AVERAGE(O1459:O1478),0)</f>
        <v>0</v>
      </c>
      <c r="S1462" s="10">
        <f>IF(A1462=A1463,(N1462-N1463)/N1463,0)</f>
        <v>9.999999999999995E-2</v>
      </c>
      <c r="T1462" s="10">
        <f>IF(L1462&gt;2005,(((N1462-N1482)/N1482)+1)^(1/5)-1,0)</f>
        <v>0</v>
      </c>
      <c r="U1462" s="10">
        <f t="shared" si="46"/>
        <v>0</v>
      </c>
      <c r="V1462" s="26">
        <f t="shared" si="47"/>
        <v>0</v>
      </c>
      <c r="W1462" s="3">
        <f>IF(A1462=A1463,N1462-N1463,0)</f>
        <v>9.999999999999995E-3</v>
      </c>
      <c r="X1462" s="10">
        <f>IF(A1462=A1463,(N1462-N1463)/N1463,0)</f>
        <v>9.999999999999995E-2</v>
      </c>
    </row>
    <row r="1463" spans="1:24" ht="16.5" customHeight="1">
      <c r="A1463" s="3" t="s">
        <v>39</v>
      </c>
      <c r="B1463" s="3">
        <f t="shared" si="40"/>
        <v>2001</v>
      </c>
      <c r="C1463" s="3">
        <f t="shared" si="41"/>
        <v>6</v>
      </c>
      <c r="D1463" s="20" t="str">
        <f t="shared" si="42"/>
        <v>ITW20016</v>
      </c>
      <c r="E1463" s="2">
        <v>37069</v>
      </c>
      <c r="F1463" s="3">
        <v>0.2</v>
      </c>
      <c r="G1463" s="2">
        <v>37092</v>
      </c>
      <c r="H1463" s="3">
        <v>1.2200000000000001E-2</v>
      </c>
      <c r="I1463" s="3">
        <v>0</v>
      </c>
      <c r="J1463" s="3">
        <v>0</v>
      </c>
      <c r="K1463" s="3">
        <f t="shared" si="43"/>
        <v>2001</v>
      </c>
      <c r="L1463" s="3">
        <f t="shared" si="44"/>
        <v>0</v>
      </c>
      <c r="M1463" s="20" t="str">
        <f>A1463&amp;L1463</f>
        <v>ITW0</v>
      </c>
      <c r="N1463" s="3">
        <f>F1463/2</f>
        <v>0.1</v>
      </c>
      <c r="O1463" s="9">
        <f>H1463</f>
        <v>1.2200000000000001E-2</v>
      </c>
      <c r="P1463" s="10">
        <f t="shared" si="45"/>
        <v>0</v>
      </c>
      <c r="Q1463" s="10">
        <f>IF(K1463=0,IF(A1460=A1463,AVERAGE(O1460:O1463),"x"),0)</f>
        <v>0</v>
      </c>
      <c r="R1463" s="9">
        <f>IF(L1463&gt;2005,AVERAGE(O1460:O1479),0)</f>
        <v>0</v>
      </c>
      <c r="S1463" s="10">
        <f>IF(A1463=A1464,(N1463-N1464)/N1464,0)</f>
        <v>0</v>
      </c>
      <c r="T1463" s="10">
        <f>IF(L1463&gt;2005,(((N1463-N1483)/N1483)+1)^(1/5)-1,0)</f>
        <v>0</v>
      </c>
      <c r="U1463" s="10">
        <f t="shared" si="46"/>
        <v>0</v>
      </c>
      <c r="V1463" s="26">
        <f t="shared" si="47"/>
        <v>0</v>
      </c>
      <c r="W1463" s="3">
        <f>IF(A1463=A1464,N1463-N1464,0)</f>
        <v>0</v>
      </c>
      <c r="X1463" s="10">
        <f>IF(A1463=A1464,(N1463-N1464)/N1464,0)</f>
        <v>0</v>
      </c>
    </row>
    <row r="1464" spans="1:24" ht="16.5" customHeight="1">
      <c r="A1464" s="3" t="s">
        <v>39</v>
      </c>
      <c r="B1464" s="3">
        <f t="shared" si="40"/>
        <v>2001</v>
      </c>
      <c r="C1464" s="3">
        <f t="shared" si="41"/>
        <v>3</v>
      </c>
      <c r="D1464" s="20" t="str">
        <f t="shared" si="42"/>
        <v>ITW20013</v>
      </c>
      <c r="E1464" s="2">
        <v>36978</v>
      </c>
      <c r="F1464" s="3">
        <v>0.2</v>
      </c>
      <c r="G1464" s="2">
        <v>37001</v>
      </c>
      <c r="H1464" s="3">
        <v>1.3299999999999999E-2</v>
      </c>
      <c r="I1464" s="3">
        <v>0</v>
      </c>
      <c r="J1464" s="3">
        <v>0</v>
      </c>
      <c r="K1464" s="3">
        <f t="shared" si="43"/>
        <v>0</v>
      </c>
      <c r="L1464" s="3">
        <f t="shared" si="44"/>
        <v>2001</v>
      </c>
      <c r="M1464" s="20" t="str">
        <f>A1464&amp;L1464</f>
        <v>ITW2001</v>
      </c>
      <c r="N1464" s="3">
        <f>F1464/2</f>
        <v>0.1</v>
      </c>
      <c r="O1464" s="9">
        <f>H1464</f>
        <v>1.3299999999999999E-2</v>
      </c>
      <c r="P1464" s="10">
        <f t="shared" si="45"/>
        <v>0</v>
      </c>
      <c r="Q1464" s="10">
        <f>IF(K1464=0,IF(A1461=A1464,AVERAGE(O1461:O1464),"x"),0)</f>
        <v>1.3300000000000001E-2</v>
      </c>
      <c r="R1464" s="9">
        <f>IF(L1464&gt;2005,AVERAGE(O1461:O1480),0)</f>
        <v>0</v>
      </c>
      <c r="S1464" s="10">
        <f>IF(A1464=A1465,(N1464-N1465)/N1465,0)</f>
        <v>0</v>
      </c>
      <c r="T1464" s="10">
        <f>IF(L1464&gt;2005,(((N1464-N1484)/N1484)+1)^(1/5)-1,0)</f>
        <v>0</v>
      </c>
      <c r="U1464" s="10">
        <f t="shared" si="46"/>
        <v>0</v>
      </c>
      <c r="V1464" s="26">
        <f t="shared" si="47"/>
        <v>0</v>
      </c>
      <c r="W1464" s="3">
        <f>IF(A1464=A1465,N1464-N1465,0)</f>
        <v>0</v>
      </c>
      <c r="X1464" s="10">
        <f>IF(A1464=A1465,(N1464-N1465)/N1465,0)</f>
        <v>0</v>
      </c>
    </row>
    <row r="1465" spans="1:24" ht="16.5" customHeight="1">
      <c r="A1465" s="3" t="s">
        <v>39</v>
      </c>
      <c r="B1465" s="3">
        <f t="shared" si="40"/>
        <v>2000</v>
      </c>
      <c r="C1465" s="3">
        <f t="shared" si="41"/>
        <v>12</v>
      </c>
      <c r="D1465" s="20" t="str">
        <f t="shared" si="42"/>
        <v>ITW200012</v>
      </c>
      <c r="E1465" s="2">
        <v>36887</v>
      </c>
      <c r="F1465" s="3">
        <v>0.2</v>
      </c>
      <c r="G1465" s="2">
        <v>36917</v>
      </c>
      <c r="H1465" s="3">
        <v>1.3100000000000001E-2</v>
      </c>
      <c r="I1465" s="3">
        <v>0</v>
      </c>
      <c r="J1465" s="3">
        <v>0</v>
      </c>
      <c r="K1465" s="3">
        <f t="shared" si="43"/>
        <v>2000</v>
      </c>
      <c r="L1465" s="3">
        <f t="shared" si="44"/>
        <v>0</v>
      </c>
      <c r="M1465" s="20" t="str">
        <f>A1465&amp;L1465</f>
        <v>ITW0</v>
      </c>
      <c r="N1465" s="3">
        <f>F1465/2</f>
        <v>0.1</v>
      </c>
      <c r="O1465" s="9">
        <f>H1465</f>
        <v>1.3100000000000001E-2</v>
      </c>
      <c r="P1465" s="10">
        <f t="shared" si="45"/>
        <v>0</v>
      </c>
      <c r="Q1465" s="10">
        <f>IF(K1465=0,IF(A1462=A1465,AVERAGE(O1462:O1465),"x"),0)</f>
        <v>0</v>
      </c>
      <c r="R1465" s="9">
        <f>IF(L1465&gt;2005,AVERAGE(O1462:O1481),0)</f>
        <v>0</v>
      </c>
      <c r="S1465" s="10">
        <f>IF(A1465=A1466,(N1465-N1466)/N1466,0)</f>
        <v>0</v>
      </c>
      <c r="T1465" s="10">
        <f>IF(L1465&gt;2005,(((N1465-N1485)/N1485)+1)^(1/5)-1,0)</f>
        <v>0</v>
      </c>
      <c r="U1465" s="10">
        <f t="shared" si="46"/>
        <v>0</v>
      </c>
      <c r="V1465" s="26">
        <f t="shared" si="47"/>
        <v>0</v>
      </c>
      <c r="W1465" s="3">
        <f>IF(A1465=A1466,N1465-N1466,0)</f>
        <v>0</v>
      </c>
      <c r="X1465" s="10">
        <f>IF(A1465=A1466,(N1465-N1466)/N1466,0)</f>
        <v>0</v>
      </c>
    </row>
    <row r="1466" spans="1:24" ht="16.5" customHeight="1">
      <c r="A1466" s="3" t="s">
        <v>39</v>
      </c>
      <c r="B1466" s="3">
        <f t="shared" si="40"/>
        <v>2000</v>
      </c>
      <c r="C1466" s="3">
        <f t="shared" si="41"/>
        <v>9</v>
      </c>
      <c r="D1466" s="20" t="str">
        <f t="shared" si="42"/>
        <v>ITW20009</v>
      </c>
      <c r="E1466" s="2">
        <v>36796</v>
      </c>
      <c r="F1466" s="3">
        <v>0.2</v>
      </c>
      <c r="G1466" s="2">
        <v>36818</v>
      </c>
      <c r="H1466" s="3">
        <v>1.38E-2</v>
      </c>
      <c r="I1466" s="3">
        <v>0.111111111</v>
      </c>
      <c r="J1466" s="3">
        <v>0.02</v>
      </c>
      <c r="K1466" s="3">
        <f t="shared" si="43"/>
        <v>2000</v>
      </c>
      <c r="L1466" s="3">
        <f t="shared" si="44"/>
        <v>0</v>
      </c>
      <c r="M1466" s="20" t="str">
        <f>A1466&amp;L1466</f>
        <v>ITW0</v>
      </c>
      <c r="N1466" s="3">
        <f>F1466/2</f>
        <v>0.1</v>
      </c>
      <c r="O1466" s="9">
        <f>H1466</f>
        <v>1.38E-2</v>
      </c>
      <c r="P1466" s="10">
        <f t="shared" si="45"/>
        <v>1.3624999999999998E-2</v>
      </c>
      <c r="Q1466" s="10">
        <f>IF(K1466=0,IF(A1463=A1466,AVERAGE(O1463:O1466),"x"),0)</f>
        <v>0</v>
      </c>
      <c r="R1466" s="9">
        <f>IF(L1466&gt;2005,AVERAGE(O1463:O1482),0)</f>
        <v>0</v>
      </c>
      <c r="S1466" s="10">
        <f>IF(A1466=A1467,(N1466-N1467)/N1467,0)</f>
        <v>0.11111111111111122</v>
      </c>
      <c r="T1466" s="10">
        <f>IF(L1466&gt;2005,(((N1466-N1486)/N1486)+1)^(1/5)-1,0)</f>
        <v>0</v>
      </c>
      <c r="U1466" s="10">
        <f t="shared" si="46"/>
        <v>0</v>
      </c>
      <c r="V1466" s="26">
        <f t="shared" si="47"/>
        <v>0</v>
      </c>
      <c r="W1466" s="3">
        <f>IF(A1466=A1467,N1466-N1467,0)</f>
        <v>1.0000000000000009E-2</v>
      </c>
      <c r="X1466" s="10">
        <f>IF(A1466=A1467,(N1466-N1467)/N1467,0)</f>
        <v>0.11111111111111122</v>
      </c>
    </row>
    <row r="1467" spans="1:24" ht="16.5" customHeight="1">
      <c r="A1467" s="3" t="s">
        <v>39</v>
      </c>
      <c r="B1467" s="3">
        <f t="shared" si="40"/>
        <v>2000</v>
      </c>
      <c r="C1467" s="3">
        <f t="shared" si="41"/>
        <v>6</v>
      </c>
      <c r="D1467" s="20" t="str">
        <f t="shared" si="42"/>
        <v>ITW20006</v>
      </c>
      <c r="E1467" s="2">
        <v>36705</v>
      </c>
      <c r="F1467" s="3">
        <v>0.18</v>
      </c>
      <c r="G1467" s="2">
        <v>36728</v>
      </c>
      <c r="H1467" s="3">
        <v>1.2699999999999999E-2</v>
      </c>
      <c r="I1467" s="3">
        <v>0</v>
      </c>
      <c r="J1467" s="3">
        <v>0</v>
      </c>
      <c r="K1467" s="3">
        <f t="shared" si="43"/>
        <v>2000</v>
      </c>
      <c r="L1467" s="3">
        <f t="shared" si="44"/>
        <v>0</v>
      </c>
      <c r="M1467" s="20" t="str">
        <f>A1467&amp;L1467</f>
        <v>ITW0</v>
      </c>
      <c r="N1467" s="3">
        <f>F1467/2</f>
        <v>0.09</v>
      </c>
      <c r="O1467" s="9">
        <f>H1467</f>
        <v>1.2699999999999999E-2</v>
      </c>
      <c r="P1467" s="10">
        <f t="shared" si="45"/>
        <v>0</v>
      </c>
      <c r="Q1467" s="10">
        <f>IF(K1467=0,IF(A1464=A1467,AVERAGE(O1464:O1467),"x"),0)</f>
        <v>0</v>
      </c>
      <c r="R1467" s="9">
        <f>IF(L1467&gt;2005,AVERAGE(O1464:O1483),0)</f>
        <v>0</v>
      </c>
      <c r="S1467" s="10">
        <f>IF(A1467=A1468,(N1467-N1468)/N1468,0)</f>
        <v>0</v>
      </c>
      <c r="T1467" s="10">
        <f>IF(L1467&gt;2005,(((N1467-N1487)/N1487)+1)^(1/5)-1,0)</f>
        <v>0</v>
      </c>
      <c r="U1467" s="10">
        <f t="shared" si="46"/>
        <v>0</v>
      </c>
      <c r="V1467" s="26">
        <f t="shared" si="47"/>
        <v>0</v>
      </c>
      <c r="W1467" s="3">
        <f>IF(A1467=A1468,N1467-N1468,0)</f>
        <v>0</v>
      </c>
      <c r="X1467" s="10">
        <f>IF(A1467=A1468,(N1467-N1468)/N1468,0)</f>
        <v>0</v>
      </c>
    </row>
    <row r="1468" spans="1:24" ht="16.5" customHeight="1">
      <c r="A1468" s="14" t="s">
        <v>39</v>
      </c>
      <c r="B1468" s="3">
        <f t="shared" si="40"/>
        <v>2000</v>
      </c>
      <c r="C1468" s="3">
        <f t="shared" si="41"/>
        <v>3</v>
      </c>
      <c r="D1468" s="20" t="str">
        <f t="shared" si="42"/>
        <v>ITW20003</v>
      </c>
      <c r="E1468" s="15">
        <v>36614</v>
      </c>
      <c r="F1468" s="14">
        <v>0.18</v>
      </c>
      <c r="G1468" s="15">
        <v>36636</v>
      </c>
      <c r="H1468" s="14">
        <v>1.21E-2</v>
      </c>
      <c r="I1468" s="14">
        <v>0</v>
      </c>
      <c r="J1468" s="14">
        <v>0</v>
      </c>
      <c r="K1468" s="3">
        <f t="shared" si="43"/>
        <v>0</v>
      </c>
      <c r="L1468" s="3">
        <f t="shared" si="44"/>
        <v>2000</v>
      </c>
      <c r="M1468" s="20" t="str">
        <f>A1468&amp;L1468</f>
        <v>ITW2000</v>
      </c>
      <c r="N1468" s="14">
        <f>F1468/2</f>
        <v>0.09</v>
      </c>
      <c r="O1468" s="9">
        <f>H1468</f>
        <v>1.21E-2</v>
      </c>
      <c r="P1468" s="10">
        <f t="shared" si="45"/>
        <v>0</v>
      </c>
      <c r="Q1468" s="10">
        <f>IF(K1468=0,IF(A1465=A1468,AVERAGE(O1465:O1468),"x"),0)</f>
        <v>1.2924999999999999E-2</v>
      </c>
      <c r="R1468" s="9">
        <f>IF(L1468&gt;2005,AVERAGE(O1465:O1484),0)</f>
        <v>0</v>
      </c>
      <c r="S1468" s="10">
        <f>IF(A1468=A1469,(N1468-N1469)/N1469,0)</f>
        <v>0</v>
      </c>
      <c r="T1468" s="10">
        <f>IF(L1468&gt;2005,(((N1468-N1488)/N1488)+1)^(1/5)-1,0)</f>
        <v>0</v>
      </c>
      <c r="U1468" s="10">
        <f t="shared" si="46"/>
        <v>0</v>
      </c>
      <c r="V1468" s="26">
        <f t="shared" si="47"/>
        <v>0</v>
      </c>
      <c r="W1468" s="3">
        <f>IF(A1468=A1469,N1468-N1469,0)</f>
        <v>0</v>
      </c>
      <c r="X1468" s="10">
        <f>IF(A1468=A1469,(N1468-N1469)/N1469,0)</f>
        <v>0</v>
      </c>
    </row>
    <row r="1469" spans="1:24" ht="16.5" customHeight="1">
      <c r="A1469" s="3" t="s">
        <v>40</v>
      </c>
      <c r="B1469" s="3">
        <f t="shared" si="40"/>
        <v>2022</v>
      </c>
      <c r="C1469" s="3">
        <f t="shared" si="41"/>
        <v>8</v>
      </c>
      <c r="D1469" s="20" t="str">
        <f t="shared" si="42"/>
        <v>DOV20228</v>
      </c>
      <c r="E1469" s="2">
        <v>44803</v>
      </c>
      <c r="F1469" s="3">
        <v>0.505</v>
      </c>
      <c r="G1469" s="2">
        <v>44819</v>
      </c>
      <c r="H1469" s="3">
        <v>1.5900000000000001E-2</v>
      </c>
      <c r="I1469" s="3">
        <v>0.01</v>
      </c>
      <c r="J1469" s="3">
        <v>5.0000000000000001E-3</v>
      </c>
      <c r="K1469" s="3">
        <f t="shared" si="43"/>
        <v>2022</v>
      </c>
      <c r="L1469" s="3">
        <f t="shared" si="44"/>
        <v>0</v>
      </c>
      <c r="M1469" s="20" t="str">
        <f>A1469&amp;L1469</f>
        <v>DOV0</v>
      </c>
      <c r="N1469" s="3">
        <f>F1469</f>
        <v>0.505</v>
      </c>
      <c r="O1469" s="9">
        <f>H1469</f>
        <v>1.5900000000000001E-2</v>
      </c>
      <c r="P1469" s="10">
        <f t="shared" si="45"/>
        <v>1.3875E-2</v>
      </c>
      <c r="Q1469" s="10">
        <f>IF(K1469=0,IF(A1466=A1469,AVERAGE(O1466:O1469),"x"),0)</f>
        <v>0</v>
      </c>
      <c r="R1469" s="9">
        <f>IF(L1469&gt;2005,AVERAGE(O1466:O1485),0)</f>
        <v>0</v>
      </c>
      <c r="S1469" s="10">
        <f>IF(A1469=A1470,(N1469-N1470)/N1470,0)</f>
        <v>1.0000000000000009E-2</v>
      </c>
      <c r="T1469" s="10">
        <f>IF(L1469&gt;2005,(((N1469-N1489)/N1489)+1)^(1/5)-1,0)</f>
        <v>0</v>
      </c>
      <c r="U1469" s="10">
        <f t="shared" si="46"/>
        <v>0</v>
      </c>
      <c r="V1469" s="26">
        <f t="shared" si="47"/>
        <v>0</v>
      </c>
      <c r="W1469" s="3">
        <f>IF(A1469=A1470,N1469-N1470,0)</f>
        <v>5.0000000000000044E-3</v>
      </c>
      <c r="X1469" s="10">
        <f>IF(A1469=A1470,(N1469-N1470)/N1470,0)</f>
        <v>1.0000000000000009E-2</v>
      </c>
    </row>
    <row r="1470" spans="1:24" ht="16.5" customHeight="1">
      <c r="A1470" s="3" t="s">
        <v>40</v>
      </c>
      <c r="B1470" s="3">
        <f t="shared" si="40"/>
        <v>2022</v>
      </c>
      <c r="C1470" s="3">
        <f t="shared" si="41"/>
        <v>5</v>
      </c>
      <c r="D1470" s="20" t="str">
        <f t="shared" si="42"/>
        <v>DOV20225</v>
      </c>
      <c r="E1470" s="2">
        <v>44708</v>
      </c>
      <c r="F1470" s="3">
        <v>0.5</v>
      </c>
      <c r="G1470" s="2">
        <v>44727</v>
      </c>
      <c r="H1470" s="3">
        <v>1.4999999999999999E-2</v>
      </c>
      <c r="I1470" s="3">
        <v>0</v>
      </c>
      <c r="J1470" s="3">
        <v>0</v>
      </c>
      <c r="K1470" s="3">
        <f t="shared" si="43"/>
        <v>2022</v>
      </c>
      <c r="L1470" s="3">
        <f t="shared" si="44"/>
        <v>0</v>
      </c>
      <c r="M1470" s="20" t="str">
        <f>A1470&amp;L1470</f>
        <v>DOV0</v>
      </c>
      <c r="N1470" s="3">
        <f>F1470</f>
        <v>0.5</v>
      </c>
      <c r="O1470" s="9">
        <f>H1470</f>
        <v>1.4999999999999999E-2</v>
      </c>
      <c r="P1470" s="10">
        <f t="shared" si="45"/>
        <v>0</v>
      </c>
      <c r="Q1470" s="10">
        <f>IF(K1470=0,IF(A1467=A1470,AVERAGE(O1467:O1470),"x"),0)</f>
        <v>0</v>
      </c>
      <c r="R1470" s="9">
        <f>IF(L1470&gt;2005,AVERAGE(O1467:O1486),0)</f>
        <v>0</v>
      </c>
      <c r="S1470" s="10">
        <f>IF(A1470=A1471,(N1470-N1471)/N1471,0)</f>
        <v>0</v>
      </c>
      <c r="T1470" s="10">
        <f>IF(L1470&gt;2005,(((N1470-N1490)/N1490)+1)^(1/5)-1,0)</f>
        <v>0</v>
      </c>
      <c r="U1470" s="10">
        <f t="shared" si="46"/>
        <v>0</v>
      </c>
      <c r="V1470" s="26">
        <f t="shared" si="47"/>
        <v>0</v>
      </c>
      <c r="W1470" s="3">
        <f>IF(A1470=A1471,N1470-N1471,0)</f>
        <v>0</v>
      </c>
      <c r="X1470" s="10">
        <f>IF(A1470=A1471,(N1470-N1471)/N1471,0)</f>
        <v>0</v>
      </c>
    </row>
    <row r="1471" spans="1:24" ht="16.5" customHeight="1">
      <c r="A1471" s="3" t="s">
        <v>40</v>
      </c>
      <c r="B1471" s="3">
        <f t="shared" si="40"/>
        <v>2022</v>
      </c>
      <c r="C1471" s="3">
        <f t="shared" si="41"/>
        <v>2</v>
      </c>
      <c r="D1471" s="20" t="str">
        <f t="shared" si="42"/>
        <v>DOV20222</v>
      </c>
      <c r="E1471" s="2">
        <v>44617</v>
      </c>
      <c r="F1471" s="3">
        <v>0.5</v>
      </c>
      <c r="G1471" s="2">
        <v>44635</v>
      </c>
      <c r="H1471" s="3">
        <v>1.29E-2</v>
      </c>
      <c r="I1471" s="3">
        <v>0</v>
      </c>
      <c r="J1471" s="3">
        <v>0</v>
      </c>
      <c r="K1471" s="3">
        <f t="shared" si="43"/>
        <v>0</v>
      </c>
      <c r="L1471" s="3">
        <f t="shared" si="44"/>
        <v>2022</v>
      </c>
      <c r="M1471" s="20" t="str">
        <f>A1471&amp;L1471</f>
        <v>DOV2022</v>
      </c>
      <c r="N1471" s="3">
        <f>F1471</f>
        <v>0.5</v>
      </c>
      <c r="O1471" s="9">
        <f>H1471</f>
        <v>1.29E-2</v>
      </c>
      <c r="P1471" s="10">
        <f t="shared" si="45"/>
        <v>0</v>
      </c>
      <c r="Q1471" s="10" t="str">
        <f>IF(K1471=0,IF(A1468=A1471,AVERAGE(O1468:O1471),"x"),0)</f>
        <v>x</v>
      </c>
      <c r="R1471" s="9">
        <f>IF(L1471&gt;2005,AVERAGE(O1468:O1487),0)</f>
        <v>1.7420000000000001E-2</v>
      </c>
      <c r="S1471" s="10">
        <f>IF(A1471=A1472,(N1471-N1472)/N1472,0)</f>
        <v>0</v>
      </c>
      <c r="T1471" s="10">
        <f>IF(L1471&gt;2005,(((N1471-N1491)/N1491)+1)^(1/5)-1,0)</f>
        <v>2.5896304910234091E-2</v>
      </c>
      <c r="U1471" s="10">
        <f t="shared" si="46"/>
        <v>4.3316304910234096E-2</v>
      </c>
      <c r="V1471" s="26">
        <f t="shared" si="47"/>
        <v>4.7550549063890015</v>
      </c>
      <c r="W1471" s="3">
        <f>IF(A1471=A1472,N1471-N1472,0)</f>
        <v>0</v>
      </c>
      <c r="X1471" s="10">
        <f>IF(A1471=A1472,(N1471-N1472)/N1472,0)</f>
        <v>0</v>
      </c>
    </row>
    <row r="1472" spans="1:24" ht="16.5" customHeight="1">
      <c r="A1472" s="3" t="s">
        <v>40</v>
      </c>
      <c r="B1472" s="3">
        <f t="shared" si="40"/>
        <v>2021</v>
      </c>
      <c r="C1472" s="3">
        <f t="shared" si="41"/>
        <v>11</v>
      </c>
      <c r="D1472" s="20" t="str">
        <f t="shared" si="42"/>
        <v>DOV202111</v>
      </c>
      <c r="E1472" s="2">
        <v>44529</v>
      </c>
      <c r="F1472" s="3">
        <v>0.5</v>
      </c>
      <c r="G1472" s="2">
        <v>44544</v>
      </c>
      <c r="H1472" s="3">
        <v>1.17E-2</v>
      </c>
      <c r="I1472" s="3">
        <v>0</v>
      </c>
      <c r="J1472" s="3">
        <v>0</v>
      </c>
      <c r="K1472" s="3">
        <f t="shared" si="43"/>
        <v>2021</v>
      </c>
      <c r="L1472" s="3">
        <f t="shared" si="44"/>
        <v>0</v>
      </c>
      <c r="M1472" s="20" t="str">
        <f>A1472&amp;L1472</f>
        <v>DOV0</v>
      </c>
      <c r="N1472" s="3">
        <f>F1472</f>
        <v>0.5</v>
      </c>
      <c r="O1472" s="9">
        <f>H1472</f>
        <v>1.17E-2</v>
      </c>
      <c r="P1472" s="10">
        <f t="shared" si="45"/>
        <v>0</v>
      </c>
      <c r="Q1472" s="10">
        <f>IF(K1472=0,IF(A1469=A1472,AVERAGE(O1469:O1472),"x"),0)</f>
        <v>0</v>
      </c>
      <c r="R1472" s="9">
        <f>IF(L1472&gt;2005,AVERAGE(O1469:O1488),0)</f>
        <v>0</v>
      </c>
      <c r="S1472" s="10">
        <f>IF(A1472=A1473,(N1472-N1473)/N1473,0)</f>
        <v>0</v>
      </c>
      <c r="T1472" s="10">
        <f>IF(L1472&gt;2005,(((N1472-N1492)/N1492)+1)^(1/5)-1,0)</f>
        <v>0</v>
      </c>
      <c r="U1472" s="10">
        <f t="shared" si="46"/>
        <v>0</v>
      </c>
      <c r="V1472" s="26">
        <f t="shared" si="47"/>
        <v>0</v>
      </c>
      <c r="W1472" s="3">
        <f>IF(A1472=A1473,N1472-N1473,0)</f>
        <v>0</v>
      </c>
      <c r="X1472" s="10">
        <f>IF(A1472=A1473,(N1472-N1473)/N1473,0)</f>
        <v>0</v>
      </c>
    </row>
    <row r="1473" spans="1:24" ht="16.5" customHeight="1">
      <c r="A1473" s="3" t="s">
        <v>40</v>
      </c>
      <c r="B1473" s="3">
        <f t="shared" si="40"/>
        <v>2021</v>
      </c>
      <c r="C1473" s="3">
        <f t="shared" si="41"/>
        <v>8</v>
      </c>
      <c r="D1473" s="20" t="str">
        <f t="shared" si="42"/>
        <v>DOV20218</v>
      </c>
      <c r="E1473" s="2">
        <v>44438</v>
      </c>
      <c r="F1473" s="3">
        <v>0.5</v>
      </c>
      <c r="G1473" s="2">
        <v>44454</v>
      </c>
      <c r="H1473" s="3">
        <v>1.15E-2</v>
      </c>
      <c r="I1473" s="3">
        <v>1.0101010000000001E-2</v>
      </c>
      <c r="J1473" s="3">
        <v>5.0000000000000001E-3</v>
      </c>
      <c r="K1473" s="3">
        <f t="shared" si="43"/>
        <v>2021</v>
      </c>
      <c r="L1473" s="3">
        <f t="shared" si="44"/>
        <v>0</v>
      </c>
      <c r="M1473" s="20" t="str">
        <f>A1473&amp;L1473</f>
        <v>DOV0</v>
      </c>
      <c r="N1473" s="3">
        <f>F1473</f>
        <v>0.5</v>
      </c>
      <c r="O1473" s="9">
        <f>H1473</f>
        <v>1.15E-2</v>
      </c>
      <c r="P1473" s="10">
        <f t="shared" si="45"/>
        <v>1.4149999999999999E-2</v>
      </c>
      <c r="Q1473" s="10">
        <f>IF(K1473=0,IF(A1470=A1473,AVERAGE(O1470:O1473),"x"),0)</f>
        <v>0</v>
      </c>
      <c r="R1473" s="9">
        <f>IF(L1473&gt;2005,AVERAGE(O1470:O1489),0)</f>
        <v>0</v>
      </c>
      <c r="S1473" s="10">
        <f>IF(A1473=A1474,(N1473-N1474)/N1474,0)</f>
        <v>1.0101010101010111E-2</v>
      </c>
      <c r="T1473" s="10">
        <f>IF(L1473&gt;2005,(((N1473-N1493)/N1493)+1)^(1/5)-1,0)</f>
        <v>0</v>
      </c>
      <c r="U1473" s="10">
        <f t="shared" si="46"/>
        <v>0</v>
      </c>
      <c r="V1473" s="26">
        <f t="shared" si="47"/>
        <v>0</v>
      </c>
      <c r="W1473" s="3">
        <f>IF(A1473=A1474,N1473-N1474,0)</f>
        <v>5.0000000000000044E-3</v>
      </c>
      <c r="X1473" s="10">
        <f>IF(A1473=A1474,(N1473-N1474)/N1474,0)</f>
        <v>1.0101010101010111E-2</v>
      </c>
    </row>
    <row r="1474" spans="1:24" ht="16.5" customHeight="1">
      <c r="A1474" s="3" t="s">
        <v>40</v>
      </c>
      <c r="B1474" s="3">
        <f t="shared" si="40"/>
        <v>2021</v>
      </c>
      <c r="C1474" s="3">
        <f t="shared" si="41"/>
        <v>5</v>
      </c>
      <c r="D1474" s="20" t="str">
        <f t="shared" si="42"/>
        <v>DOV20215</v>
      </c>
      <c r="E1474" s="2">
        <v>44343</v>
      </c>
      <c r="F1474" s="3">
        <v>0.495</v>
      </c>
      <c r="G1474" s="2">
        <v>44362</v>
      </c>
      <c r="H1474" s="3">
        <v>1.3299999999999999E-2</v>
      </c>
      <c r="I1474" s="3">
        <v>0</v>
      </c>
      <c r="J1474" s="3">
        <v>0</v>
      </c>
      <c r="K1474" s="3">
        <f t="shared" si="43"/>
        <v>2021</v>
      </c>
      <c r="L1474" s="3">
        <f t="shared" si="44"/>
        <v>0</v>
      </c>
      <c r="M1474" s="20" t="str">
        <f>A1474&amp;L1474</f>
        <v>DOV0</v>
      </c>
      <c r="N1474" s="3">
        <f>F1474</f>
        <v>0.495</v>
      </c>
      <c r="O1474" s="9">
        <f>H1474</f>
        <v>1.3299999999999999E-2</v>
      </c>
      <c r="P1474" s="10">
        <f t="shared" si="45"/>
        <v>0</v>
      </c>
      <c r="Q1474" s="10">
        <f>IF(K1474=0,IF(A1471=A1474,AVERAGE(O1471:O1474),"x"),0)</f>
        <v>0</v>
      </c>
      <c r="R1474" s="9">
        <f>IF(L1474&gt;2005,AVERAGE(O1471:O1490),0)</f>
        <v>0</v>
      </c>
      <c r="S1474" s="10">
        <f>IF(A1474=A1475,(N1474-N1475)/N1475,0)</f>
        <v>0</v>
      </c>
      <c r="T1474" s="10">
        <f>IF(L1474&gt;2005,(((N1474-N1494)/N1494)+1)^(1/5)-1,0)</f>
        <v>0</v>
      </c>
      <c r="U1474" s="10">
        <f t="shared" si="46"/>
        <v>0</v>
      </c>
      <c r="V1474" s="26">
        <f t="shared" si="47"/>
        <v>0</v>
      </c>
      <c r="W1474" s="3">
        <f>IF(A1474=A1475,N1474-N1475,0)</f>
        <v>0</v>
      </c>
      <c r="X1474" s="10">
        <f>IF(A1474=A1475,(N1474-N1475)/N1475,0)</f>
        <v>0</v>
      </c>
    </row>
    <row r="1475" spans="1:24" ht="16.5" customHeight="1">
      <c r="A1475" s="3" t="s">
        <v>40</v>
      </c>
      <c r="B1475" s="3">
        <f t="shared" si="40"/>
        <v>2021</v>
      </c>
      <c r="C1475" s="3">
        <f t="shared" si="41"/>
        <v>2</v>
      </c>
      <c r="D1475" s="20" t="str">
        <f t="shared" si="42"/>
        <v>DOV20212</v>
      </c>
      <c r="E1475" s="2">
        <v>44252</v>
      </c>
      <c r="F1475" s="3">
        <v>0.495</v>
      </c>
      <c r="G1475" s="2">
        <v>44270</v>
      </c>
      <c r="H1475" s="3">
        <v>1.5800000000000002E-2</v>
      </c>
      <c r="I1475" s="3">
        <v>0</v>
      </c>
      <c r="J1475" s="3">
        <v>0</v>
      </c>
      <c r="K1475" s="3">
        <f t="shared" si="43"/>
        <v>0</v>
      </c>
      <c r="L1475" s="3">
        <f t="shared" si="44"/>
        <v>2021</v>
      </c>
      <c r="M1475" s="20" t="str">
        <f>A1475&amp;L1475</f>
        <v>DOV2021</v>
      </c>
      <c r="N1475" s="3">
        <f>F1475</f>
        <v>0.495</v>
      </c>
      <c r="O1475" s="9">
        <f>H1475</f>
        <v>1.5800000000000002E-2</v>
      </c>
      <c r="P1475" s="10">
        <f t="shared" si="45"/>
        <v>0</v>
      </c>
      <c r="Q1475" s="10">
        <f>IF(K1475=0,IF(A1472=A1475,AVERAGE(O1472:O1475),"x"),0)</f>
        <v>1.3075E-2</v>
      </c>
      <c r="R1475" s="9">
        <f>IF(L1475&gt;2005,AVERAGE(O1472:O1491),0)</f>
        <v>1.8879999999999997E-2</v>
      </c>
      <c r="S1475" s="10">
        <f>IF(A1475=A1476,(N1475-N1476)/N1476,0)</f>
        <v>0</v>
      </c>
      <c r="T1475" s="10">
        <f>IF(L1475&gt;2005,(((N1475-N1495)/N1495)+1)^(1/5)-1,0)</f>
        <v>3.3406482938779236E-2</v>
      </c>
      <c r="U1475" s="10">
        <f t="shared" si="46"/>
        <v>5.228648293877923E-2</v>
      </c>
      <c r="V1475" s="26">
        <f t="shared" si="47"/>
        <v>4.7372239758604762</v>
      </c>
      <c r="W1475" s="3">
        <f>IF(A1475=A1476,N1475-N1476,0)</f>
        <v>0</v>
      </c>
      <c r="X1475" s="10">
        <f>IF(A1475=A1476,(N1475-N1476)/N1476,0)</f>
        <v>0</v>
      </c>
    </row>
    <row r="1476" spans="1:24" ht="16.5" customHeight="1">
      <c r="A1476" s="3" t="s">
        <v>40</v>
      </c>
      <c r="B1476" s="3">
        <f t="shared" si="40"/>
        <v>2020</v>
      </c>
      <c r="C1476" s="3">
        <f t="shared" si="41"/>
        <v>11</v>
      </c>
      <c r="D1476" s="20" t="str">
        <f t="shared" si="42"/>
        <v>DOV202011</v>
      </c>
      <c r="E1476" s="2">
        <v>44162</v>
      </c>
      <c r="F1476" s="3">
        <v>0.495</v>
      </c>
      <c r="G1476" s="2">
        <v>44179</v>
      </c>
      <c r="H1476" s="3">
        <v>1.6E-2</v>
      </c>
      <c r="I1476" s="3">
        <v>0</v>
      </c>
      <c r="J1476" s="3">
        <v>0</v>
      </c>
      <c r="K1476" s="3">
        <f t="shared" si="43"/>
        <v>2020</v>
      </c>
      <c r="L1476" s="3">
        <f t="shared" si="44"/>
        <v>0</v>
      </c>
      <c r="M1476" s="20" t="str">
        <f>A1476&amp;L1476</f>
        <v>DOV0</v>
      </c>
      <c r="N1476" s="3">
        <f>F1476</f>
        <v>0.495</v>
      </c>
      <c r="O1476" s="9">
        <f>H1476</f>
        <v>1.6E-2</v>
      </c>
      <c r="P1476" s="10">
        <f t="shared" si="45"/>
        <v>0</v>
      </c>
      <c r="Q1476" s="10">
        <f>IF(K1476=0,IF(A1473=A1476,AVERAGE(O1473:O1476),"x"),0)</f>
        <v>0</v>
      </c>
      <c r="R1476" s="9">
        <f>IF(L1476&gt;2005,AVERAGE(O1473:O1492),0)</f>
        <v>0</v>
      </c>
      <c r="S1476" s="10">
        <f>IF(A1476=A1477,(N1476-N1477)/N1477,0)</f>
        <v>0</v>
      </c>
      <c r="T1476" s="10">
        <f>IF(L1476&gt;2005,(((N1476-N1496)/N1496)+1)^(1/5)-1,0)</f>
        <v>0</v>
      </c>
      <c r="U1476" s="10">
        <f t="shared" si="46"/>
        <v>0</v>
      </c>
      <c r="V1476" s="26">
        <f t="shared" si="47"/>
        <v>0</v>
      </c>
      <c r="W1476" s="3">
        <f>IF(A1476=A1477,N1476-N1477,0)</f>
        <v>0</v>
      </c>
      <c r="X1476" s="10">
        <f>IF(A1476=A1477,(N1476-N1477)/N1477,0)</f>
        <v>0</v>
      </c>
    </row>
    <row r="1477" spans="1:24" ht="16.5" customHeight="1">
      <c r="A1477" s="3" t="s">
        <v>40</v>
      </c>
      <c r="B1477" s="3">
        <f t="shared" si="40"/>
        <v>2020</v>
      </c>
      <c r="C1477" s="3">
        <f t="shared" si="41"/>
        <v>8</v>
      </c>
      <c r="D1477" s="20" t="str">
        <f t="shared" si="42"/>
        <v>DOV20208</v>
      </c>
      <c r="E1477" s="2">
        <v>44071</v>
      </c>
      <c r="F1477" s="3">
        <v>0.495</v>
      </c>
      <c r="G1477" s="2">
        <v>44089</v>
      </c>
      <c r="H1477" s="3">
        <v>1.78E-2</v>
      </c>
      <c r="I1477" s="3">
        <v>1.0204082E-2</v>
      </c>
      <c r="J1477" s="3">
        <v>5.0000000000000001E-3</v>
      </c>
      <c r="K1477" s="3">
        <f t="shared" si="43"/>
        <v>2020</v>
      </c>
      <c r="L1477" s="3">
        <f t="shared" si="44"/>
        <v>0</v>
      </c>
      <c r="M1477" s="20" t="str">
        <f>A1477&amp;L1477</f>
        <v>DOV0</v>
      </c>
      <c r="N1477" s="3">
        <f>F1477</f>
        <v>0.495</v>
      </c>
      <c r="O1477" s="9">
        <f>H1477</f>
        <v>1.78E-2</v>
      </c>
      <c r="P1477" s="10">
        <f t="shared" si="45"/>
        <v>1.8374999999999999E-2</v>
      </c>
      <c r="Q1477" s="10">
        <f>IF(K1477=0,IF(A1474=A1477,AVERAGE(O1474:O1477),"x"),0)</f>
        <v>0</v>
      </c>
      <c r="R1477" s="9">
        <f>IF(L1477&gt;2005,AVERAGE(O1474:O1493),0)</f>
        <v>0</v>
      </c>
      <c r="S1477" s="10">
        <f>IF(A1477=A1478,(N1477-N1478)/N1478,0)</f>
        <v>1.0204081632653071E-2</v>
      </c>
      <c r="T1477" s="10">
        <f>IF(L1477&gt;2005,(((N1477-N1497)/N1497)+1)^(1/5)-1,0)</f>
        <v>0</v>
      </c>
      <c r="U1477" s="10">
        <f t="shared" si="46"/>
        <v>0</v>
      </c>
      <c r="V1477" s="26">
        <f t="shared" si="47"/>
        <v>0</v>
      </c>
      <c r="W1477" s="3">
        <f>IF(A1477=A1478,N1477-N1478,0)</f>
        <v>5.0000000000000044E-3</v>
      </c>
      <c r="X1477" s="10">
        <f>IF(A1477=A1478,(N1477-N1478)/N1478,0)</f>
        <v>1.0204081632653071E-2</v>
      </c>
    </row>
    <row r="1478" spans="1:24" ht="16.5" customHeight="1">
      <c r="A1478" s="3" t="s">
        <v>40</v>
      </c>
      <c r="B1478" s="3">
        <f t="shared" si="40"/>
        <v>2020</v>
      </c>
      <c r="C1478" s="3">
        <f t="shared" si="41"/>
        <v>5</v>
      </c>
      <c r="D1478" s="20" t="str">
        <f t="shared" si="42"/>
        <v>DOV20205</v>
      </c>
      <c r="E1478" s="2">
        <v>43979</v>
      </c>
      <c r="F1478" s="3">
        <v>0.49</v>
      </c>
      <c r="G1478" s="2">
        <v>43997</v>
      </c>
      <c r="H1478" s="3">
        <v>2.0199999999999999E-2</v>
      </c>
      <c r="I1478" s="3">
        <v>0</v>
      </c>
      <c r="J1478" s="3">
        <v>0</v>
      </c>
      <c r="K1478" s="3">
        <f t="shared" si="43"/>
        <v>2020</v>
      </c>
      <c r="L1478" s="3">
        <f t="shared" si="44"/>
        <v>0</v>
      </c>
      <c r="M1478" s="20" t="str">
        <f>A1478&amp;L1478</f>
        <v>DOV0</v>
      </c>
      <c r="N1478" s="3">
        <f>F1478</f>
        <v>0.49</v>
      </c>
      <c r="O1478" s="9">
        <f>H1478</f>
        <v>2.0199999999999999E-2</v>
      </c>
      <c r="P1478" s="10">
        <f t="shared" si="45"/>
        <v>0</v>
      </c>
      <c r="Q1478" s="10">
        <f>IF(K1478=0,IF(A1475=A1478,AVERAGE(O1475:O1478),"x"),0)</f>
        <v>0</v>
      </c>
      <c r="R1478" s="9">
        <f>IF(L1478&gt;2005,AVERAGE(O1475:O1494),0)</f>
        <v>0</v>
      </c>
      <c r="S1478" s="10">
        <f>IF(A1478=A1479,(N1478-N1479)/N1479,0)</f>
        <v>0</v>
      </c>
      <c r="T1478" s="10">
        <f>IF(L1478&gt;2005,(((N1478-N1498)/N1498)+1)^(1/5)-1,0)</f>
        <v>0</v>
      </c>
      <c r="U1478" s="10">
        <f t="shared" si="46"/>
        <v>0</v>
      </c>
      <c r="V1478" s="26">
        <f t="shared" si="47"/>
        <v>0</v>
      </c>
      <c r="W1478" s="3">
        <f>IF(A1478=A1479,N1478-N1479,0)</f>
        <v>0</v>
      </c>
      <c r="X1478" s="10">
        <f>IF(A1478=A1479,(N1478-N1479)/N1479,0)</f>
        <v>0</v>
      </c>
    </row>
    <row r="1479" spans="1:24" ht="16.5" customHeight="1">
      <c r="A1479" s="3" t="s">
        <v>40</v>
      </c>
      <c r="B1479" s="3">
        <f t="shared" si="40"/>
        <v>2020</v>
      </c>
      <c r="C1479" s="3">
        <f t="shared" si="41"/>
        <v>2</v>
      </c>
      <c r="D1479" s="20" t="str">
        <f t="shared" si="42"/>
        <v>DOV20202</v>
      </c>
      <c r="E1479" s="2">
        <v>43888</v>
      </c>
      <c r="F1479" s="3">
        <v>0.49</v>
      </c>
      <c r="G1479" s="2">
        <v>43906</v>
      </c>
      <c r="H1479" s="3">
        <v>1.8100000000000002E-2</v>
      </c>
      <c r="I1479" s="3">
        <v>0</v>
      </c>
      <c r="J1479" s="3">
        <v>0</v>
      </c>
      <c r="K1479" s="3">
        <f t="shared" si="43"/>
        <v>0</v>
      </c>
      <c r="L1479" s="3">
        <f t="shared" si="44"/>
        <v>2020</v>
      </c>
      <c r="M1479" s="20" t="str">
        <f>A1479&amp;L1479</f>
        <v>DOV2020</v>
      </c>
      <c r="N1479" s="3">
        <f>F1479</f>
        <v>0.49</v>
      </c>
      <c r="O1479" s="9">
        <f>H1479</f>
        <v>1.8100000000000002E-2</v>
      </c>
      <c r="P1479" s="10">
        <f t="shared" si="45"/>
        <v>0</v>
      </c>
      <c r="Q1479" s="10">
        <f>IF(K1479=0,IF(A1476=A1479,AVERAGE(O1476:O1479),"x"),0)</f>
        <v>1.8024999999999999E-2</v>
      </c>
      <c r="R1479" s="9">
        <f>IF(L1479&gt;2005,AVERAGE(O1476:O1495),0)</f>
        <v>2.1339999999999994E-2</v>
      </c>
      <c r="S1479" s="10">
        <f>IF(A1479=A1480,(N1479-N1480)/N1480,0)</f>
        <v>0</v>
      </c>
      <c r="T1479" s="10">
        <f>IF(L1479&gt;2005,(((N1479-N1499)/N1499)+1)^(1/5)-1,0)</f>
        <v>4.1423126681443989E-2</v>
      </c>
      <c r="U1479" s="10">
        <f t="shared" si="46"/>
        <v>6.2763126681443987E-2</v>
      </c>
      <c r="V1479" s="26">
        <f t="shared" si="47"/>
        <v>4.7067474474328401</v>
      </c>
      <c r="W1479" s="3">
        <f>IF(A1479=A1480,N1479-N1480,0)</f>
        <v>0</v>
      </c>
      <c r="X1479" s="10">
        <f>IF(A1479=A1480,(N1479-N1480)/N1480,0)</f>
        <v>0</v>
      </c>
    </row>
    <row r="1480" spans="1:24" ht="16.5" customHeight="1">
      <c r="A1480" s="3" t="s">
        <v>40</v>
      </c>
      <c r="B1480" s="3">
        <f t="shared" si="40"/>
        <v>2019</v>
      </c>
      <c r="C1480" s="3">
        <f t="shared" si="41"/>
        <v>11</v>
      </c>
      <c r="D1480" s="20" t="str">
        <f t="shared" si="42"/>
        <v>DOV201911</v>
      </c>
      <c r="E1480" s="2">
        <v>43796</v>
      </c>
      <c r="F1480" s="3">
        <v>0.49</v>
      </c>
      <c r="G1480" s="2">
        <v>43815</v>
      </c>
      <c r="H1480" s="3">
        <v>1.7399999999999999E-2</v>
      </c>
      <c r="I1480" s="3">
        <v>0</v>
      </c>
      <c r="J1480" s="3">
        <v>0</v>
      </c>
      <c r="K1480" s="3">
        <f t="shared" si="43"/>
        <v>2019</v>
      </c>
      <c r="L1480" s="3">
        <f t="shared" si="44"/>
        <v>0</v>
      </c>
      <c r="M1480" s="20" t="str">
        <f>A1480&amp;L1480</f>
        <v>DOV0</v>
      </c>
      <c r="N1480" s="3">
        <f>F1480</f>
        <v>0.49</v>
      </c>
      <c r="O1480" s="9">
        <f>H1480</f>
        <v>1.7399999999999999E-2</v>
      </c>
      <c r="P1480" s="10">
        <f t="shared" si="45"/>
        <v>0</v>
      </c>
      <c r="Q1480" s="10">
        <f>IF(K1480=0,IF(A1477=A1480,AVERAGE(O1477:O1480),"x"),0)</f>
        <v>0</v>
      </c>
      <c r="R1480" s="9">
        <f>IF(L1480&gt;2005,AVERAGE(O1477:O1496),0)</f>
        <v>0</v>
      </c>
      <c r="S1480" s="10">
        <f>IF(A1480=A1481,(N1480-N1481)/N1481,0)</f>
        <v>0</v>
      </c>
      <c r="T1480" s="10">
        <f>IF(L1480&gt;2005,(((N1480-N1500)/N1500)+1)^(1/5)-1,0)</f>
        <v>0</v>
      </c>
      <c r="U1480" s="10">
        <f t="shared" si="46"/>
        <v>0</v>
      </c>
      <c r="V1480" s="26">
        <f t="shared" si="47"/>
        <v>0</v>
      </c>
      <c r="W1480" s="3">
        <f>IF(A1480=A1481,N1480-N1481,0)</f>
        <v>0</v>
      </c>
      <c r="X1480" s="10">
        <f>IF(A1480=A1481,(N1480-N1481)/N1481,0)</f>
        <v>0</v>
      </c>
    </row>
    <row r="1481" spans="1:24" ht="16.5" customHeight="1">
      <c r="A1481" s="3" t="s">
        <v>40</v>
      </c>
      <c r="B1481" s="3">
        <f t="shared" si="40"/>
        <v>2019</v>
      </c>
      <c r="C1481" s="3">
        <f t="shared" si="41"/>
        <v>8</v>
      </c>
      <c r="D1481" s="20" t="str">
        <f t="shared" si="42"/>
        <v>DOV20198</v>
      </c>
      <c r="E1481" s="2">
        <v>43706</v>
      </c>
      <c r="F1481" s="3">
        <v>0.49</v>
      </c>
      <c r="G1481" s="2">
        <v>43724</v>
      </c>
      <c r="H1481" s="3">
        <v>2.1600000000000001E-2</v>
      </c>
      <c r="I1481" s="3">
        <v>2.0833332999999999E-2</v>
      </c>
      <c r="J1481" s="3">
        <v>0.01</v>
      </c>
      <c r="K1481" s="3">
        <f t="shared" si="43"/>
        <v>2019</v>
      </c>
      <c r="L1481" s="3">
        <f t="shared" si="44"/>
        <v>0</v>
      </c>
      <c r="M1481" s="20" t="str">
        <f>A1481&amp;L1481</f>
        <v>DOV0</v>
      </c>
      <c r="N1481" s="3">
        <f>F1481</f>
        <v>0.49</v>
      </c>
      <c r="O1481" s="9">
        <f>H1481</f>
        <v>2.1600000000000001E-2</v>
      </c>
      <c r="P1481" s="10">
        <f t="shared" si="45"/>
        <v>2.1625000000000002E-2</v>
      </c>
      <c r="Q1481" s="10">
        <f>IF(K1481=0,IF(A1478=A1481,AVERAGE(O1478:O1481),"x"),0)</f>
        <v>0</v>
      </c>
      <c r="R1481" s="9">
        <f>IF(L1481&gt;2005,AVERAGE(O1478:O1497),0)</f>
        <v>0</v>
      </c>
      <c r="S1481" s="10">
        <f>IF(A1481=A1482,(N1481-N1482)/N1482,0)</f>
        <v>2.0833333333333353E-2</v>
      </c>
      <c r="T1481" s="10">
        <f>IF(L1481&gt;2005,(((N1481-N1501)/N1501)+1)^(1/5)-1,0)</f>
        <v>0</v>
      </c>
      <c r="U1481" s="10">
        <f t="shared" si="46"/>
        <v>0</v>
      </c>
      <c r="V1481" s="26">
        <f t="shared" si="47"/>
        <v>0</v>
      </c>
      <c r="W1481" s="3">
        <f>IF(A1481=A1482,N1481-N1482,0)</f>
        <v>1.0000000000000009E-2</v>
      </c>
      <c r="X1481" s="10">
        <f>IF(A1481=A1482,(N1481-N1482)/N1482,0)</f>
        <v>2.0833333333333353E-2</v>
      </c>
    </row>
    <row r="1482" spans="1:24" ht="16.5" customHeight="1">
      <c r="A1482" s="3" t="s">
        <v>40</v>
      </c>
      <c r="B1482" s="3">
        <f t="shared" si="40"/>
        <v>2019</v>
      </c>
      <c r="C1482" s="3">
        <f t="shared" si="41"/>
        <v>5</v>
      </c>
      <c r="D1482" s="20" t="str">
        <f t="shared" si="42"/>
        <v>DOV20195</v>
      </c>
      <c r="E1482" s="2">
        <v>43615</v>
      </c>
      <c r="F1482" s="3">
        <v>0.48</v>
      </c>
      <c r="G1482" s="2">
        <v>43633</v>
      </c>
      <c r="H1482" s="3">
        <v>2.12E-2</v>
      </c>
      <c r="I1482" s="3">
        <v>0</v>
      </c>
      <c r="J1482" s="3">
        <v>0</v>
      </c>
      <c r="K1482" s="3">
        <f t="shared" si="43"/>
        <v>2019</v>
      </c>
      <c r="L1482" s="3">
        <f t="shared" si="44"/>
        <v>0</v>
      </c>
      <c r="M1482" s="20" t="str">
        <f>A1482&amp;L1482</f>
        <v>DOV0</v>
      </c>
      <c r="N1482" s="3">
        <f>F1482</f>
        <v>0.48</v>
      </c>
      <c r="O1482" s="9">
        <f>H1482</f>
        <v>2.12E-2</v>
      </c>
      <c r="P1482" s="10">
        <f t="shared" si="45"/>
        <v>0</v>
      </c>
      <c r="Q1482" s="10">
        <f>IF(K1482=0,IF(A1479=A1482,AVERAGE(O1479:O1482),"x"),0)</f>
        <v>0</v>
      </c>
      <c r="R1482" s="9">
        <f>IF(L1482&gt;2005,AVERAGE(O1479:O1498),0)</f>
        <v>0</v>
      </c>
      <c r="S1482" s="10">
        <f>IF(A1482=A1483,(N1482-N1483)/N1483,0)</f>
        <v>0</v>
      </c>
      <c r="T1482" s="10">
        <f>IF(L1482&gt;2005,(((N1482-N1502)/N1502)+1)^(1/5)-1,0)</f>
        <v>0</v>
      </c>
      <c r="U1482" s="10">
        <f t="shared" si="46"/>
        <v>0</v>
      </c>
      <c r="V1482" s="26">
        <f t="shared" si="47"/>
        <v>0</v>
      </c>
      <c r="W1482" s="3">
        <f>IF(A1482=A1483,N1482-N1483,0)</f>
        <v>0</v>
      </c>
      <c r="X1482" s="10">
        <f>IF(A1482=A1483,(N1482-N1483)/N1483,0)</f>
        <v>0</v>
      </c>
    </row>
    <row r="1483" spans="1:24" ht="16.5" customHeight="1">
      <c r="A1483" s="3" t="s">
        <v>40</v>
      </c>
      <c r="B1483" s="3">
        <f t="shared" si="40"/>
        <v>2019</v>
      </c>
      <c r="C1483" s="3">
        <f t="shared" si="41"/>
        <v>2</v>
      </c>
      <c r="D1483" s="20" t="str">
        <f t="shared" si="42"/>
        <v>DOV20192</v>
      </c>
      <c r="E1483" s="2">
        <v>43523</v>
      </c>
      <c r="F1483" s="3">
        <v>0.48</v>
      </c>
      <c r="G1483" s="2">
        <v>43539</v>
      </c>
      <c r="H1483" s="3">
        <v>2.1000000000000001E-2</v>
      </c>
      <c r="I1483" s="3">
        <v>0</v>
      </c>
      <c r="J1483" s="3">
        <v>0</v>
      </c>
      <c r="K1483" s="3">
        <f t="shared" si="43"/>
        <v>0</v>
      </c>
      <c r="L1483" s="3">
        <f t="shared" si="44"/>
        <v>2019</v>
      </c>
      <c r="M1483" s="20" t="str">
        <f>A1483&amp;L1483</f>
        <v>DOV2019</v>
      </c>
      <c r="N1483" s="3">
        <f>F1483</f>
        <v>0.48</v>
      </c>
      <c r="O1483" s="9">
        <f>H1483</f>
        <v>2.1000000000000001E-2</v>
      </c>
      <c r="P1483" s="10">
        <f t="shared" si="45"/>
        <v>0</v>
      </c>
      <c r="Q1483" s="10">
        <f>IF(K1483=0,IF(A1480=A1483,AVERAGE(O1480:O1483),"x"),0)</f>
        <v>2.0300000000000002E-2</v>
      </c>
      <c r="R1483" s="9">
        <f>IF(L1483&gt;2005,AVERAGE(O1480:O1499),0)</f>
        <v>2.2719999999999997E-2</v>
      </c>
      <c r="S1483" s="10">
        <f>IF(A1483=A1484,(N1483-N1484)/N1484,0)</f>
        <v>0</v>
      </c>
      <c r="T1483" s="10">
        <f>IF(L1483&gt;2005,(((N1483-N1503)/N1503)+1)^(1/5)-1,0)</f>
        <v>5.0611121761506839E-2</v>
      </c>
      <c r="U1483" s="10">
        <f t="shared" si="46"/>
        <v>7.3331121761506829E-2</v>
      </c>
      <c r="V1483" s="26">
        <f t="shared" si="47"/>
        <v>4.6913042165884056</v>
      </c>
      <c r="W1483" s="3">
        <f>IF(A1483=A1484,N1483-N1484,0)</f>
        <v>0</v>
      </c>
      <c r="X1483" s="10">
        <f>IF(A1483=A1484,(N1483-N1484)/N1484,0)</f>
        <v>0</v>
      </c>
    </row>
    <row r="1484" spans="1:24" ht="16.5" customHeight="1">
      <c r="A1484" s="3" t="s">
        <v>40</v>
      </c>
      <c r="B1484" s="3">
        <f t="shared" si="40"/>
        <v>2018</v>
      </c>
      <c r="C1484" s="3">
        <f t="shared" si="41"/>
        <v>11</v>
      </c>
      <c r="D1484" s="20" t="str">
        <f t="shared" si="42"/>
        <v>DOV201811</v>
      </c>
      <c r="E1484" s="2">
        <v>43433</v>
      </c>
      <c r="F1484" s="3">
        <v>0.48</v>
      </c>
      <c r="G1484" s="2">
        <v>43451</v>
      </c>
      <c r="H1484" s="3">
        <v>2.2700000000000001E-2</v>
      </c>
      <c r="I1484" s="3">
        <v>0</v>
      </c>
      <c r="J1484" s="3">
        <v>0</v>
      </c>
      <c r="K1484" s="3">
        <f t="shared" si="43"/>
        <v>2018</v>
      </c>
      <c r="L1484" s="3">
        <f t="shared" si="44"/>
        <v>0</v>
      </c>
      <c r="M1484" s="20" t="str">
        <f>A1484&amp;L1484</f>
        <v>DOV0</v>
      </c>
      <c r="N1484" s="3">
        <f>F1484</f>
        <v>0.48</v>
      </c>
      <c r="O1484" s="9">
        <f>H1484</f>
        <v>2.2700000000000001E-2</v>
      </c>
      <c r="P1484" s="10">
        <f t="shared" si="45"/>
        <v>0</v>
      </c>
      <c r="Q1484" s="10">
        <f>IF(K1484=0,IF(A1481=A1484,AVERAGE(O1481:O1484),"x"),0)</f>
        <v>0</v>
      </c>
      <c r="R1484" s="9">
        <f>IF(L1484&gt;2005,AVERAGE(O1481:O1500),0)</f>
        <v>0</v>
      </c>
      <c r="S1484" s="10">
        <f>IF(A1484=A1485,(N1484-N1485)/N1485,0)</f>
        <v>0</v>
      </c>
      <c r="T1484" s="10">
        <f>IF(L1484&gt;2005,(((N1484-N1504)/N1504)+1)^(1/5)-1,0)</f>
        <v>0</v>
      </c>
      <c r="U1484" s="10">
        <f t="shared" si="46"/>
        <v>0</v>
      </c>
      <c r="V1484" s="26">
        <f t="shared" si="47"/>
        <v>0</v>
      </c>
      <c r="W1484" s="3">
        <f>IF(A1484=A1485,N1484-N1485,0)</f>
        <v>0</v>
      </c>
      <c r="X1484" s="10">
        <f>IF(A1484=A1485,(N1484-N1485)/N1485,0)</f>
        <v>0</v>
      </c>
    </row>
    <row r="1485" spans="1:24" ht="16.5" customHeight="1">
      <c r="A1485" s="3" t="s">
        <v>40</v>
      </c>
      <c r="B1485" s="3">
        <f t="shared" si="40"/>
        <v>2018</v>
      </c>
      <c r="C1485" s="3">
        <f t="shared" si="41"/>
        <v>8</v>
      </c>
      <c r="D1485" s="20" t="str">
        <f t="shared" si="42"/>
        <v>DOV20188</v>
      </c>
      <c r="E1485" s="2">
        <v>43342</v>
      </c>
      <c r="F1485" s="3">
        <v>0.48</v>
      </c>
      <c r="G1485" s="2">
        <v>43360</v>
      </c>
      <c r="H1485" s="3">
        <v>2.2100000000000002E-2</v>
      </c>
      <c r="I1485" s="3">
        <v>2.1276595999999998E-2</v>
      </c>
      <c r="J1485" s="3">
        <v>0.01</v>
      </c>
      <c r="K1485" s="3">
        <f t="shared" si="43"/>
        <v>2018</v>
      </c>
      <c r="L1485" s="3">
        <f t="shared" si="44"/>
        <v>0</v>
      </c>
      <c r="M1485" s="20" t="str">
        <f>A1485&amp;L1485</f>
        <v>DOV0</v>
      </c>
      <c r="N1485" s="3">
        <f>F1485</f>
        <v>0.48</v>
      </c>
      <c r="O1485" s="9">
        <f>H1485</f>
        <v>2.2100000000000002E-2</v>
      </c>
      <c r="P1485" s="10">
        <f t="shared" si="45"/>
        <v>2.0925000000000003E-2</v>
      </c>
      <c r="Q1485" s="10">
        <f>IF(K1485=0,IF(A1482=A1485,AVERAGE(O1482:O1485),"x"),0)</f>
        <v>0</v>
      </c>
      <c r="R1485" s="9">
        <f>IF(L1485&gt;2005,AVERAGE(O1482:O1501),0)</f>
        <v>0</v>
      </c>
      <c r="S1485" s="10">
        <f>IF(A1485=A1486,(N1485-N1486)/N1486,0)</f>
        <v>2.1276595744680871E-2</v>
      </c>
      <c r="T1485" s="10">
        <f>IF(L1485&gt;2005,(((N1485-N1505)/N1505)+1)^(1/5)-1,0)</f>
        <v>0</v>
      </c>
      <c r="U1485" s="10">
        <f t="shared" si="46"/>
        <v>0</v>
      </c>
      <c r="V1485" s="26">
        <f t="shared" si="47"/>
        <v>0</v>
      </c>
      <c r="W1485" s="3">
        <f>IF(A1485=A1486,N1485-N1486,0)</f>
        <v>1.0000000000000009E-2</v>
      </c>
      <c r="X1485" s="10">
        <f>IF(A1485=A1486,(N1485-N1486)/N1486,0)</f>
        <v>2.1276595744680871E-2</v>
      </c>
    </row>
    <row r="1486" spans="1:24" ht="16.5" customHeight="1">
      <c r="A1486" s="3" t="s">
        <v>40</v>
      </c>
      <c r="B1486" s="3">
        <f t="shared" si="40"/>
        <v>2018</v>
      </c>
      <c r="C1486" s="3">
        <f t="shared" si="41"/>
        <v>5</v>
      </c>
      <c r="D1486" s="20" t="str">
        <f t="shared" si="42"/>
        <v>DOV20185</v>
      </c>
      <c r="E1486" s="2">
        <v>43250</v>
      </c>
      <c r="F1486" s="3">
        <v>0.47</v>
      </c>
      <c r="G1486" s="2">
        <v>43266</v>
      </c>
      <c r="H1486" s="3">
        <v>2.41E-2</v>
      </c>
      <c r="I1486" s="3">
        <v>0</v>
      </c>
      <c r="J1486" s="3">
        <v>0</v>
      </c>
      <c r="K1486" s="3">
        <f t="shared" si="43"/>
        <v>2018</v>
      </c>
      <c r="L1486" s="3">
        <f t="shared" si="44"/>
        <v>0</v>
      </c>
      <c r="M1486" s="20" t="str">
        <f>A1486&amp;L1486</f>
        <v>DOV0</v>
      </c>
      <c r="N1486" s="3">
        <f>F1486</f>
        <v>0.47</v>
      </c>
      <c r="O1486" s="9">
        <f>H1486</f>
        <v>2.41E-2</v>
      </c>
      <c r="P1486" s="10">
        <f t="shared" si="45"/>
        <v>0</v>
      </c>
      <c r="Q1486" s="10">
        <f>IF(K1486=0,IF(A1483=A1486,AVERAGE(O1483:O1486),"x"),0)</f>
        <v>0</v>
      </c>
      <c r="R1486" s="9">
        <f>IF(L1486&gt;2005,AVERAGE(O1483:O1502),0)</f>
        <v>0</v>
      </c>
      <c r="S1486" s="10">
        <f>IF(A1486=A1487,(N1486-N1487)/N1487,0)</f>
        <v>0</v>
      </c>
      <c r="T1486" s="10">
        <f>IF(L1486&gt;2005,(((N1486-N1506)/N1506)+1)^(1/5)-1,0)</f>
        <v>0</v>
      </c>
      <c r="U1486" s="10">
        <f t="shared" si="46"/>
        <v>0</v>
      </c>
      <c r="V1486" s="26">
        <f t="shared" si="47"/>
        <v>0</v>
      </c>
      <c r="W1486" s="3">
        <f>IF(A1486=A1487,N1486-N1487,0)</f>
        <v>0</v>
      </c>
      <c r="X1486" s="10">
        <f>IF(A1486=A1487,(N1486-N1487)/N1487,0)</f>
        <v>0</v>
      </c>
    </row>
    <row r="1487" spans="1:24" ht="16.5" customHeight="1">
      <c r="A1487" s="3" t="s">
        <v>40</v>
      </c>
      <c r="B1487" s="3">
        <f t="shared" si="40"/>
        <v>2018</v>
      </c>
      <c r="C1487" s="3">
        <f t="shared" si="41"/>
        <v>2</v>
      </c>
      <c r="D1487" s="20" t="str">
        <f t="shared" si="42"/>
        <v>DOV20182</v>
      </c>
      <c r="E1487" s="2">
        <v>43158</v>
      </c>
      <c r="F1487" s="3">
        <v>0.47</v>
      </c>
      <c r="G1487" s="2">
        <v>43174</v>
      </c>
      <c r="H1487" s="3">
        <v>1.7999999999999999E-2</v>
      </c>
      <c r="I1487" s="3">
        <v>0</v>
      </c>
      <c r="J1487" s="3">
        <v>0</v>
      </c>
      <c r="K1487" s="3">
        <f t="shared" si="43"/>
        <v>0</v>
      </c>
      <c r="L1487" s="3">
        <f t="shared" si="44"/>
        <v>2018</v>
      </c>
      <c r="M1487" s="20" t="str">
        <f>A1487&amp;L1487</f>
        <v>DOV2018</v>
      </c>
      <c r="N1487" s="3">
        <f>F1487</f>
        <v>0.47</v>
      </c>
      <c r="O1487" s="9">
        <f>H1487</f>
        <v>1.7999999999999999E-2</v>
      </c>
      <c r="P1487" s="10">
        <f t="shared" si="45"/>
        <v>0</v>
      </c>
      <c r="Q1487" s="10">
        <f>IF(K1487=0,IF(A1484=A1487,AVERAGE(O1484:O1487),"x"),0)</f>
        <v>2.1725000000000001E-2</v>
      </c>
      <c r="R1487" s="9">
        <f>IF(L1487&gt;2005,AVERAGE(O1484:O1503),0)</f>
        <v>2.1819999999999996E-2</v>
      </c>
      <c r="S1487" s="10">
        <f>IF(A1487=A1488,(N1487-N1488)/N1488,0)</f>
        <v>0</v>
      </c>
      <c r="T1487" s="10">
        <f>IF(L1487&gt;2005,(((N1487-N1507)/N1507)+1)^(1/5)-1,0)</f>
        <v>6.0732713038533337E-2</v>
      </c>
      <c r="U1487" s="10">
        <f t="shared" si="46"/>
        <v>8.2552713038533329E-2</v>
      </c>
      <c r="V1487" s="26">
        <f t="shared" si="47"/>
        <v>4.7056625573823654</v>
      </c>
      <c r="W1487" s="3">
        <f>IF(A1487=A1488,N1487-N1488,0)</f>
        <v>0</v>
      </c>
      <c r="X1487" s="10">
        <f>IF(A1487=A1488,(N1487-N1488)/N1488,0)</f>
        <v>0</v>
      </c>
    </row>
    <row r="1488" spans="1:24" ht="16.5" customHeight="1">
      <c r="A1488" s="3" t="s">
        <v>40</v>
      </c>
      <c r="B1488" s="3">
        <f t="shared" si="40"/>
        <v>2017</v>
      </c>
      <c r="C1488" s="3">
        <f t="shared" si="41"/>
        <v>11</v>
      </c>
      <c r="D1488" s="20" t="str">
        <f t="shared" si="42"/>
        <v>DOV201711</v>
      </c>
      <c r="E1488" s="2">
        <v>43068</v>
      </c>
      <c r="F1488" s="3">
        <v>0.47</v>
      </c>
      <c r="G1488" s="2">
        <v>43084</v>
      </c>
      <c r="H1488" s="3">
        <v>1.95E-2</v>
      </c>
      <c r="I1488" s="3">
        <v>0</v>
      </c>
      <c r="J1488" s="3">
        <v>0</v>
      </c>
      <c r="K1488" s="3">
        <f t="shared" si="43"/>
        <v>2017</v>
      </c>
      <c r="L1488" s="3">
        <f t="shared" si="44"/>
        <v>0</v>
      </c>
      <c r="M1488" s="20" t="str">
        <f>A1488&amp;L1488</f>
        <v>DOV0</v>
      </c>
      <c r="N1488" s="3">
        <f>F1488</f>
        <v>0.47</v>
      </c>
      <c r="O1488" s="9">
        <f>H1488</f>
        <v>1.95E-2</v>
      </c>
      <c r="P1488" s="10">
        <f t="shared" si="45"/>
        <v>0</v>
      </c>
      <c r="Q1488" s="10">
        <f>IF(K1488=0,IF(A1485=A1488,AVERAGE(O1485:O1488),"x"),0)</f>
        <v>0</v>
      </c>
      <c r="R1488" s="9">
        <f>IF(L1488&gt;2005,AVERAGE(O1485:O1504),0)</f>
        <v>0</v>
      </c>
      <c r="S1488" s="10">
        <f>IF(A1488=A1489,(N1488-N1489)/N1489,0)</f>
        <v>0</v>
      </c>
      <c r="T1488" s="10">
        <f>IF(L1488&gt;2005,(((N1488-N1508)/N1508)+1)^(1/5)-1,0)</f>
        <v>0</v>
      </c>
      <c r="U1488" s="10">
        <f t="shared" si="46"/>
        <v>0</v>
      </c>
      <c r="V1488" s="26">
        <f t="shared" si="47"/>
        <v>0</v>
      </c>
      <c r="W1488" s="3">
        <f>IF(A1488=A1489,N1488-N1489,0)</f>
        <v>0</v>
      </c>
      <c r="X1488" s="10">
        <f>IF(A1488=A1489,(N1488-N1489)/N1489,0)</f>
        <v>0</v>
      </c>
    </row>
    <row r="1489" spans="1:24" ht="16.5" customHeight="1">
      <c r="A1489" s="3" t="s">
        <v>40</v>
      </c>
      <c r="B1489" s="3">
        <f t="shared" si="40"/>
        <v>2017</v>
      </c>
      <c r="C1489" s="3">
        <f t="shared" si="41"/>
        <v>8</v>
      </c>
      <c r="D1489" s="20" t="str">
        <f t="shared" si="42"/>
        <v>DOV20178</v>
      </c>
      <c r="E1489" s="2">
        <v>42976</v>
      </c>
      <c r="F1489" s="3">
        <v>0.47</v>
      </c>
      <c r="G1489" s="2">
        <v>42993</v>
      </c>
      <c r="H1489" s="3">
        <v>2.23E-2</v>
      </c>
      <c r="I1489" s="3">
        <v>6.8181818000000005E-2</v>
      </c>
      <c r="J1489" s="3">
        <v>0.03</v>
      </c>
      <c r="K1489" s="3">
        <f t="shared" si="43"/>
        <v>2017</v>
      </c>
      <c r="L1489" s="3">
        <f t="shared" si="44"/>
        <v>0</v>
      </c>
      <c r="M1489" s="20" t="str">
        <f>A1489&amp;L1489</f>
        <v>DOV0</v>
      </c>
      <c r="N1489" s="3">
        <f>F1489</f>
        <v>0.47</v>
      </c>
      <c r="O1489" s="9">
        <f>H1489</f>
        <v>2.23E-2</v>
      </c>
      <c r="P1489" s="10">
        <f t="shared" si="45"/>
        <v>2.2475000000000002E-2</v>
      </c>
      <c r="Q1489" s="10">
        <f>IF(K1489=0,IF(A1486=A1489,AVERAGE(O1486:O1489),"x"),0)</f>
        <v>0</v>
      </c>
      <c r="R1489" s="9">
        <f>IF(L1489&gt;2005,AVERAGE(O1486:O1505),0)</f>
        <v>0</v>
      </c>
      <c r="S1489" s="10">
        <f>IF(A1489=A1490,(N1489-N1490)/N1490,0)</f>
        <v>6.8181818181818121E-2</v>
      </c>
      <c r="T1489" s="10">
        <f>IF(L1489&gt;2005,(((N1489-N1509)/N1509)+1)^(1/5)-1,0)</f>
        <v>0</v>
      </c>
      <c r="U1489" s="10">
        <f t="shared" si="46"/>
        <v>0</v>
      </c>
      <c r="V1489" s="26">
        <f t="shared" si="47"/>
        <v>0</v>
      </c>
      <c r="W1489" s="3">
        <f>IF(A1489=A1490,N1489-N1490,0)</f>
        <v>2.9999999999999971E-2</v>
      </c>
      <c r="X1489" s="10">
        <f>IF(A1489=A1490,(N1489-N1490)/N1490,0)</f>
        <v>6.8181818181818121E-2</v>
      </c>
    </row>
    <row r="1490" spans="1:24" ht="16.5" customHeight="1">
      <c r="A1490" s="3" t="s">
        <v>40</v>
      </c>
      <c r="B1490" s="3">
        <f t="shared" si="40"/>
        <v>2017</v>
      </c>
      <c r="C1490" s="3">
        <f t="shared" si="41"/>
        <v>5</v>
      </c>
      <c r="D1490" s="20" t="str">
        <f t="shared" si="42"/>
        <v>DOV20175</v>
      </c>
      <c r="E1490" s="2">
        <v>42881</v>
      </c>
      <c r="F1490" s="3">
        <v>0.44</v>
      </c>
      <c r="G1490" s="2">
        <v>42901</v>
      </c>
      <c r="H1490" s="3">
        <v>2.1399999999999999E-2</v>
      </c>
      <c r="I1490" s="3">
        <v>0</v>
      </c>
      <c r="J1490" s="3">
        <v>0</v>
      </c>
      <c r="K1490" s="3">
        <f t="shared" si="43"/>
        <v>2017</v>
      </c>
      <c r="L1490" s="3">
        <f t="shared" si="44"/>
        <v>0</v>
      </c>
      <c r="M1490" s="20" t="str">
        <f>A1490&amp;L1490</f>
        <v>DOV0</v>
      </c>
      <c r="N1490" s="3">
        <f>F1490</f>
        <v>0.44</v>
      </c>
      <c r="O1490" s="9">
        <f>H1490</f>
        <v>2.1399999999999999E-2</v>
      </c>
      <c r="P1490" s="10">
        <f t="shared" si="45"/>
        <v>0</v>
      </c>
      <c r="Q1490" s="10">
        <f>IF(K1490=0,IF(A1487=A1490,AVERAGE(O1487:O1490),"x"),0)</f>
        <v>0</v>
      </c>
      <c r="R1490" s="9">
        <f>IF(L1490&gt;2005,AVERAGE(O1487:O1506),0)</f>
        <v>0</v>
      </c>
      <c r="S1490" s="10">
        <f>IF(A1490=A1491,(N1490-N1491)/N1491,0)</f>
        <v>0</v>
      </c>
      <c r="T1490" s="10">
        <f>IF(L1490&gt;2005,(((N1490-N1510)/N1510)+1)^(1/5)-1,0)</f>
        <v>0</v>
      </c>
      <c r="U1490" s="10">
        <f t="shared" si="46"/>
        <v>0</v>
      </c>
      <c r="V1490" s="26">
        <f t="shared" si="47"/>
        <v>0</v>
      </c>
      <c r="W1490" s="3">
        <f>IF(A1490=A1491,N1490-N1491,0)</f>
        <v>0</v>
      </c>
      <c r="X1490" s="10">
        <f>IF(A1490=A1491,(N1490-N1491)/N1491,0)</f>
        <v>0</v>
      </c>
    </row>
    <row r="1491" spans="1:24" ht="16.5" customHeight="1">
      <c r="A1491" s="3" t="s">
        <v>40</v>
      </c>
      <c r="B1491" s="3">
        <f t="shared" si="40"/>
        <v>2017</v>
      </c>
      <c r="C1491" s="3">
        <f t="shared" si="41"/>
        <v>2</v>
      </c>
      <c r="D1491" s="20" t="str">
        <f t="shared" si="42"/>
        <v>DOV20172</v>
      </c>
      <c r="E1491" s="2">
        <v>42790</v>
      </c>
      <c r="F1491" s="3">
        <v>0.44</v>
      </c>
      <c r="G1491" s="2">
        <v>42809</v>
      </c>
      <c r="H1491" s="3">
        <v>2.1899999999999999E-2</v>
      </c>
      <c r="I1491" s="3">
        <v>0</v>
      </c>
      <c r="J1491" s="3">
        <v>0</v>
      </c>
      <c r="K1491" s="3">
        <f t="shared" si="43"/>
        <v>0</v>
      </c>
      <c r="L1491" s="3">
        <f t="shared" si="44"/>
        <v>2017</v>
      </c>
      <c r="M1491" s="20" t="str">
        <f>A1491&amp;L1491</f>
        <v>DOV2017</v>
      </c>
      <c r="N1491" s="3">
        <f>F1491</f>
        <v>0.44</v>
      </c>
      <c r="O1491" s="9">
        <f>H1491</f>
        <v>2.1899999999999999E-2</v>
      </c>
      <c r="P1491" s="10">
        <f t="shared" si="45"/>
        <v>0</v>
      </c>
      <c r="Q1491" s="10">
        <f>IF(K1491=0,IF(A1488=A1491,AVERAGE(O1488:O1491),"x"),0)</f>
        <v>2.1275000000000002E-2</v>
      </c>
      <c r="R1491" s="9">
        <f>IF(L1491&gt;2005,AVERAGE(O1488:O1507),0)</f>
        <v>2.0939999999999993E-2</v>
      </c>
      <c r="S1491" s="10">
        <f>IF(A1491=A1492,(N1491-N1492)/N1492,0)</f>
        <v>0</v>
      </c>
      <c r="T1491" s="10">
        <f>IF(L1491&gt;2005,(((N1491-N1511)/N1511)+1)^(1/5)-1,0)</f>
        <v>6.9124851069322091E-2</v>
      </c>
      <c r="U1491" s="10">
        <f t="shared" si="46"/>
        <v>9.0064851069322077E-2</v>
      </c>
      <c r="V1491" s="26">
        <f t="shared" si="47"/>
        <v>4.7191268677443325</v>
      </c>
      <c r="W1491" s="3">
        <f>IF(A1491=A1492,N1491-N1492,0)</f>
        <v>0</v>
      </c>
      <c r="X1491" s="10">
        <f>IF(A1491=A1492,(N1491-N1492)/N1492,0)</f>
        <v>0</v>
      </c>
    </row>
    <row r="1492" spans="1:24" ht="16.5" customHeight="1">
      <c r="A1492" s="3" t="s">
        <v>40</v>
      </c>
      <c r="B1492" s="3">
        <f t="shared" si="40"/>
        <v>2016</v>
      </c>
      <c r="C1492" s="3">
        <f t="shared" si="41"/>
        <v>11</v>
      </c>
      <c r="D1492" s="20" t="str">
        <f t="shared" si="42"/>
        <v>DOV201611</v>
      </c>
      <c r="E1492" s="2">
        <v>42702</v>
      </c>
      <c r="F1492" s="3">
        <v>0.44</v>
      </c>
      <c r="G1492" s="2">
        <v>42719</v>
      </c>
      <c r="H1492" s="3">
        <v>2.4299999999999999E-2</v>
      </c>
      <c r="I1492" s="3">
        <v>0</v>
      </c>
      <c r="J1492" s="3">
        <v>0</v>
      </c>
      <c r="K1492" s="3">
        <f t="shared" si="43"/>
        <v>2016</v>
      </c>
      <c r="L1492" s="3">
        <f t="shared" si="44"/>
        <v>0</v>
      </c>
      <c r="M1492" s="20" t="str">
        <f>A1492&amp;L1492</f>
        <v>DOV0</v>
      </c>
      <c r="N1492" s="3">
        <f>F1492</f>
        <v>0.44</v>
      </c>
      <c r="O1492" s="9">
        <f>H1492</f>
        <v>2.4299999999999999E-2</v>
      </c>
      <c r="P1492" s="10">
        <f t="shared" si="45"/>
        <v>0</v>
      </c>
      <c r="Q1492" s="10">
        <f>IF(K1492=0,IF(A1489=A1492,AVERAGE(O1489:O1492),"x"),0)</f>
        <v>0</v>
      </c>
      <c r="R1492" s="9">
        <f>IF(L1492&gt;2005,AVERAGE(O1489:O1508),0)</f>
        <v>0</v>
      </c>
      <c r="S1492" s="10">
        <f>IF(A1492=A1493,(N1492-N1493)/N1493,0)</f>
        <v>0</v>
      </c>
      <c r="T1492" s="10">
        <f>IF(L1492&gt;2005,(((N1492-N1512)/N1512)+1)^(1/5)-1,0)</f>
        <v>0</v>
      </c>
      <c r="U1492" s="10">
        <f t="shared" si="46"/>
        <v>0</v>
      </c>
      <c r="V1492" s="26">
        <f t="shared" si="47"/>
        <v>0</v>
      </c>
      <c r="W1492" s="3">
        <f>IF(A1492=A1493,N1492-N1493,0)</f>
        <v>0</v>
      </c>
      <c r="X1492" s="10">
        <f>IF(A1492=A1493,(N1492-N1493)/N1493,0)</f>
        <v>0</v>
      </c>
    </row>
    <row r="1493" spans="1:24" ht="16.5" customHeight="1">
      <c r="A1493" s="3" t="s">
        <v>40</v>
      </c>
      <c r="B1493" s="3">
        <f t="shared" si="40"/>
        <v>2016</v>
      </c>
      <c r="C1493" s="3">
        <f t="shared" si="41"/>
        <v>8</v>
      </c>
      <c r="D1493" s="20" t="str">
        <f t="shared" si="42"/>
        <v>DOV20168</v>
      </c>
      <c r="E1493" s="2">
        <v>42611</v>
      </c>
      <c r="F1493" s="3">
        <v>0.44</v>
      </c>
      <c r="G1493" s="2">
        <v>42628</v>
      </c>
      <c r="H1493" s="3">
        <v>2.3900000000000001E-2</v>
      </c>
      <c r="I1493" s="3">
        <v>4.7619047999999997E-2</v>
      </c>
      <c r="J1493" s="3">
        <v>0.02</v>
      </c>
      <c r="K1493" s="3">
        <f t="shared" si="43"/>
        <v>2016</v>
      </c>
      <c r="L1493" s="3">
        <f t="shared" si="44"/>
        <v>0</v>
      </c>
      <c r="M1493" s="20" t="str">
        <f>A1493&amp;L1493</f>
        <v>DOV0</v>
      </c>
      <c r="N1493" s="3">
        <f>F1493</f>
        <v>0.44</v>
      </c>
      <c r="O1493" s="9">
        <f>H1493</f>
        <v>2.3900000000000001E-2</v>
      </c>
      <c r="P1493" s="10">
        <f t="shared" si="45"/>
        <v>2.5524999999999999E-2</v>
      </c>
      <c r="Q1493" s="10">
        <f>IF(K1493=0,IF(A1490=A1493,AVERAGE(O1490:O1493),"x"),0)</f>
        <v>0</v>
      </c>
      <c r="R1493" s="9">
        <f>IF(L1493&gt;2005,AVERAGE(O1490:O1509),0)</f>
        <v>0</v>
      </c>
      <c r="S1493" s="10">
        <f>IF(A1493=A1494,(N1493-N1494)/N1494,0)</f>
        <v>4.7619047619047665E-2</v>
      </c>
      <c r="T1493" s="10">
        <f>IF(L1493&gt;2005,(((N1493-N1513)/N1513)+1)^(1/5)-1,0)</f>
        <v>0</v>
      </c>
      <c r="U1493" s="10">
        <f t="shared" si="46"/>
        <v>0</v>
      </c>
      <c r="V1493" s="26">
        <f t="shared" si="47"/>
        <v>0</v>
      </c>
      <c r="W1493" s="3">
        <f>IF(A1493=A1494,N1493-N1494,0)</f>
        <v>2.0000000000000018E-2</v>
      </c>
      <c r="X1493" s="10">
        <f>IF(A1493=A1494,(N1493-N1494)/N1494,0)</f>
        <v>4.7619047619047665E-2</v>
      </c>
    </row>
    <row r="1494" spans="1:24" ht="16.5" customHeight="1">
      <c r="A1494" s="3" t="s">
        <v>40</v>
      </c>
      <c r="B1494" s="3">
        <f t="shared" si="40"/>
        <v>2016</v>
      </c>
      <c r="C1494" s="3">
        <f t="shared" si="41"/>
        <v>5</v>
      </c>
      <c r="D1494" s="20" t="str">
        <f t="shared" si="42"/>
        <v>DOV20165</v>
      </c>
      <c r="E1494" s="2">
        <v>42516</v>
      </c>
      <c r="F1494" s="3">
        <v>0.42</v>
      </c>
      <c r="G1494" s="2">
        <v>42536</v>
      </c>
      <c r="H1494" s="3">
        <v>2.52E-2</v>
      </c>
      <c r="I1494" s="3">
        <v>0</v>
      </c>
      <c r="J1494" s="3">
        <v>0</v>
      </c>
      <c r="K1494" s="3">
        <f t="shared" si="43"/>
        <v>2016</v>
      </c>
      <c r="L1494" s="3">
        <f t="shared" si="44"/>
        <v>0</v>
      </c>
      <c r="M1494" s="20" t="str">
        <f>A1494&amp;L1494</f>
        <v>DOV0</v>
      </c>
      <c r="N1494" s="3">
        <f>F1494</f>
        <v>0.42</v>
      </c>
      <c r="O1494" s="9">
        <f>H1494</f>
        <v>2.52E-2</v>
      </c>
      <c r="P1494" s="10">
        <f t="shared" si="45"/>
        <v>0</v>
      </c>
      <c r="Q1494" s="10">
        <f>IF(K1494=0,IF(A1491=A1494,AVERAGE(O1491:O1494),"x"),0)</f>
        <v>0</v>
      </c>
      <c r="R1494" s="9">
        <f>IF(L1494&gt;2005,AVERAGE(O1491:O1510),0)</f>
        <v>0</v>
      </c>
      <c r="S1494" s="10">
        <f>IF(A1494=A1495,(N1494-N1495)/N1495,0)</f>
        <v>0</v>
      </c>
      <c r="T1494" s="10">
        <f>IF(L1494&gt;2005,(((N1494-N1514)/N1514)+1)^(1/5)-1,0)</f>
        <v>0</v>
      </c>
      <c r="U1494" s="10">
        <f t="shared" si="46"/>
        <v>0</v>
      </c>
      <c r="V1494" s="26">
        <f t="shared" si="47"/>
        <v>0</v>
      </c>
      <c r="W1494" s="3">
        <f>IF(A1494=A1495,N1494-N1495,0)</f>
        <v>0</v>
      </c>
      <c r="X1494" s="10">
        <f>IF(A1494=A1495,(N1494-N1495)/N1495,0)</f>
        <v>0</v>
      </c>
    </row>
    <row r="1495" spans="1:24" ht="16.5" customHeight="1">
      <c r="A1495" s="3" t="s">
        <v>40</v>
      </c>
      <c r="B1495" s="3">
        <f t="shared" si="40"/>
        <v>2016</v>
      </c>
      <c r="C1495" s="3">
        <f t="shared" si="41"/>
        <v>2</v>
      </c>
      <c r="D1495" s="20" t="str">
        <f t="shared" si="42"/>
        <v>DOV20162</v>
      </c>
      <c r="E1495" s="2">
        <v>42425</v>
      </c>
      <c r="F1495" s="3">
        <v>0.42</v>
      </c>
      <c r="G1495" s="2">
        <v>42444</v>
      </c>
      <c r="H1495" s="3">
        <v>2.81E-2</v>
      </c>
      <c r="I1495" s="3">
        <v>0</v>
      </c>
      <c r="J1495" s="3">
        <v>0</v>
      </c>
      <c r="K1495" s="3">
        <f t="shared" si="43"/>
        <v>0</v>
      </c>
      <c r="L1495" s="3">
        <f t="shared" si="44"/>
        <v>2016</v>
      </c>
      <c r="M1495" s="20" t="str">
        <f>A1495&amp;L1495</f>
        <v>DOV2016</v>
      </c>
      <c r="N1495" s="3">
        <f>F1495</f>
        <v>0.42</v>
      </c>
      <c r="O1495" s="9">
        <f>H1495</f>
        <v>2.81E-2</v>
      </c>
      <c r="P1495" s="10">
        <f t="shared" si="45"/>
        <v>0</v>
      </c>
      <c r="Q1495" s="10">
        <f>IF(K1495=0,IF(A1492=A1495,AVERAGE(O1492:O1495),"x"),0)</f>
        <v>2.5374999999999998E-2</v>
      </c>
      <c r="R1495" s="9">
        <f>IF(L1495&gt;2005,AVERAGE(O1492:O1511),0)</f>
        <v>2.0884999999999994E-2</v>
      </c>
      <c r="S1495" s="10">
        <f>IF(A1495=A1496,(N1495-N1496)/N1496,0)</f>
        <v>0</v>
      </c>
      <c r="T1495" s="10">
        <f>IF(L1495&gt;2005,(((N1495-N1515)/N1515)+1)^(1/5)-1,0)</f>
        <v>8.8386933613543661E-2</v>
      </c>
      <c r="U1495" s="10">
        <f t="shared" si="46"/>
        <v>0.10927193361354365</v>
      </c>
      <c r="V1495" s="26">
        <f t="shared" si="47"/>
        <v>4.7245752898561832</v>
      </c>
      <c r="W1495" s="3">
        <f>IF(A1495=A1496,N1495-N1496,0)</f>
        <v>0</v>
      </c>
      <c r="X1495" s="10">
        <f>IF(A1495=A1496,(N1495-N1496)/N1496,0)</f>
        <v>0</v>
      </c>
    </row>
    <row r="1496" spans="1:24" ht="16.5" customHeight="1">
      <c r="A1496" s="3" t="s">
        <v>40</v>
      </c>
      <c r="B1496" s="3">
        <f t="shared" si="40"/>
        <v>2015</v>
      </c>
      <c r="C1496" s="3">
        <f t="shared" si="41"/>
        <v>11</v>
      </c>
      <c r="D1496" s="20" t="str">
        <f t="shared" si="42"/>
        <v>DOV201511</v>
      </c>
      <c r="E1496" s="2">
        <v>42333</v>
      </c>
      <c r="F1496" s="3">
        <v>0.42</v>
      </c>
      <c r="G1496" s="2">
        <v>42353</v>
      </c>
      <c r="H1496" s="3">
        <v>2.4899999999999999E-2</v>
      </c>
      <c r="I1496" s="3">
        <v>0</v>
      </c>
      <c r="J1496" s="3">
        <v>0</v>
      </c>
      <c r="K1496" s="3">
        <f t="shared" si="43"/>
        <v>2015</v>
      </c>
      <c r="L1496" s="3">
        <f t="shared" si="44"/>
        <v>0</v>
      </c>
      <c r="M1496" s="20" t="str">
        <f>A1496&amp;L1496</f>
        <v>DOV0</v>
      </c>
      <c r="N1496" s="3">
        <f>F1496</f>
        <v>0.42</v>
      </c>
      <c r="O1496" s="9">
        <f>H1496</f>
        <v>2.4899999999999999E-2</v>
      </c>
      <c r="P1496" s="10">
        <f t="shared" si="45"/>
        <v>0</v>
      </c>
      <c r="Q1496" s="10">
        <f>IF(K1496=0,IF(A1493=A1496,AVERAGE(O1493:O1496),"x"),0)</f>
        <v>0</v>
      </c>
      <c r="R1496" s="9">
        <f>IF(L1496&gt;2005,AVERAGE(O1493:O1512),0)</f>
        <v>0</v>
      </c>
      <c r="S1496" s="10">
        <f>IF(A1496=A1497,(N1496-N1497)/N1497,0)</f>
        <v>0</v>
      </c>
      <c r="T1496" s="10">
        <f>IF(L1496&gt;2005,(((N1496-N1516)/N1516)+1)^(1/5)-1,0)</f>
        <v>0</v>
      </c>
      <c r="U1496" s="10">
        <f t="shared" si="46"/>
        <v>0</v>
      </c>
      <c r="V1496" s="26">
        <f t="shared" si="47"/>
        <v>0</v>
      </c>
      <c r="W1496" s="3">
        <f>IF(A1496=A1497,N1496-N1497,0)</f>
        <v>0</v>
      </c>
      <c r="X1496" s="10">
        <f>IF(A1496=A1497,(N1496-N1497)/N1497,0)</f>
        <v>0</v>
      </c>
    </row>
    <row r="1497" spans="1:24" ht="16.5" customHeight="1">
      <c r="A1497" s="3" t="s">
        <v>40</v>
      </c>
      <c r="B1497" s="3">
        <f t="shared" si="40"/>
        <v>2015</v>
      </c>
      <c r="C1497" s="3">
        <f t="shared" si="41"/>
        <v>8</v>
      </c>
      <c r="D1497" s="20" t="str">
        <f t="shared" si="42"/>
        <v>DOV20158</v>
      </c>
      <c r="E1497" s="2">
        <v>42243</v>
      </c>
      <c r="F1497" s="3">
        <v>0.42</v>
      </c>
      <c r="G1497" s="2">
        <v>42262</v>
      </c>
      <c r="H1497" s="3">
        <v>2.7799999999999998E-2</v>
      </c>
      <c r="I1497" s="3">
        <v>0.05</v>
      </c>
      <c r="J1497" s="3">
        <v>0.02</v>
      </c>
      <c r="K1497" s="3">
        <f t="shared" si="43"/>
        <v>2015</v>
      </c>
      <c r="L1497" s="3">
        <f t="shared" si="44"/>
        <v>0</v>
      </c>
      <c r="M1497" s="20" t="str">
        <f>A1497&amp;L1497</f>
        <v>DOV0</v>
      </c>
      <c r="N1497" s="3">
        <f>F1497</f>
        <v>0.42</v>
      </c>
      <c r="O1497" s="9">
        <f>H1497</f>
        <v>2.7799999999999998E-2</v>
      </c>
      <c r="P1497" s="10">
        <f t="shared" si="45"/>
        <v>2.2650000000000003E-2</v>
      </c>
      <c r="Q1497" s="10">
        <f>IF(K1497=0,IF(A1494=A1497,AVERAGE(O1494:O1497),"x"),0)</f>
        <v>0</v>
      </c>
      <c r="R1497" s="9">
        <f>IF(L1497&gt;2005,AVERAGE(O1494:O1513),0)</f>
        <v>0</v>
      </c>
      <c r="S1497" s="10">
        <f>IF(A1497=A1498,(N1497-N1498)/N1498,0)</f>
        <v>4.9999999999999906E-2</v>
      </c>
      <c r="T1497" s="10">
        <f>IF(L1497&gt;2005,(((N1497-N1517)/N1517)+1)^(1/5)-1,0)</f>
        <v>0</v>
      </c>
      <c r="U1497" s="10">
        <f t="shared" si="46"/>
        <v>0</v>
      </c>
      <c r="V1497" s="26">
        <f t="shared" si="47"/>
        <v>0</v>
      </c>
      <c r="W1497" s="3">
        <f>IF(A1497=A1498,N1497-N1498,0)</f>
        <v>1.9999999999999962E-2</v>
      </c>
      <c r="X1497" s="10">
        <f>IF(A1497=A1498,(N1497-N1498)/N1498,0)</f>
        <v>4.9999999999999906E-2</v>
      </c>
    </row>
    <row r="1498" spans="1:24" ht="16.5" customHeight="1">
      <c r="A1498" s="3" t="s">
        <v>40</v>
      </c>
      <c r="B1498" s="3">
        <f t="shared" si="40"/>
        <v>2015</v>
      </c>
      <c r="C1498" s="3">
        <f t="shared" si="41"/>
        <v>5</v>
      </c>
      <c r="D1498" s="20" t="str">
        <f t="shared" si="42"/>
        <v>DOV20155</v>
      </c>
      <c r="E1498" s="2">
        <v>42151</v>
      </c>
      <c r="F1498" s="3">
        <v>0.4</v>
      </c>
      <c r="G1498" s="2">
        <v>42170</v>
      </c>
      <c r="H1498" s="3">
        <v>2.07E-2</v>
      </c>
      <c r="I1498" s="3">
        <v>0</v>
      </c>
      <c r="J1498" s="3">
        <v>0</v>
      </c>
      <c r="K1498" s="3">
        <f t="shared" si="43"/>
        <v>2015</v>
      </c>
      <c r="L1498" s="3">
        <f t="shared" si="44"/>
        <v>0</v>
      </c>
      <c r="M1498" s="20" t="str">
        <f>A1498&amp;L1498</f>
        <v>DOV0</v>
      </c>
      <c r="N1498" s="3">
        <f>F1498</f>
        <v>0.4</v>
      </c>
      <c r="O1498" s="9">
        <f>H1498</f>
        <v>2.07E-2</v>
      </c>
      <c r="P1498" s="10">
        <f t="shared" si="45"/>
        <v>0</v>
      </c>
      <c r="Q1498" s="10">
        <f>IF(K1498=0,IF(A1495=A1498,AVERAGE(O1495:O1498),"x"),0)</f>
        <v>0</v>
      </c>
      <c r="R1498" s="9">
        <f>IF(L1498&gt;2005,AVERAGE(O1495:O1514),0)</f>
        <v>0</v>
      </c>
      <c r="S1498" s="10">
        <f>IF(A1498=A1499,(N1498-N1499)/N1499,0)</f>
        <v>0</v>
      </c>
      <c r="T1498" s="10">
        <f>IF(L1498&gt;2005,(((N1498-N1518)/N1518)+1)^(1/5)-1,0)</f>
        <v>0</v>
      </c>
      <c r="U1498" s="10">
        <f t="shared" si="46"/>
        <v>0</v>
      </c>
      <c r="V1498" s="26">
        <f t="shared" si="47"/>
        <v>0</v>
      </c>
      <c r="W1498" s="3">
        <f>IF(A1498=A1499,N1498-N1499,0)</f>
        <v>0</v>
      </c>
      <c r="X1498" s="10">
        <f>IF(A1498=A1499,(N1498-N1499)/N1499,0)</f>
        <v>0</v>
      </c>
    </row>
    <row r="1499" spans="1:24" ht="16.5" customHeight="1">
      <c r="A1499" s="3" t="s">
        <v>40</v>
      </c>
      <c r="B1499" s="3">
        <f t="shared" si="40"/>
        <v>2015</v>
      </c>
      <c r="C1499" s="3">
        <f t="shared" si="41"/>
        <v>2</v>
      </c>
      <c r="D1499" s="20" t="str">
        <f t="shared" si="42"/>
        <v>DOV20152</v>
      </c>
      <c r="E1499" s="2">
        <v>42060</v>
      </c>
      <c r="F1499" s="3">
        <v>0.4</v>
      </c>
      <c r="G1499" s="2">
        <v>42079</v>
      </c>
      <c r="H1499" s="3">
        <v>2.63E-2</v>
      </c>
      <c r="I1499" s="3">
        <v>0</v>
      </c>
      <c r="J1499" s="3">
        <v>0</v>
      </c>
      <c r="K1499" s="3">
        <f t="shared" si="43"/>
        <v>0</v>
      </c>
      <c r="L1499" s="3">
        <f t="shared" si="44"/>
        <v>2015</v>
      </c>
      <c r="M1499" s="20" t="str">
        <f>A1499&amp;L1499</f>
        <v>DOV2015</v>
      </c>
      <c r="N1499" s="3">
        <f>F1499</f>
        <v>0.4</v>
      </c>
      <c r="O1499" s="9">
        <f>H1499</f>
        <v>2.63E-2</v>
      </c>
      <c r="P1499" s="10">
        <f t="shared" si="45"/>
        <v>0</v>
      </c>
      <c r="Q1499" s="10">
        <f>IF(K1499=0,IF(A1496=A1499,AVERAGE(O1496:O1499),"x"),0)</f>
        <v>2.4924999999999999E-2</v>
      </c>
      <c r="R1499" s="9">
        <f>IF(L1499&gt;2005,AVERAGE(O1496:O1515),0)</f>
        <v>1.9755000000000002E-2</v>
      </c>
      <c r="S1499" s="10">
        <f>IF(A1499=A1500,(N1499-N1500)/N1500,0)</f>
        <v>0</v>
      </c>
      <c r="T1499" s="10">
        <f>IF(L1499&gt;2005,(((N1499-N1519)/N1519)+1)^(1/5)-1,0)</f>
        <v>8.9976987048345336E-2</v>
      </c>
      <c r="U1499" s="10">
        <f t="shared" si="46"/>
        <v>0.10973198704834533</v>
      </c>
      <c r="V1499" s="26">
        <f t="shared" si="47"/>
        <v>4.739229984585311</v>
      </c>
      <c r="W1499" s="3">
        <f>IF(A1499=A1500,N1499-N1500,0)</f>
        <v>0</v>
      </c>
      <c r="X1499" s="10">
        <f>IF(A1499=A1500,(N1499-N1500)/N1500,0)</f>
        <v>0</v>
      </c>
    </row>
    <row r="1500" spans="1:24" ht="16.5" customHeight="1">
      <c r="A1500" s="3" t="s">
        <v>40</v>
      </c>
      <c r="B1500" s="3">
        <f t="shared" si="40"/>
        <v>2014</v>
      </c>
      <c r="C1500" s="3">
        <f t="shared" si="41"/>
        <v>11</v>
      </c>
      <c r="D1500" s="20" t="str">
        <f t="shared" si="42"/>
        <v>DOV201411</v>
      </c>
      <c r="E1500" s="2">
        <v>41968</v>
      </c>
      <c r="F1500" s="3">
        <v>0.4</v>
      </c>
      <c r="G1500" s="2">
        <v>41988</v>
      </c>
      <c r="H1500" s="3">
        <v>1.5800000000000002E-2</v>
      </c>
      <c r="I1500" s="3">
        <v>0</v>
      </c>
      <c r="J1500" s="3">
        <v>0</v>
      </c>
      <c r="K1500" s="3">
        <f t="shared" si="43"/>
        <v>2014</v>
      </c>
      <c r="L1500" s="3">
        <f t="shared" si="44"/>
        <v>0</v>
      </c>
      <c r="M1500" s="20" t="str">
        <f>A1500&amp;L1500</f>
        <v>DOV0</v>
      </c>
      <c r="N1500" s="3">
        <f>F1500</f>
        <v>0.4</v>
      </c>
      <c r="O1500" s="9">
        <f>H1500</f>
        <v>1.5800000000000002E-2</v>
      </c>
      <c r="P1500" s="10">
        <f t="shared" si="45"/>
        <v>0</v>
      </c>
      <c r="Q1500" s="10">
        <f>IF(K1500=0,IF(A1497=A1500,AVERAGE(O1497:O1500),"x"),0)</f>
        <v>0</v>
      </c>
      <c r="R1500" s="9">
        <f>IF(L1500&gt;2005,AVERAGE(O1497:O1516),0)</f>
        <v>0</v>
      </c>
      <c r="S1500" s="10">
        <f>IF(A1500=A1501,(N1500-N1501)/N1501,0)</f>
        <v>0</v>
      </c>
      <c r="T1500" s="10">
        <f>IF(L1500&gt;2005,(((N1500-N1520)/N1520)+1)^(1/5)-1,0)</f>
        <v>0</v>
      </c>
      <c r="U1500" s="10">
        <f t="shared" si="46"/>
        <v>0</v>
      </c>
      <c r="V1500" s="26">
        <f t="shared" si="47"/>
        <v>0</v>
      </c>
      <c r="W1500" s="3">
        <f>IF(A1500=A1501,N1500-N1501,0)</f>
        <v>0</v>
      </c>
      <c r="X1500" s="10">
        <f>IF(A1500=A1501,(N1500-N1501)/N1501,0)</f>
        <v>0</v>
      </c>
    </row>
    <row r="1501" spans="1:24" ht="16.5" customHeight="1">
      <c r="A1501" s="3" t="s">
        <v>40</v>
      </c>
      <c r="B1501" s="3">
        <f t="shared" si="40"/>
        <v>2014</v>
      </c>
      <c r="C1501" s="3">
        <f t="shared" si="41"/>
        <v>8</v>
      </c>
      <c r="D1501" s="20" t="str">
        <f t="shared" si="42"/>
        <v>DOV20148</v>
      </c>
      <c r="E1501" s="2">
        <v>41878</v>
      </c>
      <c r="F1501" s="3">
        <v>0.4</v>
      </c>
      <c r="G1501" s="2">
        <v>41897</v>
      </c>
      <c r="H1501" s="3">
        <v>1.5800000000000002E-2</v>
      </c>
      <c r="I1501" s="3">
        <v>6.6666666999999999E-2</v>
      </c>
      <c r="J1501" s="3">
        <v>2.5000000000000001E-2</v>
      </c>
      <c r="K1501" s="3">
        <f t="shared" si="43"/>
        <v>2014</v>
      </c>
      <c r="L1501" s="3">
        <f t="shared" si="44"/>
        <v>0</v>
      </c>
      <c r="M1501" s="20" t="str">
        <f>A1501&amp;L1501</f>
        <v>DOV0</v>
      </c>
      <c r="N1501" s="3">
        <f>F1501</f>
        <v>0.4</v>
      </c>
      <c r="O1501" s="9">
        <f>H1501</f>
        <v>1.5800000000000002E-2</v>
      </c>
      <c r="P1501" s="10">
        <f t="shared" si="45"/>
        <v>1.5800000000000002E-2</v>
      </c>
      <c r="Q1501" s="10">
        <f>IF(K1501=0,IF(A1498=A1501,AVERAGE(O1498:O1501),"x"),0)</f>
        <v>0</v>
      </c>
      <c r="R1501" s="9">
        <f>IF(L1501&gt;2005,AVERAGE(O1498:O1517),0)</f>
        <v>0</v>
      </c>
      <c r="S1501" s="10">
        <f>IF(A1501=A1502,(N1501-N1502)/N1502,0)</f>
        <v>6.6666666666666721E-2</v>
      </c>
      <c r="T1501" s="10">
        <f>IF(L1501&gt;2005,(((N1501-N1521)/N1521)+1)^(1/5)-1,0)</f>
        <v>0</v>
      </c>
      <c r="U1501" s="10">
        <f t="shared" si="46"/>
        <v>0</v>
      </c>
      <c r="V1501" s="26">
        <f t="shared" si="47"/>
        <v>0</v>
      </c>
      <c r="W1501" s="3">
        <f>IF(A1501=A1502,N1501-N1502,0)</f>
        <v>2.5000000000000022E-2</v>
      </c>
      <c r="X1501" s="10">
        <f>IF(A1501=A1502,(N1501-N1502)/N1502,0)</f>
        <v>6.6666666666666721E-2</v>
      </c>
    </row>
    <row r="1502" spans="1:24" ht="16.5" customHeight="1">
      <c r="A1502" s="3" t="s">
        <v>40</v>
      </c>
      <c r="B1502" s="3">
        <f t="shared" si="40"/>
        <v>2014</v>
      </c>
      <c r="C1502" s="3">
        <f t="shared" si="41"/>
        <v>5</v>
      </c>
      <c r="D1502" s="20" t="str">
        <f t="shared" si="42"/>
        <v>DOV20145</v>
      </c>
      <c r="E1502" s="2">
        <v>41787</v>
      </c>
      <c r="F1502" s="3">
        <v>0.375</v>
      </c>
      <c r="G1502" s="2">
        <v>41806</v>
      </c>
      <c r="H1502" s="3">
        <v>1.5800000000000002E-2</v>
      </c>
      <c r="I1502" s="3">
        <v>0</v>
      </c>
      <c r="J1502" s="3">
        <v>0</v>
      </c>
      <c r="K1502" s="3">
        <f t="shared" si="43"/>
        <v>2014</v>
      </c>
      <c r="L1502" s="3">
        <f t="shared" si="44"/>
        <v>0</v>
      </c>
      <c r="M1502" s="20" t="str">
        <f>A1502&amp;L1502</f>
        <v>DOV0</v>
      </c>
      <c r="N1502" s="3">
        <f>F1502</f>
        <v>0.375</v>
      </c>
      <c r="O1502" s="9">
        <f>H1502</f>
        <v>1.5800000000000002E-2</v>
      </c>
      <c r="P1502" s="10">
        <f t="shared" si="45"/>
        <v>0</v>
      </c>
      <c r="Q1502" s="10">
        <f>IF(K1502=0,IF(A1499=A1502,AVERAGE(O1499:O1502),"x"),0)</f>
        <v>0</v>
      </c>
      <c r="R1502" s="9">
        <f>IF(L1502&gt;2005,AVERAGE(O1499:O1518),0)</f>
        <v>0</v>
      </c>
      <c r="S1502" s="10">
        <f>IF(A1502=A1503,(N1502-N1503)/N1503,0)</f>
        <v>0</v>
      </c>
      <c r="T1502" s="10">
        <f>IF(L1502&gt;2005,(((N1502-N1522)/N1522)+1)^(1/5)-1,0)</f>
        <v>0</v>
      </c>
      <c r="U1502" s="10">
        <f t="shared" si="46"/>
        <v>0</v>
      </c>
      <c r="V1502" s="26">
        <f t="shared" si="47"/>
        <v>0</v>
      </c>
      <c r="W1502" s="3">
        <f>IF(A1502=A1503,N1502-N1503,0)</f>
        <v>0</v>
      </c>
      <c r="X1502" s="10">
        <f>IF(A1502=A1503,(N1502-N1503)/N1503,0)</f>
        <v>0</v>
      </c>
    </row>
    <row r="1503" spans="1:24" ht="16.5" customHeight="1">
      <c r="A1503" s="3" t="s">
        <v>40</v>
      </c>
      <c r="B1503" s="3">
        <f t="shared" si="40"/>
        <v>2014</v>
      </c>
      <c r="C1503" s="3">
        <f t="shared" si="41"/>
        <v>3</v>
      </c>
      <c r="D1503" s="20" t="str">
        <f t="shared" si="42"/>
        <v>DOV20143</v>
      </c>
      <c r="E1503" s="2">
        <v>41710</v>
      </c>
      <c r="F1503" s="3">
        <v>0.375</v>
      </c>
      <c r="G1503" s="2">
        <v>41729</v>
      </c>
      <c r="H1503" s="3">
        <v>1.5800000000000002E-2</v>
      </c>
      <c r="I1503" s="3">
        <v>0</v>
      </c>
      <c r="J1503" s="3">
        <v>0</v>
      </c>
      <c r="K1503" s="3">
        <f t="shared" si="43"/>
        <v>0</v>
      </c>
      <c r="L1503" s="3">
        <f t="shared" si="44"/>
        <v>2014</v>
      </c>
      <c r="M1503" s="20" t="str">
        <f>A1503&amp;L1503</f>
        <v>DOV2014</v>
      </c>
      <c r="N1503" s="3">
        <f>F1503</f>
        <v>0.375</v>
      </c>
      <c r="O1503" s="9">
        <f>H1503</f>
        <v>1.5800000000000002E-2</v>
      </c>
      <c r="P1503" s="10">
        <f t="shared" si="45"/>
        <v>0</v>
      </c>
      <c r="Q1503" s="10">
        <f>IF(K1503=0,IF(A1500=A1503,AVERAGE(O1500:O1503),"x"),0)</f>
        <v>1.5800000000000002E-2</v>
      </c>
      <c r="R1503" s="9">
        <f>IF(L1503&gt;2005,AVERAGE(O1500:O1519),0)</f>
        <v>1.924E-2</v>
      </c>
      <c r="S1503" s="10">
        <f>IF(A1503=A1504,(N1503-N1504)/N1504,0)</f>
        <v>0</v>
      </c>
      <c r="T1503" s="10">
        <f>IF(L1503&gt;2005,(((N1503-N1523)/N1523)+1)^(1/5)-1,0)</f>
        <v>8.4471771197698553E-2</v>
      </c>
      <c r="U1503" s="10">
        <f t="shared" si="46"/>
        <v>0.10371177119769856</v>
      </c>
      <c r="V1503" s="26">
        <f t="shared" si="47"/>
        <v>4.7445173373080261</v>
      </c>
      <c r="W1503" s="3">
        <f>IF(A1503=A1504,N1503-N1504,0)</f>
        <v>0</v>
      </c>
      <c r="X1503" s="10">
        <f>IF(A1503=A1504,(N1503-N1504)/N1504,0)</f>
        <v>0</v>
      </c>
    </row>
    <row r="1504" spans="1:24" ht="16.5" customHeight="1">
      <c r="A1504" s="3" t="s">
        <v>40</v>
      </c>
      <c r="B1504" s="3">
        <f t="shared" si="40"/>
        <v>2013</v>
      </c>
      <c r="C1504" s="3">
        <f t="shared" si="41"/>
        <v>11</v>
      </c>
      <c r="D1504" s="20" t="str">
        <f t="shared" si="42"/>
        <v>DOV201311</v>
      </c>
      <c r="E1504" s="2">
        <v>41604</v>
      </c>
      <c r="F1504" s="3">
        <v>0.375</v>
      </c>
      <c r="G1504" s="2">
        <v>41624</v>
      </c>
      <c r="H1504" s="3">
        <v>1.5800000000000002E-2</v>
      </c>
      <c r="I1504" s="3">
        <v>0</v>
      </c>
      <c r="J1504" s="3">
        <v>0</v>
      </c>
      <c r="K1504" s="3">
        <f t="shared" si="43"/>
        <v>2013</v>
      </c>
      <c r="L1504" s="3">
        <f t="shared" si="44"/>
        <v>0</v>
      </c>
      <c r="M1504" s="20" t="str">
        <f>A1504&amp;L1504</f>
        <v>DOV0</v>
      </c>
      <c r="N1504" s="3">
        <f>F1504</f>
        <v>0.375</v>
      </c>
      <c r="O1504" s="9">
        <f>H1504</f>
        <v>1.5800000000000002E-2</v>
      </c>
      <c r="P1504" s="10">
        <f t="shared" si="45"/>
        <v>0</v>
      </c>
      <c r="Q1504" s="10">
        <f>IF(K1504=0,IF(A1501=A1504,AVERAGE(O1501:O1504),"x"),0)</f>
        <v>0</v>
      </c>
      <c r="R1504" s="9">
        <f>IF(L1504&gt;2005,AVERAGE(O1501:O1520),0)</f>
        <v>0</v>
      </c>
      <c r="S1504" s="10">
        <f>IF(A1504=A1505,(N1504-N1505)/N1505,0)</f>
        <v>0</v>
      </c>
      <c r="T1504" s="10">
        <f>IF(L1504&gt;2005,(((N1504-N1524)/N1524)+1)^(1/5)-1,0)</f>
        <v>0</v>
      </c>
      <c r="U1504" s="10">
        <f t="shared" si="46"/>
        <v>0</v>
      </c>
      <c r="V1504" s="26">
        <f t="shared" si="47"/>
        <v>0</v>
      </c>
      <c r="W1504" s="3">
        <f>IF(A1504=A1505,N1504-N1505,0)</f>
        <v>0</v>
      </c>
      <c r="X1504" s="10">
        <f>IF(A1504=A1505,(N1504-N1505)/N1505,0)</f>
        <v>0</v>
      </c>
    </row>
    <row r="1505" spans="1:24" ht="16.5" customHeight="1">
      <c r="A1505" s="3" t="s">
        <v>40</v>
      </c>
      <c r="B1505" s="3">
        <f t="shared" si="40"/>
        <v>2013</v>
      </c>
      <c r="C1505" s="3">
        <f t="shared" si="41"/>
        <v>8</v>
      </c>
      <c r="D1505" s="20" t="str">
        <f t="shared" si="42"/>
        <v>DOV20138</v>
      </c>
      <c r="E1505" s="2">
        <v>41514</v>
      </c>
      <c r="F1505" s="3">
        <v>0.375</v>
      </c>
      <c r="G1505" s="2">
        <v>41533</v>
      </c>
      <c r="H1505" s="3">
        <v>1.67E-2</v>
      </c>
      <c r="I1505" s="3">
        <v>7.1428570999999996E-2</v>
      </c>
      <c r="J1505" s="3">
        <v>2.5000000000000001E-2</v>
      </c>
      <c r="K1505" s="3">
        <f t="shared" si="43"/>
        <v>2013</v>
      </c>
      <c r="L1505" s="3">
        <f t="shared" si="44"/>
        <v>0</v>
      </c>
      <c r="M1505" s="20" t="str">
        <f>A1505&amp;L1505</f>
        <v>DOV0</v>
      </c>
      <c r="N1505" s="3">
        <f>F1505</f>
        <v>0.375</v>
      </c>
      <c r="O1505" s="9">
        <f>H1505</f>
        <v>1.67E-2</v>
      </c>
      <c r="P1505" s="10">
        <f t="shared" si="45"/>
        <v>1.8675000000000001E-2</v>
      </c>
      <c r="Q1505" s="10">
        <f>IF(K1505=0,IF(A1502=A1505,AVERAGE(O1502:O1505),"x"),0)</f>
        <v>0</v>
      </c>
      <c r="R1505" s="9">
        <f>IF(L1505&gt;2005,AVERAGE(O1502:O1521),0)</f>
        <v>0</v>
      </c>
      <c r="S1505" s="10">
        <f>IF(A1505=A1506,(N1505-N1506)/N1506,0)</f>
        <v>7.1428571428571494E-2</v>
      </c>
      <c r="T1505" s="10">
        <f>IF(L1505&gt;2005,(((N1505-N1525)/N1525)+1)^(1/5)-1,0)</f>
        <v>0</v>
      </c>
      <c r="U1505" s="10">
        <f t="shared" si="46"/>
        <v>0</v>
      </c>
      <c r="V1505" s="26">
        <f t="shared" si="47"/>
        <v>0</v>
      </c>
      <c r="W1505" s="3">
        <f>IF(A1505=A1506,N1505-N1506,0)</f>
        <v>2.5000000000000022E-2</v>
      </c>
      <c r="X1505" s="10">
        <f>IF(A1505=A1506,(N1505-N1506)/N1506,0)</f>
        <v>7.1428571428571494E-2</v>
      </c>
    </row>
    <row r="1506" spans="1:24" ht="16.5" customHeight="1">
      <c r="A1506" s="3" t="s">
        <v>40</v>
      </c>
      <c r="B1506" s="3">
        <f t="shared" si="40"/>
        <v>2013</v>
      </c>
      <c r="C1506" s="3">
        <f t="shared" si="41"/>
        <v>5</v>
      </c>
      <c r="D1506" s="20" t="str">
        <f t="shared" si="42"/>
        <v>DOV20135</v>
      </c>
      <c r="E1506" s="2">
        <v>41423</v>
      </c>
      <c r="F1506" s="3">
        <v>0.35</v>
      </c>
      <c r="G1506" s="2">
        <v>41440</v>
      </c>
      <c r="H1506" s="3">
        <v>1.77E-2</v>
      </c>
      <c r="I1506" s="3">
        <v>0</v>
      </c>
      <c r="J1506" s="3">
        <v>0</v>
      </c>
      <c r="K1506" s="3">
        <f t="shared" si="43"/>
        <v>2013</v>
      </c>
      <c r="L1506" s="3">
        <f t="shared" si="44"/>
        <v>0</v>
      </c>
      <c r="M1506" s="20" t="str">
        <f>A1506&amp;L1506</f>
        <v>DOV0</v>
      </c>
      <c r="N1506" s="3">
        <f>F1506</f>
        <v>0.35</v>
      </c>
      <c r="O1506" s="9">
        <f>H1506</f>
        <v>1.77E-2</v>
      </c>
      <c r="P1506" s="10">
        <f t="shared" si="45"/>
        <v>0</v>
      </c>
      <c r="Q1506" s="10">
        <f>IF(K1506=0,IF(A1503=A1506,AVERAGE(O1503:O1506),"x"),0)</f>
        <v>0</v>
      </c>
      <c r="R1506" s="9">
        <f>IF(L1506&gt;2005,AVERAGE(O1503:O1522),0)</f>
        <v>0</v>
      </c>
      <c r="S1506" s="10">
        <f>IF(A1506=A1507,(N1506-N1507)/N1507,0)</f>
        <v>0</v>
      </c>
      <c r="T1506" s="10">
        <f>IF(L1506&gt;2005,(((N1506-N1526)/N1526)+1)^(1/5)-1,0)</f>
        <v>0</v>
      </c>
      <c r="U1506" s="10">
        <f t="shared" si="46"/>
        <v>0</v>
      </c>
      <c r="V1506" s="26">
        <f t="shared" si="47"/>
        <v>0</v>
      </c>
      <c r="W1506" s="3">
        <f>IF(A1506=A1507,N1506-N1507,0)</f>
        <v>0</v>
      </c>
      <c r="X1506" s="10">
        <f>IF(A1506=A1507,(N1506-N1507)/N1507,0)</f>
        <v>0</v>
      </c>
    </row>
    <row r="1507" spans="1:24" ht="16.5" customHeight="1">
      <c r="A1507" s="3" t="s">
        <v>40</v>
      </c>
      <c r="B1507" s="3">
        <f t="shared" si="40"/>
        <v>2013</v>
      </c>
      <c r="C1507" s="3">
        <f t="shared" si="41"/>
        <v>2</v>
      </c>
      <c r="D1507" s="20" t="str">
        <f t="shared" si="42"/>
        <v>DOV20132</v>
      </c>
      <c r="E1507" s="2">
        <v>41331</v>
      </c>
      <c r="F1507" s="3">
        <v>0.35</v>
      </c>
      <c r="G1507" s="2">
        <v>41348</v>
      </c>
      <c r="H1507" s="3">
        <v>1.9099999999999999E-2</v>
      </c>
      <c r="I1507" s="3">
        <v>0</v>
      </c>
      <c r="J1507" s="3">
        <v>0</v>
      </c>
      <c r="K1507" s="3">
        <f t="shared" si="43"/>
        <v>0</v>
      </c>
      <c r="L1507" s="3">
        <f t="shared" si="44"/>
        <v>2013</v>
      </c>
      <c r="M1507" s="20" t="str">
        <f>A1507&amp;L1507</f>
        <v>DOV2013</v>
      </c>
      <c r="N1507" s="3">
        <f>F1507</f>
        <v>0.35</v>
      </c>
      <c r="O1507" s="9">
        <f>H1507</f>
        <v>1.9099999999999999E-2</v>
      </c>
      <c r="P1507" s="10">
        <f t="shared" si="45"/>
        <v>0</v>
      </c>
      <c r="Q1507" s="10">
        <f>IF(K1507=0,IF(A1504=A1507,AVERAGE(O1504:O1507),"x"),0)</f>
        <v>1.7325E-2</v>
      </c>
      <c r="R1507" s="9">
        <f>IF(L1507&gt;2005,AVERAGE(O1504:O1523),0)</f>
        <v>2.2104999999999996E-2</v>
      </c>
      <c r="S1507" s="10">
        <f>IF(A1507=A1508,(N1507-N1508)/N1508,0)</f>
        <v>0</v>
      </c>
      <c r="T1507" s="10">
        <f>IF(L1507&gt;2005,(((N1507-N1527)/N1527)+1)^(1/5)-1,0)</f>
        <v>0.11842691472014466</v>
      </c>
      <c r="U1507" s="10">
        <f t="shared" si="46"/>
        <v>0.14053191472014465</v>
      </c>
      <c r="V1507" s="26">
        <f t="shared" si="47"/>
        <v>4.7166847254114614</v>
      </c>
      <c r="W1507" s="3">
        <f>IF(A1507=A1508,N1507-N1508,0)</f>
        <v>0</v>
      </c>
      <c r="X1507" s="10">
        <f>IF(A1507=A1508,(N1507-N1508)/N1508,0)</f>
        <v>0</v>
      </c>
    </row>
    <row r="1508" spans="1:24" ht="16.5" customHeight="1">
      <c r="A1508" s="3" t="s">
        <v>40</v>
      </c>
      <c r="B1508" s="3">
        <f t="shared" si="40"/>
        <v>2012</v>
      </c>
      <c r="C1508" s="3">
        <f t="shared" si="41"/>
        <v>11</v>
      </c>
      <c r="D1508" s="20" t="str">
        <f t="shared" si="42"/>
        <v>DOV201211</v>
      </c>
      <c r="E1508" s="2">
        <v>41241</v>
      </c>
      <c r="F1508" s="3">
        <v>0.35</v>
      </c>
      <c r="G1508" s="2">
        <v>41258</v>
      </c>
      <c r="H1508" s="3">
        <v>2.12E-2</v>
      </c>
      <c r="I1508" s="3">
        <v>0</v>
      </c>
      <c r="J1508" s="3">
        <v>0</v>
      </c>
      <c r="K1508" s="3">
        <f t="shared" si="43"/>
        <v>2012</v>
      </c>
      <c r="L1508" s="3">
        <f t="shared" si="44"/>
        <v>0</v>
      </c>
      <c r="M1508" s="20" t="str">
        <f>A1508&amp;L1508</f>
        <v>DOV0</v>
      </c>
      <c r="N1508" s="3">
        <f>F1508</f>
        <v>0.35</v>
      </c>
      <c r="O1508" s="9">
        <f>H1508</f>
        <v>2.12E-2</v>
      </c>
      <c r="P1508" s="10">
        <f t="shared" si="45"/>
        <v>0</v>
      </c>
      <c r="Q1508" s="10">
        <f>IF(K1508=0,IF(A1505=A1508,AVERAGE(O1505:O1508),"x"),0)</f>
        <v>0</v>
      </c>
      <c r="R1508" s="9">
        <f>IF(L1508&gt;2005,AVERAGE(O1505:O1524),0)</f>
        <v>0</v>
      </c>
      <c r="S1508" s="10">
        <f>IF(A1508=A1509,(N1508-N1509)/N1509,0)</f>
        <v>0</v>
      </c>
      <c r="T1508" s="10">
        <f>IF(L1508&gt;2005,(((N1508-N1528)/N1528)+1)^(1/5)-1,0)</f>
        <v>0</v>
      </c>
      <c r="U1508" s="10">
        <f t="shared" si="46"/>
        <v>0</v>
      </c>
      <c r="V1508" s="26">
        <f t="shared" si="47"/>
        <v>0</v>
      </c>
      <c r="W1508" s="3">
        <f>IF(A1508=A1509,N1508-N1509,0)</f>
        <v>0</v>
      </c>
      <c r="X1508" s="10">
        <f>IF(A1508=A1509,(N1508-N1509)/N1509,0)</f>
        <v>0</v>
      </c>
    </row>
    <row r="1509" spans="1:24" ht="16.5" customHeight="1">
      <c r="A1509" s="3" t="s">
        <v>40</v>
      </c>
      <c r="B1509" s="3">
        <f t="shared" si="40"/>
        <v>2012</v>
      </c>
      <c r="C1509" s="3">
        <f t="shared" si="41"/>
        <v>8</v>
      </c>
      <c r="D1509" s="20" t="str">
        <f t="shared" si="42"/>
        <v>DOV20128</v>
      </c>
      <c r="E1509" s="2">
        <v>41150</v>
      </c>
      <c r="F1509" s="3">
        <v>0.35</v>
      </c>
      <c r="G1509" s="2">
        <v>41167</v>
      </c>
      <c r="H1509" s="3">
        <v>2.24E-2</v>
      </c>
      <c r="I1509" s="3">
        <v>0.111111111</v>
      </c>
      <c r="J1509" s="3">
        <v>3.5000000000000003E-2</v>
      </c>
      <c r="K1509" s="3">
        <f t="shared" si="43"/>
        <v>2012</v>
      </c>
      <c r="L1509" s="3">
        <f t="shared" si="44"/>
        <v>0</v>
      </c>
      <c r="M1509" s="20" t="str">
        <f>A1509&amp;L1509</f>
        <v>DOV0</v>
      </c>
      <c r="N1509" s="3">
        <f>F1509</f>
        <v>0.35</v>
      </c>
      <c r="O1509" s="9">
        <f>H1509</f>
        <v>2.24E-2</v>
      </c>
      <c r="P1509" s="10">
        <f t="shared" si="45"/>
        <v>2.1574999999999997E-2</v>
      </c>
      <c r="Q1509" s="10">
        <f>IF(K1509=0,IF(A1506=A1509,AVERAGE(O1506:O1509),"x"),0)</f>
        <v>0</v>
      </c>
      <c r="R1509" s="9">
        <f>IF(L1509&gt;2005,AVERAGE(O1506:O1525),0)</f>
        <v>0</v>
      </c>
      <c r="S1509" s="10">
        <f>IF(A1509=A1510,(N1509-N1510)/N1510,0)</f>
        <v>0.11111111111111104</v>
      </c>
      <c r="T1509" s="10">
        <f>IF(L1509&gt;2005,(((N1509-N1529)/N1529)+1)^(1/5)-1,0)</f>
        <v>0</v>
      </c>
      <c r="U1509" s="10">
        <f t="shared" si="46"/>
        <v>0</v>
      </c>
      <c r="V1509" s="26">
        <f t="shared" si="47"/>
        <v>0</v>
      </c>
      <c r="W1509" s="3">
        <f>IF(A1509=A1510,N1509-N1510,0)</f>
        <v>3.4999999999999976E-2</v>
      </c>
      <c r="X1509" s="10">
        <f>IF(A1509=A1510,(N1509-N1510)/N1510,0)</f>
        <v>0.11111111111111104</v>
      </c>
    </row>
    <row r="1510" spans="1:24" ht="16.5" customHeight="1">
      <c r="A1510" s="3" t="s">
        <v>40</v>
      </c>
      <c r="B1510" s="3">
        <f t="shared" si="40"/>
        <v>2012</v>
      </c>
      <c r="C1510" s="3">
        <f t="shared" si="41"/>
        <v>5</v>
      </c>
      <c r="D1510" s="20" t="str">
        <f t="shared" si="42"/>
        <v>DOV20125</v>
      </c>
      <c r="E1510" s="2">
        <v>41058</v>
      </c>
      <c r="F1510" s="3">
        <v>0.315</v>
      </c>
      <c r="G1510" s="2">
        <v>41075</v>
      </c>
      <c r="H1510" s="3">
        <v>2.18E-2</v>
      </c>
      <c r="I1510" s="3">
        <v>0</v>
      </c>
      <c r="J1510" s="3">
        <v>0</v>
      </c>
      <c r="K1510" s="3">
        <f t="shared" si="43"/>
        <v>2012</v>
      </c>
      <c r="L1510" s="3">
        <f t="shared" si="44"/>
        <v>0</v>
      </c>
      <c r="M1510" s="20" t="str">
        <f>A1510&amp;L1510</f>
        <v>DOV0</v>
      </c>
      <c r="N1510" s="3">
        <f>F1510</f>
        <v>0.315</v>
      </c>
      <c r="O1510" s="9">
        <f>H1510</f>
        <v>2.18E-2</v>
      </c>
      <c r="P1510" s="10">
        <f t="shared" si="45"/>
        <v>0</v>
      </c>
      <c r="Q1510" s="10">
        <f>IF(K1510=0,IF(A1507=A1510,AVERAGE(O1507:O1510),"x"),0)</f>
        <v>0</v>
      </c>
      <c r="R1510" s="9">
        <f>IF(L1510&gt;2005,AVERAGE(O1507:O1526),0)</f>
        <v>0</v>
      </c>
      <c r="S1510" s="10">
        <f>IF(A1510=A1511,(N1510-N1511)/N1511,0)</f>
        <v>0</v>
      </c>
      <c r="T1510" s="10">
        <f>IF(L1510&gt;2005,(((N1510-N1530)/N1530)+1)^(1/5)-1,0)</f>
        <v>0</v>
      </c>
      <c r="U1510" s="10">
        <f t="shared" si="46"/>
        <v>0</v>
      </c>
      <c r="V1510" s="26">
        <f t="shared" si="47"/>
        <v>0</v>
      </c>
      <c r="W1510" s="3">
        <f>IF(A1510=A1511,N1510-N1511,0)</f>
        <v>0</v>
      </c>
      <c r="X1510" s="10">
        <f>IF(A1510=A1511,(N1510-N1511)/N1511,0)</f>
        <v>0</v>
      </c>
    </row>
    <row r="1511" spans="1:24" ht="16.5" customHeight="1">
      <c r="A1511" s="3" t="s">
        <v>40</v>
      </c>
      <c r="B1511" s="3">
        <f t="shared" si="40"/>
        <v>2012</v>
      </c>
      <c r="C1511" s="3">
        <f t="shared" si="41"/>
        <v>2</v>
      </c>
      <c r="D1511" s="20" t="str">
        <f t="shared" si="42"/>
        <v>DOV20122</v>
      </c>
      <c r="E1511" s="2">
        <v>40966</v>
      </c>
      <c r="F1511" s="3">
        <v>0.315</v>
      </c>
      <c r="G1511" s="2">
        <v>40983</v>
      </c>
      <c r="H1511" s="3">
        <v>1.8599999999999998E-2</v>
      </c>
      <c r="I1511" s="3">
        <v>0</v>
      </c>
      <c r="J1511" s="3">
        <v>0</v>
      </c>
      <c r="K1511" s="3">
        <f t="shared" si="43"/>
        <v>0</v>
      </c>
      <c r="L1511" s="3">
        <f t="shared" si="44"/>
        <v>2012</v>
      </c>
      <c r="M1511" s="20" t="str">
        <f>A1511&amp;L1511</f>
        <v>DOV2012</v>
      </c>
      <c r="N1511" s="3">
        <f>F1511</f>
        <v>0.315</v>
      </c>
      <c r="O1511" s="9">
        <f>H1511</f>
        <v>1.8599999999999998E-2</v>
      </c>
      <c r="P1511" s="10">
        <f t="shared" si="45"/>
        <v>0</v>
      </c>
      <c r="Q1511" s="10">
        <f>IF(K1511=0,IF(A1508=A1511,AVERAGE(O1508:O1511),"x"),0)</f>
        <v>2.0999999999999998E-2</v>
      </c>
      <c r="R1511" s="9">
        <f>IF(L1511&gt;2005,AVERAGE(O1508:O1527),0)</f>
        <v>2.2824999999999995E-2</v>
      </c>
      <c r="S1511" s="10">
        <f>IF(A1511=A1512,(N1511-N1512)/N1512,0)</f>
        <v>0</v>
      </c>
      <c r="T1511" s="10">
        <f>IF(L1511&gt;2005,(((N1511-N1531)/N1531)+1)^(1/5)-1,0)</f>
        <v>0.1123149262024683</v>
      </c>
      <c r="U1511" s="10">
        <f t="shared" si="46"/>
        <v>0.13513992620246829</v>
      </c>
      <c r="V1511" s="26">
        <f t="shared" si="47"/>
        <v>4.7063505853062084</v>
      </c>
      <c r="W1511" s="3">
        <f>IF(A1511=A1512,N1511-N1512,0)</f>
        <v>0</v>
      </c>
      <c r="X1511" s="10">
        <f>IF(A1511=A1512,(N1511-N1512)/N1512,0)</f>
        <v>0</v>
      </c>
    </row>
    <row r="1512" spans="1:24" ht="16.5" customHeight="1">
      <c r="A1512" s="3" t="s">
        <v>40</v>
      </c>
      <c r="B1512" s="3">
        <f t="shared" si="40"/>
        <v>2011</v>
      </c>
      <c r="C1512" s="3">
        <f t="shared" si="41"/>
        <v>11</v>
      </c>
      <c r="D1512" s="20" t="str">
        <f t="shared" si="42"/>
        <v>DOV201111</v>
      </c>
      <c r="E1512" s="2">
        <v>40875</v>
      </c>
      <c r="F1512" s="3">
        <v>0.315</v>
      </c>
      <c r="G1512" s="2">
        <v>40892</v>
      </c>
      <c r="H1512" s="3">
        <v>2.35E-2</v>
      </c>
      <c r="I1512" s="3">
        <v>0</v>
      </c>
      <c r="J1512" s="3">
        <v>0</v>
      </c>
      <c r="K1512" s="3">
        <f t="shared" si="43"/>
        <v>2011</v>
      </c>
      <c r="L1512" s="3">
        <f t="shared" si="44"/>
        <v>0</v>
      </c>
      <c r="M1512" s="20" t="str">
        <f>A1512&amp;L1512</f>
        <v>DOV0</v>
      </c>
      <c r="N1512" s="3">
        <f>F1512</f>
        <v>0.315</v>
      </c>
      <c r="O1512" s="9">
        <f>H1512</f>
        <v>2.35E-2</v>
      </c>
      <c r="P1512" s="10">
        <f t="shared" si="45"/>
        <v>0</v>
      </c>
      <c r="Q1512" s="10">
        <f>IF(K1512=0,IF(A1509=A1512,AVERAGE(O1509:O1512),"x"),0)</f>
        <v>0</v>
      </c>
      <c r="R1512" s="9">
        <f>IF(L1512&gt;2005,AVERAGE(O1509:O1528),0)</f>
        <v>0</v>
      </c>
      <c r="S1512" s="10">
        <f>IF(A1512=A1513,(N1512-N1513)/N1513,0)</f>
        <v>0</v>
      </c>
      <c r="T1512" s="10">
        <f>IF(L1512&gt;2005,(((N1512-N1532)/N1532)+1)^(1/5)-1,0)</f>
        <v>0</v>
      </c>
      <c r="U1512" s="10">
        <f t="shared" si="46"/>
        <v>0</v>
      </c>
      <c r="V1512" s="26">
        <f t="shared" si="47"/>
        <v>0</v>
      </c>
      <c r="W1512" s="3">
        <f>IF(A1512=A1513,N1512-N1513,0)</f>
        <v>0</v>
      </c>
      <c r="X1512" s="10">
        <f>IF(A1512=A1513,(N1512-N1513)/N1513,0)</f>
        <v>0</v>
      </c>
    </row>
    <row r="1513" spans="1:24" ht="16.5" customHeight="1">
      <c r="A1513" s="3" t="s">
        <v>40</v>
      </c>
      <c r="B1513" s="3">
        <f t="shared" si="40"/>
        <v>2011</v>
      </c>
      <c r="C1513" s="3">
        <f t="shared" si="41"/>
        <v>8</v>
      </c>
      <c r="D1513" s="20" t="str">
        <f t="shared" si="42"/>
        <v>DOV20118</v>
      </c>
      <c r="E1513" s="2">
        <v>40784</v>
      </c>
      <c r="F1513" s="3">
        <v>0.315</v>
      </c>
      <c r="G1513" s="2">
        <v>40801</v>
      </c>
      <c r="H1513" s="3">
        <v>2.1000000000000001E-2</v>
      </c>
      <c r="I1513" s="3">
        <v>0.14545454499999999</v>
      </c>
      <c r="J1513" s="3">
        <v>0.04</v>
      </c>
      <c r="K1513" s="3">
        <f t="shared" si="43"/>
        <v>2011</v>
      </c>
      <c r="L1513" s="3">
        <f t="shared" si="44"/>
        <v>0</v>
      </c>
      <c r="M1513" s="20" t="str">
        <f>A1513&amp;L1513</f>
        <v>DOV0</v>
      </c>
      <c r="N1513" s="3">
        <f>F1513</f>
        <v>0.315</v>
      </c>
      <c r="O1513" s="9">
        <f>H1513</f>
        <v>2.1000000000000001E-2</v>
      </c>
      <c r="P1513" s="10">
        <f t="shared" si="45"/>
        <v>1.8575000000000001E-2</v>
      </c>
      <c r="Q1513" s="10">
        <f>IF(K1513=0,IF(A1510=A1513,AVERAGE(O1510:O1513),"x"),0)</f>
        <v>0</v>
      </c>
      <c r="R1513" s="9">
        <f>IF(L1513&gt;2005,AVERAGE(O1510:O1529),0)</f>
        <v>0</v>
      </c>
      <c r="S1513" s="10">
        <f>IF(A1513=A1514,(N1513-N1514)/N1514,0)</f>
        <v>0.14545454545454536</v>
      </c>
      <c r="T1513" s="10">
        <f>IF(L1513&gt;2005,(((N1513-N1533)/N1533)+1)^(1/5)-1,0)</f>
        <v>0</v>
      </c>
      <c r="U1513" s="10">
        <f t="shared" si="46"/>
        <v>0</v>
      </c>
      <c r="V1513" s="26">
        <f t="shared" si="47"/>
        <v>0</v>
      </c>
      <c r="W1513" s="3">
        <f>IF(A1513=A1514,N1513-N1514,0)</f>
        <v>3.999999999999998E-2</v>
      </c>
      <c r="X1513" s="10">
        <f>IF(A1513=A1514,(N1513-N1514)/N1514,0)</f>
        <v>0.14545454545454536</v>
      </c>
    </row>
    <row r="1514" spans="1:24" ht="16.5" customHeight="1">
      <c r="A1514" s="3" t="s">
        <v>40</v>
      </c>
      <c r="B1514" s="3">
        <f t="shared" si="40"/>
        <v>2011</v>
      </c>
      <c r="C1514" s="3">
        <f t="shared" si="41"/>
        <v>5</v>
      </c>
      <c r="D1514" s="20" t="str">
        <f t="shared" si="42"/>
        <v>DOV20115</v>
      </c>
      <c r="E1514" s="2">
        <v>40689</v>
      </c>
      <c r="F1514" s="3">
        <v>0.27500000000000002</v>
      </c>
      <c r="G1514" s="2">
        <v>40709</v>
      </c>
      <c r="H1514" s="3">
        <v>1.7299999999999999E-2</v>
      </c>
      <c r="I1514" s="3">
        <v>0</v>
      </c>
      <c r="J1514" s="3">
        <v>0</v>
      </c>
      <c r="K1514" s="3">
        <f t="shared" si="43"/>
        <v>2011</v>
      </c>
      <c r="L1514" s="3">
        <f t="shared" si="44"/>
        <v>0</v>
      </c>
      <c r="M1514" s="20" t="str">
        <f>A1514&amp;L1514</f>
        <v>DOV0</v>
      </c>
      <c r="N1514" s="3">
        <f>F1514</f>
        <v>0.27500000000000002</v>
      </c>
      <c r="O1514" s="9">
        <f>H1514</f>
        <v>1.7299999999999999E-2</v>
      </c>
      <c r="P1514" s="10">
        <f t="shared" si="45"/>
        <v>0</v>
      </c>
      <c r="Q1514" s="10">
        <f>IF(K1514=0,IF(A1511=A1514,AVERAGE(O1511:O1514),"x"),0)</f>
        <v>0</v>
      </c>
      <c r="R1514" s="9">
        <f>IF(L1514&gt;2005,AVERAGE(O1511:O1530),0)</f>
        <v>0</v>
      </c>
      <c r="S1514" s="10">
        <f>IF(A1514=A1515,(N1514-N1515)/N1515,0)</f>
        <v>0</v>
      </c>
      <c r="T1514" s="10">
        <f>IF(L1514&gt;2005,(((N1514-N1534)/N1534)+1)^(1/5)-1,0)</f>
        <v>0</v>
      </c>
      <c r="U1514" s="10">
        <f t="shared" si="46"/>
        <v>0</v>
      </c>
      <c r="V1514" s="26">
        <f t="shared" si="47"/>
        <v>0</v>
      </c>
      <c r="W1514" s="3">
        <f>IF(A1514=A1515,N1514-N1515,0)</f>
        <v>0</v>
      </c>
      <c r="X1514" s="10">
        <f>IF(A1514=A1515,(N1514-N1515)/N1515,0)</f>
        <v>0</v>
      </c>
    </row>
    <row r="1515" spans="1:24" ht="16.5" customHeight="1">
      <c r="A1515" s="3" t="s">
        <v>40</v>
      </c>
      <c r="B1515" s="3">
        <f t="shared" si="40"/>
        <v>2011</v>
      </c>
      <c r="C1515" s="3">
        <f t="shared" si="41"/>
        <v>2</v>
      </c>
      <c r="D1515" s="20" t="str">
        <f t="shared" si="42"/>
        <v>DOV20112</v>
      </c>
      <c r="E1515" s="2">
        <v>40598</v>
      </c>
      <c r="F1515" s="3">
        <v>0.27500000000000002</v>
      </c>
      <c r="G1515" s="2">
        <v>40617</v>
      </c>
      <c r="H1515" s="3">
        <v>1.7100000000000001E-2</v>
      </c>
      <c r="I1515" s="3">
        <v>0</v>
      </c>
      <c r="J1515" s="3">
        <v>0</v>
      </c>
      <c r="K1515" s="3">
        <f t="shared" si="43"/>
        <v>0</v>
      </c>
      <c r="L1515" s="3">
        <f t="shared" si="44"/>
        <v>2011</v>
      </c>
      <c r="M1515" s="20" t="str">
        <f>A1515&amp;L1515</f>
        <v>DOV2011</v>
      </c>
      <c r="N1515" s="3">
        <f>F1515</f>
        <v>0.27500000000000002</v>
      </c>
      <c r="O1515" s="9">
        <f>H1515</f>
        <v>1.7100000000000001E-2</v>
      </c>
      <c r="P1515" s="10">
        <f t="shared" si="45"/>
        <v>0</v>
      </c>
      <c r="Q1515" s="10">
        <f>IF(K1515=0,IF(A1512=A1515,AVERAGE(O1512:O1515),"x"),0)</f>
        <v>1.9724999999999999E-2</v>
      </c>
      <c r="R1515" s="9">
        <f>IF(L1515&gt;2005,AVERAGE(O1512:O1531),0)</f>
        <v>2.1750000000000005E-2</v>
      </c>
      <c r="S1515" s="10">
        <f>IF(A1515=A1516,(N1515-N1516)/N1516,0)</f>
        <v>0</v>
      </c>
      <c r="T1515" s="10">
        <f>IF(L1515&gt;2005,(((N1515-N1535)/N1535)+1)^(1/5)-1,0)</f>
        <v>0.10097321782112156</v>
      </c>
      <c r="U1515" s="10">
        <f t="shared" si="46"/>
        <v>0.12272321782112157</v>
      </c>
      <c r="V1515" s="26">
        <f t="shared" si="47"/>
        <v>4.7168095977816042</v>
      </c>
      <c r="W1515" s="3">
        <f>IF(A1515=A1516,N1515-N1516,0)</f>
        <v>0</v>
      </c>
      <c r="X1515" s="10">
        <f>IF(A1515=A1516,(N1515-N1516)/N1516,0)</f>
        <v>0</v>
      </c>
    </row>
    <row r="1516" spans="1:24" ht="16.5" customHeight="1">
      <c r="A1516" s="3" t="s">
        <v>40</v>
      </c>
      <c r="B1516" s="3">
        <f t="shared" si="40"/>
        <v>2010</v>
      </c>
      <c r="C1516" s="3">
        <f t="shared" si="41"/>
        <v>11</v>
      </c>
      <c r="D1516" s="20" t="str">
        <f t="shared" si="42"/>
        <v>DOV201011</v>
      </c>
      <c r="E1516" s="2">
        <v>40508</v>
      </c>
      <c r="F1516" s="3">
        <v>0.27500000000000002</v>
      </c>
      <c r="G1516" s="2">
        <v>40527</v>
      </c>
      <c r="H1516" s="3">
        <v>1.89E-2</v>
      </c>
      <c r="I1516" s="3">
        <v>0</v>
      </c>
      <c r="J1516" s="3">
        <v>0</v>
      </c>
      <c r="K1516" s="3">
        <f t="shared" si="43"/>
        <v>2010</v>
      </c>
      <c r="L1516" s="3">
        <f t="shared" si="44"/>
        <v>0</v>
      </c>
      <c r="M1516" s="20" t="str">
        <f>A1516&amp;L1516</f>
        <v>DOV0</v>
      </c>
      <c r="N1516" s="3">
        <f>F1516</f>
        <v>0.27500000000000002</v>
      </c>
      <c r="O1516" s="9">
        <f>H1516</f>
        <v>1.89E-2</v>
      </c>
      <c r="P1516" s="10">
        <f t="shared" si="45"/>
        <v>0</v>
      </c>
      <c r="Q1516" s="10">
        <f>IF(K1516=0,IF(A1513=A1516,AVERAGE(O1513:O1516),"x"),0)</f>
        <v>0</v>
      </c>
      <c r="R1516" s="9">
        <f>IF(L1516&gt;2005,AVERAGE(O1513:O1532),0)</f>
        <v>0</v>
      </c>
      <c r="S1516" s="10">
        <f>IF(A1516=A1517,(N1516-N1517)/N1517,0)</f>
        <v>0</v>
      </c>
      <c r="T1516" s="10">
        <f>IF(L1516&gt;2005,(((N1516-N1536)/N1536)+1)^(1/5)-1,0)</f>
        <v>0</v>
      </c>
      <c r="U1516" s="10">
        <f t="shared" si="46"/>
        <v>0</v>
      </c>
      <c r="V1516" s="26">
        <f t="shared" si="47"/>
        <v>0</v>
      </c>
      <c r="W1516" s="3">
        <f>IF(A1516=A1517,N1516-N1517,0)</f>
        <v>0</v>
      </c>
      <c r="X1516" s="10">
        <f>IF(A1516=A1517,(N1516-N1517)/N1517,0)</f>
        <v>0</v>
      </c>
    </row>
    <row r="1517" spans="1:24" ht="16.5" customHeight="1">
      <c r="A1517" s="3" t="s">
        <v>40</v>
      </c>
      <c r="B1517" s="3">
        <f t="shared" si="40"/>
        <v>2010</v>
      </c>
      <c r="C1517" s="3">
        <f t="shared" si="41"/>
        <v>8</v>
      </c>
      <c r="D1517" s="20" t="str">
        <f t="shared" si="42"/>
        <v>DOV20108</v>
      </c>
      <c r="E1517" s="2">
        <v>40417</v>
      </c>
      <c r="F1517" s="3">
        <v>0.27500000000000002</v>
      </c>
      <c r="G1517" s="2">
        <v>40436</v>
      </c>
      <c r="H1517" s="3">
        <v>2.3800000000000002E-2</v>
      </c>
      <c r="I1517" s="3">
        <v>5.7692307999999998E-2</v>
      </c>
      <c r="J1517" s="3">
        <v>1.4999999999999999E-2</v>
      </c>
      <c r="K1517" s="3">
        <f t="shared" si="43"/>
        <v>2010</v>
      </c>
      <c r="L1517" s="3">
        <f t="shared" si="44"/>
        <v>0</v>
      </c>
      <c r="M1517" s="20" t="str">
        <f>A1517&amp;L1517</f>
        <v>DOV0</v>
      </c>
      <c r="N1517" s="3">
        <f>F1517</f>
        <v>0.27500000000000002</v>
      </c>
      <c r="O1517" s="9">
        <f>H1517</f>
        <v>2.3800000000000002E-2</v>
      </c>
      <c r="P1517" s="10">
        <f t="shared" si="45"/>
        <v>2.3725000000000003E-2</v>
      </c>
      <c r="Q1517" s="10">
        <f>IF(K1517=0,IF(A1514=A1517,AVERAGE(O1514:O1517),"x"),0)</f>
        <v>0</v>
      </c>
      <c r="R1517" s="9">
        <f>IF(L1517&gt;2005,AVERAGE(O1514:O1533),0)</f>
        <v>0</v>
      </c>
      <c r="S1517" s="10">
        <f>IF(A1517=A1518,(N1517-N1518)/N1518,0)</f>
        <v>5.7692307692307744E-2</v>
      </c>
      <c r="T1517" s="10">
        <f>IF(L1517&gt;2005,(((N1517-N1537)/N1537)+1)^(1/5)-1,0)</f>
        <v>0</v>
      </c>
      <c r="U1517" s="10">
        <f t="shared" si="46"/>
        <v>0</v>
      </c>
      <c r="V1517" s="26">
        <f t="shared" si="47"/>
        <v>0</v>
      </c>
      <c r="W1517" s="3">
        <f>IF(A1517=A1518,N1517-N1518,0)</f>
        <v>1.5000000000000013E-2</v>
      </c>
      <c r="X1517" s="10">
        <f>IF(A1517=A1518,(N1517-N1518)/N1518,0)</f>
        <v>5.7692307692307744E-2</v>
      </c>
    </row>
    <row r="1518" spans="1:24" ht="16.5" customHeight="1">
      <c r="A1518" s="3" t="s">
        <v>40</v>
      </c>
      <c r="B1518" s="3">
        <f t="shared" si="40"/>
        <v>2010</v>
      </c>
      <c r="C1518" s="3">
        <f t="shared" si="41"/>
        <v>5</v>
      </c>
      <c r="D1518" s="20" t="str">
        <f t="shared" si="42"/>
        <v>DOV20105</v>
      </c>
      <c r="E1518" s="2">
        <v>40324</v>
      </c>
      <c r="F1518" s="3">
        <v>0.26</v>
      </c>
      <c r="G1518" s="2">
        <v>40344</v>
      </c>
      <c r="H1518" s="3">
        <v>2.3800000000000002E-2</v>
      </c>
      <c r="I1518" s="3">
        <v>0</v>
      </c>
      <c r="J1518" s="3">
        <v>0</v>
      </c>
      <c r="K1518" s="3">
        <f t="shared" si="43"/>
        <v>2010</v>
      </c>
      <c r="L1518" s="3">
        <f t="shared" si="44"/>
        <v>0</v>
      </c>
      <c r="M1518" s="20" t="str">
        <f>A1518&amp;L1518</f>
        <v>DOV0</v>
      </c>
      <c r="N1518" s="3">
        <f>F1518</f>
        <v>0.26</v>
      </c>
      <c r="O1518" s="9">
        <f>H1518</f>
        <v>2.3800000000000002E-2</v>
      </c>
      <c r="P1518" s="10">
        <f t="shared" si="45"/>
        <v>0</v>
      </c>
      <c r="Q1518" s="10">
        <f>IF(K1518=0,IF(A1515=A1518,AVERAGE(O1515:O1518),"x"),0)</f>
        <v>0</v>
      </c>
      <c r="R1518" s="9">
        <f>IF(L1518&gt;2005,AVERAGE(O1515:O1534),0)</f>
        <v>0</v>
      </c>
      <c r="S1518" s="10">
        <f>IF(A1518=A1519,(N1518-N1519)/N1519,0)</f>
        <v>0</v>
      </c>
      <c r="T1518" s="10">
        <f>IF(L1518&gt;2005,(((N1518-N1538)/N1538)+1)^(1/5)-1,0)</f>
        <v>0</v>
      </c>
      <c r="U1518" s="10">
        <f t="shared" si="46"/>
        <v>0</v>
      </c>
      <c r="V1518" s="26">
        <f t="shared" si="47"/>
        <v>0</v>
      </c>
      <c r="W1518" s="3">
        <f>IF(A1518=A1519,N1518-N1519,0)</f>
        <v>0</v>
      </c>
      <c r="X1518" s="10">
        <f>IF(A1518=A1519,(N1518-N1519)/N1519,0)</f>
        <v>0</v>
      </c>
    </row>
    <row r="1519" spans="1:24" ht="16.5" customHeight="1">
      <c r="A1519" s="3" t="s">
        <v>40</v>
      </c>
      <c r="B1519" s="3">
        <f t="shared" si="40"/>
        <v>2010</v>
      </c>
      <c r="C1519" s="3">
        <f t="shared" si="41"/>
        <v>2</v>
      </c>
      <c r="D1519" s="20" t="str">
        <f t="shared" si="42"/>
        <v>DOV20102</v>
      </c>
      <c r="E1519" s="2">
        <v>40233</v>
      </c>
      <c r="F1519" s="3">
        <v>0.26</v>
      </c>
      <c r="G1519" s="2">
        <v>40252</v>
      </c>
      <c r="H1519" s="3">
        <v>2.29E-2</v>
      </c>
      <c r="I1519" s="3">
        <v>0</v>
      </c>
      <c r="J1519" s="3">
        <v>0</v>
      </c>
      <c r="K1519" s="3">
        <f t="shared" si="43"/>
        <v>0</v>
      </c>
      <c r="L1519" s="3">
        <f t="shared" si="44"/>
        <v>2010</v>
      </c>
      <c r="M1519" s="20" t="str">
        <f>A1519&amp;L1519</f>
        <v>DOV2010</v>
      </c>
      <c r="N1519" s="3">
        <f>F1519</f>
        <v>0.26</v>
      </c>
      <c r="O1519" s="9">
        <f>H1519</f>
        <v>2.29E-2</v>
      </c>
      <c r="P1519" s="10">
        <f t="shared" si="45"/>
        <v>0</v>
      </c>
      <c r="Q1519" s="10">
        <f>IF(K1519=0,IF(A1516=A1519,AVERAGE(O1516:O1519),"x"),0)</f>
        <v>2.2350000000000002E-2</v>
      </c>
      <c r="R1519" s="9">
        <f>IF(L1519&gt;2005,AVERAGE(O1516:O1535),0)</f>
        <v>2.0645000000000004E-2</v>
      </c>
      <c r="S1519" s="10">
        <f>IF(A1519=A1520,(N1519-N1520)/N1520,0)</f>
        <v>0</v>
      </c>
      <c r="T1519" s="10">
        <f>IF(L1519&gt;2005,(((N1519-N1539)/N1539)+1)^(1/5)-1,0)</f>
        <v>0.10197228772148015</v>
      </c>
      <c r="U1519" s="10">
        <f t="shared" si="46"/>
        <v>0.12261728772148014</v>
      </c>
      <c r="V1519" s="26">
        <f t="shared" si="47"/>
        <v>4.7308203699004325</v>
      </c>
      <c r="W1519" s="3">
        <f>IF(A1519=A1520,N1519-N1520,0)</f>
        <v>0</v>
      </c>
      <c r="X1519" s="10">
        <f>IF(A1519=A1520,(N1519-N1520)/N1520,0)</f>
        <v>0</v>
      </c>
    </row>
    <row r="1520" spans="1:24" ht="16.5" customHeight="1">
      <c r="A1520" s="3" t="s">
        <v>40</v>
      </c>
      <c r="B1520" s="3">
        <f t="shared" si="40"/>
        <v>2009</v>
      </c>
      <c r="C1520" s="3">
        <f t="shared" si="41"/>
        <v>11</v>
      </c>
      <c r="D1520" s="20" t="str">
        <f t="shared" si="42"/>
        <v>DOV200911</v>
      </c>
      <c r="E1520" s="2">
        <v>40142</v>
      </c>
      <c r="F1520" s="3">
        <v>0.26</v>
      </c>
      <c r="G1520" s="2">
        <v>40162</v>
      </c>
      <c r="H1520" s="3">
        <v>2.4400000000000002E-2</v>
      </c>
      <c r="I1520" s="3">
        <v>0</v>
      </c>
      <c r="J1520" s="3">
        <v>0</v>
      </c>
      <c r="K1520" s="3">
        <f t="shared" si="43"/>
        <v>2009</v>
      </c>
      <c r="L1520" s="3">
        <f t="shared" si="44"/>
        <v>0</v>
      </c>
      <c r="M1520" s="20" t="str">
        <f>A1520&amp;L1520</f>
        <v>DOV0</v>
      </c>
      <c r="N1520" s="3">
        <f>F1520</f>
        <v>0.26</v>
      </c>
      <c r="O1520" s="9">
        <f>H1520</f>
        <v>2.4400000000000002E-2</v>
      </c>
      <c r="P1520" s="10">
        <f t="shared" si="45"/>
        <v>0</v>
      </c>
      <c r="Q1520" s="10">
        <f>IF(K1520=0,IF(A1517=A1520,AVERAGE(O1517:O1520),"x"),0)</f>
        <v>0</v>
      </c>
      <c r="R1520" s="9">
        <f>IF(L1520&gt;2005,AVERAGE(O1517:O1536),0)</f>
        <v>0</v>
      </c>
      <c r="S1520" s="10">
        <f>IF(A1520=A1521,(N1520-N1521)/N1521,0)</f>
        <v>0</v>
      </c>
      <c r="T1520" s="10">
        <f>IF(L1520&gt;2005,(((N1520-N1540)/N1540)+1)^(1/5)-1,0)</f>
        <v>0</v>
      </c>
      <c r="U1520" s="10">
        <f t="shared" si="46"/>
        <v>0</v>
      </c>
      <c r="V1520" s="26">
        <f t="shared" si="47"/>
        <v>0</v>
      </c>
      <c r="W1520" s="3">
        <f>IF(A1520=A1521,N1520-N1521,0)</f>
        <v>0</v>
      </c>
      <c r="X1520" s="10">
        <f>IF(A1520=A1521,(N1520-N1521)/N1521,0)</f>
        <v>0</v>
      </c>
    </row>
    <row r="1521" spans="1:24" ht="16.5" customHeight="1">
      <c r="A1521" s="3" t="s">
        <v>40</v>
      </c>
      <c r="B1521" s="3">
        <f t="shared" si="40"/>
        <v>2009</v>
      </c>
      <c r="C1521" s="3">
        <f t="shared" si="41"/>
        <v>8</v>
      </c>
      <c r="D1521" s="20" t="str">
        <f t="shared" si="42"/>
        <v>DOV20098</v>
      </c>
      <c r="E1521" s="2">
        <v>40052</v>
      </c>
      <c r="F1521" s="3">
        <v>0.26</v>
      </c>
      <c r="G1521" s="2">
        <v>40071</v>
      </c>
      <c r="H1521" s="3">
        <v>2.8400000000000002E-2</v>
      </c>
      <c r="I1521" s="3">
        <v>0.04</v>
      </c>
      <c r="J1521" s="3">
        <v>0.01</v>
      </c>
      <c r="K1521" s="3">
        <f t="shared" si="43"/>
        <v>2009</v>
      </c>
      <c r="L1521" s="3">
        <f t="shared" si="44"/>
        <v>0</v>
      </c>
      <c r="M1521" s="20" t="str">
        <f>A1521&amp;L1521</f>
        <v>DOV0</v>
      </c>
      <c r="N1521" s="3">
        <f>F1521</f>
        <v>0.26</v>
      </c>
      <c r="O1521" s="9">
        <f>H1521</f>
        <v>2.8400000000000002E-2</v>
      </c>
      <c r="P1521" s="10">
        <f t="shared" si="45"/>
        <v>3.2175000000000002E-2</v>
      </c>
      <c r="Q1521" s="10">
        <f>IF(K1521=0,IF(A1518=A1521,AVERAGE(O1518:O1521),"x"),0)</f>
        <v>0</v>
      </c>
      <c r="R1521" s="9">
        <f>IF(L1521&gt;2005,AVERAGE(O1518:O1537),0)</f>
        <v>0</v>
      </c>
      <c r="S1521" s="10">
        <f>IF(A1521=A1522,(N1521-N1522)/N1522,0)</f>
        <v>4.0000000000000036E-2</v>
      </c>
      <c r="T1521" s="10">
        <f>IF(L1521&gt;2005,(((N1521-N1541)/N1541)+1)^(1/5)-1,0)</f>
        <v>0</v>
      </c>
      <c r="U1521" s="10">
        <f t="shared" si="46"/>
        <v>0</v>
      </c>
      <c r="V1521" s="26">
        <f t="shared" si="47"/>
        <v>0</v>
      </c>
      <c r="W1521" s="3">
        <f>IF(A1521=A1522,N1521-N1522,0)</f>
        <v>1.0000000000000009E-2</v>
      </c>
      <c r="X1521" s="10">
        <f>IF(A1521=A1522,(N1521-N1522)/N1522,0)</f>
        <v>4.0000000000000036E-2</v>
      </c>
    </row>
    <row r="1522" spans="1:24" ht="16.5" customHeight="1">
      <c r="A1522" s="3" t="s">
        <v>40</v>
      </c>
      <c r="B1522" s="3">
        <f t="shared" si="40"/>
        <v>2009</v>
      </c>
      <c r="C1522" s="3">
        <f t="shared" si="41"/>
        <v>5</v>
      </c>
      <c r="D1522" s="20" t="str">
        <f t="shared" si="42"/>
        <v>DOV20095</v>
      </c>
      <c r="E1522" s="2">
        <v>39960</v>
      </c>
      <c r="F1522" s="3">
        <v>0.25</v>
      </c>
      <c r="G1522" s="2">
        <v>39979</v>
      </c>
      <c r="H1522" s="3">
        <v>3.15E-2</v>
      </c>
      <c r="I1522" s="3">
        <v>0</v>
      </c>
      <c r="J1522" s="3">
        <v>0</v>
      </c>
      <c r="K1522" s="3">
        <f t="shared" si="43"/>
        <v>2009</v>
      </c>
      <c r="L1522" s="3">
        <f t="shared" si="44"/>
        <v>0</v>
      </c>
      <c r="M1522" s="20" t="str">
        <f>A1522&amp;L1522</f>
        <v>DOV0</v>
      </c>
      <c r="N1522" s="3">
        <f>F1522</f>
        <v>0.25</v>
      </c>
      <c r="O1522" s="9">
        <f>H1522</f>
        <v>3.15E-2</v>
      </c>
      <c r="P1522" s="10">
        <f t="shared" si="45"/>
        <v>0</v>
      </c>
      <c r="Q1522" s="10">
        <f>IF(K1522=0,IF(A1519=A1522,AVERAGE(O1519:O1522),"x"),0)</f>
        <v>0</v>
      </c>
      <c r="R1522" s="9">
        <f>IF(L1522&gt;2005,AVERAGE(O1519:O1538),0)</f>
        <v>0</v>
      </c>
      <c r="S1522" s="10">
        <f>IF(A1522=A1523,(N1522-N1523)/N1523,0)</f>
        <v>0</v>
      </c>
      <c r="T1522" s="10">
        <f>IF(L1522&gt;2005,(((N1522-N1542)/N1542)+1)^(1/5)-1,0)</f>
        <v>0</v>
      </c>
      <c r="U1522" s="10">
        <f t="shared" si="46"/>
        <v>0</v>
      </c>
      <c r="V1522" s="26">
        <f t="shared" si="47"/>
        <v>0</v>
      </c>
      <c r="W1522" s="3">
        <f>IF(A1522=A1523,N1522-N1523,0)</f>
        <v>0</v>
      </c>
      <c r="X1522" s="10">
        <f>IF(A1522=A1523,(N1522-N1523)/N1523,0)</f>
        <v>0</v>
      </c>
    </row>
    <row r="1523" spans="1:24" ht="16.5" customHeight="1">
      <c r="A1523" s="3" t="s">
        <v>40</v>
      </c>
      <c r="B1523" s="3">
        <f t="shared" si="40"/>
        <v>2009</v>
      </c>
      <c r="C1523" s="3">
        <f t="shared" si="41"/>
        <v>2</v>
      </c>
      <c r="D1523" s="20" t="str">
        <f t="shared" si="42"/>
        <v>DOV20092</v>
      </c>
      <c r="E1523" s="2">
        <v>39869</v>
      </c>
      <c r="F1523" s="3">
        <v>0.25</v>
      </c>
      <c r="G1523" s="2">
        <v>39887</v>
      </c>
      <c r="H1523" s="3">
        <v>3.6200000000000003E-2</v>
      </c>
      <c r="I1523" s="3">
        <v>0</v>
      </c>
      <c r="J1523" s="3">
        <v>0</v>
      </c>
      <c r="K1523" s="3">
        <f t="shared" si="43"/>
        <v>0</v>
      </c>
      <c r="L1523" s="3">
        <f t="shared" si="44"/>
        <v>2009</v>
      </c>
      <c r="M1523" s="20" t="str">
        <f>A1523&amp;L1523</f>
        <v>DOV2009</v>
      </c>
      <c r="N1523" s="3">
        <f>F1523</f>
        <v>0.25</v>
      </c>
      <c r="O1523" s="9">
        <f>H1523</f>
        <v>3.6200000000000003E-2</v>
      </c>
      <c r="P1523" s="10">
        <f t="shared" si="45"/>
        <v>0</v>
      </c>
      <c r="Q1523" s="10">
        <f>IF(K1523=0,IF(A1520=A1523,AVERAGE(O1520:O1523),"x"),0)</f>
        <v>3.0124999999999999E-2</v>
      </c>
      <c r="R1523" s="9">
        <f>IF(L1523&gt;2005,AVERAGE(O1520:O1539),0)</f>
        <v>1.949E-2</v>
      </c>
      <c r="S1523" s="10">
        <f>IF(A1523=A1524,(N1523-N1524)/N1524,0)</f>
        <v>0</v>
      </c>
      <c r="T1523" s="10">
        <f>IF(L1523&gt;2005,(((N1523-N1543)/N1543)+1)^(1/5)-1,0)</f>
        <v>0.10756634324829006</v>
      </c>
      <c r="U1523" s="10">
        <f t="shared" si="46"/>
        <v>0.12705634324829007</v>
      </c>
      <c r="V1523" s="26">
        <f t="shared" si="47"/>
        <v>4.7465112756763341</v>
      </c>
      <c r="W1523" s="3">
        <f>IF(A1523=A1524,N1523-N1524,0)</f>
        <v>0</v>
      </c>
      <c r="X1523" s="10">
        <f>IF(A1523=A1524,(N1523-N1524)/N1524,0)</f>
        <v>0</v>
      </c>
    </row>
    <row r="1524" spans="1:24" ht="16.5" customHeight="1">
      <c r="A1524" s="3" t="s">
        <v>40</v>
      </c>
      <c r="B1524" s="3">
        <f t="shared" si="40"/>
        <v>2008</v>
      </c>
      <c r="C1524" s="3">
        <f t="shared" si="41"/>
        <v>11</v>
      </c>
      <c r="D1524" s="20" t="str">
        <f t="shared" si="42"/>
        <v>DOV200811</v>
      </c>
      <c r="E1524" s="2">
        <v>39777</v>
      </c>
      <c r="F1524" s="3">
        <v>0.25</v>
      </c>
      <c r="G1524" s="2">
        <v>39797</v>
      </c>
      <c r="H1524" s="3">
        <v>3.2599999999999997E-2</v>
      </c>
      <c r="I1524" s="3">
        <v>0</v>
      </c>
      <c r="J1524" s="3">
        <v>0</v>
      </c>
      <c r="K1524" s="3">
        <f t="shared" si="43"/>
        <v>2008</v>
      </c>
      <c r="L1524" s="3">
        <f t="shared" si="44"/>
        <v>0</v>
      </c>
      <c r="M1524" s="20" t="str">
        <f>A1524&amp;L1524</f>
        <v>DOV0</v>
      </c>
      <c r="N1524" s="3">
        <f>F1524</f>
        <v>0.25</v>
      </c>
      <c r="O1524" s="9">
        <f>H1524</f>
        <v>3.2599999999999997E-2</v>
      </c>
      <c r="P1524" s="10">
        <f t="shared" si="45"/>
        <v>0</v>
      </c>
      <c r="Q1524" s="10">
        <f>IF(K1524=0,IF(A1521=A1524,AVERAGE(O1521:O1524),"x"),0)</f>
        <v>0</v>
      </c>
      <c r="R1524" s="9">
        <f>IF(L1524&gt;2005,AVERAGE(O1521:O1540),0)</f>
        <v>0</v>
      </c>
      <c r="S1524" s="10">
        <f>IF(A1524=A1525,(N1524-N1525)/N1525,0)</f>
        <v>0</v>
      </c>
      <c r="T1524" s="10">
        <f>IF(L1524&gt;2005,(((N1524-N1544)/N1544)+1)^(1/5)-1,0)</f>
        <v>0</v>
      </c>
      <c r="U1524" s="10">
        <f t="shared" si="46"/>
        <v>0</v>
      </c>
      <c r="V1524" s="26">
        <f t="shared" si="47"/>
        <v>0</v>
      </c>
      <c r="W1524" s="3">
        <f>IF(A1524=A1525,N1524-N1525,0)</f>
        <v>0</v>
      </c>
      <c r="X1524" s="10">
        <f>IF(A1524=A1525,(N1524-N1525)/N1525,0)</f>
        <v>0</v>
      </c>
    </row>
    <row r="1525" spans="1:24" ht="16.5" customHeight="1">
      <c r="A1525" s="3" t="s">
        <v>40</v>
      </c>
      <c r="B1525" s="3">
        <f t="shared" si="40"/>
        <v>2008</v>
      </c>
      <c r="C1525" s="3">
        <f t="shared" si="41"/>
        <v>8</v>
      </c>
      <c r="D1525" s="20" t="str">
        <f t="shared" si="42"/>
        <v>DOV20088</v>
      </c>
      <c r="E1525" s="2">
        <v>39687</v>
      </c>
      <c r="F1525" s="3">
        <v>0.25</v>
      </c>
      <c r="G1525" s="2">
        <v>39706</v>
      </c>
      <c r="H1525" s="3">
        <v>1.77E-2</v>
      </c>
      <c r="I1525" s="3">
        <v>0.25</v>
      </c>
      <c r="J1525" s="3">
        <v>0.05</v>
      </c>
      <c r="K1525" s="3">
        <f t="shared" si="43"/>
        <v>2008</v>
      </c>
      <c r="L1525" s="3">
        <f t="shared" si="44"/>
        <v>0</v>
      </c>
      <c r="M1525" s="20" t="str">
        <f>A1525&amp;L1525</f>
        <v>DOV0</v>
      </c>
      <c r="N1525" s="3">
        <f>F1525</f>
        <v>0.25</v>
      </c>
      <c r="O1525" s="9">
        <f>H1525</f>
        <v>1.77E-2</v>
      </c>
      <c r="P1525" s="10">
        <f t="shared" si="45"/>
        <v>1.7000000000000001E-2</v>
      </c>
      <c r="Q1525" s="10">
        <f>IF(K1525=0,IF(A1522=A1525,AVERAGE(O1522:O1525),"x"),0)</f>
        <v>0</v>
      </c>
      <c r="R1525" s="9">
        <f>IF(L1525&gt;2005,AVERAGE(O1522:O1541),0)</f>
        <v>0</v>
      </c>
      <c r="S1525" s="10">
        <f>IF(A1525=A1526,(N1525-N1526)/N1526,0)</f>
        <v>0.24999999999999994</v>
      </c>
      <c r="T1525" s="10">
        <f>IF(L1525&gt;2005,(((N1525-N1545)/N1545)+1)^(1/5)-1,0)</f>
        <v>0</v>
      </c>
      <c r="U1525" s="10">
        <f t="shared" si="46"/>
        <v>0</v>
      </c>
      <c r="V1525" s="26">
        <f t="shared" si="47"/>
        <v>0</v>
      </c>
      <c r="W1525" s="3">
        <f>IF(A1525=A1526,N1525-N1526,0)</f>
        <v>4.9999999999999989E-2</v>
      </c>
      <c r="X1525" s="10">
        <f>IF(A1525=A1526,(N1525-N1526)/N1526,0)</f>
        <v>0.24999999999999994</v>
      </c>
    </row>
    <row r="1526" spans="1:24" ht="16.5" customHeight="1">
      <c r="A1526" s="3" t="s">
        <v>40</v>
      </c>
      <c r="B1526" s="3">
        <f t="shared" si="40"/>
        <v>2008</v>
      </c>
      <c r="C1526" s="3">
        <f t="shared" si="41"/>
        <v>5</v>
      </c>
      <c r="D1526" s="20" t="str">
        <f t="shared" si="42"/>
        <v>DOV20085</v>
      </c>
      <c r="E1526" s="2">
        <v>39596</v>
      </c>
      <c r="F1526" s="3">
        <v>0.2</v>
      </c>
      <c r="G1526" s="2">
        <v>39614</v>
      </c>
      <c r="H1526" s="3">
        <v>1.52E-2</v>
      </c>
      <c r="I1526" s="3">
        <v>0</v>
      </c>
      <c r="J1526" s="3">
        <v>0</v>
      </c>
      <c r="K1526" s="3">
        <f t="shared" si="43"/>
        <v>2008</v>
      </c>
      <c r="L1526" s="3">
        <f t="shared" si="44"/>
        <v>0</v>
      </c>
      <c r="M1526" s="20" t="str">
        <f>A1526&amp;L1526</f>
        <v>DOV0</v>
      </c>
      <c r="N1526" s="3">
        <f>F1526</f>
        <v>0.2</v>
      </c>
      <c r="O1526" s="9">
        <f>H1526</f>
        <v>1.52E-2</v>
      </c>
      <c r="P1526" s="10">
        <f t="shared" si="45"/>
        <v>0</v>
      </c>
      <c r="Q1526" s="10">
        <f>IF(K1526=0,IF(A1523=A1526,AVERAGE(O1523:O1526),"x"),0)</f>
        <v>0</v>
      </c>
      <c r="R1526" s="9">
        <f>IF(L1526&gt;2005,AVERAGE(O1523:O1542),0)</f>
        <v>0</v>
      </c>
      <c r="S1526" s="10">
        <f>IF(A1526=A1527,(N1526-N1527)/N1527,0)</f>
        <v>0</v>
      </c>
      <c r="T1526" s="10">
        <f>IF(L1526&gt;2005,(((N1526-N1546)/N1546)+1)^(1/5)-1,0)</f>
        <v>0</v>
      </c>
      <c r="U1526" s="10">
        <f t="shared" si="46"/>
        <v>0</v>
      </c>
      <c r="V1526" s="26">
        <f t="shared" si="47"/>
        <v>0</v>
      </c>
      <c r="W1526" s="3">
        <f>IF(A1526=A1527,N1526-N1527,0)</f>
        <v>0</v>
      </c>
      <c r="X1526" s="10">
        <f>IF(A1526=A1527,(N1526-N1527)/N1527,0)</f>
        <v>0</v>
      </c>
    </row>
    <row r="1527" spans="1:24" ht="16.5" customHeight="1">
      <c r="A1527" s="3" t="s">
        <v>40</v>
      </c>
      <c r="B1527" s="3">
        <f t="shared" si="40"/>
        <v>2008</v>
      </c>
      <c r="C1527" s="3">
        <f t="shared" si="41"/>
        <v>2</v>
      </c>
      <c r="D1527" s="20" t="str">
        <f t="shared" si="42"/>
        <v>DOV20082</v>
      </c>
      <c r="E1527" s="2">
        <v>39505</v>
      </c>
      <c r="F1527" s="3">
        <v>0.2</v>
      </c>
      <c r="G1527" s="2">
        <v>39521</v>
      </c>
      <c r="H1527" s="3">
        <v>1.8200000000000001E-2</v>
      </c>
      <c r="I1527" s="3">
        <v>0</v>
      </c>
      <c r="J1527" s="3">
        <v>0</v>
      </c>
      <c r="K1527" s="3">
        <f t="shared" si="43"/>
        <v>0</v>
      </c>
      <c r="L1527" s="3">
        <f t="shared" si="44"/>
        <v>2008</v>
      </c>
      <c r="M1527" s="20" t="str">
        <f>A1527&amp;L1527</f>
        <v>DOV2008</v>
      </c>
      <c r="N1527" s="3">
        <f>F1527</f>
        <v>0.2</v>
      </c>
      <c r="O1527" s="9">
        <f>H1527</f>
        <v>1.8200000000000001E-2</v>
      </c>
      <c r="P1527" s="10">
        <f t="shared" si="45"/>
        <v>0</v>
      </c>
      <c r="Q1527" s="10">
        <f>IF(K1527=0,IF(A1524=A1527,AVERAGE(O1524:O1527),"x"),0)</f>
        <v>2.0924999999999999E-2</v>
      </c>
      <c r="R1527" s="9">
        <f>IF(L1527&gt;2005,AVERAGE(O1524:O1543),0)</f>
        <v>1.6540000000000003E-2</v>
      </c>
      <c r="S1527" s="10">
        <f>IF(A1527=A1528,(N1527-N1528)/N1528,0)</f>
        <v>0</v>
      </c>
      <c r="T1527" s="10">
        <f>IF(L1527&gt;2005,(((N1527-N1547)/N1547)+1)^(1/5)-1,0)</f>
        <v>8.1780741066402873E-2</v>
      </c>
      <c r="U1527" s="10">
        <f t="shared" si="46"/>
        <v>9.8320741066402872E-2</v>
      </c>
      <c r="V1527" s="26">
        <f t="shared" si="47"/>
        <v>4.7785944634174822</v>
      </c>
      <c r="W1527" s="3">
        <f>IF(A1527=A1528,N1527-N1528,0)</f>
        <v>0</v>
      </c>
      <c r="X1527" s="10">
        <f>IF(A1527=A1528,(N1527-N1528)/N1528,0)</f>
        <v>0</v>
      </c>
    </row>
    <row r="1528" spans="1:24" ht="16.5" customHeight="1">
      <c r="A1528" s="3" t="s">
        <v>40</v>
      </c>
      <c r="B1528" s="3">
        <f t="shared" si="40"/>
        <v>2007</v>
      </c>
      <c r="C1528" s="3">
        <f t="shared" si="41"/>
        <v>11</v>
      </c>
      <c r="D1528" s="20" t="str">
        <f t="shared" si="42"/>
        <v>DOV200711</v>
      </c>
      <c r="E1528" s="2">
        <v>39414</v>
      </c>
      <c r="F1528" s="3">
        <v>0.2</v>
      </c>
      <c r="G1528" s="2">
        <v>39431</v>
      </c>
      <c r="H1528" s="3">
        <v>1.6899999999999998E-2</v>
      </c>
      <c r="I1528" s="3">
        <v>0</v>
      </c>
      <c r="J1528" s="3">
        <v>0</v>
      </c>
      <c r="K1528" s="3">
        <f t="shared" si="43"/>
        <v>2007</v>
      </c>
      <c r="L1528" s="3">
        <f t="shared" si="44"/>
        <v>0</v>
      </c>
      <c r="M1528" s="20" t="str">
        <f>A1528&amp;L1528</f>
        <v>DOV0</v>
      </c>
      <c r="N1528" s="3">
        <f>F1528</f>
        <v>0.2</v>
      </c>
      <c r="O1528" s="9">
        <f>H1528</f>
        <v>1.6899999999999998E-2</v>
      </c>
      <c r="P1528" s="10">
        <f t="shared" si="45"/>
        <v>0</v>
      </c>
      <c r="Q1528" s="10">
        <f>IF(K1528=0,IF(A1525=A1528,AVERAGE(O1525:O1528),"x"),0)</f>
        <v>0</v>
      </c>
      <c r="R1528" s="9">
        <f>IF(L1528&gt;2005,AVERAGE(O1525:O1544),0)</f>
        <v>0</v>
      </c>
      <c r="S1528" s="10">
        <f>IF(A1528=A1529,(N1528-N1529)/N1529,0)</f>
        <v>0</v>
      </c>
      <c r="T1528" s="10">
        <f>IF(L1528&gt;2005,(((N1528-N1548)/N1548)+1)^(1/5)-1,0)</f>
        <v>0</v>
      </c>
      <c r="U1528" s="10">
        <f t="shared" si="46"/>
        <v>0</v>
      </c>
      <c r="V1528" s="26">
        <f t="shared" si="47"/>
        <v>0</v>
      </c>
      <c r="W1528" s="3">
        <f>IF(A1528=A1529,N1528-N1529,0)</f>
        <v>0</v>
      </c>
      <c r="X1528" s="10">
        <f>IF(A1528=A1529,(N1528-N1529)/N1529,0)</f>
        <v>0</v>
      </c>
    </row>
    <row r="1529" spans="1:24" ht="16.5" customHeight="1">
      <c r="A1529" s="3" t="s">
        <v>40</v>
      </c>
      <c r="B1529" s="3">
        <f t="shared" si="40"/>
        <v>2007</v>
      </c>
      <c r="C1529" s="3">
        <f t="shared" si="41"/>
        <v>8</v>
      </c>
      <c r="D1529" s="20" t="str">
        <f t="shared" si="42"/>
        <v>DOV20078</v>
      </c>
      <c r="E1529" s="2">
        <v>39323</v>
      </c>
      <c r="F1529" s="3">
        <v>0.2</v>
      </c>
      <c r="G1529" s="2">
        <v>39340</v>
      </c>
      <c r="H1529" s="3">
        <v>1.5900000000000001E-2</v>
      </c>
      <c r="I1529" s="3">
        <v>8.1081080999999999E-2</v>
      </c>
      <c r="J1529" s="3">
        <v>1.4999999999999999E-2</v>
      </c>
      <c r="K1529" s="3">
        <f t="shared" si="43"/>
        <v>2007</v>
      </c>
      <c r="L1529" s="3">
        <f t="shared" si="44"/>
        <v>0</v>
      </c>
      <c r="M1529" s="20" t="str">
        <f>A1529&amp;L1529</f>
        <v>DOV0</v>
      </c>
      <c r="N1529" s="3">
        <f>F1529</f>
        <v>0.2</v>
      </c>
      <c r="O1529" s="9">
        <f>H1529</f>
        <v>1.5900000000000001E-2</v>
      </c>
      <c r="P1529" s="10">
        <f t="shared" si="45"/>
        <v>1.4975E-2</v>
      </c>
      <c r="Q1529" s="10">
        <f>IF(K1529=0,IF(A1526=A1529,AVERAGE(O1526:O1529),"x"),0)</f>
        <v>0</v>
      </c>
      <c r="R1529" s="9">
        <f>IF(L1529&gt;2005,AVERAGE(O1526:O1545),0)</f>
        <v>0</v>
      </c>
      <c r="S1529" s="10">
        <f>IF(A1529=A1530,(N1529-N1530)/N1530,0)</f>
        <v>8.1081081081081155E-2</v>
      </c>
      <c r="T1529" s="10">
        <f>IF(L1529&gt;2005,(((N1529-N1549)/N1549)+1)^(1/5)-1,0)</f>
        <v>0</v>
      </c>
      <c r="U1529" s="10">
        <f t="shared" si="46"/>
        <v>0</v>
      </c>
      <c r="V1529" s="26">
        <f t="shared" si="47"/>
        <v>0</v>
      </c>
      <c r="W1529" s="3">
        <f>IF(A1529=A1530,N1529-N1530,0)</f>
        <v>1.5000000000000013E-2</v>
      </c>
      <c r="X1529" s="10">
        <f>IF(A1529=A1530,(N1529-N1530)/N1530,0)</f>
        <v>8.1081081081081155E-2</v>
      </c>
    </row>
    <row r="1530" spans="1:24" ht="16.5" customHeight="1">
      <c r="A1530" s="3" t="s">
        <v>40</v>
      </c>
      <c r="B1530" s="3">
        <f t="shared" si="40"/>
        <v>2007</v>
      </c>
      <c r="C1530" s="3">
        <f t="shared" si="41"/>
        <v>5</v>
      </c>
      <c r="D1530" s="20" t="str">
        <f t="shared" si="42"/>
        <v>DOV20075</v>
      </c>
      <c r="E1530" s="2">
        <v>39231</v>
      </c>
      <c r="F1530" s="3">
        <v>0.185</v>
      </c>
      <c r="G1530" s="2">
        <v>39248</v>
      </c>
      <c r="H1530" s="3">
        <v>1.4999999999999999E-2</v>
      </c>
      <c r="I1530" s="3">
        <v>0</v>
      </c>
      <c r="J1530" s="3">
        <v>0</v>
      </c>
      <c r="K1530" s="3">
        <f t="shared" si="43"/>
        <v>2007</v>
      </c>
      <c r="L1530" s="3">
        <f t="shared" si="44"/>
        <v>0</v>
      </c>
      <c r="M1530" s="20" t="str">
        <f>A1530&amp;L1530</f>
        <v>DOV0</v>
      </c>
      <c r="N1530" s="3">
        <f>F1530</f>
        <v>0.185</v>
      </c>
      <c r="O1530" s="9">
        <f>H1530</f>
        <v>1.4999999999999999E-2</v>
      </c>
      <c r="P1530" s="10">
        <f t="shared" si="45"/>
        <v>0</v>
      </c>
      <c r="Q1530" s="10">
        <f>IF(K1530=0,IF(A1527=A1530,AVERAGE(O1527:O1530),"x"),0)</f>
        <v>0</v>
      </c>
      <c r="R1530" s="9">
        <f>IF(L1530&gt;2005,AVERAGE(O1527:O1546),0)</f>
        <v>0</v>
      </c>
      <c r="S1530" s="10">
        <f>IF(A1530=A1531,(N1530-N1531)/N1531,0)</f>
        <v>0</v>
      </c>
      <c r="T1530" s="10">
        <f>IF(L1530&gt;2005,(((N1530-N1550)/N1550)+1)^(1/5)-1,0)</f>
        <v>0</v>
      </c>
      <c r="U1530" s="10">
        <f t="shared" si="46"/>
        <v>0</v>
      </c>
      <c r="V1530" s="26">
        <f t="shared" si="47"/>
        <v>0</v>
      </c>
      <c r="W1530" s="3">
        <f>IF(A1530=A1531,N1530-N1531,0)</f>
        <v>0</v>
      </c>
      <c r="X1530" s="10">
        <f>IF(A1530=A1531,(N1530-N1531)/N1531,0)</f>
        <v>0</v>
      </c>
    </row>
    <row r="1531" spans="1:24" ht="16.5" customHeight="1">
      <c r="A1531" s="3" t="s">
        <v>40</v>
      </c>
      <c r="B1531" s="3">
        <f t="shared" si="40"/>
        <v>2007</v>
      </c>
      <c r="C1531" s="3">
        <f t="shared" si="41"/>
        <v>2</v>
      </c>
      <c r="D1531" s="20" t="str">
        <f t="shared" si="42"/>
        <v>DOV20072</v>
      </c>
      <c r="E1531" s="2">
        <v>39139</v>
      </c>
      <c r="F1531" s="3">
        <v>0.185</v>
      </c>
      <c r="G1531" s="2">
        <v>39156</v>
      </c>
      <c r="H1531" s="3">
        <v>1.47E-2</v>
      </c>
      <c r="I1531" s="3">
        <v>0</v>
      </c>
      <c r="J1531" s="3">
        <v>0</v>
      </c>
      <c r="K1531" s="3">
        <f t="shared" si="43"/>
        <v>0</v>
      </c>
      <c r="L1531" s="3">
        <f t="shared" si="44"/>
        <v>2007</v>
      </c>
      <c r="M1531" s="20" t="str">
        <f>A1531&amp;L1531</f>
        <v>DOV2007</v>
      </c>
      <c r="N1531" s="3">
        <f>F1531</f>
        <v>0.185</v>
      </c>
      <c r="O1531" s="9">
        <f>H1531</f>
        <v>1.47E-2</v>
      </c>
      <c r="P1531" s="10">
        <f t="shared" si="45"/>
        <v>0</v>
      </c>
      <c r="Q1531" s="10">
        <f>IF(K1531=0,IF(A1528=A1531,AVERAGE(O1528:O1531),"x"),0)</f>
        <v>1.5624999999999998E-2</v>
      </c>
      <c r="R1531" s="9">
        <f>IF(L1531&gt;2005,AVERAGE(O1528:O1547),0)</f>
        <v>1.5804999999999996E-2</v>
      </c>
      <c r="S1531" s="10">
        <f>IF(A1531=A1532,(N1531-N1532)/N1532,0)</f>
        <v>0</v>
      </c>
      <c r="T1531" s="10">
        <f>IF(L1531&gt;2005,(((N1531-N1551)/N1551)+1)^(1/5)-1,0)</f>
        <v>6.5044102740563714E-2</v>
      </c>
      <c r="U1531" s="10">
        <f t="shared" si="46"/>
        <v>8.0849102740563714E-2</v>
      </c>
      <c r="V1531" s="26">
        <f t="shared" si="47"/>
        <v>4.7848884354644259</v>
      </c>
      <c r="W1531" s="3">
        <f>IF(A1531=A1532,N1531-N1532,0)</f>
        <v>0</v>
      </c>
      <c r="X1531" s="10">
        <f>IF(A1531=A1532,(N1531-N1532)/N1532,0)</f>
        <v>0</v>
      </c>
    </row>
    <row r="1532" spans="1:24" ht="16.5" customHeight="1">
      <c r="A1532" s="3" t="s">
        <v>40</v>
      </c>
      <c r="B1532" s="3">
        <f t="shared" ref="B1532:B1786" si="48">YEAR(E1532)</f>
        <v>2006</v>
      </c>
      <c r="C1532" s="3">
        <f t="shared" ref="C1532:C1786" si="49">MONTH(E1532)</f>
        <v>11</v>
      </c>
      <c r="D1532" s="20" t="str">
        <f t="shared" ref="D1532:D1786" si="50">A1532&amp;B1532&amp;C1532</f>
        <v>DOV200611</v>
      </c>
      <c r="E1532" s="2">
        <v>39049</v>
      </c>
      <c r="F1532" s="3">
        <v>0.185</v>
      </c>
      <c r="G1532" s="2">
        <v>39066</v>
      </c>
      <c r="H1532" s="3">
        <v>1.43E-2</v>
      </c>
      <c r="I1532" s="3">
        <v>0</v>
      </c>
      <c r="J1532" s="3">
        <v>0</v>
      </c>
      <c r="K1532" s="3">
        <f t="shared" ref="K1532:K1786" si="51">IF(YEAR(E1532)=YEAR(E1533),YEAR(E1532),0)</f>
        <v>2006</v>
      </c>
      <c r="L1532" s="3">
        <f t="shared" ref="L1532:L1786" si="52">IF(K1532=0,K1531,0)</f>
        <v>0</v>
      </c>
      <c r="M1532" s="20" t="str">
        <f>A1532&amp;L1532</f>
        <v>DOV0</v>
      </c>
      <c r="N1532" s="3">
        <f>F1532</f>
        <v>0.185</v>
      </c>
      <c r="O1532" s="9">
        <f>H1532</f>
        <v>1.43E-2</v>
      </c>
      <c r="P1532" s="10">
        <f t="shared" ref="P1532:P1786" si="53">IF(S1532&gt;0,SUM(O1532:O1535)/4,0)</f>
        <v>0</v>
      </c>
      <c r="Q1532" s="10">
        <f>IF(K1532=0,IF(A1529=A1532,AVERAGE(O1529:O1532),"x"),0)</f>
        <v>0</v>
      </c>
      <c r="R1532" s="9">
        <f>IF(L1532&gt;2005,AVERAGE(O1529:O1548),0)</f>
        <v>0</v>
      </c>
      <c r="S1532" s="10">
        <f>IF(A1532=A1533,(N1532-N1533)/N1533,0)</f>
        <v>0</v>
      </c>
      <c r="T1532" s="10">
        <f>IF(L1532&gt;2005,(((N1532-N1552)/N1552)+1)^(1/5)-1,0)</f>
        <v>0</v>
      </c>
      <c r="U1532" s="10">
        <f t="shared" si="46"/>
        <v>0</v>
      </c>
      <c r="V1532" s="26">
        <f t="shared" si="47"/>
        <v>0</v>
      </c>
      <c r="W1532" s="3">
        <f>IF(A1532=A1533,N1532-N1533,0)</f>
        <v>0</v>
      </c>
      <c r="X1532" s="10">
        <f>IF(A1532=A1533,(N1532-N1533)/N1533,0)</f>
        <v>0</v>
      </c>
    </row>
    <row r="1533" spans="1:24" ht="16.5" customHeight="1">
      <c r="A1533" s="3" t="s">
        <v>40</v>
      </c>
      <c r="B1533" s="3">
        <f t="shared" si="48"/>
        <v>2006</v>
      </c>
      <c r="C1533" s="3">
        <f t="shared" si="49"/>
        <v>8</v>
      </c>
      <c r="D1533" s="20" t="str">
        <f t="shared" si="50"/>
        <v>DOV20068</v>
      </c>
      <c r="E1533" s="2">
        <v>38958</v>
      </c>
      <c r="F1533" s="3">
        <v>0.185</v>
      </c>
      <c r="G1533" s="2">
        <v>38975</v>
      </c>
      <c r="H1533" s="3">
        <v>1.46E-2</v>
      </c>
      <c r="I1533" s="3">
        <v>8.8235294000000006E-2</v>
      </c>
      <c r="J1533" s="3">
        <v>1.4999999999999999E-2</v>
      </c>
      <c r="K1533" s="3">
        <f t="shared" si="51"/>
        <v>2006</v>
      </c>
      <c r="L1533" s="3">
        <f t="shared" si="52"/>
        <v>0</v>
      </c>
      <c r="M1533" s="20" t="str">
        <f>A1533&amp;L1533</f>
        <v>DOV0</v>
      </c>
      <c r="N1533" s="3">
        <f>F1533</f>
        <v>0.185</v>
      </c>
      <c r="O1533" s="9">
        <f>H1533</f>
        <v>1.46E-2</v>
      </c>
      <c r="P1533" s="10">
        <f t="shared" si="53"/>
        <v>1.4599999999999998E-2</v>
      </c>
      <c r="Q1533" s="10">
        <f>IF(K1533=0,IF(A1530=A1533,AVERAGE(O1530:O1533),"x"),0)</f>
        <v>0</v>
      </c>
      <c r="R1533" s="9">
        <f>IF(L1533&gt;2005,AVERAGE(O1530:O1549),0)</f>
        <v>0</v>
      </c>
      <c r="S1533" s="10">
        <f>IF(A1533=A1534,(N1533-N1534)/N1534,0)</f>
        <v>8.8235294117646967E-2</v>
      </c>
      <c r="T1533" s="10">
        <f>IF(L1533&gt;2005,(((N1533-N1553)/N1553)+1)^(1/5)-1,0)</f>
        <v>0</v>
      </c>
      <c r="U1533" s="10">
        <f t="shared" si="46"/>
        <v>0</v>
      </c>
      <c r="V1533" s="26">
        <f t="shared" si="47"/>
        <v>0</v>
      </c>
      <c r="W1533" s="3">
        <f>IF(A1533=A1534,N1533-N1534,0)</f>
        <v>1.4999999999999986E-2</v>
      </c>
      <c r="X1533" s="10">
        <f>IF(A1533=A1534,(N1533-N1534)/N1534,0)</f>
        <v>8.8235294117646967E-2</v>
      </c>
    </row>
    <row r="1534" spans="1:24" ht="16.5" customHeight="1">
      <c r="A1534" s="3" t="s">
        <v>40</v>
      </c>
      <c r="B1534" s="3">
        <f t="shared" si="48"/>
        <v>2006</v>
      </c>
      <c r="C1534" s="3">
        <f t="shared" si="49"/>
        <v>5</v>
      </c>
      <c r="D1534" s="20" t="str">
        <f t="shared" si="50"/>
        <v>DOV20065</v>
      </c>
      <c r="E1534" s="2">
        <v>38863</v>
      </c>
      <c r="F1534" s="3">
        <v>0.17</v>
      </c>
      <c r="G1534" s="2">
        <v>38883</v>
      </c>
      <c r="H1534" s="3">
        <v>1.4E-2</v>
      </c>
      <c r="I1534" s="3">
        <v>0</v>
      </c>
      <c r="J1534" s="3">
        <v>0</v>
      </c>
      <c r="K1534" s="3">
        <f t="shared" si="51"/>
        <v>2006</v>
      </c>
      <c r="L1534" s="3">
        <f t="shared" si="52"/>
        <v>0</v>
      </c>
      <c r="M1534" s="20" t="str">
        <f>A1534&amp;L1534</f>
        <v>DOV0</v>
      </c>
      <c r="N1534" s="3">
        <f>F1534</f>
        <v>0.17</v>
      </c>
      <c r="O1534" s="9">
        <f>H1534</f>
        <v>1.4E-2</v>
      </c>
      <c r="P1534" s="10">
        <f t="shared" si="53"/>
        <v>0</v>
      </c>
      <c r="Q1534" s="10">
        <f>IF(K1534=0,IF(A1531=A1534,AVERAGE(O1531:O1534),"x"),0)</f>
        <v>0</v>
      </c>
      <c r="R1534" s="9">
        <f>IF(L1534&gt;2005,AVERAGE(O1531:O1550),0)</f>
        <v>0</v>
      </c>
      <c r="S1534" s="10">
        <f>IF(A1534=A1535,(N1534-N1535)/N1535,0)</f>
        <v>0</v>
      </c>
      <c r="T1534" s="10">
        <f>IF(L1534&gt;2005,(((N1534-N1554)/N1554)+1)^(1/5)-1,0)</f>
        <v>0</v>
      </c>
      <c r="U1534" s="10">
        <f t="shared" si="46"/>
        <v>0</v>
      </c>
      <c r="V1534" s="26">
        <f t="shared" si="47"/>
        <v>0</v>
      </c>
      <c r="W1534" s="3">
        <f>IF(A1534=A1535,N1534-N1535,0)</f>
        <v>0</v>
      </c>
      <c r="X1534" s="10">
        <f>IF(A1534=A1535,(N1534-N1535)/N1535,0)</f>
        <v>0</v>
      </c>
    </row>
    <row r="1535" spans="1:24" ht="16.5" customHeight="1">
      <c r="A1535" s="3" t="s">
        <v>40</v>
      </c>
      <c r="B1535" s="3">
        <f t="shared" si="48"/>
        <v>2006</v>
      </c>
      <c r="C1535" s="3">
        <f t="shared" si="49"/>
        <v>2</v>
      </c>
      <c r="D1535" s="20" t="str">
        <f t="shared" si="50"/>
        <v>DOV20062</v>
      </c>
      <c r="E1535" s="2">
        <v>38772</v>
      </c>
      <c r="F1535" s="3">
        <v>0.17</v>
      </c>
      <c r="G1535" s="2">
        <v>38791</v>
      </c>
      <c r="H1535" s="3">
        <v>1.3899999999999999E-2</v>
      </c>
      <c r="I1535" s="3">
        <v>0</v>
      </c>
      <c r="J1535" s="3">
        <v>0</v>
      </c>
      <c r="K1535" s="3">
        <f t="shared" si="51"/>
        <v>0</v>
      </c>
      <c r="L1535" s="3">
        <f t="shared" si="52"/>
        <v>2006</v>
      </c>
      <c r="M1535" s="20" t="str">
        <f>A1535&amp;L1535</f>
        <v>DOV2006</v>
      </c>
      <c r="N1535" s="3">
        <f>F1535</f>
        <v>0.17</v>
      </c>
      <c r="O1535" s="9">
        <f>H1535</f>
        <v>1.3899999999999999E-2</v>
      </c>
      <c r="P1535" s="10">
        <f t="shared" si="53"/>
        <v>0</v>
      </c>
      <c r="Q1535" s="10">
        <f>IF(K1535=0,IF(A1532=A1535,AVERAGE(O1532:O1535),"x"),0)</f>
        <v>1.4200000000000001E-2</v>
      </c>
      <c r="R1535" s="9">
        <f>IF(L1535&gt;2005,AVERAGE(O1532:O1551),0)</f>
        <v>1.5885E-2</v>
      </c>
      <c r="S1535" s="10">
        <f>IF(A1535=A1536,(N1535-N1536)/N1536,0)</f>
        <v>0</v>
      </c>
      <c r="T1535" s="10">
        <f>IF(L1535&gt;2005,(((N1535-N1555)/N1555)+1)^(1/5)-1,0)</f>
        <v>6.342724238285391E-2</v>
      </c>
      <c r="U1535" s="10">
        <f t="shared" ref="U1535:U1789" si="54">IF(T1535&gt;0,R1535+T1535,0)</f>
        <v>7.9312242382853906E-2</v>
      </c>
      <c r="V1535" s="26">
        <f t="shared" ref="V1535:V1789" si="55">IF(U1535&gt;0,(1+T1535)*(1-((1+T1535)/(1+U1535))^5)/(U1535-T1535),0)</f>
        <v>4.783519091551212</v>
      </c>
      <c r="W1535" s="3">
        <f>IF(A1535=A1536,N1535-N1536,0)</f>
        <v>0</v>
      </c>
      <c r="X1535" s="10">
        <f>IF(A1535=A1536,(N1535-N1536)/N1536,0)</f>
        <v>0</v>
      </c>
    </row>
    <row r="1536" spans="1:24" ht="16.5" customHeight="1">
      <c r="A1536" s="3" t="s">
        <v>40</v>
      </c>
      <c r="B1536" s="3">
        <f t="shared" si="48"/>
        <v>2005</v>
      </c>
      <c r="C1536" s="3">
        <f t="shared" si="49"/>
        <v>11</v>
      </c>
      <c r="D1536" s="20" t="str">
        <f t="shared" si="50"/>
        <v>DOV200511</v>
      </c>
      <c r="E1536" s="2">
        <v>38684</v>
      </c>
      <c r="F1536" s="3">
        <v>0.17</v>
      </c>
      <c r="G1536" s="2">
        <v>38701</v>
      </c>
      <c r="H1536" s="3">
        <v>1.5900000000000001E-2</v>
      </c>
      <c r="I1536" s="3">
        <v>0</v>
      </c>
      <c r="J1536" s="3">
        <v>0</v>
      </c>
      <c r="K1536" s="3">
        <f t="shared" si="51"/>
        <v>2005</v>
      </c>
      <c r="L1536" s="3">
        <f t="shared" si="52"/>
        <v>0</v>
      </c>
      <c r="M1536" s="20" t="str">
        <f>A1536&amp;L1536</f>
        <v>DOV0</v>
      </c>
      <c r="N1536" s="3">
        <f>F1536</f>
        <v>0.17</v>
      </c>
      <c r="O1536" s="9">
        <f>H1536</f>
        <v>1.5900000000000001E-2</v>
      </c>
      <c r="P1536" s="10">
        <f t="shared" si="53"/>
        <v>0</v>
      </c>
      <c r="Q1536" s="10">
        <f>IF(K1536=0,IF(A1533=A1536,AVERAGE(O1533:O1536),"x"),0)</f>
        <v>0</v>
      </c>
      <c r="R1536" s="9">
        <f>IF(L1536&gt;2005,AVERAGE(O1533:O1552),0)</f>
        <v>0</v>
      </c>
      <c r="S1536" s="10">
        <f>IF(A1536=A1537,(N1536-N1537)/N1537,0)</f>
        <v>0</v>
      </c>
      <c r="T1536" s="10">
        <f>IF(L1536&gt;2005,(((N1536-N1556)/N1556)+1)^(1/5)-1,0)</f>
        <v>0</v>
      </c>
      <c r="U1536" s="10">
        <f t="shared" si="54"/>
        <v>0</v>
      </c>
      <c r="V1536" s="26">
        <f t="shared" si="55"/>
        <v>0</v>
      </c>
      <c r="W1536" s="3">
        <f>IF(A1536=A1537,N1536-N1537,0)</f>
        <v>0</v>
      </c>
      <c r="X1536" s="10">
        <f>IF(A1536=A1537,(N1536-N1537)/N1537,0)</f>
        <v>0</v>
      </c>
    </row>
    <row r="1537" spans="1:24" ht="16.5" customHeight="1">
      <c r="A1537" s="3" t="s">
        <v>40</v>
      </c>
      <c r="B1537" s="3">
        <f t="shared" si="48"/>
        <v>2005</v>
      </c>
      <c r="C1537" s="3">
        <f t="shared" si="49"/>
        <v>8</v>
      </c>
      <c r="D1537" s="20" t="str">
        <f t="shared" si="50"/>
        <v>DOV20058</v>
      </c>
      <c r="E1537" s="2">
        <v>38593</v>
      </c>
      <c r="F1537" s="3">
        <v>0.17</v>
      </c>
      <c r="G1537" s="2">
        <v>38610</v>
      </c>
      <c r="H1537" s="3">
        <v>1.6299999999999999E-2</v>
      </c>
      <c r="I1537" s="3">
        <v>6.25E-2</v>
      </c>
      <c r="J1537" s="3">
        <v>0.01</v>
      </c>
      <c r="K1537" s="3">
        <f t="shared" si="51"/>
        <v>2005</v>
      </c>
      <c r="L1537" s="3">
        <f t="shared" si="52"/>
        <v>0</v>
      </c>
      <c r="M1537" s="20" t="str">
        <f>A1537&amp;L1537</f>
        <v>DOV0</v>
      </c>
      <c r="N1537" s="3">
        <f>F1537</f>
        <v>0.17</v>
      </c>
      <c r="O1537" s="9">
        <f>H1537</f>
        <v>1.6299999999999999E-2</v>
      </c>
      <c r="P1537" s="10">
        <f t="shared" si="53"/>
        <v>1.6399999999999998E-2</v>
      </c>
      <c r="Q1537" s="10">
        <f>IF(K1537=0,IF(A1534=A1537,AVERAGE(O1534:O1537),"x"),0)</f>
        <v>0</v>
      </c>
      <c r="R1537" s="9">
        <f>IF(L1537&gt;2005,AVERAGE(O1534:O1553),0)</f>
        <v>0</v>
      </c>
      <c r="S1537" s="10">
        <f>IF(A1537=A1538,(N1537-N1538)/N1538,0)</f>
        <v>6.2500000000000056E-2</v>
      </c>
      <c r="T1537" s="10">
        <f>IF(L1537&gt;2005,(((N1537-N1557)/N1557)+1)^(1/5)-1,0)</f>
        <v>0</v>
      </c>
      <c r="U1537" s="10">
        <f t="shared" si="54"/>
        <v>0</v>
      </c>
      <c r="V1537" s="26">
        <f t="shared" si="55"/>
        <v>0</v>
      </c>
      <c r="W1537" s="3">
        <f>IF(A1537=A1538,N1537-N1538,0)</f>
        <v>1.0000000000000009E-2</v>
      </c>
      <c r="X1537" s="10">
        <f>IF(A1537=A1538,(N1537-N1538)/N1538,0)</f>
        <v>6.2500000000000056E-2</v>
      </c>
    </row>
    <row r="1538" spans="1:24" ht="16.5" customHeight="1">
      <c r="A1538" s="3" t="s">
        <v>40</v>
      </c>
      <c r="B1538" s="3">
        <f t="shared" si="48"/>
        <v>2005</v>
      </c>
      <c r="C1538" s="3">
        <f t="shared" si="49"/>
        <v>5</v>
      </c>
      <c r="D1538" s="20" t="str">
        <f t="shared" si="50"/>
        <v>DOV20055</v>
      </c>
      <c r="E1538" s="2">
        <v>38498</v>
      </c>
      <c r="F1538" s="3">
        <v>0.16</v>
      </c>
      <c r="G1538" s="2">
        <v>38518</v>
      </c>
      <c r="H1538" s="3">
        <v>1.7399999999999999E-2</v>
      </c>
      <c r="I1538" s="3">
        <v>0</v>
      </c>
      <c r="J1538" s="3">
        <v>0</v>
      </c>
      <c r="K1538" s="3">
        <f t="shared" si="51"/>
        <v>2005</v>
      </c>
      <c r="L1538" s="3">
        <f t="shared" si="52"/>
        <v>0</v>
      </c>
      <c r="M1538" s="20" t="str">
        <f>A1538&amp;L1538</f>
        <v>DOV0</v>
      </c>
      <c r="N1538" s="3">
        <f>F1538</f>
        <v>0.16</v>
      </c>
      <c r="O1538" s="9">
        <f>H1538</f>
        <v>1.7399999999999999E-2</v>
      </c>
      <c r="P1538" s="10">
        <f t="shared" si="53"/>
        <v>0</v>
      </c>
      <c r="Q1538" s="10">
        <f>IF(K1538=0,IF(A1535=A1538,AVERAGE(O1535:O1538),"x"),0)</f>
        <v>0</v>
      </c>
      <c r="R1538" s="9">
        <f>IF(L1538&gt;2005,AVERAGE(O1535:O1554),0)</f>
        <v>0</v>
      </c>
      <c r="S1538" s="10">
        <f>IF(A1538=A1539,(N1538-N1539)/N1539,0)</f>
        <v>0</v>
      </c>
      <c r="T1538" s="10">
        <f>IF(L1538&gt;2005,(((N1538-N1558)/N1558)+1)^(1/5)-1,0)</f>
        <v>0</v>
      </c>
      <c r="U1538" s="10">
        <f t="shared" si="54"/>
        <v>0</v>
      </c>
      <c r="V1538" s="26">
        <f t="shared" si="55"/>
        <v>0</v>
      </c>
      <c r="W1538" s="3">
        <f>IF(A1538=A1539,N1538-N1539,0)</f>
        <v>0</v>
      </c>
      <c r="X1538" s="10">
        <f>IF(A1538=A1539,(N1538-N1539)/N1539,0)</f>
        <v>0</v>
      </c>
    </row>
    <row r="1539" spans="1:24" ht="16.5" customHeight="1">
      <c r="A1539" s="3" t="s">
        <v>40</v>
      </c>
      <c r="B1539" s="3">
        <f t="shared" si="48"/>
        <v>2005</v>
      </c>
      <c r="C1539" s="3">
        <f t="shared" si="49"/>
        <v>2</v>
      </c>
      <c r="D1539" s="20" t="str">
        <f t="shared" si="50"/>
        <v>DOV20052</v>
      </c>
      <c r="E1539" s="2">
        <v>38407</v>
      </c>
      <c r="F1539" s="3">
        <v>0.16</v>
      </c>
      <c r="G1539" s="2">
        <v>38426</v>
      </c>
      <c r="H1539" s="3">
        <v>1.67E-2</v>
      </c>
      <c r="I1539" s="3">
        <v>0</v>
      </c>
      <c r="J1539" s="3">
        <v>0</v>
      </c>
      <c r="K1539" s="3">
        <f t="shared" si="51"/>
        <v>0</v>
      </c>
      <c r="L1539" s="3">
        <f t="shared" si="52"/>
        <v>2005</v>
      </c>
      <c r="M1539" s="20" t="str">
        <f>A1539&amp;L1539</f>
        <v>DOV2005</v>
      </c>
      <c r="N1539" s="3">
        <f>F1539</f>
        <v>0.16</v>
      </c>
      <c r="O1539" s="9">
        <f>H1539</f>
        <v>1.67E-2</v>
      </c>
      <c r="P1539" s="10">
        <f t="shared" si="53"/>
        <v>0</v>
      </c>
      <c r="Q1539" s="10">
        <f>IF(K1539=0,IF(A1536=A1539,AVERAGE(O1536:O1539),"x"),0)</f>
        <v>1.6574999999999999E-2</v>
      </c>
      <c r="R1539" s="9">
        <f>IF(L1539&gt;2005,AVERAGE(O1536:O1555),0)</f>
        <v>0</v>
      </c>
      <c r="S1539" s="10">
        <f>IF(A1539=A1540,(N1539-N1540)/N1540,0)</f>
        <v>0</v>
      </c>
      <c r="T1539" s="10">
        <f>IF(L1539&gt;2005,(((N1539-N1559)/N1559)+1)^(1/5)-1,0)</f>
        <v>0</v>
      </c>
      <c r="U1539" s="10">
        <f t="shared" si="54"/>
        <v>0</v>
      </c>
      <c r="V1539" s="26">
        <f t="shared" si="55"/>
        <v>0</v>
      </c>
      <c r="W1539" s="3">
        <f>IF(A1539=A1540,N1539-N1540,0)</f>
        <v>0</v>
      </c>
      <c r="X1539" s="10">
        <f>IF(A1539=A1540,(N1539-N1540)/N1540,0)</f>
        <v>0</v>
      </c>
    </row>
    <row r="1540" spans="1:24" ht="16.5" customHeight="1">
      <c r="A1540" s="3" t="s">
        <v>40</v>
      </c>
      <c r="B1540" s="3">
        <f t="shared" si="48"/>
        <v>2004</v>
      </c>
      <c r="C1540" s="3">
        <f t="shared" si="49"/>
        <v>11</v>
      </c>
      <c r="D1540" s="20" t="str">
        <f t="shared" si="50"/>
        <v>DOV200411</v>
      </c>
      <c r="E1540" s="2">
        <v>38317</v>
      </c>
      <c r="F1540" s="3">
        <v>0.16</v>
      </c>
      <c r="G1540" s="2">
        <v>38336</v>
      </c>
      <c r="H1540" s="3">
        <v>1.52E-2</v>
      </c>
      <c r="I1540" s="3">
        <v>0</v>
      </c>
      <c r="J1540" s="3">
        <v>0</v>
      </c>
      <c r="K1540" s="3">
        <f t="shared" si="51"/>
        <v>2004</v>
      </c>
      <c r="L1540" s="3">
        <f t="shared" si="52"/>
        <v>0</v>
      </c>
      <c r="M1540" s="20" t="str">
        <f>A1540&amp;L1540</f>
        <v>DOV0</v>
      </c>
      <c r="N1540" s="3">
        <f>F1540</f>
        <v>0.16</v>
      </c>
      <c r="O1540" s="9">
        <f>H1540</f>
        <v>1.52E-2</v>
      </c>
      <c r="P1540" s="10">
        <f t="shared" si="53"/>
        <v>0</v>
      </c>
      <c r="Q1540" s="10">
        <f>IF(K1540=0,IF(A1537=A1540,AVERAGE(O1537:O1540),"x"),0)</f>
        <v>0</v>
      </c>
      <c r="R1540" s="9">
        <f>IF(L1540&gt;2005,AVERAGE(O1537:O1556),0)</f>
        <v>0</v>
      </c>
      <c r="S1540" s="10">
        <f>IF(A1540=A1541,(N1540-N1541)/N1541,0)</f>
        <v>0</v>
      </c>
      <c r="T1540" s="10">
        <f>IF(L1540&gt;2005,(((N1540-N1560)/N1560)+1)^(1/5)-1,0)</f>
        <v>0</v>
      </c>
      <c r="U1540" s="10">
        <f t="shared" si="54"/>
        <v>0</v>
      </c>
      <c r="V1540" s="26">
        <f t="shared" si="55"/>
        <v>0</v>
      </c>
      <c r="W1540" s="3">
        <f>IF(A1540=A1541,N1540-N1541,0)</f>
        <v>0</v>
      </c>
      <c r="X1540" s="10">
        <f>IF(A1540=A1541,(N1540-N1541)/N1541,0)</f>
        <v>0</v>
      </c>
    </row>
    <row r="1541" spans="1:24" ht="16.5" customHeight="1">
      <c r="A1541" s="3" t="s">
        <v>40</v>
      </c>
      <c r="B1541" s="3">
        <f t="shared" si="48"/>
        <v>2004</v>
      </c>
      <c r="C1541" s="3">
        <f t="shared" si="49"/>
        <v>8</v>
      </c>
      <c r="D1541" s="20" t="str">
        <f t="shared" si="50"/>
        <v>DOV20048</v>
      </c>
      <c r="E1541" s="2">
        <v>38226</v>
      </c>
      <c r="F1541" s="3">
        <v>0.16</v>
      </c>
      <c r="G1541" s="2">
        <v>38245</v>
      </c>
      <c r="H1541" s="3">
        <v>1.5699999999999999E-2</v>
      </c>
      <c r="I1541" s="3">
        <v>6.6666666999999999E-2</v>
      </c>
      <c r="J1541" s="3">
        <v>0.01</v>
      </c>
      <c r="K1541" s="3">
        <f t="shared" si="51"/>
        <v>2004</v>
      </c>
      <c r="L1541" s="3">
        <f t="shared" si="52"/>
        <v>0</v>
      </c>
      <c r="M1541" s="20" t="str">
        <f>A1541&amp;L1541</f>
        <v>DOV0</v>
      </c>
      <c r="N1541" s="3">
        <f>F1541</f>
        <v>0.16</v>
      </c>
      <c r="O1541" s="9">
        <f>H1541</f>
        <v>1.5699999999999999E-2</v>
      </c>
      <c r="P1541" s="10">
        <f t="shared" si="53"/>
        <v>1.5374999999999998E-2</v>
      </c>
      <c r="Q1541" s="10">
        <f>IF(K1541=0,IF(A1538=A1541,AVERAGE(O1538:O1541),"x"),0)</f>
        <v>0</v>
      </c>
      <c r="R1541" s="9">
        <f>IF(L1541&gt;2005,AVERAGE(O1538:O1557),0)</f>
        <v>0</v>
      </c>
      <c r="S1541" s="10">
        <f>IF(A1541=A1542,(N1541-N1542)/N1542,0)</f>
        <v>6.6666666666666735E-2</v>
      </c>
      <c r="T1541" s="10">
        <f>IF(L1541&gt;2005,(((N1541-N1561)/N1561)+1)^(1/5)-1,0)</f>
        <v>0</v>
      </c>
      <c r="U1541" s="10">
        <f t="shared" si="54"/>
        <v>0</v>
      </c>
      <c r="V1541" s="26">
        <f t="shared" si="55"/>
        <v>0</v>
      </c>
      <c r="W1541" s="3">
        <f>IF(A1541=A1542,N1541-N1542,0)</f>
        <v>1.0000000000000009E-2</v>
      </c>
      <c r="X1541" s="10">
        <f>IF(A1541=A1542,(N1541-N1542)/N1542,0)</f>
        <v>6.6666666666666735E-2</v>
      </c>
    </row>
    <row r="1542" spans="1:24" ht="16.5" customHeight="1">
      <c r="A1542" s="3" t="s">
        <v>40</v>
      </c>
      <c r="B1542" s="3">
        <f t="shared" si="48"/>
        <v>2004</v>
      </c>
      <c r="C1542" s="3">
        <f t="shared" si="49"/>
        <v>5</v>
      </c>
      <c r="D1542" s="20" t="str">
        <f t="shared" si="50"/>
        <v>DOV20045</v>
      </c>
      <c r="E1542" s="2">
        <v>38133</v>
      </c>
      <c r="F1542" s="3">
        <v>0.15</v>
      </c>
      <c r="G1542" s="2">
        <v>38153</v>
      </c>
      <c r="H1542" s="3">
        <v>1.5699999999999999E-2</v>
      </c>
      <c r="I1542" s="3">
        <v>0</v>
      </c>
      <c r="J1542" s="3">
        <v>0</v>
      </c>
      <c r="K1542" s="3">
        <f t="shared" si="51"/>
        <v>2004</v>
      </c>
      <c r="L1542" s="3">
        <f t="shared" si="52"/>
        <v>0</v>
      </c>
      <c r="M1542" s="20" t="str">
        <f>A1542&amp;L1542</f>
        <v>DOV0</v>
      </c>
      <c r="N1542" s="3">
        <f>F1542</f>
        <v>0.15</v>
      </c>
      <c r="O1542" s="9">
        <f>H1542</f>
        <v>1.5699999999999999E-2</v>
      </c>
      <c r="P1542" s="10">
        <f t="shared" si="53"/>
        <v>0</v>
      </c>
      <c r="Q1542" s="10">
        <f>IF(K1542=0,IF(A1539=A1542,AVERAGE(O1539:O1542),"x"),0)</f>
        <v>0</v>
      </c>
      <c r="R1542" s="9">
        <f>IF(L1542&gt;2005,AVERAGE(O1539:O1558),0)</f>
        <v>0</v>
      </c>
      <c r="S1542" s="10">
        <f>IF(A1542=A1543,(N1542-N1543)/N1543,0)</f>
        <v>0</v>
      </c>
      <c r="T1542" s="10">
        <f>IF(L1542&gt;2005,(((N1542-N1562)/N1562)+1)^(1/5)-1,0)</f>
        <v>0</v>
      </c>
      <c r="U1542" s="10">
        <f t="shared" si="54"/>
        <v>0</v>
      </c>
      <c r="V1542" s="26">
        <f t="shared" si="55"/>
        <v>0</v>
      </c>
      <c r="W1542" s="3">
        <f>IF(A1542=A1543,N1542-N1543,0)</f>
        <v>0</v>
      </c>
      <c r="X1542" s="10">
        <f>IF(A1542=A1543,(N1542-N1543)/N1543,0)</f>
        <v>0</v>
      </c>
    </row>
    <row r="1543" spans="1:24" ht="16.5" customHeight="1">
      <c r="A1543" s="3" t="s">
        <v>40</v>
      </c>
      <c r="B1543" s="3">
        <f t="shared" si="48"/>
        <v>2004</v>
      </c>
      <c r="C1543" s="3">
        <f t="shared" si="49"/>
        <v>2</v>
      </c>
      <c r="D1543" s="20" t="str">
        <f t="shared" si="50"/>
        <v>DOV20042</v>
      </c>
      <c r="E1543" s="2">
        <v>38042</v>
      </c>
      <c r="F1543" s="3">
        <v>0.15</v>
      </c>
      <c r="G1543" s="2">
        <v>38061</v>
      </c>
      <c r="H1543" s="3">
        <v>1.49E-2</v>
      </c>
      <c r="I1543" s="3">
        <v>0</v>
      </c>
      <c r="J1543" s="3">
        <v>0</v>
      </c>
      <c r="K1543" s="3">
        <f t="shared" si="51"/>
        <v>0</v>
      </c>
      <c r="L1543" s="3">
        <f t="shared" si="52"/>
        <v>2004</v>
      </c>
      <c r="M1543" s="20" t="str">
        <f>A1543&amp;L1543</f>
        <v>DOV2004</v>
      </c>
      <c r="N1543" s="3">
        <f>F1543</f>
        <v>0.15</v>
      </c>
      <c r="O1543" s="9">
        <f>H1543</f>
        <v>1.49E-2</v>
      </c>
      <c r="P1543" s="10">
        <f t="shared" si="53"/>
        <v>0</v>
      </c>
      <c r="Q1543" s="10">
        <f>IF(K1543=0,IF(A1540=A1543,AVERAGE(O1540:O1543),"x"),0)</f>
        <v>1.5375E-2</v>
      </c>
      <c r="R1543" s="9">
        <f>IF(L1543&gt;2005,AVERAGE(O1540:O1559),0)</f>
        <v>0</v>
      </c>
      <c r="S1543" s="10">
        <f>IF(A1543=A1544,(N1543-N1544)/N1544,0)</f>
        <v>0</v>
      </c>
      <c r="T1543" s="10">
        <f>IF(L1543&gt;2005,(((N1543-N1563)/N1563)+1)^(1/5)-1,0)</f>
        <v>0</v>
      </c>
      <c r="U1543" s="10">
        <f t="shared" si="54"/>
        <v>0</v>
      </c>
      <c r="V1543" s="26">
        <f t="shared" si="55"/>
        <v>0</v>
      </c>
      <c r="W1543" s="3">
        <f>IF(A1543=A1544,N1543-N1544,0)</f>
        <v>0</v>
      </c>
      <c r="X1543" s="10">
        <f>IF(A1543=A1544,(N1543-N1544)/N1544,0)</f>
        <v>0</v>
      </c>
    </row>
    <row r="1544" spans="1:24" ht="16.5" customHeight="1">
      <c r="A1544" s="3" t="s">
        <v>40</v>
      </c>
      <c r="B1544" s="3">
        <f t="shared" si="48"/>
        <v>2003</v>
      </c>
      <c r="C1544" s="3">
        <f t="shared" si="49"/>
        <v>11</v>
      </c>
      <c r="D1544" s="20" t="str">
        <f t="shared" si="50"/>
        <v>DOV200311</v>
      </c>
      <c r="E1544" s="2">
        <v>37950</v>
      </c>
      <c r="F1544" s="3">
        <v>0.15</v>
      </c>
      <c r="G1544" s="2">
        <v>37967</v>
      </c>
      <c r="H1544" s="3">
        <v>1.52E-2</v>
      </c>
      <c r="I1544" s="3">
        <v>0</v>
      </c>
      <c r="J1544" s="3">
        <v>0</v>
      </c>
      <c r="K1544" s="3">
        <f t="shared" si="51"/>
        <v>2003</v>
      </c>
      <c r="L1544" s="3">
        <f t="shared" si="52"/>
        <v>0</v>
      </c>
      <c r="M1544" s="20" t="str">
        <f>A1544&amp;L1544</f>
        <v>DOV0</v>
      </c>
      <c r="N1544" s="3">
        <f>F1544</f>
        <v>0.15</v>
      </c>
      <c r="O1544" s="9">
        <f>H1544</f>
        <v>1.52E-2</v>
      </c>
      <c r="P1544" s="10">
        <f t="shared" si="53"/>
        <v>0</v>
      </c>
      <c r="Q1544" s="10">
        <f>IF(K1544=0,IF(A1541=A1544,AVERAGE(O1541:O1544),"x"),0)</f>
        <v>0</v>
      </c>
      <c r="R1544" s="9">
        <f>IF(L1544&gt;2005,AVERAGE(O1541:O1560),0)</f>
        <v>0</v>
      </c>
      <c r="S1544" s="10">
        <f>IF(A1544=A1545,(N1544-N1545)/N1545,0)</f>
        <v>0</v>
      </c>
      <c r="T1544" s="10">
        <f>IF(L1544&gt;2005,(((N1544-N1564)/N1564)+1)^(1/5)-1,0)</f>
        <v>0</v>
      </c>
      <c r="U1544" s="10">
        <f t="shared" si="54"/>
        <v>0</v>
      </c>
      <c r="V1544" s="26">
        <f t="shared" si="55"/>
        <v>0</v>
      </c>
      <c r="W1544" s="3">
        <f>IF(A1544=A1545,N1544-N1545,0)</f>
        <v>0</v>
      </c>
      <c r="X1544" s="10">
        <f>IF(A1544=A1545,(N1544-N1545)/N1545,0)</f>
        <v>0</v>
      </c>
    </row>
    <row r="1545" spans="1:24" ht="16.5" customHeight="1">
      <c r="A1545" s="3" t="s">
        <v>40</v>
      </c>
      <c r="B1545" s="3">
        <f t="shared" si="48"/>
        <v>2003</v>
      </c>
      <c r="C1545" s="3">
        <f t="shared" si="49"/>
        <v>8</v>
      </c>
      <c r="D1545" s="20" t="str">
        <f t="shared" si="50"/>
        <v>DOV20038</v>
      </c>
      <c r="E1545" s="2">
        <v>37860</v>
      </c>
      <c r="F1545" s="3">
        <v>0.15</v>
      </c>
      <c r="G1545" s="2">
        <v>37876</v>
      </c>
      <c r="H1545" s="3">
        <v>1.4800000000000001E-2</v>
      </c>
      <c r="I1545" s="3">
        <v>0.111111111</v>
      </c>
      <c r="J1545" s="3">
        <v>1.4999999999999999E-2</v>
      </c>
      <c r="K1545" s="3">
        <f t="shared" si="51"/>
        <v>2003</v>
      </c>
      <c r="L1545" s="3">
        <f t="shared" si="52"/>
        <v>0</v>
      </c>
      <c r="M1545" s="20" t="str">
        <f>A1545&amp;L1545</f>
        <v>DOV0</v>
      </c>
      <c r="N1545" s="3">
        <f>F1545</f>
        <v>0.15</v>
      </c>
      <c r="O1545" s="9">
        <f>H1545</f>
        <v>1.4800000000000001E-2</v>
      </c>
      <c r="P1545" s="10">
        <f t="shared" si="53"/>
        <v>1.7825000000000001E-2</v>
      </c>
      <c r="Q1545" s="10">
        <f>IF(K1545=0,IF(A1542=A1545,AVERAGE(O1542:O1545),"x"),0)</f>
        <v>0</v>
      </c>
      <c r="R1545" s="9">
        <f>IF(L1545&gt;2005,AVERAGE(O1542:O1561),0)</f>
        <v>0</v>
      </c>
      <c r="S1545" s="10">
        <f>IF(A1545=A1546,(N1545-N1546)/N1546,0)</f>
        <v>0.11111111111111099</v>
      </c>
      <c r="T1545" s="10">
        <f>IF(L1545&gt;2005,(((N1545-N1565)/N1565)+1)^(1/5)-1,0)</f>
        <v>0</v>
      </c>
      <c r="U1545" s="10">
        <f t="shared" si="54"/>
        <v>0</v>
      </c>
      <c r="V1545" s="26">
        <f t="shared" si="55"/>
        <v>0</v>
      </c>
      <c r="W1545" s="3">
        <f>IF(A1545=A1546,N1545-N1546,0)</f>
        <v>1.4999999999999986E-2</v>
      </c>
      <c r="X1545" s="10">
        <f>IF(A1545=A1546,(N1545-N1546)/N1546,0)</f>
        <v>0.11111111111111099</v>
      </c>
    </row>
    <row r="1546" spans="1:24" ht="16.5" customHeight="1">
      <c r="A1546" s="3" t="s">
        <v>40</v>
      </c>
      <c r="B1546" s="3">
        <f t="shared" si="48"/>
        <v>2003</v>
      </c>
      <c r="C1546" s="3">
        <f t="shared" si="49"/>
        <v>5</v>
      </c>
      <c r="D1546" s="20" t="str">
        <f t="shared" si="50"/>
        <v>DOV20035</v>
      </c>
      <c r="E1546" s="2">
        <v>37769</v>
      </c>
      <c r="F1546" s="3">
        <v>0.13500000000000001</v>
      </c>
      <c r="G1546" s="2">
        <v>37785</v>
      </c>
      <c r="H1546" s="3">
        <v>1.7899999999999999E-2</v>
      </c>
      <c r="I1546" s="3">
        <v>0</v>
      </c>
      <c r="J1546" s="3">
        <v>0</v>
      </c>
      <c r="K1546" s="3">
        <f t="shared" si="51"/>
        <v>2003</v>
      </c>
      <c r="L1546" s="3">
        <f t="shared" si="52"/>
        <v>0</v>
      </c>
      <c r="M1546" s="20" t="str">
        <f>A1546&amp;L1546</f>
        <v>DOV0</v>
      </c>
      <c r="N1546" s="3">
        <f>F1546</f>
        <v>0.13500000000000001</v>
      </c>
      <c r="O1546" s="9">
        <f>H1546</f>
        <v>1.7899999999999999E-2</v>
      </c>
      <c r="P1546" s="10">
        <f t="shared" si="53"/>
        <v>0</v>
      </c>
      <c r="Q1546" s="10">
        <f>IF(K1546=0,IF(A1543=A1546,AVERAGE(O1543:O1546),"x"),0)</f>
        <v>0</v>
      </c>
      <c r="R1546" s="9">
        <f>IF(L1546&gt;2005,AVERAGE(O1543:O1562),0)</f>
        <v>0</v>
      </c>
      <c r="S1546" s="10">
        <f>IF(A1546=A1547,(N1546-N1547)/N1547,0)</f>
        <v>0</v>
      </c>
      <c r="T1546" s="10">
        <f>IF(L1546&gt;2005,(((N1546-N1566)/N1566)+1)^(1/5)-1,0)</f>
        <v>0</v>
      </c>
      <c r="U1546" s="10">
        <f t="shared" si="54"/>
        <v>0</v>
      </c>
      <c r="V1546" s="26">
        <f t="shared" si="55"/>
        <v>0</v>
      </c>
      <c r="W1546" s="3">
        <f>IF(A1546=A1547,N1546-N1547,0)</f>
        <v>0</v>
      </c>
      <c r="X1546" s="10">
        <f>IF(A1546=A1547,(N1546-N1547)/N1547,0)</f>
        <v>0</v>
      </c>
    </row>
    <row r="1547" spans="1:24" ht="16.5" customHeight="1">
      <c r="A1547" s="3" t="s">
        <v>40</v>
      </c>
      <c r="B1547" s="3">
        <f t="shared" si="48"/>
        <v>2003</v>
      </c>
      <c r="C1547" s="3">
        <f t="shared" si="49"/>
        <v>2</v>
      </c>
      <c r="D1547" s="20" t="str">
        <f t="shared" si="50"/>
        <v>DOV20032</v>
      </c>
      <c r="E1547" s="2">
        <v>37678</v>
      </c>
      <c r="F1547" s="3">
        <v>0.13500000000000001</v>
      </c>
      <c r="G1547" s="2">
        <v>37694</v>
      </c>
      <c r="H1547" s="3">
        <v>2.1100000000000001E-2</v>
      </c>
      <c r="I1547" s="3">
        <v>0</v>
      </c>
      <c r="J1547" s="3">
        <v>0</v>
      </c>
      <c r="K1547" s="3">
        <f t="shared" si="51"/>
        <v>0</v>
      </c>
      <c r="L1547" s="3">
        <f t="shared" si="52"/>
        <v>2003</v>
      </c>
      <c r="M1547" s="20" t="str">
        <f>A1547&amp;L1547</f>
        <v>DOV2003</v>
      </c>
      <c r="N1547" s="3">
        <f>F1547</f>
        <v>0.13500000000000001</v>
      </c>
      <c r="O1547" s="9">
        <f>H1547</f>
        <v>2.1100000000000001E-2</v>
      </c>
      <c r="P1547" s="10">
        <f t="shared" si="53"/>
        <v>0</v>
      </c>
      <c r="Q1547" s="10">
        <f>IF(K1547=0,IF(A1544=A1547,AVERAGE(O1544:O1547),"x"),0)</f>
        <v>1.7250000000000001E-2</v>
      </c>
      <c r="R1547" s="9">
        <f>IF(L1547&gt;2005,AVERAGE(O1544:O1563),0)</f>
        <v>0</v>
      </c>
      <c r="S1547" s="10">
        <f>IF(A1547=A1548,(N1547-N1548)/N1548,0)</f>
        <v>0</v>
      </c>
      <c r="T1547" s="10">
        <f>IF(L1547&gt;2005,(((N1547-N1567)/N1567)+1)^(1/5)-1,0)</f>
        <v>0</v>
      </c>
      <c r="U1547" s="10">
        <f t="shared" si="54"/>
        <v>0</v>
      </c>
      <c r="V1547" s="26">
        <f t="shared" si="55"/>
        <v>0</v>
      </c>
      <c r="W1547" s="3">
        <f>IF(A1547=A1548,N1547-N1548,0)</f>
        <v>0</v>
      </c>
      <c r="X1547" s="10">
        <f>IF(A1547=A1548,(N1547-N1548)/N1548,0)</f>
        <v>0</v>
      </c>
    </row>
    <row r="1548" spans="1:24" ht="16.5" customHeight="1">
      <c r="A1548" s="3" t="s">
        <v>40</v>
      </c>
      <c r="B1548" s="3">
        <f t="shared" si="48"/>
        <v>2002</v>
      </c>
      <c r="C1548" s="3">
        <f t="shared" si="49"/>
        <v>11</v>
      </c>
      <c r="D1548" s="20" t="str">
        <f t="shared" si="50"/>
        <v>DOV200211</v>
      </c>
      <c r="E1548" s="2">
        <v>37586</v>
      </c>
      <c r="F1548" s="3">
        <v>0.13500000000000001</v>
      </c>
      <c r="G1548" s="2">
        <v>37603</v>
      </c>
      <c r="H1548" s="3">
        <v>1.7500000000000002E-2</v>
      </c>
      <c r="I1548" s="3">
        <v>0</v>
      </c>
      <c r="J1548" s="3">
        <v>0</v>
      </c>
      <c r="K1548" s="3">
        <f t="shared" si="51"/>
        <v>2002</v>
      </c>
      <c r="L1548" s="3">
        <f t="shared" si="52"/>
        <v>0</v>
      </c>
      <c r="M1548" s="20" t="str">
        <f>A1548&amp;L1548</f>
        <v>DOV0</v>
      </c>
      <c r="N1548" s="3">
        <f>F1548</f>
        <v>0.13500000000000001</v>
      </c>
      <c r="O1548" s="9">
        <f>H1548</f>
        <v>1.7500000000000002E-2</v>
      </c>
      <c r="P1548" s="10">
        <f t="shared" si="53"/>
        <v>0</v>
      </c>
      <c r="Q1548" s="10">
        <f>IF(K1548=0,IF(A1545=A1548,AVERAGE(O1545:O1548),"x"),0)</f>
        <v>0</v>
      </c>
      <c r="R1548" s="9">
        <f>IF(L1548&gt;2005,AVERAGE(O1545:O1564),0)</f>
        <v>0</v>
      </c>
      <c r="S1548" s="10">
        <f>IF(A1548=A1549,(N1548-N1549)/N1549,0)</f>
        <v>0</v>
      </c>
      <c r="T1548" s="10">
        <f>IF(L1548&gt;2005,(((N1548-N1568)/N1568)+1)^(1/5)-1,0)</f>
        <v>0</v>
      </c>
      <c r="U1548" s="10">
        <f t="shared" si="54"/>
        <v>0</v>
      </c>
      <c r="V1548" s="26">
        <f t="shared" si="55"/>
        <v>0</v>
      </c>
      <c r="W1548" s="3">
        <f>IF(A1548=A1549,N1548-N1549,0)</f>
        <v>0</v>
      </c>
      <c r="X1548" s="10">
        <f>IF(A1548=A1549,(N1548-N1549)/N1549,0)</f>
        <v>0</v>
      </c>
    </row>
    <row r="1549" spans="1:24" ht="16.5" customHeight="1">
      <c r="A1549" s="3" t="s">
        <v>40</v>
      </c>
      <c r="B1549" s="3">
        <f t="shared" si="48"/>
        <v>2002</v>
      </c>
      <c r="C1549" s="3">
        <f t="shared" si="49"/>
        <v>8</v>
      </c>
      <c r="D1549" s="20" t="str">
        <f t="shared" si="50"/>
        <v>DOV20028</v>
      </c>
      <c r="E1549" s="2">
        <v>37496</v>
      </c>
      <c r="F1549" s="3">
        <v>0.13500000000000001</v>
      </c>
      <c r="G1549" s="2">
        <v>37512</v>
      </c>
      <c r="H1549" s="3">
        <v>1.8499999999999999E-2</v>
      </c>
      <c r="I1549" s="3">
        <v>0</v>
      </c>
      <c r="J1549" s="3">
        <v>0</v>
      </c>
      <c r="K1549" s="3">
        <f t="shared" si="51"/>
        <v>2002</v>
      </c>
      <c r="L1549" s="3">
        <f t="shared" si="52"/>
        <v>0</v>
      </c>
      <c r="M1549" s="20" t="str">
        <f>A1549&amp;L1549</f>
        <v>DOV0</v>
      </c>
      <c r="N1549" s="3">
        <f>F1549</f>
        <v>0.13500000000000001</v>
      </c>
      <c r="O1549" s="9">
        <f>H1549</f>
        <v>1.8499999999999999E-2</v>
      </c>
      <c r="P1549" s="10">
        <f t="shared" si="53"/>
        <v>0</v>
      </c>
      <c r="Q1549" s="10">
        <f>IF(K1549=0,IF(A1546=A1549,AVERAGE(O1546:O1549),"x"),0)</f>
        <v>0</v>
      </c>
      <c r="R1549" s="9">
        <f>IF(L1549&gt;2005,AVERAGE(O1546:O1565),0)</f>
        <v>0</v>
      </c>
      <c r="S1549" s="10">
        <f>IF(A1549=A1550,(N1549-N1550)/N1550,0)</f>
        <v>0</v>
      </c>
      <c r="T1549" s="10">
        <f>IF(L1549&gt;2005,(((N1549-N1569)/N1569)+1)^(1/5)-1,0)</f>
        <v>0</v>
      </c>
      <c r="U1549" s="10">
        <f t="shared" si="54"/>
        <v>0</v>
      </c>
      <c r="V1549" s="26">
        <f t="shared" si="55"/>
        <v>0</v>
      </c>
      <c r="W1549" s="3">
        <f>IF(A1549=A1550,N1549-N1550,0)</f>
        <v>0</v>
      </c>
      <c r="X1549" s="10">
        <f>IF(A1549=A1550,(N1549-N1550)/N1550,0)</f>
        <v>0</v>
      </c>
    </row>
    <row r="1550" spans="1:24" ht="16.5" customHeight="1">
      <c r="A1550" s="3" t="s">
        <v>40</v>
      </c>
      <c r="B1550" s="3">
        <f t="shared" si="48"/>
        <v>2002</v>
      </c>
      <c r="C1550" s="3">
        <f t="shared" si="49"/>
        <v>5</v>
      </c>
      <c r="D1550" s="20" t="str">
        <f t="shared" si="50"/>
        <v>DOV20025</v>
      </c>
      <c r="E1550" s="2">
        <v>37405</v>
      </c>
      <c r="F1550" s="3">
        <v>0.13500000000000001</v>
      </c>
      <c r="G1550" s="2">
        <v>37421</v>
      </c>
      <c r="H1550" s="3">
        <v>1.47E-2</v>
      </c>
      <c r="I1550" s="3">
        <v>0</v>
      </c>
      <c r="J1550" s="3">
        <v>0</v>
      </c>
      <c r="K1550" s="3">
        <f t="shared" si="51"/>
        <v>2002</v>
      </c>
      <c r="L1550" s="3">
        <f t="shared" si="52"/>
        <v>0</v>
      </c>
      <c r="M1550" s="20" t="str">
        <f>A1550&amp;L1550</f>
        <v>DOV0</v>
      </c>
      <c r="N1550" s="3">
        <f>F1550</f>
        <v>0.13500000000000001</v>
      </c>
      <c r="O1550" s="9">
        <f>H1550</f>
        <v>1.47E-2</v>
      </c>
      <c r="P1550" s="10">
        <f t="shared" si="53"/>
        <v>0</v>
      </c>
      <c r="Q1550" s="10">
        <f>IF(K1550=0,IF(A1547=A1550,AVERAGE(O1547:O1550),"x"),0)</f>
        <v>0</v>
      </c>
      <c r="R1550" s="9">
        <f>IF(L1550&gt;2005,AVERAGE(O1547:O1566),0)</f>
        <v>0</v>
      </c>
      <c r="S1550" s="10">
        <f>IF(A1550=A1551,(N1550-N1551)/N1551,0)</f>
        <v>0</v>
      </c>
      <c r="T1550" s="10">
        <f>IF(L1550&gt;2005,(((N1550-N1570)/N1570)+1)^(1/5)-1,0)</f>
        <v>0</v>
      </c>
      <c r="U1550" s="10">
        <f t="shared" si="54"/>
        <v>0</v>
      </c>
      <c r="V1550" s="26">
        <f t="shared" si="55"/>
        <v>0</v>
      </c>
      <c r="W1550" s="3">
        <f>IF(A1550=A1551,N1550-N1551,0)</f>
        <v>0</v>
      </c>
      <c r="X1550" s="10">
        <f>IF(A1550=A1551,(N1550-N1551)/N1551,0)</f>
        <v>0</v>
      </c>
    </row>
    <row r="1551" spans="1:24" ht="16.5" customHeight="1">
      <c r="A1551" s="3" t="s">
        <v>40</v>
      </c>
      <c r="B1551" s="3">
        <f t="shared" si="48"/>
        <v>2002</v>
      </c>
      <c r="C1551" s="3">
        <f t="shared" si="49"/>
        <v>2</v>
      </c>
      <c r="D1551" s="20" t="str">
        <f t="shared" si="50"/>
        <v>DOV20022</v>
      </c>
      <c r="E1551" s="2">
        <v>37313</v>
      </c>
      <c r="F1551" s="3">
        <v>0.13500000000000001</v>
      </c>
      <c r="G1551" s="2">
        <v>37330</v>
      </c>
      <c r="H1551" s="3">
        <v>1.34E-2</v>
      </c>
      <c r="I1551" s="3">
        <v>0</v>
      </c>
      <c r="J1551" s="3">
        <v>0</v>
      </c>
      <c r="K1551" s="3">
        <f t="shared" si="51"/>
        <v>0</v>
      </c>
      <c r="L1551" s="3">
        <f t="shared" si="52"/>
        <v>2002</v>
      </c>
      <c r="M1551" s="20" t="str">
        <f>A1551&amp;L1551</f>
        <v>DOV2002</v>
      </c>
      <c r="N1551" s="3">
        <f>F1551</f>
        <v>0.13500000000000001</v>
      </c>
      <c r="O1551" s="9">
        <f>H1551</f>
        <v>1.34E-2</v>
      </c>
      <c r="P1551" s="10">
        <f t="shared" si="53"/>
        <v>0</v>
      </c>
      <c r="Q1551" s="10">
        <f>IF(K1551=0,IF(A1548=A1551,AVERAGE(O1548:O1551),"x"),0)</f>
        <v>1.6025000000000001E-2</v>
      </c>
      <c r="R1551" s="9">
        <f>IF(L1551&gt;2005,AVERAGE(O1548:O1567),0)</f>
        <v>0</v>
      </c>
      <c r="S1551" s="10">
        <f>IF(A1551=A1552,(N1551-N1552)/N1552,0)</f>
        <v>0</v>
      </c>
      <c r="T1551" s="10">
        <f>IF(L1551&gt;2005,(((N1551-N1571)/N1571)+1)^(1/5)-1,0)</f>
        <v>0</v>
      </c>
      <c r="U1551" s="10">
        <f t="shared" si="54"/>
        <v>0</v>
      </c>
      <c r="V1551" s="26">
        <f t="shared" si="55"/>
        <v>0</v>
      </c>
      <c r="W1551" s="3">
        <f>IF(A1551=A1552,N1551-N1552,0)</f>
        <v>0</v>
      </c>
      <c r="X1551" s="10">
        <f>IF(A1551=A1552,(N1551-N1552)/N1552,0)</f>
        <v>0</v>
      </c>
    </row>
    <row r="1552" spans="1:24" ht="16.5" customHeight="1">
      <c r="A1552" s="3" t="s">
        <v>40</v>
      </c>
      <c r="B1552" s="3">
        <f t="shared" si="48"/>
        <v>2001</v>
      </c>
      <c r="C1552" s="3">
        <f t="shared" si="49"/>
        <v>11</v>
      </c>
      <c r="D1552" s="20" t="str">
        <f t="shared" si="50"/>
        <v>DOV200111</v>
      </c>
      <c r="E1552" s="2">
        <v>37223</v>
      </c>
      <c r="F1552" s="3">
        <v>0.13500000000000001</v>
      </c>
      <c r="G1552" s="2">
        <v>37239</v>
      </c>
      <c r="H1552" s="3">
        <v>1.38E-2</v>
      </c>
      <c r="I1552" s="3">
        <v>0</v>
      </c>
      <c r="J1552" s="3">
        <v>0</v>
      </c>
      <c r="K1552" s="3">
        <f t="shared" si="51"/>
        <v>2001</v>
      </c>
      <c r="L1552" s="3">
        <f t="shared" si="52"/>
        <v>0</v>
      </c>
      <c r="M1552" s="20" t="str">
        <f>A1552&amp;L1552</f>
        <v>DOV0</v>
      </c>
      <c r="N1552" s="3">
        <f>F1552</f>
        <v>0.13500000000000001</v>
      </c>
      <c r="O1552" s="9">
        <f>H1552</f>
        <v>1.38E-2</v>
      </c>
      <c r="P1552" s="10">
        <f t="shared" si="53"/>
        <v>0</v>
      </c>
      <c r="Q1552" s="10">
        <f>IF(K1552=0,IF(A1549=A1552,AVERAGE(O1549:O1552),"x"),0)</f>
        <v>0</v>
      </c>
      <c r="R1552" s="9">
        <f>IF(L1552&gt;2005,AVERAGE(O1549:O1568),0)</f>
        <v>0</v>
      </c>
      <c r="S1552" s="10">
        <f>IF(A1552=A1553,(N1552-N1553)/N1553,0)</f>
        <v>0</v>
      </c>
      <c r="T1552" s="10">
        <f>IF(L1552&gt;2005,(((N1552-N1572)/N1572)+1)^(1/5)-1,0)</f>
        <v>0</v>
      </c>
      <c r="U1552" s="10">
        <f t="shared" si="54"/>
        <v>0</v>
      </c>
      <c r="V1552" s="26">
        <f t="shared" si="55"/>
        <v>0</v>
      </c>
      <c r="W1552" s="3">
        <f>IF(A1552=A1553,N1552-N1553,0)</f>
        <v>0</v>
      </c>
      <c r="X1552" s="10">
        <f>IF(A1552=A1553,(N1552-N1553)/N1553,0)</f>
        <v>0</v>
      </c>
    </row>
    <row r="1553" spans="1:24" ht="16.5" customHeight="1">
      <c r="A1553" s="3" t="s">
        <v>40</v>
      </c>
      <c r="B1553" s="3">
        <f t="shared" si="48"/>
        <v>2001</v>
      </c>
      <c r="C1553" s="3">
        <f t="shared" si="49"/>
        <v>8</v>
      </c>
      <c r="D1553" s="20" t="str">
        <f t="shared" si="50"/>
        <v>DOV20018</v>
      </c>
      <c r="E1553" s="2">
        <v>37132</v>
      </c>
      <c r="F1553" s="3">
        <v>0.13500000000000001</v>
      </c>
      <c r="G1553" s="2">
        <v>37148</v>
      </c>
      <c r="H1553" s="3">
        <v>1.37E-2</v>
      </c>
      <c r="I1553" s="3">
        <v>0.08</v>
      </c>
      <c r="J1553" s="3">
        <v>0.01</v>
      </c>
      <c r="K1553" s="3">
        <f t="shared" si="51"/>
        <v>2001</v>
      </c>
      <c r="L1553" s="3">
        <f t="shared" si="52"/>
        <v>0</v>
      </c>
      <c r="M1553" s="20" t="str">
        <f>A1553&amp;L1553</f>
        <v>DOV0</v>
      </c>
      <c r="N1553" s="3">
        <f>F1553</f>
        <v>0.13500000000000001</v>
      </c>
      <c r="O1553" s="9">
        <f>H1553</f>
        <v>1.37E-2</v>
      </c>
      <c r="P1553" s="10">
        <f t="shared" si="53"/>
        <v>1.2225E-2</v>
      </c>
      <c r="Q1553" s="10">
        <f>IF(K1553=0,IF(A1550=A1553,AVERAGE(O1550:O1553),"x"),0)</f>
        <v>0</v>
      </c>
      <c r="R1553" s="9">
        <f>IF(L1553&gt;2005,AVERAGE(O1550:O1569),0)</f>
        <v>0</v>
      </c>
      <c r="S1553" s="10">
        <f>IF(A1553=A1554,(N1553-N1554)/N1554,0)</f>
        <v>8.0000000000000071E-2</v>
      </c>
      <c r="T1553" s="10">
        <f>IF(L1553&gt;2005,(((N1553-N1573)/N1573)+1)^(1/5)-1,0)</f>
        <v>0</v>
      </c>
      <c r="U1553" s="10">
        <f t="shared" si="54"/>
        <v>0</v>
      </c>
      <c r="V1553" s="26">
        <f t="shared" si="55"/>
        <v>0</v>
      </c>
      <c r="W1553" s="3">
        <f>IF(A1553=A1554,N1553-N1554,0)</f>
        <v>1.0000000000000009E-2</v>
      </c>
      <c r="X1553" s="10">
        <f>IF(A1553=A1554,(N1553-N1554)/N1554,0)</f>
        <v>8.0000000000000071E-2</v>
      </c>
    </row>
    <row r="1554" spans="1:24" ht="16.5" customHeight="1">
      <c r="A1554" s="3" t="s">
        <v>40</v>
      </c>
      <c r="B1554" s="3">
        <f t="shared" si="48"/>
        <v>2001</v>
      </c>
      <c r="C1554" s="3">
        <f t="shared" si="49"/>
        <v>5</v>
      </c>
      <c r="D1554" s="20" t="str">
        <f t="shared" si="50"/>
        <v>DOV20015</v>
      </c>
      <c r="E1554" s="2">
        <v>37040</v>
      </c>
      <c r="F1554" s="3">
        <v>0.125</v>
      </c>
      <c r="G1554" s="2">
        <v>37057</v>
      </c>
      <c r="H1554" s="3">
        <v>1.1599999999999999E-2</v>
      </c>
      <c r="I1554" s="3">
        <v>0</v>
      </c>
      <c r="J1554" s="3">
        <v>0</v>
      </c>
      <c r="K1554" s="3">
        <f t="shared" si="51"/>
        <v>2001</v>
      </c>
      <c r="L1554" s="3">
        <f t="shared" si="52"/>
        <v>0</v>
      </c>
      <c r="M1554" s="20" t="str">
        <f>A1554&amp;L1554</f>
        <v>DOV0</v>
      </c>
      <c r="N1554" s="3">
        <f>F1554</f>
        <v>0.125</v>
      </c>
      <c r="O1554" s="9">
        <f>H1554</f>
        <v>1.1599999999999999E-2</v>
      </c>
      <c r="P1554" s="10">
        <f t="shared" si="53"/>
        <v>0</v>
      </c>
      <c r="Q1554" s="10">
        <f>IF(K1554=0,IF(A1551=A1554,AVERAGE(O1551:O1554),"x"),0)</f>
        <v>0</v>
      </c>
      <c r="R1554" s="9">
        <f>IF(L1554&gt;2005,AVERAGE(O1551:O1570),0)</f>
        <v>0</v>
      </c>
      <c r="S1554" s="10">
        <f>IF(A1554=A1555,(N1554-N1555)/N1555,0)</f>
        <v>0</v>
      </c>
      <c r="T1554" s="10">
        <f>IF(L1554&gt;2005,(((N1554-N1574)/N1574)+1)^(1/5)-1,0)</f>
        <v>0</v>
      </c>
      <c r="U1554" s="10">
        <f t="shared" si="54"/>
        <v>0</v>
      </c>
      <c r="V1554" s="26">
        <f t="shared" si="55"/>
        <v>0</v>
      </c>
      <c r="W1554" s="3">
        <f>IF(A1554=A1555,N1554-N1555,0)</f>
        <v>0</v>
      </c>
      <c r="X1554" s="10">
        <f>IF(A1554=A1555,(N1554-N1555)/N1555,0)</f>
        <v>0</v>
      </c>
    </row>
    <row r="1555" spans="1:24" ht="16.5" customHeight="1">
      <c r="A1555" s="3" t="s">
        <v>40</v>
      </c>
      <c r="B1555" s="3">
        <f t="shared" si="48"/>
        <v>2001</v>
      </c>
      <c r="C1555" s="3">
        <f t="shared" si="49"/>
        <v>2</v>
      </c>
      <c r="D1555" s="20" t="str">
        <f t="shared" si="50"/>
        <v>DOV20012</v>
      </c>
      <c r="E1555" s="2">
        <v>36948</v>
      </c>
      <c r="F1555" s="3">
        <v>0.125</v>
      </c>
      <c r="G1555" s="2">
        <v>36965</v>
      </c>
      <c r="H1555" s="3">
        <v>1.26E-2</v>
      </c>
      <c r="I1555" s="3">
        <v>0</v>
      </c>
      <c r="J1555" s="3">
        <v>0</v>
      </c>
      <c r="K1555" s="3">
        <f t="shared" si="51"/>
        <v>0</v>
      </c>
      <c r="L1555" s="3">
        <f t="shared" si="52"/>
        <v>2001</v>
      </c>
      <c r="M1555" s="20" t="str">
        <f>A1555&amp;L1555</f>
        <v>DOV2001</v>
      </c>
      <c r="N1555" s="3">
        <f>F1555</f>
        <v>0.125</v>
      </c>
      <c r="O1555" s="9">
        <f>H1555</f>
        <v>1.26E-2</v>
      </c>
      <c r="P1555" s="10">
        <f t="shared" si="53"/>
        <v>0</v>
      </c>
      <c r="Q1555" s="10">
        <f>IF(K1555=0,IF(A1552=A1555,AVERAGE(O1552:O1555),"x"),0)</f>
        <v>1.2924999999999999E-2</v>
      </c>
      <c r="R1555" s="9">
        <f>IF(L1555&gt;2005,AVERAGE(O1552:O1571),0)</f>
        <v>0</v>
      </c>
      <c r="S1555" s="10">
        <f>IF(A1555=A1556,(N1555-N1556)/N1556,0)</f>
        <v>0</v>
      </c>
      <c r="T1555" s="10">
        <f>IF(L1555&gt;2005,(((N1555-N1575)/N1575)+1)^(1/5)-1,0)</f>
        <v>0</v>
      </c>
      <c r="U1555" s="10">
        <f t="shared" si="54"/>
        <v>0</v>
      </c>
      <c r="V1555" s="26">
        <f t="shared" si="55"/>
        <v>0</v>
      </c>
      <c r="W1555" s="3">
        <f>IF(A1555=A1556,N1555-N1556,0)</f>
        <v>0</v>
      </c>
      <c r="X1555" s="10">
        <f>IF(A1555=A1556,(N1555-N1556)/N1556,0)</f>
        <v>0</v>
      </c>
    </row>
    <row r="1556" spans="1:24" ht="16.5" customHeight="1">
      <c r="A1556" s="3" t="s">
        <v>40</v>
      </c>
      <c r="B1556" s="3">
        <f t="shared" si="48"/>
        <v>2000</v>
      </c>
      <c r="C1556" s="3">
        <f t="shared" si="49"/>
        <v>11</v>
      </c>
      <c r="D1556" s="20" t="str">
        <f t="shared" si="50"/>
        <v>DOV200011</v>
      </c>
      <c r="E1556" s="2">
        <v>36858</v>
      </c>
      <c r="F1556" s="3">
        <v>0.125</v>
      </c>
      <c r="G1556" s="2">
        <v>36875</v>
      </c>
      <c r="H1556" s="3">
        <v>1.0999999999999999E-2</v>
      </c>
      <c r="I1556" s="3">
        <v>0</v>
      </c>
      <c r="J1556" s="3">
        <v>0</v>
      </c>
      <c r="K1556" s="3">
        <f t="shared" si="51"/>
        <v>2000</v>
      </c>
      <c r="L1556" s="3">
        <f t="shared" si="52"/>
        <v>0</v>
      </c>
      <c r="M1556" s="20" t="str">
        <f>A1556&amp;L1556</f>
        <v>DOV0</v>
      </c>
      <c r="N1556" s="3">
        <f>F1556</f>
        <v>0.125</v>
      </c>
      <c r="O1556" s="9">
        <f>H1556</f>
        <v>1.0999999999999999E-2</v>
      </c>
      <c r="P1556" s="10">
        <f t="shared" si="53"/>
        <v>0</v>
      </c>
      <c r="Q1556" s="10">
        <f>IF(K1556=0,IF(A1553=A1556,AVERAGE(O1553:O1556),"x"),0)</f>
        <v>0</v>
      </c>
      <c r="R1556" s="9">
        <f>IF(L1556&gt;2005,AVERAGE(O1553:O1572),0)</f>
        <v>0</v>
      </c>
      <c r="S1556" s="10">
        <f>IF(A1556=A1557,(N1556-N1557)/N1557,0)</f>
        <v>0</v>
      </c>
      <c r="T1556" s="10">
        <f>IF(L1556&gt;2005,(((N1556-N1576)/N1576)+1)^(1/5)-1,0)</f>
        <v>0</v>
      </c>
      <c r="U1556" s="10">
        <f t="shared" si="54"/>
        <v>0</v>
      </c>
      <c r="V1556" s="26">
        <f t="shared" si="55"/>
        <v>0</v>
      </c>
      <c r="W1556" s="3">
        <f>IF(A1556=A1557,N1556-N1557,0)</f>
        <v>0</v>
      </c>
      <c r="X1556" s="10">
        <f>IF(A1556=A1557,(N1556-N1557)/N1557,0)</f>
        <v>0</v>
      </c>
    </row>
    <row r="1557" spans="1:24" ht="16.5" customHeight="1">
      <c r="A1557" s="3" t="s">
        <v>40</v>
      </c>
      <c r="B1557" s="3">
        <f t="shared" si="48"/>
        <v>2000</v>
      </c>
      <c r="C1557" s="3">
        <f t="shared" si="49"/>
        <v>8</v>
      </c>
      <c r="D1557" s="20" t="str">
        <f t="shared" si="50"/>
        <v>DOV20008</v>
      </c>
      <c r="E1557" s="2">
        <v>36767</v>
      </c>
      <c r="F1557" s="3">
        <v>0.125</v>
      </c>
      <c r="G1557" s="2">
        <v>36784</v>
      </c>
      <c r="H1557" s="3">
        <v>9.4999999999999998E-3</v>
      </c>
      <c r="I1557" s="3">
        <v>8.6956521999999994E-2</v>
      </c>
      <c r="J1557" s="3">
        <v>0.01</v>
      </c>
      <c r="K1557" s="3">
        <f t="shared" si="51"/>
        <v>2000</v>
      </c>
      <c r="L1557" s="3">
        <f t="shared" si="52"/>
        <v>0</v>
      </c>
      <c r="M1557" s="20" t="str">
        <f>A1557&amp;L1557</f>
        <v>DOV0</v>
      </c>
      <c r="N1557" s="3">
        <f>F1557</f>
        <v>0.125</v>
      </c>
      <c r="O1557" s="9">
        <f>H1557</f>
        <v>9.4999999999999998E-3</v>
      </c>
      <c r="P1557" s="10">
        <f t="shared" si="53"/>
        <v>1.4075000000000001E-2</v>
      </c>
      <c r="Q1557" s="10">
        <f>IF(K1557=0,IF(A1554=A1557,AVERAGE(O1554:O1557),"x"),0)</f>
        <v>0</v>
      </c>
      <c r="R1557" s="9">
        <f>IF(L1557&gt;2005,AVERAGE(O1554:O1573),0)</f>
        <v>0</v>
      </c>
      <c r="S1557" s="10">
        <f>IF(A1557=A1558,(N1557-N1558)/N1558,0)</f>
        <v>8.6956521739130391E-2</v>
      </c>
      <c r="T1557" s="10">
        <f>IF(L1557&gt;2005,(((N1557-N1577)/N1577)+1)^(1/5)-1,0)</f>
        <v>0</v>
      </c>
      <c r="U1557" s="10">
        <f t="shared" si="54"/>
        <v>0</v>
      </c>
      <c r="V1557" s="26">
        <f t="shared" si="55"/>
        <v>0</v>
      </c>
      <c r="W1557" s="3">
        <f>IF(A1557=A1558,N1557-N1558,0)</f>
        <v>9.999999999999995E-3</v>
      </c>
      <c r="X1557" s="10">
        <f>IF(A1557=A1558,(N1557-N1558)/N1558,0)</f>
        <v>8.6956521739130391E-2</v>
      </c>
    </row>
    <row r="1558" spans="1:24" ht="16.5" customHeight="1">
      <c r="A1558" s="3" t="s">
        <v>40</v>
      </c>
      <c r="B1558" s="3">
        <f t="shared" si="48"/>
        <v>2000</v>
      </c>
      <c r="C1558" s="3">
        <f t="shared" si="49"/>
        <v>5</v>
      </c>
      <c r="D1558" s="20" t="str">
        <f t="shared" si="50"/>
        <v>DOV20005</v>
      </c>
      <c r="E1558" s="2">
        <v>36670</v>
      </c>
      <c r="F1558" s="3">
        <v>0.115</v>
      </c>
      <c r="G1558" s="2">
        <v>36692</v>
      </c>
      <c r="H1558" s="3">
        <v>9.1999999999999998E-3</v>
      </c>
      <c r="I1558" s="3">
        <v>0</v>
      </c>
      <c r="J1558" s="3">
        <v>0</v>
      </c>
      <c r="K1558" s="3">
        <f t="shared" si="51"/>
        <v>2000</v>
      </c>
      <c r="L1558" s="3">
        <f t="shared" si="52"/>
        <v>0</v>
      </c>
      <c r="M1558" s="20" t="str">
        <f>A1558&amp;L1558</f>
        <v>DOV0</v>
      </c>
      <c r="N1558" s="3">
        <f>F1558</f>
        <v>0.115</v>
      </c>
      <c r="O1558" s="9">
        <f>H1558</f>
        <v>9.1999999999999998E-3</v>
      </c>
      <c r="P1558" s="10">
        <f t="shared" si="53"/>
        <v>0</v>
      </c>
      <c r="Q1558" s="10">
        <f>IF(K1558=0,IF(A1555=A1558,AVERAGE(O1555:O1558),"x"),0)</f>
        <v>0</v>
      </c>
      <c r="R1558" s="9">
        <f>IF(L1558&gt;2005,AVERAGE(O1555:O1574),0)</f>
        <v>0</v>
      </c>
      <c r="S1558" s="10">
        <f>IF(A1558=A1559,(N1558-N1559)/N1559,0)</f>
        <v>0</v>
      </c>
      <c r="T1558" s="10">
        <f>IF(L1558&gt;2005,(((N1558-N1578)/N1578)+1)^(1/5)-1,0)</f>
        <v>0</v>
      </c>
      <c r="U1558" s="10">
        <f t="shared" si="54"/>
        <v>0</v>
      </c>
      <c r="V1558" s="26">
        <f t="shared" si="55"/>
        <v>0</v>
      </c>
      <c r="W1558" s="3">
        <f>IF(A1558=A1559,N1558-N1559,0)</f>
        <v>0</v>
      </c>
      <c r="X1558" s="10">
        <f>IF(A1558=A1559,(N1558-N1559)/N1559,0)</f>
        <v>0</v>
      </c>
    </row>
    <row r="1559" spans="1:24" ht="16.5" customHeight="1">
      <c r="A1559" s="14" t="s">
        <v>40</v>
      </c>
      <c r="B1559" s="3">
        <f t="shared" si="48"/>
        <v>2000</v>
      </c>
      <c r="C1559" s="3">
        <f t="shared" si="49"/>
        <v>2</v>
      </c>
      <c r="D1559" s="20" t="str">
        <f t="shared" si="50"/>
        <v>DOV20002</v>
      </c>
      <c r="E1559" s="15">
        <v>36581</v>
      </c>
      <c r="F1559" s="14">
        <v>0.115</v>
      </c>
      <c r="G1559" s="15">
        <v>36600</v>
      </c>
      <c r="H1559" s="14">
        <v>1.18E-2</v>
      </c>
      <c r="I1559" s="14">
        <v>0</v>
      </c>
      <c r="J1559" s="14">
        <v>0</v>
      </c>
      <c r="K1559" s="3">
        <f t="shared" si="51"/>
        <v>0</v>
      </c>
      <c r="L1559" s="3">
        <f t="shared" si="52"/>
        <v>2000</v>
      </c>
      <c r="M1559" s="20" t="str">
        <f>A1559&amp;L1559</f>
        <v>DOV2000</v>
      </c>
      <c r="N1559" s="14">
        <f>F1559</f>
        <v>0.115</v>
      </c>
      <c r="O1559" s="9">
        <f>H1559</f>
        <v>1.18E-2</v>
      </c>
      <c r="P1559" s="10">
        <f t="shared" si="53"/>
        <v>0</v>
      </c>
      <c r="Q1559" s="10">
        <f>IF(K1559=0,IF(A1556=A1559,AVERAGE(O1556:O1559),"x"),0)</f>
        <v>1.0374999999999999E-2</v>
      </c>
      <c r="R1559" s="9">
        <f>IF(L1559&gt;2005,AVERAGE(O1556:O1575),0)</f>
        <v>0</v>
      </c>
      <c r="S1559" s="10">
        <f>IF(A1559=A1560,(N1559-N1560)/N1560,0)</f>
        <v>0</v>
      </c>
      <c r="T1559" s="10">
        <f>IF(L1559&gt;2005,(((N1559-N1579)/N1579)+1)^(1/5)-1,0)</f>
        <v>0</v>
      </c>
      <c r="U1559" s="10">
        <f t="shared" si="54"/>
        <v>0</v>
      </c>
      <c r="V1559" s="26">
        <f t="shared" si="55"/>
        <v>0</v>
      </c>
      <c r="W1559" s="3">
        <f>IF(A1559=A1560,N1559-N1560,0)</f>
        <v>0</v>
      </c>
      <c r="X1559" s="10">
        <f>IF(A1559=A1560,(N1559-N1560)/N1560,0)</f>
        <v>0</v>
      </c>
    </row>
    <row r="1560" spans="1:24" ht="16.5" customHeight="1">
      <c r="A1560" s="3" t="s">
        <v>41</v>
      </c>
      <c r="B1560" s="3">
        <f t="shared" si="48"/>
        <v>2022</v>
      </c>
      <c r="C1560" s="3">
        <f t="shared" si="49"/>
        <v>11</v>
      </c>
      <c r="D1560" s="20" t="str">
        <f t="shared" si="50"/>
        <v>TGT202211</v>
      </c>
      <c r="E1560" s="2">
        <v>44880</v>
      </c>
      <c r="F1560" s="3">
        <v>1.08</v>
      </c>
      <c r="G1560" s="2">
        <v>44905</v>
      </c>
      <c r="H1560" s="3">
        <v>2.58E-2</v>
      </c>
      <c r="I1560" s="3">
        <v>0</v>
      </c>
      <c r="J1560" s="3">
        <v>0</v>
      </c>
      <c r="K1560" s="3">
        <f t="shared" si="51"/>
        <v>2022</v>
      </c>
      <c r="L1560" s="3">
        <f t="shared" si="52"/>
        <v>0</v>
      </c>
      <c r="M1560" s="20" t="str">
        <f>A1560&amp;L1560</f>
        <v>TGT0</v>
      </c>
      <c r="N1560" s="3">
        <f>F1560</f>
        <v>1.08</v>
      </c>
      <c r="O1560" s="9">
        <f>H1560</f>
        <v>2.58E-2</v>
      </c>
      <c r="P1560" s="10">
        <f t="shared" si="53"/>
        <v>0</v>
      </c>
      <c r="Q1560" s="10">
        <f>IF(K1560=0,IF(A1557=A1560,AVERAGE(O1557:O1560),"x"),0)</f>
        <v>0</v>
      </c>
      <c r="R1560" s="9">
        <f>IF(L1560&gt;2005,AVERAGE(O1557:O1576),0)</f>
        <v>0</v>
      </c>
      <c r="S1560" s="10">
        <f>IF(A1560=A1561,(N1560-N1561)/N1561,0)</f>
        <v>0</v>
      </c>
      <c r="T1560" s="10">
        <f>IF(L1560&gt;2005,(((N1560-N1580)/N1580)+1)^(1/5)-1,0)</f>
        <v>0</v>
      </c>
      <c r="U1560" s="10">
        <f t="shared" si="54"/>
        <v>0</v>
      </c>
      <c r="V1560" s="26">
        <f t="shared" si="55"/>
        <v>0</v>
      </c>
      <c r="W1560" s="3">
        <f>IF(A1560=A1561,N1560-N1561,0)</f>
        <v>0</v>
      </c>
      <c r="X1560" s="10">
        <f>IF(A1560=A1561,(N1560-N1561)/N1561,0)</f>
        <v>0</v>
      </c>
    </row>
    <row r="1561" spans="1:24" ht="16.5" customHeight="1">
      <c r="A1561" s="3" t="s">
        <v>41</v>
      </c>
      <c r="B1561" s="3">
        <f t="shared" si="48"/>
        <v>2022</v>
      </c>
      <c r="C1561" s="3">
        <f t="shared" si="49"/>
        <v>8</v>
      </c>
      <c r="D1561" s="20" t="str">
        <f t="shared" si="50"/>
        <v>TGT20228</v>
      </c>
      <c r="E1561" s="2">
        <v>44789</v>
      </c>
      <c r="F1561" s="3">
        <v>1.08</v>
      </c>
      <c r="G1561" s="2">
        <v>44814</v>
      </c>
      <c r="H1561" s="3">
        <v>2.4899999999999999E-2</v>
      </c>
      <c r="I1561" s="3">
        <v>0.2</v>
      </c>
      <c r="J1561" s="3">
        <v>0.18</v>
      </c>
      <c r="K1561" s="3">
        <f t="shared" si="51"/>
        <v>2022</v>
      </c>
      <c r="L1561" s="3">
        <f t="shared" si="52"/>
        <v>0</v>
      </c>
      <c r="M1561" s="20" t="str">
        <f>A1561&amp;L1561</f>
        <v>TGT0</v>
      </c>
      <c r="N1561" s="3">
        <f>F1561</f>
        <v>1.08</v>
      </c>
      <c r="O1561" s="9">
        <f>H1561</f>
        <v>2.4899999999999999E-2</v>
      </c>
      <c r="P1561" s="10">
        <f t="shared" si="53"/>
        <v>1.805E-2</v>
      </c>
      <c r="Q1561" s="10">
        <f>IF(K1561=0,IF(A1558=A1561,AVERAGE(O1558:O1561),"x"),0)</f>
        <v>0</v>
      </c>
      <c r="R1561" s="9">
        <f>IF(L1561&gt;2005,AVERAGE(O1558:O1577),0)</f>
        <v>0</v>
      </c>
      <c r="S1561" s="10">
        <f>IF(A1561=A1562,(N1561-N1562)/N1562,0)</f>
        <v>0.20000000000000004</v>
      </c>
      <c r="T1561" s="10">
        <f>IF(L1561&gt;2005,(((N1561-N1581)/N1581)+1)^(1/5)-1,0)</f>
        <v>0</v>
      </c>
      <c r="U1561" s="10">
        <f t="shared" si="54"/>
        <v>0</v>
      </c>
      <c r="V1561" s="26">
        <f t="shared" si="55"/>
        <v>0</v>
      </c>
      <c r="W1561" s="3">
        <f>IF(A1561=A1562,N1561-N1562,0)</f>
        <v>0.18000000000000005</v>
      </c>
      <c r="X1561" s="10">
        <f>IF(A1561=A1562,(N1561-N1562)/N1562,0)</f>
        <v>0.20000000000000004</v>
      </c>
    </row>
    <row r="1562" spans="1:24" ht="16.5" customHeight="1">
      <c r="A1562" s="3" t="s">
        <v>41</v>
      </c>
      <c r="B1562" s="3">
        <f t="shared" si="48"/>
        <v>2022</v>
      </c>
      <c r="C1562" s="3">
        <f t="shared" si="49"/>
        <v>5</v>
      </c>
      <c r="D1562" s="20" t="str">
        <f t="shared" si="50"/>
        <v>TGT20225</v>
      </c>
      <c r="E1562" s="2">
        <v>44698</v>
      </c>
      <c r="F1562" s="3">
        <v>0.9</v>
      </c>
      <c r="G1562" s="2">
        <v>44722</v>
      </c>
      <c r="H1562" s="3">
        <v>1.6400000000000001E-2</v>
      </c>
      <c r="I1562" s="3">
        <v>0</v>
      </c>
      <c r="J1562" s="3">
        <v>0</v>
      </c>
      <c r="K1562" s="3">
        <f t="shared" si="51"/>
        <v>2022</v>
      </c>
      <c r="L1562" s="3">
        <f t="shared" si="52"/>
        <v>0</v>
      </c>
      <c r="M1562" s="20" t="str">
        <f>A1562&amp;L1562</f>
        <v>TGT0</v>
      </c>
      <c r="N1562" s="3">
        <f>F1562</f>
        <v>0.9</v>
      </c>
      <c r="O1562" s="9">
        <f>H1562</f>
        <v>1.6400000000000001E-2</v>
      </c>
      <c r="P1562" s="10">
        <f t="shared" si="53"/>
        <v>0</v>
      </c>
      <c r="Q1562" s="10">
        <f>IF(K1562=0,IF(A1559=A1562,AVERAGE(O1559:O1562),"x"),0)</f>
        <v>0</v>
      </c>
      <c r="R1562" s="9">
        <f>IF(L1562&gt;2005,AVERAGE(O1559:O1578),0)</f>
        <v>0</v>
      </c>
      <c r="S1562" s="10">
        <f>IF(A1562=A1563,(N1562-N1563)/N1563,0)</f>
        <v>0</v>
      </c>
      <c r="T1562" s="10">
        <f>IF(L1562&gt;2005,(((N1562-N1582)/N1582)+1)^(1/5)-1,0)</f>
        <v>0</v>
      </c>
      <c r="U1562" s="10">
        <f t="shared" si="54"/>
        <v>0</v>
      </c>
      <c r="V1562" s="26">
        <f t="shared" si="55"/>
        <v>0</v>
      </c>
      <c r="W1562" s="3">
        <f>IF(A1562=A1563,N1562-N1563,0)</f>
        <v>0</v>
      </c>
      <c r="X1562" s="10">
        <f>IF(A1562=A1563,(N1562-N1563)/N1563,0)</f>
        <v>0</v>
      </c>
    </row>
    <row r="1563" spans="1:24" ht="16.5" customHeight="1">
      <c r="A1563" s="3" t="s">
        <v>41</v>
      </c>
      <c r="B1563" s="3">
        <f t="shared" si="48"/>
        <v>2022</v>
      </c>
      <c r="C1563" s="3">
        <f t="shared" si="49"/>
        <v>2</v>
      </c>
      <c r="D1563" s="20" t="str">
        <f t="shared" si="50"/>
        <v>TGT20222</v>
      </c>
      <c r="E1563" s="2">
        <v>44607</v>
      </c>
      <c r="F1563" s="3">
        <v>0.9</v>
      </c>
      <c r="G1563" s="2">
        <v>44630</v>
      </c>
      <c r="H1563" s="3">
        <v>1.7299999999999999E-2</v>
      </c>
      <c r="I1563" s="3">
        <v>0</v>
      </c>
      <c r="J1563" s="3">
        <v>0</v>
      </c>
      <c r="K1563" s="3">
        <f t="shared" si="51"/>
        <v>0</v>
      </c>
      <c r="L1563" s="3">
        <f t="shared" si="52"/>
        <v>2022</v>
      </c>
      <c r="M1563" s="20" t="str">
        <f>A1563&amp;L1563</f>
        <v>TGT2022</v>
      </c>
      <c r="N1563" s="3">
        <f>F1563</f>
        <v>0.9</v>
      </c>
      <c r="O1563" s="9">
        <f>H1563</f>
        <v>1.7299999999999999E-2</v>
      </c>
      <c r="P1563" s="10">
        <f t="shared" si="53"/>
        <v>0</v>
      </c>
      <c r="Q1563" s="10">
        <f>IF(K1563=0,IF(A1560=A1563,AVERAGE(O1560:O1563),"x"),0)</f>
        <v>2.1099999999999997E-2</v>
      </c>
      <c r="R1563" s="9">
        <f>IF(L1563&gt;2005,AVERAGE(O1560:O1579),0)</f>
        <v>2.3730000000000005E-2</v>
      </c>
      <c r="S1563" s="10">
        <f>IF(A1563=A1564,(N1563-N1564)/N1564,0)</f>
        <v>0</v>
      </c>
      <c r="T1563" s="10">
        <f>IF(L1563&gt;2005,(((N1563-N1583)/N1583)+1)^(1/5)-1,0)</f>
        <v>8.4471771197698553E-2</v>
      </c>
      <c r="U1563" s="10">
        <f t="shared" si="54"/>
        <v>0.10820177119769855</v>
      </c>
      <c r="V1563" s="26">
        <f t="shared" si="55"/>
        <v>4.6878283504520333</v>
      </c>
      <c r="W1563" s="3">
        <f>IF(A1563=A1564,N1563-N1564,0)</f>
        <v>0</v>
      </c>
      <c r="X1563" s="10">
        <f>IF(A1563=A1564,(N1563-N1564)/N1564,0)</f>
        <v>0</v>
      </c>
    </row>
    <row r="1564" spans="1:24" ht="16.5" customHeight="1">
      <c r="A1564" s="3" t="s">
        <v>41</v>
      </c>
      <c r="B1564" s="3">
        <f t="shared" si="48"/>
        <v>2021</v>
      </c>
      <c r="C1564" s="3">
        <f t="shared" si="49"/>
        <v>11</v>
      </c>
      <c r="D1564" s="20" t="str">
        <f t="shared" si="50"/>
        <v>TGT202111</v>
      </c>
      <c r="E1564" s="2">
        <v>44516</v>
      </c>
      <c r="F1564" s="3">
        <v>0.9</v>
      </c>
      <c r="G1564" s="2">
        <v>44540</v>
      </c>
      <c r="H1564" s="3">
        <v>1.3599999999999999E-2</v>
      </c>
      <c r="I1564" s="3">
        <v>0</v>
      </c>
      <c r="J1564" s="3">
        <v>0</v>
      </c>
      <c r="K1564" s="3">
        <f t="shared" si="51"/>
        <v>2021</v>
      </c>
      <c r="L1564" s="3">
        <f t="shared" si="52"/>
        <v>0</v>
      </c>
      <c r="M1564" s="20" t="str">
        <f>A1564&amp;L1564</f>
        <v>TGT0</v>
      </c>
      <c r="N1564" s="3">
        <f>F1564</f>
        <v>0.9</v>
      </c>
      <c r="O1564" s="9">
        <f>H1564</f>
        <v>1.3599999999999999E-2</v>
      </c>
      <c r="P1564" s="10">
        <f t="shared" si="53"/>
        <v>0</v>
      </c>
      <c r="Q1564" s="10">
        <f>IF(K1564=0,IF(A1561=A1564,AVERAGE(O1561:O1564),"x"),0)</f>
        <v>0</v>
      </c>
      <c r="R1564" s="9">
        <f>IF(L1564&gt;2005,AVERAGE(O1561:O1580),0)</f>
        <v>0</v>
      </c>
      <c r="S1564" s="10">
        <f>IF(A1564=A1565,(N1564-N1565)/N1565,0)</f>
        <v>0</v>
      </c>
      <c r="T1564" s="10">
        <f>IF(L1564&gt;2005,(((N1564-N1584)/N1584)+1)^(1/5)-1,0)</f>
        <v>0</v>
      </c>
      <c r="U1564" s="10">
        <f t="shared" si="54"/>
        <v>0</v>
      </c>
      <c r="V1564" s="26">
        <f t="shared" si="55"/>
        <v>0</v>
      </c>
      <c r="W1564" s="3">
        <f>IF(A1564=A1565,N1564-N1565,0)</f>
        <v>0</v>
      </c>
      <c r="X1564" s="10">
        <f>IF(A1564=A1565,(N1564-N1565)/N1565,0)</f>
        <v>0</v>
      </c>
    </row>
    <row r="1565" spans="1:24" ht="16.5" customHeight="1">
      <c r="A1565" s="3" t="s">
        <v>41</v>
      </c>
      <c r="B1565" s="3">
        <f t="shared" si="48"/>
        <v>2021</v>
      </c>
      <c r="C1565" s="3">
        <f t="shared" si="49"/>
        <v>8</v>
      </c>
      <c r="D1565" s="20" t="str">
        <f t="shared" si="50"/>
        <v>TGT20218</v>
      </c>
      <c r="E1565" s="2">
        <v>44425</v>
      </c>
      <c r="F1565" s="3">
        <v>0.9</v>
      </c>
      <c r="G1565" s="2">
        <v>44449</v>
      </c>
      <c r="H1565" s="3">
        <v>1.37E-2</v>
      </c>
      <c r="I1565" s="3">
        <v>0.32352941200000002</v>
      </c>
      <c r="J1565" s="3">
        <v>0.22</v>
      </c>
      <c r="K1565" s="3">
        <f t="shared" si="51"/>
        <v>2021</v>
      </c>
      <c r="L1565" s="3">
        <f t="shared" si="52"/>
        <v>0</v>
      </c>
      <c r="M1565" s="20" t="str">
        <f>A1565&amp;L1565</f>
        <v>TGT0</v>
      </c>
      <c r="N1565" s="3">
        <f>F1565</f>
        <v>0.9</v>
      </c>
      <c r="O1565" s="9">
        <f>H1565</f>
        <v>1.37E-2</v>
      </c>
      <c r="P1565" s="10">
        <f t="shared" si="53"/>
        <v>1.4350000000000002E-2</v>
      </c>
      <c r="Q1565" s="10">
        <f>IF(K1565=0,IF(A1562=A1565,AVERAGE(O1562:O1565),"x"),0)</f>
        <v>0</v>
      </c>
      <c r="R1565" s="9">
        <f>IF(L1565&gt;2005,AVERAGE(O1562:O1581),0)</f>
        <v>0</v>
      </c>
      <c r="S1565" s="10">
        <f>IF(A1565=A1566,(N1565-N1566)/N1566,0)</f>
        <v>0.32352941176470584</v>
      </c>
      <c r="T1565" s="10">
        <f>IF(L1565&gt;2005,(((N1565-N1585)/N1585)+1)^(1/5)-1,0)</f>
        <v>0</v>
      </c>
      <c r="U1565" s="10">
        <f t="shared" si="54"/>
        <v>0</v>
      </c>
      <c r="V1565" s="26">
        <f t="shared" si="55"/>
        <v>0</v>
      </c>
      <c r="W1565" s="3">
        <f>IF(A1565=A1566,N1565-N1566,0)</f>
        <v>0.21999999999999997</v>
      </c>
      <c r="X1565" s="10">
        <f>IF(A1565=A1566,(N1565-N1566)/N1566,0)</f>
        <v>0.32352941176470584</v>
      </c>
    </row>
    <row r="1566" spans="1:24" ht="16.5" customHeight="1">
      <c r="A1566" s="3" t="s">
        <v>41</v>
      </c>
      <c r="B1566" s="3">
        <f t="shared" si="48"/>
        <v>2021</v>
      </c>
      <c r="C1566" s="3">
        <f t="shared" si="49"/>
        <v>5</v>
      </c>
      <c r="D1566" s="20" t="str">
        <f t="shared" si="50"/>
        <v>TGT20215</v>
      </c>
      <c r="E1566" s="2">
        <v>44334</v>
      </c>
      <c r="F1566" s="3">
        <v>0.68</v>
      </c>
      <c r="G1566" s="2">
        <v>44357</v>
      </c>
      <c r="H1566" s="3">
        <v>1.2999999999999999E-2</v>
      </c>
      <c r="I1566" s="3">
        <v>0</v>
      </c>
      <c r="J1566" s="3">
        <v>0</v>
      </c>
      <c r="K1566" s="3">
        <f t="shared" si="51"/>
        <v>2021</v>
      </c>
      <c r="L1566" s="3">
        <f t="shared" si="52"/>
        <v>0</v>
      </c>
      <c r="M1566" s="20" t="str">
        <f>A1566&amp;L1566</f>
        <v>TGT0</v>
      </c>
      <c r="N1566" s="3">
        <f>F1566</f>
        <v>0.68</v>
      </c>
      <c r="O1566" s="9">
        <f>H1566</f>
        <v>1.2999999999999999E-2</v>
      </c>
      <c r="P1566" s="10">
        <f t="shared" si="53"/>
        <v>0</v>
      </c>
      <c r="Q1566" s="10">
        <f>IF(K1566=0,IF(A1563=A1566,AVERAGE(O1563:O1566),"x"),0)</f>
        <v>0</v>
      </c>
      <c r="R1566" s="9">
        <f>IF(L1566&gt;2005,AVERAGE(O1563:O1582),0)</f>
        <v>0</v>
      </c>
      <c r="S1566" s="10">
        <f>IF(A1566=A1567,(N1566-N1567)/N1567,0)</f>
        <v>0</v>
      </c>
      <c r="T1566" s="10">
        <f>IF(L1566&gt;2005,(((N1566-N1586)/N1586)+1)^(1/5)-1,0)</f>
        <v>0</v>
      </c>
      <c r="U1566" s="10">
        <f t="shared" si="54"/>
        <v>0</v>
      </c>
      <c r="V1566" s="26">
        <f t="shared" si="55"/>
        <v>0</v>
      </c>
      <c r="W1566" s="3">
        <f>IF(A1566=A1567,N1566-N1567,0)</f>
        <v>0</v>
      </c>
      <c r="X1566" s="10">
        <f>IF(A1566=A1567,(N1566-N1567)/N1567,0)</f>
        <v>0</v>
      </c>
    </row>
    <row r="1567" spans="1:24" ht="16.5" customHeight="1">
      <c r="A1567" s="3" t="s">
        <v>41</v>
      </c>
      <c r="B1567" s="3">
        <f t="shared" si="48"/>
        <v>2021</v>
      </c>
      <c r="C1567" s="3">
        <f t="shared" si="49"/>
        <v>2</v>
      </c>
      <c r="D1567" s="20" t="str">
        <f t="shared" si="50"/>
        <v>TGT20212</v>
      </c>
      <c r="E1567" s="2">
        <v>44243</v>
      </c>
      <c r="F1567" s="3">
        <v>0.68</v>
      </c>
      <c r="G1567" s="2">
        <v>44265</v>
      </c>
      <c r="H1567" s="3">
        <v>1.4200000000000001E-2</v>
      </c>
      <c r="I1567" s="3">
        <v>0</v>
      </c>
      <c r="J1567" s="3">
        <v>0</v>
      </c>
      <c r="K1567" s="3">
        <f t="shared" si="51"/>
        <v>0</v>
      </c>
      <c r="L1567" s="3">
        <f t="shared" si="52"/>
        <v>2021</v>
      </c>
      <c r="M1567" s="20" t="str">
        <f>A1567&amp;L1567</f>
        <v>TGT2021</v>
      </c>
      <c r="N1567" s="3">
        <f>F1567</f>
        <v>0.68</v>
      </c>
      <c r="O1567" s="9">
        <f>H1567</f>
        <v>1.4200000000000001E-2</v>
      </c>
      <c r="P1567" s="10">
        <f t="shared" si="53"/>
        <v>0</v>
      </c>
      <c r="Q1567" s="10">
        <f>IF(K1567=0,IF(A1564=A1567,AVERAGE(O1564:O1567),"x"),0)</f>
        <v>1.3624999999999998E-2</v>
      </c>
      <c r="R1567" s="9">
        <f>IF(L1567&gt;2005,AVERAGE(O1564:O1583),0)</f>
        <v>2.777E-2</v>
      </c>
      <c r="S1567" s="10">
        <f>IF(A1567=A1568,(N1567-N1568)/N1568,0)</f>
        <v>0</v>
      </c>
      <c r="T1567" s="10">
        <f>IF(L1567&gt;2005,(((N1567-N1587)/N1587)+1)^(1/5)-1,0)</f>
        <v>3.9594988207552584E-2</v>
      </c>
      <c r="U1567" s="10">
        <f t="shared" si="54"/>
        <v>6.7364988207552587E-2</v>
      </c>
      <c r="V1567" s="26">
        <f t="shared" si="55"/>
        <v>4.6230164802314357</v>
      </c>
      <c r="W1567" s="3">
        <f>IF(A1567=A1568,N1567-N1568,0)</f>
        <v>0</v>
      </c>
      <c r="X1567" s="10">
        <f>IF(A1567=A1568,(N1567-N1568)/N1568,0)</f>
        <v>0</v>
      </c>
    </row>
    <row r="1568" spans="1:24" ht="16.5" customHeight="1">
      <c r="A1568" s="3" t="s">
        <v>41</v>
      </c>
      <c r="B1568" s="3">
        <f t="shared" si="48"/>
        <v>2020</v>
      </c>
      <c r="C1568" s="3">
        <f t="shared" si="49"/>
        <v>11</v>
      </c>
      <c r="D1568" s="20" t="str">
        <f t="shared" si="50"/>
        <v>TGT202011</v>
      </c>
      <c r="E1568" s="2">
        <v>44152</v>
      </c>
      <c r="F1568" s="3">
        <v>0.68</v>
      </c>
      <c r="G1568" s="2">
        <v>44175</v>
      </c>
      <c r="H1568" s="3">
        <v>1.6500000000000001E-2</v>
      </c>
      <c r="I1568" s="3">
        <v>0</v>
      </c>
      <c r="J1568" s="3">
        <v>0</v>
      </c>
      <c r="K1568" s="3">
        <f t="shared" si="51"/>
        <v>2020</v>
      </c>
      <c r="L1568" s="3">
        <f t="shared" si="52"/>
        <v>0</v>
      </c>
      <c r="M1568" s="20" t="str">
        <f>A1568&amp;L1568</f>
        <v>TGT0</v>
      </c>
      <c r="N1568" s="3">
        <f>F1568</f>
        <v>0.68</v>
      </c>
      <c r="O1568" s="9">
        <f>H1568</f>
        <v>1.6500000000000001E-2</v>
      </c>
      <c r="P1568" s="10">
        <f t="shared" si="53"/>
        <v>0</v>
      </c>
      <c r="Q1568" s="10">
        <f>IF(K1568=0,IF(A1565=A1568,AVERAGE(O1565:O1568),"x"),0)</f>
        <v>0</v>
      </c>
      <c r="R1568" s="9">
        <f>IF(L1568&gt;2005,AVERAGE(O1565:O1584),0)</f>
        <v>0</v>
      </c>
      <c r="S1568" s="10">
        <f>IF(A1568=A1569,(N1568-N1569)/N1569,0)</f>
        <v>0</v>
      </c>
      <c r="T1568" s="10">
        <f>IF(L1568&gt;2005,(((N1568-N1588)/N1588)+1)^(1/5)-1,0)</f>
        <v>0</v>
      </c>
      <c r="U1568" s="10">
        <f t="shared" si="54"/>
        <v>0</v>
      </c>
      <c r="V1568" s="26">
        <f t="shared" si="55"/>
        <v>0</v>
      </c>
      <c r="W1568" s="3">
        <f>IF(A1568=A1569,N1568-N1569,0)</f>
        <v>0</v>
      </c>
      <c r="X1568" s="10">
        <f>IF(A1568=A1569,(N1568-N1569)/N1569,0)</f>
        <v>0</v>
      </c>
    </row>
    <row r="1569" spans="1:24" ht="16.5" customHeight="1">
      <c r="A1569" s="3" t="s">
        <v>41</v>
      </c>
      <c r="B1569" s="3">
        <f t="shared" si="48"/>
        <v>2020</v>
      </c>
      <c r="C1569" s="3">
        <f t="shared" si="49"/>
        <v>8</v>
      </c>
      <c r="D1569" s="20" t="str">
        <f t="shared" si="50"/>
        <v>TGT20208</v>
      </c>
      <c r="E1569" s="2">
        <v>44061</v>
      </c>
      <c r="F1569" s="3">
        <v>0.68</v>
      </c>
      <c r="G1569" s="2">
        <v>44084</v>
      </c>
      <c r="H1569" s="3">
        <v>1.9699999999999999E-2</v>
      </c>
      <c r="I1569" s="3">
        <v>3.0303030000000002E-2</v>
      </c>
      <c r="J1569" s="3">
        <v>0.02</v>
      </c>
      <c r="K1569" s="3">
        <f t="shared" si="51"/>
        <v>2020</v>
      </c>
      <c r="L1569" s="3">
        <f t="shared" si="52"/>
        <v>0</v>
      </c>
      <c r="M1569" s="20" t="str">
        <f>A1569&amp;L1569</f>
        <v>TGT0</v>
      </c>
      <c r="N1569" s="3">
        <f>F1569</f>
        <v>0.68</v>
      </c>
      <c r="O1569" s="9">
        <f>H1569</f>
        <v>1.9699999999999999E-2</v>
      </c>
      <c r="P1569" s="10">
        <f t="shared" si="53"/>
        <v>2.1749999999999999E-2</v>
      </c>
      <c r="Q1569" s="10">
        <f>IF(K1569=0,IF(A1566=A1569,AVERAGE(O1566:O1569),"x"),0)</f>
        <v>0</v>
      </c>
      <c r="R1569" s="9">
        <f>IF(L1569&gt;2005,AVERAGE(O1566:O1585),0)</f>
        <v>0</v>
      </c>
      <c r="S1569" s="10">
        <f>IF(A1569=A1570,(N1569-N1570)/N1570,0)</f>
        <v>3.0303030303030328E-2</v>
      </c>
      <c r="T1569" s="10">
        <f>IF(L1569&gt;2005,(((N1569-N1589)/N1589)+1)^(1/5)-1,0)</f>
        <v>0</v>
      </c>
      <c r="U1569" s="10">
        <f t="shared" si="54"/>
        <v>0</v>
      </c>
      <c r="V1569" s="26">
        <f t="shared" si="55"/>
        <v>0</v>
      </c>
      <c r="W1569" s="3">
        <f>IF(A1569=A1570,N1569-N1570,0)</f>
        <v>2.0000000000000018E-2</v>
      </c>
      <c r="X1569" s="10">
        <f>IF(A1569=A1570,(N1569-N1570)/N1570,0)</f>
        <v>3.0303030303030328E-2</v>
      </c>
    </row>
    <row r="1570" spans="1:24" ht="16.5" customHeight="1">
      <c r="A1570" s="3" t="s">
        <v>41</v>
      </c>
      <c r="B1570" s="3">
        <f t="shared" si="48"/>
        <v>2020</v>
      </c>
      <c r="C1570" s="3">
        <f t="shared" si="49"/>
        <v>5</v>
      </c>
      <c r="D1570" s="20" t="str">
        <f t="shared" si="50"/>
        <v>TGT20205</v>
      </c>
      <c r="E1570" s="2">
        <v>43970</v>
      </c>
      <c r="F1570" s="3">
        <v>0.66</v>
      </c>
      <c r="G1570" s="2">
        <v>43992</v>
      </c>
      <c r="H1570" s="3">
        <v>2.1100000000000001E-2</v>
      </c>
      <c r="I1570" s="3">
        <v>0</v>
      </c>
      <c r="J1570" s="3">
        <v>0</v>
      </c>
      <c r="K1570" s="3">
        <f t="shared" si="51"/>
        <v>2020</v>
      </c>
      <c r="L1570" s="3">
        <f t="shared" si="52"/>
        <v>0</v>
      </c>
      <c r="M1570" s="20" t="str">
        <f>A1570&amp;L1570</f>
        <v>TGT0</v>
      </c>
      <c r="N1570" s="3">
        <f>F1570</f>
        <v>0.66</v>
      </c>
      <c r="O1570" s="9">
        <f>H1570</f>
        <v>2.1100000000000001E-2</v>
      </c>
      <c r="P1570" s="10">
        <f t="shared" si="53"/>
        <v>0</v>
      </c>
      <c r="Q1570" s="10">
        <f>IF(K1570=0,IF(A1567=A1570,AVERAGE(O1567:O1570),"x"),0)</f>
        <v>0</v>
      </c>
      <c r="R1570" s="9">
        <f>IF(L1570&gt;2005,AVERAGE(O1567:O1586),0)</f>
        <v>0</v>
      </c>
      <c r="S1570" s="10">
        <f>IF(A1570=A1571,(N1570-N1571)/N1571,0)</f>
        <v>0</v>
      </c>
      <c r="T1570" s="10">
        <f>IF(L1570&gt;2005,(((N1570-N1590)/N1590)+1)^(1/5)-1,0)</f>
        <v>0</v>
      </c>
      <c r="U1570" s="10">
        <f t="shared" si="54"/>
        <v>0</v>
      </c>
      <c r="V1570" s="26">
        <f t="shared" si="55"/>
        <v>0</v>
      </c>
      <c r="W1570" s="3">
        <f>IF(A1570=A1571,N1570-N1571,0)</f>
        <v>0</v>
      </c>
      <c r="X1570" s="10">
        <f>IF(A1570=A1571,(N1570-N1571)/N1571,0)</f>
        <v>0</v>
      </c>
    </row>
    <row r="1571" spans="1:24" ht="16.5" customHeight="1">
      <c r="A1571" s="3" t="s">
        <v>41</v>
      </c>
      <c r="B1571" s="3">
        <f t="shared" si="48"/>
        <v>2020</v>
      </c>
      <c r="C1571" s="3">
        <f t="shared" si="49"/>
        <v>2</v>
      </c>
      <c r="D1571" s="20" t="str">
        <f t="shared" si="50"/>
        <v>TGT20202</v>
      </c>
      <c r="E1571" s="2">
        <v>43879</v>
      </c>
      <c r="F1571" s="3">
        <v>0.66</v>
      </c>
      <c r="G1571" s="2">
        <v>43900</v>
      </c>
      <c r="H1571" s="3">
        <v>2.2599999999999999E-2</v>
      </c>
      <c r="I1571" s="3">
        <v>0</v>
      </c>
      <c r="J1571" s="3">
        <v>0</v>
      </c>
      <c r="K1571" s="3">
        <f t="shared" si="51"/>
        <v>0</v>
      </c>
      <c r="L1571" s="3">
        <f t="shared" si="52"/>
        <v>2020</v>
      </c>
      <c r="M1571" s="20" t="str">
        <f>A1571&amp;L1571</f>
        <v>TGT2020</v>
      </c>
      <c r="N1571" s="3">
        <f>F1571</f>
        <v>0.66</v>
      </c>
      <c r="O1571" s="9">
        <f>H1571</f>
        <v>2.2599999999999999E-2</v>
      </c>
      <c r="P1571" s="10">
        <f t="shared" si="53"/>
        <v>0</v>
      </c>
      <c r="Q1571" s="10">
        <f>IF(K1571=0,IF(A1568=A1571,AVERAGE(O1568:O1571),"x"),0)</f>
        <v>1.9975E-2</v>
      </c>
      <c r="R1571" s="9">
        <f>IF(L1571&gt;2005,AVERAGE(O1568:O1587),0)</f>
        <v>3.1469999999999998E-2</v>
      </c>
      <c r="S1571" s="10">
        <f>IF(A1571=A1572,(N1571-N1572)/N1572,0)</f>
        <v>0</v>
      </c>
      <c r="T1571" s="10">
        <f>IF(L1571&gt;2005,(((N1571-N1591)/N1591)+1)^(1/5)-1,0)</f>
        <v>4.8837286784054301E-2</v>
      </c>
      <c r="U1571" s="10">
        <f t="shared" si="54"/>
        <v>8.0307286784054299E-2</v>
      </c>
      <c r="V1571" s="26">
        <f t="shared" si="55"/>
        <v>4.5796463298665904</v>
      </c>
      <c r="W1571" s="3">
        <f>IF(A1571=A1572,N1571-N1572,0)</f>
        <v>0</v>
      </c>
      <c r="X1571" s="10">
        <f>IF(A1571=A1572,(N1571-N1572)/N1572,0)</f>
        <v>0</v>
      </c>
    </row>
    <row r="1572" spans="1:24" ht="16.5" customHeight="1">
      <c r="A1572" s="3" t="s">
        <v>41</v>
      </c>
      <c r="B1572" s="3">
        <f t="shared" si="48"/>
        <v>2019</v>
      </c>
      <c r="C1572" s="3">
        <f t="shared" si="49"/>
        <v>11</v>
      </c>
      <c r="D1572" s="20" t="str">
        <f t="shared" si="50"/>
        <v>TGT201911</v>
      </c>
      <c r="E1572" s="2">
        <v>43788</v>
      </c>
      <c r="F1572" s="3">
        <v>0.66</v>
      </c>
      <c r="G1572" s="2">
        <v>43809</v>
      </c>
      <c r="H1572" s="3">
        <v>2.3599999999999999E-2</v>
      </c>
      <c r="I1572" s="3">
        <v>0</v>
      </c>
      <c r="J1572" s="3">
        <v>0</v>
      </c>
      <c r="K1572" s="3">
        <f t="shared" si="51"/>
        <v>2019</v>
      </c>
      <c r="L1572" s="3">
        <f t="shared" si="52"/>
        <v>0</v>
      </c>
      <c r="M1572" s="20" t="str">
        <f>A1572&amp;L1572</f>
        <v>TGT0</v>
      </c>
      <c r="N1572" s="3">
        <f>F1572</f>
        <v>0.66</v>
      </c>
      <c r="O1572" s="9">
        <f>H1572</f>
        <v>2.3599999999999999E-2</v>
      </c>
      <c r="P1572" s="10">
        <f t="shared" si="53"/>
        <v>0</v>
      </c>
      <c r="Q1572" s="10">
        <f>IF(K1572=0,IF(A1569=A1572,AVERAGE(O1569:O1572),"x"),0)</f>
        <v>0</v>
      </c>
      <c r="R1572" s="9">
        <f>IF(L1572&gt;2005,AVERAGE(O1569:O1588),0)</f>
        <v>0</v>
      </c>
      <c r="S1572" s="10">
        <f>IF(A1572=A1573,(N1572-N1573)/N1573,0)</f>
        <v>0</v>
      </c>
      <c r="T1572" s="10">
        <f>IF(L1572&gt;2005,(((N1572-N1592)/N1592)+1)^(1/5)-1,0)</f>
        <v>0</v>
      </c>
      <c r="U1572" s="10">
        <f t="shared" si="54"/>
        <v>0</v>
      </c>
      <c r="V1572" s="26">
        <f t="shared" si="55"/>
        <v>0</v>
      </c>
      <c r="W1572" s="3">
        <f>IF(A1572=A1573,N1572-N1573,0)</f>
        <v>0</v>
      </c>
      <c r="X1572" s="10">
        <f>IF(A1572=A1573,(N1572-N1573)/N1573,0)</f>
        <v>0</v>
      </c>
    </row>
    <row r="1573" spans="1:24" ht="16.5" customHeight="1">
      <c r="A1573" s="3" t="s">
        <v>41</v>
      </c>
      <c r="B1573" s="3">
        <f t="shared" si="48"/>
        <v>2019</v>
      </c>
      <c r="C1573" s="3">
        <f t="shared" si="49"/>
        <v>8</v>
      </c>
      <c r="D1573" s="20" t="str">
        <f t="shared" si="50"/>
        <v>TGT20198</v>
      </c>
      <c r="E1573" s="2">
        <v>43697</v>
      </c>
      <c r="F1573" s="3">
        <v>0.66</v>
      </c>
      <c r="G1573" s="2">
        <v>43718</v>
      </c>
      <c r="H1573" s="3">
        <v>3.0499999999999999E-2</v>
      </c>
      <c r="I1573" s="3">
        <v>3.125E-2</v>
      </c>
      <c r="J1573" s="3">
        <v>0.02</v>
      </c>
      <c r="K1573" s="3">
        <f t="shared" si="51"/>
        <v>2019</v>
      </c>
      <c r="L1573" s="3">
        <f t="shared" si="52"/>
        <v>0</v>
      </c>
      <c r="M1573" s="20" t="str">
        <f>A1573&amp;L1573</f>
        <v>TGT0</v>
      </c>
      <c r="N1573" s="3">
        <f>F1573</f>
        <v>0.66</v>
      </c>
      <c r="O1573" s="9">
        <f>H1573</f>
        <v>3.0499999999999999E-2</v>
      </c>
      <c r="P1573" s="10">
        <f t="shared" si="53"/>
        <v>3.3549999999999996E-2</v>
      </c>
      <c r="Q1573" s="10">
        <f>IF(K1573=0,IF(A1570=A1573,AVERAGE(O1570:O1573),"x"),0)</f>
        <v>0</v>
      </c>
      <c r="R1573" s="9">
        <f>IF(L1573&gt;2005,AVERAGE(O1570:O1589),0)</f>
        <v>0</v>
      </c>
      <c r="S1573" s="10">
        <f>IF(A1573=A1574,(N1573-N1574)/N1574,0)</f>
        <v>3.1250000000000028E-2</v>
      </c>
      <c r="T1573" s="10">
        <f>IF(L1573&gt;2005,(((N1573-N1593)/N1593)+1)^(1/5)-1,0)</f>
        <v>0</v>
      </c>
      <c r="U1573" s="10">
        <f t="shared" si="54"/>
        <v>0</v>
      </c>
      <c r="V1573" s="26">
        <f t="shared" si="55"/>
        <v>0</v>
      </c>
      <c r="W1573" s="3">
        <f>IF(A1573=A1574,N1573-N1574,0)</f>
        <v>2.0000000000000018E-2</v>
      </c>
      <c r="X1573" s="10">
        <f>IF(A1573=A1574,(N1573-N1574)/N1574,0)</f>
        <v>3.1250000000000028E-2</v>
      </c>
    </row>
    <row r="1574" spans="1:24" ht="16.5" customHeight="1">
      <c r="A1574" s="3" t="s">
        <v>41</v>
      </c>
      <c r="B1574" s="3">
        <f t="shared" si="48"/>
        <v>2019</v>
      </c>
      <c r="C1574" s="3">
        <f t="shared" si="49"/>
        <v>5</v>
      </c>
      <c r="D1574" s="20" t="str">
        <f t="shared" si="50"/>
        <v>TGT20195</v>
      </c>
      <c r="E1574" s="2">
        <v>43599</v>
      </c>
      <c r="F1574" s="3">
        <v>0.64</v>
      </c>
      <c r="G1574" s="2">
        <v>43626</v>
      </c>
      <c r="H1574" s="3">
        <v>3.5700000000000003E-2</v>
      </c>
      <c r="I1574" s="3">
        <v>0</v>
      </c>
      <c r="J1574" s="3">
        <v>0</v>
      </c>
      <c r="K1574" s="3">
        <f t="shared" si="51"/>
        <v>2019</v>
      </c>
      <c r="L1574" s="3">
        <f t="shared" si="52"/>
        <v>0</v>
      </c>
      <c r="M1574" s="20" t="str">
        <f>A1574&amp;L1574</f>
        <v>TGT0</v>
      </c>
      <c r="N1574" s="3">
        <f>F1574</f>
        <v>0.64</v>
      </c>
      <c r="O1574" s="9">
        <f>H1574</f>
        <v>3.5700000000000003E-2</v>
      </c>
      <c r="P1574" s="10">
        <f t="shared" si="53"/>
        <v>0</v>
      </c>
      <c r="Q1574" s="10">
        <f>IF(K1574=0,IF(A1571=A1574,AVERAGE(O1571:O1574),"x"),0)</f>
        <v>0</v>
      </c>
      <c r="R1574" s="9">
        <f>IF(L1574&gt;2005,AVERAGE(O1571:O1590),0)</f>
        <v>0</v>
      </c>
      <c r="S1574" s="10">
        <f>IF(A1574=A1575,(N1574-N1575)/N1575,0)</f>
        <v>0</v>
      </c>
      <c r="T1574" s="10">
        <f>IF(L1574&gt;2005,(((N1574-N1594)/N1594)+1)^(1/5)-1,0)</f>
        <v>0</v>
      </c>
      <c r="U1574" s="10">
        <f t="shared" si="54"/>
        <v>0</v>
      </c>
      <c r="V1574" s="26">
        <f t="shared" si="55"/>
        <v>0</v>
      </c>
      <c r="W1574" s="3">
        <f>IF(A1574=A1575,N1574-N1575,0)</f>
        <v>0</v>
      </c>
      <c r="X1574" s="10">
        <f>IF(A1574=A1575,(N1574-N1575)/N1575,0)</f>
        <v>0</v>
      </c>
    </row>
    <row r="1575" spans="1:24" ht="16.5" customHeight="1">
      <c r="A1575" s="3" t="s">
        <v>41</v>
      </c>
      <c r="B1575" s="3">
        <f t="shared" si="48"/>
        <v>2019</v>
      </c>
      <c r="C1575" s="3">
        <f t="shared" si="49"/>
        <v>2</v>
      </c>
      <c r="D1575" s="20" t="str">
        <f t="shared" si="50"/>
        <v>TGT20192</v>
      </c>
      <c r="E1575" s="2">
        <v>43515</v>
      </c>
      <c r="F1575" s="3">
        <v>0.64</v>
      </c>
      <c r="G1575" s="2">
        <v>43534</v>
      </c>
      <c r="H1575" s="3">
        <v>3.5099999999999999E-2</v>
      </c>
      <c r="I1575" s="3">
        <v>0</v>
      </c>
      <c r="J1575" s="3">
        <v>0</v>
      </c>
      <c r="K1575" s="3">
        <f t="shared" si="51"/>
        <v>0</v>
      </c>
      <c r="L1575" s="3">
        <f t="shared" si="52"/>
        <v>2019</v>
      </c>
      <c r="M1575" s="20" t="str">
        <f>A1575&amp;L1575</f>
        <v>TGT2019</v>
      </c>
      <c r="N1575" s="3">
        <f>F1575</f>
        <v>0.64</v>
      </c>
      <c r="O1575" s="9">
        <f>H1575</f>
        <v>3.5099999999999999E-2</v>
      </c>
      <c r="P1575" s="10">
        <f t="shared" si="53"/>
        <v>0</v>
      </c>
      <c r="Q1575" s="10">
        <f>IF(K1575=0,IF(A1572=A1575,AVERAGE(O1572:O1575),"x"),0)</f>
        <v>3.1224999999999996E-2</v>
      </c>
      <c r="R1575" s="9">
        <f>IF(L1575&gt;2005,AVERAGE(O1572:O1591),0)</f>
        <v>3.2930000000000001E-2</v>
      </c>
      <c r="S1575" s="10">
        <f>IF(A1575=A1576,(N1575-N1576)/N1576,0)</f>
        <v>0</v>
      </c>
      <c r="T1575" s="10">
        <f>IF(L1575&gt;2005,(((N1575-N1595)/N1595)+1)^(1/5)-1,0)</f>
        <v>8.2785181739996272E-2</v>
      </c>
      <c r="U1575" s="10">
        <f t="shared" si="54"/>
        <v>0.11571518173999627</v>
      </c>
      <c r="V1575" s="26">
        <f t="shared" si="55"/>
        <v>4.5743207054372537</v>
      </c>
      <c r="W1575" s="3">
        <f>IF(A1575=A1576,N1575-N1576,0)</f>
        <v>0</v>
      </c>
      <c r="X1575" s="10">
        <f>IF(A1575=A1576,(N1575-N1576)/N1576,0)</f>
        <v>0</v>
      </c>
    </row>
    <row r="1576" spans="1:24" ht="16.5" customHeight="1">
      <c r="A1576" s="3" t="s">
        <v>41</v>
      </c>
      <c r="B1576" s="3">
        <f t="shared" si="48"/>
        <v>2018</v>
      </c>
      <c r="C1576" s="3">
        <f t="shared" si="49"/>
        <v>11</v>
      </c>
      <c r="D1576" s="20" t="str">
        <f t="shared" si="50"/>
        <v>TGT201811</v>
      </c>
      <c r="E1576" s="2">
        <v>43424</v>
      </c>
      <c r="F1576" s="3">
        <v>0.64</v>
      </c>
      <c r="G1576" s="2">
        <v>43444</v>
      </c>
      <c r="H1576" s="3">
        <v>3.2899999999999999E-2</v>
      </c>
      <c r="I1576" s="3">
        <v>0</v>
      </c>
      <c r="J1576" s="3">
        <v>0</v>
      </c>
      <c r="K1576" s="3">
        <f t="shared" si="51"/>
        <v>2018</v>
      </c>
      <c r="L1576" s="3">
        <f t="shared" si="52"/>
        <v>0</v>
      </c>
      <c r="M1576" s="20" t="str">
        <f>A1576&amp;L1576</f>
        <v>TGT0</v>
      </c>
      <c r="N1576" s="3">
        <f>F1576</f>
        <v>0.64</v>
      </c>
      <c r="O1576" s="9">
        <f>H1576</f>
        <v>3.2899999999999999E-2</v>
      </c>
      <c r="P1576" s="10">
        <f t="shared" si="53"/>
        <v>0</v>
      </c>
      <c r="Q1576" s="10">
        <f>IF(K1576=0,IF(A1573=A1576,AVERAGE(O1573:O1576),"x"),0)</f>
        <v>0</v>
      </c>
      <c r="R1576" s="9">
        <f>IF(L1576&gt;2005,AVERAGE(O1573:O1592),0)</f>
        <v>0</v>
      </c>
      <c r="S1576" s="10">
        <f>IF(A1576=A1577,(N1576-N1577)/N1577,0)</f>
        <v>0</v>
      </c>
      <c r="T1576" s="10">
        <f>IF(L1576&gt;2005,(((N1576-N1596)/N1596)+1)^(1/5)-1,0)</f>
        <v>0</v>
      </c>
      <c r="U1576" s="10">
        <f t="shared" si="54"/>
        <v>0</v>
      </c>
      <c r="V1576" s="26">
        <f t="shared" si="55"/>
        <v>0</v>
      </c>
      <c r="W1576" s="3">
        <f>IF(A1576=A1577,N1576-N1577,0)</f>
        <v>0</v>
      </c>
      <c r="X1576" s="10">
        <f>IF(A1576=A1577,(N1576-N1577)/N1577,0)</f>
        <v>0</v>
      </c>
    </row>
    <row r="1577" spans="1:24" ht="16.5" customHeight="1">
      <c r="A1577" s="3" t="s">
        <v>41</v>
      </c>
      <c r="B1577" s="3">
        <f t="shared" si="48"/>
        <v>2018</v>
      </c>
      <c r="C1577" s="3">
        <f t="shared" si="49"/>
        <v>8</v>
      </c>
      <c r="D1577" s="20" t="str">
        <f t="shared" si="50"/>
        <v>TGT20188</v>
      </c>
      <c r="E1577" s="2">
        <v>43326</v>
      </c>
      <c r="F1577" s="3">
        <v>0.64</v>
      </c>
      <c r="G1577" s="2">
        <v>43353</v>
      </c>
      <c r="H1577" s="3">
        <v>3.1199999999999999E-2</v>
      </c>
      <c r="I1577" s="3">
        <v>3.2258065000000002E-2</v>
      </c>
      <c r="J1577" s="3">
        <v>0.02</v>
      </c>
      <c r="K1577" s="3">
        <f t="shared" si="51"/>
        <v>2018</v>
      </c>
      <c r="L1577" s="3">
        <f t="shared" si="52"/>
        <v>0</v>
      </c>
      <c r="M1577" s="20" t="str">
        <f>A1577&amp;L1577</f>
        <v>TGT0</v>
      </c>
      <c r="N1577" s="3">
        <f>F1577</f>
        <v>0.64</v>
      </c>
      <c r="O1577" s="9">
        <f>H1577</f>
        <v>3.1199999999999999E-2</v>
      </c>
      <c r="P1577" s="10">
        <f t="shared" si="53"/>
        <v>3.4775E-2</v>
      </c>
      <c r="Q1577" s="10">
        <f>IF(K1577=0,IF(A1574=A1577,AVERAGE(O1574:O1577),"x"),0)</f>
        <v>0</v>
      </c>
      <c r="R1577" s="9">
        <f>IF(L1577&gt;2005,AVERAGE(O1574:O1593),0)</f>
        <v>0</v>
      </c>
      <c r="S1577" s="10">
        <f>IF(A1577=A1578,(N1577-N1578)/N1578,0)</f>
        <v>3.2258064516129059E-2</v>
      </c>
      <c r="T1577" s="10">
        <f>IF(L1577&gt;2005,(((N1577-N1597)/N1597)+1)^(1/5)-1,0)</f>
        <v>0</v>
      </c>
      <c r="U1577" s="10">
        <f t="shared" si="54"/>
        <v>0</v>
      </c>
      <c r="V1577" s="26">
        <f t="shared" si="55"/>
        <v>0</v>
      </c>
      <c r="W1577" s="3">
        <f>IF(A1577=A1578,N1577-N1578,0)</f>
        <v>2.0000000000000018E-2</v>
      </c>
      <c r="X1577" s="10">
        <f>IF(A1577=A1578,(N1577-N1578)/N1578,0)</f>
        <v>3.2258064516129059E-2</v>
      </c>
    </row>
    <row r="1578" spans="1:24" ht="16.5" customHeight="1">
      <c r="A1578" s="3" t="s">
        <v>41</v>
      </c>
      <c r="B1578" s="3">
        <f t="shared" si="48"/>
        <v>2018</v>
      </c>
      <c r="C1578" s="3">
        <f t="shared" si="49"/>
        <v>5</v>
      </c>
      <c r="D1578" s="20" t="str">
        <f t="shared" si="50"/>
        <v>TGT20185</v>
      </c>
      <c r="E1578" s="2">
        <v>43235</v>
      </c>
      <c r="F1578" s="3">
        <v>0.62</v>
      </c>
      <c r="G1578" s="2">
        <v>43261</v>
      </c>
      <c r="H1578" s="3">
        <v>3.4000000000000002E-2</v>
      </c>
      <c r="I1578" s="3">
        <v>0</v>
      </c>
      <c r="J1578" s="3">
        <v>0</v>
      </c>
      <c r="K1578" s="3">
        <f t="shared" si="51"/>
        <v>2018</v>
      </c>
      <c r="L1578" s="3">
        <f t="shared" si="52"/>
        <v>0</v>
      </c>
      <c r="M1578" s="20" t="str">
        <f>A1578&amp;L1578</f>
        <v>TGT0</v>
      </c>
      <c r="N1578" s="3">
        <f>F1578</f>
        <v>0.62</v>
      </c>
      <c r="O1578" s="9">
        <f>H1578</f>
        <v>3.4000000000000002E-2</v>
      </c>
      <c r="P1578" s="10">
        <f t="shared" si="53"/>
        <v>0</v>
      </c>
      <c r="Q1578" s="10">
        <f>IF(K1578=0,IF(A1575=A1578,AVERAGE(O1575:O1578),"x"),0)</f>
        <v>0</v>
      </c>
      <c r="R1578" s="9">
        <f>IF(L1578&gt;2005,AVERAGE(O1575:O1594),0)</f>
        <v>0</v>
      </c>
      <c r="S1578" s="10">
        <f>IF(A1578=A1579,(N1578-N1579)/N1579,0)</f>
        <v>0</v>
      </c>
      <c r="T1578" s="10">
        <f>IF(L1578&gt;2005,(((N1578-N1598)/N1598)+1)^(1/5)-1,0)</f>
        <v>0</v>
      </c>
      <c r="U1578" s="10">
        <f t="shared" si="54"/>
        <v>0</v>
      </c>
      <c r="V1578" s="26">
        <f t="shared" si="55"/>
        <v>0</v>
      </c>
      <c r="W1578" s="3">
        <f>IF(A1578=A1579,N1578-N1579,0)</f>
        <v>0</v>
      </c>
      <c r="X1578" s="10">
        <f>IF(A1578=A1579,(N1578-N1579)/N1579,0)</f>
        <v>0</v>
      </c>
    </row>
    <row r="1579" spans="1:24" ht="16.5" customHeight="1">
      <c r="A1579" s="3" t="s">
        <v>41</v>
      </c>
      <c r="B1579" s="3">
        <f t="shared" si="48"/>
        <v>2018</v>
      </c>
      <c r="C1579" s="3">
        <f t="shared" si="49"/>
        <v>2</v>
      </c>
      <c r="D1579" s="20" t="str">
        <f t="shared" si="50"/>
        <v>TGT20182</v>
      </c>
      <c r="E1579" s="2">
        <v>43151</v>
      </c>
      <c r="F1579" s="3">
        <v>0.62</v>
      </c>
      <c r="G1579" s="2">
        <v>43169</v>
      </c>
      <c r="H1579" s="3">
        <v>3.2800000000000003E-2</v>
      </c>
      <c r="I1579" s="3">
        <v>0</v>
      </c>
      <c r="J1579" s="3">
        <v>0</v>
      </c>
      <c r="K1579" s="3">
        <f t="shared" si="51"/>
        <v>0</v>
      </c>
      <c r="L1579" s="3">
        <f t="shared" si="52"/>
        <v>2018</v>
      </c>
      <c r="M1579" s="20" t="str">
        <f>A1579&amp;L1579</f>
        <v>TGT2018</v>
      </c>
      <c r="N1579" s="3">
        <f>F1579</f>
        <v>0.62</v>
      </c>
      <c r="O1579" s="9">
        <f>H1579</f>
        <v>3.2800000000000003E-2</v>
      </c>
      <c r="P1579" s="10">
        <f t="shared" si="53"/>
        <v>0</v>
      </c>
      <c r="Q1579" s="10">
        <f>IF(K1579=0,IF(A1576=A1579,AVERAGE(O1576:O1579),"x"),0)</f>
        <v>3.2724999999999997E-2</v>
      </c>
      <c r="R1579" s="9">
        <f>IF(L1579&gt;2005,AVERAGE(O1576:O1595),0)</f>
        <v>3.2550000000000009E-2</v>
      </c>
      <c r="S1579" s="10">
        <f>IF(A1579=A1580,(N1579-N1580)/N1580,0)</f>
        <v>0</v>
      </c>
      <c r="T1579" s="10">
        <f>IF(L1579&gt;2005,(((N1579-N1599)/N1599)+1)^(1/5)-1,0)</f>
        <v>0.11485359272536089</v>
      </c>
      <c r="U1579" s="10">
        <f t="shared" si="54"/>
        <v>0.14740359272536091</v>
      </c>
      <c r="V1579" s="26">
        <f t="shared" si="55"/>
        <v>4.5902307904102386</v>
      </c>
      <c r="W1579" s="3">
        <f>IF(A1579=A1580,N1579-N1580,0)</f>
        <v>0</v>
      </c>
      <c r="X1579" s="10">
        <f>IF(A1579=A1580,(N1579-N1580)/N1580,0)</f>
        <v>0</v>
      </c>
    </row>
    <row r="1580" spans="1:24" ht="16.5" customHeight="1">
      <c r="A1580" s="3" t="s">
        <v>41</v>
      </c>
      <c r="B1580" s="3">
        <f t="shared" si="48"/>
        <v>2017</v>
      </c>
      <c r="C1580" s="3">
        <f t="shared" si="49"/>
        <v>11</v>
      </c>
      <c r="D1580" s="20" t="str">
        <f t="shared" si="50"/>
        <v>TGT201711</v>
      </c>
      <c r="E1580" s="2">
        <v>43053</v>
      </c>
      <c r="F1580" s="3">
        <v>0.62</v>
      </c>
      <c r="G1580" s="2">
        <v>43079</v>
      </c>
      <c r="H1580" s="3">
        <v>4.1099999999999998E-2</v>
      </c>
      <c r="I1580" s="3">
        <v>0</v>
      </c>
      <c r="J1580" s="3">
        <v>0</v>
      </c>
      <c r="K1580" s="3">
        <f t="shared" si="51"/>
        <v>2017</v>
      </c>
      <c r="L1580" s="3">
        <f t="shared" si="52"/>
        <v>0</v>
      </c>
      <c r="M1580" s="20" t="str">
        <f>A1580&amp;L1580</f>
        <v>TGT0</v>
      </c>
      <c r="N1580" s="3">
        <f>F1580</f>
        <v>0.62</v>
      </c>
      <c r="O1580" s="9">
        <f>H1580</f>
        <v>4.1099999999999998E-2</v>
      </c>
      <c r="P1580" s="10">
        <f t="shared" si="53"/>
        <v>0</v>
      </c>
      <c r="Q1580" s="10">
        <f>IF(K1580=0,IF(A1577=A1580,AVERAGE(O1577:O1580),"x"),0)</f>
        <v>0</v>
      </c>
      <c r="R1580" s="9">
        <f>IF(L1580&gt;2005,AVERAGE(O1577:O1596),0)</f>
        <v>0</v>
      </c>
      <c r="S1580" s="10">
        <f>IF(A1580=A1581,(N1580-N1581)/N1581,0)</f>
        <v>0</v>
      </c>
      <c r="T1580" s="10">
        <f>IF(L1580&gt;2005,(((N1580-N1600)/N1600)+1)^(1/5)-1,0)</f>
        <v>0</v>
      </c>
      <c r="U1580" s="10">
        <f t="shared" si="54"/>
        <v>0</v>
      </c>
      <c r="V1580" s="26">
        <f t="shared" si="55"/>
        <v>0</v>
      </c>
      <c r="W1580" s="3">
        <f>IF(A1580=A1581,N1580-N1581,0)</f>
        <v>0</v>
      </c>
      <c r="X1580" s="10">
        <f>IF(A1580=A1581,(N1580-N1581)/N1581,0)</f>
        <v>0</v>
      </c>
    </row>
    <row r="1581" spans="1:24" ht="16.5" customHeight="1">
      <c r="A1581" s="3" t="s">
        <v>41</v>
      </c>
      <c r="B1581" s="3">
        <f t="shared" si="48"/>
        <v>2017</v>
      </c>
      <c r="C1581" s="3">
        <f t="shared" si="49"/>
        <v>8</v>
      </c>
      <c r="D1581" s="20" t="str">
        <f t="shared" si="50"/>
        <v>TGT20178</v>
      </c>
      <c r="E1581" s="2">
        <v>42961</v>
      </c>
      <c r="F1581" s="3">
        <v>0.62</v>
      </c>
      <c r="G1581" s="2">
        <v>42988</v>
      </c>
      <c r="H1581" s="3">
        <v>4.4600000000000001E-2</v>
      </c>
      <c r="I1581" s="3">
        <v>3.3333333E-2</v>
      </c>
      <c r="J1581" s="3">
        <v>0.02</v>
      </c>
      <c r="K1581" s="3">
        <f t="shared" si="51"/>
        <v>2017</v>
      </c>
      <c r="L1581" s="3">
        <f t="shared" si="52"/>
        <v>0</v>
      </c>
      <c r="M1581" s="20" t="str">
        <f>A1581&amp;L1581</f>
        <v>TGT0</v>
      </c>
      <c r="N1581" s="3">
        <f>F1581</f>
        <v>0.62</v>
      </c>
      <c r="O1581" s="9">
        <f>H1581</f>
        <v>4.4600000000000001E-2</v>
      </c>
      <c r="P1581" s="10">
        <f t="shared" si="53"/>
        <v>3.9424999999999995E-2</v>
      </c>
      <c r="Q1581" s="10">
        <f>IF(K1581=0,IF(A1578=A1581,AVERAGE(O1578:O1581),"x"),0)</f>
        <v>0</v>
      </c>
      <c r="R1581" s="9">
        <f>IF(L1581&gt;2005,AVERAGE(O1578:O1597),0)</f>
        <v>0</v>
      </c>
      <c r="S1581" s="10">
        <f>IF(A1581=A1582,(N1581-N1582)/N1582,0)</f>
        <v>3.3333333333333368E-2</v>
      </c>
      <c r="T1581" s="10">
        <f>IF(L1581&gt;2005,(((N1581-N1601)/N1601)+1)^(1/5)-1,0)</f>
        <v>0</v>
      </c>
      <c r="U1581" s="10">
        <f t="shared" si="54"/>
        <v>0</v>
      </c>
      <c r="V1581" s="26">
        <f t="shared" si="55"/>
        <v>0</v>
      </c>
      <c r="W1581" s="3">
        <f>IF(A1581=A1582,N1581-N1582,0)</f>
        <v>2.0000000000000018E-2</v>
      </c>
      <c r="X1581" s="10">
        <f>IF(A1581=A1582,(N1581-N1582)/N1582,0)</f>
        <v>3.3333333333333368E-2</v>
      </c>
    </row>
    <row r="1582" spans="1:24" ht="16.5" customHeight="1">
      <c r="A1582" s="3" t="s">
        <v>41</v>
      </c>
      <c r="B1582" s="3">
        <f t="shared" si="48"/>
        <v>2017</v>
      </c>
      <c r="C1582" s="3">
        <f t="shared" si="49"/>
        <v>5</v>
      </c>
      <c r="D1582" s="20" t="str">
        <f t="shared" si="50"/>
        <v>TGT20175</v>
      </c>
      <c r="E1582" s="2">
        <v>42870</v>
      </c>
      <c r="F1582" s="3">
        <v>0.6</v>
      </c>
      <c r="G1582" s="2">
        <v>42896</v>
      </c>
      <c r="H1582" s="3">
        <v>4.2999999999999997E-2</v>
      </c>
      <c r="I1582" s="3">
        <v>0</v>
      </c>
      <c r="J1582" s="3">
        <v>0</v>
      </c>
      <c r="K1582" s="3">
        <f t="shared" si="51"/>
        <v>2017</v>
      </c>
      <c r="L1582" s="3">
        <f t="shared" si="52"/>
        <v>0</v>
      </c>
      <c r="M1582" s="20" t="str">
        <f>A1582&amp;L1582</f>
        <v>TGT0</v>
      </c>
      <c r="N1582" s="3">
        <f>F1582</f>
        <v>0.6</v>
      </c>
      <c r="O1582" s="9">
        <f>H1582</f>
        <v>4.2999999999999997E-2</v>
      </c>
      <c r="P1582" s="10">
        <f t="shared" si="53"/>
        <v>0</v>
      </c>
      <c r="Q1582" s="10">
        <f>IF(K1582=0,IF(A1579=A1582,AVERAGE(O1579:O1582),"x"),0)</f>
        <v>0</v>
      </c>
      <c r="R1582" s="9">
        <f>IF(L1582&gt;2005,AVERAGE(O1579:O1598),0)</f>
        <v>0</v>
      </c>
      <c r="S1582" s="10">
        <f>IF(A1582=A1583,(N1582-N1583)/N1583,0)</f>
        <v>0</v>
      </c>
      <c r="T1582" s="10">
        <f>IF(L1582&gt;2005,(((N1582-N1602)/N1602)+1)^(1/5)-1,0)</f>
        <v>0</v>
      </c>
      <c r="U1582" s="10">
        <f t="shared" si="54"/>
        <v>0</v>
      </c>
      <c r="V1582" s="26">
        <f t="shared" si="55"/>
        <v>0</v>
      </c>
      <c r="W1582" s="3">
        <f>IF(A1582=A1583,N1582-N1583,0)</f>
        <v>0</v>
      </c>
      <c r="X1582" s="10">
        <f>IF(A1582=A1583,(N1582-N1583)/N1583,0)</f>
        <v>0</v>
      </c>
    </row>
    <row r="1583" spans="1:24" ht="16.5" customHeight="1">
      <c r="A1583" s="3" t="s">
        <v>41</v>
      </c>
      <c r="B1583" s="3">
        <f t="shared" si="48"/>
        <v>2017</v>
      </c>
      <c r="C1583" s="3">
        <f t="shared" si="49"/>
        <v>2</v>
      </c>
      <c r="D1583" s="20" t="str">
        <f t="shared" si="50"/>
        <v>TGT20172</v>
      </c>
      <c r="E1583" s="2">
        <v>42779</v>
      </c>
      <c r="F1583" s="3">
        <v>0.6</v>
      </c>
      <c r="G1583" s="2">
        <v>42804</v>
      </c>
      <c r="H1583" s="3">
        <v>3.6499999999999998E-2</v>
      </c>
      <c r="I1583" s="3">
        <v>0</v>
      </c>
      <c r="J1583" s="3">
        <v>0</v>
      </c>
      <c r="K1583" s="3">
        <f t="shared" si="51"/>
        <v>0</v>
      </c>
      <c r="L1583" s="3">
        <f t="shared" si="52"/>
        <v>2017</v>
      </c>
      <c r="M1583" s="20" t="str">
        <f>A1583&amp;L1583</f>
        <v>TGT2017</v>
      </c>
      <c r="N1583" s="3">
        <f>F1583</f>
        <v>0.6</v>
      </c>
      <c r="O1583" s="9">
        <f>H1583</f>
        <v>3.6499999999999998E-2</v>
      </c>
      <c r="P1583" s="10">
        <f t="shared" si="53"/>
        <v>0</v>
      </c>
      <c r="Q1583" s="10">
        <f>IF(K1583=0,IF(A1580=A1583,AVERAGE(O1580:O1583),"x"),0)</f>
        <v>4.1299999999999996E-2</v>
      </c>
      <c r="R1583" s="9">
        <f>IF(L1583&gt;2005,AVERAGE(O1580:O1599),0)</f>
        <v>3.041E-2</v>
      </c>
      <c r="S1583" s="10">
        <f>IF(A1583=A1584,(N1583-N1584)/N1584,0)</f>
        <v>0</v>
      </c>
      <c r="T1583" s="10">
        <f>IF(L1583&gt;2005,(((N1583-N1603)/N1603)+1)^(1/5)-1,0)</f>
        <v>0.1486983549970351</v>
      </c>
      <c r="U1583" s="10">
        <f t="shared" si="54"/>
        <v>0.17910835499703509</v>
      </c>
      <c r="V1583" s="26">
        <f t="shared" si="55"/>
        <v>4.6261883775191235</v>
      </c>
      <c r="W1583" s="3">
        <f>IF(A1583=A1584,N1583-N1584,0)</f>
        <v>0</v>
      </c>
      <c r="X1583" s="10">
        <f>IF(A1583=A1584,(N1583-N1584)/N1584,0)</f>
        <v>0</v>
      </c>
    </row>
    <row r="1584" spans="1:24" ht="16.5" customHeight="1">
      <c r="A1584" s="3" t="s">
        <v>41</v>
      </c>
      <c r="B1584" s="3">
        <f t="shared" si="48"/>
        <v>2016</v>
      </c>
      <c r="C1584" s="3">
        <f t="shared" si="49"/>
        <v>11</v>
      </c>
      <c r="D1584" s="20" t="str">
        <f t="shared" si="50"/>
        <v>TGT201611</v>
      </c>
      <c r="E1584" s="2">
        <v>42688</v>
      </c>
      <c r="F1584" s="3">
        <v>0.6</v>
      </c>
      <c r="G1584" s="2">
        <v>42714</v>
      </c>
      <c r="H1584" s="3">
        <v>3.3599999999999998E-2</v>
      </c>
      <c r="I1584" s="3">
        <v>0</v>
      </c>
      <c r="J1584" s="3">
        <v>0</v>
      </c>
      <c r="K1584" s="3">
        <f t="shared" si="51"/>
        <v>2016</v>
      </c>
      <c r="L1584" s="3">
        <f t="shared" si="52"/>
        <v>0</v>
      </c>
      <c r="M1584" s="20" t="str">
        <f>A1584&amp;L1584</f>
        <v>TGT0</v>
      </c>
      <c r="N1584" s="3">
        <f>F1584</f>
        <v>0.6</v>
      </c>
      <c r="O1584" s="9">
        <f>H1584</f>
        <v>3.3599999999999998E-2</v>
      </c>
      <c r="P1584" s="10">
        <f t="shared" si="53"/>
        <v>0</v>
      </c>
      <c r="Q1584" s="10">
        <f>IF(K1584=0,IF(A1581=A1584,AVERAGE(O1581:O1584),"x"),0)</f>
        <v>0</v>
      </c>
      <c r="R1584" s="9">
        <f>IF(L1584&gt;2005,AVERAGE(O1581:O1600),0)</f>
        <v>0</v>
      </c>
      <c r="S1584" s="10">
        <f>IF(A1584=A1585,(N1584-N1585)/N1585,0)</f>
        <v>0</v>
      </c>
      <c r="T1584" s="10">
        <f>IF(L1584&gt;2005,(((N1584-N1604)/N1604)+1)^(1/5)-1,0)</f>
        <v>0</v>
      </c>
      <c r="U1584" s="10">
        <f t="shared" si="54"/>
        <v>0</v>
      </c>
      <c r="V1584" s="26">
        <f t="shared" si="55"/>
        <v>0</v>
      </c>
      <c r="W1584" s="3">
        <f>IF(A1584=A1585,N1584-N1585,0)</f>
        <v>0</v>
      </c>
      <c r="X1584" s="10">
        <f>IF(A1584=A1585,(N1584-N1585)/N1585,0)</f>
        <v>0</v>
      </c>
    </row>
    <row r="1585" spans="1:24" ht="16.5" customHeight="1">
      <c r="A1585" s="3" t="s">
        <v>41</v>
      </c>
      <c r="B1585" s="3">
        <f t="shared" si="48"/>
        <v>2016</v>
      </c>
      <c r="C1585" s="3">
        <f t="shared" si="49"/>
        <v>8</v>
      </c>
      <c r="D1585" s="20" t="str">
        <f t="shared" si="50"/>
        <v>TGT20168</v>
      </c>
      <c r="E1585" s="2">
        <v>42597</v>
      </c>
      <c r="F1585" s="3">
        <v>0.6</v>
      </c>
      <c r="G1585" s="2">
        <v>42623</v>
      </c>
      <c r="H1585" s="3">
        <v>3.1699999999999999E-2</v>
      </c>
      <c r="I1585" s="3">
        <v>7.1428570999999996E-2</v>
      </c>
      <c r="J1585" s="3">
        <v>0.04</v>
      </c>
      <c r="K1585" s="3">
        <f t="shared" si="51"/>
        <v>2016</v>
      </c>
      <c r="L1585" s="3">
        <f t="shared" si="52"/>
        <v>0</v>
      </c>
      <c r="M1585" s="20" t="str">
        <f>A1585&amp;L1585</f>
        <v>TGT0</v>
      </c>
      <c r="N1585" s="3">
        <f>F1585</f>
        <v>0.6</v>
      </c>
      <c r="O1585" s="9">
        <f>H1585</f>
        <v>3.1699999999999999E-2</v>
      </c>
      <c r="P1585" s="10">
        <f t="shared" si="53"/>
        <v>3.1224999999999999E-2</v>
      </c>
      <c r="Q1585" s="10">
        <f>IF(K1585=0,IF(A1582=A1585,AVERAGE(O1582:O1585),"x"),0)</f>
        <v>0</v>
      </c>
      <c r="R1585" s="9">
        <f>IF(L1585&gt;2005,AVERAGE(O1582:O1601),0)</f>
        <v>0</v>
      </c>
      <c r="S1585" s="10">
        <f>IF(A1585=A1586,(N1585-N1586)/N1586,0)</f>
        <v>7.1428571428571286E-2</v>
      </c>
      <c r="T1585" s="10">
        <f>IF(L1585&gt;2005,(((N1585-N1605)/N1605)+1)^(1/5)-1,0)</f>
        <v>0</v>
      </c>
      <c r="U1585" s="10">
        <f t="shared" si="54"/>
        <v>0</v>
      </c>
      <c r="V1585" s="26">
        <f t="shared" si="55"/>
        <v>0</v>
      </c>
      <c r="W1585" s="3">
        <f>IF(A1585=A1586,N1585-N1586,0)</f>
        <v>3.9999999999999925E-2</v>
      </c>
      <c r="X1585" s="10">
        <f>IF(A1585=A1586,(N1585-N1586)/N1586,0)</f>
        <v>7.1428571428571286E-2</v>
      </c>
    </row>
    <row r="1586" spans="1:24" ht="16.5" customHeight="1">
      <c r="A1586" s="3" t="s">
        <v>41</v>
      </c>
      <c r="B1586" s="3">
        <f t="shared" si="48"/>
        <v>2016</v>
      </c>
      <c r="C1586" s="3">
        <f t="shared" si="49"/>
        <v>5</v>
      </c>
      <c r="D1586" s="20" t="str">
        <f t="shared" si="50"/>
        <v>TGT20165</v>
      </c>
      <c r="E1586" s="2">
        <v>42506</v>
      </c>
      <c r="F1586" s="3">
        <v>0.56000000000000005</v>
      </c>
      <c r="G1586" s="2">
        <v>42531</v>
      </c>
      <c r="H1586" s="3">
        <v>3.0300000000000001E-2</v>
      </c>
      <c r="I1586" s="3">
        <v>0</v>
      </c>
      <c r="J1586" s="3">
        <v>0</v>
      </c>
      <c r="K1586" s="3">
        <f t="shared" si="51"/>
        <v>2016</v>
      </c>
      <c r="L1586" s="3">
        <f t="shared" si="52"/>
        <v>0</v>
      </c>
      <c r="M1586" s="20" t="str">
        <f>A1586&amp;L1586</f>
        <v>TGT0</v>
      </c>
      <c r="N1586" s="3">
        <f>F1586</f>
        <v>0.56000000000000005</v>
      </c>
      <c r="O1586" s="9">
        <f>H1586</f>
        <v>3.0300000000000001E-2</v>
      </c>
      <c r="P1586" s="10">
        <f t="shared" si="53"/>
        <v>0</v>
      </c>
      <c r="Q1586" s="10">
        <f>IF(K1586=0,IF(A1583=A1586,AVERAGE(O1583:O1586),"x"),0)</f>
        <v>0</v>
      </c>
      <c r="R1586" s="9">
        <f>IF(L1586&gt;2005,AVERAGE(O1583:O1602),0)</f>
        <v>0</v>
      </c>
      <c r="S1586" s="10">
        <f>IF(A1586=A1587,(N1586-N1587)/N1587,0)</f>
        <v>0</v>
      </c>
      <c r="T1586" s="10">
        <f>IF(L1586&gt;2005,(((N1586-N1606)/N1606)+1)^(1/5)-1,0)</f>
        <v>0</v>
      </c>
      <c r="U1586" s="10">
        <f t="shared" si="54"/>
        <v>0</v>
      </c>
      <c r="V1586" s="26">
        <f t="shared" si="55"/>
        <v>0</v>
      </c>
      <c r="W1586" s="3">
        <f>IF(A1586=A1587,N1586-N1587,0)</f>
        <v>0</v>
      </c>
      <c r="X1586" s="10">
        <f>IF(A1586=A1587,(N1586-N1587)/N1587,0)</f>
        <v>0</v>
      </c>
    </row>
    <row r="1587" spans="1:24" ht="16.5" customHeight="1">
      <c r="A1587" s="3" t="s">
        <v>41</v>
      </c>
      <c r="B1587" s="3">
        <f t="shared" si="48"/>
        <v>2016</v>
      </c>
      <c r="C1587" s="3">
        <f t="shared" si="49"/>
        <v>2</v>
      </c>
      <c r="D1587" s="20" t="str">
        <f t="shared" si="50"/>
        <v>TGT20162</v>
      </c>
      <c r="E1587" s="2">
        <v>42412</v>
      </c>
      <c r="F1587" s="3">
        <v>0.56000000000000005</v>
      </c>
      <c r="G1587" s="2">
        <v>42439</v>
      </c>
      <c r="H1587" s="3">
        <v>3.2899999999999999E-2</v>
      </c>
      <c r="I1587" s="3">
        <v>0</v>
      </c>
      <c r="J1587" s="3">
        <v>0</v>
      </c>
      <c r="K1587" s="3">
        <f t="shared" si="51"/>
        <v>0</v>
      </c>
      <c r="L1587" s="3">
        <f t="shared" si="52"/>
        <v>2016</v>
      </c>
      <c r="M1587" s="20" t="str">
        <f>A1587&amp;L1587</f>
        <v>TGT2016</v>
      </c>
      <c r="N1587" s="3">
        <f>F1587</f>
        <v>0.56000000000000005</v>
      </c>
      <c r="O1587" s="9">
        <f>H1587</f>
        <v>3.2899999999999999E-2</v>
      </c>
      <c r="P1587" s="10">
        <f t="shared" si="53"/>
        <v>0</v>
      </c>
      <c r="Q1587" s="10">
        <f>IF(K1587=0,IF(A1584=A1587,AVERAGE(O1584:O1587),"x"),0)</f>
        <v>3.2125000000000001E-2</v>
      </c>
      <c r="R1587" s="9">
        <f>IF(L1587&gt;2005,AVERAGE(O1584:O1603),0)</f>
        <v>2.6385000000000002E-2</v>
      </c>
      <c r="S1587" s="10">
        <f>IF(A1587=A1588,(N1587-N1588)/N1588,0)</f>
        <v>0</v>
      </c>
      <c r="T1587" s="10">
        <f>IF(L1587&gt;2005,(((N1587-N1607)/N1607)+1)^(1/5)-1,0)</f>
        <v>0.17503175548239236</v>
      </c>
      <c r="U1587" s="10">
        <f t="shared" si="54"/>
        <v>0.20141675548239235</v>
      </c>
      <c r="V1587" s="26">
        <f t="shared" si="55"/>
        <v>4.6800651458261964</v>
      </c>
      <c r="W1587" s="3">
        <f>IF(A1587=A1588,N1587-N1588,0)</f>
        <v>0</v>
      </c>
      <c r="X1587" s="10">
        <f>IF(A1587=A1588,(N1587-N1588)/N1588,0)</f>
        <v>0</v>
      </c>
    </row>
    <row r="1588" spans="1:24" ht="16.5" customHeight="1">
      <c r="A1588" s="3" t="s">
        <v>41</v>
      </c>
      <c r="B1588" s="3">
        <f t="shared" si="48"/>
        <v>2015</v>
      </c>
      <c r="C1588" s="3">
        <f t="shared" si="49"/>
        <v>11</v>
      </c>
      <c r="D1588" s="20" t="str">
        <f t="shared" si="50"/>
        <v>TGT201511</v>
      </c>
      <c r="E1588" s="2">
        <v>42324</v>
      </c>
      <c r="F1588" s="3">
        <v>0.56000000000000005</v>
      </c>
      <c r="G1588" s="2">
        <v>42348</v>
      </c>
      <c r="H1588" s="3">
        <v>0.03</v>
      </c>
      <c r="I1588" s="3">
        <v>0</v>
      </c>
      <c r="J1588" s="3">
        <v>0</v>
      </c>
      <c r="K1588" s="3">
        <f t="shared" si="51"/>
        <v>2015</v>
      </c>
      <c r="L1588" s="3">
        <f t="shared" si="52"/>
        <v>0</v>
      </c>
      <c r="M1588" s="20" t="str">
        <f>A1588&amp;L1588</f>
        <v>TGT0</v>
      </c>
      <c r="N1588" s="3">
        <f>F1588</f>
        <v>0.56000000000000005</v>
      </c>
      <c r="O1588" s="9">
        <f>H1588</f>
        <v>0.03</v>
      </c>
      <c r="P1588" s="10">
        <f t="shared" si="53"/>
        <v>0</v>
      </c>
      <c r="Q1588" s="10">
        <f>IF(K1588=0,IF(A1585=A1588,AVERAGE(O1585:O1588),"x"),0)</f>
        <v>0</v>
      </c>
      <c r="R1588" s="9">
        <f>IF(L1588&gt;2005,AVERAGE(O1585:O1604),0)</f>
        <v>0</v>
      </c>
      <c r="S1588" s="10">
        <f>IF(A1588=A1589,(N1588-N1589)/N1589,0)</f>
        <v>0</v>
      </c>
      <c r="T1588" s="10">
        <f>IF(L1588&gt;2005,(((N1588-N1608)/N1608)+1)^(1/5)-1,0)</f>
        <v>0</v>
      </c>
      <c r="U1588" s="10">
        <f t="shared" si="54"/>
        <v>0</v>
      </c>
      <c r="V1588" s="26">
        <f t="shared" si="55"/>
        <v>0</v>
      </c>
      <c r="W1588" s="3">
        <f>IF(A1588=A1589,N1588-N1589,0)</f>
        <v>0</v>
      </c>
      <c r="X1588" s="10">
        <f>IF(A1588=A1589,(N1588-N1589)/N1589,0)</f>
        <v>0</v>
      </c>
    </row>
    <row r="1589" spans="1:24" ht="16.5" customHeight="1">
      <c r="A1589" s="3" t="s">
        <v>41</v>
      </c>
      <c r="B1589" s="3">
        <f t="shared" si="48"/>
        <v>2015</v>
      </c>
      <c r="C1589" s="3">
        <f t="shared" si="49"/>
        <v>8</v>
      </c>
      <c r="D1589" s="20" t="str">
        <f t="shared" si="50"/>
        <v>TGT20158</v>
      </c>
      <c r="E1589" s="2">
        <v>42233</v>
      </c>
      <c r="F1589" s="3">
        <v>0.56000000000000005</v>
      </c>
      <c r="G1589" s="2">
        <v>42257</v>
      </c>
      <c r="H1589" s="3">
        <v>2.6700000000000002E-2</v>
      </c>
      <c r="I1589" s="3">
        <v>7.6923077000000006E-2</v>
      </c>
      <c r="J1589" s="3">
        <v>0.04</v>
      </c>
      <c r="K1589" s="3">
        <f t="shared" si="51"/>
        <v>2015</v>
      </c>
      <c r="L1589" s="3">
        <f t="shared" si="52"/>
        <v>0</v>
      </c>
      <c r="M1589" s="20" t="str">
        <f>A1589&amp;L1589</f>
        <v>TGT0</v>
      </c>
      <c r="N1589" s="3">
        <f>F1589</f>
        <v>0.56000000000000005</v>
      </c>
      <c r="O1589" s="9">
        <f>H1589</f>
        <v>2.6700000000000002E-2</v>
      </c>
      <c r="P1589" s="10">
        <f t="shared" si="53"/>
        <v>2.6750000000000003E-2</v>
      </c>
      <c r="Q1589" s="10">
        <f>IF(K1589=0,IF(A1586=A1589,AVERAGE(O1586:O1589),"x"),0)</f>
        <v>0</v>
      </c>
      <c r="R1589" s="9">
        <f>IF(L1589&gt;2005,AVERAGE(O1586:O1605),0)</f>
        <v>0</v>
      </c>
      <c r="S1589" s="10">
        <f>IF(A1589=A1590,(N1589-N1590)/N1590,0)</f>
        <v>7.6923076923076983E-2</v>
      </c>
      <c r="T1589" s="10">
        <f>IF(L1589&gt;2005,(((N1589-N1609)/N1609)+1)^(1/5)-1,0)</f>
        <v>0</v>
      </c>
      <c r="U1589" s="10">
        <f t="shared" si="54"/>
        <v>0</v>
      </c>
      <c r="V1589" s="26">
        <f t="shared" si="55"/>
        <v>0</v>
      </c>
      <c r="W1589" s="3">
        <f>IF(A1589=A1590,N1589-N1590,0)</f>
        <v>4.0000000000000036E-2</v>
      </c>
      <c r="X1589" s="10">
        <f>IF(A1589=A1590,(N1589-N1590)/N1590,0)</f>
        <v>7.6923076923076983E-2</v>
      </c>
    </row>
    <row r="1590" spans="1:24" ht="16.5" customHeight="1">
      <c r="A1590" s="3" t="s">
        <v>41</v>
      </c>
      <c r="B1590" s="3">
        <f t="shared" si="48"/>
        <v>2015</v>
      </c>
      <c r="C1590" s="3">
        <f t="shared" si="49"/>
        <v>5</v>
      </c>
      <c r="D1590" s="20" t="str">
        <f t="shared" si="50"/>
        <v>TGT20155</v>
      </c>
      <c r="E1590" s="2">
        <v>42142</v>
      </c>
      <c r="F1590" s="3">
        <v>0.52</v>
      </c>
      <c r="G1590" s="2">
        <v>42165</v>
      </c>
      <c r="H1590" s="3">
        <v>2.6499999999999999E-2</v>
      </c>
      <c r="I1590" s="3">
        <v>0</v>
      </c>
      <c r="J1590" s="3">
        <v>0</v>
      </c>
      <c r="K1590" s="3">
        <f t="shared" si="51"/>
        <v>2015</v>
      </c>
      <c r="L1590" s="3">
        <f t="shared" si="52"/>
        <v>0</v>
      </c>
      <c r="M1590" s="20" t="str">
        <f>A1590&amp;L1590</f>
        <v>TGT0</v>
      </c>
      <c r="N1590" s="3">
        <f>F1590</f>
        <v>0.52</v>
      </c>
      <c r="O1590" s="9">
        <f>H1590</f>
        <v>2.6499999999999999E-2</v>
      </c>
      <c r="P1590" s="10">
        <f t="shared" si="53"/>
        <v>0</v>
      </c>
      <c r="Q1590" s="10">
        <f>IF(K1590=0,IF(A1587=A1590,AVERAGE(O1587:O1590),"x"),0)</f>
        <v>0</v>
      </c>
      <c r="R1590" s="9">
        <f>IF(L1590&gt;2005,AVERAGE(O1587:O1606),0)</f>
        <v>0</v>
      </c>
      <c r="S1590" s="10">
        <f>IF(A1590=A1591,(N1590-N1591)/N1591,0)</f>
        <v>0</v>
      </c>
      <c r="T1590" s="10">
        <f>IF(L1590&gt;2005,(((N1590-N1610)/N1610)+1)^(1/5)-1,0)</f>
        <v>0</v>
      </c>
      <c r="U1590" s="10">
        <f t="shared" si="54"/>
        <v>0</v>
      </c>
      <c r="V1590" s="26">
        <f t="shared" si="55"/>
        <v>0</v>
      </c>
      <c r="W1590" s="3">
        <f>IF(A1590=A1591,N1590-N1591,0)</f>
        <v>0</v>
      </c>
      <c r="X1590" s="10">
        <f>IF(A1590=A1591,(N1590-N1591)/N1591,0)</f>
        <v>0</v>
      </c>
    </row>
    <row r="1591" spans="1:24" ht="16.5" customHeight="1">
      <c r="A1591" s="3" t="s">
        <v>41</v>
      </c>
      <c r="B1591" s="3">
        <f t="shared" si="48"/>
        <v>2015</v>
      </c>
      <c r="C1591" s="3">
        <f t="shared" si="49"/>
        <v>2</v>
      </c>
      <c r="D1591" s="20" t="str">
        <f t="shared" si="50"/>
        <v>TGT20152</v>
      </c>
      <c r="E1591" s="2">
        <v>42048</v>
      </c>
      <c r="F1591" s="3">
        <v>0.52</v>
      </c>
      <c r="G1591" s="2">
        <v>42073</v>
      </c>
      <c r="H1591" s="3">
        <v>2.5899999999999999E-2</v>
      </c>
      <c r="I1591" s="3">
        <v>0</v>
      </c>
      <c r="J1591" s="3">
        <v>0</v>
      </c>
      <c r="K1591" s="3">
        <f t="shared" si="51"/>
        <v>0</v>
      </c>
      <c r="L1591" s="3">
        <f t="shared" si="52"/>
        <v>2015</v>
      </c>
      <c r="M1591" s="20" t="str">
        <f>A1591&amp;L1591</f>
        <v>TGT2015</v>
      </c>
      <c r="N1591" s="3">
        <f>F1591</f>
        <v>0.52</v>
      </c>
      <c r="O1591" s="9">
        <f>H1591</f>
        <v>2.5899999999999999E-2</v>
      </c>
      <c r="P1591" s="10">
        <f t="shared" si="53"/>
        <v>0</v>
      </c>
      <c r="Q1591" s="10">
        <f>IF(K1591=0,IF(A1588=A1591,AVERAGE(O1588:O1591),"x"),0)</f>
        <v>2.7275000000000001E-2</v>
      </c>
      <c r="R1591" s="9">
        <f>IF(L1591&gt;2005,AVERAGE(O1588:O1607),0)</f>
        <v>2.3895E-2</v>
      </c>
      <c r="S1591" s="10">
        <f>IF(A1591=A1592,(N1591-N1592)/N1592,0)</f>
        <v>0</v>
      </c>
      <c r="T1591" s="10">
        <f>IF(L1591&gt;2005,(((N1591-N1611)/N1611)+1)^(1/5)-1,0)</f>
        <v>0.25057828821420203</v>
      </c>
      <c r="U1591" s="10">
        <f t="shared" si="54"/>
        <v>0.27447328821420203</v>
      </c>
      <c r="V1591" s="26">
        <f t="shared" si="55"/>
        <v>4.7256984937557993</v>
      </c>
      <c r="W1591" s="3">
        <f>IF(A1591=A1592,N1591-N1592,0)</f>
        <v>0</v>
      </c>
      <c r="X1591" s="10">
        <f>IF(A1591=A1592,(N1591-N1592)/N1592,0)</f>
        <v>0</v>
      </c>
    </row>
    <row r="1592" spans="1:24" ht="16.5" customHeight="1">
      <c r="A1592" s="3" t="s">
        <v>41</v>
      </c>
      <c r="B1592" s="3">
        <f t="shared" si="48"/>
        <v>2014</v>
      </c>
      <c r="C1592" s="3">
        <f t="shared" si="49"/>
        <v>11</v>
      </c>
      <c r="D1592" s="20" t="str">
        <f t="shared" si="50"/>
        <v>TGT201411</v>
      </c>
      <c r="E1592" s="2">
        <v>41960</v>
      </c>
      <c r="F1592" s="3">
        <v>0.52</v>
      </c>
      <c r="G1592" s="2">
        <v>41983</v>
      </c>
      <c r="H1592" s="3">
        <v>2.7900000000000001E-2</v>
      </c>
      <c r="I1592" s="3">
        <v>0</v>
      </c>
      <c r="J1592" s="3">
        <v>0</v>
      </c>
      <c r="K1592" s="3">
        <f t="shared" si="51"/>
        <v>2014</v>
      </c>
      <c r="L1592" s="3">
        <f t="shared" si="52"/>
        <v>0</v>
      </c>
      <c r="M1592" s="20" t="str">
        <f>A1592&amp;L1592</f>
        <v>TGT0</v>
      </c>
      <c r="N1592" s="3">
        <f>F1592</f>
        <v>0.52</v>
      </c>
      <c r="O1592" s="9">
        <f>H1592</f>
        <v>2.7900000000000001E-2</v>
      </c>
      <c r="P1592" s="10">
        <f t="shared" si="53"/>
        <v>0</v>
      </c>
      <c r="Q1592" s="10">
        <f>IF(K1592=0,IF(A1589=A1592,AVERAGE(O1589:O1592),"x"),0)</f>
        <v>0</v>
      </c>
      <c r="R1592" s="9">
        <f>IF(L1592&gt;2005,AVERAGE(O1589:O1608),0)</f>
        <v>0</v>
      </c>
      <c r="S1592" s="10">
        <f>IF(A1592=A1593,(N1592-N1593)/N1593,0)</f>
        <v>0</v>
      </c>
      <c r="T1592" s="10">
        <f>IF(L1592&gt;2005,(((N1592-N1612)/N1612)+1)^(1/5)-1,0)</f>
        <v>0</v>
      </c>
      <c r="U1592" s="10">
        <f t="shared" si="54"/>
        <v>0</v>
      </c>
      <c r="V1592" s="26">
        <f t="shared" si="55"/>
        <v>0</v>
      </c>
      <c r="W1592" s="3">
        <f>IF(A1592=A1593,N1592-N1593,0)</f>
        <v>0</v>
      </c>
      <c r="X1592" s="10">
        <f>IF(A1592=A1593,(N1592-N1593)/N1593,0)</f>
        <v>0</v>
      </c>
    </row>
    <row r="1593" spans="1:24" ht="16.5" customHeight="1">
      <c r="A1593" s="3" t="s">
        <v>41</v>
      </c>
      <c r="B1593" s="3">
        <f t="shared" si="48"/>
        <v>2014</v>
      </c>
      <c r="C1593" s="3">
        <f t="shared" si="49"/>
        <v>8</v>
      </c>
      <c r="D1593" s="20" t="str">
        <f t="shared" si="50"/>
        <v>TGT20148</v>
      </c>
      <c r="E1593" s="2">
        <v>41869</v>
      </c>
      <c r="F1593" s="3">
        <v>0.52</v>
      </c>
      <c r="G1593" s="2">
        <v>41892</v>
      </c>
      <c r="H1593" s="3">
        <v>3.1099999999999999E-2</v>
      </c>
      <c r="I1593" s="3">
        <v>0.20930232600000001</v>
      </c>
      <c r="J1593" s="3">
        <v>0.09</v>
      </c>
      <c r="K1593" s="3">
        <f t="shared" si="51"/>
        <v>2014</v>
      </c>
      <c r="L1593" s="3">
        <f t="shared" si="52"/>
        <v>0</v>
      </c>
      <c r="M1593" s="20" t="str">
        <f>A1593&amp;L1593</f>
        <v>TGT0</v>
      </c>
      <c r="N1593" s="3">
        <f>F1593</f>
        <v>0.52</v>
      </c>
      <c r="O1593" s="9">
        <f>H1593</f>
        <v>3.1099999999999999E-2</v>
      </c>
      <c r="P1593" s="10">
        <f t="shared" si="53"/>
        <v>2.8249999999999997E-2</v>
      </c>
      <c r="Q1593" s="10">
        <f>IF(K1593=0,IF(A1590=A1593,AVERAGE(O1590:O1593),"x"),0)</f>
        <v>0</v>
      </c>
      <c r="R1593" s="9">
        <f>IF(L1593&gt;2005,AVERAGE(O1590:O1609),0)</f>
        <v>0</v>
      </c>
      <c r="S1593" s="10">
        <f>IF(A1593=A1594,(N1593-N1594)/N1594,0)</f>
        <v>0.20930232558139542</v>
      </c>
      <c r="T1593" s="10">
        <f>IF(L1593&gt;2005,(((N1593-N1613)/N1613)+1)^(1/5)-1,0)</f>
        <v>0</v>
      </c>
      <c r="U1593" s="10">
        <f t="shared" si="54"/>
        <v>0</v>
      </c>
      <c r="V1593" s="26">
        <f t="shared" si="55"/>
        <v>0</v>
      </c>
      <c r="W1593" s="3">
        <f>IF(A1593=A1594,N1593-N1594,0)</f>
        <v>9.0000000000000024E-2</v>
      </c>
      <c r="X1593" s="10">
        <f>IF(A1593=A1594,(N1593-N1594)/N1594,0)</f>
        <v>0.20930232558139542</v>
      </c>
    </row>
    <row r="1594" spans="1:24" ht="16.5" customHeight="1">
      <c r="A1594" s="3" t="s">
        <v>41</v>
      </c>
      <c r="B1594" s="3">
        <f t="shared" si="48"/>
        <v>2014</v>
      </c>
      <c r="C1594" s="3">
        <f t="shared" si="49"/>
        <v>5</v>
      </c>
      <c r="D1594" s="20" t="str">
        <f t="shared" si="50"/>
        <v>TGT20145</v>
      </c>
      <c r="E1594" s="2">
        <v>41778</v>
      </c>
      <c r="F1594" s="3">
        <v>0.43</v>
      </c>
      <c r="G1594" s="2">
        <v>41800</v>
      </c>
      <c r="H1594" s="3">
        <v>2.93E-2</v>
      </c>
      <c r="I1594" s="3">
        <v>0</v>
      </c>
      <c r="J1594" s="3">
        <v>0</v>
      </c>
      <c r="K1594" s="3">
        <f t="shared" si="51"/>
        <v>2014</v>
      </c>
      <c r="L1594" s="3">
        <f t="shared" si="52"/>
        <v>0</v>
      </c>
      <c r="M1594" s="20" t="str">
        <f>A1594&amp;L1594</f>
        <v>TGT0</v>
      </c>
      <c r="N1594" s="3">
        <f>F1594</f>
        <v>0.43</v>
      </c>
      <c r="O1594" s="9">
        <f>H1594</f>
        <v>2.93E-2</v>
      </c>
      <c r="P1594" s="10">
        <f t="shared" si="53"/>
        <v>0</v>
      </c>
      <c r="Q1594" s="10">
        <f>IF(K1594=0,IF(A1591=A1594,AVERAGE(O1591:O1594),"x"),0)</f>
        <v>0</v>
      </c>
      <c r="R1594" s="9">
        <f>IF(L1594&gt;2005,AVERAGE(O1591:O1610),0)</f>
        <v>0</v>
      </c>
      <c r="S1594" s="10">
        <f>IF(A1594=A1595,(N1594-N1595)/N1595,0)</f>
        <v>0</v>
      </c>
      <c r="T1594" s="10">
        <f>IF(L1594&gt;2005,(((N1594-N1614)/N1614)+1)^(1/5)-1,0)</f>
        <v>0</v>
      </c>
      <c r="U1594" s="10">
        <f t="shared" si="54"/>
        <v>0</v>
      </c>
      <c r="V1594" s="26">
        <f t="shared" si="55"/>
        <v>0</v>
      </c>
      <c r="W1594" s="3">
        <f>IF(A1594=A1595,N1594-N1595,0)</f>
        <v>0</v>
      </c>
      <c r="X1594" s="10">
        <f>IF(A1594=A1595,(N1594-N1595)/N1595,0)</f>
        <v>0</v>
      </c>
    </row>
    <row r="1595" spans="1:24" ht="16.5" customHeight="1">
      <c r="A1595" s="3" t="s">
        <v>41</v>
      </c>
      <c r="B1595" s="3">
        <f t="shared" si="48"/>
        <v>2014</v>
      </c>
      <c r="C1595" s="3">
        <f t="shared" si="49"/>
        <v>2</v>
      </c>
      <c r="D1595" s="20" t="str">
        <f t="shared" si="50"/>
        <v>TGT20142</v>
      </c>
      <c r="E1595" s="2">
        <v>41684</v>
      </c>
      <c r="F1595" s="3">
        <v>0.43</v>
      </c>
      <c r="G1595" s="2">
        <v>41708</v>
      </c>
      <c r="H1595" s="3">
        <v>2.9000000000000001E-2</v>
      </c>
      <c r="I1595" s="3">
        <v>0</v>
      </c>
      <c r="J1595" s="3">
        <v>0</v>
      </c>
      <c r="K1595" s="3">
        <f t="shared" si="51"/>
        <v>0</v>
      </c>
      <c r="L1595" s="3">
        <f t="shared" si="52"/>
        <v>2014</v>
      </c>
      <c r="M1595" s="20" t="str">
        <f>A1595&amp;L1595</f>
        <v>TGT2014</v>
      </c>
      <c r="N1595" s="3">
        <f>F1595</f>
        <v>0.43</v>
      </c>
      <c r="O1595" s="9">
        <f>H1595</f>
        <v>2.9000000000000001E-2</v>
      </c>
      <c r="P1595" s="10">
        <f t="shared" si="53"/>
        <v>0</v>
      </c>
      <c r="Q1595" s="10">
        <f>IF(K1595=0,IF(A1592=A1595,AVERAGE(O1592:O1595),"x"),0)</f>
        <v>2.9324999999999997E-2</v>
      </c>
      <c r="R1595" s="9">
        <f>IF(L1595&gt;2005,AVERAGE(O1592:O1611),0)</f>
        <v>2.1240000000000002E-2</v>
      </c>
      <c r="S1595" s="10">
        <f>IF(A1595=A1596,(N1595-N1596)/N1596,0)</f>
        <v>0</v>
      </c>
      <c r="T1595" s="10">
        <f>IF(L1595&gt;2005,(((N1595-N1615)/N1615)+1)^(1/5)-1,0)</f>
        <v>0.21862390899411199</v>
      </c>
      <c r="U1595" s="10">
        <f t="shared" si="54"/>
        <v>0.239863908994112</v>
      </c>
      <c r="V1595" s="26">
        <f t="shared" si="55"/>
        <v>4.7488307819481532</v>
      </c>
      <c r="W1595" s="3">
        <f>IF(A1595=A1596,N1595-N1596,0)</f>
        <v>0</v>
      </c>
      <c r="X1595" s="10">
        <f>IF(A1595=A1596,(N1595-N1596)/N1596,0)</f>
        <v>0</v>
      </c>
    </row>
    <row r="1596" spans="1:24" ht="16.5" customHeight="1">
      <c r="A1596" s="3" t="s">
        <v>41</v>
      </c>
      <c r="B1596" s="3">
        <f t="shared" si="48"/>
        <v>2013</v>
      </c>
      <c r="C1596" s="3">
        <f t="shared" si="49"/>
        <v>11</v>
      </c>
      <c r="D1596" s="20" t="str">
        <f t="shared" si="50"/>
        <v>TGT201311</v>
      </c>
      <c r="E1596" s="2">
        <v>41596</v>
      </c>
      <c r="F1596" s="3">
        <v>0.43</v>
      </c>
      <c r="G1596" s="2">
        <v>41618</v>
      </c>
      <c r="H1596" s="3">
        <v>2.3599999999999999E-2</v>
      </c>
      <c r="I1596" s="3">
        <v>0</v>
      </c>
      <c r="J1596" s="3">
        <v>0</v>
      </c>
      <c r="K1596" s="3">
        <f t="shared" si="51"/>
        <v>2013</v>
      </c>
      <c r="L1596" s="3">
        <f t="shared" si="52"/>
        <v>0</v>
      </c>
      <c r="M1596" s="20" t="str">
        <f>A1596&amp;L1596</f>
        <v>TGT0</v>
      </c>
      <c r="N1596" s="3">
        <f>F1596</f>
        <v>0.43</v>
      </c>
      <c r="O1596" s="9">
        <f>H1596</f>
        <v>2.3599999999999999E-2</v>
      </c>
      <c r="P1596" s="10">
        <f t="shared" si="53"/>
        <v>0</v>
      </c>
      <c r="Q1596" s="10">
        <f>IF(K1596=0,IF(A1593=A1596,AVERAGE(O1593:O1596),"x"),0)</f>
        <v>0</v>
      </c>
      <c r="R1596" s="9">
        <f>IF(L1596&gt;2005,AVERAGE(O1593:O1612),0)</f>
        <v>0</v>
      </c>
      <c r="S1596" s="10">
        <f>IF(A1596=A1597,(N1596-N1597)/N1597,0)</f>
        <v>0</v>
      </c>
      <c r="T1596" s="10">
        <f>IF(L1596&gt;2005,(((N1596-N1616)/N1616)+1)^(1/5)-1,0)</f>
        <v>0</v>
      </c>
      <c r="U1596" s="10">
        <f t="shared" si="54"/>
        <v>0</v>
      </c>
      <c r="V1596" s="26">
        <f t="shared" si="55"/>
        <v>0</v>
      </c>
      <c r="W1596" s="3">
        <f>IF(A1596=A1597,N1596-N1597,0)</f>
        <v>0</v>
      </c>
      <c r="X1596" s="10">
        <f>IF(A1596=A1597,(N1596-N1597)/N1597,0)</f>
        <v>0</v>
      </c>
    </row>
    <row r="1597" spans="1:24" ht="16.5" customHeight="1">
      <c r="A1597" s="3" t="s">
        <v>41</v>
      </c>
      <c r="B1597" s="3">
        <f t="shared" si="48"/>
        <v>2013</v>
      </c>
      <c r="C1597" s="3">
        <f t="shared" si="49"/>
        <v>8</v>
      </c>
      <c r="D1597" s="20" t="str">
        <f t="shared" si="50"/>
        <v>TGT20138</v>
      </c>
      <c r="E1597" s="2">
        <v>41505</v>
      </c>
      <c r="F1597" s="3">
        <v>0.43</v>
      </c>
      <c r="G1597" s="2">
        <v>41527</v>
      </c>
      <c r="H1597" s="3">
        <v>2.1999999999999999E-2</v>
      </c>
      <c r="I1597" s="3">
        <v>0.19444444399999999</v>
      </c>
      <c r="J1597" s="3">
        <v>7.0000000000000007E-2</v>
      </c>
      <c r="K1597" s="3">
        <f t="shared" si="51"/>
        <v>2013</v>
      </c>
      <c r="L1597" s="3">
        <f t="shared" si="52"/>
        <v>0</v>
      </c>
      <c r="M1597" s="20" t="str">
        <f>A1597&amp;L1597</f>
        <v>TGT0</v>
      </c>
      <c r="N1597" s="3">
        <f>F1597</f>
        <v>0.43</v>
      </c>
      <c r="O1597" s="9">
        <f>H1597</f>
        <v>2.1999999999999999E-2</v>
      </c>
      <c r="P1597" s="10">
        <f t="shared" si="53"/>
        <v>2.1400000000000002E-2</v>
      </c>
      <c r="Q1597" s="10">
        <f>IF(K1597=0,IF(A1594=A1597,AVERAGE(O1594:O1597),"x"),0)</f>
        <v>0</v>
      </c>
      <c r="R1597" s="9">
        <f>IF(L1597&gt;2005,AVERAGE(O1594:O1613),0)</f>
        <v>0</v>
      </c>
      <c r="S1597" s="10">
        <f>IF(A1597=A1598,(N1597-N1598)/N1598,0)</f>
        <v>0.19444444444444448</v>
      </c>
      <c r="T1597" s="10">
        <f>IF(L1597&gt;2005,(((N1597-N1617)/N1617)+1)^(1/5)-1,0)</f>
        <v>0</v>
      </c>
      <c r="U1597" s="10">
        <f t="shared" si="54"/>
        <v>0</v>
      </c>
      <c r="V1597" s="26">
        <f t="shared" si="55"/>
        <v>0</v>
      </c>
      <c r="W1597" s="3">
        <f>IF(A1597=A1598,N1597-N1598,0)</f>
        <v>7.0000000000000007E-2</v>
      </c>
      <c r="X1597" s="10">
        <f>IF(A1597=A1598,(N1597-N1598)/N1598,0)</f>
        <v>0.19444444444444448</v>
      </c>
    </row>
    <row r="1598" spans="1:24" ht="16.5" customHeight="1">
      <c r="A1598" s="3" t="s">
        <v>41</v>
      </c>
      <c r="B1598" s="3">
        <f t="shared" si="48"/>
        <v>2013</v>
      </c>
      <c r="C1598" s="3">
        <f t="shared" si="49"/>
        <v>5</v>
      </c>
      <c r="D1598" s="20" t="str">
        <f t="shared" si="50"/>
        <v>TGT20135</v>
      </c>
      <c r="E1598" s="2">
        <v>41407</v>
      </c>
      <c r="F1598" s="3">
        <v>0.36</v>
      </c>
      <c r="G1598" s="2">
        <v>41435</v>
      </c>
      <c r="H1598" s="3">
        <v>2.06E-2</v>
      </c>
      <c r="I1598" s="3">
        <v>0</v>
      </c>
      <c r="J1598" s="3">
        <v>0</v>
      </c>
      <c r="K1598" s="3">
        <f t="shared" si="51"/>
        <v>2013</v>
      </c>
      <c r="L1598" s="3">
        <f t="shared" si="52"/>
        <v>0</v>
      </c>
      <c r="M1598" s="20" t="str">
        <f>A1598&amp;L1598</f>
        <v>TGT0</v>
      </c>
      <c r="N1598" s="3">
        <f>F1598</f>
        <v>0.36</v>
      </c>
      <c r="O1598" s="9">
        <f>H1598</f>
        <v>2.06E-2</v>
      </c>
      <c r="P1598" s="10">
        <f t="shared" si="53"/>
        <v>0</v>
      </c>
      <c r="Q1598" s="10">
        <f>IF(K1598=0,IF(A1595=A1598,AVERAGE(O1595:O1598),"x"),0)</f>
        <v>0</v>
      </c>
      <c r="R1598" s="9">
        <f>IF(L1598&gt;2005,AVERAGE(O1595:O1614),0)</f>
        <v>0</v>
      </c>
      <c r="S1598" s="10">
        <f>IF(A1598=A1599,(N1598-N1599)/N1599,0)</f>
        <v>0</v>
      </c>
      <c r="T1598" s="10">
        <f>IF(L1598&gt;2005,(((N1598-N1618)/N1618)+1)^(1/5)-1,0)</f>
        <v>0</v>
      </c>
      <c r="U1598" s="10">
        <f t="shared" si="54"/>
        <v>0</v>
      </c>
      <c r="V1598" s="26">
        <f t="shared" si="55"/>
        <v>0</v>
      </c>
      <c r="W1598" s="3">
        <f>IF(A1598=A1599,N1598-N1599,0)</f>
        <v>0</v>
      </c>
      <c r="X1598" s="10">
        <f>IF(A1598=A1599,(N1598-N1599)/N1599,0)</f>
        <v>0</v>
      </c>
    </row>
    <row r="1599" spans="1:24" ht="16.5" customHeight="1">
      <c r="A1599" s="3" t="s">
        <v>41</v>
      </c>
      <c r="B1599" s="3">
        <f t="shared" si="48"/>
        <v>2013</v>
      </c>
      <c r="C1599" s="3">
        <f t="shared" si="49"/>
        <v>2</v>
      </c>
      <c r="D1599" s="20" t="str">
        <f t="shared" si="50"/>
        <v>TGT20132</v>
      </c>
      <c r="E1599" s="2">
        <v>41320</v>
      </c>
      <c r="F1599" s="3">
        <v>0.36</v>
      </c>
      <c r="G1599" s="2">
        <v>41343</v>
      </c>
      <c r="H1599" s="3">
        <v>2.1899999999999999E-2</v>
      </c>
      <c r="I1599" s="3">
        <v>0</v>
      </c>
      <c r="J1599" s="3">
        <v>0</v>
      </c>
      <c r="K1599" s="3">
        <f t="shared" si="51"/>
        <v>0</v>
      </c>
      <c r="L1599" s="3">
        <f t="shared" si="52"/>
        <v>2013</v>
      </c>
      <c r="M1599" s="20" t="str">
        <f>A1599&amp;L1599</f>
        <v>TGT2013</v>
      </c>
      <c r="N1599" s="3">
        <f>F1599</f>
        <v>0.36</v>
      </c>
      <c r="O1599" s="9">
        <f>H1599</f>
        <v>2.1899999999999999E-2</v>
      </c>
      <c r="P1599" s="10">
        <f t="shared" si="53"/>
        <v>0</v>
      </c>
      <c r="Q1599" s="10">
        <f>IF(K1599=0,IF(A1596=A1599,AVERAGE(O1596:O1599),"x"),0)</f>
        <v>2.2025000000000003E-2</v>
      </c>
      <c r="R1599" s="9">
        <f>IF(L1599&gt;2005,AVERAGE(O1596:O1615),0)</f>
        <v>1.8675000000000004E-2</v>
      </c>
      <c r="S1599" s="10">
        <f>IF(A1599=A1600,(N1599-N1600)/N1600,0)</f>
        <v>0</v>
      </c>
      <c r="T1599" s="10">
        <f>IF(L1599&gt;2005,(((N1599-N1619)/N1619)+1)^(1/5)-1,0)</f>
        <v>0.20791087977228595</v>
      </c>
      <c r="U1599" s="10">
        <f t="shared" si="54"/>
        <v>0.22658587977228595</v>
      </c>
      <c r="V1599" s="26">
        <f t="shared" si="55"/>
        <v>4.776205696403073</v>
      </c>
      <c r="W1599" s="3">
        <f>IF(A1599=A1600,N1599-N1600,0)</f>
        <v>0</v>
      </c>
      <c r="X1599" s="10">
        <f>IF(A1599=A1600,(N1599-N1600)/N1600,0)</f>
        <v>0</v>
      </c>
    </row>
    <row r="1600" spans="1:24" ht="16.5" customHeight="1">
      <c r="A1600" s="3" t="s">
        <v>41</v>
      </c>
      <c r="B1600" s="3">
        <f t="shared" si="48"/>
        <v>2012</v>
      </c>
      <c r="C1600" s="3">
        <f t="shared" si="49"/>
        <v>11</v>
      </c>
      <c r="D1600" s="20" t="str">
        <f t="shared" si="50"/>
        <v>TGT201211</v>
      </c>
      <c r="E1600" s="2">
        <v>41232</v>
      </c>
      <c r="F1600" s="3">
        <v>0.36</v>
      </c>
      <c r="G1600" s="2">
        <v>41253</v>
      </c>
      <c r="H1600" s="3">
        <v>2.1100000000000001E-2</v>
      </c>
      <c r="I1600" s="3">
        <v>0</v>
      </c>
      <c r="J1600" s="3">
        <v>0</v>
      </c>
      <c r="K1600" s="3">
        <f t="shared" si="51"/>
        <v>2012</v>
      </c>
      <c r="L1600" s="3">
        <f t="shared" si="52"/>
        <v>0</v>
      </c>
      <c r="M1600" s="20" t="str">
        <f>A1600&amp;L1600</f>
        <v>TGT0</v>
      </c>
      <c r="N1600" s="3">
        <f>F1600</f>
        <v>0.36</v>
      </c>
      <c r="O1600" s="9">
        <f>H1600</f>
        <v>2.1100000000000001E-2</v>
      </c>
      <c r="P1600" s="10">
        <f t="shared" si="53"/>
        <v>0</v>
      </c>
      <c r="Q1600" s="10">
        <f>IF(K1600=0,IF(A1597=A1600,AVERAGE(O1597:O1600),"x"),0)</f>
        <v>0</v>
      </c>
      <c r="R1600" s="9">
        <f>IF(L1600&gt;2005,AVERAGE(O1597:O1616),0)</f>
        <v>0</v>
      </c>
      <c r="S1600" s="10">
        <f>IF(A1600=A1601,(N1600-N1601)/N1601,0)</f>
        <v>0</v>
      </c>
      <c r="T1600" s="10">
        <f>IF(L1600&gt;2005,(((N1600-N1620)/N1620)+1)^(1/5)-1,0)</f>
        <v>0</v>
      </c>
      <c r="U1600" s="10">
        <f t="shared" si="54"/>
        <v>0</v>
      </c>
      <c r="V1600" s="26">
        <f t="shared" si="55"/>
        <v>0</v>
      </c>
      <c r="W1600" s="3">
        <f>IF(A1600=A1601,N1600-N1601,0)</f>
        <v>0</v>
      </c>
      <c r="X1600" s="10">
        <f>IF(A1600=A1601,(N1600-N1601)/N1601,0)</f>
        <v>0</v>
      </c>
    </row>
    <row r="1601" spans="1:24" ht="16.5" customHeight="1">
      <c r="A1601" s="3" t="s">
        <v>41</v>
      </c>
      <c r="B1601" s="3">
        <f t="shared" si="48"/>
        <v>2012</v>
      </c>
      <c r="C1601" s="3">
        <f t="shared" si="49"/>
        <v>8</v>
      </c>
      <c r="D1601" s="20" t="str">
        <f t="shared" si="50"/>
        <v>TGT20128</v>
      </c>
      <c r="E1601" s="2">
        <v>41134</v>
      </c>
      <c r="F1601" s="3">
        <v>0.36</v>
      </c>
      <c r="G1601" s="2">
        <v>41162</v>
      </c>
      <c r="H1601" s="3">
        <v>2.01E-2</v>
      </c>
      <c r="I1601" s="3">
        <v>0.2</v>
      </c>
      <c r="J1601" s="3">
        <v>0.06</v>
      </c>
      <c r="K1601" s="3">
        <f t="shared" si="51"/>
        <v>2012</v>
      </c>
      <c r="L1601" s="3">
        <f t="shared" si="52"/>
        <v>0</v>
      </c>
      <c r="M1601" s="20" t="str">
        <f>A1601&amp;L1601</f>
        <v>TGT0</v>
      </c>
      <c r="N1601" s="3">
        <f>F1601</f>
        <v>0.36</v>
      </c>
      <c r="O1601" s="9">
        <f>H1601</f>
        <v>2.01E-2</v>
      </c>
      <c r="P1601" s="10">
        <f t="shared" si="53"/>
        <v>2.1075E-2</v>
      </c>
      <c r="Q1601" s="10">
        <f>IF(K1601=0,IF(A1598=A1601,AVERAGE(O1598:O1601),"x"),0)</f>
        <v>0</v>
      </c>
      <c r="R1601" s="9">
        <f>IF(L1601&gt;2005,AVERAGE(O1598:O1617),0)</f>
        <v>0</v>
      </c>
      <c r="S1601" s="10">
        <f>IF(A1601=A1602,(N1601-N1602)/N1602,0)</f>
        <v>0.2</v>
      </c>
      <c r="T1601" s="10">
        <f>IF(L1601&gt;2005,(((N1601-N1621)/N1621)+1)^(1/5)-1,0)</f>
        <v>0</v>
      </c>
      <c r="U1601" s="10">
        <f t="shared" si="54"/>
        <v>0</v>
      </c>
      <c r="V1601" s="26">
        <f t="shared" si="55"/>
        <v>0</v>
      </c>
      <c r="W1601" s="3">
        <f>IF(A1601=A1602,N1601-N1602,0)</f>
        <v>0.06</v>
      </c>
      <c r="X1601" s="10">
        <f>IF(A1601=A1602,(N1601-N1602)/N1602,0)</f>
        <v>0.2</v>
      </c>
    </row>
    <row r="1602" spans="1:24" ht="16.5" customHeight="1">
      <c r="A1602" s="3" t="s">
        <v>41</v>
      </c>
      <c r="B1602" s="3">
        <f t="shared" si="48"/>
        <v>2012</v>
      </c>
      <c r="C1602" s="3">
        <f t="shared" si="49"/>
        <v>5</v>
      </c>
      <c r="D1602" s="20" t="str">
        <f t="shared" si="50"/>
        <v>TGT20125</v>
      </c>
      <c r="E1602" s="2">
        <v>41043</v>
      </c>
      <c r="F1602" s="3">
        <v>0.3</v>
      </c>
      <c r="G1602" s="2">
        <v>41070</v>
      </c>
      <c r="H1602" s="3">
        <v>2.1600000000000001E-2</v>
      </c>
      <c r="I1602" s="3">
        <v>0</v>
      </c>
      <c r="J1602" s="3">
        <v>0</v>
      </c>
      <c r="K1602" s="3">
        <f t="shared" si="51"/>
        <v>2012</v>
      </c>
      <c r="L1602" s="3">
        <f t="shared" si="52"/>
        <v>0</v>
      </c>
      <c r="M1602" s="20" t="str">
        <f>A1602&amp;L1602</f>
        <v>TGT0</v>
      </c>
      <c r="N1602" s="3">
        <f>F1602</f>
        <v>0.3</v>
      </c>
      <c r="O1602" s="9">
        <f>H1602</f>
        <v>2.1600000000000001E-2</v>
      </c>
      <c r="P1602" s="10">
        <f t="shared" si="53"/>
        <v>0</v>
      </c>
      <c r="Q1602" s="10">
        <f>IF(K1602=0,IF(A1599=A1602,AVERAGE(O1599:O1602),"x"),0)</f>
        <v>0</v>
      </c>
      <c r="R1602" s="9">
        <f>IF(L1602&gt;2005,AVERAGE(O1599:O1618),0)</f>
        <v>0</v>
      </c>
      <c r="S1602" s="10">
        <f>IF(A1602=A1603,(N1602-N1603)/N1603,0)</f>
        <v>0</v>
      </c>
      <c r="T1602" s="10">
        <f>IF(L1602&gt;2005,(((N1602-N1622)/N1622)+1)^(1/5)-1,0)</f>
        <v>0</v>
      </c>
      <c r="U1602" s="10">
        <f t="shared" si="54"/>
        <v>0</v>
      </c>
      <c r="V1602" s="26">
        <f t="shared" si="55"/>
        <v>0</v>
      </c>
      <c r="W1602" s="3">
        <f>IF(A1602=A1603,N1602-N1603,0)</f>
        <v>0</v>
      </c>
      <c r="X1602" s="10">
        <f>IF(A1602=A1603,(N1602-N1603)/N1603,0)</f>
        <v>0</v>
      </c>
    </row>
    <row r="1603" spans="1:24" ht="16.5" customHeight="1">
      <c r="A1603" s="3" t="s">
        <v>41</v>
      </c>
      <c r="B1603" s="3">
        <f t="shared" si="48"/>
        <v>2012</v>
      </c>
      <c r="C1603" s="3">
        <f t="shared" si="49"/>
        <v>2</v>
      </c>
      <c r="D1603" s="20" t="str">
        <f t="shared" si="50"/>
        <v>TGT20122</v>
      </c>
      <c r="E1603" s="2">
        <v>40952</v>
      </c>
      <c r="F1603" s="3">
        <v>0.3</v>
      </c>
      <c r="G1603" s="2">
        <v>40978</v>
      </c>
      <c r="H1603" s="3">
        <v>2.1899999999999999E-2</v>
      </c>
      <c r="I1603" s="3">
        <v>0</v>
      </c>
      <c r="J1603" s="3">
        <v>0</v>
      </c>
      <c r="K1603" s="3">
        <f t="shared" si="51"/>
        <v>0</v>
      </c>
      <c r="L1603" s="3">
        <f t="shared" si="52"/>
        <v>2012</v>
      </c>
      <c r="M1603" s="20" t="str">
        <f>A1603&amp;L1603</f>
        <v>TGT2012</v>
      </c>
      <c r="N1603" s="3">
        <f>F1603</f>
        <v>0.3</v>
      </c>
      <c r="O1603" s="9">
        <f>H1603</f>
        <v>2.1899999999999999E-2</v>
      </c>
      <c r="P1603" s="10">
        <f t="shared" si="53"/>
        <v>0</v>
      </c>
      <c r="Q1603" s="10">
        <f>IF(K1603=0,IF(A1600=A1603,AVERAGE(O1600:O1603),"x"),0)</f>
        <v>2.1174999999999999E-2</v>
      </c>
      <c r="R1603" s="9">
        <f>IF(L1603&gt;2005,AVERAGE(O1600:O1619),0)</f>
        <v>1.6799999999999999E-2</v>
      </c>
      <c r="S1603" s="10">
        <f>IF(A1603=A1604,(N1603-N1604)/N1604,0)</f>
        <v>0</v>
      </c>
      <c r="T1603" s="10">
        <f>IF(L1603&gt;2005,(((N1603-N1623)/N1623)+1)^(1/5)-1,0)</f>
        <v>0.20112443398143132</v>
      </c>
      <c r="U1603" s="10">
        <f t="shared" si="54"/>
        <v>0.21792443398143133</v>
      </c>
      <c r="V1603" s="26">
        <f t="shared" si="55"/>
        <v>4.7968569250168231</v>
      </c>
      <c r="W1603" s="3">
        <f>IF(A1603=A1604,N1603-N1604,0)</f>
        <v>0</v>
      </c>
      <c r="X1603" s="10">
        <f>IF(A1603=A1604,(N1603-N1604)/N1604,0)</f>
        <v>0</v>
      </c>
    </row>
    <row r="1604" spans="1:24" ht="16.5" customHeight="1">
      <c r="A1604" s="3" t="s">
        <v>41</v>
      </c>
      <c r="B1604" s="3">
        <f t="shared" si="48"/>
        <v>2011</v>
      </c>
      <c r="C1604" s="3">
        <f t="shared" si="49"/>
        <v>11</v>
      </c>
      <c r="D1604" s="20" t="str">
        <f t="shared" si="50"/>
        <v>TGT201111</v>
      </c>
      <c r="E1604" s="2">
        <v>40861</v>
      </c>
      <c r="F1604" s="3">
        <v>0.3</v>
      </c>
      <c r="G1604" s="2">
        <v>40887</v>
      </c>
      <c r="H1604" s="3">
        <v>2.07E-2</v>
      </c>
      <c r="I1604" s="3">
        <v>0</v>
      </c>
      <c r="J1604" s="3">
        <v>0</v>
      </c>
      <c r="K1604" s="3">
        <f t="shared" si="51"/>
        <v>2011</v>
      </c>
      <c r="L1604" s="3">
        <f t="shared" si="52"/>
        <v>0</v>
      </c>
      <c r="M1604" s="20" t="str">
        <f>A1604&amp;L1604</f>
        <v>TGT0</v>
      </c>
      <c r="N1604" s="3">
        <f>F1604</f>
        <v>0.3</v>
      </c>
      <c r="O1604" s="9">
        <f>H1604</f>
        <v>2.07E-2</v>
      </c>
      <c r="P1604" s="10">
        <f t="shared" si="53"/>
        <v>0</v>
      </c>
      <c r="Q1604" s="10">
        <f>IF(K1604=0,IF(A1601=A1604,AVERAGE(O1601:O1604),"x"),0)</f>
        <v>0</v>
      </c>
      <c r="R1604" s="9">
        <f>IF(L1604&gt;2005,AVERAGE(O1601:O1620),0)</f>
        <v>0</v>
      </c>
      <c r="S1604" s="10">
        <f>IF(A1604=A1605,(N1604-N1605)/N1605,0)</f>
        <v>0</v>
      </c>
      <c r="T1604" s="10">
        <f>IF(L1604&gt;2005,(((N1604-N1624)/N1624)+1)^(1/5)-1,0)</f>
        <v>0</v>
      </c>
      <c r="U1604" s="10">
        <f t="shared" si="54"/>
        <v>0</v>
      </c>
      <c r="V1604" s="26">
        <f t="shared" si="55"/>
        <v>0</v>
      </c>
      <c r="W1604" s="3">
        <f>IF(A1604=A1605,N1604-N1605,0)</f>
        <v>0</v>
      </c>
      <c r="X1604" s="10">
        <f>IF(A1604=A1605,(N1604-N1605)/N1605,0)</f>
        <v>0</v>
      </c>
    </row>
    <row r="1605" spans="1:24" ht="16.5" customHeight="1">
      <c r="A1605" s="3" t="s">
        <v>41</v>
      </c>
      <c r="B1605" s="3">
        <f t="shared" si="48"/>
        <v>2011</v>
      </c>
      <c r="C1605" s="3">
        <f t="shared" si="49"/>
        <v>8</v>
      </c>
      <c r="D1605" s="20" t="str">
        <f t="shared" si="50"/>
        <v>TGT20118</v>
      </c>
      <c r="E1605" s="2">
        <v>40771</v>
      </c>
      <c r="F1605" s="3">
        <v>0.3</v>
      </c>
      <c r="G1605" s="2">
        <v>40796</v>
      </c>
      <c r="H1605" s="3">
        <v>2.1700000000000001E-2</v>
      </c>
      <c r="I1605" s="3">
        <v>0.2</v>
      </c>
      <c r="J1605" s="3">
        <v>0.05</v>
      </c>
      <c r="K1605" s="3">
        <f t="shared" si="51"/>
        <v>2011</v>
      </c>
      <c r="L1605" s="3">
        <f t="shared" si="52"/>
        <v>0</v>
      </c>
      <c r="M1605" s="20" t="str">
        <f>A1605&amp;L1605</f>
        <v>TGT0</v>
      </c>
      <c r="N1605" s="3">
        <f>F1605</f>
        <v>0.3</v>
      </c>
      <c r="O1605" s="9">
        <f>H1605</f>
        <v>2.1700000000000001E-2</v>
      </c>
      <c r="P1605" s="10">
        <f t="shared" si="53"/>
        <v>1.84E-2</v>
      </c>
      <c r="Q1605" s="10">
        <f>IF(K1605=0,IF(A1602=A1605,AVERAGE(O1602:O1605),"x"),0)</f>
        <v>0</v>
      </c>
      <c r="R1605" s="9">
        <f>IF(L1605&gt;2005,AVERAGE(O1602:O1621),0)</f>
        <v>0</v>
      </c>
      <c r="S1605" s="10">
        <f>IF(A1605=A1606,(N1605-N1606)/N1606,0)</f>
        <v>0.19999999999999996</v>
      </c>
      <c r="T1605" s="10">
        <f>IF(L1605&gt;2005,(((N1605-N1625)/N1625)+1)^(1/5)-1,0)</f>
        <v>0</v>
      </c>
      <c r="U1605" s="10">
        <f t="shared" si="54"/>
        <v>0</v>
      </c>
      <c r="V1605" s="26">
        <f t="shared" si="55"/>
        <v>0</v>
      </c>
      <c r="W1605" s="3">
        <f>IF(A1605=A1606,N1605-N1606,0)</f>
        <v>4.9999999999999989E-2</v>
      </c>
      <c r="X1605" s="10">
        <f>IF(A1605=A1606,(N1605-N1606)/N1606,0)</f>
        <v>0.19999999999999996</v>
      </c>
    </row>
    <row r="1606" spans="1:24" ht="16.5" customHeight="1">
      <c r="A1606" s="3" t="s">
        <v>41</v>
      </c>
      <c r="B1606" s="3">
        <f t="shared" si="48"/>
        <v>2011</v>
      </c>
      <c r="C1606" s="3">
        <f t="shared" si="49"/>
        <v>5</v>
      </c>
      <c r="D1606" s="20" t="str">
        <f t="shared" si="50"/>
        <v>TGT20115</v>
      </c>
      <c r="E1606" s="2">
        <v>40679</v>
      </c>
      <c r="F1606" s="3">
        <v>0.25</v>
      </c>
      <c r="G1606" s="2">
        <v>40704</v>
      </c>
      <c r="H1606" s="3">
        <v>1.9400000000000001E-2</v>
      </c>
      <c r="I1606" s="3">
        <v>0</v>
      </c>
      <c r="J1606" s="3">
        <v>0</v>
      </c>
      <c r="K1606" s="3">
        <f t="shared" si="51"/>
        <v>2011</v>
      </c>
      <c r="L1606" s="3">
        <f t="shared" si="52"/>
        <v>0</v>
      </c>
      <c r="M1606" s="20" t="str">
        <f>A1606&amp;L1606</f>
        <v>TGT0</v>
      </c>
      <c r="N1606" s="3">
        <f>F1606</f>
        <v>0.25</v>
      </c>
      <c r="O1606" s="9">
        <f>H1606</f>
        <v>1.9400000000000001E-2</v>
      </c>
      <c r="P1606" s="10">
        <f t="shared" si="53"/>
        <v>0</v>
      </c>
      <c r="Q1606" s="10">
        <f>IF(K1606=0,IF(A1603=A1606,AVERAGE(O1603:O1606),"x"),0)</f>
        <v>0</v>
      </c>
      <c r="R1606" s="9">
        <f>IF(L1606&gt;2005,AVERAGE(O1603:O1622),0)</f>
        <v>0</v>
      </c>
      <c r="S1606" s="10">
        <f>IF(A1606=A1607,(N1606-N1607)/N1607,0)</f>
        <v>0</v>
      </c>
      <c r="T1606" s="10">
        <f>IF(L1606&gt;2005,(((N1606-N1626)/N1626)+1)^(1/5)-1,0)</f>
        <v>0</v>
      </c>
      <c r="U1606" s="10">
        <f t="shared" si="54"/>
        <v>0</v>
      </c>
      <c r="V1606" s="26">
        <f t="shared" si="55"/>
        <v>0</v>
      </c>
      <c r="W1606" s="3">
        <f>IF(A1606=A1607,N1606-N1607,0)</f>
        <v>0</v>
      </c>
      <c r="X1606" s="10">
        <f>IF(A1606=A1607,(N1606-N1607)/N1607,0)</f>
        <v>0</v>
      </c>
    </row>
    <row r="1607" spans="1:24" ht="16.5" customHeight="1">
      <c r="A1607" s="3" t="s">
        <v>41</v>
      </c>
      <c r="B1607" s="3">
        <f t="shared" si="48"/>
        <v>2011</v>
      </c>
      <c r="C1607" s="3">
        <f t="shared" si="49"/>
        <v>2</v>
      </c>
      <c r="D1607" s="20" t="str">
        <f t="shared" si="50"/>
        <v>TGT20112</v>
      </c>
      <c r="E1607" s="2">
        <v>40588</v>
      </c>
      <c r="F1607" s="3">
        <v>0.25</v>
      </c>
      <c r="G1607" s="2">
        <v>40612</v>
      </c>
      <c r="H1607" s="3">
        <v>1.6899999999999998E-2</v>
      </c>
      <c r="I1607" s="3">
        <v>0</v>
      </c>
      <c r="J1607" s="3">
        <v>0</v>
      </c>
      <c r="K1607" s="3">
        <f t="shared" si="51"/>
        <v>0</v>
      </c>
      <c r="L1607" s="3">
        <f t="shared" si="52"/>
        <v>2011</v>
      </c>
      <c r="M1607" s="20" t="str">
        <f>A1607&amp;L1607</f>
        <v>TGT2011</v>
      </c>
      <c r="N1607" s="3">
        <f>F1607</f>
        <v>0.25</v>
      </c>
      <c r="O1607" s="9">
        <f>H1607</f>
        <v>1.6899999999999998E-2</v>
      </c>
      <c r="P1607" s="10">
        <f t="shared" si="53"/>
        <v>0</v>
      </c>
      <c r="Q1607" s="10">
        <f>IF(K1607=0,IF(A1604=A1607,AVERAGE(O1604:O1607),"x"),0)</f>
        <v>1.9674999999999998E-2</v>
      </c>
      <c r="R1607" s="9">
        <f>IF(L1607&gt;2005,AVERAGE(O1604:O1623),0)</f>
        <v>1.4254999999999999E-2</v>
      </c>
      <c r="S1607" s="10">
        <f>IF(A1607=A1608,(N1607-N1608)/N1608,0)</f>
        <v>0</v>
      </c>
      <c r="T1607" s="10">
        <f>IF(L1607&gt;2005,(((N1607-N1627)/N1627)+1)^(1/5)-1,0)</f>
        <v>0.20112443398143132</v>
      </c>
      <c r="U1607" s="10">
        <f t="shared" si="54"/>
        <v>0.21537943398143131</v>
      </c>
      <c r="V1607" s="26">
        <f t="shared" si="55"/>
        <v>4.8267945161904917</v>
      </c>
      <c r="W1607" s="3">
        <f>IF(A1607=A1608,N1607-N1608,0)</f>
        <v>0</v>
      </c>
      <c r="X1607" s="10">
        <f>IF(A1607=A1608,(N1607-N1608)/N1608,0)</f>
        <v>0</v>
      </c>
    </row>
    <row r="1608" spans="1:24" ht="16.5" customHeight="1">
      <c r="A1608" s="3" t="s">
        <v>41</v>
      </c>
      <c r="B1608" s="3">
        <f t="shared" si="48"/>
        <v>2010</v>
      </c>
      <c r="C1608" s="3">
        <f t="shared" si="49"/>
        <v>11</v>
      </c>
      <c r="D1608" s="20" t="str">
        <f t="shared" si="50"/>
        <v>TGT201011</v>
      </c>
      <c r="E1608" s="2">
        <v>40499</v>
      </c>
      <c r="F1608" s="3">
        <v>0.25</v>
      </c>
      <c r="G1608" s="2">
        <v>40522</v>
      </c>
      <c r="H1608" s="3">
        <v>1.5599999999999999E-2</v>
      </c>
      <c r="I1608" s="3">
        <v>0</v>
      </c>
      <c r="J1608" s="3">
        <v>0</v>
      </c>
      <c r="K1608" s="3">
        <f t="shared" si="51"/>
        <v>2010</v>
      </c>
      <c r="L1608" s="3">
        <f t="shared" si="52"/>
        <v>0</v>
      </c>
      <c r="M1608" s="20" t="str">
        <f>A1608&amp;L1608</f>
        <v>TGT0</v>
      </c>
      <c r="N1608" s="3">
        <f>F1608</f>
        <v>0.25</v>
      </c>
      <c r="O1608" s="9">
        <f>H1608</f>
        <v>1.5599999999999999E-2</v>
      </c>
      <c r="P1608" s="10">
        <f t="shared" si="53"/>
        <v>0</v>
      </c>
      <c r="Q1608" s="10">
        <f>IF(K1608=0,IF(A1605=A1608,AVERAGE(O1605:O1608),"x"),0)</f>
        <v>0</v>
      </c>
      <c r="R1608" s="9">
        <f>IF(L1608&gt;2005,AVERAGE(O1605:O1624),0)</f>
        <v>0</v>
      </c>
      <c r="S1608" s="10">
        <f>IF(A1608=A1609,(N1608-N1609)/N1609,0)</f>
        <v>0</v>
      </c>
      <c r="T1608" s="10">
        <f>IF(L1608&gt;2005,(((N1608-N1628)/N1628)+1)^(1/5)-1,0)</f>
        <v>0</v>
      </c>
      <c r="U1608" s="10">
        <f t="shared" si="54"/>
        <v>0</v>
      </c>
      <c r="V1608" s="26">
        <f t="shared" si="55"/>
        <v>0</v>
      </c>
      <c r="W1608" s="3">
        <f>IF(A1608=A1609,N1608-N1609,0)</f>
        <v>0</v>
      </c>
      <c r="X1608" s="10">
        <f>IF(A1608=A1609,(N1608-N1609)/N1609,0)</f>
        <v>0</v>
      </c>
    </row>
    <row r="1609" spans="1:24" ht="16.5" customHeight="1">
      <c r="A1609" s="3" t="s">
        <v>41</v>
      </c>
      <c r="B1609" s="3">
        <f t="shared" si="48"/>
        <v>2010</v>
      </c>
      <c r="C1609" s="3">
        <f t="shared" si="49"/>
        <v>8</v>
      </c>
      <c r="D1609" s="20" t="str">
        <f t="shared" si="50"/>
        <v>TGT20108</v>
      </c>
      <c r="E1609" s="2">
        <v>40408</v>
      </c>
      <c r="F1609" s="3">
        <v>0.25</v>
      </c>
      <c r="G1609" s="2">
        <v>40431</v>
      </c>
      <c r="H1609" s="3">
        <v>1.49E-2</v>
      </c>
      <c r="I1609" s="3">
        <v>0.47058823500000002</v>
      </c>
      <c r="J1609" s="3">
        <v>0.08</v>
      </c>
      <c r="K1609" s="3">
        <f t="shared" si="51"/>
        <v>2010</v>
      </c>
      <c r="L1609" s="3">
        <f t="shared" si="52"/>
        <v>0</v>
      </c>
      <c r="M1609" s="20" t="str">
        <f>A1609&amp;L1609</f>
        <v>TGT0</v>
      </c>
      <c r="N1609" s="3">
        <f>F1609</f>
        <v>0.25</v>
      </c>
      <c r="O1609" s="9">
        <f>H1609</f>
        <v>1.49E-2</v>
      </c>
      <c r="P1609" s="10">
        <f t="shared" si="53"/>
        <v>1.3474999999999999E-2</v>
      </c>
      <c r="Q1609" s="10">
        <f>IF(K1609=0,IF(A1606=A1609,AVERAGE(O1606:O1609),"x"),0)</f>
        <v>0</v>
      </c>
      <c r="R1609" s="9">
        <f>IF(L1609&gt;2005,AVERAGE(O1606:O1625),0)</f>
        <v>0</v>
      </c>
      <c r="S1609" s="10">
        <f>IF(A1609=A1610,(N1609-N1610)/N1610,0)</f>
        <v>0.47058823529411753</v>
      </c>
      <c r="T1609" s="10">
        <f>IF(L1609&gt;2005,(((N1609-N1629)/N1629)+1)^(1/5)-1,0)</f>
        <v>0</v>
      </c>
      <c r="U1609" s="10">
        <f t="shared" si="54"/>
        <v>0</v>
      </c>
      <c r="V1609" s="26">
        <f t="shared" si="55"/>
        <v>0</v>
      </c>
      <c r="W1609" s="3">
        <f>IF(A1609=A1610,N1609-N1610,0)</f>
        <v>7.9999999999999988E-2</v>
      </c>
      <c r="X1609" s="10">
        <f>IF(A1609=A1610,(N1609-N1610)/N1610,0)</f>
        <v>0.47058823529411753</v>
      </c>
    </row>
    <row r="1610" spans="1:24" ht="16.5" customHeight="1">
      <c r="A1610" s="3" t="s">
        <v>41</v>
      </c>
      <c r="B1610" s="3">
        <f t="shared" si="48"/>
        <v>2010</v>
      </c>
      <c r="C1610" s="3">
        <f t="shared" si="49"/>
        <v>5</v>
      </c>
      <c r="D1610" s="20" t="str">
        <f t="shared" si="50"/>
        <v>TGT20105</v>
      </c>
      <c r="E1610" s="2">
        <v>40316</v>
      </c>
      <c r="F1610" s="3">
        <v>0.17</v>
      </c>
      <c r="G1610" s="2">
        <v>40339</v>
      </c>
      <c r="H1610" s="3">
        <v>1.21E-2</v>
      </c>
      <c r="I1610" s="3">
        <v>0</v>
      </c>
      <c r="J1610" s="3">
        <v>0</v>
      </c>
      <c r="K1610" s="3">
        <f t="shared" si="51"/>
        <v>2010</v>
      </c>
      <c r="L1610" s="3">
        <f t="shared" si="52"/>
        <v>0</v>
      </c>
      <c r="M1610" s="20" t="str">
        <f>A1610&amp;L1610</f>
        <v>TGT0</v>
      </c>
      <c r="N1610" s="3">
        <f>F1610</f>
        <v>0.17</v>
      </c>
      <c r="O1610" s="9">
        <f>H1610</f>
        <v>1.21E-2</v>
      </c>
      <c r="P1610" s="10">
        <f t="shared" si="53"/>
        <v>0</v>
      </c>
      <c r="Q1610" s="10">
        <f>IF(K1610=0,IF(A1607=A1610,AVERAGE(O1607:O1610),"x"),0)</f>
        <v>0</v>
      </c>
      <c r="R1610" s="9">
        <f>IF(L1610&gt;2005,AVERAGE(O1607:O1626),0)</f>
        <v>0</v>
      </c>
      <c r="S1610" s="10">
        <f>IF(A1610=A1611,(N1610-N1611)/N1611,0)</f>
        <v>0</v>
      </c>
      <c r="T1610" s="10">
        <f>IF(L1610&gt;2005,(((N1610-N1630)/N1630)+1)^(1/5)-1,0)</f>
        <v>0</v>
      </c>
      <c r="U1610" s="10">
        <f t="shared" si="54"/>
        <v>0</v>
      </c>
      <c r="V1610" s="26">
        <f t="shared" si="55"/>
        <v>0</v>
      </c>
      <c r="W1610" s="3">
        <f>IF(A1610=A1611,N1610-N1611,0)</f>
        <v>0</v>
      </c>
      <c r="X1610" s="10">
        <f>IF(A1610=A1611,(N1610-N1611)/N1611,0)</f>
        <v>0</v>
      </c>
    </row>
    <row r="1611" spans="1:24" ht="16.5" customHeight="1">
      <c r="A1611" s="3" t="s">
        <v>41</v>
      </c>
      <c r="B1611" s="3">
        <f t="shared" si="48"/>
        <v>2010</v>
      </c>
      <c r="C1611" s="3">
        <f t="shared" si="49"/>
        <v>2</v>
      </c>
      <c r="D1611" s="20" t="str">
        <f t="shared" si="50"/>
        <v>TGT20102</v>
      </c>
      <c r="E1611" s="2">
        <v>40226</v>
      </c>
      <c r="F1611" s="3">
        <v>0.17</v>
      </c>
      <c r="G1611" s="2">
        <v>40247</v>
      </c>
      <c r="H1611" s="3">
        <v>1.34E-2</v>
      </c>
      <c r="I1611" s="3">
        <v>0</v>
      </c>
      <c r="J1611" s="3">
        <v>0</v>
      </c>
      <c r="K1611" s="3">
        <f t="shared" si="51"/>
        <v>0</v>
      </c>
      <c r="L1611" s="3">
        <f t="shared" si="52"/>
        <v>2010</v>
      </c>
      <c r="M1611" s="20" t="str">
        <f>A1611&amp;L1611</f>
        <v>TGT2010</v>
      </c>
      <c r="N1611" s="3">
        <f>F1611</f>
        <v>0.17</v>
      </c>
      <c r="O1611" s="9">
        <f>H1611</f>
        <v>1.34E-2</v>
      </c>
      <c r="P1611" s="10">
        <f t="shared" si="53"/>
        <v>0</v>
      </c>
      <c r="Q1611" s="10">
        <f>IF(K1611=0,IF(A1608=A1611,AVERAGE(O1608:O1611),"x"),0)</f>
        <v>1.4E-2</v>
      </c>
      <c r="R1611" s="9">
        <f>IF(L1611&gt;2005,AVERAGE(O1608:O1627),0)</f>
        <v>1.1879999999999998E-2</v>
      </c>
      <c r="S1611" s="10">
        <f>IF(A1611=A1612,(N1611-N1612)/N1612,0)</f>
        <v>0</v>
      </c>
      <c r="T1611" s="10">
        <f>IF(L1611&gt;2005,(((N1611-N1631)/N1631)+1)^(1/5)-1,0)</f>
        <v>0.16271101521949816</v>
      </c>
      <c r="U1611" s="10">
        <f t="shared" si="54"/>
        <v>0.17459101521949816</v>
      </c>
      <c r="V1611" s="26">
        <f t="shared" si="55"/>
        <v>4.8503180859029795</v>
      </c>
      <c r="W1611" s="3">
        <f>IF(A1611=A1612,N1611-N1612,0)</f>
        <v>0</v>
      </c>
      <c r="X1611" s="10">
        <f>IF(A1611=A1612,(N1611-N1612)/N1612,0)</f>
        <v>0</v>
      </c>
    </row>
    <row r="1612" spans="1:24" ht="16.5" customHeight="1">
      <c r="A1612" s="3" t="s">
        <v>41</v>
      </c>
      <c r="B1612" s="3">
        <f t="shared" si="48"/>
        <v>2009</v>
      </c>
      <c r="C1612" s="3">
        <f t="shared" si="49"/>
        <v>11</v>
      </c>
      <c r="D1612" s="20" t="str">
        <f t="shared" si="50"/>
        <v>TGT200911</v>
      </c>
      <c r="E1612" s="2">
        <v>40135</v>
      </c>
      <c r="F1612" s="3">
        <v>0.17</v>
      </c>
      <c r="G1612" s="2">
        <v>40157</v>
      </c>
      <c r="H1612" s="3">
        <v>1.35E-2</v>
      </c>
      <c r="I1612" s="3">
        <v>0</v>
      </c>
      <c r="J1612" s="3">
        <v>0</v>
      </c>
      <c r="K1612" s="3">
        <f t="shared" si="51"/>
        <v>2009</v>
      </c>
      <c r="L1612" s="3">
        <f t="shared" si="52"/>
        <v>0</v>
      </c>
      <c r="M1612" s="20" t="str">
        <f>A1612&amp;L1612</f>
        <v>TGT0</v>
      </c>
      <c r="N1612" s="3">
        <f>F1612</f>
        <v>0.17</v>
      </c>
      <c r="O1612" s="9">
        <f>H1612</f>
        <v>1.35E-2</v>
      </c>
      <c r="P1612" s="10">
        <f t="shared" si="53"/>
        <v>0</v>
      </c>
      <c r="Q1612" s="10">
        <f>IF(K1612=0,IF(A1609=A1612,AVERAGE(O1609:O1612),"x"),0)</f>
        <v>0</v>
      </c>
      <c r="R1612" s="9">
        <f>IF(L1612&gt;2005,AVERAGE(O1609:O1628),0)</f>
        <v>0</v>
      </c>
      <c r="S1612" s="10">
        <f>IF(A1612=A1613,(N1612-N1613)/N1613,0)</f>
        <v>0</v>
      </c>
      <c r="T1612" s="10">
        <f>IF(L1612&gt;2005,(((N1612-N1632)/N1632)+1)^(1/5)-1,0)</f>
        <v>0</v>
      </c>
      <c r="U1612" s="10">
        <f t="shared" si="54"/>
        <v>0</v>
      </c>
      <c r="V1612" s="26">
        <f t="shared" si="55"/>
        <v>0</v>
      </c>
      <c r="W1612" s="3">
        <f>IF(A1612=A1613,N1612-N1613,0)</f>
        <v>0</v>
      </c>
      <c r="X1612" s="10">
        <f>IF(A1612=A1613,(N1612-N1613)/N1613,0)</f>
        <v>0</v>
      </c>
    </row>
    <row r="1613" spans="1:24" ht="16.5" customHeight="1">
      <c r="A1613" s="3" t="s">
        <v>41</v>
      </c>
      <c r="B1613" s="3">
        <f t="shared" si="48"/>
        <v>2009</v>
      </c>
      <c r="C1613" s="3">
        <f t="shared" si="49"/>
        <v>8</v>
      </c>
      <c r="D1613" s="20" t="str">
        <f t="shared" si="50"/>
        <v>TGT20098</v>
      </c>
      <c r="E1613" s="2">
        <v>40043</v>
      </c>
      <c r="F1613" s="3">
        <v>0.17</v>
      </c>
      <c r="G1613" s="2">
        <v>40066</v>
      </c>
      <c r="H1613" s="3">
        <v>1.5699999999999999E-2</v>
      </c>
      <c r="I1613" s="3">
        <v>6.25E-2</v>
      </c>
      <c r="J1613" s="3">
        <v>0.01</v>
      </c>
      <c r="K1613" s="3">
        <f t="shared" si="51"/>
        <v>2009</v>
      </c>
      <c r="L1613" s="3">
        <f t="shared" si="52"/>
        <v>0</v>
      </c>
      <c r="M1613" s="20" t="str">
        <f>A1613&amp;L1613</f>
        <v>TGT0</v>
      </c>
      <c r="N1613" s="3">
        <f>F1613</f>
        <v>0.17</v>
      </c>
      <c r="O1613" s="9">
        <f>H1613</f>
        <v>1.5699999999999999E-2</v>
      </c>
      <c r="P1613" s="10">
        <f t="shared" si="53"/>
        <v>1.7850000000000001E-2</v>
      </c>
      <c r="Q1613" s="10">
        <f>IF(K1613=0,IF(A1610=A1613,AVERAGE(O1610:O1613),"x"),0)</f>
        <v>0</v>
      </c>
      <c r="R1613" s="9">
        <f>IF(L1613&gt;2005,AVERAGE(O1610:O1629),0)</f>
        <v>0</v>
      </c>
      <c r="S1613" s="10">
        <f>IF(A1613=A1614,(N1613-N1614)/N1614,0)</f>
        <v>6.2500000000000056E-2</v>
      </c>
      <c r="T1613" s="10">
        <f>IF(L1613&gt;2005,(((N1613-N1633)/N1633)+1)^(1/5)-1,0)</f>
        <v>0</v>
      </c>
      <c r="U1613" s="10">
        <f t="shared" si="54"/>
        <v>0</v>
      </c>
      <c r="V1613" s="26">
        <f t="shared" si="55"/>
        <v>0</v>
      </c>
      <c r="W1613" s="3">
        <f>IF(A1613=A1614,N1613-N1614,0)</f>
        <v>1.0000000000000009E-2</v>
      </c>
      <c r="X1613" s="10">
        <f>IF(A1613=A1614,(N1613-N1614)/N1614,0)</f>
        <v>6.2500000000000056E-2</v>
      </c>
    </row>
    <row r="1614" spans="1:24" ht="16.5" customHeight="1">
      <c r="A1614" s="3" t="s">
        <v>41</v>
      </c>
      <c r="B1614" s="3">
        <f t="shared" si="48"/>
        <v>2009</v>
      </c>
      <c r="C1614" s="3">
        <f t="shared" si="49"/>
        <v>5</v>
      </c>
      <c r="D1614" s="20" t="str">
        <f t="shared" si="50"/>
        <v>TGT20095</v>
      </c>
      <c r="E1614" s="2">
        <v>39951</v>
      </c>
      <c r="F1614" s="3">
        <v>0.16</v>
      </c>
      <c r="G1614" s="2">
        <v>39974</v>
      </c>
      <c r="H1614" s="3">
        <v>1.5900000000000001E-2</v>
      </c>
      <c r="I1614" s="3">
        <v>0</v>
      </c>
      <c r="J1614" s="3">
        <v>0</v>
      </c>
      <c r="K1614" s="3">
        <f t="shared" si="51"/>
        <v>2009</v>
      </c>
      <c r="L1614" s="3">
        <f t="shared" si="52"/>
        <v>0</v>
      </c>
      <c r="M1614" s="20" t="str">
        <f>A1614&amp;L1614</f>
        <v>TGT0</v>
      </c>
      <c r="N1614" s="3">
        <f>F1614</f>
        <v>0.16</v>
      </c>
      <c r="O1614" s="9">
        <f>H1614</f>
        <v>1.5900000000000001E-2</v>
      </c>
      <c r="P1614" s="10">
        <f t="shared" si="53"/>
        <v>0</v>
      </c>
      <c r="Q1614" s="10">
        <f>IF(K1614=0,IF(A1611=A1614,AVERAGE(O1611:O1614),"x"),0)</f>
        <v>0</v>
      </c>
      <c r="R1614" s="9">
        <f>IF(L1614&gt;2005,AVERAGE(O1611:O1630),0)</f>
        <v>0</v>
      </c>
      <c r="S1614" s="10">
        <f>IF(A1614=A1615,(N1614-N1615)/N1615,0)</f>
        <v>0</v>
      </c>
      <c r="T1614" s="10">
        <f>IF(L1614&gt;2005,(((N1614-N1634)/N1634)+1)^(1/5)-1,0)</f>
        <v>0</v>
      </c>
      <c r="U1614" s="10">
        <f t="shared" si="54"/>
        <v>0</v>
      </c>
      <c r="V1614" s="26">
        <f t="shared" si="55"/>
        <v>0</v>
      </c>
      <c r="W1614" s="3">
        <f>IF(A1614=A1615,N1614-N1615,0)</f>
        <v>0</v>
      </c>
      <c r="X1614" s="10">
        <f>IF(A1614=A1615,(N1614-N1615)/N1615,0)</f>
        <v>0</v>
      </c>
    </row>
    <row r="1615" spans="1:24" ht="16.5" customHeight="1">
      <c r="A1615" s="3" t="s">
        <v>41</v>
      </c>
      <c r="B1615" s="3">
        <f t="shared" si="48"/>
        <v>2009</v>
      </c>
      <c r="C1615" s="3">
        <f t="shared" si="49"/>
        <v>2</v>
      </c>
      <c r="D1615" s="20" t="str">
        <f t="shared" si="50"/>
        <v>TGT20092</v>
      </c>
      <c r="E1615" s="2">
        <v>39862</v>
      </c>
      <c r="F1615" s="3">
        <v>0.16</v>
      </c>
      <c r="G1615" s="2">
        <v>39882</v>
      </c>
      <c r="H1615" s="3">
        <v>2.0899999999999998E-2</v>
      </c>
      <c r="I1615" s="3">
        <v>0</v>
      </c>
      <c r="J1615" s="3">
        <v>0</v>
      </c>
      <c r="K1615" s="3">
        <f t="shared" si="51"/>
        <v>0</v>
      </c>
      <c r="L1615" s="3">
        <f t="shared" si="52"/>
        <v>2009</v>
      </c>
      <c r="M1615" s="20" t="str">
        <f>A1615&amp;L1615</f>
        <v>TGT2009</v>
      </c>
      <c r="N1615" s="3">
        <f>F1615</f>
        <v>0.16</v>
      </c>
      <c r="O1615" s="9">
        <f>H1615</f>
        <v>2.0899999999999998E-2</v>
      </c>
      <c r="P1615" s="10">
        <f t="shared" si="53"/>
        <v>0</v>
      </c>
      <c r="Q1615" s="10">
        <f>IF(K1615=0,IF(A1612=A1615,AVERAGE(O1612:O1615),"x"),0)</f>
        <v>1.6500000000000001E-2</v>
      </c>
      <c r="R1615" s="9">
        <f>IF(L1615&gt;2005,AVERAGE(O1612:O1631),0)</f>
        <v>1.0344999999999998E-2</v>
      </c>
      <c r="S1615" s="10">
        <f>IF(A1615=A1616,(N1615-N1616)/N1616,0)</f>
        <v>0</v>
      </c>
      <c r="T1615" s="10">
        <f>IF(L1615&gt;2005,(((N1615-N1635)/N1635)+1)^(1/5)-1,0)</f>
        <v>0.17978912471277986</v>
      </c>
      <c r="U1615" s="10">
        <f t="shared" si="54"/>
        <v>0.19013412471277985</v>
      </c>
      <c r="V1615" s="26">
        <f t="shared" si="55"/>
        <v>4.8711168395703126</v>
      </c>
      <c r="W1615" s="3">
        <f>IF(A1615=A1616,N1615-N1616,0)</f>
        <v>0</v>
      </c>
      <c r="X1615" s="10">
        <f>IF(A1615=A1616,(N1615-N1616)/N1616,0)</f>
        <v>0</v>
      </c>
    </row>
    <row r="1616" spans="1:24" ht="16.5" customHeight="1">
      <c r="A1616" s="3" t="s">
        <v>41</v>
      </c>
      <c r="B1616" s="3">
        <f t="shared" si="48"/>
        <v>2008</v>
      </c>
      <c r="C1616" s="3">
        <f t="shared" si="49"/>
        <v>11</v>
      </c>
      <c r="D1616" s="20" t="str">
        <f t="shared" si="50"/>
        <v>TGT200811</v>
      </c>
      <c r="E1616" s="2">
        <v>39770</v>
      </c>
      <c r="F1616" s="3">
        <v>0.16</v>
      </c>
      <c r="G1616" s="2">
        <v>39792</v>
      </c>
      <c r="H1616" s="3">
        <v>1.89E-2</v>
      </c>
      <c r="I1616" s="3">
        <v>0</v>
      </c>
      <c r="J1616" s="3">
        <v>0</v>
      </c>
      <c r="K1616" s="3">
        <f t="shared" si="51"/>
        <v>2008</v>
      </c>
      <c r="L1616" s="3">
        <f t="shared" si="52"/>
        <v>0</v>
      </c>
      <c r="M1616" s="20" t="str">
        <f>A1616&amp;L1616</f>
        <v>TGT0</v>
      </c>
      <c r="N1616" s="3">
        <f>F1616</f>
        <v>0.16</v>
      </c>
      <c r="O1616" s="9">
        <f>H1616</f>
        <v>1.89E-2</v>
      </c>
      <c r="P1616" s="10">
        <f t="shared" si="53"/>
        <v>0</v>
      </c>
      <c r="Q1616" s="10">
        <f>IF(K1616=0,IF(A1613=A1616,AVERAGE(O1613:O1616),"x"),0)</f>
        <v>0</v>
      </c>
      <c r="R1616" s="9">
        <f>IF(L1616&gt;2005,AVERAGE(O1613:O1632),0)</f>
        <v>0</v>
      </c>
      <c r="S1616" s="10">
        <f>IF(A1616=A1617,(N1616-N1617)/N1617,0)</f>
        <v>0</v>
      </c>
      <c r="T1616" s="10">
        <f>IF(L1616&gt;2005,(((N1616-N1636)/N1636)+1)^(1/5)-1,0)</f>
        <v>0</v>
      </c>
      <c r="U1616" s="10">
        <f t="shared" si="54"/>
        <v>0</v>
      </c>
      <c r="V1616" s="26">
        <f t="shared" si="55"/>
        <v>0</v>
      </c>
      <c r="W1616" s="3">
        <f>IF(A1616=A1617,N1616-N1617,0)</f>
        <v>0</v>
      </c>
      <c r="X1616" s="10">
        <f>IF(A1616=A1617,(N1616-N1617)/N1617,0)</f>
        <v>0</v>
      </c>
    </row>
    <row r="1617" spans="1:24" ht="16.5" customHeight="1">
      <c r="A1617" s="3" t="s">
        <v>41</v>
      </c>
      <c r="B1617" s="3">
        <f t="shared" si="48"/>
        <v>2008</v>
      </c>
      <c r="C1617" s="3">
        <f t="shared" si="49"/>
        <v>8</v>
      </c>
      <c r="D1617" s="20" t="str">
        <f t="shared" si="50"/>
        <v>TGT20088</v>
      </c>
      <c r="E1617" s="2">
        <v>39678</v>
      </c>
      <c r="F1617" s="3">
        <v>0.16</v>
      </c>
      <c r="G1617" s="2">
        <v>39701</v>
      </c>
      <c r="H1617" s="3">
        <v>1.1299999999999999E-2</v>
      </c>
      <c r="I1617" s="3">
        <v>0.14285714299999999</v>
      </c>
      <c r="J1617" s="3">
        <v>0.02</v>
      </c>
      <c r="K1617" s="3">
        <f t="shared" si="51"/>
        <v>2008</v>
      </c>
      <c r="L1617" s="3">
        <f t="shared" si="52"/>
        <v>0</v>
      </c>
      <c r="M1617" s="20" t="str">
        <f>A1617&amp;L1617</f>
        <v>TGT0</v>
      </c>
      <c r="N1617" s="3">
        <f>F1617</f>
        <v>0.16</v>
      </c>
      <c r="O1617" s="9">
        <f>H1617</f>
        <v>1.1299999999999999E-2</v>
      </c>
      <c r="P1617" s="10">
        <f t="shared" si="53"/>
        <v>1.03E-2</v>
      </c>
      <c r="Q1617" s="10">
        <f>IF(K1617=0,IF(A1614=A1617,AVERAGE(O1614:O1617),"x"),0)</f>
        <v>0</v>
      </c>
      <c r="R1617" s="9">
        <f>IF(L1617&gt;2005,AVERAGE(O1614:O1633),0)</f>
        <v>0</v>
      </c>
      <c r="S1617" s="10">
        <f>IF(A1617=A1618,(N1617-N1618)/N1618,0)</f>
        <v>0.14285714285714277</v>
      </c>
      <c r="T1617" s="10">
        <f>IF(L1617&gt;2005,(((N1617-N1637)/N1637)+1)^(1/5)-1,0)</f>
        <v>0</v>
      </c>
      <c r="U1617" s="10">
        <f t="shared" si="54"/>
        <v>0</v>
      </c>
      <c r="V1617" s="26">
        <f t="shared" si="55"/>
        <v>0</v>
      </c>
      <c r="W1617" s="3">
        <f>IF(A1617=A1618,N1617-N1618,0)</f>
        <v>1.999999999999999E-2</v>
      </c>
      <c r="X1617" s="10">
        <f>IF(A1617=A1618,(N1617-N1618)/N1618,0)</f>
        <v>0.14285714285714277</v>
      </c>
    </row>
    <row r="1618" spans="1:24" ht="16.5" customHeight="1">
      <c r="A1618" s="3" t="s">
        <v>41</v>
      </c>
      <c r="B1618" s="3">
        <f t="shared" si="48"/>
        <v>2008</v>
      </c>
      <c r="C1618" s="3">
        <f t="shared" si="49"/>
        <v>5</v>
      </c>
      <c r="D1618" s="20" t="str">
        <f t="shared" si="50"/>
        <v>TGT20085</v>
      </c>
      <c r="E1618" s="2">
        <v>39584</v>
      </c>
      <c r="F1618" s="3">
        <v>0.14000000000000001</v>
      </c>
      <c r="G1618" s="2">
        <v>39609</v>
      </c>
      <c r="H1618" s="3">
        <v>1.0200000000000001E-2</v>
      </c>
      <c r="I1618" s="3">
        <v>0</v>
      </c>
      <c r="J1618" s="3">
        <v>0</v>
      </c>
      <c r="K1618" s="3">
        <f t="shared" si="51"/>
        <v>2008</v>
      </c>
      <c r="L1618" s="3">
        <f t="shared" si="52"/>
        <v>0</v>
      </c>
      <c r="M1618" s="20" t="str">
        <f>A1618&amp;L1618</f>
        <v>TGT0</v>
      </c>
      <c r="N1618" s="3">
        <f>F1618</f>
        <v>0.14000000000000001</v>
      </c>
      <c r="O1618" s="9">
        <f>H1618</f>
        <v>1.0200000000000001E-2</v>
      </c>
      <c r="P1618" s="10">
        <f t="shared" si="53"/>
        <v>0</v>
      </c>
      <c r="Q1618" s="10">
        <f>IF(K1618=0,IF(A1615=A1618,AVERAGE(O1615:O1618),"x"),0)</f>
        <v>0</v>
      </c>
      <c r="R1618" s="9">
        <f>IF(L1618&gt;2005,AVERAGE(O1615:O1634),0)</f>
        <v>0</v>
      </c>
      <c r="S1618" s="10">
        <f>IF(A1618=A1619,(N1618-N1619)/N1619,0)</f>
        <v>0</v>
      </c>
      <c r="T1618" s="10">
        <f>IF(L1618&gt;2005,(((N1618-N1638)/N1638)+1)^(1/5)-1,0)</f>
        <v>0</v>
      </c>
      <c r="U1618" s="10">
        <f t="shared" si="54"/>
        <v>0</v>
      </c>
      <c r="V1618" s="26">
        <f t="shared" si="55"/>
        <v>0</v>
      </c>
      <c r="W1618" s="3">
        <f>IF(A1618=A1619,N1618-N1619,0)</f>
        <v>0</v>
      </c>
      <c r="X1618" s="10">
        <f>IF(A1618=A1619,(N1618-N1619)/N1619,0)</f>
        <v>0</v>
      </c>
    </row>
    <row r="1619" spans="1:24" ht="16.5" customHeight="1">
      <c r="A1619" s="3" t="s">
        <v>41</v>
      </c>
      <c r="B1619" s="3">
        <f t="shared" si="48"/>
        <v>2008</v>
      </c>
      <c r="C1619" s="3">
        <f t="shared" si="49"/>
        <v>2</v>
      </c>
      <c r="D1619" s="20" t="str">
        <f t="shared" si="50"/>
        <v>TGT20082</v>
      </c>
      <c r="E1619" s="2">
        <v>39493</v>
      </c>
      <c r="F1619" s="3">
        <v>0.14000000000000001</v>
      </c>
      <c r="G1619" s="2">
        <v>39517</v>
      </c>
      <c r="H1619" s="3">
        <v>1.0200000000000001E-2</v>
      </c>
      <c r="I1619" s="3">
        <v>0</v>
      </c>
      <c r="J1619" s="3">
        <v>0</v>
      </c>
      <c r="K1619" s="3">
        <f t="shared" si="51"/>
        <v>0</v>
      </c>
      <c r="L1619" s="3">
        <f t="shared" si="52"/>
        <v>2008</v>
      </c>
      <c r="M1619" s="20" t="str">
        <f>A1619&amp;L1619</f>
        <v>TGT2008</v>
      </c>
      <c r="N1619" s="3">
        <f>F1619</f>
        <v>0.14000000000000001</v>
      </c>
      <c r="O1619" s="9">
        <f>H1619</f>
        <v>1.0200000000000001E-2</v>
      </c>
      <c r="P1619" s="10">
        <f t="shared" si="53"/>
        <v>0</v>
      </c>
      <c r="Q1619" s="10">
        <f>IF(K1619=0,IF(A1616=A1619,AVERAGE(O1616:O1619),"x"),0)</f>
        <v>1.265E-2</v>
      </c>
      <c r="R1619" s="9">
        <f>IF(L1619&gt;2005,AVERAGE(O1616:O1635),0)</f>
        <v>8.3149999999999995E-3</v>
      </c>
      <c r="S1619" s="10">
        <f>IF(A1619=A1620,(N1619-N1620)/N1620,0)</f>
        <v>0</v>
      </c>
      <c r="T1619" s="10">
        <f>IF(L1619&gt;2005,(((N1619-N1639)/N1639)+1)^(1/5)-1,0)</f>
        <v>0.18466445254224406</v>
      </c>
      <c r="U1619" s="10">
        <f t="shared" si="54"/>
        <v>0.19297945254224405</v>
      </c>
      <c r="V1619" s="26">
        <f t="shared" si="55"/>
        <v>4.8964173772410859</v>
      </c>
      <c r="W1619" s="3">
        <f>IF(A1619=A1620,N1619-N1620,0)</f>
        <v>0</v>
      </c>
      <c r="X1619" s="10">
        <f>IF(A1619=A1620,(N1619-N1620)/N1620,0)</f>
        <v>0</v>
      </c>
    </row>
    <row r="1620" spans="1:24" ht="16.5" customHeight="1">
      <c r="A1620" s="3" t="s">
        <v>41</v>
      </c>
      <c r="B1620" s="3">
        <f t="shared" si="48"/>
        <v>2007</v>
      </c>
      <c r="C1620" s="3">
        <f t="shared" si="49"/>
        <v>11</v>
      </c>
      <c r="D1620" s="20" t="str">
        <f t="shared" si="50"/>
        <v>TGT200711</v>
      </c>
      <c r="E1620" s="2">
        <v>39402</v>
      </c>
      <c r="F1620" s="3">
        <v>0.14000000000000001</v>
      </c>
      <c r="G1620" s="2">
        <v>39426</v>
      </c>
      <c r="H1620" s="3">
        <v>9.4999999999999998E-3</v>
      </c>
      <c r="I1620" s="3">
        <v>0</v>
      </c>
      <c r="J1620" s="3">
        <v>0</v>
      </c>
      <c r="K1620" s="3">
        <f t="shared" si="51"/>
        <v>2007</v>
      </c>
      <c r="L1620" s="3">
        <f t="shared" si="52"/>
        <v>0</v>
      </c>
      <c r="M1620" s="20" t="str">
        <f>A1620&amp;L1620</f>
        <v>TGT0</v>
      </c>
      <c r="N1620" s="3">
        <f>F1620</f>
        <v>0.14000000000000001</v>
      </c>
      <c r="O1620" s="9">
        <f>H1620</f>
        <v>9.4999999999999998E-3</v>
      </c>
      <c r="P1620" s="10">
        <f t="shared" si="53"/>
        <v>0</v>
      </c>
      <c r="Q1620" s="10">
        <f>IF(K1620=0,IF(A1617=A1620,AVERAGE(O1617:O1620),"x"),0)</f>
        <v>0</v>
      </c>
      <c r="R1620" s="9">
        <f>IF(L1620&gt;2005,AVERAGE(O1617:O1636),0)</f>
        <v>0</v>
      </c>
      <c r="S1620" s="10">
        <f>IF(A1620=A1621,(N1620-N1621)/N1621,0)</f>
        <v>0</v>
      </c>
      <c r="T1620" s="10">
        <f>IF(L1620&gt;2005,(((N1620-N1640)/N1640)+1)^(1/5)-1,0)</f>
        <v>0</v>
      </c>
      <c r="U1620" s="10">
        <f t="shared" si="54"/>
        <v>0</v>
      </c>
      <c r="V1620" s="26">
        <f t="shared" si="55"/>
        <v>0</v>
      </c>
      <c r="W1620" s="3">
        <f>IF(A1620=A1621,N1620-N1621,0)</f>
        <v>0</v>
      </c>
      <c r="X1620" s="10">
        <f>IF(A1620=A1621,(N1620-N1621)/N1621,0)</f>
        <v>0</v>
      </c>
    </row>
    <row r="1621" spans="1:24" ht="16.5" customHeight="1">
      <c r="A1621" s="3" t="s">
        <v>41</v>
      </c>
      <c r="B1621" s="3">
        <f t="shared" si="48"/>
        <v>2007</v>
      </c>
      <c r="C1621" s="3">
        <f t="shared" si="49"/>
        <v>8</v>
      </c>
      <c r="D1621" s="20" t="str">
        <f t="shared" si="50"/>
        <v>TGT20078</v>
      </c>
      <c r="E1621" s="2">
        <v>39310</v>
      </c>
      <c r="F1621" s="3">
        <v>0.14000000000000001</v>
      </c>
      <c r="G1621" s="2">
        <v>39335</v>
      </c>
      <c r="H1621" s="3">
        <v>8.6E-3</v>
      </c>
      <c r="I1621" s="3">
        <v>0.16666666699999999</v>
      </c>
      <c r="J1621" s="3">
        <v>0.02</v>
      </c>
      <c r="K1621" s="3">
        <f t="shared" si="51"/>
        <v>2007</v>
      </c>
      <c r="L1621" s="3">
        <f t="shared" si="52"/>
        <v>0</v>
      </c>
      <c r="M1621" s="20" t="str">
        <f>A1621&amp;L1621</f>
        <v>TGT0</v>
      </c>
      <c r="N1621" s="3">
        <f>F1621</f>
        <v>0.14000000000000001</v>
      </c>
      <c r="O1621" s="9">
        <f>H1621</f>
        <v>8.6E-3</v>
      </c>
      <c r="P1621" s="10">
        <f t="shared" si="53"/>
        <v>7.9749999999999995E-3</v>
      </c>
      <c r="Q1621" s="10">
        <f>IF(K1621=0,IF(A1618=A1621,AVERAGE(O1618:O1621),"x"),0)</f>
        <v>0</v>
      </c>
      <c r="R1621" s="9">
        <f>IF(L1621&gt;2005,AVERAGE(O1618:O1637),0)</f>
        <v>0</v>
      </c>
      <c r="S1621" s="10">
        <f>IF(A1621=A1622,(N1621-N1622)/N1622,0)</f>
        <v>0.16666666666666682</v>
      </c>
      <c r="T1621" s="10">
        <f>IF(L1621&gt;2005,(((N1621-N1641)/N1641)+1)^(1/5)-1,0)</f>
        <v>0</v>
      </c>
      <c r="U1621" s="10">
        <f t="shared" si="54"/>
        <v>0</v>
      </c>
      <c r="V1621" s="26">
        <f t="shared" si="55"/>
        <v>0</v>
      </c>
      <c r="W1621" s="3">
        <f>IF(A1621=A1622,N1621-N1622,0)</f>
        <v>2.0000000000000018E-2</v>
      </c>
      <c r="X1621" s="10">
        <f>IF(A1621=A1622,(N1621-N1622)/N1622,0)</f>
        <v>0.16666666666666682</v>
      </c>
    </row>
    <row r="1622" spans="1:24" ht="16.5" customHeight="1">
      <c r="A1622" s="3" t="s">
        <v>41</v>
      </c>
      <c r="B1622" s="3">
        <f t="shared" si="48"/>
        <v>2007</v>
      </c>
      <c r="C1622" s="3">
        <f t="shared" si="49"/>
        <v>5</v>
      </c>
      <c r="D1622" s="20" t="str">
        <f t="shared" si="50"/>
        <v>TGT20075</v>
      </c>
      <c r="E1622" s="2">
        <v>39218</v>
      </c>
      <c r="F1622" s="3">
        <v>0.12</v>
      </c>
      <c r="G1622" s="2">
        <v>39243</v>
      </c>
      <c r="H1622" s="3">
        <v>8.3000000000000001E-3</v>
      </c>
      <c r="I1622" s="3">
        <v>0</v>
      </c>
      <c r="J1622" s="3">
        <v>0</v>
      </c>
      <c r="K1622" s="3">
        <f t="shared" si="51"/>
        <v>2007</v>
      </c>
      <c r="L1622" s="3">
        <f t="shared" si="52"/>
        <v>0</v>
      </c>
      <c r="M1622" s="20" t="str">
        <f>A1622&amp;L1622</f>
        <v>TGT0</v>
      </c>
      <c r="N1622" s="3">
        <f>F1622</f>
        <v>0.12</v>
      </c>
      <c r="O1622" s="9">
        <f>H1622</f>
        <v>8.3000000000000001E-3</v>
      </c>
      <c r="P1622" s="10">
        <f t="shared" si="53"/>
        <v>0</v>
      </c>
      <c r="Q1622" s="10">
        <f>IF(K1622=0,IF(A1619=A1622,AVERAGE(O1619:O1622),"x"),0)</f>
        <v>0</v>
      </c>
      <c r="R1622" s="9">
        <f>IF(L1622&gt;2005,AVERAGE(O1619:O1638),0)</f>
        <v>0</v>
      </c>
      <c r="S1622" s="10">
        <f>IF(A1622=A1623,(N1622-N1623)/N1623,0)</f>
        <v>0</v>
      </c>
      <c r="T1622" s="10">
        <f>IF(L1622&gt;2005,(((N1622-N1642)/N1642)+1)^(1/5)-1,0)</f>
        <v>0</v>
      </c>
      <c r="U1622" s="10">
        <f t="shared" si="54"/>
        <v>0</v>
      </c>
      <c r="V1622" s="26">
        <f t="shared" si="55"/>
        <v>0</v>
      </c>
      <c r="W1622" s="3">
        <f>IF(A1622=A1623,N1622-N1623,0)</f>
        <v>0</v>
      </c>
      <c r="X1622" s="10">
        <f>IF(A1622=A1623,(N1622-N1623)/N1623,0)</f>
        <v>0</v>
      </c>
    </row>
    <row r="1623" spans="1:24" ht="16.5" customHeight="1">
      <c r="A1623" s="3" t="s">
        <v>41</v>
      </c>
      <c r="B1623" s="3">
        <f t="shared" si="48"/>
        <v>2007</v>
      </c>
      <c r="C1623" s="3">
        <f t="shared" si="49"/>
        <v>2</v>
      </c>
      <c r="D1623" s="20" t="str">
        <f t="shared" si="50"/>
        <v>TGT20072</v>
      </c>
      <c r="E1623" s="2">
        <v>39128</v>
      </c>
      <c r="F1623" s="3">
        <v>0.12</v>
      </c>
      <c r="G1623" s="2">
        <v>39151</v>
      </c>
      <c r="H1623" s="3">
        <v>7.4000000000000003E-3</v>
      </c>
      <c r="I1623" s="3">
        <v>0</v>
      </c>
      <c r="J1623" s="3">
        <v>0</v>
      </c>
      <c r="K1623" s="3">
        <f t="shared" si="51"/>
        <v>0</v>
      </c>
      <c r="L1623" s="3">
        <f t="shared" si="52"/>
        <v>2007</v>
      </c>
      <c r="M1623" s="20" t="str">
        <f>A1623&amp;L1623</f>
        <v>TGT2007</v>
      </c>
      <c r="N1623" s="3">
        <f>F1623</f>
        <v>0.12</v>
      </c>
      <c r="O1623" s="9">
        <f>H1623</f>
        <v>7.4000000000000003E-3</v>
      </c>
      <c r="P1623" s="10">
        <f t="shared" si="53"/>
        <v>0</v>
      </c>
      <c r="Q1623" s="10">
        <f>IF(K1623=0,IF(A1620=A1623,AVERAGE(O1620:O1623),"x"),0)</f>
        <v>8.4499999999999992E-3</v>
      </c>
      <c r="R1623" s="9">
        <f>IF(L1623&gt;2005,AVERAGE(O1620:O1639),0)</f>
        <v>7.239999999999999E-3</v>
      </c>
      <c r="S1623" s="10">
        <f>IF(A1623=A1624,(N1623-N1624)/N1624,0)</f>
        <v>0</v>
      </c>
      <c r="T1623" s="10">
        <f>IF(L1623&gt;2005,(((N1623-N1643)/N1643)+1)^(1/5)-1,0)</f>
        <v>0.1486983549970351</v>
      </c>
      <c r="U1623" s="10">
        <f t="shared" si="54"/>
        <v>0.15593835499703509</v>
      </c>
      <c r="V1623" s="26">
        <f t="shared" si="55"/>
        <v>4.9068312580066529</v>
      </c>
      <c r="W1623" s="3">
        <f>IF(A1623=A1624,N1623-N1624,0)</f>
        <v>0</v>
      </c>
      <c r="X1623" s="10">
        <f>IF(A1623=A1624,(N1623-N1624)/N1624,0)</f>
        <v>0</v>
      </c>
    </row>
    <row r="1624" spans="1:24" ht="16.5" customHeight="1">
      <c r="A1624" s="3" t="s">
        <v>41</v>
      </c>
      <c r="B1624" s="3">
        <f t="shared" si="48"/>
        <v>2006</v>
      </c>
      <c r="C1624" s="3">
        <f t="shared" si="49"/>
        <v>11</v>
      </c>
      <c r="D1624" s="20" t="str">
        <f t="shared" si="50"/>
        <v>TGT200611</v>
      </c>
      <c r="E1624" s="2">
        <v>39037</v>
      </c>
      <c r="F1624" s="3">
        <v>0.12</v>
      </c>
      <c r="G1624" s="2">
        <v>39061</v>
      </c>
      <c r="H1624" s="3">
        <v>7.6E-3</v>
      </c>
      <c r="I1624" s="3">
        <v>0</v>
      </c>
      <c r="J1624" s="3">
        <v>0</v>
      </c>
      <c r="K1624" s="3">
        <f t="shared" si="51"/>
        <v>2006</v>
      </c>
      <c r="L1624" s="3">
        <f t="shared" si="52"/>
        <v>0</v>
      </c>
      <c r="M1624" s="20" t="str">
        <f>A1624&amp;L1624</f>
        <v>TGT0</v>
      </c>
      <c r="N1624" s="3">
        <f>F1624</f>
        <v>0.12</v>
      </c>
      <c r="O1624" s="9">
        <f>H1624</f>
        <v>7.6E-3</v>
      </c>
      <c r="P1624" s="10">
        <f t="shared" si="53"/>
        <v>0</v>
      </c>
      <c r="Q1624" s="10">
        <f>IF(K1624=0,IF(A1621=A1624,AVERAGE(O1621:O1624),"x"),0)</f>
        <v>0</v>
      </c>
      <c r="R1624" s="9">
        <f>IF(L1624&gt;2005,AVERAGE(O1621:O1640),0)</f>
        <v>0</v>
      </c>
      <c r="S1624" s="10">
        <f>IF(A1624=A1625,(N1624-N1625)/N1625,0)</f>
        <v>0</v>
      </c>
      <c r="T1624" s="10">
        <f>IF(L1624&gt;2005,(((N1624-N1644)/N1644)+1)^(1/5)-1,0)</f>
        <v>0</v>
      </c>
      <c r="U1624" s="10">
        <f t="shared" si="54"/>
        <v>0</v>
      </c>
      <c r="V1624" s="26">
        <f t="shared" si="55"/>
        <v>0</v>
      </c>
      <c r="W1624" s="3">
        <f>IF(A1624=A1625,N1624-N1625,0)</f>
        <v>0</v>
      </c>
      <c r="X1624" s="10">
        <f>IF(A1624=A1625,(N1624-N1625)/N1625,0)</f>
        <v>0</v>
      </c>
    </row>
    <row r="1625" spans="1:24" ht="16.5" customHeight="1">
      <c r="A1625" s="3" t="s">
        <v>41</v>
      </c>
      <c r="B1625" s="3">
        <f t="shared" si="48"/>
        <v>2006</v>
      </c>
      <c r="C1625" s="3">
        <f t="shared" si="49"/>
        <v>8</v>
      </c>
      <c r="D1625" s="20" t="str">
        <f t="shared" si="50"/>
        <v>TGT20068</v>
      </c>
      <c r="E1625" s="2">
        <v>38945</v>
      </c>
      <c r="F1625" s="3">
        <v>0.12</v>
      </c>
      <c r="G1625" s="2">
        <v>38970</v>
      </c>
      <c r="H1625" s="3">
        <v>8.6E-3</v>
      </c>
      <c r="I1625" s="3">
        <v>0.2</v>
      </c>
      <c r="J1625" s="3">
        <v>0.02</v>
      </c>
      <c r="K1625" s="3">
        <f t="shared" si="51"/>
        <v>2006</v>
      </c>
      <c r="L1625" s="3">
        <f t="shared" si="52"/>
        <v>0</v>
      </c>
      <c r="M1625" s="20" t="str">
        <f>A1625&amp;L1625</f>
        <v>TGT0</v>
      </c>
      <c r="N1625" s="3">
        <f>F1625</f>
        <v>0.12</v>
      </c>
      <c r="O1625" s="9">
        <f>H1625</f>
        <v>8.6E-3</v>
      </c>
      <c r="P1625" s="10">
        <f t="shared" si="53"/>
        <v>7.5499999999999994E-3</v>
      </c>
      <c r="Q1625" s="10">
        <f>IF(K1625=0,IF(A1622=A1625,AVERAGE(O1622:O1625),"x"),0)</f>
        <v>0</v>
      </c>
      <c r="R1625" s="9">
        <f>IF(L1625&gt;2005,AVERAGE(O1622:O1641),0)</f>
        <v>0</v>
      </c>
      <c r="S1625" s="10">
        <f>IF(A1625=A1626,(N1625-N1626)/N1626,0)</f>
        <v>0.1999999999999999</v>
      </c>
      <c r="T1625" s="10">
        <f>IF(L1625&gt;2005,(((N1625-N1645)/N1645)+1)^(1/5)-1,0)</f>
        <v>0</v>
      </c>
      <c r="U1625" s="10">
        <f t="shared" si="54"/>
        <v>0</v>
      </c>
      <c r="V1625" s="26">
        <f t="shared" si="55"/>
        <v>0</v>
      </c>
      <c r="W1625" s="3">
        <f>IF(A1625=A1626,N1625-N1626,0)</f>
        <v>1.999999999999999E-2</v>
      </c>
      <c r="X1625" s="10">
        <f>IF(A1625=A1626,(N1625-N1626)/N1626,0)</f>
        <v>0.1999999999999999</v>
      </c>
    </row>
    <row r="1626" spans="1:24" ht="16.5" customHeight="1">
      <c r="A1626" s="3" t="s">
        <v>41</v>
      </c>
      <c r="B1626" s="3">
        <f t="shared" si="48"/>
        <v>2006</v>
      </c>
      <c r="C1626" s="3">
        <f t="shared" si="49"/>
        <v>5</v>
      </c>
      <c r="D1626" s="20" t="str">
        <f t="shared" si="50"/>
        <v>TGT20065</v>
      </c>
      <c r="E1626" s="2">
        <v>38854</v>
      </c>
      <c r="F1626" s="3">
        <v>0.1</v>
      </c>
      <c r="G1626" s="2">
        <v>38878</v>
      </c>
      <c r="H1626" s="3">
        <v>8.0999999999999996E-3</v>
      </c>
      <c r="I1626" s="3">
        <v>0</v>
      </c>
      <c r="J1626" s="3">
        <v>0</v>
      </c>
      <c r="K1626" s="3">
        <f t="shared" si="51"/>
        <v>2006</v>
      </c>
      <c r="L1626" s="3">
        <f t="shared" si="52"/>
        <v>0</v>
      </c>
      <c r="M1626" s="20" t="str">
        <f>A1626&amp;L1626</f>
        <v>TGT0</v>
      </c>
      <c r="N1626" s="3">
        <f>F1626</f>
        <v>0.1</v>
      </c>
      <c r="O1626" s="9">
        <f>H1626</f>
        <v>8.0999999999999996E-3</v>
      </c>
      <c r="P1626" s="10">
        <f t="shared" si="53"/>
        <v>0</v>
      </c>
      <c r="Q1626" s="10">
        <f>IF(K1626=0,IF(A1623=A1626,AVERAGE(O1623:O1626),"x"),0)</f>
        <v>0</v>
      </c>
      <c r="R1626" s="9">
        <f>IF(L1626&gt;2005,AVERAGE(O1623:O1642),0)</f>
        <v>0</v>
      </c>
      <c r="S1626" s="10">
        <f>IF(A1626=A1627,(N1626-N1627)/N1627,0)</f>
        <v>0</v>
      </c>
      <c r="T1626" s="10">
        <f>IF(L1626&gt;2005,(((N1626-N1646)/N1646)+1)^(1/5)-1,0)</f>
        <v>0</v>
      </c>
      <c r="U1626" s="10">
        <f t="shared" si="54"/>
        <v>0</v>
      </c>
      <c r="V1626" s="26">
        <f t="shared" si="55"/>
        <v>0</v>
      </c>
      <c r="W1626" s="3">
        <f>IF(A1626=A1627,N1626-N1627,0)</f>
        <v>0</v>
      </c>
      <c r="X1626" s="10">
        <f>IF(A1626=A1627,(N1626-N1627)/N1627,0)</f>
        <v>0</v>
      </c>
    </row>
    <row r="1627" spans="1:24" ht="16.5" customHeight="1">
      <c r="A1627" s="3" t="s">
        <v>41</v>
      </c>
      <c r="B1627" s="3">
        <f t="shared" si="48"/>
        <v>2006</v>
      </c>
      <c r="C1627" s="3">
        <f t="shared" si="49"/>
        <v>2</v>
      </c>
      <c r="D1627" s="20" t="str">
        <f t="shared" si="50"/>
        <v>TGT20062</v>
      </c>
      <c r="E1627" s="2">
        <v>38763</v>
      </c>
      <c r="F1627" s="3">
        <v>0.1</v>
      </c>
      <c r="G1627" s="2">
        <v>38786</v>
      </c>
      <c r="H1627" s="3">
        <v>6.8999999999999999E-3</v>
      </c>
      <c r="I1627" s="3">
        <v>0</v>
      </c>
      <c r="J1627" s="3">
        <v>0</v>
      </c>
      <c r="K1627" s="3">
        <f t="shared" si="51"/>
        <v>0</v>
      </c>
      <c r="L1627" s="3">
        <f t="shared" si="52"/>
        <v>2006</v>
      </c>
      <c r="M1627" s="20" t="str">
        <f>A1627&amp;L1627</f>
        <v>TGT2006</v>
      </c>
      <c r="N1627" s="3">
        <f>F1627</f>
        <v>0.1</v>
      </c>
      <c r="O1627" s="9">
        <f>H1627</f>
        <v>6.8999999999999999E-3</v>
      </c>
      <c r="P1627" s="10">
        <f t="shared" si="53"/>
        <v>0</v>
      </c>
      <c r="Q1627" s="10">
        <f>IF(K1627=0,IF(A1624=A1627,AVERAGE(O1624:O1627),"x"),0)</f>
        <v>7.7999999999999996E-3</v>
      </c>
      <c r="R1627" s="9">
        <f>IF(L1627&gt;2005,AVERAGE(O1624:O1643),0)</f>
        <v>6.77E-3</v>
      </c>
      <c r="S1627" s="10">
        <f>IF(A1627=A1628,(N1627-N1628)/N1628,0)</f>
        <v>0</v>
      </c>
      <c r="T1627" s="10">
        <f>IF(L1627&gt;2005,(((N1627-N1647)/N1647)+1)^(1/5)-1,0)</f>
        <v>0.12700920209792543</v>
      </c>
      <c r="U1627" s="10">
        <f t="shared" si="54"/>
        <v>0.13377920209792543</v>
      </c>
      <c r="V1627" s="26">
        <f t="shared" si="55"/>
        <v>4.911142209937859</v>
      </c>
      <c r="W1627" s="3">
        <f>IF(A1627=A1628,N1627-N1628,0)</f>
        <v>0</v>
      </c>
      <c r="X1627" s="10">
        <f>IF(A1627=A1628,(N1627-N1628)/N1628,0)</f>
        <v>0</v>
      </c>
    </row>
    <row r="1628" spans="1:24" ht="16.5" customHeight="1">
      <c r="A1628" s="3" t="s">
        <v>41</v>
      </c>
      <c r="B1628" s="3">
        <f t="shared" si="48"/>
        <v>2005</v>
      </c>
      <c r="C1628" s="3">
        <f t="shared" si="49"/>
        <v>11</v>
      </c>
      <c r="D1628" s="20" t="str">
        <f t="shared" si="50"/>
        <v>TGT200511</v>
      </c>
      <c r="E1628" s="2">
        <v>38672</v>
      </c>
      <c r="F1628" s="3">
        <v>0.1</v>
      </c>
      <c r="G1628" s="2">
        <v>38696</v>
      </c>
      <c r="H1628" s="3">
        <v>6.6E-3</v>
      </c>
      <c r="I1628" s="3">
        <v>0</v>
      </c>
      <c r="J1628" s="3">
        <v>0</v>
      </c>
      <c r="K1628" s="3">
        <f t="shared" si="51"/>
        <v>2005</v>
      </c>
      <c r="L1628" s="3">
        <f t="shared" si="52"/>
        <v>0</v>
      </c>
      <c r="M1628" s="20" t="str">
        <f>A1628&amp;L1628</f>
        <v>TGT0</v>
      </c>
      <c r="N1628" s="3">
        <f>F1628</f>
        <v>0.1</v>
      </c>
      <c r="O1628" s="9">
        <f>H1628</f>
        <v>6.6E-3</v>
      </c>
      <c r="P1628" s="10">
        <f t="shared" si="53"/>
        <v>0</v>
      </c>
      <c r="Q1628" s="10">
        <f>IF(K1628=0,IF(A1625=A1628,AVERAGE(O1625:O1628),"x"),0)</f>
        <v>0</v>
      </c>
      <c r="R1628" s="9">
        <f>IF(L1628&gt;2005,AVERAGE(O1625:O1644),0)</f>
        <v>0</v>
      </c>
      <c r="S1628" s="10">
        <f>IF(A1628=A1629,(N1628-N1629)/N1629,0)</f>
        <v>0</v>
      </c>
      <c r="T1628" s="10">
        <f>IF(L1628&gt;2005,(((N1628-N1648)/N1648)+1)^(1/5)-1,0)</f>
        <v>0</v>
      </c>
      <c r="U1628" s="10">
        <f t="shared" si="54"/>
        <v>0</v>
      </c>
      <c r="V1628" s="26">
        <f t="shared" si="55"/>
        <v>0</v>
      </c>
      <c r="W1628" s="3">
        <f>IF(A1628=A1629,N1628-N1629,0)</f>
        <v>0</v>
      </c>
      <c r="X1628" s="10">
        <f>IF(A1628=A1629,(N1628-N1629)/N1629,0)</f>
        <v>0</v>
      </c>
    </row>
    <row r="1629" spans="1:24" ht="16.5" customHeight="1">
      <c r="A1629" s="3" t="s">
        <v>41</v>
      </c>
      <c r="B1629" s="3">
        <f t="shared" si="48"/>
        <v>2005</v>
      </c>
      <c r="C1629" s="3">
        <f t="shared" si="49"/>
        <v>8</v>
      </c>
      <c r="D1629" s="20" t="str">
        <f t="shared" si="50"/>
        <v>TGT20058</v>
      </c>
      <c r="E1629" s="2">
        <v>38581</v>
      </c>
      <c r="F1629" s="3">
        <v>0.1</v>
      </c>
      <c r="G1629" s="2">
        <v>38605</v>
      </c>
      <c r="H1629" s="3">
        <v>6.1000000000000004E-3</v>
      </c>
      <c r="I1629" s="3">
        <v>0.25</v>
      </c>
      <c r="J1629" s="3">
        <v>0.02</v>
      </c>
      <c r="K1629" s="3">
        <f t="shared" si="51"/>
        <v>2005</v>
      </c>
      <c r="L1629" s="3">
        <f t="shared" si="52"/>
        <v>0</v>
      </c>
      <c r="M1629" s="20" t="str">
        <f>A1629&amp;L1629</f>
        <v>TGT0</v>
      </c>
      <c r="N1629" s="3">
        <f>F1629</f>
        <v>0.1</v>
      </c>
      <c r="O1629" s="9">
        <f>H1629</f>
        <v>6.1000000000000004E-3</v>
      </c>
      <c r="P1629" s="10">
        <f t="shared" si="53"/>
        <v>6.1250000000000002E-3</v>
      </c>
      <c r="Q1629" s="10">
        <f>IF(K1629=0,IF(A1626=A1629,AVERAGE(O1626:O1629),"x"),0)</f>
        <v>0</v>
      </c>
      <c r="R1629" s="9">
        <f>IF(L1629&gt;2005,AVERAGE(O1626:O1645),0)</f>
        <v>0</v>
      </c>
      <c r="S1629" s="10">
        <f>IF(A1629=A1630,(N1629-N1630)/N1630,0)</f>
        <v>0.25000000000000006</v>
      </c>
      <c r="T1629" s="10">
        <f>IF(L1629&gt;2005,(((N1629-N1649)/N1649)+1)^(1/5)-1,0)</f>
        <v>0</v>
      </c>
      <c r="U1629" s="10">
        <f t="shared" si="54"/>
        <v>0</v>
      </c>
      <c r="V1629" s="26">
        <f t="shared" si="55"/>
        <v>0</v>
      </c>
      <c r="W1629" s="3">
        <f>IF(A1629=A1630,N1629-N1630,0)</f>
        <v>2.0000000000000004E-2</v>
      </c>
      <c r="X1629" s="10">
        <f>IF(A1629=A1630,(N1629-N1630)/N1630,0)</f>
        <v>0.25000000000000006</v>
      </c>
    </row>
    <row r="1630" spans="1:24" ht="16.5" customHeight="1">
      <c r="A1630" s="3" t="s">
        <v>41</v>
      </c>
      <c r="B1630" s="3">
        <f t="shared" si="48"/>
        <v>2005</v>
      </c>
      <c r="C1630" s="3">
        <f t="shared" si="49"/>
        <v>5</v>
      </c>
      <c r="D1630" s="20" t="str">
        <f t="shared" si="50"/>
        <v>TGT20055</v>
      </c>
      <c r="E1630" s="2">
        <v>38490</v>
      </c>
      <c r="F1630" s="3">
        <v>0.08</v>
      </c>
      <c r="G1630" s="2">
        <v>38513</v>
      </c>
      <c r="H1630" s="3">
        <v>6.4000000000000003E-3</v>
      </c>
      <c r="I1630" s="3">
        <v>0</v>
      </c>
      <c r="J1630" s="3">
        <v>0</v>
      </c>
      <c r="K1630" s="3">
        <f t="shared" si="51"/>
        <v>2005</v>
      </c>
      <c r="L1630" s="3">
        <f t="shared" si="52"/>
        <v>0</v>
      </c>
      <c r="M1630" s="20" t="str">
        <f>A1630&amp;L1630</f>
        <v>TGT0</v>
      </c>
      <c r="N1630" s="3">
        <f>F1630</f>
        <v>0.08</v>
      </c>
      <c r="O1630" s="9">
        <f>H1630</f>
        <v>6.4000000000000003E-3</v>
      </c>
      <c r="P1630" s="10">
        <f t="shared" si="53"/>
        <v>0</v>
      </c>
      <c r="Q1630" s="10">
        <f>IF(K1630=0,IF(A1627=A1630,AVERAGE(O1627:O1630),"x"),0)</f>
        <v>0</v>
      </c>
      <c r="R1630" s="9">
        <f>IF(L1630&gt;2005,AVERAGE(O1627:O1646),0)</f>
        <v>0</v>
      </c>
      <c r="S1630" s="10">
        <f>IF(A1630=A1631,(N1630-N1631)/N1631,0)</f>
        <v>0</v>
      </c>
      <c r="T1630" s="10">
        <f>IF(L1630&gt;2005,(((N1630-N1650)/N1650)+1)^(1/5)-1,0)</f>
        <v>0</v>
      </c>
      <c r="U1630" s="10">
        <f t="shared" si="54"/>
        <v>0</v>
      </c>
      <c r="V1630" s="26">
        <f t="shared" si="55"/>
        <v>0</v>
      </c>
      <c r="W1630" s="3">
        <f>IF(A1630=A1631,N1630-N1631,0)</f>
        <v>0</v>
      </c>
      <c r="X1630" s="10">
        <f>IF(A1630=A1631,(N1630-N1631)/N1631,0)</f>
        <v>0</v>
      </c>
    </row>
    <row r="1631" spans="1:24" ht="16.5" customHeight="1">
      <c r="A1631" s="3" t="s">
        <v>41</v>
      </c>
      <c r="B1631" s="3">
        <f t="shared" si="48"/>
        <v>2005</v>
      </c>
      <c r="C1631" s="3">
        <f t="shared" si="49"/>
        <v>2</v>
      </c>
      <c r="D1631" s="20" t="str">
        <f t="shared" si="50"/>
        <v>TGT20052</v>
      </c>
      <c r="E1631" s="2">
        <v>38399</v>
      </c>
      <c r="F1631" s="3">
        <v>0.08</v>
      </c>
      <c r="G1631" s="2">
        <v>38421</v>
      </c>
      <c r="H1631" s="3">
        <v>6.1999999999999998E-3</v>
      </c>
      <c r="I1631" s="3">
        <v>0</v>
      </c>
      <c r="J1631" s="3">
        <v>0</v>
      </c>
      <c r="K1631" s="3">
        <f t="shared" si="51"/>
        <v>0</v>
      </c>
      <c r="L1631" s="3">
        <f t="shared" si="52"/>
        <v>2005</v>
      </c>
      <c r="M1631" s="20" t="str">
        <f>A1631&amp;L1631</f>
        <v>TGT2005</v>
      </c>
      <c r="N1631" s="3">
        <f>F1631</f>
        <v>0.08</v>
      </c>
      <c r="O1631" s="9">
        <f>H1631</f>
        <v>6.1999999999999998E-3</v>
      </c>
      <c r="P1631" s="10">
        <f t="shared" si="53"/>
        <v>0</v>
      </c>
      <c r="Q1631" s="10">
        <f>IF(K1631=0,IF(A1628=A1631,AVERAGE(O1628:O1631),"x"),0)</f>
        <v>6.3249999999999999E-3</v>
      </c>
      <c r="R1631" s="9">
        <f>IF(L1631&gt;2005,AVERAGE(O1628:O1647),0)</f>
        <v>0</v>
      </c>
      <c r="S1631" s="10">
        <f>IF(A1631=A1632,(N1631-N1632)/N1632,0)</f>
        <v>0</v>
      </c>
      <c r="T1631" s="10">
        <f>IF(L1631&gt;2005,(((N1631-N1651)/N1651)+1)^(1/5)-1,0)</f>
        <v>0</v>
      </c>
      <c r="U1631" s="10">
        <f t="shared" si="54"/>
        <v>0</v>
      </c>
      <c r="V1631" s="26">
        <f t="shared" si="55"/>
        <v>0</v>
      </c>
      <c r="W1631" s="3">
        <f>IF(A1631=A1632,N1631-N1632,0)</f>
        <v>0</v>
      </c>
      <c r="X1631" s="10">
        <f>IF(A1631=A1632,(N1631-N1632)/N1632,0)</f>
        <v>0</v>
      </c>
    </row>
    <row r="1632" spans="1:24" ht="16.5" customHeight="1">
      <c r="A1632" s="3" t="s">
        <v>41</v>
      </c>
      <c r="B1632" s="3">
        <f t="shared" si="48"/>
        <v>2004</v>
      </c>
      <c r="C1632" s="3">
        <f t="shared" si="49"/>
        <v>11</v>
      </c>
      <c r="D1632" s="20" t="str">
        <f t="shared" si="50"/>
        <v>TGT200411</v>
      </c>
      <c r="E1632" s="2">
        <v>38308</v>
      </c>
      <c r="F1632" s="3">
        <v>0.08</v>
      </c>
      <c r="G1632" s="2">
        <v>38331</v>
      </c>
      <c r="H1632" s="3">
        <v>5.7999999999999996E-3</v>
      </c>
      <c r="I1632" s="3">
        <v>0</v>
      </c>
      <c r="J1632" s="3">
        <v>0</v>
      </c>
      <c r="K1632" s="3">
        <f t="shared" si="51"/>
        <v>2004</v>
      </c>
      <c r="L1632" s="3">
        <f t="shared" si="52"/>
        <v>0</v>
      </c>
      <c r="M1632" s="20" t="str">
        <f>A1632&amp;L1632</f>
        <v>TGT0</v>
      </c>
      <c r="N1632" s="3">
        <f>F1632</f>
        <v>0.08</v>
      </c>
      <c r="O1632" s="9">
        <f>H1632</f>
        <v>5.7999999999999996E-3</v>
      </c>
      <c r="P1632" s="10">
        <f t="shared" si="53"/>
        <v>0</v>
      </c>
      <c r="Q1632" s="10">
        <f>IF(K1632=0,IF(A1629=A1632,AVERAGE(O1629:O1632),"x"),0)</f>
        <v>0</v>
      </c>
      <c r="R1632" s="9">
        <f>IF(L1632&gt;2005,AVERAGE(O1629:O1648),0)</f>
        <v>0</v>
      </c>
      <c r="S1632" s="10">
        <f>IF(A1632=A1633,(N1632-N1633)/N1633,0)</f>
        <v>0</v>
      </c>
      <c r="T1632" s="10">
        <f>IF(L1632&gt;2005,(((N1632-N1652)/N1652)+1)^(1/5)-1,0)</f>
        <v>0</v>
      </c>
      <c r="U1632" s="10">
        <f t="shared" si="54"/>
        <v>0</v>
      </c>
      <c r="V1632" s="26">
        <f t="shared" si="55"/>
        <v>0</v>
      </c>
      <c r="W1632" s="3">
        <f>IF(A1632=A1633,N1632-N1633,0)</f>
        <v>0</v>
      </c>
      <c r="X1632" s="10">
        <f>IF(A1632=A1633,(N1632-N1633)/N1633,0)</f>
        <v>0</v>
      </c>
    </row>
    <row r="1633" spans="1:24" ht="16.5" customHeight="1">
      <c r="A1633" s="3" t="s">
        <v>41</v>
      </c>
      <c r="B1633" s="3">
        <f t="shared" si="48"/>
        <v>2004</v>
      </c>
      <c r="C1633" s="3">
        <f t="shared" si="49"/>
        <v>8</v>
      </c>
      <c r="D1633" s="20" t="str">
        <f t="shared" si="50"/>
        <v>TGT20048</v>
      </c>
      <c r="E1633" s="2">
        <v>38217</v>
      </c>
      <c r="F1633" s="3">
        <v>0.08</v>
      </c>
      <c r="G1633" s="2">
        <v>38240</v>
      </c>
      <c r="H1633" s="3">
        <v>6.6E-3</v>
      </c>
      <c r="I1633" s="3">
        <v>0.14285714299999999</v>
      </c>
      <c r="J1633" s="3">
        <v>0.01</v>
      </c>
      <c r="K1633" s="3">
        <f t="shared" si="51"/>
        <v>2004</v>
      </c>
      <c r="L1633" s="3">
        <f t="shared" si="52"/>
        <v>0</v>
      </c>
      <c r="M1633" s="20" t="str">
        <f>A1633&amp;L1633</f>
        <v>TGT0</v>
      </c>
      <c r="N1633" s="3">
        <f>F1633</f>
        <v>0.08</v>
      </c>
      <c r="O1633" s="9">
        <f>H1633</f>
        <v>6.6E-3</v>
      </c>
      <c r="P1633" s="10">
        <f t="shared" si="53"/>
        <v>6.6E-3</v>
      </c>
      <c r="Q1633" s="10">
        <f>IF(K1633=0,IF(A1630=A1633,AVERAGE(O1630:O1633),"x"),0)</f>
        <v>0</v>
      </c>
      <c r="R1633" s="9">
        <f>IF(L1633&gt;2005,AVERAGE(O1630:O1649),0)</f>
        <v>0</v>
      </c>
      <c r="S1633" s="10">
        <f>IF(A1633=A1634,(N1633-N1634)/N1634,0)</f>
        <v>0.14285714285714277</v>
      </c>
      <c r="T1633" s="10">
        <f>IF(L1633&gt;2005,(((N1633-N1653)/N1653)+1)^(1/5)-1,0)</f>
        <v>0</v>
      </c>
      <c r="U1633" s="10">
        <f t="shared" si="54"/>
        <v>0</v>
      </c>
      <c r="V1633" s="26">
        <f t="shared" si="55"/>
        <v>0</v>
      </c>
      <c r="W1633" s="3">
        <f>IF(A1633=A1634,N1633-N1634,0)</f>
        <v>9.999999999999995E-3</v>
      </c>
      <c r="X1633" s="10">
        <f>IF(A1633=A1634,(N1633-N1634)/N1634,0)</f>
        <v>0.14285714285714277</v>
      </c>
    </row>
    <row r="1634" spans="1:24" ht="16.5" customHeight="1">
      <c r="A1634" s="3" t="s">
        <v>41</v>
      </c>
      <c r="B1634" s="3">
        <f t="shared" si="48"/>
        <v>2004</v>
      </c>
      <c r="C1634" s="3">
        <f t="shared" si="49"/>
        <v>5</v>
      </c>
      <c r="D1634" s="20" t="str">
        <f t="shared" si="50"/>
        <v>TGT20045</v>
      </c>
      <c r="E1634" s="2">
        <v>38125</v>
      </c>
      <c r="F1634" s="3">
        <v>7.0000000000000007E-2</v>
      </c>
      <c r="G1634" s="2">
        <v>38148</v>
      </c>
      <c r="H1634" s="3">
        <v>6.6E-3</v>
      </c>
      <c r="I1634" s="3">
        <v>0</v>
      </c>
      <c r="J1634" s="3">
        <v>0</v>
      </c>
      <c r="K1634" s="3">
        <f t="shared" si="51"/>
        <v>2004</v>
      </c>
      <c r="L1634" s="3">
        <f t="shared" si="52"/>
        <v>0</v>
      </c>
      <c r="M1634" s="20" t="str">
        <f>A1634&amp;L1634</f>
        <v>TGT0</v>
      </c>
      <c r="N1634" s="3">
        <f>F1634</f>
        <v>7.0000000000000007E-2</v>
      </c>
      <c r="O1634" s="9">
        <f>H1634</f>
        <v>6.6E-3</v>
      </c>
      <c r="P1634" s="10">
        <f t="shared" si="53"/>
        <v>0</v>
      </c>
      <c r="Q1634" s="10">
        <f>IF(K1634=0,IF(A1631=A1634,AVERAGE(O1631:O1634),"x"),0)</f>
        <v>0</v>
      </c>
      <c r="R1634" s="9">
        <f>IF(L1634&gt;2005,AVERAGE(O1631:O1650),0)</f>
        <v>0</v>
      </c>
      <c r="S1634" s="10">
        <f>IF(A1634=A1635,(N1634-N1635)/N1635,0)</f>
        <v>0</v>
      </c>
      <c r="T1634" s="10">
        <f>IF(L1634&gt;2005,(((N1634-N1654)/N1654)+1)^(1/5)-1,0)</f>
        <v>0</v>
      </c>
      <c r="U1634" s="10">
        <f t="shared" si="54"/>
        <v>0</v>
      </c>
      <c r="V1634" s="26">
        <f t="shared" si="55"/>
        <v>0</v>
      </c>
      <c r="W1634" s="3">
        <f>IF(A1634=A1635,N1634-N1635,0)</f>
        <v>0</v>
      </c>
      <c r="X1634" s="10">
        <f>IF(A1634=A1635,(N1634-N1635)/N1635,0)</f>
        <v>0</v>
      </c>
    </row>
    <row r="1635" spans="1:24" ht="16.5" customHeight="1">
      <c r="A1635" s="3" t="s">
        <v>41</v>
      </c>
      <c r="B1635" s="3">
        <f t="shared" si="48"/>
        <v>2004</v>
      </c>
      <c r="C1635" s="3">
        <f t="shared" si="49"/>
        <v>2</v>
      </c>
      <c r="D1635" s="20" t="str">
        <f t="shared" si="50"/>
        <v>TGT20042</v>
      </c>
      <c r="E1635" s="2">
        <v>38035</v>
      </c>
      <c r="F1635" s="3">
        <v>7.0000000000000007E-2</v>
      </c>
      <c r="G1635" s="2">
        <v>38056</v>
      </c>
      <c r="H1635" s="3">
        <v>6.4000000000000003E-3</v>
      </c>
      <c r="I1635" s="3">
        <v>0</v>
      </c>
      <c r="J1635" s="3">
        <v>0</v>
      </c>
      <c r="K1635" s="3">
        <f t="shared" si="51"/>
        <v>0</v>
      </c>
      <c r="L1635" s="3">
        <f t="shared" si="52"/>
        <v>2004</v>
      </c>
      <c r="M1635" s="20" t="str">
        <f>A1635&amp;L1635</f>
        <v>TGT2004</v>
      </c>
      <c r="N1635" s="3">
        <f>F1635</f>
        <v>7.0000000000000007E-2</v>
      </c>
      <c r="O1635" s="9">
        <f>H1635</f>
        <v>6.4000000000000003E-3</v>
      </c>
      <c r="P1635" s="10">
        <f t="shared" si="53"/>
        <v>0</v>
      </c>
      <c r="Q1635" s="10">
        <f>IF(K1635=0,IF(A1632=A1635,AVERAGE(O1632:O1635),"x"),0)</f>
        <v>6.3499999999999997E-3</v>
      </c>
      <c r="R1635" s="9">
        <f>IF(L1635&gt;2005,AVERAGE(O1632:O1651),0)</f>
        <v>0</v>
      </c>
      <c r="S1635" s="10">
        <f>IF(A1635=A1636,(N1635-N1636)/N1636,0)</f>
        <v>0</v>
      </c>
      <c r="T1635" s="10">
        <f>IF(L1635&gt;2005,(((N1635-N1655)/N1655)+1)^(1/5)-1,0)</f>
        <v>0</v>
      </c>
      <c r="U1635" s="10">
        <f t="shared" si="54"/>
        <v>0</v>
      </c>
      <c r="V1635" s="26">
        <f t="shared" si="55"/>
        <v>0</v>
      </c>
      <c r="W1635" s="3">
        <f>IF(A1635=A1636,N1635-N1636,0)</f>
        <v>0</v>
      </c>
      <c r="X1635" s="10">
        <f>IF(A1635=A1636,(N1635-N1636)/N1636,0)</f>
        <v>0</v>
      </c>
    </row>
    <row r="1636" spans="1:24" ht="16.5" customHeight="1">
      <c r="A1636" s="3" t="s">
        <v>41</v>
      </c>
      <c r="B1636" s="3">
        <f t="shared" si="48"/>
        <v>2003</v>
      </c>
      <c r="C1636" s="3">
        <f t="shared" si="49"/>
        <v>11</v>
      </c>
      <c r="D1636" s="20" t="str">
        <f t="shared" si="50"/>
        <v>TGT200311</v>
      </c>
      <c r="E1636" s="2">
        <v>37943</v>
      </c>
      <c r="F1636" s="3">
        <v>7.0000000000000007E-2</v>
      </c>
      <c r="G1636" s="2">
        <v>37965</v>
      </c>
      <c r="H1636" s="3">
        <v>6.7999999999999996E-3</v>
      </c>
      <c r="I1636" s="3">
        <v>0</v>
      </c>
      <c r="J1636" s="3">
        <v>0</v>
      </c>
      <c r="K1636" s="3">
        <f t="shared" si="51"/>
        <v>2003</v>
      </c>
      <c r="L1636" s="3">
        <f t="shared" si="52"/>
        <v>0</v>
      </c>
      <c r="M1636" s="20" t="str">
        <f>A1636&amp;L1636</f>
        <v>TGT0</v>
      </c>
      <c r="N1636" s="3">
        <f>F1636</f>
        <v>7.0000000000000007E-2</v>
      </c>
      <c r="O1636" s="9">
        <f>H1636</f>
        <v>6.7999999999999996E-3</v>
      </c>
      <c r="P1636" s="10">
        <f t="shared" si="53"/>
        <v>0</v>
      </c>
      <c r="Q1636" s="10">
        <f>IF(K1636=0,IF(A1633=A1636,AVERAGE(O1633:O1636),"x"),0)</f>
        <v>0</v>
      </c>
      <c r="R1636" s="9">
        <f>IF(L1636&gt;2005,AVERAGE(O1633:O1652),0)</f>
        <v>0</v>
      </c>
      <c r="S1636" s="10">
        <f>IF(A1636=A1637,(N1636-N1637)/N1637,0)</f>
        <v>0</v>
      </c>
      <c r="T1636" s="10">
        <f>IF(L1636&gt;2005,(((N1636-N1656)/N1656)+1)^(1/5)-1,0)</f>
        <v>0</v>
      </c>
      <c r="U1636" s="10">
        <f t="shared" si="54"/>
        <v>0</v>
      </c>
      <c r="V1636" s="26">
        <f t="shared" si="55"/>
        <v>0</v>
      </c>
      <c r="W1636" s="3">
        <f>IF(A1636=A1637,N1636-N1637,0)</f>
        <v>0</v>
      </c>
      <c r="X1636" s="10">
        <f>IF(A1636=A1637,(N1636-N1637)/N1637,0)</f>
        <v>0</v>
      </c>
    </row>
    <row r="1637" spans="1:24" ht="16.5" customHeight="1">
      <c r="A1637" s="3" t="s">
        <v>41</v>
      </c>
      <c r="B1637" s="3">
        <f t="shared" si="48"/>
        <v>2003</v>
      </c>
      <c r="C1637" s="3">
        <f t="shared" si="49"/>
        <v>8</v>
      </c>
      <c r="D1637" s="20" t="str">
        <f t="shared" si="50"/>
        <v>TGT20038</v>
      </c>
      <c r="E1637" s="2">
        <v>37851</v>
      </c>
      <c r="F1637" s="3">
        <v>7.0000000000000007E-2</v>
      </c>
      <c r="G1637" s="2">
        <v>37874</v>
      </c>
      <c r="H1637" s="3">
        <v>6.6E-3</v>
      </c>
      <c r="I1637" s="3">
        <v>0.16666666699999999</v>
      </c>
      <c r="J1637" s="3">
        <v>0.01</v>
      </c>
      <c r="K1637" s="3">
        <f t="shared" si="51"/>
        <v>2003</v>
      </c>
      <c r="L1637" s="3">
        <f t="shared" si="52"/>
        <v>0</v>
      </c>
      <c r="M1637" s="20" t="str">
        <f>A1637&amp;L1637</f>
        <v>TGT0</v>
      </c>
      <c r="N1637" s="3">
        <f>F1637</f>
        <v>7.0000000000000007E-2</v>
      </c>
      <c r="O1637" s="9">
        <f>H1637</f>
        <v>6.6E-3</v>
      </c>
      <c r="P1637" s="10">
        <f t="shared" si="53"/>
        <v>7.4000000000000003E-3</v>
      </c>
      <c r="Q1637" s="10">
        <f>IF(K1637=0,IF(A1634=A1637,AVERAGE(O1634:O1637),"x"),0)</f>
        <v>0</v>
      </c>
      <c r="R1637" s="9">
        <f>IF(L1637&gt;2005,AVERAGE(O1634:O1653),0)</f>
        <v>0</v>
      </c>
      <c r="S1637" s="10">
        <f>IF(A1637=A1638,(N1637-N1638)/N1638,0)</f>
        <v>0.16666666666666682</v>
      </c>
      <c r="T1637" s="10">
        <f>IF(L1637&gt;2005,(((N1637-N1657)/N1657)+1)^(1/5)-1,0)</f>
        <v>0</v>
      </c>
      <c r="U1637" s="10">
        <f t="shared" si="54"/>
        <v>0</v>
      </c>
      <c r="V1637" s="26">
        <f t="shared" si="55"/>
        <v>0</v>
      </c>
      <c r="W1637" s="3">
        <f>IF(A1637=A1638,N1637-N1638,0)</f>
        <v>1.0000000000000009E-2</v>
      </c>
      <c r="X1637" s="10">
        <f>IF(A1637=A1638,(N1637-N1638)/N1638,0)</f>
        <v>0.16666666666666682</v>
      </c>
    </row>
    <row r="1638" spans="1:24" ht="16.5" customHeight="1">
      <c r="A1638" s="3" t="s">
        <v>41</v>
      </c>
      <c r="B1638" s="3">
        <f t="shared" si="48"/>
        <v>2003</v>
      </c>
      <c r="C1638" s="3">
        <f t="shared" si="49"/>
        <v>5</v>
      </c>
      <c r="D1638" s="20" t="str">
        <f t="shared" si="50"/>
        <v>TGT20035</v>
      </c>
      <c r="E1638" s="2">
        <v>37757</v>
      </c>
      <c r="F1638" s="3">
        <v>0.06</v>
      </c>
      <c r="G1638" s="2">
        <v>37782</v>
      </c>
      <c r="H1638" s="3">
        <v>7.0000000000000001E-3</v>
      </c>
      <c r="I1638" s="3">
        <v>0</v>
      </c>
      <c r="J1638" s="3">
        <v>0</v>
      </c>
      <c r="K1638" s="3">
        <f t="shared" si="51"/>
        <v>2003</v>
      </c>
      <c r="L1638" s="3">
        <f t="shared" si="52"/>
        <v>0</v>
      </c>
      <c r="M1638" s="20" t="str">
        <f>A1638&amp;L1638</f>
        <v>TGT0</v>
      </c>
      <c r="N1638" s="3">
        <f>F1638</f>
        <v>0.06</v>
      </c>
      <c r="O1638" s="9">
        <f>H1638</f>
        <v>7.0000000000000001E-3</v>
      </c>
      <c r="P1638" s="10">
        <f t="shared" si="53"/>
        <v>0</v>
      </c>
      <c r="Q1638" s="10">
        <f>IF(K1638=0,IF(A1635=A1638,AVERAGE(O1635:O1638),"x"),0)</f>
        <v>0</v>
      </c>
      <c r="R1638" s="9">
        <f>IF(L1638&gt;2005,AVERAGE(O1635:O1654),0)</f>
        <v>0</v>
      </c>
      <c r="S1638" s="10">
        <f>IF(A1638=A1639,(N1638-N1639)/N1639,0)</f>
        <v>0</v>
      </c>
      <c r="T1638" s="10">
        <f>IF(L1638&gt;2005,(((N1638-N1658)/N1658)+1)^(1/5)-1,0)</f>
        <v>0</v>
      </c>
      <c r="U1638" s="10">
        <f t="shared" si="54"/>
        <v>0</v>
      </c>
      <c r="V1638" s="26">
        <f t="shared" si="55"/>
        <v>0</v>
      </c>
      <c r="W1638" s="3">
        <f>IF(A1638=A1639,N1638-N1639,0)</f>
        <v>0</v>
      </c>
      <c r="X1638" s="10">
        <f>IF(A1638=A1639,(N1638-N1639)/N1639,0)</f>
        <v>0</v>
      </c>
    </row>
    <row r="1639" spans="1:24" ht="16.5" customHeight="1">
      <c r="A1639" s="3" t="s">
        <v>41</v>
      </c>
      <c r="B1639" s="3">
        <f t="shared" si="48"/>
        <v>2003</v>
      </c>
      <c r="C1639" s="3">
        <f t="shared" si="49"/>
        <v>2</v>
      </c>
      <c r="D1639" s="20" t="str">
        <f t="shared" si="50"/>
        <v>TGT20032</v>
      </c>
      <c r="E1639" s="2">
        <v>37670</v>
      </c>
      <c r="F1639" s="3">
        <v>0.06</v>
      </c>
      <c r="G1639" s="2">
        <v>37690</v>
      </c>
      <c r="H1639" s="3">
        <v>8.6999999999999994E-3</v>
      </c>
      <c r="I1639" s="3">
        <v>0</v>
      </c>
      <c r="J1639" s="3">
        <v>0</v>
      </c>
      <c r="K1639" s="3">
        <f t="shared" si="51"/>
        <v>0</v>
      </c>
      <c r="L1639" s="3">
        <f t="shared" si="52"/>
        <v>2003</v>
      </c>
      <c r="M1639" s="20" t="str">
        <f>A1639&amp;L1639</f>
        <v>TGT2003</v>
      </c>
      <c r="N1639" s="3">
        <f>F1639</f>
        <v>0.06</v>
      </c>
      <c r="O1639" s="9">
        <f>H1639</f>
        <v>8.6999999999999994E-3</v>
      </c>
      <c r="P1639" s="10">
        <f t="shared" si="53"/>
        <v>0</v>
      </c>
      <c r="Q1639" s="10">
        <f>IF(K1639=0,IF(A1636=A1639,AVERAGE(O1636:O1639),"x"),0)</f>
        <v>7.2749999999999993E-3</v>
      </c>
      <c r="R1639" s="9">
        <f>IF(L1639&gt;2005,AVERAGE(O1636:O1655),0)</f>
        <v>0</v>
      </c>
      <c r="S1639" s="10">
        <f>IF(A1639=A1640,(N1639-N1640)/N1640,0)</f>
        <v>0</v>
      </c>
      <c r="T1639" s="10">
        <f>IF(L1639&gt;2005,(((N1639-N1659)/N1659)+1)^(1/5)-1,0)</f>
        <v>0</v>
      </c>
      <c r="U1639" s="10">
        <f t="shared" si="54"/>
        <v>0</v>
      </c>
      <c r="V1639" s="26">
        <f t="shared" si="55"/>
        <v>0</v>
      </c>
      <c r="W1639" s="3">
        <f>IF(A1639=A1640,N1639-N1640,0)</f>
        <v>0</v>
      </c>
      <c r="X1639" s="10">
        <f>IF(A1639=A1640,(N1639-N1640)/N1640,0)</f>
        <v>0</v>
      </c>
    </row>
    <row r="1640" spans="1:24" ht="16.5" customHeight="1">
      <c r="A1640" s="3" t="s">
        <v>41</v>
      </c>
      <c r="B1640" s="3">
        <f t="shared" si="48"/>
        <v>2002</v>
      </c>
      <c r="C1640" s="3">
        <f t="shared" si="49"/>
        <v>11</v>
      </c>
      <c r="D1640" s="20" t="str">
        <f t="shared" si="50"/>
        <v>TGT200211</v>
      </c>
      <c r="E1640" s="2">
        <v>37578</v>
      </c>
      <c r="F1640" s="3">
        <v>0.06</v>
      </c>
      <c r="G1640" s="2">
        <v>37600</v>
      </c>
      <c r="H1640" s="3">
        <v>7.3000000000000001E-3</v>
      </c>
      <c r="I1640" s="3">
        <v>0</v>
      </c>
      <c r="J1640" s="3">
        <v>0</v>
      </c>
      <c r="K1640" s="3">
        <f t="shared" si="51"/>
        <v>2002</v>
      </c>
      <c r="L1640" s="3">
        <f t="shared" si="52"/>
        <v>0</v>
      </c>
      <c r="M1640" s="20" t="str">
        <f>A1640&amp;L1640</f>
        <v>TGT0</v>
      </c>
      <c r="N1640" s="3">
        <f>F1640</f>
        <v>0.06</v>
      </c>
      <c r="O1640" s="9">
        <f>H1640</f>
        <v>7.3000000000000001E-3</v>
      </c>
      <c r="P1640" s="10">
        <f t="shared" si="53"/>
        <v>0</v>
      </c>
      <c r="Q1640" s="10">
        <f>IF(K1640=0,IF(A1637=A1640,AVERAGE(O1637:O1640),"x"),0)</f>
        <v>0</v>
      </c>
      <c r="R1640" s="9">
        <f>IF(L1640&gt;2005,AVERAGE(O1637:O1656),0)</f>
        <v>0</v>
      </c>
      <c r="S1640" s="10">
        <f>IF(A1640=A1641,(N1640-N1641)/N1641,0)</f>
        <v>0</v>
      </c>
      <c r="T1640" s="10">
        <f>IF(L1640&gt;2005,(((N1640-N1660)/N1660)+1)^(1/5)-1,0)</f>
        <v>0</v>
      </c>
      <c r="U1640" s="10">
        <f t="shared" si="54"/>
        <v>0</v>
      </c>
      <c r="V1640" s="26">
        <f t="shared" si="55"/>
        <v>0</v>
      </c>
      <c r="W1640" s="3">
        <f>IF(A1640=A1641,N1640-N1641,0)</f>
        <v>0</v>
      </c>
      <c r="X1640" s="10">
        <f>IF(A1640=A1641,(N1640-N1641)/N1641,0)</f>
        <v>0</v>
      </c>
    </row>
    <row r="1641" spans="1:24" ht="16.5" customHeight="1">
      <c r="A1641" s="3" t="s">
        <v>41</v>
      </c>
      <c r="B1641" s="3">
        <f t="shared" si="48"/>
        <v>2002</v>
      </c>
      <c r="C1641" s="3">
        <f t="shared" si="49"/>
        <v>8</v>
      </c>
      <c r="D1641" s="20" t="str">
        <f t="shared" si="50"/>
        <v>TGT20028</v>
      </c>
      <c r="E1641" s="2">
        <v>37484</v>
      </c>
      <c r="F1641" s="3">
        <v>0.06</v>
      </c>
      <c r="G1641" s="2">
        <v>37509</v>
      </c>
      <c r="H1641" s="3">
        <v>6.7000000000000002E-3</v>
      </c>
      <c r="I1641" s="3">
        <v>0</v>
      </c>
      <c r="J1641" s="3">
        <v>0</v>
      </c>
      <c r="K1641" s="3">
        <f t="shared" si="51"/>
        <v>2002</v>
      </c>
      <c r="L1641" s="3">
        <f t="shared" si="52"/>
        <v>0</v>
      </c>
      <c r="M1641" s="20" t="str">
        <f>A1641&amp;L1641</f>
        <v>TGT0</v>
      </c>
      <c r="N1641" s="3">
        <f>F1641</f>
        <v>0.06</v>
      </c>
      <c r="O1641" s="9">
        <f>H1641</f>
        <v>6.7000000000000002E-3</v>
      </c>
      <c r="P1641" s="10">
        <f t="shared" si="53"/>
        <v>0</v>
      </c>
      <c r="Q1641" s="10">
        <f>IF(K1641=0,IF(A1638=A1641,AVERAGE(O1638:O1641),"x"),0)</f>
        <v>0</v>
      </c>
      <c r="R1641" s="9">
        <f>IF(L1641&gt;2005,AVERAGE(O1638:O1657),0)</f>
        <v>0</v>
      </c>
      <c r="S1641" s="10">
        <f>IF(A1641=A1642,(N1641-N1642)/N1642,0)</f>
        <v>0</v>
      </c>
      <c r="T1641" s="10">
        <f>IF(L1641&gt;2005,(((N1641-N1661)/N1661)+1)^(1/5)-1,0)</f>
        <v>0</v>
      </c>
      <c r="U1641" s="10">
        <f t="shared" si="54"/>
        <v>0</v>
      </c>
      <c r="V1641" s="26">
        <f t="shared" si="55"/>
        <v>0</v>
      </c>
      <c r="W1641" s="3">
        <f>IF(A1641=A1642,N1641-N1642,0)</f>
        <v>0</v>
      </c>
      <c r="X1641" s="10">
        <f>IF(A1641=A1642,(N1641-N1642)/N1642,0)</f>
        <v>0</v>
      </c>
    </row>
    <row r="1642" spans="1:24" ht="16.5" customHeight="1">
      <c r="A1642" s="3" t="s">
        <v>41</v>
      </c>
      <c r="B1642" s="3">
        <f t="shared" si="48"/>
        <v>2002</v>
      </c>
      <c r="C1642" s="3">
        <f t="shared" si="49"/>
        <v>5</v>
      </c>
      <c r="D1642" s="20" t="str">
        <f t="shared" si="50"/>
        <v>TGT20025</v>
      </c>
      <c r="E1642" s="2">
        <v>37392</v>
      </c>
      <c r="F1642" s="3">
        <v>0.06</v>
      </c>
      <c r="G1642" s="2">
        <v>37417</v>
      </c>
      <c r="H1642" s="3">
        <v>5.4000000000000003E-3</v>
      </c>
      <c r="I1642" s="3">
        <v>0</v>
      </c>
      <c r="J1642" s="3">
        <v>0</v>
      </c>
      <c r="K1642" s="3">
        <f t="shared" si="51"/>
        <v>2002</v>
      </c>
      <c r="L1642" s="3">
        <f t="shared" si="52"/>
        <v>0</v>
      </c>
      <c r="M1642" s="20" t="str">
        <f>A1642&amp;L1642</f>
        <v>TGT0</v>
      </c>
      <c r="N1642" s="3">
        <f>F1642</f>
        <v>0.06</v>
      </c>
      <c r="O1642" s="9">
        <f>H1642</f>
        <v>5.4000000000000003E-3</v>
      </c>
      <c r="P1642" s="10">
        <f t="shared" si="53"/>
        <v>0</v>
      </c>
      <c r="Q1642" s="10">
        <f>IF(K1642=0,IF(A1639=A1642,AVERAGE(O1639:O1642),"x"),0)</f>
        <v>0</v>
      </c>
      <c r="R1642" s="9">
        <f>IF(L1642&gt;2005,AVERAGE(O1639:O1658),0)</f>
        <v>0</v>
      </c>
      <c r="S1642" s="10">
        <f>IF(A1642=A1643,(N1642-N1643)/N1643,0)</f>
        <v>0</v>
      </c>
      <c r="T1642" s="10">
        <f>IF(L1642&gt;2005,(((N1642-N1662)/N1662)+1)^(1/5)-1,0)</f>
        <v>0</v>
      </c>
      <c r="U1642" s="10">
        <f t="shared" si="54"/>
        <v>0</v>
      </c>
      <c r="V1642" s="26">
        <f t="shared" si="55"/>
        <v>0</v>
      </c>
      <c r="W1642" s="3">
        <f>IF(A1642=A1643,N1642-N1643,0)</f>
        <v>0</v>
      </c>
      <c r="X1642" s="10">
        <f>IF(A1642=A1643,(N1642-N1643)/N1643,0)</f>
        <v>0</v>
      </c>
    </row>
    <row r="1643" spans="1:24" ht="16.5" customHeight="1">
      <c r="A1643" s="3" t="s">
        <v>41</v>
      </c>
      <c r="B1643" s="3">
        <f t="shared" si="48"/>
        <v>2002</v>
      </c>
      <c r="C1643" s="3">
        <f t="shared" si="49"/>
        <v>2</v>
      </c>
      <c r="D1643" s="20" t="str">
        <f t="shared" si="50"/>
        <v>TGT20022</v>
      </c>
      <c r="E1643" s="2">
        <v>37302</v>
      </c>
      <c r="F1643" s="3">
        <v>0.06</v>
      </c>
      <c r="G1643" s="2">
        <v>37325</v>
      </c>
      <c r="H1643" s="3">
        <v>5.0000000000000001E-3</v>
      </c>
      <c r="I1643" s="3">
        <v>9.0909090999999997E-2</v>
      </c>
      <c r="J1643" s="3">
        <v>5.0000000000000001E-3</v>
      </c>
      <c r="K1643" s="3">
        <f t="shared" si="51"/>
        <v>0</v>
      </c>
      <c r="L1643" s="3">
        <f t="shared" si="52"/>
        <v>2002</v>
      </c>
      <c r="M1643" s="20" t="str">
        <f>A1643&amp;L1643</f>
        <v>TGT2002</v>
      </c>
      <c r="N1643" s="3">
        <f>F1643</f>
        <v>0.06</v>
      </c>
      <c r="O1643" s="9">
        <f>H1643</f>
        <v>5.0000000000000001E-3</v>
      </c>
      <c r="P1643" s="10">
        <f t="shared" si="53"/>
        <v>5.5999999999999999E-3</v>
      </c>
      <c r="Q1643" s="10">
        <f>IF(K1643=0,IF(A1640=A1643,AVERAGE(O1640:O1643),"x"),0)</f>
        <v>6.1000000000000004E-3</v>
      </c>
      <c r="R1643" s="9">
        <f>IF(L1643&gt;2005,AVERAGE(O1640:O1659),0)</f>
        <v>0</v>
      </c>
      <c r="S1643" s="10">
        <f>IF(A1643=A1644,(N1643-N1644)/N1644,0)</f>
        <v>9.090909090909087E-2</v>
      </c>
      <c r="T1643" s="10">
        <f>IF(L1643&gt;2005,(((N1643-N1663)/N1663)+1)^(1/5)-1,0)</f>
        <v>0</v>
      </c>
      <c r="U1643" s="10">
        <f t="shared" si="54"/>
        <v>0</v>
      </c>
      <c r="V1643" s="26">
        <f t="shared" si="55"/>
        <v>0</v>
      </c>
      <c r="W1643" s="3">
        <f>IF(A1643=A1644,N1643-N1644,0)</f>
        <v>4.9999999999999975E-3</v>
      </c>
      <c r="X1643" s="10">
        <f>IF(A1643=A1644,(N1643-N1644)/N1644,0)</f>
        <v>9.090909090909087E-2</v>
      </c>
    </row>
    <row r="1644" spans="1:24" ht="16.5" customHeight="1">
      <c r="A1644" s="3" t="s">
        <v>41</v>
      </c>
      <c r="B1644" s="3">
        <f t="shared" si="48"/>
        <v>2001</v>
      </c>
      <c r="C1644" s="3">
        <f t="shared" si="49"/>
        <v>11</v>
      </c>
      <c r="D1644" s="20" t="str">
        <f t="shared" si="50"/>
        <v>TGT200111</v>
      </c>
      <c r="E1644" s="2">
        <v>37211</v>
      </c>
      <c r="F1644" s="3">
        <v>5.5E-2</v>
      </c>
      <c r="G1644" s="2">
        <v>37235</v>
      </c>
      <c r="H1644" s="3">
        <v>5.7999999999999996E-3</v>
      </c>
      <c r="I1644" s="3">
        <v>0</v>
      </c>
      <c r="J1644" s="3">
        <v>0</v>
      </c>
      <c r="K1644" s="3">
        <f t="shared" si="51"/>
        <v>2001</v>
      </c>
      <c r="L1644" s="3">
        <f t="shared" si="52"/>
        <v>0</v>
      </c>
      <c r="M1644" s="20" t="str">
        <f>A1644&amp;L1644</f>
        <v>TGT0</v>
      </c>
      <c r="N1644" s="3">
        <f>F1644</f>
        <v>5.5E-2</v>
      </c>
      <c r="O1644" s="9">
        <f>H1644</f>
        <v>5.7999999999999996E-3</v>
      </c>
      <c r="P1644" s="10">
        <f t="shared" si="53"/>
        <v>0</v>
      </c>
      <c r="Q1644" s="10">
        <f>IF(K1644=0,IF(A1641=A1644,AVERAGE(O1641:O1644),"x"),0)</f>
        <v>0</v>
      </c>
      <c r="R1644" s="9">
        <f>IF(L1644&gt;2005,AVERAGE(O1641:O1660),0)</f>
        <v>0</v>
      </c>
      <c r="S1644" s="10">
        <f>IF(A1644=A1645,(N1644-N1645)/N1645,0)</f>
        <v>0</v>
      </c>
      <c r="T1644" s="10">
        <f>IF(L1644&gt;2005,(((N1644-N1664)/N1664)+1)^(1/5)-1,0)</f>
        <v>0</v>
      </c>
      <c r="U1644" s="10">
        <f t="shared" si="54"/>
        <v>0</v>
      </c>
      <c r="V1644" s="26">
        <f t="shared" si="55"/>
        <v>0</v>
      </c>
      <c r="W1644" s="3">
        <f>IF(A1644=A1645,N1644-N1645,0)</f>
        <v>0</v>
      </c>
      <c r="X1644" s="10">
        <f>IF(A1644=A1645,(N1644-N1645)/N1645,0)</f>
        <v>0</v>
      </c>
    </row>
    <row r="1645" spans="1:24" ht="16.5" customHeight="1">
      <c r="A1645" s="3" t="s">
        <v>41</v>
      </c>
      <c r="B1645" s="3">
        <f t="shared" si="48"/>
        <v>2001</v>
      </c>
      <c r="C1645" s="3">
        <f t="shared" si="49"/>
        <v>8</v>
      </c>
      <c r="D1645" s="20" t="str">
        <f t="shared" si="50"/>
        <v>TGT20018</v>
      </c>
      <c r="E1645" s="2">
        <v>37119</v>
      </c>
      <c r="F1645" s="3">
        <v>5.5E-2</v>
      </c>
      <c r="G1645" s="2">
        <v>37144</v>
      </c>
      <c r="H1645" s="3">
        <v>5.8999999999999999E-3</v>
      </c>
      <c r="I1645" s="3">
        <v>0</v>
      </c>
      <c r="J1645" s="3">
        <v>0</v>
      </c>
      <c r="K1645" s="3">
        <f t="shared" si="51"/>
        <v>2001</v>
      </c>
      <c r="L1645" s="3">
        <f t="shared" si="52"/>
        <v>0</v>
      </c>
      <c r="M1645" s="20" t="str">
        <f>A1645&amp;L1645</f>
        <v>TGT0</v>
      </c>
      <c r="N1645" s="3">
        <f>F1645</f>
        <v>5.5E-2</v>
      </c>
      <c r="O1645" s="9">
        <f>H1645</f>
        <v>5.8999999999999999E-3</v>
      </c>
      <c r="P1645" s="10">
        <f t="shared" si="53"/>
        <v>0</v>
      </c>
      <c r="Q1645" s="10">
        <f>IF(K1645=0,IF(A1642=A1645,AVERAGE(O1642:O1645),"x"),0)</f>
        <v>0</v>
      </c>
      <c r="R1645" s="9">
        <f>IF(L1645&gt;2005,AVERAGE(O1642:O1661),0)</f>
        <v>0</v>
      </c>
      <c r="S1645" s="10">
        <f>IF(A1645=A1646,(N1645-N1646)/N1646,0)</f>
        <v>0</v>
      </c>
      <c r="T1645" s="10">
        <f>IF(L1645&gt;2005,(((N1645-N1665)/N1665)+1)^(1/5)-1,0)</f>
        <v>0</v>
      </c>
      <c r="U1645" s="10">
        <f t="shared" si="54"/>
        <v>0</v>
      </c>
      <c r="V1645" s="26">
        <f t="shared" si="55"/>
        <v>0</v>
      </c>
      <c r="W1645" s="3">
        <f>IF(A1645=A1646,N1645-N1646,0)</f>
        <v>0</v>
      </c>
      <c r="X1645" s="10">
        <f>IF(A1645=A1646,(N1645-N1646)/N1646,0)</f>
        <v>0</v>
      </c>
    </row>
    <row r="1646" spans="1:24" ht="16.5" customHeight="1">
      <c r="A1646" s="3" t="s">
        <v>41</v>
      </c>
      <c r="B1646" s="3">
        <f t="shared" si="48"/>
        <v>2001</v>
      </c>
      <c r="C1646" s="3">
        <f t="shared" si="49"/>
        <v>5</v>
      </c>
      <c r="D1646" s="20" t="str">
        <f t="shared" si="50"/>
        <v>TGT20015</v>
      </c>
      <c r="E1646" s="2">
        <v>37027</v>
      </c>
      <c r="F1646" s="3">
        <v>5.5E-2</v>
      </c>
      <c r="G1646" s="2">
        <v>37052</v>
      </c>
      <c r="H1646" s="3">
        <v>5.7000000000000002E-3</v>
      </c>
      <c r="I1646" s="3">
        <v>0</v>
      </c>
      <c r="J1646" s="3">
        <v>0</v>
      </c>
      <c r="K1646" s="3">
        <f t="shared" si="51"/>
        <v>2001</v>
      </c>
      <c r="L1646" s="3">
        <f t="shared" si="52"/>
        <v>0</v>
      </c>
      <c r="M1646" s="20" t="str">
        <f>A1646&amp;L1646</f>
        <v>TGT0</v>
      </c>
      <c r="N1646" s="3">
        <f>F1646</f>
        <v>5.5E-2</v>
      </c>
      <c r="O1646" s="9">
        <f>H1646</f>
        <v>5.7000000000000002E-3</v>
      </c>
      <c r="P1646" s="10">
        <f t="shared" si="53"/>
        <v>0</v>
      </c>
      <c r="Q1646" s="10">
        <f>IF(K1646=0,IF(A1643=A1646,AVERAGE(O1643:O1646),"x"),0)</f>
        <v>0</v>
      </c>
      <c r="R1646" s="9">
        <f>IF(L1646&gt;2005,AVERAGE(O1643:O1662),0)</f>
        <v>0</v>
      </c>
      <c r="S1646" s="10">
        <f>IF(A1646=A1647,(N1646-N1647)/N1647,0)</f>
        <v>0</v>
      </c>
      <c r="T1646" s="10">
        <f>IF(L1646&gt;2005,(((N1646-N1666)/N1666)+1)^(1/5)-1,0)</f>
        <v>0</v>
      </c>
      <c r="U1646" s="10">
        <f t="shared" si="54"/>
        <v>0</v>
      </c>
      <c r="V1646" s="26">
        <f t="shared" si="55"/>
        <v>0</v>
      </c>
      <c r="W1646" s="3">
        <f>IF(A1646=A1647,N1646-N1647,0)</f>
        <v>0</v>
      </c>
      <c r="X1646" s="10">
        <f>IF(A1646=A1647,(N1646-N1647)/N1647,0)</f>
        <v>0</v>
      </c>
    </row>
    <row r="1647" spans="1:24" ht="16.5" customHeight="1">
      <c r="A1647" s="3" t="s">
        <v>41</v>
      </c>
      <c r="B1647" s="3">
        <f t="shared" si="48"/>
        <v>2001</v>
      </c>
      <c r="C1647" s="3">
        <f t="shared" si="49"/>
        <v>2</v>
      </c>
      <c r="D1647" s="20" t="str">
        <f t="shared" si="50"/>
        <v>TGT20012</v>
      </c>
      <c r="E1647" s="2">
        <v>36937</v>
      </c>
      <c r="F1647" s="3">
        <v>5.5E-2</v>
      </c>
      <c r="G1647" s="2">
        <v>36960</v>
      </c>
      <c r="H1647" s="3">
        <v>5.8999999999999999E-3</v>
      </c>
      <c r="I1647" s="3">
        <v>0</v>
      </c>
      <c r="J1647" s="3">
        <v>0</v>
      </c>
      <c r="K1647" s="3">
        <f t="shared" si="51"/>
        <v>0</v>
      </c>
      <c r="L1647" s="3">
        <f t="shared" si="52"/>
        <v>2001</v>
      </c>
      <c r="M1647" s="20" t="str">
        <f>A1647&amp;L1647</f>
        <v>TGT2001</v>
      </c>
      <c r="N1647" s="3">
        <f>F1647</f>
        <v>5.5E-2</v>
      </c>
      <c r="O1647" s="9">
        <f>H1647</f>
        <v>5.8999999999999999E-3</v>
      </c>
      <c r="P1647" s="10">
        <f t="shared" si="53"/>
        <v>0</v>
      </c>
      <c r="Q1647" s="10">
        <f>IF(K1647=0,IF(A1644=A1647,AVERAGE(O1644:O1647),"x"),0)</f>
        <v>5.8249999999999994E-3</v>
      </c>
      <c r="R1647" s="9">
        <f>IF(L1647&gt;2005,AVERAGE(O1644:O1663),0)</f>
        <v>0</v>
      </c>
      <c r="S1647" s="10">
        <f>IF(A1647=A1648,(N1647-N1648)/N1648,0)</f>
        <v>0</v>
      </c>
      <c r="T1647" s="10">
        <f>IF(L1647&gt;2005,(((N1647-N1667)/N1667)+1)^(1/5)-1,0)</f>
        <v>0</v>
      </c>
      <c r="U1647" s="10">
        <f t="shared" si="54"/>
        <v>0</v>
      </c>
      <c r="V1647" s="26">
        <f t="shared" si="55"/>
        <v>0</v>
      </c>
      <c r="W1647" s="3">
        <f>IF(A1647=A1648,N1647-N1648,0)</f>
        <v>0</v>
      </c>
      <c r="X1647" s="10">
        <f>IF(A1647=A1648,(N1647-N1648)/N1648,0)</f>
        <v>0</v>
      </c>
    </row>
    <row r="1648" spans="1:24" ht="16.5" customHeight="1">
      <c r="A1648" s="3" t="s">
        <v>41</v>
      </c>
      <c r="B1648" s="3">
        <f t="shared" si="48"/>
        <v>2000</v>
      </c>
      <c r="C1648" s="3">
        <f t="shared" si="49"/>
        <v>11</v>
      </c>
      <c r="D1648" s="20" t="str">
        <f t="shared" si="50"/>
        <v>TGT200011</v>
      </c>
      <c r="E1648" s="2">
        <v>36846</v>
      </c>
      <c r="F1648" s="3">
        <v>5.5E-2</v>
      </c>
      <c r="G1648" s="2">
        <v>36870</v>
      </c>
      <c r="H1648" s="3">
        <v>7.3000000000000001E-3</v>
      </c>
      <c r="I1648" s="3">
        <v>0</v>
      </c>
      <c r="J1648" s="3">
        <v>0</v>
      </c>
      <c r="K1648" s="3">
        <f t="shared" si="51"/>
        <v>2000</v>
      </c>
      <c r="L1648" s="3">
        <f t="shared" si="52"/>
        <v>0</v>
      </c>
      <c r="M1648" s="20" t="str">
        <f>A1648&amp;L1648</f>
        <v>TGT0</v>
      </c>
      <c r="N1648" s="3">
        <f>F1648</f>
        <v>5.5E-2</v>
      </c>
      <c r="O1648" s="9">
        <f>H1648</f>
        <v>7.3000000000000001E-3</v>
      </c>
      <c r="P1648" s="10">
        <f t="shared" si="53"/>
        <v>0</v>
      </c>
      <c r="Q1648" s="10">
        <f>IF(K1648=0,IF(A1645=A1648,AVERAGE(O1645:O1648),"x"),0)</f>
        <v>0</v>
      </c>
      <c r="R1648" s="9">
        <f>IF(L1648&gt;2005,AVERAGE(O1645:O1664),0)</f>
        <v>0</v>
      </c>
      <c r="S1648" s="10">
        <f>IF(A1648=A1649,(N1648-N1649)/N1649,0)</f>
        <v>0</v>
      </c>
      <c r="T1648" s="10">
        <f>IF(L1648&gt;2005,(((N1648-N1668)/N1668)+1)^(1/5)-1,0)</f>
        <v>0</v>
      </c>
      <c r="U1648" s="10">
        <f t="shared" si="54"/>
        <v>0</v>
      </c>
      <c r="V1648" s="26">
        <f t="shared" si="55"/>
        <v>0</v>
      </c>
      <c r="W1648" s="3">
        <f>IF(A1648=A1649,N1648-N1649,0)</f>
        <v>0</v>
      </c>
      <c r="X1648" s="10">
        <f>IF(A1648=A1649,(N1648-N1649)/N1649,0)</f>
        <v>0</v>
      </c>
    </row>
    <row r="1649" spans="1:24" ht="16.5" customHeight="1">
      <c r="A1649" s="3" t="s">
        <v>41</v>
      </c>
      <c r="B1649" s="3">
        <f t="shared" si="48"/>
        <v>2000</v>
      </c>
      <c r="C1649" s="3">
        <f t="shared" si="49"/>
        <v>8</v>
      </c>
      <c r="D1649" s="20" t="str">
        <f t="shared" si="50"/>
        <v>TGT20008</v>
      </c>
      <c r="E1649" s="2">
        <v>36754</v>
      </c>
      <c r="F1649" s="3">
        <v>5.5E-2</v>
      </c>
      <c r="G1649" s="2">
        <v>36779</v>
      </c>
      <c r="H1649" s="3">
        <v>7.6E-3</v>
      </c>
      <c r="I1649" s="3">
        <v>-0.45</v>
      </c>
      <c r="J1649" s="3">
        <v>-4.4999999999999998E-2</v>
      </c>
      <c r="K1649" s="3">
        <f t="shared" si="51"/>
        <v>2000</v>
      </c>
      <c r="L1649" s="3">
        <f t="shared" si="52"/>
        <v>0</v>
      </c>
      <c r="M1649" s="20" t="str">
        <f>A1649&amp;L1649</f>
        <v>TGT0</v>
      </c>
      <c r="N1649" s="3">
        <f>F1649</f>
        <v>5.5E-2</v>
      </c>
      <c r="O1649" s="9">
        <f>H1649</f>
        <v>7.6E-3</v>
      </c>
      <c r="P1649" s="10">
        <f t="shared" si="53"/>
        <v>1.4499999999999999E-2</v>
      </c>
      <c r="Q1649" s="10">
        <f>IF(K1649=0,IF(A1646=A1649,AVERAGE(O1646:O1649),"x"),0)</f>
        <v>0</v>
      </c>
      <c r="R1649" s="9">
        <f>IF(L1649&gt;2005,AVERAGE(O1646:O1665),0)</f>
        <v>0</v>
      </c>
      <c r="S1649" s="10">
        <f>IF(A1649=A1650,(N1649-N1650)/N1650,0)</f>
        <v>9.999999999999995E-2</v>
      </c>
      <c r="T1649" s="10">
        <f>IF(L1649&gt;2005,(((N1649-N1669)/N1669)+1)^(1/5)-1,0)</f>
        <v>0</v>
      </c>
      <c r="U1649" s="10">
        <f t="shared" si="54"/>
        <v>0</v>
      </c>
      <c r="V1649" s="26">
        <f t="shared" si="55"/>
        <v>0</v>
      </c>
      <c r="W1649" s="3">
        <f>IF(A1649=A1650,N1649-N1650,0)</f>
        <v>4.9999999999999975E-3</v>
      </c>
      <c r="X1649" s="10">
        <f>IF(A1649=A1650,(N1649-N1650)/N1650,0)</f>
        <v>9.999999999999995E-2</v>
      </c>
    </row>
    <row r="1650" spans="1:24" ht="16.5" customHeight="1">
      <c r="A1650" s="3" t="s">
        <v>41</v>
      </c>
      <c r="B1650" s="3">
        <f t="shared" si="48"/>
        <v>2000</v>
      </c>
      <c r="C1650" s="3">
        <f t="shared" si="49"/>
        <v>5</v>
      </c>
      <c r="D1650" s="20" t="str">
        <f t="shared" si="50"/>
        <v>TGT20005</v>
      </c>
      <c r="E1650" s="2">
        <v>36663</v>
      </c>
      <c r="F1650" s="3">
        <v>0.1</v>
      </c>
      <c r="G1650" s="2">
        <v>36687</v>
      </c>
      <c r="H1650" s="3">
        <v>5.5999999999999999E-3</v>
      </c>
      <c r="I1650" s="3">
        <v>0</v>
      </c>
      <c r="J1650" s="3">
        <v>0</v>
      </c>
      <c r="K1650" s="3">
        <f t="shared" si="51"/>
        <v>2000</v>
      </c>
      <c r="L1650" s="3">
        <f t="shared" si="52"/>
        <v>0</v>
      </c>
      <c r="M1650" s="20" t="str">
        <f>A1650&amp;L1650</f>
        <v>TGT0</v>
      </c>
      <c r="N1650" s="3">
        <f>F1650/2</f>
        <v>0.05</v>
      </c>
      <c r="O1650" s="9">
        <f>H1650</f>
        <v>5.5999999999999999E-3</v>
      </c>
      <c r="P1650" s="10">
        <f t="shared" si="53"/>
        <v>0</v>
      </c>
      <c r="Q1650" s="10">
        <f>IF(K1650=0,IF(A1647=A1650,AVERAGE(O1647:O1650),"x"),0)</f>
        <v>0</v>
      </c>
      <c r="R1650" s="9">
        <f>IF(L1650&gt;2005,AVERAGE(O1647:O1666),0)</f>
        <v>0</v>
      </c>
      <c r="S1650" s="10">
        <f>IF(A1650=A1651,(N1650-N1651)/N1651,0)</f>
        <v>0</v>
      </c>
      <c r="T1650" s="10">
        <f>IF(L1650&gt;2005,(((N1650-N1670)/N1670)+1)^(1/5)-1,0)</f>
        <v>0</v>
      </c>
      <c r="U1650" s="10">
        <f t="shared" si="54"/>
        <v>0</v>
      </c>
      <c r="V1650" s="26">
        <f t="shared" si="55"/>
        <v>0</v>
      </c>
      <c r="W1650" s="3">
        <f>IF(A1650=A1651,N1650-N1651,0)</f>
        <v>0</v>
      </c>
      <c r="X1650" s="10">
        <f>IF(A1650=A1651,(N1650-N1651)/N1651,0)</f>
        <v>0</v>
      </c>
    </row>
    <row r="1651" spans="1:24" ht="16.5" customHeight="1">
      <c r="A1651" s="14" t="s">
        <v>41</v>
      </c>
      <c r="B1651" s="3">
        <f t="shared" si="48"/>
        <v>2000</v>
      </c>
      <c r="C1651" s="3">
        <f t="shared" si="49"/>
        <v>2</v>
      </c>
      <c r="D1651" s="20" t="str">
        <f t="shared" si="50"/>
        <v>TGT20002</v>
      </c>
      <c r="E1651" s="15">
        <v>36572</v>
      </c>
      <c r="F1651" s="14">
        <v>0.1</v>
      </c>
      <c r="G1651" s="15">
        <v>36595</v>
      </c>
      <c r="H1651" s="14">
        <v>6.3E-3</v>
      </c>
      <c r="I1651" s="14">
        <v>0</v>
      </c>
      <c r="J1651" s="14">
        <v>0</v>
      </c>
      <c r="K1651" s="3">
        <f t="shared" si="51"/>
        <v>0</v>
      </c>
      <c r="L1651" s="3">
        <f t="shared" si="52"/>
        <v>2000</v>
      </c>
      <c r="M1651" s="20" t="str">
        <f>A1651&amp;L1651</f>
        <v>TGT2000</v>
      </c>
      <c r="N1651" s="14">
        <f>F1651/2</f>
        <v>0.05</v>
      </c>
      <c r="O1651" s="9">
        <f>H1651</f>
        <v>6.3E-3</v>
      </c>
      <c r="P1651" s="10">
        <f t="shared" si="53"/>
        <v>0</v>
      </c>
      <c r="Q1651" s="10">
        <f>IF(K1651=0,IF(A1648=A1651,AVERAGE(O1648:O1651),"x"),0)</f>
        <v>6.7000000000000002E-3</v>
      </c>
      <c r="R1651" s="9">
        <f>IF(L1651&gt;2005,AVERAGE(O1648:O1667),0)</f>
        <v>0</v>
      </c>
      <c r="S1651" s="10">
        <f>IF(A1651=A1652,(N1651-N1652)/N1652,0)</f>
        <v>0</v>
      </c>
      <c r="T1651" s="10">
        <f>IF(L1651&gt;2005,(((N1651-N1671)/N1671)+1)^(1/5)-1,0)</f>
        <v>0</v>
      </c>
      <c r="U1651" s="10">
        <f t="shared" si="54"/>
        <v>0</v>
      </c>
      <c r="V1651" s="26">
        <f t="shared" si="55"/>
        <v>0</v>
      </c>
      <c r="W1651" s="3">
        <f>IF(A1651=A1652,N1651-N1652,0)</f>
        <v>0</v>
      </c>
      <c r="X1651" s="10">
        <f>IF(A1651=A1652,(N1651-N1652)/N1652,0)</f>
        <v>0</v>
      </c>
    </row>
    <row r="1652" spans="1:24" ht="16.5" customHeight="1">
      <c r="A1652" s="3" t="s">
        <v>42</v>
      </c>
      <c r="B1652" s="3">
        <f t="shared" si="48"/>
        <v>2022</v>
      </c>
      <c r="C1652" s="3">
        <f t="shared" si="49"/>
        <v>8</v>
      </c>
      <c r="D1652" s="20" t="str">
        <f t="shared" si="50"/>
        <v>XOM20228</v>
      </c>
      <c r="E1652" s="2">
        <v>44784</v>
      </c>
      <c r="F1652" s="3">
        <v>0.88</v>
      </c>
      <c r="G1652" s="2">
        <v>44813</v>
      </c>
      <c r="H1652" s="3">
        <v>3.85E-2</v>
      </c>
      <c r="I1652" s="3">
        <v>0</v>
      </c>
      <c r="J1652" s="3">
        <v>0</v>
      </c>
      <c r="K1652" s="3">
        <f t="shared" si="51"/>
        <v>2022</v>
      </c>
      <c r="L1652" s="3">
        <f t="shared" si="52"/>
        <v>0</v>
      </c>
      <c r="M1652" s="20" t="str">
        <f>A1652&amp;L1652</f>
        <v>XOM0</v>
      </c>
      <c r="N1652" s="3">
        <f>F1652</f>
        <v>0.88</v>
      </c>
      <c r="O1652" s="9">
        <f>H1652</f>
        <v>3.85E-2</v>
      </c>
      <c r="P1652" s="10">
        <f t="shared" si="53"/>
        <v>0</v>
      </c>
      <c r="Q1652" s="10">
        <f>IF(K1652=0,IF(A1649=A1652,AVERAGE(O1649:O1652),"x"),0)</f>
        <v>0</v>
      </c>
      <c r="R1652" s="9">
        <f>IF(L1652&gt;2005,AVERAGE(O1649:O1668),0)</f>
        <v>0</v>
      </c>
      <c r="S1652" s="10">
        <f>IF(A1652=A1653,(N1652-N1653)/N1653,0)</f>
        <v>0</v>
      </c>
      <c r="T1652" s="10">
        <f>IF(L1652&gt;2005,(((N1652-N1672)/N1672)+1)^(1/5)-1,0)</f>
        <v>0</v>
      </c>
      <c r="U1652" s="10">
        <f t="shared" si="54"/>
        <v>0</v>
      </c>
      <c r="V1652" s="26">
        <f t="shared" si="55"/>
        <v>0</v>
      </c>
      <c r="W1652" s="3">
        <f>IF(A1652=A1653,N1652-N1653,0)</f>
        <v>0</v>
      </c>
      <c r="X1652" s="10">
        <f>IF(A1652=A1653,(N1652-N1653)/N1653,0)</f>
        <v>0</v>
      </c>
    </row>
    <row r="1653" spans="1:24" ht="16.5" customHeight="1">
      <c r="A1653" s="3" t="s">
        <v>42</v>
      </c>
      <c r="B1653" s="3">
        <f t="shared" si="48"/>
        <v>2022</v>
      </c>
      <c r="C1653" s="3">
        <f t="shared" si="49"/>
        <v>5</v>
      </c>
      <c r="D1653" s="20" t="str">
        <f t="shared" si="50"/>
        <v>XOM20225</v>
      </c>
      <c r="E1653" s="2">
        <v>44693</v>
      </c>
      <c r="F1653" s="3">
        <v>0.88</v>
      </c>
      <c r="G1653" s="2">
        <v>44722</v>
      </c>
      <c r="H1653" s="3">
        <v>4.0599999999999997E-2</v>
      </c>
      <c r="I1653" s="3">
        <v>0</v>
      </c>
      <c r="J1653" s="3">
        <v>0</v>
      </c>
      <c r="K1653" s="3">
        <f t="shared" si="51"/>
        <v>2022</v>
      </c>
      <c r="L1653" s="3">
        <f t="shared" si="52"/>
        <v>0</v>
      </c>
      <c r="M1653" s="20" t="str">
        <f>A1653&amp;L1653</f>
        <v>XOM0</v>
      </c>
      <c r="N1653" s="3">
        <f>F1653</f>
        <v>0.88</v>
      </c>
      <c r="O1653" s="9">
        <f>H1653</f>
        <v>4.0599999999999997E-2</v>
      </c>
      <c r="P1653" s="10">
        <f t="shared" si="53"/>
        <v>0</v>
      </c>
      <c r="Q1653" s="10">
        <f>IF(K1653=0,IF(A1650=A1653,AVERAGE(O1650:O1653),"x"),0)</f>
        <v>0</v>
      </c>
      <c r="R1653" s="9">
        <f>IF(L1653&gt;2005,AVERAGE(O1650:O1669),0)</f>
        <v>0</v>
      </c>
      <c r="S1653" s="10">
        <f>IF(A1653=A1654,(N1653-N1654)/N1654,0)</f>
        <v>0</v>
      </c>
      <c r="T1653" s="10">
        <f>IF(L1653&gt;2005,(((N1653-N1673)/N1673)+1)^(1/5)-1,0)</f>
        <v>0</v>
      </c>
      <c r="U1653" s="10">
        <f t="shared" si="54"/>
        <v>0</v>
      </c>
      <c r="V1653" s="26">
        <f t="shared" si="55"/>
        <v>0</v>
      </c>
      <c r="W1653" s="3">
        <f>IF(A1653=A1654,N1653-N1654,0)</f>
        <v>0</v>
      </c>
      <c r="X1653" s="10">
        <f>IF(A1653=A1654,(N1653-N1654)/N1654,0)</f>
        <v>0</v>
      </c>
    </row>
    <row r="1654" spans="1:24" ht="16.5" customHeight="1">
      <c r="A1654" s="3" t="s">
        <v>42</v>
      </c>
      <c r="B1654" s="3">
        <f t="shared" si="48"/>
        <v>2022</v>
      </c>
      <c r="C1654" s="3">
        <f t="shared" si="49"/>
        <v>2</v>
      </c>
      <c r="D1654" s="20" t="str">
        <f t="shared" si="50"/>
        <v>XOM20222</v>
      </c>
      <c r="E1654" s="2">
        <v>44601</v>
      </c>
      <c r="F1654" s="3">
        <v>0.88</v>
      </c>
      <c r="G1654" s="2">
        <v>44630</v>
      </c>
      <c r="H1654" s="3">
        <v>4.3900000000000002E-2</v>
      </c>
      <c r="I1654" s="3">
        <v>0</v>
      </c>
      <c r="J1654" s="3">
        <v>0</v>
      </c>
      <c r="K1654" s="3">
        <f t="shared" si="51"/>
        <v>0</v>
      </c>
      <c r="L1654" s="3">
        <f t="shared" si="52"/>
        <v>2022</v>
      </c>
      <c r="M1654" s="20" t="str">
        <f>A1654&amp;L1654</f>
        <v>XOM2022</v>
      </c>
      <c r="N1654" s="3">
        <f>F1654</f>
        <v>0.88</v>
      </c>
      <c r="O1654" s="9">
        <f>H1654</f>
        <v>4.3900000000000002E-2</v>
      </c>
      <c r="P1654" s="10">
        <f t="shared" si="53"/>
        <v>0</v>
      </c>
      <c r="Q1654" s="10" t="str">
        <f>IF(K1654=0,IF(A1651=A1654,AVERAGE(O1651:O1654),"x"),0)</f>
        <v>x</v>
      </c>
      <c r="R1654" s="9">
        <f>IF(L1654&gt;2005,AVERAGE(O1651:O1670),0)</f>
        <v>5.0895000000000003E-2</v>
      </c>
      <c r="S1654" s="10">
        <f>IF(A1654=A1655,(N1654-N1655)/N1655,0)</f>
        <v>0</v>
      </c>
      <c r="T1654" s="10">
        <f>IF(L1654&gt;2005,(((N1654-N1674)/N1674)+1)^(1/5)-1,0)</f>
        <v>3.2486261992623389E-2</v>
      </c>
      <c r="U1654" s="10">
        <f t="shared" si="54"/>
        <v>8.3381261992623384E-2</v>
      </c>
      <c r="V1654" s="26">
        <f t="shared" si="55"/>
        <v>4.3379435211970128</v>
      </c>
      <c r="W1654" s="3">
        <f>IF(A1654=A1655,N1654-N1655,0)</f>
        <v>0</v>
      </c>
      <c r="X1654" s="10">
        <f>IF(A1654=A1655,(N1654-N1655)/N1655,0)</f>
        <v>0</v>
      </c>
    </row>
    <row r="1655" spans="1:24" ht="16.5" customHeight="1">
      <c r="A1655" s="3" t="s">
        <v>42</v>
      </c>
      <c r="B1655" s="3">
        <f t="shared" si="48"/>
        <v>2021</v>
      </c>
      <c r="C1655" s="3">
        <f t="shared" si="49"/>
        <v>11</v>
      </c>
      <c r="D1655" s="20" t="str">
        <f t="shared" si="50"/>
        <v>XOM202111</v>
      </c>
      <c r="E1655" s="2">
        <v>44510</v>
      </c>
      <c r="F1655" s="3">
        <v>0.88</v>
      </c>
      <c r="G1655" s="2">
        <v>44540</v>
      </c>
      <c r="H1655" s="3">
        <v>5.2999999999999999E-2</v>
      </c>
      <c r="I1655" s="3">
        <v>1.1494252999999999E-2</v>
      </c>
      <c r="J1655" s="3">
        <v>0.01</v>
      </c>
      <c r="K1655" s="3">
        <f t="shared" si="51"/>
        <v>2021</v>
      </c>
      <c r="L1655" s="3">
        <f t="shared" si="52"/>
        <v>0</v>
      </c>
      <c r="M1655" s="20" t="str">
        <f>A1655&amp;L1655</f>
        <v>XOM0</v>
      </c>
      <c r="N1655" s="3">
        <f>F1655</f>
        <v>0.88</v>
      </c>
      <c r="O1655" s="9">
        <f>H1655</f>
        <v>5.2999999999999999E-2</v>
      </c>
      <c r="P1655" s="10">
        <f t="shared" si="53"/>
        <v>5.9200000000000003E-2</v>
      </c>
      <c r="Q1655" s="10">
        <f>IF(K1655=0,IF(A1652=A1655,AVERAGE(O1652:O1655),"x"),0)</f>
        <v>0</v>
      </c>
      <c r="R1655" s="9">
        <f>IF(L1655&gt;2005,AVERAGE(O1652:O1671),0)</f>
        <v>0</v>
      </c>
      <c r="S1655" s="10">
        <f>IF(A1655=A1656,(N1655-N1656)/N1656,0)</f>
        <v>1.1494252873563229E-2</v>
      </c>
      <c r="T1655" s="10">
        <f>IF(L1655&gt;2005,(((N1655-N1675)/N1675)+1)^(1/5)-1,0)</f>
        <v>0</v>
      </c>
      <c r="U1655" s="10">
        <f t="shared" si="54"/>
        <v>0</v>
      </c>
      <c r="V1655" s="26">
        <f t="shared" si="55"/>
        <v>0</v>
      </c>
      <c r="W1655" s="3">
        <f>IF(A1655=A1656,N1655-N1656,0)</f>
        <v>1.0000000000000009E-2</v>
      </c>
      <c r="X1655" s="10">
        <f>IF(A1655=A1656,(N1655-N1656)/N1656,0)</f>
        <v>1.1494252873563229E-2</v>
      </c>
    </row>
    <row r="1656" spans="1:24" ht="16.5" customHeight="1">
      <c r="A1656" s="3" t="s">
        <v>42</v>
      </c>
      <c r="B1656" s="3">
        <f t="shared" si="48"/>
        <v>2021</v>
      </c>
      <c r="C1656" s="3">
        <f t="shared" si="49"/>
        <v>8</v>
      </c>
      <c r="D1656" s="20" t="str">
        <f t="shared" si="50"/>
        <v>XOM20218</v>
      </c>
      <c r="E1656" s="2">
        <v>44420</v>
      </c>
      <c r="F1656" s="3">
        <v>0.87</v>
      </c>
      <c r="G1656" s="2">
        <v>44449</v>
      </c>
      <c r="H1656" s="3">
        <v>5.96E-2</v>
      </c>
      <c r="I1656" s="3">
        <v>0</v>
      </c>
      <c r="J1656" s="3">
        <v>0</v>
      </c>
      <c r="K1656" s="3">
        <f t="shared" si="51"/>
        <v>2021</v>
      </c>
      <c r="L1656" s="3">
        <f t="shared" si="52"/>
        <v>0</v>
      </c>
      <c r="M1656" s="20" t="str">
        <f>A1656&amp;L1656</f>
        <v>XOM0</v>
      </c>
      <c r="N1656" s="3">
        <f>F1656</f>
        <v>0.87</v>
      </c>
      <c r="O1656" s="9">
        <f>H1656</f>
        <v>5.96E-2</v>
      </c>
      <c r="P1656" s="10">
        <f t="shared" si="53"/>
        <v>0</v>
      </c>
      <c r="Q1656" s="10">
        <f>IF(K1656=0,IF(A1653=A1656,AVERAGE(O1653:O1656),"x"),0)</f>
        <v>0</v>
      </c>
      <c r="R1656" s="9">
        <f>IF(L1656&gt;2005,AVERAGE(O1653:O1672),0)</f>
        <v>0</v>
      </c>
      <c r="S1656" s="10">
        <f>IF(A1656=A1657,(N1656-N1657)/N1657,0)</f>
        <v>0</v>
      </c>
      <c r="T1656" s="10">
        <f>IF(L1656&gt;2005,(((N1656-N1676)/N1676)+1)^(1/5)-1,0)</f>
        <v>0</v>
      </c>
      <c r="U1656" s="10">
        <f t="shared" si="54"/>
        <v>0</v>
      </c>
      <c r="V1656" s="26">
        <f t="shared" si="55"/>
        <v>0</v>
      </c>
      <c r="W1656" s="3">
        <f>IF(A1656=A1657,N1656-N1657,0)</f>
        <v>0</v>
      </c>
      <c r="X1656" s="10">
        <f>IF(A1656=A1657,(N1656-N1657)/N1657,0)</f>
        <v>0</v>
      </c>
    </row>
    <row r="1657" spans="1:24" ht="16.5" customHeight="1">
      <c r="A1657" s="3" t="s">
        <v>42</v>
      </c>
      <c r="B1657" s="3">
        <f t="shared" si="48"/>
        <v>2021</v>
      </c>
      <c r="C1657" s="3">
        <f t="shared" si="49"/>
        <v>5</v>
      </c>
      <c r="D1657" s="20" t="str">
        <f t="shared" si="50"/>
        <v>XOM20215</v>
      </c>
      <c r="E1657" s="2">
        <v>44328</v>
      </c>
      <c r="F1657" s="3">
        <v>0.87</v>
      </c>
      <c r="G1657" s="2">
        <v>44357</v>
      </c>
      <c r="H1657" s="3">
        <v>5.74E-2</v>
      </c>
      <c r="I1657" s="3">
        <v>0</v>
      </c>
      <c r="J1657" s="3">
        <v>0</v>
      </c>
      <c r="K1657" s="3">
        <f t="shared" si="51"/>
        <v>2021</v>
      </c>
      <c r="L1657" s="3">
        <f t="shared" si="52"/>
        <v>0</v>
      </c>
      <c r="M1657" s="20" t="str">
        <f>A1657&amp;L1657</f>
        <v>XOM0</v>
      </c>
      <c r="N1657" s="3">
        <f>F1657</f>
        <v>0.87</v>
      </c>
      <c r="O1657" s="9">
        <f>H1657</f>
        <v>5.74E-2</v>
      </c>
      <c r="P1657" s="10">
        <f t="shared" si="53"/>
        <v>0</v>
      </c>
      <c r="Q1657" s="10">
        <f>IF(K1657=0,IF(A1654=A1657,AVERAGE(O1654:O1657),"x"),0)</f>
        <v>0</v>
      </c>
      <c r="R1657" s="9">
        <f>IF(L1657&gt;2005,AVERAGE(O1654:O1673),0)</f>
        <v>0</v>
      </c>
      <c r="S1657" s="10">
        <f>IF(A1657=A1658,(N1657-N1658)/N1658,0)</f>
        <v>0</v>
      </c>
      <c r="T1657" s="10">
        <f>IF(L1657&gt;2005,(((N1657-N1677)/N1677)+1)^(1/5)-1,0)</f>
        <v>0</v>
      </c>
      <c r="U1657" s="10">
        <f t="shared" si="54"/>
        <v>0</v>
      </c>
      <c r="V1657" s="26">
        <f t="shared" si="55"/>
        <v>0</v>
      </c>
      <c r="W1657" s="3">
        <f>IF(A1657=A1658,N1657-N1658,0)</f>
        <v>0</v>
      </c>
      <c r="X1657" s="10">
        <f>IF(A1657=A1658,(N1657-N1658)/N1658,0)</f>
        <v>0</v>
      </c>
    </row>
    <row r="1658" spans="1:24" ht="16.5" customHeight="1">
      <c r="A1658" s="3" t="s">
        <v>42</v>
      </c>
      <c r="B1658" s="3">
        <f t="shared" si="48"/>
        <v>2021</v>
      </c>
      <c r="C1658" s="3">
        <f t="shared" si="49"/>
        <v>2</v>
      </c>
      <c r="D1658" s="20" t="str">
        <f t="shared" si="50"/>
        <v>XOM20212</v>
      </c>
      <c r="E1658" s="2">
        <v>44236</v>
      </c>
      <c r="F1658" s="3">
        <v>0.87</v>
      </c>
      <c r="G1658" s="2">
        <v>44265</v>
      </c>
      <c r="H1658" s="3">
        <v>6.6799999999999998E-2</v>
      </c>
      <c r="I1658" s="3">
        <v>0</v>
      </c>
      <c r="J1658" s="3">
        <v>0</v>
      </c>
      <c r="K1658" s="3">
        <f t="shared" si="51"/>
        <v>0</v>
      </c>
      <c r="L1658" s="3">
        <f t="shared" si="52"/>
        <v>2021</v>
      </c>
      <c r="M1658" s="20" t="str">
        <f>A1658&amp;L1658</f>
        <v>XOM2021</v>
      </c>
      <c r="N1658" s="3">
        <f>F1658</f>
        <v>0.87</v>
      </c>
      <c r="O1658" s="9">
        <f>H1658</f>
        <v>6.6799999999999998E-2</v>
      </c>
      <c r="P1658" s="10">
        <f t="shared" si="53"/>
        <v>0</v>
      </c>
      <c r="Q1658" s="10">
        <f>IF(K1658=0,IF(A1655=A1658,AVERAGE(O1655:O1658),"x"),0)</f>
        <v>5.9200000000000003E-2</v>
      </c>
      <c r="R1658" s="9">
        <f>IF(L1658&gt;2005,AVERAGE(O1655:O1674),0)</f>
        <v>5.1865000000000008E-2</v>
      </c>
      <c r="S1658" s="10">
        <f>IF(A1658=A1659,(N1658-N1659)/N1659,0)</f>
        <v>0</v>
      </c>
      <c r="T1658" s="10">
        <f>IF(L1658&gt;2005,(((N1658-N1678)/N1678)+1)^(1/5)-1,0)</f>
        <v>3.5712644823052919E-2</v>
      </c>
      <c r="U1658" s="10">
        <f t="shared" si="54"/>
        <v>8.7577644823052928E-2</v>
      </c>
      <c r="V1658" s="26">
        <f t="shared" si="55"/>
        <v>4.3285597041431112</v>
      </c>
      <c r="W1658" s="3">
        <f>IF(A1658=A1659,N1658-N1659,0)</f>
        <v>0</v>
      </c>
      <c r="X1658" s="10">
        <f>IF(A1658=A1659,(N1658-N1659)/N1659,0)</f>
        <v>0</v>
      </c>
    </row>
    <row r="1659" spans="1:24" ht="16.5" customHeight="1">
      <c r="A1659" s="3" t="s">
        <v>42</v>
      </c>
      <c r="B1659" s="3">
        <f t="shared" si="48"/>
        <v>2020</v>
      </c>
      <c r="C1659" s="3">
        <f t="shared" si="49"/>
        <v>11</v>
      </c>
      <c r="D1659" s="20" t="str">
        <f t="shared" si="50"/>
        <v>XOM202011</v>
      </c>
      <c r="E1659" s="2">
        <v>44145</v>
      </c>
      <c r="F1659" s="3">
        <v>0.87</v>
      </c>
      <c r="G1659" s="2">
        <v>44175</v>
      </c>
      <c r="H1659" s="3">
        <v>9.4200000000000006E-2</v>
      </c>
      <c r="I1659" s="3">
        <v>0</v>
      </c>
      <c r="J1659" s="3">
        <v>0</v>
      </c>
      <c r="K1659" s="3">
        <f t="shared" si="51"/>
        <v>2020</v>
      </c>
      <c r="L1659" s="3">
        <f t="shared" si="52"/>
        <v>0</v>
      </c>
      <c r="M1659" s="20" t="str">
        <f>A1659&amp;L1659</f>
        <v>XOM0</v>
      </c>
      <c r="N1659" s="3">
        <f>F1659</f>
        <v>0.87</v>
      </c>
      <c r="O1659" s="9">
        <f>H1659</f>
        <v>9.4200000000000006E-2</v>
      </c>
      <c r="P1659" s="10">
        <f t="shared" si="53"/>
        <v>0</v>
      </c>
      <c r="Q1659" s="10">
        <f>IF(K1659=0,IF(A1656=A1659,AVERAGE(O1656:O1659),"x"),0)</f>
        <v>0</v>
      </c>
      <c r="R1659" s="9">
        <f>IF(L1659&gt;2005,AVERAGE(O1656:O1675),0)</f>
        <v>0</v>
      </c>
      <c r="S1659" s="10">
        <f>IF(A1659=A1660,(N1659-N1660)/N1660,0)</f>
        <v>0</v>
      </c>
      <c r="T1659" s="10">
        <f>IF(L1659&gt;2005,(((N1659-N1679)/N1679)+1)^(1/5)-1,0)</f>
        <v>0</v>
      </c>
      <c r="U1659" s="10">
        <f t="shared" si="54"/>
        <v>0</v>
      </c>
      <c r="V1659" s="26">
        <f t="shared" si="55"/>
        <v>0</v>
      </c>
      <c r="W1659" s="3">
        <f>IF(A1659=A1660,N1659-N1660,0)</f>
        <v>0</v>
      </c>
      <c r="X1659" s="10">
        <f>IF(A1659=A1660,(N1659-N1660)/N1660,0)</f>
        <v>0</v>
      </c>
    </row>
    <row r="1660" spans="1:24" ht="16.5" customHeight="1">
      <c r="A1660" s="3" t="s">
        <v>42</v>
      </c>
      <c r="B1660" s="3">
        <f t="shared" si="48"/>
        <v>2020</v>
      </c>
      <c r="C1660" s="3">
        <f t="shared" si="49"/>
        <v>8</v>
      </c>
      <c r="D1660" s="20" t="str">
        <f t="shared" si="50"/>
        <v>XOM20208</v>
      </c>
      <c r="E1660" s="2">
        <v>44055</v>
      </c>
      <c r="F1660" s="3">
        <v>0.87</v>
      </c>
      <c r="G1660" s="2">
        <v>44084</v>
      </c>
      <c r="H1660" s="3">
        <v>7.7399999999999997E-2</v>
      </c>
      <c r="I1660" s="3">
        <v>0</v>
      </c>
      <c r="J1660" s="3">
        <v>0</v>
      </c>
      <c r="K1660" s="3">
        <f t="shared" si="51"/>
        <v>2020</v>
      </c>
      <c r="L1660" s="3">
        <f t="shared" si="52"/>
        <v>0</v>
      </c>
      <c r="M1660" s="20" t="str">
        <f>A1660&amp;L1660</f>
        <v>XOM0</v>
      </c>
      <c r="N1660" s="3">
        <f>F1660</f>
        <v>0.87</v>
      </c>
      <c r="O1660" s="9">
        <f>H1660</f>
        <v>7.7399999999999997E-2</v>
      </c>
      <c r="P1660" s="10">
        <f t="shared" si="53"/>
        <v>0</v>
      </c>
      <c r="Q1660" s="10">
        <f>IF(K1660=0,IF(A1657=A1660,AVERAGE(O1657:O1660),"x"),0)</f>
        <v>0</v>
      </c>
      <c r="R1660" s="9">
        <f>IF(L1660&gt;2005,AVERAGE(O1657:O1676),0)</f>
        <v>0</v>
      </c>
      <c r="S1660" s="10">
        <f>IF(A1660=A1661,(N1660-N1661)/N1661,0)</f>
        <v>0</v>
      </c>
      <c r="T1660" s="10">
        <f>IF(L1660&gt;2005,(((N1660-N1680)/N1680)+1)^(1/5)-1,0)</f>
        <v>0</v>
      </c>
      <c r="U1660" s="10">
        <f t="shared" si="54"/>
        <v>0</v>
      </c>
      <c r="V1660" s="26">
        <f t="shared" si="55"/>
        <v>0</v>
      </c>
      <c r="W1660" s="3">
        <f>IF(A1660=A1661,N1660-N1661,0)</f>
        <v>0</v>
      </c>
      <c r="X1660" s="10">
        <f>IF(A1660=A1661,(N1660-N1661)/N1661,0)</f>
        <v>0</v>
      </c>
    </row>
    <row r="1661" spans="1:24" ht="16.5" customHeight="1">
      <c r="A1661" s="3" t="s">
        <v>42</v>
      </c>
      <c r="B1661" s="3">
        <f t="shared" si="48"/>
        <v>2020</v>
      </c>
      <c r="C1661" s="3">
        <f t="shared" si="49"/>
        <v>5</v>
      </c>
      <c r="D1661" s="20" t="str">
        <f t="shared" si="50"/>
        <v>XOM20205</v>
      </c>
      <c r="E1661" s="2">
        <v>43963</v>
      </c>
      <c r="F1661" s="3">
        <v>0.87</v>
      </c>
      <c r="G1661" s="2">
        <v>43992</v>
      </c>
      <c r="H1661" s="3">
        <v>7.6100000000000001E-2</v>
      </c>
      <c r="I1661" s="3">
        <v>0</v>
      </c>
      <c r="J1661" s="3">
        <v>0</v>
      </c>
      <c r="K1661" s="3">
        <f t="shared" si="51"/>
        <v>2020</v>
      </c>
      <c r="L1661" s="3">
        <f t="shared" si="52"/>
        <v>0</v>
      </c>
      <c r="M1661" s="20" t="str">
        <f>A1661&amp;L1661</f>
        <v>XOM0</v>
      </c>
      <c r="N1661" s="3">
        <f>F1661</f>
        <v>0.87</v>
      </c>
      <c r="O1661" s="9">
        <f>H1661</f>
        <v>7.6100000000000001E-2</v>
      </c>
      <c r="P1661" s="10">
        <f t="shared" si="53"/>
        <v>0</v>
      </c>
      <c r="Q1661" s="10">
        <f>IF(K1661=0,IF(A1658=A1661,AVERAGE(O1658:O1661),"x"),0)</f>
        <v>0</v>
      </c>
      <c r="R1661" s="9">
        <f>IF(L1661&gt;2005,AVERAGE(O1658:O1677),0)</f>
        <v>0</v>
      </c>
      <c r="S1661" s="10">
        <f>IF(A1661=A1662,(N1661-N1662)/N1662,0)</f>
        <v>0</v>
      </c>
      <c r="T1661" s="10">
        <f>IF(L1661&gt;2005,(((N1661-N1681)/N1681)+1)^(1/5)-1,0)</f>
        <v>0</v>
      </c>
      <c r="U1661" s="10">
        <f t="shared" si="54"/>
        <v>0</v>
      </c>
      <c r="V1661" s="26">
        <f t="shared" si="55"/>
        <v>0</v>
      </c>
      <c r="W1661" s="3">
        <f>IF(A1661=A1662,N1661-N1662,0)</f>
        <v>0</v>
      </c>
      <c r="X1661" s="10">
        <f>IF(A1661=A1662,(N1661-N1662)/N1662,0)</f>
        <v>0</v>
      </c>
    </row>
    <row r="1662" spans="1:24" ht="16.5" customHeight="1">
      <c r="A1662" s="3" t="s">
        <v>42</v>
      </c>
      <c r="B1662" s="3">
        <f t="shared" si="48"/>
        <v>2020</v>
      </c>
      <c r="C1662" s="3">
        <f t="shared" si="49"/>
        <v>2</v>
      </c>
      <c r="D1662" s="20" t="str">
        <f t="shared" si="50"/>
        <v>XOM20202</v>
      </c>
      <c r="E1662" s="2">
        <v>43871</v>
      </c>
      <c r="F1662" s="3">
        <v>0.87</v>
      </c>
      <c r="G1662" s="2">
        <v>43900</v>
      </c>
      <c r="H1662" s="3">
        <v>5.6599999999999998E-2</v>
      </c>
      <c r="I1662" s="3">
        <v>0</v>
      </c>
      <c r="J1662" s="3">
        <v>0</v>
      </c>
      <c r="K1662" s="3">
        <f t="shared" si="51"/>
        <v>0</v>
      </c>
      <c r="L1662" s="3">
        <f t="shared" si="52"/>
        <v>2020</v>
      </c>
      <c r="M1662" s="20" t="str">
        <f>A1662&amp;L1662</f>
        <v>XOM2020</v>
      </c>
      <c r="N1662" s="3">
        <f>F1662</f>
        <v>0.87</v>
      </c>
      <c r="O1662" s="9">
        <f>H1662</f>
        <v>5.6599999999999998E-2</v>
      </c>
      <c r="P1662" s="10">
        <f t="shared" si="53"/>
        <v>0</v>
      </c>
      <c r="Q1662" s="10">
        <f>IF(K1662=0,IF(A1659=A1662,AVERAGE(O1659:O1662),"x"),0)</f>
        <v>7.6075000000000004E-2</v>
      </c>
      <c r="R1662" s="9">
        <f>IF(L1662&gt;2005,AVERAGE(O1659:O1678),0)</f>
        <v>4.6934999999999998E-2</v>
      </c>
      <c r="S1662" s="10">
        <f>IF(A1662=A1663,(N1662-N1663)/N1663,0)</f>
        <v>0</v>
      </c>
      <c r="T1662" s="10">
        <f>IF(L1662&gt;2005,(((N1662-N1682)/N1682)+1)^(1/5)-1,0)</f>
        <v>4.7451763732829999E-2</v>
      </c>
      <c r="U1662" s="10">
        <f t="shared" si="54"/>
        <v>9.4386763732830004E-2</v>
      </c>
      <c r="V1662" s="26">
        <f t="shared" si="55"/>
        <v>4.3923173950223431</v>
      </c>
      <c r="W1662" s="3">
        <f>IF(A1662=A1663,N1662-N1663,0)</f>
        <v>0</v>
      </c>
      <c r="X1662" s="10">
        <f>IF(A1662=A1663,(N1662-N1663)/N1663,0)</f>
        <v>0</v>
      </c>
    </row>
    <row r="1663" spans="1:24" ht="16.5" customHeight="1">
      <c r="A1663" s="3" t="s">
        <v>42</v>
      </c>
      <c r="B1663" s="3">
        <f t="shared" si="48"/>
        <v>2019</v>
      </c>
      <c r="C1663" s="3">
        <f t="shared" si="49"/>
        <v>11</v>
      </c>
      <c r="D1663" s="20" t="str">
        <f t="shared" si="50"/>
        <v>XOM201911</v>
      </c>
      <c r="E1663" s="2">
        <v>43777</v>
      </c>
      <c r="F1663" s="3">
        <v>0.87</v>
      </c>
      <c r="G1663" s="2">
        <v>43809</v>
      </c>
      <c r="H1663" s="3">
        <v>4.7699999999999999E-2</v>
      </c>
      <c r="I1663" s="3">
        <v>0</v>
      </c>
      <c r="J1663" s="3">
        <v>0</v>
      </c>
      <c r="K1663" s="3">
        <f t="shared" si="51"/>
        <v>2019</v>
      </c>
      <c r="L1663" s="3">
        <f t="shared" si="52"/>
        <v>0</v>
      </c>
      <c r="M1663" s="20" t="str">
        <f>A1663&amp;L1663</f>
        <v>XOM0</v>
      </c>
      <c r="N1663" s="3">
        <f>F1663</f>
        <v>0.87</v>
      </c>
      <c r="O1663" s="9">
        <f>H1663</f>
        <v>4.7699999999999999E-2</v>
      </c>
      <c r="P1663" s="10">
        <f t="shared" si="53"/>
        <v>0</v>
      </c>
      <c r="Q1663" s="10">
        <f>IF(K1663=0,IF(A1660=A1663,AVERAGE(O1660:O1663),"x"),0)</f>
        <v>0</v>
      </c>
      <c r="R1663" s="9">
        <f>IF(L1663&gt;2005,AVERAGE(O1660:O1679),0)</f>
        <v>0</v>
      </c>
      <c r="S1663" s="10">
        <f>IF(A1663=A1664,(N1663-N1664)/N1664,0)</f>
        <v>0</v>
      </c>
      <c r="T1663" s="10">
        <f>IF(L1663&gt;2005,(((N1663-N1683)/N1683)+1)^(1/5)-1,0)</f>
        <v>0</v>
      </c>
      <c r="U1663" s="10">
        <f t="shared" si="54"/>
        <v>0</v>
      </c>
      <c r="V1663" s="26">
        <f t="shared" si="55"/>
        <v>0</v>
      </c>
      <c r="W1663" s="3">
        <f>IF(A1663=A1664,N1663-N1664,0)</f>
        <v>0</v>
      </c>
      <c r="X1663" s="10">
        <f>IF(A1663=A1664,(N1663-N1664)/N1664,0)</f>
        <v>0</v>
      </c>
    </row>
    <row r="1664" spans="1:24" ht="16.5" customHeight="1">
      <c r="A1664" s="3" t="s">
        <v>42</v>
      </c>
      <c r="B1664" s="3">
        <f t="shared" si="48"/>
        <v>2019</v>
      </c>
      <c r="C1664" s="3">
        <f t="shared" si="49"/>
        <v>8</v>
      </c>
      <c r="D1664" s="20" t="str">
        <f t="shared" si="50"/>
        <v>XOM20198</v>
      </c>
      <c r="E1664" s="2">
        <v>43689</v>
      </c>
      <c r="F1664" s="3">
        <v>0.87</v>
      </c>
      <c r="G1664" s="2">
        <v>43718</v>
      </c>
      <c r="H1664" s="3">
        <v>4.9099999999999998E-2</v>
      </c>
      <c r="I1664" s="3">
        <v>0</v>
      </c>
      <c r="J1664" s="3">
        <v>0</v>
      </c>
      <c r="K1664" s="3">
        <f t="shared" si="51"/>
        <v>2019</v>
      </c>
      <c r="L1664" s="3">
        <f t="shared" si="52"/>
        <v>0</v>
      </c>
      <c r="M1664" s="20" t="str">
        <f>A1664&amp;L1664</f>
        <v>XOM0</v>
      </c>
      <c r="N1664" s="3">
        <f>F1664</f>
        <v>0.87</v>
      </c>
      <c r="O1664" s="9">
        <f>H1664</f>
        <v>4.9099999999999998E-2</v>
      </c>
      <c r="P1664" s="10">
        <f t="shared" si="53"/>
        <v>0</v>
      </c>
      <c r="Q1664" s="10">
        <f>IF(K1664=0,IF(A1661=A1664,AVERAGE(O1661:O1664),"x"),0)</f>
        <v>0</v>
      </c>
      <c r="R1664" s="9">
        <f>IF(L1664&gt;2005,AVERAGE(O1661:O1680),0)</f>
        <v>0</v>
      </c>
      <c r="S1664" s="10">
        <f>IF(A1664=A1665,(N1664-N1665)/N1665,0)</f>
        <v>0</v>
      </c>
      <c r="T1664" s="10">
        <f>IF(L1664&gt;2005,(((N1664-N1684)/N1684)+1)^(1/5)-1,0)</f>
        <v>0</v>
      </c>
      <c r="U1664" s="10">
        <f t="shared" si="54"/>
        <v>0</v>
      </c>
      <c r="V1664" s="26">
        <f t="shared" si="55"/>
        <v>0</v>
      </c>
      <c r="W1664" s="3">
        <f>IF(A1664=A1665,N1664-N1665,0)</f>
        <v>0</v>
      </c>
      <c r="X1664" s="10">
        <f>IF(A1664=A1665,(N1664-N1665)/N1665,0)</f>
        <v>0</v>
      </c>
    </row>
    <row r="1665" spans="1:24" ht="16.5" customHeight="1">
      <c r="A1665" s="3" t="s">
        <v>42</v>
      </c>
      <c r="B1665" s="3">
        <f t="shared" si="48"/>
        <v>2019</v>
      </c>
      <c r="C1665" s="3">
        <f t="shared" si="49"/>
        <v>5</v>
      </c>
      <c r="D1665" s="20" t="str">
        <f t="shared" si="50"/>
        <v>XOM20195</v>
      </c>
      <c r="E1665" s="2">
        <v>43595</v>
      </c>
      <c r="F1665" s="3">
        <v>0.87</v>
      </c>
      <c r="G1665" s="2">
        <v>43626</v>
      </c>
      <c r="H1665" s="3">
        <v>4.53E-2</v>
      </c>
      <c r="I1665" s="3">
        <v>6.097561E-2</v>
      </c>
      <c r="J1665" s="3">
        <v>0.05</v>
      </c>
      <c r="K1665" s="3">
        <f t="shared" si="51"/>
        <v>2019</v>
      </c>
      <c r="L1665" s="3">
        <f t="shared" si="52"/>
        <v>0</v>
      </c>
      <c r="M1665" s="20" t="str">
        <f>A1665&amp;L1665</f>
        <v>XOM0</v>
      </c>
      <c r="N1665" s="3">
        <f>F1665</f>
        <v>0.87</v>
      </c>
      <c r="O1665" s="9">
        <f>H1665</f>
        <v>4.53E-2</v>
      </c>
      <c r="P1665" s="10">
        <f t="shared" si="53"/>
        <v>4.2525E-2</v>
      </c>
      <c r="Q1665" s="10">
        <f>IF(K1665=0,IF(A1662=A1665,AVERAGE(O1662:O1665),"x"),0)</f>
        <v>0</v>
      </c>
      <c r="R1665" s="9">
        <f>IF(L1665&gt;2005,AVERAGE(O1662:O1681),0)</f>
        <v>0</v>
      </c>
      <c r="S1665" s="10">
        <f>IF(A1665=A1666,(N1665-N1666)/N1666,0)</f>
        <v>6.0975609756097622E-2</v>
      </c>
      <c r="T1665" s="10">
        <f>IF(L1665&gt;2005,(((N1665-N1685)/N1685)+1)^(1/5)-1,0)</f>
        <v>0</v>
      </c>
      <c r="U1665" s="10">
        <f t="shared" si="54"/>
        <v>0</v>
      </c>
      <c r="V1665" s="26">
        <f t="shared" si="55"/>
        <v>0</v>
      </c>
      <c r="W1665" s="3">
        <f>IF(A1665=A1666,N1665-N1666,0)</f>
        <v>5.0000000000000044E-2</v>
      </c>
      <c r="X1665" s="10">
        <f>IF(A1665=A1666,(N1665-N1666)/N1666,0)</f>
        <v>6.0975609756097622E-2</v>
      </c>
    </row>
    <row r="1666" spans="1:24" ht="16.5" customHeight="1">
      <c r="A1666" s="3" t="s">
        <v>42</v>
      </c>
      <c r="B1666" s="3">
        <f t="shared" si="48"/>
        <v>2019</v>
      </c>
      <c r="C1666" s="3">
        <f t="shared" si="49"/>
        <v>2</v>
      </c>
      <c r="D1666" s="20" t="str">
        <f t="shared" si="50"/>
        <v>XOM20192</v>
      </c>
      <c r="E1666" s="2">
        <v>43504</v>
      </c>
      <c r="F1666" s="3">
        <v>0.82</v>
      </c>
      <c r="G1666" s="2">
        <v>43535</v>
      </c>
      <c r="H1666" s="3">
        <v>4.3900000000000002E-2</v>
      </c>
      <c r="I1666" s="3">
        <v>0</v>
      </c>
      <c r="J1666" s="3">
        <v>0</v>
      </c>
      <c r="K1666" s="3">
        <f t="shared" si="51"/>
        <v>0</v>
      </c>
      <c r="L1666" s="3">
        <f t="shared" si="52"/>
        <v>2019</v>
      </c>
      <c r="M1666" s="20" t="str">
        <f>A1666&amp;L1666</f>
        <v>XOM2019</v>
      </c>
      <c r="N1666" s="3">
        <f>F1666</f>
        <v>0.82</v>
      </c>
      <c r="O1666" s="9">
        <f>H1666</f>
        <v>4.3900000000000002E-2</v>
      </c>
      <c r="P1666" s="10">
        <f t="shared" si="53"/>
        <v>0</v>
      </c>
      <c r="Q1666" s="10">
        <f>IF(K1666=0,IF(A1663=A1666,AVERAGE(O1663:O1666),"x"),0)</f>
        <v>4.65E-2</v>
      </c>
      <c r="R1666" s="9">
        <f>IF(L1666&gt;2005,AVERAGE(O1663:O1682),0)</f>
        <v>3.8300000000000001E-2</v>
      </c>
      <c r="S1666" s="10">
        <f>IF(A1666=A1667,(N1666-N1667)/N1667,0)</f>
        <v>0</v>
      </c>
      <c r="T1666" s="10">
        <f>IF(L1666&gt;2005,(((N1666-N1686)/N1686)+1)^(1/5)-1,0)</f>
        <v>5.4131182737306105E-2</v>
      </c>
      <c r="U1666" s="10">
        <f t="shared" si="54"/>
        <v>9.2431182737306106E-2</v>
      </c>
      <c r="V1666" s="26">
        <f t="shared" si="55"/>
        <v>4.4980546102999108</v>
      </c>
      <c r="W1666" s="3">
        <f>IF(A1666=A1667,N1666-N1667,0)</f>
        <v>0</v>
      </c>
      <c r="X1666" s="10">
        <f>IF(A1666=A1667,(N1666-N1667)/N1667,0)</f>
        <v>0</v>
      </c>
    </row>
    <row r="1667" spans="1:24" ht="16.5" customHeight="1">
      <c r="A1667" s="3" t="s">
        <v>42</v>
      </c>
      <c r="B1667" s="3">
        <f t="shared" si="48"/>
        <v>2018</v>
      </c>
      <c r="C1667" s="3">
        <f t="shared" si="49"/>
        <v>11</v>
      </c>
      <c r="D1667" s="20" t="str">
        <f t="shared" si="50"/>
        <v>XOM201811</v>
      </c>
      <c r="E1667" s="2">
        <v>43413</v>
      </c>
      <c r="F1667" s="3">
        <v>0.82</v>
      </c>
      <c r="G1667" s="2">
        <v>43444</v>
      </c>
      <c r="H1667" s="3">
        <v>4.0099999999999997E-2</v>
      </c>
      <c r="I1667" s="3">
        <v>0</v>
      </c>
      <c r="J1667" s="3">
        <v>0</v>
      </c>
      <c r="K1667" s="3">
        <f t="shared" si="51"/>
        <v>2018</v>
      </c>
      <c r="L1667" s="3">
        <f t="shared" si="52"/>
        <v>0</v>
      </c>
      <c r="M1667" s="20" t="str">
        <f>A1667&amp;L1667</f>
        <v>XOM0</v>
      </c>
      <c r="N1667" s="3">
        <f>F1667</f>
        <v>0.82</v>
      </c>
      <c r="O1667" s="9">
        <f>H1667</f>
        <v>4.0099999999999997E-2</v>
      </c>
      <c r="P1667" s="10">
        <f t="shared" si="53"/>
        <v>0</v>
      </c>
      <c r="Q1667" s="10">
        <f>IF(K1667=0,IF(A1664=A1667,AVERAGE(O1664:O1667),"x"),0)</f>
        <v>0</v>
      </c>
      <c r="R1667" s="9">
        <f>IF(L1667&gt;2005,AVERAGE(O1664:O1683),0)</f>
        <v>0</v>
      </c>
      <c r="S1667" s="10">
        <f>IF(A1667=A1668,(N1667-N1668)/N1668,0)</f>
        <v>0</v>
      </c>
      <c r="T1667" s="10">
        <f>IF(L1667&gt;2005,(((N1667-N1687)/N1687)+1)^(1/5)-1,0)</f>
        <v>0</v>
      </c>
      <c r="U1667" s="10">
        <f t="shared" si="54"/>
        <v>0</v>
      </c>
      <c r="V1667" s="26">
        <f t="shared" si="55"/>
        <v>0</v>
      </c>
      <c r="W1667" s="3">
        <f>IF(A1667=A1668,N1667-N1668,0)</f>
        <v>0</v>
      </c>
      <c r="X1667" s="10">
        <f>IF(A1667=A1668,(N1667-N1668)/N1668,0)</f>
        <v>0</v>
      </c>
    </row>
    <row r="1668" spans="1:24" ht="16.5" customHeight="1">
      <c r="A1668" s="3" t="s">
        <v>42</v>
      </c>
      <c r="B1668" s="3">
        <f t="shared" si="48"/>
        <v>2018</v>
      </c>
      <c r="C1668" s="3">
        <f t="shared" si="49"/>
        <v>8</v>
      </c>
      <c r="D1668" s="20" t="str">
        <f t="shared" si="50"/>
        <v>XOM20188</v>
      </c>
      <c r="E1668" s="2">
        <v>43322</v>
      </c>
      <c r="F1668" s="3">
        <v>0.82</v>
      </c>
      <c r="G1668" s="2">
        <v>43353</v>
      </c>
      <c r="H1668" s="3">
        <v>4.0800000000000003E-2</v>
      </c>
      <c r="I1668" s="3">
        <v>0</v>
      </c>
      <c r="J1668" s="3">
        <v>0</v>
      </c>
      <c r="K1668" s="3">
        <f t="shared" si="51"/>
        <v>2018</v>
      </c>
      <c r="L1668" s="3">
        <f t="shared" si="52"/>
        <v>0</v>
      </c>
      <c r="M1668" s="20" t="str">
        <f>A1668&amp;L1668</f>
        <v>XOM0</v>
      </c>
      <c r="N1668" s="3">
        <f>F1668</f>
        <v>0.82</v>
      </c>
      <c r="O1668" s="9">
        <f>H1668</f>
        <v>4.0800000000000003E-2</v>
      </c>
      <c r="P1668" s="10">
        <f t="shared" si="53"/>
        <v>0</v>
      </c>
      <c r="Q1668" s="10">
        <f>IF(K1668=0,IF(A1665=A1668,AVERAGE(O1665:O1668),"x"),0)</f>
        <v>0</v>
      </c>
      <c r="R1668" s="9">
        <f>IF(L1668&gt;2005,AVERAGE(O1665:O1684),0)</f>
        <v>0</v>
      </c>
      <c r="S1668" s="10">
        <f>IF(A1668=A1669,(N1668-N1669)/N1669,0)</f>
        <v>0</v>
      </c>
      <c r="T1668" s="10">
        <f>IF(L1668&gt;2005,(((N1668-N1688)/N1688)+1)^(1/5)-1,0)</f>
        <v>0</v>
      </c>
      <c r="U1668" s="10">
        <f t="shared" si="54"/>
        <v>0</v>
      </c>
      <c r="V1668" s="26">
        <f t="shared" si="55"/>
        <v>0</v>
      </c>
      <c r="W1668" s="3">
        <f>IF(A1668=A1669,N1668-N1669,0)</f>
        <v>0</v>
      </c>
      <c r="X1668" s="10">
        <f>IF(A1668=A1669,(N1668-N1669)/N1669,0)</f>
        <v>0</v>
      </c>
    </row>
    <row r="1669" spans="1:24" ht="16.5" customHeight="1">
      <c r="A1669" s="3" t="s">
        <v>42</v>
      </c>
      <c r="B1669" s="3">
        <f t="shared" si="48"/>
        <v>2018</v>
      </c>
      <c r="C1669" s="3">
        <f t="shared" si="49"/>
        <v>5</v>
      </c>
      <c r="D1669" s="20" t="str">
        <f t="shared" si="50"/>
        <v>XOM20185</v>
      </c>
      <c r="E1669" s="2">
        <v>43231</v>
      </c>
      <c r="F1669" s="3">
        <v>0.82</v>
      </c>
      <c r="G1669" s="2">
        <v>43262</v>
      </c>
      <c r="H1669" s="3">
        <v>4.0099999999999997E-2</v>
      </c>
      <c r="I1669" s="3">
        <v>6.4935065E-2</v>
      </c>
      <c r="J1669" s="3">
        <v>0.05</v>
      </c>
      <c r="K1669" s="3">
        <f t="shared" si="51"/>
        <v>2018</v>
      </c>
      <c r="L1669" s="3">
        <f t="shared" si="52"/>
        <v>0</v>
      </c>
      <c r="M1669" s="20" t="str">
        <f>A1669&amp;L1669</f>
        <v>XOM0</v>
      </c>
      <c r="N1669" s="3">
        <f>F1669</f>
        <v>0.82</v>
      </c>
      <c r="O1669" s="9">
        <f>H1669</f>
        <v>4.0099999999999997E-2</v>
      </c>
      <c r="P1669" s="10">
        <f t="shared" si="53"/>
        <v>3.8925000000000001E-2</v>
      </c>
      <c r="Q1669" s="10">
        <f>IF(K1669=0,IF(A1666=A1669,AVERAGE(O1666:O1669),"x"),0)</f>
        <v>0</v>
      </c>
      <c r="R1669" s="9">
        <f>IF(L1669&gt;2005,AVERAGE(O1666:O1685),0)</f>
        <v>0</v>
      </c>
      <c r="S1669" s="10">
        <f>IF(A1669=A1670,(N1669-N1670)/N1670,0)</f>
        <v>6.4935064935064846E-2</v>
      </c>
      <c r="T1669" s="10">
        <f>IF(L1669&gt;2005,(((N1669-N1689)/N1689)+1)^(1/5)-1,0)</f>
        <v>0</v>
      </c>
      <c r="U1669" s="10">
        <f t="shared" si="54"/>
        <v>0</v>
      </c>
      <c r="V1669" s="26">
        <f t="shared" si="55"/>
        <v>0</v>
      </c>
      <c r="W1669" s="3">
        <f>IF(A1669=A1670,N1669-N1670,0)</f>
        <v>4.9999999999999933E-2</v>
      </c>
      <c r="X1669" s="10">
        <f>IF(A1669=A1670,(N1669-N1670)/N1670,0)</f>
        <v>6.4935064935064846E-2</v>
      </c>
    </row>
    <row r="1670" spans="1:24" ht="16.5" customHeight="1">
      <c r="A1670" s="3" t="s">
        <v>42</v>
      </c>
      <c r="B1670" s="3">
        <f t="shared" si="48"/>
        <v>2018</v>
      </c>
      <c r="C1670" s="3">
        <f t="shared" si="49"/>
        <v>2</v>
      </c>
      <c r="D1670" s="20" t="str">
        <f t="shared" si="50"/>
        <v>XOM20182</v>
      </c>
      <c r="E1670" s="2">
        <v>43140</v>
      </c>
      <c r="F1670" s="3">
        <v>0.77</v>
      </c>
      <c r="G1670" s="2">
        <v>43168</v>
      </c>
      <c r="H1670" s="3">
        <v>4.0500000000000001E-2</v>
      </c>
      <c r="I1670" s="3">
        <v>0</v>
      </c>
      <c r="J1670" s="3">
        <v>0</v>
      </c>
      <c r="K1670" s="3">
        <f t="shared" si="51"/>
        <v>0</v>
      </c>
      <c r="L1670" s="3">
        <f t="shared" si="52"/>
        <v>2018</v>
      </c>
      <c r="M1670" s="20" t="str">
        <f>A1670&amp;L1670</f>
        <v>XOM2018</v>
      </c>
      <c r="N1670" s="3">
        <f>F1670</f>
        <v>0.77</v>
      </c>
      <c r="O1670" s="9">
        <f>H1670</f>
        <v>4.0500000000000001E-2</v>
      </c>
      <c r="P1670" s="10">
        <f t="shared" si="53"/>
        <v>0</v>
      </c>
      <c r="Q1670" s="10">
        <f>IF(K1670=0,IF(A1667=A1670,AVERAGE(O1667:O1670),"x"),0)</f>
        <v>4.0375000000000001E-2</v>
      </c>
      <c r="R1670" s="9">
        <f>IF(L1670&gt;2005,AVERAGE(O1667:O1686),0)</f>
        <v>3.4390000000000004E-2</v>
      </c>
      <c r="S1670" s="10">
        <f>IF(A1670=A1671,(N1670-N1671)/N1671,0)</f>
        <v>0</v>
      </c>
      <c r="T1670" s="10">
        <f>IF(L1670&gt;2005,(((N1670-N1690)/N1690)+1)^(1/5)-1,0)</f>
        <v>6.1996716284169251E-2</v>
      </c>
      <c r="U1670" s="10">
        <f t="shared" si="54"/>
        <v>9.6386716284169255E-2</v>
      </c>
      <c r="V1670" s="26">
        <f t="shared" si="55"/>
        <v>4.5487201814657654</v>
      </c>
      <c r="W1670" s="3">
        <f>IF(A1670=A1671,N1670-N1671,0)</f>
        <v>0</v>
      </c>
      <c r="X1670" s="10">
        <f>IF(A1670=A1671,(N1670-N1671)/N1671,0)</f>
        <v>0</v>
      </c>
    </row>
    <row r="1671" spans="1:24" ht="16.5" customHeight="1">
      <c r="A1671" s="3" t="s">
        <v>42</v>
      </c>
      <c r="B1671" s="3">
        <f t="shared" si="48"/>
        <v>2017</v>
      </c>
      <c r="C1671" s="3">
        <f t="shared" si="49"/>
        <v>11</v>
      </c>
      <c r="D1671" s="20" t="str">
        <f t="shared" si="50"/>
        <v>XOM201711</v>
      </c>
      <c r="E1671" s="2">
        <v>43049</v>
      </c>
      <c r="F1671" s="3">
        <v>0.77</v>
      </c>
      <c r="G1671" s="2">
        <v>43080</v>
      </c>
      <c r="H1671" s="3">
        <v>3.6700000000000003E-2</v>
      </c>
      <c r="I1671" s="3">
        <v>0</v>
      </c>
      <c r="J1671" s="3">
        <v>0</v>
      </c>
      <c r="K1671" s="3">
        <f t="shared" si="51"/>
        <v>2017</v>
      </c>
      <c r="L1671" s="3">
        <f t="shared" si="52"/>
        <v>0</v>
      </c>
      <c r="M1671" s="20" t="str">
        <f>A1671&amp;L1671</f>
        <v>XOM0</v>
      </c>
      <c r="N1671" s="3">
        <f>F1671</f>
        <v>0.77</v>
      </c>
      <c r="O1671" s="9">
        <f>H1671</f>
        <v>3.6700000000000003E-2</v>
      </c>
      <c r="P1671" s="10">
        <f t="shared" si="53"/>
        <v>0</v>
      </c>
      <c r="Q1671" s="10">
        <f>IF(K1671=0,IF(A1668=A1671,AVERAGE(O1668:O1671),"x"),0)</f>
        <v>0</v>
      </c>
      <c r="R1671" s="9">
        <f>IF(L1671&gt;2005,AVERAGE(O1668:O1687),0)</f>
        <v>0</v>
      </c>
      <c r="S1671" s="10">
        <f>IF(A1671=A1672,(N1671-N1672)/N1672,0)</f>
        <v>0</v>
      </c>
      <c r="T1671" s="10">
        <f>IF(L1671&gt;2005,(((N1671-N1691)/N1691)+1)^(1/5)-1,0)</f>
        <v>0</v>
      </c>
      <c r="U1671" s="10">
        <f t="shared" si="54"/>
        <v>0</v>
      </c>
      <c r="V1671" s="26">
        <f t="shared" si="55"/>
        <v>0</v>
      </c>
      <c r="W1671" s="3">
        <f>IF(A1671=A1672,N1671-N1672,0)</f>
        <v>0</v>
      </c>
      <c r="X1671" s="10">
        <f>IF(A1671=A1672,(N1671-N1672)/N1672,0)</f>
        <v>0</v>
      </c>
    </row>
    <row r="1672" spans="1:24" ht="16.5" customHeight="1">
      <c r="A1672" s="3" t="s">
        <v>42</v>
      </c>
      <c r="B1672" s="3">
        <f t="shared" si="48"/>
        <v>2017</v>
      </c>
      <c r="C1672" s="3">
        <f t="shared" si="49"/>
        <v>8</v>
      </c>
      <c r="D1672" s="20" t="str">
        <f t="shared" si="50"/>
        <v>XOM20178</v>
      </c>
      <c r="E1672" s="2">
        <v>42957</v>
      </c>
      <c r="F1672" s="3">
        <v>0.77</v>
      </c>
      <c r="G1672" s="2">
        <v>42989</v>
      </c>
      <c r="H1672" s="3">
        <v>3.8399999999999997E-2</v>
      </c>
      <c r="I1672" s="3">
        <v>0</v>
      </c>
      <c r="J1672" s="3">
        <v>0</v>
      </c>
      <c r="K1672" s="3">
        <f t="shared" si="51"/>
        <v>2017</v>
      </c>
      <c r="L1672" s="3">
        <f t="shared" si="52"/>
        <v>0</v>
      </c>
      <c r="M1672" s="20" t="str">
        <f>A1672&amp;L1672</f>
        <v>XOM0</v>
      </c>
      <c r="N1672" s="3">
        <f>F1672</f>
        <v>0.77</v>
      </c>
      <c r="O1672" s="9">
        <f>H1672</f>
        <v>3.8399999999999997E-2</v>
      </c>
      <c r="P1672" s="10">
        <f t="shared" si="53"/>
        <v>0</v>
      </c>
      <c r="Q1672" s="10">
        <f>IF(K1672=0,IF(A1669=A1672,AVERAGE(O1669:O1672),"x"),0)</f>
        <v>0</v>
      </c>
      <c r="R1672" s="9">
        <f>IF(L1672&gt;2005,AVERAGE(O1669:O1688),0)</f>
        <v>0</v>
      </c>
      <c r="S1672" s="10">
        <f>IF(A1672=A1673,(N1672-N1673)/N1673,0)</f>
        <v>0</v>
      </c>
      <c r="T1672" s="10">
        <f>IF(L1672&gt;2005,(((N1672-N1692)/N1692)+1)^(1/5)-1,0)</f>
        <v>0</v>
      </c>
      <c r="U1672" s="10">
        <f t="shared" si="54"/>
        <v>0</v>
      </c>
      <c r="V1672" s="26">
        <f t="shared" si="55"/>
        <v>0</v>
      </c>
      <c r="W1672" s="3">
        <f>IF(A1672=A1673,N1672-N1673,0)</f>
        <v>0</v>
      </c>
      <c r="X1672" s="10">
        <f>IF(A1672=A1673,(N1672-N1673)/N1673,0)</f>
        <v>0</v>
      </c>
    </row>
    <row r="1673" spans="1:24" ht="16.5" customHeight="1">
      <c r="A1673" s="3" t="s">
        <v>42</v>
      </c>
      <c r="B1673" s="3">
        <f t="shared" si="48"/>
        <v>2017</v>
      </c>
      <c r="C1673" s="3">
        <f t="shared" si="49"/>
        <v>5</v>
      </c>
      <c r="D1673" s="20" t="str">
        <f t="shared" si="50"/>
        <v>XOM20175</v>
      </c>
      <c r="E1673" s="2">
        <v>42865</v>
      </c>
      <c r="F1673" s="3">
        <v>0.77</v>
      </c>
      <c r="G1673" s="2">
        <v>42895</v>
      </c>
      <c r="H1673" s="3">
        <v>3.7400000000000003E-2</v>
      </c>
      <c r="I1673" s="3">
        <v>2.6666667000000002E-2</v>
      </c>
      <c r="J1673" s="3">
        <v>0.02</v>
      </c>
      <c r="K1673" s="3">
        <f t="shared" si="51"/>
        <v>2017</v>
      </c>
      <c r="L1673" s="3">
        <f t="shared" si="52"/>
        <v>0</v>
      </c>
      <c r="M1673" s="20" t="str">
        <f>A1673&amp;L1673</f>
        <v>XOM0</v>
      </c>
      <c r="N1673" s="3">
        <f>F1673</f>
        <v>0.77</v>
      </c>
      <c r="O1673" s="9">
        <f>H1673</f>
        <v>3.7400000000000003E-2</v>
      </c>
      <c r="P1673" s="10">
        <f t="shared" si="53"/>
        <v>3.5624999999999997E-2</v>
      </c>
      <c r="Q1673" s="10">
        <f>IF(K1673=0,IF(A1670=A1673,AVERAGE(O1670:O1673),"x"),0)</f>
        <v>0</v>
      </c>
      <c r="R1673" s="9">
        <f>IF(L1673&gt;2005,AVERAGE(O1670:O1689),0)</f>
        <v>0</v>
      </c>
      <c r="S1673" s="10">
        <f>IF(A1673=A1674,(N1673-N1674)/N1674,0)</f>
        <v>2.6666666666666689E-2</v>
      </c>
      <c r="T1673" s="10">
        <f>IF(L1673&gt;2005,(((N1673-N1693)/N1693)+1)^(1/5)-1,0)</f>
        <v>0</v>
      </c>
      <c r="U1673" s="10">
        <f t="shared" si="54"/>
        <v>0</v>
      </c>
      <c r="V1673" s="26">
        <f t="shared" si="55"/>
        <v>0</v>
      </c>
      <c r="W1673" s="3">
        <f>IF(A1673=A1674,N1673-N1674,0)</f>
        <v>2.0000000000000018E-2</v>
      </c>
      <c r="X1673" s="10">
        <f>IF(A1673=A1674,(N1673-N1674)/N1674,0)</f>
        <v>2.6666666666666689E-2</v>
      </c>
    </row>
    <row r="1674" spans="1:24" ht="16.5" customHeight="1">
      <c r="A1674" s="3" t="s">
        <v>42</v>
      </c>
      <c r="B1674" s="3">
        <f t="shared" si="48"/>
        <v>2017</v>
      </c>
      <c r="C1674" s="3">
        <f t="shared" si="49"/>
        <v>2</v>
      </c>
      <c r="D1674" s="20" t="str">
        <f t="shared" si="50"/>
        <v>XOM20172</v>
      </c>
      <c r="E1674" s="2">
        <v>42774</v>
      </c>
      <c r="F1674" s="3">
        <v>0.75</v>
      </c>
      <c r="G1674" s="2">
        <v>42804</v>
      </c>
      <c r="H1674" s="3">
        <v>3.6200000000000003E-2</v>
      </c>
      <c r="I1674" s="3">
        <v>0</v>
      </c>
      <c r="J1674" s="3">
        <v>0</v>
      </c>
      <c r="K1674" s="3">
        <f t="shared" si="51"/>
        <v>0</v>
      </c>
      <c r="L1674" s="3">
        <f t="shared" si="52"/>
        <v>2017</v>
      </c>
      <c r="M1674" s="20" t="str">
        <f>A1674&amp;L1674</f>
        <v>XOM2017</v>
      </c>
      <c r="N1674" s="3">
        <f>F1674</f>
        <v>0.75</v>
      </c>
      <c r="O1674" s="9">
        <f>H1674</f>
        <v>3.6200000000000003E-2</v>
      </c>
      <c r="P1674" s="10">
        <f t="shared" si="53"/>
        <v>0</v>
      </c>
      <c r="Q1674" s="10">
        <f>IF(K1674=0,IF(A1671=A1674,AVERAGE(O1671:O1674),"x"),0)</f>
        <v>3.7175E-2</v>
      </c>
      <c r="R1674" s="9">
        <f>IF(L1674&gt;2005,AVERAGE(O1671:O1690),0)</f>
        <v>3.1484999999999999E-2</v>
      </c>
      <c r="S1674" s="10">
        <f>IF(A1674=A1675,(N1674-N1675)/N1675,0)</f>
        <v>0</v>
      </c>
      <c r="T1674" s="10">
        <f>IF(L1674&gt;2005,(((N1674-N1694)/N1694)+1)^(1/5)-1,0)</f>
        <v>9.7975579958707426E-2</v>
      </c>
      <c r="U1674" s="10">
        <f t="shared" si="54"/>
        <v>0.12946057995870741</v>
      </c>
      <c r="V1674" s="26">
        <f t="shared" si="55"/>
        <v>4.5970781758068178</v>
      </c>
      <c r="W1674" s="3">
        <f>IF(A1674=A1675,N1674-N1675,0)</f>
        <v>0</v>
      </c>
      <c r="X1674" s="10">
        <f>IF(A1674=A1675,(N1674-N1675)/N1675,0)</f>
        <v>0</v>
      </c>
    </row>
    <row r="1675" spans="1:24" ht="16.5" customHeight="1">
      <c r="A1675" s="3" t="s">
        <v>42</v>
      </c>
      <c r="B1675" s="3">
        <f t="shared" si="48"/>
        <v>2016</v>
      </c>
      <c r="C1675" s="3">
        <f t="shared" si="49"/>
        <v>11</v>
      </c>
      <c r="D1675" s="20" t="str">
        <f t="shared" si="50"/>
        <v>XOM201611</v>
      </c>
      <c r="E1675" s="2">
        <v>42682</v>
      </c>
      <c r="F1675" s="3">
        <v>0.75</v>
      </c>
      <c r="G1675" s="2">
        <v>42713</v>
      </c>
      <c r="H1675" s="3">
        <v>3.5099999999999999E-2</v>
      </c>
      <c r="I1675" s="3">
        <v>0</v>
      </c>
      <c r="J1675" s="3">
        <v>0</v>
      </c>
      <c r="K1675" s="3">
        <f t="shared" si="51"/>
        <v>2016</v>
      </c>
      <c r="L1675" s="3">
        <f t="shared" si="52"/>
        <v>0</v>
      </c>
      <c r="M1675" s="20" t="str">
        <f>A1675&amp;L1675</f>
        <v>XOM0</v>
      </c>
      <c r="N1675" s="3">
        <f>F1675</f>
        <v>0.75</v>
      </c>
      <c r="O1675" s="9">
        <f>H1675</f>
        <v>3.5099999999999999E-2</v>
      </c>
      <c r="P1675" s="10">
        <f t="shared" si="53"/>
        <v>0</v>
      </c>
      <c r="Q1675" s="10">
        <f>IF(K1675=0,IF(A1672=A1675,AVERAGE(O1672:O1675),"x"),0)</f>
        <v>0</v>
      </c>
      <c r="R1675" s="9">
        <f>IF(L1675&gt;2005,AVERAGE(O1672:O1691),0)</f>
        <v>0</v>
      </c>
      <c r="S1675" s="10">
        <f>IF(A1675=A1676,(N1675-N1676)/N1676,0)</f>
        <v>0</v>
      </c>
      <c r="T1675" s="10">
        <f>IF(L1675&gt;2005,(((N1675-N1695)/N1695)+1)^(1/5)-1,0)</f>
        <v>0</v>
      </c>
      <c r="U1675" s="10">
        <f t="shared" si="54"/>
        <v>0</v>
      </c>
      <c r="V1675" s="26">
        <f t="shared" si="55"/>
        <v>0</v>
      </c>
      <c r="W1675" s="3">
        <f>IF(A1675=A1676,N1675-N1676,0)</f>
        <v>0</v>
      </c>
      <c r="X1675" s="10">
        <f>IF(A1675=A1676,(N1675-N1676)/N1676,0)</f>
        <v>0</v>
      </c>
    </row>
    <row r="1676" spans="1:24" ht="16.5" customHeight="1">
      <c r="A1676" s="3" t="s">
        <v>42</v>
      </c>
      <c r="B1676" s="3">
        <f t="shared" si="48"/>
        <v>2016</v>
      </c>
      <c r="C1676" s="3">
        <f t="shared" si="49"/>
        <v>8</v>
      </c>
      <c r="D1676" s="20" t="str">
        <f t="shared" si="50"/>
        <v>XOM20168</v>
      </c>
      <c r="E1676" s="2">
        <v>42592</v>
      </c>
      <c r="F1676" s="3">
        <v>0.75</v>
      </c>
      <c r="G1676" s="2">
        <v>42622</v>
      </c>
      <c r="H1676" s="3">
        <v>3.3799999999999997E-2</v>
      </c>
      <c r="I1676" s="3">
        <v>0</v>
      </c>
      <c r="J1676" s="3">
        <v>0</v>
      </c>
      <c r="K1676" s="3">
        <f t="shared" si="51"/>
        <v>2016</v>
      </c>
      <c r="L1676" s="3">
        <f t="shared" si="52"/>
        <v>0</v>
      </c>
      <c r="M1676" s="20" t="str">
        <f>A1676&amp;L1676</f>
        <v>XOM0</v>
      </c>
      <c r="N1676" s="3">
        <f>F1676</f>
        <v>0.75</v>
      </c>
      <c r="O1676" s="9">
        <f>H1676</f>
        <v>3.3799999999999997E-2</v>
      </c>
      <c r="P1676" s="10">
        <f t="shared" si="53"/>
        <v>0</v>
      </c>
      <c r="Q1676" s="10">
        <f>IF(K1676=0,IF(A1673=A1676,AVERAGE(O1673:O1676),"x"),0)</f>
        <v>0</v>
      </c>
      <c r="R1676" s="9">
        <f>IF(L1676&gt;2005,AVERAGE(O1673:O1692),0)</f>
        <v>0</v>
      </c>
      <c r="S1676" s="10">
        <f>IF(A1676=A1677,(N1676-N1677)/N1677,0)</f>
        <v>0</v>
      </c>
      <c r="T1676" s="10">
        <f>IF(L1676&gt;2005,(((N1676-N1696)/N1696)+1)^(1/5)-1,0)</f>
        <v>0</v>
      </c>
      <c r="U1676" s="10">
        <f t="shared" si="54"/>
        <v>0</v>
      </c>
      <c r="V1676" s="26">
        <f t="shared" si="55"/>
        <v>0</v>
      </c>
      <c r="W1676" s="3">
        <f>IF(A1676=A1677,N1676-N1677,0)</f>
        <v>0</v>
      </c>
      <c r="X1676" s="10">
        <f>IF(A1676=A1677,(N1676-N1677)/N1677,0)</f>
        <v>0</v>
      </c>
    </row>
    <row r="1677" spans="1:24" ht="16.5" customHeight="1">
      <c r="A1677" s="3" t="s">
        <v>42</v>
      </c>
      <c r="B1677" s="3">
        <f t="shared" si="48"/>
        <v>2016</v>
      </c>
      <c r="C1677" s="3">
        <f t="shared" si="49"/>
        <v>5</v>
      </c>
      <c r="D1677" s="20" t="str">
        <f t="shared" si="50"/>
        <v>XOM20165</v>
      </c>
      <c r="E1677" s="2">
        <v>42501</v>
      </c>
      <c r="F1677" s="3">
        <v>0.75</v>
      </c>
      <c r="G1677" s="2">
        <v>42531</v>
      </c>
      <c r="H1677" s="3">
        <v>3.3300000000000003E-2</v>
      </c>
      <c r="I1677" s="3">
        <v>2.739726E-2</v>
      </c>
      <c r="J1677" s="3">
        <v>0.02</v>
      </c>
      <c r="K1677" s="3">
        <f t="shared" si="51"/>
        <v>2016</v>
      </c>
      <c r="L1677" s="3">
        <f t="shared" si="52"/>
        <v>0</v>
      </c>
      <c r="M1677" s="20" t="str">
        <f>A1677&amp;L1677</f>
        <v>XOM0</v>
      </c>
      <c r="N1677" s="3">
        <f>F1677</f>
        <v>0.75</v>
      </c>
      <c r="O1677" s="9">
        <f>H1677</f>
        <v>3.3300000000000003E-2</v>
      </c>
      <c r="P1677" s="10">
        <f t="shared" si="53"/>
        <v>3.4874999999999996E-2</v>
      </c>
      <c r="Q1677" s="10">
        <f>IF(K1677=0,IF(A1674=A1677,AVERAGE(O1674:O1677),"x"),0)</f>
        <v>0</v>
      </c>
      <c r="R1677" s="9">
        <f>IF(L1677&gt;2005,AVERAGE(O1674:O1693),0)</f>
        <v>0</v>
      </c>
      <c r="S1677" s="10">
        <f>IF(A1677=A1678,(N1677-N1678)/N1678,0)</f>
        <v>2.7397260273972629E-2</v>
      </c>
      <c r="T1677" s="10">
        <f>IF(L1677&gt;2005,(((N1677-N1697)/N1697)+1)^(1/5)-1,0)</f>
        <v>0</v>
      </c>
      <c r="U1677" s="10">
        <f t="shared" si="54"/>
        <v>0</v>
      </c>
      <c r="V1677" s="26">
        <f t="shared" si="55"/>
        <v>0</v>
      </c>
      <c r="W1677" s="3">
        <f>IF(A1677=A1678,N1677-N1678,0)</f>
        <v>2.0000000000000018E-2</v>
      </c>
      <c r="X1677" s="10">
        <f>IF(A1677=A1678,(N1677-N1678)/N1678,0)</f>
        <v>2.7397260273972629E-2</v>
      </c>
    </row>
    <row r="1678" spans="1:24" ht="16.5" customHeight="1">
      <c r="A1678" s="3" t="s">
        <v>42</v>
      </c>
      <c r="B1678" s="3">
        <f t="shared" si="48"/>
        <v>2016</v>
      </c>
      <c r="C1678" s="3">
        <f t="shared" si="49"/>
        <v>2</v>
      </c>
      <c r="D1678" s="20" t="str">
        <f t="shared" si="50"/>
        <v>XOM20162</v>
      </c>
      <c r="E1678" s="2">
        <v>42409</v>
      </c>
      <c r="F1678" s="3">
        <v>0.73</v>
      </c>
      <c r="G1678" s="2">
        <v>42439</v>
      </c>
      <c r="H1678" s="3">
        <v>3.5999999999999997E-2</v>
      </c>
      <c r="I1678" s="3">
        <v>0</v>
      </c>
      <c r="J1678" s="3">
        <v>0</v>
      </c>
      <c r="K1678" s="3">
        <f t="shared" si="51"/>
        <v>0</v>
      </c>
      <c r="L1678" s="3">
        <f t="shared" si="52"/>
        <v>2016</v>
      </c>
      <c r="M1678" s="20" t="str">
        <f>A1678&amp;L1678</f>
        <v>XOM2016</v>
      </c>
      <c r="N1678" s="3">
        <f>F1678</f>
        <v>0.73</v>
      </c>
      <c r="O1678" s="9">
        <f>H1678</f>
        <v>3.5999999999999997E-2</v>
      </c>
      <c r="P1678" s="10">
        <f t="shared" si="53"/>
        <v>0</v>
      </c>
      <c r="Q1678" s="10">
        <f>IF(K1678=0,IF(A1675=A1678,AVERAGE(O1675:O1678),"x"),0)</f>
        <v>3.4549999999999997E-2</v>
      </c>
      <c r="R1678" s="9">
        <f>IF(L1678&gt;2005,AVERAGE(O1675:O1694),0)</f>
        <v>2.8700000000000003E-2</v>
      </c>
      <c r="S1678" s="10">
        <f>IF(A1678=A1679,(N1678-N1679)/N1679,0)</f>
        <v>0</v>
      </c>
      <c r="T1678" s="10">
        <f>IF(L1678&gt;2005,(((N1678-N1698)/N1698)+1)^(1/5)-1,0)</f>
        <v>0.10655762905753008</v>
      </c>
      <c r="U1678" s="10">
        <f t="shared" si="54"/>
        <v>0.13525762905753008</v>
      </c>
      <c r="V1678" s="26">
        <f t="shared" si="55"/>
        <v>4.6333331855052489</v>
      </c>
      <c r="W1678" s="3">
        <f>IF(A1678=A1679,N1678-N1679,0)</f>
        <v>0</v>
      </c>
      <c r="X1678" s="10">
        <f>IF(A1678=A1679,(N1678-N1679)/N1679,0)</f>
        <v>0</v>
      </c>
    </row>
    <row r="1679" spans="1:24" ht="16.5" customHeight="1">
      <c r="A1679" s="3" t="s">
        <v>42</v>
      </c>
      <c r="B1679" s="3">
        <f t="shared" si="48"/>
        <v>2015</v>
      </c>
      <c r="C1679" s="3">
        <f t="shared" si="49"/>
        <v>11</v>
      </c>
      <c r="D1679" s="20" t="str">
        <f t="shared" si="50"/>
        <v>XOM201511</v>
      </c>
      <c r="E1679" s="2">
        <v>42317</v>
      </c>
      <c r="F1679" s="3">
        <v>0.73</v>
      </c>
      <c r="G1679" s="2">
        <v>42348</v>
      </c>
      <c r="H1679" s="3">
        <v>3.4099999999999998E-2</v>
      </c>
      <c r="I1679" s="3">
        <v>0</v>
      </c>
      <c r="J1679" s="3">
        <v>0</v>
      </c>
      <c r="K1679" s="3">
        <f t="shared" si="51"/>
        <v>2015</v>
      </c>
      <c r="L1679" s="3">
        <f t="shared" si="52"/>
        <v>0</v>
      </c>
      <c r="M1679" s="20" t="str">
        <f>A1679&amp;L1679</f>
        <v>XOM0</v>
      </c>
      <c r="N1679" s="3">
        <f>F1679</f>
        <v>0.73</v>
      </c>
      <c r="O1679" s="9">
        <f>H1679</f>
        <v>3.4099999999999998E-2</v>
      </c>
      <c r="P1679" s="10">
        <f t="shared" si="53"/>
        <v>0</v>
      </c>
      <c r="Q1679" s="10">
        <f>IF(K1679=0,IF(A1676=A1679,AVERAGE(O1676:O1679),"x"),0)</f>
        <v>0</v>
      </c>
      <c r="R1679" s="9">
        <f>IF(L1679&gt;2005,AVERAGE(O1676:O1695),0)</f>
        <v>0</v>
      </c>
      <c r="S1679" s="10">
        <f>IF(A1679=A1680,(N1679-N1680)/N1680,0)</f>
        <v>0</v>
      </c>
      <c r="T1679" s="10">
        <f>IF(L1679&gt;2005,(((N1679-N1699)/N1699)+1)^(1/5)-1,0)</f>
        <v>0</v>
      </c>
      <c r="U1679" s="10">
        <f t="shared" si="54"/>
        <v>0</v>
      </c>
      <c r="V1679" s="26">
        <f t="shared" si="55"/>
        <v>0</v>
      </c>
      <c r="W1679" s="3">
        <f>IF(A1679=A1680,N1679-N1680,0)</f>
        <v>0</v>
      </c>
      <c r="X1679" s="10">
        <f>IF(A1679=A1680,(N1679-N1680)/N1680,0)</f>
        <v>0</v>
      </c>
    </row>
    <row r="1680" spans="1:24" ht="16.5" customHeight="1">
      <c r="A1680" s="3" t="s">
        <v>42</v>
      </c>
      <c r="B1680" s="3">
        <f t="shared" si="48"/>
        <v>2015</v>
      </c>
      <c r="C1680" s="3">
        <f t="shared" si="49"/>
        <v>8</v>
      </c>
      <c r="D1680" s="20" t="str">
        <f t="shared" si="50"/>
        <v>XOM20158</v>
      </c>
      <c r="E1680" s="2">
        <v>42227</v>
      </c>
      <c r="F1680" s="3">
        <v>0.73</v>
      </c>
      <c r="G1680" s="2">
        <v>42257</v>
      </c>
      <c r="H1680" s="3">
        <v>3.61E-2</v>
      </c>
      <c r="I1680" s="3">
        <v>0</v>
      </c>
      <c r="J1680" s="3">
        <v>0</v>
      </c>
      <c r="K1680" s="3">
        <f t="shared" si="51"/>
        <v>2015</v>
      </c>
      <c r="L1680" s="3">
        <f t="shared" si="52"/>
        <v>0</v>
      </c>
      <c r="M1680" s="20" t="str">
        <f>A1680&amp;L1680</f>
        <v>XOM0</v>
      </c>
      <c r="N1680" s="3">
        <f>F1680</f>
        <v>0.73</v>
      </c>
      <c r="O1680" s="9">
        <f>H1680</f>
        <v>3.61E-2</v>
      </c>
      <c r="P1680" s="10">
        <f t="shared" si="53"/>
        <v>0</v>
      </c>
      <c r="Q1680" s="10">
        <f>IF(K1680=0,IF(A1677=A1680,AVERAGE(O1677:O1680),"x"),0)</f>
        <v>0</v>
      </c>
      <c r="R1680" s="9">
        <f>IF(L1680&gt;2005,AVERAGE(O1677:O1696),0)</f>
        <v>0</v>
      </c>
      <c r="S1680" s="10">
        <f>IF(A1680=A1681,(N1680-N1681)/N1681,0)</f>
        <v>0</v>
      </c>
      <c r="T1680" s="10">
        <f>IF(L1680&gt;2005,(((N1680-N1700)/N1700)+1)^(1/5)-1,0)</f>
        <v>0</v>
      </c>
      <c r="U1680" s="10">
        <f t="shared" si="54"/>
        <v>0</v>
      </c>
      <c r="V1680" s="26">
        <f t="shared" si="55"/>
        <v>0</v>
      </c>
      <c r="W1680" s="3">
        <f>IF(A1680=A1681,N1680-N1681,0)</f>
        <v>0</v>
      </c>
      <c r="X1680" s="10">
        <f>IF(A1680=A1681,(N1680-N1681)/N1681,0)</f>
        <v>0</v>
      </c>
    </row>
    <row r="1681" spans="1:24" ht="16.5" customHeight="1">
      <c r="A1681" s="3" t="s">
        <v>42</v>
      </c>
      <c r="B1681" s="3">
        <f t="shared" si="48"/>
        <v>2015</v>
      </c>
      <c r="C1681" s="3">
        <f t="shared" si="49"/>
        <v>5</v>
      </c>
      <c r="D1681" s="20" t="str">
        <f t="shared" si="50"/>
        <v>XOM20155</v>
      </c>
      <c r="E1681" s="2">
        <v>42135</v>
      </c>
      <c r="F1681" s="3">
        <v>0.73</v>
      </c>
      <c r="G1681" s="2">
        <v>42165</v>
      </c>
      <c r="H1681" s="3">
        <v>3.15E-2</v>
      </c>
      <c r="I1681" s="3">
        <v>5.7971014000000001E-2</v>
      </c>
      <c r="J1681" s="3">
        <v>0.04</v>
      </c>
      <c r="K1681" s="3">
        <f t="shared" si="51"/>
        <v>2015</v>
      </c>
      <c r="L1681" s="3">
        <f t="shared" si="52"/>
        <v>0</v>
      </c>
      <c r="M1681" s="20" t="str">
        <f>A1681&amp;L1681</f>
        <v>XOM0</v>
      </c>
      <c r="N1681" s="3">
        <f>F1681</f>
        <v>0.73</v>
      </c>
      <c r="O1681" s="9">
        <f>H1681</f>
        <v>3.15E-2</v>
      </c>
      <c r="P1681" s="10">
        <f t="shared" si="53"/>
        <v>2.8974999999999997E-2</v>
      </c>
      <c r="Q1681" s="10">
        <f>IF(K1681=0,IF(A1678=A1681,AVERAGE(O1678:O1681),"x"),0)</f>
        <v>0</v>
      </c>
      <c r="R1681" s="9">
        <f>IF(L1681&gt;2005,AVERAGE(O1678:O1697),0)</f>
        <v>0</v>
      </c>
      <c r="S1681" s="10">
        <f>IF(A1681=A1682,(N1681-N1682)/N1682,0)</f>
        <v>5.7971014492753679E-2</v>
      </c>
      <c r="T1681" s="10">
        <f>IF(L1681&gt;2005,(((N1681-N1701)/N1701)+1)^(1/5)-1,0)</f>
        <v>0</v>
      </c>
      <c r="U1681" s="10">
        <f t="shared" si="54"/>
        <v>0</v>
      </c>
      <c r="V1681" s="26">
        <f t="shared" si="55"/>
        <v>0</v>
      </c>
      <c r="W1681" s="3">
        <f>IF(A1681=A1682,N1681-N1682,0)</f>
        <v>4.0000000000000036E-2</v>
      </c>
      <c r="X1681" s="10">
        <f>IF(A1681=A1682,(N1681-N1682)/N1682,0)</f>
        <v>5.7971014492753679E-2</v>
      </c>
    </row>
    <row r="1682" spans="1:24" ht="16.5" customHeight="1">
      <c r="A1682" s="3" t="s">
        <v>42</v>
      </c>
      <c r="B1682" s="3">
        <f t="shared" si="48"/>
        <v>2015</v>
      </c>
      <c r="C1682" s="3">
        <f t="shared" si="49"/>
        <v>2</v>
      </c>
      <c r="D1682" s="20" t="str">
        <f t="shared" si="50"/>
        <v>XOM20152</v>
      </c>
      <c r="E1682" s="2">
        <v>42041</v>
      </c>
      <c r="F1682" s="3">
        <v>0.69</v>
      </c>
      <c r="G1682" s="2">
        <v>42073</v>
      </c>
      <c r="H1682" s="3">
        <v>2.9899999999999999E-2</v>
      </c>
      <c r="I1682" s="3">
        <v>0</v>
      </c>
      <c r="J1682" s="3">
        <v>0</v>
      </c>
      <c r="K1682" s="3">
        <f t="shared" si="51"/>
        <v>0</v>
      </c>
      <c r="L1682" s="3">
        <f t="shared" si="52"/>
        <v>2015</v>
      </c>
      <c r="M1682" s="20" t="str">
        <f>A1682&amp;L1682</f>
        <v>XOM2015</v>
      </c>
      <c r="N1682" s="3">
        <f>F1682</f>
        <v>0.69</v>
      </c>
      <c r="O1682" s="9">
        <f>H1682</f>
        <v>2.9899999999999999E-2</v>
      </c>
      <c r="P1682" s="10">
        <f t="shared" si="53"/>
        <v>0</v>
      </c>
      <c r="Q1682" s="10">
        <f>IF(K1682=0,IF(A1679=A1682,AVERAGE(O1679:O1682),"x"),0)</f>
        <v>3.2899999999999999E-2</v>
      </c>
      <c r="R1682" s="9">
        <f>IF(L1682&gt;2005,AVERAGE(O1679:O1698),0)</f>
        <v>2.6349999999999995E-2</v>
      </c>
      <c r="S1682" s="10">
        <f>IF(A1682=A1683,(N1682-N1683)/N1683,0)</f>
        <v>0</v>
      </c>
      <c r="T1682" s="10">
        <f>IF(L1682&gt;2005,(((N1682-N1702)/N1702)+1)^(1/5)-1,0)</f>
        <v>0.10438362870438156</v>
      </c>
      <c r="U1682" s="10">
        <f t="shared" si="54"/>
        <v>0.13073362870438154</v>
      </c>
      <c r="V1682" s="26">
        <f t="shared" si="55"/>
        <v>4.6611211362895828</v>
      </c>
      <c r="W1682" s="3">
        <f>IF(A1682=A1683,N1682-N1683,0)</f>
        <v>0</v>
      </c>
      <c r="X1682" s="10">
        <f>IF(A1682=A1683,(N1682-N1683)/N1683,0)</f>
        <v>0</v>
      </c>
    </row>
    <row r="1683" spans="1:24" ht="16.5" customHeight="1">
      <c r="A1683" s="3" t="s">
        <v>42</v>
      </c>
      <c r="B1683" s="3">
        <f t="shared" si="48"/>
        <v>2014</v>
      </c>
      <c r="C1683" s="3">
        <f t="shared" si="49"/>
        <v>11</v>
      </c>
      <c r="D1683" s="20" t="str">
        <f t="shared" si="50"/>
        <v>XOM201411</v>
      </c>
      <c r="E1683" s="2">
        <v>41950</v>
      </c>
      <c r="F1683" s="3">
        <v>0.69</v>
      </c>
      <c r="G1683" s="2">
        <v>41983</v>
      </c>
      <c r="H1683" s="3">
        <v>2.8000000000000001E-2</v>
      </c>
      <c r="I1683" s="3">
        <v>0</v>
      </c>
      <c r="J1683" s="3">
        <v>0</v>
      </c>
      <c r="K1683" s="3">
        <f t="shared" si="51"/>
        <v>2014</v>
      </c>
      <c r="L1683" s="3">
        <f t="shared" si="52"/>
        <v>0</v>
      </c>
      <c r="M1683" s="20" t="str">
        <f>A1683&amp;L1683</f>
        <v>XOM0</v>
      </c>
      <c r="N1683" s="3">
        <f>F1683</f>
        <v>0.69</v>
      </c>
      <c r="O1683" s="9">
        <f>H1683</f>
        <v>2.8000000000000001E-2</v>
      </c>
      <c r="P1683" s="10">
        <f t="shared" si="53"/>
        <v>0</v>
      </c>
      <c r="Q1683" s="10">
        <f>IF(K1683=0,IF(A1680=A1683,AVERAGE(O1680:O1683),"x"),0)</f>
        <v>0</v>
      </c>
      <c r="R1683" s="9">
        <f>IF(L1683&gt;2005,AVERAGE(O1680:O1699),0)</f>
        <v>0</v>
      </c>
      <c r="S1683" s="10">
        <f>IF(A1683=A1684,(N1683-N1684)/N1684,0)</f>
        <v>0</v>
      </c>
      <c r="T1683" s="10">
        <f>IF(L1683&gt;2005,(((N1683-N1703)/N1703)+1)^(1/5)-1,0)</f>
        <v>0</v>
      </c>
      <c r="U1683" s="10">
        <f t="shared" si="54"/>
        <v>0</v>
      </c>
      <c r="V1683" s="26">
        <f t="shared" si="55"/>
        <v>0</v>
      </c>
      <c r="W1683" s="3">
        <f>IF(A1683=A1684,N1683-N1684,0)</f>
        <v>0</v>
      </c>
      <c r="X1683" s="10">
        <f>IF(A1683=A1684,(N1683-N1684)/N1684,0)</f>
        <v>0</v>
      </c>
    </row>
    <row r="1684" spans="1:24" ht="16.5" customHeight="1">
      <c r="A1684" s="3" t="s">
        <v>42</v>
      </c>
      <c r="B1684" s="3">
        <f t="shared" si="48"/>
        <v>2014</v>
      </c>
      <c r="C1684" s="3">
        <f t="shared" si="49"/>
        <v>8</v>
      </c>
      <c r="D1684" s="20" t="str">
        <f t="shared" si="50"/>
        <v>XOM20148</v>
      </c>
      <c r="E1684" s="2">
        <v>41862</v>
      </c>
      <c r="F1684" s="3">
        <v>0.69</v>
      </c>
      <c r="G1684" s="2">
        <v>41892</v>
      </c>
      <c r="H1684" s="3">
        <v>2.6499999999999999E-2</v>
      </c>
      <c r="I1684" s="3">
        <v>0</v>
      </c>
      <c r="J1684" s="3">
        <v>0</v>
      </c>
      <c r="K1684" s="3">
        <f t="shared" si="51"/>
        <v>2014</v>
      </c>
      <c r="L1684" s="3">
        <f t="shared" si="52"/>
        <v>0</v>
      </c>
      <c r="M1684" s="20" t="str">
        <f>A1684&amp;L1684</f>
        <v>XOM0</v>
      </c>
      <c r="N1684" s="3">
        <f>F1684</f>
        <v>0.69</v>
      </c>
      <c r="O1684" s="9">
        <f>H1684</f>
        <v>2.6499999999999999E-2</v>
      </c>
      <c r="P1684" s="10">
        <f t="shared" si="53"/>
        <v>0</v>
      </c>
      <c r="Q1684" s="10">
        <f>IF(K1684=0,IF(A1681=A1684,AVERAGE(O1681:O1684),"x"),0)</f>
        <v>0</v>
      </c>
      <c r="R1684" s="9">
        <f>IF(L1684&gt;2005,AVERAGE(O1681:O1700),0)</f>
        <v>0</v>
      </c>
      <c r="S1684" s="10">
        <f>IF(A1684=A1685,(N1684-N1685)/N1685,0)</f>
        <v>0</v>
      </c>
      <c r="T1684" s="10">
        <f>IF(L1684&gt;2005,(((N1684-N1704)/N1704)+1)^(1/5)-1,0)</f>
        <v>0</v>
      </c>
      <c r="U1684" s="10">
        <f t="shared" si="54"/>
        <v>0</v>
      </c>
      <c r="V1684" s="26">
        <f t="shared" si="55"/>
        <v>0</v>
      </c>
      <c r="W1684" s="3">
        <f>IF(A1684=A1685,N1684-N1685,0)</f>
        <v>0</v>
      </c>
      <c r="X1684" s="10">
        <f>IF(A1684=A1685,(N1684-N1685)/N1685,0)</f>
        <v>0</v>
      </c>
    </row>
    <row r="1685" spans="1:24" ht="16.5" customHeight="1">
      <c r="A1685" s="3" t="s">
        <v>42</v>
      </c>
      <c r="B1685" s="3">
        <f t="shared" si="48"/>
        <v>2014</v>
      </c>
      <c r="C1685" s="3">
        <f t="shared" si="49"/>
        <v>5</v>
      </c>
      <c r="D1685" s="20" t="str">
        <f t="shared" si="50"/>
        <v>XOM20145</v>
      </c>
      <c r="E1685" s="2">
        <v>41768</v>
      </c>
      <c r="F1685" s="3">
        <v>0.69</v>
      </c>
      <c r="G1685" s="2">
        <v>41800</v>
      </c>
      <c r="H1685" s="3">
        <v>2.52E-2</v>
      </c>
      <c r="I1685" s="3">
        <v>9.5238094999999995E-2</v>
      </c>
      <c r="J1685" s="3">
        <v>0.06</v>
      </c>
      <c r="K1685" s="3">
        <f t="shared" si="51"/>
        <v>2014</v>
      </c>
      <c r="L1685" s="3">
        <f t="shared" si="52"/>
        <v>0</v>
      </c>
      <c r="M1685" s="20" t="str">
        <f>A1685&amp;L1685</f>
        <v>XOM0</v>
      </c>
      <c r="N1685" s="3">
        <f>F1685</f>
        <v>0.69</v>
      </c>
      <c r="O1685" s="9">
        <f>H1685</f>
        <v>2.52E-2</v>
      </c>
      <c r="P1685" s="10">
        <f t="shared" si="53"/>
        <v>2.6449999999999998E-2</v>
      </c>
      <c r="Q1685" s="10">
        <f>IF(K1685=0,IF(A1682=A1685,AVERAGE(O1682:O1685),"x"),0)</f>
        <v>0</v>
      </c>
      <c r="R1685" s="9">
        <f>IF(L1685&gt;2005,AVERAGE(O1682:O1701),0)</f>
        <v>0</v>
      </c>
      <c r="S1685" s="10">
        <f>IF(A1685=A1686,(N1685-N1686)/N1686,0)</f>
        <v>9.523809523809515E-2</v>
      </c>
      <c r="T1685" s="10">
        <f>IF(L1685&gt;2005,(((N1685-N1705)/N1705)+1)^(1/5)-1,0)</f>
        <v>0</v>
      </c>
      <c r="U1685" s="10">
        <f t="shared" si="54"/>
        <v>0</v>
      </c>
      <c r="V1685" s="26">
        <f t="shared" si="55"/>
        <v>0</v>
      </c>
      <c r="W1685" s="3">
        <f>IF(A1685=A1686,N1685-N1686,0)</f>
        <v>5.9999999999999942E-2</v>
      </c>
      <c r="X1685" s="10">
        <f>IF(A1685=A1686,(N1685-N1686)/N1686,0)</f>
        <v>9.523809523809515E-2</v>
      </c>
    </row>
    <row r="1686" spans="1:24" ht="16.5" customHeight="1">
      <c r="A1686" s="3" t="s">
        <v>42</v>
      </c>
      <c r="B1686" s="3">
        <f t="shared" si="48"/>
        <v>2014</v>
      </c>
      <c r="C1686" s="3">
        <f t="shared" si="49"/>
        <v>2</v>
      </c>
      <c r="D1686" s="20" t="str">
        <f t="shared" si="50"/>
        <v>XOM20142</v>
      </c>
      <c r="E1686" s="2">
        <v>41676</v>
      </c>
      <c r="F1686" s="3">
        <v>0.63</v>
      </c>
      <c r="G1686" s="2">
        <v>41708</v>
      </c>
      <c r="H1686" s="3">
        <v>2.81E-2</v>
      </c>
      <c r="I1686" s="3">
        <v>0</v>
      </c>
      <c r="J1686" s="3">
        <v>0</v>
      </c>
      <c r="K1686" s="3">
        <f t="shared" si="51"/>
        <v>0</v>
      </c>
      <c r="L1686" s="3">
        <f t="shared" si="52"/>
        <v>2014</v>
      </c>
      <c r="M1686" s="20" t="str">
        <f>A1686&amp;L1686</f>
        <v>XOM2014</v>
      </c>
      <c r="N1686" s="3">
        <f>F1686</f>
        <v>0.63</v>
      </c>
      <c r="O1686" s="9">
        <f>H1686</f>
        <v>2.81E-2</v>
      </c>
      <c r="P1686" s="10">
        <f t="shared" si="53"/>
        <v>0</v>
      </c>
      <c r="Q1686" s="10">
        <f>IF(K1686=0,IF(A1683=A1686,AVERAGE(O1683:O1686),"x"),0)</f>
        <v>2.6949999999999998E-2</v>
      </c>
      <c r="R1686" s="9">
        <f>IF(L1686&gt;2005,AVERAGE(O1683:O1702),0)</f>
        <v>2.4994999999999996E-2</v>
      </c>
      <c r="S1686" s="10">
        <f>IF(A1686=A1687,(N1686-N1687)/N1687,0)</f>
        <v>0</v>
      </c>
      <c r="T1686" s="10">
        <f>IF(L1686&gt;2005,(((N1686-N1706)/N1706)+1)^(1/5)-1,0)</f>
        <v>9.5105881968669426E-2</v>
      </c>
      <c r="U1686" s="10">
        <f t="shared" si="54"/>
        <v>0.12010088196866942</v>
      </c>
      <c r="V1686" s="26">
        <f t="shared" si="55"/>
        <v>4.6750696329712502</v>
      </c>
      <c r="W1686" s="3">
        <f>IF(A1686=A1687,N1686-N1687,0)</f>
        <v>0</v>
      </c>
      <c r="X1686" s="10">
        <f>IF(A1686=A1687,(N1686-N1687)/N1687,0)</f>
        <v>0</v>
      </c>
    </row>
    <row r="1687" spans="1:24" ht="16.5" customHeight="1">
      <c r="A1687" s="3" t="s">
        <v>42</v>
      </c>
      <c r="B1687" s="3">
        <f t="shared" si="48"/>
        <v>2013</v>
      </c>
      <c r="C1687" s="3">
        <f t="shared" si="49"/>
        <v>11</v>
      </c>
      <c r="D1687" s="20" t="str">
        <f t="shared" si="50"/>
        <v>XOM201311</v>
      </c>
      <c r="E1687" s="2">
        <v>41585</v>
      </c>
      <c r="F1687" s="3">
        <v>0.63</v>
      </c>
      <c r="G1687" s="2">
        <v>41618</v>
      </c>
      <c r="H1687" s="3">
        <v>2.64E-2</v>
      </c>
      <c r="I1687" s="3">
        <v>0</v>
      </c>
      <c r="J1687" s="3">
        <v>0</v>
      </c>
      <c r="K1687" s="3">
        <f t="shared" si="51"/>
        <v>2013</v>
      </c>
      <c r="L1687" s="3">
        <f t="shared" si="52"/>
        <v>0</v>
      </c>
      <c r="M1687" s="20" t="str">
        <f>A1687&amp;L1687</f>
        <v>XOM0</v>
      </c>
      <c r="N1687" s="3">
        <f>F1687</f>
        <v>0.63</v>
      </c>
      <c r="O1687" s="9">
        <f>H1687</f>
        <v>2.64E-2</v>
      </c>
      <c r="P1687" s="10">
        <f t="shared" si="53"/>
        <v>0</v>
      </c>
      <c r="Q1687" s="10">
        <f>IF(K1687=0,IF(A1684=A1687,AVERAGE(O1684:O1687),"x"),0)</f>
        <v>0</v>
      </c>
      <c r="R1687" s="9">
        <f>IF(L1687&gt;2005,AVERAGE(O1684:O1703),0)</f>
        <v>0</v>
      </c>
      <c r="S1687" s="10">
        <f>IF(A1687=A1688,(N1687-N1688)/N1688,0)</f>
        <v>0</v>
      </c>
      <c r="T1687" s="10">
        <f>IF(L1687&gt;2005,(((N1687-N1707)/N1707)+1)^(1/5)-1,0)</f>
        <v>0</v>
      </c>
      <c r="U1687" s="10">
        <f t="shared" si="54"/>
        <v>0</v>
      </c>
      <c r="V1687" s="26">
        <f t="shared" si="55"/>
        <v>0</v>
      </c>
      <c r="W1687" s="3">
        <f>IF(A1687=A1688,N1687-N1688,0)</f>
        <v>0</v>
      </c>
      <c r="X1687" s="10">
        <f>IF(A1687=A1688,(N1687-N1688)/N1688,0)</f>
        <v>0</v>
      </c>
    </row>
    <row r="1688" spans="1:24" ht="16.5" customHeight="1">
      <c r="A1688" s="3" t="s">
        <v>42</v>
      </c>
      <c r="B1688" s="3">
        <f t="shared" si="48"/>
        <v>2013</v>
      </c>
      <c r="C1688" s="3">
        <f t="shared" si="49"/>
        <v>8</v>
      </c>
      <c r="D1688" s="20" t="str">
        <f t="shared" si="50"/>
        <v>XOM20138</v>
      </c>
      <c r="E1688" s="2">
        <v>41495</v>
      </c>
      <c r="F1688" s="3">
        <v>0.63</v>
      </c>
      <c r="G1688" s="2">
        <v>41527</v>
      </c>
      <c r="H1688" s="3">
        <v>2.6100000000000002E-2</v>
      </c>
      <c r="I1688" s="3">
        <v>0</v>
      </c>
      <c r="J1688" s="3">
        <v>0</v>
      </c>
      <c r="K1688" s="3">
        <f t="shared" si="51"/>
        <v>2013</v>
      </c>
      <c r="L1688" s="3">
        <f t="shared" si="52"/>
        <v>0</v>
      </c>
      <c r="M1688" s="20" t="str">
        <f>A1688&amp;L1688</f>
        <v>XOM0</v>
      </c>
      <c r="N1688" s="3">
        <f>F1688</f>
        <v>0.63</v>
      </c>
      <c r="O1688" s="9">
        <f>H1688</f>
        <v>2.6100000000000002E-2</v>
      </c>
      <c r="P1688" s="10">
        <f t="shared" si="53"/>
        <v>0</v>
      </c>
      <c r="Q1688" s="10">
        <f>IF(K1688=0,IF(A1685=A1688,AVERAGE(O1685:O1688),"x"),0)</f>
        <v>0</v>
      </c>
      <c r="R1688" s="9">
        <f>IF(L1688&gt;2005,AVERAGE(O1685:O1704),0)</f>
        <v>0</v>
      </c>
      <c r="S1688" s="10">
        <f>IF(A1688=A1689,(N1688-N1689)/N1689,0)</f>
        <v>0</v>
      </c>
      <c r="T1688" s="10">
        <f>IF(L1688&gt;2005,(((N1688-N1708)/N1708)+1)^(1/5)-1,0)</f>
        <v>0</v>
      </c>
      <c r="U1688" s="10">
        <f t="shared" si="54"/>
        <v>0</v>
      </c>
      <c r="V1688" s="26">
        <f t="shared" si="55"/>
        <v>0</v>
      </c>
      <c r="W1688" s="3">
        <f>IF(A1688=A1689,N1688-N1689,0)</f>
        <v>0</v>
      </c>
      <c r="X1688" s="10">
        <f>IF(A1688=A1689,(N1688-N1689)/N1689,0)</f>
        <v>0</v>
      </c>
    </row>
    <row r="1689" spans="1:24" ht="16.5" customHeight="1">
      <c r="A1689" s="3" t="s">
        <v>42</v>
      </c>
      <c r="B1689" s="3">
        <f t="shared" si="48"/>
        <v>2013</v>
      </c>
      <c r="C1689" s="3">
        <f t="shared" si="49"/>
        <v>5</v>
      </c>
      <c r="D1689" s="20" t="str">
        <f t="shared" si="50"/>
        <v>XOM20135</v>
      </c>
      <c r="E1689" s="2">
        <v>41403</v>
      </c>
      <c r="F1689" s="3">
        <v>0.63</v>
      </c>
      <c r="G1689" s="2">
        <v>41435</v>
      </c>
      <c r="H1689" s="3">
        <v>2.5499999999999998E-2</v>
      </c>
      <c r="I1689" s="3">
        <v>0.105263158</v>
      </c>
      <c r="J1689" s="3">
        <v>0.06</v>
      </c>
      <c r="K1689" s="3">
        <f t="shared" si="51"/>
        <v>2013</v>
      </c>
      <c r="L1689" s="3">
        <f t="shared" si="52"/>
        <v>0</v>
      </c>
      <c r="M1689" s="20" t="str">
        <f>A1689&amp;L1689</f>
        <v>XOM0</v>
      </c>
      <c r="N1689" s="3">
        <f>F1689</f>
        <v>0.63</v>
      </c>
      <c r="O1689" s="9">
        <f>H1689</f>
        <v>2.5499999999999998E-2</v>
      </c>
      <c r="P1689" s="10">
        <f t="shared" si="53"/>
        <v>2.4575E-2</v>
      </c>
      <c r="Q1689" s="10">
        <f>IF(K1689=0,IF(A1686=A1689,AVERAGE(O1686:O1689),"x"),0)</f>
        <v>0</v>
      </c>
      <c r="R1689" s="9">
        <f>IF(L1689&gt;2005,AVERAGE(O1686:O1705),0)</f>
        <v>0</v>
      </c>
      <c r="S1689" s="10">
        <f>IF(A1689=A1690,(N1689-N1690)/N1690,0)</f>
        <v>0.10526315789473695</v>
      </c>
      <c r="T1689" s="10">
        <f>IF(L1689&gt;2005,(((N1689-N1709)/N1709)+1)^(1/5)-1,0)</f>
        <v>0</v>
      </c>
      <c r="U1689" s="10">
        <f t="shared" si="54"/>
        <v>0</v>
      </c>
      <c r="V1689" s="26">
        <f t="shared" si="55"/>
        <v>0</v>
      </c>
      <c r="W1689" s="3">
        <f>IF(A1689=A1690,N1689-N1690,0)</f>
        <v>6.0000000000000053E-2</v>
      </c>
      <c r="X1689" s="10">
        <f>IF(A1689=A1690,(N1689-N1690)/N1690,0)</f>
        <v>0.10526315789473695</v>
      </c>
    </row>
    <row r="1690" spans="1:24" ht="16.5" customHeight="1">
      <c r="A1690" s="3" t="s">
        <v>42</v>
      </c>
      <c r="B1690" s="3">
        <f t="shared" si="48"/>
        <v>2013</v>
      </c>
      <c r="C1690" s="3">
        <f t="shared" si="49"/>
        <v>2</v>
      </c>
      <c r="D1690" s="20" t="str">
        <f t="shared" si="50"/>
        <v>XOM20132</v>
      </c>
      <c r="E1690" s="2">
        <v>41312</v>
      </c>
      <c r="F1690" s="3">
        <v>0.56999999999999995</v>
      </c>
      <c r="G1690" s="2">
        <v>41344</v>
      </c>
      <c r="H1690" s="3">
        <v>2.5399999999999999E-2</v>
      </c>
      <c r="I1690" s="3">
        <v>0</v>
      </c>
      <c r="J1690" s="3">
        <v>0</v>
      </c>
      <c r="K1690" s="3">
        <f t="shared" si="51"/>
        <v>0</v>
      </c>
      <c r="L1690" s="3">
        <f t="shared" si="52"/>
        <v>2013</v>
      </c>
      <c r="M1690" s="20" t="str">
        <f>A1690&amp;L1690</f>
        <v>XOM2013</v>
      </c>
      <c r="N1690" s="3">
        <f>F1690</f>
        <v>0.56999999999999995</v>
      </c>
      <c r="O1690" s="9">
        <f>H1690</f>
        <v>2.5399999999999999E-2</v>
      </c>
      <c r="P1690" s="10">
        <f t="shared" si="53"/>
        <v>0</v>
      </c>
      <c r="Q1690" s="10">
        <f>IF(K1690=0,IF(A1687=A1690,AVERAGE(O1687:O1690),"x"),0)</f>
        <v>2.5849999999999998E-2</v>
      </c>
      <c r="R1690" s="9">
        <f>IF(L1690&gt;2005,AVERAGE(O1687:O1706),0)</f>
        <v>2.4084999999999995E-2</v>
      </c>
      <c r="S1690" s="10">
        <f>IF(A1690=A1691,(N1690-N1691)/N1691,0)</f>
        <v>0</v>
      </c>
      <c r="T1690" s="10">
        <f>IF(L1690&gt;2005,(((N1690-N1710)/N1710)+1)^(1/5)-1,0)</f>
        <v>0.10245624587374724</v>
      </c>
      <c r="U1690" s="10">
        <f t="shared" si="54"/>
        <v>0.12654124587374724</v>
      </c>
      <c r="V1690" s="26">
        <f t="shared" si="55"/>
        <v>4.6883024252196606</v>
      </c>
      <c r="W1690" s="3">
        <f>IF(A1690=A1691,N1690-N1691,0)</f>
        <v>0</v>
      </c>
      <c r="X1690" s="10">
        <f>IF(A1690=A1691,(N1690-N1691)/N1691,0)</f>
        <v>0</v>
      </c>
    </row>
    <row r="1691" spans="1:24" ht="16.5" customHeight="1">
      <c r="A1691" s="3" t="s">
        <v>42</v>
      </c>
      <c r="B1691" s="3">
        <f t="shared" si="48"/>
        <v>2012</v>
      </c>
      <c r="C1691" s="3">
        <f t="shared" si="49"/>
        <v>11</v>
      </c>
      <c r="D1691" s="20" t="str">
        <f t="shared" si="50"/>
        <v>XOM201211</v>
      </c>
      <c r="E1691" s="2">
        <v>41220</v>
      </c>
      <c r="F1691" s="3">
        <v>0.56999999999999995</v>
      </c>
      <c r="G1691" s="2">
        <v>41253</v>
      </c>
      <c r="H1691" s="3">
        <v>2.3800000000000002E-2</v>
      </c>
      <c r="I1691" s="3">
        <v>0</v>
      </c>
      <c r="J1691" s="3">
        <v>0</v>
      </c>
      <c r="K1691" s="3">
        <f t="shared" si="51"/>
        <v>2012</v>
      </c>
      <c r="L1691" s="3">
        <f t="shared" si="52"/>
        <v>0</v>
      </c>
      <c r="M1691" s="20" t="str">
        <f>A1691&amp;L1691</f>
        <v>XOM0</v>
      </c>
      <c r="N1691" s="3">
        <f>F1691</f>
        <v>0.56999999999999995</v>
      </c>
      <c r="O1691" s="9">
        <f>H1691</f>
        <v>2.3800000000000002E-2</v>
      </c>
      <c r="P1691" s="10">
        <f t="shared" si="53"/>
        <v>0</v>
      </c>
      <c r="Q1691" s="10">
        <f>IF(K1691=0,IF(A1688=A1691,AVERAGE(O1688:O1691),"x"),0)</f>
        <v>0</v>
      </c>
      <c r="R1691" s="9">
        <f>IF(L1691&gt;2005,AVERAGE(O1688:O1707),0)</f>
        <v>0</v>
      </c>
      <c r="S1691" s="10">
        <f>IF(A1691=A1692,(N1691-N1692)/N1692,0)</f>
        <v>0</v>
      </c>
      <c r="T1691" s="10">
        <f>IF(L1691&gt;2005,(((N1691-N1711)/N1711)+1)^(1/5)-1,0)</f>
        <v>0</v>
      </c>
      <c r="U1691" s="10">
        <f t="shared" si="54"/>
        <v>0</v>
      </c>
      <c r="V1691" s="26">
        <f t="shared" si="55"/>
        <v>0</v>
      </c>
      <c r="W1691" s="3">
        <f>IF(A1691=A1692,N1691-N1692,0)</f>
        <v>0</v>
      </c>
      <c r="X1691" s="10">
        <f>IF(A1691=A1692,(N1691-N1692)/N1692,0)</f>
        <v>0</v>
      </c>
    </row>
    <row r="1692" spans="1:24" ht="16.5" customHeight="1">
      <c r="A1692" s="3" t="s">
        <v>42</v>
      </c>
      <c r="B1692" s="3">
        <f t="shared" si="48"/>
        <v>2012</v>
      </c>
      <c r="C1692" s="3">
        <f t="shared" si="49"/>
        <v>8</v>
      </c>
      <c r="D1692" s="20" t="str">
        <f t="shared" si="50"/>
        <v>XOM20128</v>
      </c>
      <c r="E1692" s="2">
        <v>41130</v>
      </c>
      <c r="F1692" s="3">
        <v>0.56999999999999995</v>
      </c>
      <c r="G1692" s="2">
        <v>41162</v>
      </c>
      <c r="H1692" s="3">
        <v>2.3599999999999999E-2</v>
      </c>
      <c r="I1692" s="3">
        <v>0</v>
      </c>
      <c r="J1692" s="3">
        <v>0</v>
      </c>
      <c r="K1692" s="3">
        <f t="shared" si="51"/>
        <v>2012</v>
      </c>
      <c r="L1692" s="3">
        <f t="shared" si="52"/>
        <v>0</v>
      </c>
      <c r="M1692" s="20" t="str">
        <f>A1692&amp;L1692</f>
        <v>XOM0</v>
      </c>
      <c r="N1692" s="3">
        <f>F1692</f>
        <v>0.56999999999999995</v>
      </c>
      <c r="O1692" s="9">
        <f>H1692</f>
        <v>2.3599999999999999E-2</v>
      </c>
      <c r="P1692" s="10">
        <f t="shared" si="53"/>
        <v>0</v>
      </c>
      <c r="Q1692" s="10">
        <f>IF(K1692=0,IF(A1689=A1692,AVERAGE(O1689:O1692),"x"),0)</f>
        <v>0</v>
      </c>
      <c r="R1692" s="9">
        <f>IF(L1692&gt;2005,AVERAGE(O1689:O1708),0)</f>
        <v>0</v>
      </c>
      <c r="S1692" s="10">
        <f>IF(A1692=A1693,(N1692-N1693)/N1693,0)</f>
        <v>0</v>
      </c>
      <c r="T1692" s="10">
        <f>IF(L1692&gt;2005,(((N1692-N1712)/N1712)+1)^(1/5)-1,0)</f>
        <v>0</v>
      </c>
      <c r="U1692" s="10">
        <f t="shared" si="54"/>
        <v>0</v>
      </c>
      <c r="V1692" s="26">
        <f t="shared" si="55"/>
        <v>0</v>
      </c>
      <c r="W1692" s="3">
        <f>IF(A1692=A1693,N1692-N1693,0)</f>
        <v>0</v>
      </c>
      <c r="X1692" s="10">
        <f>IF(A1692=A1693,(N1692-N1693)/N1693,0)</f>
        <v>0</v>
      </c>
    </row>
    <row r="1693" spans="1:24" ht="16.5" customHeight="1">
      <c r="A1693" s="3" t="s">
        <v>42</v>
      </c>
      <c r="B1693" s="3">
        <f t="shared" si="48"/>
        <v>2012</v>
      </c>
      <c r="C1693" s="3">
        <f t="shared" si="49"/>
        <v>5</v>
      </c>
      <c r="D1693" s="20" t="str">
        <f t="shared" si="50"/>
        <v>XOM20125</v>
      </c>
      <c r="E1693" s="2">
        <v>41039</v>
      </c>
      <c r="F1693" s="3">
        <v>0.56999999999999995</v>
      </c>
      <c r="G1693" s="2">
        <v>41071</v>
      </c>
      <c r="H1693" s="3">
        <v>2.3800000000000002E-2</v>
      </c>
      <c r="I1693" s="3">
        <v>0.21276595700000001</v>
      </c>
      <c r="J1693" s="3">
        <v>0.1</v>
      </c>
      <c r="K1693" s="3">
        <f t="shared" si="51"/>
        <v>2012</v>
      </c>
      <c r="L1693" s="3">
        <f t="shared" si="52"/>
        <v>0</v>
      </c>
      <c r="M1693" s="20" t="str">
        <f>A1693&amp;L1693</f>
        <v>XOM0</v>
      </c>
      <c r="N1693" s="3">
        <f>F1693</f>
        <v>0.56999999999999995</v>
      </c>
      <c r="O1693" s="9">
        <f>H1693</f>
        <v>2.3800000000000002E-2</v>
      </c>
      <c r="P1693" s="10">
        <f t="shared" si="53"/>
        <v>2.3574999999999999E-2</v>
      </c>
      <c r="Q1693" s="10">
        <f>IF(K1693=0,IF(A1690=A1693,AVERAGE(O1690:O1693),"x"),0)</f>
        <v>0</v>
      </c>
      <c r="R1693" s="9">
        <f>IF(L1693&gt;2005,AVERAGE(O1690:O1709),0)</f>
        <v>0</v>
      </c>
      <c r="S1693" s="10">
        <f>IF(A1693=A1694,(N1693-N1694)/N1694,0)</f>
        <v>0.21276595744680848</v>
      </c>
      <c r="T1693" s="10">
        <f>IF(L1693&gt;2005,(((N1693-N1713)/N1713)+1)^(1/5)-1,0)</f>
        <v>0</v>
      </c>
      <c r="U1693" s="10">
        <f t="shared" si="54"/>
        <v>0</v>
      </c>
      <c r="V1693" s="26">
        <f t="shared" si="55"/>
        <v>0</v>
      </c>
      <c r="W1693" s="3">
        <f>IF(A1693=A1694,N1693-N1694,0)</f>
        <v>9.9999999999999978E-2</v>
      </c>
      <c r="X1693" s="10">
        <f>IF(A1693=A1694,(N1693-N1694)/N1694,0)</f>
        <v>0.21276595744680848</v>
      </c>
    </row>
    <row r="1694" spans="1:24" ht="16.5" customHeight="1">
      <c r="A1694" s="3" t="s">
        <v>42</v>
      </c>
      <c r="B1694" s="3">
        <f t="shared" si="48"/>
        <v>2012</v>
      </c>
      <c r="C1694" s="3">
        <f t="shared" si="49"/>
        <v>2</v>
      </c>
      <c r="D1694" s="20" t="str">
        <f t="shared" si="50"/>
        <v>XOM20122</v>
      </c>
      <c r="E1694" s="2">
        <v>40947</v>
      </c>
      <c r="F1694" s="3">
        <v>0.47</v>
      </c>
      <c r="G1694" s="2">
        <v>40977</v>
      </c>
      <c r="H1694" s="3">
        <v>2.18E-2</v>
      </c>
      <c r="I1694" s="3">
        <v>0</v>
      </c>
      <c r="J1694" s="3">
        <v>0</v>
      </c>
      <c r="K1694" s="3">
        <f t="shared" si="51"/>
        <v>0</v>
      </c>
      <c r="L1694" s="3">
        <f t="shared" si="52"/>
        <v>2012</v>
      </c>
      <c r="M1694" s="20" t="str">
        <f>A1694&amp;L1694</f>
        <v>XOM2012</v>
      </c>
      <c r="N1694" s="3">
        <f>F1694</f>
        <v>0.47</v>
      </c>
      <c r="O1694" s="9">
        <f>H1694</f>
        <v>2.18E-2</v>
      </c>
      <c r="P1694" s="10">
        <f t="shared" si="53"/>
        <v>0</v>
      </c>
      <c r="Q1694" s="10">
        <f>IF(K1694=0,IF(A1691=A1694,AVERAGE(O1691:O1694),"x"),0)</f>
        <v>2.325E-2</v>
      </c>
      <c r="R1694" s="9">
        <f>IF(L1694&gt;2005,AVERAGE(O1691:O1710),0)</f>
        <v>2.2644999999999995E-2</v>
      </c>
      <c r="S1694" s="10">
        <f>IF(A1694=A1695,(N1694-N1695)/N1695,0)</f>
        <v>0</v>
      </c>
      <c r="T1694" s="10">
        <f>IF(L1694&gt;2005,(((N1694-N1714)/N1714)+1)^(1/5)-1,0)</f>
        <v>7.9915005882233103E-2</v>
      </c>
      <c r="U1694" s="10">
        <f t="shared" si="54"/>
        <v>0.1025600058822331</v>
      </c>
      <c r="V1694" s="26">
        <f t="shared" si="55"/>
        <v>4.7002292889579342</v>
      </c>
      <c r="W1694" s="3">
        <f>IF(A1694=A1695,N1694-N1695,0)</f>
        <v>0</v>
      </c>
      <c r="X1694" s="10">
        <f>IF(A1694=A1695,(N1694-N1695)/N1695,0)</f>
        <v>0</v>
      </c>
    </row>
    <row r="1695" spans="1:24" ht="16.5" customHeight="1">
      <c r="A1695" s="3" t="s">
        <v>42</v>
      </c>
      <c r="B1695" s="3">
        <f t="shared" si="48"/>
        <v>2011</v>
      </c>
      <c r="C1695" s="3">
        <f t="shared" si="49"/>
        <v>11</v>
      </c>
      <c r="D1695" s="20" t="str">
        <f t="shared" si="50"/>
        <v>XOM201111</v>
      </c>
      <c r="E1695" s="2">
        <v>40855</v>
      </c>
      <c r="F1695" s="3">
        <v>0.47</v>
      </c>
      <c r="G1695" s="2">
        <v>40886</v>
      </c>
      <c r="H1695" s="3">
        <v>2.3300000000000001E-2</v>
      </c>
      <c r="I1695" s="3">
        <v>0</v>
      </c>
      <c r="J1695" s="3">
        <v>0</v>
      </c>
      <c r="K1695" s="3">
        <f t="shared" si="51"/>
        <v>2011</v>
      </c>
      <c r="L1695" s="3">
        <f t="shared" si="52"/>
        <v>0</v>
      </c>
      <c r="M1695" s="20" t="str">
        <f>A1695&amp;L1695</f>
        <v>XOM0</v>
      </c>
      <c r="N1695" s="3">
        <f>F1695</f>
        <v>0.47</v>
      </c>
      <c r="O1695" s="9">
        <f>H1695</f>
        <v>2.3300000000000001E-2</v>
      </c>
      <c r="P1695" s="10">
        <f t="shared" si="53"/>
        <v>0</v>
      </c>
      <c r="Q1695" s="10">
        <f>IF(K1695=0,IF(A1692=A1695,AVERAGE(O1692:O1695),"x"),0)</f>
        <v>0</v>
      </c>
      <c r="R1695" s="9">
        <f>IF(L1695&gt;2005,AVERAGE(O1692:O1711),0)</f>
        <v>0</v>
      </c>
      <c r="S1695" s="10">
        <f>IF(A1695=A1696,(N1695-N1696)/N1696,0)</f>
        <v>0</v>
      </c>
      <c r="T1695" s="10">
        <f>IF(L1695&gt;2005,(((N1695-N1715)/N1715)+1)^(1/5)-1,0)</f>
        <v>0</v>
      </c>
      <c r="U1695" s="10">
        <f t="shared" si="54"/>
        <v>0</v>
      </c>
      <c r="V1695" s="26">
        <f t="shared" si="55"/>
        <v>0</v>
      </c>
      <c r="W1695" s="3">
        <f>IF(A1695=A1696,N1695-N1696,0)</f>
        <v>0</v>
      </c>
      <c r="X1695" s="10">
        <f>IF(A1695=A1696,(N1695-N1696)/N1696,0)</f>
        <v>0</v>
      </c>
    </row>
    <row r="1696" spans="1:24" ht="16.5" customHeight="1">
      <c r="A1696" s="3" t="s">
        <v>42</v>
      </c>
      <c r="B1696" s="3">
        <f t="shared" si="48"/>
        <v>2011</v>
      </c>
      <c r="C1696" s="3">
        <f t="shared" si="49"/>
        <v>8</v>
      </c>
      <c r="D1696" s="20" t="str">
        <f t="shared" si="50"/>
        <v>XOM20118</v>
      </c>
      <c r="E1696" s="2">
        <v>40765</v>
      </c>
      <c r="F1696" s="3">
        <v>0.47</v>
      </c>
      <c r="G1696" s="2">
        <v>40795</v>
      </c>
      <c r="H1696" s="3">
        <v>2.5399999999999999E-2</v>
      </c>
      <c r="I1696" s="3">
        <v>0</v>
      </c>
      <c r="J1696" s="3">
        <v>0</v>
      </c>
      <c r="K1696" s="3">
        <f t="shared" si="51"/>
        <v>2011</v>
      </c>
      <c r="L1696" s="3">
        <f t="shared" si="52"/>
        <v>0</v>
      </c>
      <c r="M1696" s="20" t="str">
        <f>A1696&amp;L1696</f>
        <v>XOM0</v>
      </c>
      <c r="N1696" s="3">
        <f>F1696</f>
        <v>0.47</v>
      </c>
      <c r="O1696" s="9">
        <f>H1696</f>
        <v>2.5399999999999999E-2</v>
      </c>
      <c r="P1696" s="10">
        <f t="shared" si="53"/>
        <v>0</v>
      </c>
      <c r="Q1696" s="10">
        <f>IF(K1696=0,IF(A1693=A1696,AVERAGE(O1693:O1696),"x"),0)</f>
        <v>0</v>
      </c>
      <c r="R1696" s="9">
        <f>IF(L1696&gt;2005,AVERAGE(O1693:O1712),0)</f>
        <v>0</v>
      </c>
      <c r="S1696" s="10">
        <f>IF(A1696=A1697,(N1696-N1697)/N1697,0)</f>
        <v>0</v>
      </c>
      <c r="T1696" s="10">
        <f>IF(L1696&gt;2005,(((N1696-N1716)/N1716)+1)^(1/5)-1,0)</f>
        <v>0</v>
      </c>
      <c r="U1696" s="10">
        <f t="shared" si="54"/>
        <v>0</v>
      </c>
      <c r="V1696" s="26">
        <f t="shared" si="55"/>
        <v>0</v>
      </c>
      <c r="W1696" s="3">
        <f>IF(A1696=A1697,N1696-N1697,0)</f>
        <v>0</v>
      </c>
      <c r="X1696" s="10">
        <f>IF(A1696=A1697,(N1696-N1697)/N1697,0)</f>
        <v>0</v>
      </c>
    </row>
    <row r="1697" spans="1:24" ht="16.5" customHeight="1">
      <c r="A1697" s="3" t="s">
        <v>42</v>
      </c>
      <c r="B1697" s="3">
        <f t="shared" si="48"/>
        <v>2011</v>
      </c>
      <c r="C1697" s="3">
        <f t="shared" si="49"/>
        <v>5</v>
      </c>
      <c r="D1697" s="20" t="str">
        <f t="shared" si="50"/>
        <v>XOM20115</v>
      </c>
      <c r="E1697" s="2">
        <v>40674</v>
      </c>
      <c r="F1697" s="3">
        <v>0.47</v>
      </c>
      <c r="G1697" s="2">
        <v>40704</v>
      </c>
      <c r="H1697" s="3">
        <v>2.1499999999999998E-2</v>
      </c>
      <c r="I1697" s="3">
        <v>6.8181818000000005E-2</v>
      </c>
      <c r="J1697" s="3">
        <v>0.03</v>
      </c>
      <c r="K1697" s="3">
        <f t="shared" si="51"/>
        <v>2011</v>
      </c>
      <c r="L1697" s="3">
        <f t="shared" si="52"/>
        <v>0</v>
      </c>
      <c r="M1697" s="20" t="str">
        <f>A1697&amp;L1697</f>
        <v>XOM0</v>
      </c>
      <c r="N1697" s="3">
        <f>F1697</f>
        <v>0.47</v>
      </c>
      <c r="O1697" s="9">
        <f>H1697</f>
        <v>2.1499999999999998E-2</v>
      </c>
      <c r="P1697" s="10">
        <f t="shared" si="53"/>
        <v>2.375E-2</v>
      </c>
      <c r="Q1697" s="10">
        <f>IF(K1697=0,IF(A1694=A1697,AVERAGE(O1694:O1697),"x"),0)</f>
        <v>0</v>
      </c>
      <c r="R1697" s="9">
        <f>IF(L1697&gt;2005,AVERAGE(O1694:O1713),0)</f>
        <v>0</v>
      </c>
      <c r="S1697" s="10">
        <f>IF(A1697=A1698,(N1697-N1698)/N1698,0)</f>
        <v>6.8181818181818121E-2</v>
      </c>
      <c r="T1697" s="10">
        <f>IF(L1697&gt;2005,(((N1697-N1717)/N1717)+1)^(1/5)-1,0)</f>
        <v>0</v>
      </c>
      <c r="U1697" s="10">
        <f t="shared" si="54"/>
        <v>0</v>
      </c>
      <c r="V1697" s="26">
        <f t="shared" si="55"/>
        <v>0</v>
      </c>
      <c r="W1697" s="3">
        <f>IF(A1697=A1698,N1697-N1698,0)</f>
        <v>2.9999999999999971E-2</v>
      </c>
      <c r="X1697" s="10">
        <f>IF(A1697=A1698,(N1697-N1698)/N1698,0)</f>
        <v>6.8181818181818121E-2</v>
      </c>
    </row>
    <row r="1698" spans="1:24" ht="16.5" customHeight="1">
      <c r="A1698" s="3" t="s">
        <v>42</v>
      </c>
      <c r="B1698" s="3">
        <f t="shared" si="48"/>
        <v>2011</v>
      </c>
      <c r="C1698" s="3">
        <f t="shared" si="49"/>
        <v>2</v>
      </c>
      <c r="D1698" s="20" t="str">
        <f t="shared" si="50"/>
        <v>XOM20112</v>
      </c>
      <c r="E1698" s="2">
        <v>40582</v>
      </c>
      <c r="F1698" s="3">
        <v>0.44</v>
      </c>
      <c r="G1698" s="2">
        <v>40612</v>
      </c>
      <c r="H1698" s="3">
        <v>2.1000000000000001E-2</v>
      </c>
      <c r="I1698" s="3">
        <v>0</v>
      </c>
      <c r="J1698" s="3">
        <v>0</v>
      </c>
      <c r="K1698" s="3">
        <f t="shared" si="51"/>
        <v>0</v>
      </c>
      <c r="L1698" s="3">
        <f t="shared" si="52"/>
        <v>2011</v>
      </c>
      <c r="M1698" s="20" t="str">
        <f>A1698&amp;L1698</f>
        <v>XOM2011</v>
      </c>
      <c r="N1698" s="3">
        <f>F1698</f>
        <v>0.44</v>
      </c>
      <c r="O1698" s="9">
        <f>H1698</f>
        <v>2.1000000000000001E-2</v>
      </c>
      <c r="P1698" s="10">
        <f t="shared" si="53"/>
        <v>0</v>
      </c>
      <c r="Q1698" s="10">
        <f>IF(K1698=0,IF(A1695=A1698,AVERAGE(O1695:O1698),"x"),0)</f>
        <v>2.2800000000000001E-2</v>
      </c>
      <c r="R1698" s="9">
        <f>IF(L1698&gt;2005,AVERAGE(O1695:O1714),0)</f>
        <v>2.1170000000000001E-2</v>
      </c>
      <c r="S1698" s="10">
        <f>IF(A1698=A1699,(N1698-N1699)/N1699,0)</f>
        <v>0</v>
      </c>
      <c r="T1698" s="10">
        <f>IF(L1698&gt;2005,(((N1698-N1718)/N1718)+1)^(1/5)-1,0)</f>
        <v>6.5762756635474151E-2</v>
      </c>
      <c r="U1698" s="10">
        <f t="shared" si="54"/>
        <v>8.6932756635474145E-2</v>
      </c>
      <c r="V1698" s="26">
        <f t="shared" si="55"/>
        <v>4.7153245808699502</v>
      </c>
      <c r="W1698" s="3">
        <f>IF(A1698=A1699,N1698-N1699,0)</f>
        <v>0</v>
      </c>
      <c r="X1698" s="10">
        <f>IF(A1698=A1699,(N1698-N1699)/N1699,0)</f>
        <v>0</v>
      </c>
    </row>
    <row r="1699" spans="1:24" ht="16.5" customHeight="1">
      <c r="A1699" s="3" t="s">
        <v>42</v>
      </c>
      <c r="B1699" s="3">
        <f t="shared" si="48"/>
        <v>2010</v>
      </c>
      <c r="C1699" s="3">
        <f t="shared" si="49"/>
        <v>11</v>
      </c>
      <c r="D1699" s="20" t="str">
        <f t="shared" si="50"/>
        <v>XOM201011</v>
      </c>
      <c r="E1699" s="2">
        <v>40491</v>
      </c>
      <c r="F1699" s="3">
        <v>0.44</v>
      </c>
      <c r="G1699" s="2">
        <v>40522</v>
      </c>
      <c r="H1699" s="3">
        <v>2.47E-2</v>
      </c>
      <c r="I1699" s="3">
        <v>0</v>
      </c>
      <c r="J1699" s="3">
        <v>0</v>
      </c>
      <c r="K1699" s="3">
        <f t="shared" si="51"/>
        <v>2010</v>
      </c>
      <c r="L1699" s="3">
        <f t="shared" si="52"/>
        <v>0</v>
      </c>
      <c r="M1699" s="20" t="str">
        <f>A1699&amp;L1699</f>
        <v>XOM0</v>
      </c>
      <c r="N1699" s="3">
        <f>F1699</f>
        <v>0.44</v>
      </c>
      <c r="O1699" s="9">
        <f>H1699</f>
        <v>2.47E-2</v>
      </c>
      <c r="P1699" s="10">
        <f t="shared" si="53"/>
        <v>0</v>
      </c>
      <c r="Q1699" s="10">
        <f>IF(K1699=0,IF(A1696=A1699,AVERAGE(O1696:O1699),"x"),0)</f>
        <v>0</v>
      </c>
      <c r="R1699" s="9">
        <f>IF(L1699&gt;2005,AVERAGE(O1696:O1715),0)</f>
        <v>0</v>
      </c>
      <c r="S1699" s="10">
        <f>IF(A1699=A1700,(N1699-N1700)/N1700,0)</f>
        <v>0</v>
      </c>
      <c r="T1699" s="10">
        <f>IF(L1699&gt;2005,(((N1699-N1719)/N1719)+1)^(1/5)-1,0)</f>
        <v>0</v>
      </c>
      <c r="U1699" s="10">
        <f t="shared" si="54"/>
        <v>0</v>
      </c>
      <c r="V1699" s="26">
        <f t="shared" si="55"/>
        <v>0</v>
      </c>
      <c r="W1699" s="3">
        <f>IF(A1699=A1700,N1699-N1700,0)</f>
        <v>0</v>
      </c>
      <c r="X1699" s="10">
        <f>IF(A1699=A1700,(N1699-N1700)/N1700,0)</f>
        <v>0</v>
      </c>
    </row>
    <row r="1700" spans="1:24" ht="16.5" customHeight="1">
      <c r="A1700" s="3" t="s">
        <v>42</v>
      </c>
      <c r="B1700" s="3">
        <f t="shared" si="48"/>
        <v>2010</v>
      </c>
      <c r="C1700" s="3">
        <f t="shared" si="49"/>
        <v>8</v>
      </c>
      <c r="D1700" s="20" t="str">
        <f t="shared" si="50"/>
        <v>XOM20108</v>
      </c>
      <c r="E1700" s="2">
        <v>40401</v>
      </c>
      <c r="F1700" s="3">
        <v>0.44</v>
      </c>
      <c r="G1700" s="2">
        <v>40431</v>
      </c>
      <c r="H1700" s="3">
        <v>2.7799999999999998E-2</v>
      </c>
      <c r="I1700" s="3">
        <v>0</v>
      </c>
      <c r="J1700" s="3">
        <v>0</v>
      </c>
      <c r="K1700" s="3">
        <f t="shared" si="51"/>
        <v>2010</v>
      </c>
      <c r="L1700" s="3">
        <f t="shared" si="52"/>
        <v>0</v>
      </c>
      <c r="M1700" s="20" t="str">
        <f>A1700&amp;L1700</f>
        <v>XOM0</v>
      </c>
      <c r="N1700" s="3">
        <f>F1700</f>
        <v>0.44</v>
      </c>
      <c r="O1700" s="9">
        <f>H1700</f>
        <v>2.7799999999999998E-2</v>
      </c>
      <c r="P1700" s="10">
        <f t="shared" si="53"/>
        <v>0</v>
      </c>
      <c r="Q1700" s="10">
        <f>IF(K1700=0,IF(A1697=A1700,AVERAGE(O1697:O1700),"x"),0)</f>
        <v>0</v>
      </c>
      <c r="R1700" s="9">
        <f>IF(L1700&gt;2005,AVERAGE(O1697:O1716),0)</f>
        <v>0</v>
      </c>
      <c r="S1700" s="10">
        <f>IF(A1700=A1701,(N1700-N1701)/N1701,0)</f>
        <v>0</v>
      </c>
      <c r="T1700" s="10">
        <f>IF(L1700&gt;2005,(((N1700-N1720)/N1720)+1)^(1/5)-1,0)</f>
        <v>0</v>
      </c>
      <c r="U1700" s="10">
        <f t="shared" si="54"/>
        <v>0</v>
      </c>
      <c r="V1700" s="26">
        <f t="shared" si="55"/>
        <v>0</v>
      </c>
      <c r="W1700" s="3">
        <f>IF(A1700=A1701,N1700-N1701,0)</f>
        <v>0</v>
      </c>
      <c r="X1700" s="10">
        <f>IF(A1700=A1701,(N1700-N1701)/N1701,0)</f>
        <v>0</v>
      </c>
    </row>
    <row r="1701" spans="1:24" ht="16.5" customHeight="1">
      <c r="A1701" s="3" t="s">
        <v>42</v>
      </c>
      <c r="B1701" s="3">
        <f t="shared" si="48"/>
        <v>2010</v>
      </c>
      <c r="C1701" s="3">
        <f t="shared" si="49"/>
        <v>5</v>
      </c>
      <c r="D1701" s="20" t="str">
        <f t="shared" si="50"/>
        <v>XOM20105</v>
      </c>
      <c r="E1701" s="2">
        <v>40309</v>
      </c>
      <c r="F1701" s="3">
        <v>0.44</v>
      </c>
      <c r="G1701" s="2">
        <v>40339</v>
      </c>
      <c r="H1701" s="3">
        <v>2.6100000000000002E-2</v>
      </c>
      <c r="I1701" s="3">
        <v>4.7619047999999997E-2</v>
      </c>
      <c r="J1701" s="3">
        <v>0.02</v>
      </c>
      <c r="K1701" s="3">
        <f t="shared" si="51"/>
        <v>2010</v>
      </c>
      <c r="L1701" s="3">
        <f t="shared" si="52"/>
        <v>0</v>
      </c>
      <c r="M1701" s="20" t="str">
        <f>A1701&amp;L1701</f>
        <v>XOM0</v>
      </c>
      <c r="N1701" s="3">
        <f>F1701</f>
        <v>0.44</v>
      </c>
      <c r="O1701" s="9">
        <f>H1701</f>
        <v>2.6100000000000002E-2</v>
      </c>
      <c r="P1701" s="10">
        <f t="shared" si="53"/>
        <v>2.4650000000000002E-2</v>
      </c>
      <c r="Q1701" s="10">
        <f>IF(K1701=0,IF(A1698=A1701,AVERAGE(O1698:O1701),"x"),0)</f>
        <v>0</v>
      </c>
      <c r="R1701" s="9">
        <f>IF(L1701&gt;2005,AVERAGE(O1698:O1717),0)</f>
        <v>0</v>
      </c>
      <c r="S1701" s="10">
        <f>IF(A1701=A1702,(N1701-N1702)/N1702,0)</f>
        <v>4.7619047619047665E-2</v>
      </c>
      <c r="T1701" s="10">
        <f>IF(L1701&gt;2005,(((N1701-N1721)/N1721)+1)^(1/5)-1,0)</f>
        <v>0</v>
      </c>
      <c r="U1701" s="10">
        <f t="shared" si="54"/>
        <v>0</v>
      </c>
      <c r="V1701" s="26">
        <f t="shared" si="55"/>
        <v>0</v>
      </c>
      <c r="W1701" s="3">
        <f>IF(A1701=A1702,N1701-N1702,0)</f>
        <v>2.0000000000000018E-2</v>
      </c>
      <c r="X1701" s="10">
        <f>IF(A1701=A1702,(N1701-N1702)/N1702,0)</f>
        <v>4.7619047619047665E-2</v>
      </c>
    </row>
    <row r="1702" spans="1:24" ht="16.5" customHeight="1">
      <c r="A1702" s="3" t="s">
        <v>42</v>
      </c>
      <c r="B1702" s="3">
        <f t="shared" si="48"/>
        <v>2010</v>
      </c>
      <c r="C1702" s="3">
        <f t="shared" si="49"/>
        <v>2</v>
      </c>
      <c r="D1702" s="20" t="str">
        <f t="shared" si="50"/>
        <v>XOM20102</v>
      </c>
      <c r="E1702" s="2">
        <v>40217</v>
      </c>
      <c r="F1702" s="3">
        <v>0.42</v>
      </c>
      <c r="G1702" s="2">
        <v>40247</v>
      </c>
      <c r="H1702" s="3">
        <v>2.5899999999999999E-2</v>
      </c>
      <c r="I1702" s="3">
        <v>0</v>
      </c>
      <c r="J1702" s="3">
        <v>0</v>
      </c>
      <c r="K1702" s="3">
        <f t="shared" si="51"/>
        <v>0</v>
      </c>
      <c r="L1702" s="3">
        <f t="shared" si="52"/>
        <v>2010</v>
      </c>
      <c r="M1702" s="20" t="str">
        <f>A1702&amp;L1702</f>
        <v>XOM2010</v>
      </c>
      <c r="N1702" s="3">
        <f>F1702</f>
        <v>0.42</v>
      </c>
      <c r="O1702" s="9">
        <f>H1702</f>
        <v>2.5899999999999999E-2</v>
      </c>
      <c r="P1702" s="10">
        <f t="shared" si="53"/>
        <v>0</v>
      </c>
      <c r="Q1702" s="10">
        <f>IF(K1702=0,IF(A1699=A1702,AVERAGE(O1699:O1702),"x"),0)</f>
        <v>2.6125000000000002E-2</v>
      </c>
      <c r="R1702" s="9">
        <f>IF(L1702&gt;2005,AVERAGE(O1699:O1718),0)</f>
        <v>2.0315E-2</v>
      </c>
      <c r="S1702" s="10">
        <f>IF(A1702=A1703,(N1702-N1703)/N1703,0)</f>
        <v>0</v>
      </c>
      <c r="T1702" s="10">
        <f>IF(L1702&gt;2005,(((N1702-N1722)/N1722)+1)^(1/5)-1,0)</f>
        <v>9.2388464140372939E-2</v>
      </c>
      <c r="U1702" s="10">
        <f t="shared" si="54"/>
        <v>0.11270346414037294</v>
      </c>
      <c r="V1702" s="26">
        <f t="shared" si="55"/>
        <v>4.7327159581350671</v>
      </c>
      <c r="W1702" s="3">
        <f>IF(A1702=A1703,N1702-N1703,0)</f>
        <v>0</v>
      </c>
      <c r="X1702" s="10">
        <f>IF(A1702=A1703,(N1702-N1703)/N1703,0)</f>
        <v>0</v>
      </c>
    </row>
    <row r="1703" spans="1:24" ht="16.5" customHeight="1">
      <c r="A1703" s="3" t="s">
        <v>42</v>
      </c>
      <c r="B1703" s="3">
        <f t="shared" si="48"/>
        <v>2009</v>
      </c>
      <c r="C1703" s="3">
        <f t="shared" si="49"/>
        <v>11</v>
      </c>
      <c r="D1703" s="20" t="str">
        <f t="shared" si="50"/>
        <v>XOM200911</v>
      </c>
      <c r="E1703" s="2">
        <v>40126</v>
      </c>
      <c r="F1703" s="3">
        <v>0.42</v>
      </c>
      <c r="G1703" s="2">
        <v>40157</v>
      </c>
      <c r="H1703" s="3">
        <v>2.29E-2</v>
      </c>
      <c r="I1703" s="3">
        <v>0</v>
      </c>
      <c r="J1703" s="3">
        <v>0</v>
      </c>
      <c r="K1703" s="3">
        <f t="shared" si="51"/>
        <v>2009</v>
      </c>
      <c r="L1703" s="3">
        <f t="shared" si="52"/>
        <v>0</v>
      </c>
      <c r="M1703" s="20" t="str">
        <f>A1703&amp;L1703</f>
        <v>XOM0</v>
      </c>
      <c r="N1703" s="3">
        <f>F1703</f>
        <v>0.42</v>
      </c>
      <c r="O1703" s="9">
        <f>H1703</f>
        <v>2.29E-2</v>
      </c>
      <c r="P1703" s="10">
        <f t="shared" si="53"/>
        <v>0</v>
      </c>
      <c r="Q1703" s="10">
        <f>IF(K1703=0,IF(A1700=A1703,AVERAGE(O1700:O1703),"x"),0)</f>
        <v>0</v>
      </c>
      <c r="R1703" s="9">
        <f>IF(L1703&gt;2005,AVERAGE(O1700:O1719),0)</f>
        <v>0</v>
      </c>
      <c r="S1703" s="10">
        <f>IF(A1703=A1704,(N1703-N1704)/N1704,0)</f>
        <v>0</v>
      </c>
      <c r="T1703" s="10">
        <f>IF(L1703&gt;2005,(((N1703-N1723)/N1723)+1)^(1/5)-1,0)</f>
        <v>0</v>
      </c>
      <c r="U1703" s="10">
        <f t="shared" si="54"/>
        <v>0</v>
      </c>
      <c r="V1703" s="26">
        <f t="shared" si="55"/>
        <v>0</v>
      </c>
      <c r="W1703" s="3">
        <f>IF(A1703=A1704,N1703-N1704,0)</f>
        <v>0</v>
      </c>
      <c r="X1703" s="10">
        <f>IF(A1703=A1704,(N1703-N1704)/N1704,0)</f>
        <v>0</v>
      </c>
    </row>
    <row r="1704" spans="1:24" ht="16.5" customHeight="1">
      <c r="A1704" s="3" t="s">
        <v>42</v>
      </c>
      <c r="B1704" s="3">
        <f t="shared" si="48"/>
        <v>2009</v>
      </c>
      <c r="C1704" s="3">
        <f t="shared" si="49"/>
        <v>8</v>
      </c>
      <c r="D1704" s="20" t="str">
        <f t="shared" si="50"/>
        <v>XOM20098</v>
      </c>
      <c r="E1704" s="2">
        <v>40036</v>
      </c>
      <c r="F1704" s="3">
        <v>0.42</v>
      </c>
      <c r="G1704" s="2">
        <v>40066</v>
      </c>
      <c r="H1704" s="3">
        <v>2.3699999999999999E-2</v>
      </c>
      <c r="I1704" s="3">
        <v>0</v>
      </c>
      <c r="J1704" s="3">
        <v>0</v>
      </c>
      <c r="K1704" s="3">
        <f t="shared" si="51"/>
        <v>2009</v>
      </c>
      <c r="L1704" s="3">
        <f t="shared" si="52"/>
        <v>0</v>
      </c>
      <c r="M1704" s="20" t="str">
        <f>A1704&amp;L1704</f>
        <v>XOM0</v>
      </c>
      <c r="N1704" s="3">
        <f>F1704</f>
        <v>0.42</v>
      </c>
      <c r="O1704" s="9">
        <f>H1704</f>
        <v>2.3699999999999999E-2</v>
      </c>
      <c r="P1704" s="10">
        <f t="shared" si="53"/>
        <v>0</v>
      </c>
      <c r="Q1704" s="10">
        <f>IF(K1704=0,IF(A1701=A1704,AVERAGE(O1701:O1704),"x"),0)</f>
        <v>0</v>
      </c>
      <c r="R1704" s="9">
        <f>IF(L1704&gt;2005,AVERAGE(O1701:O1720),0)</f>
        <v>0</v>
      </c>
      <c r="S1704" s="10">
        <f>IF(A1704=A1705,(N1704-N1705)/N1705,0)</f>
        <v>0</v>
      </c>
      <c r="T1704" s="10">
        <f>IF(L1704&gt;2005,(((N1704-N1724)/N1724)+1)^(1/5)-1,0)</f>
        <v>0</v>
      </c>
      <c r="U1704" s="10">
        <f t="shared" si="54"/>
        <v>0</v>
      </c>
      <c r="V1704" s="26">
        <f t="shared" si="55"/>
        <v>0</v>
      </c>
      <c r="W1704" s="3">
        <f>IF(A1704=A1705,N1704-N1705,0)</f>
        <v>0</v>
      </c>
      <c r="X1704" s="10">
        <f>IF(A1704=A1705,(N1704-N1705)/N1705,0)</f>
        <v>0</v>
      </c>
    </row>
    <row r="1705" spans="1:24" ht="16.5" customHeight="1">
      <c r="A1705" s="3" t="s">
        <v>42</v>
      </c>
      <c r="B1705" s="3">
        <f t="shared" si="48"/>
        <v>2009</v>
      </c>
      <c r="C1705" s="3">
        <f t="shared" si="49"/>
        <v>5</v>
      </c>
      <c r="D1705" s="20" t="str">
        <f t="shared" si="50"/>
        <v>XOM20095</v>
      </c>
      <c r="E1705" s="2">
        <v>39944</v>
      </c>
      <c r="F1705" s="3">
        <v>0.42</v>
      </c>
      <c r="G1705" s="2">
        <v>39974</v>
      </c>
      <c r="H1705" s="3">
        <v>2.29E-2</v>
      </c>
      <c r="I1705" s="3">
        <v>0.05</v>
      </c>
      <c r="J1705" s="3">
        <v>0.02</v>
      </c>
      <c r="K1705" s="3">
        <f t="shared" si="51"/>
        <v>2009</v>
      </c>
      <c r="L1705" s="3">
        <f t="shared" si="52"/>
        <v>0</v>
      </c>
      <c r="M1705" s="20" t="str">
        <f>A1705&amp;L1705</f>
        <v>XOM0</v>
      </c>
      <c r="N1705" s="3">
        <f>F1705</f>
        <v>0.42</v>
      </c>
      <c r="O1705" s="9">
        <f>H1705</f>
        <v>2.29E-2</v>
      </c>
      <c r="P1705" s="10">
        <f t="shared" si="53"/>
        <v>2.1074999999999997E-2</v>
      </c>
      <c r="Q1705" s="10">
        <f>IF(K1705=0,IF(A1702=A1705,AVERAGE(O1702:O1705),"x"),0)</f>
        <v>0</v>
      </c>
      <c r="R1705" s="9">
        <f>IF(L1705&gt;2005,AVERAGE(O1702:O1721),0)</f>
        <v>0</v>
      </c>
      <c r="S1705" s="10">
        <f>IF(A1705=A1706,(N1705-N1706)/N1706,0)</f>
        <v>4.9999999999999906E-2</v>
      </c>
      <c r="T1705" s="10">
        <f>IF(L1705&gt;2005,(((N1705-N1725)/N1725)+1)^(1/5)-1,0)</f>
        <v>0</v>
      </c>
      <c r="U1705" s="10">
        <f t="shared" si="54"/>
        <v>0</v>
      </c>
      <c r="V1705" s="26">
        <f t="shared" si="55"/>
        <v>0</v>
      </c>
      <c r="W1705" s="3">
        <f>IF(A1705=A1706,N1705-N1706,0)</f>
        <v>1.9999999999999962E-2</v>
      </c>
      <c r="X1705" s="10">
        <f>IF(A1705=A1706,(N1705-N1706)/N1706,0)</f>
        <v>4.9999999999999906E-2</v>
      </c>
    </row>
    <row r="1706" spans="1:24" ht="16.5" customHeight="1">
      <c r="A1706" s="3" t="s">
        <v>42</v>
      </c>
      <c r="B1706" s="3">
        <f t="shared" si="48"/>
        <v>2009</v>
      </c>
      <c r="C1706" s="3">
        <f t="shared" si="49"/>
        <v>2</v>
      </c>
      <c r="D1706" s="20" t="str">
        <f t="shared" si="50"/>
        <v>XOM20092</v>
      </c>
      <c r="E1706" s="2">
        <v>39850</v>
      </c>
      <c r="F1706" s="3">
        <v>0.4</v>
      </c>
      <c r="G1706" s="2">
        <v>39882</v>
      </c>
      <c r="H1706" s="3">
        <v>2.01E-2</v>
      </c>
      <c r="I1706" s="3">
        <v>0</v>
      </c>
      <c r="J1706" s="3">
        <v>0</v>
      </c>
      <c r="K1706" s="3">
        <f t="shared" si="51"/>
        <v>0</v>
      </c>
      <c r="L1706" s="3">
        <f t="shared" si="52"/>
        <v>2009</v>
      </c>
      <c r="M1706" s="20" t="str">
        <f>A1706&amp;L1706</f>
        <v>XOM2009</v>
      </c>
      <c r="N1706" s="3">
        <f>F1706</f>
        <v>0.4</v>
      </c>
      <c r="O1706" s="9">
        <f>H1706</f>
        <v>2.01E-2</v>
      </c>
      <c r="P1706" s="10">
        <f t="shared" si="53"/>
        <v>0</v>
      </c>
      <c r="Q1706" s="10">
        <f>IF(K1706=0,IF(A1703=A1706,AVERAGE(O1703:O1706),"x"),0)</f>
        <v>2.2400000000000003E-2</v>
      </c>
      <c r="R1706" s="9">
        <f>IF(L1706&gt;2005,AVERAGE(O1703:O1722),0)</f>
        <v>1.8965000000000003E-2</v>
      </c>
      <c r="S1706" s="10">
        <f>IF(A1706=A1707,(N1706-N1707)/N1707,0)</f>
        <v>0</v>
      </c>
      <c r="T1706" s="10">
        <f>IF(L1706&gt;2005,(((N1706-N1726)/N1726)+1)^(1/5)-1,0)</f>
        <v>9.8560543306117854E-2</v>
      </c>
      <c r="U1706" s="10">
        <f t="shared" si="54"/>
        <v>0.11752554330611786</v>
      </c>
      <c r="V1706" s="26">
        <f t="shared" si="55"/>
        <v>4.7511292213437768</v>
      </c>
      <c r="W1706" s="3">
        <f>IF(A1706=A1707,N1706-N1707,0)</f>
        <v>0</v>
      </c>
      <c r="X1706" s="10">
        <f>IF(A1706=A1707,(N1706-N1707)/N1707,0)</f>
        <v>0</v>
      </c>
    </row>
    <row r="1707" spans="1:24" ht="16.5" customHeight="1">
      <c r="A1707" s="3" t="s">
        <v>42</v>
      </c>
      <c r="B1707" s="3">
        <f t="shared" si="48"/>
        <v>2008</v>
      </c>
      <c r="C1707" s="3">
        <f t="shared" si="49"/>
        <v>11</v>
      </c>
      <c r="D1707" s="20" t="str">
        <f t="shared" si="50"/>
        <v>XOM200811</v>
      </c>
      <c r="E1707" s="2">
        <v>39759</v>
      </c>
      <c r="F1707" s="3">
        <v>0.4</v>
      </c>
      <c r="G1707" s="2">
        <v>39792</v>
      </c>
      <c r="H1707" s="3">
        <v>2.2200000000000001E-2</v>
      </c>
      <c r="I1707" s="3">
        <v>0</v>
      </c>
      <c r="J1707" s="3">
        <v>0</v>
      </c>
      <c r="K1707" s="3">
        <f t="shared" si="51"/>
        <v>2008</v>
      </c>
      <c r="L1707" s="3">
        <f t="shared" si="52"/>
        <v>0</v>
      </c>
      <c r="M1707" s="20" t="str">
        <f>A1707&amp;L1707</f>
        <v>XOM0</v>
      </c>
      <c r="N1707" s="3">
        <f>F1707</f>
        <v>0.4</v>
      </c>
      <c r="O1707" s="9">
        <f>H1707</f>
        <v>2.2200000000000001E-2</v>
      </c>
      <c r="P1707" s="10">
        <f t="shared" si="53"/>
        <v>0</v>
      </c>
      <c r="Q1707" s="10">
        <f>IF(K1707=0,IF(A1704=A1707,AVERAGE(O1704:O1707),"x"),0)</f>
        <v>0</v>
      </c>
      <c r="R1707" s="9">
        <f>IF(L1707&gt;2005,AVERAGE(O1704:O1723),0)</f>
        <v>0</v>
      </c>
      <c r="S1707" s="10">
        <f>IF(A1707=A1708,(N1707-N1708)/N1708,0)</f>
        <v>0</v>
      </c>
      <c r="T1707" s="10">
        <f>IF(L1707&gt;2005,(((N1707-N1727)/N1727)+1)^(1/5)-1,0)</f>
        <v>0</v>
      </c>
      <c r="U1707" s="10">
        <f t="shared" si="54"/>
        <v>0</v>
      </c>
      <c r="V1707" s="26">
        <f t="shared" si="55"/>
        <v>0</v>
      </c>
      <c r="W1707" s="3">
        <f>IF(A1707=A1708,N1707-N1708,0)</f>
        <v>0</v>
      </c>
      <c r="X1707" s="10">
        <f>IF(A1707=A1708,(N1707-N1708)/N1708,0)</f>
        <v>0</v>
      </c>
    </row>
    <row r="1708" spans="1:24" ht="16.5" customHeight="1">
      <c r="A1708" s="3" t="s">
        <v>42</v>
      </c>
      <c r="B1708" s="3">
        <f t="shared" si="48"/>
        <v>2008</v>
      </c>
      <c r="C1708" s="3">
        <f t="shared" si="49"/>
        <v>8</v>
      </c>
      <c r="D1708" s="20" t="str">
        <f t="shared" si="50"/>
        <v>XOM20088</v>
      </c>
      <c r="E1708" s="2">
        <v>39671</v>
      </c>
      <c r="F1708" s="3">
        <v>0.4</v>
      </c>
      <c r="G1708" s="2">
        <v>39701</v>
      </c>
      <c r="H1708" s="3">
        <v>1.9099999999999999E-2</v>
      </c>
      <c r="I1708" s="3">
        <v>0</v>
      </c>
      <c r="J1708" s="3">
        <v>0</v>
      </c>
      <c r="K1708" s="3">
        <f t="shared" si="51"/>
        <v>2008</v>
      </c>
      <c r="L1708" s="3">
        <f t="shared" si="52"/>
        <v>0</v>
      </c>
      <c r="M1708" s="20" t="str">
        <f>A1708&amp;L1708</f>
        <v>XOM0</v>
      </c>
      <c r="N1708" s="3">
        <f>F1708</f>
        <v>0.4</v>
      </c>
      <c r="O1708" s="9">
        <f>H1708</f>
        <v>1.9099999999999999E-2</v>
      </c>
      <c r="P1708" s="10">
        <f t="shared" si="53"/>
        <v>0</v>
      </c>
      <c r="Q1708" s="10">
        <f>IF(K1708=0,IF(A1705=A1708,AVERAGE(O1705:O1708),"x"),0)</f>
        <v>0</v>
      </c>
      <c r="R1708" s="9">
        <f>IF(L1708&gt;2005,AVERAGE(O1705:O1724),0)</f>
        <v>0</v>
      </c>
      <c r="S1708" s="10">
        <f>IF(A1708=A1709,(N1708-N1709)/N1709,0)</f>
        <v>0</v>
      </c>
      <c r="T1708" s="10">
        <f>IF(L1708&gt;2005,(((N1708-N1728)/N1728)+1)^(1/5)-1,0)</f>
        <v>0</v>
      </c>
      <c r="U1708" s="10">
        <f t="shared" si="54"/>
        <v>0</v>
      </c>
      <c r="V1708" s="26">
        <f t="shared" si="55"/>
        <v>0</v>
      </c>
      <c r="W1708" s="3">
        <f>IF(A1708=A1709,N1708-N1709,0)</f>
        <v>0</v>
      </c>
      <c r="X1708" s="10">
        <f>IF(A1708=A1709,(N1708-N1709)/N1709,0)</f>
        <v>0</v>
      </c>
    </row>
    <row r="1709" spans="1:24" ht="16.5" customHeight="1">
      <c r="A1709" s="3" t="s">
        <v>42</v>
      </c>
      <c r="B1709" s="3">
        <f t="shared" si="48"/>
        <v>2008</v>
      </c>
      <c r="C1709" s="3">
        <f t="shared" si="49"/>
        <v>5</v>
      </c>
      <c r="D1709" s="20" t="str">
        <f t="shared" si="50"/>
        <v>XOM20085</v>
      </c>
      <c r="E1709" s="2">
        <v>39577</v>
      </c>
      <c r="F1709" s="3">
        <v>0.4</v>
      </c>
      <c r="G1709" s="2">
        <v>39609</v>
      </c>
      <c r="H1709" s="3">
        <v>1.61E-2</v>
      </c>
      <c r="I1709" s="3">
        <v>0.14285714299999999</v>
      </c>
      <c r="J1709" s="3">
        <v>0.05</v>
      </c>
      <c r="K1709" s="3">
        <f t="shared" si="51"/>
        <v>2008</v>
      </c>
      <c r="L1709" s="3">
        <f t="shared" si="52"/>
        <v>0</v>
      </c>
      <c r="M1709" s="20" t="str">
        <f>A1709&amp;L1709</f>
        <v>XOM0</v>
      </c>
      <c r="N1709" s="3">
        <f>F1709</f>
        <v>0.4</v>
      </c>
      <c r="O1709" s="9">
        <f>H1709</f>
        <v>1.61E-2</v>
      </c>
      <c r="P1709" s="10">
        <f t="shared" si="53"/>
        <v>1.5924999999999998E-2</v>
      </c>
      <c r="Q1709" s="10">
        <f>IF(K1709=0,IF(A1706=A1709,AVERAGE(O1706:O1709),"x"),0)</f>
        <v>0</v>
      </c>
      <c r="R1709" s="9">
        <f>IF(L1709&gt;2005,AVERAGE(O1706:O1725),0)</f>
        <v>0</v>
      </c>
      <c r="S1709" s="10">
        <f>IF(A1709=A1710,(N1709-N1710)/N1710,0)</f>
        <v>0.14285714285714299</v>
      </c>
      <c r="T1709" s="10">
        <f>IF(L1709&gt;2005,(((N1709-N1729)/N1729)+1)^(1/5)-1,0)</f>
        <v>0</v>
      </c>
      <c r="U1709" s="10">
        <f t="shared" si="54"/>
        <v>0</v>
      </c>
      <c r="V1709" s="26">
        <f t="shared" si="55"/>
        <v>0</v>
      </c>
      <c r="W1709" s="3">
        <f>IF(A1709=A1710,N1709-N1710,0)</f>
        <v>5.0000000000000044E-2</v>
      </c>
      <c r="X1709" s="10">
        <f>IF(A1709=A1710,(N1709-N1710)/N1710,0)</f>
        <v>0.14285714285714299</v>
      </c>
    </row>
    <row r="1710" spans="1:24" ht="16.5" customHeight="1">
      <c r="A1710" s="3" t="s">
        <v>42</v>
      </c>
      <c r="B1710" s="3">
        <f t="shared" si="48"/>
        <v>2008</v>
      </c>
      <c r="C1710" s="3">
        <f t="shared" si="49"/>
        <v>2</v>
      </c>
      <c r="D1710" s="20" t="str">
        <f t="shared" si="50"/>
        <v>XOM20082</v>
      </c>
      <c r="E1710" s="2">
        <v>39485</v>
      </c>
      <c r="F1710" s="3">
        <v>0.35</v>
      </c>
      <c r="G1710" s="2">
        <v>39517</v>
      </c>
      <c r="H1710" s="3">
        <v>1.72E-2</v>
      </c>
      <c r="I1710" s="3">
        <v>0</v>
      </c>
      <c r="J1710" s="3">
        <v>0</v>
      </c>
      <c r="K1710" s="3">
        <f t="shared" si="51"/>
        <v>0</v>
      </c>
      <c r="L1710" s="3">
        <f t="shared" si="52"/>
        <v>2008</v>
      </c>
      <c r="M1710" s="20" t="str">
        <f>A1710&amp;L1710</f>
        <v>XOM2008</v>
      </c>
      <c r="N1710" s="3">
        <f>F1710</f>
        <v>0.35</v>
      </c>
      <c r="O1710" s="9">
        <f>H1710</f>
        <v>1.72E-2</v>
      </c>
      <c r="P1710" s="10">
        <f t="shared" si="53"/>
        <v>0</v>
      </c>
      <c r="Q1710" s="10">
        <f>IF(K1710=0,IF(A1707=A1710,AVERAGE(O1707:O1710),"x"),0)</f>
        <v>1.865E-2</v>
      </c>
      <c r="R1710" s="9">
        <f>IF(L1710&gt;2005,AVERAGE(O1707:O1726),0)</f>
        <v>1.9140000000000001E-2</v>
      </c>
      <c r="S1710" s="10">
        <f>IF(A1710=A1711,(N1710-N1711)/N1711,0)</f>
        <v>0</v>
      </c>
      <c r="T1710" s="10">
        <f>IF(L1710&gt;2005,(((N1710-N1730)/N1730)+1)^(1/5)-1,0)</f>
        <v>8.7597101915158015E-2</v>
      </c>
      <c r="U1710" s="10">
        <f t="shared" si="54"/>
        <v>0.10673710191515802</v>
      </c>
      <c r="V1710" s="26">
        <f t="shared" si="55"/>
        <v>4.7464934529088483</v>
      </c>
      <c r="W1710" s="3">
        <f>IF(A1710=A1711,N1710-N1711,0)</f>
        <v>0</v>
      </c>
      <c r="X1710" s="10">
        <f>IF(A1710=A1711,(N1710-N1711)/N1711,0)</f>
        <v>0</v>
      </c>
    </row>
    <row r="1711" spans="1:24" ht="16.5" customHeight="1">
      <c r="A1711" s="3" t="s">
        <v>42</v>
      </c>
      <c r="B1711" s="3">
        <f t="shared" si="48"/>
        <v>2007</v>
      </c>
      <c r="C1711" s="3">
        <f t="shared" si="49"/>
        <v>11</v>
      </c>
      <c r="D1711" s="20" t="str">
        <f t="shared" si="50"/>
        <v>XOM200711</v>
      </c>
      <c r="E1711" s="2">
        <v>39393</v>
      </c>
      <c r="F1711" s="3">
        <v>0.35</v>
      </c>
      <c r="G1711" s="2">
        <v>39426</v>
      </c>
      <c r="H1711" s="3">
        <v>1.52E-2</v>
      </c>
      <c r="I1711" s="3">
        <v>0</v>
      </c>
      <c r="J1711" s="3">
        <v>0</v>
      </c>
      <c r="K1711" s="3">
        <f t="shared" si="51"/>
        <v>2007</v>
      </c>
      <c r="L1711" s="3">
        <f t="shared" si="52"/>
        <v>0</v>
      </c>
      <c r="M1711" s="20" t="str">
        <f>A1711&amp;L1711</f>
        <v>XOM0</v>
      </c>
      <c r="N1711" s="3">
        <f>F1711</f>
        <v>0.35</v>
      </c>
      <c r="O1711" s="9">
        <f>H1711</f>
        <v>1.52E-2</v>
      </c>
      <c r="P1711" s="10">
        <f t="shared" si="53"/>
        <v>0</v>
      </c>
      <c r="Q1711" s="10">
        <f>IF(K1711=0,IF(A1708=A1711,AVERAGE(O1708:O1711),"x"),0)</f>
        <v>0</v>
      </c>
      <c r="R1711" s="9">
        <f>IF(L1711&gt;2005,AVERAGE(O1708:O1727),0)</f>
        <v>0</v>
      </c>
      <c r="S1711" s="10">
        <f>IF(A1711=A1712,(N1711-N1712)/N1712,0)</f>
        <v>0</v>
      </c>
      <c r="T1711" s="10">
        <f>IF(L1711&gt;2005,(((N1711-N1731)/N1731)+1)^(1/5)-1,0)</f>
        <v>0</v>
      </c>
      <c r="U1711" s="10">
        <f t="shared" si="54"/>
        <v>0</v>
      </c>
      <c r="V1711" s="26">
        <f t="shared" si="55"/>
        <v>0</v>
      </c>
      <c r="W1711" s="3">
        <f>IF(A1711=A1712,N1711-N1712,0)</f>
        <v>0</v>
      </c>
      <c r="X1711" s="10">
        <f>IF(A1711=A1712,(N1711-N1712)/N1712,0)</f>
        <v>0</v>
      </c>
    </row>
    <row r="1712" spans="1:24" ht="16.5" customHeight="1">
      <c r="A1712" s="3" t="s">
        <v>42</v>
      </c>
      <c r="B1712" s="3">
        <f t="shared" si="48"/>
        <v>2007</v>
      </c>
      <c r="C1712" s="3">
        <f t="shared" si="49"/>
        <v>8</v>
      </c>
      <c r="D1712" s="20" t="str">
        <f t="shared" si="50"/>
        <v>XOM20078</v>
      </c>
      <c r="E1712" s="2">
        <v>39303</v>
      </c>
      <c r="F1712" s="3">
        <v>0.35</v>
      </c>
      <c r="G1712" s="2">
        <v>39335</v>
      </c>
      <c r="H1712" s="3">
        <v>1.52E-2</v>
      </c>
      <c r="I1712" s="3">
        <v>0</v>
      </c>
      <c r="J1712" s="3">
        <v>0</v>
      </c>
      <c r="K1712" s="3">
        <f t="shared" si="51"/>
        <v>2007</v>
      </c>
      <c r="L1712" s="3">
        <f t="shared" si="52"/>
        <v>0</v>
      </c>
      <c r="M1712" s="20" t="str">
        <f>A1712&amp;L1712</f>
        <v>XOM0</v>
      </c>
      <c r="N1712" s="3">
        <f>F1712</f>
        <v>0.35</v>
      </c>
      <c r="O1712" s="9">
        <f>H1712</f>
        <v>1.52E-2</v>
      </c>
      <c r="P1712" s="10">
        <f t="shared" si="53"/>
        <v>0</v>
      </c>
      <c r="Q1712" s="10">
        <f>IF(K1712=0,IF(A1709=A1712,AVERAGE(O1709:O1712),"x"),0)</f>
        <v>0</v>
      </c>
      <c r="R1712" s="9">
        <f>IF(L1712&gt;2005,AVERAGE(O1709:O1728),0)</f>
        <v>0</v>
      </c>
      <c r="S1712" s="10">
        <f>IF(A1712=A1713,(N1712-N1713)/N1713,0)</f>
        <v>0</v>
      </c>
      <c r="T1712" s="10">
        <f>IF(L1712&gt;2005,(((N1712-N1732)/N1732)+1)^(1/5)-1,0)</f>
        <v>0</v>
      </c>
      <c r="U1712" s="10">
        <f t="shared" si="54"/>
        <v>0</v>
      </c>
      <c r="V1712" s="26">
        <f t="shared" si="55"/>
        <v>0</v>
      </c>
      <c r="W1712" s="3">
        <f>IF(A1712=A1713,N1712-N1713,0)</f>
        <v>0</v>
      </c>
      <c r="X1712" s="10">
        <f>IF(A1712=A1713,(N1712-N1713)/N1713,0)</f>
        <v>0</v>
      </c>
    </row>
    <row r="1713" spans="1:24" ht="16.5" customHeight="1">
      <c r="A1713" s="3" t="s">
        <v>42</v>
      </c>
      <c r="B1713" s="3">
        <f t="shared" si="48"/>
        <v>2007</v>
      </c>
      <c r="C1713" s="3">
        <f t="shared" si="49"/>
        <v>5</v>
      </c>
      <c r="D1713" s="20" t="str">
        <f t="shared" si="50"/>
        <v>XOM20075</v>
      </c>
      <c r="E1713" s="2">
        <v>39212</v>
      </c>
      <c r="F1713" s="3">
        <v>0.35</v>
      </c>
      <c r="G1713" s="2">
        <v>39244</v>
      </c>
      <c r="H1713" s="3">
        <v>1.61E-2</v>
      </c>
      <c r="I1713" s="3">
        <v>9.375E-2</v>
      </c>
      <c r="J1713" s="3">
        <v>0.03</v>
      </c>
      <c r="K1713" s="3">
        <f t="shared" si="51"/>
        <v>2007</v>
      </c>
      <c r="L1713" s="3">
        <f t="shared" si="52"/>
        <v>0</v>
      </c>
      <c r="M1713" s="20" t="str">
        <f>A1713&amp;L1713</f>
        <v>XOM0</v>
      </c>
      <c r="N1713" s="3">
        <f>F1713</f>
        <v>0.35</v>
      </c>
      <c r="O1713" s="9">
        <f>H1713</f>
        <v>1.61E-2</v>
      </c>
      <c r="P1713" s="10">
        <f t="shared" si="53"/>
        <v>1.7100000000000001E-2</v>
      </c>
      <c r="Q1713" s="10">
        <f>IF(K1713=0,IF(A1710=A1713,AVERAGE(O1710:O1713),"x"),0)</f>
        <v>0</v>
      </c>
      <c r="R1713" s="9">
        <f>IF(L1713&gt;2005,AVERAGE(O1710:O1729),0)</f>
        <v>0</v>
      </c>
      <c r="S1713" s="10">
        <f>IF(A1713=A1714,(N1713-N1714)/N1714,0)</f>
        <v>9.3749999999999903E-2</v>
      </c>
      <c r="T1713" s="10">
        <f>IF(L1713&gt;2005,(((N1713-N1733)/N1733)+1)^(1/5)-1,0)</f>
        <v>0</v>
      </c>
      <c r="U1713" s="10">
        <f t="shared" si="54"/>
        <v>0</v>
      </c>
      <c r="V1713" s="26">
        <f t="shared" si="55"/>
        <v>0</v>
      </c>
      <c r="W1713" s="3">
        <f>IF(A1713=A1714,N1713-N1714,0)</f>
        <v>2.9999999999999971E-2</v>
      </c>
      <c r="X1713" s="10">
        <f>IF(A1713=A1714,(N1713-N1714)/N1714,0)</f>
        <v>9.3749999999999903E-2</v>
      </c>
    </row>
    <row r="1714" spans="1:24" ht="16.5" customHeight="1">
      <c r="A1714" s="3" t="s">
        <v>42</v>
      </c>
      <c r="B1714" s="3">
        <f t="shared" si="48"/>
        <v>2007</v>
      </c>
      <c r="C1714" s="3">
        <f t="shared" si="49"/>
        <v>2</v>
      </c>
      <c r="D1714" s="20" t="str">
        <f t="shared" si="50"/>
        <v>XOM20072</v>
      </c>
      <c r="E1714" s="2">
        <v>39120</v>
      </c>
      <c r="F1714" s="3">
        <v>0.32</v>
      </c>
      <c r="G1714" s="2">
        <v>39150</v>
      </c>
      <c r="H1714" s="3">
        <v>1.7000000000000001E-2</v>
      </c>
      <c r="I1714" s="3">
        <v>0</v>
      </c>
      <c r="J1714" s="3">
        <v>0</v>
      </c>
      <c r="K1714" s="3">
        <f t="shared" si="51"/>
        <v>0</v>
      </c>
      <c r="L1714" s="3">
        <f t="shared" si="52"/>
        <v>2007</v>
      </c>
      <c r="M1714" s="20" t="str">
        <f>A1714&amp;L1714</f>
        <v>XOM2007</v>
      </c>
      <c r="N1714" s="3">
        <f>F1714</f>
        <v>0.32</v>
      </c>
      <c r="O1714" s="9">
        <f>H1714</f>
        <v>1.7000000000000001E-2</v>
      </c>
      <c r="P1714" s="10">
        <f t="shared" si="53"/>
        <v>0</v>
      </c>
      <c r="Q1714" s="10">
        <f>IF(K1714=0,IF(A1711=A1714,AVERAGE(O1711:O1714),"x"),0)</f>
        <v>1.5875E-2</v>
      </c>
      <c r="R1714" s="9">
        <f>IF(L1714&gt;2005,AVERAGE(O1711:O1730),0)</f>
        <v>2.077E-2</v>
      </c>
      <c r="S1714" s="10">
        <f>IF(A1714=A1715,(N1714-N1715)/N1715,0)</f>
        <v>0</v>
      </c>
      <c r="T1714" s="10">
        <f>IF(L1714&gt;2005,(((N1714-N1734)/N1734)+1)^(1/5)-1,0)</f>
        <v>6.8278353688437932E-2</v>
      </c>
      <c r="U1714" s="10">
        <f t="shared" si="54"/>
        <v>8.9048353688437928E-2</v>
      </c>
      <c r="V1714" s="26">
        <f t="shared" si="55"/>
        <v>4.721095877561039</v>
      </c>
      <c r="W1714" s="3">
        <f>IF(A1714=A1715,N1714-N1715,0)</f>
        <v>0</v>
      </c>
      <c r="X1714" s="10">
        <f>IF(A1714=A1715,(N1714-N1715)/N1715,0)</f>
        <v>0</v>
      </c>
    </row>
    <row r="1715" spans="1:24" ht="16.5" customHeight="1">
      <c r="A1715" s="3" t="s">
        <v>42</v>
      </c>
      <c r="B1715" s="3">
        <f t="shared" si="48"/>
        <v>2006</v>
      </c>
      <c r="C1715" s="3">
        <f t="shared" si="49"/>
        <v>11</v>
      </c>
      <c r="D1715" s="20" t="str">
        <f t="shared" si="50"/>
        <v>XOM200611</v>
      </c>
      <c r="E1715" s="2">
        <v>39030</v>
      </c>
      <c r="F1715" s="3">
        <v>0.32</v>
      </c>
      <c r="G1715" s="2">
        <v>39062</v>
      </c>
      <c r="H1715" s="3">
        <v>1.7299999999999999E-2</v>
      </c>
      <c r="I1715" s="3">
        <v>0</v>
      </c>
      <c r="J1715" s="3">
        <v>0</v>
      </c>
      <c r="K1715" s="3">
        <f t="shared" si="51"/>
        <v>2006</v>
      </c>
      <c r="L1715" s="3">
        <f t="shared" si="52"/>
        <v>0</v>
      </c>
      <c r="M1715" s="20" t="str">
        <f>A1715&amp;L1715</f>
        <v>XOM0</v>
      </c>
      <c r="N1715" s="3">
        <f>F1715</f>
        <v>0.32</v>
      </c>
      <c r="O1715" s="9">
        <f>H1715</f>
        <v>1.7299999999999999E-2</v>
      </c>
      <c r="P1715" s="10">
        <f t="shared" si="53"/>
        <v>0</v>
      </c>
      <c r="Q1715" s="10">
        <f>IF(K1715=0,IF(A1712=A1715,AVERAGE(O1712:O1715),"x"),0)</f>
        <v>0</v>
      </c>
      <c r="R1715" s="9">
        <f>IF(L1715&gt;2005,AVERAGE(O1712:O1731),0)</f>
        <v>0</v>
      </c>
      <c r="S1715" s="10">
        <f>IF(A1715=A1716,(N1715-N1716)/N1716,0)</f>
        <v>0</v>
      </c>
      <c r="T1715" s="10">
        <f>IF(L1715&gt;2005,(((N1715-N1735)/N1735)+1)^(1/5)-1,0)</f>
        <v>0</v>
      </c>
      <c r="U1715" s="10">
        <f t="shared" si="54"/>
        <v>0</v>
      </c>
      <c r="V1715" s="26">
        <f t="shared" si="55"/>
        <v>0</v>
      </c>
      <c r="W1715" s="3">
        <f>IF(A1715=A1716,N1715-N1716,0)</f>
        <v>0</v>
      </c>
      <c r="X1715" s="10">
        <f>IF(A1715=A1716,(N1715-N1716)/N1716,0)</f>
        <v>0</v>
      </c>
    </row>
    <row r="1716" spans="1:24" ht="16.5" customHeight="1">
      <c r="A1716" s="3" t="s">
        <v>42</v>
      </c>
      <c r="B1716" s="3">
        <f t="shared" si="48"/>
        <v>2006</v>
      </c>
      <c r="C1716" s="3">
        <f t="shared" si="49"/>
        <v>8</v>
      </c>
      <c r="D1716" s="20" t="str">
        <f t="shared" si="50"/>
        <v>XOM20068</v>
      </c>
      <c r="E1716" s="2">
        <v>38939</v>
      </c>
      <c r="F1716" s="3">
        <v>0.32</v>
      </c>
      <c r="G1716" s="2">
        <v>38971</v>
      </c>
      <c r="H1716" s="3">
        <v>1.7999999999999999E-2</v>
      </c>
      <c r="I1716" s="3">
        <v>0</v>
      </c>
      <c r="J1716" s="3">
        <v>0</v>
      </c>
      <c r="K1716" s="3">
        <f t="shared" si="51"/>
        <v>2006</v>
      </c>
      <c r="L1716" s="3">
        <f t="shared" si="52"/>
        <v>0</v>
      </c>
      <c r="M1716" s="20" t="str">
        <f>A1716&amp;L1716</f>
        <v>XOM0</v>
      </c>
      <c r="N1716" s="3">
        <f>F1716</f>
        <v>0.32</v>
      </c>
      <c r="O1716" s="9">
        <f>H1716</f>
        <v>1.7999999999999999E-2</v>
      </c>
      <c r="P1716" s="10">
        <f t="shared" si="53"/>
        <v>0</v>
      </c>
      <c r="Q1716" s="10">
        <f>IF(K1716=0,IF(A1713=A1716,AVERAGE(O1713:O1716),"x"),0)</f>
        <v>0</v>
      </c>
      <c r="R1716" s="9">
        <f>IF(L1716&gt;2005,AVERAGE(O1713:O1732),0)</f>
        <v>0</v>
      </c>
      <c r="S1716" s="10">
        <f>IF(A1716=A1717,(N1716-N1717)/N1717,0)</f>
        <v>0</v>
      </c>
      <c r="T1716" s="10">
        <f>IF(L1716&gt;2005,(((N1716-N1736)/N1736)+1)^(1/5)-1,0)</f>
        <v>0</v>
      </c>
      <c r="U1716" s="10">
        <f t="shared" si="54"/>
        <v>0</v>
      </c>
      <c r="V1716" s="26">
        <f t="shared" si="55"/>
        <v>0</v>
      </c>
      <c r="W1716" s="3">
        <f>IF(A1716=A1717,N1716-N1717,0)</f>
        <v>0</v>
      </c>
      <c r="X1716" s="10">
        <f>IF(A1716=A1717,(N1716-N1717)/N1717,0)</f>
        <v>0</v>
      </c>
    </row>
    <row r="1717" spans="1:24" ht="16.5" customHeight="1">
      <c r="A1717" s="3" t="s">
        <v>42</v>
      </c>
      <c r="B1717" s="3">
        <f t="shared" si="48"/>
        <v>2006</v>
      </c>
      <c r="C1717" s="3">
        <f t="shared" si="49"/>
        <v>5</v>
      </c>
      <c r="D1717" s="20" t="str">
        <f t="shared" si="50"/>
        <v>XOM20065</v>
      </c>
      <c r="E1717" s="2">
        <v>38847</v>
      </c>
      <c r="F1717" s="3">
        <v>0.32</v>
      </c>
      <c r="G1717" s="2">
        <v>38877</v>
      </c>
      <c r="H1717" s="3">
        <v>1.9099999999999999E-2</v>
      </c>
      <c r="I1717" s="3">
        <v>0</v>
      </c>
      <c r="J1717" s="3">
        <v>0</v>
      </c>
      <c r="K1717" s="3">
        <f t="shared" si="51"/>
        <v>2006</v>
      </c>
      <c r="L1717" s="3">
        <f t="shared" si="52"/>
        <v>0</v>
      </c>
      <c r="M1717" s="20" t="str">
        <f>A1717&amp;L1717</f>
        <v>XOM0</v>
      </c>
      <c r="N1717" s="3">
        <f>F1717</f>
        <v>0.32</v>
      </c>
      <c r="O1717" s="9">
        <f>H1717</f>
        <v>1.9099999999999999E-2</v>
      </c>
      <c r="P1717" s="10">
        <f t="shared" si="53"/>
        <v>0</v>
      </c>
      <c r="Q1717" s="10">
        <f>IF(K1717=0,IF(A1714=A1717,AVERAGE(O1714:O1717),"x"),0)</f>
        <v>0</v>
      </c>
      <c r="R1717" s="9">
        <f>IF(L1717&gt;2005,AVERAGE(O1714:O1733),0)</f>
        <v>0</v>
      </c>
      <c r="S1717" s="10">
        <f>IF(A1717=A1718,(N1717-N1718)/N1718,0)</f>
        <v>0</v>
      </c>
      <c r="T1717" s="10">
        <f>IF(L1717&gt;2005,(((N1717-N1737)/N1737)+1)^(1/5)-1,0)</f>
        <v>0</v>
      </c>
      <c r="U1717" s="10">
        <f t="shared" si="54"/>
        <v>0</v>
      </c>
      <c r="V1717" s="26">
        <f t="shared" si="55"/>
        <v>0</v>
      </c>
      <c r="W1717" s="3">
        <f>IF(A1717=A1718,N1717-N1718,0)</f>
        <v>0</v>
      </c>
      <c r="X1717" s="10">
        <f>IF(A1717=A1718,(N1717-N1718)/N1718,0)</f>
        <v>0</v>
      </c>
    </row>
    <row r="1718" spans="1:24" ht="16.5" customHeight="1">
      <c r="A1718" s="3" t="s">
        <v>42</v>
      </c>
      <c r="B1718" s="3">
        <f t="shared" si="48"/>
        <v>2006</v>
      </c>
      <c r="C1718" s="3">
        <f t="shared" si="49"/>
        <v>2</v>
      </c>
      <c r="D1718" s="20" t="str">
        <f t="shared" si="50"/>
        <v>XOM20062</v>
      </c>
      <c r="E1718" s="2">
        <v>38756</v>
      </c>
      <c r="F1718" s="3">
        <v>0.32</v>
      </c>
      <c r="G1718" s="2">
        <v>38786</v>
      </c>
      <c r="H1718" s="3">
        <v>1.9699999999999999E-2</v>
      </c>
      <c r="I1718" s="3">
        <v>0.10344827600000001</v>
      </c>
      <c r="J1718" s="3">
        <v>0.03</v>
      </c>
      <c r="K1718" s="3">
        <f t="shared" si="51"/>
        <v>0</v>
      </c>
      <c r="L1718" s="3">
        <f t="shared" si="52"/>
        <v>2006</v>
      </c>
      <c r="M1718" s="20" t="str">
        <f>A1718&amp;L1718</f>
        <v>XOM2006</v>
      </c>
      <c r="N1718" s="3">
        <f>F1718</f>
        <v>0.32</v>
      </c>
      <c r="O1718" s="9">
        <f>H1718</f>
        <v>1.9699999999999999E-2</v>
      </c>
      <c r="P1718" s="10">
        <f t="shared" si="53"/>
        <v>1.9424999999999998E-2</v>
      </c>
      <c r="Q1718" s="10">
        <f>IF(K1718=0,IF(A1715=A1718,AVERAGE(O1715:O1718),"x"),0)</f>
        <v>1.8525E-2</v>
      </c>
      <c r="R1718" s="9">
        <f>IF(L1718&gt;2005,AVERAGE(O1715:O1734),0)</f>
        <v>2.2525E-2</v>
      </c>
      <c r="S1718" s="10">
        <f>IF(A1718=A1719,(N1718-N1719)/N1719,0)</f>
        <v>0.10344827586206906</v>
      </c>
      <c r="T1718" s="10">
        <f>IF(L1718&gt;2005,(((N1718-N1738)/N1738)+1)^(1/5)-1,0)</f>
        <v>7.7818067712725814E-2</v>
      </c>
      <c r="U1718" s="10">
        <f t="shared" si="54"/>
        <v>0.10034306771272582</v>
      </c>
      <c r="V1718" s="26">
        <f t="shared" si="55"/>
        <v>4.7011901941949041</v>
      </c>
      <c r="W1718" s="3">
        <f>IF(A1718=A1719,N1718-N1719,0)</f>
        <v>3.0000000000000027E-2</v>
      </c>
      <c r="X1718" s="10">
        <f>IF(A1718=A1719,(N1718-N1719)/N1719,0)</f>
        <v>0.10344827586206906</v>
      </c>
    </row>
    <row r="1719" spans="1:24" ht="16.5" customHeight="1">
      <c r="A1719" s="3" t="s">
        <v>42</v>
      </c>
      <c r="B1719" s="3">
        <f t="shared" si="48"/>
        <v>2005</v>
      </c>
      <c r="C1719" s="3">
        <f t="shared" si="49"/>
        <v>11</v>
      </c>
      <c r="D1719" s="20" t="str">
        <f t="shared" si="50"/>
        <v>XOM200511</v>
      </c>
      <c r="E1719" s="2">
        <v>38664</v>
      </c>
      <c r="F1719" s="3">
        <v>0.28999999999999998</v>
      </c>
      <c r="G1719" s="2">
        <v>38695</v>
      </c>
      <c r="H1719" s="3">
        <v>0.02</v>
      </c>
      <c r="I1719" s="3">
        <v>0</v>
      </c>
      <c r="J1719" s="3">
        <v>0</v>
      </c>
      <c r="K1719" s="3">
        <f t="shared" si="51"/>
        <v>2005</v>
      </c>
      <c r="L1719" s="3">
        <f t="shared" si="52"/>
        <v>0</v>
      </c>
      <c r="M1719" s="20" t="str">
        <f>A1719&amp;L1719</f>
        <v>XOM0</v>
      </c>
      <c r="N1719" s="3">
        <f>F1719</f>
        <v>0.28999999999999998</v>
      </c>
      <c r="O1719" s="9">
        <f>H1719</f>
        <v>0.02</v>
      </c>
      <c r="P1719" s="10">
        <f t="shared" si="53"/>
        <v>0</v>
      </c>
      <c r="Q1719" s="10">
        <f>IF(K1719=0,IF(A1716=A1719,AVERAGE(O1716:O1719),"x"),0)</f>
        <v>0</v>
      </c>
      <c r="R1719" s="9">
        <f>IF(L1719&gt;2005,AVERAGE(O1716:O1735),0)</f>
        <v>0</v>
      </c>
      <c r="S1719" s="10">
        <f>IF(A1719=A1720,(N1719-N1720)/N1720,0)</f>
        <v>0</v>
      </c>
      <c r="T1719" s="10">
        <f>IF(L1719&gt;2005,(((N1719-N1739)/N1739)+1)^(1/5)-1,0)</f>
        <v>0</v>
      </c>
      <c r="U1719" s="10">
        <f t="shared" si="54"/>
        <v>0</v>
      </c>
      <c r="V1719" s="26">
        <f t="shared" si="55"/>
        <v>0</v>
      </c>
      <c r="W1719" s="3">
        <f>IF(A1719=A1720,N1719-N1720,0)</f>
        <v>0</v>
      </c>
      <c r="X1719" s="10">
        <f>IF(A1719=A1720,(N1719-N1720)/N1720,0)</f>
        <v>0</v>
      </c>
    </row>
    <row r="1720" spans="1:24" ht="16.5" customHeight="1">
      <c r="A1720" s="3" t="s">
        <v>42</v>
      </c>
      <c r="B1720" s="3">
        <f t="shared" si="48"/>
        <v>2005</v>
      </c>
      <c r="C1720" s="3">
        <f t="shared" si="49"/>
        <v>8</v>
      </c>
      <c r="D1720" s="20" t="str">
        <f t="shared" si="50"/>
        <v>XOM20058</v>
      </c>
      <c r="E1720" s="2">
        <v>38574</v>
      </c>
      <c r="F1720" s="3">
        <v>0.28999999999999998</v>
      </c>
      <c r="G1720" s="2">
        <v>38604</v>
      </c>
      <c r="H1720" s="3">
        <v>1.8800000000000001E-2</v>
      </c>
      <c r="I1720" s="3">
        <v>0</v>
      </c>
      <c r="J1720" s="3">
        <v>0</v>
      </c>
      <c r="K1720" s="3">
        <f t="shared" si="51"/>
        <v>2005</v>
      </c>
      <c r="L1720" s="3">
        <f t="shared" si="52"/>
        <v>0</v>
      </c>
      <c r="M1720" s="20" t="str">
        <f>A1720&amp;L1720</f>
        <v>XOM0</v>
      </c>
      <c r="N1720" s="3">
        <f>F1720</f>
        <v>0.28999999999999998</v>
      </c>
      <c r="O1720" s="9">
        <f>H1720</f>
        <v>1.8800000000000001E-2</v>
      </c>
      <c r="P1720" s="10">
        <f t="shared" si="53"/>
        <v>0</v>
      </c>
      <c r="Q1720" s="10">
        <f>IF(K1720=0,IF(A1717=A1720,AVERAGE(O1717:O1720),"x"),0)</f>
        <v>0</v>
      </c>
      <c r="R1720" s="9">
        <f>IF(L1720&gt;2005,AVERAGE(O1717:O1736),0)</f>
        <v>0</v>
      </c>
      <c r="S1720" s="10">
        <f>IF(A1720=A1721,(N1720-N1721)/N1721,0)</f>
        <v>0</v>
      </c>
      <c r="T1720" s="10">
        <f>IF(L1720&gt;2005,(((N1720-N1740)/N1740)+1)^(1/5)-1,0)</f>
        <v>0</v>
      </c>
      <c r="U1720" s="10">
        <f t="shared" si="54"/>
        <v>0</v>
      </c>
      <c r="V1720" s="26">
        <f t="shared" si="55"/>
        <v>0</v>
      </c>
      <c r="W1720" s="3">
        <f>IF(A1720=A1721,N1720-N1721,0)</f>
        <v>0</v>
      </c>
      <c r="X1720" s="10">
        <f>IF(A1720=A1721,(N1720-N1721)/N1721,0)</f>
        <v>0</v>
      </c>
    </row>
    <row r="1721" spans="1:24" ht="16.5" customHeight="1">
      <c r="A1721" s="3" t="s">
        <v>42</v>
      </c>
      <c r="B1721" s="3">
        <f t="shared" si="48"/>
        <v>2005</v>
      </c>
      <c r="C1721" s="3">
        <f t="shared" si="49"/>
        <v>5</v>
      </c>
      <c r="D1721" s="20" t="str">
        <f t="shared" si="50"/>
        <v>XOM20055</v>
      </c>
      <c r="E1721" s="2">
        <v>38483</v>
      </c>
      <c r="F1721" s="3">
        <v>0.28999999999999998</v>
      </c>
      <c r="G1721" s="2">
        <v>38513</v>
      </c>
      <c r="H1721" s="3">
        <v>1.9199999999999998E-2</v>
      </c>
      <c r="I1721" s="3">
        <v>7.4074074000000004E-2</v>
      </c>
      <c r="J1721" s="3">
        <v>0.02</v>
      </c>
      <c r="K1721" s="3">
        <f t="shared" si="51"/>
        <v>2005</v>
      </c>
      <c r="L1721" s="3">
        <f t="shared" si="52"/>
        <v>0</v>
      </c>
      <c r="M1721" s="20" t="str">
        <f>A1721&amp;L1721</f>
        <v>XOM0</v>
      </c>
      <c r="N1721" s="3">
        <f>F1721</f>
        <v>0.28999999999999998</v>
      </c>
      <c r="O1721" s="9">
        <f>H1721</f>
        <v>1.9199999999999998E-2</v>
      </c>
      <c r="P1721" s="10">
        <f t="shared" si="53"/>
        <v>2.07E-2</v>
      </c>
      <c r="Q1721" s="10">
        <f>IF(K1721=0,IF(A1718=A1721,AVERAGE(O1718:O1721),"x"),0)</f>
        <v>0</v>
      </c>
      <c r="R1721" s="9">
        <f>IF(L1721&gt;2005,AVERAGE(O1718:O1737),0)</f>
        <v>0</v>
      </c>
      <c r="S1721" s="10">
        <f>IF(A1721=A1722,(N1721-N1722)/N1722,0)</f>
        <v>7.4074074074073931E-2</v>
      </c>
      <c r="T1721" s="10">
        <f>IF(L1721&gt;2005,(((N1721-N1741)/N1741)+1)^(1/5)-1,0)</f>
        <v>0</v>
      </c>
      <c r="U1721" s="10">
        <f t="shared" si="54"/>
        <v>0</v>
      </c>
      <c r="V1721" s="26">
        <f t="shared" si="55"/>
        <v>0</v>
      </c>
      <c r="W1721" s="3">
        <f>IF(A1721=A1722,N1721-N1722,0)</f>
        <v>1.9999999999999962E-2</v>
      </c>
      <c r="X1721" s="10">
        <f>IF(A1721=A1722,(N1721-N1722)/N1722,0)</f>
        <v>7.4074074074073931E-2</v>
      </c>
    </row>
    <row r="1722" spans="1:24" ht="16.5" customHeight="1">
      <c r="A1722" s="3" t="s">
        <v>42</v>
      </c>
      <c r="B1722" s="3">
        <f t="shared" si="48"/>
        <v>2005</v>
      </c>
      <c r="C1722" s="3">
        <f t="shared" si="49"/>
        <v>2</v>
      </c>
      <c r="D1722" s="20" t="str">
        <f t="shared" si="50"/>
        <v>XOM20052</v>
      </c>
      <c r="E1722" s="2">
        <v>38391</v>
      </c>
      <c r="F1722" s="3">
        <v>0.27</v>
      </c>
      <c r="G1722" s="2">
        <v>38421</v>
      </c>
      <c r="H1722" s="3">
        <v>1.95E-2</v>
      </c>
      <c r="I1722" s="3">
        <v>0</v>
      </c>
      <c r="J1722" s="3">
        <v>0</v>
      </c>
      <c r="K1722" s="3">
        <f t="shared" si="51"/>
        <v>0</v>
      </c>
      <c r="L1722" s="3">
        <f t="shared" si="52"/>
        <v>2005</v>
      </c>
      <c r="M1722" s="20" t="str">
        <f>A1722&amp;L1722</f>
        <v>XOM2005</v>
      </c>
      <c r="N1722" s="3">
        <f>F1722</f>
        <v>0.27</v>
      </c>
      <c r="O1722" s="9">
        <f>H1722</f>
        <v>1.95E-2</v>
      </c>
      <c r="P1722" s="10">
        <f t="shared" si="53"/>
        <v>0</v>
      </c>
      <c r="Q1722" s="10">
        <f>IF(K1722=0,IF(A1719=A1722,AVERAGE(O1719:O1722),"x"),0)</f>
        <v>1.9375E-2</v>
      </c>
      <c r="R1722" s="9">
        <f>IF(L1722&gt;2005,AVERAGE(O1719:O1738),0)</f>
        <v>0</v>
      </c>
      <c r="S1722" s="10">
        <f>IF(A1722=A1723,(N1722-N1723)/N1723,0)</f>
        <v>0</v>
      </c>
      <c r="T1722" s="10">
        <f>IF(L1722&gt;2005,(((N1722-N1742)/N1742)+1)^(1/5)-1,0)</f>
        <v>0</v>
      </c>
      <c r="U1722" s="10">
        <f t="shared" si="54"/>
        <v>0</v>
      </c>
      <c r="V1722" s="26">
        <f t="shared" si="55"/>
        <v>0</v>
      </c>
      <c r="W1722" s="3">
        <f>IF(A1722=A1723,N1722-N1723,0)</f>
        <v>0</v>
      </c>
      <c r="X1722" s="10">
        <f>IF(A1722=A1723,(N1722-N1723)/N1723,0)</f>
        <v>0</v>
      </c>
    </row>
    <row r="1723" spans="1:24" ht="16.5" customHeight="1">
      <c r="A1723" s="3" t="s">
        <v>42</v>
      </c>
      <c r="B1723" s="3">
        <f t="shared" si="48"/>
        <v>2004</v>
      </c>
      <c r="C1723" s="3">
        <f t="shared" si="49"/>
        <v>11</v>
      </c>
      <c r="D1723" s="20" t="str">
        <f t="shared" si="50"/>
        <v>XOM200411</v>
      </c>
      <c r="E1723" s="2">
        <v>38300</v>
      </c>
      <c r="F1723" s="3">
        <v>0.27</v>
      </c>
      <c r="G1723" s="2">
        <v>38331</v>
      </c>
      <c r="H1723" s="3">
        <v>2.1100000000000001E-2</v>
      </c>
      <c r="I1723" s="3">
        <v>0</v>
      </c>
      <c r="J1723" s="3">
        <v>0</v>
      </c>
      <c r="K1723" s="3">
        <f t="shared" si="51"/>
        <v>2004</v>
      </c>
      <c r="L1723" s="3">
        <f t="shared" si="52"/>
        <v>0</v>
      </c>
      <c r="M1723" s="20" t="str">
        <f>A1723&amp;L1723</f>
        <v>XOM0</v>
      </c>
      <c r="N1723" s="3">
        <f>F1723</f>
        <v>0.27</v>
      </c>
      <c r="O1723" s="9">
        <f>H1723</f>
        <v>2.1100000000000001E-2</v>
      </c>
      <c r="P1723" s="10">
        <f t="shared" si="53"/>
        <v>0</v>
      </c>
      <c r="Q1723" s="10">
        <f>IF(K1723=0,IF(A1720=A1723,AVERAGE(O1720:O1723),"x"),0)</f>
        <v>0</v>
      </c>
      <c r="R1723" s="9">
        <f>IF(L1723&gt;2005,AVERAGE(O1720:O1739),0)</f>
        <v>0</v>
      </c>
      <c r="S1723" s="10">
        <f>IF(A1723=A1724,(N1723-N1724)/N1724,0)</f>
        <v>0</v>
      </c>
      <c r="T1723" s="10">
        <f>IF(L1723&gt;2005,(((N1723-N1743)/N1743)+1)^(1/5)-1,0)</f>
        <v>0</v>
      </c>
      <c r="U1723" s="10">
        <f t="shared" si="54"/>
        <v>0</v>
      </c>
      <c r="V1723" s="26">
        <f t="shared" si="55"/>
        <v>0</v>
      </c>
      <c r="W1723" s="3">
        <f>IF(A1723=A1724,N1723-N1724,0)</f>
        <v>0</v>
      </c>
      <c r="X1723" s="10">
        <f>IF(A1723=A1724,(N1723-N1724)/N1724,0)</f>
        <v>0</v>
      </c>
    </row>
    <row r="1724" spans="1:24" ht="16.5" customHeight="1">
      <c r="A1724" s="3" t="s">
        <v>42</v>
      </c>
      <c r="B1724" s="3">
        <f t="shared" si="48"/>
        <v>2004</v>
      </c>
      <c r="C1724" s="3">
        <f t="shared" si="49"/>
        <v>8</v>
      </c>
      <c r="D1724" s="20" t="str">
        <f t="shared" si="50"/>
        <v>XOM20048</v>
      </c>
      <c r="E1724" s="2">
        <v>38210</v>
      </c>
      <c r="F1724" s="3">
        <v>0.27</v>
      </c>
      <c r="G1724" s="2">
        <v>38240</v>
      </c>
      <c r="H1724" s="3">
        <v>2.3E-2</v>
      </c>
      <c r="I1724" s="3">
        <v>0</v>
      </c>
      <c r="J1724" s="3">
        <v>0</v>
      </c>
      <c r="K1724" s="3">
        <f t="shared" si="51"/>
        <v>2004</v>
      </c>
      <c r="L1724" s="3">
        <f t="shared" si="52"/>
        <v>0</v>
      </c>
      <c r="M1724" s="20" t="str">
        <f>A1724&amp;L1724</f>
        <v>XOM0</v>
      </c>
      <c r="N1724" s="3">
        <f>F1724</f>
        <v>0.27</v>
      </c>
      <c r="O1724" s="9">
        <f>H1724</f>
        <v>2.3E-2</v>
      </c>
      <c r="P1724" s="10">
        <f t="shared" si="53"/>
        <v>0</v>
      </c>
      <c r="Q1724" s="10">
        <f>IF(K1724=0,IF(A1721=A1724,AVERAGE(O1721:O1724),"x"),0)</f>
        <v>0</v>
      </c>
      <c r="R1724" s="9">
        <f>IF(L1724&gt;2005,AVERAGE(O1721:O1740),0)</f>
        <v>0</v>
      </c>
      <c r="S1724" s="10">
        <f>IF(A1724=A1725,(N1724-N1725)/N1725,0)</f>
        <v>0</v>
      </c>
      <c r="T1724" s="10">
        <f>IF(L1724&gt;2005,(((N1724-N1744)/N1744)+1)^(1/5)-1,0)</f>
        <v>0</v>
      </c>
      <c r="U1724" s="10">
        <f t="shared" si="54"/>
        <v>0</v>
      </c>
      <c r="V1724" s="26">
        <f t="shared" si="55"/>
        <v>0</v>
      </c>
      <c r="W1724" s="3">
        <f>IF(A1724=A1725,N1724-N1725,0)</f>
        <v>0</v>
      </c>
      <c r="X1724" s="10">
        <f>IF(A1724=A1725,(N1724-N1725)/N1725,0)</f>
        <v>0</v>
      </c>
    </row>
    <row r="1725" spans="1:24" ht="16.5" customHeight="1">
      <c r="A1725" s="3" t="s">
        <v>42</v>
      </c>
      <c r="B1725" s="3">
        <f t="shared" si="48"/>
        <v>2004</v>
      </c>
      <c r="C1725" s="3">
        <f t="shared" si="49"/>
        <v>5</v>
      </c>
      <c r="D1725" s="20" t="str">
        <f t="shared" si="50"/>
        <v>XOM20045</v>
      </c>
      <c r="E1725" s="2">
        <v>38118</v>
      </c>
      <c r="F1725" s="3">
        <v>0.27</v>
      </c>
      <c r="G1725" s="2">
        <v>38148</v>
      </c>
      <c r="H1725" s="3">
        <v>2.4299999999999999E-2</v>
      </c>
      <c r="I1725" s="3">
        <v>0.08</v>
      </c>
      <c r="J1725" s="3">
        <v>0.02</v>
      </c>
      <c r="K1725" s="3">
        <f t="shared" si="51"/>
        <v>2004</v>
      </c>
      <c r="L1725" s="3">
        <f t="shared" si="52"/>
        <v>0</v>
      </c>
      <c r="M1725" s="20" t="str">
        <f>A1725&amp;L1725</f>
        <v>XOM0</v>
      </c>
      <c r="N1725" s="3">
        <f>F1725</f>
        <v>0.27</v>
      </c>
      <c r="O1725" s="9">
        <f>H1725</f>
        <v>2.4299999999999999E-2</v>
      </c>
      <c r="P1725" s="10">
        <f t="shared" si="53"/>
        <v>2.5650000000000003E-2</v>
      </c>
      <c r="Q1725" s="10">
        <f>IF(K1725=0,IF(A1722=A1725,AVERAGE(O1722:O1725),"x"),0)</f>
        <v>0</v>
      </c>
      <c r="R1725" s="9">
        <f>IF(L1725&gt;2005,AVERAGE(O1722:O1741),0)</f>
        <v>0</v>
      </c>
      <c r="S1725" s="10">
        <f>IF(A1725=A1726,(N1725-N1726)/N1726,0)</f>
        <v>8.0000000000000071E-2</v>
      </c>
      <c r="T1725" s="10">
        <f>IF(L1725&gt;2005,(((N1725-N1745)/N1745)+1)^(1/5)-1,0)</f>
        <v>0</v>
      </c>
      <c r="U1725" s="10">
        <f t="shared" si="54"/>
        <v>0</v>
      </c>
      <c r="V1725" s="26">
        <f t="shared" si="55"/>
        <v>0</v>
      </c>
      <c r="W1725" s="3">
        <f>IF(A1725=A1726,N1725-N1726,0)</f>
        <v>2.0000000000000018E-2</v>
      </c>
      <c r="X1725" s="10">
        <f>IF(A1725=A1726,(N1725-N1726)/N1726,0)</f>
        <v>8.0000000000000071E-2</v>
      </c>
    </row>
    <row r="1726" spans="1:24" ht="16.5" customHeight="1">
      <c r="A1726" s="3" t="s">
        <v>42</v>
      </c>
      <c r="B1726" s="3">
        <f t="shared" si="48"/>
        <v>2004</v>
      </c>
      <c r="C1726" s="3">
        <f t="shared" si="49"/>
        <v>2</v>
      </c>
      <c r="D1726" s="20" t="str">
        <f t="shared" si="50"/>
        <v>XOM20042</v>
      </c>
      <c r="E1726" s="2">
        <v>38026</v>
      </c>
      <c r="F1726" s="3">
        <v>0.25</v>
      </c>
      <c r="G1726" s="2">
        <v>38056</v>
      </c>
      <c r="H1726" s="3">
        <v>2.47E-2</v>
      </c>
      <c r="I1726" s="3">
        <v>0</v>
      </c>
      <c r="J1726" s="3">
        <v>0</v>
      </c>
      <c r="K1726" s="3">
        <f t="shared" si="51"/>
        <v>0</v>
      </c>
      <c r="L1726" s="3">
        <f t="shared" si="52"/>
        <v>2004</v>
      </c>
      <c r="M1726" s="20" t="str">
        <f>A1726&amp;L1726</f>
        <v>XOM2004</v>
      </c>
      <c r="N1726" s="3">
        <f>F1726</f>
        <v>0.25</v>
      </c>
      <c r="O1726" s="9">
        <f>H1726</f>
        <v>2.47E-2</v>
      </c>
      <c r="P1726" s="10">
        <f t="shared" si="53"/>
        <v>0</v>
      </c>
      <c r="Q1726" s="10">
        <f>IF(K1726=0,IF(A1723=A1726,AVERAGE(O1723:O1726),"x"),0)</f>
        <v>2.3275000000000001E-2</v>
      </c>
      <c r="R1726" s="9">
        <f>IF(L1726&gt;2005,AVERAGE(O1723:O1742),0)</f>
        <v>0</v>
      </c>
      <c r="S1726" s="10">
        <f>IF(A1726=A1727,(N1726-N1727)/N1727,0)</f>
        <v>0</v>
      </c>
      <c r="T1726" s="10">
        <f>IF(L1726&gt;2005,(((N1726-N1746)/N1746)+1)^(1/5)-1,0)</f>
        <v>0</v>
      </c>
      <c r="U1726" s="10">
        <f t="shared" si="54"/>
        <v>0</v>
      </c>
      <c r="V1726" s="26">
        <f t="shared" si="55"/>
        <v>0</v>
      </c>
      <c r="W1726" s="3">
        <f>IF(A1726=A1727,N1726-N1727,0)</f>
        <v>0</v>
      </c>
      <c r="X1726" s="10">
        <f>IF(A1726=A1727,(N1726-N1727)/N1727,0)</f>
        <v>0</v>
      </c>
    </row>
    <row r="1727" spans="1:24" ht="16.5" customHeight="1">
      <c r="A1727" s="3" t="s">
        <v>42</v>
      </c>
      <c r="B1727" s="3">
        <f t="shared" si="48"/>
        <v>2003</v>
      </c>
      <c r="C1727" s="3">
        <f t="shared" si="49"/>
        <v>11</v>
      </c>
      <c r="D1727" s="20" t="str">
        <f t="shared" si="50"/>
        <v>XOM200311</v>
      </c>
      <c r="E1727" s="2">
        <v>37932</v>
      </c>
      <c r="F1727" s="3">
        <v>0.25</v>
      </c>
      <c r="G1727" s="2">
        <v>37965</v>
      </c>
      <c r="H1727" s="3">
        <v>2.7300000000000001E-2</v>
      </c>
      <c r="I1727" s="3">
        <v>0</v>
      </c>
      <c r="J1727" s="3">
        <v>0</v>
      </c>
      <c r="K1727" s="3">
        <f t="shared" si="51"/>
        <v>2003</v>
      </c>
      <c r="L1727" s="3">
        <f t="shared" si="52"/>
        <v>0</v>
      </c>
      <c r="M1727" s="20" t="str">
        <f>A1727&amp;L1727</f>
        <v>XOM0</v>
      </c>
      <c r="N1727" s="3">
        <f>F1727</f>
        <v>0.25</v>
      </c>
      <c r="O1727" s="9">
        <f>H1727</f>
        <v>2.7300000000000001E-2</v>
      </c>
      <c r="P1727" s="10">
        <f t="shared" si="53"/>
        <v>0</v>
      </c>
      <c r="Q1727" s="10">
        <f>IF(K1727=0,IF(A1724=A1727,AVERAGE(O1724:O1727),"x"),0)</f>
        <v>0</v>
      </c>
      <c r="R1727" s="9">
        <f>IF(L1727&gt;2005,AVERAGE(O1724:O1743),0)</f>
        <v>0</v>
      </c>
      <c r="S1727" s="10">
        <f>IF(A1727=A1728,(N1727-N1728)/N1728,0)</f>
        <v>0</v>
      </c>
      <c r="T1727" s="10">
        <f>IF(L1727&gt;2005,(((N1727-N1747)/N1747)+1)^(1/5)-1,0)</f>
        <v>0</v>
      </c>
      <c r="U1727" s="10">
        <f t="shared" si="54"/>
        <v>0</v>
      </c>
      <c r="V1727" s="26">
        <f t="shared" si="55"/>
        <v>0</v>
      </c>
      <c r="W1727" s="3">
        <f>IF(A1727=A1728,N1727-N1728,0)</f>
        <v>0</v>
      </c>
      <c r="X1727" s="10">
        <f>IF(A1727=A1728,(N1727-N1728)/N1728,0)</f>
        <v>0</v>
      </c>
    </row>
    <row r="1728" spans="1:24" ht="16.5" customHeight="1">
      <c r="A1728" s="3" t="s">
        <v>42</v>
      </c>
      <c r="B1728" s="3">
        <f t="shared" si="48"/>
        <v>2003</v>
      </c>
      <c r="C1728" s="3">
        <f t="shared" si="49"/>
        <v>8</v>
      </c>
      <c r="D1728" s="20" t="str">
        <f t="shared" si="50"/>
        <v>XOM20038</v>
      </c>
      <c r="E1728" s="2">
        <v>37844</v>
      </c>
      <c r="F1728" s="3">
        <v>0.25</v>
      </c>
      <c r="G1728" s="2">
        <v>37874</v>
      </c>
      <c r="H1728" s="3">
        <v>2.63E-2</v>
      </c>
      <c r="I1728" s="3">
        <v>0</v>
      </c>
      <c r="J1728" s="3">
        <v>0</v>
      </c>
      <c r="K1728" s="3">
        <f t="shared" si="51"/>
        <v>2003</v>
      </c>
      <c r="L1728" s="3">
        <f t="shared" si="52"/>
        <v>0</v>
      </c>
      <c r="M1728" s="20" t="str">
        <f>A1728&amp;L1728</f>
        <v>XOM0</v>
      </c>
      <c r="N1728" s="3">
        <f>F1728</f>
        <v>0.25</v>
      </c>
      <c r="O1728" s="9">
        <f>H1728</f>
        <v>2.63E-2</v>
      </c>
      <c r="P1728" s="10">
        <f t="shared" si="53"/>
        <v>0</v>
      </c>
      <c r="Q1728" s="10">
        <f>IF(K1728=0,IF(A1725=A1728,AVERAGE(O1725:O1728),"x"),0)</f>
        <v>0</v>
      </c>
      <c r="R1728" s="9">
        <f>IF(L1728&gt;2005,AVERAGE(O1725:O1744),0)</f>
        <v>0</v>
      </c>
      <c r="S1728" s="10">
        <f>IF(A1728=A1729,(N1728-N1729)/N1729,0)</f>
        <v>0</v>
      </c>
      <c r="T1728" s="10">
        <f>IF(L1728&gt;2005,(((N1728-N1748)/N1748)+1)^(1/5)-1,0)</f>
        <v>0</v>
      </c>
      <c r="U1728" s="10">
        <f t="shared" si="54"/>
        <v>0</v>
      </c>
      <c r="V1728" s="26">
        <f t="shared" si="55"/>
        <v>0</v>
      </c>
      <c r="W1728" s="3">
        <f>IF(A1728=A1729,N1728-N1729,0)</f>
        <v>0</v>
      </c>
      <c r="X1728" s="10">
        <f>IF(A1728=A1729,(N1728-N1729)/N1729,0)</f>
        <v>0</v>
      </c>
    </row>
    <row r="1729" spans="1:24" ht="16.5" customHeight="1">
      <c r="A1729" s="3" t="s">
        <v>42</v>
      </c>
      <c r="B1729" s="3">
        <f t="shared" si="48"/>
        <v>2003</v>
      </c>
      <c r="C1729" s="3">
        <f t="shared" si="49"/>
        <v>5</v>
      </c>
      <c r="D1729" s="20" t="str">
        <f t="shared" si="50"/>
        <v>XOM20035</v>
      </c>
      <c r="E1729" s="2">
        <v>37750</v>
      </c>
      <c r="F1729" s="3">
        <v>0.25</v>
      </c>
      <c r="G1729" s="2">
        <v>37782</v>
      </c>
      <c r="H1729" s="3">
        <v>2.6599999999999999E-2</v>
      </c>
      <c r="I1729" s="3">
        <v>8.6956521999999994E-2</v>
      </c>
      <c r="J1729" s="3">
        <v>0.02</v>
      </c>
      <c r="K1729" s="3">
        <f t="shared" si="51"/>
        <v>2003</v>
      </c>
      <c r="L1729" s="3">
        <f t="shared" si="52"/>
        <v>0</v>
      </c>
      <c r="M1729" s="20" t="str">
        <f>A1729&amp;L1729</f>
        <v>XOM0</v>
      </c>
      <c r="N1729" s="3">
        <f>F1729</f>
        <v>0.25</v>
      </c>
      <c r="O1729" s="9">
        <f>H1729</f>
        <v>2.6599999999999999E-2</v>
      </c>
      <c r="P1729" s="10">
        <f t="shared" si="53"/>
        <v>2.6349999999999998E-2</v>
      </c>
      <c r="Q1729" s="10">
        <f>IF(K1729=0,IF(A1726=A1729,AVERAGE(O1726:O1729),"x"),0)</f>
        <v>0</v>
      </c>
      <c r="R1729" s="9">
        <f>IF(L1729&gt;2005,AVERAGE(O1726:O1745),0)</f>
        <v>0</v>
      </c>
      <c r="S1729" s="10">
        <f>IF(A1729=A1730,(N1729-N1730)/N1730,0)</f>
        <v>8.6956521739130391E-2</v>
      </c>
      <c r="T1729" s="10">
        <f>IF(L1729&gt;2005,(((N1729-N1749)/N1749)+1)^(1/5)-1,0)</f>
        <v>0</v>
      </c>
      <c r="U1729" s="10">
        <f t="shared" si="54"/>
        <v>0</v>
      </c>
      <c r="V1729" s="26">
        <f t="shared" si="55"/>
        <v>0</v>
      </c>
      <c r="W1729" s="3">
        <f>IF(A1729=A1730,N1729-N1730,0)</f>
        <v>1.999999999999999E-2</v>
      </c>
      <c r="X1729" s="10">
        <f>IF(A1729=A1730,(N1729-N1730)/N1730,0)</f>
        <v>8.6956521739130391E-2</v>
      </c>
    </row>
    <row r="1730" spans="1:24" ht="16.5" customHeight="1">
      <c r="A1730" s="3" t="s">
        <v>42</v>
      </c>
      <c r="B1730" s="3">
        <f t="shared" si="48"/>
        <v>2003</v>
      </c>
      <c r="C1730" s="3">
        <f t="shared" si="49"/>
        <v>2</v>
      </c>
      <c r="D1730" s="20" t="str">
        <f t="shared" si="50"/>
        <v>XOM20032</v>
      </c>
      <c r="E1730" s="2">
        <v>37658</v>
      </c>
      <c r="F1730" s="3">
        <v>0.23</v>
      </c>
      <c r="G1730" s="2">
        <v>37690</v>
      </c>
      <c r="H1730" s="3">
        <v>2.7E-2</v>
      </c>
      <c r="I1730" s="3">
        <v>0</v>
      </c>
      <c r="J1730" s="3">
        <v>0</v>
      </c>
      <c r="K1730" s="3">
        <f t="shared" si="51"/>
        <v>0</v>
      </c>
      <c r="L1730" s="3">
        <f t="shared" si="52"/>
        <v>2003</v>
      </c>
      <c r="M1730" s="20" t="str">
        <f>A1730&amp;L1730</f>
        <v>XOM2003</v>
      </c>
      <c r="N1730" s="3">
        <f>F1730</f>
        <v>0.23</v>
      </c>
      <c r="O1730" s="9">
        <f>H1730</f>
        <v>2.7E-2</v>
      </c>
      <c r="P1730" s="10">
        <f t="shared" si="53"/>
        <v>0</v>
      </c>
      <c r="Q1730" s="10">
        <f>IF(K1730=0,IF(A1727=A1730,AVERAGE(O1727:O1730),"x"),0)</f>
        <v>2.6799999999999997E-2</v>
      </c>
      <c r="R1730" s="9">
        <f>IF(L1730&gt;2005,AVERAGE(O1727:O1746),0)</f>
        <v>0</v>
      </c>
      <c r="S1730" s="10">
        <f>IF(A1730=A1731,(N1730-N1731)/N1731,0)</f>
        <v>0</v>
      </c>
      <c r="T1730" s="10">
        <f>IF(L1730&gt;2005,(((N1730-N1750)/N1750)+1)^(1/5)-1,0)</f>
        <v>0</v>
      </c>
      <c r="U1730" s="10">
        <f t="shared" si="54"/>
        <v>0</v>
      </c>
      <c r="V1730" s="26">
        <f t="shared" si="55"/>
        <v>0</v>
      </c>
      <c r="W1730" s="3">
        <f>IF(A1730=A1731,N1730-N1731,0)</f>
        <v>0</v>
      </c>
      <c r="X1730" s="10">
        <f>IF(A1730=A1731,(N1730-N1731)/N1731,0)</f>
        <v>0</v>
      </c>
    </row>
    <row r="1731" spans="1:24" ht="16.5" customHeight="1">
      <c r="A1731" s="3" t="s">
        <v>42</v>
      </c>
      <c r="B1731" s="3">
        <f t="shared" si="48"/>
        <v>2002</v>
      </c>
      <c r="C1731" s="3">
        <f t="shared" si="49"/>
        <v>11</v>
      </c>
      <c r="D1731" s="20" t="str">
        <f t="shared" si="50"/>
        <v>XOM200211</v>
      </c>
      <c r="E1731" s="2">
        <v>37567</v>
      </c>
      <c r="F1731" s="3">
        <v>0.23</v>
      </c>
      <c r="G1731" s="2">
        <v>37600</v>
      </c>
      <c r="H1731" s="3">
        <v>2.6200000000000001E-2</v>
      </c>
      <c r="I1731" s="3">
        <v>0</v>
      </c>
      <c r="J1731" s="3">
        <v>0</v>
      </c>
      <c r="K1731" s="3">
        <f t="shared" si="51"/>
        <v>2002</v>
      </c>
      <c r="L1731" s="3">
        <f t="shared" si="52"/>
        <v>0</v>
      </c>
      <c r="M1731" s="20" t="str">
        <f>A1731&amp;L1731</f>
        <v>XOM0</v>
      </c>
      <c r="N1731" s="3">
        <f>F1731</f>
        <v>0.23</v>
      </c>
      <c r="O1731" s="9">
        <f>H1731</f>
        <v>2.6200000000000001E-2</v>
      </c>
      <c r="P1731" s="10">
        <f t="shared" si="53"/>
        <v>0</v>
      </c>
      <c r="Q1731" s="10">
        <f>IF(K1731=0,IF(A1728=A1731,AVERAGE(O1728:O1731),"x"),0)</f>
        <v>0</v>
      </c>
      <c r="R1731" s="9">
        <f>IF(L1731&gt;2005,AVERAGE(O1728:O1747),0)</f>
        <v>0</v>
      </c>
      <c r="S1731" s="10">
        <f>IF(A1731=A1732,(N1731-N1732)/N1732,0)</f>
        <v>0</v>
      </c>
      <c r="T1731" s="10">
        <f>IF(L1731&gt;2005,(((N1731-N1751)/N1751)+1)^(1/5)-1,0)</f>
        <v>0</v>
      </c>
      <c r="U1731" s="10">
        <f t="shared" si="54"/>
        <v>0</v>
      </c>
      <c r="V1731" s="26">
        <f t="shared" si="55"/>
        <v>0</v>
      </c>
      <c r="W1731" s="3">
        <f>IF(A1731=A1732,N1731-N1732,0)</f>
        <v>0</v>
      </c>
      <c r="X1731" s="10">
        <f>IF(A1731=A1732,(N1731-N1732)/N1732,0)</f>
        <v>0</v>
      </c>
    </row>
    <row r="1732" spans="1:24" ht="16.5" customHeight="1">
      <c r="A1732" s="3" t="s">
        <v>42</v>
      </c>
      <c r="B1732" s="3">
        <f t="shared" si="48"/>
        <v>2002</v>
      </c>
      <c r="C1732" s="3">
        <f t="shared" si="49"/>
        <v>8</v>
      </c>
      <c r="D1732" s="20" t="str">
        <f t="shared" si="50"/>
        <v>XOM20028</v>
      </c>
      <c r="E1732" s="2">
        <v>37477</v>
      </c>
      <c r="F1732" s="3">
        <v>0.23</v>
      </c>
      <c r="G1732" s="2">
        <v>37509</v>
      </c>
      <c r="H1732" s="3">
        <v>2.5600000000000001E-2</v>
      </c>
      <c r="I1732" s="3">
        <v>0</v>
      </c>
      <c r="J1732" s="3">
        <v>0</v>
      </c>
      <c r="K1732" s="3">
        <f t="shared" si="51"/>
        <v>2002</v>
      </c>
      <c r="L1732" s="3">
        <f t="shared" si="52"/>
        <v>0</v>
      </c>
      <c r="M1732" s="20" t="str">
        <f>A1732&amp;L1732</f>
        <v>XOM0</v>
      </c>
      <c r="N1732" s="3">
        <f>F1732</f>
        <v>0.23</v>
      </c>
      <c r="O1732" s="9">
        <f>H1732</f>
        <v>2.5600000000000001E-2</v>
      </c>
      <c r="P1732" s="10">
        <f t="shared" si="53"/>
        <v>0</v>
      </c>
      <c r="Q1732" s="10">
        <f>IF(K1732=0,IF(A1729=A1732,AVERAGE(O1729:O1732),"x"),0)</f>
        <v>0</v>
      </c>
      <c r="R1732" s="9">
        <f>IF(L1732&gt;2005,AVERAGE(O1729:O1748),0)</f>
        <v>0</v>
      </c>
      <c r="S1732" s="10">
        <f>IF(A1732=A1733,(N1732-N1733)/N1733,0)</f>
        <v>0</v>
      </c>
      <c r="T1732" s="10">
        <f>IF(L1732&gt;2005,(((N1732-N1752)/N1752)+1)^(1/5)-1,0)</f>
        <v>0</v>
      </c>
      <c r="U1732" s="10">
        <f t="shared" si="54"/>
        <v>0</v>
      </c>
      <c r="V1732" s="26">
        <f t="shared" si="55"/>
        <v>0</v>
      </c>
      <c r="W1732" s="3">
        <f>IF(A1732=A1733,N1732-N1733,0)</f>
        <v>0</v>
      </c>
      <c r="X1732" s="10">
        <f>IF(A1732=A1733,(N1732-N1733)/N1733,0)</f>
        <v>0</v>
      </c>
    </row>
    <row r="1733" spans="1:24" ht="16.5" customHeight="1">
      <c r="A1733" s="3" t="s">
        <v>42</v>
      </c>
      <c r="B1733" s="3">
        <f t="shared" si="48"/>
        <v>2002</v>
      </c>
      <c r="C1733" s="3">
        <f t="shared" si="49"/>
        <v>5</v>
      </c>
      <c r="D1733" s="20" t="str">
        <f t="shared" si="50"/>
        <v>XOM20025</v>
      </c>
      <c r="E1733" s="2">
        <v>37385</v>
      </c>
      <c r="F1733" s="3">
        <v>0.23</v>
      </c>
      <c r="G1733" s="2">
        <v>37417</v>
      </c>
      <c r="H1733" s="3">
        <v>2.3199999999999998E-2</v>
      </c>
      <c r="I1733" s="3">
        <v>0</v>
      </c>
      <c r="J1733" s="3">
        <v>0</v>
      </c>
      <c r="K1733" s="3">
        <f t="shared" si="51"/>
        <v>2002</v>
      </c>
      <c r="L1733" s="3">
        <f t="shared" si="52"/>
        <v>0</v>
      </c>
      <c r="M1733" s="20" t="str">
        <f>A1733&amp;L1733</f>
        <v>XOM0</v>
      </c>
      <c r="N1733" s="3">
        <f>F1733</f>
        <v>0.23</v>
      </c>
      <c r="O1733" s="9">
        <f>H1733</f>
        <v>2.3199999999999998E-2</v>
      </c>
      <c r="P1733" s="10">
        <f t="shared" si="53"/>
        <v>0</v>
      </c>
      <c r="Q1733" s="10">
        <f>IF(K1733=0,IF(A1730=A1733,AVERAGE(O1730:O1733),"x"),0)</f>
        <v>0</v>
      </c>
      <c r="R1733" s="9">
        <f>IF(L1733&gt;2005,AVERAGE(O1730:O1749),0)</f>
        <v>0</v>
      </c>
      <c r="S1733" s="10">
        <f>IF(A1733=A1734,(N1733-N1734)/N1734,0)</f>
        <v>0</v>
      </c>
      <c r="T1733" s="10">
        <f>IF(L1733&gt;2005,(((N1733-N1753)/N1753)+1)^(1/5)-1,0)</f>
        <v>0</v>
      </c>
      <c r="U1733" s="10">
        <f t="shared" si="54"/>
        <v>0</v>
      </c>
      <c r="V1733" s="26">
        <f t="shared" si="55"/>
        <v>0</v>
      </c>
      <c r="W1733" s="3">
        <f>IF(A1733=A1734,N1733-N1734,0)</f>
        <v>0</v>
      </c>
      <c r="X1733" s="10">
        <f>IF(A1733=A1734,(N1733-N1734)/N1734,0)</f>
        <v>0</v>
      </c>
    </row>
    <row r="1734" spans="1:24" ht="16.5" customHeight="1">
      <c r="A1734" s="3" t="s">
        <v>42</v>
      </c>
      <c r="B1734" s="3">
        <f t="shared" si="48"/>
        <v>2002</v>
      </c>
      <c r="C1734" s="3">
        <f t="shared" si="49"/>
        <v>2</v>
      </c>
      <c r="D1734" s="20" t="str">
        <f t="shared" si="50"/>
        <v>XOM20022</v>
      </c>
      <c r="E1734" s="2">
        <v>37294</v>
      </c>
      <c r="F1734" s="3">
        <v>0.23</v>
      </c>
      <c r="G1734" s="2">
        <v>37326</v>
      </c>
      <c r="H1734" s="3">
        <v>2.3599999999999999E-2</v>
      </c>
      <c r="I1734" s="3">
        <v>0</v>
      </c>
      <c r="J1734" s="3">
        <v>0</v>
      </c>
      <c r="K1734" s="3">
        <f t="shared" si="51"/>
        <v>0</v>
      </c>
      <c r="L1734" s="3">
        <f t="shared" si="52"/>
        <v>2002</v>
      </c>
      <c r="M1734" s="20" t="str">
        <f>A1734&amp;L1734</f>
        <v>XOM2002</v>
      </c>
      <c r="N1734" s="3">
        <f>F1734</f>
        <v>0.23</v>
      </c>
      <c r="O1734" s="9">
        <f>H1734</f>
        <v>2.3599999999999999E-2</v>
      </c>
      <c r="P1734" s="10">
        <f t="shared" si="53"/>
        <v>0</v>
      </c>
      <c r="Q1734" s="10">
        <f>IF(K1734=0,IF(A1731=A1734,AVERAGE(O1731:O1734),"x"),0)</f>
        <v>2.4649999999999998E-2</v>
      </c>
      <c r="R1734" s="9">
        <f>IF(L1734&gt;2005,AVERAGE(O1731:O1750),0)</f>
        <v>0</v>
      </c>
      <c r="S1734" s="10">
        <f>IF(A1734=A1735,(N1734-N1735)/N1735,0)</f>
        <v>0</v>
      </c>
      <c r="T1734" s="10">
        <f>IF(L1734&gt;2005,(((N1734-N1754)/N1754)+1)^(1/5)-1,0)</f>
        <v>0</v>
      </c>
      <c r="U1734" s="10">
        <f t="shared" si="54"/>
        <v>0</v>
      </c>
      <c r="V1734" s="26">
        <f t="shared" si="55"/>
        <v>0</v>
      </c>
      <c r="W1734" s="3">
        <f>IF(A1734=A1735,N1734-N1735,0)</f>
        <v>0</v>
      </c>
      <c r="X1734" s="10">
        <f>IF(A1734=A1735,(N1734-N1735)/N1735,0)</f>
        <v>0</v>
      </c>
    </row>
    <row r="1735" spans="1:24" ht="16.5" customHeight="1">
      <c r="A1735" s="3" t="s">
        <v>42</v>
      </c>
      <c r="B1735" s="3">
        <f t="shared" si="48"/>
        <v>2001</v>
      </c>
      <c r="C1735" s="3">
        <f t="shared" si="49"/>
        <v>11</v>
      </c>
      <c r="D1735" s="20" t="str">
        <f t="shared" si="50"/>
        <v>XOM200111</v>
      </c>
      <c r="E1735" s="2">
        <v>37202</v>
      </c>
      <c r="F1735" s="3">
        <v>0.23</v>
      </c>
      <c r="G1735" s="2">
        <v>37235</v>
      </c>
      <c r="H1735" s="3">
        <v>2.3099999999999999E-2</v>
      </c>
      <c r="I1735" s="3">
        <v>0</v>
      </c>
      <c r="J1735" s="3">
        <v>0</v>
      </c>
      <c r="K1735" s="3">
        <f t="shared" si="51"/>
        <v>2001</v>
      </c>
      <c r="L1735" s="3">
        <f t="shared" si="52"/>
        <v>0</v>
      </c>
      <c r="M1735" s="20" t="str">
        <f>A1735&amp;L1735</f>
        <v>XOM0</v>
      </c>
      <c r="N1735" s="3">
        <f>F1735</f>
        <v>0.23</v>
      </c>
      <c r="O1735" s="9">
        <f>H1735</f>
        <v>2.3099999999999999E-2</v>
      </c>
      <c r="P1735" s="10">
        <f t="shared" si="53"/>
        <v>0</v>
      </c>
      <c r="Q1735" s="10">
        <f>IF(K1735=0,IF(A1732=A1735,AVERAGE(O1732:O1735),"x"),0)</f>
        <v>0</v>
      </c>
      <c r="R1735" s="9">
        <f>IF(L1735&gt;2005,AVERAGE(O1732:O1751),0)</f>
        <v>0</v>
      </c>
      <c r="S1735" s="10">
        <f>IF(A1735=A1736,(N1735-N1736)/N1736,0)</f>
        <v>0</v>
      </c>
      <c r="T1735" s="10">
        <f>IF(L1735&gt;2005,(((N1735-N1755)/N1755)+1)^(1/5)-1,0)</f>
        <v>0</v>
      </c>
      <c r="U1735" s="10">
        <f t="shared" si="54"/>
        <v>0</v>
      </c>
      <c r="V1735" s="26">
        <f t="shared" si="55"/>
        <v>0</v>
      </c>
      <c r="W1735" s="3">
        <f>IF(A1735=A1736,N1735-N1736,0)</f>
        <v>0</v>
      </c>
      <c r="X1735" s="10">
        <f>IF(A1735=A1736,(N1735-N1736)/N1736,0)</f>
        <v>0</v>
      </c>
    </row>
    <row r="1736" spans="1:24" ht="16.5" customHeight="1">
      <c r="A1736" s="3" t="s">
        <v>42</v>
      </c>
      <c r="B1736" s="3">
        <f t="shared" si="48"/>
        <v>2001</v>
      </c>
      <c r="C1736" s="3">
        <f t="shared" si="49"/>
        <v>8</v>
      </c>
      <c r="D1736" s="20" t="str">
        <f t="shared" si="50"/>
        <v>XOM20018</v>
      </c>
      <c r="E1736" s="2">
        <v>37112</v>
      </c>
      <c r="F1736" s="3">
        <v>0.23</v>
      </c>
      <c r="G1736" s="2">
        <v>37144</v>
      </c>
      <c r="H1736" s="3">
        <v>2.18E-2</v>
      </c>
      <c r="I1736" s="3">
        <v>10.5</v>
      </c>
      <c r="J1736" s="3">
        <v>0.21</v>
      </c>
      <c r="K1736" s="3">
        <f t="shared" si="51"/>
        <v>2001</v>
      </c>
      <c r="L1736" s="3">
        <f t="shared" si="52"/>
        <v>0</v>
      </c>
      <c r="M1736" s="20" t="str">
        <f>A1736&amp;L1736</f>
        <v>XOM0</v>
      </c>
      <c r="N1736" s="3">
        <f>F1736</f>
        <v>0.23</v>
      </c>
      <c r="O1736" s="9">
        <f>H1736</f>
        <v>2.18E-2</v>
      </c>
      <c r="P1736" s="10">
        <f t="shared" si="53"/>
        <v>2.0424999999999999E-2</v>
      </c>
      <c r="Q1736" s="10">
        <f>IF(K1736=0,IF(A1733=A1736,AVERAGE(O1733:O1736),"x"),0)</f>
        <v>0</v>
      </c>
      <c r="R1736" s="9">
        <f>IF(L1736&gt;2005,AVERAGE(O1733:O1752),0)</f>
        <v>0</v>
      </c>
      <c r="S1736" s="10">
        <f>IF(A1736=A1737,(N1736-N1737)/N1737,0)</f>
        <v>4.5454545454545497E-2</v>
      </c>
      <c r="T1736" s="10">
        <f>IF(L1736&gt;2005,(((N1736-N1756)/N1756)+1)^(1/5)-1,0)</f>
        <v>0</v>
      </c>
      <c r="U1736" s="10">
        <f t="shared" si="54"/>
        <v>0</v>
      </c>
      <c r="V1736" s="26">
        <f t="shared" si="55"/>
        <v>0</v>
      </c>
      <c r="W1736" s="3">
        <f>IF(A1736=A1737,N1736-N1737,0)</f>
        <v>1.0000000000000009E-2</v>
      </c>
      <c r="X1736" s="10">
        <f>IF(A1736=A1737,(N1736-N1737)/N1737,0)</f>
        <v>4.5454545454545497E-2</v>
      </c>
    </row>
    <row r="1737" spans="1:24" ht="16.5" customHeight="1">
      <c r="A1737" s="3" t="s">
        <v>42</v>
      </c>
      <c r="B1737" s="3">
        <f t="shared" si="48"/>
        <v>2001</v>
      </c>
      <c r="C1737" s="3">
        <f t="shared" si="49"/>
        <v>5</v>
      </c>
      <c r="D1737" s="20" t="str">
        <f t="shared" si="50"/>
        <v>XOM20015</v>
      </c>
      <c r="E1737" s="2">
        <v>37021</v>
      </c>
      <c r="F1737" s="3">
        <v>0.44</v>
      </c>
      <c r="G1737" s="2">
        <v>37053</v>
      </c>
      <c r="H1737" s="3">
        <v>1.9599999999999999E-2</v>
      </c>
      <c r="I1737" s="3">
        <v>0</v>
      </c>
      <c r="J1737" s="3">
        <v>0</v>
      </c>
      <c r="K1737" s="3">
        <f t="shared" si="51"/>
        <v>2001</v>
      </c>
      <c r="L1737" s="3">
        <f t="shared" si="52"/>
        <v>0</v>
      </c>
      <c r="M1737" s="20" t="str">
        <f>A1737&amp;L1737</f>
        <v>XOM0</v>
      </c>
      <c r="N1737" s="3">
        <f>F1737/2</f>
        <v>0.22</v>
      </c>
      <c r="O1737" s="9">
        <f>H1737</f>
        <v>1.9599999999999999E-2</v>
      </c>
      <c r="P1737" s="10">
        <f t="shared" si="53"/>
        <v>0</v>
      </c>
      <c r="Q1737" s="10">
        <f>IF(K1737=0,IF(A1734=A1737,AVERAGE(O1734:O1737),"x"),0)</f>
        <v>0</v>
      </c>
      <c r="R1737" s="9">
        <f>IF(L1737&gt;2005,AVERAGE(O1734:O1753),0)</f>
        <v>0</v>
      </c>
      <c r="S1737" s="10">
        <f>IF(A1737=A1738,(N1737-N1738)/N1738,0)</f>
        <v>0</v>
      </c>
      <c r="T1737" s="10">
        <f>IF(L1737&gt;2005,(((N1737-N1757)/N1757)+1)^(1/5)-1,0)</f>
        <v>0</v>
      </c>
      <c r="U1737" s="10">
        <f t="shared" si="54"/>
        <v>0</v>
      </c>
      <c r="V1737" s="26">
        <f t="shared" si="55"/>
        <v>0</v>
      </c>
      <c r="W1737" s="3">
        <f>IF(A1737=A1738,N1737-N1738,0)</f>
        <v>0</v>
      </c>
      <c r="X1737" s="10">
        <f>IF(A1737=A1738,(N1737-N1738)/N1738,0)</f>
        <v>0</v>
      </c>
    </row>
    <row r="1738" spans="1:24" ht="16.5" customHeight="1">
      <c r="A1738" s="3" t="s">
        <v>42</v>
      </c>
      <c r="B1738" s="3">
        <f t="shared" si="48"/>
        <v>2001</v>
      </c>
      <c r="C1738" s="3">
        <f t="shared" si="49"/>
        <v>2</v>
      </c>
      <c r="D1738" s="20" t="str">
        <f t="shared" si="50"/>
        <v>XOM20012</v>
      </c>
      <c r="E1738" s="2">
        <v>36929</v>
      </c>
      <c r="F1738" s="3">
        <v>0.44</v>
      </c>
      <c r="G1738" s="2">
        <v>36959</v>
      </c>
      <c r="H1738" s="3">
        <v>2.0899999999999998E-2</v>
      </c>
      <c r="I1738" s="3">
        <v>0</v>
      </c>
      <c r="J1738" s="3">
        <v>0</v>
      </c>
      <c r="K1738" s="3">
        <f t="shared" si="51"/>
        <v>0</v>
      </c>
      <c r="L1738" s="3">
        <f t="shared" si="52"/>
        <v>2001</v>
      </c>
      <c r="M1738" s="20" t="str">
        <f>A1738&amp;L1738</f>
        <v>XOM2001</v>
      </c>
      <c r="N1738" s="3">
        <f>F1738/2</f>
        <v>0.22</v>
      </c>
      <c r="O1738" s="9">
        <f>H1738</f>
        <v>2.0899999999999998E-2</v>
      </c>
      <c r="P1738" s="10">
        <f t="shared" si="53"/>
        <v>0</v>
      </c>
      <c r="Q1738" s="10">
        <f>IF(K1738=0,IF(A1735=A1738,AVERAGE(O1735:O1738),"x"),0)</f>
        <v>2.1350000000000001E-2</v>
      </c>
      <c r="R1738" s="9">
        <f>IF(L1738&gt;2005,AVERAGE(O1735:O1754),0)</f>
        <v>0</v>
      </c>
      <c r="S1738" s="10">
        <f>IF(A1738=A1739,(N1738-N1739)/N1739,0)</f>
        <v>0</v>
      </c>
      <c r="T1738" s="10">
        <f>IF(L1738&gt;2005,(((N1738-N1758)/N1758)+1)^(1/5)-1,0)</f>
        <v>0</v>
      </c>
      <c r="U1738" s="10">
        <f t="shared" si="54"/>
        <v>0</v>
      </c>
      <c r="V1738" s="26">
        <f t="shared" si="55"/>
        <v>0</v>
      </c>
      <c r="W1738" s="3">
        <f>IF(A1738=A1739,N1738-N1739,0)</f>
        <v>0</v>
      </c>
      <c r="X1738" s="10">
        <f>IF(A1738=A1739,(N1738-N1739)/N1739,0)</f>
        <v>0</v>
      </c>
    </row>
    <row r="1739" spans="1:24" ht="16.5" customHeight="1">
      <c r="A1739" s="3" t="s">
        <v>42</v>
      </c>
      <c r="B1739" s="3">
        <f t="shared" si="48"/>
        <v>2000</v>
      </c>
      <c r="C1739" s="3">
        <f t="shared" si="49"/>
        <v>11</v>
      </c>
      <c r="D1739" s="20" t="str">
        <f t="shared" si="50"/>
        <v>XOM200011</v>
      </c>
      <c r="E1739" s="2">
        <v>36839</v>
      </c>
      <c r="F1739" s="3">
        <v>0.44</v>
      </c>
      <c r="G1739" s="2">
        <v>36871</v>
      </c>
      <c r="H1739" s="3">
        <v>1.9400000000000001E-2</v>
      </c>
      <c r="I1739" s="3">
        <v>0</v>
      </c>
      <c r="J1739" s="3">
        <v>0</v>
      </c>
      <c r="K1739" s="3">
        <f t="shared" si="51"/>
        <v>2000</v>
      </c>
      <c r="L1739" s="3">
        <f t="shared" si="52"/>
        <v>0</v>
      </c>
      <c r="M1739" s="20" t="str">
        <f>A1739&amp;L1739</f>
        <v>XOM0</v>
      </c>
      <c r="N1739" s="3">
        <f>F1739/2</f>
        <v>0.22</v>
      </c>
      <c r="O1739" s="9">
        <f>H1739</f>
        <v>1.9400000000000001E-2</v>
      </c>
      <c r="P1739" s="10">
        <f t="shared" si="53"/>
        <v>0</v>
      </c>
      <c r="Q1739" s="10">
        <f>IF(K1739=0,IF(A1736=A1739,AVERAGE(O1736:O1739),"x"),0)</f>
        <v>0</v>
      </c>
      <c r="R1739" s="9">
        <f>IF(L1739&gt;2005,AVERAGE(O1736:O1755),0)</f>
        <v>0</v>
      </c>
      <c r="S1739" s="10">
        <f>IF(A1739=A1740,(N1739-N1740)/N1740,0)</f>
        <v>0</v>
      </c>
      <c r="T1739" s="10">
        <f>IF(L1739&gt;2005,(((N1739-N1759)/N1759)+1)^(1/5)-1,0)</f>
        <v>0</v>
      </c>
      <c r="U1739" s="10">
        <f t="shared" si="54"/>
        <v>0</v>
      </c>
      <c r="V1739" s="26">
        <f t="shared" si="55"/>
        <v>0</v>
      </c>
      <c r="W1739" s="3">
        <f>IF(A1739=A1740,N1739-N1740,0)</f>
        <v>0</v>
      </c>
      <c r="X1739" s="10">
        <f>IF(A1739=A1740,(N1739-N1740)/N1740,0)</f>
        <v>0</v>
      </c>
    </row>
    <row r="1740" spans="1:24" ht="16.5" customHeight="1">
      <c r="A1740" s="3" t="s">
        <v>42</v>
      </c>
      <c r="B1740" s="3">
        <f t="shared" si="48"/>
        <v>2000</v>
      </c>
      <c r="C1740" s="3">
        <f t="shared" si="49"/>
        <v>8</v>
      </c>
      <c r="D1740" s="20" t="str">
        <f t="shared" si="50"/>
        <v>XOM20008</v>
      </c>
      <c r="E1740" s="2">
        <v>36748</v>
      </c>
      <c r="F1740" s="3">
        <v>0.44</v>
      </c>
      <c r="G1740" s="2">
        <v>36780</v>
      </c>
      <c r="H1740" s="3">
        <v>2.1700000000000001E-2</v>
      </c>
      <c r="I1740" s="3">
        <v>0</v>
      </c>
      <c r="J1740" s="3">
        <v>0</v>
      </c>
      <c r="K1740" s="3">
        <f t="shared" si="51"/>
        <v>2000</v>
      </c>
      <c r="L1740" s="3">
        <f t="shared" si="52"/>
        <v>0</v>
      </c>
      <c r="M1740" s="20" t="str">
        <f>A1740&amp;L1740</f>
        <v>XOM0</v>
      </c>
      <c r="N1740" s="3">
        <f>F1740/2</f>
        <v>0.22</v>
      </c>
      <c r="O1740" s="9">
        <f>H1740</f>
        <v>2.1700000000000001E-2</v>
      </c>
      <c r="P1740" s="10">
        <f t="shared" si="53"/>
        <v>0</v>
      </c>
      <c r="Q1740" s="10">
        <f>IF(K1740=0,IF(A1737=A1740,AVERAGE(O1737:O1740),"x"),0)</f>
        <v>0</v>
      </c>
      <c r="R1740" s="9">
        <f>IF(L1740&gt;2005,AVERAGE(O1737:O1756),0)</f>
        <v>0</v>
      </c>
      <c r="S1740" s="10">
        <f>IF(A1740=A1741,(N1740-N1741)/N1741,0)</f>
        <v>0</v>
      </c>
      <c r="T1740" s="10">
        <f>IF(L1740&gt;2005,(((N1740-N1760)/N1760)+1)^(1/5)-1,0)</f>
        <v>0</v>
      </c>
      <c r="U1740" s="10">
        <f t="shared" si="54"/>
        <v>0</v>
      </c>
      <c r="V1740" s="26">
        <f t="shared" si="55"/>
        <v>0</v>
      </c>
      <c r="W1740" s="3">
        <f>IF(A1740=A1741,N1740-N1741,0)</f>
        <v>0</v>
      </c>
      <c r="X1740" s="10">
        <f>IF(A1740=A1741,(N1740-N1741)/N1741,0)</f>
        <v>0</v>
      </c>
    </row>
    <row r="1741" spans="1:24" ht="16.5" customHeight="1">
      <c r="A1741" s="3" t="s">
        <v>42</v>
      </c>
      <c r="B1741" s="3">
        <f t="shared" si="48"/>
        <v>2000</v>
      </c>
      <c r="C1741" s="3">
        <f t="shared" si="49"/>
        <v>5</v>
      </c>
      <c r="D1741" s="20" t="str">
        <f t="shared" si="50"/>
        <v>XOM20005</v>
      </c>
      <c r="E1741" s="2">
        <v>36657</v>
      </c>
      <c r="F1741" s="3">
        <v>0.44</v>
      </c>
      <c r="G1741" s="2">
        <v>36687</v>
      </c>
      <c r="H1741" s="3">
        <v>2.12E-2</v>
      </c>
      <c r="I1741" s="3">
        <v>0</v>
      </c>
      <c r="J1741" s="3">
        <v>0</v>
      </c>
      <c r="K1741" s="3">
        <f t="shared" si="51"/>
        <v>2000</v>
      </c>
      <c r="L1741" s="3">
        <f t="shared" si="52"/>
        <v>0</v>
      </c>
      <c r="M1741" s="20" t="str">
        <f>A1741&amp;L1741</f>
        <v>XOM0</v>
      </c>
      <c r="N1741" s="3">
        <f>F1741/2</f>
        <v>0.22</v>
      </c>
      <c r="O1741" s="9">
        <f>H1741</f>
        <v>2.12E-2</v>
      </c>
      <c r="P1741" s="10">
        <f t="shared" si="53"/>
        <v>0</v>
      </c>
      <c r="Q1741" s="10">
        <f>IF(K1741=0,IF(A1738=A1741,AVERAGE(O1738:O1741),"x"),0)</f>
        <v>0</v>
      </c>
      <c r="R1741" s="9">
        <f>IF(L1741&gt;2005,AVERAGE(O1738:O1757),0)</f>
        <v>0</v>
      </c>
      <c r="S1741" s="10">
        <f>IF(A1741=A1742,(N1741-N1742)/N1742,0)</f>
        <v>0</v>
      </c>
      <c r="T1741" s="10">
        <f>IF(L1741&gt;2005,(((N1741-N1761)/N1761)+1)^(1/5)-1,0)</f>
        <v>0</v>
      </c>
      <c r="U1741" s="10">
        <f t="shared" si="54"/>
        <v>0</v>
      </c>
      <c r="V1741" s="26">
        <f t="shared" si="55"/>
        <v>0</v>
      </c>
      <c r="W1741" s="3">
        <f>IF(A1741=A1742,N1741-N1742,0)</f>
        <v>0</v>
      </c>
      <c r="X1741" s="10">
        <f>IF(A1741=A1742,(N1741-N1742)/N1742,0)</f>
        <v>0</v>
      </c>
    </row>
    <row r="1742" spans="1:24" ht="16.5" customHeight="1">
      <c r="A1742" s="14" t="s">
        <v>42</v>
      </c>
      <c r="B1742" s="3">
        <f t="shared" si="48"/>
        <v>2000</v>
      </c>
      <c r="C1742" s="3">
        <f t="shared" si="49"/>
        <v>2</v>
      </c>
      <c r="D1742" s="20" t="str">
        <f t="shared" si="50"/>
        <v>XOM20002</v>
      </c>
      <c r="E1742" s="15">
        <v>36565</v>
      </c>
      <c r="F1742" s="14">
        <v>0.44</v>
      </c>
      <c r="G1742" s="15">
        <v>36595</v>
      </c>
      <c r="H1742" s="14">
        <v>2.1499999999999998E-2</v>
      </c>
      <c r="I1742" s="14">
        <v>0</v>
      </c>
      <c r="J1742" s="14">
        <v>0</v>
      </c>
      <c r="K1742" s="3">
        <f t="shared" si="51"/>
        <v>0</v>
      </c>
      <c r="L1742" s="3">
        <f t="shared" si="52"/>
        <v>2000</v>
      </c>
      <c r="M1742" s="20" t="str">
        <f>A1742&amp;L1742</f>
        <v>XOM2000</v>
      </c>
      <c r="N1742" s="3">
        <f>F1742/2</f>
        <v>0.22</v>
      </c>
      <c r="O1742" s="9">
        <f>H1742</f>
        <v>2.1499999999999998E-2</v>
      </c>
      <c r="P1742" s="10">
        <f t="shared" si="53"/>
        <v>0</v>
      </c>
      <c r="Q1742" s="10">
        <f>IF(K1742=0,IF(A1739=A1742,AVERAGE(O1739:O1742),"x"),0)</f>
        <v>2.0949999999999996E-2</v>
      </c>
      <c r="R1742" s="9">
        <f>IF(L1742&gt;2005,AVERAGE(O1739:O1758),0)</f>
        <v>0</v>
      </c>
      <c r="S1742" s="10">
        <f>IF(A1742=A1743,(N1742-N1743)/N1743,0)</f>
        <v>0</v>
      </c>
      <c r="T1742" s="10">
        <f>IF(L1742&gt;2005,(((N1742-N1762)/N1762)+1)^(1/5)-1,0)</f>
        <v>0</v>
      </c>
      <c r="U1742" s="10">
        <f t="shared" si="54"/>
        <v>0</v>
      </c>
      <c r="V1742" s="26">
        <f t="shared" si="55"/>
        <v>0</v>
      </c>
      <c r="W1742" s="3">
        <f>IF(A1742=A1743,N1742-N1743,0)</f>
        <v>0</v>
      </c>
      <c r="X1742" s="10">
        <f>IF(A1742=A1743,(N1742-N1743)/N1743,0)</f>
        <v>0</v>
      </c>
    </row>
    <row r="1743" spans="1:24" ht="16.5" customHeight="1">
      <c r="A1743" s="3" t="s">
        <v>43</v>
      </c>
      <c r="B1743" s="3">
        <f t="shared" si="48"/>
        <v>2022</v>
      </c>
      <c r="C1743" s="3">
        <f t="shared" si="49"/>
        <v>11</v>
      </c>
      <c r="D1743" s="20" t="str">
        <f t="shared" si="50"/>
        <v>PPG202211</v>
      </c>
      <c r="E1743" s="2">
        <v>44874</v>
      </c>
      <c r="F1743" s="3">
        <v>0.62</v>
      </c>
      <c r="G1743" s="2">
        <v>44907</v>
      </c>
      <c r="H1743" s="3">
        <v>2.1700000000000001E-2</v>
      </c>
      <c r="I1743" s="3">
        <v>0</v>
      </c>
      <c r="J1743" s="3">
        <v>0</v>
      </c>
      <c r="K1743" s="3">
        <f t="shared" si="51"/>
        <v>2022</v>
      </c>
      <c r="L1743" s="3">
        <f t="shared" si="52"/>
        <v>0</v>
      </c>
      <c r="M1743" s="20" t="str">
        <f>A1743&amp;L1743</f>
        <v>PPG0</v>
      </c>
      <c r="N1743" s="3">
        <f>F1743</f>
        <v>0.62</v>
      </c>
      <c r="O1743" s="9">
        <f>H1743</f>
        <v>2.1700000000000001E-2</v>
      </c>
      <c r="P1743" s="10">
        <f t="shared" si="53"/>
        <v>0</v>
      </c>
      <c r="Q1743" s="10">
        <f>IF(K1743=0,IF(A1740=A1743,AVERAGE(O1740:O1743),"x"),0)</f>
        <v>0</v>
      </c>
      <c r="R1743" s="9">
        <f>IF(L1743&gt;2005,AVERAGE(O1740:O1759),0)</f>
        <v>0</v>
      </c>
      <c r="S1743" s="10">
        <f>IF(A1743=A1744,(N1743-N1744)/N1744,0)</f>
        <v>0</v>
      </c>
      <c r="T1743" s="10">
        <f>IF(L1743&gt;2005,(((N1743-N1763)/N1763)+1)^(1/5)-1,0)</f>
        <v>0</v>
      </c>
      <c r="U1743" s="10">
        <f t="shared" si="54"/>
        <v>0</v>
      </c>
      <c r="V1743" s="26">
        <f t="shared" si="55"/>
        <v>0</v>
      </c>
      <c r="W1743" s="3">
        <f>IF(A1743=A1744,N1743-N1744,0)</f>
        <v>0</v>
      </c>
      <c r="X1743" s="10">
        <f>IF(A1743=A1744,(N1743-N1744)/N1744,0)</f>
        <v>0</v>
      </c>
    </row>
    <row r="1744" spans="1:24" ht="16.5" customHeight="1">
      <c r="A1744" s="3" t="s">
        <v>43</v>
      </c>
      <c r="B1744" s="3">
        <f t="shared" si="48"/>
        <v>2022</v>
      </c>
      <c r="C1744" s="3">
        <f t="shared" si="49"/>
        <v>8</v>
      </c>
      <c r="D1744" s="20" t="str">
        <f t="shared" si="50"/>
        <v>PPG20228</v>
      </c>
      <c r="E1744" s="2">
        <v>44782</v>
      </c>
      <c r="F1744" s="3">
        <v>0.62</v>
      </c>
      <c r="G1744" s="2">
        <v>44814</v>
      </c>
      <c r="H1744" s="3">
        <v>1.9300000000000001E-2</v>
      </c>
      <c r="I1744" s="3">
        <v>5.0847457999999998E-2</v>
      </c>
      <c r="J1744" s="3">
        <v>0.03</v>
      </c>
      <c r="K1744" s="3">
        <f t="shared" si="51"/>
        <v>2022</v>
      </c>
      <c r="L1744" s="3">
        <f t="shared" si="52"/>
        <v>0</v>
      </c>
      <c r="M1744" s="20" t="str">
        <f>A1744&amp;L1744</f>
        <v>PPG0</v>
      </c>
      <c r="N1744" s="3">
        <f>F1744</f>
        <v>0.62</v>
      </c>
      <c r="O1744" s="9">
        <f>H1744</f>
        <v>1.9300000000000001E-2</v>
      </c>
      <c r="P1744" s="10">
        <f t="shared" si="53"/>
        <v>1.6924999999999999E-2</v>
      </c>
      <c r="Q1744" s="10">
        <f>IF(K1744=0,IF(A1741=A1744,AVERAGE(O1741:O1744),"x"),0)</f>
        <v>0</v>
      </c>
      <c r="R1744" s="9">
        <f>IF(L1744&gt;2005,AVERAGE(O1741:O1760),0)</f>
        <v>0</v>
      </c>
      <c r="S1744" s="10">
        <f>IF(A1744=A1745,(N1744-N1745)/N1745,0)</f>
        <v>5.0847457627118689E-2</v>
      </c>
      <c r="T1744" s="10">
        <f>IF(L1744&gt;2005,(((N1744-N1764)/N1764)+1)^(1/5)-1,0)</f>
        <v>0</v>
      </c>
      <c r="U1744" s="10">
        <f t="shared" si="54"/>
        <v>0</v>
      </c>
      <c r="V1744" s="26">
        <f t="shared" si="55"/>
        <v>0</v>
      </c>
      <c r="W1744" s="3">
        <f>IF(A1744=A1745,N1744-N1745,0)</f>
        <v>3.0000000000000027E-2</v>
      </c>
      <c r="X1744" s="10">
        <f>IF(A1744=A1745,(N1744-N1745)/N1745,0)</f>
        <v>5.0847457627118689E-2</v>
      </c>
    </row>
    <row r="1745" spans="1:24" ht="16.5" customHeight="1">
      <c r="A1745" s="3" t="s">
        <v>43</v>
      </c>
      <c r="B1745" s="3">
        <f t="shared" si="48"/>
        <v>2022</v>
      </c>
      <c r="C1745" s="3">
        <f t="shared" si="49"/>
        <v>5</v>
      </c>
      <c r="D1745" s="20" t="str">
        <f t="shared" si="50"/>
        <v>PPG20225</v>
      </c>
      <c r="E1745" s="2">
        <v>44690</v>
      </c>
      <c r="F1745" s="3">
        <v>0.59</v>
      </c>
      <c r="G1745" s="2">
        <v>44722</v>
      </c>
      <c r="H1745" s="3">
        <v>1.84E-2</v>
      </c>
      <c r="I1745" s="3">
        <v>0</v>
      </c>
      <c r="J1745" s="3">
        <v>0</v>
      </c>
      <c r="K1745" s="3">
        <f t="shared" si="51"/>
        <v>2022</v>
      </c>
      <c r="L1745" s="3">
        <f t="shared" si="52"/>
        <v>0</v>
      </c>
      <c r="M1745" s="20" t="str">
        <f>A1745&amp;L1745</f>
        <v>PPG0</v>
      </c>
      <c r="N1745" s="3">
        <f>F1745</f>
        <v>0.59</v>
      </c>
      <c r="O1745" s="9">
        <f>H1745</f>
        <v>1.84E-2</v>
      </c>
      <c r="P1745" s="10">
        <f t="shared" si="53"/>
        <v>0</v>
      </c>
      <c r="Q1745" s="10">
        <f>IF(K1745=0,IF(A1742=A1745,AVERAGE(O1742:O1745),"x"),0)</f>
        <v>0</v>
      </c>
      <c r="R1745" s="9">
        <f>IF(L1745&gt;2005,AVERAGE(O1742:O1761),0)</f>
        <v>0</v>
      </c>
      <c r="S1745" s="10">
        <f>IF(A1745=A1746,(N1745-N1746)/N1746,0)</f>
        <v>0</v>
      </c>
      <c r="T1745" s="10">
        <f>IF(L1745&gt;2005,(((N1745-N1765)/N1765)+1)^(1/5)-1,0)</f>
        <v>0</v>
      </c>
      <c r="U1745" s="10">
        <f t="shared" si="54"/>
        <v>0</v>
      </c>
      <c r="V1745" s="26">
        <f t="shared" si="55"/>
        <v>0</v>
      </c>
      <c r="W1745" s="3">
        <f>IF(A1745=A1746,N1745-N1746,0)</f>
        <v>0</v>
      </c>
      <c r="X1745" s="10">
        <f>IF(A1745=A1746,(N1745-N1746)/N1746,0)</f>
        <v>0</v>
      </c>
    </row>
    <row r="1746" spans="1:24" ht="16.5" customHeight="1">
      <c r="A1746" s="3" t="s">
        <v>43</v>
      </c>
      <c r="B1746" s="3">
        <f t="shared" si="48"/>
        <v>2022</v>
      </c>
      <c r="C1746" s="3">
        <f t="shared" si="49"/>
        <v>2</v>
      </c>
      <c r="D1746" s="20" t="str">
        <f t="shared" si="50"/>
        <v>PPG20222</v>
      </c>
      <c r="E1746" s="2">
        <v>44609</v>
      </c>
      <c r="F1746" s="3">
        <v>0.59</v>
      </c>
      <c r="G1746" s="2">
        <v>44631</v>
      </c>
      <c r="H1746" s="3">
        <v>1.55E-2</v>
      </c>
      <c r="I1746" s="3">
        <v>0</v>
      </c>
      <c r="J1746" s="3">
        <v>0</v>
      </c>
      <c r="K1746" s="3">
        <f t="shared" si="51"/>
        <v>0</v>
      </c>
      <c r="L1746" s="3">
        <f t="shared" si="52"/>
        <v>2022</v>
      </c>
      <c r="M1746" s="20" t="str">
        <f>A1746&amp;L1746</f>
        <v>PPG2022</v>
      </c>
      <c r="N1746" s="3">
        <f>F1746</f>
        <v>0.59</v>
      </c>
      <c r="O1746" s="9">
        <f>H1746</f>
        <v>1.55E-2</v>
      </c>
      <c r="P1746" s="10">
        <f t="shared" si="53"/>
        <v>0</v>
      </c>
      <c r="Q1746" s="10">
        <f>IF(K1746=0,IF(A1743=A1746,AVERAGE(O1743:O1746),"x"),0)</f>
        <v>1.8724999999999999E-2</v>
      </c>
      <c r="R1746" s="9">
        <f>IF(L1746&gt;2005,AVERAGE(O1743:O1762),0)</f>
        <v>1.7065E-2</v>
      </c>
      <c r="S1746" s="10">
        <f>IF(A1746=A1747,(N1746-N1747)/N1747,0)</f>
        <v>0</v>
      </c>
      <c r="T1746" s="10">
        <f>IF(L1746&gt;2005,(((N1746-N1766)/N1766)+1)^(1/5)-1,0)</f>
        <v>8.0832522079597569E-2</v>
      </c>
      <c r="U1746" s="10">
        <f t="shared" si="54"/>
        <v>9.7897522079597565E-2</v>
      </c>
      <c r="V1746" s="26">
        <f t="shared" si="55"/>
        <v>4.7716257572088052</v>
      </c>
      <c r="W1746" s="3">
        <f>IF(A1746=A1747,N1746-N1747,0)</f>
        <v>0</v>
      </c>
      <c r="X1746" s="10">
        <f>IF(A1746=A1747,(N1746-N1747)/N1747,0)</f>
        <v>0</v>
      </c>
    </row>
    <row r="1747" spans="1:24" ht="16.5" customHeight="1">
      <c r="A1747" s="3" t="s">
        <v>43</v>
      </c>
      <c r="B1747" s="3">
        <f t="shared" si="48"/>
        <v>2021</v>
      </c>
      <c r="C1747" s="3">
        <f t="shared" si="49"/>
        <v>11</v>
      </c>
      <c r="D1747" s="20" t="str">
        <f t="shared" si="50"/>
        <v>PPG202111</v>
      </c>
      <c r="E1747" s="2">
        <v>44509</v>
      </c>
      <c r="F1747" s="3">
        <v>0.59</v>
      </c>
      <c r="G1747" s="2">
        <v>44540</v>
      </c>
      <c r="H1747" s="3">
        <v>1.4500000000000001E-2</v>
      </c>
      <c r="I1747" s="3">
        <v>0</v>
      </c>
      <c r="J1747" s="3">
        <v>0</v>
      </c>
      <c r="K1747" s="3">
        <f t="shared" si="51"/>
        <v>2021</v>
      </c>
      <c r="L1747" s="3">
        <f t="shared" si="52"/>
        <v>0</v>
      </c>
      <c r="M1747" s="20" t="str">
        <f>A1747&amp;L1747</f>
        <v>PPG0</v>
      </c>
      <c r="N1747" s="3">
        <f>F1747</f>
        <v>0.59</v>
      </c>
      <c r="O1747" s="9">
        <f>H1747</f>
        <v>1.4500000000000001E-2</v>
      </c>
      <c r="P1747" s="10">
        <f t="shared" si="53"/>
        <v>0</v>
      </c>
      <c r="Q1747" s="10">
        <f>IF(K1747=0,IF(A1744=A1747,AVERAGE(O1744:O1747),"x"),0)</f>
        <v>0</v>
      </c>
      <c r="R1747" s="9">
        <f>IF(L1747&gt;2005,AVERAGE(O1744:O1763),0)</f>
        <v>0</v>
      </c>
      <c r="S1747" s="10">
        <f>IF(A1747=A1748,(N1747-N1748)/N1748,0)</f>
        <v>0</v>
      </c>
      <c r="T1747" s="10">
        <f>IF(L1747&gt;2005,(((N1747-N1767)/N1767)+1)^(1/5)-1,0)</f>
        <v>0</v>
      </c>
      <c r="U1747" s="10">
        <f t="shared" si="54"/>
        <v>0</v>
      </c>
      <c r="V1747" s="26">
        <f t="shared" si="55"/>
        <v>0</v>
      </c>
      <c r="W1747" s="3">
        <f>IF(A1747=A1748,N1747-N1748,0)</f>
        <v>0</v>
      </c>
      <c r="X1747" s="10">
        <f>IF(A1747=A1748,(N1747-N1748)/N1748,0)</f>
        <v>0</v>
      </c>
    </row>
    <row r="1748" spans="1:24" ht="16.5" customHeight="1">
      <c r="A1748" s="3" t="s">
        <v>43</v>
      </c>
      <c r="B1748" s="3">
        <f t="shared" si="48"/>
        <v>2021</v>
      </c>
      <c r="C1748" s="3">
        <f t="shared" si="49"/>
        <v>8</v>
      </c>
      <c r="D1748" s="20" t="str">
        <f t="shared" si="50"/>
        <v>PPG20218</v>
      </c>
      <c r="E1748" s="2">
        <v>44417</v>
      </c>
      <c r="F1748" s="3">
        <v>0.59</v>
      </c>
      <c r="G1748" s="2">
        <v>44449</v>
      </c>
      <c r="H1748" s="3">
        <v>1.44E-2</v>
      </c>
      <c r="I1748" s="3">
        <v>9.2592593000000001E-2</v>
      </c>
      <c r="J1748" s="3">
        <v>0.05</v>
      </c>
      <c r="K1748" s="3">
        <f t="shared" si="51"/>
        <v>2021</v>
      </c>
      <c r="L1748" s="3">
        <f t="shared" si="52"/>
        <v>0</v>
      </c>
      <c r="M1748" s="20" t="str">
        <f>A1748&amp;L1748</f>
        <v>PPG0</v>
      </c>
      <c r="N1748" s="3">
        <f>F1748</f>
        <v>0.59</v>
      </c>
      <c r="O1748" s="9">
        <f>H1748</f>
        <v>1.44E-2</v>
      </c>
      <c r="P1748" s="10">
        <f t="shared" si="53"/>
        <v>1.4450000000000001E-2</v>
      </c>
      <c r="Q1748" s="10">
        <f>IF(K1748=0,IF(A1745=A1748,AVERAGE(O1745:O1748),"x"),0)</f>
        <v>0</v>
      </c>
      <c r="R1748" s="9">
        <f>IF(L1748&gt;2005,AVERAGE(O1745:O1764),0)</f>
        <v>0</v>
      </c>
      <c r="S1748" s="10">
        <f>IF(A1748=A1749,(N1748-N1749)/N1749,0)</f>
        <v>9.2592592592592463E-2</v>
      </c>
      <c r="T1748" s="10">
        <f>IF(L1748&gt;2005,(((N1748-N1768)/N1768)+1)^(1/5)-1,0)</f>
        <v>0</v>
      </c>
      <c r="U1748" s="10">
        <f t="shared" si="54"/>
        <v>0</v>
      </c>
      <c r="V1748" s="26">
        <f t="shared" si="55"/>
        <v>0</v>
      </c>
      <c r="W1748" s="3">
        <f>IF(A1748=A1749,N1748-N1749,0)</f>
        <v>4.9999999999999933E-2</v>
      </c>
      <c r="X1748" s="10">
        <f>IF(A1748=A1749,(N1748-N1749)/N1749,0)</f>
        <v>9.2592592592592463E-2</v>
      </c>
    </row>
    <row r="1749" spans="1:24" ht="16.5" customHeight="1">
      <c r="A1749" s="3" t="s">
        <v>43</v>
      </c>
      <c r="B1749" s="3">
        <f t="shared" si="48"/>
        <v>2021</v>
      </c>
      <c r="C1749" s="3">
        <f t="shared" si="49"/>
        <v>5</v>
      </c>
      <c r="D1749" s="20" t="str">
        <f t="shared" si="50"/>
        <v>PPG20215</v>
      </c>
      <c r="E1749" s="2">
        <v>44323</v>
      </c>
      <c r="F1749" s="3">
        <v>0.54</v>
      </c>
      <c r="G1749" s="2">
        <v>44358</v>
      </c>
      <c r="H1749" s="3">
        <v>1.2E-2</v>
      </c>
      <c r="I1749" s="3">
        <v>0</v>
      </c>
      <c r="J1749" s="3">
        <v>0</v>
      </c>
      <c r="K1749" s="3">
        <f t="shared" si="51"/>
        <v>2021</v>
      </c>
      <c r="L1749" s="3">
        <f t="shared" si="52"/>
        <v>0</v>
      </c>
      <c r="M1749" s="20" t="str">
        <f>A1749&amp;L1749</f>
        <v>PPG0</v>
      </c>
      <c r="N1749" s="3">
        <f>F1749</f>
        <v>0.54</v>
      </c>
      <c r="O1749" s="9">
        <f>H1749</f>
        <v>1.2E-2</v>
      </c>
      <c r="P1749" s="10">
        <f t="shared" si="53"/>
        <v>0</v>
      </c>
      <c r="Q1749" s="10">
        <f>IF(K1749=0,IF(A1746=A1749,AVERAGE(O1746:O1749),"x"),0)</f>
        <v>0</v>
      </c>
      <c r="R1749" s="9">
        <f>IF(L1749&gt;2005,AVERAGE(O1746:O1765),0)</f>
        <v>0</v>
      </c>
      <c r="S1749" s="10">
        <f>IF(A1749=A1750,(N1749-N1750)/N1750,0)</f>
        <v>0</v>
      </c>
      <c r="T1749" s="10">
        <f>IF(L1749&gt;2005,(((N1749-N1769)/N1769)+1)^(1/5)-1,0)</f>
        <v>0</v>
      </c>
      <c r="U1749" s="10">
        <f t="shared" si="54"/>
        <v>0</v>
      </c>
      <c r="V1749" s="26">
        <f t="shared" si="55"/>
        <v>0</v>
      </c>
      <c r="W1749" s="3">
        <f>IF(A1749=A1750,N1749-N1750,0)</f>
        <v>0</v>
      </c>
      <c r="X1749" s="10">
        <f>IF(A1749=A1750,(N1749-N1750)/N1750,0)</f>
        <v>0</v>
      </c>
    </row>
    <row r="1750" spans="1:24" ht="16.5" customHeight="1">
      <c r="A1750" s="3" t="s">
        <v>43</v>
      </c>
      <c r="B1750" s="3">
        <f t="shared" si="48"/>
        <v>2021</v>
      </c>
      <c r="C1750" s="3">
        <f t="shared" si="49"/>
        <v>2</v>
      </c>
      <c r="D1750" s="20" t="str">
        <f t="shared" si="50"/>
        <v>PPG20212</v>
      </c>
      <c r="E1750" s="2">
        <v>44245</v>
      </c>
      <c r="F1750" s="3">
        <v>0.54</v>
      </c>
      <c r="G1750" s="2">
        <v>44267</v>
      </c>
      <c r="H1750" s="3">
        <v>1.5800000000000002E-2</v>
      </c>
      <c r="I1750" s="3">
        <v>0</v>
      </c>
      <c r="J1750" s="3">
        <v>0</v>
      </c>
      <c r="K1750" s="3">
        <f t="shared" si="51"/>
        <v>0</v>
      </c>
      <c r="L1750" s="3">
        <f t="shared" si="52"/>
        <v>2021</v>
      </c>
      <c r="M1750" s="20" t="str">
        <f>A1750&amp;L1750</f>
        <v>PPG2021</v>
      </c>
      <c r="N1750" s="3">
        <f>F1750</f>
        <v>0.54</v>
      </c>
      <c r="O1750" s="9">
        <f>H1750</f>
        <v>1.5800000000000002E-2</v>
      </c>
      <c r="P1750" s="10">
        <f t="shared" si="53"/>
        <v>0</v>
      </c>
      <c r="Q1750" s="10">
        <f>IF(K1750=0,IF(A1747=A1750,AVERAGE(O1747:O1750),"x"),0)</f>
        <v>1.4175000000000002E-2</v>
      </c>
      <c r="R1750" s="9">
        <f>IF(L1750&gt;2005,AVERAGE(O1747:O1766),0)</f>
        <v>1.6465E-2</v>
      </c>
      <c r="S1750" s="10">
        <f>IF(A1750=A1751,(N1750-N1751)/N1751,0)</f>
        <v>0</v>
      </c>
      <c r="T1750" s="10">
        <f>IF(L1750&gt;2005,(((N1750-N1770)/N1770)+1)^(1/5)-1,0)</f>
        <v>8.4471771197698553E-2</v>
      </c>
      <c r="U1750" s="10">
        <f t="shared" si="54"/>
        <v>0.10093677119769856</v>
      </c>
      <c r="V1750" s="26">
        <f t="shared" si="55"/>
        <v>4.7800917471236284</v>
      </c>
      <c r="W1750" s="3">
        <f>IF(A1750=A1751,N1750-N1751,0)</f>
        <v>0</v>
      </c>
      <c r="X1750" s="10">
        <f>IF(A1750=A1751,(N1750-N1751)/N1751,0)</f>
        <v>0</v>
      </c>
    </row>
    <row r="1751" spans="1:24" ht="16.5" customHeight="1">
      <c r="A1751" s="3" t="s">
        <v>43</v>
      </c>
      <c r="B1751" s="3">
        <f t="shared" si="48"/>
        <v>2020</v>
      </c>
      <c r="C1751" s="3">
        <f t="shared" si="49"/>
        <v>11</v>
      </c>
      <c r="D1751" s="20" t="str">
        <f t="shared" si="50"/>
        <v>PPG202011</v>
      </c>
      <c r="E1751" s="2">
        <v>44144</v>
      </c>
      <c r="F1751" s="3">
        <v>0.54</v>
      </c>
      <c r="G1751" s="2">
        <v>44176</v>
      </c>
      <c r="H1751" s="3">
        <v>1.5599999999999999E-2</v>
      </c>
      <c r="I1751" s="3">
        <v>0</v>
      </c>
      <c r="J1751" s="3">
        <v>0</v>
      </c>
      <c r="K1751" s="3">
        <f t="shared" si="51"/>
        <v>2020</v>
      </c>
      <c r="L1751" s="3">
        <f t="shared" si="52"/>
        <v>0</v>
      </c>
      <c r="M1751" s="20" t="str">
        <f>A1751&amp;L1751</f>
        <v>PPG0</v>
      </c>
      <c r="N1751" s="3">
        <f>F1751</f>
        <v>0.54</v>
      </c>
      <c r="O1751" s="9">
        <f>H1751</f>
        <v>1.5599999999999999E-2</v>
      </c>
      <c r="P1751" s="10">
        <f t="shared" si="53"/>
        <v>0</v>
      </c>
      <c r="Q1751" s="10">
        <f>IF(K1751=0,IF(A1748=A1751,AVERAGE(O1748:O1751),"x"),0)</f>
        <v>0</v>
      </c>
      <c r="R1751" s="9">
        <f>IF(L1751&gt;2005,AVERAGE(O1748:O1767),0)</f>
        <v>0</v>
      </c>
      <c r="S1751" s="10">
        <f>IF(A1751=A1752,(N1751-N1752)/N1752,0)</f>
        <v>0</v>
      </c>
      <c r="T1751" s="10">
        <f>IF(L1751&gt;2005,(((N1751-N1771)/N1771)+1)^(1/5)-1,0)</f>
        <v>0</v>
      </c>
      <c r="U1751" s="10">
        <f t="shared" si="54"/>
        <v>0</v>
      </c>
      <c r="V1751" s="26">
        <f t="shared" si="55"/>
        <v>0</v>
      </c>
      <c r="W1751" s="3">
        <f>IF(A1751=A1752,N1751-N1752,0)</f>
        <v>0</v>
      </c>
      <c r="X1751" s="10">
        <f>IF(A1751=A1752,(N1751-N1752)/N1752,0)</f>
        <v>0</v>
      </c>
    </row>
    <row r="1752" spans="1:24" ht="16.5" customHeight="1">
      <c r="A1752" s="3" t="s">
        <v>43</v>
      </c>
      <c r="B1752" s="3">
        <f t="shared" si="48"/>
        <v>2020</v>
      </c>
      <c r="C1752" s="3">
        <f t="shared" si="49"/>
        <v>8</v>
      </c>
      <c r="D1752" s="20" t="str">
        <f t="shared" si="50"/>
        <v>PPG20208</v>
      </c>
      <c r="E1752" s="2">
        <v>44050</v>
      </c>
      <c r="F1752" s="3">
        <v>0.54</v>
      </c>
      <c r="G1752" s="2">
        <v>44085</v>
      </c>
      <c r="H1752" s="3">
        <v>1.9400000000000001E-2</v>
      </c>
      <c r="I1752" s="3">
        <v>5.8823528999999999E-2</v>
      </c>
      <c r="J1752" s="3">
        <v>0.03</v>
      </c>
      <c r="K1752" s="3">
        <f t="shared" si="51"/>
        <v>2020</v>
      </c>
      <c r="L1752" s="3">
        <f t="shared" si="52"/>
        <v>0</v>
      </c>
      <c r="M1752" s="20" t="str">
        <f>A1752&amp;L1752</f>
        <v>PPG0</v>
      </c>
      <c r="N1752" s="3">
        <f>F1752</f>
        <v>0.54</v>
      </c>
      <c r="O1752" s="9">
        <f>H1752</f>
        <v>1.9400000000000001E-2</v>
      </c>
      <c r="P1752" s="10">
        <f t="shared" si="53"/>
        <v>1.8700000000000001E-2</v>
      </c>
      <c r="Q1752" s="10">
        <f>IF(K1752=0,IF(A1749=A1752,AVERAGE(O1749:O1752),"x"),0)</f>
        <v>0</v>
      </c>
      <c r="R1752" s="9">
        <f>IF(L1752&gt;2005,AVERAGE(O1749:O1768),0)</f>
        <v>0</v>
      </c>
      <c r="S1752" s="10">
        <f>IF(A1752=A1753,(N1752-N1753)/N1753,0)</f>
        <v>5.8823529411764754E-2</v>
      </c>
      <c r="T1752" s="10">
        <f>IF(L1752&gt;2005,(((N1752-N1772)/N1772)+1)^(1/5)-1,0)</f>
        <v>0</v>
      </c>
      <c r="U1752" s="10">
        <f t="shared" si="54"/>
        <v>0</v>
      </c>
      <c r="V1752" s="26">
        <f t="shared" si="55"/>
        <v>0</v>
      </c>
      <c r="W1752" s="3">
        <f>IF(A1752=A1753,N1752-N1753,0)</f>
        <v>3.0000000000000027E-2</v>
      </c>
      <c r="X1752" s="10">
        <f>IF(A1752=A1753,(N1752-N1753)/N1753,0)</f>
        <v>5.8823529411764754E-2</v>
      </c>
    </row>
    <row r="1753" spans="1:24" ht="16.5" customHeight="1">
      <c r="A1753" s="3" t="s">
        <v>43</v>
      </c>
      <c r="B1753" s="3">
        <f t="shared" si="48"/>
        <v>2020</v>
      </c>
      <c r="C1753" s="3">
        <f t="shared" si="49"/>
        <v>5</v>
      </c>
      <c r="D1753" s="20" t="str">
        <f t="shared" si="50"/>
        <v>PPG20205</v>
      </c>
      <c r="E1753" s="2">
        <v>43959</v>
      </c>
      <c r="F1753" s="3">
        <v>0.51</v>
      </c>
      <c r="G1753" s="2">
        <v>43994</v>
      </c>
      <c r="H1753" s="3">
        <v>2.2599999999999999E-2</v>
      </c>
      <c r="I1753" s="3">
        <v>0</v>
      </c>
      <c r="J1753" s="3">
        <v>0</v>
      </c>
      <c r="K1753" s="3">
        <f t="shared" si="51"/>
        <v>2020</v>
      </c>
      <c r="L1753" s="3">
        <f t="shared" si="52"/>
        <v>0</v>
      </c>
      <c r="M1753" s="20" t="str">
        <f>A1753&amp;L1753</f>
        <v>PPG0</v>
      </c>
      <c r="N1753" s="3">
        <f>F1753</f>
        <v>0.51</v>
      </c>
      <c r="O1753" s="9">
        <f>H1753</f>
        <v>2.2599999999999999E-2</v>
      </c>
      <c r="P1753" s="10">
        <f t="shared" si="53"/>
        <v>0</v>
      </c>
      <c r="Q1753" s="10">
        <f>IF(K1753=0,IF(A1750=A1753,AVERAGE(O1750:O1753),"x"),0)</f>
        <v>0</v>
      </c>
      <c r="R1753" s="9">
        <f>IF(L1753&gt;2005,AVERAGE(O1750:O1769),0)</f>
        <v>0</v>
      </c>
      <c r="S1753" s="10">
        <f>IF(A1753=A1754,(N1753-N1754)/N1754,0)</f>
        <v>0</v>
      </c>
      <c r="T1753" s="10">
        <f>IF(L1753&gt;2005,(((N1753-N1773)/N1773)+1)^(1/5)-1,0)</f>
        <v>0</v>
      </c>
      <c r="U1753" s="10">
        <f t="shared" si="54"/>
        <v>0</v>
      </c>
      <c r="V1753" s="26">
        <f t="shared" si="55"/>
        <v>0</v>
      </c>
      <c r="W1753" s="3">
        <f>IF(A1753=A1754,N1753-N1754,0)</f>
        <v>0</v>
      </c>
      <c r="X1753" s="10">
        <f>IF(A1753=A1754,(N1753-N1754)/N1754,0)</f>
        <v>0</v>
      </c>
    </row>
    <row r="1754" spans="1:24" ht="16.5" customHeight="1">
      <c r="A1754" s="3" t="s">
        <v>43</v>
      </c>
      <c r="B1754" s="3">
        <f t="shared" si="48"/>
        <v>2020</v>
      </c>
      <c r="C1754" s="3">
        <f t="shared" si="49"/>
        <v>2</v>
      </c>
      <c r="D1754" s="20" t="str">
        <f t="shared" si="50"/>
        <v>PPG20202</v>
      </c>
      <c r="E1754" s="2">
        <v>43881</v>
      </c>
      <c r="F1754" s="3">
        <v>0.51</v>
      </c>
      <c r="G1754" s="2">
        <v>43902</v>
      </c>
      <c r="H1754" s="3">
        <v>1.7100000000000001E-2</v>
      </c>
      <c r="I1754" s="3">
        <v>0</v>
      </c>
      <c r="J1754" s="3">
        <v>0</v>
      </c>
      <c r="K1754" s="3">
        <f t="shared" si="51"/>
        <v>0</v>
      </c>
      <c r="L1754" s="3">
        <f t="shared" si="52"/>
        <v>2020</v>
      </c>
      <c r="M1754" s="20" t="str">
        <f>A1754&amp;L1754</f>
        <v>PPG2020</v>
      </c>
      <c r="N1754" s="3">
        <f>F1754</f>
        <v>0.51</v>
      </c>
      <c r="O1754" s="9">
        <f>H1754</f>
        <v>1.7100000000000001E-2</v>
      </c>
      <c r="P1754" s="10">
        <f t="shared" si="53"/>
        <v>0</v>
      </c>
      <c r="Q1754" s="10">
        <f>IF(K1754=0,IF(A1751=A1754,AVERAGE(O1751:O1754),"x"),0)</f>
        <v>1.8675000000000001E-2</v>
      </c>
      <c r="R1754" s="9">
        <f>IF(L1754&gt;2005,AVERAGE(O1751:O1770),0)</f>
        <v>1.6750000000000001E-2</v>
      </c>
      <c r="S1754" s="10">
        <f>IF(A1754=A1755,(N1754-N1755)/N1755,0)</f>
        <v>0</v>
      </c>
      <c r="T1754" s="10">
        <f>IF(L1754&gt;2005,(((N1754-N1774)/N1774)+1)^(1/5)-1,0)</f>
        <v>8.7689844911468251E-2</v>
      </c>
      <c r="U1754" s="10">
        <f t="shared" si="54"/>
        <v>0.10443984491146825</v>
      </c>
      <c r="V1754" s="26">
        <f t="shared" si="55"/>
        <v>4.7770572915478899</v>
      </c>
      <c r="W1754" s="3">
        <f>IF(A1754=A1755,N1754-N1755,0)</f>
        <v>0</v>
      </c>
      <c r="X1754" s="10">
        <f>IF(A1754=A1755,(N1754-N1755)/N1755,0)</f>
        <v>0</v>
      </c>
    </row>
    <row r="1755" spans="1:24" ht="16.5" customHeight="1">
      <c r="A1755" s="3" t="s">
        <v>43</v>
      </c>
      <c r="B1755" s="3">
        <f t="shared" si="48"/>
        <v>2019</v>
      </c>
      <c r="C1755" s="3">
        <f t="shared" si="49"/>
        <v>11</v>
      </c>
      <c r="D1755" s="20" t="str">
        <f t="shared" si="50"/>
        <v>PPG201911</v>
      </c>
      <c r="E1755" s="2">
        <v>43777</v>
      </c>
      <c r="F1755" s="3">
        <v>0.51</v>
      </c>
      <c r="G1755" s="2">
        <v>43811</v>
      </c>
      <c r="H1755" s="3">
        <v>1.5699999999999999E-2</v>
      </c>
      <c r="I1755" s="3">
        <v>0</v>
      </c>
      <c r="J1755" s="3">
        <v>0</v>
      </c>
      <c r="K1755" s="3">
        <f t="shared" si="51"/>
        <v>2019</v>
      </c>
      <c r="L1755" s="3">
        <f t="shared" si="52"/>
        <v>0</v>
      </c>
      <c r="M1755" s="20" t="str">
        <f>A1755&amp;L1755</f>
        <v>PPG0</v>
      </c>
      <c r="N1755" s="3">
        <f>F1755</f>
        <v>0.51</v>
      </c>
      <c r="O1755" s="9">
        <f>H1755</f>
        <v>1.5699999999999999E-2</v>
      </c>
      <c r="P1755" s="10">
        <f t="shared" si="53"/>
        <v>0</v>
      </c>
      <c r="Q1755" s="10">
        <f>IF(K1755=0,IF(A1752=A1755,AVERAGE(O1752:O1755),"x"),0)</f>
        <v>0</v>
      </c>
      <c r="R1755" s="9">
        <f>IF(L1755&gt;2005,AVERAGE(O1752:O1771),0)</f>
        <v>0</v>
      </c>
      <c r="S1755" s="10">
        <f>IF(A1755=A1756,(N1755-N1756)/N1756,0)</f>
        <v>0</v>
      </c>
      <c r="T1755" s="10">
        <f>IF(L1755&gt;2005,(((N1755-N1775)/N1775)+1)^(1/5)-1,0)</f>
        <v>0</v>
      </c>
      <c r="U1755" s="10">
        <f t="shared" si="54"/>
        <v>0</v>
      </c>
      <c r="V1755" s="26">
        <f t="shared" si="55"/>
        <v>0</v>
      </c>
      <c r="W1755" s="3">
        <f>IF(A1755=A1756,N1755-N1756,0)</f>
        <v>0</v>
      </c>
      <c r="X1755" s="10">
        <f>IF(A1755=A1756,(N1755-N1756)/N1756,0)</f>
        <v>0</v>
      </c>
    </row>
    <row r="1756" spans="1:24" ht="16.5" customHeight="1">
      <c r="A1756" s="3" t="s">
        <v>43</v>
      </c>
      <c r="B1756" s="3">
        <f t="shared" si="48"/>
        <v>2019</v>
      </c>
      <c r="C1756" s="3">
        <f t="shared" si="49"/>
        <v>8</v>
      </c>
      <c r="D1756" s="20" t="str">
        <f t="shared" si="50"/>
        <v>PPG20198</v>
      </c>
      <c r="E1756" s="2">
        <v>43686</v>
      </c>
      <c r="F1756" s="3">
        <v>0.51</v>
      </c>
      <c r="G1756" s="2">
        <v>43720</v>
      </c>
      <c r="H1756" s="3">
        <v>1.7500000000000002E-2</v>
      </c>
      <c r="I1756" s="3">
        <v>6.25E-2</v>
      </c>
      <c r="J1756" s="3">
        <v>0.03</v>
      </c>
      <c r="K1756" s="3">
        <f t="shared" si="51"/>
        <v>2019</v>
      </c>
      <c r="L1756" s="3">
        <f t="shared" si="52"/>
        <v>0</v>
      </c>
      <c r="M1756" s="20" t="str">
        <f>A1756&amp;L1756</f>
        <v>PPG0</v>
      </c>
      <c r="N1756" s="3">
        <f>F1756</f>
        <v>0.51</v>
      </c>
      <c r="O1756" s="9">
        <f>H1756</f>
        <v>1.7500000000000002E-2</v>
      </c>
      <c r="P1756" s="10">
        <f t="shared" si="53"/>
        <v>1.7325E-2</v>
      </c>
      <c r="Q1756" s="10">
        <f>IF(K1756=0,IF(A1753=A1756,AVERAGE(O1753:O1756),"x"),0)</f>
        <v>0</v>
      </c>
      <c r="R1756" s="9">
        <f>IF(L1756&gt;2005,AVERAGE(O1753:O1772),0)</f>
        <v>0</v>
      </c>
      <c r="S1756" s="10">
        <f>IF(A1756=A1757,(N1756-N1757)/N1757,0)</f>
        <v>6.2500000000000056E-2</v>
      </c>
      <c r="T1756" s="10">
        <f>IF(L1756&gt;2005,(((N1756-N1776)/N1776)+1)^(1/5)-1,0)</f>
        <v>0</v>
      </c>
      <c r="U1756" s="10">
        <f t="shared" si="54"/>
        <v>0</v>
      </c>
      <c r="V1756" s="26">
        <f t="shared" si="55"/>
        <v>0</v>
      </c>
      <c r="W1756" s="3">
        <f>IF(A1756=A1757,N1756-N1757,0)</f>
        <v>3.0000000000000027E-2</v>
      </c>
      <c r="X1756" s="10">
        <f>IF(A1756=A1757,(N1756-N1757)/N1757,0)</f>
        <v>6.2500000000000056E-2</v>
      </c>
    </row>
    <row r="1757" spans="1:24" ht="16.5" customHeight="1">
      <c r="A1757" s="3" t="s">
        <v>43</v>
      </c>
      <c r="B1757" s="3">
        <f t="shared" si="48"/>
        <v>2019</v>
      </c>
      <c r="C1757" s="3">
        <f t="shared" si="49"/>
        <v>5</v>
      </c>
      <c r="D1757" s="20" t="str">
        <f t="shared" si="50"/>
        <v>PPG20195</v>
      </c>
      <c r="E1757" s="2">
        <v>43594</v>
      </c>
      <c r="F1757" s="3">
        <v>0.48</v>
      </c>
      <c r="G1757" s="2">
        <v>43628</v>
      </c>
      <c r="H1757" s="3">
        <v>1.6799999999999999E-2</v>
      </c>
      <c r="I1757" s="3">
        <v>0</v>
      </c>
      <c r="J1757" s="3">
        <v>0</v>
      </c>
      <c r="K1757" s="3">
        <f t="shared" si="51"/>
        <v>2019</v>
      </c>
      <c r="L1757" s="3">
        <f t="shared" si="52"/>
        <v>0</v>
      </c>
      <c r="M1757" s="20" t="str">
        <f>A1757&amp;L1757</f>
        <v>PPG0</v>
      </c>
      <c r="N1757" s="3">
        <f>F1757</f>
        <v>0.48</v>
      </c>
      <c r="O1757" s="9">
        <f>H1757</f>
        <v>1.6799999999999999E-2</v>
      </c>
      <c r="P1757" s="10">
        <f t="shared" si="53"/>
        <v>0</v>
      </c>
      <c r="Q1757" s="10">
        <f>IF(K1757=0,IF(A1754=A1757,AVERAGE(O1754:O1757),"x"),0)</f>
        <v>0</v>
      </c>
      <c r="R1757" s="9">
        <f>IF(L1757&gt;2005,AVERAGE(O1754:O1773),0)</f>
        <v>0</v>
      </c>
      <c r="S1757" s="10">
        <f>IF(A1757=A1758,(N1757-N1758)/N1758,0)</f>
        <v>0</v>
      </c>
      <c r="T1757" s="10">
        <f>IF(L1757&gt;2005,(((N1757-N1777)/N1777)+1)^(1/5)-1,0)</f>
        <v>0</v>
      </c>
      <c r="U1757" s="10">
        <f t="shared" si="54"/>
        <v>0</v>
      </c>
      <c r="V1757" s="26">
        <f t="shared" si="55"/>
        <v>0</v>
      </c>
      <c r="W1757" s="3">
        <f>IF(A1757=A1758,N1757-N1758,0)</f>
        <v>0</v>
      </c>
      <c r="X1757" s="10">
        <f>IF(A1757=A1758,(N1757-N1758)/N1758,0)</f>
        <v>0</v>
      </c>
    </row>
    <row r="1758" spans="1:24" ht="16.5" customHeight="1">
      <c r="A1758" s="3" t="s">
        <v>43</v>
      </c>
      <c r="B1758" s="3">
        <f t="shared" si="48"/>
        <v>2019</v>
      </c>
      <c r="C1758" s="3">
        <f t="shared" si="49"/>
        <v>2</v>
      </c>
      <c r="D1758" s="20" t="str">
        <f t="shared" si="50"/>
        <v>PPG20192</v>
      </c>
      <c r="E1758" s="2">
        <v>43517</v>
      </c>
      <c r="F1758" s="3">
        <v>0.48</v>
      </c>
      <c r="G1758" s="2">
        <v>43536</v>
      </c>
      <c r="H1758" s="3">
        <v>1.7500000000000002E-2</v>
      </c>
      <c r="I1758" s="3">
        <v>0</v>
      </c>
      <c r="J1758" s="3">
        <v>0</v>
      </c>
      <c r="K1758" s="3">
        <f t="shared" si="51"/>
        <v>0</v>
      </c>
      <c r="L1758" s="3">
        <f t="shared" si="52"/>
        <v>2019</v>
      </c>
      <c r="M1758" s="20" t="str">
        <f>A1758&amp;L1758</f>
        <v>PPG2019</v>
      </c>
      <c r="N1758" s="3">
        <f>F1758</f>
        <v>0.48</v>
      </c>
      <c r="O1758" s="9">
        <f>H1758</f>
        <v>1.7500000000000002E-2</v>
      </c>
      <c r="P1758" s="10">
        <f t="shared" si="53"/>
        <v>0</v>
      </c>
      <c r="Q1758" s="10">
        <f>IF(K1758=0,IF(A1755=A1758,AVERAGE(O1755:O1758),"x"),0)</f>
        <v>1.6875000000000001E-2</v>
      </c>
      <c r="R1758" s="9">
        <f>IF(L1758&gt;2005,AVERAGE(O1755:O1774),0)</f>
        <v>1.5535000000000002E-2</v>
      </c>
      <c r="S1758" s="10">
        <f>IF(A1758=A1759,(N1758-N1759)/N1759,0)</f>
        <v>0</v>
      </c>
      <c r="T1758" s="10">
        <f>IF(L1758&gt;2005,(((N1758-N1778)/N1778)+1)^(1/5)-1,0)</f>
        <v>9.4934851836638412E-2</v>
      </c>
      <c r="U1758" s="10">
        <f t="shared" si="54"/>
        <v>0.11046985183663842</v>
      </c>
      <c r="V1758" s="26">
        <f t="shared" si="55"/>
        <v>4.7940297169506829</v>
      </c>
      <c r="W1758" s="3">
        <f>IF(A1758=A1759,N1758-N1759,0)</f>
        <v>0</v>
      </c>
      <c r="X1758" s="10">
        <f>IF(A1758=A1759,(N1758-N1759)/N1759,0)</f>
        <v>0</v>
      </c>
    </row>
    <row r="1759" spans="1:24" ht="16.5" customHeight="1">
      <c r="A1759" s="3" t="s">
        <v>43</v>
      </c>
      <c r="B1759" s="3">
        <f t="shared" si="48"/>
        <v>2018</v>
      </c>
      <c r="C1759" s="3">
        <f t="shared" si="49"/>
        <v>11</v>
      </c>
      <c r="D1759" s="20" t="str">
        <f t="shared" si="50"/>
        <v>PPG201811</v>
      </c>
      <c r="E1759" s="2">
        <v>43412</v>
      </c>
      <c r="F1759" s="3">
        <v>0.48</v>
      </c>
      <c r="G1759" s="2">
        <v>43446</v>
      </c>
      <c r="H1759" s="3">
        <v>1.7500000000000002E-2</v>
      </c>
      <c r="I1759" s="3">
        <v>0</v>
      </c>
      <c r="J1759" s="3">
        <v>0</v>
      </c>
      <c r="K1759" s="3">
        <f t="shared" si="51"/>
        <v>2018</v>
      </c>
      <c r="L1759" s="3">
        <f t="shared" si="52"/>
        <v>0</v>
      </c>
      <c r="M1759" s="20" t="str">
        <f>A1759&amp;L1759</f>
        <v>PPG0</v>
      </c>
      <c r="N1759" s="3">
        <f>F1759</f>
        <v>0.48</v>
      </c>
      <c r="O1759" s="9">
        <f>H1759</f>
        <v>1.7500000000000002E-2</v>
      </c>
      <c r="P1759" s="10">
        <f t="shared" si="53"/>
        <v>0</v>
      </c>
      <c r="Q1759" s="10">
        <f>IF(K1759=0,IF(A1756=A1759,AVERAGE(O1756:O1759),"x"),0)</f>
        <v>0</v>
      </c>
      <c r="R1759" s="9">
        <f>IF(L1759&gt;2005,AVERAGE(O1756:O1775),0)</f>
        <v>0</v>
      </c>
      <c r="S1759" s="10">
        <f>IF(A1759=A1760,(N1759-N1760)/N1760,0)</f>
        <v>0</v>
      </c>
      <c r="T1759" s="10">
        <f>IF(L1759&gt;2005,(((N1759-N1779)/N1779)+1)^(1/5)-1,0)</f>
        <v>0</v>
      </c>
      <c r="U1759" s="10">
        <f t="shared" si="54"/>
        <v>0</v>
      </c>
      <c r="V1759" s="26">
        <f t="shared" si="55"/>
        <v>0</v>
      </c>
      <c r="W1759" s="3">
        <f>IF(A1759=A1760,N1759-N1760,0)</f>
        <v>0</v>
      </c>
      <c r="X1759" s="10">
        <f>IF(A1759=A1760,(N1759-N1760)/N1760,0)</f>
        <v>0</v>
      </c>
    </row>
    <row r="1760" spans="1:24" ht="16.5" customHeight="1">
      <c r="A1760" s="3" t="s">
        <v>43</v>
      </c>
      <c r="B1760" s="3">
        <f t="shared" si="48"/>
        <v>2018</v>
      </c>
      <c r="C1760" s="3">
        <f t="shared" si="49"/>
        <v>8</v>
      </c>
      <c r="D1760" s="20" t="str">
        <f t="shared" si="50"/>
        <v>PPG20188</v>
      </c>
      <c r="E1760" s="2">
        <v>43321</v>
      </c>
      <c r="F1760" s="3">
        <v>0.48</v>
      </c>
      <c r="G1760" s="2">
        <v>43355</v>
      </c>
      <c r="H1760" s="3">
        <v>1.7600000000000001E-2</v>
      </c>
      <c r="I1760" s="3">
        <v>6.6666666999999999E-2</v>
      </c>
      <c r="J1760" s="3">
        <v>0.03</v>
      </c>
      <c r="K1760" s="3">
        <f t="shared" si="51"/>
        <v>2018</v>
      </c>
      <c r="L1760" s="3">
        <f t="shared" si="52"/>
        <v>0</v>
      </c>
      <c r="M1760" s="20" t="str">
        <f>A1760&amp;L1760</f>
        <v>PPG0</v>
      </c>
      <c r="N1760" s="3">
        <f>F1760</f>
        <v>0.48</v>
      </c>
      <c r="O1760" s="9">
        <f>H1760</f>
        <v>1.7600000000000001E-2</v>
      </c>
      <c r="P1760" s="10">
        <f t="shared" si="53"/>
        <v>1.6375000000000001E-2</v>
      </c>
      <c r="Q1760" s="10">
        <f>IF(K1760=0,IF(A1757=A1760,AVERAGE(O1757:O1760),"x"),0)</f>
        <v>0</v>
      </c>
      <c r="R1760" s="9">
        <f>IF(L1760&gt;2005,AVERAGE(O1757:O1776),0)</f>
        <v>0</v>
      </c>
      <c r="S1760" s="10">
        <f>IF(A1760=A1761,(N1760-N1761)/N1761,0)</f>
        <v>6.6666666666666596E-2</v>
      </c>
      <c r="T1760" s="10">
        <f>IF(L1760&gt;2005,(((N1760-N1780)/N1780)+1)^(1/5)-1,0)</f>
        <v>0</v>
      </c>
      <c r="U1760" s="10">
        <f t="shared" si="54"/>
        <v>0</v>
      </c>
      <c r="V1760" s="26">
        <f t="shared" si="55"/>
        <v>0</v>
      </c>
      <c r="W1760" s="3">
        <f>IF(A1760=A1761,N1760-N1761,0)</f>
        <v>2.9999999999999971E-2</v>
      </c>
      <c r="X1760" s="10">
        <f>IF(A1760=A1761,(N1760-N1761)/N1761,0)</f>
        <v>6.6666666666666596E-2</v>
      </c>
    </row>
    <row r="1761" spans="1:24" ht="16.5" customHeight="1">
      <c r="A1761" s="3" t="s">
        <v>43</v>
      </c>
      <c r="B1761" s="3">
        <f t="shared" si="48"/>
        <v>2018</v>
      </c>
      <c r="C1761" s="3">
        <f t="shared" si="49"/>
        <v>5</v>
      </c>
      <c r="D1761" s="20" t="str">
        <f t="shared" si="50"/>
        <v>PPG20185</v>
      </c>
      <c r="E1761" s="2">
        <v>43229</v>
      </c>
      <c r="F1761" s="3">
        <v>0.45</v>
      </c>
      <c r="G1761" s="2">
        <v>43263</v>
      </c>
      <c r="H1761" s="3">
        <v>1.6899999999999998E-2</v>
      </c>
      <c r="I1761" s="3">
        <v>0</v>
      </c>
      <c r="J1761" s="3">
        <v>0</v>
      </c>
      <c r="K1761" s="3">
        <f t="shared" si="51"/>
        <v>2018</v>
      </c>
      <c r="L1761" s="3">
        <f t="shared" si="52"/>
        <v>0</v>
      </c>
      <c r="M1761" s="20" t="str">
        <f>A1761&amp;L1761</f>
        <v>PPG0</v>
      </c>
      <c r="N1761" s="3">
        <f>F1761</f>
        <v>0.45</v>
      </c>
      <c r="O1761" s="9">
        <f>H1761</f>
        <v>1.6899999999999998E-2</v>
      </c>
      <c r="P1761" s="10">
        <f t="shared" si="53"/>
        <v>0</v>
      </c>
      <c r="Q1761" s="10">
        <f>IF(K1761=0,IF(A1758=A1761,AVERAGE(O1758:O1761),"x"),0)</f>
        <v>0</v>
      </c>
      <c r="R1761" s="9">
        <f>IF(L1761&gt;2005,AVERAGE(O1758:O1777),0)</f>
        <v>0</v>
      </c>
      <c r="S1761" s="10">
        <f>IF(A1761=A1762,(N1761-N1762)/N1762,0)</f>
        <v>0</v>
      </c>
      <c r="T1761" s="10">
        <f>IF(L1761&gt;2005,(((N1761-N1781)/N1781)+1)^(1/5)-1,0)</f>
        <v>0</v>
      </c>
      <c r="U1761" s="10">
        <f t="shared" si="54"/>
        <v>0</v>
      </c>
      <c r="V1761" s="26">
        <f t="shared" si="55"/>
        <v>0</v>
      </c>
      <c r="W1761" s="3">
        <f>IF(A1761=A1762,N1761-N1762,0)</f>
        <v>0</v>
      </c>
      <c r="X1761" s="10">
        <f>IF(A1761=A1762,(N1761-N1762)/N1762,0)</f>
        <v>0</v>
      </c>
    </row>
    <row r="1762" spans="1:24" ht="16.5" customHeight="1">
      <c r="A1762" s="3" t="s">
        <v>43</v>
      </c>
      <c r="B1762" s="3">
        <f t="shared" si="48"/>
        <v>2018</v>
      </c>
      <c r="C1762" s="3">
        <f t="shared" si="49"/>
        <v>2</v>
      </c>
      <c r="D1762" s="20" t="str">
        <f t="shared" si="50"/>
        <v>PPG20182</v>
      </c>
      <c r="E1762" s="2">
        <v>43146</v>
      </c>
      <c r="F1762" s="3">
        <v>0.45</v>
      </c>
      <c r="G1762" s="2">
        <v>43171</v>
      </c>
      <c r="H1762" s="3">
        <v>1.55E-2</v>
      </c>
      <c r="I1762" s="3">
        <v>0</v>
      </c>
      <c r="J1762" s="3">
        <v>0</v>
      </c>
      <c r="K1762" s="3">
        <f t="shared" si="51"/>
        <v>0</v>
      </c>
      <c r="L1762" s="3">
        <f t="shared" si="52"/>
        <v>2018</v>
      </c>
      <c r="M1762" s="20" t="str">
        <f>A1762&amp;L1762</f>
        <v>PPG2018</v>
      </c>
      <c r="N1762" s="3">
        <f>F1762</f>
        <v>0.45</v>
      </c>
      <c r="O1762" s="9">
        <f>H1762</f>
        <v>1.55E-2</v>
      </c>
      <c r="P1762" s="10">
        <f t="shared" si="53"/>
        <v>0</v>
      </c>
      <c r="Q1762" s="10">
        <f>IF(K1762=0,IF(A1759=A1762,AVERAGE(O1759:O1762),"x"),0)</f>
        <v>1.6875000000000001E-2</v>
      </c>
      <c r="R1762" s="9">
        <f>IF(L1762&gt;2005,AVERAGE(O1759:O1778),0)</f>
        <v>1.4730000000000002E-2</v>
      </c>
      <c r="S1762" s="10">
        <f>IF(A1762=A1763,(N1762-N1763)/N1763,0)</f>
        <v>0</v>
      </c>
      <c r="T1762" s="10">
        <f>IF(L1762&gt;2005,(((N1762-N1782)/N1782)+1)^(1/5)-1,0)</f>
        <v>8.8123273957203985E-2</v>
      </c>
      <c r="U1762" s="10">
        <f t="shared" si="54"/>
        <v>0.10285327395720399</v>
      </c>
      <c r="V1762" s="26">
        <f t="shared" si="55"/>
        <v>4.8031882801352976</v>
      </c>
      <c r="W1762" s="3">
        <f>IF(A1762=A1763,N1762-N1763,0)</f>
        <v>0</v>
      </c>
      <c r="X1762" s="10">
        <f>IF(A1762=A1763,(N1762-N1763)/N1763,0)</f>
        <v>0</v>
      </c>
    </row>
    <row r="1763" spans="1:24" ht="16.5" customHeight="1">
      <c r="A1763" s="3" t="s">
        <v>43</v>
      </c>
      <c r="B1763" s="3">
        <f t="shared" si="48"/>
        <v>2017</v>
      </c>
      <c r="C1763" s="3">
        <f t="shared" si="49"/>
        <v>11</v>
      </c>
      <c r="D1763" s="20" t="str">
        <f t="shared" si="50"/>
        <v>PPG201711</v>
      </c>
      <c r="E1763" s="2">
        <v>43048</v>
      </c>
      <c r="F1763" s="3">
        <v>0.45</v>
      </c>
      <c r="G1763" s="2">
        <v>43081</v>
      </c>
      <c r="H1763" s="3">
        <v>1.55E-2</v>
      </c>
      <c r="I1763" s="3">
        <v>0</v>
      </c>
      <c r="J1763" s="3">
        <v>0</v>
      </c>
      <c r="K1763" s="3">
        <f t="shared" si="51"/>
        <v>2017</v>
      </c>
      <c r="L1763" s="3">
        <f t="shared" si="52"/>
        <v>0</v>
      </c>
      <c r="M1763" s="20" t="str">
        <f>A1763&amp;L1763</f>
        <v>PPG0</v>
      </c>
      <c r="N1763" s="3">
        <f>F1763</f>
        <v>0.45</v>
      </c>
      <c r="O1763" s="9">
        <f>H1763</f>
        <v>1.55E-2</v>
      </c>
      <c r="P1763" s="10">
        <f t="shared" si="53"/>
        <v>0</v>
      </c>
      <c r="Q1763" s="10">
        <f>IF(K1763=0,IF(A1760=A1763,AVERAGE(O1760:O1763),"x"),0)</f>
        <v>0</v>
      </c>
      <c r="R1763" s="9">
        <f>IF(L1763&gt;2005,AVERAGE(O1760:O1779),0)</f>
        <v>0</v>
      </c>
      <c r="S1763" s="10">
        <f>IF(A1763=A1764,(N1763-N1764)/N1764,0)</f>
        <v>0</v>
      </c>
      <c r="T1763" s="10">
        <f>IF(L1763&gt;2005,(((N1763-N1783)/N1783)+1)^(1/5)-1,0)</f>
        <v>0</v>
      </c>
      <c r="U1763" s="10">
        <f t="shared" si="54"/>
        <v>0</v>
      </c>
      <c r="V1763" s="26">
        <f t="shared" si="55"/>
        <v>0</v>
      </c>
      <c r="W1763" s="3">
        <f>IF(A1763=A1764,N1763-N1764,0)</f>
        <v>0</v>
      </c>
      <c r="X1763" s="10">
        <f>IF(A1763=A1764,(N1763-N1764)/N1764,0)</f>
        <v>0</v>
      </c>
    </row>
    <row r="1764" spans="1:24" ht="16.5" customHeight="1">
      <c r="A1764" s="3" t="s">
        <v>43</v>
      </c>
      <c r="B1764" s="3">
        <f t="shared" si="48"/>
        <v>2017</v>
      </c>
      <c r="C1764" s="3">
        <f t="shared" si="49"/>
        <v>8</v>
      </c>
      <c r="D1764" s="20" t="str">
        <f t="shared" si="50"/>
        <v>PPG20178</v>
      </c>
      <c r="E1764" s="2">
        <v>42955</v>
      </c>
      <c r="F1764" s="3">
        <v>0.45</v>
      </c>
      <c r="G1764" s="2">
        <v>42990</v>
      </c>
      <c r="H1764" s="3">
        <v>1.7100000000000001E-2</v>
      </c>
      <c r="I1764" s="3">
        <v>0.125</v>
      </c>
      <c r="J1764" s="3">
        <v>0.05</v>
      </c>
      <c r="K1764" s="3">
        <f t="shared" si="51"/>
        <v>2017</v>
      </c>
      <c r="L1764" s="3">
        <f t="shared" si="52"/>
        <v>0</v>
      </c>
      <c r="M1764" s="20" t="str">
        <f>A1764&amp;L1764</f>
        <v>PPG0</v>
      </c>
      <c r="N1764" s="3">
        <f>F1764</f>
        <v>0.45</v>
      </c>
      <c r="O1764" s="9">
        <f>H1764</f>
        <v>1.7100000000000001E-2</v>
      </c>
      <c r="P1764" s="10">
        <f t="shared" si="53"/>
        <v>1.6100000000000003E-2</v>
      </c>
      <c r="Q1764" s="10">
        <f>IF(K1764=0,IF(A1761=A1764,AVERAGE(O1761:O1764),"x"),0)</f>
        <v>0</v>
      </c>
      <c r="R1764" s="9">
        <f>IF(L1764&gt;2005,AVERAGE(O1761:O1780),0)</f>
        <v>0</v>
      </c>
      <c r="S1764" s="10">
        <f>IF(A1764=A1765,(N1764-N1765)/N1765,0)</f>
        <v>0.12499999999999997</v>
      </c>
      <c r="T1764" s="10">
        <f>IF(L1764&gt;2005,(((N1764-N1784)/N1784)+1)^(1/5)-1,0)</f>
        <v>0</v>
      </c>
      <c r="U1764" s="10">
        <f t="shared" si="54"/>
        <v>0</v>
      </c>
      <c r="V1764" s="26">
        <f t="shared" si="55"/>
        <v>0</v>
      </c>
      <c r="W1764" s="3">
        <f>IF(A1764=A1765,N1764-N1765,0)</f>
        <v>4.9999999999999989E-2</v>
      </c>
      <c r="X1764" s="10">
        <f>IF(A1764=A1765,(N1764-N1765)/N1765,0)</f>
        <v>0.12499999999999997</v>
      </c>
    </row>
    <row r="1765" spans="1:24" ht="16.5" customHeight="1">
      <c r="A1765" s="3" t="s">
        <v>43</v>
      </c>
      <c r="B1765" s="3">
        <f t="shared" si="48"/>
        <v>2017</v>
      </c>
      <c r="C1765" s="3">
        <f t="shared" si="49"/>
        <v>5</v>
      </c>
      <c r="D1765" s="20" t="str">
        <f t="shared" si="50"/>
        <v>PPG20175</v>
      </c>
      <c r="E1765" s="2">
        <v>42863</v>
      </c>
      <c r="F1765" s="3">
        <v>0.4</v>
      </c>
      <c r="G1765" s="2">
        <v>42898</v>
      </c>
      <c r="H1765" s="3">
        <v>1.4500000000000001E-2</v>
      </c>
      <c r="I1765" s="3">
        <v>0</v>
      </c>
      <c r="J1765" s="3">
        <v>0</v>
      </c>
      <c r="K1765" s="3">
        <f t="shared" si="51"/>
        <v>2017</v>
      </c>
      <c r="L1765" s="3">
        <f t="shared" si="52"/>
        <v>0</v>
      </c>
      <c r="M1765" s="20" t="str">
        <f>A1765&amp;L1765</f>
        <v>PPG0</v>
      </c>
      <c r="N1765" s="3">
        <f>F1765</f>
        <v>0.4</v>
      </c>
      <c r="O1765" s="9">
        <f>H1765</f>
        <v>1.4500000000000001E-2</v>
      </c>
      <c r="P1765" s="10">
        <f t="shared" si="53"/>
        <v>0</v>
      </c>
      <c r="Q1765" s="10">
        <f>IF(K1765=0,IF(A1762=A1765,AVERAGE(O1762:O1765),"x"),0)</f>
        <v>0</v>
      </c>
      <c r="R1765" s="9">
        <f>IF(L1765&gt;2005,AVERAGE(O1762:O1781),0)</f>
        <v>0</v>
      </c>
      <c r="S1765" s="10">
        <f>IF(A1765=A1766,(N1765-N1766)/N1766,0)</f>
        <v>0</v>
      </c>
      <c r="T1765" s="10">
        <f>IF(L1765&gt;2005,(((N1765-N1785)/N1785)+1)^(1/5)-1,0)</f>
        <v>0</v>
      </c>
      <c r="U1765" s="10">
        <f t="shared" si="54"/>
        <v>0</v>
      </c>
      <c r="V1765" s="26">
        <f t="shared" si="55"/>
        <v>0</v>
      </c>
      <c r="W1765" s="3">
        <f>IF(A1765=A1766,N1765-N1766,0)</f>
        <v>0</v>
      </c>
      <c r="X1765" s="10">
        <f>IF(A1765=A1766,(N1765-N1766)/N1766,0)</f>
        <v>0</v>
      </c>
    </row>
    <row r="1766" spans="1:24" ht="16.5" customHeight="1">
      <c r="A1766" s="3" t="s">
        <v>43</v>
      </c>
      <c r="B1766" s="3">
        <f t="shared" si="48"/>
        <v>2017</v>
      </c>
      <c r="C1766" s="3">
        <f t="shared" si="49"/>
        <v>2</v>
      </c>
      <c r="D1766" s="20" t="str">
        <f t="shared" si="50"/>
        <v>PPG20172</v>
      </c>
      <c r="E1766" s="2">
        <v>42781</v>
      </c>
      <c r="F1766" s="3">
        <v>0.4</v>
      </c>
      <c r="G1766" s="2">
        <v>42804</v>
      </c>
      <c r="H1766" s="3">
        <v>1.5800000000000002E-2</v>
      </c>
      <c r="I1766" s="3">
        <v>0</v>
      </c>
      <c r="J1766" s="3">
        <v>0</v>
      </c>
      <c r="K1766" s="3">
        <f t="shared" si="51"/>
        <v>0</v>
      </c>
      <c r="L1766" s="3">
        <f t="shared" si="52"/>
        <v>2017</v>
      </c>
      <c r="M1766" s="20" t="str">
        <f>A1766&amp;L1766</f>
        <v>PPG2017</v>
      </c>
      <c r="N1766" s="3">
        <f>F1766</f>
        <v>0.4</v>
      </c>
      <c r="O1766" s="9">
        <f>H1766</f>
        <v>1.5800000000000002E-2</v>
      </c>
      <c r="P1766" s="10">
        <f t="shared" si="53"/>
        <v>0</v>
      </c>
      <c r="Q1766" s="10">
        <f>IF(K1766=0,IF(A1763=A1766,AVERAGE(O1763:O1766),"x"),0)</f>
        <v>1.5725000000000003E-2</v>
      </c>
      <c r="R1766" s="9">
        <f>IF(L1766&gt;2005,AVERAGE(O1763:O1782),0)</f>
        <v>1.4405000000000001E-2</v>
      </c>
      <c r="S1766" s="10">
        <f>IF(A1766=A1767,(N1766-N1767)/N1767,0)</f>
        <v>0</v>
      </c>
      <c r="T1766" s="10">
        <f>IF(L1766&gt;2005,(((N1766-N1786)/N1786)+1)^(1/5)-1,0)</f>
        <v>7.0145984594375044E-2</v>
      </c>
      <c r="U1766" s="10">
        <f t="shared" si="54"/>
        <v>8.4550984594375045E-2</v>
      </c>
      <c r="V1766" s="26">
        <f t="shared" si="55"/>
        <v>4.8042633527806657</v>
      </c>
      <c r="W1766" s="3">
        <f>IF(A1766=A1767,N1766-N1767,0)</f>
        <v>0</v>
      </c>
      <c r="X1766" s="10">
        <f>IF(A1766=A1767,(N1766-N1767)/N1767,0)</f>
        <v>0</v>
      </c>
    </row>
    <row r="1767" spans="1:24" ht="16.5" customHeight="1">
      <c r="A1767" s="3" t="s">
        <v>43</v>
      </c>
      <c r="B1767" s="3">
        <f t="shared" si="48"/>
        <v>2016</v>
      </c>
      <c r="C1767" s="3">
        <f t="shared" si="49"/>
        <v>11</v>
      </c>
      <c r="D1767" s="20" t="str">
        <f t="shared" si="50"/>
        <v>PPG201611</v>
      </c>
      <c r="E1767" s="2">
        <v>42682</v>
      </c>
      <c r="F1767" s="3">
        <v>0.4</v>
      </c>
      <c r="G1767" s="2">
        <v>42716</v>
      </c>
      <c r="H1767" s="3">
        <v>1.7000000000000001E-2</v>
      </c>
      <c r="I1767" s="3">
        <v>0</v>
      </c>
      <c r="J1767" s="3">
        <v>0</v>
      </c>
      <c r="K1767" s="3">
        <f t="shared" si="51"/>
        <v>2016</v>
      </c>
      <c r="L1767" s="3">
        <f t="shared" si="52"/>
        <v>0</v>
      </c>
      <c r="M1767" s="20" t="str">
        <f>A1767&amp;L1767</f>
        <v>PPG0</v>
      </c>
      <c r="N1767" s="3">
        <f>F1767</f>
        <v>0.4</v>
      </c>
      <c r="O1767" s="9">
        <f>H1767</f>
        <v>1.7000000000000001E-2</v>
      </c>
      <c r="P1767" s="10">
        <f t="shared" si="53"/>
        <v>0</v>
      </c>
      <c r="Q1767" s="10">
        <f>IF(K1767=0,IF(A1764=A1767,AVERAGE(O1764:O1767),"x"),0)</f>
        <v>0</v>
      </c>
      <c r="R1767" s="9">
        <f>IF(L1767&gt;2005,AVERAGE(O1764:O1783),0)</f>
        <v>0</v>
      </c>
      <c r="S1767" s="10">
        <f>IF(A1767=A1768,(N1767-N1768)/N1768,0)</f>
        <v>0</v>
      </c>
      <c r="T1767" s="10">
        <f>IF(L1767&gt;2005,(((N1767-N1787)/N1787)+1)^(1/5)-1,0)</f>
        <v>0</v>
      </c>
      <c r="U1767" s="10">
        <f t="shared" si="54"/>
        <v>0</v>
      </c>
      <c r="V1767" s="26">
        <f t="shared" si="55"/>
        <v>0</v>
      </c>
      <c r="W1767" s="3">
        <f>IF(A1767=A1768,N1767-N1768,0)</f>
        <v>0</v>
      </c>
      <c r="X1767" s="10">
        <f>IF(A1767=A1768,(N1767-N1768)/N1768,0)</f>
        <v>0</v>
      </c>
    </row>
    <row r="1768" spans="1:24" ht="16.5" customHeight="1">
      <c r="A1768" s="3" t="s">
        <v>43</v>
      </c>
      <c r="B1768" s="3">
        <f t="shared" si="48"/>
        <v>2016</v>
      </c>
      <c r="C1768" s="3">
        <f t="shared" si="49"/>
        <v>8</v>
      </c>
      <c r="D1768" s="20" t="str">
        <f t="shared" si="50"/>
        <v>PPG20168</v>
      </c>
      <c r="E1768" s="2">
        <v>42590</v>
      </c>
      <c r="F1768" s="3">
        <v>0.4</v>
      </c>
      <c r="G1768" s="2">
        <v>42625</v>
      </c>
      <c r="H1768" s="3">
        <v>1.5299999999999999E-2</v>
      </c>
      <c r="I1768" s="3">
        <v>0</v>
      </c>
      <c r="J1768" s="3">
        <v>0</v>
      </c>
      <c r="K1768" s="3">
        <f t="shared" si="51"/>
        <v>2016</v>
      </c>
      <c r="L1768" s="3">
        <f t="shared" si="52"/>
        <v>0</v>
      </c>
      <c r="M1768" s="20" t="str">
        <f>A1768&amp;L1768</f>
        <v>PPG0</v>
      </c>
      <c r="N1768" s="3">
        <f>F1768</f>
        <v>0.4</v>
      </c>
      <c r="O1768" s="9">
        <f>H1768</f>
        <v>1.5299999999999999E-2</v>
      </c>
      <c r="P1768" s="10">
        <f t="shared" si="53"/>
        <v>0</v>
      </c>
      <c r="Q1768" s="10">
        <f>IF(K1768=0,IF(A1765=A1768,AVERAGE(O1765:O1768),"x"),0)</f>
        <v>0</v>
      </c>
      <c r="R1768" s="9">
        <f>IF(L1768&gt;2005,AVERAGE(O1765:O1784),0)</f>
        <v>0</v>
      </c>
      <c r="S1768" s="10">
        <f>IF(A1768=A1769,(N1768-N1769)/N1769,0)</f>
        <v>0</v>
      </c>
      <c r="T1768" s="10">
        <f>IF(L1768&gt;2005,(((N1768-N1788)/N1788)+1)^(1/5)-1,0)</f>
        <v>0</v>
      </c>
      <c r="U1768" s="10">
        <f t="shared" si="54"/>
        <v>0</v>
      </c>
      <c r="V1768" s="26">
        <f t="shared" si="55"/>
        <v>0</v>
      </c>
      <c r="W1768" s="3">
        <f>IF(A1768=A1769,N1768-N1769,0)</f>
        <v>0</v>
      </c>
      <c r="X1768" s="10">
        <f>IF(A1768=A1769,(N1768-N1769)/N1769,0)</f>
        <v>0</v>
      </c>
    </row>
    <row r="1769" spans="1:24" ht="16.5" customHeight="1">
      <c r="A1769" s="3" t="s">
        <v>43</v>
      </c>
      <c r="B1769" s="3">
        <f t="shared" si="48"/>
        <v>2016</v>
      </c>
      <c r="C1769" s="3">
        <f t="shared" si="49"/>
        <v>5</v>
      </c>
      <c r="D1769" s="20" t="str">
        <f t="shared" si="50"/>
        <v>PPG20165</v>
      </c>
      <c r="E1769" s="2">
        <v>42496</v>
      </c>
      <c r="F1769" s="3">
        <v>0.4</v>
      </c>
      <c r="G1769" s="2">
        <v>42531</v>
      </c>
      <c r="H1769" s="3">
        <v>1.47E-2</v>
      </c>
      <c r="I1769" s="3">
        <v>0.111111111</v>
      </c>
      <c r="J1769" s="3">
        <v>0.04</v>
      </c>
      <c r="K1769" s="3">
        <f t="shared" si="51"/>
        <v>2016</v>
      </c>
      <c r="L1769" s="3">
        <f t="shared" si="52"/>
        <v>0</v>
      </c>
      <c r="M1769" s="20" t="str">
        <f>A1769&amp;L1769</f>
        <v>PPG0</v>
      </c>
      <c r="N1769" s="3">
        <f>F1769</f>
        <v>0.4</v>
      </c>
      <c r="O1769" s="9">
        <f>H1769</f>
        <v>1.47E-2</v>
      </c>
      <c r="P1769" s="10">
        <f t="shared" si="53"/>
        <v>1.4200000000000001E-2</v>
      </c>
      <c r="Q1769" s="10">
        <f>IF(K1769=0,IF(A1766=A1769,AVERAGE(O1766:O1769),"x"),0)</f>
        <v>0</v>
      </c>
      <c r="R1769" s="9">
        <f>IF(L1769&gt;2005,AVERAGE(O1766:O1785),0)</f>
        <v>0</v>
      </c>
      <c r="S1769" s="10">
        <f>IF(A1769=A1770,(N1769-N1770)/N1770,0)</f>
        <v>0.11111111111111122</v>
      </c>
      <c r="T1769" s="10">
        <f>IF(L1769&gt;2005,(((N1769-N1789)/N1789)+1)^(1/5)-1,0)</f>
        <v>0</v>
      </c>
      <c r="U1769" s="10">
        <f t="shared" si="54"/>
        <v>0</v>
      </c>
      <c r="V1769" s="26">
        <f t="shared" si="55"/>
        <v>0</v>
      </c>
      <c r="W1769" s="3">
        <f>IF(A1769=A1770,N1769-N1770,0)</f>
        <v>4.0000000000000036E-2</v>
      </c>
      <c r="X1769" s="10">
        <f>IF(A1769=A1770,(N1769-N1770)/N1770,0)</f>
        <v>0.11111111111111122</v>
      </c>
    </row>
    <row r="1770" spans="1:24" ht="16.5" customHeight="1">
      <c r="A1770" s="3" t="s">
        <v>43</v>
      </c>
      <c r="B1770" s="3">
        <f t="shared" si="48"/>
        <v>2016</v>
      </c>
      <c r="C1770" s="3">
        <f t="shared" si="49"/>
        <v>2</v>
      </c>
      <c r="D1770" s="20" t="str">
        <f t="shared" si="50"/>
        <v>PPG20162</v>
      </c>
      <c r="E1770" s="2">
        <v>42417</v>
      </c>
      <c r="F1770" s="3">
        <v>0.36</v>
      </c>
      <c r="G1770" s="2">
        <v>42440</v>
      </c>
      <c r="H1770" s="3">
        <v>1.54E-2</v>
      </c>
      <c r="I1770" s="3">
        <v>0</v>
      </c>
      <c r="J1770" s="3">
        <v>0</v>
      </c>
      <c r="K1770" s="3">
        <f t="shared" si="51"/>
        <v>0</v>
      </c>
      <c r="L1770" s="3">
        <f t="shared" si="52"/>
        <v>2016</v>
      </c>
      <c r="M1770" s="20" t="str">
        <f>A1770&amp;L1770</f>
        <v>PPG2016</v>
      </c>
      <c r="N1770" s="3">
        <f>F1770</f>
        <v>0.36</v>
      </c>
      <c r="O1770" s="9">
        <f>H1770</f>
        <v>1.54E-2</v>
      </c>
      <c r="P1770" s="10">
        <f t="shared" si="53"/>
        <v>0</v>
      </c>
      <c r="Q1770" s="10">
        <f>IF(K1770=0,IF(A1767=A1770,AVERAGE(O1767:O1770),"x"),0)</f>
        <v>1.5599999999999999E-2</v>
      </c>
      <c r="R1770" s="9">
        <f>IF(L1770&gt;2005,AVERAGE(O1767:O1786),0)</f>
        <v>1.5584999999999998E-2</v>
      </c>
      <c r="S1770" s="10">
        <f>IF(A1770=A1771,(N1770-N1771)/N1771,0)</f>
        <v>0</v>
      </c>
      <c r="T1770" s="10">
        <f>IF(L1770&gt;2005,(((N1770-N1790)/N1790)+1)^(1/5)-1,0)</f>
        <v>5.5343795923987971E-2</v>
      </c>
      <c r="U1770" s="10">
        <f t="shared" si="54"/>
        <v>7.0928795923987972E-2</v>
      </c>
      <c r="V1770" s="26">
        <f t="shared" si="55"/>
        <v>4.7858978869616857</v>
      </c>
      <c r="W1770" s="3">
        <f>IF(A1770=A1771,N1770-N1771,0)</f>
        <v>0</v>
      </c>
      <c r="X1770" s="10">
        <f>IF(A1770=A1771,(N1770-N1771)/N1771,0)</f>
        <v>0</v>
      </c>
    </row>
    <row r="1771" spans="1:24" ht="16.5" customHeight="1">
      <c r="A1771" s="3" t="s">
        <v>43</v>
      </c>
      <c r="B1771" s="3">
        <f t="shared" si="48"/>
        <v>2015</v>
      </c>
      <c r="C1771" s="3">
        <f t="shared" si="49"/>
        <v>11</v>
      </c>
      <c r="D1771" s="20" t="str">
        <f t="shared" si="50"/>
        <v>PPG201511</v>
      </c>
      <c r="E1771" s="2">
        <v>42314</v>
      </c>
      <c r="F1771" s="3">
        <v>0.36</v>
      </c>
      <c r="G1771" s="2">
        <v>42349</v>
      </c>
      <c r="H1771" s="3">
        <v>1.37E-2</v>
      </c>
      <c r="I1771" s="3">
        <v>0</v>
      </c>
      <c r="J1771" s="3">
        <v>0</v>
      </c>
      <c r="K1771" s="3">
        <f t="shared" si="51"/>
        <v>2015</v>
      </c>
      <c r="L1771" s="3">
        <f t="shared" si="52"/>
        <v>0</v>
      </c>
      <c r="M1771" s="20" t="str">
        <f>A1771&amp;L1771</f>
        <v>PPG0</v>
      </c>
      <c r="N1771" s="3">
        <f>F1771</f>
        <v>0.36</v>
      </c>
      <c r="O1771" s="9">
        <f>H1771</f>
        <v>1.37E-2</v>
      </c>
      <c r="P1771" s="10">
        <f t="shared" si="53"/>
        <v>0</v>
      </c>
      <c r="Q1771" s="10">
        <f>IF(K1771=0,IF(A1768=A1771,AVERAGE(O1768:O1771),"x"),0)</f>
        <v>0</v>
      </c>
      <c r="R1771" s="9">
        <f>IF(L1771&gt;2005,AVERAGE(O1768:O1787),0)</f>
        <v>0</v>
      </c>
      <c r="S1771" s="10">
        <f>IF(A1771=A1772,(N1771-N1772)/N1772,0)</f>
        <v>0</v>
      </c>
      <c r="T1771" s="10">
        <f>IF(L1771&gt;2005,(((N1771-N1791)/N1791)+1)^(1/5)-1,0)</f>
        <v>0</v>
      </c>
      <c r="U1771" s="10">
        <f t="shared" si="54"/>
        <v>0</v>
      </c>
      <c r="V1771" s="26">
        <f t="shared" si="55"/>
        <v>0</v>
      </c>
      <c r="W1771" s="3">
        <f>IF(A1771=A1772,N1771-N1772,0)</f>
        <v>0</v>
      </c>
      <c r="X1771" s="10">
        <f>IF(A1771=A1772,(N1771-N1772)/N1772,0)</f>
        <v>0</v>
      </c>
    </row>
    <row r="1772" spans="1:24" ht="16.5" customHeight="1">
      <c r="A1772" s="3" t="s">
        <v>43</v>
      </c>
      <c r="B1772" s="3">
        <f t="shared" si="48"/>
        <v>2015</v>
      </c>
      <c r="C1772" s="3">
        <f t="shared" si="49"/>
        <v>8</v>
      </c>
      <c r="D1772" s="20" t="str">
        <f t="shared" si="50"/>
        <v>PPG20158</v>
      </c>
      <c r="E1772" s="2">
        <v>42222</v>
      </c>
      <c r="F1772" s="3">
        <v>0.36</v>
      </c>
      <c r="G1772" s="2">
        <v>42258</v>
      </c>
      <c r="H1772" s="3">
        <v>1.2999999999999999E-2</v>
      </c>
      <c r="I1772" s="3">
        <v>-0.5</v>
      </c>
      <c r="J1772" s="3">
        <v>-0.36</v>
      </c>
      <c r="K1772" s="3">
        <f t="shared" si="51"/>
        <v>2015</v>
      </c>
      <c r="L1772" s="3">
        <f t="shared" si="52"/>
        <v>0</v>
      </c>
      <c r="M1772" s="20" t="str">
        <f>A1772&amp;L1772</f>
        <v>PPG0</v>
      </c>
      <c r="N1772" s="3">
        <f>F1772</f>
        <v>0.36</v>
      </c>
      <c r="O1772" s="9">
        <f>H1772</f>
        <v>1.2999999999999999E-2</v>
      </c>
      <c r="P1772" s="10">
        <f t="shared" si="53"/>
        <v>0</v>
      </c>
      <c r="Q1772" s="10">
        <f>IF(K1772=0,IF(A1769=A1772,AVERAGE(O1769:O1772),"x"),0)</f>
        <v>0</v>
      </c>
      <c r="R1772" s="9">
        <f>IF(L1772&gt;2005,AVERAGE(O1769:O1788),0)</f>
        <v>0</v>
      </c>
      <c r="S1772" s="10">
        <f>IF(A1772=A1773,(N1772-N1773)/N1773,0)</f>
        <v>0</v>
      </c>
      <c r="T1772" s="10">
        <f>IF(L1772&gt;2005,(((N1772-N1792)/N1792)+1)^(1/5)-1,0)</f>
        <v>0</v>
      </c>
      <c r="U1772" s="10">
        <f t="shared" si="54"/>
        <v>0</v>
      </c>
      <c r="V1772" s="26">
        <f t="shared" si="55"/>
        <v>0</v>
      </c>
      <c r="W1772" s="3">
        <f>IF(A1772=A1773,N1772-N1773,0)</f>
        <v>0</v>
      </c>
      <c r="X1772" s="10">
        <f>IF(A1772=A1773,(N1772-N1773)/N1773,0)</f>
        <v>0</v>
      </c>
    </row>
    <row r="1773" spans="1:24" ht="16.5" customHeight="1">
      <c r="A1773" s="3" t="s">
        <v>43</v>
      </c>
      <c r="B1773" s="3">
        <f t="shared" si="48"/>
        <v>2015</v>
      </c>
      <c r="C1773" s="3">
        <f t="shared" si="49"/>
        <v>5</v>
      </c>
      <c r="D1773" s="20" t="str">
        <f t="shared" si="50"/>
        <v>PPG20155</v>
      </c>
      <c r="E1773" s="2">
        <v>42131</v>
      </c>
      <c r="F1773" s="3">
        <v>0.72</v>
      </c>
      <c r="G1773" s="2">
        <v>42167</v>
      </c>
      <c r="H1773" s="3">
        <v>1.23E-2</v>
      </c>
      <c r="I1773" s="3">
        <v>7.4626866E-2</v>
      </c>
      <c r="J1773" s="3">
        <v>0.05</v>
      </c>
      <c r="K1773" s="3">
        <f t="shared" si="51"/>
        <v>2015</v>
      </c>
      <c r="L1773" s="3">
        <f t="shared" si="52"/>
        <v>0</v>
      </c>
      <c r="M1773" s="20" t="str">
        <f>A1773&amp;L1773</f>
        <v>PPG0</v>
      </c>
      <c r="N1773" s="3">
        <f>F1773/2</f>
        <v>0.36</v>
      </c>
      <c r="O1773" s="9">
        <f>H1773</f>
        <v>1.23E-2</v>
      </c>
      <c r="P1773" s="10">
        <f t="shared" si="53"/>
        <v>1.235E-2</v>
      </c>
      <c r="Q1773" s="10">
        <f>IF(K1773=0,IF(A1770=A1773,AVERAGE(O1770:O1773),"x"),0)</f>
        <v>0</v>
      </c>
      <c r="R1773" s="9">
        <f>IF(L1773&gt;2005,AVERAGE(O1770:O1789),0)</f>
        <v>0</v>
      </c>
      <c r="S1773" s="10">
        <f>IF(A1773=A1774,(N1773-N1774)/N1774,0)</f>
        <v>7.4626865671641687E-2</v>
      </c>
      <c r="T1773" s="10">
        <f>IF(L1773&gt;2005,(((N1773-N1793)/N1793)+1)^(1/5)-1,0)</f>
        <v>0</v>
      </c>
      <c r="U1773" s="10">
        <f t="shared" si="54"/>
        <v>0</v>
      </c>
      <c r="V1773" s="26">
        <f t="shared" si="55"/>
        <v>0</v>
      </c>
      <c r="W1773" s="3">
        <f>IF(A1773=A1774,N1773-N1774,0)</f>
        <v>2.4999999999999967E-2</v>
      </c>
      <c r="X1773" s="10">
        <f>IF(A1773=A1774,(N1773-N1774)/N1774,0)</f>
        <v>7.4626865671641687E-2</v>
      </c>
    </row>
    <row r="1774" spans="1:24" ht="16.5" customHeight="1">
      <c r="A1774" s="3" t="s">
        <v>43</v>
      </c>
      <c r="B1774" s="3">
        <f t="shared" si="48"/>
        <v>2015</v>
      </c>
      <c r="C1774" s="3">
        <f t="shared" si="49"/>
        <v>2</v>
      </c>
      <c r="D1774" s="20" t="str">
        <f t="shared" si="50"/>
        <v>PPG20152</v>
      </c>
      <c r="E1774" s="2">
        <v>42053</v>
      </c>
      <c r="F1774" s="3">
        <v>0.67</v>
      </c>
      <c r="G1774" s="2">
        <v>42075</v>
      </c>
      <c r="H1774" s="3">
        <v>1.14E-2</v>
      </c>
      <c r="I1774" s="3">
        <v>0</v>
      </c>
      <c r="J1774" s="3">
        <v>0</v>
      </c>
      <c r="K1774" s="3">
        <f t="shared" si="51"/>
        <v>0</v>
      </c>
      <c r="L1774" s="3">
        <f t="shared" si="52"/>
        <v>2015</v>
      </c>
      <c r="M1774" s="20" t="str">
        <f>A1774&amp;L1774</f>
        <v>PPG2015</v>
      </c>
      <c r="N1774" s="3">
        <f>F1774/2</f>
        <v>0.33500000000000002</v>
      </c>
      <c r="O1774" s="9">
        <f>H1774</f>
        <v>1.14E-2</v>
      </c>
      <c r="P1774" s="10">
        <f t="shared" si="53"/>
        <v>0</v>
      </c>
      <c r="Q1774" s="10">
        <f>IF(K1774=0,IF(A1771=A1774,AVERAGE(O1771:O1774),"x"),0)</f>
        <v>1.26E-2</v>
      </c>
      <c r="R1774" s="9">
        <f>IF(L1774&gt;2005,AVERAGE(O1771:O1790),0)</f>
        <v>1.7645000000000001E-2</v>
      </c>
      <c r="S1774" s="10">
        <f>IF(A1774=A1775,(N1774-N1775)/N1775,0)</f>
        <v>0</v>
      </c>
      <c r="T1774" s="10">
        <f>IF(L1774&gt;2005,(((N1774-N1794)/N1794)+1)^(1/5)-1,0)</f>
        <v>4.4085846538828521E-2</v>
      </c>
      <c r="U1774" s="10">
        <f t="shared" si="54"/>
        <v>6.1730846538828522E-2</v>
      </c>
      <c r="V1774" s="26">
        <f t="shared" si="55"/>
        <v>4.7561691447289487</v>
      </c>
      <c r="W1774" s="3">
        <f>IF(A1774=A1775,N1774-N1775,0)</f>
        <v>0</v>
      </c>
      <c r="X1774" s="10">
        <f>IF(A1774=A1775,(N1774-N1775)/N1775,0)</f>
        <v>0</v>
      </c>
    </row>
    <row r="1775" spans="1:24" ht="16.5" customHeight="1">
      <c r="A1775" s="3" t="s">
        <v>43</v>
      </c>
      <c r="B1775" s="3">
        <f t="shared" si="48"/>
        <v>2014</v>
      </c>
      <c r="C1775" s="3">
        <f t="shared" si="49"/>
        <v>11</v>
      </c>
      <c r="D1775" s="20" t="str">
        <f t="shared" si="50"/>
        <v>PPG201411</v>
      </c>
      <c r="E1775" s="2">
        <v>41949</v>
      </c>
      <c r="F1775" s="3">
        <v>0.67</v>
      </c>
      <c r="G1775" s="2">
        <v>41985</v>
      </c>
      <c r="H1775" s="3">
        <v>1.2800000000000001E-2</v>
      </c>
      <c r="I1775" s="3">
        <v>0</v>
      </c>
      <c r="J1775" s="3">
        <v>0</v>
      </c>
      <c r="K1775" s="3">
        <f t="shared" si="51"/>
        <v>2014</v>
      </c>
      <c r="L1775" s="3">
        <f t="shared" si="52"/>
        <v>0</v>
      </c>
      <c r="M1775" s="20" t="str">
        <f>A1775&amp;L1775</f>
        <v>PPG0</v>
      </c>
      <c r="N1775" s="3">
        <f>F1775/2</f>
        <v>0.33500000000000002</v>
      </c>
      <c r="O1775" s="9">
        <f>H1775</f>
        <v>1.2800000000000001E-2</v>
      </c>
      <c r="P1775" s="10">
        <f t="shared" si="53"/>
        <v>0</v>
      </c>
      <c r="Q1775" s="10">
        <f>IF(K1775=0,IF(A1772=A1775,AVERAGE(O1772:O1775),"x"),0)</f>
        <v>0</v>
      </c>
      <c r="R1775" s="9">
        <f>IF(L1775&gt;2005,AVERAGE(O1772:O1791),0)</f>
        <v>0</v>
      </c>
      <c r="S1775" s="10">
        <f>IF(A1775=A1776,(N1775-N1776)/N1776,0)</f>
        <v>0</v>
      </c>
      <c r="T1775" s="10">
        <f>IF(L1775&gt;2005,(((N1775-N1795)/N1795)+1)^(1/5)-1,0)</f>
        <v>0</v>
      </c>
      <c r="U1775" s="10">
        <f t="shared" si="54"/>
        <v>0</v>
      </c>
      <c r="V1775" s="26">
        <f t="shared" si="55"/>
        <v>0</v>
      </c>
      <c r="W1775" s="3">
        <f>IF(A1775=A1776,N1775-N1776,0)</f>
        <v>0</v>
      </c>
      <c r="X1775" s="10">
        <f>IF(A1775=A1776,(N1775-N1776)/N1776,0)</f>
        <v>0</v>
      </c>
    </row>
    <row r="1776" spans="1:24" ht="16.5" customHeight="1">
      <c r="A1776" s="3" t="s">
        <v>43</v>
      </c>
      <c r="B1776" s="3">
        <f t="shared" si="48"/>
        <v>2014</v>
      </c>
      <c r="C1776" s="3">
        <f t="shared" si="49"/>
        <v>8</v>
      </c>
      <c r="D1776" s="20" t="str">
        <f t="shared" si="50"/>
        <v>PPG20148</v>
      </c>
      <c r="E1776" s="2">
        <v>41858</v>
      </c>
      <c r="F1776" s="3">
        <v>0.67</v>
      </c>
      <c r="G1776" s="2">
        <v>41894</v>
      </c>
      <c r="H1776" s="3">
        <v>1.29E-2</v>
      </c>
      <c r="I1776" s="3">
        <v>0</v>
      </c>
      <c r="J1776" s="3">
        <v>0</v>
      </c>
      <c r="K1776" s="3">
        <f t="shared" si="51"/>
        <v>2014</v>
      </c>
      <c r="L1776" s="3">
        <f t="shared" si="52"/>
        <v>0</v>
      </c>
      <c r="M1776" s="20" t="str">
        <f>A1776&amp;L1776</f>
        <v>PPG0</v>
      </c>
      <c r="N1776" s="3">
        <f>F1776/2</f>
        <v>0.33500000000000002</v>
      </c>
      <c r="O1776" s="9">
        <f>H1776</f>
        <v>1.29E-2</v>
      </c>
      <c r="P1776" s="10">
        <f t="shared" si="53"/>
        <v>0</v>
      </c>
      <c r="Q1776" s="10">
        <f>IF(K1776=0,IF(A1773=A1776,AVERAGE(O1773:O1776),"x"),0)</f>
        <v>0</v>
      </c>
      <c r="R1776" s="9">
        <f>IF(L1776&gt;2005,AVERAGE(O1773:O1792),0)</f>
        <v>0</v>
      </c>
      <c r="S1776" s="10">
        <f>IF(A1776=A1777,(N1776-N1777)/N1777,0)</f>
        <v>0</v>
      </c>
      <c r="T1776" s="10">
        <f>IF(L1776&gt;2005,(((N1776-N1796)/N1796)+1)^(1/5)-1,0)</f>
        <v>0</v>
      </c>
      <c r="U1776" s="10">
        <f t="shared" si="54"/>
        <v>0</v>
      </c>
      <c r="V1776" s="26">
        <f t="shared" si="55"/>
        <v>0</v>
      </c>
      <c r="W1776" s="3">
        <f>IF(A1776=A1777,N1776-N1777,0)</f>
        <v>0</v>
      </c>
      <c r="X1776" s="10">
        <f>IF(A1776=A1777,(N1776-N1777)/N1777,0)</f>
        <v>0</v>
      </c>
    </row>
    <row r="1777" spans="1:24" ht="16.5" customHeight="1">
      <c r="A1777" s="3" t="s">
        <v>43</v>
      </c>
      <c r="B1777" s="3">
        <f t="shared" si="48"/>
        <v>2014</v>
      </c>
      <c r="C1777" s="3">
        <f t="shared" si="49"/>
        <v>5</v>
      </c>
      <c r="D1777" s="20" t="str">
        <f t="shared" si="50"/>
        <v>PPG20145</v>
      </c>
      <c r="E1777" s="2">
        <v>41767</v>
      </c>
      <c r="F1777" s="3">
        <v>0.67</v>
      </c>
      <c r="G1777" s="2">
        <v>41802</v>
      </c>
      <c r="H1777" s="3">
        <v>1.26E-2</v>
      </c>
      <c r="I1777" s="3">
        <v>9.8360656000000005E-2</v>
      </c>
      <c r="J1777" s="3">
        <v>0.06</v>
      </c>
      <c r="K1777" s="3">
        <f t="shared" si="51"/>
        <v>2014</v>
      </c>
      <c r="L1777" s="3">
        <f t="shared" si="52"/>
        <v>0</v>
      </c>
      <c r="M1777" s="20" t="str">
        <f>A1777&amp;L1777</f>
        <v>PPG0</v>
      </c>
      <c r="N1777" s="3">
        <f>F1777/2</f>
        <v>0.33500000000000002</v>
      </c>
      <c r="O1777" s="9">
        <f>H1777</f>
        <v>1.26E-2</v>
      </c>
      <c r="P1777" s="10">
        <f t="shared" si="53"/>
        <v>1.345E-2</v>
      </c>
      <c r="Q1777" s="10">
        <f>IF(K1777=0,IF(A1774=A1777,AVERAGE(O1774:O1777),"x"),0)</f>
        <v>0</v>
      </c>
      <c r="R1777" s="9">
        <f>IF(L1777&gt;2005,AVERAGE(O1774:O1793),0)</f>
        <v>0</v>
      </c>
      <c r="S1777" s="10">
        <f>IF(A1777=A1778,(N1777-N1778)/N1778,0)</f>
        <v>9.8360655737705013E-2</v>
      </c>
      <c r="T1777" s="10">
        <f>IF(L1777&gt;2005,(((N1777-N1797)/N1797)+1)^(1/5)-1,0)</f>
        <v>0</v>
      </c>
      <c r="U1777" s="10">
        <f t="shared" si="54"/>
        <v>0</v>
      </c>
      <c r="V1777" s="26">
        <f t="shared" si="55"/>
        <v>0</v>
      </c>
      <c r="W1777" s="3">
        <f>IF(A1777=A1778,N1777-N1778,0)</f>
        <v>3.0000000000000027E-2</v>
      </c>
      <c r="X1777" s="10">
        <f>IF(A1777=A1778,(N1777-N1778)/N1778,0)</f>
        <v>9.8360655737705013E-2</v>
      </c>
    </row>
    <row r="1778" spans="1:24" ht="16.5" customHeight="1">
      <c r="A1778" s="3" t="s">
        <v>43</v>
      </c>
      <c r="B1778" s="3">
        <f t="shared" si="48"/>
        <v>2014</v>
      </c>
      <c r="C1778" s="3">
        <f t="shared" si="49"/>
        <v>2</v>
      </c>
      <c r="D1778" s="20" t="str">
        <f t="shared" si="50"/>
        <v>PPG20142</v>
      </c>
      <c r="E1778" s="2">
        <v>41689</v>
      </c>
      <c r="F1778" s="3">
        <v>0.61</v>
      </c>
      <c r="G1778" s="2">
        <v>41710</v>
      </c>
      <c r="H1778" s="3">
        <v>1.3100000000000001E-2</v>
      </c>
      <c r="I1778" s="3">
        <v>0</v>
      </c>
      <c r="J1778" s="3">
        <v>0</v>
      </c>
      <c r="K1778" s="3">
        <f t="shared" si="51"/>
        <v>0</v>
      </c>
      <c r="L1778" s="3">
        <f t="shared" si="52"/>
        <v>2014</v>
      </c>
      <c r="M1778" s="20" t="str">
        <f>A1778&amp;L1778</f>
        <v>PPG2014</v>
      </c>
      <c r="N1778" s="3">
        <f>F1778/2</f>
        <v>0.30499999999999999</v>
      </c>
      <c r="O1778" s="9">
        <f>H1778</f>
        <v>1.3100000000000001E-2</v>
      </c>
      <c r="P1778" s="10">
        <f t="shared" si="53"/>
        <v>0</v>
      </c>
      <c r="Q1778" s="10">
        <f>IF(K1778=0,IF(A1775=A1778,AVERAGE(O1775:O1778),"x"),0)</f>
        <v>1.285E-2</v>
      </c>
      <c r="R1778" s="9">
        <f>IF(L1778&gt;2005,AVERAGE(O1775:O1794),0)</f>
        <v>2.1374999999999998E-2</v>
      </c>
      <c r="S1778" s="10">
        <f>IF(A1778=A1779,(N1778-N1779)/N1779,0)</f>
        <v>0</v>
      </c>
      <c r="T1778" s="10">
        <f>IF(L1778&gt;2005,(((N1778-N1798)/N1798)+1)^(1/5)-1,0)</f>
        <v>2.8515386488834782E-2</v>
      </c>
      <c r="U1778" s="10">
        <f t="shared" si="54"/>
        <v>4.989038648883478E-2</v>
      </c>
      <c r="V1778" s="26">
        <f t="shared" si="55"/>
        <v>4.7027754161529396</v>
      </c>
      <c r="W1778" s="3">
        <f>IF(A1778=A1779,N1778-N1779,0)</f>
        <v>0</v>
      </c>
      <c r="X1778" s="10">
        <f>IF(A1778=A1779,(N1778-N1779)/N1779,0)</f>
        <v>0</v>
      </c>
    </row>
    <row r="1779" spans="1:24" ht="16.5" customHeight="1">
      <c r="A1779" s="3" t="s">
        <v>43</v>
      </c>
      <c r="B1779" s="3">
        <f t="shared" si="48"/>
        <v>2013</v>
      </c>
      <c r="C1779" s="3">
        <f t="shared" si="49"/>
        <v>11</v>
      </c>
      <c r="D1779" s="20" t="str">
        <f t="shared" si="50"/>
        <v>PPG201311</v>
      </c>
      <c r="E1779" s="2">
        <v>41584</v>
      </c>
      <c r="F1779" s="3">
        <v>0.61</v>
      </c>
      <c r="G1779" s="2">
        <v>41620</v>
      </c>
      <c r="H1779" s="3">
        <v>1.32E-2</v>
      </c>
      <c r="I1779" s="3">
        <v>0</v>
      </c>
      <c r="J1779" s="3">
        <v>0</v>
      </c>
      <c r="K1779" s="3">
        <f t="shared" si="51"/>
        <v>2013</v>
      </c>
      <c r="L1779" s="3">
        <f t="shared" si="52"/>
        <v>0</v>
      </c>
      <c r="M1779" s="20" t="str">
        <f>A1779&amp;L1779</f>
        <v>PPG0</v>
      </c>
      <c r="N1779" s="3">
        <f>F1779/2</f>
        <v>0.30499999999999999</v>
      </c>
      <c r="O1779" s="9">
        <f>H1779</f>
        <v>1.32E-2</v>
      </c>
      <c r="P1779" s="10">
        <f t="shared" si="53"/>
        <v>0</v>
      </c>
      <c r="Q1779" s="10">
        <f>IF(K1779=0,IF(A1776=A1779,AVERAGE(O1776:O1779),"x"),0)</f>
        <v>0</v>
      </c>
      <c r="R1779" s="9">
        <f>IF(L1779&gt;2005,AVERAGE(O1776:O1795),0)</f>
        <v>0</v>
      </c>
      <c r="S1779" s="10">
        <f>IF(A1779=A1780,(N1779-N1780)/N1780,0)</f>
        <v>0</v>
      </c>
      <c r="T1779" s="10">
        <f>IF(L1779&gt;2005,(((N1779-N1799)/N1799)+1)^(1/5)-1,0)</f>
        <v>0</v>
      </c>
      <c r="U1779" s="10">
        <f t="shared" si="54"/>
        <v>0</v>
      </c>
      <c r="V1779" s="26">
        <f t="shared" si="55"/>
        <v>0</v>
      </c>
      <c r="W1779" s="3">
        <f>IF(A1779=A1780,N1779-N1780,0)</f>
        <v>0</v>
      </c>
      <c r="X1779" s="10">
        <f>IF(A1779=A1780,(N1779-N1780)/N1780,0)</f>
        <v>0</v>
      </c>
    </row>
    <row r="1780" spans="1:24" ht="16.5" customHeight="1">
      <c r="A1780" s="3" t="s">
        <v>43</v>
      </c>
      <c r="B1780" s="3">
        <f t="shared" si="48"/>
        <v>2013</v>
      </c>
      <c r="C1780" s="3">
        <f t="shared" si="49"/>
        <v>8</v>
      </c>
      <c r="D1780" s="20" t="str">
        <f t="shared" si="50"/>
        <v>PPG20138</v>
      </c>
      <c r="E1780" s="2">
        <v>41494</v>
      </c>
      <c r="F1780" s="3">
        <v>0.61</v>
      </c>
      <c r="G1780" s="2">
        <v>41529</v>
      </c>
      <c r="H1780" s="3">
        <v>1.49E-2</v>
      </c>
      <c r="I1780" s="3">
        <v>0</v>
      </c>
      <c r="J1780" s="3">
        <v>0</v>
      </c>
      <c r="K1780" s="3">
        <f t="shared" si="51"/>
        <v>2013</v>
      </c>
      <c r="L1780" s="3">
        <f t="shared" si="52"/>
        <v>0</v>
      </c>
      <c r="M1780" s="20" t="str">
        <f>A1780&amp;L1780</f>
        <v>PPG0</v>
      </c>
      <c r="N1780" s="3">
        <f>F1780/2</f>
        <v>0.30499999999999999</v>
      </c>
      <c r="O1780" s="9">
        <f>H1780</f>
        <v>1.49E-2</v>
      </c>
      <c r="P1780" s="10">
        <f t="shared" si="53"/>
        <v>0</v>
      </c>
      <c r="Q1780" s="10">
        <f>IF(K1780=0,IF(A1777=A1780,AVERAGE(O1777:O1780),"x"),0)</f>
        <v>0</v>
      </c>
      <c r="R1780" s="9">
        <f>IF(L1780&gt;2005,AVERAGE(O1777:O1796),0)</f>
        <v>0</v>
      </c>
      <c r="S1780" s="10">
        <f>IF(A1780=A1781,(N1780-N1781)/N1781,0)</f>
        <v>0</v>
      </c>
      <c r="T1780" s="10">
        <f>IF(L1780&gt;2005,(((N1780-N1800)/N1800)+1)^(1/5)-1,0)</f>
        <v>0</v>
      </c>
      <c r="U1780" s="10">
        <f t="shared" si="54"/>
        <v>0</v>
      </c>
      <c r="V1780" s="26">
        <f t="shared" si="55"/>
        <v>0</v>
      </c>
      <c r="W1780" s="3">
        <f>IF(A1780=A1781,N1780-N1781,0)</f>
        <v>0</v>
      </c>
      <c r="X1780" s="10">
        <f>IF(A1780=A1781,(N1780-N1781)/N1781,0)</f>
        <v>0</v>
      </c>
    </row>
    <row r="1781" spans="1:24" ht="16.5" customHeight="1">
      <c r="A1781" s="3" t="s">
        <v>43</v>
      </c>
      <c r="B1781" s="3">
        <f t="shared" si="48"/>
        <v>2013</v>
      </c>
      <c r="C1781" s="3">
        <f t="shared" si="49"/>
        <v>5</v>
      </c>
      <c r="D1781" s="20" t="str">
        <f t="shared" si="50"/>
        <v>PPG20135</v>
      </c>
      <c r="E1781" s="2">
        <v>41402</v>
      </c>
      <c r="F1781" s="3">
        <v>0.61</v>
      </c>
      <c r="G1781" s="2">
        <v>41437</v>
      </c>
      <c r="H1781" s="3">
        <v>1.55E-2</v>
      </c>
      <c r="I1781" s="3">
        <v>3.3898304999999997E-2</v>
      </c>
      <c r="J1781" s="3">
        <v>0.02</v>
      </c>
      <c r="K1781" s="3">
        <f t="shared" si="51"/>
        <v>2013</v>
      </c>
      <c r="L1781" s="3">
        <f t="shared" si="52"/>
        <v>0</v>
      </c>
      <c r="M1781" s="20" t="str">
        <f>A1781&amp;L1781</f>
        <v>PPG0</v>
      </c>
      <c r="N1781" s="3">
        <f>F1781/2</f>
        <v>0.30499999999999999</v>
      </c>
      <c r="O1781" s="9">
        <f>H1781</f>
        <v>1.55E-2</v>
      </c>
      <c r="P1781" s="10">
        <f t="shared" si="53"/>
        <v>1.8175E-2</v>
      </c>
      <c r="Q1781" s="10">
        <f>IF(K1781=0,IF(A1778=A1781,AVERAGE(O1778:O1781),"x"),0)</f>
        <v>0</v>
      </c>
      <c r="R1781" s="9">
        <f>IF(L1781&gt;2005,AVERAGE(O1778:O1797),0)</f>
        <v>0</v>
      </c>
      <c r="S1781" s="10">
        <f>IF(A1781=A1782,(N1781-N1782)/N1782,0)</f>
        <v>3.3898305084745797E-2</v>
      </c>
      <c r="T1781" s="10">
        <f>IF(L1781&gt;2005,(((N1781-N1801)/N1801)+1)^(1/5)-1,0)</f>
        <v>0</v>
      </c>
      <c r="U1781" s="10">
        <f t="shared" si="54"/>
        <v>0</v>
      </c>
      <c r="V1781" s="26">
        <f t="shared" si="55"/>
        <v>0</v>
      </c>
      <c r="W1781" s="3">
        <f>IF(A1781=A1782,N1781-N1782,0)</f>
        <v>1.0000000000000009E-2</v>
      </c>
      <c r="X1781" s="10">
        <f>IF(A1781=A1782,(N1781-N1782)/N1782,0)</f>
        <v>3.3898305084745797E-2</v>
      </c>
    </row>
    <row r="1782" spans="1:24" ht="16.5" customHeight="1">
      <c r="A1782" s="3" t="s">
        <v>43</v>
      </c>
      <c r="B1782" s="3">
        <f t="shared" si="48"/>
        <v>2013</v>
      </c>
      <c r="C1782" s="3">
        <f t="shared" si="49"/>
        <v>2</v>
      </c>
      <c r="D1782" s="20" t="str">
        <f t="shared" si="50"/>
        <v>PPG20132</v>
      </c>
      <c r="E1782" s="2">
        <v>41325</v>
      </c>
      <c r="F1782" s="3">
        <v>0.59</v>
      </c>
      <c r="G1782" s="2">
        <v>41345</v>
      </c>
      <c r="H1782" s="3">
        <v>1.7399999999999999E-2</v>
      </c>
      <c r="I1782" s="3">
        <v>0</v>
      </c>
      <c r="J1782" s="3">
        <v>0</v>
      </c>
      <c r="K1782" s="3">
        <f t="shared" si="51"/>
        <v>0</v>
      </c>
      <c r="L1782" s="3">
        <f t="shared" si="52"/>
        <v>2013</v>
      </c>
      <c r="M1782" s="20" t="str">
        <f>A1782&amp;L1782</f>
        <v>PPG2013</v>
      </c>
      <c r="N1782" s="3">
        <f>F1782/2</f>
        <v>0.29499999999999998</v>
      </c>
      <c r="O1782" s="9">
        <f>H1782</f>
        <v>1.7399999999999999E-2</v>
      </c>
      <c r="P1782" s="10">
        <f t="shared" si="53"/>
        <v>0</v>
      </c>
      <c r="Q1782" s="10">
        <f>IF(K1782=0,IF(A1779=A1782,AVERAGE(O1779:O1782),"x"),0)</f>
        <v>1.525E-2</v>
      </c>
      <c r="R1782" s="9">
        <f>IF(L1782&gt;2005,AVERAGE(O1779:O1798),0)</f>
        <v>2.7809999999999994E-2</v>
      </c>
      <c r="S1782" s="10">
        <f>IF(A1782=A1783,(N1782-N1783)/N1783,0)</f>
        <v>0</v>
      </c>
      <c r="T1782" s="10">
        <f>IF(L1782&gt;2005,(((N1782-N1802)/N1802)+1)^(1/5)-1,0)</f>
        <v>2.5580450076664984E-2</v>
      </c>
      <c r="U1782" s="10">
        <f t="shared" si="54"/>
        <v>5.3390450076664979E-2</v>
      </c>
      <c r="V1782" s="26">
        <f t="shared" si="55"/>
        <v>4.6176595768006345</v>
      </c>
      <c r="W1782" s="3">
        <f>IF(A1782=A1783,N1782-N1783,0)</f>
        <v>0</v>
      </c>
      <c r="X1782" s="10">
        <f>IF(A1782=A1783,(N1782-N1783)/N1783,0)</f>
        <v>0</v>
      </c>
    </row>
    <row r="1783" spans="1:24" ht="16.5" customHeight="1">
      <c r="A1783" s="3" t="s">
        <v>43</v>
      </c>
      <c r="B1783" s="3">
        <f t="shared" si="48"/>
        <v>2012</v>
      </c>
      <c r="C1783" s="3">
        <f t="shared" si="49"/>
        <v>11</v>
      </c>
      <c r="D1783" s="20" t="str">
        <f t="shared" si="50"/>
        <v>PPG201211</v>
      </c>
      <c r="E1783" s="2">
        <v>41220</v>
      </c>
      <c r="F1783" s="3">
        <v>0.59</v>
      </c>
      <c r="G1783" s="2">
        <v>41255</v>
      </c>
      <c r="H1783" s="3">
        <v>1.9E-2</v>
      </c>
      <c r="I1783" s="3">
        <v>0</v>
      </c>
      <c r="J1783" s="3">
        <v>0</v>
      </c>
      <c r="K1783" s="3">
        <f t="shared" si="51"/>
        <v>2012</v>
      </c>
      <c r="L1783" s="3">
        <f t="shared" si="52"/>
        <v>0</v>
      </c>
      <c r="M1783" s="20" t="str">
        <f>A1783&amp;L1783</f>
        <v>PPG0</v>
      </c>
      <c r="N1783" s="3">
        <f>F1783/2</f>
        <v>0.29499999999999998</v>
      </c>
      <c r="O1783" s="9">
        <f>H1783</f>
        <v>1.9E-2</v>
      </c>
      <c r="P1783" s="10">
        <f t="shared" si="53"/>
        <v>0</v>
      </c>
      <c r="Q1783" s="10">
        <f>IF(K1783=0,IF(A1780=A1783,AVERAGE(O1780:O1783),"x"),0)</f>
        <v>0</v>
      </c>
      <c r="R1783" s="9">
        <f>IF(L1783&gt;2005,AVERAGE(O1780:O1799),0)</f>
        <v>0</v>
      </c>
      <c r="S1783" s="10">
        <f>IF(A1783=A1784,(N1783-N1784)/N1784,0)</f>
        <v>0</v>
      </c>
      <c r="T1783" s="10">
        <f>IF(L1783&gt;2005,(((N1783-N1803)/N1803)+1)^(1/5)-1,0)</f>
        <v>0</v>
      </c>
      <c r="U1783" s="10">
        <f t="shared" si="54"/>
        <v>0</v>
      </c>
      <c r="V1783" s="26">
        <f t="shared" si="55"/>
        <v>0</v>
      </c>
      <c r="W1783" s="3">
        <f>IF(A1783=A1784,N1783-N1784,0)</f>
        <v>0</v>
      </c>
      <c r="X1783" s="10">
        <f>IF(A1783=A1784,(N1783-N1784)/N1784,0)</f>
        <v>0</v>
      </c>
    </row>
    <row r="1784" spans="1:24" ht="16.5" customHeight="1">
      <c r="A1784" s="3" t="s">
        <v>43</v>
      </c>
      <c r="B1784" s="3">
        <f t="shared" si="48"/>
        <v>2012</v>
      </c>
      <c r="C1784" s="3">
        <f t="shared" si="49"/>
        <v>8</v>
      </c>
      <c r="D1784" s="20" t="str">
        <f t="shared" si="50"/>
        <v>PPG20128</v>
      </c>
      <c r="E1784" s="2">
        <v>41129</v>
      </c>
      <c r="F1784" s="3">
        <v>0.59</v>
      </c>
      <c r="G1784" s="2">
        <v>41164</v>
      </c>
      <c r="H1784" s="3">
        <v>2.0799999999999999E-2</v>
      </c>
      <c r="I1784" s="3">
        <v>0</v>
      </c>
      <c r="J1784" s="3">
        <v>0</v>
      </c>
      <c r="K1784" s="3">
        <f t="shared" si="51"/>
        <v>2012</v>
      </c>
      <c r="L1784" s="3">
        <f t="shared" si="52"/>
        <v>0</v>
      </c>
      <c r="M1784" s="20" t="str">
        <f>A1784&amp;L1784</f>
        <v>PPG0</v>
      </c>
      <c r="N1784" s="3">
        <f>F1784/2</f>
        <v>0.29499999999999998</v>
      </c>
      <c r="O1784" s="9">
        <f>H1784</f>
        <v>2.0799999999999999E-2</v>
      </c>
      <c r="P1784" s="10">
        <f t="shared" si="53"/>
        <v>0</v>
      </c>
      <c r="Q1784" s="10">
        <f>IF(K1784=0,IF(A1781=A1784,AVERAGE(O1781:O1784),"x"),0)</f>
        <v>0</v>
      </c>
      <c r="R1784" s="9">
        <f>IF(L1784&gt;2005,AVERAGE(O1781:O1800),0)</f>
        <v>0</v>
      </c>
      <c r="S1784" s="10">
        <f>IF(A1784=A1785,(N1784-N1785)/N1785,0)</f>
        <v>0</v>
      </c>
      <c r="T1784" s="10">
        <f>IF(L1784&gt;2005,(((N1784-N1804)/N1804)+1)^(1/5)-1,0)</f>
        <v>0</v>
      </c>
      <c r="U1784" s="10">
        <f t="shared" si="54"/>
        <v>0</v>
      </c>
      <c r="V1784" s="26">
        <f t="shared" si="55"/>
        <v>0</v>
      </c>
      <c r="W1784" s="3">
        <f>IF(A1784=A1785,N1784-N1785,0)</f>
        <v>0</v>
      </c>
      <c r="X1784" s="10">
        <f>IF(A1784=A1785,(N1784-N1785)/N1785,0)</f>
        <v>0</v>
      </c>
    </row>
    <row r="1785" spans="1:24" ht="16.5" customHeight="1">
      <c r="A1785" s="3" t="s">
        <v>43</v>
      </c>
      <c r="B1785" s="3">
        <f t="shared" si="48"/>
        <v>2012</v>
      </c>
      <c r="C1785" s="3">
        <f t="shared" si="49"/>
        <v>5</v>
      </c>
      <c r="D1785" s="20" t="str">
        <f t="shared" si="50"/>
        <v>PPG20125</v>
      </c>
      <c r="E1785" s="2">
        <v>41037</v>
      </c>
      <c r="F1785" s="3">
        <v>0.59</v>
      </c>
      <c r="G1785" s="2">
        <v>41072</v>
      </c>
      <c r="H1785" s="3">
        <v>2.1499999999999998E-2</v>
      </c>
      <c r="I1785" s="3">
        <v>3.5087719000000003E-2</v>
      </c>
      <c r="J1785" s="3">
        <v>0.02</v>
      </c>
      <c r="K1785" s="3">
        <f t="shared" si="51"/>
        <v>2012</v>
      </c>
      <c r="L1785" s="3">
        <f t="shared" si="52"/>
        <v>0</v>
      </c>
      <c r="M1785" s="20" t="str">
        <f>A1785&amp;L1785</f>
        <v>PPG0</v>
      </c>
      <c r="N1785" s="3">
        <f>F1785/2</f>
        <v>0.29499999999999998</v>
      </c>
      <c r="O1785" s="9">
        <f>H1785</f>
        <v>2.1499999999999998E-2</v>
      </c>
      <c r="P1785" s="10">
        <f t="shared" si="53"/>
        <v>2.5224999999999997E-2</v>
      </c>
      <c r="Q1785" s="10">
        <f>IF(K1785=0,IF(A1782=A1785,AVERAGE(O1782:O1785),"x"),0)</f>
        <v>0</v>
      </c>
      <c r="R1785" s="9">
        <f>IF(L1785&gt;2005,AVERAGE(O1782:O1801),0)</f>
        <v>0</v>
      </c>
      <c r="S1785" s="10">
        <f>IF(A1785=A1786,(N1785-N1786)/N1786,0)</f>
        <v>3.5087719298245647E-2</v>
      </c>
      <c r="T1785" s="10">
        <f>IF(L1785&gt;2005,(((N1785-N1805)/N1805)+1)^(1/5)-1,0)</f>
        <v>0</v>
      </c>
      <c r="U1785" s="10">
        <f t="shared" si="54"/>
        <v>0</v>
      </c>
      <c r="V1785" s="26">
        <f t="shared" si="55"/>
        <v>0</v>
      </c>
      <c r="W1785" s="3">
        <f>IF(A1785=A1786,N1785-N1786,0)</f>
        <v>1.0000000000000009E-2</v>
      </c>
      <c r="X1785" s="10">
        <f>IF(A1785=A1786,(N1785-N1786)/N1786,0)</f>
        <v>3.5087719298245647E-2</v>
      </c>
    </row>
    <row r="1786" spans="1:24" ht="16.5" customHeight="1">
      <c r="A1786" s="3" t="s">
        <v>43</v>
      </c>
      <c r="B1786" s="3">
        <f t="shared" si="48"/>
        <v>2012</v>
      </c>
      <c r="C1786" s="3">
        <f t="shared" si="49"/>
        <v>2</v>
      </c>
      <c r="D1786" s="20" t="str">
        <f t="shared" si="50"/>
        <v>PPG20122</v>
      </c>
      <c r="E1786" s="2">
        <v>40954</v>
      </c>
      <c r="F1786" s="3">
        <v>0.56999999999999995</v>
      </c>
      <c r="G1786" s="2">
        <v>40980</v>
      </c>
      <c r="H1786" s="3">
        <v>2.52E-2</v>
      </c>
      <c r="I1786" s="3">
        <v>0</v>
      </c>
      <c r="J1786" s="3">
        <v>0</v>
      </c>
      <c r="K1786" s="3">
        <f t="shared" si="51"/>
        <v>0</v>
      </c>
      <c r="L1786" s="3">
        <f t="shared" si="52"/>
        <v>2012</v>
      </c>
      <c r="M1786" s="20" t="str">
        <f>A1786&amp;L1786</f>
        <v>PPG2012</v>
      </c>
      <c r="N1786" s="3">
        <f>F1786/2</f>
        <v>0.28499999999999998</v>
      </c>
      <c r="O1786" s="9">
        <f>H1786</f>
        <v>2.52E-2</v>
      </c>
      <c r="P1786" s="10">
        <f t="shared" si="53"/>
        <v>0</v>
      </c>
      <c r="Q1786" s="10">
        <f>IF(K1786=0,IF(A1783=A1786,AVERAGE(O1783:O1786),"x"),0)</f>
        <v>2.1624999999999998E-2</v>
      </c>
      <c r="R1786" s="9">
        <f>IF(L1786&gt;2005,AVERAGE(O1783:O1802),0)</f>
        <v>3.1839999999999993E-2</v>
      </c>
      <c r="S1786" s="10">
        <f>IF(A1786=A1787,(N1786-N1787)/N1787,0)</f>
        <v>0</v>
      </c>
      <c r="T1786" s="10">
        <f>IF(L1786&gt;2005,(((N1786-N1806)/N1806)+1)^(1/5)-1,0)</f>
        <v>2.6552039741113198E-2</v>
      </c>
      <c r="U1786" s="10">
        <f t="shared" si="54"/>
        <v>5.8392039741113191E-2</v>
      </c>
      <c r="V1786" s="26">
        <f t="shared" si="55"/>
        <v>4.566446128071016</v>
      </c>
      <c r="W1786" s="3">
        <f>IF(A1786=A1787,N1786-N1787,0)</f>
        <v>0</v>
      </c>
      <c r="X1786" s="10">
        <f>IF(A1786=A1787,(N1786-N1787)/N1787,0)</f>
        <v>0</v>
      </c>
    </row>
    <row r="1787" spans="1:24" ht="16.5" customHeight="1">
      <c r="A1787" s="3" t="s">
        <v>43</v>
      </c>
      <c r="B1787" s="3">
        <f t="shared" ref="B1787:B2041" si="56">YEAR(E1787)</f>
        <v>2011</v>
      </c>
      <c r="C1787" s="3">
        <f t="shared" ref="C1787:C2041" si="57">MONTH(E1787)</f>
        <v>11</v>
      </c>
      <c r="D1787" s="20" t="str">
        <f t="shared" ref="D1787:D2041" si="58">A1787&amp;B1787&amp;C1787</f>
        <v>PPG201111</v>
      </c>
      <c r="E1787" s="2">
        <v>40855</v>
      </c>
      <c r="F1787" s="3">
        <v>0.56999999999999995</v>
      </c>
      <c r="G1787" s="2">
        <v>40889</v>
      </c>
      <c r="H1787" s="3">
        <v>2.5399999999999999E-2</v>
      </c>
      <c r="I1787" s="3">
        <v>0</v>
      </c>
      <c r="J1787" s="3">
        <v>0</v>
      </c>
      <c r="K1787" s="3">
        <f t="shared" ref="K1787:K2041" si="59">IF(YEAR(E1787)=YEAR(E1788),YEAR(E1787),0)</f>
        <v>2011</v>
      </c>
      <c r="L1787" s="3">
        <f t="shared" ref="L1787:L2041" si="60">IF(K1787=0,K1786,0)</f>
        <v>0</v>
      </c>
      <c r="M1787" s="20" t="str">
        <f>A1787&amp;L1787</f>
        <v>PPG0</v>
      </c>
      <c r="N1787" s="3">
        <f>F1787/2</f>
        <v>0.28499999999999998</v>
      </c>
      <c r="O1787" s="9">
        <f>H1787</f>
        <v>2.5399999999999999E-2</v>
      </c>
      <c r="P1787" s="10">
        <f t="shared" ref="P1787:P2041" si="61">IF(S1787&gt;0,SUM(O1787:O1790)/4,0)</f>
        <v>0</v>
      </c>
      <c r="Q1787" s="10">
        <f>IF(K1787=0,IF(A1784=A1787,AVERAGE(O1784:O1787),"x"),0)</f>
        <v>0</v>
      </c>
      <c r="R1787" s="9">
        <f>IF(L1787&gt;2005,AVERAGE(O1784:O1803),0)</f>
        <v>0</v>
      </c>
      <c r="S1787" s="10">
        <f>IF(A1787=A1788,(N1787-N1788)/N1788,0)</f>
        <v>0</v>
      </c>
      <c r="T1787" s="10">
        <f>IF(L1787&gt;2005,(((N1787-N1807)/N1807)+1)^(1/5)-1,0)</f>
        <v>0</v>
      </c>
      <c r="U1787" s="10">
        <f t="shared" si="54"/>
        <v>0</v>
      </c>
      <c r="V1787" s="26">
        <f t="shared" si="55"/>
        <v>0</v>
      </c>
      <c r="W1787" s="3">
        <f>IF(A1787=A1788,N1787-N1788,0)</f>
        <v>0</v>
      </c>
      <c r="X1787" s="10">
        <f>IF(A1787=A1788,(N1787-N1788)/N1788,0)</f>
        <v>0</v>
      </c>
    </row>
    <row r="1788" spans="1:24" ht="16.5" customHeight="1">
      <c r="A1788" s="3" t="s">
        <v>43</v>
      </c>
      <c r="B1788" s="3">
        <f t="shared" si="56"/>
        <v>2011</v>
      </c>
      <c r="C1788" s="3">
        <f t="shared" si="57"/>
        <v>8</v>
      </c>
      <c r="D1788" s="20" t="str">
        <f t="shared" si="58"/>
        <v>PPG20118</v>
      </c>
      <c r="E1788" s="2">
        <v>40763</v>
      </c>
      <c r="F1788" s="3">
        <v>0.56999999999999995</v>
      </c>
      <c r="G1788" s="2">
        <v>40798</v>
      </c>
      <c r="H1788" s="3">
        <v>2.8799999999999999E-2</v>
      </c>
      <c r="I1788" s="3">
        <v>0</v>
      </c>
      <c r="J1788" s="3">
        <v>0</v>
      </c>
      <c r="K1788" s="3">
        <f t="shared" si="59"/>
        <v>2011</v>
      </c>
      <c r="L1788" s="3">
        <f t="shared" si="60"/>
        <v>0</v>
      </c>
      <c r="M1788" s="20" t="str">
        <f>A1788&amp;L1788</f>
        <v>PPG0</v>
      </c>
      <c r="N1788" s="3">
        <f>F1788/2</f>
        <v>0.28499999999999998</v>
      </c>
      <c r="O1788" s="9">
        <f>H1788</f>
        <v>2.8799999999999999E-2</v>
      </c>
      <c r="P1788" s="10">
        <f t="shared" si="61"/>
        <v>0</v>
      </c>
      <c r="Q1788" s="10">
        <f>IF(K1788=0,IF(A1785=A1788,AVERAGE(O1785:O1788),"x"),0)</f>
        <v>0</v>
      </c>
      <c r="R1788" s="9">
        <f>IF(L1788&gt;2005,AVERAGE(O1785:O1804),0)</f>
        <v>0</v>
      </c>
      <c r="S1788" s="10">
        <f>IF(A1788=A1789,(N1788-N1789)/N1789,0)</f>
        <v>0</v>
      </c>
      <c r="T1788" s="10">
        <f>IF(L1788&gt;2005,(((N1788-N1808)/N1808)+1)^(1/5)-1,0)</f>
        <v>0</v>
      </c>
      <c r="U1788" s="10">
        <f t="shared" si="54"/>
        <v>0</v>
      </c>
      <c r="V1788" s="26">
        <f t="shared" si="55"/>
        <v>0</v>
      </c>
      <c r="W1788" s="3">
        <f>IF(A1788=A1789,N1788-N1789,0)</f>
        <v>0</v>
      </c>
      <c r="X1788" s="10">
        <f>IF(A1788=A1789,(N1788-N1789)/N1789,0)</f>
        <v>0</v>
      </c>
    </row>
    <row r="1789" spans="1:24" ht="16.5" customHeight="1">
      <c r="A1789" s="3" t="s">
        <v>43</v>
      </c>
      <c r="B1789" s="3">
        <f t="shared" si="56"/>
        <v>2011</v>
      </c>
      <c r="C1789" s="3">
        <f t="shared" si="57"/>
        <v>5</v>
      </c>
      <c r="D1789" s="20" t="str">
        <f t="shared" si="58"/>
        <v>PPG20115</v>
      </c>
      <c r="E1789" s="2">
        <v>40669</v>
      </c>
      <c r="F1789" s="3">
        <v>0.56999999999999995</v>
      </c>
      <c r="G1789" s="2">
        <v>40704</v>
      </c>
      <c r="H1789" s="3">
        <v>2.46E-2</v>
      </c>
      <c r="I1789" s="3">
        <v>3.6363635999999998E-2</v>
      </c>
      <c r="J1789" s="3">
        <v>0.02</v>
      </c>
      <c r="K1789" s="3">
        <f t="shared" si="59"/>
        <v>2011</v>
      </c>
      <c r="L1789" s="3">
        <f t="shared" si="60"/>
        <v>0</v>
      </c>
      <c r="M1789" s="20" t="str">
        <f>A1789&amp;L1789</f>
        <v>PPG0</v>
      </c>
      <c r="N1789" s="3">
        <f>F1789/2</f>
        <v>0.28499999999999998</v>
      </c>
      <c r="O1789" s="9">
        <f>H1789</f>
        <v>2.46E-2</v>
      </c>
      <c r="P1789" s="10">
        <f t="shared" si="61"/>
        <v>2.6925000000000001E-2</v>
      </c>
      <c r="Q1789" s="10">
        <f>IF(K1789=0,IF(A1786=A1789,AVERAGE(O1786:O1789),"x"),0)</f>
        <v>0</v>
      </c>
      <c r="R1789" s="9">
        <f>IF(L1789&gt;2005,AVERAGE(O1786:O1805),0)</f>
        <v>0</v>
      </c>
      <c r="S1789" s="10">
        <f>IF(A1789=A1790,(N1789-N1790)/N1790,0)</f>
        <v>3.6363636363636188E-2</v>
      </c>
      <c r="T1789" s="10">
        <f>IF(L1789&gt;2005,(((N1789-N1809)/N1809)+1)^(1/5)-1,0)</f>
        <v>0</v>
      </c>
      <c r="U1789" s="10">
        <f t="shared" si="54"/>
        <v>0</v>
      </c>
      <c r="V1789" s="26">
        <f t="shared" si="55"/>
        <v>0</v>
      </c>
      <c r="W1789" s="3">
        <f>IF(A1789=A1790,N1789-N1790,0)</f>
        <v>9.9999999999999534E-3</v>
      </c>
      <c r="X1789" s="10">
        <f>IF(A1789=A1790,(N1789-N1790)/N1790,0)</f>
        <v>3.6363636363636188E-2</v>
      </c>
    </row>
    <row r="1790" spans="1:24" ht="16.5" customHeight="1">
      <c r="A1790" s="3" t="s">
        <v>43</v>
      </c>
      <c r="B1790" s="3">
        <f t="shared" si="56"/>
        <v>2011</v>
      </c>
      <c r="C1790" s="3">
        <f t="shared" si="57"/>
        <v>2</v>
      </c>
      <c r="D1790" s="20" t="str">
        <f t="shared" si="58"/>
        <v>PPG20112</v>
      </c>
      <c r="E1790" s="2">
        <v>40590</v>
      </c>
      <c r="F1790" s="3">
        <v>0.55000000000000004</v>
      </c>
      <c r="G1790" s="2">
        <v>40613</v>
      </c>
      <c r="H1790" s="3">
        <v>2.4799999999999999E-2</v>
      </c>
      <c r="I1790" s="3">
        <v>0</v>
      </c>
      <c r="J1790" s="3">
        <v>0</v>
      </c>
      <c r="K1790" s="3">
        <f t="shared" si="59"/>
        <v>0</v>
      </c>
      <c r="L1790" s="3">
        <f t="shared" si="60"/>
        <v>2011</v>
      </c>
      <c r="M1790" s="20" t="str">
        <f>A1790&amp;L1790</f>
        <v>PPG2011</v>
      </c>
      <c r="N1790" s="3">
        <f>F1790/2</f>
        <v>0.27500000000000002</v>
      </c>
      <c r="O1790" s="9">
        <f>H1790</f>
        <v>2.4799999999999999E-2</v>
      </c>
      <c r="P1790" s="10">
        <f t="shared" si="61"/>
        <v>0</v>
      </c>
      <c r="Q1790" s="10">
        <f>IF(K1790=0,IF(A1787=A1790,AVERAGE(O1787:O1790),"x"),0)</f>
        <v>2.5899999999999999E-2</v>
      </c>
      <c r="R1790" s="9">
        <f>IF(L1790&gt;2005,AVERAGE(O1787:O1806),0)</f>
        <v>3.2895000000000001E-2</v>
      </c>
      <c r="S1790" s="10">
        <f>IF(A1790=A1791,(N1790-N1791)/N1791,0)</f>
        <v>0</v>
      </c>
      <c r="T1790" s="10">
        <f>IF(L1790&gt;2005,(((N1790-N1810)/N1810)+1)^(1/5)-1,0)</f>
        <v>3.1936481988553256E-2</v>
      </c>
      <c r="U1790" s="10">
        <f t="shared" ref="U1790:U2044" si="62">IF(T1790&gt;0,R1790+T1790,0)</f>
        <v>6.4831481988553263E-2</v>
      </c>
      <c r="V1790" s="26">
        <f t="shared" ref="V1790:V2044" si="63">IF(U1790&gt;0,(1+T1790)*(1-((1+T1790)/(1+U1790))^5)/(U1790-T1790),0)</f>
        <v>4.5552666101940256</v>
      </c>
      <c r="W1790" s="3">
        <f>IF(A1790=A1791,N1790-N1791,0)</f>
        <v>0</v>
      </c>
      <c r="X1790" s="10">
        <f>IF(A1790=A1791,(N1790-N1791)/N1791,0)</f>
        <v>0</v>
      </c>
    </row>
    <row r="1791" spans="1:24" ht="16.5" customHeight="1">
      <c r="A1791" s="3" t="s">
        <v>43</v>
      </c>
      <c r="B1791" s="3">
        <f t="shared" si="56"/>
        <v>2010</v>
      </c>
      <c r="C1791" s="3">
        <f t="shared" si="57"/>
        <v>11</v>
      </c>
      <c r="D1791" s="20" t="str">
        <f t="shared" si="58"/>
        <v>PPG201011</v>
      </c>
      <c r="E1791" s="2">
        <v>40490</v>
      </c>
      <c r="F1791" s="3">
        <v>0.55000000000000004</v>
      </c>
      <c r="G1791" s="2">
        <v>40522</v>
      </c>
      <c r="H1791" s="3">
        <v>2.7400000000000001E-2</v>
      </c>
      <c r="I1791" s="3">
        <v>0</v>
      </c>
      <c r="J1791" s="3">
        <v>0</v>
      </c>
      <c r="K1791" s="3">
        <f t="shared" si="59"/>
        <v>2010</v>
      </c>
      <c r="L1791" s="3">
        <f t="shared" si="60"/>
        <v>0</v>
      </c>
      <c r="M1791" s="20" t="str">
        <f>A1791&amp;L1791</f>
        <v>PPG0</v>
      </c>
      <c r="N1791" s="3">
        <f>F1791/2</f>
        <v>0.27500000000000002</v>
      </c>
      <c r="O1791" s="9">
        <f>H1791</f>
        <v>2.7400000000000001E-2</v>
      </c>
      <c r="P1791" s="10">
        <f t="shared" si="61"/>
        <v>0</v>
      </c>
      <c r="Q1791" s="10">
        <f>IF(K1791=0,IF(A1788=A1791,AVERAGE(O1788:O1791),"x"),0)</f>
        <v>0</v>
      </c>
      <c r="R1791" s="9">
        <f>IF(L1791&gt;2005,AVERAGE(O1788:O1807),0)</f>
        <v>0</v>
      </c>
      <c r="S1791" s="10">
        <f>IF(A1791=A1792,(N1791-N1792)/N1792,0)</f>
        <v>0</v>
      </c>
      <c r="T1791" s="10">
        <f>IF(L1791&gt;2005,(((N1791-N1811)/N1811)+1)^(1/5)-1,0)</f>
        <v>0</v>
      </c>
      <c r="U1791" s="10">
        <f t="shared" si="62"/>
        <v>0</v>
      </c>
      <c r="V1791" s="26">
        <f t="shared" si="63"/>
        <v>0</v>
      </c>
      <c r="W1791" s="3">
        <f>IF(A1791=A1792,N1791-N1792,0)</f>
        <v>0</v>
      </c>
      <c r="X1791" s="10">
        <f>IF(A1791=A1792,(N1791-N1792)/N1792,0)</f>
        <v>0</v>
      </c>
    </row>
    <row r="1792" spans="1:24" ht="16.5" customHeight="1">
      <c r="A1792" s="3" t="s">
        <v>43</v>
      </c>
      <c r="B1792" s="3">
        <f t="shared" si="56"/>
        <v>2010</v>
      </c>
      <c r="C1792" s="3">
        <f t="shared" si="57"/>
        <v>8</v>
      </c>
      <c r="D1792" s="20" t="str">
        <f t="shared" si="58"/>
        <v>PPG20108</v>
      </c>
      <c r="E1792" s="2">
        <v>40396</v>
      </c>
      <c r="F1792" s="3">
        <v>0.55000000000000004</v>
      </c>
      <c r="G1792" s="2">
        <v>40431</v>
      </c>
      <c r="H1792" s="3">
        <v>3.09E-2</v>
      </c>
      <c r="I1792" s="3">
        <v>1.8518519000000001E-2</v>
      </c>
      <c r="J1792" s="3">
        <v>0.01</v>
      </c>
      <c r="K1792" s="3">
        <f t="shared" si="59"/>
        <v>2010</v>
      </c>
      <c r="L1792" s="3">
        <f t="shared" si="60"/>
        <v>0</v>
      </c>
      <c r="M1792" s="20" t="str">
        <f>A1792&amp;L1792</f>
        <v>PPG0</v>
      </c>
      <c r="N1792" s="3">
        <f>F1792/2</f>
        <v>0.27500000000000002</v>
      </c>
      <c r="O1792" s="9">
        <f>H1792</f>
        <v>3.09E-2</v>
      </c>
      <c r="P1792" s="10">
        <f t="shared" si="61"/>
        <v>3.3399999999999999E-2</v>
      </c>
      <c r="Q1792" s="10">
        <f>IF(K1792=0,IF(A1789=A1792,AVERAGE(O1789:O1792),"x"),0)</f>
        <v>0</v>
      </c>
      <c r="R1792" s="9">
        <f>IF(L1792&gt;2005,AVERAGE(O1789:O1808),0)</f>
        <v>0</v>
      </c>
      <c r="S1792" s="10">
        <f>IF(A1792=A1793,(N1792-N1793)/N1793,0)</f>
        <v>1.8518518518518535E-2</v>
      </c>
      <c r="T1792" s="10">
        <f>IF(L1792&gt;2005,(((N1792-N1812)/N1812)+1)^(1/5)-1,0)</f>
        <v>0</v>
      </c>
      <c r="U1792" s="10">
        <f t="shared" si="62"/>
        <v>0</v>
      </c>
      <c r="V1792" s="26">
        <f t="shared" si="63"/>
        <v>0</v>
      </c>
      <c r="W1792" s="3">
        <f>IF(A1792=A1793,N1792-N1793,0)</f>
        <v>5.0000000000000044E-3</v>
      </c>
      <c r="X1792" s="10">
        <f>IF(A1792=A1793,(N1792-N1793)/N1793,0)</f>
        <v>1.8518518518518535E-2</v>
      </c>
    </row>
    <row r="1793" spans="1:24" ht="16.5" customHeight="1">
      <c r="A1793" s="3" t="s">
        <v>43</v>
      </c>
      <c r="B1793" s="3">
        <f t="shared" si="56"/>
        <v>2010</v>
      </c>
      <c r="C1793" s="3">
        <f t="shared" si="57"/>
        <v>5</v>
      </c>
      <c r="D1793" s="20" t="str">
        <f t="shared" si="58"/>
        <v>PPG20105</v>
      </c>
      <c r="E1793" s="2">
        <v>40304</v>
      </c>
      <c r="F1793" s="3">
        <v>0.54</v>
      </c>
      <c r="G1793" s="2">
        <v>40340</v>
      </c>
      <c r="H1793" s="3">
        <v>3.1899999999999998E-2</v>
      </c>
      <c r="I1793" s="3">
        <v>0</v>
      </c>
      <c r="J1793" s="3">
        <v>0</v>
      </c>
      <c r="K1793" s="3">
        <f t="shared" si="59"/>
        <v>2010</v>
      </c>
      <c r="L1793" s="3">
        <f t="shared" si="60"/>
        <v>0</v>
      </c>
      <c r="M1793" s="20" t="str">
        <f>A1793&amp;L1793</f>
        <v>PPG0</v>
      </c>
      <c r="N1793" s="3">
        <f>F1793/2</f>
        <v>0.27</v>
      </c>
      <c r="O1793" s="9">
        <f>H1793</f>
        <v>3.1899999999999998E-2</v>
      </c>
      <c r="P1793" s="10">
        <f t="shared" si="61"/>
        <v>0</v>
      </c>
      <c r="Q1793" s="10">
        <f>IF(K1793=0,IF(A1790=A1793,AVERAGE(O1790:O1793),"x"),0)</f>
        <v>0</v>
      </c>
      <c r="R1793" s="9">
        <f>IF(L1793&gt;2005,AVERAGE(O1790:O1809),0)</f>
        <v>0</v>
      </c>
      <c r="S1793" s="10">
        <f>IF(A1793=A1794,(N1793-N1794)/N1794,0)</f>
        <v>0</v>
      </c>
      <c r="T1793" s="10">
        <f>IF(L1793&gt;2005,(((N1793-N1813)/N1813)+1)^(1/5)-1,0)</f>
        <v>0</v>
      </c>
      <c r="U1793" s="10">
        <f t="shared" si="62"/>
        <v>0</v>
      </c>
      <c r="V1793" s="26">
        <f t="shared" si="63"/>
        <v>0</v>
      </c>
      <c r="W1793" s="3">
        <f>IF(A1793=A1794,N1793-N1794,0)</f>
        <v>0</v>
      </c>
      <c r="X1793" s="10">
        <f>IF(A1793=A1794,(N1793-N1794)/N1794,0)</f>
        <v>0</v>
      </c>
    </row>
    <row r="1794" spans="1:24" ht="16.5" customHeight="1">
      <c r="A1794" s="3" t="s">
        <v>43</v>
      </c>
      <c r="B1794" s="3">
        <f t="shared" si="56"/>
        <v>2010</v>
      </c>
      <c r="C1794" s="3">
        <f t="shared" si="57"/>
        <v>2</v>
      </c>
      <c r="D1794" s="20" t="str">
        <f t="shared" si="58"/>
        <v>PPG20102</v>
      </c>
      <c r="E1794" s="2">
        <v>40226</v>
      </c>
      <c r="F1794" s="3">
        <v>0.54</v>
      </c>
      <c r="G1794" s="2">
        <v>40249</v>
      </c>
      <c r="H1794" s="3">
        <v>3.4799999999999998E-2</v>
      </c>
      <c r="I1794" s="3">
        <v>0</v>
      </c>
      <c r="J1794" s="3">
        <v>0</v>
      </c>
      <c r="K1794" s="3">
        <f t="shared" si="59"/>
        <v>0</v>
      </c>
      <c r="L1794" s="3">
        <f t="shared" si="60"/>
        <v>2010</v>
      </c>
      <c r="M1794" s="20" t="str">
        <f>A1794&amp;L1794</f>
        <v>PPG2010</v>
      </c>
      <c r="N1794" s="3">
        <f>F1794/2</f>
        <v>0.27</v>
      </c>
      <c r="O1794" s="9">
        <f>H1794</f>
        <v>3.4799999999999998E-2</v>
      </c>
      <c r="P1794" s="10">
        <f t="shared" si="61"/>
        <v>0</v>
      </c>
      <c r="Q1794" s="10">
        <f>IF(K1794=0,IF(A1791=A1794,AVERAGE(O1791:O1794),"x"),0)</f>
        <v>3.125E-2</v>
      </c>
      <c r="R1794" s="9">
        <f>IF(L1794&gt;2005,AVERAGE(O1791:O1810),0)</f>
        <v>3.3575000000000008E-2</v>
      </c>
      <c r="S1794" s="10">
        <f>IF(A1794=A1795,(N1794-N1795)/N1795,0)</f>
        <v>0</v>
      </c>
      <c r="T1794" s="10">
        <f>IF(L1794&gt;2005,(((N1794-N1814)/N1814)+1)^(1/5)-1,0)</f>
        <v>3.7137289336648172E-2</v>
      </c>
      <c r="U1794" s="10">
        <f t="shared" si="62"/>
        <v>7.0712289336648179E-2</v>
      </c>
      <c r="V1794" s="26">
        <f t="shared" si="63"/>
        <v>4.5488448278297877</v>
      </c>
      <c r="W1794" s="3">
        <f>IF(A1794=A1795,N1794-N1795,0)</f>
        <v>0</v>
      </c>
      <c r="X1794" s="10">
        <f>IF(A1794=A1795,(N1794-N1795)/N1795,0)</f>
        <v>0</v>
      </c>
    </row>
    <row r="1795" spans="1:24" ht="16.5" customHeight="1">
      <c r="A1795" s="3" t="s">
        <v>43</v>
      </c>
      <c r="B1795" s="3">
        <f t="shared" si="56"/>
        <v>2009</v>
      </c>
      <c r="C1795" s="3">
        <f t="shared" si="57"/>
        <v>11</v>
      </c>
      <c r="D1795" s="20" t="str">
        <f t="shared" si="58"/>
        <v>PPG200911</v>
      </c>
      <c r="E1795" s="2">
        <v>40123</v>
      </c>
      <c r="F1795" s="3">
        <v>0.54</v>
      </c>
      <c r="G1795" s="2">
        <v>40158</v>
      </c>
      <c r="H1795" s="3">
        <v>3.5999999999999997E-2</v>
      </c>
      <c r="I1795" s="3">
        <v>1.8867925000000001E-2</v>
      </c>
      <c r="J1795" s="3">
        <v>0.01</v>
      </c>
      <c r="K1795" s="3">
        <f t="shared" si="59"/>
        <v>2009</v>
      </c>
      <c r="L1795" s="3">
        <f t="shared" si="60"/>
        <v>0</v>
      </c>
      <c r="M1795" s="20" t="str">
        <f>A1795&amp;L1795</f>
        <v>PPG0</v>
      </c>
      <c r="N1795" s="3">
        <f>F1795/2</f>
        <v>0.27</v>
      </c>
      <c r="O1795" s="9">
        <f>H1795</f>
        <v>3.5999999999999997E-2</v>
      </c>
      <c r="P1795" s="10">
        <f t="shared" si="61"/>
        <v>4.5024999999999996E-2</v>
      </c>
      <c r="Q1795" s="10">
        <f>IF(K1795=0,IF(A1792=A1795,AVERAGE(O1792:O1795),"x"),0)</f>
        <v>0</v>
      </c>
      <c r="R1795" s="9">
        <f>IF(L1795&gt;2005,AVERAGE(O1792:O1811),0)</f>
        <v>0</v>
      </c>
      <c r="S1795" s="10">
        <f>IF(A1795=A1796,(N1795-N1796)/N1796,0)</f>
        <v>1.8867924528301903E-2</v>
      </c>
      <c r="T1795" s="10">
        <f>IF(L1795&gt;2005,(((N1795-N1815)/N1815)+1)^(1/5)-1,0)</f>
        <v>0</v>
      </c>
      <c r="U1795" s="10">
        <f t="shared" si="62"/>
        <v>0</v>
      </c>
      <c r="V1795" s="26">
        <f t="shared" si="63"/>
        <v>0</v>
      </c>
      <c r="W1795" s="3">
        <f>IF(A1795=A1796,N1795-N1796,0)</f>
        <v>5.0000000000000044E-3</v>
      </c>
      <c r="X1795" s="10">
        <f>IF(A1795=A1796,(N1795-N1796)/N1796,0)</f>
        <v>1.8867924528301903E-2</v>
      </c>
    </row>
    <row r="1796" spans="1:24" ht="16.5" customHeight="1">
      <c r="A1796" s="3" t="s">
        <v>43</v>
      </c>
      <c r="B1796" s="3">
        <f t="shared" si="56"/>
        <v>2009</v>
      </c>
      <c r="C1796" s="3">
        <f t="shared" si="57"/>
        <v>8</v>
      </c>
      <c r="D1796" s="20" t="str">
        <f t="shared" si="58"/>
        <v>PPG20098</v>
      </c>
      <c r="E1796" s="2">
        <v>40031</v>
      </c>
      <c r="F1796" s="3">
        <v>0.53</v>
      </c>
      <c r="G1796" s="2">
        <v>40067</v>
      </c>
      <c r="H1796" s="3">
        <v>3.7100000000000001E-2</v>
      </c>
      <c r="I1796" s="3">
        <v>0</v>
      </c>
      <c r="J1796" s="3">
        <v>0</v>
      </c>
      <c r="K1796" s="3">
        <f t="shared" si="59"/>
        <v>2009</v>
      </c>
      <c r="L1796" s="3">
        <f t="shared" si="60"/>
        <v>0</v>
      </c>
      <c r="M1796" s="20" t="str">
        <f>A1796&amp;L1796</f>
        <v>PPG0</v>
      </c>
      <c r="N1796" s="3">
        <f>F1796/2</f>
        <v>0.26500000000000001</v>
      </c>
      <c r="O1796" s="9">
        <f>H1796</f>
        <v>3.7100000000000001E-2</v>
      </c>
      <c r="P1796" s="10">
        <f t="shared" si="61"/>
        <v>0</v>
      </c>
      <c r="Q1796" s="10">
        <f>IF(K1796=0,IF(A1793=A1796,AVERAGE(O1793:O1796),"x"),0)</f>
        <v>0</v>
      </c>
      <c r="R1796" s="9">
        <f>IF(L1796&gt;2005,AVERAGE(O1793:O1812),0)</f>
        <v>0</v>
      </c>
      <c r="S1796" s="10">
        <f>IF(A1796=A1797,(N1796-N1797)/N1797,0)</f>
        <v>0</v>
      </c>
      <c r="T1796" s="10">
        <f>IF(L1796&gt;2005,(((N1796-N1816)/N1816)+1)^(1/5)-1,0)</f>
        <v>0</v>
      </c>
      <c r="U1796" s="10">
        <f t="shared" si="62"/>
        <v>0</v>
      </c>
      <c r="V1796" s="26">
        <f t="shared" si="63"/>
        <v>0</v>
      </c>
      <c r="W1796" s="3">
        <f>IF(A1796=A1797,N1796-N1797,0)</f>
        <v>0</v>
      </c>
      <c r="X1796" s="10">
        <f>IF(A1796=A1797,(N1796-N1797)/N1797,0)</f>
        <v>0</v>
      </c>
    </row>
    <row r="1797" spans="1:24" ht="16.5" customHeight="1">
      <c r="A1797" s="3" t="s">
        <v>43</v>
      </c>
      <c r="B1797" s="3">
        <f t="shared" si="56"/>
        <v>2009</v>
      </c>
      <c r="C1797" s="3">
        <f t="shared" si="57"/>
        <v>5</v>
      </c>
      <c r="D1797" s="20" t="str">
        <f t="shared" si="58"/>
        <v>PPG20095</v>
      </c>
      <c r="E1797" s="2">
        <v>39940</v>
      </c>
      <c r="F1797" s="3">
        <v>0.53</v>
      </c>
      <c r="G1797" s="2">
        <v>39976</v>
      </c>
      <c r="H1797" s="3">
        <v>4.5900000000000003E-2</v>
      </c>
      <c r="I1797" s="3">
        <v>0</v>
      </c>
      <c r="J1797" s="3">
        <v>0</v>
      </c>
      <c r="K1797" s="3">
        <f t="shared" si="59"/>
        <v>2009</v>
      </c>
      <c r="L1797" s="3">
        <f t="shared" si="60"/>
        <v>0</v>
      </c>
      <c r="M1797" s="20" t="str">
        <f>A1797&amp;L1797</f>
        <v>PPG0</v>
      </c>
      <c r="N1797" s="3">
        <f>F1797/2</f>
        <v>0.26500000000000001</v>
      </c>
      <c r="O1797" s="9">
        <f>H1797</f>
        <v>4.5900000000000003E-2</v>
      </c>
      <c r="P1797" s="10">
        <f t="shared" si="61"/>
        <v>0</v>
      </c>
      <c r="Q1797" s="10">
        <f>IF(K1797=0,IF(A1794=A1797,AVERAGE(O1794:O1797),"x"),0)</f>
        <v>0</v>
      </c>
      <c r="R1797" s="9">
        <f>IF(L1797&gt;2005,AVERAGE(O1794:O1813),0)</f>
        <v>0</v>
      </c>
      <c r="S1797" s="10">
        <f>IF(A1797=A1798,(N1797-N1798)/N1798,0)</f>
        <v>0</v>
      </c>
      <c r="T1797" s="10">
        <f>IF(L1797&gt;2005,(((N1797-N1817)/N1817)+1)^(1/5)-1,0)</f>
        <v>0</v>
      </c>
      <c r="U1797" s="10">
        <f t="shared" si="62"/>
        <v>0</v>
      </c>
      <c r="V1797" s="26">
        <f t="shared" si="63"/>
        <v>0</v>
      </c>
      <c r="W1797" s="3">
        <f>IF(A1797=A1798,N1797-N1798,0)</f>
        <v>0</v>
      </c>
      <c r="X1797" s="10">
        <f>IF(A1797=A1798,(N1797-N1798)/N1798,0)</f>
        <v>0</v>
      </c>
    </row>
    <row r="1798" spans="1:24" ht="16.5" customHeight="1">
      <c r="A1798" s="3" t="s">
        <v>43</v>
      </c>
      <c r="B1798" s="3">
        <f t="shared" si="56"/>
        <v>2009</v>
      </c>
      <c r="C1798" s="3">
        <f t="shared" si="57"/>
        <v>2</v>
      </c>
      <c r="D1798" s="20" t="str">
        <f t="shared" si="58"/>
        <v>PPG20092</v>
      </c>
      <c r="E1798" s="2">
        <v>39862</v>
      </c>
      <c r="F1798" s="3">
        <v>0.53</v>
      </c>
      <c r="G1798" s="2">
        <v>39884</v>
      </c>
      <c r="H1798" s="3">
        <v>6.1100000000000002E-2</v>
      </c>
      <c r="I1798" s="3">
        <v>0</v>
      </c>
      <c r="J1798" s="3">
        <v>0</v>
      </c>
      <c r="K1798" s="3">
        <f t="shared" si="59"/>
        <v>0</v>
      </c>
      <c r="L1798" s="3">
        <f t="shared" si="60"/>
        <v>2009</v>
      </c>
      <c r="M1798" s="20" t="str">
        <f>A1798&amp;L1798</f>
        <v>PPG2009</v>
      </c>
      <c r="N1798" s="3">
        <f>F1798/2</f>
        <v>0.26500000000000001</v>
      </c>
      <c r="O1798" s="9">
        <f>H1798</f>
        <v>6.1100000000000002E-2</v>
      </c>
      <c r="P1798" s="10">
        <f t="shared" si="61"/>
        <v>0</v>
      </c>
      <c r="Q1798" s="10">
        <f>IF(K1798=0,IF(A1795=A1798,AVERAGE(O1795:O1798),"x"),0)</f>
        <v>4.5024999999999996E-2</v>
      </c>
      <c r="R1798" s="9">
        <f>IF(L1798&gt;2005,AVERAGE(O1795:O1814),0)</f>
        <v>3.2869999999999996E-2</v>
      </c>
      <c r="S1798" s="10">
        <f>IF(A1798=A1799,(N1798-N1799)/N1799,0)</f>
        <v>0</v>
      </c>
      <c r="T1798" s="10">
        <f>IF(L1798&gt;2005,(((N1798-N1818)/N1818)+1)^(1/5)-1,0)</f>
        <v>3.7921811632987579E-2</v>
      </c>
      <c r="U1798" s="10">
        <f t="shared" si="62"/>
        <v>7.0791811632987575E-2</v>
      </c>
      <c r="V1798" s="26">
        <f t="shared" si="63"/>
        <v>4.5579637687167729</v>
      </c>
      <c r="W1798" s="3">
        <f>IF(A1798=A1799,N1798-N1799,0)</f>
        <v>0</v>
      </c>
      <c r="X1798" s="10">
        <f>IF(A1798=A1799,(N1798-N1799)/N1799,0)</f>
        <v>0</v>
      </c>
    </row>
    <row r="1799" spans="1:24" ht="16.5" customHeight="1">
      <c r="A1799" s="3" t="s">
        <v>43</v>
      </c>
      <c r="B1799" s="3">
        <f t="shared" si="56"/>
        <v>2008</v>
      </c>
      <c r="C1799" s="3">
        <f t="shared" si="57"/>
        <v>11</v>
      </c>
      <c r="D1799" s="20" t="str">
        <f t="shared" si="58"/>
        <v>PPG200811</v>
      </c>
      <c r="E1799" s="2">
        <v>39758</v>
      </c>
      <c r="F1799" s="3">
        <v>0.53</v>
      </c>
      <c r="G1799" s="2">
        <v>39794</v>
      </c>
      <c r="H1799" s="3">
        <v>4.3299999999999998E-2</v>
      </c>
      <c r="I1799" s="3">
        <v>1.9230769000000002E-2</v>
      </c>
      <c r="J1799" s="3">
        <v>0.01</v>
      </c>
      <c r="K1799" s="3">
        <f t="shared" si="59"/>
        <v>2008</v>
      </c>
      <c r="L1799" s="3">
        <f t="shared" si="60"/>
        <v>0</v>
      </c>
      <c r="M1799" s="20" t="str">
        <f>A1799&amp;L1799</f>
        <v>PPG0</v>
      </c>
      <c r="N1799" s="3">
        <f>F1799/2</f>
        <v>0.26500000000000001</v>
      </c>
      <c r="O1799" s="9">
        <f>H1799</f>
        <v>4.3299999999999998E-2</v>
      </c>
      <c r="P1799" s="10">
        <f t="shared" si="61"/>
        <v>3.5400000000000001E-2</v>
      </c>
      <c r="Q1799" s="10">
        <f>IF(K1799=0,IF(A1796=A1799,AVERAGE(O1796:O1799),"x"),0)</f>
        <v>0</v>
      </c>
      <c r="R1799" s="9">
        <f>IF(L1799&gt;2005,AVERAGE(O1796:O1815),0)</f>
        <v>0</v>
      </c>
      <c r="S1799" s="10">
        <f>IF(A1799=A1800,(N1799-N1800)/N1800,0)</f>
        <v>1.9230769230769246E-2</v>
      </c>
      <c r="T1799" s="10">
        <f>IF(L1799&gt;2005,(((N1799-N1819)/N1819)+1)^(1/5)-1,0)</f>
        <v>0</v>
      </c>
      <c r="U1799" s="10">
        <f t="shared" si="62"/>
        <v>0</v>
      </c>
      <c r="V1799" s="26">
        <f t="shared" si="63"/>
        <v>0</v>
      </c>
      <c r="W1799" s="3">
        <f>IF(A1799=A1800,N1799-N1800,0)</f>
        <v>5.0000000000000044E-3</v>
      </c>
      <c r="X1799" s="10">
        <f>IF(A1799=A1800,(N1799-N1800)/N1800,0)</f>
        <v>1.9230769230769246E-2</v>
      </c>
    </row>
    <row r="1800" spans="1:24" ht="16.5" customHeight="1">
      <c r="A1800" s="3" t="s">
        <v>43</v>
      </c>
      <c r="B1800" s="3">
        <f t="shared" si="56"/>
        <v>2008</v>
      </c>
      <c r="C1800" s="3">
        <f t="shared" si="57"/>
        <v>8</v>
      </c>
      <c r="D1800" s="20" t="str">
        <f t="shared" si="58"/>
        <v>PPG20088</v>
      </c>
      <c r="E1800" s="2">
        <v>39667</v>
      </c>
      <c r="F1800" s="3">
        <v>0.52</v>
      </c>
      <c r="G1800" s="2">
        <v>39703</v>
      </c>
      <c r="H1800" s="3">
        <v>3.3599999999999998E-2</v>
      </c>
      <c r="I1800" s="3">
        <v>0</v>
      </c>
      <c r="J1800" s="3">
        <v>0</v>
      </c>
      <c r="K1800" s="3">
        <f t="shared" si="59"/>
        <v>2008</v>
      </c>
      <c r="L1800" s="3">
        <f t="shared" si="60"/>
        <v>0</v>
      </c>
      <c r="M1800" s="20" t="str">
        <f>A1800&amp;L1800</f>
        <v>PPG0</v>
      </c>
      <c r="N1800" s="3">
        <f>F1800/2</f>
        <v>0.26</v>
      </c>
      <c r="O1800" s="9">
        <f>H1800</f>
        <v>3.3599999999999998E-2</v>
      </c>
      <c r="P1800" s="10">
        <f t="shared" si="61"/>
        <v>0</v>
      </c>
      <c r="Q1800" s="10">
        <f>IF(K1800=0,IF(A1797=A1800,AVERAGE(O1797:O1800),"x"),0)</f>
        <v>0</v>
      </c>
      <c r="R1800" s="9">
        <f>IF(L1800&gt;2005,AVERAGE(O1797:O1816),0)</f>
        <v>0</v>
      </c>
      <c r="S1800" s="10">
        <f>IF(A1800=A1801,(N1800-N1801)/N1801,0)</f>
        <v>0</v>
      </c>
      <c r="T1800" s="10">
        <f>IF(L1800&gt;2005,(((N1800-N1820)/N1820)+1)^(1/5)-1,0)</f>
        <v>0</v>
      </c>
      <c r="U1800" s="10">
        <f t="shared" si="62"/>
        <v>0</v>
      </c>
      <c r="V1800" s="26">
        <f t="shared" si="63"/>
        <v>0</v>
      </c>
      <c r="W1800" s="3">
        <f>IF(A1800=A1801,N1800-N1801,0)</f>
        <v>0</v>
      </c>
      <c r="X1800" s="10">
        <f>IF(A1800=A1801,(N1800-N1801)/N1801,0)</f>
        <v>0</v>
      </c>
    </row>
    <row r="1801" spans="1:24" ht="16.5" customHeight="1">
      <c r="A1801" s="3" t="s">
        <v>43</v>
      </c>
      <c r="B1801" s="3">
        <f t="shared" si="56"/>
        <v>2008</v>
      </c>
      <c r="C1801" s="3">
        <f t="shared" si="57"/>
        <v>5</v>
      </c>
      <c r="D1801" s="20" t="str">
        <f t="shared" si="58"/>
        <v>PPG20085</v>
      </c>
      <c r="E1801" s="2">
        <v>39576</v>
      </c>
      <c r="F1801" s="3">
        <v>0.52</v>
      </c>
      <c r="G1801" s="2">
        <v>39611</v>
      </c>
      <c r="H1801" s="3">
        <v>3.3099999999999997E-2</v>
      </c>
      <c r="I1801" s="3">
        <v>0</v>
      </c>
      <c r="J1801" s="3">
        <v>0</v>
      </c>
      <c r="K1801" s="3">
        <f t="shared" si="59"/>
        <v>2008</v>
      </c>
      <c r="L1801" s="3">
        <f t="shared" si="60"/>
        <v>0</v>
      </c>
      <c r="M1801" s="20" t="str">
        <f>A1801&amp;L1801</f>
        <v>PPG0</v>
      </c>
      <c r="N1801" s="3">
        <f>F1801/2</f>
        <v>0.26</v>
      </c>
      <c r="O1801" s="9">
        <f>H1801</f>
        <v>3.3099999999999997E-2</v>
      </c>
      <c r="P1801" s="10">
        <f t="shared" si="61"/>
        <v>0</v>
      </c>
      <c r="Q1801" s="10">
        <f>IF(K1801=0,IF(A1798=A1801,AVERAGE(O1798:O1801),"x"),0)</f>
        <v>0</v>
      </c>
      <c r="R1801" s="9">
        <f>IF(L1801&gt;2005,AVERAGE(O1798:O1817),0)</f>
        <v>0</v>
      </c>
      <c r="S1801" s="10">
        <f>IF(A1801=A1802,(N1801-N1802)/N1802,0)</f>
        <v>0</v>
      </c>
      <c r="T1801" s="10">
        <f>IF(L1801&gt;2005,(((N1801-N1821)/N1821)+1)^(1/5)-1,0)</f>
        <v>0</v>
      </c>
      <c r="U1801" s="10">
        <f t="shared" si="62"/>
        <v>0</v>
      </c>
      <c r="V1801" s="26">
        <f t="shared" si="63"/>
        <v>0</v>
      </c>
      <c r="W1801" s="3">
        <f>IF(A1801=A1802,N1801-N1802,0)</f>
        <v>0</v>
      </c>
      <c r="X1801" s="10">
        <f>IF(A1801=A1802,(N1801-N1802)/N1802,0)</f>
        <v>0</v>
      </c>
    </row>
    <row r="1802" spans="1:24" ht="16.5" customHeight="1">
      <c r="A1802" s="3" t="s">
        <v>43</v>
      </c>
      <c r="B1802" s="3">
        <f t="shared" si="56"/>
        <v>2008</v>
      </c>
      <c r="C1802" s="3">
        <f t="shared" si="57"/>
        <v>2</v>
      </c>
      <c r="D1802" s="20" t="str">
        <f t="shared" si="58"/>
        <v>PPG20082</v>
      </c>
      <c r="E1802" s="2">
        <v>39498</v>
      </c>
      <c r="F1802" s="3">
        <v>0.52</v>
      </c>
      <c r="G1802" s="2">
        <v>39519</v>
      </c>
      <c r="H1802" s="3">
        <v>3.1600000000000003E-2</v>
      </c>
      <c r="I1802" s="3">
        <v>0</v>
      </c>
      <c r="J1802" s="3">
        <v>0</v>
      </c>
      <c r="K1802" s="3">
        <f t="shared" si="59"/>
        <v>0</v>
      </c>
      <c r="L1802" s="3">
        <f t="shared" si="60"/>
        <v>2008</v>
      </c>
      <c r="M1802" s="20" t="str">
        <f>A1802&amp;L1802</f>
        <v>PPG2008</v>
      </c>
      <c r="N1802" s="3">
        <f>F1802/2</f>
        <v>0.26</v>
      </c>
      <c r="O1802" s="9">
        <f>H1802</f>
        <v>3.1600000000000003E-2</v>
      </c>
      <c r="P1802" s="10">
        <f t="shared" si="61"/>
        <v>0</v>
      </c>
      <c r="Q1802" s="10">
        <f>IF(K1802=0,IF(A1799=A1802,AVERAGE(O1799:O1802),"x"),0)</f>
        <v>3.5400000000000001E-2</v>
      </c>
      <c r="R1802" s="9">
        <f>IF(L1802&gt;2005,AVERAGE(O1799:O1818),0)</f>
        <v>2.967499999999999E-2</v>
      </c>
      <c r="S1802" s="10">
        <f>IF(A1802=A1803,(N1802-N1803)/N1803,0)</f>
        <v>0</v>
      </c>
      <c r="T1802" s="10">
        <f>IF(L1802&gt;2005,(((N1802-N1822)/N1822)+1)^(1/5)-1,0)</f>
        <v>3.8740291254288683E-2</v>
      </c>
      <c r="U1802" s="10">
        <f t="shared" si="62"/>
        <v>6.8415291254288677E-2</v>
      </c>
      <c r="V1802" s="26">
        <f t="shared" si="63"/>
        <v>4.5984892198868819</v>
      </c>
      <c r="W1802" s="3">
        <f>IF(A1802=A1803,N1802-N1803,0)</f>
        <v>0</v>
      </c>
      <c r="X1802" s="10">
        <f>IF(A1802=A1803,(N1802-N1803)/N1803,0)</f>
        <v>0</v>
      </c>
    </row>
    <row r="1803" spans="1:24" ht="16.5" customHeight="1">
      <c r="A1803" s="3" t="s">
        <v>43</v>
      </c>
      <c r="B1803" s="3">
        <f t="shared" si="56"/>
        <v>2007</v>
      </c>
      <c r="C1803" s="3">
        <f t="shared" si="57"/>
        <v>11</v>
      </c>
      <c r="D1803" s="20" t="str">
        <f t="shared" si="58"/>
        <v>PPG200711</v>
      </c>
      <c r="E1803" s="2">
        <v>39393</v>
      </c>
      <c r="F1803" s="3">
        <v>0.52</v>
      </c>
      <c r="G1803" s="2">
        <v>39428</v>
      </c>
      <c r="H1803" s="3">
        <v>2.7699999999999999E-2</v>
      </c>
      <c r="I1803" s="3">
        <v>0</v>
      </c>
      <c r="J1803" s="3">
        <v>0</v>
      </c>
      <c r="K1803" s="3">
        <f t="shared" si="59"/>
        <v>2007</v>
      </c>
      <c r="L1803" s="3">
        <f t="shared" si="60"/>
        <v>0</v>
      </c>
      <c r="M1803" s="20" t="str">
        <f>A1803&amp;L1803</f>
        <v>PPG0</v>
      </c>
      <c r="N1803" s="3">
        <f>F1803/2</f>
        <v>0.26</v>
      </c>
      <c r="O1803" s="9">
        <f>H1803</f>
        <v>2.7699999999999999E-2</v>
      </c>
      <c r="P1803" s="10">
        <f t="shared" si="61"/>
        <v>0</v>
      </c>
      <c r="Q1803" s="10">
        <f>IF(K1803=0,IF(A1800=A1803,AVERAGE(O1800:O1803),"x"),0)</f>
        <v>0</v>
      </c>
      <c r="R1803" s="9">
        <f>IF(L1803&gt;2005,AVERAGE(O1800:O1819),0)</f>
        <v>0</v>
      </c>
      <c r="S1803" s="10">
        <f>IF(A1803=A1804,(N1803-N1804)/N1804,0)</f>
        <v>0</v>
      </c>
      <c r="T1803" s="10">
        <f>IF(L1803&gt;2005,(((N1803-N1823)/N1823)+1)^(1/5)-1,0)</f>
        <v>0</v>
      </c>
      <c r="U1803" s="10">
        <f t="shared" si="62"/>
        <v>0</v>
      </c>
      <c r="V1803" s="26">
        <f t="shared" si="63"/>
        <v>0</v>
      </c>
      <c r="W1803" s="3">
        <f>IF(A1803=A1804,N1803-N1804,0)</f>
        <v>0</v>
      </c>
      <c r="X1803" s="10">
        <f>IF(A1803=A1804,(N1803-N1804)/N1804,0)</f>
        <v>0</v>
      </c>
    </row>
    <row r="1804" spans="1:24" ht="16.5" customHeight="1">
      <c r="A1804" s="3" t="s">
        <v>43</v>
      </c>
      <c r="B1804" s="3">
        <f t="shared" si="56"/>
        <v>2007</v>
      </c>
      <c r="C1804" s="3">
        <f t="shared" si="57"/>
        <v>8</v>
      </c>
      <c r="D1804" s="20" t="str">
        <f t="shared" si="58"/>
        <v>PPG20078</v>
      </c>
      <c r="E1804" s="2">
        <v>39302</v>
      </c>
      <c r="F1804" s="3">
        <v>0.52</v>
      </c>
      <c r="G1804" s="2">
        <v>39337</v>
      </c>
      <c r="H1804" s="3">
        <v>2.58E-2</v>
      </c>
      <c r="I1804" s="3">
        <v>0.04</v>
      </c>
      <c r="J1804" s="3">
        <v>0.02</v>
      </c>
      <c r="K1804" s="3">
        <f t="shared" si="59"/>
        <v>2007</v>
      </c>
      <c r="L1804" s="3">
        <f t="shared" si="60"/>
        <v>0</v>
      </c>
      <c r="M1804" s="20" t="str">
        <f>A1804&amp;L1804</f>
        <v>PPG0</v>
      </c>
      <c r="N1804" s="3">
        <f>F1804/2</f>
        <v>0.26</v>
      </c>
      <c r="O1804" s="9">
        <f>H1804</f>
        <v>2.58E-2</v>
      </c>
      <c r="P1804" s="10">
        <f t="shared" si="61"/>
        <v>2.6974999999999999E-2</v>
      </c>
      <c r="Q1804" s="10">
        <f>IF(K1804=0,IF(A1801=A1804,AVERAGE(O1801:O1804),"x"),0)</f>
        <v>0</v>
      </c>
      <c r="R1804" s="9">
        <f>IF(L1804&gt;2005,AVERAGE(O1801:O1820),0)</f>
        <v>0</v>
      </c>
      <c r="S1804" s="10">
        <f>IF(A1804=A1805,(N1804-N1805)/N1805,0)</f>
        <v>4.0000000000000036E-2</v>
      </c>
      <c r="T1804" s="10">
        <f>IF(L1804&gt;2005,(((N1804-N1824)/N1824)+1)^(1/5)-1,0)</f>
        <v>0</v>
      </c>
      <c r="U1804" s="10">
        <f t="shared" si="62"/>
        <v>0</v>
      </c>
      <c r="V1804" s="26">
        <f t="shared" si="63"/>
        <v>0</v>
      </c>
      <c r="W1804" s="3">
        <f>IF(A1804=A1805,N1804-N1805,0)</f>
        <v>1.0000000000000009E-2</v>
      </c>
      <c r="X1804" s="10">
        <f>IF(A1804=A1805,(N1804-N1805)/N1805,0)</f>
        <v>4.0000000000000036E-2</v>
      </c>
    </row>
    <row r="1805" spans="1:24" ht="16.5" customHeight="1">
      <c r="A1805" s="3" t="s">
        <v>43</v>
      </c>
      <c r="B1805" s="3">
        <f t="shared" si="56"/>
        <v>2007</v>
      </c>
      <c r="C1805" s="3">
        <f t="shared" si="57"/>
        <v>5</v>
      </c>
      <c r="D1805" s="20" t="str">
        <f t="shared" si="58"/>
        <v>PPG20075</v>
      </c>
      <c r="E1805" s="2">
        <v>39210</v>
      </c>
      <c r="F1805" s="3">
        <v>0.5</v>
      </c>
      <c r="G1805" s="2">
        <v>39245</v>
      </c>
      <c r="H1805" s="3">
        <v>2.5899999999999999E-2</v>
      </c>
      <c r="I1805" s="3">
        <v>0</v>
      </c>
      <c r="J1805" s="3">
        <v>0</v>
      </c>
      <c r="K1805" s="3">
        <f t="shared" si="59"/>
        <v>2007</v>
      </c>
      <c r="L1805" s="3">
        <f t="shared" si="60"/>
        <v>0</v>
      </c>
      <c r="M1805" s="20" t="str">
        <f>A1805&amp;L1805</f>
        <v>PPG0</v>
      </c>
      <c r="N1805" s="3">
        <f>F1805/2</f>
        <v>0.25</v>
      </c>
      <c r="O1805" s="9">
        <f>H1805</f>
        <v>2.5899999999999999E-2</v>
      </c>
      <c r="P1805" s="10">
        <f t="shared" si="61"/>
        <v>0</v>
      </c>
      <c r="Q1805" s="10">
        <f>IF(K1805=0,IF(A1802=A1805,AVERAGE(O1802:O1805),"x"),0)</f>
        <v>0</v>
      </c>
      <c r="R1805" s="9">
        <f>IF(L1805&gt;2005,AVERAGE(O1802:O1821),0)</f>
        <v>0</v>
      </c>
      <c r="S1805" s="10">
        <f>IF(A1805=A1806,(N1805-N1806)/N1806,0)</f>
        <v>0</v>
      </c>
      <c r="T1805" s="10">
        <f>IF(L1805&gt;2005,(((N1805-N1825)/N1825)+1)^(1/5)-1,0)</f>
        <v>0</v>
      </c>
      <c r="U1805" s="10">
        <f t="shared" si="62"/>
        <v>0</v>
      </c>
      <c r="V1805" s="26">
        <f t="shared" si="63"/>
        <v>0</v>
      </c>
      <c r="W1805" s="3">
        <f>IF(A1805=A1806,N1805-N1806,0)</f>
        <v>0</v>
      </c>
      <c r="X1805" s="10">
        <f>IF(A1805=A1806,(N1805-N1806)/N1806,0)</f>
        <v>0</v>
      </c>
    </row>
    <row r="1806" spans="1:24" ht="16.5" customHeight="1">
      <c r="A1806" s="3" t="s">
        <v>43</v>
      </c>
      <c r="B1806" s="3">
        <f t="shared" si="56"/>
        <v>2007</v>
      </c>
      <c r="C1806" s="3">
        <f t="shared" si="57"/>
        <v>2</v>
      </c>
      <c r="D1806" s="20" t="str">
        <f t="shared" si="58"/>
        <v>PPG20072</v>
      </c>
      <c r="E1806" s="2">
        <v>39127</v>
      </c>
      <c r="F1806" s="3">
        <v>0.5</v>
      </c>
      <c r="G1806" s="2">
        <v>39153</v>
      </c>
      <c r="H1806" s="3">
        <v>2.8199999999999999E-2</v>
      </c>
      <c r="I1806" s="3">
        <v>4.1666666999999998E-2</v>
      </c>
      <c r="J1806" s="3">
        <v>0.02</v>
      </c>
      <c r="K1806" s="3">
        <f t="shared" si="59"/>
        <v>0</v>
      </c>
      <c r="L1806" s="3">
        <f t="shared" si="60"/>
        <v>2007</v>
      </c>
      <c r="M1806" s="20" t="str">
        <f>A1806&amp;L1806</f>
        <v>PPG2007</v>
      </c>
      <c r="N1806" s="3">
        <f>F1806/2</f>
        <v>0.25</v>
      </c>
      <c r="O1806" s="9">
        <f>H1806</f>
        <v>2.8199999999999999E-2</v>
      </c>
      <c r="P1806" s="10">
        <f t="shared" si="61"/>
        <v>2.8525000000000002E-2</v>
      </c>
      <c r="Q1806" s="10">
        <f>IF(K1806=0,IF(A1803=A1806,AVERAGE(O1803:O1806),"x"),0)</f>
        <v>2.69E-2</v>
      </c>
      <c r="R1806" s="9">
        <f>IF(L1806&gt;2005,AVERAGE(O1803:O1822),0)</f>
        <v>2.9280000000000007E-2</v>
      </c>
      <c r="S1806" s="10">
        <f>IF(A1806=A1807,(N1806-N1807)/N1807,0)</f>
        <v>4.1666666666666706E-2</v>
      </c>
      <c r="T1806" s="10">
        <f>IF(L1806&gt;2005,(((N1806-N1826)/N1826)+1)^(1/5)-1,0)</f>
        <v>3.5485788455905221E-2</v>
      </c>
      <c r="U1806" s="10">
        <f t="shared" si="62"/>
        <v>6.4765788455905221E-2</v>
      </c>
      <c r="V1806" s="26">
        <f t="shared" si="63"/>
        <v>4.602330323122831</v>
      </c>
      <c r="W1806" s="3">
        <f>IF(A1806=A1807,N1806-N1807,0)</f>
        <v>1.0000000000000009E-2</v>
      </c>
      <c r="X1806" s="10">
        <f>IF(A1806=A1807,(N1806-N1807)/N1807,0)</f>
        <v>4.1666666666666706E-2</v>
      </c>
    </row>
    <row r="1807" spans="1:24" ht="16.5" customHeight="1">
      <c r="A1807" s="3" t="s">
        <v>43</v>
      </c>
      <c r="B1807" s="3">
        <f t="shared" si="56"/>
        <v>2006</v>
      </c>
      <c r="C1807" s="3">
        <f t="shared" si="57"/>
        <v>11</v>
      </c>
      <c r="D1807" s="20" t="str">
        <f t="shared" si="58"/>
        <v>PPG200611</v>
      </c>
      <c r="E1807" s="2">
        <v>39029</v>
      </c>
      <c r="F1807" s="3">
        <v>0.48</v>
      </c>
      <c r="G1807" s="2">
        <v>39063</v>
      </c>
      <c r="H1807" s="3">
        <v>2.8000000000000001E-2</v>
      </c>
      <c r="I1807" s="3">
        <v>0</v>
      </c>
      <c r="J1807" s="3">
        <v>0</v>
      </c>
      <c r="K1807" s="3">
        <f t="shared" si="59"/>
        <v>2006</v>
      </c>
      <c r="L1807" s="3">
        <f t="shared" si="60"/>
        <v>0</v>
      </c>
      <c r="M1807" s="20" t="str">
        <f>A1807&amp;L1807</f>
        <v>PPG0</v>
      </c>
      <c r="N1807" s="3">
        <f>F1807/2</f>
        <v>0.24</v>
      </c>
      <c r="O1807" s="9">
        <f>H1807</f>
        <v>2.8000000000000001E-2</v>
      </c>
      <c r="P1807" s="10">
        <f t="shared" si="61"/>
        <v>0</v>
      </c>
      <c r="Q1807" s="10">
        <f>IF(K1807=0,IF(A1804=A1807,AVERAGE(O1804:O1807),"x"),0)</f>
        <v>0</v>
      </c>
      <c r="R1807" s="9">
        <f>IF(L1807&gt;2005,AVERAGE(O1804:O1823),0)</f>
        <v>0</v>
      </c>
      <c r="S1807" s="10">
        <f>IF(A1807=A1808,(N1807-N1808)/N1808,0)</f>
        <v>0</v>
      </c>
      <c r="T1807" s="10">
        <f>IF(L1807&gt;2005,(((N1807-N1827)/N1827)+1)^(1/5)-1,0)</f>
        <v>0</v>
      </c>
      <c r="U1807" s="10">
        <f t="shared" si="62"/>
        <v>0</v>
      </c>
      <c r="V1807" s="26">
        <f t="shared" si="63"/>
        <v>0</v>
      </c>
      <c r="W1807" s="3">
        <f>IF(A1807=A1808,N1807-N1808,0)</f>
        <v>0</v>
      </c>
      <c r="X1807" s="10">
        <f>IF(A1807=A1808,(N1807-N1808)/N1808,0)</f>
        <v>0</v>
      </c>
    </row>
    <row r="1808" spans="1:24" ht="16.5" customHeight="1">
      <c r="A1808" s="3" t="s">
        <v>43</v>
      </c>
      <c r="B1808" s="3">
        <f t="shared" si="56"/>
        <v>2006</v>
      </c>
      <c r="C1808" s="3">
        <f t="shared" si="57"/>
        <v>8</v>
      </c>
      <c r="D1808" s="20" t="str">
        <f t="shared" si="58"/>
        <v>PPG20068</v>
      </c>
      <c r="E1808" s="2">
        <v>38937</v>
      </c>
      <c r="F1808" s="3">
        <v>0.48</v>
      </c>
      <c r="G1808" s="2">
        <v>38972</v>
      </c>
      <c r="H1808" s="3">
        <v>3.0200000000000001E-2</v>
      </c>
      <c r="I1808" s="3">
        <v>0</v>
      </c>
      <c r="J1808" s="3">
        <v>0</v>
      </c>
      <c r="K1808" s="3">
        <f t="shared" si="59"/>
        <v>2006</v>
      </c>
      <c r="L1808" s="3">
        <f t="shared" si="60"/>
        <v>0</v>
      </c>
      <c r="M1808" s="20" t="str">
        <f>A1808&amp;L1808</f>
        <v>PPG0</v>
      </c>
      <c r="N1808" s="3">
        <f>F1808/2</f>
        <v>0.24</v>
      </c>
      <c r="O1808" s="9">
        <f>H1808</f>
        <v>3.0200000000000001E-2</v>
      </c>
      <c r="P1808" s="10">
        <f t="shared" si="61"/>
        <v>0</v>
      </c>
      <c r="Q1808" s="10">
        <f>IF(K1808=0,IF(A1805=A1808,AVERAGE(O1805:O1808),"x"),0)</f>
        <v>0</v>
      </c>
      <c r="R1808" s="9">
        <f>IF(L1808&gt;2005,AVERAGE(O1805:O1824),0)</f>
        <v>0</v>
      </c>
      <c r="S1808" s="10">
        <f>IF(A1808=A1809,(N1808-N1809)/N1809,0)</f>
        <v>0</v>
      </c>
      <c r="T1808" s="10">
        <f>IF(L1808&gt;2005,(((N1808-N1828)/N1828)+1)^(1/5)-1,0)</f>
        <v>0</v>
      </c>
      <c r="U1808" s="10">
        <f t="shared" si="62"/>
        <v>0</v>
      </c>
      <c r="V1808" s="26">
        <f t="shared" si="63"/>
        <v>0</v>
      </c>
      <c r="W1808" s="3">
        <f>IF(A1808=A1809,N1808-N1809,0)</f>
        <v>0</v>
      </c>
      <c r="X1808" s="10">
        <f>IF(A1808=A1809,(N1808-N1809)/N1809,0)</f>
        <v>0</v>
      </c>
    </row>
    <row r="1809" spans="1:24" ht="16.5" customHeight="1">
      <c r="A1809" s="3" t="s">
        <v>43</v>
      </c>
      <c r="B1809" s="3">
        <f t="shared" si="56"/>
        <v>2006</v>
      </c>
      <c r="C1809" s="3">
        <f t="shared" si="57"/>
        <v>5</v>
      </c>
      <c r="D1809" s="20" t="str">
        <f t="shared" si="58"/>
        <v>PPG20065</v>
      </c>
      <c r="E1809" s="2">
        <v>38845</v>
      </c>
      <c r="F1809" s="3">
        <v>0.48</v>
      </c>
      <c r="G1809" s="2">
        <v>38880</v>
      </c>
      <c r="H1809" s="3">
        <v>2.7699999999999999E-2</v>
      </c>
      <c r="I1809" s="3">
        <v>2.1276595999999998E-2</v>
      </c>
      <c r="J1809" s="3">
        <v>0.01</v>
      </c>
      <c r="K1809" s="3">
        <f t="shared" si="59"/>
        <v>2006</v>
      </c>
      <c r="L1809" s="3">
        <f t="shared" si="60"/>
        <v>0</v>
      </c>
      <c r="M1809" s="20" t="str">
        <f>A1809&amp;L1809</f>
        <v>PPG0</v>
      </c>
      <c r="N1809" s="3">
        <f>F1809/2</f>
        <v>0.24</v>
      </c>
      <c r="O1809" s="9">
        <f>H1809</f>
        <v>2.7699999999999999E-2</v>
      </c>
      <c r="P1809" s="10">
        <f t="shared" si="61"/>
        <v>2.9624999999999999E-2</v>
      </c>
      <c r="Q1809" s="10">
        <f>IF(K1809=0,IF(A1806=A1809,AVERAGE(O1806:O1809),"x"),0)</f>
        <v>0</v>
      </c>
      <c r="R1809" s="9">
        <f>IF(L1809&gt;2005,AVERAGE(O1806:O1825),0)</f>
        <v>0</v>
      </c>
      <c r="S1809" s="10">
        <f>IF(A1809=A1810,(N1809-N1810)/N1810,0)</f>
        <v>2.1276595744680871E-2</v>
      </c>
      <c r="T1809" s="10">
        <f>IF(L1809&gt;2005,(((N1809-N1829)/N1829)+1)^(1/5)-1,0)</f>
        <v>0</v>
      </c>
      <c r="U1809" s="10">
        <f t="shared" si="62"/>
        <v>0</v>
      </c>
      <c r="V1809" s="26">
        <f t="shared" si="63"/>
        <v>0</v>
      </c>
      <c r="W1809" s="3">
        <f>IF(A1809=A1810,N1809-N1810,0)</f>
        <v>5.0000000000000044E-3</v>
      </c>
      <c r="X1809" s="10">
        <f>IF(A1809=A1810,(N1809-N1810)/N1810,0)</f>
        <v>2.1276595744680871E-2</v>
      </c>
    </row>
    <row r="1810" spans="1:24" ht="16.5" customHeight="1">
      <c r="A1810" s="3" t="s">
        <v>43</v>
      </c>
      <c r="B1810" s="3">
        <f t="shared" si="56"/>
        <v>2006</v>
      </c>
      <c r="C1810" s="3">
        <f t="shared" si="57"/>
        <v>2</v>
      </c>
      <c r="D1810" s="20" t="str">
        <f t="shared" si="58"/>
        <v>PPG20062</v>
      </c>
      <c r="E1810" s="2">
        <v>38763</v>
      </c>
      <c r="F1810" s="3">
        <v>0.47</v>
      </c>
      <c r="G1810" s="2">
        <v>38786</v>
      </c>
      <c r="H1810" s="3">
        <v>3.1300000000000001E-2</v>
      </c>
      <c r="I1810" s="3">
        <v>0</v>
      </c>
      <c r="J1810" s="3">
        <v>0</v>
      </c>
      <c r="K1810" s="3">
        <f t="shared" si="59"/>
        <v>0</v>
      </c>
      <c r="L1810" s="3">
        <f t="shared" si="60"/>
        <v>2006</v>
      </c>
      <c r="M1810" s="20" t="str">
        <f>A1810&amp;L1810</f>
        <v>PPG2006</v>
      </c>
      <c r="N1810" s="3">
        <f>F1810/2</f>
        <v>0.23499999999999999</v>
      </c>
      <c r="O1810" s="9">
        <f>H1810</f>
        <v>3.1300000000000001E-2</v>
      </c>
      <c r="P1810" s="10">
        <f t="shared" si="61"/>
        <v>0</v>
      </c>
      <c r="Q1810" s="10">
        <f>IF(K1810=0,IF(A1807=A1810,AVERAGE(O1807:O1810),"x"),0)</f>
        <v>2.93E-2</v>
      </c>
      <c r="R1810" s="9">
        <f>IF(L1810&gt;2005,AVERAGE(O1807:O1826),0)</f>
        <v>3.0300000000000001E-2</v>
      </c>
      <c r="S1810" s="10">
        <f>IF(A1810=A1811,(N1810-N1811)/N1811,0)</f>
        <v>0</v>
      </c>
      <c r="T1810" s="10">
        <f>IF(L1810&gt;2005,(((N1810-N1830)/N1830)+1)^(1/5)-1,0)</f>
        <v>2.2750530662123625E-2</v>
      </c>
      <c r="U1810" s="10">
        <f t="shared" si="62"/>
        <v>5.3050530662123625E-2</v>
      </c>
      <c r="V1810" s="26">
        <f t="shared" si="63"/>
        <v>4.5846018824503325</v>
      </c>
      <c r="W1810" s="3">
        <f>IF(A1810=A1811,N1810-N1811,0)</f>
        <v>0</v>
      </c>
      <c r="X1810" s="10">
        <f>IF(A1810=A1811,(N1810-N1811)/N1811,0)</f>
        <v>0</v>
      </c>
    </row>
    <row r="1811" spans="1:24" ht="16.5" customHeight="1">
      <c r="A1811" s="3" t="s">
        <v>43</v>
      </c>
      <c r="B1811" s="3">
        <f t="shared" si="56"/>
        <v>2005</v>
      </c>
      <c r="C1811" s="3">
        <f t="shared" si="57"/>
        <v>11</v>
      </c>
      <c r="D1811" s="20" t="str">
        <f t="shared" si="58"/>
        <v>PPG200511</v>
      </c>
      <c r="E1811" s="2">
        <v>38664</v>
      </c>
      <c r="F1811" s="3">
        <v>0.47</v>
      </c>
      <c r="G1811" s="2">
        <v>38698</v>
      </c>
      <c r="H1811" s="3">
        <v>3.1E-2</v>
      </c>
      <c r="I1811" s="3">
        <v>0</v>
      </c>
      <c r="J1811" s="3">
        <v>0</v>
      </c>
      <c r="K1811" s="3">
        <f t="shared" si="59"/>
        <v>2005</v>
      </c>
      <c r="L1811" s="3">
        <f t="shared" si="60"/>
        <v>0</v>
      </c>
      <c r="M1811" s="20" t="str">
        <f>A1811&amp;L1811</f>
        <v>PPG0</v>
      </c>
      <c r="N1811" s="3">
        <f>F1811/2</f>
        <v>0.23499999999999999</v>
      </c>
      <c r="O1811" s="9">
        <f>H1811</f>
        <v>3.1E-2</v>
      </c>
      <c r="P1811" s="10">
        <f t="shared" si="61"/>
        <v>0</v>
      </c>
      <c r="Q1811" s="10">
        <f>IF(K1811=0,IF(A1808=A1811,AVERAGE(O1808:O1811),"x"),0)</f>
        <v>0</v>
      </c>
      <c r="R1811" s="9">
        <f>IF(L1811&gt;2005,AVERAGE(O1808:O1827),0)</f>
        <v>0</v>
      </c>
      <c r="S1811" s="10">
        <f>IF(A1811=A1812,(N1811-N1812)/N1812,0)</f>
        <v>0</v>
      </c>
      <c r="T1811" s="10">
        <f>IF(L1811&gt;2005,(((N1811-N1831)/N1831)+1)^(1/5)-1,0)</f>
        <v>0</v>
      </c>
      <c r="U1811" s="10">
        <f t="shared" si="62"/>
        <v>0</v>
      </c>
      <c r="V1811" s="26">
        <f t="shared" si="63"/>
        <v>0</v>
      </c>
      <c r="W1811" s="3">
        <f>IF(A1811=A1812,N1811-N1812,0)</f>
        <v>0</v>
      </c>
      <c r="X1811" s="10">
        <f>IF(A1811=A1812,(N1811-N1812)/N1812,0)</f>
        <v>0</v>
      </c>
    </row>
    <row r="1812" spans="1:24" ht="16.5" customHeight="1">
      <c r="A1812" s="3" t="s">
        <v>43</v>
      </c>
      <c r="B1812" s="3">
        <f t="shared" si="56"/>
        <v>2005</v>
      </c>
      <c r="C1812" s="3">
        <f t="shared" si="57"/>
        <v>8</v>
      </c>
      <c r="D1812" s="20" t="str">
        <f t="shared" si="58"/>
        <v>PPG20058</v>
      </c>
      <c r="E1812" s="2">
        <v>38572</v>
      </c>
      <c r="F1812" s="3">
        <v>0.47</v>
      </c>
      <c r="G1812" s="2">
        <v>38607</v>
      </c>
      <c r="H1812" s="3">
        <v>2.8500000000000001E-2</v>
      </c>
      <c r="I1812" s="3">
        <v>0</v>
      </c>
      <c r="J1812" s="3">
        <v>0</v>
      </c>
      <c r="K1812" s="3">
        <f t="shared" si="59"/>
        <v>2005</v>
      </c>
      <c r="L1812" s="3">
        <f t="shared" si="60"/>
        <v>0</v>
      </c>
      <c r="M1812" s="20" t="str">
        <f>A1812&amp;L1812</f>
        <v>PPG0</v>
      </c>
      <c r="N1812" s="3">
        <f>F1812/2</f>
        <v>0.23499999999999999</v>
      </c>
      <c r="O1812" s="9">
        <f>H1812</f>
        <v>2.8500000000000001E-2</v>
      </c>
      <c r="P1812" s="10">
        <f t="shared" si="61"/>
        <v>0</v>
      </c>
      <c r="Q1812" s="10">
        <f>IF(K1812=0,IF(A1809=A1812,AVERAGE(O1809:O1812),"x"),0)</f>
        <v>0</v>
      </c>
      <c r="R1812" s="9">
        <f>IF(L1812&gt;2005,AVERAGE(O1809:O1828),0)</f>
        <v>0</v>
      </c>
      <c r="S1812" s="10">
        <f>IF(A1812=A1813,(N1812-N1813)/N1813,0)</f>
        <v>0</v>
      </c>
      <c r="T1812" s="10">
        <f>IF(L1812&gt;2005,(((N1812-N1832)/N1832)+1)^(1/5)-1,0)</f>
        <v>0</v>
      </c>
      <c r="U1812" s="10">
        <f t="shared" si="62"/>
        <v>0</v>
      </c>
      <c r="V1812" s="26">
        <f t="shared" si="63"/>
        <v>0</v>
      </c>
      <c r="W1812" s="3">
        <f>IF(A1812=A1813,N1812-N1813,0)</f>
        <v>0</v>
      </c>
      <c r="X1812" s="10">
        <f>IF(A1812=A1813,(N1812-N1813)/N1813,0)</f>
        <v>0</v>
      </c>
    </row>
    <row r="1813" spans="1:24" ht="16.5" customHeight="1">
      <c r="A1813" s="3" t="s">
        <v>43</v>
      </c>
      <c r="B1813" s="3">
        <f t="shared" si="56"/>
        <v>2005</v>
      </c>
      <c r="C1813" s="3">
        <f t="shared" si="57"/>
        <v>5</v>
      </c>
      <c r="D1813" s="20" t="str">
        <f t="shared" si="58"/>
        <v>PPG20055</v>
      </c>
      <c r="E1813" s="2">
        <v>38478</v>
      </c>
      <c r="F1813" s="3">
        <v>0.47</v>
      </c>
      <c r="G1813" s="2">
        <v>38513</v>
      </c>
      <c r="H1813" s="3">
        <v>2.64E-2</v>
      </c>
      <c r="I1813" s="3">
        <v>4.4444444E-2</v>
      </c>
      <c r="J1813" s="3">
        <v>0.02</v>
      </c>
      <c r="K1813" s="3">
        <f t="shared" si="59"/>
        <v>2005</v>
      </c>
      <c r="L1813" s="3">
        <f t="shared" si="60"/>
        <v>0</v>
      </c>
      <c r="M1813" s="20" t="str">
        <f>A1813&amp;L1813</f>
        <v>PPG0</v>
      </c>
      <c r="N1813" s="3">
        <f>F1813/2</f>
        <v>0.23499999999999999</v>
      </c>
      <c r="O1813" s="9">
        <f>H1813</f>
        <v>2.64E-2</v>
      </c>
      <c r="P1813" s="10">
        <f t="shared" si="61"/>
        <v>2.7325000000000002E-2</v>
      </c>
      <c r="Q1813" s="10">
        <f>IF(K1813=0,IF(A1810=A1813,AVERAGE(O1810:O1813),"x"),0)</f>
        <v>0</v>
      </c>
      <c r="R1813" s="9">
        <f>IF(L1813&gt;2005,AVERAGE(O1810:O1829),0)</f>
        <v>0</v>
      </c>
      <c r="S1813" s="10">
        <f>IF(A1813=A1814,(N1813-N1814)/N1814,0)</f>
        <v>4.4444444444444363E-2</v>
      </c>
      <c r="T1813" s="10">
        <f>IF(L1813&gt;2005,(((N1813-N1833)/N1833)+1)^(1/5)-1,0)</f>
        <v>0</v>
      </c>
      <c r="U1813" s="10">
        <f t="shared" si="62"/>
        <v>0</v>
      </c>
      <c r="V1813" s="26">
        <f t="shared" si="63"/>
        <v>0</v>
      </c>
      <c r="W1813" s="3">
        <f>IF(A1813=A1814,N1813-N1814,0)</f>
        <v>9.9999999999999811E-3</v>
      </c>
      <c r="X1813" s="10">
        <f>IF(A1813=A1814,(N1813-N1814)/N1814,0)</f>
        <v>4.4444444444444363E-2</v>
      </c>
    </row>
    <row r="1814" spans="1:24" ht="16.5" customHeight="1">
      <c r="A1814" s="3" t="s">
        <v>43</v>
      </c>
      <c r="B1814" s="3">
        <f t="shared" si="56"/>
        <v>2005</v>
      </c>
      <c r="C1814" s="3">
        <f t="shared" si="57"/>
        <v>2</v>
      </c>
      <c r="D1814" s="20" t="str">
        <f t="shared" si="58"/>
        <v>PPG20052</v>
      </c>
      <c r="E1814" s="2">
        <v>38400</v>
      </c>
      <c r="F1814" s="3">
        <v>0.45</v>
      </c>
      <c r="G1814" s="2">
        <v>38422</v>
      </c>
      <c r="H1814" s="3">
        <v>2.5000000000000001E-2</v>
      </c>
      <c r="I1814" s="3">
        <v>0</v>
      </c>
      <c r="J1814" s="3">
        <v>0</v>
      </c>
      <c r="K1814" s="3">
        <f t="shared" si="59"/>
        <v>0</v>
      </c>
      <c r="L1814" s="3">
        <f t="shared" si="60"/>
        <v>2005</v>
      </c>
      <c r="M1814" s="20" t="str">
        <f>A1814&amp;L1814</f>
        <v>PPG2005</v>
      </c>
      <c r="N1814" s="3">
        <f>F1814/2</f>
        <v>0.22500000000000001</v>
      </c>
      <c r="O1814" s="9">
        <f>H1814</f>
        <v>2.5000000000000001E-2</v>
      </c>
      <c r="P1814" s="10">
        <f t="shared" si="61"/>
        <v>0</v>
      </c>
      <c r="Q1814" s="10">
        <f>IF(K1814=0,IF(A1811=A1814,AVERAGE(O1811:O1814),"x"),0)</f>
        <v>2.7725E-2</v>
      </c>
      <c r="R1814" s="9">
        <f>IF(L1814&gt;2005,AVERAGE(O1811:O1830),0)</f>
        <v>0</v>
      </c>
      <c r="S1814" s="10">
        <f>IF(A1814=A1815,(N1814-N1815)/N1815,0)</f>
        <v>0</v>
      </c>
      <c r="T1814" s="10">
        <f>IF(L1814&gt;2005,(((N1814-N1834)/N1834)+1)^(1/5)-1,0)</f>
        <v>0</v>
      </c>
      <c r="U1814" s="10">
        <f t="shared" si="62"/>
        <v>0</v>
      </c>
      <c r="V1814" s="26">
        <f t="shared" si="63"/>
        <v>0</v>
      </c>
      <c r="W1814" s="3">
        <f>IF(A1814=A1815,N1814-N1815,0)</f>
        <v>0</v>
      </c>
      <c r="X1814" s="10">
        <f>IF(A1814=A1815,(N1814-N1815)/N1815,0)</f>
        <v>0</v>
      </c>
    </row>
    <row r="1815" spans="1:24" ht="16.5" customHeight="1">
      <c r="A1815" s="3" t="s">
        <v>43</v>
      </c>
      <c r="B1815" s="3">
        <f t="shared" si="56"/>
        <v>2004</v>
      </c>
      <c r="C1815" s="3">
        <f t="shared" si="57"/>
        <v>11</v>
      </c>
      <c r="D1815" s="20" t="str">
        <f t="shared" si="58"/>
        <v>PPG200411</v>
      </c>
      <c r="E1815" s="2">
        <v>38299</v>
      </c>
      <c r="F1815" s="3">
        <v>0.45</v>
      </c>
      <c r="G1815" s="2">
        <v>38331</v>
      </c>
      <c r="H1815" s="3">
        <v>2.7199999999999998E-2</v>
      </c>
      <c r="I1815" s="3">
        <v>0</v>
      </c>
      <c r="J1815" s="3">
        <v>0</v>
      </c>
      <c r="K1815" s="3">
        <f t="shared" si="59"/>
        <v>2004</v>
      </c>
      <c r="L1815" s="3">
        <f t="shared" si="60"/>
        <v>0</v>
      </c>
      <c r="M1815" s="20" t="str">
        <f>A1815&amp;L1815</f>
        <v>PPG0</v>
      </c>
      <c r="N1815" s="3">
        <f>F1815/2</f>
        <v>0.22500000000000001</v>
      </c>
      <c r="O1815" s="9">
        <f>H1815</f>
        <v>2.7199999999999998E-2</v>
      </c>
      <c r="P1815" s="10">
        <f t="shared" si="61"/>
        <v>0</v>
      </c>
      <c r="Q1815" s="10">
        <f>IF(K1815=0,IF(A1812=A1815,AVERAGE(O1812:O1815),"x"),0)</f>
        <v>0</v>
      </c>
      <c r="R1815" s="9">
        <f>IF(L1815&gt;2005,AVERAGE(O1812:O1831),0)</f>
        <v>0</v>
      </c>
      <c r="S1815" s="10">
        <f>IF(A1815=A1816,(N1815-N1816)/N1816,0)</f>
        <v>0</v>
      </c>
      <c r="T1815" s="10">
        <f>IF(L1815&gt;2005,(((N1815-N1835)/N1835)+1)^(1/5)-1,0)</f>
        <v>0</v>
      </c>
      <c r="U1815" s="10">
        <f t="shared" si="62"/>
        <v>0</v>
      </c>
      <c r="V1815" s="26">
        <f t="shared" si="63"/>
        <v>0</v>
      </c>
      <c r="W1815" s="3">
        <f>IF(A1815=A1816,N1815-N1816,0)</f>
        <v>0</v>
      </c>
      <c r="X1815" s="10">
        <f>IF(A1815=A1816,(N1815-N1816)/N1816,0)</f>
        <v>0</v>
      </c>
    </row>
    <row r="1816" spans="1:24" ht="16.5" customHeight="1">
      <c r="A1816" s="3" t="s">
        <v>43</v>
      </c>
      <c r="B1816" s="3">
        <f t="shared" si="56"/>
        <v>2004</v>
      </c>
      <c r="C1816" s="3">
        <f t="shared" si="57"/>
        <v>8</v>
      </c>
      <c r="D1816" s="20" t="str">
        <f t="shared" si="58"/>
        <v>PPG20048</v>
      </c>
      <c r="E1816" s="2">
        <v>38205</v>
      </c>
      <c r="F1816" s="3">
        <v>0.45</v>
      </c>
      <c r="G1816" s="2">
        <v>38240</v>
      </c>
      <c r="H1816" s="3">
        <v>3.0700000000000002E-2</v>
      </c>
      <c r="I1816" s="3">
        <v>0</v>
      </c>
      <c r="J1816" s="3">
        <v>0</v>
      </c>
      <c r="K1816" s="3">
        <f t="shared" si="59"/>
        <v>2004</v>
      </c>
      <c r="L1816" s="3">
        <f t="shared" si="60"/>
        <v>0</v>
      </c>
      <c r="M1816" s="20" t="str">
        <f>A1816&amp;L1816</f>
        <v>PPG0</v>
      </c>
      <c r="N1816" s="3">
        <f>F1816/2</f>
        <v>0.22500000000000001</v>
      </c>
      <c r="O1816" s="9">
        <f>H1816</f>
        <v>3.0700000000000002E-2</v>
      </c>
      <c r="P1816" s="10">
        <f t="shared" si="61"/>
        <v>0</v>
      </c>
      <c r="Q1816" s="10">
        <f>IF(K1816=0,IF(A1813=A1816,AVERAGE(O1813:O1816),"x"),0)</f>
        <v>0</v>
      </c>
      <c r="R1816" s="9">
        <f>IF(L1816&gt;2005,AVERAGE(O1813:O1832),0)</f>
        <v>0</v>
      </c>
      <c r="S1816" s="10">
        <f>IF(A1816=A1817,(N1816-N1817)/N1817,0)</f>
        <v>0</v>
      </c>
      <c r="T1816" s="10">
        <f>IF(L1816&gt;2005,(((N1816-N1836)/N1836)+1)^(1/5)-1,0)</f>
        <v>0</v>
      </c>
      <c r="U1816" s="10">
        <f t="shared" si="62"/>
        <v>0</v>
      </c>
      <c r="V1816" s="26">
        <f t="shared" si="63"/>
        <v>0</v>
      </c>
      <c r="W1816" s="3">
        <f>IF(A1816=A1817,N1816-N1817,0)</f>
        <v>0</v>
      </c>
      <c r="X1816" s="10">
        <f>IF(A1816=A1817,(N1816-N1817)/N1817,0)</f>
        <v>0</v>
      </c>
    </row>
    <row r="1817" spans="1:24" ht="16.5" customHeight="1">
      <c r="A1817" s="3" t="s">
        <v>43</v>
      </c>
      <c r="B1817" s="3">
        <f t="shared" si="56"/>
        <v>2004</v>
      </c>
      <c r="C1817" s="3">
        <f t="shared" si="57"/>
        <v>5</v>
      </c>
      <c r="D1817" s="20" t="str">
        <f t="shared" si="58"/>
        <v>PPG20045</v>
      </c>
      <c r="E1817" s="2">
        <v>38113</v>
      </c>
      <c r="F1817" s="3">
        <v>0.45</v>
      </c>
      <c r="G1817" s="2">
        <v>38149</v>
      </c>
      <c r="H1817" s="3">
        <v>2.9600000000000001E-2</v>
      </c>
      <c r="I1817" s="3">
        <v>2.2727272999999999E-2</v>
      </c>
      <c r="J1817" s="3">
        <v>0.01</v>
      </c>
      <c r="K1817" s="3">
        <f t="shared" si="59"/>
        <v>2004</v>
      </c>
      <c r="L1817" s="3">
        <f t="shared" si="60"/>
        <v>0</v>
      </c>
      <c r="M1817" s="20" t="str">
        <f>A1817&amp;L1817</f>
        <v>PPG0</v>
      </c>
      <c r="N1817" s="3">
        <f>F1817/2</f>
        <v>0.22500000000000001</v>
      </c>
      <c r="O1817" s="9">
        <f>H1817</f>
        <v>2.9600000000000001E-2</v>
      </c>
      <c r="P1817" s="10">
        <f t="shared" si="61"/>
        <v>2.9950000000000004E-2</v>
      </c>
      <c r="Q1817" s="10">
        <f>IF(K1817=0,IF(A1814=A1817,AVERAGE(O1814:O1817),"x"),0)</f>
        <v>0</v>
      </c>
      <c r="R1817" s="9">
        <f>IF(L1817&gt;2005,AVERAGE(O1814:O1833),0)</f>
        <v>0</v>
      </c>
      <c r="S1817" s="10">
        <f>IF(A1817=A1818,(N1817-N1818)/N1818,0)</f>
        <v>2.2727272727272749E-2</v>
      </c>
      <c r="T1817" s="10">
        <f>IF(L1817&gt;2005,(((N1817-N1837)/N1837)+1)^(1/5)-1,0)</f>
        <v>0</v>
      </c>
      <c r="U1817" s="10">
        <f t="shared" si="62"/>
        <v>0</v>
      </c>
      <c r="V1817" s="26">
        <f t="shared" si="63"/>
        <v>0</v>
      </c>
      <c r="W1817" s="3">
        <f>IF(A1817=A1818,N1817-N1818,0)</f>
        <v>5.0000000000000044E-3</v>
      </c>
      <c r="X1817" s="10">
        <f>IF(A1817=A1818,(N1817-N1818)/N1818,0)</f>
        <v>2.2727272727272749E-2</v>
      </c>
    </row>
    <row r="1818" spans="1:24" ht="16.5" customHeight="1">
      <c r="A1818" s="3" t="s">
        <v>43</v>
      </c>
      <c r="B1818" s="3">
        <f t="shared" si="56"/>
        <v>2004</v>
      </c>
      <c r="C1818" s="3">
        <f t="shared" si="57"/>
        <v>2</v>
      </c>
      <c r="D1818" s="20" t="str">
        <f t="shared" si="58"/>
        <v>PPG20042</v>
      </c>
      <c r="E1818" s="2">
        <v>38029</v>
      </c>
      <c r="F1818" s="3">
        <v>0.44</v>
      </c>
      <c r="G1818" s="2">
        <v>38058</v>
      </c>
      <c r="H1818" s="3">
        <v>2.87E-2</v>
      </c>
      <c r="I1818" s="3">
        <v>0</v>
      </c>
      <c r="J1818" s="3">
        <v>0</v>
      </c>
      <c r="K1818" s="3">
        <f t="shared" si="59"/>
        <v>0</v>
      </c>
      <c r="L1818" s="3">
        <f t="shared" si="60"/>
        <v>2004</v>
      </c>
      <c r="M1818" s="20" t="str">
        <f>A1818&amp;L1818</f>
        <v>PPG2004</v>
      </c>
      <c r="N1818" s="3">
        <f>F1818/2</f>
        <v>0.22</v>
      </c>
      <c r="O1818" s="9">
        <f>H1818</f>
        <v>2.87E-2</v>
      </c>
      <c r="P1818" s="10">
        <f t="shared" si="61"/>
        <v>0</v>
      </c>
      <c r="Q1818" s="10">
        <f>IF(K1818=0,IF(A1815=A1818,AVERAGE(O1815:O1818),"x"),0)</f>
        <v>2.9049999999999999E-2</v>
      </c>
      <c r="R1818" s="9">
        <f>IF(L1818&gt;2005,AVERAGE(O1815:O1834),0)</f>
        <v>0</v>
      </c>
      <c r="S1818" s="10">
        <f>IF(A1818=A1819,(N1818-N1819)/N1819,0)</f>
        <v>0</v>
      </c>
      <c r="T1818" s="10">
        <f>IF(L1818&gt;2005,(((N1818-N1838)/N1838)+1)^(1/5)-1,0)</f>
        <v>0</v>
      </c>
      <c r="U1818" s="10">
        <f t="shared" si="62"/>
        <v>0</v>
      </c>
      <c r="V1818" s="26">
        <f t="shared" si="63"/>
        <v>0</v>
      </c>
      <c r="W1818" s="3">
        <f>IF(A1818=A1819,N1818-N1819,0)</f>
        <v>0</v>
      </c>
      <c r="X1818" s="10">
        <f>IF(A1818=A1819,(N1818-N1819)/N1819,0)</f>
        <v>0</v>
      </c>
    </row>
    <row r="1819" spans="1:24" ht="16.5" customHeight="1">
      <c r="A1819" s="3" t="s">
        <v>43</v>
      </c>
      <c r="B1819" s="3">
        <f t="shared" si="56"/>
        <v>2003</v>
      </c>
      <c r="C1819" s="3">
        <f t="shared" si="57"/>
        <v>11</v>
      </c>
      <c r="D1819" s="20" t="str">
        <f t="shared" si="58"/>
        <v>PPG200311</v>
      </c>
      <c r="E1819" s="2">
        <v>37931</v>
      </c>
      <c r="F1819" s="3">
        <v>0.44</v>
      </c>
      <c r="G1819" s="2">
        <v>37967</v>
      </c>
      <c r="H1819" s="3">
        <v>2.98E-2</v>
      </c>
      <c r="I1819" s="3">
        <v>2.3255814E-2</v>
      </c>
      <c r="J1819" s="3">
        <v>0.01</v>
      </c>
      <c r="K1819" s="3">
        <f t="shared" si="59"/>
        <v>2003</v>
      </c>
      <c r="L1819" s="3">
        <f t="shared" si="60"/>
        <v>0</v>
      </c>
      <c r="M1819" s="20" t="str">
        <f>A1819&amp;L1819</f>
        <v>PPG0</v>
      </c>
      <c r="N1819" s="3">
        <f>F1819/2</f>
        <v>0.22</v>
      </c>
      <c r="O1819" s="9">
        <f>H1819</f>
        <v>2.98E-2</v>
      </c>
      <c r="P1819" s="10">
        <f t="shared" si="61"/>
        <v>3.3424999999999996E-2</v>
      </c>
      <c r="Q1819" s="10">
        <f>IF(K1819=0,IF(A1816=A1819,AVERAGE(O1816:O1819),"x"),0)</f>
        <v>0</v>
      </c>
      <c r="R1819" s="9">
        <f>IF(L1819&gt;2005,AVERAGE(O1816:O1835),0)</f>
        <v>0</v>
      </c>
      <c r="S1819" s="10">
        <f>IF(A1819=A1820,(N1819-N1820)/N1820,0)</f>
        <v>2.3255813953488393E-2</v>
      </c>
      <c r="T1819" s="10">
        <f>IF(L1819&gt;2005,(((N1819-N1839)/N1839)+1)^(1/5)-1,0)</f>
        <v>0</v>
      </c>
      <c r="U1819" s="10">
        <f t="shared" si="62"/>
        <v>0</v>
      </c>
      <c r="V1819" s="26">
        <f t="shared" si="63"/>
        <v>0</v>
      </c>
      <c r="W1819" s="3">
        <f>IF(A1819=A1820,N1819-N1820,0)</f>
        <v>5.0000000000000044E-3</v>
      </c>
      <c r="X1819" s="10">
        <f>IF(A1819=A1820,(N1819-N1820)/N1820,0)</f>
        <v>2.3255813953488393E-2</v>
      </c>
    </row>
    <row r="1820" spans="1:24" ht="16.5" customHeight="1">
      <c r="A1820" s="3" t="s">
        <v>43</v>
      </c>
      <c r="B1820" s="3">
        <f t="shared" si="56"/>
        <v>2003</v>
      </c>
      <c r="C1820" s="3">
        <f t="shared" si="57"/>
        <v>8</v>
      </c>
      <c r="D1820" s="20" t="str">
        <f t="shared" si="58"/>
        <v>PPG20038</v>
      </c>
      <c r="E1820" s="2">
        <v>37840</v>
      </c>
      <c r="F1820" s="3">
        <v>0.43</v>
      </c>
      <c r="G1820" s="2">
        <v>37876</v>
      </c>
      <c r="H1820" s="3">
        <v>3.1699999999999999E-2</v>
      </c>
      <c r="I1820" s="3">
        <v>0</v>
      </c>
      <c r="J1820" s="3">
        <v>0</v>
      </c>
      <c r="K1820" s="3">
        <f t="shared" si="59"/>
        <v>2003</v>
      </c>
      <c r="L1820" s="3">
        <f t="shared" si="60"/>
        <v>0</v>
      </c>
      <c r="M1820" s="20" t="str">
        <f>A1820&amp;L1820</f>
        <v>PPG0</v>
      </c>
      <c r="N1820" s="3">
        <f>F1820/2</f>
        <v>0.215</v>
      </c>
      <c r="O1820" s="9">
        <f>H1820</f>
        <v>3.1699999999999999E-2</v>
      </c>
      <c r="P1820" s="10">
        <f t="shared" si="61"/>
        <v>0</v>
      </c>
      <c r="Q1820" s="10">
        <f>IF(K1820=0,IF(A1817=A1820,AVERAGE(O1817:O1820),"x"),0)</f>
        <v>0</v>
      </c>
      <c r="R1820" s="9">
        <f>IF(L1820&gt;2005,AVERAGE(O1817:O1836),0)</f>
        <v>0</v>
      </c>
      <c r="S1820" s="10">
        <f>IF(A1820=A1821,(N1820-N1821)/N1821,0)</f>
        <v>0</v>
      </c>
      <c r="T1820" s="10">
        <f>IF(L1820&gt;2005,(((N1820-N1840)/N1840)+1)^(1/5)-1,0)</f>
        <v>0</v>
      </c>
      <c r="U1820" s="10">
        <f t="shared" si="62"/>
        <v>0</v>
      </c>
      <c r="V1820" s="26">
        <f t="shared" si="63"/>
        <v>0</v>
      </c>
      <c r="W1820" s="3">
        <f>IF(A1820=A1821,N1820-N1821,0)</f>
        <v>0</v>
      </c>
      <c r="X1820" s="10">
        <f>IF(A1820=A1821,(N1820-N1821)/N1821,0)</f>
        <v>0</v>
      </c>
    </row>
    <row r="1821" spans="1:24" ht="16.5" customHeight="1">
      <c r="A1821" s="3" t="s">
        <v>43</v>
      </c>
      <c r="B1821" s="3">
        <f t="shared" si="56"/>
        <v>2003</v>
      </c>
      <c r="C1821" s="3">
        <f t="shared" si="57"/>
        <v>5</v>
      </c>
      <c r="D1821" s="20" t="str">
        <f t="shared" si="58"/>
        <v>PPG20035</v>
      </c>
      <c r="E1821" s="2">
        <v>37749</v>
      </c>
      <c r="F1821" s="3">
        <v>0.43</v>
      </c>
      <c r="G1821" s="2">
        <v>37784</v>
      </c>
      <c r="H1821" s="3">
        <v>3.5799999999999998E-2</v>
      </c>
      <c r="I1821" s="3">
        <v>0</v>
      </c>
      <c r="J1821" s="3">
        <v>0</v>
      </c>
      <c r="K1821" s="3">
        <f t="shared" si="59"/>
        <v>2003</v>
      </c>
      <c r="L1821" s="3">
        <f t="shared" si="60"/>
        <v>0</v>
      </c>
      <c r="M1821" s="20" t="str">
        <f>A1821&amp;L1821</f>
        <v>PPG0</v>
      </c>
      <c r="N1821" s="3">
        <f>F1821/2</f>
        <v>0.215</v>
      </c>
      <c r="O1821" s="9">
        <f>H1821</f>
        <v>3.5799999999999998E-2</v>
      </c>
      <c r="P1821" s="10">
        <f t="shared" si="61"/>
        <v>0</v>
      </c>
      <c r="Q1821" s="10">
        <f>IF(K1821=0,IF(A1818=A1821,AVERAGE(O1818:O1821),"x"),0)</f>
        <v>0</v>
      </c>
      <c r="R1821" s="9">
        <f>IF(L1821&gt;2005,AVERAGE(O1818:O1837),0)</f>
        <v>0</v>
      </c>
      <c r="S1821" s="10">
        <f>IF(A1821=A1822,(N1821-N1822)/N1822,0)</f>
        <v>0</v>
      </c>
      <c r="T1821" s="10">
        <f>IF(L1821&gt;2005,(((N1821-N1841)/N1841)+1)^(1/5)-1,0)</f>
        <v>0</v>
      </c>
      <c r="U1821" s="10">
        <f t="shared" si="62"/>
        <v>0</v>
      </c>
      <c r="V1821" s="26">
        <f t="shared" si="63"/>
        <v>0</v>
      </c>
      <c r="W1821" s="3">
        <f>IF(A1821=A1822,N1821-N1822,0)</f>
        <v>0</v>
      </c>
      <c r="X1821" s="10">
        <f>IF(A1821=A1822,(N1821-N1822)/N1822,0)</f>
        <v>0</v>
      </c>
    </row>
    <row r="1822" spans="1:24" ht="16.5" customHeight="1">
      <c r="A1822" s="3" t="s">
        <v>43</v>
      </c>
      <c r="B1822" s="3">
        <f t="shared" si="56"/>
        <v>2003</v>
      </c>
      <c r="C1822" s="3">
        <f t="shared" si="57"/>
        <v>2</v>
      </c>
      <c r="D1822" s="20" t="str">
        <f t="shared" si="58"/>
        <v>PPG20032</v>
      </c>
      <c r="E1822" s="2">
        <v>37665</v>
      </c>
      <c r="F1822" s="3">
        <v>0.43</v>
      </c>
      <c r="G1822" s="2">
        <v>37692</v>
      </c>
      <c r="H1822" s="3">
        <v>3.6400000000000002E-2</v>
      </c>
      <c r="I1822" s="3">
        <v>0</v>
      </c>
      <c r="J1822" s="3">
        <v>0</v>
      </c>
      <c r="K1822" s="3">
        <f t="shared" si="59"/>
        <v>0</v>
      </c>
      <c r="L1822" s="3">
        <f t="shared" si="60"/>
        <v>2003</v>
      </c>
      <c r="M1822" s="20" t="str">
        <f>A1822&amp;L1822</f>
        <v>PPG2003</v>
      </c>
      <c r="N1822" s="3">
        <f>F1822/2</f>
        <v>0.215</v>
      </c>
      <c r="O1822" s="9">
        <f>H1822</f>
        <v>3.6400000000000002E-2</v>
      </c>
      <c r="P1822" s="10">
        <f t="shared" si="61"/>
        <v>0</v>
      </c>
      <c r="Q1822" s="10">
        <f>IF(K1822=0,IF(A1819=A1822,AVERAGE(O1819:O1822),"x"),0)</f>
        <v>3.3424999999999996E-2</v>
      </c>
      <c r="R1822" s="9">
        <f>IF(L1822&gt;2005,AVERAGE(O1819:O1838),0)</f>
        <v>0</v>
      </c>
      <c r="S1822" s="10">
        <f>IF(A1822=A1823,(N1822-N1823)/N1823,0)</f>
        <v>0</v>
      </c>
      <c r="T1822" s="10">
        <f>IF(L1822&gt;2005,(((N1822-N1842)/N1842)+1)^(1/5)-1,0)</f>
        <v>0</v>
      </c>
      <c r="U1822" s="10">
        <f t="shared" si="62"/>
        <v>0</v>
      </c>
      <c r="V1822" s="26">
        <f t="shared" si="63"/>
        <v>0</v>
      </c>
      <c r="W1822" s="3">
        <f>IF(A1822=A1823,N1822-N1823,0)</f>
        <v>0</v>
      </c>
      <c r="X1822" s="10">
        <f>IF(A1822=A1823,(N1822-N1823)/N1823,0)</f>
        <v>0</v>
      </c>
    </row>
    <row r="1823" spans="1:24" ht="16.5" customHeight="1">
      <c r="A1823" s="3" t="s">
        <v>43</v>
      </c>
      <c r="B1823" s="3">
        <f t="shared" si="56"/>
        <v>2002</v>
      </c>
      <c r="C1823" s="3">
        <f t="shared" si="57"/>
        <v>11</v>
      </c>
      <c r="D1823" s="20" t="str">
        <f t="shared" si="58"/>
        <v>PPG200211</v>
      </c>
      <c r="E1823" s="2">
        <v>37567</v>
      </c>
      <c r="F1823" s="3">
        <v>0.43</v>
      </c>
      <c r="G1823" s="2">
        <v>37602</v>
      </c>
      <c r="H1823" s="3">
        <v>3.39E-2</v>
      </c>
      <c r="I1823" s="3">
        <v>0</v>
      </c>
      <c r="J1823" s="3">
        <v>0</v>
      </c>
      <c r="K1823" s="3">
        <f t="shared" si="59"/>
        <v>2002</v>
      </c>
      <c r="L1823" s="3">
        <f t="shared" si="60"/>
        <v>0</v>
      </c>
      <c r="M1823" s="20" t="str">
        <f>A1823&amp;L1823</f>
        <v>PPG0</v>
      </c>
      <c r="N1823" s="3">
        <f>F1823/2</f>
        <v>0.215</v>
      </c>
      <c r="O1823" s="9">
        <f>H1823</f>
        <v>3.39E-2</v>
      </c>
      <c r="P1823" s="10">
        <f t="shared" si="61"/>
        <v>0</v>
      </c>
      <c r="Q1823" s="10">
        <f>IF(K1823=0,IF(A1820=A1823,AVERAGE(O1820:O1823),"x"),0)</f>
        <v>0</v>
      </c>
      <c r="R1823" s="9">
        <f>IF(L1823&gt;2005,AVERAGE(O1820:O1839),0)</f>
        <v>0</v>
      </c>
      <c r="S1823" s="10">
        <f>IF(A1823=A1824,(N1823-N1824)/N1824,0)</f>
        <v>0</v>
      </c>
      <c r="T1823" s="10">
        <f>IF(L1823&gt;2005,(((N1823-N1843)/N1843)+1)^(1/5)-1,0)</f>
        <v>0</v>
      </c>
      <c r="U1823" s="10">
        <f t="shared" si="62"/>
        <v>0</v>
      </c>
      <c r="V1823" s="26">
        <f t="shared" si="63"/>
        <v>0</v>
      </c>
      <c r="W1823" s="3">
        <f>IF(A1823=A1824,N1823-N1824,0)</f>
        <v>0</v>
      </c>
      <c r="X1823" s="10">
        <f>IF(A1823=A1824,(N1823-N1824)/N1824,0)</f>
        <v>0</v>
      </c>
    </row>
    <row r="1824" spans="1:24" ht="16.5" customHeight="1">
      <c r="A1824" s="3" t="s">
        <v>43</v>
      </c>
      <c r="B1824" s="3">
        <f t="shared" si="56"/>
        <v>2002</v>
      </c>
      <c r="C1824" s="3">
        <f t="shared" si="57"/>
        <v>8</v>
      </c>
      <c r="D1824" s="20" t="str">
        <f t="shared" si="58"/>
        <v>PPG20028</v>
      </c>
      <c r="E1824" s="2">
        <v>37476</v>
      </c>
      <c r="F1824" s="3">
        <v>0.43</v>
      </c>
      <c r="G1824" s="2">
        <v>37511</v>
      </c>
      <c r="H1824" s="3">
        <v>2.92E-2</v>
      </c>
      <c r="I1824" s="3">
        <v>2.3809523999999999E-2</v>
      </c>
      <c r="J1824" s="3">
        <v>0.01</v>
      </c>
      <c r="K1824" s="3">
        <f t="shared" si="59"/>
        <v>2002</v>
      </c>
      <c r="L1824" s="3">
        <f t="shared" si="60"/>
        <v>0</v>
      </c>
      <c r="M1824" s="20" t="str">
        <f>A1824&amp;L1824</f>
        <v>PPG0</v>
      </c>
      <c r="N1824" s="3">
        <f>F1824/2</f>
        <v>0.215</v>
      </c>
      <c r="O1824" s="9">
        <f>H1824</f>
        <v>2.92E-2</v>
      </c>
      <c r="P1824" s="10">
        <f t="shared" si="61"/>
        <v>3.15E-2</v>
      </c>
      <c r="Q1824" s="10">
        <f>IF(K1824=0,IF(A1821=A1824,AVERAGE(O1821:O1824),"x"),0)</f>
        <v>0</v>
      </c>
      <c r="R1824" s="9">
        <f>IF(L1824&gt;2005,AVERAGE(O1821:O1840),0)</f>
        <v>0</v>
      </c>
      <c r="S1824" s="10">
        <f>IF(A1824=A1825,(N1824-N1825)/N1825,0)</f>
        <v>2.3809523809523832E-2</v>
      </c>
      <c r="T1824" s="10">
        <f>IF(L1824&gt;2005,(((N1824-N1844)/N1844)+1)^(1/5)-1,0)</f>
        <v>0</v>
      </c>
      <c r="U1824" s="10">
        <f t="shared" si="62"/>
        <v>0</v>
      </c>
      <c r="V1824" s="26">
        <f t="shared" si="63"/>
        <v>0</v>
      </c>
      <c r="W1824" s="3">
        <f>IF(A1824=A1825,N1824-N1825,0)</f>
        <v>5.0000000000000044E-3</v>
      </c>
      <c r="X1824" s="10">
        <f>IF(A1824=A1825,(N1824-N1825)/N1825,0)</f>
        <v>2.3809523809523832E-2</v>
      </c>
    </row>
    <row r="1825" spans="1:24" ht="16.5" customHeight="1">
      <c r="A1825" s="3" t="s">
        <v>43</v>
      </c>
      <c r="B1825" s="3">
        <f t="shared" si="56"/>
        <v>2002</v>
      </c>
      <c r="C1825" s="3">
        <f t="shared" si="57"/>
        <v>5</v>
      </c>
      <c r="D1825" s="20" t="str">
        <f t="shared" si="58"/>
        <v>PPG20025</v>
      </c>
      <c r="E1825" s="2">
        <v>37384</v>
      </c>
      <c r="F1825" s="3">
        <v>0.42</v>
      </c>
      <c r="G1825" s="2">
        <v>37419</v>
      </c>
      <c r="H1825" s="3">
        <v>3.0499999999999999E-2</v>
      </c>
      <c r="I1825" s="3">
        <v>0</v>
      </c>
      <c r="J1825" s="3">
        <v>0</v>
      </c>
      <c r="K1825" s="3">
        <f t="shared" si="59"/>
        <v>2002</v>
      </c>
      <c r="L1825" s="3">
        <f t="shared" si="60"/>
        <v>0</v>
      </c>
      <c r="M1825" s="20" t="str">
        <f>A1825&amp;L1825</f>
        <v>PPG0</v>
      </c>
      <c r="N1825" s="3">
        <f>F1825/2</f>
        <v>0.21</v>
      </c>
      <c r="O1825" s="9">
        <f>H1825</f>
        <v>3.0499999999999999E-2</v>
      </c>
      <c r="P1825" s="10">
        <f t="shared" si="61"/>
        <v>0</v>
      </c>
      <c r="Q1825" s="10">
        <f>IF(K1825=0,IF(A1822=A1825,AVERAGE(O1822:O1825),"x"),0)</f>
        <v>0</v>
      </c>
      <c r="R1825" s="9">
        <f>IF(L1825&gt;2005,AVERAGE(O1822:O1841),0)</f>
        <v>0</v>
      </c>
      <c r="S1825" s="10">
        <f>IF(A1825=A1826,(N1825-N1826)/N1826,0)</f>
        <v>0</v>
      </c>
      <c r="T1825" s="10">
        <f>IF(L1825&gt;2005,(((N1825-N1845)/N1845)+1)^(1/5)-1,0)</f>
        <v>0</v>
      </c>
      <c r="U1825" s="10">
        <f t="shared" si="62"/>
        <v>0</v>
      </c>
      <c r="V1825" s="26">
        <f t="shared" si="63"/>
        <v>0</v>
      </c>
      <c r="W1825" s="3">
        <f>IF(A1825=A1826,N1825-N1826,0)</f>
        <v>0</v>
      </c>
      <c r="X1825" s="10">
        <f>IF(A1825=A1826,(N1825-N1826)/N1826,0)</f>
        <v>0</v>
      </c>
    </row>
    <row r="1826" spans="1:24" ht="16.5" customHeight="1">
      <c r="A1826" s="3" t="s">
        <v>43</v>
      </c>
      <c r="B1826" s="3">
        <f t="shared" si="56"/>
        <v>2002</v>
      </c>
      <c r="C1826" s="3">
        <f t="shared" si="57"/>
        <v>2</v>
      </c>
      <c r="D1826" s="20" t="str">
        <f t="shared" si="58"/>
        <v>PPG20022</v>
      </c>
      <c r="E1826" s="2">
        <v>37301</v>
      </c>
      <c r="F1826" s="3">
        <v>0.42</v>
      </c>
      <c r="G1826" s="2">
        <v>37327</v>
      </c>
      <c r="H1826" s="3">
        <v>3.44E-2</v>
      </c>
      <c r="I1826" s="3">
        <v>0</v>
      </c>
      <c r="J1826" s="3">
        <v>0</v>
      </c>
      <c r="K1826" s="3">
        <f t="shared" si="59"/>
        <v>0</v>
      </c>
      <c r="L1826" s="3">
        <f t="shared" si="60"/>
        <v>2002</v>
      </c>
      <c r="M1826" s="20" t="str">
        <f>A1826&amp;L1826</f>
        <v>PPG2002</v>
      </c>
      <c r="N1826" s="3">
        <f>F1826/2</f>
        <v>0.21</v>
      </c>
      <c r="O1826" s="9">
        <f>H1826</f>
        <v>3.44E-2</v>
      </c>
      <c r="P1826" s="10">
        <f t="shared" si="61"/>
        <v>0</v>
      </c>
      <c r="Q1826" s="10">
        <f>IF(K1826=0,IF(A1823=A1826,AVERAGE(O1823:O1826),"x"),0)</f>
        <v>3.2000000000000001E-2</v>
      </c>
      <c r="R1826" s="9">
        <f>IF(L1826&gt;2005,AVERAGE(O1823:O1842),0)</f>
        <v>0</v>
      </c>
      <c r="S1826" s="10">
        <f>IF(A1826=A1827,(N1826-N1827)/N1827,0)</f>
        <v>0</v>
      </c>
      <c r="T1826" s="10">
        <f>IF(L1826&gt;2005,(((N1826-N1846)/N1846)+1)^(1/5)-1,0)</f>
        <v>0</v>
      </c>
      <c r="U1826" s="10">
        <f t="shared" si="62"/>
        <v>0</v>
      </c>
      <c r="V1826" s="26">
        <f t="shared" si="63"/>
        <v>0</v>
      </c>
      <c r="W1826" s="3">
        <f>IF(A1826=A1827,N1826-N1827,0)</f>
        <v>0</v>
      </c>
      <c r="X1826" s="10">
        <f>IF(A1826=A1827,(N1826-N1827)/N1827,0)</f>
        <v>0</v>
      </c>
    </row>
    <row r="1827" spans="1:24" ht="16.5" customHeight="1">
      <c r="A1827" s="3" t="s">
        <v>43</v>
      </c>
      <c r="B1827" s="3">
        <f t="shared" si="56"/>
        <v>2001</v>
      </c>
      <c r="C1827" s="3">
        <f t="shared" si="57"/>
        <v>11</v>
      </c>
      <c r="D1827" s="20" t="str">
        <f t="shared" si="58"/>
        <v>PPG200111</v>
      </c>
      <c r="E1827" s="2">
        <v>37202</v>
      </c>
      <c r="F1827" s="3">
        <v>0.42</v>
      </c>
      <c r="G1827" s="2">
        <v>37237</v>
      </c>
      <c r="H1827" s="3">
        <v>3.1899999999999998E-2</v>
      </c>
      <c r="I1827" s="3">
        <v>0</v>
      </c>
      <c r="J1827" s="3">
        <v>0</v>
      </c>
      <c r="K1827" s="3">
        <f t="shared" si="59"/>
        <v>2001</v>
      </c>
      <c r="L1827" s="3">
        <f t="shared" si="60"/>
        <v>0</v>
      </c>
      <c r="M1827" s="20" t="str">
        <f>A1827&amp;L1827</f>
        <v>PPG0</v>
      </c>
      <c r="N1827" s="3">
        <f>F1827/2</f>
        <v>0.21</v>
      </c>
      <c r="O1827" s="9">
        <f>H1827</f>
        <v>3.1899999999999998E-2</v>
      </c>
      <c r="P1827" s="10">
        <f t="shared" si="61"/>
        <v>0</v>
      </c>
      <c r="Q1827" s="10">
        <f>IF(K1827=0,IF(A1824=A1827,AVERAGE(O1824:O1827),"x"),0)</f>
        <v>0</v>
      </c>
      <c r="R1827" s="9">
        <f>IF(L1827&gt;2005,AVERAGE(O1824:O1843),0)</f>
        <v>0</v>
      </c>
      <c r="S1827" s="10">
        <f>IF(A1827=A1828,(N1827-N1828)/N1828,0)</f>
        <v>0</v>
      </c>
      <c r="T1827" s="10">
        <f>IF(L1827&gt;2005,(((N1827-N1847)/N1847)+1)^(1/5)-1,0)</f>
        <v>0</v>
      </c>
      <c r="U1827" s="10">
        <f t="shared" si="62"/>
        <v>0</v>
      </c>
      <c r="V1827" s="26">
        <f t="shared" si="63"/>
        <v>0</v>
      </c>
      <c r="W1827" s="3">
        <f>IF(A1827=A1828,N1827-N1828,0)</f>
        <v>0</v>
      </c>
      <c r="X1827" s="10">
        <f>IF(A1827=A1828,(N1827-N1828)/N1828,0)</f>
        <v>0</v>
      </c>
    </row>
    <row r="1828" spans="1:24" ht="16.5" customHeight="1">
      <c r="A1828" s="3" t="s">
        <v>43</v>
      </c>
      <c r="B1828" s="3">
        <f t="shared" si="56"/>
        <v>2001</v>
      </c>
      <c r="C1828" s="3">
        <f t="shared" si="57"/>
        <v>8</v>
      </c>
      <c r="D1828" s="20" t="str">
        <f t="shared" si="58"/>
        <v>PPG20018</v>
      </c>
      <c r="E1828" s="2">
        <v>37111</v>
      </c>
      <c r="F1828" s="3">
        <v>0.42</v>
      </c>
      <c r="G1828" s="2">
        <v>37146</v>
      </c>
      <c r="H1828" s="3">
        <v>0.03</v>
      </c>
      <c r="I1828" s="3">
        <v>0</v>
      </c>
      <c r="J1828" s="3">
        <v>0</v>
      </c>
      <c r="K1828" s="3">
        <f t="shared" si="59"/>
        <v>2001</v>
      </c>
      <c r="L1828" s="3">
        <f t="shared" si="60"/>
        <v>0</v>
      </c>
      <c r="M1828" s="20" t="str">
        <f>A1828&amp;L1828</f>
        <v>PPG0</v>
      </c>
      <c r="N1828" s="3">
        <f>F1828/2</f>
        <v>0.21</v>
      </c>
      <c r="O1828" s="9">
        <f>H1828</f>
        <v>0.03</v>
      </c>
      <c r="P1828" s="10">
        <f t="shared" si="61"/>
        <v>0</v>
      </c>
      <c r="Q1828" s="10">
        <f>IF(K1828=0,IF(A1825=A1828,AVERAGE(O1825:O1828),"x"),0)</f>
        <v>0</v>
      </c>
      <c r="R1828" s="9">
        <f>IF(L1828&gt;2005,AVERAGE(O1825:O1844),0)</f>
        <v>0</v>
      </c>
      <c r="S1828" s="10">
        <f>IF(A1828=A1829,(N1828-N1829)/N1829,0)</f>
        <v>0</v>
      </c>
      <c r="T1828" s="10">
        <f>IF(L1828&gt;2005,(((N1828-N1848)/N1848)+1)^(1/5)-1,0)</f>
        <v>0</v>
      </c>
      <c r="U1828" s="10">
        <f t="shared" si="62"/>
        <v>0</v>
      </c>
      <c r="V1828" s="26">
        <f t="shared" si="63"/>
        <v>0</v>
      </c>
      <c r="W1828" s="3">
        <f>IF(A1828=A1829,N1828-N1829,0)</f>
        <v>0</v>
      </c>
      <c r="X1828" s="10">
        <f>IF(A1828=A1829,(N1828-N1829)/N1829,0)</f>
        <v>0</v>
      </c>
    </row>
    <row r="1829" spans="1:24" ht="16.5" customHeight="1">
      <c r="A1829" s="3" t="s">
        <v>43</v>
      </c>
      <c r="B1829" s="3">
        <f t="shared" si="56"/>
        <v>2001</v>
      </c>
      <c r="C1829" s="3">
        <f t="shared" si="57"/>
        <v>5</v>
      </c>
      <c r="D1829" s="20" t="str">
        <f t="shared" si="58"/>
        <v>PPG20015</v>
      </c>
      <c r="E1829" s="2">
        <v>37019</v>
      </c>
      <c r="F1829" s="3">
        <v>0.42</v>
      </c>
      <c r="G1829" s="2">
        <v>37054</v>
      </c>
      <c r="H1829" s="3">
        <v>0.03</v>
      </c>
      <c r="I1829" s="3">
        <v>0</v>
      </c>
      <c r="J1829" s="3">
        <v>0</v>
      </c>
      <c r="K1829" s="3">
        <f t="shared" si="59"/>
        <v>2001</v>
      </c>
      <c r="L1829" s="3">
        <f t="shared" si="60"/>
        <v>0</v>
      </c>
      <c r="M1829" s="20" t="str">
        <f>A1829&amp;L1829</f>
        <v>PPG0</v>
      </c>
      <c r="N1829" s="3">
        <f>F1829/2</f>
        <v>0.21</v>
      </c>
      <c r="O1829" s="9">
        <f>H1829</f>
        <v>0.03</v>
      </c>
      <c r="P1829" s="10">
        <f t="shared" si="61"/>
        <v>0</v>
      </c>
      <c r="Q1829" s="10">
        <f>IF(K1829=0,IF(A1826=A1829,AVERAGE(O1826:O1829),"x"),0)</f>
        <v>0</v>
      </c>
      <c r="R1829" s="9">
        <f>IF(L1829&gt;2005,AVERAGE(O1826:O1845),0)</f>
        <v>0</v>
      </c>
      <c r="S1829" s="10">
        <f>IF(A1829=A1830,(N1829-N1830)/N1830,0)</f>
        <v>0</v>
      </c>
      <c r="T1829" s="10">
        <f>IF(L1829&gt;2005,(((N1829-N1849)/N1849)+1)^(1/5)-1,0)</f>
        <v>0</v>
      </c>
      <c r="U1829" s="10">
        <f t="shared" si="62"/>
        <v>0</v>
      </c>
      <c r="V1829" s="26">
        <f t="shared" si="63"/>
        <v>0</v>
      </c>
      <c r="W1829" s="3">
        <f>IF(A1829=A1830,N1829-N1830,0)</f>
        <v>0</v>
      </c>
      <c r="X1829" s="10">
        <f>IF(A1829=A1830,(N1829-N1830)/N1830,0)</f>
        <v>0</v>
      </c>
    </row>
    <row r="1830" spans="1:24" ht="16.5" customHeight="1">
      <c r="A1830" s="3" t="s">
        <v>43</v>
      </c>
      <c r="B1830" s="3">
        <f t="shared" si="56"/>
        <v>2001</v>
      </c>
      <c r="C1830" s="3">
        <f t="shared" si="57"/>
        <v>2</v>
      </c>
      <c r="D1830" s="20" t="str">
        <f t="shared" si="58"/>
        <v>PPG20012</v>
      </c>
      <c r="E1830" s="2">
        <v>36937</v>
      </c>
      <c r="F1830" s="3">
        <v>0.42</v>
      </c>
      <c r="G1830" s="2">
        <v>36962</v>
      </c>
      <c r="H1830" s="3">
        <v>3.2199999999999999E-2</v>
      </c>
      <c r="I1830" s="3">
        <v>0.05</v>
      </c>
      <c r="J1830" s="3">
        <v>0.02</v>
      </c>
      <c r="K1830" s="3">
        <f t="shared" si="59"/>
        <v>0</v>
      </c>
      <c r="L1830" s="3">
        <f t="shared" si="60"/>
        <v>2001</v>
      </c>
      <c r="M1830" s="20" t="str">
        <f>A1830&amp;L1830</f>
        <v>PPG2001</v>
      </c>
      <c r="N1830" s="3">
        <f>F1830/2</f>
        <v>0.21</v>
      </c>
      <c r="O1830" s="9">
        <f>H1830</f>
        <v>3.2199999999999999E-2</v>
      </c>
      <c r="P1830" s="10">
        <f t="shared" si="61"/>
        <v>3.3349999999999998E-2</v>
      </c>
      <c r="Q1830" s="10">
        <f>IF(K1830=0,IF(A1827=A1830,AVERAGE(O1827:O1830),"x"),0)</f>
        <v>3.1024999999999997E-2</v>
      </c>
      <c r="R1830" s="9">
        <f>IF(L1830&gt;2005,AVERAGE(O1827:O1846),0)</f>
        <v>0</v>
      </c>
      <c r="S1830" s="10">
        <f>IF(A1830=A1831,(N1830-N1831)/N1831,0)</f>
        <v>4.9999999999999906E-2</v>
      </c>
      <c r="T1830" s="10">
        <f>IF(L1830&gt;2005,(((N1830-N1850)/N1850)+1)^(1/5)-1,0)</f>
        <v>0</v>
      </c>
      <c r="U1830" s="10">
        <f t="shared" si="62"/>
        <v>0</v>
      </c>
      <c r="V1830" s="26">
        <f t="shared" si="63"/>
        <v>0</v>
      </c>
      <c r="W1830" s="3">
        <f>IF(A1830=A1831,N1830-N1831,0)</f>
        <v>9.9999999999999811E-3</v>
      </c>
      <c r="X1830" s="10">
        <f>IF(A1830=A1831,(N1830-N1831)/N1831,0)</f>
        <v>4.9999999999999906E-2</v>
      </c>
    </row>
    <row r="1831" spans="1:24" ht="16.5" customHeight="1">
      <c r="A1831" s="3" t="s">
        <v>43</v>
      </c>
      <c r="B1831" s="3">
        <f t="shared" si="56"/>
        <v>2000</v>
      </c>
      <c r="C1831" s="3">
        <f t="shared" si="57"/>
        <v>11</v>
      </c>
      <c r="D1831" s="20" t="str">
        <f t="shared" si="58"/>
        <v>PPG200011</v>
      </c>
      <c r="E1831" s="2">
        <v>36838</v>
      </c>
      <c r="F1831" s="3">
        <v>0.4</v>
      </c>
      <c r="G1831" s="2">
        <v>36872</v>
      </c>
      <c r="H1831" s="3">
        <v>3.5400000000000001E-2</v>
      </c>
      <c r="I1831" s="3">
        <v>0</v>
      </c>
      <c r="J1831" s="3">
        <v>0</v>
      </c>
      <c r="K1831" s="3">
        <f t="shared" si="59"/>
        <v>2000</v>
      </c>
      <c r="L1831" s="3">
        <f t="shared" si="60"/>
        <v>0</v>
      </c>
      <c r="M1831" s="20" t="str">
        <f>A1831&amp;L1831</f>
        <v>PPG0</v>
      </c>
      <c r="N1831" s="3">
        <f>F1831/2</f>
        <v>0.2</v>
      </c>
      <c r="O1831" s="9">
        <f>H1831</f>
        <v>3.5400000000000001E-2</v>
      </c>
      <c r="P1831" s="10">
        <f t="shared" si="61"/>
        <v>0</v>
      </c>
      <c r="Q1831" s="10">
        <f>IF(K1831=0,IF(A1828=A1831,AVERAGE(O1828:O1831),"x"),0)</f>
        <v>0</v>
      </c>
      <c r="R1831" s="9">
        <f>IF(L1831&gt;2005,AVERAGE(O1828:O1847),0)</f>
        <v>0</v>
      </c>
      <c r="S1831" s="10">
        <f>IF(A1831=A1832,(N1831-N1832)/N1832,0)</f>
        <v>0</v>
      </c>
      <c r="T1831" s="10">
        <f>IF(L1831&gt;2005,(((N1831-N1851)/N1851)+1)^(1/5)-1,0)</f>
        <v>0</v>
      </c>
      <c r="U1831" s="10">
        <f t="shared" si="62"/>
        <v>0</v>
      </c>
      <c r="V1831" s="26">
        <f t="shared" si="63"/>
        <v>0</v>
      </c>
      <c r="W1831" s="3">
        <f>IF(A1831=A1832,N1831-N1832,0)</f>
        <v>0</v>
      </c>
      <c r="X1831" s="10">
        <f>IF(A1831=A1832,(N1831-N1832)/N1832,0)</f>
        <v>0</v>
      </c>
    </row>
    <row r="1832" spans="1:24" ht="16.5" customHeight="1">
      <c r="A1832" s="3" t="s">
        <v>43</v>
      </c>
      <c r="B1832" s="3">
        <f t="shared" si="56"/>
        <v>2000</v>
      </c>
      <c r="C1832" s="3">
        <f t="shared" si="57"/>
        <v>8</v>
      </c>
      <c r="D1832" s="20" t="str">
        <f t="shared" si="58"/>
        <v>PPG20008</v>
      </c>
      <c r="E1832" s="2">
        <v>36746</v>
      </c>
      <c r="F1832" s="3">
        <v>0.4</v>
      </c>
      <c r="G1832" s="2">
        <v>36781</v>
      </c>
      <c r="H1832" s="3">
        <v>3.7499999999999999E-2</v>
      </c>
      <c r="I1832" s="3">
        <v>0</v>
      </c>
      <c r="J1832" s="3">
        <v>0</v>
      </c>
      <c r="K1832" s="3">
        <f t="shared" si="59"/>
        <v>2000</v>
      </c>
      <c r="L1832" s="3">
        <f t="shared" si="60"/>
        <v>0</v>
      </c>
      <c r="M1832" s="20" t="str">
        <f>A1832&amp;L1832</f>
        <v>PPG0</v>
      </c>
      <c r="N1832" s="3">
        <f>F1832/2</f>
        <v>0.2</v>
      </c>
      <c r="O1832" s="9">
        <f>H1832</f>
        <v>3.7499999999999999E-2</v>
      </c>
      <c r="P1832" s="10">
        <f t="shared" si="61"/>
        <v>0</v>
      </c>
      <c r="Q1832" s="10">
        <f>IF(K1832=0,IF(A1829=A1832,AVERAGE(O1829:O1832),"x"),0)</f>
        <v>0</v>
      </c>
      <c r="R1832" s="9">
        <f>IF(L1832&gt;2005,AVERAGE(O1829:O1848),0)</f>
        <v>0</v>
      </c>
      <c r="S1832" s="10">
        <f>IF(A1832=A1833,(N1832-N1833)/N1833,0)</f>
        <v>0</v>
      </c>
      <c r="T1832" s="10">
        <f>IF(L1832&gt;2005,(((N1832-N1852)/N1852)+1)^(1/5)-1,0)</f>
        <v>0</v>
      </c>
      <c r="U1832" s="10">
        <f t="shared" si="62"/>
        <v>0</v>
      </c>
      <c r="V1832" s="26">
        <f t="shared" si="63"/>
        <v>0</v>
      </c>
      <c r="W1832" s="3">
        <f>IF(A1832=A1833,N1832-N1833,0)</f>
        <v>0</v>
      </c>
      <c r="X1832" s="10">
        <f>IF(A1832=A1833,(N1832-N1833)/N1833,0)</f>
        <v>0</v>
      </c>
    </row>
    <row r="1833" spans="1:24" ht="16.5" customHeight="1">
      <c r="A1833" s="3" t="s">
        <v>43</v>
      </c>
      <c r="B1833" s="3">
        <f t="shared" si="56"/>
        <v>2000</v>
      </c>
      <c r="C1833" s="3">
        <f t="shared" si="57"/>
        <v>5</v>
      </c>
      <c r="D1833" s="20" t="str">
        <f t="shared" si="58"/>
        <v>PPG20005</v>
      </c>
      <c r="E1833" s="2">
        <v>36654</v>
      </c>
      <c r="F1833" s="3">
        <v>0.4</v>
      </c>
      <c r="G1833" s="2">
        <v>36689</v>
      </c>
      <c r="H1833" s="3">
        <v>2.8299999999999999E-2</v>
      </c>
      <c r="I1833" s="3">
        <v>0</v>
      </c>
      <c r="J1833" s="3">
        <v>0</v>
      </c>
      <c r="K1833" s="3">
        <f t="shared" si="59"/>
        <v>2000</v>
      </c>
      <c r="L1833" s="3">
        <f t="shared" si="60"/>
        <v>0</v>
      </c>
      <c r="M1833" s="20" t="str">
        <f>A1833&amp;L1833</f>
        <v>PPG0</v>
      </c>
      <c r="N1833" s="3">
        <f>F1833/2</f>
        <v>0.2</v>
      </c>
      <c r="O1833" s="9">
        <f>H1833</f>
        <v>2.8299999999999999E-2</v>
      </c>
      <c r="P1833" s="10">
        <f t="shared" si="61"/>
        <v>0</v>
      </c>
      <c r="Q1833" s="10">
        <f>IF(K1833=0,IF(A1830=A1833,AVERAGE(O1830:O1833),"x"),0)</f>
        <v>0</v>
      </c>
      <c r="R1833" s="9">
        <f>IF(L1833&gt;2005,AVERAGE(O1830:O1849),0)</f>
        <v>0</v>
      </c>
      <c r="S1833" s="10">
        <f>IF(A1833=A1834,(N1833-N1834)/N1834,0)</f>
        <v>0</v>
      </c>
      <c r="T1833" s="10">
        <f>IF(L1833&gt;2005,(((N1833-N1853)/N1853)+1)^(1/5)-1,0)</f>
        <v>0</v>
      </c>
      <c r="U1833" s="10">
        <f t="shared" si="62"/>
        <v>0</v>
      </c>
      <c r="V1833" s="26">
        <f t="shared" si="63"/>
        <v>0</v>
      </c>
      <c r="W1833" s="3">
        <f>IF(A1833=A1834,N1833-N1834,0)</f>
        <v>0</v>
      </c>
      <c r="X1833" s="10">
        <f>IF(A1833=A1834,(N1833-N1834)/N1834,0)</f>
        <v>0</v>
      </c>
    </row>
    <row r="1834" spans="1:24" ht="16.5" customHeight="1">
      <c r="A1834" s="14" t="s">
        <v>43</v>
      </c>
      <c r="B1834" s="3">
        <f t="shared" si="56"/>
        <v>2000</v>
      </c>
      <c r="C1834" s="3">
        <f t="shared" si="57"/>
        <v>2</v>
      </c>
      <c r="D1834" s="20" t="str">
        <f t="shared" si="58"/>
        <v>PPG20002</v>
      </c>
      <c r="E1834" s="15">
        <v>36573</v>
      </c>
      <c r="F1834" s="14">
        <v>0.4</v>
      </c>
      <c r="G1834" s="15">
        <v>36595</v>
      </c>
      <c r="H1834" s="14">
        <v>2.92E-2</v>
      </c>
      <c r="I1834" s="14">
        <v>0</v>
      </c>
      <c r="J1834" s="14">
        <v>0</v>
      </c>
      <c r="K1834" s="3">
        <f t="shared" si="59"/>
        <v>0</v>
      </c>
      <c r="L1834" s="3">
        <f t="shared" si="60"/>
        <v>2000</v>
      </c>
      <c r="M1834" s="20" t="str">
        <f>A1834&amp;L1834</f>
        <v>PPG2000</v>
      </c>
      <c r="N1834" s="14">
        <f>F1834/2</f>
        <v>0.2</v>
      </c>
      <c r="O1834" s="9">
        <f>H1834</f>
        <v>2.92E-2</v>
      </c>
      <c r="P1834" s="10">
        <f t="shared" si="61"/>
        <v>0</v>
      </c>
      <c r="Q1834" s="10">
        <f>IF(K1834=0,IF(A1831=A1834,AVERAGE(O1831:O1834),"x"),0)</f>
        <v>3.2599999999999997E-2</v>
      </c>
      <c r="R1834" s="9">
        <f>IF(L1834&gt;2005,AVERAGE(O1831:O1850),0)</f>
        <v>0</v>
      </c>
      <c r="S1834" s="10">
        <f>IF(A1834=A1835,(N1834-N1835)/N1835,0)</f>
        <v>0</v>
      </c>
      <c r="T1834" s="10">
        <f>IF(L1834&gt;2005,(((N1834-N1854)/N1854)+1)^(1/5)-1,0)</f>
        <v>0</v>
      </c>
      <c r="U1834" s="10">
        <f t="shared" si="62"/>
        <v>0</v>
      </c>
      <c r="V1834" s="26">
        <f t="shared" si="63"/>
        <v>0</v>
      </c>
      <c r="W1834" s="3">
        <f>IF(A1834=A1835,N1834-N1835,0)</f>
        <v>0</v>
      </c>
      <c r="X1834" s="10">
        <f>IF(A1834=A1835,(N1834-N1835)/N1835,0)</f>
        <v>0</v>
      </c>
    </row>
    <row r="1835" spans="1:24" ht="16.5" customHeight="1">
      <c r="A1835" s="3" t="s">
        <v>44</v>
      </c>
      <c r="B1835" s="3">
        <f t="shared" si="56"/>
        <v>2022</v>
      </c>
      <c r="C1835" s="3">
        <f t="shared" si="57"/>
        <v>11</v>
      </c>
      <c r="D1835" s="20" t="str">
        <f t="shared" si="58"/>
        <v>WBA202211</v>
      </c>
      <c r="E1835" s="2">
        <v>44879</v>
      </c>
      <c r="F1835" s="3">
        <v>0.48</v>
      </c>
      <c r="G1835" s="2">
        <v>44907</v>
      </c>
      <c r="H1835" s="3">
        <v>5.2499999999999998E-2</v>
      </c>
      <c r="I1835" s="3">
        <v>0</v>
      </c>
      <c r="J1835" s="3">
        <v>0</v>
      </c>
      <c r="K1835" s="3">
        <f t="shared" si="59"/>
        <v>2022</v>
      </c>
      <c r="L1835" s="3">
        <f t="shared" si="60"/>
        <v>0</v>
      </c>
      <c r="M1835" s="20" t="str">
        <f>A1835&amp;L1835</f>
        <v>WBA0</v>
      </c>
      <c r="N1835" s="3">
        <f>F1835</f>
        <v>0.48</v>
      </c>
      <c r="O1835" s="9">
        <f>H1835</f>
        <v>5.2499999999999998E-2</v>
      </c>
      <c r="P1835" s="10">
        <f t="shared" si="61"/>
        <v>0</v>
      </c>
      <c r="Q1835" s="10">
        <f>IF(K1835=0,IF(A1832=A1835,AVERAGE(O1832:O1835),"x"),0)</f>
        <v>0</v>
      </c>
      <c r="R1835" s="9">
        <f>IF(L1835&gt;2005,AVERAGE(O1832:O1851),0)</f>
        <v>0</v>
      </c>
      <c r="S1835" s="10">
        <f>IF(A1835=A1836,(N1835-N1836)/N1836,0)</f>
        <v>0</v>
      </c>
      <c r="T1835" s="10">
        <f>IF(L1835&gt;2005,(((N1835-N1855)/N1855)+1)^(1/5)-1,0)</f>
        <v>0</v>
      </c>
      <c r="U1835" s="10">
        <f t="shared" si="62"/>
        <v>0</v>
      </c>
      <c r="V1835" s="26">
        <f t="shared" si="63"/>
        <v>0</v>
      </c>
      <c r="W1835" s="3">
        <f>IF(A1835=A1836,N1835-N1836,0)</f>
        <v>0</v>
      </c>
      <c r="X1835" s="10">
        <f>IF(A1835=A1836,(N1835-N1836)/N1836,0)</f>
        <v>0</v>
      </c>
    </row>
    <row r="1836" spans="1:24" ht="16.5" customHeight="1">
      <c r="A1836" s="3" t="s">
        <v>44</v>
      </c>
      <c r="B1836" s="3">
        <f t="shared" si="56"/>
        <v>2022</v>
      </c>
      <c r="C1836" s="3">
        <f t="shared" si="57"/>
        <v>8</v>
      </c>
      <c r="D1836" s="20" t="str">
        <f t="shared" si="58"/>
        <v>WBA20228</v>
      </c>
      <c r="E1836" s="2">
        <v>44791</v>
      </c>
      <c r="F1836" s="3">
        <v>0.48</v>
      </c>
      <c r="G1836" s="2">
        <v>44813</v>
      </c>
      <c r="H1836" s="3">
        <v>4.7E-2</v>
      </c>
      <c r="I1836" s="3">
        <v>5.2356019999999998E-3</v>
      </c>
      <c r="J1836" s="3">
        <v>2.5000000000000001E-3</v>
      </c>
      <c r="K1836" s="3">
        <f t="shared" si="59"/>
        <v>2022</v>
      </c>
      <c r="L1836" s="3">
        <f t="shared" si="60"/>
        <v>0</v>
      </c>
      <c r="M1836" s="20" t="str">
        <f>A1836&amp;L1836</f>
        <v>WBA0</v>
      </c>
      <c r="N1836" s="3">
        <f>F1836</f>
        <v>0.48</v>
      </c>
      <c r="O1836" s="9">
        <f>H1836</f>
        <v>4.7E-2</v>
      </c>
      <c r="P1836" s="10">
        <f t="shared" si="61"/>
        <v>4.2874999999999996E-2</v>
      </c>
      <c r="Q1836" s="10">
        <f>IF(K1836=0,IF(A1833=A1836,AVERAGE(O1833:O1836),"x"),0)</f>
        <v>0</v>
      </c>
      <c r="R1836" s="9">
        <f>IF(L1836&gt;2005,AVERAGE(O1833:O1852),0)</f>
        <v>0</v>
      </c>
      <c r="S1836" s="10">
        <f>IF(A1836=A1837,(N1836-N1837)/N1837,0)</f>
        <v>5.2356020942408424E-3</v>
      </c>
      <c r="T1836" s="10">
        <f>IF(L1836&gt;2005,(((N1836-N1856)/N1856)+1)^(1/5)-1,0)</f>
        <v>0</v>
      </c>
      <c r="U1836" s="10">
        <f t="shared" si="62"/>
        <v>0</v>
      </c>
      <c r="V1836" s="26">
        <f t="shared" si="63"/>
        <v>0</v>
      </c>
      <c r="W1836" s="3">
        <f>IF(A1836=A1837,N1836-N1837,0)</f>
        <v>2.5000000000000022E-3</v>
      </c>
      <c r="X1836" s="10">
        <f>IF(A1836=A1837,(N1836-N1837)/N1837,0)</f>
        <v>5.2356020942408424E-3</v>
      </c>
    </row>
    <row r="1837" spans="1:24" ht="16.5" customHeight="1">
      <c r="A1837" s="3" t="s">
        <v>44</v>
      </c>
      <c r="B1837" s="3">
        <f t="shared" si="56"/>
        <v>2022</v>
      </c>
      <c r="C1837" s="3">
        <f t="shared" si="57"/>
        <v>5</v>
      </c>
      <c r="D1837" s="20" t="str">
        <f t="shared" si="58"/>
        <v>WBA20225</v>
      </c>
      <c r="E1837" s="2">
        <v>44700</v>
      </c>
      <c r="F1837" s="3">
        <v>0.47749999999999998</v>
      </c>
      <c r="G1837" s="2">
        <v>44722</v>
      </c>
      <c r="H1837" s="3">
        <v>4.6399999999999997E-2</v>
      </c>
      <c r="I1837" s="3">
        <v>0</v>
      </c>
      <c r="J1837" s="3">
        <v>0</v>
      </c>
      <c r="K1837" s="3">
        <f t="shared" si="59"/>
        <v>2022</v>
      </c>
      <c r="L1837" s="3">
        <f t="shared" si="60"/>
        <v>0</v>
      </c>
      <c r="M1837" s="20" t="str">
        <f>A1837&amp;L1837</f>
        <v>WBA0</v>
      </c>
      <c r="N1837" s="3">
        <f>F1837</f>
        <v>0.47749999999999998</v>
      </c>
      <c r="O1837" s="9">
        <f>H1837</f>
        <v>4.6399999999999997E-2</v>
      </c>
      <c r="P1837" s="10">
        <f t="shared" si="61"/>
        <v>0</v>
      </c>
      <c r="Q1837" s="10">
        <f>IF(K1837=0,IF(A1834=A1837,AVERAGE(O1834:O1837),"x"),0)</f>
        <v>0</v>
      </c>
      <c r="R1837" s="9">
        <f>IF(L1837&gt;2005,AVERAGE(O1834:O1853),0)</f>
        <v>0</v>
      </c>
      <c r="S1837" s="10">
        <f>IF(A1837=A1838,(N1837-N1838)/N1838,0)</f>
        <v>0</v>
      </c>
      <c r="T1837" s="10">
        <f>IF(L1837&gt;2005,(((N1837-N1857)/N1857)+1)^(1/5)-1,0)</f>
        <v>0</v>
      </c>
      <c r="U1837" s="10">
        <f t="shared" si="62"/>
        <v>0</v>
      </c>
      <c r="V1837" s="26">
        <f t="shared" si="63"/>
        <v>0</v>
      </c>
      <c r="W1837" s="3">
        <f>IF(A1837=A1838,N1837-N1838,0)</f>
        <v>0</v>
      </c>
      <c r="X1837" s="10">
        <f>IF(A1837=A1838,(N1837-N1838)/N1838,0)</f>
        <v>0</v>
      </c>
    </row>
    <row r="1838" spans="1:24" ht="16.5" customHeight="1">
      <c r="A1838" s="3" t="s">
        <v>44</v>
      </c>
      <c r="B1838" s="3">
        <f t="shared" si="56"/>
        <v>2022</v>
      </c>
      <c r="C1838" s="3">
        <f t="shared" si="57"/>
        <v>2</v>
      </c>
      <c r="D1838" s="20" t="str">
        <f t="shared" si="58"/>
        <v>WBA20222</v>
      </c>
      <c r="E1838" s="2">
        <v>44609</v>
      </c>
      <c r="F1838" s="3">
        <v>0.47749999999999998</v>
      </c>
      <c r="G1838" s="2">
        <v>44631</v>
      </c>
      <c r="H1838" s="3">
        <v>3.9899999999999998E-2</v>
      </c>
      <c r="I1838" s="3">
        <v>0</v>
      </c>
      <c r="J1838" s="3">
        <v>0</v>
      </c>
      <c r="K1838" s="3">
        <f t="shared" si="59"/>
        <v>0</v>
      </c>
      <c r="L1838" s="3">
        <f t="shared" si="60"/>
        <v>2022</v>
      </c>
      <c r="M1838" s="20" t="str">
        <f>A1838&amp;L1838</f>
        <v>WBA2022</v>
      </c>
      <c r="N1838" s="3">
        <f>F1838</f>
        <v>0.47749999999999998</v>
      </c>
      <c r="O1838" s="9">
        <f>H1838</f>
        <v>3.9899999999999998E-2</v>
      </c>
      <c r="P1838" s="10">
        <f t="shared" si="61"/>
        <v>0</v>
      </c>
      <c r="Q1838" s="10">
        <f>IF(K1838=0,IF(A1835=A1838,AVERAGE(O1835:O1838),"x"),0)</f>
        <v>4.6449999999999998E-2</v>
      </c>
      <c r="R1838" s="9">
        <f>IF(L1838&gt;2005,AVERAGE(O1835:O1854),0)</f>
        <v>3.6229999999999991E-2</v>
      </c>
      <c r="S1838" s="10">
        <f>IF(A1838=A1839,(N1838-N1839)/N1839,0)</f>
        <v>0</v>
      </c>
      <c r="T1838" s="10">
        <f>IF(L1838&gt;2005,(((N1838-N1858)/N1858)+1)^(1/5)-1,0)</f>
        <v>4.951444805329408E-2</v>
      </c>
      <c r="U1838" s="10">
        <f t="shared" si="62"/>
        <v>8.5744448053294064E-2</v>
      </c>
      <c r="V1838" s="26">
        <f t="shared" si="63"/>
        <v>4.5211874684310223</v>
      </c>
      <c r="W1838" s="3">
        <f>IF(A1838=A1839,N1838-N1839,0)</f>
        <v>0</v>
      </c>
      <c r="X1838" s="10">
        <f>IF(A1838=A1839,(N1838-N1839)/N1839,0)</f>
        <v>0</v>
      </c>
    </row>
    <row r="1839" spans="1:24" ht="16.5" customHeight="1">
      <c r="A1839" s="3" t="s">
        <v>44</v>
      </c>
      <c r="B1839" s="3">
        <f t="shared" si="56"/>
        <v>2021</v>
      </c>
      <c r="C1839" s="3">
        <f t="shared" si="57"/>
        <v>11</v>
      </c>
      <c r="D1839" s="20" t="str">
        <f t="shared" si="58"/>
        <v>WBA202111</v>
      </c>
      <c r="E1839" s="2">
        <v>44512</v>
      </c>
      <c r="F1839" s="3">
        <v>0.47749999999999998</v>
      </c>
      <c r="G1839" s="2">
        <v>44540</v>
      </c>
      <c r="H1839" s="3">
        <v>3.8199999999999998E-2</v>
      </c>
      <c r="I1839" s="3">
        <v>0</v>
      </c>
      <c r="J1839" s="3">
        <v>0</v>
      </c>
      <c r="K1839" s="3">
        <f t="shared" si="59"/>
        <v>2021</v>
      </c>
      <c r="L1839" s="3">
        <f t="shared" si="60"/>
        <v>0</v>
      </c>
      <c r="M1839" s="20" t="str">
        <f>A1839&amp;L1839</f>
        <v>WBA0</v>
      </c>
      <c r="N1839" s="3">
        <f>F1839</f>
        <v>0.47749999999999998</v>
      </c>
      <c r="O1839" s="9">
        <f>H1839</f>
        <v>3.8199999999999998E-2</v>
      </c>
      <c r="P1839" s="10">
        <f t="shared" si="61"/>
        <v>0</v>
      </c>
      <c r="Q1839" s="10">
        <f>IF(K1839=0,IF(A1836=A1839,AVERAGE(O1836:O1839),"x"),0)</f>
        <v>0</v>
      </c>
      <c r="R1839" s="9">
        <f>IF(L1839&gt;2005,AVERAGE(O1836:O1855),0)</f>
        <v>0</v>
      </c>
      <c r="S1839" s="10">
        <f>IF(A1839=A1840,(N1839-N1840)/N1840,0)</f>
        <v>0</v>
      </c>
      <c r="T1839" s="10">
        <f>IF(L1839&gt;2005,(((N1839-N1859)/N1859)+1)^(1/5)-1,0)</f>
        <v>0</v>
      </c>
      <c r="U1839" s="10">
        <f t="shared" si="62"/>
        <v>0</v>
      </c>
      <c r="V1839" s="26">
        <f t="shared" si="63"/>
        <v>0</v>
      </c>
      <c r="W1839" s="3">
        <f>IF(A1839=A1840,N1839-N1840,0)</f>
        <v>0</v>
      </c>
      <c r="X1839" s="10">
        <f>IF(A1839=A1840,(N1839-N1840)/N1840,0)</f>
        <v>0</v>
      </c>
    </row>
    <row r="1840" spans="1:24" ht="16.5" customHeight="1">
      <c r="A1840" s="3" t="s">
        <v>44</v>
      </c>
      <c r="B1840" s="3">
        <f t="shared" si="56"/>
        <v>2021</v>
      </c>
      <c r="C1840" s="3">
        <f t="shared" si="57"/>
        <v>8</v>
      </c>
      <c r="D1840" s="20" t="str">
        <f t="shared" si="58"/>
        <v>WBA20218</v>
      </c>
      <c r="E1840" s="2">
        <v>44427</v>
      </c>
      <c r="F1840" s="3">
        <v>0.47749999999999998</v>
      </c>
      <c r="G1840" s="2">
        <v>44449</v>
      </c>
      <c r="H1840" s="3">
        <v>3.9E-2</v>
      </c>
      <c r="I1840" s="3">
        <v>2.1390374E-2</v>
      </c>
      <c r="J1840" s="3">
        <v>0.01</v>
      </c>
      <c r="K1840" s="3">
        <f t="shared" si="59"/>
        <v>2021</v>
      </c>
      <c r="L1840" s="3">
        <f t="shared" si="60"/>
        <v>0</v>
      </c>
      <c r="M1840" s="20" t="str">
        <f>A1840&amp;L1840</f>
        <v>WBA0</v>
      </c>
      <c r="N1840" s="3">
        <f>F1840</f>
        <v>0.47749999999999998</v>
      </c>
      <c r="O1840" s="9">
        <f>H1840</f>
        <v>3.9E-2</v>
      </c>
      <c r="P1840" s="10">
        <f t="shared" si="61"/>
        <v>3.9425000000000002E-2</v>
      </c>
      <c r="Q1840" s="10">
        <f>IF(K1840=0,IF(A1837=A1840,AVERAGE(O1837:O1840),"x"),0)</f>
        <v>0</v>
      </c>
      <c r="R1840" s="9">
        <f>IF(L1840&gt;2005,AVERAGE(O1837:O1856),0)</f>
        <v>0</v>
      </c>
      <c r="S1840" s="10">
        <f>IF(A1840=A1841,(N1840-N1841)/N1841,0)</f>
        <v>2.13903743315507E-2</v>
      </c>
      <c r="T1840" s="10">
        <f>IF(L1840&gt;2005,(((N1840-N1860)/N1860)+1)^(1/5)-1,0)</f>
        <v>0</v>
      </c>
      <c r="U1840" s="10">
        <f t="shared" si="62"/>
        <v>0</v>
      </c>
      <c r="V1840" s="26">
        <f t="shared" si="63"/>
        <v>0</v>
      </c>
      <c r="W1840" s="3">
        <f>IF(A1840=A1841,N1840-N1841,0)</f>
        <v>9.9999999999999534E-3</v>
      </c>
      <c r="X1840" s="10">
        <f>IF(A1840=A1841,(N1840-N1841)/N1841,0)</f>
        <v>2.13903743315507E-2</v>
      </c>
    </row>
    <row r="1841" spans="1:24" ht="16.5" customHeight="1">
      <c r="A1841" s="3" t="s">
        <v>44</v>
      </c>
      <c r="B1841" s="3">
        <f t="shared" si="56"/>
        <v>2021</v>
      </c>
      <c r="C1841" s="3">
        <f t="shared" si="57"/>
        <v>5</v>
      </c>
      <c r="D1841" s="20" t="str">
        <f t="shared" si="58"/>
        <v>WBA20215</v>
      </c>
      <c r="E1841" s="2">
        <v>44336</v>
      </c>
      <c r="F1841" s="3">
        <v>0.46750000000000003</v>
      </c>
      <c r="G1841" s="2">
        <v>44358</v>
      </c>
      <c r="H1841" s="3">
        <v>3.4099999999999998E-2</v>
      </c>
      <c r="I1841" s="3">
        <v>0</v>
      </c>
      <c r="J1841" s="3">
        <v>0</v>
      </c>
      <c r="K1841" s="3">
        <f t="shared" si="59"/>
        <v>2021</v>
      </c>
      <c r="L1841" s="3">
        <f t="shared" si="60"/>
        <v>0</v>
      </c>
      <c r="M1841" s="20" t="str">
        <f>A1841&amp;L1841</f>
        <v>WBA0</v>
      </c>
      <c r="N1841" s="3">
        <f>F1841</f>
        <v>0.46750000000000003</v>
      </c>
      <c r="O1841" s="9">
        <f>H1841</f>
        <v>3.4099999999999998E-2</v>
      </c>
      <c r="P1841" s="10">
        <f t="shared" si="61"/>
        <v>0</v>
      </c>
      <c r="Q1841" s="10">
        <f>IF(K1841=0,IF(A1838=A1841,AVERAGE(O1838:O1841),"x"),0)</f>
        <v>0</v>
      </c>
      <c r="R1841" s="9">
        <f>IF(L1841&gt;2005,AVERAGE(O1838:O1857),0)</f>
        <v>0</v>
      </c>
      <c r="S1841" s="10">
        <f>IF(A1841=A1842,(N1841-N1842)/N1842,0)</f>
        <v>0</v>
      </c>
      <c r="T1841" s="10">
        <f>IF(L1841&gt;2005,(((N1841-N1861)/N1861)+1)^(1/5)-1,0)</f>
        <v>0</v>
      </c>
      <c r="U1841" s="10">
        <f t="shared" si="62"/>
        <v>0</v>
      </c>
      <c r="V1841" s="26">
        <f t="shared" si="63"/>
        <v>0</v>
      </c>
      <c r="W1841" s="3">
        <f>IF(A1841=A1842,N1841-N1842,0)</f>
        <v>0</v>
      </c>
      <c r="X1841" s="10">
        <f>IF(A1841=A1842,(N1841-N1842)/N1842,0)</f>
        <v>0</v>
      </c>
    </row>
    <row r="1842" spans="1:24" ht="16.5" customHeight="1">
      <c r="A1842" s="3" t="s">
        <v>44</v>
      </c>
      <c r="B1842" s="3">
        <f t="shared" si="56"/>
        <v>2021</v>
      </c>
      <c r="C1842" s="3">
        <f t="shared" si="57"/>
        <v>2</v>
      </c>
      <c r="D1842" s="20" t="str">
        <f t="shared" si="58"/>
        <v>WBA20212</v>
      </c>
      <c r="E1842" s="2">
        <v>44245</v>
      </c>
      <c r="F1842" s="3">
        <v>0.46750000000000003</v>
      </c>
      <c r="G1842" s="2">
        <v>44267</v>
      </c>
      <c r="H1842" s="3">
        <v>3.7699999999999997E-2</v>
      </c>
      <c r="I1842" s="3">
        <v>0</v>
      </c>
      <c r="J1842" s="3">
        <v>0</v>
      </c>
      <c r="K1842" s="3">
        <f t="shared" si="59"/>
        <v>0</v>
      </c>
      <c r="L1842" s="3">
        <f t="shared" si="60"/>
        <v>2021</v>
      </c>
      <c r="M1842" s="20" t="str">
        <f>A1842&amp;L1842</f>
        <v>WBA2021</v>
      </c>
      <c r="N1842" s="3">
        <f>F1842</f>
        <v>0.46750000000000003</v>
      </c>
      <c r="O1842" s="9">
        <f>H1842</f>
        <v>3.7699999999999997E-2</v>
      </c>
      <c r="P1842" s="10">
        <f t="shared" si="61"/>
        <v>0</v>
      </c>
      <c r="Q1842" s="10">
        <f>IF(K1842=0,IF(A1839=A1842,AVERAGE(O1839:O1842),"x"),0)</f>
        <v>3.7249999999999991E-2</v>
      </c>
      <c r="R1842" s="9">
        <f>IF(L1842&gt;2005,AVERAGE(O1839:O1858),0)</f>
        <v>3.0860000000000005E-2</v>
      </c>
      <c r="S1842" s="10">
        <f>IF(A1842=A1843,(N1842-N1843)/N1843,0)</f>
        <v>0</v>
      </c>
      <c r="T1842" s="10">
        <f>IF(L1842&gt;2005,(((N1842-N1862)/N1862)+1)^(1/5)-1,0)</f>
        <v>5.3648669024505047E-2</v>
      </c>
      <c r="U1842" s="10">
        <f t="shared" si="62"/>
        <v>8.4508669024505045E-2</v>
      </c>
      <c r="V1842" s="26">
        <f t="shared" si="63"/>
        <v>4.5890231417024969</v>
      </c>
      <c r="W1842" s="3">
        <f>IF(A1842=A1843,N1842-N1843,0)</f>
        <v>0</v>
      </c>
      <c r="X1842" s="10">
        <f>IF(A1842=A1843,(N1842-N1843)/N1843,0)</f>
        <v>0</v>
      </c>
    </row>
    <row r="1843" spans="1:24" ht="16.5" customHeight="1">
      <c r="A1843" s="3" t="s">
        <v>44</v>
      </c>
      <c r="B1843" s="3">
        <f t="shared" si="56"/>
        <v>2020</v>
      </c>
      <c r="C1843" s="3">
        <f t="shared" si="57"/>
        <v>11</v>
      </c>
      <c r="D1843" s="20" t="str">
        <f t="shared" si="58"/>
        <v>WBA202011</v>
      </c>
      <c r="E1843" s="2">
        <v>44153</v>
      </c>
      <c r="F1843" s="3">
        <v>0.46750000000000003</v>
      </c>
      <c r="G1843" s="2">
        <v>44176</v>
      </c>
      <c r="H1843" s="3">
        <v>4.6899999999999997E-2</v>
      </c>
      <c r="I1843" s="3">
        <v>0</v>
      </c>
      <c r="J1843" s="3">
        <v>0</v>
      </c>
      <c r="K1843" s="3">
        <f t="shared" si="59"/>
        <v>2020</v>
      </c>
      <c r="L1843" s="3">
        <f t="shared" si="60"/>
        <v>0</v>
      </c>
      <c r="M1843" s="20" t="str">
        <f>A1843&amp;L1843</f>
        <v>WBA0</v>
      </c>
      <c r="N1843" s="3">
        <f>F1843</f>
        <v>0.46750000000000003</v>
      </c>
      <c r="O1843" s="9">
        <f>H1843</f>
        <v>4.6899999999999997E-2</v>
      </c>
      <c r="P1843" s="10">
        <f t="shared" si="61"/>
        <v>0</v>
      </c>
      <c r="Q1843" s="10">
        <f>IF(K1843=0,IF(A1840=A1843,AVERAGE(O1840:O1843),"x"),0)</f>
        <v>0</v>
      </c>
      <c r="R1843" s="9">
        <f>IF(L1843&gt;2005,AVERAGE(O1840:O1859),0)</f>
        <v>0</v>
      </c>
      <c r="S1843" s="10">
        <f>IF(A1843=A1844,(N1843-N1844)/N1844,0)</f>
        <v>0</v>
      </c>
      <c r="T1843" s="10">
        <f>IF(L1843&gt;2005,(((N1843-N1863)/N1863)+1)^(1/5)-1,0)</f>
        <v>0</v>
      </c>
      <c r="U1843" s="10">
        <f t="shared" si="62"/>
        <v>0</v>
      </c>
      <c r="V1843" s="26">
        <f t="shared" si="63"/>
        <v>0</v>
      </c>
      <c r="W1843" s="3">
        <f>IF(A1843=A1844,N1843-N1844,0)</f>
        <v>0</v>
      </c>
      <c r="X1843" s="10">
        <f>IF(A1843=A1844,(N1843-N1844)/N1844,0)</f>
        <v>0</v>
      </c>
    </row>
    <row r="1844" spans="1:24" ht="16.5" customHeight="1">
      <c r="A1844" s="3" t="s">
        <v>44</v>
      </c>
      <c r="B1844" s="3">
        <f t="shared" si="56"/>
        <v>2020</v>
      </c>
      <c r="C1844" s="3">
        <f t="shared" si="57"/>
        <v>8</v>
      </c>
      <c r="D1844" s="20" t="str">
        <f t="shared" si="58"/>
        <v>WBA20208</v>
      </c>
      <c r="E1844" s="2">
        <v>44061</v>
      </c>
      <c r="F1844" s="3">
        <v>0.46750000000000003</v>
      </c>
      <c r="G1844" s="2">
        <v>44085</v>
      </c>
      <c r="H1844" s="3">
        <v>4.5400000000000003E-2</v>
      </c>
      <c r="I1844" s="3">
        <v>2.1857923000000001E-2</v>
      </c>
      <c r="J1844" s="3">
        <v>0.01</v>
      </c>
      <c r="K1844" s="3">
        <f t="shared" si="59"/>
        <v>2020</v>
      </c>
      <c r="L1844" s="3">
        <f t="shared" si="60"/>
        <v>0</v>
      </c>
      <c r="M1844" s="20" t="str">
        <f>A1844&amp;L1844</f>
        <v>WBA0</v>
      </c>
      <c r="N1844" s="3">
        <f>F1844</f>
        <v>0.46750000000000003</v>
      </c>
      <c r="O1844" s="9">
        <f>H1844</f>
        <v>4.5400000000000003E-2</v>
      </c>
      <c r="P1844" s="10">
        <f t="shared" si="61"/>
        <v>3.8574999999999998E-2</v>
      </c>
      <c r="Q1844" s="10">
        <f>IF(K1844=0,IF(A1841=A1844,AVERAGE(O1841:O1844),"x"),0)</f>
        <v>0</v>
      </c>
      <c r="R1844" s="9">
        <f>IF(L1844&gt;2005,AVERAGE(O1841:O1860),0)</f>
        <v>0</v>
      </c>
      <c r="S1844" s="10">
        <f>IF(A1844=A1845,(N1844-N1845)/N1845,0)</f>
        <v>2.1857923497267777E-2</v>
      </c>
      <c r="T1844" s="10">
        <f>IF(L1844&gt;2005,(((N1844-N1864)/N1864)+1)^(1/5)-1,0)</f>
        <v>0</v>
      </c>
      <c r="U1844" s="10">
        <f t="shared" si="62"/>
        <v>0</v>
      </c>
      <c r="V1844" s="26">
        <f t="shared" si="63"/>
        <v>0</v>
      </c>
      <c r="W1844" s="3">
        <f>IF(A1844=A1845,N1844-N1845,0)</f>
        <v>1.0000000000000009E-2</v>
      </c>
      <c r="X1844" s="10">
        <f>IF(A1844=A1845,(N1844-N1845)/N1845,0)</f>
        <v>2.1857923497267777E-2</v>
      </c>
    </row>
    <row r="1845" spans="1:24" ht="16.5" customHeight="1">
      <c r="A1845" s="3" t="s">
        <v>44</v>
      </c>
      <c r="B1845" s="3">
        <f t="shared" si="56"/>
        <v>2020</v>
      </c>
      <c r="C1845" s="3">
        <f t="shared" si="57"/>
        <v>5</v>
      </c>
      <c r="D1845" s="20" t="str">
        <f t="shared" si="58"/>
        <v>WBA20205</v>
      </c>
      <c r="E1845" s="2">
        <v>43970</v>
      </c>
      <c r="F1845" s="3">
        <v>0.45750000000000002</v>
      </c>
      <c r="G1845" s="2">
        <v>43994</v>
      </c>
      <c r="H1845" s="3">
        <v>4.48E-2</v>
      </c>
      <c r="I1845" s="3">
        <v>0</v>
      </c>
      <c r="J1845" s="3">
        <v>0</v>
      </c>
      <c r="K1845" s="3">
        <f t="shared" si="59"/>
        <v>2020</v>
      </c>
      <c r="L1845" s="3">
        <f t="shared" si="60"/>
        <v>0</v>
      </c>
      <c r="M1845" s="20" t="str">
        <f>A1845&amp;L1845</f>
        <v>WBA0</v>
      </c>
      <c r="N1845" s="3">
        <f>F1845</f>
        <v>0.45750000000000002</v>
      </c>
      <c r="O1845" s="9">
        <f>H1845</f>
        <v>4.48E-2</v>
      </c>
      <c r="P1845" s="10">
        <f t="shared" si="61"/>
        <v>0</v>
      </c>
      <c r="Q1845" s="10">
        <f>IF(K1845=0,IF(A1842=A1845,AVERAGE(O1842:O1845),"x"),0)</f>
        <v>0</v>
      </c>
      <c r="R1845" s="9">
        <f>IF(L1845&gt;2005,AVERAGE(O1842:O1861),0)</f>
        <v>0</v>
      </c>
      <c r="S1845" s="10">
        <f>IF(A1845=A1846,(N1845-N1846)/N1846,0)</f>
        <v>0</v>
      </c>
      <c r="T1845" s="10">
        <f>IF(L1845&gt;2005,(((N1845-N1865)/N1865)+1)^(1/5)-1,0)</f>
        <v>0</v>
      </c>
      <c r="U1845" s="10">
        <f t="shared" si="62"/>
        <v>0</v>
      </c>
      <c r="V1845" s="26">
        <f t="shared" si="63"/>
        <v>0</v>
      </c>
      <c r="W1845" s="3">
        <f>IF(A1845=A1846,N1845-N1846,0)</f>
        <v>0</v>
      </c>
      <c r="X1845" s="10">
        <f>IF(A1845=A1846,(N1845-N1846)/N1846,0)</f>
        <v>0</v>
      </c>
    </row>
    <row r="1846" spans="1:24" ht="16.5" customHeight="1">
      <c r="A1846" s="3" t="s">
        <v>44</v>
      </c>
      <c r="B1846" s="3">
        <f t="shared" si="56"/>
        <v>2020</v>
      </c>
      <c r="C1846" s="3">
        <f t="shared" si="57"/>
        <v>2</v>
      </c>
      <c r="D1846" s="20" t="str">
        <f t="shared" si="58"/>
        <v>WBA20202</v>
      </c>
      <c r="E1846" s="2">
        <v>43879</v>
      </c>
      <c r="F1846" s="3">
        <v>0.45750000000000002</v>
      </c>
      <c r="G1846" s="2">
        <v>43902</v>
      </c>
      <c r="H1846" s="3">
        <v>3.4599999999999999E-2</v>
      </c>
      <c r="I1846" s="3">
        <v>0</v>
      </c>
      <c r="J1846" s="3">
        <v>0</v>
      </c>
      <c r="K1846" s="3">
        <f t="shared" si="59"/>
        <v>0</v>
      </c>
      <c r="L1846" s="3">
        <f t="shared" si="60"/>
        <v>2020</v>
      </c>
      <c r="M1846" s="20" t="str">
        <f>A1846&amp;L1846</f>
        <v>WBA2020</v>
      </c>
      <c r="N1846" s="3">
        <f>F1846</f>
        <v>0.45750000000000002</v>
      </c>
      <c r="O1846" s="9">
        <f>H1846</f>
        <v>3.4599999999999999E-2</v>
      </c>
      <c r="P1846" s="10">
        <f t="shared" si="61"/>
        <v>0</v>
      </c>
      <c r="Q1846" s="10">
        <f>IF(K1846=0,IF(A1843=A1846,AVERAGE(O1843:O1846),"x"),0)</f>
        <v>4.2924999999999998E-2</v>
      </c>
      <c r="R1846" s="9">
        <f>IF(L1846&gt;2005,AVERAGE(O1843:O1862),0)</f>
        <v>2.708E-2</v>
      </c>
      <c r="S1846" s="10">
        <f>IF(A1846=A1847,(N1846-N1847)/N1847,0)</f>
        <v>0</v>
      </c>
      <c r="T1846" s="10">
        <f>IF(L1846&gt;2005,(((N1846-N1866)/N1866)+1)^(1/5)-1,0)</f>
        <v>6.2731281549329498E-2</v>
      </c>
      <c r="U1846" s="10">
        <f t="shared" si="62"/>
        <v>8.9811281549329491E-2</v>
      </c>
      <c r="V1846" s="26">
        <f t="shared" si="63"/>
        <v>4.6393958587711079</v>
      </c>
      <c r="W1846" s="3">
        <f>IF(A1846=A1847,N1846-N1847,0)</f>
        <v>0</v>
      </c>
      <c r="X1846" s="10">
        <f>IF(A1846=A1847,(N1846-N1847)/N1847,0)</f>
        <v>0</v>
      </c>
    </row>
    <row r="1847" spans="1:24" ht="16.5" customHeight="1">
      <c r="A1847" s="3" t="s">
        <v>44</v>
      </c>
      <c r="B1847" s="3">
        <f t="shared" si="56"/>
        <v>2019</v>
      </c>
      <c r="C1847" s="3">
        <f t="shared" si="57"/>
        <v>11</v>
      </c>
      <c r="D1847" s="20" t="str">
        <f t="shared" si="58"/>
        <v>WBA201911</v>
      </c>
      <c r="E1847" s="2">
        <v>43784</v>
      </c>
      <c r="F1847" s="3">
        <v>0.45750000000000002</v>
      </c>
      <c r="G1847" s="2">
        <v>43811</v>
      </c>
      <c r="H1847" s="3">
        <v>2.9499999999999998E-2</v>
      </c>
      <c r="I1847" s="3">
        <v>0</v>
      </c>
      <c r="J1847" s="3">
        <v>0</v>
      </c>
      <c r="K1847" s="3">
        <f t="shared" si="59"/>
        <v>2019</v>
      </c>
      <c r="L1847" s="3">
        <f t="shared" si="60"/>
        <v>0</v>
      </c>
      <c r="M1847" s="20" t="str">
        <f>A1847&amp;L1847</f>
        <v>WBA0</v>
      </c>
      <c r="N1847" s="3">
        <f>F1847</f>
        <v>0.45750000000000002</v>
      </c>
      <c r="O1847" s="9">
        <f>H1847</f>
        <v>2.9499999999999998E-2</v>
      </c>
      <c r="P1847" s="10">
        <f t="shared" si="61"/>
        <v>0</v>
      </c>
      <c r="Q1847" s="10">
        <f>IF(K1847=0,IF(A1844=A1847,AVERAGE(O1844:O1847),"x"),0)</f>
        <v>0</v>
      </c>
      <c r="R1847" s="9">
        <f>IF(L1847&gt;2005,AVERAGE(O1844:O1863),0)</f>
        <v>0</v>
      </c>
      <c r="S1847" s="10">
        <f>IF(A1847=A1848,(N1847-N1848)/N1848,0)</f>
        <v>0</v>
      </c>
      <c r="T1847" s="10">
        <f>IF(L1847&gt;2005,(((N1847-N1867)/N1867)+1)^(1/5)-1,0)</f>
        <v>0</v>
      </c>
      <c r="U1847" s="10">
        <f t="shared" si="62"/>
        <v>0</v>
      </c>
      <c r="V1847" s="26">
        <f t="shared" si="63"/>
        <v>0</v>
      </c>
      <c r="W1847" s="3">
        <f>IF(A1847=A1848,N1847-N1848,0)</f>
        <v>0</v>
      </c>
      <c r="X1847" s="10">
        <f>IF(A1847=A1848,(N1847-N1848)/N1848,0)</f>
        <v>0</v>
      </c>
    </row>
    <row r="1848" spans="1:24" ht="16.5" customHeight="1">
      <c r="A1848" s="3" t="s">
        <v>44</v>
      </c>
      <c r="B1848" s="3">
        <f t="shared" si="56"/>
        <v>2019</v>
      </c>
      <c r="C1848" s="3">
        <f t="shared" si="57"/>
        <v>8</v>
      </c>
      <c r="D1848" s="20" t="str">
        <f t="shared" si="58"/>
        <v>WBA20198</v>
      </c>
      <c r="E1848" s="2">
        <v>43696</v>
      </c>
      <c r="F1848" s="3">
        <v>0.45750000000000002</v>
      </c>
      <c r="G1848" s="2">
        <v>43720</v>
      </c>
      <c r="H1848" s="3">
        <v>3.6299999999999999E-2</v>
      </c>
      <c r="I1848" s="3">
        <v>3.9772727000000001E-2</v>
      </c>
      <c r="J1848" s="3">
        <v>1.7500000000000002E-2</v>
      </c>
      <c r="K1848" s="3">
        <f t="shared" si="59"/>
        <v>2019</v>
      </c>
      <c r="L1848" s="3">
        <f t="shared" si="60"/>
        <v>0</v>
      </c>
      <c r="M1848" s="20" t="str">
        <f>A1848&amp;L1848</f>
        <v>WBA0</v>
      </c>
      <c r="N1848" s="3">
        <f>F1848</f>
        <v>0.45750000000000002</v>
      </c>
      <c r="O1848" s="9">
        <f>H1848</f>
        <v>3.6299999999999999E-2</v>
      </c>
      <c r="P1848" s="10">
        <f t="shared" si="61"/>
        <v>2.8900000000000002E-2</v>
      </c>
      <c r="Q1848" s="10">
        <f>IF(K1848=0,IF(A1845=A1848,AVERAGE(O1845:O1848),"x"),0)</f>
        <v>0</v>
      </c>
      <c r="R1848" s="9">
        <f>IF(L1848&gt;2005,AVERAGE(O1845:O1864),0)</f>
        <v>0</v>
      </c>
      <c r="S1848" s="10">
        <f>IF(A1848=A1849,(N1848-N1849)/N1849,0)</f>
        <v>3.9772727272727307E-2</v>
      </c>
      <c r="T1848" s="10">
        <f>IF(L1848&gt;2005,(((N1848-N1868)/N1868)+1)^(1/5)-1,0)</f>
        <v>0</v>
      </c>
      <c r="U1848" s="10">
        <f t="shared" si="62"/>
        <v>0</v>
      </c>
      <c r="V1848" s="26">
        <f t="shared" si="63"/>
        <v>0</v>
      </c>
      <c r="W1848" s="3">
        <f>IF(A1848=A1849,N1848-N1849,0)</f>
        <v>1.7500000000000016E-2</v>
      </c>
      <c r="X1848" s="10">
        <f>IF(A1848=A1849,(N1848-N1849)/N1849,0)</f>
        <v>3.9772727272727307E-2</v>
      </c>
    </row>
    <row r="1849" spans="1:24" ht="16.5" customHeight="1">
      <c r="A1849" s="3" t="s">
        <v>44</v>
      </c>
      <c r="B1849" s="3">
        <f t="shared" si="56"/>
        <v>2019</v>
      </c>
      <c r="C1849" s="3">
        <f t="shared" si="57"/>
        <v>5</v>
      </c>
      <c r="D1849" s="20" t="str">
        <f t="shared" si="58"/>
        <v>WBA20195</v>
      </c>
      <c r="E1849" s="2">
        <v>43602</v>
      </c>
      <c r="F1849" s="3">
        <v>0.44</v>
      </c>
      <c r="G1849" s="2">
        <v>43628</v>
      </c>
      <c r="H1849" s="3">
        <v>3.3500000000000002E-2</v>
      </c>
      <c r="I1849" s="3">
        <v>0</v>
      </c>
      <c r="J1849" s="3">
        <v>0</v>
      </c>
      <c r="K1849" s="3">
        <f t="shared" si="59"/>
        <v>2019</v>
      </c>
      <c r="L1849" s="3">
        <f t="shared" si="60"/>
        <v>0</v>
      </c>
      <c r="M1849" s="20" t="str">
        <f>A1849&amp;L1849</f>
        <v>WBA0</v>
      </c>
      <c r="N1849" s="3">
        <f>F1849</f>
        <v>0.44</v>
      </c>
      <c r="O1849" s="9">
        <f>H1849</f>
        <v>3.3500000000000002E-2</v>
      </c>
      <c r="P1849" s="10">
        <f t="shared" si="61"/>
        <v>0</v>
      </c>
      <c r="Q1849" s="10">
        <f>IF(K1849=0,IF(A1846=A1849,AVERAGE(O1846:O1849),"x"),0)</f>
        <v>0</v>
      </c>
      <c r="R1849" s="9">
        <f>IF(L1849&gt;2005,AVERAGE(O1846:O1865),0)</f>
        <v>0</v>
      </c>
      <c r="S1849" s="10">
        <f>IF(A1849=A1850,(N1849-N1850)/N1850,0)</f>
        <v>0</v>
      </c>
      <c r="T1849" s="10">
        <f>IF(L1849&gt;2005,(((N1849-N1869)/N1869)+1)^(1/5)-1,0)</f>
        <v>0</v>
      </c>
      <c r="U1849" s="10">
        <f t="shared" si="62"/>
        <v>0</v>
      </c>
      <c r="V1849" s="26">
        <f t="shared" si="63"/>
        <v>0</v>
      </c>
      <c r="W1849" s="3">
        <f>IF(A1849=A1850,N1849-N1850,0)</f>
        <v>0</v>
      </c>
      <c r="X1849" s="10">
        <f>IF(A1849=A1850,(N1849-N1850)/N1850,0)</f>
        <v>0</v>
      </c>
    </row>
    <row r="1850" spans="1:24" ht="16.5" customHeight="1">
      <c r="A1850" s="3" t="s">
        <v>44</v>
      </c>
      <c r="B1850" s="3">
        <f t="shared" si="56"/>
        <v>2019</v>
      </c>
      <c r="C1850" s="3">
        <f t="shared" si="57"/>
        <v>2</v>
      </c>
      <c r="D1850" s="20" t="str">
        <f t="shared" si="58"/>
        <v>WBA20192</v>
      </c>
      <c r="E1850" s="2">
        <v>43510</v>
      </c>
      <c r="F1850" s="3">
        <v>0.44</v>
      </c>
      <c r="G1850" s="2">
        <v>43536</v>
      </c>
      <c r="H1850" s="3">
        <v>2.4299999999999999E-2</v>
      </c>
      <c r="I1850" s="3">
        <v>0</v>
      </c>
      <c r="J1850" s="3">
        <v>0</v>
      </c>
      <c r="K1850" s="3">
        <f t="shared" si="59"/>
        <v>0</v>
      </c>
      <c r="L1850" s="3">
        <f t="shared" si="60"/>
        <v>2019</v>
      </c>
      <c r="M1850" s="20" t="str">
        <f>A1850&amp;L1850</f>
        <v>WBA2019</v>
      </c>
      <c r="N1850" s="3">
        <f>F1850</f>
        <v>0.44</v>
      </c>
      <c r="O1850" s="9">
        <f>H1850</f>
        <v>2.4299999999999999E-2</v>
      </c>
      <c r="P1850" s="10">
        <f t="shared" si="61"/>
        <v>0</v>
      </c>
      <c r="Q1850" s="10">
        <f>IF(K1850=0,IF(A1847=A1850,AVERAGE(O1847:O1850),"x"),0)</f>
        <v>3.09E-2</v>
      </c>
      <c r="R1850" s="9">
        <f>IF(L1850&gt;2005,AVERAGE(O1847:O1866),0)</f>
        <v>2.1700000000000001E-2</v>
      </c>
      <c r="S1850" s="10">
        <f>IF(A1850=A1851,(N1850-N1851)/N1851,0)</f>
        <v>0</v>
      </c>
      <c r="T1850" s="10">
        <f>IF(L1850&gt;2005,(((N1850-N1870)/N1870)+1)^(1/5)-1,0)</f>
        <v>6.9124851069322091E-2</v>
      </c>
      <c r="U1850" s="10">
        <f t="shared" si="62"/>
        <v>9.0824851069322088E-2</v>
      </c>
      <c r="V1850" s="26">
        <f t="shared" si="63"/>
        <v>4.7093995967588977</v>
      </c>
      <c r="W1850" s="3">
        <f>IF(A1850=A1851,N1850-N1851,0)</f>
        <v>0</v>
      </c>
      <c r="X1850" s="10">
        <f>IF(A1850=A1851,(N1850-N1851)/N1851,0)</f>
        <v>0</v>
      </c>
    </row>
    <row r="1851" spans="1:24" ht="16.5" customHeight="1">
      <c r="A1851" s="3" t="s">
        <v>44</v>
      </c>
      <c r="B1851" s="3">
        <f t="shared" si="56"/>
        <v>2018</v>
      </c>
      <c r="C1851" s="3">
        <f t="shared" si="57"/>
        <v>11</v>
      </c>
      <c r="D1851" s="20" t="str">
        <f t="shared" si="58"/>
        <v>WBA201811</v>
      </c>
      <c r="E1851" s="2">
        <v>43412</v>
      </c>
      <c r="F1851" s="3">
        <v>0.44</v>
      </c>
      <c r="G1851" s="2">
        <v>43446</v>
      </c>
      <c r="H1851" s="3">
        <v>2.1499999999999998E-2</v>
      </c>
      <c r="I1851" s="3">
        <v>0</v>
      </c>
      <c r="J1851" s="3">
        <v>0</v>
      </c>
      <c r="K1851" s="3">
        <f t="shared" si="59"/>
        <v>2018</v>
      </c>
      <c r="L1851" s="3">
        <f t="shared" si="60"/>
        <v>0</v>
      </c>
      <c r="M1851" s="20" t="str">
        <f>A1851&amp;L1851</f>
        <v>WBA0</v>
      </c>
      <c r="N1851" s="3">
        <f>F1851</f>
        <v>0.44</v>
      </c>
      <c r="O1851" s="9">
        <f>H1851</f>
        <v>2.1499999999999998E-2</v>
      </c>
      <c r="P1851" s="10">
        <f t="shared" si="61"/>
        <v>0</v>
      </c>
      <c r="Q1851" s="10">
        <f>IF(K1851=0,IF(A1848=A1851,AVERAGE(O1848:O1851),"x"),0)</f>
        <v>0</v>
      </c>
      <c r="R1851" s="9">
        <f>IF(L1851&gt;2005,AVERAGE(O1848:O1867),0)</f>
        <v>0</v>
      </c>
      <c r="S1851" s="10">
        <f>IF(A1851=A1852,(N1851-N1852)/N1852,0)</f>
        <v>0</v>
      </c>
      <c r="T1851" s="10">
        <f>IF(L1851&gt;2005,(((N1851-N1871)/N1871)+1)^(1/5)-1,0)</f>
        <v>0</v>
      </c>
      <c r="U1851" s="10">
        <f t="shared" si="62"/>
        <v>0</v>
      </c>
      <c r="V1851" s="26">
        <f t="shared" si="63"/>
        <v>0</v>
      </c>
      <c r="W1851" s="3">
        <f>IF(A1851=A1852,N1851-N1852,0)</f>
        <v>0</v>
      </c>
      <c r="X1851" s="10">
        <f>IF(A1851=A1852,(N1851-N1852)/N1852,0)</f>
        <v>0</v>
      </c>
    </row>
    <row r="1852" spans="1:24" ht="16.5" customHeight="1">
      <c r="A1852" s="3" t="s">
        <v>44</v>
      </c>
      <c r="B1852" s="3">
        <f t="shared" si="56"/>
        <v>2018</v>
      </c>
      <c r="C1852" s="3">
        <f t="shared" si="57"/>
        <v>8</v>
      </c>
      <c r="D1852" s="20" t="str">
        <f t="shared" si="58"/>
        <v>WBA20188</v>
      </c>
      <c r="E1852" s="2">
        <v>43329</v>
      </c>
      <c r="F1852" s="3">
        <v>0.44</v>
      </c>
      <c r="G1852" s="2">
        <v>43355</v>
      </c>
      <c r="H1852" s="3">
        <v>2.53E-2</v>
      </c>
      <c r="I1852" s="3">
        <v>0.1</v>
      </c>
      <c r="J1852" s="3">
        <v>0.04</v>
      </c>
      <c r="K1852" s="3">
        <f t="shared" si="59"/>
        <v>2018</v>
      </c>
      <c r="L1852" s="3">
        <f t="shared" si="60"/>
        <v>0</v>
      </c>
      <c r="M1852" s="20" t="str">
        <f>A1852&amp;L1852</f>
        <v>WBA0</v>
      </c>
      <c r="N1852" s="3">
        <f>F1852</f>
        <v>0.44</v>
      </c>
      <c r="O1852" s="9">
        <f>H1852</f>
        <v>2.53E-2</v>
      </c>
      <c r="P1852" s="10">
        <f t="shared" si="61"/>
        <v>2.4E-2</v>
      </c>
      <c r="Q1852" s="10">
        <f>IF(K1852=0,IF(A1849=A1852,AVERAGE(O1849:O1852),"x"),0)</f>
        <v>0</v>
      </c>
      <c r="R1852" s="9">
        <f>IF(L1852&gt;2005,AVERAGE(O1849:O1868),0)</f>
        <v>0</v>
      </c>
      <c r="S1852" s="10">
        <f>IF(A1852=A1853,(N1852-N1853)/N1853,0)</f>
        <v>9.999999999999995E-2</v>
      </c>
      <c r="T1852" s="10">
        <f>IF(L1852&gt;2005,(((N1852-N1872)/N1872)+1)^(1/5)-1,0)</f>
        <v>0</v>
      </c>
      <c r="U1852" s="10">
        <f t="shared" si="62"/>
        <v>0</v>
      </c>
      <c r="V1852" s="26">
        <f t="shared" si="63"/>
        <v>0</v>
      </c>
      <c r="W1852" s="3">
        <f>IF(A1852=A1853,N1852-N1853,0)</f>
        <v>3.999999999999998E-2</v>
      </c>
      <c r="X1852" s="10">
        <f>IF(A1852=A1853,(N1852-N1853)/N1853,0)</f>
        <v>9.999999999999995E-2</v>
      </c>
    </row>
    <row r="1853" spans="1:24" ht="16.5" customHeight="1">
      <c r="A1853" s="3" t="s">
        <v>44</v>
      </c>
      <c r="B1853" s="3">
        <f t="shared" si="56"/>
        <v>2018</v>
      </c>
      <c r="C1853" s="3">
        <f t="shared" si="57"/>
        <v>5</v>
      </c>
      <c r="D1853" s="20" t="str">
        <f t="shared" si="58"/>
        <v>WBA20185</v>
      </c>
      <c r="E1853" s="2">
        <v>43237</v>
      </c>
      <c r="F1853" s="3">
        <v>0.4</v>
      </c>
      <c r="G1853" s="2">
        <v>43263</v>
      </c>
      <c r="H1853" s="3">
        <v>2.4299999999999999E-2</v>
      </c>
      <c r="I1853" s="3">
        <v>0</v>
      </c>
      <c r="J1853" s="3">
        <v>0</v>
      </c>
      <c r="K1853" s="3">
        <f t="shared" si="59"/>
        <v>2018</v>
      </c>
      <c r="L1853" s="3">
        <f t="shared" si="60"/>
        <v>0</v>
      </c>
      <c r="M1853" s="20" t="str">
        <f>A1853&amp;L1853</f>
        <v>WBA0</v>
      </c>
      <c r="N1853" s="3">
        <f>F1853</f>
        <v>0.4</v>
      </c>
      <c r="O1853" s="9">
        <f>H1853</f>
        <v>2.4299999999999999E-2</v>
      </c>
      <c r="P1853" s="10">
        <f t="shared" si="61"/>
        <v>0</v>
      </c>
      <c r="Q1853" s="10">
        <f>IF(K1853=0,IF(A1850=A1853,AVERAGE(O1850:O1853),"x"),0)</f>
        <v>0</v>
      </c>
      <c r="R1853" s="9">
        <f>IF(L1853&gt;2005,AVERAGE(O1850:O1869),0)</f>
        <v>0</v>
      </c>
      <c r="S1853" s="10">
        <f>IF(A1853=A1854,(N1853-N1854)/N1854,0)</f>
        <v>0</v>
      </c>
      <c r="T1853" s="10">
        <f>IF(L1853&gt;2005,(((N1853-N1873)/N1873)+1)^(1/5)-1,0)</f>
        <v>0</v>
      </c>
      <c r="U1853" s="10">
        <f t="shared" si="62"/>
        <v>0</v>
      </c>
      <c r="V1853" s="26">
        <f t="shared" si="63"/>
        <v>0</v>
      </c>
      <c r="W1853" s="3">
        <f>IF(A1853=A1854,N1853-N1854,0)</f>
        <v>0</v>
      </c>
      <c r="X1853" s="10">
        <f>IF(A1853=A1854,(N1853-N1854)/N1854,0)</f>
        <v>0</v>
      </c>
    </row>
    <row r="1854" spans="1:24" ht="16.5" customHeight="1">
      <c r="A1854" s="3" t="s">
        <v>44</v>
      </c>
      <c r="B1854" s="3">
        <f t="shared" si="56"/>
        <v>2018</v>
      </c>
      <c r="C1854" s="3">
        <f t="shared" si="57"/>
        <v>2</v>
      </c>
      <c r="D1854" s="20" t="str">
        <f t="shared" si="58"/>
        <v>WBA20182</v>
      </c>
      <c r="E1854" s="2">
        <v>43145</v>
      </c>
      <c r="F1854" s="3">
        <v>0.4</v>
      </c>
      <c r="G1854" s="2">
        <v>43171</v>
      </c>
      <c r="H1854" s="3">
        <v>2.3400000000000001E-2</v>
      </c>
      <c r="I1854" s="3">
        <v>0</v>
      </c>
      <c r="J1854" s="3">
        <v>0</v>
      </c>
      <c r="K1854" s="3">
        <f t="shared" si="59"/>
        <v>0</v>
      </c>
      <c r="L1854" s="3">
        <f t="shared" si="60"/>
        <v>2018</v>
      </c>
      <c r="M1854" s="20" t="str">
        <f>A1854&amp;L1854</f>
        <v>WBA2018</v>
      </c>
      <c r="N1854" s="3">
        <f>F1854</f>
        <v>0.4</v>
      </c>
      <c r="O1854" s="9">
        <f>H1854</f>
        <v>2.3400000000000001E-2</v>
      </c>
      <c r="P1854" s="10">
        <f t="shared" si="61"/>
        <v>0</v>
      </c>
      <c r="Q1854" s="10">
        <f>IF(K1854=0,IF(A1851=A1854,AVERAGE(O1851:O1854),"x"),0)</f>
        <v>2.3625E-2</v>
      </c>
      <c r="R1854" s="9">
        <f>IF(L1854&gt;2005,AVERAGE(O1851:O1870),0)</f>
        <v>1.9384999999999999E-2</v>
      </c>
      <c r="S1854" s="10">
        <f>IF(A1854=A1855,(N1854-N1855)/N1855,0)</f>
        <v>0</v>
      </c>
      <c r="T1854" s="10">
        <f>IF(L1854&gt;2005,(((N1854-N1874)/N1874)+1)^(1/5)-1,0)</f>
        <v>7.7818067712725814E-2</v>
      </c>
      <c r="U1854" s="10">
        <f t="shared" si="62"/>
        <v>9.7203067712725813E-2</v>
      </c>
      <c r="V1854" s="26">
        <f t="shared" si="63"/>
        <v>4.7411460238848795</v>
      </c>
      <c r="W1854" s="3">
        <f>IF(A1854=A1855,N1854-N1855,0)</f>
        <v>0</v>
      </c>
      <c r="X1854" s="10">
        <f>IF(A1854=A1855,(N1854-N1855)/N1855,0)</f>
        <v>0</v>
      </c>
    </row>
    <row r="1855" spans="1:24" ht="16.5" customHeight="1">
      <c r="A1855" s="3" t="s">
        <v>44</v>
      </c>
      <c r="B1855" s="3">
        <f t="shared" si="56"/>
        <v>2017</v>
      </c>
      <c r="C1855" s="3">
        <f t="shared" si="57"/>
        <v>11</v>
      </c>
      <c r="D1855" s="20" t="str">
        <f t="shared" si="58"/>
        <v>WBA201711</v>
      </c>
      <c r="E1855" s="2">
        <v>43049</v>
      </c>
      <c r="F1855" s="3">
        <v>0.4</v>
      </c>
      <c r="G1855" s="2">
        <v>43081</v>
      </c>
      <c r="H1855" s="3">
        <v>2.3E-2</v>
      </c>
      <c r="I1855" s="3">
        <v>0</v>
      </c>
      <c r="J1855" s="3">
        <v>0</v>
      </c>
      <c r="K1855" s="3">
        <f t="shared" si="59"/>
        <v>2017</v>
      </c>
      <c r="L1855" s="3">
        <f t="shared" si="60"/>
        <v>0</v>
      </c>
      <c r="M1855" s="20" t="str">
        <f>A1855&amp;L1855</f>
        <v>WBA0</v>
      </c>
      <c r="N1855" s="3">
        <f>F1855</f>
        <v>0.4</v>
      </c>
      <c r="O1855" s="9">
        <f>H1855</f>
        <v>2.3E-2</v>
      </c>
      <c r="P1855" s="10">
        <f t="shared" si="61"/>
        <v>0</v>
      </c>
      <c r="Q1855" s="10">
        <f>IF(K1855=0,IF(A1852=A1855,AVERAGE(O1852:O1855),"x"),0)</f>
        <v>0</v>
      </c>
      <c r="R1855" s="9">
        <f>IF(L1855&gt;2005,AVERAGE(O1852:O1871),0)</f>
        <v>0</v>
      </c>
      <c r="S1855" s="10">
        <f>IF(A1855=A1856,(N1855-N1856)/N1856,0)</f>
        <v>0</v>
      </c>
      <c r="T1855" s="10">
        <f>IF(L1855&gt;2005,(((N1855-N1875)/N1875)+1)^(1/5)-1,0)</f>
        <v>0</v>
      </c>
      <c r="U1855" s="10">
        <f t="shared" si="62"/>
        <v>0</v>
      </c>
      <c r="V1855" s="26">
        <f t="shared" si="63"/>
        <v>0</v>
      </c>
      <c r="W1855" s="3">
        <f>IF(A1855=A1856,N1855-N1856,0)</f>
        <v>0</v>
      </c>
      <c r="X1855" s="10">
        <f>IF(A1855=A1856,(N1855-N1856)/N1856,0)</f>
        <v>0</v>
      </c>
    </row>
    <row r="1856" spans="1:24" ht="16.5" customHeight="1">
      <c r="A1856" s="3" t="s">
        <v>44</v>
      </c>
      <c r="B1856" s="3">
        <f t="shared" si="56"/>
        <v>2017</v>
      </c>
      <c r="C1856" s="3">
        <f t="shared" si="57"/>
        <v>8</v>
      </c>
      <c r="D1856" s="20" t="str">
        <f t="shared" si="58"/>
        <v>WBA20178</v>
      </c>
      <c r="E1856" s="2">
        <v>42963</v>
      </c>
      <c r="F1856" s="3">
        <v>0.4</v>
      </c>
      <c r="G1856" s="2">
        <v>42990</v>
      </c>
      <c r="H1856" s="3">
        <v>1.9699999999999999E-2</v>
      </c>
      <c r="I1856" s="3">
        <v>6.6666666999999999E-2</v>
      </c>
      <c r="J1856" s="3">
        <v>2.5000000000000001E-2</v>
      </c>
      <c r="K1856" s="3">
        <f t="shared" si="59"/>
        <v>2017</v>
      </c>
      <c r="L1856" s="3">
        <f t="shared" si="60"/>
        <v>0</v>
      </c>
      <c r="M1856" s="20" t="str">
        <f>A1856&amp;L1856</f>
        <v>WBA0</v>
      </c>
      <c r="N1856" s="3">
        <f>F1856</f>
        <v>0.4</v>
      </c>
      <c r="O1856" s="9">
        <f>H1856</f>
        <v>1.9699999999999999E-2</v>
      </c>
      <c r="P1856" s="10">
        <f t="shared" si="61"/>
        <v>1.8425E-2</v>
      </c>
      <c r="Q1856" s="10">
        <f>IF(K1856=0,IF(A1853=A1856,AVERAGE(O1853:O1856),"x"),0)</f>
        <v>0</v>
      </c>
      <c r="R1856" s="9">
        <f>IF(L1856&gt;2005,AVERAGE(O1853:O1872),0)</f>
        <v>0</v>
      </c>
      <c r="S1856" s="10">
        <f>IF(A1856=A1857,(N1856-N1857)/N1857,0)</f>
        <v>6.6666666666666721E-2</v>
      </c>
      <c r="T1856" s="10">
        <f>IF(L1856&gt;2005,(((N1856-N1876)/N1876)+1)^(1/5)-1,0)</f>
        <v>0</v>
      </c>
      <c r="U1856" s="10">
        <f t="shared" si="62"/>
        <v>0</v>
      </c>
      <c r="V1856" s="26">
        <f t="shared" si="63"/>
        <v>0</v>
      </c>
      <c r="W1856" s="3">
        <f>IF(A1856=A1857,N1856-N1857,0)</f>
        <v>2.5000000000000022E-2</v>
      </c>
      <c r="X1856" s="10">
        <f>IF(A1856=A1857,(N1856-N1857)/N1857,0)</f>
        <v>6.6666666666666721E-2</v>
      </c>
    </row>
    <row r="1857" spans="1:24" ht="16.5" customHeight="1">
      <c r="A1857" s="3" t="s">
        <v>44</v>
      </c>
      <c r="B1857" s="3">
        <f t="shared" si="56"/>
        <v>2017</v>
      </c>
      <c r="C1857" s="3">
        <f t="shared" si="57"/>
        <v>5</v>
      </c>
      <c r="D1857" s="20" t="str">
        <f t="shared" si="58"/>
        <v>WBA20175</v>
      </c>
      <c r="E1857" s="2">
        <v>42871</v>
      </c>
      <c r="F1857" s="3">
        <v>0.375</v>
      </c>
      <c r="G1857" s="2">
        <v>42898</v>
      </c>
      <c r="H1857" s="3">
        <v>1.77E-2</v>
      </c>
      <c r="I1857" s="3">
        <v>0</v>
      </c>
      <c r="J1857" s="3">
        <v>0</v>
      </c>
      <c r="K1857" s="3">
        <f t="shared" si="59"/>
        <v>2017</v>
      </c>
      <c r="L1857" s="3">
        <f t="shared" si="60"/>
        <v>0</v>
      </c>
      <c r="M1857" s="20" t="str">
        <f>A1857&amp;L1857</f>
        <v>WBA0</v>
      </c>
      <c r="N1857" s="3">
        <f>F1857</f>
        <v>0.375</v>
      </c>
      <c r="O1857" s="9">
        <f>H1857</f>
        <v>1.77E-2</v>
      </c>
      <c r="P1857" s="10">
        <f t="shared" si="61"/>
        <v>0</v>
      </c>
      <c r="Q1857" s="10">
        <f>IF(K1857=0,IF(A1854=A1857,AVERAGE(O1854:O1857),"x"),0)</f>
        <v>0</v>
      </c>
      <c r="R1857" s="9">
        <f>IF(L1857&gt;2005,AVERAGE(O1854:O1873),0)</f>
        <v>0</v>
      </c>
      <c r="S1857" s="10">
        <f>IF(A1857=A1858,(N1857-N1858)/N1858,0)</f>
        <v>0</v>
      </c>
      <c r="T1857" s="10">
        <f>IF(L1857&gt;2005,(((N1857-N1877)/N1877)+1)^(1/5)-1,0)</f>
        <v>0</v>
      </c>
      <c r="U1857" s="10">
        <f t="shared" si="62"/>
        <v>0</v>
      </c>
      <c r="V1857" s="26">
        <f t="shared" si="63"/>
        <v>0</v>
      </c>
      <c r="W1857" s="3">
        <f>IF(A1857=A1858,N1857-N1858,0)</f>
        <v>0</v>
      </c>
      <c r="X1857" s="10">
        <f>IF(A1857=A1858,(N1857-N1858)/N1858,0)</f>
        <v>0</v>
      </c>
    </row>
    <row r="1858" spans="1:24" ht="16.5" customHeight="1">
      <c r="A1858" s="3" t="s">
        <v>44</v>
      </c>
      <c r="B1858" s="3">
        <f t="shared" si="56"/>
        <v>2017</v>
      </c>
      <c r="C1858" s="3">
        <f t="shared" si="57"/>
        <v>2</v>
      </c>
      <c r="D1858" s="20" t="str">
        <f t="shared" si="58"/>
        <v>WBA20172</v>
      </c>
      <c r="E1858" s="2">
        <v>42779</v>
      </c>
      <c r="F1858" s="3">
        <v>0.375</v>
      </c>
      <c r="G1858" s="2">
        <v>42804</v>
      </c>
      <c r="H1858" s="3">
        <v>1.7999999999999999E-2</v>
      </c>
      <c r="I1858" s="3">
        <v>0</v>
      </c>
      <c r="J1858" s="3">
        <v>0</v>
      </c>
      <c r="K1858" s="3">
        <f t="shared" si="59"/>
        <v>0</v>
      </c>
      <c r="L1858" s="3">
        <f t="shared" si="60"/>
        <v>2017</v>
      </c>
      <c r="M1858" s="20" t="str">
        <f>A1858&amp;L1858</f>
        <v>WBA2017</v>
      </c>
      <c r="N1858" s="3">
        <f>F1858</f>
        <v>0.375</v>
      </c>
      <c r="O1858" s="9">
        <f>H1858</f>
        <v>1.7999999999999999E-2</v>
      </c>
      <c r="P1858" s="10">
        <f t="shared" si="61"/>
        <v>0</v>
      </c>
      <c r="Q1858" s="10">
        <f>IF(K1858=0,IF(A1855=A1858,AVERAGE(O1855:O1858),"x"),0)</f>
        <v>1.9599999999999999E-2</v>
      </c>
      <c r="R1858" s="9">
        <f>IF(L1858&gt;2005,AVERAGE(O1855:O1874),0)</f>
        <v>1.9160000000000003E-2</v>
      </c>
      <c r="S1858" s="10">
        <f>IF(A1858=A1859,(N1858-N1859)/N1859,0)</f>
        <v>0</v>
      </c>
      <c r="T1858" s="10">
        <f>IF(L1858&gt;2005,(((N1858-N1878)/N1878)+1)^(1/5)-1,0)</f>
        <v>0.10756634324828984</v>
      </c>
      <c r="U1858" s="10">
        <f t="shared" si="62"/>
        <v>0.12672634324828985</v>
      </c>
      <c r="V1858" s="26">
        <f t="shared" si="63"/>
        <v>4.7506349049970993</v>
      </c>
      <c r="W1858" s="3">
        <f>IF(A1858=A1859,N1858-N1859,0)</f>
        <v>0</v>
      </c>
      <c r="X1858" s="10">
        <f>IF(A1858=A1859,(N1858-N1859)/N1859,0)</f>
        <v>0</v>
      </c>
    </row>
    <row r="1859" spans="1:24" ht="16.5" customHeight="1">
      <c r="A1859" s="3" t="s">
        <v>44</v>
      </c>
      <c r="B1859" s="3">
        <f t="shared" si="56"/>
        <v>2016</v>
      </c>
      <c r="C1859" s="3">
        <f t="shared" si="57"/>
        <v>11</v>
      </c>
      <c r="D1859" s="20" t="str">
        <f t="shared" si="58"/>
        <v>WBA201611</v>
      </c>
      <c r="E1859" s="2">
        <v>42689</v>
      </c>
      <c r="F1859" s="3">
        <v>0.375</v>
      </c>
      <c r="G1859" s="2">
        <v>42716</v>
      </c>
      <c r="H1859" s="3">
        <v>1.83E-2</v>
      </c>
      <c r="I1859" s="3">
        <v>0</v>
      </c>
      <c r="J1859" s="3">
        <v>0</v>
      </c>
      <c r="K1859" s="3">
        <f t="shared" si="59"/>
        <v>2016</v>
      </c>
      <c r="L1859" s="3">
        <f t="shared" si="60"/>
        <v>0</v>
      </c>
      <c r="M1859" s="20" t="str">
        <f>A1859&amp;L1859</f>
        <v>WBA0</v>
      </c>
      <c r="N1859" s="3">
        <f>F1859</f>
        <v>0.375</v>
      </c>
      <c r="O1859" s="9">
        <f>H1859</f>
        <v>1.83E-2</v>
      </c>
      <c r="P1859" s="10">
        <f t="shared" si="61"/>
        <v>0</v>
      </c>
      <c r="Q1859" s="10">
        <f>IF(K1859=0,IF(A1856=A1859,AVERAGE(O1856:O1859),"x"),0)</f>
        <v>0</v>
      </c>
      <c r="R1859" s="9">
        <f>IF(L1859&gt;2005,AVERAGE(O1856:O1875),0)</f>
        <v>0</v>
      </c>
      <c r="S1859" s="10">
        <f>IF(A1859=A1860,(N1859-N1860)/N1860,0)</f>
        <v>0</v>
      </c>
      <c r="T1859" s="10">
        <f>IF(L1859&gt;2005,(((N1859-N1879)/N1879)+1)^(1/5)-1,0)</f>
        <v>0</v>
      </c>
      <c r="U1859" s="10">
        <f t="shared" si="62"/>
        <v>0</v>
      </c>
      <c r="V1859" s="26">
        <f t="shared" si="63"/>
        <v>0</v>
      </c>
      <c r="W1859" s="3">
        <f>IF(A1859=A1860,N1859-N1860,0)</f>
        <v>0</v>
      </c>
      <c r="X1859" s="10">
        <f>IF(A1859=A1860,(N1859-N1860)/N1860,0)</f>
        <v>0</v>
      </c>
    </row>
    <row r="1860" spans="1:24" ht="16.5" customHeight="1">
      <c r="A1860" s="3" t="s">
        <v>44</v>
      </c>
      <c r="B1860" s="3">
        <f t="shared" si="56"/>
        <v>2016</v>
      </c>
      <c r="C1860" s="3">
        <f t="shared" si="57"/>
        <v>8</v>
      </c>
      <c r="D1860" s="20" t="str">
        <f t="shared" si="58"/>
        <v>WBA20168</v>
      </c>
      <c r="E1860" s="2">
        <v>42599</v>
      </c>
      <c r="F1860" s="3">
        <v>0.375</v>
      </c>
      <c r="G1860" s="2">
        <v>42625</v>
      </c>
      <c r="H1860" s="3">
        <v>1.8100000000000002E-2</v>
      </c>
      <c r="I1860" s="3">
        <v>4.1666666999999998E-2</v>
      </c>
      <c r="J1860" s="3">
        <v>1.4999999999999999E-2</v>
      </c>
      <c r="K1860" s="3">
        <f t="shared" si="59"/>
        <v>2016</v>
      </c>
      <c r="L1860" s="3">
        <f t="shared" si="60"/>
        <v>0</v>
      </c>
      <c r="M1860" s="20" t="str">
        <f>A1860&amp;L1860</f>
        <v>WBA0</v>
      </c>
      <c r="N1860" s="3">
        <f>F1860</f>
        <v>0.375</v>
      </c>
      <c r="O1860" s="9">
        <f>H1860</f>
        <v>1.8100000000000002E-2</v>
      </c>
      <c r="P1860" s="10">
        <f t="shared" si="61"/>
        <v>1.8024999999999999E-2</v>
      </c>
      <c r="Q1860" s="10">
        <f>IF(K1860=0,IF(A1857=A1860,AVERAGE(O1857:O1860),"x"),0)</f>
        <v>0</v>
      </c>
      <c r="R1860" s="9">
        <f>IF(L1860&gt;2005,AVERAGE(O1857:O1876),0)</f>
        <v>0</v>
      </c>
      <c r="S1860" s="10">
        <f>IF(A1860=A1861,(N1860-N1861)/N1861,0)</f>
        <v>4.1666666666666706E-2</v>
      </c>
      <c r="T1860" s="10">
        <f>IF(L1860&gt;2005,(((N1860-N1880)/N1880)+1)^(1/5)-1,0)</f>
        <v>0</v>
      </c>
      <c r="U1860" s="10">
        <f t="shared" si="62"/>
        <v>0</v>
      </c>
      <c r="V1860" s="26">
        <f t="shared" si="63"/>
        <v>0</v>
      </c>
      <c r="W1860" s="3">
        <f>IF(A1860=A1861,N1860-N1861,0)</f>
        <v>1.5000000000000013E-2</v>
      </c>
      <c r="X1860" s="10">
        <f>IF(A1860=A1861,(N1860-N1861)/N1861,0)</f>
        <v>4.1666666666666706E-2</v>
      </c>
    </row>
    <row r="1861" spans="1:24" ht="16.5" customHeight="1">
      <c r="A1861" s="3" t="s">
        <v>44</v>
      </c>
      <c r="B1861" s="3">
        <f t="shared" si="56"/>
        <v>2016</v>
      </c>
      <c r="C1861" s="3">
        <f t="shared" si="57"/>
        <v>5</v>
      </c>
      <c r="D1861" s="20" t="str">
        <f t="shared" si="58"/>
        <v>WBA20165</v>
      </c>
      <c r="E1861" s="2">
        <v>42506</v>
      </c>
      <c r="F1861" s="3">
        <v>0.36</v>
      </c>
      <c r="G1861" s="2">
        <v>42531</v>
      </c>
      <c r="H1861" s="3">
        <v>1.83E-2</v>
      </c>
      <c r="I1861" s="3">
        <v>0</v>
      </c>
      <c r="J1861" s="3">
        <v>0</v>
      </c>
      <c r="K1861" s="3">
        <f t="shared" si="59"/>
        <v>2016</v>
      </c>
      <c r="L1861" s="3">
        <f t="shared" si="60"/>
        <v>0</v>
      </c>
      <c r="M1861" s="20" t="str">
        <f>A1861&amp;L1861</f>
        <v>WBA0</v>
      </c>
      <c r="N1861" s="3">
        <f>F1861</f>
        <v>0.36</v>
      </c>
      <c r="O1861" s="9">
        <f>H1861</f>
        <v>1.83E-2</v>
      </c>
      <c r="P1861" s="10">
        <f t="shared" si="61"/>
        <v>0</v>
      </c>
      <c r="Q1861" s="10">
        <f>IF(K1861=0,IF(A1858=A1861,AVERAGE(O1858:O1861),"x"),0)</f>
        <v>0</v>
      </c>
      <c r="R1861" s="9">
        <f>IF(L1861&gt;2005,AVERAGE(O1858:O1877),0)</f>
        <v>0</v>
      </c>
      <c r="S1861" s="10">
        <f>IF(A1861=A1862,(N1861-N1862)/N1862,0)</f>
        <v>0</v>
      </c>
      <c r="T1861" s="10">
        <f>IF(L1861&gt;2005,(((N1861-N1881)/N1881)+1)^(1/5)-1,0)</f>
        <v>0</v>
      </c>
      <c r="U1861" s="10">
        <f t="shared" si="62"/>
        <v>0</v>
      </c>
      <c r="V1861" s="26">
        <f t="shared" si="63"/>
        <v>0</v>
      </c>
      <c r="W1861" s="3">
        <f>IF(A1861=A1862,N1861-N1862,0)</f>
        <v>0</v>
      </c>
      <c r="X1861" s="10">
        <f>IF(A1861=A1862,(N1861-N1862)/N1862,0)</f>
        <v>0</v>
      </c>
    </row>
    <row r="1862" spans="1:24" ht="16.5" customHeight="1">
      <c r="A1862" s="3" t="s">
        <v>44</v>
      </c>
      <c r="B1862" s="3">
        <f t="shared" si="56"/>
        <v>2016</v>
      </c>
      <c r="C1862" s="3">
        <f t="shared" si="57"/>
        <v>2</v>
      </c>
      <c r="D1862" s="20" t="str">
        <f t="shared" si="58"/>
        <v>WBA20162</v>
      </c>
      <c r="E1862" s="2">
        <v>42416</v>
      </c>
      <c r="F1862" s="3">
        <v>0.36</v>
      </c>
      <c r="G1862" s="2">
        <v>42440</v>
      </c>
      <c r="H1862" s="3">
        <v>1.8700000000000001E-2</v>
      </c>
      <c r="I1862" s="3">
        <v>0</v>
      </c>
      <c r="J1862" s="3">
        <v>0</v>
      </c>
      <c r="K1862" s="3">
        <f t="shared" si="59"/>
        <v>0</v>
      </c>
      <c r="L1862" s="3">
        <f t="shared" si="60"/>
        <v>2016</v>
      </c>
      <c r="M1862" s="20" t="str">
        <f>A1862&amp;L1862</f>
        <v>WBA2016</v>
      </c>
      <c r="N1862" s="3">
        <f>F1862</f>
        <v>0.36</v>
      </c>
      <c r="O1862" s="9">
        <f>H1862</f>
        <v>1.8700000000000001E-2</v>
      </c>
      <c r="P1862" s="10">
        <f t="shared" si="61"/>
        <v>0</v>
      </c>
      <c r="Q1862" s="10">
        <f>IF(K1862=0,IF(A1859=A1862,AVERAGE(O1859:O1862),"x"),0)</f>
        <v>1.8349999999999998E-2</v>
      </c>
      <c r="R1862" s="9">
        <f>IF(L1862&gt;2005,AVERAGE(O1859:O1878),0)</f>
        <v>2.0645E-2</v>
      </c>
      <c r="S1862" s="10">
        <f>IF(A1862=A1863,(N1862-N1863)/N1863,0)</f>
        <v>0</v>
      </c>
      <c r="T1862" s="10">
        <f>IF(L1862&gt;2005,(((N1862-N1882)/N1882)+1)^(1/5)-1,0)</f>
        <v>0.15518858939380853</v>
      </c>
      <c r="U1862" s="10">
        <f t="shared" si="62"/>
        <v>0.17583358939380853</v>
      </c>
      <c r="V1862" s="26">
        <f t="shared" si="63"/>
        <v>4.7427185262252216</v>
      </c>
      <c r="W1862" s="3">
        <f>IF(A1862=A1863,N1862-N1863,0)</f>
        <v>0</v>
      </c>
      <c r="X1862" s="10">
        <f>IF(A1862=A1863,(N1862-N1863)/N1863,0)</f>
        <v>0</v>
      </c>
    </row>
    <row r="1863" spans="1:24" ht="16.5" customHeight="1">
      <c r="A1863" s="3" t="s">
        <v>44</v>
      </c>
      <c r="B1863" s="3">
        <f t="shared" si="56"/>
        <v>2015</v>
      </c>
      <c r="C1863" s="3">
        <f t="shared" si="57"/>
        <v>11</v>
      </c>
      <c r="D1863" s="20" t="str">
        <f t="shared" si="58"/>
        <v>WBA201511</v>
      </c>
      <c r="E1863" s="2">
        <v>42320</v>
      </c>
      <c r="F1863" s="3">
        <v>0.36</v>
      </c>
      <c r="G1863" s="2">
        <v>42349</v>
      </c>
      <c r="H1863" s="3">
        <v>1.7000000000000001E-2</v>
      </c>
      <c r="I1863" s="3">
        <v>0</v>
      </c>
      <c r="J1863" s="3">
        <v>0</v>
      </c>
      <c r="K1863" s="3">
        <f t="shared" si="59"/>
        <v>2015</v>
      </c>
      <c r="L1863" s="3">
        <f t="shared" si="60"/>
        <v>0</v>
      </c>
      <c r="M1863" s="20" t="str">
        <f>A1863&amp;L1863</f>
        <v>WBA0</v>
      </c>
      <c r="N1863" s="3">
        <f>F1863</f>
        <v>0.36</v>
      </c>
      <c r="O1863" s="9">
        <f>H1863</f>
        <v>1.7000000000000001E-2</v>
      </c>
      <c r="P1863" s="10">
        <f t="shared" si="61"/>
        <v>0</v>
      </c>
      <c r="Q1863" s="10">
        <f>IF(K1863=0,IF(A1860=A1863,AVERAGE(O1860:O1863),"x"),0)</f>
        <v>0</v>
      </c>
      <c r="R1863" s="9">
        <f>IF(L1863&gt;2005,AVERAGE(O1860:O1879),0)</f>
        <v>0</v>
      </c>
      <c r="S1863" s="10">
        <f>IF(A1863=A1864,(N1863-N1864)/N1864,0)</f>
        <v>0</v>
      </c>
      <c r="T1863" s="10">
        <f>IF(L1863&gt;2005,(((N1863-N1883)/N1883)+1)^(1/5)-1,0)</f>
        <v>0</v>
      </c>
      <c r="U1863" s="10">
        <f t="shared" si="62"/>
        <v>0</v>
      </c>
      <c r="V1863" s="26">
        <f t="shared" si="63"/>
        <v>0</v>
      </c>
      <c r="W1863" s="3">
        <f>IF(A1863=A1864,N1863-N1864,0)</f>
        <v>0</v>
      </c>
      <c r="X1863" s="10">
        <f>IF(A1863=A1864,(N1863-N1864)/N1864,0)</f>
        <v>0</v>
      </c>
    </row>
    <row r="1864" spans="1:24" ht="16.5" customHeight="1">
      <c r="A1864" s="3" t="s">
        <v>44</v>
      </c>
      <c r="B1864" s="3">
        <f t="shared" si="56"/>
        <v>2015</v>
      </c>
      <c r="C1864" s="3">
        <f t="shared" si="57"/>
        <v>8</v>
      </c>
      <c r="D1864" s="20" t="str">
        <f t="shared" si="58"/>
        <v>WBA20158</v>
      </c>
      <c r="E1864" s="2">
        <v>42233</v>
      </c>
      <c r="F1864" s="3">
        <v>0.36</v>
      </c>
      <c r="G1864" s="2">
        <v>42258</v>
      </c>
      <c r="H1864" s="3">
        <v>1.49E-2</v>
      </c>
      <c r="I1864" s="3">
        <v>6.6666666999999999E-2</v>
      </c>
      <c r="J1864" s="3">
        <v>2.2499999999999999E-2</v>
      </c>
      <c r="K1864" s="3">
        <f t="shared" si="59"/>
        <v>2015</v>
      </c>
      <c r="L1864" s="3">
        <f t="shared" si="60"/>
        <v>0</v>
      </c>
      <c r="M1864" s="20" t="str">
        <f>A1864&amp;L1864</f>
        <v>WBA0</v>
      </c>
      <c r="N1864" s="3">
        <f>F1864</f>
        <v>0.36</v>
      </c>
      <c r="O1864" s="9">
        <f>H1864</f>
        <v>1.49E-2</v>
      </c>
      <c r="P1864" s="10">
        <f t="shared" si="61"/>
        <v>1.6625000000000001E-2</v>
      </c>
      <c r="Q1864" s="10">
        <f>IF(K1864=0,IF(A1861=A1864,AVERAGE(O1861:O1864),"x"),0)</f>
        <v>0</v>
      </c>
      <c r="R1864" s="9">
        <f>IF(L1864&gt;2005,AVERAGE(O1861:O1880),0)</f>
        <v>0</v>
      </c>
      <c r="S1864" s="10">
        <f>IF(A1864=A1865,(N1864-N1865)/N1865,0)</f>
        <v>6.6666666666666555E-2</v>
      </c>
      <c r="T1864" s="10">
        <f>IF(L1864&gt;2005,(((N1864-N1884)/N1884)+1)^(1/5)-1,0)</f>
        <v>0</v>
      </c>
      <c r="U1864" s="10">
        <f t="shared" si="62"/>
        <v>0</v>
      </c>
      <c r="V1864" s="26">
        <f t="shared" si="63"/>
        <v>0</v>
      </c>
      <c r="W1864" s="3">
        <f>IF(A1864=A1865,N1864-N1865,0)</f>
        <v>2.2499999999999964E-2</v>
      </c>
      <c r="X1864" s="10">
        <f>IF(A1864=A1865,(N1864-N1865)/N1865,0)</f>
        <v>6.6666666666666555E-2</v>
      </c>
    </row>
    <row r="1865" spans="1:24" ht="16.5" customHeight="1">
      <c r="A1865" s="3" t="s">
        <v>44</v>
      </c>
      <c r="B1865" s="3">
        <f t="shared" si="56"/>
        <v>2015</v>
      </c>
      <c r="C1865" s="3">
        <f t="shared" si="57"/>
        <v>5</v>
      </c>
      <c r="D1865" s="20" t="str">
        <f t="shared" si="58"/>
        <v>WBA20155</v>
      </c>
      <c r="E1865" s="2">
        <v>42143</v>
      </c>
      <c r="F1865" s="3">
        <v>0.33750000000000002</v>
      </c>
      <c r="G1865" s="2">
        <v>42167</v>
      </c>
      <c r="H1865" s="3">
        <v>1.5599999999999999E-2</v>
      </c>
      <c r="I1865" s="3">
        <v>0</v>
      </c>
      <c r="J1865" s="3">
        <v>0</v>
      </c>
      <c r="K1865" s="3">
        <f t="shared" si="59"/>
        <v>2015</v>
      </c>
      <c r="L1865" s="3">
        <f t="shared" si="60"/>
        <v>0</v>
      </c>
      <c r="M1865" s="20" t="str">
        <f>A1865&amp;L1865</f>
        <v>WBA0</v>
      </c>
      <c r="N1865" s="3">
        <f>F1865</f>
        <v>0.33750000000000002</v>
      </c>
      <c r="O1865" s="9">
        <f>H1865</f>
        <v>1.5599999999999999E-2</v>
      </c>
      <c r="P1865" s="10">
        <f t="shared" si="61"/>
        <v>0</v>
      </c>
      <c r="Q1865" s="10">
        <f>IF(K1865=0,IF(A1862=A1865,AVERAGE(O1862:O1865),"x"),0)</f>
        <v>0</v>
      </c>
      <c r="R1865" s="9">
        <f>IF(L1865&gt;2005,AVERAGE(O1862:O1881),0)</f>
        <v>0</v>
      </c>
      <c r="S1865" s="10">
        <f>IF(A1865=A1866,(N1865-N1866)/N1866,0)</f>
        <v>0</v>
      </c>
      <c r="T1865" s="10">
        <f>IF(L1865&gt;2005,(((N1865-N1885)/N1885)+1)^(1/5)-1,0)</f>
        <v>0</v>
      </c>
      <c r="U1865" s="10">
        <f t="shared" si="62"/>
        <v>0</v>
      </c>
      <c r="V1865" s="26">
        <f t="shared" si="63"/>
        <v>0</v>
      </c>
      <c r="W1865" s="3">
        <f>IF(A1865=A1866,N1865-N1866,0)</f>
        <v>0</v>
      </c>
      <c r="X1865" s="10">
        <f>IF(A1865=A1866,(N1865-N1866)/N1866,0)</f>
        <v>0</v>
      </c>
    </row>
    <row r="1866" spans="1:24" ht="16.5" customHeight="1">
      <c r="A1866" s="3" t="s">
        <v>44</v>
      </c>
      <c r="B1866" s="3">
        <f t="shared" si="56"/>
        <v>2015</v>
      </c>
      <c r="C1866" s="3">
        <f t="shared" si="57"/>
        <v>2</v>
      </c>
      <c r="D1866" s="20" t="str">
        <f t="shared" si="58"/>
        <v>WBA20152</v>
      </c>
      <c r="E1866" s="2">
        <v>42048</v>
      </c>
      <c r="F1866" s="3">
        <v>0.33750000000000002</v>
      </c>
      <c r="G1866" s="2">
        <v>42075</v>
      </c>
      <c r="H1866" s="3">
        <v>1.66E-2</v>
      </c>
      <c r="I1866" s="3">
        <v>0</v>
      </c>
      <c r="J1866" s="3">
        <v>0</v>
      </c>
      <c r="K1866" s="3">
        <f t="shared" si="59"/>
        <v>0</v>
      </c>
      <c r="L1866" s="3">
        <f t="shared" si="60"/>
        <v>2015</v>
      </c>
      <c r="M1866" s="20" t="str">
        <f>A1866&amp;L1866</f>
        <v>WBA2015</v>
      </c>
      <c r="N1866" s="3">
        <f>F1866</f>
        <v>0.33750000000000002</v>
      </c>
      <c r="O1866" s="9">
        <f>H1866</f>
        <v>1.66E-2</v>
      </c>
      <c r="P1866" s="10">
        <f t="shared" si="61"/>
        <v>0</v>
      </c>
      <c r="Q1866" s="10">
        <f>IF(K1866=0,IF(A1863=A1866,AVERAGE(O1863:O1866),"x"),0)</f>
        <v>1.6025000000000001E-2</v>
      </c>
      <c r="R1866" s="9">
        <f>IF(L1866&gt;2005,AVERAGE(O1863:O1882),0)</f>
        <v>2.0755000000000003E-2</v>
      </c>
      <c r="S1866" s="10">
        <f>IF(A1866=A1867,(N1866-N1867)/N1867,0)</f>
        <v>0</v>
      </c>
      <c r="T1866" s="10">
        <f>IF(L1866&gt;2005,(((N1866-N1886)/N1886)+1)^(1/5)-1,0)</f>
        <v>0.1967245924901726</v>
      </c>
      <c r="U1866" s="10">
        <f t="shared" si="62"/>
        <v>0.2174795924901726</v>
      </c>
      <c r="V1866" s="26">
        <f t="shared" si="63"/>
        <v>4.7500258400168525</v>
      </c>
      <c r="W1866" s="3">
        <f>IF(A1866=A1867,N1866-N1867,0)</f>
        <v>0</v>
      </c>
      <c r="X1866" s="10">
        <f>IF(A1866=A1867,(N1866-N1867)/N1867,0)</f>
        <v>0</v>
      </c>
    </row>
    <row r="1867" spans="1:24" ht="16.5" customHeight="1">
      <c r="A1867" s="3" t="s">
        <v>44</v>
      </c>
      <c r="B1867" s="3">
        <f t="shared" si="56"/>
        <v>2014</v>
      </c>
      <c r="C1867" s="3">
        <f t="shared" si="57"/>
        <v>11</v>
      </c>
      <c r="D1867" s="20" t="str">
        <f t="shared" si="58"/>
        <v>WBA201411</v>
      </c>
      <c r="E1867" s="2">
        <v>41956</v>
      </c>
      <c r="F1867" s="3">
        <v>0.33750000000000002</v>
      </c>
      <c r="G1867" s="2">
        <v>41985</v>
      </c>
      <c r="H1867" s="3">
        <v>1.9400000000000001E-2</v>
      </c>
      <c r="I1867" s="3">
        <v>0</v>
      </c>
      <c r="J1867" s="3">
        <v>0</v>
      </c>
      <c r="K1867" s="3">
        <f t="shared" si="59"/>
        <v>2014</v>
      </c>
      <c r="L1867" s="3">
        <f t="shared" si="60"/>
        <v>0</v>
      </c>
      <c r="M1867" s="20" t="str">
        <f>A1867&amp;L1867</f>
        <v>WBA0</v>
      </c>
      <c r="N1867" s="3">
        <f>F1867</f>
        <v>0.33750000000000002</v>
      </c>
      <c r="O1867" s="9">
        <f>H1867</f>
        <v>1.9400000000000001E-2</v>
      </c>
      <c r="P1867" s="10">
        <f t="shared" si="61"/>
        <v>0</v>
      </c>
      <c r="Q1867" s="10">
        <f>IF(K1867=0,IF(A1864=A1867,AVERAGE(O1864:O1867),"x"),0)</f>
        <v>0</v>
      </c>
      <c r="R1867" s="9">
        <f>IF(L1867&gt;2005,AVERAGE(O1864:O1883),0)</f>
        <v>0</v>
      </c>
      <c r="S1867" s="10">
        <f>IF(A1867=A1868,(N1867-N1868)/N1868,0)</f>
        <v>0</v>
      </c>
      <c r="T1867" s="10">
        <f>IF(L1867&gt;2005,(((N1867-N1887)/N1887)+1)^(1/5)-1,0)</f>
        <v>0</v>
      </c>
      <c r="U1867" s="10">
        <f t="shared" si="62"/>
        <v>0</v>
      </c>
      <c r="V1867" s="26">
        <f t="shared" si="63"/>
        <v>0</v>
      </c>
      <c r="W1867" s="3">
        <f>IF(A1867=A1868,N1867-N1868,0)</f>
        <v>0</v>
      </c>
      <c r="X1867" s="10">
        <f>IF(A1867=A1868,(N1867-N1868)/N1868,0)</f>
        <v>0</v>
      </c>
    </row>
    <row r="1868" spans="1:24" ht="16.5" customHeight="1">
      <c r="A1868" s="3" t="s">
        <v>44</v>
      </c>
      <c r="B1868" s="3">
        <f t="shared" si="56"/>
        <v>2014</v>
      </c>
      <c r="C1868" s="3">
        <f t="shared" si="57"/>
        <v>8</v>
      </c>
      <c r="D1868" s="20" t="str">
        <f t="shared" si="58"/>
        <v>WBA20148</v>
      </c>
      <c r="E1868" s="2">
        <v>41870</v>
      </c>
      <c r="F1868" s="3">
        <v>0.33750000000000002</v>
      </c>
      <c r="G1868" s="2">
        <v>41894</v>
      </c>
      <c r="H1868" s="3">
        <v>2.07E-2</v>
      </c>
      <c r="I1868" s="3">
        <v>7.1428570999999996E-2</v>
      </c>
      <c r="J1868" s="3">
        <v>2.2499999999999999E-2</v>
      </c>
      <c r="K1868" s="3">
        <f t="shared" si="59"/>
        <v>2014</v>
      </c>
      <c r="L1868" s="3">
        <f t="shared" si="60"/>
        <v>0</v>
      </c>
      <c r="M1868" s="20" t="str">
        <f>A1868&amp;L1868</f>
        <v>WBA0</v>
      </c>
      <c r="N1868" s="3">
        <f>F1868</f>
        <v>0.33750000000000002</v>
      </c>
      <c r="O1868" s="9">
        <f>H1868</f>
        <v>2.07E-2</v>
      </c>
      <c r="P1868" s="10">
        <f t="shared" si="61"/>
        <v>1.9349999999999999E-2</v>
      </c>
      <c r="Q1868" s="10">
        <f>IF(K1868=0,IF(A1865=A1868,AVERAGE(O1865:O1868),"x"),0)</f>
        <v>0</v>
      </c>
      <c r="R1868" s="9">
        <f>IF(L1868&gt;2005,AVERAGE(O1865:O1884),0)</f>
        <v>0</v>
      </c>
      <c r="S1868" s="10">
        <f>IF(A1868=A1869,(N1868-N1869)/N1869,0)</f>
        <v>7.1428571428571494E-2</v>
      </c>
      <c r="T1868" s="10">
        <f>IF(L1868&gt;2005,(((N1868-N1888)/N1888)+1)^(1/5)-1,0)</f>
        <v>0</v>
      </c>
      <c r="U1868" s="10">
        <f t="shared" si="62"/>
        <v>0</v>
      </c>
      <c r="V1868" s="26">
        <f t="shared" si="63"/>
        <v>0</v>
      </c>
      <c r="W1868" s="3">
        <f>IF(A1868=A1869,N1868-N1869,0)</f>
        <v>2.250000000000002E-2</v>
      </c>
      <c r="X1868" s="10">
        <f>IF(A1868=A1869,(N1868-N1869)/N1869,0)</f>
        <v>7.1428571428571494E-2</v>
      </c>
    </row>
    <row r="1869" spans="1:24" ht="16.5" customHeight="1">
      <c r="A1869" s="3" t="s">
        <v>44</v>
      </c>
      <c r="B1869" s="3">
        <f t="shared" si="56"/>
        <v>2014</v>
      </c>
      <c r="C1869" s="3">
        <f t="shared" si="57"/>
        <v>5</v>
      </c>
      <c r="D1869" s="20" t="str">
        <f t="shared" si="58"/>
        <v>WBA20145</v>
      </c>
      <c r="E1869" s="2">
        <v>41778</v>
      </c>
      <c r="F1869" s="3">
        <v>0.315</v>
      </c>
      <c r="G1869" s="2">
        <v>41802</v>
      </c>
      <c r="H1869" s="3">
        <v>1.8599999999999998E-2</v>
      </c>
      <c r="I1869" s="3">
        <v>0</v>
      </c>
      <c r="J1869" s="3">
        <v>0</v>
      </c>
      <c r="K1869" s="3">
        <f t="shared" si="59"/>
        <v>2014</v>
      </c>
      <c r="L1869" s="3">
        <f t="shared" si="60"/>
        <v>0</v>
      </c>
      <c r="M1869" s="20" t="str">
        <f>A1869&amp;L1869</f>
        <v>WBA0</v>
      </c>
      <c r="N1869" s="3">
        <f>F1869</f>
        <v>0.315</v>
      </c>
      <c r="O1869" s="9">
        <f>H1869</f>
        <v>1.8599999999999998E-2</v>
      </c>
      <c r="P1869" s="10">
        <f t="shared" si="61"/>
        <v>0</v>
      </c>
      <c r="Q1869" s="10">
        <f>IF(K1869=0,IF(A1866=A1869,AVERAGE(O1866:O1869),"x"),0)</f>
        <v>0</v>
      </c>
      <c r="R1869" s="9">
        <f>IF(L1869&gt;2005,AVERAGE(O1866:O1885),0)</f>
        <v>0</v>
      </c>
      <c r="S1869" s="10">
        <f>IF(A1869=A1870,(N1869-N1870)/N1870,0)</f>
        <v>0</v>
      </c>
      <c r="T1869" s="10">
        <f>IF(L1869&gt;2005,(((N1869-N1889)/N1889)+1)^(1/5)-1,0)</f>
        <v>0</v>
      </c>
      <c r="U1869" s="10">
        <f t="shared" si="62"/>
        <v>0</v>
      </c>
      <c r="V1869" s="26">
        <f t="shared" si="63"/>
        <v>0</v>
      </c>
      <c r="W1869" s="3">
        <f>IF(A1869=A1870,N1869-N1870,0)</f>
        <v>0</v>
      </c>
      <c r="X1869" s="10">
        <f>IF(A1869=A1870,(N1869-N1870)/N1870,0)</f>
        <v>0</v>
      </c>
    </row>
    <row r="1870" spans="1:24" ht="16.5" customHeight="1">
      <c r="A1870" s="3" t="s">
        <v>44</v>
      </c>
      <c r="B1870" s="3">
        <f t="shared" si="56"/>
        <v>2014</v>
      </c>
      <c r="C1870" s="3">
        <f t="shared" si="57"/>
        <v>2</v>
      </c>
      <c r="D1870" s="20" t="str">
        <f t="shared" si="58"/>
        <v>WBA20142</v>
      </c>
      <c r="E1870" s="2">
        <v>41683</v>
      </c>
      <c r="F1870" s="3">
        <v>0.315</v>
      </c>
      <c r="G1870" s="2">
        <v>41710</v>
      </c>
      <c r="H1870" s="3">
        <v>1.8599999999999998E-2</v>
      </c>
      <c r="I1870" s="3">
        <v>0</v>
      </c>
      <c r="J1870" s="3">
        <v>0</v>
      </c>
      <c r="K1870" s="3">
        <f t="shared" si="59"/>
        <v>0</v>
      </c>
      <c r="L1870" s="3">
        <f t="shared" si="60"/>
        <v>2014</v>
      </c>
      <c r="M1870" s="20" t="str">
        <f>A1870&amp;L1870</f>
        <v>WBA2014</v>
      </c>
      <c r="N1870" s="3">
        <f>F1870</f>
        <v>0.315</v>
      </c>
      <c r="O1870" s="9">
        <f>H1870</f>
        <v>1.8599999999999998E-2</v>
      </c>
      <c r="P1870" s="10">
        <f t="shared" si="61"/>
        <v>0</v>
      </c>
      <c r="Q1870" s="10">
        <f>IF(K1870=0,IF(A1867=A1870,AVERAGE(O1867:O1870),"x"),0)</f>
        <v>1.9324999999999998E-2</v>
      </c>
      <c r="R1870" s="9">
        <f>IF(L1870&gt;2005,AVERAGE(O1867:O1886),0)</f>
        <v>2.103E-2</v>
      </c>
      <c r="S1870" s="10">
        <f>IF(A1870=A1871,(N1870-N1871)/N1871,0)</f>
        <v>0</v>
      </c>
      <c r="T1870" s="10">
        <f>IF(L1870&gt;2005,(((N1870-N1890)/N1890)+1)^(1/5)-1,0)</f>
        <v>0.22865967908314722</v>
      </c>
      <c r="U1870" s="10">
        <f t="shared" si="62"/>
        <v>0.24968967908314721</v>
      </c>
      <c r="V1870" s="26">
        <f t="shared" si="63"/>
        <v>4.7531700825348917</v>
      </c>
      <c r="W1870" s="3">
        <f>IF(A1870=A1871,N1870-N1871,0)</f>
        <v>0</v>
      </c>
      <c r="X1870" s="10">
        <f>IF(A1870=A1871,(N1870-N1871)/N1871,0)</f>
        <v>0</v>
      </c>
    </row>
    <row r="1871" spans="1:24" ht="16.5" customHeight="1">
      <c r="A1871" s="3" t="s">
        <v>44</v>
      </c>
      <c r="B1871" s="3">
        <f t="shared" si="56"/>
        <v>2013</v>
      </c>
      <c r="C1871" s="3">
        <f t="shared" si="57"/>
        <v>11</v>
      </c>
      <c r="D1871" s="20" t="str">
        <f t="shared" si="58"/>
        <v>WBA201311</v>
      </c>
      <c r="E1871" s="2">
        <v>41592</v>
      </c>
      <c r="F1871" s="3">
        <v>0.315</v>
      </c>
      <c r="G1871" s="2">
        <v>41620</v>
      </c>
      <c r="H1871" s="3">
        <v>1.95E-2</v>
      </c>
      <c r="I1871" s="3">
        <v>0</v>
      </c>
      <c r="J1871" s="3">
        <v>0</v>
      </c>
      <c r="K1871" s="3">
        <f t="shared" si="59"/>
        <v>2013</v>
      </c>
      <c r="L1871" s="3">
        <f t="shared" si="60"/>
        <v>0</v>
      </c>
      <c r="M1871" s="20" t="str">
        <f>A1871&amp;L1871</f>
        <v>WBA0</v>
      </c>
      <c r="N1871" s="3">
        <f>F1871</f>
        <v>0.315</v>
      </c>
      <c r="O1871" s="9">
        <f>H1871</f>
        <v>1.95E-2</v>
      </c>
      <c r="P1871" s="10">
        <f t="shared" si="61"/>
        <v>0</v>
      </c>
      <c r="Q1871" s="10">
        <f>IF(K1871=0,IF(A1868=A1871,AVERAGE(O1868:O1871),"x"),0)</f>
        <v>0</v>
      </c>
      <c r="R1871" s="9">
        <f>IF(L1871&gt;2005,AVERAGE(O1868:O1887),0)</f>
        <v>0</v>
      </c>
      <c r="S1871" s="10">
        <f>IF(A1871=A1872,(N1871-N1872)/N1872,0)</f>
        <v>0</v>
      </c>
      <c r="T1871" s="10">
        <f>IF(L1871&gt;2005,(((N1871-N1891)/N1891)+1)^(1/5)-1,0)</f>
        <v>0</v>
      </c>
      <c r="U1871" s="10">
        <f t="shared" si="62"/>
        <v>0</v>
      </c>
      <c r="V1871" s="26">
        <f t="shared" si="63"/>
        <v>0</v>
      </c>
      <c r="W1871" s="3">
        <f>IF(A1871=A1872,N1871-N1872,0)</f>
        <v>0</v>
      </c>
      <c r="X1871" s="10">
        <f>IF(A1871=A1872,(N1871-N1872)/N1872,0)</f>
        <v>0</v>
      </c>
    </row>
    <row r="1872" spans="1:24" ht="16.5" customHeight="1">
      <c r="A1872" s="3" t="s">
        <v>44</v>
      </c>
      <c r="B1872" s="3">
        <f t="shared" si="56"/>
        <v>2013</v>
      </c>
      <c r="C1872" s="3">
        <f t="shared" si="57"/>
        <v>8</v>
      </c>
      <c r="D1872" s="20" t="str">
        <f t="shared" si="58"/>
        <v>WBA20138</v>
      </c>
      <c r="E1872" s="2">
        <v>41502</v>
      </c>
      <c r="F1872" s="3">
        <v>0.315</v>
      </c>
      <c r="G1872" s="2">
        <v>41529</v>
      </c>
      <c r="H1872" s="3">
        <v>2.3099999999999999E-2</v>
      </c>
      <c r="I1872" s="3">
        <v>0.14545454499999999</v>
      </c>
      <c r="J1872" s="3">
        <v>0.04</v>
      </c>
      <c r="K1872" s="3">
        <f t="shared" si="59"/>
        <v>2013</v>
      </c>
      <c r="L1872" s="3">
        <f t="shared" si="60"/>
        <v>0</v>
      </c>
      <c r="M1872" s="20" t="str">
        <f>A1872&amp;L1872</f>
        <v>WBA0</v>
      </c>
      <c r="N1872" s="3">
        <f>F1872</f>
        <v>0.315</v>
      </c>
      <c r="O1872" s="9">
        <f>H1872</f>
        <v>2.3099999999999999E-2</v>
      </c>
      <c r="P1872" s="10">
        <f t="shared" si="61"/>
        <v>2.5000000000000001E-2</v>
      </c>
      <c r="Q1872" s="10">
        <f>IF(K1872=0,IF(A1869=A1872,AVERAGE(O1869:O1872),"x"),0)</f>
        <v>0</v>
      </c>
      <c r="R1872" s="9">
        <f>IF(L1872&gt;2005,AVERAGE(O1869:O1888),0)</f>
        <v>0</v>
      </c>
      <c r="S1872" s="10">
        <f>IF(A1872=A1873,(N1872-N1873)/N1873,0)</f>
        <v>0.14545454545454536</v>
      </c>
      <c r="T1872" s="10">
        <f>IF(L1872&gt;2005,(((N1872-N1892)/N1892)+1)^(1/5)-1,0)</f>
        <v>0</v>
      </c>
      <c r="U1872" s="10">
        <f t="shared" si="62"/>
        <v>0</v>
      </c>
      <c r="V1872" s="26">
        <f t="shared" si="63"/>
        <v>0</v>
      </c>
      <c r="W1872" s="3">
        <f>IF(A1872=A1873,N1872-N1873,0)</f>
        <v>3.999999999999998E-2</v>
      </c>
      <c r="X1872" s="10">
        <f>IF(A1872=A1873,(N1872-N1873)/N1873,0)</f>
        <v>0.14545454545454536</v>
      </c>
    </row>
    <row r="1873" spans="1:24" ht="16.5" customHeight="1">
      <c r="A1873" s="3" t="s">
        <v>44</v>
      </c>
      <c r="B1873" s="3">
        <f t="shared" si="56"/>
        <v>2013</v>
      </c>
      <c r="C1873" s="3">
        <f t="shared" si="57"/>
        <v>5</v>
      </c>
      <c r="D1873" s="20" t="str">
        <f t="shared" si="58"/>
        <v>WBA20135</v>
      </c>
      <c r="E1873" s="2">
        <v>41411</v>
      </c>
      <c r="F1873" s="3">
        <v>0.27500000000000002</v>
      </c>
      <c r="G1873" s="2">
        <v>41437</v>
      </c>
      <c r="H1873" s="3">
        <v>2.24E-2</v>
      </c>
      <c r="I1873" s="3">
        <v>0</v>
      </c>
      <c r="J1873" s="3">
        <v>0</v>
      </c>
      <c r="K1873" s="3">
        <f t="shared" si="59"/>
        <v>2013</v>
      </c>
      <c r="L1873" s="3">
        <f t="shared" si="60"/>
        <v>0</v>
      </c>
      <c r="M1873" s="20" t="str">
        <f>A1873&amp;L1873</f>
        <v>WBA0</v>
      </c>
      <c r="N1873" s="3">
        <f>F1873</f>
        <v>0.27500000000000002</v>
      </c>
      <c r="O1873" s="9">
        <f>H1873</f>
        <v>2.24E-2</v>
      </c>
      <c r="P1873" s="10">
        <f t="shared" si="61"/>
        <v>0</v>
      </c>
      <c r="Q1873" s="10">
        <f>IF(K1873=0,IF(A1870=A1873,AVERAGE(O1870:O1873),"x"),0)</f>
        <v>0</v>
      </c>
      <c r="R1873" s="9">
        <f>IF(L1873&gt;2005,AVERAGE(O1870:O1889),0)</f>
        <v>0</v>
      </c>
      <c r="S1873" s="10">
        <f>IF(A1873=A1874,(N1873-N1874)/N1874,0)</f>
        <v>0</v>
      </c>
      <c r="T1873" s="10">
        <f>IF(L1873&gt;2005,(((N1873-N1893)/N1893)+1)^(1/5)-1,0)</f>
        <v>0</v>
      </c>
      <c r="U1873" s="10">
        <f t="shared" si="62"/>
        <v>0</v>
      </c>
      <c r="V1873" s="26">
        <f t="shared" si="63"/>
        <v>0</v>
      </c>
      <c r="W1873" s="3">
        <f>IF(A1873=A1874,N1873-N1874,0)</f>
        <v>0</v>
      </c>
      <c r="X1873" s="10">
        <f>IF(A1873=A1874,(N1873-N1874)/N1874,0)</f>
        <v>0</v>
      </c>
    </row>
    <row r="1874" spans="1:24" ht="16.5" customHeight="1">
      <c r="A1874" s="3" t="s">
        <v>44</v>
      </c>
      <c r="B1874" s="3">
        <f t="shared" si="56"/>
        <v>2013</v>
      </c>
      <c r="C1874" s="3">
        <f t="shared" si="57"/>
        <v>2</v>
      </c>
      <c r="D1874" s="20" t="str">
        <f t="shared" si="58"/>
        <v>WBA20132</v>
      </c>
      <c r="E1874" s="2">
        <v>41318</v>
      </c>
      <c r="F1874" s="3">
        <v>0.27500000000000002</v>
      </c>
      <c r="G1874" s="2">
        <v>41345</v>
      </c>
      <c r="H1874" s="3">
        <v>2.5000000000000001E-2</v>
      </c>
      <c r="I1874" s="3">
        <v>0</v>
      </c>
      <c r="J1874" s="3">
        <v>0</v>
      </c>
      <c r="K1874" s="3">
        <f t="shared" si="59"/>
        <v>0</v>
      </c>
      <c r="L1874" s="3">
        <f t="shared" si="60"/>
        <v>2013</v>
      </c>
      <c r="M1874" s="20" t="str">
        <f>A1874&amp;L1874</f>
        <v>WBA2013</v>
      </c>
      <c r="N1874" s="3">
        <f>F1874</f>
        <v>0.27500000000000002</v>
      </c>
      <c r="O1874" s="9">
        <f>H1874</f>
        <v>2.5000000000000001E-2</v>
      </c>
      <c r="P1874" s="10">
        <f t="shared" si="61"/>
        <v>0</v>
      </c>
      <c r="Q1874" s="10">
        <f>IF(K1874=0,IF(A1871=A1874,AVERAGE(O1871:O1874),"x"),0)</f>
        <v>2.2499999999999999E-2</v>
      </c>
      <c r="R1874" s="9">
        <f>IF(L1874&gt;2005,AVERAGE(O1871:O1890),0)</f>
        <v>2.0105000000000001E-2</v>
      </c>
      <c r="S1874" s="10">
        <f>IF(A1874=A1875,(N1874-N1875)/N1875,0)</f>
        <v>0</v>
      </c>
      <c r="T1874" s="10">
        <f>IF(L1874&gt;2005,(((N1874-N1894)/N1894)+1)^(1/5)-1,0)</f>
        <v>0.23686362555006157</v>
      </c>
      <c r="U1874" s="10">
        <f t="shared" si="62"/>
        <v>0.25696862555006156</v>
      </c>
      <c r="V1874" s="26">
        <f t="shared" si="63"/>
        <v>4.7651332470009597</v>
      </c>
      <c r="W1874" s="3">
        <f>IF(A1874=A1875,N1874-N1875,0)</f>
        <v>0</v>
      </c>
      <c r="X1874" s="10">
        <f>IF(A1874=A1875,(N1874-N1875)/N1875,0)</f>
        <v>0</v>
      </c>
    </row>
    <row r="1875" spans="1:24" ht="16.5" customHeight="1">
      <c r="A1875" s="3" t="s">
        <v>44</v>
      </c>
      <c r="B1875" s="3">
        <f t="shared" si="56"/>
        <v>2012</v>
      </c>
      <c r="C1875" s="3">
        <f t="shared" si="57"/>
        <v>11</v>
      </c>
      <c r="D1875" s="20" t="str">
        <f t="shared" si="58"/>
        <v>WBA201211</v>
      </c>
      <c r="E1875" s="2">
        <v>41220</v>
      </c>
      <c r="F1875" s="3">
        <v>0.27500000000000002</v>
      </c>
      <c r="G1875" s="2">
        <v>41255</v>
      </c>
      <c r="H1875" s="3">
        <v>2.9499999999999998E-2</v>
      </c>
      <c r="I1875" s="3">
        <v>0</v>
      </c>
      <c r="J1875" s="3">
        <v>0</v>
      </c>
      <c r="K1875" s="3">
        <f t="shared" si="59"/>
        <v>2012</v>
      </c>
      <c r="L1875" s="3">
        <f t="shared" si="60"/>
        <v>0</v>
      </c>
      <c r="M1875" s="20" t="str">
        <f>A1875&amp;L1875</f>
        <v>WBA0</v>
      </c>
      <c r="N1875" s="3">
        <f>F1875</f>
        <v>0.27500000000000002</v>
      </c>
      <c r="O1875" s="9">
        <f>H1875</f>
        <v>2.9499999999999998E-2</v>
      </c>
      <c r="P1875" s="10">
        <f t="shared" si="61"/>
        <v>0</v>
      </c>
      <c r="Q1875" s="10">
        <f>IF(K1875=0,IF(A1872=A1875,AVERAGE(O1872:O1875),"x"),0)</f>
        <v>0</v>
      </c>
      <c r="R1875" s="9">
        <f>IF(L1875&gt;2005,AVERAGE(O1872:O1891),0)</f>
        <v>0</v>
      </c>
      <c r="S1875" s="10">
        <f>IF(A1875=A1876,(N1875-N1876)/N1876,0)</f>
        <v>0</v>
      </c>
      <c r="T1875" s="10">
        <f>IF(L1875&gt;2005,(((N1875-N1895)/N1895)+1)^(1/5)-1,0)</f>
        <v>0</v>
      </c>
      <c r="U1875" s="10">
        <f t="shared" si="62"/>
        <v>0</v>
      </c>
      <c r="V1875" s="26">
        <f t="shared" si="63"/>
        <v>0</v>
      </c>
      <c r="W1875" s="3">
        <f>IF(A1875=A1876,N1875-N1876,0)</f>
        <v>0</v>
      </c>
      <c r="X1875" s="10">
        <f>IF(A1875=A1876,(N1875-N1876)/N1876,0)</f>
        <v>0</v>
      </c>
    </row>
    <row r="1876" spans="1:24" ht="16.5" customHeight="1">
      <c r="A1876" s="3" t="s">
        <v>44</v>
      </c>
      <c r="B1876" s="3">
        <f t="shared" si="56"/>
        <v>2012</v>
      </c>
      <c r="C1876" s="3">
        <f t="shared" si="57"/>
        <v>8</v>
      </c>
      <c r="D1876" s="20" t="str">
        <f t="shared" si="58"/>
        <v>WBA20128</v>
      </c>
      <c r="E1876" s="2">
        <v>41136</v>
      </c>
      <c r="F1876" s="3">
        <v>0.27500000000000002</v>
      </c>
      <c r="G1876" s="2">
        <v>41164</v>
      </c>
      <c r="H1876" s="3">
        <v>2.6599999999999999E-2</v>
      </c>
      <c r="I1876" s="3">
        <v>0.222222222</v>
      </c>
      <c r="J1876" s="3">
        <v>0.05</v>
      </c>
      <c r="K1876" s="3">
        <f t="shared" si="59"/>
        <v>2012</v>
      </c>
      <c r="L1876" s="3">
        <f t="shared" si="60"/>
        <v>0</v>
      </c>
      <c r="M1876" s="20" t="str">
        <f>A1876&amp;L1876</f>
        <v>WBA0</v>
      </c>
      <c r="N1876" s="3">
        <f>F1876</f>
        <v>0.27500000000000002</v>
      </c>
      <c r="O1876" s="9">
        <f>H1876</f>
        <v>2.6599999999999999E-2</v>
      </c>
      <c r="P1876" s="10">
        <f t="shared" si="61"/>
        <v>2.5675E-2</v>
      </c>
      <c r="Q1876" s="10">
        <f>IF(K1876=0,IF(A1873=A1876,AVERAGE(O1873:O1876),"x"),0)</f>
        <v>0</v>
      </c>
      <c r="R1876" s="9">
        <f>IF(L1876&gt;2005,AVERAGE(O1873:O1892),0)</f>
        <v>0</v>
      </c>
      <c r="S1876" s="10">
        <f>IF(A1876=A1877,(N1876-N1877)/N1877,0)</f>
        <v>0.22222222222222229</v>
      </c>
      <c r="T1876" s="10">
        <f>IF(L1876&gt;2005,(((N1876-N1896)/N1896)+1)^(1/5)-1,0)</f>
        <v>0</v>
      </c>
      <c r="U1876" s="10">
        <f t="shared" si="62"/>
        <v>0</v>
      </c>
      <c r="V1876" s="26">
        <f t="shared" si="63"/>
        <v>0</v>
      </c>
      <c r="W1876" s="3">
        <f>IF(A1876=A1877,N1876-N1877,0)</f>
        <v>5.0000000000000017E-2</v>
      </c>
      <c r="X1876" s="10">
        <f>IF(A1876=A1877,(N1876-N1877)/N1877,0)</f>
        <v>0.22222222222222229</v>
      </c>
    </row>
    <row r="1877" spans="1:24" ht="16.5" customHeight="1">
      <c r="A1877" s="3" t="s">
        <v>44</v>
      </c>
      <c r="B1877" s="3">
        <f t="shared" si="56"/>
        <v>2012</v>
      </c>
      <c r="C1877" s="3">
        <f t="shared" si="57"/>
        <v>5</v>
      </c>
      <c r="D1877" s="20" t="str">
        <f t="shared" si="58"/>
        <v>WBA20125</v>
      </c>
      <c r="E1877" s="2">
        <v>41046</v>
      </c>
      <c r="F1877" s="3">
        <v>0.22500000000000001</v>
      </c>
      <c r="G1877" s="2">
        <v>41072</v>
      </c>
      <c r="H1877" s="3">
        <v>2.75E-2</v>
      </c>
      <c r="I1877" s="3">
        <v>0</v>
      </c>
      <c r="J1877" s="3">
        <v>0</v>
      </c>
      <c r="K1877" s="3">
        <f t="shared" si="59"/>
        <v>2012</v>
      </c>
      <c r="L1877" s="3">
        <f t="shared" si="60"/>
        <v>0</v>
      </c>
      <c r="M1877" s="20" t="str">
        <f>A1877&amp;L1877</f>
        <v>WBA0</v>
      </c>
      <c r="N1877" s="3">
        <f>F1877</f>
        <v>0.22500000000000001</v>
      </c>
      <c r="O1877" s="9">
        <f>H1877</f>
        <v>2.75E-2</v>
      </c>
      <c r="P1877" s="10">
        <f t="shared" si="61"/>
        <v>0</v>
      </c>
      <c r="Q1877" s="10">
        <f>IF(K1877=0,IF(A1874=A1877,AVERAGE(O1874:O1877),"x"),0)</f>
        <v>0</v>
      </c>
      <c r="R1877" s="9">
        <f>IF(L1877&gt;2005,AVERAGE(O1874:O1893),0)</f>
        <v>0</v>
      </c>
      <c r="S1877" s="10">
        <f>IF(A1877=A1878,(N1877-N1878)/N1878,0)</f>
        <v>0</v>
      </c>
      <c r="T1877" s="10">
        <f>IF(L1877&gt;2005,(((N1877-N1897)/N1897)+1)^(1/5)-1,0)</f>
        <v>0</v>
      </c>
      <c r="U1877" s="10">
        <f t="shared" si="62"/>
        <v>0</v>
      </c>
      <c r="V1877" s="26">
        <f t="shared" si="63"/>
        <v>0</v>
      </c>
      <c r="W1877" s="3">
        <f>IF(A1877=A1878,N1877-N1878,0)</f>
        <v>0</v>
      </c>
      <c r="X1877" s="10">
        <f>IF(A1877=A1878,(N1877-N1878)/N1878,0)</f>
        <v>0</v>
      </c>
    </row>
    <row r="1878" spans="1:24" ht="16.5" customHeight="1">
      <c r="A1878" s="3" t="s">
        <v>44</v>
      </c>
      <c r="B1878" s="3">
        <f t="shared" si="56"/>
        <v>2012</v>
      </c>
      <c r="C1878" s="3">
        <f t="shared" si="57"/>
        <v>2</v>
      </c>
      <c r="D1878" s="20" t="str">
        <f t="shared" si="58"/>
        <v>WBA20122</v>
      </c>
      <c r="E1878" s="2">
        <v>40954</v>
      </c>
      <c r="F1878" s="3">
        <v>0.22500000000000001</v>
      </c>
      <c r="G1878" s="2">
        <v>40980</v>
      </c>
      <c r="H1878" s="3">
        <v>2.4500000000000001E-2</v>
      </c>
      <c r="I1878" s="3">
        <v>0</v>
      </c>
      <c r="J1878" s="3">
        <v>0</v>
      </c>
      <c r="K1878" s="3">
        <f t="shared" si="59"/>
        <v>0</v>
      </c>
      <c r="L1878" s="3">
        <f t="shared" si="60"/>
        <v>2012</v>
      </c>
      <c r="M1878" s="20" t="str">
        <f>A1878&amp;L1878</f>
        <v>WBA2012</v>
      </c>
      <c r="N1878" s="3">
        <f>F1878</f>
        <v>0.22500000000000001</v>
      </c>
      <c r="O1878" s="9">
        <f>H1878</f>
        <v>2.4500000000000001E-2</v>
      </c>
      <c r="P1878" s="10">
        <f t="shared" si="61"/>
        <v>0</v>
      </c>
      <c r="Q1878" s="10">
        <f>IF(K1878=0,IF(A1875=A1878,AVERAGE(O1875:O1878),"x"),0)</f>
        <v>2.7025E-2</v>
      </c>
      <c r="R1878" s="9">
        <f>IF(L1878&gt;2005,AVERAGE(O1875:O1894),0)</f>
        <v>1.8060000000000003E-2</v>
      </c>
      <c r="S1878" s="10">
        <f>IF(A1878=A1879,(N1878-N1879)/N1879,0)</f>
        <v>0</v>
      </c>
      <c r="T1878" s="10">
        <f>IF(L1878&gt;2005,(((N1878-N1898)/N1898)+1)^(1/5)-1,0)</f>
        <v>0.23758820930768176</v>
      </c>
      <c r="U1878" s="10">
        <f t="shared" si="62"/>
        <v>0.25564820930768178</v>
      </c>
      <c r="V1878" s="26">
        <f t="shared" si="63"/>
        <v>4.788347902913757</v>
      </c>
      <c r="W1878" s="3">
        <f>IF(A1878=A1879,N1878-N1879,0)</f>
        <v>0</v>
      </c>
      <c r="X1878" s="10">
        <f>IF(A1878=A1879,(N1878-N1879)/N1879,0)</f>
        <v>0</v>
      </c>
    </row>
    <row r="1879" spans="1:24" ht="16.5" customHeight="1">
      <c r="A1879" s="3" t="s">
        <v>44</v>
      </c>
      <c r="B1879" s="3">
        <f t="shared" si="56"/>
        <v>2011</v>
      </c>
      <c r="C1879" s="3">
        <f t="shared" si="57"/>
        <v>11</v>
      </c>
      <c r="D1879" s="20" t="str">
        <f t="shared" si="58"/>
        <v>WBA201111</v>
      </c>
      <c r="E1879" s="2">
        <v>40856</v>
      </c>
      <c r="F1879" s="3">
        <v>0.22500000000000001</v>
      </c>
      <c r="G1879" s="2">
        <v>40889</v>
      </c>
      <c r="H1879" s="3">
        <v>2.41E-2</v>
      </c>
      <c r="I1879" s="3">
        <v>0</v>
      </c>
      <c r="J1879" s="3">
        <v>0</v>
      </c>
      <c r="K1879" s="3">
        <f t="shared" si="59"/>
        <v>2011</v>
      </c>
      <c r="L1879" s="3">
        <f t="shared" si="60"/>
        <v>0</v>
      </c>
      <c r="M1879" s="20" t="str">
        <f>A1879&amp;L1879</f>
        <v>WBA0</v>
      </c>
      <c r="N1879" s="3">
        <f>F1879</f>
        <v>0.22500000000000001</v>
      </c>
      <c r="O1879" s="9">
        <f>H1879</f>
        <v>2.41E-2</v>
      </c>
      <c r="P1879" s="10">
        <f t="shared" si="61"/>
        <v>0</v>
      </c>
      <c r="Q1879" s="10">
        <f>IF(K1879=0,IF(A1876=A1879,AVERAGE(O1876:O1879),"x"),0)</f>
        <v>0</v>
      </c>
      <c r="R1879" s="9">
        <f>IF(L1879&gt;2005,AVERAGE(O1876:O1895),0)</f>
        <v>0</v>
      </c>
      <c r="S1879" s="10">
        <f>IF(A1879=A1880,(N1879-N1880)/N1880,0)</f>
        <v>0</v>
      </c>
      <c r="T1879" s="10">
        <f>IF(L1879&gt;2005,(((N1879-N1899)/N1899)+1)^(1/5)-1,0)</f>
        <v>0</v>
      </c>
      <c r="U1879" s="10">
        <f t="shared" si="62"/>
        <v>0</v>
      </c>
      <c r="V1879" s="26">
        <f t="shared" si="63"/>
        <v>0</v>
      </c>
      <c r="W1879" s="3">
        <f>IF(A1879=A1880,N1879-N1880,0)</f>
        <v>0</v>
      </c>
      <c r="X1879" s="10">
        <f>IF(A1879=A1880,(N1879-N1880)/N1880,0)</f>
        <v>0</v>
      </c>
    </row>
    <row r="1880" spans="1:24" ht="16.5" customHeight="1">
      <c r="A1880" s="3" t="s">
        <v>44</v>
      </c>
      <c r="B1880" s="3">
        <f t="shared" si="56"/>
        <v>2011</v>
      </c>
      <c r="C1880" s="3">
        <f t="shared" si="57"/>
        <v>8</v>
      </c>
      <c r="D1880" s="20" t="str">
        <f t="shared" si="58"/>
        <v>WBA20118</v>
      </c>
      <c r="E1880" s="2">
        <v>40772</v>
      </c>
      <c r="F1880" s="3">
        <v>0.22500000000000001</v>
      </c>
      <c r="G1880" s="2">
        <v>40798</v>
      </c>
      <c r="H1880" s="3">
        <v>2.01E-2</v>
      </c>
      <c r="I1880" s="3">
        <v>0.28571428599999998</v>
      </c>
      <c r="J1880" s="3">
        <v>0.05</v>
      </c>
      <c r="K1880" s="3">
        <f t="shared" si="59"/>
        <v>2011</v>
      </c>
      <c r="L1880" s="3">
        <f t="shared" si="60"/>
        <v>0</v>
      </c>
      <c r="M1880" s="20" t="str">
        <f>A1880&amp;L1880</f>
        <v>WBA0</v>
      </c>
      <c r="N1880" s="3">
        <f>F1880</f>
        <v>0.22500000000000001</v>
      </c>
      <c r="O1880" s="9">
        <f>H1880</f>
        <v>2.01E-2</v>
      </c>
      <c r="P1880" s="10">
        <f t="shared" si="61"/>
        <v>1.7300000000000003E-2</v>
      </c>
      <c r="Q1880" s="10">
        <f>IF(K1880=0,IF(A1877=A1880,AVERAGE(O1877:O1880),"x"),0)</f>
        <v>0</v>
      </c>
      <c r="R1880" s="9">
        <f>IF(L1880&gt;2005,AVERAGE(O1877:O1896),0)</f>
        <v>0</v>
      </c>
      <c r="S1880" s="10">
        <f>IF(A1880=A1881,(N1880-N1881)/N1881,0)</f>
        <v>0.28571428571428581</v>
      </c>
      <c r="T1880" s="10">
        <f>IF(L1880&gt;2005,(((N1880-N1900)/N1900)+1)^(1/5)-1,0)</f>
        <v>0</v>
      </c>
      <c r="U1880" s="10">
        <f t="shared" si="62"/>
        <v>0</v>
      </c>
      <c r="V1880" s="26">
        <f t="shared" si="63"/>
        <v>0</v>
      </c>
      <c r="W1880" s="3">
        <f>IF(A1880=A1881,N1880-N1881,0)</f>
        <v>5.0000000000000017E-2</v>
      </c>
      <c r="X1880" s="10">
        <f>IF(A1880=A1881,(N1880-N1881)/N1881,0)</f>
        <v>0.28571428571428581</v>
      </c>
    </row>
    <row r="1881" spans="1:24" ht="16.5" customHeight="1">
      <c r="A1881" s="3" t="s">
        <v>44</v>
      </c>
      <c r="B1881" s="3">
        <f t="shared" si="56"/>
        <v>2011</v>
      </c>
      <c r="C1881" s="3">
        <f t="shared" si="57"/>
        <v>5</v>
      </c>
      <c r="D1881" s="20" t="str">
        <f t="shared" si="58"/>
        <v>WBA20115</v>
      </c>
      <c r="E1881" s="2">
        <v>40681</v>
      </c>
      <c r="F1881" s="3">
        <v>0.17499999999999999</v>
      </c>
      <c r="G1881" s="2">
        <v>40705</v>
      </c>
      <c r="H1881" s="3">
        <v>1.5800000000000002E-2</v>
      </c>
      <c r="I1881" s="3">
        <v>0</v>
      </c>
      <c r="J1881" s="3">
        <v>0</v>
      </c>
      <c r="K1881" s="3">
        <f t="shared" si="59"/>
        <v>2011</v>
      </c>
      <c r="L1881" s="3">
        <f t="shared" si="60"/>
        <v>0</v>
      </c>
      <c r="M1881" s="20" t="str">
        <f>A1881&amp;L1881</f>
        <v>WBA0</v>
      </c>
      <c r="N1881" s="3">
        <f>F1881</f>
        <v>0.17499999999999999</v>
      </c>
      <c r="O1881" s="9">
        <f>H1881</f>
        <v>1.5800000000000002E-2</v>
      </c>
      <c r="P1881" s="10">
        <f t="shared" si="61"/>
        <v>0</v>
      </c>
      <c r="Q1881" s="10">
        <f>IF(K1881=0,IF(A1878=A1881,AVERAGE(O1878:O1881),"x"),0)</f>
        <v>0</v>
      </c>
      <c r="R1881" s="9">
        <f>IF(L1881&gt;2005,AVERAGE(O1878:O1897),0)</f>
        <v>0</v>
      </c>
      <c r="S1881" s="10">
        <f>IF(A1881=A1882,(N1881-N1882)/N1882,0)</f>
        <v>0</v>
      </c>
      <c r="T1881" s="10">
        <f>IF(L1881&gt;2005,(((N1881-N1901)/N1901)+1)^(1/5)-1,0)</f>
        <v>0</v>
      </c>
      <c r="U1881" s="10">
        <f t="shared" si="62"/>
        <v>0</v>
      </c>
      <c r="V1881" s="26">
        <f t="shared" si="63"/>
        <v>0</v>
      </c>
      <c r="W1881" s="3">
        <f>IF(A1881=A1882,N1881-N1882,0)</f>
        <v>0</v>
      </c>
      <c r="X1881" s="10">
        <f>IF(A1881=A1882,(N1881-N1882)/N1882,0)</f>
        <v>0</v>
      </c>
    </row>
    <row r="1882" spans="1:24" ht="16.5" customHeight="1">
      <c r="A1882" s="3" t="s">
        <v>44</v>
      </c>
      <c r="B1882" s="3">
        <f t="shared" si="56"/>
        <v>2011</v>
      </c>
      <c r="C1882" s="3">
        <f t="shared" si="57"/>
        <v>2</v>
      </c>
      <c r="D1882" s="20" t="str">
        <f t="shared" si="58"/>
        <v>WBA20112</v>
      </c>
      <c r="E1882" s="2">
        <v>40590</v>
      </c>
      <c r="F1882" s="3">
        <v>0.17499999999999999</v>
      </c>
      <c r="G1882" s="2">
        <v>40614</v>
      </c>
      <c r="H1882" s="3">
        <v>1.5599999999999999E-2</v>
      </c>
      <c r="I1882" s="3">
        <v>0</v>
      </c>
      <c r="J1882" s="3">
        <v>0</v>
      </c>
      <c r="K1882" s="3">
        <f t="shared" si="59"/>
        <v>0</v>
      </c>
      <c r="L1882" s="3">
        <f t="shared" si="60"/>
        <v>2011</v>
      </c>
      <c r="M1882" s="20" t="str">
        <f>A1882&amp;L1882</f>
        <v>WBA2011</v>
      </c>
      <c r="N1882" s="3">
        <f>F1882</f>
        <v>0.17499999999999999</v>
      </c>
      <c r="O1882" s="9">
        <f>H1882</f>
        <v>1.5599999999999999E-2</v>
      </c>
      <c r="P1882" s="10">
        <f t="shared" si="61"/>
        <v>0</v>
      </c>
      <c r="Q1882" s="10">
        <f>IF(K1882=0,IF(A1879=A1882,AVERAGE(O1879:O1882),"x"),0)</f>
        <v>1.89E-2</v>
      </c>
      <c r="R1882" s="9">
        <f>IF(L1882&gt;2005,AVERAGE(O1879:O1898),0)</f>
        <v>1.4144999999999996E-2</v>
      </c>
      <c r="S1882" s="10">
        <f>IF(A1882=A1883,(N1882-N1883)/N1883,0)</f>
        <v>0</v>
      </c>
      <c r="T1882" s="10">
        <f>IF(L1882&gt;2005,(((N1882-N1902)/N1902)+1)^(1/5)-1,0)</f>
        <v>0.21905959874044001</v>
      </c>
      <c r="U1882" s="10">
        <f t="shared" si="62"/>
        <v>0.23320459874044</v>
      </c>
      <c r="V1882" s="26">
        <f t="shared" si="63"/>
        <v>4.8305569967691104</v>
      </c>
      <c r="W1882" s="3">
        <f>IF(A1882=A1883,N1882-N1883,0)</f>
        <v>0</v>
      </c>
      <c r="X1882" s="10">
        <f>IF(A1882=A1883,(N1882-N1883)/N1883,0)</f>
        <v>0</v>
      </c>
    </row>
    <row r="1883" spans="1:24" ht="16.5" customHeight="1">
      <c r="A1883" s="3" t="s">
        <v>44</v>
      </c>
      <c r="B1883" s="3">
        <f t="shared" si="56"/>
        <v>2010</v>
      </c>
      <c r="C1883" s="3">
        <f t="shared" si="57"/>
        <v>11</v>
      </c>
      <c r="D1883" s="20" t="str">
        <f t="shared" si="58"/>
        <v>WBA201011</v>
      </c>
      <c r="E1883" s="2">
        <v>40492</v>
      </c>
      <c r="F1883" s="3">
        <v>0.17499999999999999</v>
      </c>
      <c r="G1883" s="2">
        <v>40523</v>
      </c>
      <c r="H1883" s="3">
        <v>1.77E-2</v>
      </c>
      <c r="I1883" s="3">
        <v>0</v>
      </c>
      <c r="J1883" s="3">
        <v>0</v>
      </c>
      <c r="K1883" s="3">
        <f t="shared" si="59"/>
        <v>2010</v>
      </c>
      <c r="L1883" s="3">
        <f t="shared" si="60"/>
        <v>0</v>
      </c>
      <c r="M1883" s="20" t="str">
        <f>A1883&amp;L1883</f>
        <v>WBA0</v>
      </c>
      <c r="N1883" s="3">
        <f>F1883</f>
        <v>0.17499999999999999</v>
      </c>
      <c r="O1883" s="9">
        <f>H1883</f>
        <v>1.77E-2</v>
      </c>
      <c r="P1883" s="10">
        <f t="shared" si="61"/>
        <v>0</v>
      </c>
      <c r="Q1883" s="10">
        <f>IF(K1883=0,IF(A1880=A1883,AVERAGE(O1880:O1883),"x"),0)</f>
        <v>0</v>
      </c>
      <c r="R1883" s="9">
        <f>IF(L1883&gt;2005,AVERAGE(O1880:O1899),0)</f>
        <v>0</v>
      </c>
      <c r="S1883" s="10">
        <f>IF(A1883=A1884,(N1883-N1884)/N1884,0)</f>
        <v>0</v>
      </c>
      <c r="T1883" s="10">
        <f>IF(L1883&gt;2005,(((N1883-N1903)/N1903)+1)^(1/5)-1,0)</f>
        <v>0</v>
      </c>
      <c r="U1883" s="10">
        <f t="shared" si="62"/>
        <v>0</v>
      </c>
      <c r="V1883" s="26">
        <f t="shared" si="63"/>
        <v>0</v>
      </c>
      <c r="W1883" s="3">
        <f>IF(A1883=A1884,N1883-N1884,0)</f>
        <v>0</v>
      </c>
      <c r="X1883" s="10">
        <f>IF(A1883=A1884,(N1883-N1884)/N1884,0)</f>
        <v>0</v>
      </c>
    </row>
    <row r="1884" spans="1:24" ht="16.5" customHeight="1">
      <c r="A1884" s="3" t="s">
        <v>44</v>
      </c>
      <c r="B1884" s="3">
        <f t="shared" si="56"/>
        <v>2010</v>
      </c>
      <c r="C1884" s="3">
        <f t="shared" si="57"/>
        <v>8</v>
      </c>
      <c r="D1884" s="20" t="str">
        <f t="shared" si="58"/>
        <v>WBA20108</v>
      </c>
      <c r="E1884" s="2">
        <v>40407</v>
      </c>
      <c r="F1884" s="3">
        <v>0.17499999999999999</v>
      </c>
      <c r="G1884" s="2">
        <v>40432</v>
      </c>
      <c r="H1884" s="3">
        <v>2.0799999999999999E-2</v>
      </c>
      <c r="I1884" s="3">
        <v>0.27272727299999999</v>
      </c>
      <c r="J1884" s="3">
        <v>3.7499999999999999E-2</v>
      </c>
      <c r="K1884" s="3">
        <f t="shared" si="59"/>
        <v>2010</v>
      </c>
      <c r="L1884" s="3">
        <f t="shared" si="60"/>
        <v>0</v>
      </c>
      <c r="M1884" s="20" t="str">
        <f>A1884&amp;L1884</f>
        <v>WBA0</v>
      </c>
      <c r="N1884" s="3">
        <f>F1884</f>
        <v>0.17499999999999999</v>
      </c>
      <c r="O1884" s="9">
        <f>H1884</f>
        <v>2.0799999999999999E-2</v>
      </c>
      <c r="P1884" s="10">
        <f t="shared" si="61"/>
        <v>1.6149999999999998E-2</v>
      </c>
      <c r="Q1884" s="10">
        <f>IF(K1884=0,IF(A1881=A1884,AVERAGE(O1881:O1884),"x"),0)</f>
        <v>0</v>
      </c>
      <c r="R1884" s="9">
        <f>IF(L1884&gt;2005,AVERAGE(O1881:O1900),0)</f>
        <v>0</v>
      </c>
      <c r="S1884" s="10">
        <f>IF(A1884=A1885,(N1884-N1885)/N1885,0)</f>
        <v>0.27272727272727254</v>
      </c>
      <c r="T1884" s="10">
        <f>IF(L1884&gt;2005,(((N1884-N1904)/N1904)+1)^(1/5)-1,0)</f>
        <v>0</v>
      </c>
      <c r="U1884" s="10">
        <f t="shared" si="62"/>
        <v>0</v>
      </c>
      <c r="V1884" s="26">
        <f t="shared" si="63"/>
        <v>0</v>
      </c>
      <c r="W1884" s="3">
        <f>IF(A1884=A1885,N1884-N1885,0)</f>
        <v>3.7499999999999978E-2</v>
      </c>
      <c r="X1884" s="10">
        <f>IF(A1884=A1885,(N1884-N1885)/N1885,0)</f>
        <v>0.27272727272727254</v>
      </c>
    </row>
    <row r="1885" spans="1:24" ht="16.5" customHeight="1">
      <c r="A1885" s="3" t="s">
        <v>44</v>
      </c>
      <c r="B1885" s="3">
        <f t="shared" si="56"/>
        <v>2010</v>
      </c>
      <c r="C1885" s="3">
        <f t="shared" si="57"/>
        <v>5</v>
      </c>
      <c r="D1885" s="20" t="str">
        <f t="shared" si="58"/>
        <v>WBA20105</v>
      </c>
      <c r="E1885" s="2">
        <v>40316</v>
      </c>
      <c r="F1885" s="3">
        <v>0.13750000000000001</v>
      </c>
      <c r="G1885" s="2">
        <v>40341</v>
      </c>
      <c r="H1885" s="3">
        <v>1.54E-2</v>
      </c>
      <c r="I1885" s="3">
        <v>0</v>
      </c>
      <c r="J1885" s="3">
        <v>0</v>
      </c>
      <c r="K1885" s="3">
        <f t="shared" si="59"/>
        <v>2010</v>
      </c>
      <c r="L1885" s="3">
        <f t="shared" si="60"/>
        <v>0</v>
      </c>
      <c r="M1885" s="20" t="str">
        <f>A1885&amp;L1885</f>
        <v>WBA0</v>
      </c>
      <c r="N1885" s="3">
        <f>F1885</f>
        <v>0.13750000000000001</v>
      </c>
      <c r="O1885" s="9">
        <f>H1885</f>
        <v>1.54E-2</v>
      </c>
      <c r="P1885" s="10">
        <f t="shared" si="61"/>
        <v>0</v>
      </c>
      <c r="Q1885" s="10">
        <f>IF(K1885=0,IF(A1882=A1885,AVERAGE(O1882:O1885),"x"),0)</f>
        <v>0</v>
      </c>
      <c r="R1885" s="9">
        <f>IF(L1885&gt;2005,AVERAGE(O1882:O1901),0)</f>
        <v>0</v>
      </c>
      <c r="S1885" s="10">
        <f>IF(A1885=A1886,(N1885-N1886)/N1886,0)</f>
        <v>0</v>
      </c>
      <c r="T1885" s="10">
        <f>IF(L1885&gt;2005,(((N1885-N1905)/N1905)+1)^(1/5)-1,0)</f>
        <v>0</v>
      </c>
      <c r="U1885" s="10">
        <f t="shared" si="62"/>
        <v>0</v>
      </c>
      <c r="V1885" s="26">
        <f t="shared" si="63"/>
        <v>0</v>
      </c>
      <c r="W1885" s="3">
        <f>IF(A1885=A1886,N1885-N1886,0)</f>
        <v>0</v>
      </c>
      <c r="X1885" s="10">
        <f>IF(A1885=A1886,(N1885-N1886)/N1886,0)</f>
        <v>0</v>
      </c>
    </row>
    <row r="1886" spans="1:24" ht="16.5" customHeight="1">
      <c r="A1886" s="3" t="s">
        <v>44</v>
      </c>
      <c r="B1886" s="3">
        <f t="shared" si="56"/>
        <v>2010</v>
      </c>
      <c r="C1886" s="3">
        <f t="shared" si="57"/>
        <v>2</v>
      </c>
      <c r="D1886" s="20" t="str">
        <f t="shared" si="58"/>
        <v>WBA20102</v>
      </c>
      <c r="E1886" s="2">
        <v>40225</v>
      </c>
      <c r="F1886" s="3">
        <v>0.13750000000000001</v>
      </c>
      <c r="G1886" s="2">
        <v>40249</v>
      </c>
      <c r="H1886" s="3">
        <v>1.5699999999999999E-2</v>
      </c>
      <c r="I1886" s="3">
        <v>0</v>
      </c>
      <c r="J1886" s="3">
        <v>0</v>
      </c>
      <c r="K1886" s="3">
        <f t="shared" si="59"/>
        <v>0</v>
      </c>
      <c r="L1886" s="3">
        <f t="shared" si="60"/>
        <v>2010</v>
      </c>
      <c r="M1886" s="20" t="str">
        <f>A1886&amp;L1886</f>
        <v>WBA2010</v>
      </c>
      <c r="N1886" s="3">
        <f>F1886</f>
        <v>0.13750000000000001</v>
      </c>
      <c r="O1886" s="9">
        <f>H1886</f>
        <v>1.5699999999999999E-2</v>
      </c>
      <c r="P1886" s="10">
        <f t="shared" si="61"/>
        <v>0</v>
      </c>
      <c r="Q1886" s="10">
        <f>IF(K1886=0,IF(A1883=A1886,AVERAGE(O1883:O1886),"x"),0)</f>
        <v>1.7399999999999999E-2</v>
      </c>
      <c r="R1886" s="9">
        <f>IF(L1886&gt;2005,AVERAGE(O1883:O1902),0)</f>
        <v>1.157E-2</v>
      </c>
      <c r="S1886" s="10">
        <f>IF(A1886=A1887,(N1886-N1887)/N1887,0)</f>
        <v>0</v>
      </c>
      <c r="T1886" s="10">
        <f>IF(L1886&gt;2005,(((N1886-N1906)/N1906)+1)^(1/5)-1,0)</f>
        <v>0.21235184842949906</v>
      </c>
      <c r="U1886" s="10">
        <f t="shared" si="62"/>
        <v>0.22392184842949905</v>
      </c>
      <c r="V1886" s="26">
        <f t="shared" si="63"/>
        <v>4.8599763734604275</v>
      </c>
      <c r="W1886" s="3">
        <f>IF(A1886=A1887,N1886-N1887,0)</f>
        <v>0</v>
      </c>
      <c r="X1886" s="10">
        <f>IF(A1886=A1887,(N1886-N1887)/N1887,0)</f>
        <v>0</v>
      </c>
    </row>
    <row r="1887" spans="1:24" ht="16.5" customHeight="1">
      <c r="A1887" s="3" t="s">
        <v>44</v>
      </c>
      <c r="B1887" s="3">
        <f t="shared" si="56"/>
        <v>2009</v>
      </c>
      <c r="C1887" s="3">
        <f t="shared" si="57"/>
        <v>11</v>
      </c>
      <c r="D1887" s="20" t="str">
        <f t="shared" si="58"/>
        <v>WBA200911</v>
      </c>
      <c r="E1887" s="2">
        <v>40129</v>
      </c>
      <c r="F1887" s="3">
        <v>0.13750000000000001</v>
      </c>
      <c r="G1887" s="2">
        <v>40159</v>
      </c>
      <c r="H1887" s="3">
        <v>1.2699999999999999E-2</v>
      </c>
      <c r="I1887" s="3">
        <v>0</v>
      </c>
      <c r="J1887" s="3">
        <v>0</v>
      </c>
      <c r="K1887" s="3">
        <f t="shared" si="59"/>
        <v>2009</v>
      </c>
      <c r="L1887" s="3">
        <f t="shared" si="60"/>
        <v>0</v>
      </c>
      <c r="M1887" s="20" t="str">
        <f>A1887&amp;L1887</f>
        <v>WBA0</v>
      </c>
      <c r="N1887" s="3">
        <f>F1887</f>
        <v>0.13750000000000001</v>
      </c>
      <c r="O1887" s="9">
        <f>H1887</f>
        <v>1.2699999999999999E-2</v>
      </c>
      <c r="P1887" s="10">
        <f t="shared" si="61"/>
        <v>0</v>
      </c>
      <c r="Q1887" s="10">
        <f>IF(K1887=0,IF(A1884=A1887,AVERAGE(O1884:O1887),"x"),0)</f>
        <v>0</v>
      </c>
      <c r="R1887" s="9">
        <f>IF(L1887&gt;2005,AVERAGE(O1884:O1903),0)</f>
        <v>0</v>
      </c>
      <c r="S1887" s="10">
        <f>IF(A1887=A1888,(N1887-N1888)/N1888,0)</f>
        <v>0</v>
      </c>
      <c r="T1887" s="10">
        <f>IF(L1887&gt;2005,(((N1887-N1907)/N1907)+1)^(1/5)-1,0)</f>
        <v>0</v>
      </c>
      <c r="U1887" s="10">
        <f t="shared" si="62"/>
        <v>0</v>
      </c>
      <c r="V1887" s="26">
        <f t="shared" si="63"/>
        <v>0</v>
      </c>
      <c r="W1887" s="3">
        <f>IF(A1887=A1888,N1887-N1888,0)</f>
        <v>0</v>
      </c>
      <c r="X1887" s="10">
        <f>IF(A1887=A1888,(N1887-N1888)/N1888,0)</f>
        <v>0</v>
      </c>
    </row>
    <row r="1888" spans="1:24" ht="16.5" customHeight="1">
      <c r="A1888" s="3" t="s">
        <v>44</v>
      </c>
      <c r="B1888" s="3">
        <f t="shared" si="56"/>
        <v>2009</v>
      </c>
      <c r="C1888" s="3">
        <f t="shared" si="57"/>
        <v>8</v>
      </c>
      <c r="D1888" s="20" t="str">
        <f t="shared" si="58"/>
        <v>WBA20098</v>
      </c>
      <c r="E1888" s="2">
        <v>40044</v>
      </c>
      <c r="F1888" s="3">
        <v>0.13750000000000001</v>
      </c>
      <c r="G1888" s="2">
        <v>40068</v>
      </c>
      <c r="H1888" s="3">
        <v>1.54E-2</v>
      </c>
      <c r="I1888" s="3">
        <v>0.222222222</v>
      </c>
      <c r="J1888" s="3">
        <v>2.5000000000000001E-2</v>
      </c>
      <c r="K1888" s="3">
        <f t="shared" si="59"/>
        <v>2009</v>
      </c>
      <c r="L1888" s="3">
        <f t="shared" si="60"/>
        <v>0</v>
      </c>
      <c r="M1888" s="20" t="str">
        <f>A1888&amp;L1888</f>
        <v>WBA0</v>
      </c>
      <c r="N1888" s="3">
        <f>F1888</f>
        <v>0.13750000000000001</v>
      </c>
      <c r="O1888" s="9">
        <f>H1888</f>
        <v>1.54E-2</v>
      </c>
      <c r="P1888" s="10">
        <f t="shared" si="61"/>
        <v>1.6025000000000001E-2</v>
      </c>
      <c r="Q1888" s="10">
        <f>IF(K1888=0,IF(A1885=A1888,AVERAGE(O1885:O1888),"x"),0)</f>
        <v>0</v>
      </c>
      <c r="R1888" s="9">
        <f>IF(L1888&gt;2005,AVERAGE(O1885:O1904),0)</f>
        <v>0</v>
      </c>
      <c r="S1888" s="10">
        <f>IF(A1888=A1889,(N1888-N1889)/N1889,0)</f>
        <v>0.22222222222222229</v>
      </c>
      <c r="T1888" s="10">
        <f>IF(L1888&gt;2005,(((N1888-N1908)/N1908)+1)^(1/5)-1,0)</f>
        <v>0</v>
      </c>
      <c r="U1888" s="10">
        <f t="shared" si="62"/>
        <v>0</v>
      </c>
      <c r="V1888" s="26">
        <f t="shared" si="63"/>
        <v>0</v>
      </c>
      <c r="W1888" s="3">
        <f>IF(A1888=A1889,N1888-N1889,0)</f>
        <v>2.5000000000000008E-2</v>
      </c>
      <c r="X1888" s="10">
        <f>IF(A1888=A1889,(N1888-N1889)/N1889,0)</f>
        <v>0.22222222222222229</v>
      </c>
    </row>
    <row r="1889" spans="1:24" ht="16.5" customHeight="1">
      <c r="A1889" s="3" t="s">
        <v>44</v>
      </c>
      <c r="B1889" s="3">
        <f t="shared" si="56"/>
        <v>2009</v>
      </c>
      <c r="C1889" s="3">
        <f t="shared" si="57"/>
        <v>5</v>
      </c>
      <c r="D1889" s="20" t="str">
        <f t="shared" si="58"/>
        <v>WBA20095</v>
      </c>
      <c r="E1889" s="2">
        <v>39952</v>
      </c>
      <c r="F1889" s="3">
        <v>0.1125</v>
      </c>
      <c r="G1889" s="2">
        <v>39976</v>
      </c>
      <c r="H1889" s="3">
        <v>1.47E-2</v>
      </c>
      <c r="I1889" s="3">
        <v>0</v>
      </c>
      <c r="J1889" s="3">
        <v>0</v>
      </c>
      <c r="K1889" s="3">
        <f t="shared" si="59"/>
        <v>2009</v>
      </c>
      <c r="L1889" s="3">
        <f t="shared" si="60"/>
        <v>0</v>
      </c>
      <c r="M1889" s="20" t="str">
        <f>A1889&amp;L1889</f>
        <v>WBA0</v>
      </c>
      <c r="N1889" s="3">
        <f>F1889</f>
        <v>0.1125</v>
      </c>
      <c r="O1889" s="9">
        <f>H1889</f>
        <v>1.47E-2</v>
      </c>
      <c r="P1889" s="10">
        <f t="shared" si="61"/>
        <v>0</v>
      </c>
      <c r="Q1889" s="10">
        <f>IF(K1889=0,IF(A1886=A1889,AVERAGE(O1886:O1889),"x"),0)</f>
        <v>0</v>
      </c>
      <c r="R1889" s="9">
        <f>IF(L1889&gt;2005,AVERAGE(O1886:O1905),0)</f>
        <v>0</v>
      </c>
      <c r="S1889" s="10">
        <f>IF(A1889=A1890,(N1889-N1890)/N1890,0)</f>
        <v>0</v>
      </c>
      <c r="T1889" s="10">
        <f>IF(L1889&gt;2005,(((N1889-N1909)/N1909)+1)^(1/5)-1,0)</f>
        <v>0</v>
      </c>
      <c r="U1889" s="10">
        <f t="shared" si="62"/>
        <v>0</v>
      </c>
      <c r="V1889" s="26">
        <f t="shared" si="63"/>
        <v>0</v>
      </c>
      <c r="W1889" s="3">
        <f>IF(A1889=A1890,N1889-N1890,0)</f>
        <v>0</v>
      </c>
      <c r="X1889" s="10">
        <f>IF(A1889=A1890,(N1889-N1890)/N1890,0)</f>
        <v>0</v>
      </c>
    </row>
    <row r="1890" spans="1:24" ht="16.5" customHeight="1">
      <c r="A1890" s="3" t="s">
        <v>44</v>
      </c>
      <c r="B1890" s="3">
        <f t="shared" si="56"/>
        <v>2009</v>
      </c>
      <c r="C1890" s="3">
        <f t="shared" si="57"/>
        <v>2</v>
      </c>
      <c r="D1890" s="20" t="str">
        <f t="shared" si="58"/>
        <v>WBA20092</v>
      </c>
      <c r="E1890" s="2">
        <v>39857</v>
      </c>
      <c r="F1890" s="3">
        <v>0.1125</v>
      </c>
      <c r="G1890" s="2">
        <v>39884</v>
      </c>
      <c r="H1890" s="3">
        <v>1.6E-2</v>
      </c>
      <c r="I1890" s="3">
        <v>0</v>
      </c>
      <c r="J1890" s="3">
        <v>0</v>
      </c>
      <c r="K1890" s="3">
        <f t="shared" si="59"/>
        <v>0</v>
      </c>
      <c r="L1890" s="3">
        <f t="shared" si="60"/>
        <v>2009</v>
      </c>
      <c r="M1890" s="20" t="str">
        <f>A1890&amp;L1890</f>
        <v>WBA2009</v>
      </c>
      <c r="N1890" s="3">
        <f>F1890</f>
        <v>0.1125</v>
      </c>
      <c r="O1890" s="9">
        <f>H1890</f>
        <v>1.6E-2</v>
      </c>
      <c r="P1890" s="10">
        <f t="shared" si="61"/>
        <v>0</v>
      </c>
      <c r="Q1890" s="10">
        <f>IF(K1890=0,IF(A1887=A1890,AVERAGE(O1887:O1890),"x"),0)</f>
        <v>1.47E-2</v>
      </c>
      <c r="R1890" s="9">
        <f>IF(L1890&gt;2005,AVERAGE(O1887:O1906),0)</f>
        <v>9.045000000000001E-3</v>
      </c>
      <c r="S1890" s="10">
        <f>IF(A1890=A1891,(N1890-N1891)/N1891,0)</f>
        <v>0</v>
      </c>
      <c r="T1890" s="10">
        <f>IF(L1890&gt;2005,(((N1890-N1910)/N1910)+1)^(1/5)-1,0)</f>
        <v>0.21142004089387845</v>
      </c>
      <c r="U1890" s="10">
        <f t="shared" si="62"/>
        <v>0.22046504089387844</v>
      </c>
      <c r="V1890" s="26">
        <f t="shared" si="63"/>
        <v>4.8899257613919014</v>
      </c>
      <c r="W1890" s="3">
        <f>IF(A1890=A1891,N1890-N1891,0)</f>
        <v>0</v>
      </c>
      <c r="X1890" s="10">
        <f>IF(A1890=A1891,(N1890-N1891)/N1891,0)</f>
        <v>0</v>
      </c>
    </row>
    <row r="1891" spans="1:24" ht="16.5" customHeight="1">
      <c r="A1891" s="3" t="s">
        <v>44</v>
      </c>
      <c r="B1891" s="3">
        <f t="shared" si="56"/>
        <v>2008</v>
      </c>
      <c r="C1891" s="3">
        <f t="shared" si="57"/>
        <v>11</v>
      </c>
      <c r="D1891" s="20" t="str">
        <f t="shared" si="58"/>
        <v>WBA200811</v>
      </c>
      <c r="E1891" s="2">
        <v>39765</v>
      </c>
      <c r="F1891" s="3">
        <v>0.1125</v>
      </c>
      <c r="G1891" s="2">
        <v>39794</v>
      </c>
      <c r="H1891" s="3">
        <v>1.7999999999999999E-2</v>
      </c>
      <c r="I1891" s="3">
        <v>0</v>
      </c>
      <c r="J1891" s="3">
        <v>0</v>
      </c>
      <c r="K1891" s="3">
        <f t="shared" si="59"/>
        <v>2008</v>
      </c>
      <c r="L1891" s="3">
        <f t="shared" si="60"/>
        <v>0</v>
      </c>
      <c r="M1891" s="20" t="str">
        <f>A1891&amp;L1891</f>
        <v>WBA0</v>
      </c>
      <c r="N1891" s="3">
        <f>F1891</f>
        <v>0.1125</v>
      </c>
      <c r="O1891" s="9">
        <f>H1891</f>
        <v>1.7999999999999999E-2</v>
      </c>
      <c r="P1891" s="10">
        <f t="shared" si="61"/>
        <v>0</v>
      </c>
      <c r="Q1891" s="10">
        <f>IF(K1891=0,IF(A1888=A1891,AVERAGE(O1888:O1891),"x"),0)</f>
        <v>0</v>
      </c>
      <c r="R1891" s="9">
        <f>IF(L1891&gt;2005,AVERAGE(O1888:O1907),0)</f>
        <v>0</v>
      </c>
      <c r="S1891" s="10">
        <f>IF(A1891=A1892,(N1891-N1892)/N1892,0)</f>
        <v>0</v>
      </c>
      <c r="T1891" s="10">
        <f>IF(L1891&gt;2005,(((N1891-N1911)/N1911)+1)^(1/5)-1,0)</f>
        <v>0</v>
      </c>
      <c r="U1891" s="10">
        <f t="shared" si="62"/>
        <v>0</v>
      </c>
      <c r="V1891" s="26">
        <f t="shared" si="63"/>
        <v>0</v>
      </c>
      <c r="W1891" s="3">
        <f>IF(A1891=A1892,N1891-N1892,0)</f>
        <v>0</v>
      </c>
      <c r="X1891" s="10">
        <f>IF(A1891=A1892,(N1891-N1892)/N1892,0)</f>
        <v>0</v>
      </c>
    </row>
    <row r="1892" spans="1:24" ht="16.5" customHeight="1">
      <c r="A1892" s="3" t="s">
        <v>44</v>
      </c>
      <c r="B1892" s="3">
        <f t="shared" si="56"/>
        <v>2008</v>
      </c>
      <c r="C1892" s="3">
        <f t="shared" si="57"/>
        <v>8</v>
      </c>
      <c r="D1892" s="20" t="str">
        <f t="shared" si="58"/>
        <v>WBA20088</v>
      </c>
      <c r="E1892" s="2">
        <v>39678</v>
      </c>
      <c r="F1892" s="3">
        <v>0.1125</v>
      </c>
      <c r="G1892" s="2">
        <v>39703</v>
      </c>
      <c r="H1892" s="3">
        <v>1.0699999999999999E-2</v>
      </c>
      <c r="I1892" s="3">
        <v>0.18421052600000001</v>
      </c>
      <c r="J1892" s="3">
        <v>1.7500000000000002E-2</v>
      </c>
      <c r="K1892" s="3">
        <f t="shared" si="59"/>
        <v>2008</v>
      </c>
      <c r="L1892" s="3">
        <f t="shared" si="60"/>
        <v>0</v>
      </c>
      <c r="M1892" s="20" t="str">
        <f>A1892&amp;L1892</f>
        <v>WBA0</v>
      </c>
      <c r="N1892" s="3">
        <f>F1892</f>
        <v>0.1125</v>
      </c>
      <c r="O1892" s="9">
        <f>H1892</f>
        <v>1.0699999999999999E-2</v>
      </c>
      <c r="P1892" s="10">
        <f t="shared" si="61"/>
        <v>0.01</v>
      </c>
      <c r="Q1892" s="10">
        <f>IF(K1892=0,IF(A1889=A1892,AVERAGE(O1889:O1892),"x"),0)</f>
        <v>0</v>
      </c>
      <c r="R1892" s="9">
        <f>IF(L1892&gt;2005,AVERAGE(O1889:O1908),0)</f>
        <v>0</v>
      </c>
      <c r="S1892" s="10">
        <f>IF(A1892=A1893,(N1892-N1893)/N1893,0)</f>
        <v>0.18421052631578949</v>
      </c>
      <c r="T1892" s="10">
        <f>IF(L1892&gt;2005,(((N1892-N1912)/N1912)+1)^(1/5)-1,0)</f>
        <v>0</v>
      </c>
      <c r="U1892" s="10">
        <f t="shared" si="62"/>
        <v>0</v>
      </c>
      <c r="V1892" s="26">
        <f t="shared" si="63"/>
        <v>0</v>
      </c>
      <c r="W1892" s="3">
        <f>IF(A1892=A1893,N1892-N1893,0)</f>
        <v>1.7500000000000002E-2</v>
      </c>
      <c r="X1892" s="10">
        <f>IF(A1892=A1893,(N1892-N1893)/N1893,0)</f>
        <v>0.18421052631578949</v>
      </c>
    </row>
    <row r="1893" spans="1:24" ht="16.5" customHeight="1">
      <c r="A1893" s="3" t="s">
        <v>44</v>
      </c>
      <c r="B1893" s="3">
        <f t="shared" si="56"/>
        <v>2008</v>
      </c>
      <c r="C1893" s="3">
        <f t="shared" si="57"/>
        <v>5</v>
      </c>
      <c r="D1893" s="20" t="str">
        <f t="shared" si="58"/>
        <v>WBA20085</v>
      </c>
      <c r="E1893" s="2">
        <v>39587</v>
      </c>
      <c r="F1893" s="3">
        <v>9.5000000000000001E-2</v>
      </c>
      <c r="G1893" s="2">
        <v>39611</v>
      </c>
      <c r="H1893" s="3">
        <v>1.04E-2</v>
      </c>
      <c r="I1893" s="3">
        <v>0</v>
      </c>
      <c r="J1893" s="3">
        <v>0</v>
      </c>
      <c r="K1893" s="3">
        <f t="shared" si="59"/>
        <v>2008</v>
      </c>
      <c r="L1893" s="3">
        <f t="shared" si="60"/>
        <v>0</v>
      </c>
      <c r="M1893" s="20" t="str">
        <f>A1893&amp;L1893</f>
        <v>WBA0</v>
      </c>
      <c r="N1893" s="3">
        <f>F1893</f>
        <v>9.5000000000000001E-2</v>
      </c>
      <c r="O1893" s="9">
        <f>H1893</f>
        <v>1.04E-2</v>
      </c>
      <c r="P1893" s="10">
        <f t="shared" si="61"/>
        <v>0</v>
      </c>
      <c r="Q1893" s="10">
        <f>IF(K1893=0,IF(A1890=A1893,AVERAGE(O1890:O1893),"x"),0)</f>
        <v>0</v>
      </c>
      <c r="R1893" s="9">
        <f>IF(L1893&gt;2005,AVERAGE(O1890:O1909),0)</f>
        <v>0</v>
      </c>
      <c r="S1893" s="10">
        <f>IF(A1893=A1894,(N1893-N1894)/N1894,0)</f>
        <v>0</v>
      </c>
      <c r="T1893" s="10">
        <f>IF(L1893&gt;2005,(((N1893-N1913)/N1913)+1)^(1/5)-1,0)</f>
        <v>0</v>
      </c>
      <c r="U1893" s="10">
        <f t="shared" si="62"/>
        <v>0</v>
      </c>
      <c r="V1893" s="26">
        <f t="shared" si="63"/>
        <v>0</v>
      </c>
      <c r="W1893" s="3">
        <f>IF(A1893=A1894,N1893-N1894,0)</f>
        <v>0</v>
      </c>
      <c r="X1893" s="10">
        <f>IF(A1893=A1894,(N1893-N1894)/N1894,0)</f>
        <v>0</v>
      </c>
    </row>
    <row r="1894" spans="1:24" ht="16.5" customHeight="1">
      <c r="A1894" s="3" t="s">
        <v>44</v>
      </c>
      <c r="B1894" s="3">
        <f t="shared" si="56"/>
        <v>2008</v>
      </c>
      <c r="C1894" s="3">
        <f t="shared" si="57"/>
        <v>2</v>
      </c>
      <c r="D1894" s="20" t="str">
        <f t="shared" si="58"/>
        <v>WBA20082</v>
      </c>
      <c r="E1894" s="2">
        <v>39492</v>
      </c>
      <c r="F1894" s="3">
        <v>9.5000000000000001E-2</v>
      </c>
      <c r="G1894" s="2">
        <v>39519</v>
      </c>
      <c r="H1894" s="3">
        <v>0.01</v>
      </c>
      <c r="I1894" s="3">
        <v>0</v>
      </c>
      <c r="J1894" s="3">
        <v>0</v>
      </c>
      <c r="K1894" s="3">
        <f t="shared" si="59"/>
        <v>0</v>
      </c>
      <c r="L1894" s="3">
        <f t="shared" si="60"/>
        <v>2008</v>
      </c>
      <c r="M1894" s="20" t="str">
        <f>A1894&amp;L1894</f>
        <v>WBA2008</v>
      </c>
      <c r="N1894" s="3">
        <f>F1894</f>
        <v>9.5000000000000001E-2</v>
      </c>
      <c r="O1894" s="9">
        <f>H1894</f>
        <v>0.01</v>
      </c>
      <c r="P1894" s="10">
        <f t="shared" si="61"/>
        <v>0</v>
      </c>
      <c r="Q1894" s="10">
        <f>IF(K1894=0,IF(A1891=A1894,AVERAGE(O1891:O1894),"x"),0)</f>
        <v>1.2274999999999999E-2</v>
      </c>
      <c r="R1894" s="9">
        <f>IF(L1894&gt;2005,AVERAGE(O1891:O1910),0)</f>
        <v>7.0899999999999991E-3</v>
      </c>
      <c r="S1894" s="10">
        <f>IF(A1894=A1895,(N1894-N1895)/N1895,0)</f>
        <v>0</v>
      </c>
      <c r="T1894" s="10">
        <f>IF(L1894&gt;2005,(((N1894-N1914)/N1914)+1)^(1/5)-1,0)</f>
        <v>0.20431048521198436</v>
      </c>
      <c r="U1894" s="10">
        <f t="shared" si="62"/>
        <v>0.21140048521198435</v>
      </c>
      <c r="V1894" s="26">
        <f t="shared" si="63"/>
        <v>4.9128911383064002</v>
      </c>
      <c r="W1894" s="3">
        <f>IF(A1894=A1895,N1894-N1895,0)</f>
        <v>0</v>
      </c>
      <c r="X1894" s="10">
        <f>IF(A1894=A1895,(N1894-N1895)/N1895,0)</f>
        <v>0</v>
      </c>
    </row>
    <row r="1895" spans="1:24" ht="16.5" customHeight="1">
      <c r="A1895" s="3" t="s">
        <v>44</v>
      </c>
      <c r="B1895" s="3">
        <f t="shared" si="56"/>
        <v>2007</v>
      </c>
      <c r="C1895" s="3">
        <f t="shared" si="57"/>
        <v>11</v>
      </c>
      <c r="D1895" s="20" t="str">
        <f t="shared" si="58"/>
        <v>WBA200711</v>
      </c>
      <c r="E1895" s="2">
        <v>39393</v>
      </c>
      <c r="F1895" s="3">
        <v>9.5000000000000001E-2</v>
      </c>
      <c r="G1895" s="2">
        <v>39428</v>
      </c>
      <c r="H1895" s="3">
        <v>8.8999999999999999E-3</v>
      </c>
      <c r="I1895" s="3">
        <v>0</v>
      </c>
      <c r="J1895" s="3">
        <v>0</v>
      </c>
      <c r="K1895" s="3">
        <f t="shared" si="59"/>
        <v>2007</v>
      </c>
      <c r="L1895" s="3">
        <f t="shared" si="60"/>
        <v>0</v>
      </c>
      <c r="M1895" s="20" t="str">
        <f>A1895&amp;L1895</f>
        <v>WBA0</v>
      </c>
      <c r="N1895" s="3">
        <f>F1895</f>
        <v>9.5000000000000001E-2</v>
      </c>
      <c r="O1895" s="9">
        <f>H1895</f>
        <v>8.8999999999999999E-3</v>
      </c>
      <c r="P1895" s="10">
        <f t="shared" si="61"/>
        <v>0</v>
      </c>
      <c r="Q1895" s="10">
        <f>IF(K1895=0,IF(A1892=A1895,AVERAGE(O1892:O1895),"x"),0)</f>
        <v>0</v>
      </c>
      <c r="R1895" s="9">
        <f>IF(L1895&gt;2005,AVERAGE(O1892:O1911),0)</f>
        <v>0</v>
      </c>
      <c r="S1895" s="10">
        <f>IF(A1895=A1896,(N1895-N1896)/N1896,0)</f>
        <v>0</v>
      </c>
      <c r="T1895" s="10">
        <f>IF(L1895&gt;2005,(((N1895-N1915)/N1915)+1)^(1/5)-1,0)</f>
        <v>0</v>
      </c>
      <c r="U1895" s="10">
        <f t="shared" si="62"/>
        <v>0</v>
      </c>
      <c r="V1895" s="26">
        <f t="shared" si="63"/>
        <v>0</v>
      </c>
      <c r="W1895" s="3">
        <f>IF(A1895=A1896,N1895-N1896,0)</f>
        <v>0</v>
      </c>
      <c r="X1895" s="10">
        <f>IF(A1895=A1896,(N1895-N1896)/N1896,0)</f>
        <v>0</v>
      </c>
    </row>
    <row r="1896" spans="1:24" ht="16.5" customHeight="1">
      <c r="A1896" s="3" t="s">
        <v>44</v>
      </c>
      <c r="B1896" s="3">
        <f t="shared" si="56"/>
        <v>2007</v>
      </c>
      <c r="C1896" s="3">
        <f t="shared" si="57"/>
        <v>8</v>
      </c>
      <c r="D1896" s="20" t="str">
        <f t="shared" si="58"/>
        <v>WBA20078</v>
      </c>
      <c r="E1896" s="2">
        <v>39310</v>
      </c>
      <c r="F1896" s="3">
        <v>9.5000000000000001E-2</v>
      </c>
      <c r="G1896" s="2">
        <v>39337</v>
      </c>
      <c r="H1896" s="3">
        <v>7.3000000000000001E-3</v>
      </c>
      <c r="I1896" s="3">
        <v>0.22580645199999999</v>
      </c>
      <c r="J1896" s="3">
        <v>1.7500000000000002E-2</v>
      </c>
      <c r="K1896" s="3">
        <f t="shared" si="59"/>
        <v>2007</v>
      </c>
      <c r="L1896" s="3">
        <f t="shared" si="60"/>
        <v>0</v>
      </c>
      <c r="M1896" s="20" t="str">
        <f>A1896&amp;L1896</f>
        <v>WBA0</v>
      </c>
      <c r="N1896" s="3">
        <f>F1896</f>
        <v>9.5000000000000001E-2</v>
      </c>
      <c r="O1896" s="9">
        <f>H1896</f>
        <v>7.3000000000000001E-3</v>
      </c>
      <c r="P1896" s="10">
        <f t="shared" si="61"/>
        <v>6.8750000000000009E-3</v>
      </c>
      <c r="Q1896" s="10">
        <f>IF(K1896=0,IF(A1893=A1896,AVERAGE(O1893:O1896),"x"),0)</f>
        <v>0</v>
      </c>
      <c r="R1896" s="9">
        <f>IF(L1896&gt;2005,AVERAGE(O1893:O1912),0)</f>
        <v>0</v>
      </c>
      <c r="S1896" s="10">
        <f>IF(A1896=A1897,(N1896-N1897)/N1897,0)</f>
        <v>0.22580645161290325</v>
      </c>
      <c r="T1896" s="10">
        <f>IF(L1896&gt;2005,(((N1896-N1916)/N1916)+1)^(1/5)-1,0)</f>
        <v>0</v>
      </c>
      <c r="U1896" s="10">
        <f t="shared" si="62"/>
        <v>0</v>
      </c>
      <c r="V1896" s="26">
        <f t="shared" si="63"/>
        <v>0</v>
      </c>
      <c r="W1896" s="3">
        <f>IF(A1896=A1897,N1896-N1897,0)</f>
        <v>1.7500000000000002E-2</v>
      </c>
      <c r="X1896" s="10">
        <f>IF(A1896=A1897,(N1896-N1897)/N1897,0)</f>
        <v>0.22580645161290325</v>
      </c>
    </row>
    <row r="1897" spans="1:24" ht="16.5" customHeight="1">
      <c r="A1897" s="3" t="s">
        <v>44</v>
      </c>
      <c r="B1897" s="3">
        <f t="shared" si="56"/>
        <v>2007</v>
      </c>
      <c r="C1897" s="3">
        <f t="shared" si="57"/>
        <v>5</v>
      </c>
      <c r="D1897" s="20" t="str">
        <f t="shared" si="58"/>
        <v>WBA20075</v>
      </c>
      <c r="E1897" s="2">
        <v>39218</v>
      </c>
      <c r="F1897" s="3">
        <v>7.7499999999999999E-2</v>
      </c>
      <c r="G1897" s="2">
        <v>39245</v>
      </c>
      <c r="H1897" s="3">
        <v>7.0000000000000001E-3</v>
      </c>
      <c r="I1897" s="3">
        <v>0</v>
      </c>
      <c r="J1897" s="3">
        <v>0</v>
      </c>
      <c r="K1897" s="3">
        <f t="shared" si="59"/>
        <v>2007</v>
      </c>
      <c r="L1897" s="3">
        <f t="shared" si="60"/>
        <v>0</v>
      </c>
      <c r="M1897" s="20" t="str">
        <f>A1897&amp;L1897</f>
        <v>WBA0</v>
      </c>
      <c r="N1897" s="3">
        <f>F1897</f>
        <v>7.7499999999999999E-2</v>
      </c>
      <c r="O1897" s="9">
        <f>H1897</f>
        <v>7.0000000000000001E-3</v>
      </c>
      <c r="P1897" s="10">
        <f t="shared" si="61"/>
        <v>0</v>
      </c>
      <c r="Q1897" s="10">
        <f>IF(K1897=0,IF(A1894=A1897,AVERAGE(O1894:O1897),"x"),0)</f>
        <v>0</v>
      </c>
      <c r="R1897" s="9">
        <f>IF(L1897&gt;2005,AVERAGE(O1894:O1913),0)</f>
        <v>0</v>
      </c>
      <c r="S1897" s="10">
        <f>IF(A1897=A1898,(N1897-N1898)/N1898,0)</f>
        <v>0</v>
      </c>
      <c r="T1897" s="10">
        <f>IF(L1897&gt;2005,(((N1897-N1917)/N1917)+1)^(1/5)-1,0)</f>
        <v>0</v>
      </c>
      <c r="U1897" s="10">
        <f t="shared" si="62"/>
        <v>0</v>
      </c>
      <c r="V1897" s="26">
        <f t="shared" si="63"/>
        <v>0</v>
      </c>
      <c r="W1897" s="3">
        <f>IF(A1897=A1898,N1897-N1898,0)</f>
        <v>0</v>
      </c>
      <c r="X1897" s="10">
        <f>IF(A1897=A1898,(N1897-N1898)/N1898,0)</f>
        <v>0</v>
      </c>
    </row>
    <row r="1898" spans="1:24" ht="16.5" customHeight="1">
      <c r="A1898" s="3" t="s">
        <v>44</v>
      </c>
      <c r="B1898" s="3">
        <f t="shared" si="56"/>
        <v>2007</v>
      </c>
      <c r="C1898" s="3">
        <f t="shared" si="57"/>
        <v>2</v>
      </c>
      <c r="D1898" s="20" t="str">
        <f t="shared" si="58"/>
        <v>WBA20072</v>
      </c>
      <c r="E1898" s="2">
        <v>39127</v>
      </c>
      <c r="F1898" s="3">
        <v>7.7499999999999999E-2</v>
      </c>
      <c r="G1898" s="2">
        <v>39153</v>
      </c>
      <c r="H1898" s="3">
        <v>6.6E-3</v>
      </c>
      <c r="I1898" s="3">
        <v>0</v>
      </c>
      <c r="J1898" s="3">
        <v>0</v>
      </c>
      <c r="K1898" s="3">
        <f t="shared" si="59"/>
        <v>0</v>
      </c>
      <c r="L1898" s="3">
        <f t="shared" si="60"/>
        <v>2007</v>
      </c>
      <c r="M1898" s="20" t="str">
        <f>A1898&amp;L1898</f>
        <v>WBA2007</v>
      </c>
      <c r="N1898" s="3">
        <f>F1898</f>
        <v>7.7499999999999999E-2</v>
      </c>
      <c r="O1898" s="9">
        <f>H1898</f>
        <v>6.6E-3</v>
      </c>
      <c r="P1898" s="10">
        <f t="shared" si="61"/>
        <v>0</v>
      </c>
      <c r="Q1898" s="10">
        <f>IF(K1898=0,IF(A1895=A1898,AVERAGE(O1895:O1898),"x"),0)</f>
        <v>7.45E-3</v>
      </c>
      <c r="R1898" s="9">
        <f>IF(L1898&gt;2005,AVERAGE(O1895:O1914),0)</f>
        <v>5.6100000000000004E-3</v>
      </c>
      <c r="S1898" s="10">
        <f>IF(A1898=A1899,(N1898-N1899)/N1899,0)</f>
        <v>0</v>
      </c>
      <c r="T1898" s="10">
        <f>IF(L1898&gt;2005,(((N1898-N1918)/N1918)+1)^(1/5)-1,0)</f>
        <v>0.16412264748274419</v>
      </c>
      <c r="U1898" s="10">
        <f t="shared" si="62"/>
        <v>0.16973264748274419</v>
      </c>
      <c r="V1898" s="26">
        <f t="shared" si="63"/>
        <v>4.9285188590286779</v>
      </c>
      <c r="W1898" s="3">
        <f>IF(A1898=A1899,N1898-N1899,0)</f>
        <v>0</v>
      </c>
      <c r="X1898" s="10">
        <f>IF(A1898=A1899,(N1898-N1899)/N1899,0)</f>
        <v>0</v>
      </c>
    </row>
    <row r="1899" spans="1:24" ht="16.5" customHeight="1">
      <c r="A1899" s="3" t="s">
        <v>44</v>
      </c>
      <c r="B1899" s="3">
        <f t="shared" si="56"/>
        <v>2006</v>
      </c>
      <c r="C1899" s="3">
        <f t="shared" si="57"/>
        <v>11</v>
      </c>
      <c r="D1899" s="20" t="str">
        <f t="shared" si="58"/>
        <v>WBA200611</v>
      </c>
      <c r="E1899" s="2">
        <v>39030</v>
      </c>
      <c r="F1899" s="3">
        <v>7.7499999999999999E-2</v>
      </c>
      <c r="G1899" s="2">
        <v>39063</v>
      </c>
      <c r="H1899" s="3">
        <v>6.6E-3</v>
      </c>
      <c r="I1899" s="3">
        <v>0</v>
      </c>
      <c r="J1899" s="3">
        <v>0</v>
      </c>
      <c r="K1899" s="3">
        <f t="shared" si="59"/>
        <v>2006</v>
      </c>
      <c r="L1899" s="3">
        <f t="shared" si="60"/>
        <v>0</v>
      </c>
      <c r="M1899" s="20" t="str">
        <f>A1899&amp;L1899</f>
        <v>WBA0</v>
      </c>
      <c r="N1899" s="3">
        <f>F1899</f>
        <v>7.7499999999999999E-2</v>
      </c>
      <c r="O1899" s="9">
        <f>H1899</f>
        <v>6.6E-3</v>
      </c>
      <c r="P1899" s="10">
        <f t="shared" si="61"/>
        <v>0</v>
      </c>
      <c r="Q1899" s="10">
        <f>IF(K1899=0,IF(A1896=A1899,AVERAGE(O1896:O1899),"x"),0)</f>
        <v>0</v>
      </c>
      <c r="R1899" s="9">
        <f>IF(L1899&gt;2005,AVERAGE(O1896:O1915),0)</f>
        <v>0</v>
      </c>
      <c r="S1899" s="10">
        <f>IF(A1899=A1900,(N1899-N1900)/N1900,0)</f>
        <v>0</v>
      </c>
      <c r="T1899" s="10">
        <f>IF(L1899&gt;2005,(((N1899-N1919)/N1919)+1)^(1/5)-1,0)</f>
        <v>0</v>
      </c>
      <c r="U1899" s="10">
        <f t="shared" si="62"/>
        <v>0</v>
      </c>
      <c r="V1899" s="26">
        <f t="shared" si="63"/>
        <v>0</v>
      </c>
      <c r="W1899" s="3">
        <f>IF(A1899=A1900,N1899-N1900,0)</f>
        <v>0</v>
      </c>
      <c r="X1899" s="10">
        <f>IF(A1899=A1900,(N1899-N1900)/N1900,0)</f>
        <v>0</v>
      </c>
    </row>
    <row r="1900" spans="1:24" ht="16.5" customHeight="1">
      <c r="A1900" s="3" t="s">
        <v>44</v>
      </c>
      <c r="B1900" s="3">
        <f t="shared" si="56"/>
        <v>2006</v>
      </c>
      <c r="C1900" s="3">
        <f t="shared" si="57"/>
        <v>8</v>
      </c>
      <c r="D1900" s="20" t="str">
        <f t="shared" si="58"/>
        <v>WBA20068</v>
      </c>
      <c r="E1900" s="2">
        <v>38945</v>
      </c>
      <c r="F1900" s="3">
        <v>7.7499999999999999E-2</v>
      </c>
      <c r="G1900" s="2">
        <v>38972</v>
      </c>
      <c r="H1900" s="3">
        <v>5.4999999999999997E-3</v>
      </c>
      <c r="I1900" s="3">
        <v>0.192307692</v>
      </c>
      <c r="J1900" s="3">
        <v>1.2500000000000001E-2</v>
      </c>
      <c r="K1900" s="3">
        <f t="shared" si="59"/>
        <v>2006</v>
      </c>
      <c r="L1900" s="3">
        <f t="shared" si="60"/>
        <v>0</v>
      </c>
      <c r="M1900" s="20" t="str">
        <f>A1900&amp;L1900</f>
        <v>WBA0</v>
      </c>
      <c r="N1900" s="3">
        <f>F1900</f>
        <v>7.7499999999999999E-2</v>
      </c>
      <c r="O1900" s="9">
        <f>H1900</f>
        <v>5.4999999999999997E-3</v>
      </c>
      <c r="P1900" s="10">
        <f t="shared" si="61"/>
        <v>5.6500000000000005E-3</v>
      </c>
      <c r="Q1900" s="10">
        <f>IF(K1900=0,IF(A1897=A1900,AVERAGE(O1897:O1900),"x"),0)</f>
        <v>0</v>
      </c>
      <c r="R1900" s="9">
        <f>IF(L1900&gt;2005,AVERAGE(O1897:O1916),0)</f>
        <v>0</v>
      </c>
      <c r="S1900" s="10">
        <f>IF(A1900=A1901,(N1900-N1901)/N1901,0)</f>
        <v>0.19230769230769226</v>
      </c>
      <c r="T1900" s="10">
        <f>IF(L1900&gt;2005,(((N1900-N1920)/N1920)+1)^(1/5)-1,0)</f>
        <v>0</v>
      </c>
      <c r="U1900" s="10">
        <f t="shared" si="62"/>
        <v>0</v>
      </c>
      <c r="V1900" s="26">
        <f t="shared" si="63"/>
        <v>0</v>
      </c>
      <c r="W1900" s="3">
        <f>IF(A1900=A1901,N1900-N1901,0)</f>
        <v>1.2499999999999997E-2</v>
      </c>
      <c r="X1900" s="10">
        <f>IF(A1900=A1901,(N1900-N1901)/N1901,0)</f>
        <v>0.19230769230769226</v>
      </c>
    </row>
    <row r="1901" spans="1:24" ht="16.5" customHeight="1">
      <c r="A1901" s="3" t="s">
        <v>44</v>
      </c>
      <c r="B1901" s="3">
        <f t="shared" si="56"/>
        <v>2006</v>
      </c>
      <c r="C1901" s="3">
        <f t="shared" si="57"/>
        <v>5</v>
      </c>
      <c r="D1901" s="20" t="str">
        <f t="shared" si="58"/>
        <v>WBA20065</v>
      </c>
      <c r="E1901" s="2">
        <v>38854</v>
      </c>
      <c r="F1901" s="3">
        <v>6.5000000000000002E-2</v>
      </c>
      <c r="G1901" s="2">
        <v>38880</v>
      </c>
      <c r="H1901" s="3">
        <v>6.4999999999999997E-3</v>
      </c>
      <c r="I1901" s="3">
        <v>0</v>
      </c>
      <c r="J1901" s="3">
        <v>0</v>
      </c>
      <c r="K1901" s="3">
        <f t="shared" si="59"/>
        <v>2006</v>
      </c>
      <c r="L1901" s="3">
        <f t="shared" si="60"/>
        <v>0</v>
      </c>
      <c r="M1901" s="20" t="str">
        <f>A1901&amp;L1901</f>
        <v>WBA0</v>
      </c>
      <c r="N1901" s="3">
        <f>F1901</f>
        <v>6.5000000000000002E-2</v>
      </c>
      <c r="O1901" s="9">
        <f>H1901</f>
        <v>6.4999999999999997E-3</v>
      </c>
      <c r="P1901" s="10">
        <f t="shared" si="61"/>
        <v>0</v>
      </c>
      <c r="Q1901" s="10">
        <f>IF(K1901=0,IF(A1898=A1901,AVERAGE(O1898:O1901),"x"),0)</f>
        <v>0</v>
      </c>
      <c r="R1901" s="9">
        <f>IF(L1901&gt;2005,AVERAGE(O1898:O1917),0)</f>
        <v>0</v>
      </c>
      <c r="S1901" s="10">
        <f>IF(A1901=A1902,(N1901-N1902)/N1902,0)</f>
        <v>0</v>
      </c>
      <c r="T1901" s="10">
        <f>IF(L1901&gt;2005,(((N1901-N1921)/N1921)+1)^(1/5)-1,0)</f>
        <v>0</v>
      </c>
      <c r="U1901" s="10">
        <f t="shared" si="62"/>
        <v>0</v>
      </c>
      <c r="V1901" s="26">
        <f t="shared" si="63"/>
        <v>0</v>
      </c>
      <c r="W1901" s="3">
        <f>IF(A1901=A1902,N1901-N1902,0)</f>
        <v>0</v>
      </c>
      <c r="X1901" s="10">
        <f>IF(A1901=A1902,(N1901-N1902)/N1902,0)</f>
        <v>0</v>
      </c>
    </row>
    <row r="1902" spans="1:24" ht="16.5" customHeight="1">
      <c r="A1902" s="3" t="s">
        <v>44</v>
      </c>
      <c r="B1902" s="3">
        <f t="shared" si="56"/>
        <v>2006</v>
      </c>
      <c r="C1902" s="3">
        <f t="shared" si="57"/>
        <v>2</v>
      </c>
      <c r="D1902" s="20" t="str">
        <f t="shared" si="58"/>
        <v>WBA20062</v>
      </c>
      <c r="E1902" s="2">
        <v>38763</v>
      </c>
      <c r="F1902" s="3">
        <v>6.5000000000000002E-2</v>
      </c>
      <c r="G1902" s="2">
        <v>38787</v>
      </c>
      <c r="H1902" s="3">
        <v>5.4999999999999997E-3</v>
      </c>
      <c r="I1902" s="3">
        <v>0</v>
      </c>
      <c r="J1902" s="3">
        <v>0</v>
      </c>
      <c r="K1902" s="3">
        <f t="shared" si="59"/>
        <v>0</v>
      </c>
      <c r="L1902" s="3">
        <f t="shared" si="60"/>
        <v>2006</v>
      </c>
      <c r="M1902" s="20" t="str">
        <f>A1902&amp;L1902</f>
        <v>WBA2006</v>
      </c>
      <c r="N1902" s="3">
        <f>F1902</f>
        <v>6.5000000000000002E-2</v>
      </c>
      <c r="O1902" s="9">
        <f>H1902</f>
        <v>5.4999999999999997E-3</v>
      </c>
      <c r="P1902" s="10">
        <f t="shared" si="61"/>
        <v>0</v>
      </c>
      <c r="Q1902" s="10">
        <f>IF(K1902=0,IF(A1899=A1902,AVERAGE(O1899:O1902),"x"),0)</f>
        <v>6.0249999999999991E-3</v>
      </c>
      <c r="R1902" s="9">
        <f>IF(L1902&gt;2005,AVERAGE(O1899:O1918),0)</f>
        <v>4.9250000000000006E-3</v>
      </c>
      <c r="S1902" s="10">
        <f>IF(A1902=A1903,(N1902-N1903)/N1903,0)</f>
        <v>0</v>
      </c>
      <c r="T1902" s="10">
        <f>IF(L1902&gt;2005,(((N1902-N1922)/N1922)+1)^(1/5)-1,0)</f>
        <v>0.13179836563100178</v>
      </c>
      <c r="U1902" s="10">
        <f t="shared" si="62"/>
        <v>0.13672336563100179</v>
      </c>
      <c r="V1902" s="26">
        <f t="shared" si="63"/>
        <v>4.9353847887064024</v>
      </c>
      <c r="W1902" s="3">
        <f>IF(A1902=A1903,N1902-N1903,0)</f>
        <v>0</v>
      </c>
      <c r="X1902" s="10">
        <f>IF(A1902=A1903,(N1902-N1903)/N1903,0)</f>
        <v>0</v>
      </c>
    </row>
    <row r="1903" spans="1:24" ht="16.5" customHeight="1">
      <c r="A1903" s="3" t="s">
        <v>44</v>
      </c>
      <c r="B1903" s="3">
        <f t="shared" si="56"/>
        <v>2005</v>
      </c>
      <c r="C1903" s="3">
        <f t="shared" si="57"/>
        <v>11</v>
      </c>
      <c r="D1903" s="20" t="str">
        <f t="shared" si="58"/>
        <v>WBA200511</v>
      </c>
      <c r="E1903" s="2">
        <v>38665</v>
      </c>
      <c r="F1903" s="3">
        <v>6.5000000000000002E-2</v>
      </c>
      <c r="G1903" s="2">
        <v>38698</v>
      </c>
      <c r="H1903" s="3">
        <v>5.1000000000000004E-3</v>
      </c>
      <c r="I1903" s="3">
        <v>0</v>
      </c>
      <c r="J1903" s="3">
        <v>0</v>
      </c>
      <c r="K1903" s="3">
        <f t="shared" si="59"/>
        <v>2005</v>
      </c>
      <c r="L1903" s="3">
        <f t="shared" si="60"/>
        <v>0</v>
      </c>
      <c r="M1903" s="20" t="str">
        <f>A1903&amp;L1903</f>
        <v>WBA0</v>
      </c>
      <c r="N1903" s="3">
        <f>F1903</f>
        <v>6.5000000000000002E-2</v>
      </c>
      <c r="O1903" s="9">
        <f>H1903</f>
        <v>5.1000000000000004E-3</v>
      </c>
      <c r="P1903" s="10">
        <f t="shared" si="61"/>
        <v>0</v>
      </c>
      <c r="Q1903" s="10">
        <f>IF(K1903=0,IF(A1900=A1903,AVERAGE(O1900:O1903),"x"),0)</f>
        <v>0</v>
      </c>
      <c r="R1903" s="9">
        <f>IF(L1903&gt;2005,AVERAGE(O1900:O1919),0)</f>
        <v>0</v>
      </c>
      <c r="S1903" s="10">
        <f>IF(A1903=A1904,(N1903-N1904)/N1904,0)</f>
        <v>0</v>
      </c>
      <c r="T1903" s="10">
        <f>IF(L1903&gt;2005,(((N1903-N1923)/N1923)+1)^(1/5)-1,0)</f>
        <v>0</v>
      </c>
      <c r="U1903" s="10">
        <f t="shared" si="62"/>
        <v>0</v>
      </c>
      <c r="V1903" s="26">
        <f t="shared" si="63"/>
        <v>0</v>
      </c>
      <c r="W1903" s="3">
        <f>IF(A1903=A1904,N1903-N1904,0)</f>
        <v>0</v>
      </c>
      <c r="X1903" s="10">
        <f>IF(A1903=A1904,(N1903-N1904)/N1904,0)</f>
        <v>0</v>
      </c>
    </row>
    <row r="1904" spans="1:24" ht="16.5" customHeight="1">
      <c r="A1904" s="3" t="s">
        <v>44</v>
      </c>
      <c r="B1904" s="3">
        <f t="shared" si="56"/>
        <v>2005</v>
      </c>
      <c r="C1904" s="3">
        <f t="shared" si="57"/>
        <v>8</v>
      </c>
      <c r="D1904" s="20" t="str">
        <f t="shared" si="58"/>
        <v>WBA20058</v>
      </c>
      <c r="E1904" s="2">
        <v>38581</v>
      </c>
      <c r="F1904" s="3">
        <v>6.5000000000000002E-2</v>
      </c>
      <c r="G1904" s="2">
        <v>38607</v>
      </c>
      <c r="H1904" s="3">
        <v>4.7000000000000002E-3</v>
      </c>
      <c r="I1904" s="3">
        <v>0.23809523799999999</v>
      </c>
      <c r="J1904" s="3">
        <v>1.2500000000000001E-2</v>
      </c>
      <c r="K1904" s="3">
        <f t="shared" si="59"/>
        <v>2005</v>
      </c>
      <c r="L1904" s="3">
        <f t="shared" si="60"/>
        <v>0</v>
      </c>
      <c r="M1904" s="20" t="str">
        <f>A1904&amp;L1904</f>
        <v>WBA0</v>
      </c>
      <c r="N1904" s="3">
        <f>F1904</f>
        <v>6.5000000000000002E-2</v>
      </c>
      <c r="O1904" s="9">
        <f>H1904</f>
        <v>4.7000000000000002E-3</v>
      </c>
      <c r="P1904" s="10">
        <f t="shared" si="61"/>
        <v>4.725E-3</v>
      </c>
      <c r="Q1904" s="10">
        <f>IF(K1904=0,IF(A1901=A1904,AVERAGE(O1901:O1904),"x"),0)</f>
        <v>0</v>
      </c>
      <c r="R1904" s="9">
        <f>IF(L1904&gt;2005,AVERAGE(O1901:O1920),0)</f>
        <v>0</v>
      </c>
      <c r="S1904" s="10">
        <f>IF(A1904=A1905,(N1904-N1905)/N1905,0)</f>
        <v>0.23809523809523819</v>
      </c>
      <c r="T1904" s="10">
        <f>IF(L1904&gt;2005,(((N1904-N1924)/N1924)+1)^(1/5)-1,0)</f>
        <v>0</v>
      </c>
      <c r="U1904" s="10">
        <f t="shared" si="62"/>
        <v>0</v>
      </c>
      <c r="V1904" s="26">
        <f t="shared" si="63"/>
        <v>0</v>
      </c>
      <c r="W1904" s="3">
        <f>IF(A1904=A1905,N1904-N1905,0)</f>
        <v>1.2500000000000004E-2</v>
      </c>
      <c r="X1904" s="10">
        <f>IF(A1904=A1905,(N1904-N1905)/N1905,0)</f>
        <v>0.23809523809523819</v>
      </c>
    </row>
    <row r="1905" spans="1:24" ht="16.5" customHeight="1">
      <c r="A1905" s="3" t="s">
        <v>44</v>
      </c>
      <c r="B1905" s="3">
        <f t="shared" si="56"/>
        <v>2005</v>
      </c>
      <c r="C1905" s="3">
        <f t="shared" si="57"/>
        <v>5</v>
      </c>
      <c r="D1905" s="20" t="str">
        <f t="shared" si="58"/>
        <v>WBA20055</v>
      </c>
      <c r="E1905" s="2">
        <v>38490</v>
      </c>
      <c r="F1905" s="3">
        <v>5.2499999999999998E-2</v>
      </c>
      <c r="G1905" s="2">
        <v>38514</v>
      </c>
      <c r="H1905" s="3">
        <v>4.5999999999999999E-3</v>
      </c>
      <c r="I1905" s="3">
        <v>0</v>
      </c>
      <c r="J1905" s="3">
        <v>0</v>
      </c>
      <c r="K1905" s="3">
        <f t="shared" si="59"/>
        <v>2005</v>
      </c>
      <c r="L1905" s="3">
        <f t="shared" si="60"/>
        <v>0</v>
      </c>
      <c r="M1905" s="20" t="str">
        <f>A1905&amp;L1905</f>
        <v>WBA0</v>
      </c>
      <c r="N1905" s="3">
        <f>F1905</f>
        <v>5.2499999999999998E-2</v>
      </c>
      <c r="O1905" s="9">
        <f>H1905</f>
        <v>4.5999999999999999E-3</v>
      </c>
      <c r="P1905" s="10">
        <f t="shared" si="61"/>
        <v>0</v>
      </c>
      <c r="Q1905" s="10">
        <f>IF(K1905=0,IF(A1902=A1905,AVERAGE(O1902:O1905),"x"),0)</f>
        <v>0</v>
      </c>
      <c r="R1905" s="9">
        <f>IF(L1905&gt;2005,AVERAGE(O1902:O1921),0)</f>
        <v>0</v>
      </c>
      <c r="S1905" s="10">
        <f>IF(A1905=A1906,(N1905-N1906)/N1906,0)</f>
        <v>0</v>
      </c>
      <c r="T1905" s="10">
        <f>IF(L1905&gt;2005,(((N1905-N1925)/N1925)+1)^(1/5)-1,0)</f>
        <v>0</v>
      </c>
      <c r="U1905" s="10">
        <f t="shared" si="62"/>
        <v>0</v>
      </c>
      <c r="V1905" s="26">
        <f t="shared" si="63"/>
        <v>0</v>
      </c>
      <c r="W1905" s="3">
        <f>IF(A1905=A1906,N1905-N1906,0)</f>
        <v>0</v>
      </c>
      <c r="X1905" s="10">
        <f>IF(A1905=A1906,(N1905-N1906)/N1906,0)</f>
        <v>0</v>
      </c>
    </row>
    <row r="1906" spans="1:24" ht="16.5" customHeight="1">
      <c r="A1906" s="3" t="s">
        <v>44</v>
      </c>
      <c r="B1906" s="3">
        <f t="shared" si="56"/>
        <v>2005</v>
      </c>
      <c r="C1906" s="3">
        <f t="shared" si="57"/>
        <v>2</v>
      </c>
      <c r="D1906" s="20" t="str">
        <f t="shared" si="58"/>
        <v>WBA20052</v>
      </c>
      <c r="E1906" s="2">
        <v>38399</v>
      </c>
      <c r="F1906" s="3">
        <v>5.2499999999999998E-2</v>
      </c>
      <c r="G1906" s="2">
        <v>38423</v>
      </c>
      <c r="H1906" s="3">
        <v>4.7000000000000002E-3</v>
      </c>
      <c r="I1906" s="3">
        <v>0</v>
      </c>
      <c r="J1906" s="3">
        <v>0</v>
      </c>
      <c r="K1906" s="3">
        <f t="shared" si="59"/>
        <v>0</v>
      </c>
      <c r="L1906" s="3">
        <f t="shared" si="60"/>
        <v>2005</v>
      </c>
      <c r="M1906" s="20" t="str">
        <f>A1906&amp;L1906</f>
        <v>WBA2005</v>
      </c>
      <c r="N1906" s="3">
        <f>F1906</f>
        <v>5.2499999999999998E-2</v>
      </c>
      <c r="O1906" s="9">
        <f>H1906</f>
        <v>4.7000000000000002E-3</v>
      </c>
      <c r="P1906" s="10">
        <f t="shared" si="61"/>
        <v>0</v>
      </c>
      <c r="Q1906" s="10">
        <f>IF(K1906=0,IF(A1903=A1906,AVERAGE(O1903:O1906),"x"),0)</f>
        <v>4.7749999999999997E-3</v>
      </c>
      <c r="R1906" s="9">
        <f>IF(L1906&gt;2005,AVERAGE(O1903:O1922),0)</f>
        <v>0</v>
      </c>
      <c r="S1906" s="10">
        <f>IF(A1906=A1907,(N1906-N1907)/N1907,0)</f>
        <v>0</v>
      </c>
      <c r="T1906" s="10">
        <f>IF(L1906&gt;2005,(((N1906-N1926)/N1926)+1)^(1/5)-1,0)</f>
        <v>0</v>
      </c>
      <c r="U1906" s="10">
        <f t="shared" si="62"/>
        <v>0</v>
      </c>
      <c r="V1906" s="26">
        <f t="shared" si="63"/>
        <v>0</v>
      </c>
      <c r="W1906" s="3">
        <f>IF(A1906=A1907,N1906-N1907,0)</f>
        <v>0</v>
      </c>
      <c r="X1906" s="10">
        <f>IF(A1906=A1907,(N1906-N1907)/N1907,0)</f>
        <v>0</v>
      </c>
    </row>
    <row r="1907" spans="1:24" ht="16.5" customHeight="1">
      <c r="A1907" s="3" t="s">
        <v>44</v>
      </c>
      <c r="B1907" s="3">
        <f t="shared" si="56"/>
        <v>2004</v>
      </c>
      <c r="C1907" s="3">
        <f t="shared" si="57"/>
        <v>11</v>
      </c>
      <c r="D1907" s="20" t="str">
        <f t="shared" si="58"/>
        <v>WBA200411</v>
      </c>
      <c r="E1907" s="2">
        <v>38301</v>
      </c>
      <c r="F1907" s="3">
        <v>5.2499999999999998E-2</v>
      </c>
      <c r="G1907" s="2">
        <v>38332</v>
      </c>
      <c r="H1907" s="3">
        <v>4.8999999999999998E-3</v>
      </c>
      <c r="I1907" s="3">
        <v>0</v>
      </c>
      <c r="J1907" s="3">
        <v>0</v>
      </c>
      <c r="K1907" s="3">
        <f t="shared" si="59"/>
        <v>2004</v>
      </c>
      <c r="L1907" s="3">
        <f t="shared" si="60"/>
        <v>0</v>
      </c>
      <c r="M1907" s="20" t="str">
        <f>A1907&amp;L1907</f>
        <v>WBA0</v>
      </c>
      <c r="N1907" s="3">
        <f>F1907</f>
        <v>5.2499999999999998E-2</v>
      </c>
      <c r="O1907" s="9">
        <f>H1907</f>
        <v>4.8999999999999998E-3</v>
      </c>
      <c r="P1907" s="10">
        <f t="shared" si="61"/>
        <v>0</v>
      </c>
      <c r="Q1907" s="10">
        <f>IF(K1907=0,IF(A1904=A1907,AVERAGE(O1904:O1907),"x"),0)</f>
        <v>0</v>
      </c>
      <c r="R1907" s="9">
        <f>IF(L1907&gt;2005,AVERAGE(O1904:O1923),0)</f>
        <v>0</v>
      </c>
      <c r="S1907" s="10">
        <f>IF(A1907=A1908,(N1907-N1908)/N1908,0)</f>
        <v>0</v>
      </c>
      <c r="T1907" s="10">
        <f>IF(L1907&gt;2005,(((N1907-N1927)/N1927)+1)^(1/5)-1,0)</f>
        <v>0</v>
      </c>
      <c r="U1907" s="10">
        <f t="shared" si="62"/>
        <v>0</v>
      </c>
      <c r="V1907" s="26">
        <f t="shared" si="63"/>
        <v>0</v>
      </c>
      <c r="W1907" s="3">
        <f>IF(A1907=A1908,N1907-N1908,0)</f>
        <v>0</v>
      </c>
      <c r="X1907" s="10">
        <f>IF(A1907=A1908,(N1907-N1908)/N1908,0)</f>
        <v>0</v>
      </c>
    </row>
    <row r="1908" spans="1:24" ht="16.5" customHeight="1">
      <c r="A1908" s="3" t="s">
        <v>44</v>
      </c>
      <c r="B1908" s="3">
        <f t="shared" si="56"/>
        <v>2004</v>
      </c>
      <c r="C1908" s="3">
        <f t="shared" si="57"/>
        <v>8</v>
      </c>
      <c r="D1908" s="20" t="str">
        <f t="shared" si="58"/>
        <v>WBA20048</v>
      </c>
      <c r="E1908" s="2">
        <v>38217</v>
      </c>
      <c r="F1908" s="3">
        <v>5.2499999999999998E-2</v>
      </c>
      <c r="G1908" s="2">
        <v>38241</v>
      </c>
      <c r="H1908" s="3">
        <v>4.8999999999999998E-3</v>
      </c>
      <c r="I1908" s="3">
        <v>0.21753246800000001</v>
      </c>
      <c r="J1908" s="3">
        <v>9.3799999999999994E-3</v>
      </c>
      <c r="K1908" s="3">
        <f t="shared" si="59"/>
        <v>2004</v>
      </c>
      <c r="L1908" s="3">
        <f t="shared" si="60"/>
        <v>0</v>
      </c>
      <c r="M1908" s="20" t="str">
        <f>A1908&amp;L1908</f>
        <v>WBA0</v>
      </c>
      <c r="N1908" s="3">
        <f>F1908</f>
        <v>5.2499999999999998E-2</v>
      </c>
      <c r="O1908" s="9">
        <f>H1908</f>
        <v>4.8999999999999998E-3</v>
      </c>
      <c r="P1908" s="10">
        <f t="shared" si="61"/>
        <v>4.8000000000000004E-3</v>
      </c>
      <c r="Q1908" s="10">
        <f>IF(K1908=0,IF(A1905=A1908,AVERAGE(O1905:O1908),"x"),0)</f>
        <v>0</v>
      </c>
      <c r="R1908" s="9">
        <f>IF(L1908&gt;2005,AVERAGE(O1905:O1924),0)</f>
        <v>0</v>
      </c>
      <c r="S1908" s="10">
        <f>IF(A1908=A1909,(N1908-N1909)/N1909,0)</f>
        <v>0.21753246753246752</v>
      </c>
      <c r="T1908" s="10">
        <f>IF(L1908&gt;2005,(((N1908-N1928)/N1928)+1)^(1/5)-1,0)</f>
        <v>0</v>
      </c>
      <c r="U1908" s="10">
        <f t="shared" si="62"/>
        <v>0</v>
      </c>
      <c r="V1908" s="26">
        <f t="shared" si="63"/>
        <v>0</v>
      </c>
      <c r="W1908" s="3">
        <f>IF(A1908=A1909,N1908-N1909,0)</f>
        <v>9.3799999999999994E-3</v>
      </c>
      <c r="X1908" s="10">
        <f>IF(A1908=A1909,(N1908-N1909)/N1909,0)</f>
        <v>0.21753246753246752</v>
      </c>
    </row>
    <row r="1909" spans="1:24" ht="16.5" customHeight="1">
      <c r="A1909" s="3" t="s">
        <v>44</v>
      </c>
      <c r="B1909" s="3">
        <f t="shared" si="56"/>
        <v>2004</v>
      </c>
      <c r="C1909" s="3">
        <f t="shared" si="57"/>
        <v>5</v>
      </c>
      <c r="D1909" s="20" t="str">
        <f t="shared" si="58"/>
        <v>WBA20045</v>
      </c>
      <c r="E1909" s="2">
        <v>38126</v>
      </c>
      <c r="F1909" s="3">
        <v>4.3119999999999999E-2</v>
      </c>
      <c r="G1909" s="2">
        <v>38150</v>
      </c>
      <c r="H1909" s="3">
        <v>5.1000000000000004E-3</v>
      </c>
      <c r="I1909" s="3">
        <v>0</v>
      </c>
      <c r="J1909" s="3">
        <v>0</v>
      </c>
      <c r="K1909" s="3">
        <f t="shared" si="59"/>
        <v>2004</v>
      </c>
      <c r="L1909" s="3">
        <f t="shared" si="60"/>
        <v>0</v>
      </c>
      <c r="M1909" s="20" t="str">
        <f>A1909&amp;L1909</f>
        <v>WBA0</v>
      </c>
      <c r="N1909" s="3">
        <f>F1909</f>
        <v>4.3119999999999999E-2</v>
      </c>
      <c r="O1909" s="9">
        <f>H1909</f>
        <v>5.1000000000000004E-3</v>
      </c>
      <c r="P1909" s="10">
        <f t="shared" si="61"/>
        <v>0</v>
      </c>
      <c r="Q1909" s="10">
        <f>IF(K1909=0,IF(A1906=A1909,AVERAGE(O1906:O1909),"x"),0)</f>
        <v>0</v>
      </c>
      <c r="R1909" s="9">
        <f>IF(L1909&gt;2005,AVERAGE(O1906:O1925),0)</f>
        <v>0</v>
      </c>
      <c r="S1909" s="10">
        <f>IF(A1909=A1910,(N1909-N1910)/N1910,0)</f>
        <v>0</v>
      </c>
      <c r="T1909" s="10">
        <f>IF(L1909&gt;2005,(((N1909-N1929)/N1929)+1)^(1/5)-1,0)</f>
        <v>0</v>
      </c>
      <c r="U1909" s="10">
        <f t="shared" si="62"/>
        <v>0</v>
      </c>
      <c r="V1909" s="26">
        <f t="shared" si="63"/>
        <v>0</v>
      </c>
      <c r="W1909" s="3">
        <f>IF(A1909=A1910,N1909-N1910,0)</f>
        <v>0</v>
      </c>
      <c r="X1909" s="10">
        <f>IF(A1909=A1910,(N1909-N1910)/N1910,0)</f>
        <v>0</v>
      </c>
    </row>
    <row r="1910" spans="1:24" ht="16.5" customHeight="1">
      <c r="A1910" s="3" t="s">
        <v>44</v>
      </c>
      <c r="B1910" s="3">
        <f t="shared" si="56"/>
        <v>2004</v>
      </c>
      <c r="C1910" s="3">
        <f t="shared" si="57"/>
        <v>2</v>
      </c>
      <c r="D1910" s="20" t="str">
        <f t="shared" si="58"/>
        <v>WBA20042</v>
      </c>
      <c r="E1910" s="2">
        <v>38034</v>
      </c>
      <c r="F1910" s="3">
        <v>4.3119999999999999E-2</v>
      </c>
      <c r="G1910" s="2">
        <v>38058</v>
      </c>
      <c r="H1910" s="3">
        <v>4.7999999999999996E-3</v>
      </c>
      <c r="I1910" s="3">
        <v>0</v>
      </c>
      <c r="J1910" s="3">
        <v>0</v>
      </c>
      <c r="K1910" s="3">
        <f t="shared" si="59"/>
        <v>0</v>
      </c>
      <c r="L1910" s="3">
        <f t="shared" si="60"/>
        <v>2004</v>
      </c>
      <c r="M1910" s="20" t="str">
        <f>A1910&amp;L1910</f>
        <v>WBA2004</v>
      </c>
      <c r="N1910" s="3">
        <f>F1910</f>
        <v>4.3119999999999999E-2</v>
      </c>
      <c r="O1910" s="9">
        <f>H1910</f>
        <v>4.7999999999999996E-3</v>
      </c>
      <c r="P1910" s="10">
        <f t="shared" si="61"/>
        <v>0</v>
      </c>
      <c r="Q1910" s="10">
        <f>IF(K1910=0,IF(A1907=A1910,AVERAGE(O1907:O1910),"x"),0)</f>
        <v>4.9249999999999997E-3</v>
      </c>
      <c r="R1910" s="9">
        <f>IF(L1910&gt;2005,AVERAGE(O1907:O1926),0)</f>
        <v>0</v>
      </c>
      <c r="S1910" s="10">
        <f>IF(A1910=A1911,(N1910-N1911)/N1911,0)</f>
        <v>0</v>
      </c>
      <c r="T1910" s="10">
        <f>IF(L1910&gt;2005,(((N1910-N1930)/N1930)+1)^(1/5)-1,0)</f>
        <v>0</v>
      </c>
      <c r="U1910" s="10">
        <f t="shared" si="62"/>
        <v>0</v>
      </c>
      <c r="V1910" s="26">
        <f t="shared" si="63"/>
        <v>0</v>
      </c>
      <c r="W1910" s="3">
        <f>IF(A1910=A1911,N1910-N1911,0)</f>
        <v>0</v>
      </c>
      <c r="X1910" s="10">
        <f>IF(A1910=A1911,(N1910-N1911)/N1911,0)</f>
        <v>0</v>
      </c>
    </row>
    <row r="1911" spans="1:24" ht="16.5" customHeight="1">
      <c r="A1911" s="3" t="s">
        <v>44</v>
      </c>
      <c r="B1911" s="3">
        <f t="shared" si="56"/>
        <v>2003</v>
      </c>
      <c r="C1911" s="3">
        <f t="shared" si="57"/>
        <v>11</v>
      </c>
      <c r="D1911" s="20" t="str">
        <f t="shared" si="58"/>
        <v>WBA200311</v>
      </c>
      <c r="E1911" s="2">
        <v>37938</v>
      </c>
      <c r="F1911" s="3">
        <v>4.3119999999999999E-2</v>
      </c>
      <c r="G1911" s="2">
        <v>37967</v>
      </c>
      <c r="H1911" s="3">
        <v>4.4000000000000003E-3</v>
      </c>
      <c r="I1911" s="3">
        <v>0</v>
      </c>
      <c r="J1911" s="3">
        <v>0</v>
      </c>
      <c r="K1911" s="3">
        <f t="shared" si="59"/>
        <v>2003</v>
      </c>
      <c r="L1911" s="3">
        <f t="shared" si="60"/>
        <v>0</v>
      </c>
      <c r="M1911" s="20" t="str">
        <f>A1911&amp;L1911</f>
        <v>WBA0</v>
      </c>
      <c r="N1911" s="3">
        <f>F1911</f>
        <v>4.3119999999999999E-2</v>
      </c>
      <c r="O1911" s="9">
        <f>H1911</f>
        <v>4.4000000000000003E-3</v>
      </c>
      <c r="P1911" s="10">
        <f t="shared" si="61"/>
        <v>0</v>
      </c>
      <c r="Q1911" s="10">
        <f>IF(K1911=0,IF(A1908=A1911,AVERAGE(O1908:O1911),"x"),0)</f>
        <v>0</v>
      </c>
      <c r="R1911" s="9">
        <f>IF(L1911&gt;2005,AVERAGE(O1908:O1927),0)</f>
        <v>0</v>
      </c>
      <c r="S1911" s="10">
        <f>IF(A1911=A1912,(N1911-N1912)/N1912,0)</f>
        <v>0</v>
      </c>
      <c r="T1911" s="10">
        <f>IF(L1911&gt;2005,(((N1911-N1931)/N1931)+1)^(1/5)-1,0)</f>
        <v>0</v>
      </c>
      <c r="U1911" s="10">
        <f t="shared" si="62"/>
        <v>0</v>
      </c>
      <c r="V1911" s="26">
        <f t="shared" si="63"/>
        <v>0</v>
      </c>
      <c r="W1911" s="3">
        <f>IF(A1911=A1912,N1911-N1912,0)</f>
        <v>0</v>
      </c>
      <c r="X1911" s="10">
        <f>IF(A1911=A1912,(N1911-N1912)/N1912,0)</f>
        <v>0</v>
      </c>
    </row>
    <row r="1912" spans="1:24" ht="16.5" customHeight="1">
      <c r="A1912" s="3" t="s">
        <v>44</v>
      </c>
      <c r="B1912" s="3">
        <f t="shared" si="56"/>
        <v>2003</v>
      </c>
      <c r="C1912" s="3">
        <f t="shared" si="57"/>
        <v>8</v>
      </c>
      <c r="D1912" s="20" t="str">
        <f t="shared" si="58"/>
        <v>WBA20038</v>
      </c>
      <c r="E1912" s="2">
        <v>37851</v>
      </c>
      <c r="F1912" s="3">
        <v>4.3119999999999999E-2</v>
      </c>
      <c r="G1912" s="2">
        <v>37876</v>
      </c>
      <c r="H1912" s="3">
        <v>5.1000000000000004E-3</v>
      </c>
      <c r="I1912" s="3">
        <v>0.14986666700000001</v>
      </c>
      <c r="J1912" s="3">
        <v>5.62E-3</v>
      </c>
      <c r="K1912" s="3">
        <f t="shared" si="59"/>
        <v>2003</v>
      </c>
      <c r="L1912" s="3">
        <f t="shared" si="60"/>
        <v>0</v>
      </c>
      <c r="M1912" s="20" t="str">
        <f>A1912&amp;L1912</f>
        <v>WBA0</v>
      </c>
      <c r="N1912" s="3">
        <f>F1912</f>
        <v>4.3119999999999999E-2</v>
      </c>
      <c r="O1912" s="9">
        <f>H1912</f>
        <v>5.1000000000000004E-3</v>
      </c>
      <c r="P1912" s="10">
        <f t="shared" si="61"/>
        <v>4.9249999999999997E-3</v>
      </c>
      <c r="Q1912" s="10">
        <f>IF(K1912=0,IF(A1909=A1912,AVERAGE(O1909:O1912),"x"),0)</f>
        <v>0</v>
      </c>
      <c r="R1912" s="9">
        <f>IF(L1912&gt;2005,AVERAGE(O1909:O1928),0)</f>
        <v>0</v>
      </c>
      <c r="S1912" s="10">
        <f>IF(A1912=A1913,(N1912-N1913)/N1913,0)</f>
        <v>0.14986666666666668</v>
      </c>
      <c r="T1912" s="10">
        <f>IF(L1912&gt;2005,(((N1912-N1932)/N1932)+1)^(1/5)-1,0)</f>
        <v>0</v>
      </c>
      <c r="U1912" s="10">
        <f t="shared" si="62"/>
        <v>0</v>
      </c>
      <c r="V1912" s="26">
        <f t="shared" si="63"/>
        <v>0</v>
      </c>
      <c r="W1912" s="3">
        <f>IF(A1912=A1913,N1912-N1913,0)</f>
        <v>5.62E-3</v>
      </c>
      <c r="X1912" s="10">
        <f>IF(A1912=A1913,(N1912-N1913)/N1913,0)</f>
        <v>0.14986666666666668</v>
      </c>
    </row>
    <row r="1913" spans="1:24" ht="16.5" customHeight="1">
      <c r="A1913" s="3" t="s">
        <v>44</v>
      </c>
      <c r="B1913" s="3">
        <f t="shared" si="56"/>
        <v>2003</v>
      </c>
      <c r="C1913" s="3">
        <f t="shared" si="57"/>
        <v>5</v>
      </c>
      <c r="D1913" s="20" t="str">
        <f t="shared" si="58"/>
        <v>WBA20035</v>
      </c>
      <c r="E1913" s="2">
        <v>37760</v>
      </c>
      <c r="F1913" s="3">
        <v>3.7499999999999999E-2</v>
      </c>
      <c r="G1913" s="2">
        <v>37784</v>
      </c>
      <c r="H1913" s="3">
        <v>4.7000000000000002E-3</v>
      </c>
      <c r="I1913" s="3">
        <v>0</v>
      </c>
      <c r="J1913" s="3">
        <v>0</v>
      </c>
      <c r="K1913" s="3">
        <f t="shared" si="59"/>
        <v>2003</v>
      </c>
      <c r="L1913" s="3">
        <f t="shared" si="60"/>
        <v>0</v>
      </c>
      <c r="M1913" s="20" t="str">
        <f>A1913&amp;L1913</f>
        <v>WBA0</v>
      </c>
      <c r="N1913" s="3">
        <f>F1913</f>
        <v>3.7499999999999999E-2</v>
      </c>
      <c r="O1913" s="9">
        <f>H1913</f>
        <v>4.7000000000000002E-3</v>
      </c>
      <c r="P1913" s="10">
        <f t="shared" si="61"/>
        <v>0</v>
      </c>
      <c r="Q1913" s="10">
        <f>IF(K1913=0,IF(A1910=A1913,AVERAGE(O1910:O1913),"x"),0)</f>
        <v>0</v>
      </c>
      <c r="R1913" s="9">
        <f>IF(L1913&gt;2005,AVERAGE(O1910:O1929),0)</f>
        <v>0</v>
      </c>
      <c r="S1913" s="10">
        <f>IF(A1913=A1914,(N1913-N1914)/N1914,0)</f>
        <v>0</v>
      </c>
      <c r="T1913" s="10">
        <f>IF(L1913&gt;2005,(((N1913-N1933)/N1933)+1)^(1/5)-1,0)</f>
        <v>0</v>
      </c>
      <c r="U1913" s="10">
        <f t="shared" si="62"/>
        <v>0</v>
      </c>
      <c r="V1913" s="26">
        <f t="shared" si="63"/>
        <v>0</v>
      </c>
      <c r="W1913" s="3">
        <f>IF(A1913=A1914,N1913-N1914,0)</f>
        <v>0</v>
      </c>
      <c r="X1913" s="10">
        <f>IF(A1913=A1914,(N1913-N1914)/N1914,0)</f>
        <v>0</v>
      </c>
    </row>
    <row r="1914" spans="1:24" ht="16.5" customHeight="1">
      <c r="A1914" s="3" t="s">
        <v>44</v>
      </c>
      <c r="B1914" s="3">
        <f t="shared" si="56"/>
        <v>2003</v>
      </c>
      <c r="C1914" s="3">
        <f t="shared" si="57"/>
        <v>2</v>
      </c>
      <c r="D1914" s="20" t="str">
        <f t="shared" si="58"/>
        <v>WBA20032</v>
      </c>
      <c r="E1914" s="2">
        <v>37665</v>
      </c>
      <c r="F1914" s="3">
        <v>3.7499999999999999E-2</v>
      </c>
      <c r="G1914" s="2">
        <v>37692</v>
      </c>
      <c r="H1914" s="3">
        <v>5.3E-3</v>
      </c>
      <c r="I1914" s="3">
        <v>0</v>
      </c>
      <c r="J1914" s="3">
        <v>0</v>
      </c>
      <c r="K1914" s="3">
        <f t="shared" si="59"/>
        <v>0</v>
      </c>
      <c r="L1914" s="3">
        <f t="shared" si="60"/>
        <v>2003</v>
      </c>
      <c r="M1914" s="20" t="str">
        <f>A1914&amp;L1914</f>
        <v>WBA2003</v>
      </c>
      <c r="N1914" s="3">
        <f>F1914</f>
        <v>3.7499999999999999E-2</v>
      </c>
      <c r="O1914" s="9">
        <f>H1914</f>
        <v>5.3E-3</v>
      </c>
      <c r="P1914" s="10">
        <f t="shared" si="61"/>
        <v>0</v>
      </c>
      <c r="Q1914" s="10">
        <f>IF(K1914=0,IF(A1911=A1914,AVERAGE(O1911:O1914),"x"),0)</f>
        <v>4.875E-3</v>
      </c>
      <c r="R1914" s="9">
        <f>IF(L1914&gt;2005,AVERAGE(O1911:O1930),0)</f>
        <v>0</v>
      </c>
      <c r="S1914" s="10">
        <f>IF(A1914=A1915,(N1914-N1915)/N1915,0)</f>
        <v>0</v>
      </c>
      <c r="T1914" s="10">
        <f>IF(L1914&gt;2005,(((N1914-N1934)/N1934)+1)^(1/5)-1,0)</f>
        <v>0</v>
      </c>
      <c r="U1914" s="10">
        <f t="shared" si="62"/>
        <v>0</v>
      </c>
      <c r="V1914" s="26">
        <f t="shared" si="63"/>
        <v>0</v>
      </c>
      <c r="W1914" s="3">
        <f>IF(A1914=A1915,N1914-N1915,0)</f>
        <v>0</v>
      </c>
      <c r="X1914" s="10">
        <f>IF(A1914=A1915,(N1914-N1915)/N1915,0)</f>
        <v>0</v>
      </c>
    </row>
    <row r="1915" spans="1:24" ht="16.5" customHeight="1">
      <c r="A1915" s="3" t="s">
        <v>44</v>
      </c>
      <c r="B1915" s="3">
        <f t="shared" si="56"/>
        <v>2002</v>
      </c>
      <c r="C1915" s="3">
        <f t="shared" si="57"/>
        <v>11</v>
      </c>
      <c r="D1915" s="20" t="str">
        <f t="shared" si="58"/>
        <v>WBA200211</v>
      </c>
      <c r="E1915" s="2">
        <v>37574</v>
      </c>
      <c r="F1915" s="3">
        <v>3.7499999999999999E-2</v>
      </c>
      <c r="G1915" s="2">
        <v>37602</v>
      </c>
      <c r="H1915" s="3">
        <v>4.5999999999999999E-3</v>
      </c>
      <c r="I1915" s="3">
        <v>3.4482759000000002E-2</v>
      </c>
      <c r="J1915" s="3">
        <v>1.25E-3</v>
      </c>
      <c r="K1915" s="3">
        <f t="shared" si="59"/>
        <v>2002</v>
      </c>
      <c r="L1915" s="3">
        <f t="shared" si="60"/>
        <v>0</v>
      </c>
      <c r="M1915" s="20" t="str">
        <f>A1915&amp;L1915</f>
        <v>WBA0</v>
      </c>
      <c r="N1915" s="3">
        <f>F1915</f>
        <v>3.7499999999999999E-2</v>
      </c>
      <c r="O1915" s="9">
        <f>H1915</f>
        <v>4.5999999999999999E-3</v>
      </c>
      <c r="P1915" s="10">
        <f t="shared" si="61"/>
        <v>4.0249999999999999E-3</v>
      </c>
      <c r="Q1915" s="10">
        <f>IF(K1915=0,IF(A1912=A1915,AVERAGE(O1912:O1915),"x"),0)</f>
        <v>0</v>
      </c>
      <c r="R1915" s="9">
        <f>IF(L1915&gt;2005,AVERAGE(O1912:O1931),0)</f>
        <v>0</v>
      </c>
      <c r="S1915" s="10">
        <f>IF(A1915=A1916,(N1915-N1916)/N1916,0)</f>
        <v>3.4482758620689689E-2</v>
      </c>
      <c r="T1915" s="10">
        <f>IF(L1915&gt;2005,(((N1915-N1935)/N1935)+1)^(1/5)-1,0)</f>
        <v>0</v>
      </c>
      <c r="U1915" s="10">
        <f t="shared" si="62"/>
        <v>0</v>
      </c>
      <c r="V1915" s="26">
        <f t="shared" si="63"/>
        <v>0</v>
      </c>
      <c r="W1915" s="3">
        <f>IF(A1915=A1916,N1915-N1916,0)</f>
        <v>1.2500000000000011E-3</v>
      </c>
      <c r="X1915" s="10">
        <f>IF(A1915=A1916,(N1915-N1916)/N1916,0)</f>
        <v>3.4482758620689689E-2</v>
      </c>
    </row>
    <row r="1916" spans="1:24" ht="16.5" customHeight="1">
      <c r="A1916" s="3" t="s">
        <v>44</v>
      </c>
      <c r="B1916" s="3">
        <f t="shared" si="56"/>
        <v>2002</v>
      </c>
      <c r="C1916" s="3">
        <f t="shared" si="57"/>
        <v>8</v>
      </c>
      <c r="D1916" s="20" t="str">
        <f t="shared" si="58"/>
        <v>WBA20028</v>
      </c>
      <c r="E1916" s="2">
        <v>37484</v>
      </c>
      <c r="F1916" s="3">
        <v>3.6249999999999998E-2</v>
      </c>
      <c r="G1916" s="2">
        <v>37511</v>
      </c>
      <c r="H1916" s="3">
        <v>3.8999999999999998E-3</v>
      </c>
      <c r="I1916" s="3">
        <v>0</v>
      </c>
      <c r="J1916" s="3">
        <v>0</v>
      </c>
      <c r="K1916" s="3">
        <f t="shared" si="59"/>
        <v>2002</v>
      </c>
      <c r="L1916" s="3">
        <f t="shared" si="60"/>
        <v>0</v>
      </c>
      <c r="M1916" s="20" t="str">
        <f>A1916&amp;L1916</f>
        <v>WBA0</v>
      </c>
      <c r="N1916" s="3">
        <f>F1916</f>
        <v>3.6249999999999998E-2</v>
      </c>
      <c r="O1916" s="9">
        <f>H1916</f>
        <v>3.8999999999999998E-3</v>
      </c>
      <c r="P1916" s="10">
        <f t="shared" si="61"/>
        <v>0</v>
      </c>
      <c r="Q1916" s="10">
        <f>IF(K1916=0,IF(A1913=A1916,AVERAGE(O1913:O1916),"x"),0)</f>
        <v>0</v>
      </c>
      <c r="R1916" s="9">
        <f>IF(L1916&gt;2005,AVERAGE(O1913:O1932),0)</f>
        <v>0</v>
      </c>
      <c r="S1916" s="10">
        <f>IF(A1916=A1917,(N1916-N1917)/N1917,0)</f>
        <v>0</v>
      </c>
      <c r="T1916" s="10">
        <f>IF(L1916&gt;2005,(((N1916-N1936)/N1936)+1)^(1/5)-1,0)</f>
        <v>0</v>
      </c>
      <c r="U1916" s="10">
        <f t="shared" si="62"/>
        <v>0</v>
      </c>
      <c r="V1916" s="26">
        <f t="shared" si="63"/>
        <v>0</v>
      </c>
      <c r="W1916" s="3">
        <f>IF(A1916=A1917,N1916-N1917,0)</f>
        <v>0</v>
      </c>
      <c r="X1916" s="10">
        <f>IF(A1916=A1917,(N1916-N1917)/N1917,0)</f>
        <v>0</v>
      </c>
    </row>
    <row r="1917" spans="1:24" ht="16.5" customHeight="1">
      <c r="A1917" s="3" t="s">
        <v>44</v>
      </c>
      <c r="B1917" s="3">
        <f t="shared" si="56"/>
        <v>2002</v>
      </c>
      <c r="C1917" s="3">
        <f t="shared" si="57"/>
        <v>5</v>
      </c>
      <c r="D1917" s="20" t="str">
        <f t="shared" si="58"/>
        <v>WBA20025</v>
      </c>
      <c r="E1917" s="2">
        <v>37393</v>
      </c>
      <c r="F1917" s="3">
        <v>3.6249999999999998E-2</v>
      </c>
      <c r="G1917" s="2">
        <v>37419</v>
      </c>
      <c r="H1917" s="3">
        <v>3.8E-3</v>
      </c>
      <c r="I1917" s="3">
        <v>0</v>
      </c>
      <c r="J1917" s="3">
        <v>0</v>
      </c>
      <c r="K1917" s="3">
        <f t="shared" si="59"/>
        <v>2002</v>
      </c>
      <c r="L1917" s="3">
        <f t="shared" si="60"/>
        <v>0</v>
      </c>
      <c r="M1917" s="20" t="str">
        <f>A1917&amp;L1917</f>
        <v>WBA0</v>
      </c>
      <c r="N1917" s="3">
        <f>F1917</f>
        <v>3.6249999999999998E-2</v>
      </c>
      <c r="O1917" s="9">
        <f>H1917</f>
        <v>3.8E-3</v>
      </c>
      <c r="P1917" s="10">
        <f t="shared" si="61"/>
        <v>0</v>
      </c>
      <c r="Q1917" s="10">
        <f>IF(K1917=0,IF(A1914=A1917,AVERAGE(O1914:O1917),"x"),0)</f>
        <v>0</v>
      </c>
      <c r="R1917" s="9">
        <f>IF(L1917&gt;2005,AVERAGE(O1914:O1933),0)</f>
        <v>0</v>
      </c>
      <c r="S1917" s="10">
        <f>IF(A1917=A1918,(N1917-N1918)/N1918,0)</f>
        <v>0</v>
      </c>
      <c r="T1917" s="10">
        <f>IF(L1917&gt;2005,(((N1917-N1937)/N1937)+1)^(1/5)-1,0)</f>
        <v>0</v>
      </c>
      <c r="U1917" s="10">
        <f t="shared" si="62"/>
        <v>0</v>
      </c>
      <c r="V1917" s="26">
        <f t="shared" si="63"/>
        <v>0</v>
      </c>
      <c r="W1917" s="3">
        <f>IF(A1917=A1918,N1917-N1918,0)</f>
        <v>0</v>
      </c>
      <c r="X1917" s="10">
        <f>IF(A1917=A1918,(N1917-N1918)/N1918,0)</f>
        <v>0</v>
      </c>
    </row>
    <row r="1918" spans="1:24" ht="16.5" customHeight="1">
      <c r="A1918" s="3" t="s">
        <v>44</v>
      </c>
      <c r="B1918" s="3">
        <f t="shared" si="56"/>
        <v>2002</v>
      </c>
      <c r="C1918" s="3">
        <f t="shared" si="57"/>
        <v>2</v>
      </c>
      <c r="D1918" s="20" t="str">
        <f t="shared" si="58"/>
        <v>WBA20022</v>
      </c>
      <c r="E1918" s="2">
        <v>37300</v>
      </c>
      <c r="F1918" s="3">
        <v>3.6249999999999998E-2</v>
      </c>
      <c r="G1918" s="2">
        <v>37327</v>
      </c>
      <c r="H1918" s="3">
        <v>3.8E-3</v>
      </c>
      <c r="I1918" s="3">
        <v>0</v>
      </c>
      <c r="J1918" s="3">
        <v>0</v>
      </c>
      <c r="K1918" s="3">
        <f t="shared" si="59"/>
        <v>0</v>
      </c>
      <c r="L1918" s="3">
        <f t="shared" si="60"/>
        <v>2002</v>
      </c>
      <c r="M1918" s="20" t="str">
        <f>A1918&amp;L1918</f>
        <v>WBA2002</v>
      </c>
      <c r="N1918" s="3">
        <f>F1918</f>
        <v>3.6249999999999998E-2</v>
      </c>
      <c r="O1918" s="9">
        <f>H1918</f>
        <v>3.8E-3</v>
      </c>
      <c r="P1918" s="10">
        <f t="shared" si="61"/>
        <v>0</v>
      </c>
      <c r="Q1918" s="10">
        <f>IF(K1918=0,IF(A1915=A1918,AVERAGE(O1915:O1918),"x"),0)</f>
        <v>4.0249999999999999E-3</v>
      </c>
      <c r="R1918" s="9">
        <f>IF(L1918&gt;2005,AVERAGE(O1915:O1934),0)</f>
        <v>0</v>
      </c>
      <c r="S1918" s="10">
        <f>IF(A1918=A1919,(N1918-N1919)/N1919,0)</f>
        <v>0</v>
      </c>
      <c r="T1918" s="10">
        <f>IF(L1918&gt;2005,(((N1918-N1938)/N1938)+1)^(1/5)-1,0)</f>
        <v>0</v>
      </c>
      <c r="U1918" s="10">
        <f t="shared" si="62"/>
        <v>0</v>
      </c>
      <c r="V1918" s="26">
        <f t="shared" si="63"/>
        <v>0</v>
      </c>
      <c r="W1918" s="3">
        <f>IF(A1918=A1919,N1918-N1919,0)</f>
        <v>0</v>
      </c>
      <c r="X1918" s="10">
        <f>IF(A1918=A1919,(N1918-N1919)/N1919,0)</f>
        <v>0</v>
      </c>
    </row>
    <row r="1919" spans="1:24" ht="16.5" customHeight="1">
      <c r="A1919" s="3" t="s">
        <v>44</v>
      </c>
      <c r="B1919" s="3">
        <f t="shared" si="56"/>
        <v>2001</v>
      </c>
      <c r="C1919" s="3">
        <f t="shared" si="57"/>
        <v>11</v>
      </c>
      <c r="D1919" s="20" t="str">
        <f t="shared" si="58"/>
        <v>WBA200111</v>
      </c>
      <c r="E1919" s="2">
        <v>37209</v>
      </c>
      <c r="F1919" s="3">
        <v>3.6249999999999998E-2</v>
      </c>
      <c r="G1919" s="2">
        <v>37237</v>
      </c>
      <c r="H1919" s="3">
        <v>4.3E-3</v>
      </c>
      <c r="I1919" s="3">
        <v>3.5714285999999998E-2</v>
      </c>
      <c r="J1919" s="3">
        <v>1.25E-3</v>
      </c>
      <c r="K1919" s="3">
        <f t="shared" si="59"/>
        <v>2001</v>
      </c>
      <c r="L1919" s="3">
        <f t="shared" si="60"/>
        <v>0</v>
      </c>
      <c r="M1919" s="20" t="str">
        <f>A1919&amp;L1919</f>
        <v>WBA0</v>
      </c>
      <c r="N1919" s="3">
        <f>F1919</f>
        <v>3.6249999999999998E-2</v>
      </c>
      <c r="O1919" s="9">
        <f>H1919</f>
        <v>4.3E-3</v>
      </c>
      <c r="P1919" s="10">
        <f t="shared" si="61"/>
        <v>3.725E-3</v>
      </c>
      <c r="Q1919" s="10">
        <f>IF(K1919=0,IF(A1916=A1919,AVERAGE(O1916:O1919),"x"),0)</f>
        <v>0</v>
      </c>
      <c r="R1919" s="9">
        <f>IF(L1919&gt;2005,AVERAGE(O1916:O1935),0)</f>
        <v>0</v>
      </c>
      <c r="S1919" s="10">
        <f>IF(A1919=A1920,(N1919-N1920)/N1920,0)</f>
        <v>3.5714285714285546E-2</v>
      </c>
      <c r="T1919" s="10">
        <f>IF(L1919&gt;2005,(((N1919-N1939)/N1939)+1)^(1/5)-1,0)</f>
        <v>0</v>
      </c>
      <c r="U1919" s="10">
        <f t="shared" si="62"/>
        <v>0</v>
      </c>
      <c r="V1919" s="26">
        <f t="shared" si="63"/>
        <v>0</v>
      </c>
      <c r="W1919" s="3">
        <f>IF(A1919=A1920,N1919-N1920,0)</f>
        <v>1.2499999999999942E-3</v>
      </c>
      <c r="X1919" s="10">
        <f>IF(A1919=A1920,(N1919-N1920)/N1920,0)</f>
        <v>3.5714285714285546E-2</v>
      </c>
    </row>
    <row r="1920" spans="1:24" ht="16.5" customHeight="1">
      <c r="A1920" s="3" t="s">
        <v>44</v>
      </c>
      <c r="B1920" s="3">
        <f t="shared" si="56"/>
        <v>2001</v>
      </c>
      <c r="C1920" s="3">
        <f t="shared" si="57"/>
        <v>8</v>
      </c>
      <c r="D1920" s="20" t="str">
        <f t="shared" si="58"/>
        <v>WBA20018</v>
      </c>
      <c r="E1920" s="2">
        <v>37118</v>
      </c>
      <c r="F1920" s="3">
        <v>3.5000000000000003E-2</v>
      </c>
      <c r="G1920" s="2">
        <v>37146</v>
      </c>
      <c r="H1920" s="3">
        <v>3.8999999999999998E-3</v>
      </c>
      <c r="I1920" s="3">
        <v>0</v>
      </c>
      <c r="J1920" s="3">
        <v>0</v>
      </c>
      <c r="K1920" s="3">
        <f t="shared" si="59"/>
        <v>2001</v>
      </c>
      <c r="L1920" s="3">
        <f t="shared" si="60"/>
        <v>0</v>
      </c>
      <c r="M1920" s="20" t="str">
        <f>A1920&amp;L1920</f>
        <v>WBA0</v>
      </c>
      <c r="N1920" s="3">
        <f>F1920</f>
        <v>3.5000000000000003E-2</v>
      </c>
      <c r="O1920" s="9">
        <f>H1920</f>
        <v>3.8999999999999998E-3</v>
      </c>
      <c r="P1920" s="10">
        <f t="shared" si="61"/>
        <v>0</v>
      </c>
      <c r="Q1920" s="10">
        <f>IF(K1920=0,IF(A1917=A1920,AVERAGE(O1917:O1920),"x"),0)</f>
        <v>0</v>
      </c>
      <c r="R1920" s="9">
        <f>IF(L1920&gt;2005,AVERAGE(O1917:O1936),0)</f>
        <v>0</v>
      </c>
      <c r="S1920" s="10">
        <f>IF(A1920=A1921,(N1920-N1921)/N1921,0)</f>
        <v>0</v>
      </c>
      <c r="T1920" s="10">
        <f>IF(L1920&gt;2005,(((N1920-N1940)/N1940)+1)^(1/5)-1,0)</f>
        <v>0</v>
      </c>
      <c r="U1920" s="10">
        <f t="shared" si="62"/>
        <v>0</v>
      </c>
      <c r="V1920" s="26">
        <f t="shared" si="63"/>
        <v>0</v>
      </c>
      <c r="W1920" s="3">
        <f>IF(A1920=A1921,N1920-N1921,0)</f>
        <v>0</v>
      </c>
      <c r="X1920" s="10">
        <f>IF(A1920=A1921,(N1920-N1921)/N1921,0)</f>
        <v>0</v>
      </c>
    </row>
    <row r="1921" spans="1:24" ht="16.5" customHeight="1">
      <c r="A1921" s="3" t="s">
        <v>44</v>
      </c>
      <c r="B1921" s="3">
        <f t="shared" si="56"/>
        <v>2001</v>
      </c>
      <c r="C1921" s="3">
        <f t="shared" si="57"/>
        <v>5</v>
      </c>
      <c r="D1921" s="20" t="str">
        <f t="shared" si="58"/>
        <v>WBA20015</v>
      </c>
      <c r="E1921" s="2">
        <v>37027</v>
      </c>
      <c r="F1921" s="3">
        <v>3.5000000000000003E-2</v>
      </c>
      <c r="G1921" s="2">
        <v>37054</v>
      </c>
      <c r="H1921" s="3">
        <v>3.3999999999999998E-3</v>
      </c>
      <c r="I1921" s="3">
        <v>0</v>
      </c>
      <c r="J1921" s="3">
        <v>0</v>
      </c>
      <c r="K1921" s="3">
        <f t="shared" si="59"/>
        <v>2001</v>
      </c>
      <c r="L1921" s="3">
        <f t="shared" si="60"/>
        <v>0</v>
      </c>
      <c r="M1921" s="20" t="str">
        <f>A1921&amp;L1921</f>
        <v>WBA0</v>
      </c>
      <c r="N1921" s="3">
        <f>F1921</f>
        <v>3.5000000000000003E-2</v>
      </c>
      <c r="O1921" s="9">
        <f>H1921</f>
        <v>3.3999999999999998E-3</v>
      </c>
      <c r="P1921" s="10">
        <f t="shared" si="61"/>
        <v>0</v>
      </c>
      <c r="Q1921" s="10">
        <f>IF(K1921=0,IF(A1918=A1921,AVERAGE(O1918:O1921),"x"),0)</f>
        <v>0</v>
      </c>
      <c r="R1921" s="9">
        <f>IF(L1921&gt;2005,AVERAGE(O1918:O1937),0)</f>
        <v>0</v>
      </c>
      <c r="S1921" s="10">
        <f>IF(A1921=A1922,(N1921-N1922)/N1922,0)</f>
        <v>0</v>
      </c>
      <c r="T1921" s="10">
        <f>IF(L1921&gt;2005,(((N1921-N1941)/N1941)+1)^(1/5)-1,0)</f>
        <v>0</v>
      </c>
      <c r="U1921" s="10">
        <f t="shared" si="62"/>
        <v>0</v>
      </c>
      <c r="V1921" s="26">
        <f t="shared" si="63"/>
        <v>0</v>
      </c>
      <c r="W1921" s="3">
        <f>IF(A1921=A1922,N1921-N1922,0)</f>
        <v>0</v>
      </c>
      <c r="X1921" s="10">
        <f>IF(A1921=A1922,(N1921-N1922)/N1922,0)</f>
        <v>0</v>
      </c>
    </row>
    <row r="1922" spans="1:24" ht="16.5" customHeight="1">
      <c r="A1922" s="3" t="s">
        <v>44</v>
      </c>
      <c r="B1922" s="3">
        <f t="shared" si="56"/>
        <v>2001</v>
      </c>
      <c r="C1922" s="3">
        <f t="shared" si="57"/>
        <v>2</v>
      </c>
      <c r="D1922" s="20" t="str">
        <f t="shared" si="58"/>
        <v>WBA20012</v>
      </c>
      <c r="E1922" s="2">
        <v>36936</v>
      </c>
      <c r="F1922" s="3">
        <v>3.5000000000000003E-2</v>
      </c>
      <c r="G1922" s="2">
        <v>36962</v>
      </c>
      <c r="H1922" s="3">
        <v>3.3E-3</v>
      </c>
      <c r="I1922" s="3">
        <v>0</v>
      </c>
      <c r="J1922" s="3">
        <v>0</v>
      </c>
      <c r="K1922" s="3">
        <f t="shared" si="59"/>
        <v>0</v>
      </c>
      <c r="L1922" s="3">
        <f t="shared" si="60"/>
        <v>2001</v>
      </c>
      <c r="M1922" s="20" t="str">
        <f>A1922&amp;L1922</f>
        <v>WBA2001</v>
      </c>
      <c r="N1922" s="3">
        <f>F1922</f>
        <v>3.5000000000000003E-2</v>
      </c>
      <c r="O1922" s="9">
        <f>H1922</f>
        <v>3.3E-3</v>
      </c>
      <c r="P1922" s="10">
        <f t="shared" si="61"/>
        <v>0</v>
      </c>
      <c r="Q1922" s="10">
        <f>IF(K1922=0,IF(A1919=A1922,AVERAGE(O1919:O1922),"x"),0)</f>
        <v>3.725E-3</v>
      </c>
      <c r="R1922" s="9">
        <f>IF(L1922&gt;2005,AVERAGE(O1919:O1938),0)</f>
        <v>0</v>
      </c>
      <c r="S1922" s="10">
        <f>IF(A1922=A1923,(N1922-N1923)/N1923,0)</f>
        <v>0</v>
      </c>
      <c r="T1922" s="10">
        <f>IF(L1922&gt;2005,(((N1922-N1942)/N1942)+1)^(1/5)-1,0)</f>
        <v>0</v>
      </c>
      <c r="U1922" s="10">
        <f t="shared" si="62"/>
        <v>0</v>
      </c>
      <c r="V1922" s="26">
        <f t="shared" si="63"/>
        <v>0</v>
      </c>
      <c r="W1922" s="3">
        <f>IF(A1922=A1923,N1922-N1923,0)</f>
        <v>0</v>
      </c>
      <c r="X1922" s="10">
        <f>IF(A1922=A1923,(N1922-N1923)/N1923,0)</f>
        <v>0</v>
      </c>
    </row>
    <row r="1923" spans="1:24" ht="16.5" customHeight="1">
      <c r="A1923" s="3" t="s">
        <v>44</v>
      </c>
      <c r="B1923" s="3">
        <f t="shared" si="56"/>
        <v>2000</v>
      </c>
      <c r="C1923" s="3">
        <f t="shared" si="57"/>
        <v>11</v>
      </c>
      <c r="D1923" s="20" t="str">
        <f t="shared" si="58"/>
        <v>WBA200011</v>
      </c>
      <c r="E1923" s="2">
        <v>36839</v>
      </c>
      <c r="F1923" s="3">
        <v>3.5000000000000003E-2</v>
      </c>
      <c r="G1923" s="2">
        <v>36872</v>
      </c>
      <c r="H1923" s="3">
        <v>3.2000000000000002E-3</v>
      </c>
      <c r="I1923" s="3">
        <v>3.7037037000000002E-2</v>
      </c>
      <c r="J1923" s="3">
        <v>1.25E-3</v>
      </c>
      <c r="K1923" s="3">
        <f t="shared" si="59"/>
        <v>2000</v>
      </c>
      <c r="L1923" s="3">
        <f t="shared" si="60"/>
        <v>0</v>
      </c>
      <c r="M1923" s="20" t="str">
        <f>A1923&amp;L1923</f>
        <v>WBA0</v>
      </c>
      <c r="N1923" s="3">
        <f>F1923</f>
        <v>3.5000000000000003E-2</v>
      </c>
      <c r="O1923" s="9">
        <f>H1923</f>
        <v>3.2000000000000002E-3</v>
      </c>
      <c r="P1923" s="10">
        <f t="shared" si="61"/>
        <v>4.15E-3</v>
      </c>
      <c r="Q1923" s="10">
        <f>IF(K1923=0,IF(A1920=A1923,AVERAGE(O1920:O1923),"x"),0)</f>
        <v>0</v>
      </c>
      <c r="R1923" s="9">
        <f>IF(L1923&gt;2005,AVERAGE(O1920:O1939),0)</f>
        <v>0</v>
      </c>
      <c r="S1923" s="10">
        <f>IF(A1923=A1924,(N1923-N1924)/N1924,0)</f>
        <v>3.703703703703707E-2</v>
      </c>
      <c r="T1923" s="10">
        <f>IF(L1923&gt;2005,(((N1923-N1943)/N1943)+1)^(1/5)-1,0)</f>
        <v>0</v>
      </c>
      <c r="U1923" s="10">
        <f t="shared" si="62"/>
        <v>0</v>
      </c>
      <c r="V1923" s="26">
        <f t="shared" si="63"/>
        <v>0</v>
      </c>
      <c r="W1923" s="3">
        <f>IF(A1923=A1924,N1923-N1924,0)</f>
        <v>1.2500000000000011E-3</v>
      </c>
      <c r="X1923" s="10">
        <f>IF(A1923=A1924,(N1923-N1924)/N1924,0)</f>
        <v>3.703703703703707E-2</v>
      </c>
    </row>
    <row r="1924" spans="1:24" ht="16.5" customHeight="1">
      <c r="A1924" s="3" t="s">
        <v>44</v>
      </c>
      <c r="B1924" s="3">
        <f t="shared" si="56"/>
        <v>2000</v>
      </c>
      <c r="C1924" s="3">
        <f t="shared" si="57"/>
        <v>8</v>
      </c>
      <c r="D1924" s="20" t="str">
        <f t="shared" si="58"/>
        <v>WBA20008</v>
      </c>
      <c r="E1924" s="2">
        <v>36754</v>
      </c>
      <c r="F1924" s="3">
        <v>3.3750000000000002E-2</v>
      </c>
      <c r="G1924" s="2">
        <v>36781</v>
      </c>
      <c r="H1924" s="3">
        <v>4.1000000000000003E-3</v>
      </c>
      <c r="I1924" s="3">
        <v>0</v>
      </c>
      <c r="J1924" s="3">
        <v>0</v>
      </c>
      <c r="K1924" s="3">
        <f t="shared" si="59"/>
        <v>2000</v>
      </c>
      <c r="L1924" s="3">
        <f t="shared" si="60"/>
        <v>0</v>
      </c>
      <c r="M1924" s="20" t="str">
        <f>A1924&amp;L1924</f>
        <v>WBA0</v>
      </c>
      <c r="N1924" s="3">
        <f>F1924</f>
        <v>3.3750000000000002E-2</v>
      </c>
      <c r="O1924" s="9">
        <f>H1924</f>
        <v>4.1000000000000003E-3</v>
      </c>
      <c r="P1924" s="10">
        <f t="shared" si="61"/>
        <v>0</v>
      </c>
      <c r="Q1924" s="10">
        <f>IF(K1924=0,IF(A1921=A1924,AVERAGE(O1921:O1924),"x"),0)</f>
        <v>0</v>
      </c>
      <c r="R1924" s="9">
        <f>IF(L1924&gt;2005,AVERAGE(O1921:O1940),0)</f>
        <v>0</v>
      </c>
      <c r="S1924" s="10">
        <f>IF(A1924=A1925,(N1924-N1925)/N1925,0)</f>
        <v>0</v>
      </c>
      <c r="T1924" s="10">
        <f>IF(L1924&gt;2005,(((N1924-N1944)/N1944)+1)^(1/5)-1,0)</f>
        <v>0</v>
      </c>
      <c r="U1924" s="10">
        <f t="shared" si="62"/>
        <v>0</v>
      </c>
      <c r="V1924" s="26">
        <f t="shared" si="63"/>
        <v>0</v>
      </c>
      <c r="W1924" s="3">
        <f>IF(A1924=A1925,N1924-N1925,0)</f>
        <v>0</v>
      </c>
      <c r="X1924" s="10">
        <f>IF(A1924=A1925,(N1924-N1925)/N1925,0)</f>
        <v>0</v>
      </c>
    </row>
    <row r="1925" spans="1:24" ht="16.5" customHeight="1">
      <c r="A1925" s="3" t="s">
        <v>44</v>
      </c>
      <c r="B1925" s="3">
        <f t="shared" si="56"/>
        <v>2000</v>
      </c>
      <c r="C1925" s="3">
        <f t="shared" si="57"/>
        <v>5</v>
      </c>
      <c r="D1925" s="20" t="str">
        <f t="shared" si="58"/>
        <v>WBA20005</v>
      </c>
      <c r="E1925" s="2">
        <v>36663</v>
      </c>
      <c r="F1925" s="3">
        <v>3.3750000000000002E-2</v>
      </c>
      <c r="G1925" s="2">
        <v>36689</v>
      </c>
      <c r="H1925" s="3">
        <v>4.7000000000000002E-3</v>
      </c>
      <c r="I1925" s="3">
        <v>0</v>
      </c>
      <c r="J1925" s="3">
        <v>0</v>
      </c>
      <c r="K1925" s="3">
        <f t="shared" si="59"/>
        <v>2000</v>
      </c>
      <c r="L1925" s="3">
        <f t="shared" si="60"/>
        <v>0</v>
      </c>
      <c r="M1925" s="20" t="str">
        <f>A1925&amp;L1925</f>
        <v>WBA0</v>
      </c>
      <c r="N1925" s="3">
        <f>F1925</f>
        <v>3.3750000000000002E-2</v>
      </c>
      <c r="O1925" s="9">
        <f>H1925</f>
        <v>4.7000000000000002E-3</v>
      </c>
      <c r="P1925" s="10">
        <f t="shared" si="61"/>
        <v>0</v>
      </c>
      <c r="Q1925" s="10">
        <f>IF(K1925=0,IF(A1922=A1925,AVERAGE(O1922:O1925),"x"),0)</f>
        <v>0</v>
      </c>
      <c r="R1925" s="9">
        <f>IF(L1925&gt;2005,AVERAGE(O1922:O1941),0)</f>
        <v>0</v>
      </c>
      <c r="S1925" s="10">
        <f>IF(A1925=A1926,(N1925-N1926)/N1926,0)</f>
        <v>0</v>
      </c>
      <c r="T1925" s="10">
        <f>IF(L1925&gt;2005,(((N1925-N1945)/N1945)+1)^(1/5)-1,0)</f>
        <v>0</v>
      </c>
      <c r="U1925" s="10">
        <f t="shared" si="62"/>
        <v>0</v>
      </c>
      <c r="V1925" s="26">
        <f t="shared" si="63"/>
        <v>0</v>
      </c>
      <c r="W1925" s="3">
        <f>IF(A1925=A1926,N1925-N1926,0)</f>
        <v>0</v>
      </c>
      <c r="X1925" s="10">
        <f>IF(A1925=A1926,(N1925-N1926)/N1926,0)</f>
        <v>0</v>
      </c>
    </row>
    <row r="1926" spans="1:24" ht="16.5" customHeight="1">
      <c r="A1926" s="14" t="s">
        <v>44</v>
      </c>
      <c r="B1926" s="3">
        <f t="shared" si="56"/>
        <v>2000</v>
      </c>
      <c r="C1926" s="3">
        <f t="shared" si="57"/>
        <v>2</v>
      </c>
      <c r="D1926" s="20" t="str">
        <f t="shared" si="58"/>
        <v>WBA20002</v>
      </c>
      <c r="E1926" s="15">
        <v>36572</v>
      </c>
      <c r="F1926" s="14">
        <v>3.3750000000000002E-2</v>
      </c>
      <c r="G1926" s="15">
        <v>36596</v>
      </c>
      <c r="H1926" s="14">
        <v>4.5999999999999999E-3</v>
      </c>
      <c r="I1926" s="14">
        <v>0</v>
      </c>
      <c r="J1926" s="14">
        <v>0</v>
      </c>
      <c r="K1926" s="3">
        <f t="shared" si="59"/>
        <v>0</v>
      </c>
      <c r="L1926" s="3">
        <f t="shared" si="60"/>
        <v>2000</v>
      </c>
      <c r="M1926" s="20" t="str">
        <f>A1926&amp;L1926</f>
        <v>WBA2000</v>
      </c>
      <c r="N1926" s="14">
        <f>F1926</f>
        <v>3.3750000000000002E-2</v>
      </c>
      <c r="O1926" s="9">
        <f>H1926</f>
        <v>4.5999999999999999E-3</v>
      </c>
      <c r="P1926" s="10">
        <f t="shared" si="61"/>
        <v>0</v>
      </c>
      <c r="Q1926" s="10">
        <f>IF(K1926=0,IF(A1923=A1926,AVERAGE(O1923:O1926),"x"),0)</f>
        <v>4.15E-3</v>
      </c>
      <c r="R1926" s="9">
        <f>IF(L1926&gt;2005,AVERAGE(O1923:O1942),0)</f>
        <v>0</v>
      </c>
      <c r="S1926" s="10">
        <f>IF(A1926=A1927,(N1926-N1927)/N1927,0)</f>
        <v>0</v>
      </c>
      <c r="T1926" s="10">
        <f>IF(L1926&gt;2005,(((N1926-N1946)/N1946)+1)^(1/5)-1,0)</f>
        <v>0</v>
      </c>
      <c r="U1926" s="10">
        <f t="shared" si="62"/>
        <v>0</v>
      </c>
      <c r="V1926" s="26">
        <f t="shared" si="63"/>
        <v>0</v>
      </c>
      <c r="W1926" s="3">
        <f>IF(A1926=A1927,N1926-N1927,0)</f>
        <v>0</v>
      </c>
      <c r="X1926" s="10">
        <f>IF(A1926=A1927,(N1926-N1927)/N1927,0)</f>
        <v>0</v>
      </c>
    </row>
    <row r="1927" spans="1:24" ht="16.5" customHeight="1">
      <c r="A1927" s="3" t="s">
        <v>45</v>
      </c>
      <c r="B1927" s="3">
        <f t="shared" si="56"/>
        <v>2022</v>
      </c>
      <c r="C1927" s="3">
        <f t="shared" si="57"/>
        <v>10</v>
      </c>
      <c r="D1927" s="20" t="str">
        <f t="shared" si="58"/>
        <v>ABT202210</v>
      </c>
      <c r="E1927" s="2">
        <v>44847</v>
      </c>
      <c r="F1927" s="3">
        <v>0.47</v>
      </c>
      <c r="G1927" s="2">
        <v>44880</v>
      </c>
      <c r="H1927" s="3">
        <v>1.8800000000000001E-2</v>
      </c>
      <c r="I1927" s="3">
        <v>0</v>
      </c>
      <c r="J1927" s="3">
        <v>0</v>
      </c>
      <c r="K1927" s="3">
        <f t="shared" si="59"/>
        <v>2022</v>
      </c>
      <c r="L1927" s="3">
        <f t="shared" si="60"/>
        <v>0</v>
      </c>
      <c r="M1927" s="20" t="str">
        <f>A1927&amp;L1927</f>
        <v>ABT0</v>
      </c>
      <c r="N1927" s="3">
        <f>F1927</f>
        <v>0.47</v>
      </c>
      <c r="O1927" s="9">
        <f>H1927</f>
        <v>1.8800000000000001E-2</v>
      </c>
      <c r="P1927" s="10">
        <f t="shared" si="61"/>
        <v>0</v>
      </c>
      <c r="Q1927" s="10">
        <f>IF(K1927=0,IF(A1924=A1927,AVERAGE(O1924:O1927),"x"),0)</f>
        <v>0</v>
      </c>
      <c r="R1927" s="9">
        <f>IF(L1927&gt;2005,AVERAGE(O1924:O1943),0)</f>
        <v>0</v>
      </c>
      <c r="S1927" s="10">
        <f>IF(A1927=A1928,(N1927-N1928)/N1928,0)</f>
        <v>0</v>
      </c>
      <c r="T1927" s="10">
        <f>IF(L1927&gt;2005,(((N1927-N1947)/N1947)+1)^(1/5)-1,0)</f>
        <v>0</v>
      </c>
      <c r="U1927" s="10">
        <f t="shared" si="62"/>
        <v>0</v>
      </c>
      <c r="V1927" s="26">
        <f t="shared" si="63"/>
        <v>0</v>
      </c>
      <c r="W1927" s="3">
        <f>IF(A1927=A1928,N1927-N1928,0)</f>
        <v>0</v>
      </c>
      <c r="X1927" s="10">
        <f>IF(A1927=A1928,(N1927-N1928)/N1928,0)</f>
        <v>0</v>
      </c>
    </row>
    <row r="1928" spans="1:24" ht="16.5" customHeight="1">
      <c r="A1928" s="3" t="s">
        <v>45</v>
      </c>
      <c r="B1928" s="3">
        <f t="shared" si="56"/>
        <v>2022</v>
      </c>
      <c r="C1928" s="3">
        <f t="shared" si="57"/>
        <v>7</v>
      </c>
      <c r="D1928" s="20" t="str">
        <f t="shared" si="58"/>
        <v>ABT20227</v>
      </c>
      <c r="E1928" s="2">
        <v>44756</v>
      </c>
      <c r="F1928" s="3">
        <v>0.47</v>
      </c>
      <c r="G1928" s="2">
        <v>44788</v>
      </c>
      <c r="H1928" s="3">
        <v>1.77E-2</v>
      </c>
      <c r="I1928" s="3">
        <v>0</v>
      </c>
      <c r="J1928" s="3">
        <v>0</v>
      </c>
      <c r="K1928" s="3">
        <f t="shared" si="59"/>
        <v>2022</v>
      </c>
      <c r="L1928" s="3">
        <f t="shared" si="60"/>
        <v>0</v>
      </c>
      <c r="M1928" s="20" t="str">
        <f>A1928&amp;L1928</f>
        <v>ABT0</v>
      </c>
      <c r="N1928" s="3">
        <f>F1928</f>
        <v>0.47</v>
      </c>
      <c r="O1928" s="9">
        <f>H1928</f>
        <v>1.77E-2</v>
      </c>
      <c r="P1928" s="10">
        <f t="shared" si="61"/>
        <v>0</v>
      </c>
      <c r="Q1928" s="10">
        <f>IF(K1928=0,IF(A1925=A1928,AVERAGE(O1925:O1928),"x"),0)</f>
        <v>0</v>
      </c>
      <c r="R1928" s="9">
        <f>IF(L1928&gt;2005,AVERAGE(O1925:O1944),0)</f>
        <v>0</v>
      </c>
      <c r="S1928" s="10">
        <f>IF(A1928=A1929,(N1928-N1929)/N1929,0)</f>
        <v>0</v>
      </c>
      <c r="T1928" s="10">
        <f>IF(L1928&gt;2005,(((N1928-N1948)/N1948)+1)^(1/5)-1,0)</f>
        <v>0</v>
      </c>
      <c r="U1928" s="10">
        <f t="shared" si="62"/>
        <v>0</v>
      </c>
      <c r="V1928" s="26">
        <f t="shared" si="63"/>
        <v>0</v>
      </c>
      <c r="W1928" s="3">
        <f>IF(A1928=A1929,N1928-N1929,0)</f>
        <v>0</v>
      </c>
      <c r="X1928" s="10">
        <f>IF(A1928=A1929,(N1928-N1929)/N1929,0)</f>
        <v>0</v>
      </c>
    </row>
    <row r="1929" spans="1:24" ht="16.5" customHeight="1">
      <c r="A1929" s="3" t="s">
        <v>45</v>
      </c>
      <c r="B1929" s="3">
        <f t="shared" si="56"/>
        <v>2022</v>
      </c>
      <c r="C1929" s="3">
        <f t="shared" si="57"/>
        <v>4</v>
      </c>
      <c r="D1929" s="20" t="str">
        <f t="shared" si="58"/>
        <v>ABT20224</v>
      </c>
      <c r="E1929" s="2">
        <v>44664</v>
      </c>
      <c r="F1929" s="3">
        <v>0.47</v>
      </c>
      <c r="G1929" s="2">
        <v>44697</v>
      </c>
      <c r="H1929" s="3">
        <v>1.5900000000000001E-2</v>
      </c>
      <c r="I1929" s="3">
        <v>0</v>
      </c>
      <c r="J1929" s="3">
        <v>0</v>
      </c>
      <c r="K1929" s="3">
        <f t="shared" si="59"/>
        <v>2022</v>
      </c>
      <c r="L1929" s="3">
        <f t="shared" si="60"/>
        <v>0</v>
      </c>
      <c r="M1929" s="20" t="str">
        <f>A1929&amp;L1929</f>
        <v>ABT0</v>
      </c>
      <c r="N1929" s="3">
        <f>F1929</f>
        <v>0.47</v>
      </c>
      <c r="O1929" s="9">
        <f>H1929</f>
        <v>1.5900000000000001E-2</v>
      </c>
      <c r="P1929" s="10">
        <f t="shared" si="61"/>
        <v>0</v>
      </c>
      <c r="Q1929" s="10">
        <f>IF(K1929=0,IF(A1926=A1929,AVERAGE(O1926:O1929),"x"),0)</f>
        <v>0</v>
      </c>
      <c r="R1929" s="9">
        <f>IF(L1929&gt;2005,AVERAGE(O1926:O1945),0)</f>
        <v>0</v>
      </c>
      <c r="S1929" s="10">
        <f>IF(A1929=A1930,(N1929-N1930)/N1930,0)</f>
        <v>0</v>
      </c>
      <c r="T1929" s="10">
        <f>IF(L1929&gt;2005,(((N1929-N1949)/N1949)+1)^(1/5)-1,0)</f>
        <v>0</v>
      </c>
      <c r="U1929" s="10">
        <f t="shared" si="62"/>
        <v>0</v>
      </c>
      <c r="V1929" s="26">
        <f t="shared" si="63"/>
        <v>0</v>
      </c>
      <c r="W1929" s="3">
        <f>IF(A1929=A1930,N1929-N1930,0)</f>
        <v>0</v>
      </c>
      <c r="X1929" s="10">
        <f>IF(A1929=A1930,(N1929-N1930)/N1930,0)</f>
        <v>0</v>
      </c>
    </row>
    <row r="1930" spans="1:24" ht="16.5" customHeight="1">
      <c r="A1930" s="3" t="s">
        <v>45</v>
      </c>
      <c r="B1930" s="3">
        <f t="shared" si="56"/>
        <v>2022</v>
      </c>
      <c r="C1930" s="3">
        <f t="shared" si="57"/>
        <v>1</v>
      </c>
      <c r="D1930" s="20" t="str">
        <f t="shared" si="58"/>
        <v>ABT20221</v>
      </c>
      <c r="E1930" s="2">
        <v>44574</v>
      </c>
      <c r="F1930" s="3">
        <v>0.47</v>
      </c>
      <c r="G1930" s="2">
        <v>44607</v>
      </c>
      <c r="H1930" s="3">
        <v>1.41E-2</v>
      </c>
      <c r="I1930" s="3">
        <v>4.4444444E-2</v>
      </c>
      <c r="J1930" s="3">
        <v>0.02</v>
      </c>
      <c r="K1930" s="3">
        <f t="shared" si="59"/>
        <v>0</v>
      </c>
      <c r="L1930" s="3">
        <f t="shared" si="60"/>
        <v>2022</v>
      </c>
      <c r="M1930" s="20" t="str">
        <f>A1930&amp;L1930</f>
        <v>ABT2022</v>
      </c>
      <c r="N1930" s="3">
        <f>F1930</f>
        <v>0.47</v>
      </c>
      <c r="O1930" s="9">
        <f>H1930</f>
        <v>1.41E-2</v>
      </c>
      <c r="P1930" s="10">
        <f t="shared" si="61"/>
        <v>1.4825E-2</v>
      </c>
      <c r="Q1930" s="10">
        <f>IF(K1930=0,IF(A1927=A1930,AVERAGE(O1927:O1930),"x"),0)</f>
        <v>1.6625000000000001E-2</v>
      </c>
      <c r="R1930" s="9">
        <f>IF(L1930&gt;2005,AVERAGE(O1927:O1946),0)</f>
        <v>1.6425000000000006E-2</v>
      </c>
      <c r="S1930" s="10">
        <f>IF(A1930=A1931,(N1930-N1931)/N1931,0)</f>
        <v>4.4444444444444363E-2</v>
      </c>
      <c r="T1930" s="10">
        <f>IF(L1930&gt;2005,(((N1930-N1950)/N1950)+1)^(1/5)-1,0)</f>
        <v>0.12142542134526657</v>
      </c>
      <c r="U1930" s="10">
        <f t="shared" si="62"/>
        <v>0.13785042134526657</v>
      </c>
      <c r="V1930" s="26">
        <f t="shared" si="63"/>
        <v>4.7875958889350345</v>
      </c>
      <c r="W1930" s="3">
        <f>IF(A1930=A1931,N1930-N1931,0)</f>
        <v>1.9999999999999962E-2</v>
      </c>
      <c r="X1930" s="10">
        <f>IF(A1930=A1931,(N1930-N1931)/N1931,0)</f>
        <v>4.4444444444444363E-2</v>
      </c>
    </row>
    <row r="1931" spans="1:24" ht="16.5" customHeight="1">
      <c r="A1931" s="3" t="s">
        <v>45</v>
      </c>
      <c r="B1931" s="3">
        <f t="shared" si="56"/>
        <v>2021</v>
      </c>
      <c r="C1931" s="3">
        <f t="shared" si="57"/>
        <v>10</v>
      </c>
      <c r="D1931" s="20" t="str">
        <f t="shared" si="58"/>
        <v>ABT202110</v>
      </c>
      <c r="E1931" s="2">
        <v>44483</v>
      </c>
      <c r="F1931" s="3">
        <v>0.45</v>
      </c>
      <c r="G1931" s="2">
        <v>44515</v>
      </c>
      <c r="H1931" s="3">
        <v>1.54E-2</v>
      </c>
      <c r="I1931" s="3">
        <v>0</v>
      </c>
      <c r="J1931" s="3">
        <v>0</v>
      </c>
      <c r="K1931" s="3">
        <f t="shared" si="59"/>
        <v>2021</v>
      </c>
      <c r="L1931" s="3">
        <f t="shared" si="60"/>
        <v>0</v>
      </c>
      <c r="M1931" s="20" t="str">
        <f>A1931&amp;L1931</f>
        <v>ABT0</v>
      </c>
      <c r="N1931" s="3">
        <f>F1931</f>
        <v>0.45</v>
      </c>
      <c r="O1931" s="9">
        <f>H1931</f>
        <v>1.54E-2</v>
      </c>
      <c r="P1931" s="10">
        <f t="shared" si="61"/>
        <v>0</v>
      </c>
      <c r="Q1931" s="10">
        <f>IF(K1931=0,IF(A1928=A1931,AVERAGE(O1928:O1931),"x"),0)</f>
        <v>0</v>
      </c>
      <c r="R1931" s="9">
        <f>IF(L1931&gt;2005,AVERAGE(O1928:O1947),0)</f>
        <v>0</v>
      </c>
      <c r="S1931" s="10">
        <f>IF(A1931=A1932,(N1931-N1932)/N1932,0)</f>
        <v>0</v>
      </c>
      <c r="T1931" s="10">
        <f>IF(L1931&gt;2005,(((N1931-N1951)/N1951)+1)^(1/5)-1,0)</f>
        <v>0</v>
      </c>
      <c r="U1931" s="10">
        <f t="shared" si="62"/>
        <v>0</v>
      </c>
      <c r="V1931" s="26">
        <f t="shared" si="63"/>
        <v>0</v>
      </c>
      <c r="W1931" s="3">
        <f>IF(A1931=A1932,N1931-N1932,0)</f>
        <v>0</v>
      </c>
      <c r="X1931" s="10">
        <f>IF(A1931=A1932,(N1931-N1932)/N1932,0)</f>
        <v>0</v>
      </c>
    </row>
    <row r="1932" spans="1:24" ht="16.5" customHeight="1">
      <c r="A1932" s="3" t="s">
        <v>45</v>
      </c>
      <c r="B1932" s="3">
        <f t="shared" si="56"/>
        <v>2021</v>
      </c>
      <c r="C1932" s="3">
        <f t="shared" si="57"/>
        <v>7</v>
      </c>
      <c r="D1932" s="20" t="str">
        <f t="shared" si="58"/>
        <v>ABT20217</v>
      </c>
      <c r="E1932" s="2">
        <v>44391</v>
      </c>
      <c r="F1932" s="3">
        <v>0.45</v>
      </c>
      <c r="G1932" s="2">
        <v>44424</v>
      </c>
      <c r="H1932" s="3">
        <v>1.52E-2</v>
      </c>
      <c r="I1932" s="3">
        <v>0</v>
      </c>
      <c r="J1932" s="3">
        <v>0</v>
      </c>
      <c r="K1932" s="3">
        <f t="shared" si="59"/>
        <v>2021</v>
      </c>
      <c r="L1932" s="3">
        <f t="shared" si="60"/>
        <v>0</v>
      </c>
      <c r="M1932" s="20" t="str">
        <f>A1932&amp;L1932</f>
        <v>ABT0</v>
      </c>
      <c r="N1932" s="3">
        <f>F1932</f>
        <v>0.45</v>
      </c>
      <c r="O1932" s="9">
        <f>H1932</f>
        <v>1.52E-2</v>
      </c>
      <c r="P1932" s="10">
        <f t="shared" si="61"/>
        <v>0</v>
      </c>
      <c r="Q1932" s="10">
        <f>IF(K1932=0,IF(A1929=A1932,AVERAGE(O1929:O1932),"x"),0)</f>
        <v>0</v>
      </c>
      <c r="R1932" s="9">
        <f>IF(L1932&gt;2005,AVERAGE(O1929:O1948),0)</f>
        <v>0</v>
      </c>
      <c r="S1932" s="10">
        <f>IF(A1932=A1933,(N1932-N1933)/N1933,0)</f>
        <v>0</v>
      </c>
      <c r="T1932" s="10">
        <f>IF(L1932&gt;2005,(((N1932-N1952)/N1952)+1)^(1/5)-1,0)</f>
        <v>0</v>
      </c>
      <c r="U1932" s="10">
        <f t="shared" si="62"/>
        <v>0</v>
      </c>
      <c r="V1932" s="26">
        <f t="shared" si="63"/>
        <v>0</v>
      </c>
      <c r="W1932" s="3">
        <f>IF(A1932=A1933,N1932-N1933,0)</f>
        <v>0</v>
      </c>
      <c r="X1932" s="10">
        <f>IF(A1932=A1933,(N1932-N1933)/N1933,0)</f>
        <v>0</v>
      </c>
    </row>
    <row r="1933" spans="1:24" ht="16.5" customHeight="1">
      <c r="A1933" s="3" t="s">
        <v>45</v>
      </c>
      <c r="B1933" s="3">
        <f t="shared" si="56"/>
        <v>2021</v>
      </c>
      <c r="C1933" s="3">
        <f t="shared" si="57"/>
        <v>4</v>
      </c>
      <c r="D1933" s="20" t="str">
        <f t="shared" si="58"/>
        <v>ABT20214</v>
      </c>
      <c r="E1933" s="2">
        <v>44300</v>
      </c>
      <c r="F1933" s="3">
        <v>0.45</v>
      </c>
      <c r="G1933" s="2">
        <v>44333</v>
      </c>
      <c r="H1933" s="3">
        <v>1.46E-2</v>
      </c>
      <c r="I1933" s="3">
        <v>0</v>
      </c>
      <c r="J1933" s="3">
        <v>0</v>
      </c>
      <c r="K1933" s="3">
        <f t="shared" si="59"/>
        <v>2021</v>
      </c>
      <c r="L1933" s="3">
        <f t="shared" si="60"/>
        <v>0</v>
      </c>
      <c r="M1933" s="20" t="str">
        <f>A1933&amp;L1933</f>
        <v>ABT0</v>
      </c>
      <c r="N1933" s="3">
        <f>F1933</f>
        <v>0.45</v>
      </c>
      <c r="O1933" s="9">
        <f>H1933</f>
        <v>1.46E-2</v>
      </c>
      <c r="P1933" s="10">
        <f t="shared" si="61"/>
        <v>0</v>
      </c>
      <c r="Q1933" s="10">
        <f>IF(K1933=0,IF(A1930=A1933,AVERAGE(O1930:O1933),"x"),0)</f>
        <v>0</v>
      </c>
      <c r="R1933" s="9">
        <f>IF(L1933&gt;2005,AVERAGE(O1930:O1949),0)</f>
        <v>0</v>
      </c>
      <c r="S1933" s="10">
        <f>IF(A1933=A1934,(N1933-N1934)/N1934,0)</f>
        <v>0</v>
      </c>
      <c r="T1933" s="10">
        <f>IF(L1933&gt;2005,(((N1933-N1953)/N1953)+1)^(1/5)-1,0)</f>
        <v>0</v>
      </c>
      <c r="U1933" s="10">
        <f t="shared" si="62"/>
        <v>0</v>
      </c>
      <c r="V1933" s="26">
        <f t="shared" si="63"/>
        <v>0</v>
      </c>
      <c r="W1933" s="3">
        <f>IF(A1933=A1934,N1933-N1934,0)</f>
        <v>0</v>
      </c>
      <c r="X1933" s="10">
        <f>IF(A1933=A1934,(N1933-N1934)/N1934,0)</f>
        <v>0</v>
      </c>
    </row>
    <row r="1934" spans="1:24" ht="16.5" customHeight="1">
      <c r="A1934" s="3" t="s">
        <v>45</v>
      </c>
      <c r="B1934" s="3">
        <f t="shared" si="56"/>
        <v>2021</v>
      </c>
      <c r="C1934" s="3">
        <f t="shared" si="57"/>
        <v>1</v>
      </c>
      <c r="D1934" s="20" t="str">
        <f t="shared" si="58"/>
        <v>ABT20211</v>
      </c>
      <c r="E1934" s="2">
        <v>44210</v>
      </c>
      <c r="F1934" s="3">
        <v>0.45</v>
      </c>
      <c r="G1934" s="2">
        <v>44243</v>
      </c>
      <c r="H1934" s="3">
        <v>1.61E-2</v>
      </c>
      <c r="I1934" s="3">
        <v>0.25</v>
      </c>
      <c r="J1934" s="3">
        <v>0.09</v>
      </c>
      <c r="K1934" s="3">
        <f t="shared" si="59"/>
        <v>0</v>
      </c>
      <c r="L1934" s="3">
        <f t="shared" si="60"/>
        <v>2021</v>
      </c>
      <c r="M1934" s="20" t="str">
        <f>A1934&amp;L1934</f>
        <v>ABT2021</v>
      </c>
      <c r="N1934" s="3">
        <f>F1934</f>
        <v>0.45</v>
      </c>
      <c r="O1934" s="9">
        <f>H1934</f>
        <v>1.61E-2</v>
      </c>
      <c r="P1934" s="10">
        <f t="shared" si="61"/>
        <v>1.5424999999999998E-2</v>
      </c>
      <c r="Q1934" s="10">
        <f>IF(K1934=0,IF(A1931=A1934,AVERAGE(O1931:O1934),"x"),0)</f>
        <v>1.5325000000000002E-2</v>
      </c>
      <c r="R1934" s="9">
        <f>IF(L1934&gt;2005,AVERAGE(O1931:O1950),0)</f>
        <v>1.7675E-2</v>
      </c>
      <c r="S1934" s="10">
        <f>IF(A1934=A1935,(N1934-N1935)/N1935,0)</f>
        <v>0.25000000000000006</v>
      </c>
      <c r="T1934" s="10">
        <f>IF(L1934&gt;2005,(((N1934-N1954)/N1954)+1)^(1/5)-1,0)</f>
        <v>0.11595795704392353</v>
      </c>
      <c r="U1934" s="10">
        <f t="shared" si="62"/>
        <v>0.13363295704392353</v>
      </c>
      <c r="V1934" s="26">
        <f t="shared" si="63"/>
        <v>4.7709333833249614</v>
      </c>
      <c r="W1934" s="3">
        <f>IF(A1934=A1935,N1934-N1935,0)</f>
        <v>9.0000000000000024E-2</v>
      </c>
      <c r="X1934" s="10">
        <f>IF(A1934=A1935,(N1934-N1935)/N1935,0)</f>
        <v>0.25000000000000006</v>
      </c>
    </row>
    <row r="1935" spans="1:24" ht="16.5" customHeight="1">
      <c r="A1935" s="3" t="s">
        <v>45</v>
      </c>
      <c r="B1935" s="3">
        <f t="shared" si="56"/>
        <v>2020</v>
      </c>
      <c r="C1935" s="3">
        <f t="shared" si="57"/>
        <v>10</v>
      </c>
      <c r="D1935" s="20" t="str">
        <f t="shared" si="58"/>
        <v>ABT202010</v>
      </c>
      <c r="E1935" s="2">
        <v>44118</v>
      </c>
      <c r="F1935" s="3">
        <v>0.36</v>
      </c>
      <c r="G1935" s="2">
        <v>44151</v>
      </c>
      <c r="H1935" s="3">
        <v>1.3299999999999999E-2</v>
      </c>
      <c r="I1935" s="3">
        <v>0</v>
      </c>
      <c r="J1935" s="3">
        <v>0</v>
      </c>
      <c r="K1935" s="3">
        <f t="shared" si="59"/>
        <v>2020</v>
      </c>
      <c r="L1935" s="3">
        <f t="shared" si="60"/>
        <v>0</v>
      </c>
      <c r="M1935" s="20" t="str">
        <f>A1935&amp;L1935</f>
        <v>ABT0</v>
      </c>
      <c r="N1935" s="3">
        <f>F1935</f>
        <v>0.36</v>
      </c>
      <c r="O1935" s="9">
        <f>H1935</f>
        <v>1.3299999999999999E-2</v>
      </c>
      <c r="P1935" s="10">
        <f t="shared" si="61"/>
        <v>0</v>
      </c>
      <c r="Q1935" s="10">
        <f>IF(K1935=0,IF(A1932=A1935,AVERAGE(O1932:O1935),"x"),0)</f>
        <v>0</v>
      </c>
      <c r="R1935" s="9">
        <f>IF(L1935&gt;2005,AVERAGE(O1932:O1951),0)</f>
        <v>0</v>
      </c>
      <c r="S1935" s="10">
        <f>IF(A1935=A1936,(N1935-N1936)/N1936,0)</f>
        <v>0</v>
      </c>
      <c r="T1935" s="10">
        <f>IF(L1935&gt;2005,(((N1935-N1955)/N1955)+1)^(1/5)-1,0)</f>
        <v>0</v>
      </c>
      <c r="U1935" s="10">
        <f t="shared" si="62"/>
        <v>0</v>
      </c>
      <c r="V1935" s="26">
        <f t="shared" si="63"/>
        <v>0</v>
      </c>
      <c r="W1935" s="3">
        <f>IF(A1935=A1936,N1935-N1936,0)</f>
        <v>0</v>
      </c>
      <c r="X1935" s="10">
        <f>IF(A1935=A1936,(N1935-N1936)/N1936,0)</f>
        <v>0</v>
      </c>
    </row>
    <row r="1936" spans="1:24" ht="16.5" customHeight="1">
      <c r="A1936" s="3" t="s">
        <v>45</v>
      </c>
      <c r="B1936" s="3">
        <f t="shared" si="56"/>
        <v>2020</v>
      </c>
      <c r="C1936" s="3">
        <f t="shared" si="57"/>
        <v>7</v>
      </c>
      <c r="D1936" s="20" t="str">
        <f t="shared" si="58"/>
        <v>ABT20207</v>
      </c>
      <c r="E1936" s="2">
        <v>44026</v>
      </c>
      <c r="F1936" s="3">
        <v>0.36</v>
      </c>
      <c r="G1936" s="2">
        <v>44060</v>
      </c>
      <c r="H1936" s="3">
        <v>1.55E-2</v>
      </c>
      <c r="I1936" s="3">
        <v>0</v>
      </c>
      <c r="J1936" s="3">
        <v>0</v>
      </c>
      <c r="K1936" s="3">
        <f t="shared" si="59"/>
        <v>2020</v>
      </c>
      <c r="L1936" s="3">
        <f t="shared" si="60"/>
        <v>0</v>
      </c>
      <c r="M1936" s="20" t="str">
        <f>A1936&amp;L1936</f>
        <v>ABT0</v>
      </c>
      <c r="N1936" s="3">
        <f>F1936</f>
        <v>0.36</v>
      </c>
      <c r="O1936" s="9">
        <f>H1936</f>
        <v>1.55E-2</v>
      </c>
      <c r="P1936" s="10">
        <f t="shared" si="61"/>
        <v>0</v>
      </c>
      <c r="Q1936" s="10">
        <f>IF(K1936=0,IF(A1933=A1936,AVERAGE(O1933:O1936),"x"),0)</f>
        <v>0</v>
      </c>
      <c r="R1936" s="9">
        <f>IF(L1936&gt;2005,AVERAGE(O1933:O1952),0)</f>
        <v>0</v>
      </c>
      <c r="S1936" s="10">
        <f>IF(A1936=A1937,(N1936-N1937)/N1937,0)</f>
        <v>0</v>
      </c>
      <c r="T1936" s="10">
        <f>IF(L1936&gt;2005,(((N1936-N1956)/N1956)+1)^(1/5)-1,0)</f>
        <v>0</v>
      </c>
      <c r="U1936" s="10">
        <f t="shared" si="62"/>
        <v>0</v>
      </c>
      <c r="V1936" s="26">
        <f t="shared" si="63"/>
        <v>0</v>
      </c>
      <c r="W1936" s="3">
        <f>IF(A1936=A1937,N1936-N1937,0)</f>
        <v>0</v>
      </c>
      <c r="X1936" s="10">
        <f>IF(A1936=A1937,(N1936-N1937)/N1937,0)</f>
        <v>0</v>
      </c>
    </row>
    <row r="1937" spans="1:24" ht="16.5" customHeight="1">
      <c r="A1937" s="3" t="s">
        <v>45</v>
      </c>
      <c r="B1937" s="3">
        <f t="shared" si="56"/>
        <v>2020</v>
      </c>
      <c r="C1937" s="3">
        <f t="shared" si="57"/>
        <v>4</v>
      </c>
      <c r="D1937" s="20" t="str">
        <f t="shared" si="58"/>
        <v>ABT20204</v>
      </c>
      <c r="E1937" s="2">
        <v>43935</v>
      </c>
      <c r="F1937" s="3">
        <v>0.36</v>
      </c>
      <c r="G1937" s="2">
        <v>43966</v>
      </c>
      <c r="H1937" s="3">
        <v>1.6799999999999999E-2</v>
      </c>
      <c r="I1937" s="3">
        <v>0</v>
      </c>
      <c r="J1937" s="3">
        <v>0</v>
      </c>
      <c r="K1937" s="3">
        <f t="shared" si="59"/>
        <v>2020</v>
      </c>
      <c r="L1937" s="3">
        <f t="shared" si="60"/>
        <v>0</v>
      </c>
      <c r="M1937" s="20" t="str">
        <f>A1937&amp;L1937</f>
        <v>ABT0</v>
      </c>
      <c r="N1937" s="3">
        <f>F1937</f>
        <v>0.36</v>
      </c>
      <c r="O1937" s="9">
        <f>H1937</f>
        <v>1.6799999999999999E-2</v>
      </c>
      <c r="P1937" s="10">
        <f t="shared" si="61"/>
        <v>0</v>
      </c>
      <c r="Q1937" s="10">
        <f>IF(K1937=0,IF(A1934=A1937,AVERAGE(O1934:O1937),"x"),0)</f>
        <v>0</v>
      </c>
      <c r="R1937" s="9">
        <f>IF(L1937&gt;2005,AVERAGE(O1934:O1953),0)</f>
        <v>0</v>
      </c>
      <c r="S1937" s="10">
        <f>IF(A1937=A1938,(N1937-N1938)/N1938,0)</f>
        <v>0</v>
      </c>
      <c r="T1937" s="10">
        <f>IF(L1937&gt;2005,(((N1937-N1957)/N1957)+1)^(1/5)-1,0)</f>
        <v>0</v>
      </c>
      <c r="U1937" s="10">
        <f t="shared" si="62"/>
        <v>0</v>
      </c>
      <c r="V1937" s="26">
        <f t="shared" si="63"/>
        <v>0</v>
      </c>
      <c r="W1937" s="3">
        <f>IF(A1937=A1938,N1937-N1938,0)</f>
        <v>0</v>
      </c>
      <c r="X1937" s="10">
        <f>IF(A1937=A1938,(N1937-N1938)/N1938,0)</f>
        <v>0</v>
      </c>
    </row>
    <row r="1938" spans="1:24" ht="16.5" customHeight="1">
      <c r="A1938" s="3" t="s">
        <v>45</v>
      </c>
      <c r="B1938" s="3">
        <f t="shared" si="56"/>
        <v>2020</v>
      </c>
      <c r="C1938" s="3">
        <f t="shared" si="57"/>
        <v>1</v>
      </c>
      <c r="D1938" s="20" t="str">
        <f t="shared" si="58"/>
        <v>ABT20201</v>
      </c>
      <c r="E1938" s="2">
        <v>43844</v>
      </c>
      <c r="F1938" s="3">
        <v>0.36</v>
      </c>
      <c r="G1938" s="2">
        <v>43875</v>
      </c>
      <c r="H1938" s="3">
        <v>1.6899999999999998E-2</v>
      </c>
      <c r="I1938" s="3">
        <v>0.125</v>
      </c>
      <c r="J1938" s="3">
        <v>0.04</v>
      </c>
      <c r="K1938" s="3">
        <f t="shared" si="59"/>
        <v>0</v>
      </c>
      <c r="L1938" s="3">
        <f t="shared" si="60"/>
        <v>2020</v>
      </c>
      <c r="M1938" s="20" t="str">
        <f>A1938&amp;L1938</f>
        <v>ABT2020</v>
      </c>
      <c r="N1938" s="3">
        <f>F1938</f>
        <v>0.36</v>
      </c>
      <c r="O1938" s="9">
        <f>H1938</f>
        <v>1.6899999999999998E-2</v>
      </c>
      <c r="P1938" s="10">
        <f t="shared" si="61"/>
        <v>1.6024999999999998E-2</v>
      </c>
      <c r="Q1938" s="10">
        <f>IF(K1938=0,IF(A1935=A1938,AVERAGE(O1935:O1938),"x"),0)</f>
        <v>1.5625E-2</v>
      </c>
      <c r="R1938" s="9">
        <f>IF(L1938&gt;2005,AVERAGE(O1935:O1954),0)</f>
        <v>1.9569999999999997E-2</v>
      </c>
      <c r="S1938" s="10">
        <f>IF(A1938=A1939,(N1938-N1939)/N1939,0)</f>
        <v>0.12499999999999993</v>
      </c>
      <c r="T1938" s="10">
        <f>IF(L1938&gt;2005,(((N1938-N1958)/N1958)+1)^(1/5)-1,0)</f>
        <v>8.4471771197698553E-2</v>
      </c>
      <c r="U1938" s="10">
        <f t="shared" si="62"/>
        <v>0.10404177119769856</v>
      </c>
      <c r="V1938" s="26">
        <f t="shared" si="63"/>
        <v>4.740314433697205</v>
      </c>
      <c r="W1938" s="3">
        <f>IF(A1938=A1939,N1938-N1939,0)</f>
        <v>3.999999999999998E-2</v>
      </c>
      <c r="X1938" s="10">
        <f>IF(A1938=A1939,(N1938-N1939)/N1939,0)</f>
        <v>0.12499999999999993</v>
      </c>
    </row>
    <row r="1939" spans="1:24" ht="16.5" customHeight="1">
      <c r="A1939" s="3" t="s">
        <v>45</v>
      </c>
      <c r="B1939" s="3">
        <f t="shared" si="56"/>
        <v>2019</v>
      </c>
      <c r="C1939" s="3">
        <f t="shared" si="57"/>
        <v>10</v>
      </c>
      <c r="D1939" s="20" t="str">
        <f t="shared" si="58"/>
        <v>ABT201910</v>
      </c>
      <c r="E1939" s="2">
        <v>43749</v>
      </c>
      <c r="F1939" s="3">
        <v>0.32</v>
      </c>
      <c r="G1939" s="2">
        <v>43784</v>
      </c>
      <c r="H1939" s="3">
        <v>1.6E-2</v>
      </c>
      <c r="I1939" s="3">
        <v>0</v>
      </c>
      <c r="J1939" s="3">
        <v>0</v>
      </c>
      <c r="K1939" s="3">
        <f t="shared" si="59"/>
        <v>2019</v>
      </c>
      <c r="L1939" s="3">
        <f t="shared" si="60"/>
        <v>0</v>
      </c>
      <c r="M1939" s="20" t="str">
        <f>A1939&amp;L1939</f>
        <v>ABT0</v>
      </c>
      <c r="N1939" s="3">
        <f>F1939</f>
        <v>0.32</v>
      </c>
      <c r="O1939" s="9">
        <f>H1939</f>
        <v>1.6E-2</v>
      </c>
      <c r="P1939" s="10">
        <f t="shared" si="61"/>
        <v>0</v>
      </c>
      <c r="Q1939" s="10">
        <f>IF(K1939=0,IF(A1936=A1939,AVERAGE(O1936:O1939),"x"),0)</f>
        <v>0</v>
      </c>
      <c r="R1939" s="9">
        <f>IF(L1939&gt;2005,AVERAGE(O1936:O1955),0)</f>
        <v>0</v>
      </c>
      <c r="S1939" s="10">
        <f>IF(A1939=A1940,(N1939-N1940)/N1940,0)</f>
        <v>0</v>
      </c>
      <c r="T1939" s="10">
        <f>IF(L1939&gt;2005,(((N1939-N1959)/N1959)+1)^(1/5)-1,0)</f>
        <v>0</v>
      </c>
      <c r="U1939" s="10">
        <f t="shared" si="62"/>
        <v>0</v>
      </c>
      <c r="V1939" s="26">
        <f t="shared" si="63"/>
        <v>0</v>
      </c>
      <c r="W1939" s="3">
        <f>IF(A1939=A1940,N1939-N1940,0)</f>
        <v>0</v>
      </c>
      <c r="X1939" s="10">
        <f>IF(A1939=A1940,(N1939-N1940)/N1940,0)</f>
        <v>0</v>
      </c>
    </row>
    <row r="1940" spans="1:24" ht="16.5" customHeight="1">
      <c r="A1940" s="3" t="s">
        <v>45</v>
      </c>
      <c r="B1940" s="3">
        <f t="shared" si="56"/>
        <v>2019</v>
      </c>
      <c r="C1940" s="3">
        <f t="shared" si="57"/>
        <v>7</v>
      </c>
      <c r="D1940" s="20" t="str">
        <f t="shared" si="58"/>
        <v>ABT20197</v>
      </c>
      <c r="E1940" s="2">
        <v>43658</v>
      </c>
      <c r="F1940" s="3">
        <v>0.32</v>
      </c>
      <c r="G1940" s="2">
        <v>43692</v>
      </c>
      <c r="H1940" s="3">
        <v>1.49E-2</v>
      </c>
      <c r="I1940" s="3">
        <v>0</v>
      </c>
      <c r="J1940" s="3">
        <v>0</v>
      </c>
      <c r="K1940" s="3">
        <f t="shared" si="59"/>
        <v>2019</v>
      </c>
      <c r="L1940" s="3">
        <f t="shared" si="60"/>
        <v>0</v>
      </c>
      <c r="M1940" s="20" t="str">
        <f>A1940&amp;L1940</f>
        <v>ABT0</v>
      </c>
      <c r="N1940" s="3">
        <f>F1940</f>
        <v>0.32</v>
      </c>
      <c r="O1940" s="9">
        <f>H1940</f>
        <v>1.49E-2</v>
      </c>
      <c r="P1940" s="10">
        <f t="shared" si="61"/>
        <v>0</v>
      </c>
      <c r="Q1940" s="10">
        <f>IF(K1940=0,IF(A1937=A1940,AVERAGE(O1937:O1940),"x"),0)</f>
        <v>0</v>
      </c>
      <c r="R1940" s="9">
        <f>IF(L1940&gt;2005,AVERAGE(O1937:O1956),0)</f>
        <v>0</v>
      </c>
      <c r="S1940" s="10">
        <f>IF(A1940=A1941,(N1940-N1941)/N1941,0)</f>
        <v>0</v>
      </c>
      <c r="T1940" s="10">
        <f>IF(L1940&gt;2005,(((N1940-N1960)/N1960)+1)^(1/5)-1,0)</f>
        <v>0</v>
      </c>
      <c r="U1940" s="10">
        <f t="shared" si="62"/>
        <v>0</v>
      </c>
      <c r="V1940" s="26">
        <f t="shared" si="63"/>
        <v>0</v>
      </c>
      <c r="W1940" s="3">
        <f>IF(A1940=A1941,N1940-N1941,0)</f>
        <v>0</v>
      </c>
      <c r="X1940" s="10">
        <f>IF(A1940=A1941,(N1940-N1941)/N1941,0)</f>
        <v>0</v>
      </c>
    </row>
    <row r="1941" spans="1:24" ht="16.5" customHeight="1">
      <c r="A1941" s="3" t="s">
        <v>45</v>
      </c>
      <c r="B1941" s="3">
        <f t="shared" si="56"/>
        <v>2019</v>
      </c>
      <c r="C1941" s="3">
        <f t="shared" si="57"/>
        <v>4</v>
      </c>
      <c r="D1941" s="20" t="str">
        <f t="shared" si="58"/>
        <v>ABT20194</v>
      </c>
      <c r="E1941" s="2">
        <v>43567</v>
      </c>
      <c r="F1941" s="3">
        <v>0.32</v>
      </c>
      <c r="G1941" s="2">
        <v>43600</v>
      </c>
      <c r="H1941" s="3">
        <v>1.6299999999999999E-2</v>
      </c>
      <c r="I1941" s="3">
        <v>0</v>
      </c>
      <c r="J1941" s="3">
        <v>0</v>
      </c>
      <c r="K1941" s="3">
        <f t="shared" si="59"/>
        <v>2019</v>
      </c>
      <c r="L1941" s="3">
        <f t="shared" si="60"/>
        <v>0</v>
      </c>
      <c r="M1941" s="20" t="str">
        <f>A1941&amp;L1941</f>
        <v>ABT0</v>
      </c>
      <c r="N1941" s="3">
        <f>F1941</f>
        <v>0.32</v>
      </c>
      <c r="O1941" s="9">
        <f>H1941</f>
        <v>1.6299999999999999E-2</v>
      </c>
      <c r="P1941" s="10">
        <f t="shared" si="61"/>
        <v>0</v>
      </c>
      <c r="Q1941" s="10">
        <f>IF(K1941=0,IF(A1938=A1941,AVERAGE(O1938:O1941),"x"),0)</f>
        <v>0</v>
      </c>
      <c r="R1941" s="9">
        <f>IF(L1941&gt;2005,AVERAGE(O1938:O1957),0)</f>
        <v>0</v>
      </c>
      <c r="S1941" s="10">
        <f>IF(A1941=A1942,(N1941-N1942)/N1942,0)</f>
        <v>0</v>
      </c>
      <c r="T1941" s="10">
        <f>IF(L1941&gt;2005,(((N1941-N1961)/N1961)+1)^(1/5)-1,0)</f>
        <v>0</v>
      </c>
      <c r="U1941" s="10">
        <f t="shared" si="62"/>
        <v>0</v>
      </c>
      <c r="V1941" s="26">
        <f t="shared" si="63"/>
        <v>0</v>
      </c>
      <c r="W1941" s="3">
        <f>IF(A1941=A1942,N1941-N1942,0)</f>
        <v>0</v>
      </c>
      <c r="X1941" s="10">
        <f>IF(A1941=A1942,(N1941-N1942)/N1942,0)</f>
        <v>0</v>
      </c>
    </row>
    <row r="1942" spans="1:24" ht="16.5" customHeight="1">
      <c r="A1942" s="3" t="s">
        <v>45</v>
      </c>
      <c r="B1942" s="3">
        <f t="shared" si="56"/>
        <v>2019</v>
      </c>
      <c r="C1942" s="3">
        <f t="shared" si="57"/>
        <v>1</v>
      </c>
      <c r="D1942" s="20" t="str">
        <f t="shared" si="58"/>
        <v>ABT20191</v>
      </c>
      <c r="E1942" s="2">
        <v>43479</v>
      </c>
      <c r="F1942" s="3">
        <v>0.32</v>
      </c>
      <c r="G1942" s="2">
        <v>43511</v>
      </c>
      <c r="H1942" s="3">
        <v>1.8499999999999999E-2</v>
      </c>
      <c r="I1942" s="3">
        <v>0.14285714299999999</v>
      </c>
      <c r="J1942" s="3">
        <v>0.04</v>
      </c>
      <c r="K1942" s="3">
        <f t="shared" si="59"/>
        <v>0</v>
      </c>
      <c r="L1942" s="3">
        <f t="shared" si="60"/>
        <v>2019</v>
      </c>
      <c r="M1942" s="20" t="str">
        <f>A1942&amp;L1942</f>
        <v>ABT2019</v>
      </c>
      <c r="N1942" s="3">
        <f>F1942</f>
        <v>0.32</v>
      </c>
      <c r="O1942" s="9">
        <f>H1942</f>
        <v>1.8499999999999999E-2</v>
      </c>
      <c r="P1942" s="10">
        <f t="shared" si="61"/>
        <v>1.7999999999999999E-2</v>
      </c>
      <c r="Q1942" s="10">
        <f>IF(K1942=0,IF(A1939=A1942,AVERAGE(O1939:O1942),"x"),0)</f>
        <v>1.6424999999999999E-2</v>
      </c>
      <c r="R1942" s="9">
        <f>IF(L1942&gt;2005,AVERAGE(O1939:O1958),0)</f>
        <v>2.0499999999999997E-2</v>
      </c>
      <c r="S1942" s="10">
        <f>IF(A1942=A1943,(N1942-N1943)/N1943,0)</f>
        <v>0.14285714285714277</v>
      </c>
      <c r="T1942" s="10">
        <f>IF(L1942&gt;2005,(((N1942-N1962)/N1962)+1)^(1/5)-1,0)</f>
        <v>7.7818067712725814E-2</v>
      </c>
      <c r="U1942" s="10">
        <f t="shared" si="62"/>
        <v>9.8318067712725804E-2</v>
      </c>
      <c r="V1942" s="26">
        <f t="shared" si="63"/>
        <v>4.7268972187872373</v>
      </c>
      <c r="W1942" s="3">
        <f>IF(A1942=A1943,N1942-N1943,0)</f>
        <v>3.999999999999998E-2</v>
      </c>
      <c r="X1942" s="10">
        <f>IF(A1942=A1943,(N1942-N1943)/N1943,0)</f>
        <v>0.14285714285714277</v>
      </c>
    </row>
    <row r="1943" spans="1:24" ht="16.5" customHeight="1">
      <c r="A1943" s="3" t="s">
        <v>45</v>
      </c>
      <c r="B1943" s="3">
        <f t="shared" si="56"/>
        <v>2018</v>
      </c>
      <c r="C1943" s="3">
        <f t="shared" si="57"/>
        <v>10</v>
      </c>
      <c r="D1943" s="20" t="str">
        <f t="shared" si="58"/>
        <v>ABT201810</v>
      </c>
      <c r="E1943" s="2">
        <v>43385</v>
      </c>
      <c r="F1943" s="3">
        <v>0.28000000000000003</v>
      </c>
      <c r="G1943" s="2">
        <v>43419</v>
      </c>
      <c r="H1943" s="3">
        <v>1.6400000000000001E-2</v>
      </c>
      <c r="I1943" s="3">
        <v>0</v>
      </c>
      <c r="J1943" s="3">
        <v>0</v>
      </c>
      <c r="K1943" s="3">
        <f t="shared" si="59"/>
        <v>2018</v>
      </c>
      <c r="L1943" s="3">
        <f t="shared" si="60"/>
        <v>0</v>
      </c>
      <c r="M1943" s="20" t="str">
        <f>A1943&amp;L1943</f>
        <v>ABT0</v>
      </c>
      <c r="N1943" s="3">
        <f>F1943</f>
        <v>0.28000000000000003</v>
      </c>
      <c r="O1943" s="9">
        <f>H1943</f>
        <v>1.6400000000000001E-2</v>
      </c>
      <c r="P1943" s="10">
        <f t="shared" si="61"/>
        <v>0</v>
      </c>
      <c r="Q1943" s="10">
        <f>IF(K1943=0,IF(A1940=A1943,AVERAGE(O1940:O1943),"x"),0)</f>
        <v>0</v>
      </c>
      <c r="R1943" s="9">
        <f>IF(L1943&gt;2005,AVERAGE(O1940:O1959),0)</f>
        <v>0</v>
      </c>
      <c r="S1943" s="10">
        <f>IF(A1943=A1944,(N1943-N1944)/N1944,0)</f>
        <v>0</v>
      </c>
      <c r="T1943" s="10">
        <f>IF(L1943&gt;2005,(((N1943-N1963)/N1963)+1)^(1/5)-1,0)</f>
        <v>0</v>
      </c>
      <c r="U1943" s="10">
        <f t="shared" si="62"/>
        <v>0</v>
      </c>
      <c r="V1943" s="26">
        <f t="shared" si="63"/>
        <v>0</v>
      </c>
      <c r="W1943" s="3">
        <f>IF(A1943=A1944,N1943-N1944,0)</f>
        <v>0</v>
      </c>
      <c r="X1943" s="10">
        <f>IF(A1943=A1944,(N1943-N1944)/N1944,0)</f>
        <v>0</v>
      </c>
    </row>
    <row r="1944" spans="1:24" ht="16.5" customHeight="1">
      <c r="A1944" s="3" t="s">
        <v>45</v>
      </c>
      <c r="B1944" s="3">
        <f t="shared" si="56"/>
        <v>2018</v>
      </c>
      <c r="C1944" s="3">
        <f t="shared" si="57"/>
        <v>7</v>
      </c>
      <c r="D1944" s="20" t="str">
        <f t="shared" si="58"/>
        <v>ABT20187</v>
      </c>
      <c r="E1944" s="2">
        <v>43293</v>
      </c>
      <c r="F1944" s="3">
        <v>0.28000000000000003</v>
      </c>
      <c r="G1944" s="2">
        <v>43327</v>
      </c>
      <c r="H1944" s="3">
        <v>1.7899999999999999E-2</v>
      </c>
      <c r="I1944" s="3">
        <v>0</v>
      </c>
      <c r="J1944" s="3">
        <v>0</v>
      </c>
      <c r="K1944" s="3">
        <f t="shared" si="59"/>
        <v>2018</v>
      </c>
      <c r="L1944" s="3">
        <f t="shared" si="60"/>
        <v>0</v>
      </c>
      <c r="M1944" s="20" t="str">
        <f>A1944&amp;L1944</f>
        <v>ABT0</v>
      </c>
      <c r="N1944" s="3">
        <f>F1944</f>
        <v>0.28000000000000003</v>
      </c>
      <c r="O1944" s="9">
        <f>H1944</f>
        <v>1.7899999999999999E-2</v>
      </c>
      <c r="P1944" s="10">
        <f t="shared" si="61"/>
        <v>0</v>
      </c>
      <c r="Q1944" s="10">
        <f>IF(K1944=0,IF(A1941=A1944,AVERAGE(O1941:O1944),"x"),0)</f>
        <v>0</v>
      </c>
      <c r="R1944" s="9">
        <f>IF(L1944&gt;2005,AVERAGE(O1941:O1960),0)</f>
        <v>0</v>
      </c>
      <c r="S1944" s="10">
        <f>IF(A1944=A1945,(N1944-N1945)/N1945,0)</f>
        <v>0</v>
      </c>
      <c r="T1944" s="10">
        <f>IF(L1944&gt;2005,(((N1944-N1964)/N1964)+1)^(1/5)-1,0)</f>
        <v>0</v>
      </c>
      <c r="U1944" s="10">
        <f t="shared" si="62"/>
        <v>0</v>
      </c>
      <c r="V1944" s="26">
        <f t="shared" si="63"/>
        <v>0</v>
      </c>
      <c r="W1944" s="3">
        <f>IF(A1944=A1945,N1944-N1945,0)</f>
        <v>0</v>
      </c>
      <c r="X1944" s="10">
        <f>IF(A1944=A1945,(N1944-N1945)/N1945,0)</f>
        <v>0</v>
      </c>
    </row>
    <row r="1945" spans="1:24" ht="16.5" customHeight="1">
      <c r="A1945" s="3" t="s">
        <v>45</v>
      </c>
      <c r="B1945" s="3">
        <f t="shared" si="56"/>
        <v>2018</v>
      </c>
      <c r="C1945" s="3">
        <f t="shared" si="57"/>
        <v>4</v>
      </c>
      <c r="D1945" s="20" t="str">
        <f t="shared" si="58"/>
        <v>ABT20184</v>
      </c>
      <c r="E1945" s="2">
        <v>43202</v>
      </c>
      <c r="F1945" s="3">
        <v>0.28000000000000003</v>
      </c>
      <c r="G1945" s="2">
        <v>43235</v>
      </c>
      <c r="H1945" s="3">
        <v>1.9199999999999998E-2</v>
      </c>
      <c r="I1945" s="3">
        <v>0</v>
      </c>
      <c r="J1945" s="3">
        <v>0</v>
      </c>
      <c r="K1945" s="3">
        <f t="shared" si="59"/>
        <v>2018</v>
      </c>
      <c r="L1945" s="3">
        <f t="shared" si="60"/>
        <v>0</v>
      </c>
      <c r="M1945" s="20" t="str">
        <f>A1945&amp;L1945</f>
        <v>ABT0</v>
      </c>
      <c r="N1945" s="3">
        <f>F1945</f>
        <v>0.28000000000000003</v>
      </c>
      <c r="O1945" s="9">
        <f>H1945</f>
        <v>1.9199999999999998E-2</v>
      </c>
      <c r="P1945" s="10">
        <f t="shared" si="61"/>
        <v>0</v>
      </c>
      <c r="Q1945" s="10">
        <f>IF(K1945=0,IF(A1942=A1945,AVERAGE(O1942:O1945),"x"),0)</f>
        <v>0</v>
      </c>
      <c r="R1945" s="9">
        <f>IF(L1945&gt;2005,AVERAGE(O1942:O1961),0)</f>
        <v>0</v>
      </c>
      <c r="S1945" s="10">
        <f>IF(A1945=A1946,(N1945-N1946)/N1946,0)</f>
        <v>0</v>
      </c>
      <c r="T1945" s="10">
        <f>IF(L1945&gt;2005,(((N1945-N1965)/N1965)+1)^(1/5)-1,0)</f>
        <v>0</v>
      </c>
      <c r="U1945" s="10">
        <f t="shared" si="62"/>
        <v>0</v>
      </c>
      <c r="V1945" s="26">
        <f t="shared" si="63"/>
        <v>0</v>
      </c>
      <c r="W1945" s="3">
        <f>IF(A1945=A1946,N1945-N1946,0)</f>
        <v>0</v>
      </c>
      <c r="X1945" s="10">
        <f>IF(A1945=A1946,(N1945-N1946)/N1946,0)</f>
        <v>0</v>
      </c>
    </row>
    <row r="1946" spans="1:24" ht="16.5" customHeight="1">
      <c r="A1946" s="3" t="s">
        <v>45</v>
      </c>
      <c r="B1946" s="3">
        <f t="shared" si="56"/>
        <v>2018</v>
      </c>
      <c r="C1946" s="3">
        <f t="shared" si="57"/>
        <v>1</v>
      </c>
      <c r="D1946" s="20" t="str">
        <f t="shared" si="58"/>
        <v>ABT20181</v>
      </c>
      <c r="E1946" s="2">
        <v>43111</v>
      </c>
      <c r="F1946" s="3">
        <v>0.28000000000000003</v>
      </c>
      <c r="G1946" s="2">
        <v>43146</v>
      </c>
      <c r="H1946" s="3">
        <v>1.9E-2</v>
      </c>
      <c r="I1946" s="3">
        <v>5.6603774000000003E-2</v>
      </c>
      <c r="J1946" s="3">
        <v>1.4999999999999999E-2</v>
      </c>
      <c r="K1946" s="3">
        <f t="shared" si="59"/>
        <v>0</v>
      </c>
      <c r="L1946" s="3">
        <f t="shared" si="60"/>
        <v>2018</v>
      </c>
      <c r="M1946" s="20" t="str">
        <f>A1946&amp;L1946</f>
        <v>ABT2018</v>
      </c>
      <c r="N1946" s="3">
        <f>F1946</f>
        <v>0.28000000000000003</v>
      </c>
      <c r="O1946" s="9">
        <f>H1946</f>
        <v>1.9E-2</v>
      </c>
      <c r="P1946" s="10">
        <f t="shared" si="61"/>
        <v>2.12E-2</v>
      </c>
      <c r="Q1946" s="10">
        <f>IF(K1946=0,IF(A1943=A1946,AVERAGE(O1943:O1946),"x"),0)</f>
        <v>1.8124999999999999E-2</v>
      </c>
      <c r="R1946" s="9">
        <f>IF(L1946&gt;2005,AVERAGE(O1943:O1962),0)</f>
        <v>2.1014999999999995E-2</v>
      </c>
      <c r="S1946" s="10">
        <f>IF(A1946=A1947,(N1946-N1947)/N1947,0)</f>
        <v>5.660377358490571E-2</v>
      </c>
      <c r="T1946" s="10">
        <f>IF(L1946&gt;2005,(((N1946-N1966)/N1966)+1)^(1/5)-1,0)</f>
        <v>0.1486983549970351</v>
      </c>
      <c r="U1946" s="10">
        <f t="shared" si="62"/>
        <v>0.1697133549970351</v>
      </c>
      <c r="V1946" s="26">
        <f t="shared" si="63"/>
        <v>4.7368800383143572</v>
      </c>
      <c r="W1946" s="3">
        <f>IF(A1946=A1947,N1946-N1947,0)</f>
        <v>1.5000000000000013E-2</v>
      </c>
      <c r="X1946" s="10">
        <f>IF(A1946=A1947,(N1946-N1947)/N1947,0)</f>
        <v>5.660377358490571E-2</v>
      </c>
    </row>
    <row r="1947" spans="1:24" ht="16.5" customHeight="1">
      <c r="A1947" s="3" t="s">
        <v>45</v>
      </c>
      <c r="B1947" s="3">
        <f t="shared" si="56"/>
        <v>2017</v>
      </c>
      <c r="C1947" s="3">
        <f t="shared" si="57"/>
        <v>10</v>
      </c>
      <c r="D1947" s="20" t="str">
        <f t="shared" si="58"/>
        <v>ABT201710</v>
      </c>
      <c r="E1947" s="2">
        <v>43020</v>
      </c>
      <c r="F1947" s="3">
        <v>0.26500000000000001</v>
      </c>
      <c r="G1947" s="2">
        <v>43054</v>
      </c>
      <c r="H1947" s="3">
        <v>1.95E-2</v>
      </c>
      <c r="I1947" s="3">
        <v>0</v>
      </c>
      <c r="J1947" s="3">
        <v>0</v>
      </c>
      <c r="K1947" s="3">
        <f t="shared" si="59"/>
        <v>2017</v>
      </c>
      <c r="L1947" s="3">
        <f t="shared" si="60"/>
        <v>0</v>
      </c>
      <c r="M1947" s="20" t="str">
        <f>A1947&amp;L1947</f>
        <v>ABT0</v>
      </c>
      <c r="N1947" s="3">
        <f>F1947</f>
        <v>0.26500000000000001</v>
      </c>
      <c r="O1947" s="9">
        <f>H1947</f>
        <v>1.95E-2</v>
      </c>
      <c r="P1947" s="10">
        <f t="shared" si="61"/>
        <v>0</v>
      </c>
      <c r="Q1947" s="10">
        <f>IF(K1947=0,IF(A1944=A1947,AVERAGE(O1944:O1947),"x"),0)</f>
        <v>0</v>
      </c>
      <c r="R1947" s="9">
        <f>IF(L1947&gt;2005,AVERAGE(O1944:O1963),0)</f>
        <v>0</v>
      </c>
      <c r="S1947" s="10">
        <f>IF(A1947=A1948,(N1947-N1948)/N1948,0)</f>
        <v>0</v>
      </c>
      <c r="T1947" s="10">
        <f>IF(L1947&gt;2005,(((N1947-N1967)/N1967)+1)^(1/5)-1,0)</f>
        <v>0</v>
      </c>
      <c r="U1947" s="10">
        <f t="shared" si="62"/>
        <v>0</v>
      </c>
      <c r="V1947" s="26">
        <f t="shared" si="63"/>
        <v>0</v>
      </c>
      <c r="W1947" s="3">
        <f>IF(A1947=A1948,N1947-N1948,0)</f>
        <v>0</v>
      </c>
      <c r="X1947" s="10">
        <f>IF(A1947=A1948,(N1947-N1948)/N1948,0)</f>
        <v>0</v>
      </c>
    </row>
    <row r="1948" spans="1:24" ht="16.5" customHeight="1">
      <c r="A1948" s="3" t="s">
        <v>45</v>
      </c>
      <c r="B1948" s="3">
        <f t="shared" si="56"/>
        <v>2017</v>
      </c>
      <c r="C1948" s="3">
        <f t="shared" si="57"/>
        <v>7</v>
      </c>
      <c r="D1948" s="20" t="str">
        <f t="shared" si="58"/>
        <v>ABT20177</v>
      </c>
      <c r="E1948" s="2">
        <v>42928</v>
      </c>
      <c r="F1948" s="3">
        <v>0.26500000000000001</v>
      </c>
      <c r="G1948" s="2">
        <v>42962</v>
      </c>
      <c r="H1948" s="3">
        <v>2.1999999999999999E-2</v>
      </c>
      <c r="I1948" s="3">
        <v>0</v>
      </c>
      <c r="J1948" s="3">
        <v>0</v>
      </c>
      <c r="K1948" s="3">
        <f t="shared" si="59"/>
        <v>2017</v>
      </c>
      <c r="L1948" s="3">
        <f t="shared" si="60"/>
        <v>0</v>
      </c>
      <c r="M1948" s="20" t="str">
        <f>A1948&amp;L1948</f>
        <v>ABT0</v>
      </c>
      <c r="N1948" s="3">
        <f>F1948</f>
        <v>0.26500000000000001</v>
      </c>
      <c r="O1948" s="9">
        <f>H1948</f>
        <v>2.1999999999999999E-2</v>
      </c>
      <c r="P1948" s="10">
        <f t="shared" si="61"/>
        <v>0</v>
      </c>
      <c r="Q1948" s="10">
        <f>IF(K1948=0,IF(A1945=A1948,AVERAGE(O1945:O1948),"x"),0)</f>
        <v>0</v>
      </c>
      <c r="R1948" s="9">
        <f>IF(L1948&gt;2005,AVERAGE(O1945:O1964),0)</f>
        <v>0</v>
      </c>
      <c r="S1948" s="10">
        <f>IF(A1948=A1949,(N1948-N1949)/N1949,0)</f>
        <v>0</v>
      </c>
      <c r="T1948" s="10">
        <f>IF(L1948&gt;2005,(((N1948-N1968)/N1968)+1)^(1/5)-1,0)</f>
        <v>0</v>
      </c>
      <c r="U1948" s="10">
        <f t="shared" si="62"/>
        <v>0</v>
      </c>
      <c r="V1948" s="26">
        <f t="shared" si="63"/>
        <v>0</v>
      </c>
      <c r="W1948" s="3">
        <f>IF(A1948=A1949,N1948-N1949,0)</f>
        <v>0</v>
      </c>
      <c r="X1948" s="10">
        <f>IF(A1948=A1949,(N1948-N1949)/N1949,0)</f>
        <v>0</v>
      </c>
    </row>
    <row r="1949" spans="1:24" ht="16.5" customHeight="1">
      <c r="A1949" s="3" t="s">
        <v>45</v>
      </c>
      <c r="B1949" s="3">
        <f t="shared" si="56"/>
        <v>2017</v>
      </c>
      <c r="C1949" s="3">
        <f t="shared" si="57"/>
        <v>4</v>
      </c>
      <c r="D1949" s="20" t="str">
        <f t="shared" si="58"/>
        <v>ABT20174</v>
      </c>
      <c r="E1949" s="2">
        <v>42836</v>
      </c>
      <c r="F1949" s="3">
        <v>0.26500000000000001</v>
      </c>
      <c r="G1949" s="2">
        <v>42870</v>
      </c>
      <c r="H1949" s="3">
        <v>2.4299999999999999E-2</v>
      </c>
      <c r="I1949" s="3">
        <v>0</v>
      </c>
      <c r="J1949" s="3">
        <v>0</v>
      </c>
      <c r="K1949" s="3">
        <f t="shared" si="59"/>
        <v>2017</v>
      </c>
      <c r="L1949" s="3">
        <f t="shared" si="60"/>
        <v>0</v>
      </c>
      <c r="M1949" s="20" t="str">
        <f>A1949&amp;L1949</f>
        <v>ABT0</v>
      </c>
      <c r="N1949" s="3">
        <f>F1949</f>
        <v>0.26500000000000001</v>
      </c>
      <c r="O1949" s="9">
        <f>H1949</f>
        <v>2.4299999999999999E-2</v>
      </c>
      <c r="P1949" s="10">
        <f t="shared" si="61"/>
        <v>0</v>
      </c>
      <c r="Q1949" s="10">
        <f>IF(K1949=0,IF(A1946=A1949,AVERAGE(O1946:O1949),"x"),0)</f>
        <v>0</v>
      </c>
      <c r="R1949" s="9">
        <f>IF(L1949&gt;2005,AVERAGE(O1946:O1965),0)</f>
        <v>0</v>
      </c>
      <c r="S1949" s="10">
        <f>IF(A1949=A1950,(N1949-N1950)/N1950,0)</f>
        <v>0</v>
      </c>
      <c r="T1949" s="10">
        <f>IF(L1949&gt;2005,(((N1949-N1969)/N1969)+1)^(1/5)-1,0)</f>
        <v>0</v>
      </c>
      <c r="U1949" s="10">
        <f t="shared" si="62"/>
        <v>0</v>
      </c>
      <c r="V1949" s="26">
        <f t="shared" si="63"/>
        <v>0</v>
      </c>
      <c r="W1949" s="3">
        <f>IF(A1949=A1950,N1949-N1950,0)</f>
        <v>0</v>
      </c>
      <c r="X1949" s="10">
        <f>IF(A1949=A1950,(N1949-N1950)/N1950,0)</f>
        <v>0</v>
      </c>
    </row>
    <row r="1950" spans="1:24" ht="16.5" customHeight="1">
      <c r="A1950" s="3" t="s">
        <v>45</v>
      </c>
      <c r="B1950" s="3">
        <f t="shared" si="56"/>
        <v>2017</v>
      </c>
      <c r="C1950" s="3">
        <f t="shared" si="57"/>
        <v>1</v>
      </c>
      <c r="D1950" s="20" t="str">
        <f t="shared" si="58"/>
        <v>ABT20171</v>
      </c>
      <c r="E1950" s="2">
        <v>42746</v>
      </c>
      <c r="F1950" s="3">
        <v>0.26500000000000001</v>
      </c>
      <c r="G1950" s="2">
        <v>42781</v>
      </c>
      <c r="H1950" s="3">
        <v>2.5700000000000001E-2</v>
      </c>
      <c r="I1950" s="3">
        <v>1.9230769000000002E-2</v>
      </c>
      <c r="J1950" s="3">
        <v>5.0000000000000001E-3</v>
      </c>
      <c r="K1950" s="3">
        <f t="shared" si="59"/>
        <v>0</v>
      </c>
      <c r="L1950" s="3">
        <f t="shared" si="60"/>
        <v>2017</v>
      </c>
      <c r="M1950" s="20" t="str">
        <f>A1950&amp;L1950</f>
        <v>ABT2017</v>
      </c>
      <c r="N1950" s="3">
        <f>F1950</f>
        <v>0.26500000000000001</v>
      </c>
      <c r="O1950" s="9">
        <f>H1950</f>
        <v>2.5700000000000001E-2</v>
      </c>
      <c r="P1950" s="10">
        <f t="shared" si="61"/>
        <v>2.4950000000000003E-2</v>
      </c>
      <c r="Q1950" s="10">
        <f>IF(K1950=0,IF(A1947=A1950,AVERAGE(O1947:O1950),"x"),0)</f>
        <v>2.2875E-2</v>
      </c>
      <c r="R1950" s="9">
        <f>IF(L1950&gt;2005,AVERAGE(O1947:O1966),0)</f>
        <v>2.3110000000000002E-2</v>
      </c>
      <c r="S1950" s="10">
        <f>IF(A1950=A1951,(N1950-N1951)/N1951,0)</f>
        <v>1.9230769230769246E-2</v>
      </c>
      <c r="T1950" s="10">
        <f>IF(L1950&gt;2005,(((N1950-N1970)/N1970)+1)^(1/5)-1,0)</f>
        <v>0.17169054553092655</v>
      </c>
      <c r="U1950" s="10">
        <f t="shared" si="62"/>
        <v>0.19480054553092654</v>
      </c>
      <c r="V1950" s="26">
        <f t="shared" si="63"/>
        <v>4.7172425540550336</v>
      </c>
      <c r="W1950" s="3">
        <f>IF(A1950=A1951,N1950-N1951,0)</f>
        <v>5.0000000000000044E-3</v>
      </c>
      <c r="X1950" s="10">
        <f>IF(A1950=A1951,(N1950-N1951)/N1951,0)</f>
        <v>1.9230769230769246E-2</v>
      </c>
    </row>
    <row r="1951" spans="1:24" ht="16.5" customHeight="1">
      <c r="A1951" s="3" t="s">
        <v>45</v>
      </c>
      <c r="B1951" s="3">
        <f t="shared" si="56"/>
        <v>2016</v>
      </c>
      <c r="C1951" s="3">
        <f t="shared" si="57"/>
        <v>10</v>
      </c>
      <c r="D1951" s="20" t="str">
        <f t="shared" si="58"/>
        <v>ABT201610</v>
      </c>
      <c r="E1951" s="2">
        <v>42655</v>
      </c>
      <c r="F1951" s="3">
        <v>0.26</v>
      </c>
      <c r="G1951" s="2">
        <v>42689</v>
      </c>
      <c r="H1951" s="3">
        <v>2.53E-2</v>
      </c>
      <c r="I1951" s="3">
        <v>0</v>
      </c>
      <c r="J1951" s="3">
        <v>0</v>
      </c>
      <c r="K1951" s="3">
        <f t="shared" si="59"/>
        <v>2016</v>
      </c>
      <c r="L1951" s="3">
        <f t="shared" si="60"/>
        <v>0</v>
      </c>
      <c r="M1951" s="20" t="str">
        <f>A1951&amp;L1951</f>
        <v>ABT0</v>
      </c>
      <c r="N1951" s="3">
        <f>F1951</f>
        <v>0.26</v>
      </c>
      <c r="O1951" s="9">
        <f>H1951</f>
        <v>2.53E-2</v>
      </c>
      <c r="P1951" s="10">
        <f t="shared" si="61"/>
        <v>0</v>
      </c>
      <c r="Q1951" s="10">
        <f>IF(K1951=0,IF(A1948=A1951,AVERAGE(O1948:O1951),"x"),0)</f>
        <v>0</v>
      </c>
      <c r="R1951" s="9">
        <f>IF(L1951&gt;2005,AVERAGE(O1948:O1967),0)</f>
        <v>0</v>
      </c>
      <c r="S1951" s="10">
        <f>IF(A1951=A1952,(N1951-N1952)/N1952,0)</f>
        <v>0</v>
      </c>
      <c r="T1951" s="10">
        <f>IF(L1951&gt;2005,(((N1951-N1971)/N1971)+1)^(1/5)-1,0)</f>
        <v>0</v>
      </c>
      <c r="U1951" s="10">
        <f t="shared" si="62"/>
        <v>0</v>
      </c>
      <c r="V1951" s="26">
        <f t="shared" si="63"/>
        <v>0</v>
      </c>
      <c r="W1951" s="3">
        <f>IF(A1951=A1952,N1951-N1952,0)</f>
        <v>0</v>
      </c>
      <c r="X1951" s="10">
        <f>IF(A1951=A1952,(N1951-N1952)/N1952,0)</f>
        <v>0</v>
      </c>
    </row>
    <row r="1952" spans="1:24" ht="16.5" customHeight="1">
      <c r="A1952" s="3" t="s">
        <v>45</v>
      </c>
      <c r="B1952" s="3">
        <f t="shared" si="56"/>
        <v>2016</v>
      </c>
      <c r="C1952" s="3">
        <f t="shared" si="57"/>
        <v>7</v>
      </c>
      <c r="D1952" s="20" t="str">
        <f t="shared" si="58"/>
        <v>ABT20167</v>
      </c>
      <c r="E1952" s="2">
        <v>42564</v>
      </c>
      <c r="F1952" s="3">
        <v>0.26</v>
      </c>
      <c r="G1952" s="2">
        <v>42597</v>
      </c>
      <c r="H1952" s="3">
        <v>2.4500000000000001E-2</v>
      </c>
      <c r="I1952" s="3">
        <v>0</v>
      </c>
      <c r="J1952" s="3">
        <v>0</v>
      </c>
      <c r="K1952" s="3">
        <f t="shared" si="59"/>
        <v>2016</v>
      </c>
      <c r="L1952" s="3">
        <f t="shared" si="60"/>
        <v>0</v>
      </c>
      <c r="M1952" s="20" t="str">
        <f>A1952&amp;L1952</f>
        <v>ABT0</v>
      </c>
      <c r="N1952" s="3">
        <f>F1952</f>
        <v>0.26</v>
      </c>
      <c r="O1952" s="9">
        <f>H1952</f>
        <v>2.4500000000000001E-2</v>
      </c>
      <c r="P1952" s="10">
        <f t="shared" si="61"/>
        <v>0</v>
      </c>
      <c r="Q1952" s="10">
        <f>IF(K1952=0,IF(A1949=A1952,AVERAGE(O1949:O1952),"x"),0)</f>
        <v>0</v>
      </c>
      <c r="R1952" s="9">
        <f>IF(L1952&gt;2005,AVERAGE(O1949:O1968),0)</f>
        <v>0</v>
      </c>
      <c r="S1952" s="10">
        <f>IF(A1952=A1953,(N1952-N1953)/N1953,0)</f>
        <v>0</v>
      </c>
      <c r="T1952" s="10">
        <f>IF(L1952&gt;2005,(((N1952-N1972)/N1972)+1)^(1/5)-1,0)</f>
        <v>0</v>
      </c>
      <c r="U1952" s="10">
        <f t="shared" si="62"/>
        <v>0</v>
      </c>
      <c r="V1952" s="26">
        <f t="shared" si="63"/>
        <v>0</v>
      </c>
      <c r="W1952" s="3">
        <f>IF(A1952=A1953,N1952-N1953,0)</f>
        <v>0</v>
      </c>
      <c r="X1952" s="10">
        <f>IF(A1952=A1953,(N1952-N1953)/N1953,0)</f>
        <v>0</v>
      </c>
    </row>
    <row r="1953" spans="1:24" ht="16.5" customHeight="1">
      <c r="A1953" s="3" t="s">
        <v>45</v>
      </c>
      <c r="B1953" s="3">
        <f t="shared" si="56"/>
        <v>2016</v>
      </c>
      <c r="C1953" s="3">
        <f t="shared" si="57"/>
        <v>4</v>
      </c>
      <c r="D1953" s="20" t="str">
        <f t="shared" si="58"/>
        <v>ABT20164</v>
      </c>
      <c r="E1953" s="2">
        <v>42473</v>
      </c>
      <c r="F1953" s="3">
        <v>0.26</v>
      </c>
      <c r="G1953" s="2">
        <v>42506</v>
      </c>
      <c r="H1953" s="3">
        <v>2.4299999999999999E-2</v>
      </c>
      <c r="I1953" s="3">
        <v>0</v>
      </c>
      <c r="J1953" s="3">
        <v>0</v>
      </c>
      <c r="K1953" s="3">
        <f t="shared" si="59"/>
        <v>2016</v>
      </c>
      <c r="L1953" s="3">
        <f t="shared" si="60"/>
        <v>0</v>
      </c>
      <c r="M1953" s="20" t="str">
        <f>A1953&amp;L1953</f>
        <v>ABT0</v>
      </c>
      <c r="N1953" s="3">
        <f>F1953</f>
        <v>0.26</v>
      </c>
      <c r="O1953" s="9">
        <f>H1953</f>
        <v>2.4299999999999999E-2</v>
      </c>
      <c r="P1953" s="10">
        <f t="shared" si="61"/>
        <v>0</v>
      </c>
      <c r="Q1953" s="10">
        <f>IF(K1953=0,IF(A1950=A1953,AVERAGE(O1950:O1953),"x"),0)</f>
        <v>0</v>
      </c>
      <c r="R1953" s="9">
        <f>IF(L1953&gt;2005,AVERAGE(O1950:O1969),0)</f>
        <v>0</v>
      </c>
      <c r="S1953" s="10">
        <f>IF(A1953=A1954,(N1953-N1954)/N1954,0)</f>
        <v>0</v>
      </c>
      <c r="T1953" s="10">
        <f>IF(L1953&gt;2005,(((N1953-N1973)/N1973)+1)^(1/5)-1,0)</f>
        <v>0</v>
      </c>
      <c r="U1953" s="10">
        <f t="shared" si="62"/>
        <v>0</v>
      </c>
      <c r="V1953" s="26">
        <f t="shared" si="63"/>
        <v>0</v>
      </c>
      <c r="W1953" s="3">
        <f>IF(A1953=A1954,N1953-N1954,0)</f>
        <v>0</v>
      </c>
      <c r="X1953" s="10">
        <f>IF(A1953=A1954,(N1953-N1954)/N1954,0)</f>
        <v>0</v>
      </c>
    </row>
    <row r="1954" spans="1:24" ht="16.5" customHeight="1">
      <c r="A1954" s="3" t="s">
        <v>45</v>
      </c>
      <c r="B1954" s="3">
        <f t="shared" si="56"/>
        <v>2016</v>
      </c>
      <c r="C1954" s="3">
        <f t="shared" si="57"/>
        <v>1</v>
      </c>
      <c r="D1954" s="20" t="str">
        <f t="shared" si="58"/>
        <v>ABT20161</v>
      </c>
      <c r="E1954" s="2">
        <v>42382</v>
      </c>
      <c r="F1954" s="3">
        <v>0.26</v>
      </c>
      <c r="G1954" s="2">
        <v>42416</v>
      </c>
      <c r="H1954" s="3">
        <v>2.5100000000000001E-2</v>
      </c>
      <c r="I1954" s="3">
        <v>8.3333332999999996E-2</v>
      </c>
      <c r="J1954" s="3">
        <v>0.02</v>
      </c>
      <c r="K1954" s="3">
        <f t="shared" si="59"/>
        <v>0</v>
      </c>
      <c r="L1954" s="3">
        <f t="shared" si="60"/>
        <v>2016</v>
      </c>
      <c r="M1954" s="20" t="str">
        <f>A1954&amp;L1954</f>
        <v>ABT2016</v>
      </c>
      <c r="N1954" s="3">
        <f>F1954</f>
        <v>0.26</v>
      </c>
      <c r="O1954" s="9">
        <f>H1954</f>
        <v>2.5100000000000001E-2</v>
      </c>
      <c r="P1954" s="10">
        <f t="shared" si="61"/>
        <v>2.1625000000000002E-2</v>
      </c>
      <c r="Q1954" s="10">
        <f>IF(K1954=0,IF(A1951=A1954,AVERAGE(O1951:O1954),"x"),0)</f>
        <v>2.4799999999999999E-2</v>
      </c>
      <c r="R1954" s="9">
        <f>IF(L1954&gt;2005,AVERAGE(O1951:O1970),0)</f>
        <v>2.4805000000000004E-2</v>
      </c>
      <c r="S1954" s="10">
        <f>IF(A1954=A1955,(N1954-N1955)/N1955,0)</f>
        <v>8.3333333333333412E-2</v>
      </c>
      <c r="T1954" s="10">
        <f>IF(L1954&gt;2005,(((N1954-N1974)/N1974)+1)^(1/5)-1,0)</f>
        <v>0.18772564182493778</v>
      </c>
      <c r="U1954" s="10">
        <f t="shared" si="62"/>
        <v>0.21253064182493778</v>
      </c>
      <c r="V1954" s="26">
        <f t="shared" si="63"/>
        <v>4.7013843561222641</v>
      </c>
      <c r="W1954" s="3">
        <f>IF(A1954=A1955,N1954-N1955,0)</f>
        <v>2.0000000000000018E-2</v>
      </c>
      <c r="X1954" s="10">
        <f>IF(A1954=A1955,(N1954-N1955)/N1955,0)</f>
        <v>8.3333333333333412E-2</v>
      </c>
    </row>
    <row r="1955" spans="1:24" ht="16.5" customHeight="1">
      <c r="A1955" s="3" t="s">
        <v>45</v>
      </c>
      <c r="B1955" s="3">
        <f t="shared" si="56"/>
        <v>2015</v>
      </c>
      <c r="C1955" s="3">
        <f t="shared" si="57"/>
        <v>10</v>
      </c>
      <c r="D1955" s="20" t="str">
        <f t="shared" si="58"/>
        <v>ABT201510</v>
      </c>
      <c r="E1955" s="2">
        <v>42290</v>
      </c>
      <c r="F1955" s="3">
        <v>0.24</v>
      </c>
      <c r="G1955" s="2">
        <v>42323</v>
      </c>
      <c r="H1955" s="3">
        <v>2.3099999999999999E-2</v>
      </c>
      <c r="I1955" s="3">
        <v>0</v>
      </c>
      <c r="J1955" s="3">
        <v>0</v>
      </c>
      <c r="K1955" s="3">
        <f t="shared" si="59"/>
        <v>2015</v>
      </c>
      <c r="L1955" s="3">
        <f t="shared" si="60"/>
        <v>0</v>
      </c>
      <c r="M1955" s="20" t="str">
        <f>A1955&amp;L1955</f>
        <v>ABT0</v>
      </c>
      <c r="N1955" s="3">
        <f>F1955</f>
        <v>0.24</v>
      </c>
      <c r="O1955" s="9">
        <f>H1955</f>
        <v>2.3099999999999999E-2</v>
      </c>
      <c r="P1955" s="10">
        <f t="shared" si="61"/>
        <v>0</v>
      </c>
      <c r="Q1955" s="10">
        <f>IF(K1955=0,IF(A1952=A1955,AVERAGE(O1952:O1955),"x"),0)</f>
        <v>0</v>
      </c>
      <c r="R1955" s="9">
        <f>IF(L1955&gt;2005,AVERAGE(O1952:O1971),0)</f>
        <v>0</v>
      </c>
      <c r="S1955" s="10">
        <f>IF(A1955=A1956,(N1955-N1956)/N1956,0)</f>
        <v>0</v>
      </c>
      <c r="T1955" s="10">
        <f>IF(L1955&gt;2005,(((N1955-N1975)/N1975)+1)^(1/5)-1,0)</f>
        <v>0</v>
      </c>
      <c r="U1955" s="10">
        <f t="shared" si="62"/>
        <v>0</v>
      </c>
      <c r="V1955" s="26">
        <f t="shared" si="63"/>
        <v>0</v>
      </c>
      <c r="W1955" s="3">
        <f>IF(A1955=A1956,N1955-N1956,0)</f>
        <v>0</v>
      </c>
      <c r="X1955" s="10">
        <f>IF(A1955=A1956,(N1955-N1956)/N1956,0)</f>
        <v>0</v>
      </c>
    </row>
    <row r="1956" spans="1:24" ht="16.5" customHeight="1">
      <c r="A1956" s="3" t="s">
        <v>45</v>
      </c>
      <c r="B1956" s="3">
        <f t="shared" si="56"/>
        <v>2015</v>
      </c>
      <c r="C1956" s="3">
        <f t="shared" si="57"/>
        <v>7</v>
      </c>
      <c r="D1956" s="20" t="str">
        <f t="shared" si="58"/>
        <v>ABT20157</v>
      </c>
      <c r="E1956" s="2">
        <v>42198</v>
      </c>
      <c r="F1956" s="3">
        <v>0.24</v>
      </c>
      <c r="G1956" s="2">
        <v>42231</v>
      </c>
      <c r="H1956" s="3">
        <v>1.8800000000000001E-2</v>
      </c>
      <c r="I1956" s="3">
        <v>0</v>
      </c>
      <c r="J1956" s="3">
        <v>0</v>
      </c>
      <c r="K1956" s="3">
        <f t="shared" si="59"/>
        <v>2015</v>
      </c>
      <c r="L1956" s="3">
        <f t="shared" si="60"/>
        <v>0</v>
      </c>
      <c r="M1956" s="20" t="str">
        <f>A1956&amp;L1956</f>
        <v>ABT0</v>
      </c>
      <c r="N1956" s="3">
        <f>F1956</f>
        <v>0.24</v>
      </c>
      <c r="O1956" s="9">
        <f>H1956</f>
        <v>1.8800000000000001E-2</v>
      </c>
      <c r="P1956" s="10">
        <f t="shared" si="61"/>
        <v>0</v>
      </c>
      <c r="Q1956" s="10">
        <f>IF(K1956=0,IF(A1953=A1956,AVERAGE(O1953:O1956),"x"),0)</f>
        <v>0</v>
      </c>
      <c r="R1956" s="9">
        <f>IF(L1956&gt;2005,AVERAGE(O1953:O1972),0)</f>
        <v>0</v>
      </c>
      <c r="S1956" s="10">
        <f>IF(A1956=A1957,(N1956-N1957)/N1957,0)</f>
        <v>0</v>
      </c>
      <c r="T1956" s="10">
        <f>IF(L1956&gt;2005,(((N1956-N1976)/N1976)+1)^(1/5)-1,0)</f>
        <v>0</v>
      </c>
      <c r="U1956" s="10">
        <f t="shared" si="62"/>
        <v>0</v>
      </c>
      <c r="V1956" s="26">
        <f t="shared" si="63"/>
        <v>0</v>
      </c>
      <c r="W1956" s="3">
        <f>IF(A1956=A1957,N1956-N1957,0)</f>
        <v>0</v>
      </c>
      <c r="X1956" s="10">
        <f>IF(A1956=A1957,(N1956-N1957)/N1957,0)</f>
        <v>0</v>
      </c>
    </row>
    <row r="1957" spans="1:24" ht="16.5" customHeight="1">
      <c r="A1957" s="3" t="s">
        <v>45</v>
      </c>
      <c r="B1957" s="3">
        <f t="shared" si="56"/>
        <v>2015</v>
      </c>
      <c r="C1957" s="3">
        <f t="shared" si="57"/>
        <v>4</v>
      </c>
      <c r="D1957" s="20" t="str">
        <f t="shared" si="58"/>
        <v>ABT20154</v>
      </c>
      <c r="E1957" s="2">
        <v>42107</v>
      </c>
      <c r="F1957" s="3">
        <v>0.24</v>
      </c>
      <c r="G1957" s="2">
        <v>42139</v>
      </c>
      <c r="H1957" s="3">
        <v>1.95E-2</v>
      </c>
      <c r="I1957" s="3">
        <v>0</v>
      </c>
      <c r="J1957" s="3">
        <v>0</v>
      </c>
      <c r="K1957" s="3">
        <f t="shared" si="59"/>
        <v>2015</v>
      </c>
      <c r="L1957" s="3">
        <f t="shared" si="60"/>
        <v>0</v>
      </c>
      <c r="M1957" s="20" t="str">
        <f>A1957&amp;L1957</f>
        <v>ABT0</v>
      </c>
      <c r="N1957" s="3">
        <f>F1957</f>
        <v>0.24</v>
      </c>
      <c r="O1957" s="9">
        <f>H1957</f>
        <v>1.95E-2</v>
      </c>
      <c r="P1957" s="10">
        <f t="shared" si="61"/>
        <v>0</v>
      </c>
      <c r="Q1957" s="10">
        <f>IF(K1957=0,IF(A1954=A1957,AVERAGE(O1954:O1957),"x"),0)</f>
        <v>0</v>
      </c>
      <c r="R1957" s="9">
        <f>IF(L1957&gt;2005,AVERAGE(O1954:O1973),0)</f>
        <v>0</v>
      </c>
      <c r="S1957" s="10">
        <f>IF(A1957=A1958,(N1957-N1958)/N1958,0)</f>
        <v>0</v>
      </c>
      <c r="T1957" s="10">
        <f>IF(L1957&gt;2005,(((N1957-N1977)/N1977)+1)^(1/5)-1,0)</f>
        <v>0</v>
      </c>
      <c r="U1957" s="10">
        <f t="shared" si="62"/>
        <v>0</v>
      </c>
      <c r="V1957" s="26">
        <f t="shared" si="63"/>
        <v>0</v>
      </c>
      <c r="W1957" s="3">
        <f>IF(A1957=A1958,N1957-N1958,0)</f>
        <v>0</v>
      </c>
      <c r="X1957" s="10">
        <f>IF(A1957=A1958,(N1957-N1958)/N1958,0)</f>
        <v>0</v>
      </c>
    </row>
    <row r="1958" spans="1:24" ht="16.5" customHeight="1">
      <c r="A1958" s="3" t="s">
        <v>45</v>
      </c>
      <c r="B1958" s="3">
        <f t="shared" si="56"/>
        <v>2015</v>
      </c>
      <c r="C1958" s="3">
        <f t="shared" si="57"/>
        <v>1</v>
      </c>
      <c r="D1958" s="20" t="str">
        <f t="shared" si="58"/>
        <v>ABT20151</v>
      </c>
      <c r="E1958" s="2">
        <v>42017</v>
      </c>
      <c r="F1958" s="3">
        <v>0.24</v>
      </c>
      <c r="G1958" s="2">
        <v>42048</v>
      </c>
      <c r="H1958" s="3">
        <v>1.9699999999999999E-2</v>
      </c>
      <c r="I1958" s="3">
        <v>9.0909090999999997E-2</v>
      </c>
      <c r="J1958" s="3">
        <v>0.02</v>
      </c>
      <c r="K1958" s="3">
        <f t="shared" si="59"/>
        <v>0</v>
      </c>
      <c r="L1958" s="3">
        <f t="shared" si="60"/>
        <v>2015</v>
      </c>
      <c r="M1958" s="20" t="str">
        <f>A1958&amp;L1958</f>
        <v>ABT2015</v>
      </c>
      <c r="N1958" s="3">
        <f>F1958</f>
        <v>0.24</v>
      </c>
      <c r="O1958" s="9">
        <f>H1958</f>
        <v>1.9699999999999999E-2</v>
      </c>
      <c r="P1958" s="10">
        <f t="shared" si="61"/>
        <v>1.9875E-2</v>
      </c>
      <c r="Q1958" s="10">
        <f>IF(K1958=0,IF(A1955=A1958,AVERAGE(O1955:O1958),"x"),0)</f>
        <v>2.0274999999999998E-2</v>
      </c>
      <c r="R1958" s="9">
        <f>IF(L1958&gt;2005,AVERAGE(O1955:O1974),0)</f>
        <v>2.6960000000000005E-2</v>
      </c>
      <c r="S1958" s="10">
        <f>IF(A1958=A1959,(N1958-N1959)/N1959,0)</f>
        <v>9.090909090909087E-2</v>
      </c>
      <c r="T1958" s="10">
        <f>IF(L1958&gt;2005,(((N1958-N1978)/N1978)+1)^(1/5)-1,0)</f>
        <v>0.19135789816709159</v>
      </c>
      <c r="U1958" s="10">
        <f t="shared" si="62"/>
        <v>0.2183178981670916</v>
      </c>
      <c r="V1958" s="26">
        <f t="shared" si="63"/>
        <v>4.6776995592267596</v>
      </c>
      <c r="W1958" s="3">
        <f>IF(A1958=A1959,N1958-N1959,0)</f>
        <v>1.999999999999999E-2</v>
      </c>
      <c r="X1958" s="10">
        <f>IF(A1958=A1959,(N1958-N1959)/N1959,0)</f>
        <v>9.090909090909087E-2</v>
      </c>
    </row>
    <row r="1959" spans="1:24" ht="16.5" customHeight="1">
      <c r="A1959" s="3" t="s">
        <v>45</v>
      </c>
      <c r="B1959" s="3">
        <f t="shared" si="56"/>
        <v>2014</v>
      </c>
      <c r="C1959" s="3">
        <f t="shared" si="57"/>
        <v>10</v>
      </c>
      <c r="D1959" s="20" t="str">
        <f t="shared" si="58"/>
        <v>ABT201410</v>
      </c>
      <c r="E1959" s="2">
        <v>41922</v>
      </c>
      <c r="F1959" s="3">
        <v>0.22</v>
      </c>
      <c r="G1959" s="2">
        <v>41958</v>
      </c>
      <c r="H1959" s="3">
        <v>2.1100000000000001E-2</v>
      </c>
      <c r="I1959" s="3">
        <v>0</v>
      </c>
      <c r="J1959" s="3">
        <v>0</v>
      </c>
      <c r="K1959" s="3">
        <f t="shared" si="59"/>
        <v>2014</v>
      </c>
      <c r="L1959" s="3">
        <f t="shared" si="60"/>
        <v>0</v>
      </c>
      <c r="M1959" s="20" t="str">
        <f>A1959&amp;L1959</f>
        <v>ABT0</v>
      </c>
      <c r="N1959" s="3">
        <f>F1959</f>
        <v>0.22</v>
      </c>
      <c r="O1959" s="9">
        <f>H1959</f>
        <v>2.1100000000000001E-2</v>
      </c>
      <c r="P1959" s="10">
        <f t="shared" si="61"/>
        <v>0</v>
      </c>
      <c r="Q1959" s="10">
        <f>IF(K1959=0,IF(A1956=A1959,AVERAGE(O1956:O1959),"x"),0)</f>
        <v>0</v>
      </c>
      <c r="R1959" s="9">
        <f>IF(L1959&gt;2005,AVERAGE(O1956:O1975),0)</f>
        <v>0</v>
      </c>
      <c r="S1959" s="10">
        <f>IF(A1959=A1960,(N1959-N1960)/N1960,0)</f>
        <v>0</v>
      </c>
      <c r="T1959" s="10">
        <f>IF(L1959&gt;2005,(((N1959-N1979)/N1979)+1)^(1/5)-1,0)</f>
        <v>0</v>
      </c>
      <c r="U1959" s="10">
        <f t="shared" si="62"/>
        <v>0</v>
      </c>
      <c r="V1959" s="26">
        <f t="shared" si="63"/>
        <v>0</v>
      </c>
      <c r="W1959" s="3">
        <f>IF(A1959=A1960,N1959-N1960,0)</f>
        <v>0</v>
      </c>
      <c r="X1959" s="10">
        <f>IF(A1959=A1960,(N1959-N1960)/N1960,0)</f>
        <v>0</v>
      </c>
    </row>
    <row r="1960" spans="1:24" ht="16.5" customHeight="1">
      <c r="A1960" s="3" t="s">
        <v>45</v>
      </c>
      <c r="B1960" s="3">
        <f t="shared" si="56"/>
        <v>2014</v>
      </c>
      <c r="C1960" s="3">
        <f t="shared" si="57"/>
        <v>7</v>
      </c>
      <c r="D1960" s="20" t="str">
        <f t="shared" si="58"/>
        <v>ABT20147</v>
      </c>
      <c r="E1960" s="2">
        <v>41831</v>
      </c>
      <c r="F1960" s="3">
        <v>0.22</v>
      </c>
      <c r="G1960" s="2">
        <v>41866</v>
      </c>
      <c r="H1960" s="3">
        <v>1.9400000000000001E-2</v>
      </c>
      <c r="I1960" s="3">
        <v>0</v>
      </c>
      <c r="J1960" s="3">
        <v>0</v>
      </c>
      <c r="K1960" s="3">
        <f t="shared" si="59"/>
        <v>2014</v>
      </c>
      <c r="L1960" s="3">
        <f t="shared" si="60"/>
        <v>0</v>
      </c>
      <c r="M1960" s="20" t="str">
        <f>A1960&amp;L1960</f>
        <v>ABT0</v>
      </c>
      <c r="N1960" s="3">
        <f>F1960</f>
        <v>0.22</v>
      </c>
      <c r="O1960" s="9">
        <f>H1960</f>
        <v>1.9400000000000001E-2</v>
      </c>
      <c r="P1960" s="10">
        <f t="shared" si="61"/>
        <v>0</v>
      </c>
      <c r="Q1960" s="10">
        <f>IF(K1960=0,IF(A1957=A1960,AVERAGE(O1957:O1960),"x"),0)</f>
        <v>0</v>
      </c>
      <c r="R1960" s="9">
        <f>IF(L1960&gt;2005,AVERAGE(O1957:O1976),0)</f>
        <v>0</v>
      </c>
      <c r="S1960" s="10">
        <f>IF(A1960=A1961,(N1960-N1961)/N1961,0)</f>
        <v>0</v>
      </c>
      <c r="T1960" s="10">
        <f>IF(L1960&gt;2005,(((N1960-N1980)/N1980)+1)^(1/5)-1,0)</f>
        <v>0</v>
      </c>
      <c r="U1960" s="10">
        <f t="shared" si="62"/>
        <v>0</v>
      </c>
      <c r="V1960" s="26">
        <f t="shared" si="63"/>
        <v>0</v>
      </c>
      <c r="W1960" s="3">
        <f>IF(A1960=A1961,N1960-N1961,0)</f>
        <v>0</v>
      </c>
      <c r="X1960" s="10">
        <f>IF(A1960=A1961,(N1960-N1961)/N1961,0)</f>
        <v>0</v>
      </c>
    </row>
    <row r="1961" spans="1:24" ht="16.5" customHeight="1">
      <c r="A1961" s="3" t="s">
        <v>45</v>
      </c>
      <c r="B1961" s="3">
        <f t="shared" si="56"/>
        <v>2014</v>
      </c>
      <c r="C1961" s="3">
        <f t="shared" si="57"/>
        <v>4</v>
      </c>
      <c r="D1961" s="20" t="str">
        <f t="shared" si="58"/>
        <v>ABT20144</v>
      </c>
      <c r="E1961" s="2">
        <v>41740</v>
      </c>
      <c r="F1961" s="3">
        <v>0.22</v>
      </c>
      <c r="G1961" s="2">
        <v>41774</v>
      </c>
      <c r="H1961" s="3">
        <v>1.9300000000000001E-2</v>
      </c>
      <c r="I1961" s="3">
        <v>0</v>
      </c>
      <c r="J1961" s="3">
        <v>0</v>
      </c>
      <c r="K1961" s="3">
        <f t="shared" si="59"/>
        <v>2014</v>
      </c>
      <c r="L1961" s="3">
        <f t="shared" si="60"/>
        <v>0</v>
      </c>
      <c r="M1961" s="20" t="str">
        <f>A1961&amp;L1961</f>
        <v>ABT0</v>
      </c>
      <c r="N1961" s="3">
        <f>F1961</f>
        <v>0.22</v>
      </c>
      <c r="O1961" s="9">
        <f>H1961</f>
        <v>1.9300000000000001E-2</v>
      </c>
      <c r="P1961" s="10">
        <f t="shared" si="61"/>
        <v>0</v>
      </c>
      <c r="Q1961" s="10">
        <f>IF(K1961=0,IF(A1958=A1961,AVERAGE(O1958:O1961),"x"),0)</f>
        <v>0</v>
      </c>
      <c r="R1961" s="9">
        <f>IF(L1961&gt;2005,AVERAGE(O1958:O1977),0)</f>
        <v>0</v>
      </c>
      <c r="S1961" s="10">
        <f>IF(A1961=A1962,(N1961-N1962)/N1962,0)</f>
        <v>0</v>
      </c>
      <c r="T1961" s="10">
        <f>IF(L1961&gt;2005,(((N1961-N1981)/N1981)+1)^(1/5)-1,0)</f>
        <v>0</v>
      </c>
      <c r="U1961" s="10">
        <f t="shared" si="62"/>
        <v>0</v>
      </c>
      <c r="V1961" s="26">
        <f t="shared" si="63"/>
        <v>0</v>
      </c>
      <c r="W1961" s="3">
        <f>IF(A1961=A1962,N1961-N1962,0)</f>
        <v>0</v>
      </c>
      <c r="X1961" s="10">
        <f>IF(A1961=A1962,(N1961-N1962)/N1962,0)</f>
        <v>0</v>
      </c>
    </row>
    <row r="1962" spans="1:24" ht="16.5" customHeight="1">
      <c r="A1962" s="3" t="s">
        <v>45</v>
      </c>
      <c r="B1962" s="3">
        <f t="shared" si="56"/>
        <v>2014</v>
      </c>
      <c r="C1962" s="3">
        <f t="shared" si="57"/>
        <v>1</v>
      </c>
      <c r="D1962" s="20" t="str">
        <f t="shared" si="58"/>
        <v>ABT20141</v>
      </c>
      <c r="E1962" s="2">
        <v>41652</v>
      </c>
      <c r="F1962" s="3">
        <v>0.22</v>
      </c>
      <c r="G1962" s="2">
        <v>41685</v>
      </c>
      <c r="H1962" s="3">
        <v>1.6199999999999999E-2</v>
      </c>
      <c r="I1962" s="3">
        <v>0.571428571</v>
      </c>
      <c r="J1962" s="3">
        <v>0.08</v>
      </c>
      <c r="K1962" s="3">
        <f t="shared" si="59"/>
        <v>0</v>
      </c>
      <c r="L1962" s="3">
        <f t="shared" si="60"/>
        <v>2014</v>
      </c>
      <c r="M1962" s="20" t="str">
        <f>A1962&amp;L1962</f>
        <v>ABT2014</v>
      </c>
      <c r="N1962" s="3">
        <f>F1962</f>
        <v>0.22</v>
      </c>
      <c r="O1962" s="9">
        <f>H1962</f>
        <v>1.6199999999999999E-2</v>
      </c>
      <c r="P1962" s="10">
        <f t="shared" si="61"/>
        <v>2.5499999999999998E-2</v>
      </c>
      <c r="Q1962" s="10">
        <f>IF(K1962=0,IF(A1959=A1962,AVERAGE(O1959:O1962),"x"),0)</f>
        <v>1.9000000000000003E-2</v>
      </c>
      <c r="R1962" s="9">
        <f>IF(L1962&gt;2005,AVERAGE(O1959:O1978),0)</f>
        <v>2.9270000000000001E-2</v>
      </c>
      <c r="S1962" s="10">
        <f>IF(A1962=A1963,(N1962-N1963)/N1963,0)</f>
        <v>0.57142857142857129</v>
      </c>
      <c r="T1962" s="10">
        <f>IF(L1962&gt;2005,(((N1962-N1982)/N1982)+1)^(1/5)-1,0)</f>
        <v>0.19573800863209612</v>
      </c>
      <c r="U1962" s="10">
        <f t="shared" si="62"/>
        <v>0.22500800863209611</v>
      </c>
      <c r="V1962" s="26">
        <f t="shared" si="63"/>
        <v>4.6528097086640754</v>
      </c>
      <c r="W1962" s="3">
        <f>IF(A1962=A1963,N1962-N1963,0)</f>
        <v>7.9999999999999988E-2</v>
      </c>
      <c r="X1962" s="10">
        <f>IF(A1962=A1963,(N1962-N1963)/N1963,0)</f>
        <v>0.57142857142857129</v>
      </c>
    </row>
    <row r="1963" spans="1:24" ht="16.5" customHeight="1">
      <c r="A1963" s="3" t="s">
        <v>45</v>
      </c>
      <c r="B1963" s="3">
        <f t="shared" si="56"/>
        <v>2013</v>
      </c>
      <c r="C1963" s="3">
        <f t="shared" si="57"/>
        <v>10</v>
      </c>
      <c r="D1963" s="20" t="str">
        <f t="shared" si="58"/>
        <v>ABT201310</v>
      </c>
      <c r="E1963" s="2">
        <v>41557</v>
      </c>
      <c r="F1963" s="3">
        <v>0.14000000000000001</v>
      </c>
      <c r="G1963" s="2">
        <v>41593</v>
      </c>
      <c r="H1963" s="3">
        <v>2.86E-2</v>
      </c>
      <c r="I1963" s="3">
        <v>0</v>
      </c>
      <c r="J1963" s="3">
        <v>0</v>
      </c>
      <c r="K1963" s="3">
        <f t="shared" si="59"/>
        <v>2013</v>
      </c>
      <c r="L1963" s="3">
        <f t="shared" si="60"/>
        <v>0</v>
      </c>
      <c r="M1963" s="20" t="str">
        <f>A1963&amp;L1963</f>
        <v>ABT0</v>
      </c>
      <c r="N1963" s="3">
        <f>F1963</f>
        <v>0.14000000000000001</v>
      </c>
      <c r="O1963" s="9">
        <f>H1963</f>
        <v>2.86E-2</v>
      </c>
      <c r="P1963" s="10">
        <f t="shared" si="61"/>
        <v>0</v>
      </c>
      <c r="Q1963" s="10">
        <f>IF(K1963=0,IF(A1960=A1963,AVERAGE(O1960:O1963),"x"),0)</f>
        <v>0</v>
      </c>
      <c r="R1963" s="9">
        <f>IF(L1963&gt;2005,AVERAGE(O1960:O1979),0)</f>
        <v>0</v>
      </c>
      <c r="S1963" s="10">
        <f>IF(A1963=A1964,(N1963-N1964)/N1964,0)</f>
        <v>0</v>
      </c>
      <c r="T1963" s="10">
        <f>IF(L1963&gt;2005,(((N1963-N1983)/N1983)+1)^(1/5)-1,0)</f>
        <v>0</v>
      </c>
      <c r="U1963" s="10">
        <f t="shared" si="62"/>
        <v>0</v>
      </c>
      <c r="V1963" s="26">
        <f t="shared" si="63"/>
        <v>0</v>
      </c>
      <c r="W1963" s="3">
        <f>IF(A1963=A1964,N1963-N1964,0)</f>
        <v>0</v>
      </c>
      <c r="X1963" s="10">
        <f>IF(A1963=A1964,(N1963-N1964)/N1964,0)</f>
        <v>0</v>
      </c>
    </row>
    <row r="1964" spans="1:24" ht="16.5" customHeight="1">
      <c r="A1964" s="3" t="s">
        <v>45</v>
      </c>
      <c r="B1964" s="3">
        <f t="shared" si="56"/>
        <v>2013</v>
      </c>
      <c r="C1964" s="3">
        <f t="shared" si="57"/>
        <v>7</v>
      </c>
      <c r="D1964" s="20" t="str">
        <f t="shared" si="58"/>
        <v>ABT20137</v>
      </c>
      <c r="E1964" s="2">
        <v>41466</v>
      </c>
      <c r="F1964" s="3">
        <v>0.14000000000000001</v>
      </c>
      <c r="G1964" s="2">
        <v>41501</v>
      </c>
      <c r="H1964" s="3">
        <v>2.86E-2</v>
      </c>
      <c r="I1964" s="3">
        <v>0</v>
      </c>
      <c r="J1964" s="3">
        <v>0</v>
      </c>
      <c r="K1964" s="3">
        <f t="shared" si="59"/>
        <v>2013</v>
      </c>
      <c r="L1964" s="3">
        <f t="shared" si="60"/>
        <v>0</v>
      </c>
      <c r="M1964" s="20" t="str">
        <f>A1964&amp;L1964</f>
        <v>ABT0</v>
      </c>
      <c r="N1964" s="3">
        <f>F1964</f>
        <v>0.14000000000000001</v>
      </c>
      <c r="O1964" s="9">
        <f>H1964</f>
        <v>2.86E-2</v>
      </c>
      <c r="P1964" s="10">
        <f t="shared" si="61"/>
        <v>0</v>
      </c>
      <c r="Q1964" s="10">
        <f>IF(K1964=0,IF(A1961=A1964,AVERAGE(O1961:O1964),"x"),0)</f>
        <v>0</v>
      </c>
      <c r="R1964" s="9">
        <f>IF(L1964&gt;2005,AVERAGE(O1961:O1980),0)</f>
        <v>0</v>
      </c>
      <c r="S1964" s="10">
        <f>IF(A1964=A1965,(N1964-N1965)/N1965,0)</f>
        <v>0</v>
      </c>
      <c r="T1964" s="10">
        <f>IF(L1964&gt;2005,(((N1964-N1984)/N1984)+1)^(1/5)-1,0)</f>
        <v>0</v>
      </c>
      <c r="U1964" s="10">
        <f t="shared" si="62"/>
        <v>0</v>
      </c>
      <c r="V1964" s="26">
        <f t="shared" si="63"/>
        <v>0</v>
      </c>
      <c r="W1964" s="3">
        <f>IF(A1964=A1965,N1964-N1965,0)</f>
        <v>0</v>
      </c>
      <c r="X1964" s="10">
        <f>IF(A1964=A1965,(N1964-N1965)/N1965,0)</f>
        <v>0</v>
      </c>
    </row>
    <row r="1965" spans="1:24" ht="16.5" customHeight="1">
      <c r="A1965" s="3" t="s">
        <v>45</v>
      </c>
      <c r="B1965" s="3">
        <f t="shared" si="56"/>
        <v>2013</v>
      </c>
      <c r="C1965" s="3">
        <f t="shared" si="57"/>
        <v>4</v>
      </c>
      <c r="D1965" s="20" t="str">
        <f t="shared" si="58"/>
        <v>ABT20134</v>
      </c>
      <c r="E1965" s="2">
        <v>41375</v>
      </c>
      <c r="F1965" s="3">
        <v>0.14000000000000001</v>
      </c>
      <c r="G1965" s="2">
        <v>41409</v>
      </c>
      <c r="H1965" s="3">
        <v>2.86E-2</v>
      </c>
      <c r="I1965" s="3">
        <v>0</v>
      </c>
      <c r="J1965" s="3">
        <v>0</v>
      </c>
      <c r="K1965" s="3">
        <f t="shared" si="59"/>
        <v>2013</v>
      </c>
      <c r="L1965" s="3">
        <f t="shared" si="60"/>
        <v>0</v>
      </c>
      <c r="M1965" s="20" t="str">
        <f>A1965&amp;L1965</f>
        <v>ABT0</v>
      </c>
      <c r="N1965" s="3">
        <f>F1965</f>
        <v>0.14000000000000001</v>
      </c>
      <c r="O1965" s="9">
        <f>H1965</f>
        <v>2.86E-2</v>
      </c>
      <c r="P1965" s="10">
        <f t="shared" si="61"/>
        <v>0</v>
      </c>
      <c r="Q1965" s="10">
        <f>IF(K1965=0,IF(A1962=A1965,AVERAGE(O1962:O1965),"x"),0)</f>
        <v>0</v>
      </c>
      <c r="R1965" s="9">
        <f>IF(L1965&gt;2005,AVERAGE(O1962:O1981),0)</f>
        <v>0</v>
      </c>
      <c r="S1965" s="10">
        <f>IF(A1965=A1966,(N1965-N1966)/N1966,0)</f>
        <v>0</v>
      </c>
      <c r="T1965" s="10">
        <f>IF(L1965&gt;2005,(((N1965-N1985)/N1985)+1)^(1/5)-1,0)</f>
        <v>0</v>
      </c>
      <c r="U1965" s="10">
        <f t="shared" si="62"/>
        <v>0</v>
      </c>
      <c r="V1965" s="26">
        <f t="shared" si="63"/>
        <v>0</v>
      </c>
      <c r="W1965" s="3">
        <f>IF(A1965=A1966,N1965-N1966,0)</f>
        <v>0</v>
      </c>
      <c r="X1965" s="10">
        <f>IF(A1965=A1966,(N1965-N1966)/N1966,0)</f>
        <v>0</v>
      </c>
    </row>
    <row r="1966" spans="1:24" ht="16.5" customHeight="1">
      <c r="A1966" s="3" t="s">
        <v>45</v>
      </c>
      <c r="B1966" s="3">
        <f t="shared" si="56"/>
        <v>2013</v>
      </c>
      <c r="C1966" s="3">
        <f t="shared" si="57"/>
        <v>1</v>
      </c>
      <c r="D1966" s="20" t="str">
        <f t="shared" si="58"/>
        <v>ABT20131</v>
      </c>
      <c r="E1966" s="2">
        <v>41285</v>
      </c>
      <c r="F1966" s="3">
        <v>0.14000000000000001</v>
      </c>
      <c r="G1966" s="2">
        <v>41320</v>
      </c>
      <c r="H1966" s="3">
        <v>2.86E-2</v>
      </c>
      <c r="I1966" s="3">
        <v>-0.72549019599999998</v>
      </c>
      <c r="J1966" s="3">
        <v>-0.37</v>
      </c>
      <c r="K1966" s="3">
        <f t="shared" si="59"/>
        <v>0</v>
      </c>
      <c r="L1966" s="3">
        <f t="shared" si="60"/>
        <v>2013</v>
      </c>
      <c r="M1966" s="20" t="str">
        <f>A1966&amp;L1966</f>
        <v>ABT2013</v>
      </c>
      <c r="N1966" s="3">
        <f>F1966</f>
        <v>0.14000000000000001</v>
      </c>
      <c r="O1966" s="9">
        <f>H1966</f>
        <v>2.86E-2</v>
      </c>
      <c r="P1966" s="10">
        <f t="shared" si="61"/>
        <v>2.9950000000000001E-2</v>
      </c>
      <c r="Q1966" s="10">
        <f>IF(K1966=0,IF(A1963=A1966,AVERAGE(O1963:O1966),"x"),0)</f>
        <v>2.86E-2</v>
      </c>
      <c r="R1966" s="9">
        <f>IF(L1966&gt;2005,AVERAGE(O1963:O1982),0)</f>
        <v>3.1825000000000006E-2</v>
      </c>
      <c r="S1966" s="10">
        <f>IF(A1966=A1967,(N1966-N1967)/N1967,0)</f>
        <v>9.8039215686274592E-2</v>
      </c>
      <c r="T1966" s="10">
        <f>IF(L1966&gt;2005,(((N1966-N1986)/N1986)+1)^(1/5)-1,0)</f>
        <v>0.11496422620900493</v>
      </c>
      <c r="U1966" s="10">
        <f t="shared" si="62"/>
        <v>0.14678922620900492</v>
      </c>
      <c r="V1966" s="26">
        <f t="shared" si="63"/>
        <v>4.5988148385558638</v>
      </c>
      <c r="W1966" s="3">
        <f>IF(A1966=A1967,N1966-N1967,0)</f>
        <v>1.2500000000000011E-2</v>
      </c>
      <c r="X1966" s="10">
        <f>IF(A1966=A1967,(N1966-N1967)/N1967,0)</f>
        <v>9.8039215686274592E-2</v>
      </c>
    </row>
    <row r="1967" spans="1:24" ht="16.5" customHeight="1">
      <c r="A1967" s="3" t="s">
        <v>45</v>
      </c>
      <c r="B1967" s="3">
        <f t="shared" si="56"/>
        <v>2012</v>
      </c>
      <c r="C1967" s="3">
        <f t="shared" si="57"/>
        <v>10</v>
      </c>
      <c r="D1967" s="20" t="str">
        <f t="shared" si="58"/>
        <v>ABT201210</v>
      </c>
      <c r="E1967" s="2">
        <v>41193</v>
      </c>
      <c r="F1967" s="3">
        <v>0.51</v>
      </c>
      <c r="G1967" s="2">
        <v>41228</v>
      </c>
      <c r="H1967" s="3">
        <v>2.86E-2</v>
      </c>
      <c r="I1967" s="3">
        <v>0</v>
      </c>
      <c r="J1967" s="3">
        <v>0</v>
      </c>
      <c r="K1967" s="3">
        <f t="shared" si="59"/>
        <v>2012</v>
      </c>
      <c r="L1967" s="3">
        <f t="shared" si="60"/>
        <v>0</v>
      </c>
      <c r="M1967" s="20" t="str">
        <f>A1967&amp;L1967</f>
        <v>ABT0</v>
      </c>
      <c r="N1967" s="3">
        <f>F1967/4</f>
        <v>0.1275</v>
      </c>
      <c r="O1967" s="9">
        <f>H1967</f>
        <v>2.86E-2</v>
      </c>
      <c r="P1967" s="10">
        <f t="shared" si="61"/>
        <v>0</v>
      </c>
      <c r="Q1967" s="10">
        <f>IF(K1967=0,IF(A1964=A1967,AVERAGE(O1964:O1967),"x"),0)</f>
        <v>0</v>
      </c>
      <c r="R1967" s="9">
        <f>IF(L1967&gt;2005,AVERAGE(O1964:O1983),0)</f>
        <v>0</v>
      </c>
      <c r="S1967" s="10">
        <f>IF(A1967=A1968,(N1967-N1968)/N1968,0)</f>
        <v>0</v>
      </c>
      <c r="T1967" s="10">
        <f>IF(L1967&gt;2005,(((N1967-N1987)/N1987)+1)^(1/5)-1,0)</f>
        <v>0</v>
      </c>
      <c r="U1967" s="10">
        <f t="shared" si="62"/>
        <v>0</v>
      </c>
      <c r="V1967" s="26">
        <f t="shared" si="63"/>
        <v>0</v>
      </c>
      <c r="W1967" s="3">
        <f>IF(A1967=A1968,N1967-N1968,0)</f>
        <v>0</v>
      </c>
      <c r="X1967" s="10">
        <f>IF(A1967=A1968,(N1967-N1968)/N1968,0)</f>
        <v>0</v>
      </c>
    </row>
    <row r="1968" spans="1:24" ht="16.5" customHeight="1">
      <c r="A1968" s="3" t="s">
        <v>45</v>
      </c>
      <c r="B1968" s="3">
        <f t="shared" si="56"/>
        <v>2012</v>
      </c>
      <c r="C1968" s="3">
        <f t="shared" si="57"/>
        <v>7</v>
      </c>
      <c r="D1968" s="20" t="str">
        <f t="shared" si="58"/>
        <v>ABT20127</v>
      </c>
      <c r="E1968" s="2">
        <v>41101</v>
      </c>
      <c r="F1968" s="3">
        <v>0.51</v>
      </c>
      <c r="G1968" s="2">
        <v>41136</v>
      </c>
      <c r="H1968" s="3">
        <v>3.0200000000000001E-2</v>
      </c>
      <c r="I1968" s="3">
        <v>0</v>
      </c>
      <c r="J1968" s="3">
        <v>0</v>
      </c>
      <c r="K1968" s="3">
        <f t="shared" si="59"/>
        <v>2012</v>
      </c>
      <c r="L1968" s="3">
        <f t="shared" si="60"/>
        <v>0</v>
      </c>
      <c r="M1968" s="20" t="str">
        <f>A1968&amp;L1968</f>
        <v>ABT0</v>
      </c>
      <c r="N1968" s="3">
        <f>F1968/4</f>
        <v>0.1275</v>
      </c>
      <c r="O1968" s="9">
        <f>H1968</f>
        <v>3.0200000000000001E-2</v>
      </c>
      <c r="P1968" s="10">
        <f t="shared" si="61"/>
        <v>0</v>
      </c>
      <c r="Q1968" s="10">
        <f>IF(K1968=0,IF(A1965=A1968,AVERAGE(O1965:O1968),"x"),0)</f>
        <v>0</v>
      </c>
      <c r="R1968" s="9">
        <f>IF(L1968&gt;2005,AVERAGE(O1965:O1984),0)</f>
        <v>0</v>
      </c>
      <c r="S1968" s="10">
        <f>IF(A1968=A1969,(N1968-N1969)/N1969,0)</f>
        <v>0</v>
      </c>
      <c r="T1968" s="10">
        <f>IF(L1968&gt;2005,(((N1968-N1988)/N1988)+1)^(1/5)-1,0)</f>
        <v>0</v>
      </c>
      <c r="U1968" s="10">
        <f t="shared" si="62"/>
        <v>0</v>
      </c>
      <c r="V1968" s="26">
        <f t="shared" si="63"/>
        <v>0</v>
      </c>
      <c r="W1968" s="3">
        <f>IF(A1968=A1969,N1968-N1969,0)</f>
        <v>0</v>
      </c>
      <c r="X1968" s="10">
        <f>IF(A1968=A1969,(N1968-N1969)/N1969,0)</f>
        <v>0</v>
      </c>
    </row>
    <row r="1969" spans="1:24" ht="16.5" customHeight="1">
      <c r="A1969" s="3" t="s">
        <v>45</v>
      </c>
      <c r="B1969" s="3">
        <f t="shared" si="56"/>
        <v>2012</v>
      </c>
      <c r="C1969" s="3">
        <f t="shared" si="57"/>
        <v>4</v>
      </c>
      <c r="D1969" s="20" t="str">
        <f t="shared" si="58"/>
        <v>ABT20124</v>
      </c>
      <c r="E1969" s="2">
        <v>41010</v>
      </c>
      <c r="F1969" s="3">
        <v>0.51</v>
      </c>
      <c r="G1969" s="2">
        <v>41044</v>
      </c>
      <c r="H1969" s="3">
        <v>3.2399999999999998E-2</v>
      </c>
      <c r="I1969" s="3">
        <v>6.25E-2</v>
      </c>
      <c r="J1969" s="3">
        <v>0.03</v>
      </c>
      <c r="K1969" s="3">
        <f t="shared" si="59"/>
        <v>2012</v>
      </c>
      <c r="L1969" s="3">
        <f t="shared" si="60"/>
        <v>0</v>
      </c>
      <c r="M1969" s="20" t="str">
        <f>A1969&amp;L1969</f>
        <v>ABT0</v>
      </c>
      <c r="N1969" s="3">
        <f>F1969/4</f>
        <v>0.1275</v>
      </c>
      <c r="O1969" s="9">
        <f>H1969</f>
        <v>3.2399999999999998E-2</v>
      </c>
      <c r="P1969" s="10">
        <f t="shared" si="61"/>
        <v>3.4200000000000001E-2</v>
      </c>
      <c r="Q1969" s="10">
        <f>IF(K1969=0,IF(A1966=A1969,AVERAGE(O1966:O1969),"x"),0)</f>
        <v>0</v>
      </c>
      <c r="R1969" s="9">
        <f>IF(L1969&gt;2005,AVERAGE(O1966:O1985),0)</f>
        <v>0</v>
      </c>
      <c r="S1969" s="10">
        <f>IF(A1969=A1970,(N1969-N1970)/N1970,0)</f>
        <v>6.2500000000000056E-2</v>
      </c>
      <c r="T1969" s="10">
        <f>IF(L1969&gt;2005,(((N1969-N1989)/N1989)+1)^(1/5)-1,0)</f>
        <v>0</v>
      </c>
      <c r="U1969" s="10">
        <f t="shared" si="62"/>
        <v>0</v>
      </c>
      <c r="V1969" s="26">
        <f t="shared" si="63"/>
        <v>0</v>
      </c>
      <c r="W1969" s="3">
        <f>IF(A1969=A1970,N1969-N1970,0)</f>
        <v>7.5000000000000067E-3</v>
      </c>
      <c r="X1969" s="10">
        <f>IF(A1969=A1970,(N1969-N1970)/N1970,0)</f>
        <v>6.2500000000000056E-2</v>
      </c>
    </row>
    <row r="1970" spans="1:24" ht="16.5" customHeight="1">
      <c r="A1970" s="3" t="s">
        <v>45</v>
      </c>
      <c r="B1970" s="3">
        <f t="shared" si="56"/>
        <v>2012</v>
      </c>
      <c r="C1970" s="3">
        <f t="shared" si="57"/>
        <v>1</v>
      </c>
      <c r="D1970" s="20" t="str">
        <f t="shared" si="58"/>
        <v>ABT20121</v>
      </c>
      <c r="E1970" s="2">
        <v>40919</v>
      </c>
      <c r="F1970" s="3">
        <v>0.48</v>
      </c>
      <c r="G1970" s="2">
        <v>40954</v>
      </c>
      <c r="H1970" s="3">
        <v>3.4200000000000001E-2</v>
      </c>
      <c r="I1970" s="3">
        <v>0</v>
      </c>
      <c r="J1970" s="3">
        <v>0</v>
      </c>
      <c r="K1970" s="3">
        <f t="shared" si="59"/>
        <v>0</v>
      </c>
      <c r="L1970" s="3">
        <f t="shared" si="60"/>
        <v>2012</v>
      </c>
      <c r="M1970" s="20" t="str">
        <f>A1970&amp;L1970</f>
        <v>ABT2012</v>
      </c>
      <c r="N1970" s="3">
        <f>F1970/4</f>
        <v>0.12</v>
      </c>
      <c r="O1970" s="9">
        <f>H1970</f>
        <v>3.4200000000000001E-2</v>
      </c>
      <c r="P1970" s="10">
        <f t="shared" si="61"/>
        <v>0</v>
      </c>
      <c r="Q1970" s="10">
        <f>IF(K1970=0,IF(A1967=A1970,AVERAGE(O1967:O1970),"x"),0)</f>
        <v>3.1350000000000003E-2</v>
      </c>
      <c r="R1970" s="9">
        <f>IF(L1970&gt;2005,AVERAGE(O1967:O1986),0)</f>
        <v>3.1020000000000009E-2</v>
      </c>
      <c r="S1970" s="10">
        <f>IF(A1970=A1971,(N1970-N1971)/N1971,0)</f>
        <v>0</v>
      </c>
      <c r="T1970" s="10">
        <f>IF(L1970&gt;2005,(((N1970-N1990)/N1990)+1)^(1/5)-1,0)</f>
        <v>0.10225948408254371</v>
      </c>
      <c r="U1970" s="10">
        <f t="shared" si="62"/>
        <v>0.13327948408254373</v>
      </c>
      <c r="V1970" s="26">
        <f t="shared" si="63"/>
        <v>4.6041018131484099</v>
      </c>
      <c r="W1970" s="3">
        <f>IF(A1970=A1971,N1970-N1971,0)</f>
        <v>0</v>
      </c>
      <c r="X1970" s="10">
        <f>IF(A1970=A1971,(N1970-N1971)/N1971,0)</f>
        <v>0</v>
      </c>
    </row>
    <row r="1971" spans="1:24" ht="16.5" customHeight="1">
      <c r="A1971" s="3" t="s">
        <v>45</v>
      </c>
      <c r="B1971" s="3">
        <f t="shared" si="56"/>
        <v>2011</v>
      </c>
      <c r="C1971" s="3">
        <f t="shared" si="57"/>
        <v>10</v>
      </c>
      <c r="D1971" s="20" t="str">
        <f t="shared" si="58"/>
        <v>ABT201110</v>
      </c>
      <c r="E1971" s="2">
        <v>40828</v>
      </c>
      <c r="F1971" s="3">
        <v>0.48</v>
      </c>
      <c r="G1971" s="2">
        <v>40862</v>
      </c>
      <c r="H1971" s="3">
        <v>3.5700000000000003E-2</v>
      </c>
      <c r="I1971" s="3">
        <v>0</v>
      </c>
      <c r="J1971" s="3">
        <v>0</v>
      </c>
      <c r="K1971" s="3">
        <f t="shared" si="59"/>
        <v>2011</v>
      </c>
      <c r="L1971" s="3">
        <f t="shared" si="60"/>
        <v>0</v>
      </c>
      <c r="M1971" s="20" t="str">
        <f>A1971&amp;L1971</f>
        <v>ABT0</v>
      </c>
      <c r="N1971" s="3">
        <f>F1971/4</f>
        <v>0.12</v>
      </c>
      <c r="O1971" s="9">
        <f>H1971</f>
        <v>3.5700000000000003E-2</v>
      </c>
      <c r="P1971" s="10">
        <f t="shared" si="61"/>
        <v>0</v>
      </c>
      <c r="Q1971" s="10">
        <f>IF(K1971=0,IF(A1968=A1971,AVERAGE(O1968:O1971),"x"),0)</f>
        <v>0</v>
      </c>
      <c r="R1971" s="9">
        <f>IF(L1971&gt;2005,AVERAGE(O1968:O1987),0)</f>
        <v>0</v>
      </c>
      <c r="S1971" s="10">
        <f>IF(A1971=A1972,(N1971-N1972)/N1972,0)</f>
        <v>0</v>
      </c>
      <c r="T1971" s="10">
        <f>IF(L1971&gt;2005,(((N1971-N1991)/N1991)+1)^(1/5)-1,0)</f>
        <v>0</v>
      </c>
      <c r="U1971" s="10">
        <f t="shared" si="62"/>
        <v>0</v>
      </c>
      <c r="V1971" s="26">
        <f t="shared" si="63"/>
        <v>0</v>
      </c>
      <c r="W1971" s="3">
        <f>IF(A1971=A1972,N1971-N1972,0)</f>
        <v>0</v>
      </c>
      <c r="X1971" s="10">
        <f>IF(A1971=A1972,(N1971-N1972)/N1972,0)</f>
        <v>0</v>
      </c>
    </row>
    <row r="1972" spans="1:24" ht="16.5" customHeight="1">
      <c r="A1972" s="3" t="s">
        <v>45</v>
      </c>
      <c r="B1972" s="3">
        <f t="shared" si="56"/>
        <v>2011</v>
      </c>
      <c r="C1972" s="3">
        <f t="shared" si="57"/>
        <v>7</v>
      </c>
      <c r="D1972" s="20" t="str">
        <f t="shared" si="58"/>
        <v>ABT20117</v>
      </c>
      <c r="E1972" s="2">
        <v>40737</v>
      </c>
      <c r="F1972" s="3">
        <v>0.48</v>
      </c>
      <c r="G1972" s="2">
        <v>40770</v>
      </c>
      <c r="H1972" s="3">
        <v>3.4500000000000003E-2</v>
      </c>
      <c r="I1972" s="3">
        <v>0</v>
      </c>
      <c r="J1972" s="3">
        <v>0</v>
      </c>
      <c r="K1972" s="3">
        <f t="shared" si="59"/>
        <v>2011</v>
      </c>
      <c r="L1972" s="3">
        <f t="shared" si="60"/>
        <v>0</v>
      </c>
      <c r="M1972" s="20" t="str">
        <f>A1972&amp;L1972</f>
        <v>ABT0</v>
      </c>
      <c r="N1972" s="3">
        <f>F1972/4</f>
        <v>0.12</v>
      </c>
      <c r="O1972" s="9">
        <f>H1972</f>
        <v>3.4500000000000003E-2</v>
      </c>
      <c r="P1972" s="10">
        <f t="shared" si="61"/>
        <v>0</v>
      </c>
      <c r="Q1972" s="10">
        <f>IF(K1972=0,IF(A1969=A1972,AVERAGE(O1969:O1972),"x"),0)</f>
        <v>0</v>
      </c>
      <c r="R1972" s="9">
        <f>IF(L1972&gt;2005,AVERAGE(O1969:O1988),0)</f>
        <v>0</v>
      </c>
      <c r="S1972" s="10">
        <f>IF(A1972=A1973,(N1972-N1973)/N1973,0)</f>
        <v>0</v>
      </c>
      <c r="T1972" s="10">
        <f>IF(L1972&gt;2005,(((N1972-N1992)/N1992)+1)^(1/5)-1,0)</f>
        <v>0</v>
      </c>
      <c r="U1972" s="10">
        <f t="shared" si="62"/>
        <v>0</v>
      </c>
      <c r="V1972" s="26">
        <f t="shared" si="63"/>
        <v>0</v>
      </c>
      <c r="W1972" s="3">
        <f>IF(A1972=A1973,N1972-N1973,0)</f>
        <v>0</v>
      </c>
      <c r="X1972" s="10">
        <f>IF(A1972=A1973,(N1972-N1973)/N1973,0)</f>
        <v>0</v>
      </c>
    </row>
    <row r="1973" spans="1:24" ht="16.5" customHeight="1">
      <c r="A1973" s="3" t="s">
        <v>45</v>
      </c>
      <c r="B1973" s="3">
        <f t="shared" si="56"/>
        <v>2011</v>
      </c>
      <c r="C1973" s="3">
        <f t="shared" si="57"/>
        <v>4</v>
      </c>
      <c r="D1973" s="20" t="str">
        <f t="shared" si="58"/>
        <v>ABT20114</v>
      </c>
      <c r="E1973" s="2">
        <v>40646</v>
      </c>
      <c r="F1973" s="3">
        <v>0.48</v>
      </c>
      <c r="G1973" s="2">
        <v>40679</v>
      </c>
      <c r="H1973" s="3">
        <v>3.5299999999999998E-2</v>
      </c>
      <c r="I1973" s="3">
        <v>9.0909090999999997E-2</v>
      </c>
      <c r="J1973" s="3">
        <v>0.04</v>
      </c>
      <c r="K1973" s="3">
        <f t="shared" si="59"/>
        <v>2011</v>
      </c>
      <c r="L1973" s="3">
        <f t="shared" si="60"/>
        <v>0</v>
      </c>
      <c r="M1973" s="20" t="str">
        <f>A1973&amp;L1973</f>
        <v>ABT0</v>
      </c>
      <c r="N1973" s="3">
        <f>F1973/4</f>
        <v>0.12</v>
      </c>
      <c r="O1973" s="9">
        <f>H1973</f>
        <v>3.5299999999999998E-2</v>
      </c>
      <c r="P1973" s="10">
        <f t="shared" si="61"/>
        <v>3.4824999999999995E-2</v>
      </c>
      <c r="Q1973" s="10">
        <f>IF(K1973=0,IF(A1970=A1973,AVERAGE(O1970:O1973),"x"),0)</f>
        <v>0</v>
      </c>
      <c r="R1973" s="9">
        <f>IF(L1973&gt;2005,AVERAGE(O1970:O1989),0)</f>
        <v>0</v>
      </c>
      <c r="S1973" s="10">
        <f>IF(A1973=A1974,(N1973-N1974)/N1974,0)</f>
        <v>9.090909090909087E-2</v>
      </c>
      <c r="T1973" s="10">
        <f>IF(L1973&gt;2005,(((N1973-N1993)/N1993)+1)^(1/5)-1,0)</f>
        <v>0</v>
      </c>
      <c r="U1973" s="10">
        <f t="shared" si="62"/>
        <v>0</v>
      </c>
      <c r="V1973" s="26">
        <f t="shared" si="63"/>
        <v>0</v>
      </c>
      <c r="W1973" s="3">
        <f>IF(A1973=A1974,N1973-N1974,0)</f>
        <v>9.999999999999995E-3</v>
      </c>
      <c r="X1973" s="10">
        <f>IF(A1973=A1974,(N1973-N1974)/N1974,0)</f>
        <v>9.090909090909087E-2</v>
      </c>
    </row>
    <row r="1974" spans="1:24" ht="16.5" customHeight="1">
      <c r="A1974" s="3" t="s">
        <v>45</v>
      </c>
      <c r="B1974" s="3">
        <f t="shared" si="56"/>
        <v>2011</v>
      </c>
      <c r="C1974" s="3">
        <f t="shared" si="57"/>
        <v>1</v>
      </c>
      <c r="D1974" s="20" t="str">
        <f t="shared" si="58"/>
        <v>ABT20111</v>
      </c>
      <c r="E1974" s="2">
        <v>40555</v>
      </c>
      <c r="F1974" s="3">
        <v>0.44</v>
      </c>
      <c r="G1974" s="2">
        <v>40589</v>
      </c>
      <c r="H1974" s="3">
        <v>3.6799999999999999E-2</v>
      </c>
      <c r="I1974" s="3">
        <v>0</v>
      </c>
      <c r="J1974" s="3">
        <v>0</v>
      </c>
      <c r="K1974" s="3">
        <f t="shared" si="59"/>
        <v>0</v>
      </c>
      <c r="L1974" s="3">
        <f t="shared" si="60"/>
        <v>2011</v>
      </c>
      <c r="M1974" s="20" t="str">
        <f>A1974&amp;L1974</f>
        <v>ABT2011</v>
      </c>
      <c r="N1974" s="3">
        <f>F1974/4</f>
        <v>0.11</v>
      </c>
      <c r="O1974" s="9">
        <f>H1974</f>
        <v>3.6799999999999999E-2</v>
      </c>
      <c r="P1974" s="10">
        <f t="shared" si="61"/>
        <v>0</v>
      </c>
      <c r="Q1974" s="10">
        <f>IF(K1974=0,IF(A1971=A1974,AVERAGE(O1971:O1974),"x"),0)</f>
        <v>3.5575000000000002E-2</v>
      </c>
      <c r="R1974" s="9">
        <f>IF(L1974&gt;2005,AVERAGE(O1971:O1990),0)</f>
        <v>2.9320000000000002E-2</v>
      </c>
      <c r="S1974" s="10">
        <f>IF(A1974=A1975,(N1974-N1975)/N1975,0)</f>
        <v>0</v>
      </c>
      <c r="T1974" s="10">
        <f>IF(L1974&gt;2005,(((N1974-N1994)/N1994)+1)^(1/5)-1,0)</f>
        <v>9.8560543306117632E-2</v>
      </c>
      <c r="U1974" s="10">
        <f t="shared" si="62"/>
        <v>0.12788054330611764</v>
      </c>
      <c r="V1974" s="26">
        <f t="shared" si="63"/>
        <v>4.6233197960708861</v>
      </c>
      <c r="W1974" s="3">
        <f>IF(A1974=A1975,N1974-N1975,0)</f>
        <v>0</v>
      </c>
      <c r="X1974" s="10">
        <f>IF(A1974=A1975,(N1974-N1975)/N1975,0)</f>
        <v>0</v>
      </c>
    </row>
    <row r="1975" spans="1:24" ht="16.5" customHeight="1">
      <c r="A1975" s="3" t="s">
        <v>45</v>
      </c>
      <c r="B1975" s="3">
        <f t="shared" si="56"/>
        <v>2010</v>
      </c>
      <c r="C1975" s="3">
        <f t="shared" si="57"/>
        <v>10</v>
      </c>
      <c r="D1975" s="20" t="str">
        <f t="shared" si="58"/>
        <v>ABT201010</v>
      </c>
      <c r="E1975" s="2">
        <v>40464</v>
      </c>
      <c r="F1975" s="3">
        <v>0.44</v>
      </c>
      <c r="G1975" s="2">
        <v>40497</v>
      </c>
      <c r="H1975" s="3">
        <v>3.2099999999999997E-2</v>
      </c>
      <c r="I1975" s="3">
        <v>0</v>
      </c>
      <c r="J1975" s="3">
        <v>0</v>
      </c>
      <c r="K1975" s="3">
        <f t="shared" si="59"/>
        <v>2010</v>
      </c>
      <c r="L1975" s="3">
        <f t="shared" si="60"/>
        <v>0</v>
      </c>
      <c r="M1975" s="20" t="str">
        <f>A1975&amp;L1975</f>
        <v>ABT0</v>
      </c>
      <c r="N1975" s="3">
        <f>F1975/4</f>
        <v>0.11</v>
      </c>
      <c r="O1975" s="9">
        <f>H1975</f>
        <v>3.2099999999999997E-2</v>
      </c>
      <c r="P1975" s="10">
        <f t="shared" si="61"/>
        <v>0</v>
      </c>
      <c r="Q1975" s="10">
        <f>IF(K1975=0,IF(A1972=A1975,AVERAGE(O1972:O1975),"x"),0)</f>
        <v>0</v>
      </c>
      <c r="R1975" s="9">
        <f>IF(L1975&gt;2005,AVERAGE(O1972:O1991),0)</f>
        <v>0</v>
      </c>
      <c r="S1975" s="10">
        <f>IF(A1975=A1976,(N1975-N1976)/N1976,0)</f>
        <v>0</v>
      </c>
      <c r="T1975" s="10">
        <f>IF(L1975&gt;2005,(((N1975-N1995)/N1995)+1)^(1/5)-1,0)</f>
        <v>0</v>
      </c>
      <c r="U1975" s="10">
        <f t="shared" si="62"/>
        <v>0</v>
      </c>
      <c r="V1975" s="26">
        <f t="shared" si="63"/>
        <v>0</v>
      </c>
      <c r="W1975" s="3">
        <f>IF(A1975=A1976,N1975-N1976,0)</f>
        <v>0</v>
      </c>
      <c r="X1975" s="10">
        <f>IF(A1975=A1976,(N1975-N1976)/N1976,0)</f>
        <v>0</v>
      </c>
    </row>
    <row r="1976" spans="1:24" ht="16.5" customHeight="1">
      <c r="A1976" s="3" t="s">
        <v>45</v>
      </c>
      <c r="B1976" s="3">
        <f t="shared" si="56"/>
        <v>2010</v>
      </c>
      <c r="C1976" s="3">
        <f t="shared" si="57"/>
        <v>7</v>
      </c>
      <c r="D1976" s="20" t="str">
        <f t="shared" si="58"/>
        <v>ABT20107</v>
      </c>
      <c r="E1976" s="2">
        <v>40372</v>
      </c>
      <c r="F1976" s="3">
        <v>0.44</v>
      </c>
      <c r="G1976" s="2">
        <v>40405</v>
      </c>
      <c r="H1976" s="3">
        <v>3.5099999999999999E-2</v>
      </c>
      <c r="I1976" s="3">
        <v>0</v>
      </c>
      <c r="J1976" s="3">
        <v>0</v>
      </c>
      <c r="K1976" s="3">
        <f t="shared" si="59"/>
        <v>2010</v>
      </c>
      <c r="L1976" s="3">
        <f t="shared" si="60"/>
        <v>0</v>
      </c>
      <c r="M1976" s="20" t="str">
        <f>A1976&amp;L1976</f>
        <v>ABT0</v>
      </c>
      <c r="N1976" s="3">
        <f>F1976/4</f>
        <v>0.11</v>
      </c>
      <c r="O1976" s="9">
        <f>H1976</f>
        <v>3.5099999999999999E-2</v>
      </c>
      <c r="P1976" s="10">
        <f t="shared" si="61"/>
        <v>0</v>
      </c>
      <c r="Q1976" s="10">
        <f>IF(K1976=0,IF(A1973=A1976,AVERAGE(O1973:O1976),"x"),0)</f>
        <v>0</v>
      </c>
      <c r="R1976" s="9">
        <f>IF(L1976&gt;2005,AVERAGE(O1973:O1992),0)</f>
        <v>0</v>
      </c>
      <c r="S1976" s="10">
        <f>IF(A1976=A1977,(N1976-N1977)/N1977,0)</f>
        <v>0</v>
      </c>
      <c r="T1976" s="10">
        <f>IF(L1976&gt;2005,(((N1976-N1996)/N1996)+1)^(1/5)-1,0)</f>
        <v>0</v>
      </c>
      <c r="U1976" s="10">
        <f t="shared" si="62"/>
        <v>0</v>
      </c>
      <c r="V1976" s="26">
        <f t="shared" si="63"/>
        <v>0</v>
      </c>
      <c r="W1976" s="3">
        <f>IF(A1976=A1977,N1976-N1977,0)</f>
        <v>0</v>
      </c>
      <c r="X1976" s="10">
        <f>IF(A1976=A1977,(N1976-N1977)/N1977,0)</f>
        <v>0</v>
      </c>
    </row>
    <row r="1977" spans="1:24" ht="16.5" customHeight="1">
      <c r="A1977" s="3" t="s">
        <v>45</v>
      </c>
      <c r="B1977" s="3">
        <f t="shared" si="56"/>
        <v>2010</v>
      </c>
      <c r="C1977" s="3">
        <f t="shared" si="57"/>
        <v>4</v>
      </c>
      <c r="D1977" s="20" t="str">
        <f t="shared" si="58"/>
        <v>ABT20104</v>
      </c>
      <c r="E1977" s="2">
        <v>40281</v>
      </c>
      <c r="F1977" s="3">
        <v>0.44</v>
      </c>
      <c r="G1977" s="2">
        <v>40313</v>
      </c>
      <c r="H1977" s="3">
        <v>3.1099999999999999E-2</v>
      </c>
      <c r="I1977" s="3">
        <v>0.1</v>
      </c>
      <c r="J1977" s="3">
        <v>0.04</v>
      </c>
      <c r="K1977" s="3">
        <f t="shared" si="59"/>
        <v>2010</v>
      </c>
      <c r="L1977" s="3">
        <f t="shared" si="60"/>
        <v>0</v>
      </c>
      <c r="M1977" s="20" t="str">
        <f>A1977&amp;L1977</f>
        <v>ABT0</v>
      </c>
      <c r="N1977" s="3">
        <f>F1977/4</f>
        <v>0.11</v>
      </c>
      <c r="O1977" s="9">
        <f>H1977</f>
        <v>3.1099999999999999E-2</v>
      </c>
      <c r="P1977" s="10">
        <f t="shared" si="61"/>
        <v>3.1199999999999999E-2</v>
      </c>
      <c r="Q1977" s="10">
        <f>IF(K1977=0,IF(A1974=A1977,AVERAGE(O1974:O1977),"x"),0)</f>
        <v>0</v>
      </c>
      <c r="R1977" s="9">
        <f>IF(L1977&gt;2005,AVERAGE(O1974:O1993),0)</f>
        <v>0</v>
      </c>
      <c r="S1977" s="10">
        <f>IF(A1977=A1978,(N1977-N1978)/N1978,0)</f>
        <v>9.999999999999995E-2</v>
      </c>
      <c r="T1977" s="10">
        <f>IF(L1977&gt;2005,(((N1977-N1997)/N1997)+1)^(1/5)-1,0)</f>
        <v>0</v>
      </c>
      <c r="U1977" s="10">
        <f t="shared" si="62"/>
        <v>0</v>
      </c>
      <c r="V1977" s="26">
        <f t="shared" si="63"/>
        <v>0</v>
      </c>
      <c r="W1977" s="3">
        <f>IF(A1977=A1978,N1977-N1978,0)</f>
        <v>9.999999999999995E-3</v>
      </c>
      <c r="X1977" s="10">
        <f>IF(A1977=A1978,(N1977-N1978)/N1978,0)</f>
        <v>9.999999999999995E-2</v>
      </c>
    </row>
    <row r="1978" spans="1:24" ht="16.5" customHeight="1">
      <c r="A1978" s="3" t="s">
        <v>45</v>
      </c>
      <c r="B1978" s="3">
        <f t="shared" si="56"/>
        <v>2010</v>
      </c>
      <c r="C1978" s="3">
        <f t="shared" si="57"/>
        <v>1</v>
      </c>
      <c r="D1978" s="20" t="str">
        <f t="shared" si="58"/>
        <v>ABT20101</v>
      </c>
      <c r="E1978" s="2">
        <v>40191</v>
      </c>
      <c r="F1978" s="3">
        <v>0.4</v>
      </c>
      <c r="G1978" s="2">
        <v>40224</v>
      </c>
      <c r="H1978" s="3">
        <v>2.9000000000000001E-2</v>
      </c>
      <c r="I1978" s="3">
        <v>0</v>
      </c>
      <c r="J1978" s="3">
        <v>0</v>
      </c>
      <c r="K1978" s="3">
        <f t="shared" si="59"/>
        <v>0</v>
      </c>
      <c r="L1978" s="3">
        <f t="shared" si="60"/>
        <v>2010</v>
      </c>
      <c r="M1978" s="20" t="str">
        <f>A1978&amp;L1978</f>
        <v>ABT2010</v>
      </c>
      <c r="N1978" s="3">
        <f>F1978/4</f>
        <v>0.1</v>
      </c>
      <c r="O1978" s="9">
        <f>H1978</f>
        <v>2.9000000000000001E-2</v>
      </c>
      <c r="P1978" s="10">
        <f t="shared" si="61"/>
        <v>0</v>
      </c>
      <c r="Q1978" s="10">
        <f>IF(K1978=0,IF(A1975=A1978,AVERAGE(O1975:O1978),"x"),0)</f>
        <v>3.1824999999999999E-2</v>
      </c>
      <c r="R1978" s="9">
        <f>IF(L1978&gt;2005,AVERAGE(O1975:O1994),0)</f>
        <v>2.7369999999999995E-2</v>
      </c>
      <c r="S1978" s="10">
        <f>IF(A1978=A1979,(N1978-N1979)/N1979,0)</f>
        <v>0</v>
      </c>
      <c r="T1978" s="10">
        <f>IF(L1978&gt;2005,(((N1978-N1998)/N1998)+1)^(1/5)-1,0)</f>
        <v>8.9976987048345336E-2</v>
      </c>
      <c r="U1978" s="10">
        <f t="shared" si="62"/>
        <v>0.11734698704834533</v>
      </c>
      <c r="V1978" s="26">
        <f t="shared" si="63"/>
        <v>4.6443494335428328</v>
      </c>
      <c r="W1978" s="3">
        <f>IF(A1978=A1979,N1978-N1979,0)</f>
        <v>0</v>
      </c>
      <c r="X1978" s="10">
        <f>IF(A1978=A1979,(N1978-N1979)/N1979,0)</f>
        <v>0</v>
      </c>
    </row>
    <row r="1979" spans="1:24" ht="16.5" customHeight="1">
      <c r="A1979" s="3" t="s">
        <v>45</v>
      </c>
      <c r="B1979" s="3">
        <f t="shared" si="56"/>
        <v>2009</v>
      </c>
      <c r="C1979" s="3">
        <f t="shared" si="57"/>
        <v>10</v>
      </c>
      <c r="D1979" s="20" t="str">
        <f t="shared" si="58"/>
        <v>ABT200910</v>
      </c>
      <c r="E1979" s="2">
        <v>40099</v>
      </c>
      <c r="F1979" s="3">
        <v>0.4</v>
      </c>
      <c r="G1979" s="2">
        <v>40132</v>
      </c>
      <c r="H1979" s="3">
        <v>3.1199999999999999E-2</v>
      </c>
      <c r="I1979" s="3">
        <v>0</v>
      </c>
      <c r="J1979" s="3">
        <v>0</v>
      </c>
      <c r="K1979" s="3">
        <f t="shared" si="59"/>
        <v>2009</v>
      </c>
      <c r="L1979" s="3">
        <f t="shared" si="60"/>
        <v>0</v>
      </c>
      <c r="M1979" s="20" t="str">
        <f>A1979&amp;L1979</f>
        <v>ABT0</v>
      </c>
      <c r="N1979" s="3">
        <f>F1979/4</f>
        <v>0.1</v>
      </c>
      <c r="O1979" s="9">
        <f>H1979</f>
        <v>3.1199999999999999E-2</v>
      </c>
      <c r="P1979" s="10">
        <f t="shared" si="61"/>
        <v>0</v>
      </c>
      <c r="Q1979" s="10">
        <f>IF(K1979=0,IF(A1976=A1979,AVERAGE(O1976:O1979),"x"),0)</f>
        <v>0</v>
      </c>
      <c r="R1979" s="9">
        <f>IF(L1979&gt;2005,AVERAGE(O1976:O1995),0)</f>
        <v>0</v>
      </c>
      <c r="S1979" s="10">
        <f>IF(A1979=A1980,(N1979-N1980)/N1980,0)</f>
        <v>0</v>
      </c>
      <c r="T1979" s="10">
        <f>IF(L1979&gt;2005,(((N1979-N1999)/N1999)+1)^(1/5)-1,0)</f>
        <v>0</v>
      </c>
      <c r="U1979" s="10">
        <f t="shared" si="62"/>
        <v>0</v>
      </c>
      <c r="V1979" s="26">
        <f t="shared" si="63"/>
        <v>0</v>
      </c>
      <c r="W1979" s="3">
        <f>IF(A1979=A1980,N1979-N1980,0)</f>
        <v>0</v>
      </c>
      <c r="X1979" s="10">
        <f>IF(A1979=A1980,(N1979-N1980)/N1980,0)</f>
        <v>0</v>
      </c>
    </row>
    <row r="1980" spans="1:24" ht="16.5" customHeight="1">
      <c r="A1980" s="3" t="s">
        <v>45</v>
      </c>
      <c r="B1980" s="3">
        <f t="shared" si="56"/>
        <v>2009</v>
      </c>
      <c r="C1980" s="3">
        <f t="shared" si="57"/>
        <v>7</v>
      </c>
      <c r="D1980" s="20" t="str">
        <f t="shared" si="58"/>
        <v>ABT20097</v>
      </c>
      <c r="E1980" s="2">
        <v>40007</v>
      </c>
      <c r="F1980" s="3">
        <v>0.4</v>
      </c>
      <c r="G1980" s="2">
        <v>40040</v>
      </c>
      <c r="H1980" s="3">
        <v>3.3500000000000002E-2</v>
      </c>
      <c r="I1980" s="3">
        <v>0</v>
      </c>
      <c r="J1980" s="3">
        <v>0</v>
      </c>
      <c r="K1980" s="3">
        <f t="shared" si="59"/>
        <v>2009</v>
      </c>
      <c r="L1980" s="3">
        <f t="shared" si="60"/>
        <v>0</v>
      </c>
      <c r="M1980" s="20" t="str">
        <f>A1980&amp;L1980</f>
        <v>ABT0</v>
      </c>
      <c r="N1980" s="3">
        <f>F1980/4</f>
        <v>0.1</v>
      </c>
      <c r="O1980" s="9">
        <f>H1980</f>
        <v>3.3500000000000002E-2</v>
      </c>
      <c r="P1980" s="10">
        <f t="shared" si="61"/>
        <v>0</v>
      </c>
      <c r="Q1980" s="10">
        <f>IF(K1980=0,IF(A1977=A1980,AVERAGE(O1977:O1980),"x"),0)</f>
        <v>0</v>
      </c>
      <c r="R1980" s="9">
        <f>IF(L1980&gt;2005,AVERAGE(O1977:O1996),0)</f>
        <v>0</v>
      </c>
      <c r="S1980" s="10">
        <f>IF(A1980=A1981,(N1980-N1981)/N1981,0)</f>
        <v>0</v>
      </c>
      <c r="T1980" s="10">
        <f>IF(L1980&gt;2005,(((N1980-N2000)/N2000)+1)^(1/5)-1,0)</f>
        <v>0</v>
      </c>
      <c r="U1980" s="10">
        <f t="shared" si="62"/>
        <v>0</v>
      </c>
      <c r="V1980" s="26">
        <f t="shared" si="63"/>
        <v>0</v>
      </c>
      <c r="W1980" s="3">
        <f>IF(A1980=A1981,N1980-N1981,0)</f>
        <v>0</v>
      </c>
      <c r="X1980" s="10">
        <f>IF(A1980=A1981,(N1980-N1981)/N1981,0)</f>
        <v>0</v>
      </c>
    </row>
    <row r="1981" spans="1:24" ht="16.5" customHeight="1">
      <c r="A1981" s="3" t="s">
        <v>45</v>
      </c>
      <c r="B1981" s="3">
        <f t="shared" si="56"/>
        <v>2009</v>
      </c>
      <c r="C1981" s="3">
        <f t="shared" si="57"/>
        <v>4</v>
      </c>
      <c r="D1981" s="20" t="str">
        <f t="shared" si="58"/>
        <v>ABT20094</v>
      </c>
      <c r="E1981" s="2">
        <v>39916</v>
      </c>
      <c r="F1981" s="3">
        <v>0.4</v>
      </c>
      <c r="G1981" s="2">
        <v>39948</v>
      </c>
      <c r="H1981" s="3">
        <v>3.3599999999999998E-2</v>
      </c>
      <c r="I1981" s="3">
        <v>0.111111111</v>
      </c>
      <c r="J1981" s="3">
        <v>0.04</v>
      </c>
      <c r="K1981" s="3">
        <f t="shared" si="59"/>
        <v>2009</v>
      </c>
      <c r="L1981" s="3">
        <f t="shared" si="60"/>
        <v>0</v>
      </c>
      <c r="M1981" s="20" t="str">
        <f>A1981&amp;L1981</f>
        <v>ABT0</v>
      </c>
      <c r="N1981" s="3">
        <f>F1981/4</f>
        <v>0.1</v>
      </c>
      <c r="O1981" s="9">
        <f>H1981</f>
        <v>3.3599999999999998E-2</v>
      </c>
      <c r="P1981" s="10">
        <f t="shared" si="61"/>
        <v>2.8575E-2</v>
      </c>
      <c r="Q1981" s="10">
        <f>IF(K1981=0,IF(A1978=A1981,AVERAGE(O1978:O1981),"x"),0)</f>
        <v>0</v>
      </c>
      <c r="R1981" s="9">
        <f>IF(L1981&gt;2005,AVERAGE(O1978:O1997),0)</f>
        <v>0</v>
      </c>
      <c r="S1981" s="10">
        <f>IF(A1981=A1982,(N1981-N1982)/N1982,0)</f>
        <v>0.11111111111111122</v>
      </c>
      <c r="T1981" s="10">
        <f>IF(L1981&gt;2005,(((N1981-N2001)/N2001)+1)^(1/5)-1,0)</f>
        <v>0</v>
      </c>
      <c r="U1981" s="10">
        <f t="shared" si="62"/>
        <v>0</v>
      </c>
      <c r="V1981" s="26">
        <f t="shared" si="63"/>
        <v>0</v>
      </c>
      <c r="W1981" s="3">
        <f>IF(A1981=A1982,N1981-N1982,0)</f>
        <v>1.0000000000000009E-2</v>
      </c>
      <c r="X1981" s="10">
        <f>IF(A1981=A1982,(N1981-N1982)/N1982,0)</f>
        <v>0.11111111111111122</v>
      </c>
    </row>
    <row r="1982" spans="1:24" ht="16.5" customHeight="1">
      <c r="A1982" s="3" t="s">
        <v>45</v>
      </c>
      <c r="B1982" s="3">
        <f t="shared" si="56"/>
        <v>2009</v>
      </c>
      <c r="C1982" s="3">
        <f t="shared" si="57"/>
        <v>1</v>
      </c>
      <c r="D1982" s="20" t="str">
        <f t="shared" si="58"/>
        <v>ABT20091</v>
      </c>
      <c r="E1982" s="2">
        <v>39826</v>
      </c>
      <c r="F1982" s="3">
        <v>0.36</v>
      </c>
      <c r="G1982" s="2">
        <v>39859</v>
      </c>
      <c r="H1982" s="3">
        <v>2.8799999999999999E-2</v>
      </c>
      <c r="I1982" s="3">
        <v>0</v>
      </c>
      <c r="J1982" s="3">
        <v>0</v>
      </c>
      <c r="K1982" s="3">
        <f t="shared" si="59"/>
        <v>0</v>
      </c>
      <c r="L1982" s="3">
        <f t="shared" si="60"/>
        <v>2009</v>
      </c>
      <c r="M1982" s="20" t="str">
        <f>A1982&amp;L1982</f>
        <v>ABT2009</v>
      </c>
      <c r="N1982" s="3">
        <f>F1982/4</f>
        <v>0.09</v>
      </c>
      <c r="O1982" s="9">
        <f>H1982</f>
        <v>2.8799999999999999E-2</v>
      </c>
      <c r="P1982" s="10">
        <f t="shared" si="61"/>
        <v>0</v>
      </c>
      <c r="Q1982" s="10">
        <f>IF(K1982=0,IF(A1979=A1982,AVERAGE(O1979:O1982),"x"),0)</f>
        <v>3.1774999999999998E-2</v>
      </c>
      <c r="R1982" s="9">
        <f>IF(L1982&gt;2005,AVERAGE(O1979:O1998),0)</f>
        <v>2.5559999999999999E-2</v>
      </c>
      <c r="S1982" s="10">
        <f>IF(A1982=A1983,(N1982-N1983)/N1983,0)</f>
        <v>0</v>
      </c>
      <c r="T1982" s="10">
        <f>IF(L1982&gt;2005,(((N1982-N2002)/N2002)+1)^(1/5)-1,0)</f>
        <v>8.0008772924185401E-2</v>
      </c>
      <c r="U1982" s="10">
        <f t="shared" si="62"/>
        <v>0.1055687729241854</v>
      </c>
      <c r="V1982" s="26">
        <f t="shared" si="63"/>
        <v>4.6637165841236268</v>
      </c>
      <c r="W1982" s="3">
        <f>IF(A1982=A1983,N1982-N1983,0)</f>
        <v>0</v>
      </c>
      <c r="X1982" s="10">
        <f>IF(A1982=A1983,(N1982-N1983)/N1983,0)</f>
        <v>0</v>
      </c>
    </row>
    <row r="1983" spans="1:24" ht="16.5" customHeight="1">
      <c r="A1983" s="3" t="s">
        <v>45</v>
      </c>
      <c r="B1983" s="3">
        <f t="shared" si="56"/>
        <v>2008</v>
      </c>
      <c r="C1983" s="3">
        <f t="shared" si="57"/>
        <v>10</v>
      </c>
      <c r="D1983" s="20" t="str">
        <f t="shared" si="58"/>
        <v>ABT200810</v>
      </c>
      <c r="E1983" s="2">
        <v>39731</v>
      </c>
      <c r="F1983" s="3">
        <v>0.36</v>
      </c>
      <c r="G1983" s="2">
        <v>39767</v>
      </c>
      <c r="H1983" s="3">
        <v>2.8000000000000001E-2</v>
      </c>
      <c r="I1983" s="3">
        <v>0</v>
      </c>
      <c r="J1983" s="3">
        <v>0</v>
      </c>
      <c r="K1983" s="3">
        <f t="shared" si="59"/>
        <v>2008</v>
      </c>
      <c r="L1983" s="3">
        <f t="shared" si="60"/>
        <v>0</v>
      </c>
      <c r="M1983" s="20" t="str">
        <f>A1983&amp;L1983</f>
        <v>ABT0</v>
      </c>
      <c r="N1983" s="3">
        <f>F1983/4</f>
        <v>0.09</v>
      </c>
      <c r="O1983" s="9">
        <f>H1983</f>
        <v>2.8000000000000001E-2</v>
      </c>
      <c r="P1983" s="10">
        <f t="shared" si="61"/>
        <v>0</v>
      </c>
      <c r="Q1983" s="10">
        <f>IF(K1983=0,IF(A1980=A1983,AVERAGE(O1980:O1983),"x"),0)</f>
        <v>0</v>
      </c>
      <c r="R1983" s="9">
        <f>IF(L1983&gt;2005,AVERAGE(O1980:O1999),0)</f>
        <v>0</v>
      </c>
      <c r="S1983" s="10">
        <f>IF(A1983=A1984,(N1983-N1984)/N1984,0)</f>
        <v>0</v>
      </c>
      <c r="T1983" s="10">
        <f>IF(L1983&gt;2005,(((N1983-N2003)/N2003)+1)^(1/5)-1,0)</f>
        <v>0</v>
      </c>
      <c r="U1983" s="10">
        <f t="shared" si="62"/>
        <v>0</v>
      </c>
      <c r="V1983" s="26">
        <f t="shared" si="63"/>
        <v>0</v>
      </c>
      <c r="W1983" s="3">
        <f>IF(A1983=A1984,N1983-N1984,0)</f>
        <v>0</v>
      </c>
      <c r="X1983" s="10">
        <f>IF(A1983=A1984,(N1983-N1984)/N1984,0)</f>
        <v>0</v>
      </c>
    </row>
    <row r="1984" spans="1:24" ht="16.5" customHeight="1">
      <c r="A1984" s="3" t="s">
        <v>45</v>
      </c>
      <c r="B1984" s="3">
        <f t="shared" si="56"/>
        <v>2008</v>
      </c>
      <c r="C1984" s="3">
        <f t="shared" si="57"/>
        <v>7</v>
      </c>
      <c r="D1984" s="20" t="str">
        <f t="shared" si="58"/>
        <v>ABT20087</v>
      </c>
      <c r="E1984" s="2">
        <v>39640</v>
      </c>
      <c r="F1984" s="3">
        <v>0.36</v>
      </c>
      <c r="G1984" s="2">
        <v>39675</v>
      </c>
      <c r="H1984" s="3">
        <v>2.3900000000000001E-2</v>
      </c>
      <c r="I1984" s="3">
        <v>0</v>
      </c>
      <c r="J1984" s="3">
        <v>0</v>
      </c>
      <c r="K1984" s="3">
        <f t="shared" si="59"/>
        <v>2008</v>
      </c>
      <c r="L1984" s="3">
        <f t="shared" si="60"/>
        <v>0</v>
      </c>
      <c r="M1984" s="20" t="str">
        <f>A1984&amp;L1984</f>
        <v>ABT0</v>
      </c>
      <c r="N1984" s="3">
        <f>F1984/4</f>
        <v>0.09</v>
      </c>
      <c r="O1984" s="9">
        <f>H1984</f>
        <v>2.3900000000000001E-2</v>
      </c>
      <c r="P1984" s="10">
        <f t="shared" si="61"/>
        <v>0</v>
      </c>
      <c r="Q1984" s="10">
        <f>IF(K1984=0,IF(A1981=A1984,AVERAGE(O1981:O1984),"x"),0)</f>
        <v>0</v>
      </c>
      <c r="R1984" s="9">
        <f>IF(L1984&gt;2005,AVERAGE(O1981:O2000),0)</f>
        <v>0</v>
      </c>
      <c r="S1984" s="10">
        <f>IF(A1984=A1985,(N1984-N1985)/N1985,0)</f>
        <v>0</v>
      </c>
      <c r="T1984" s="10">
        <f>IF(L1984&gt;2005,(((N1984-N2004)/N2004)+1)^(1/5)-1,0)</f>
        <v>0</v>
      </c>
      <c r="U1984" s="10">
        <f t="shared" si="62"/>
        <v>0</v>
      </c>
      <c r="V1984" s="26">
        <f t="shared" si="63"/>
        <v>0</v>
      </c>
      <c r="W1984" s="3">
        <f>IF(A1984=A1985,N1984-N1985,0)</f>
        <v>0</v>
      </c>
      <c r="X1984" s="10">
        <f>IF(A1984=A1985,(N1984-N1985)/N1985,0)</f>
        <v>0</v>
      </c>
    </row>
    <row r="1985" spans="1:24" ht="16.5" customHeight="1">
      <c r="A1985" s="3" t="s">
        <v>45</v>
      </c>
      <c r="B1985" s="3">
        <f t="shared" si="56"/>
        <v>2008</v>
      </c>
      <c r="C1985" s="3">
        <f t="shared" si="57"/>
        <v>4</v>
      </c>
      <c r="D1985" s="20" t="str">
        <f t="shared" si="58"/>
        <v>ABT20084</v>
      </c>
      <c r="E1985" s="2">
        <v>39549</v>
      </c>
      <c r="F1985" s="3">
        <v>0.36</v>
      </c>
      <c r="G1985" s="2">
        <v>39583</v>
      </c>
      <c r="H1985" s="3">
        <v>2.4799999999999999E-2</v>
      </c>
      <c r="I1985" s="3">
        <v>0.107692308</v>
      </c>
      <c r="J1985" s="3">
        <v>3.5000000000000003E-2</v>
      </c>
      <c r="K1985" s="3">
        <f t="shared" si="59"/>
        <v>2008</v>
      </c>
      <c r="L1985" s="3">
        <f t="shared" si="60"/>
        <v>0</v>
      </c>
      <c r="M1985" s="20" t="str">
        <f>A1985&amp;L1985</f>
        <v>ABT0</v>
      </c>
      <c r="N1985" s="3">
        <f>F1985/4</f>
        <v>0.09</v>
      </c>
      <c r="O1985" s="9">
        <f>H1985</f>
        <v>2.4799999999999999E-2</v>
      </c>
      <c r="P1985" s="10">
        <f t="shared" si="61"/>
        <v>2.3300000000000001E-2</v>
      </c>
      <c r="Q1985" s="10">
        <f>IF(K1985=0,IF(A1982=A1985,AVERAGE(O1982:O1985),"x"),0)</f>
        <v>0</v>
      </c>
      <c r="R1985" s="9">
        <f>IF(L1985&gt;2005,AVERAGE(O1982:O2001),0)</f>
        <v>0</v>
      </c>
      <c r="S1985" s="10">
        <f>IF(A1985=A1986,(N1985-N1986)/N1986,0)</f>
        <v>0.10769230769230762</v>
      </c>
      <c r="T1985" s="10">
        <f>IF(L1985&gt;2005,(((N1985-N2005)/N2005)+1)^(1/5)-1,0)</f>
        <v>0</v>
      </c>
      <c r="U1985" s="10">
        <f t="shared" si="62"/>
        <v>0</v>
      </c>
      <c r="V1985" s="26">
        <f t="shared" si="63"/>
        <v>0</v>
      </c>
      <c r="W1985" s="3">
        <f>IF(A1985=A1986,N1985-N1986,0)</f>
        <v>8.7499999999999939E-3</v>
      </c>
      <c r="X1985" s="10">
        <f>IF(A1985=A1986,(N1985-N1986)/N1986,0)</f>
        <v>0.10769230769230762</v>
      </c>
    </row>
    <row r="1986" spans="1:24" ht="16.5" customHeight="1">
      <c r="A1986" s="3" t="s">
        <v>45</v>
      </c>
      <c r="B1986" s="3">
        <f t="shared" si="56"/>
        <v>2008</v>
      </c>
      <c r="C1986" s="3">
        <f t="shared" si="57"/>
        <v>1</v>
      </c>
      <c r="D1986" s="20" t="str">
        <f t="shared" si="58"/>
        <v>ABT20081</v>
      </c>
      <c r="E1986" s="2">
        <v>39458</v>
      </c>
      <c r="F1986" s="3">
        <v>0.32500000000000001</v>
      </c>
      <c r="G1986" s="2">
        <v>39493</v>
      </c>
      <c r="H1986" s="3">
        <v>2.1600000000000001E-2</v>
      </c>
      <c r="I1986" s="3">
        <v>0</v>
      </c>
      <c r="J1986" s="3">
        <v>0</v>
      </c>
      <c r="K1986" s="3">
        <f t="shared" si="59"/>
        <v>0</v>
      </c>
      <c r="L1986" s="3">
        <f t="shared" si="60"/>
        <v>2008</v>
      </c>
      <c r="M1986" s="20" t="str">
        <f>A1986&amp;L1986</f>
        <v>ABT2008</v>
      </c>
      <c r="N1986" s="3">
        <f>F1986/4</f>
        <v>8.1250000000000003E-2</v>
      </c>
      <c r="O1986" s="9">
        <f>H1986</f>
        <v>2.1600000000000001E-2</v>
      </c>
      <c r="P1986" s="10">
        <f t="shared" si="61"/>
        <v>0</v>
      </c>
      <c r="Q1986" s="10">
        <f>IF(K1986=0,IF(A1983=A1986,AVERAGE(O1983:O1986),"x"),0)</f>
        <v>2.4575E-2</v>
      </c>
      <c r="R1986" s="9">
        <f>IF(L1986&gt;2005,AVERAGE(O1983:O2002),0)</f>
        <v>2.4005000000000006E-2</v>
      </c>
      <c r="S1986" s="10">
        <f>IF(A1986=A1987,(N1986-N1987)/N1987,0)</f>
        <v>0</v>
      </c>
      <c r="T1986" s="10">
        <f>IF(L1986&gt;2005,(((N1986-N2006)/N2006)+1)^(1/5)-1,0)</f>
        <v>6.699675773069802E-2</v>
      </c>
      <c r="U1986" s="10">
        <f t="shared" si="62"/>
        <v>9.1001757730698019E-2</v>
      </c>
      <c r="V1986" s="26">
        <f t="shared" si="63"/>
        <v>4.6794832958703934</v>
      </c>
      <c r="W1986" s="3">
        <f>IF(A1986=A1987,N1986-N1987,0)</f>
        <v>0</v>
      </c>
      <c r="X1986" s="10">
        <f>IF(A1986=A1987,(N1986-N1987)/N1987,0)</f>
        <v>0</v>
      </c>
    </row>
    <row r="1987" spans="1:24" ht="16.5" customHeight="1">
      <c r="A1987" s="3" t="s">
        <v>45</v>
      </c>
      <c r="B1987" s="3">
        <f t="shared" si="56"/>
        <v>2007</v>
      </c>
      <c r="C1987" s="3">
        <f t="shared" si="57"/>
        <v>10</v>
      </c>
      <c r="D1987" s="20" t="str">
        <f t="shared" si="58"/>
        <v>ABT200710</v>
      </c>
      <c r="E1987" s="2">
        <v>39366</v>
      </c>
      <c r="F1987" s="3">
        <v>0.32500000000000001</v>
      </c>
      <c r="G1987" s="2">
        <v>39401</v>
      </c>
      <c r="H1987" s="3">
        <v>2.3400000000000001E-2</v>
      </c>
      <c r="I1987" s="3">
        <v>0</v>
      </c>
      <c r="J1987" s="3">
        <v>0</v>
      </c>
      <c r="K1987" s="3">
        <f t="shared" si="59"/>
        <v>2007</v>
      </c>
      <c r="L1987" s="3">
        <f t="shared" si="60"/>
        <v>0</v>
      </c>
      <c r="M1987" s="20" t="str">
        <f>A1987&amp;L1987</f>
        <v>ABT0</v>
      </c>
      <c r="N1987" s="3">
        <f>F1987/4</f>
        <v>8.1250000000000003E-2</v>
      </c>
      <c r="O1987" s="9">
        <f>H1987</f>
        <v>2.3400000000000001E-2</v>
      </c>
      <c r="P1987" s="10">
        <f t="shared" si="61"/>
        <v>0</v>
      </c>
      <c r="Q1987" s="10">
        <f>IF(K1987=0,IF(A1984=A1987,AVERAGE(O1984:O1987),"x"),0)</f>
        <v>0</v>
      </c>
      <c r="R1987" s="9">
        <f>IF(L1987&gt;2005,AVERAGE(O1984:O2003),0)</f>
        <v>0</v>
      </c>
      <c r="S1987" s="10">
        <f>IF(A1987=A1988,(N1987-N1988)/N1988,0)</f>
        <v>0</v>
      </c>
      <c r="T1987" s="10">
        <f>IF(L1987&gt;2005,(((N1987-N2007)/N2007)+1)^(1/5)-1,0)</f>
        <v>0</v>
      </c>
      <c r="U1987" s="10">
        <f t="shared" si="62"/>
        <v>0</v>
      </c>
      <c r="V1987" s="26">
        <f t="shared" si="63"/>
        <v>0</v>
      </c>
      <c r="W1987" s="3">
        <f>IF(A1987=A1988,N1987-N1988,0)</f>
        <v>0</v>
      </c>
      <c r="X1987" s="10">
        <f>IF(A1987=A1988,(N1987-N1988)/N1988,0)</f>
        <v>0</v>
      </c>
    </row>
    <row r="1988" spans="1:24" ht="16.5" customHeight="1">
      <c r="A1988" s="3" t="s">
        <v>45</v>
      </c>
      <c r="B1988" s="3">
        <f t="shared" si="56"/>
        <v>2007</v>
      </c>
      <c r="C1988" s="3">
        <f t="shared" si="57"/>
        <v>7</v>
      </c>
      <c r="D1988" s="20" t="str">
        <f t="shared" si="58"/>
        <v>ABT20077</v>
      </c>
      <c r="E1988" s="2">
        <v>39274</v>
      </c>
      <c r="F1988" s="3">
        <v>0.32500000000000001</v>
      </c>
      <c r="G1988" s="2">
        <v>39309</v>
      </c>
      <c r="H1988" s="3">
        <v>2.3400000000000001E-2</v>
      </c>
      <c r="I1988" s="3">
        <v>0</v>
      </c>
      <c r="J1988" s="3">
        <v>0</v>
      </c>
      <c r="K1988" s="3">
        <f t="shared" si="59"/>
        <v>2007</v>
      </c>
      <c r="L1988" s="3">
        <f t="shared" si="60"/>
        <v>0</v>
      </c>
      <c r="M1988" s="20" t="str">
        <f>A1988&amp;L1988</f>
        <v>ABT0</v>
      </c>
      <c r="N1988" s="3">
        <f>F1988/4</f>
        <v>8.1250000000000003E-2</v>
      </c>
      <c r="O1988" s="9">
        <f>H1988</f>
        <v>2.3400000000000001E-2</v>
      </c>
      <c r="P1988" s="10">
        <f t="shared" si="61"/>
        <v>0</v>
      </c>
      <c r="Q1988" s="10">
        <f>IF(K1988=0,IF(A1985=A1988,AVERAGE(O1985:O1988),"x"),0)</f>
        <v>0</v>
      </c>
      <c r="R1988" s="9">
        <f>IF(L1988&gt;2005,AVERAGE(O1985:O2004),0)</f>
        <v>0</v>
      </c>
      <c r="S1988" s="10">
        <f>IF(A1988=A1989,(N1988-N1989)/N1989,0)</f>
        <v>0</v>
      </c>
      <c r="T1988" s="10">
        <f>IF(L1988&gt;2005,(((N1988-N2008)/N2008)+1)^(1/5)-1,0)</f>
        <v>0</v>
      </c>
      <c r="U1988" s="10">
        <f t="shared" si="62"/>
        <v>0</v>
      </c>
      <c r="V1988" s="26">
        <f t="shared" si="63"/>
        <v>0</v>
      </c>
      <c r="W1988" s="3">
        <f>IF(A1988=A1989,N1988-N1989,0)</f>
        <v>0</v>
      </c>
      <c r="X1988" s="10">
        <f>IF(A1988=A1989,(N1988-N1989)/N1989,0)</f>
        <v>0</v>
      </c>
    </row>
    <row r="1989" spans="1:24" ht="16.5" customHeight="1">
      <c r="A1989" s="3" t="s">
        <v>45</v>
      </c>
      <c r="B1989" s="3">
        <f t="shared" si="56"/>
        <v>2007</v>
      </c>
      <c r="C1989" s="3">
        <f t="shared" si="57"/>
        <v>4</v>
      </c>
      <c r="D1989" s="20" t="str">
        <f t="shared" si="58"/>
        <v>ABT20074</v>
      </c>
      <c r="E1989" s="2">
        <v>39183</v>
      </c>
      <c r="F1989" s="3">
        <v>0.32500000000000001</v>
      </c>
      <c r="G1989" s="2">
        <v>39217</v>
      </c>
      <c r="H1989" s="3">
        <v>2.12E-2</v>
      </c>
      <c r="I1989" s="3">
        <v>0.101694915</v>
      </c>
      <c r="J1989" s="3">
        <v>0.03</v>
      </c>
      <c r="K1989" s="3">
        <f t="shared" si="59"/>
        <v>2007</v>
      </c>
      <c r="L1989" s="3">
        <f t="shared" si="60"/>
        <v>0</v>
      </c>
      <c r="M1989" s="20" t="str">
        <f>A1989&amp;L1989</f>
        <v>ABT0</v>
      </c>
      <c r="N1989" s="3">
        <f>F1989/4</f>
        <v>8.1250000000000003E-2</v>
      </c>
      <c r="O1989" s="9">
        <f>H1989</f>
        <v>2.12E-2</v>
      </c>
      <c r="P1989" s="10">
        <f t="shared" si="61"/>
        <v>2.3775000000000001E-2</v>
      </c>
      <c r="Q1989" s="10">
        <f>IF(K1989=0,IF(A1986=A1989,AVERAGE(O1986:O1989),"x"),0)</f>
        <v>0</v>
      </c>
      <c r="R1989" s="9">
        <f>IF(L1989&gt;2005,AVERAGE(O1986:O2005),0)</f>
        <v>0</v>
      </c>
      <c r="S1989" s="10">
        <f>IF(A1989=A1990,(N1989-N1990)/N1990,0)</f>
        <v>0.10169491525423738</v>
      </c>
      <c r="T1989" s="10">
        <f>IF(L1989&gt;2005,(((N1989-N2009)/N2009)+1)^(1/5)-1,0)</f>
        <v>0</v>
      </c>
      <c r="U1989" s="10">
        <f t="shared" si="62"/>
        <v>0</v>
      </c>
      <c r="V1989" s="26">
        <f t="shared" si="63"/>
        <v>0</v>
      </c>
      <c r="W1989" s="3">
        <f>IF(A1989=A1990,N1989-N1990,0)</f>
        <v>7.5000000000000067E-3</v>
      </c>
      <c r="X1989" s="10">
        <f>IF(A1989=A1990,(N1989-N1990)/N1990,0)</f>
        <v>0.10169491525423738</v>
      </c>
    </row>
    <row r="1990" spans="1:24" ht="16.5" customHeight="1">
      <c r="A1990" s="3" t="s">
        <v>45</v>
      </c>
      <c r="B1990" s="3">
        <f t="shared" si="56"/>
        <v>2007</v>
      </c>
      <c r="C1990" s="3">
        <f t="shared" si="57"/>
        <v>1</v>
      </c>
      <c r="D1990" s="20" t="str">
        <f t="shared" si="58"/>
        <v>ABT20071</v>
      </c>
      <c r="E1990" s="2">
        <v>39092</v>
      </c>
      <c r="F1990" s="3">
        <v>0.29499999999999998</v>
      </c>
      <c r="G1990" s="2">
        <v>39128</v>
      </c>
      <c r="H1990" s="3">
        <v>2.3400000000000001E-2</v>
      </c>
      <c r="I1990" s="3">
        <v>0</v>
      </c>
      <c r="J1990" s="3">
        <v>0</v>
      </c>
      <c r="K1990" s="3">
        <f t="shared" si="59"/>
        <v>0</v>
      </c>
      <c r="L1990" s="3">
        <f t="shared" si="60"/>
        <v>2007</v>
      </c>
      <c r="M1990" s="20" t="str">
        <f>A1990&amp;L1990</f>
        <v>ABT2007</v>
      </c>
      <c r="N1990" s="3">
        <f>F1990/4</f>
        <v>7.3749999999999996E-2</v>
      </c>
      <c r="O1990" s="9">
        <f>H1990</f>
        <v>2.3400000000000001E-2</v>
      </c>
      <c r="P1990" s="10">
        <f t="shared" si="61"/>
        <v>0</v>
      </c>
      <c r="Q1990" s="10">
        <f>IF(K1990=0,IF(A1987=A1990,AVERAGE(O1987:O1990),"x"),0)</f>
        <v>2.2850000000000002E-2</v>
      </c>
      <c r="R1990" s="9">
        <f>IF(L1990&gt;2005,AVERAGE(O1987:O2006),0)</f>
        <v>2.3705000000000007E-2</v>
      </c>
      <c r="S1990" s="10">
        <f>IF(A1990=A1991,(N1990-N1991)/N1991,0)</f>
        <v>0</v>
      </c>
      <c r="T1990" s="10">
        <f>IF(L1990&gt;2005,(((N1990-N2010)/N2010)+1)^(1/5)-1,0)</f>
        <v>7.0337013879057109E-2</v>
      </c>
      <c r="U1990" s="10">
        <f t="shared" si="62"/>
        <v>9.4042013879057113E-2</v>
      </c>
      <c r="V1990" s="26">
        <f t="shared" si="63"/>
        <v>4.684227851430351</v>
      </c>
      <c r="W1990" s="3">
        <f>IF(A1990=A1991,N1990-N1991,0)</f>
        <v>0</v>
      </c>
      <c r="X1990" s="10">
        <f>IF(A1990=A1991,(N1990-N1991)/N1991,0)</f>
        <v>0</v>
      </c>
    </row>
    <row r="1991" spans="1:24" ht="16.5" customHeight="1">
      <c r="A1991" s="3" t="s">
        <v>45</v>
      </c>
      <c r="B1991" s="3">
        <f t="shared" si="56"/>
        <v>2006</v>
      </c>
      <c r="C1991" s="3">
        <f t="shared" si="57"/>
        <v>10</v>
      </c>
      <c r="D1991" s="20" t="str">
        <f t="shared" si="58"/>
        <v>ABT200610</v>
      </c>
      <c r="E1991" s="2">
        <v>39001</v>
      </c>
      <c r="F1991" s="3">
        <v>0.29499999999999998</v>
      </c>
      <c r="G1991" s="2">
        <v>39036</v>
      </c>
      <c r="H1991" s="3">
        <v>2.4899999999999999E-2</v>
      </c>
      <c r="I1991" s="3">
        <v>0</v>
      </c>
      <c r="J1991" s="3">
        <v>0</v>
      </c>
      <c r="K1991" s="3">
        <f t="shared" si="59"/>
        <v>2006</v>
      </c>
      <c r="L1991" s="3">
        <f t="shared" si="60"/>
        <v>0</v>
      </c>
      <c r="M1991" s="20" t="str">
        <f>A1991&amp;L1991</f>
        <v>ABT0</v>
      </c>
      <c r="N1991" s="3">
        <f>F1991/4</f>
        <v>7.3749999999999996E-2</v>
      </c>
      <c r="O1991" s="9">
        <f>H1991</f>
        <v>2.4899999999999999E-2</v>
      </c>
      <c r="P1991" s="10">
        <f t="shared" si="61"/>
        <v>0</v>
      </c>
      <c r="Q1991" s="10">
        <f>IF(K1991=0,IF(A1988=A1991,AVERAGE(O1988:O1991),"x"),0)</f>
        <v>0</v>
      </c>
      <c r="R1991" s="9">
        <f>IF(L1991&gt;2005,AVERAGE(O1988:O2007),0)</f>
        <v>0</v>
      </c>
      <c r="S1991" s="10">
        <f>IF(A1991=A1992,(N1991-N1992)/N1992,0)</f>
        <v>0</v>
      </c>
      <c r="T1991" s="10">
        <f>IF(L1991&gt;2005,(((N1991-N2011)/N2011)+1)^(1/5)-1,0)</f>
        <v>0</v>
      </c>
      <c r="U1991" s="10">
        <f t="shared" si="62"/>
        <v>0</v>
      </c>
      <c r="V1991" s="26">
        <f t="shared" si="63"/>
        <v>0</v>
      </c>
      <c r="W1991" s="3">
        <f>IF(A1991=A1992,N1991-N1992,0)</f>
        <v>0</v>
      </c>
      <c r="X1991" s="10">
        <f>IF(A1991=A1992,(N1991-N1992)/N1992,0)</f>
        <v>0</v>
      </c>
    </row>
    <row r="1992" spans="1:24" ht="16.5" customHeight="1">
      <c r="A1992" s="3" t="s">
        <v>45</v>
      </c>
      <c r="B1992" s="3">
        <f t="shared" si="56"/>
        <v>2006</v>
      </c>
      <c r="C1992" s="3">
        <f t="shared" si="57"/>
        <v>7</v>
      </c>
      <c r="D1992" s="20" t="str">
        <f t="shared" si="58"/>
        <v>ABT20067</v>
      </c>
      <c r="E1992" s="2">
        <v>38910</v>
      </c>
      <c r="F1992" s="3">
        <v>0.29499999999999998</v>
      </c>
      <c r="G1992" s="2">
        <v>38944</v>
      </c>
      <c r="H1992" s="3">
        <v>2.5600000000000001E-2</v>
      </c>
      <c r="I1992" s="3">
        <v>0</v>
      </c>
      <c r="J1992" s="3">
        <v>0</v>
      </c>
      <c r="K1992" s="3">
        <f t="shared" si="59"/>
        <v>2006</v>
      </c>
      <c r="L1992" s="3">
        <f t="shared" si="60"/>
        <v>0</v>
      </c>
      <c r="M1992" s="20" t="str">
        <f>A1992&amp;L1992</f>
        <v>ABT0</v>
      </c>
      <c r="N1992" s="3">
        <f>F1992/4</f>
        <v>7.3749999999999996E-2</v>
      </c>
      <c r="O1992" s="9">
        <f>H1992</f>
        <v>2.5600000000000001E-2</v>
      </c>
      <c r="P1992" s="10">
        <f t="shared" si="61"/>
        <v>0</v>
      </c>
      <c r="Q1992" s="10">
        <f>IF(K1992=0,IF(A1989=A1992,AVERAGE(O1989:O1992),"x"),0)</f>
        <v>0</v>
      </c>
      <c r="R1992" s="9">
        <f>IF(L1992&gt;2005,AVERAGE(O1989:O2008),0)</f>
        <v>0</v>
      </c>
      <c r="S1992" s="10">
        <f>IF(A1992=A1993,(N1992-N1993)/N1993,0)</f>
        <v>0</v>
      </c>
      <c r="T1992" s="10">
        <f>IF(L1992&gt;2005,(((N1992-N2012)/N2012)+1)^(1/5)-1,0)</f>
        <v>0</v>
      </c>
      <c r="U1992" s="10">
        <f t="shared" si="62"/>
        <v>0</v>
      </c>
      <c r="V1992" s="26">
        <f t="shared" si="63"/>
        <v>0</v>
      </c>
      <c r="W1992" s="3">
        <f>IF(A1992=A1993,N1992-N1993,0)</f>
        <v>0</v>
      </c>
      <c r="X1992" s="10">
        <f>IF(A1992=A1993,(N1992-N1993)/N1993,0)</f>
        <v>0</v>
      </c>
    </row>
    <row r="1993" spans="1:24" ht="16.5" customHeight="1">
      <c r="A1993" s="3" t="s">
        <v>45</v>
      </c>
      <c r="B1993" s="3">
        <f t="shared" si="56"/>
        <v>2006</v>
      </c>
      <c r="C1993" s="3">
        <f t="shared" si="57"/>
        <v>4</v>
      </c>
      <c r="D1993" s="20" t="str">
        <f t="shared" si="58"/>
        <v>ABT20064</v>
      </c>
      <c r="E1993" s="2">
        <v>38818</v>
      </c>
      <c r="F1993" s="3">
        <v>0.29499999999999998</v>
      </c>
      <c r="G1993" s="2">
        <v>38852</v>
      </c>
      <c r="H1993" s="3">
        <v>2.6599999999999999E-2</v>
      </c>
      <c r="I1993" s="3">
        <v>7.2727272999999995E-2</v>
      </c>
      <c r="J1993" s="3">
        <v>0.02</v>
      </c>
      <c r="K1993" s="3">
        <f t="shared" si="59"/>
        <v>2006</v>
      </c>
      <c r="L1993" s="3">
        <f t="shared" si="60"/>
        <v>0</v>
      </c>
      <c r="M1993" s="20" t="str">
        <f>A1993&amp;L1993</f>
        <v>ABT0</v>
      </c>
      <c r="N1993" s="3">
        <f>F1993/4</f>
        <v>7.3749999999999996E-2</v>
      </c>
      <c r="O1993" s="9">
        <f>H1993</f>
        <v>2.6599999999999999E-2</v>
      </c>
      <c r="P1993" s="10">
        <f t="shared" si="61"/>
        <v>2.495E-2</v>
      </c>
      <c r="Q1993" s="10">
        <f>IF(K1993=0,IF(A1990=A1993,AVERAGE(O1990:O1993),"x"),0)</f>
        <v>0</v>
      </c>
      <c r="R1993" s="9">
        <f>IF(L1993&gt;2005,AVERAGE(O1990:O2009),0)</f>
        <v>0</v>
      </c>
      <c r="S1993" s="10">
        <f>IF(A1993=A1994,(N1993-N1994)/N1994,0)</f>
        <v>7.2727272727272585E-2</v>
      </c>
      <c r="T1993" s="10">
        <f>IF(L1993&gt;2005,(((N1993-N2013)/N2013)+1)^(1/5)-1,0)</f>
        <v>0</v>
      </c>
      <c r="U1993" s="10">
        <f t="shared" si="62"/>
        <v>0</v>
      </c>
      <c r="V1993" s="26">
        <f t="shared" si="63"/>
        <v>0</v>
      </c>
      <c r="W1993" s="3">
        <f>IF(A1993=A1994,N1993-N1994,0)</f>
        <v>4.9999999999999906E-3</v>
      </c>
      <c r="X1993" s="10">
        <f>IF(A1993=A1994,(N1993-N1994)/N1994,0)</f>
        <v>7.2727272727272585E-2</v>
      </c>
    </row>
    <row r="1994" spans="1:24" ht="16.5" customHeight="1">
      <c r="A1994" s="3" t="s">
        <v>45</v>
      </c>
      <c r="B1994" s="3">
        <f t="shared" si="56"/>
        <v>2006</v>
      </c>
      <c r="C1994" s="3">
        <f t="shared" si="57"/>
        <v>1</v>
      </c>
      <c r="D1994" s="20" t="str">
        <f t="shared" si="58"/>
        <v>ABT20061</v>
      </c>
      <c r="E1994" s="2">
        <v>38728</v>
      </c>
      <c r="F1994" s="3">
        <v>0.27500000000000002</v>
      </c>
      <c r="G1994" s="2">
        <v>38763</v>
      </c>
      <c r="H1994" s="3">
        <v>2.6200000000000001E-2</v>
      </c>
      <c r="I1994" s="3">
        <v>0</v>
      </c>
      <c r="J1994" s="3">
        <v>0</v>
      </c>
      <c r="K1994" s="3">
        <f t="shared" si="59"/>
        <v>0</v>
      </c>
      <c r="L1994" s="3">
        <f t="shared" si="60"/>
        <v>2006</v>
      </c>
      <c r="M1994" s="20" t="str">
        <f>A1994&amp;L1994</f>
        <v>ABT2006</v>
      </c>
      <c r="N1994" s="3">
        <f>F1994/4</f>
        <v>6.8750000000000006E-2</v>
      </c>
      <c r="O1994" s="9">
        <f>H1994</f>
        <v>2.6200000000000001E-2</v>
      </c>
      <c r="P1994" s="10">
        <f t="shared" si="61"/>
        <v>0</v>
      </c>
      <c r="Q1994" s="10">
        <f>IF(K1994=0,IF(A1991=A1994,AVERAGE(O1991:O1994),"x"),0)</f>
        <v>2.5825000000000001E-2</v>
      </c>
      <c r="R1994" s="9">
        <f>IF(L1994&gt;2005,AVERAGE(O1991:O2010),0)</f>
        <v>2.3134999999999999E-2</v>
      </c>
      <c r="S1994" s="10">
        <f>IF(A1994=A1995,(N1994-N1995)/N1995,0)</f>
        <v>0</v>
      </c>
      <c r="T1994" s="10">
        <f>IF(L1994&gt;2005,(((N1994-N2014)/N2014)+1)^(1/5)-1,0)</f>
        <v>7.6752325943092448E-2</v>
      </c>
      <c r="U1994" s="10">
        <f t="shared" si="62"/>
        <v>9.988732594309245E-2</v>
      </c>
      <c r="V1994" s="26">
        <f t="shared" si="63"/>
        <v>4.6932005495413307</v>
      </c>
      <c r="W1994" s="3">
        <f>IF(A1994=A1995,N1994-N1995,0)</f>
        <v>0</v>
      </c>
      <c r="X1994" s="10">
        <f>IF(A1994=A1995,(N1994-N1995)/N1995,0)</f>
        <v>0</v>
      </c>
    </row>
    <row r="1995" spans="1:24" ht="16.5" customHeight="1">
      <c r="A1995" s="3" t="s">
        <v>45</v>
      </c>
      <c r="B1995" s="3">
        <f t="shared" si="56"/>
        <v>2005</v>
      </c>
      <c r="C1995" s="3">
        <f t="shared" si="57"/>
        <v>10</v>
      </c>
      <c r="D1995" s="20" t="str">
        <f t="shared" si="58"/>
        <v>ABT200510</v>
      </c>
      <c r="E1995" s="2">
        <v>38637</v>
      </c>
      <c r="F1995" s="3">
        <v>0.27500000000000002</v>
      </c>
      <c r="G1995" s="2">
        <v>38671</v>
      </c>
      <c r="H1995" s="3">
        <v>2.5600000000000001E-2</v>
      </c>
      <c r="I1995" s="3">
        <v>0</v>
      </c>
      <c r="J1995" s="3">
        <v>0</v>
      </c>
      <c r="K1995" s="3">
        <f t="shared" si="59"/>
        <v>2005</v>
      </c>
      <c r="L1995" s="3">
        <f t="shared" si="60"/>
        <v>0</v>
      </c>
      <c r="M1995" s="20" t="str">
        <f>A1995&amp;L1995</f>
        <v>ABT0</v>
      </c>
      <c r="N1995" s="3">
        <f>F1995/4</f>
        <v>6.8750000000000006E-2</v>
      </c>
      <c r="O1995" s="9">
        <f>H1995</f>
        <v>2.5600000000000001E-2</v>
      </c>
      <c r="P1995" s="10">
        <f t="shared" si="61"/>
        <v>0</v>
      </c>
      <c r="Q1995" s="10">
        <f>IF(K1995=0,IF(A1992=A1995,AVERAGE(O1992:O1995),"x"),0)</f>
        <v>0</v>
      </c>
      <c r="R1995" s="9">
        <f>IF(L1995&gt;2005,AVERAGE(O1992:O2011),0)</f>
        <v>0</v>
      </c>
      <c r="S1995" s="10">
        <f>IF(A1995=A1996,(N1995-N1996)/N1996,0)</f>
        <v>0</v>
      </c>
      <c r="T1995" s="10">
        <f>IF(L1995&gt;2005,(((N1995-N2015)/N2015)+1)^(1/5)-1,0)</f>
        <v>0</v>
      </c>
      <c r="U1995" s="10">
        <f t="shared" si="62"/>
        <v>0</v>
      </c>
      <c r="V1995" s="26">
        <f t="shared" si="63"/>
        <v>0</v>
      </c>
      <c r="W1995" s="3">
        <f>IF(A1995=A1996,N1995-N1996,0)</f>
        <v>0</v>
      </c>
      <c r="X1995" s="10">
        <f>IF(A1995=A1996,(N1995-N1996)/N1996,0)</f>
        <v>0</v>
      </c>
    </row>
    <row r="1996" spans="1:24" ht="16.5" customHeight="1">
      <c r="A1996" s="3" t="s">
        <v>45</v>
      </c>
      <c r="B1996" s="3">
        <f t="shared" si="56"/>
        <v>2005</v>
      </c>
      <c r="C1996" s="3">
        <f t="shared" si="57"/>
        <v>7</v>
      </c>
      <c r="D1996" s="20" t="str">
        <f t="shared" si="58"/>
        <v>ABT20057</v>
      </c>
      <c r="E1996" s="2">
        <v>38546</v>
      </c>
      <c r="F1996" s="3">
        <v>0.27500000000000002</v>
      </c>
      <c r="G1996" s="2">
        <v>38579</v>
      </c>
      <c r="H1996" s="3">
        <v>2.1399999999999999E-2</v>
      </c>
      <c r="I1996" s="3">
        <v>0</v>
      </c>
      <c r="J1996" s="3">
        <v>0</v>
      </c>
      <c r="K1996" s="3">
        <f t="shared" si="59"/>
        <v>2005</v>
      </c>
      <c r="L1996" s="3">
        <f t="shared" si="60"/>
        <v>0</v>
      </c>
      <c r="M1996" s="20" t="str">
        <f>A1996&amp;L1996</f>
        <v>ABT0</v>
      </c>
      <c r="N1996" s="3">
        <f>F1996/4</f>
        <v>6.8750000000000006E-2</v>
      </c>
      <c r="O1996" s="9">
        <f>H1996</f>
        <v>2.1399999999999999E-2</v>
      </c>
      <c r="P1996" s="10">
        <f t="shared" si="61"/>
        <v>0</v>
      </c>
      <c r="Q1996" s="10">
        <f>IF(K1996=0,IF(A1993=A1996,AVERAGE(O1993:O1996),"x"),0)</f>
        <v>0</v>
      </c>
      <c r="R1996" s="9">
        <f>IF(L1996&gt;2005,AVERAGE(O1993:O2012),0)</f>
        <v>0</v>
      </c>
      <c r="S1996" s="10">
        <f>IF(A1996=A1997,(N1996-N1997)/N1997,0)</f>
        <v>0</v>
      </c>
      <c r="T1996" s="10">
        <f>IF(L1996&gt;2005,(((N1996-N2016)/N2016)+1)^(1/5)-1,0)</f>
        <v>0</v>
      </c>
      <c r="U1996" s="10">
        <f t="shared" si="62"/>
        <v>0</v>
      </c>
      <c r="V1996" s="26">
        <f t="shared" si="63"/>
        <v>0</v>
      </c>
      <c r="W1996" s="3">
        <f>IF(A1996=A1997,N1996-N1997,0)</f>
        <v>0</v>
      </c>
      <c r="X1996" s="10">
        <f>IF(A1996=A1997,(N1996-N1997)/N1997,0)</f>
        <v>0</v>
      </c>
    </row>
    <row r="1997" spans="1:24" ht="16.5" customHeight="1">
      <c r="A1997" s="3" t="s">
        <v>45</v>
      </c>
      <c r="B1997" s="3">
        <f t="shared" si="56"/>
        <v>2005</v>
      </c>
      <c r="C1997" s="3">
        <f t="shared" si="57"/>
        <v>4</v>
      </c>
      <c r="D1997" s="20" t="str">
        <f t="shared" si="58"/>
        <v>ABT20054</v>
      </c>
      <c r="E1997" s="2">
        <v>38455</v>
      </c>
      <c r="F1997" s="3">
        <v>0.27500000000000002</v>
      </c>
      <c r="G1997" s="2">
        <v>38487</v>
      </c>
      <c r="H1997" s="3">
        <v>2.1999999999999999E-2</v>
      </c>
      <c r="I1997" s="3">
        <v>5.7692307999999998E-2</v>
      </c>
      <c r="J1997" s="3">
        <v>1.4999999999999999E-2</v>
      </c>
      <c r="K1997" s="3">
        <f t="shared" si="59"/>
        <v>2005</v>
      </c>
      <c r="L1997" s="3">
        <f t="shared" si="60"/>
        <v>0</v>
      </c>
      <c r="M1997" s="20" t="str">
        <f>A1997&amp;L1997</f>
        <v>ABT0</v>
      </c>
      <c r="N1997" s="3">
        <f>F1997/4</f>
        <v>6.8750000000000006E-2</v>
      </c>
      <c r="O1997" s="9">
        <f>H1997</f>
        <v>2.1999999999999999E-2</v>
      </c>
      <c r="P1997" s="10">
        <f t="shared" si="61"/>
        <v>2.3449999999999999E-2</v>
      </c>
      <c r="Q1997" s="10">
        <f>IF(K1997=0,IF(A1994=A1997,AVERAGE(O1994:O1997),"x"),0)</f>
        <v>0</v>
      </c>
      <c r="R1997" s="9">
        <f>IF(L1997&gt;2005,AVERAGE(O1994:O2013),0)</f>
        <v>0</v>
      </c>
      <c r="S1997" s="10">
        <f>IF(A1997=A1998,(N1997-N1998)/N1998,0)</f>
        <v>5.7692307692307744E-2</v>
      </c>
      <c r="T1997" s="10">
        <f>IF(L1997&gt;2005,(((N1997-N2017)/N2017)+1)^(1/5)-1,0)</f>
        <v>0</v>
      </c>
      <c r="U1997" s="10">
        <f t="shared" si="62"/>
        <v>0</v>
      </c>
      <c r="V1997" s="26">
        <f t="shared" si="63"/>
        <v>0</v>
      </c>
      <c r="W1997" s="3">
        <f>IF(A1997=A1998,N1997-N1998,0)</f>
        <v>3.7500000000000033E-3</v>
      </c>
      <c r="X1997" s="10">
        <f>IF(A1997=A1998,(N1997-N1998)/N1998,0)</f>
        <v>5.7692307692307744E-2</v>
      </c>
    </row>
    <row r="1998" spans="1:24" ht="16.5" customHeight="1">
      <c r="A1998" s="3" t="s">
        <v>45</v>
      </c>
      <c r="B1998" s="3">
        <f t="shared" si="56"/>
        <v>2005</v>
      </c>
      <c r="C1998" s="3">
        <f t="shared" si="57"/>
        <v>1</v>
      </c>
      <c r="D1998" s="20" t="str">
        <f t="shared" si="58"/>
        <v>ABT20051</v>
      </c>
      <c r="E1998" s="2">
        <v>38364</v>
      </c>
      <c r="F1998" s="3">
        <v>0.26</v>
      </c>
      <c r="G1998" s="2">
        <v>38398</v>
      </c>
      <c r="H1998" s="3">
        <v>2.2100000000000002E-2</v>
      </c>
      <c r="I1998" s="3">
        <v>0</v>
      </c>
      <c r="J1998" s="3">
        <v>0</v>
      </c>
      <c r="K1998" s="3">
        <f t="shared" si="59"/>
        <v>0</v>
      </c>
      <c r="L1998" s="3">
        <f t="shared" si="60"/>
        <v>2005</v>
      </c>
      <c r="M1998" s="20" t="str">
        <f>A1998&amp;L1998</f>
        <v>ABT2005</v>
      </c>
      <c r="N1998" s="3">
        <f>F1998/4</f>
        <v>6.5000000000000002E-2</v>
      </c>
      <c r="O1998" s="9">
        <f>H1998</f>
        <v>2.2100000000000002E-2</v>
      </c>
      <c r="P1998" s="10">
        <f t="shared" si="61"/>
        <v>0</v>
      </c>
      <c r="Q1998" s="10">
        <f>IF(K1998=0,IF(A1995=A1998,AVERAGE(O1995:O1998),"x"),0)</f>
        <v>2.2775000000000004E-2</v>
      </c>
      <c r="R1998" s="9">
        <f>IF(L1998&gt;2005,AVERAGE(O1995:O2014),0)</f>
        <v>0</v>
      </c>
      <c r="S1998" s="10">
        <f>IF(A1998=A1999,(N1998-N1999)/N1999,0)</f>
        <v>0</v>
      </c>
      <c r="T1998" s="10">
        <f>IF(L1998&gt;2005,(((N1998-N2018)/N2018)+1)^(1/5)-1,0)</f>
        <v>0</v>
      </c>
      <c r="U1998" s="10">
        <f t="shared" si="62"/>
        <v>0</v>
      </c>
      <c r="V1998" s="26">
        <f t="shared" si="63"/>
        <v>0</v>
      </c>
      <c r="W1998" s="3">
        <f>IF(A1998=A1999,N1998-N1999,0)</f>
        <v>0</v>
      </c>
      <c r="X1998" s="10">
        <f>IF(A1998=A1999,(N1998-N1999)/N1999,0)</f>
        <v>0</v>
      </c>
    </row>
    <row r="1999" spans="1:24" ht="16.5" customHeight="1">
      <c r="A1999" s="3" t="s">
        <v>45</v>
      </c>
      <c r="B1999" s="3">
        <f t="shared" si="56"/>
        <v>2004</v>
      </c>
      <c r="C1999" s="3">
        <f t="shared" si="57"/>
        <v>10</v>
      </c>
      <c r="D1999" s="20" t="str">
        <f t="shared" si="58"/>
        <v>ABT200410</v>
      </c>
      <c r="E1999" s="2">
        <v>38273</v>
      </c>
      <c r="F1999" s="3">
        <v>0.26</v>
      </c>
      <c r="G1999" s="2">
        <v>38306</v>
      </c>
      <c r="H1999" s="3">
        <v>2.47E-2</v>
      </c>
      <c r="I1999" s="3">
        <v>0</v>
      </c>
      <c r="J1999" s="3">
        <v>0</v>
      </c>
      <c r="K1999" s="3">
        <f t="shared" si="59"/>
        <v>2004</v>
      </c>
      <c r="L1999" s="3">
        <f t="shared" si="60"/>
        <v>0</v>
      </c>
      <c r="M1999" s="20" t="str">
        <f>A1999&amp;L1999</f>
        <v>ABT0</v>
      </c>
      <c r="N1999" s="3">
        <f>F1999/4</f>
        <v>6.5000000000000002E-2</v>
      </c>
      <c r="O1999" s="9">
        <f>H1999</f>
        <v>2.47E-2</v>
      </c>
      <c r="P1999" s="10">
        <f t="shared" si="61"/>
        <v>0</v>
      </c>
      <c r="Q1999" s="10">
        <f>IF(K1999=0,IF(A1996=A1999,AVERAGE(O1996:O1999),"x"),0)</f>
        <v>0</v>
      </c>
      <c r="R1999" s="9">
        <f>IF(L1999&gt;2005,AVERAGE(O1996:O2015),0)</f>
        <v>0</v>
      </c>
      <c r="S1999" s="10">
        <f>IF(A1999=A2000,(N1999-N2000)/N2000,0)</f>
        <v>0</v>
      </c>
      <c r="T1999" s="10">
        <f>IF(L1999&gt;2005,(((N1999-N2019)/N2019)+1)^(1/5)-1,0)</f>
        <v>0</v>
      </c>
      <c r="U1999" s="10">
        <f t="shared" si="62"/>
        <v>0</v>
      </c>
      <c r="V1999" s="26">
        <f t="shared" si="63"/>
        <v>0</v>
      </c>
      <c r="W1999" s="3">
        <f>IF(A1999=A2000,N1999-N2000,0)</f>
        <v>0</v>
      </c>
      <c r="X1999" s="10">
        <f>IF(A1999=A2000,(N1999-N2000)/N2000,0)</f>
        <v>0</v>
      </c>
    </row>
    <row r="2000" spans="1:24" ht="16.5" customHeight="1">
      <c r="A2000" s="3" t="s">
        <v>45</v>
      </c>
      <c r="B2000" s="3">
        <f t="shared" si="56"/>
        <v>2004</v>
      </c>
      <c r="C2000" s="3">
        <f t="shared" si="57"/>
        <v>7</v>
      </c>
      <c r="D2000" s="20" t="str">
        <f t="shared" si="58"/>
        <v>ABT20047</v>
      </c>
      <c r="E2000" s="2">
        <v>38181</v>
      </c>
      <c r="F2000" s="3">
        <v>0.26</v>
      </c>
      <c r="G2000" s="2">
        <v>38214</v>
      </c>
      <c r="H2000" s="3">
        <v>2.5000000000000001E-2</v>
      </c>
      <c r="I2000" s="3">
        <v>0</v>
      </c>
      <c r="J2000" s="3">
        <v>0</v>
      </c>
      <c r="K2000" s="3">
        <f t="shared" si="59"/>
        <v>2004</v>
      </c>
      <c r="L2000" s="3">
        <f t="shared" si="60"/>
        <v>0</v>
      </c>
      <c r="M2000" s="20" t="str">
        <f>A2000&amp;L2000</f>
        <v>ABT0</v>
      </c>
      <c r="N2000" s="3">
        <f>F2000/4</f>
        <v>6.5000000000000002E-2</v>
      </c>
      <c r="O2000" s="9">
        <f>H2000</f>
        <v>2.5000000000000001E-2</v>
      </c>
      <c r="P2000" s="10">
        <f t="shared" si="61"/>
        <v>0</v>
      </c>
      <c r="Q2000" s="10">
        <f>IF(K2000=0,IF(A1997=A2000,AVERAGE(O1997:O2000),"x"),0)</f>
        <v>0</v>
      </c>
      <c r="R2000" s="9">
        <f>IF(L2000&gt;2005,AVERAGE(O1997:O2016),0)</f>
        <v>0</v>
      </c>
      <c r="S2000" s="10">
        <f>IF(A2000=A2001,(N2000-N2001)/N2001,0)</f>
        <v>0</v>
      </c>
      <c r="T2000" s="10">
        <f>IF(L2000&gt;2005,(((N2000-N2020)/N2020)+1)^(1/5)-1,0)</f>
        <v>0</v>
      </c>
      <c r="U2000" s="10">
        <f t="shared" si="62"/>
        <v>0</v>
      </c>
      <c r="V2000" s="26">
        <f t="shared" si="63"/>
        <v>0</v>
      </c>
      <c r="W2000" s="3">
        <f>IF(A2000=A2001,N2000-N2001,0)</f>
        <v>0</v>
      </c>
      <c r="X2000" s="10">
        <f>IF(A2000=A2001,(N2000-N2001)/N2001,0)</f>
        <v>0</v>
      </c>
    </row>
    <row r="2001" spans="1:24" ht="16.5" customHeight="1">
      <c r="A2001" s="3" t="s">
        <v>45</v>
      </c>
      <c r="B2001" s="3">
        <f t="shared" si="56"/>
        <v>2004</v>
      </c>
      <c r="C2001" s="3">
        <f t="shared" si="57"/>
        <v>4</v>
      </c>
      <c r="D2001" s="20" t="str">
        <f t="shared" si="58"/>
        <v>ABT20044</v>
      </c>
      <c r="E2001" s="2">
        <v>38090</v>
      </c>
      <c r="F2001" s="3">
        <v>0.26</v>
      </c>
      <c r="G2001" s="2">
        <v>38122</v>
      </c>
      <c r="H2001" s="3">
        <v>2.4199999999999999E-2</v>
      </c>
      <c r="I2001" s="3">
        <v>6.1224489999999999E-2</v>
      </c>
      <c r="J2001" s="3">
        <v>1.4999999999999999E-2</v>
      </c>
      <c r="K2001" s="3">
        <f t="shared" si="59"/>
        <v>2004</v>
      </c>
      <c r="L2001" s="3">
        <f t="shared" si="60"/>
        <v>0</v>
      </c>
      <c r="M2001" s="20" t="str">
        <f>A2001&amp;L2001</f>
        <v>ABT0</v>
      </c>
      <c r="N2001" s="3">
        <f>F2001/4</f>
        <v>6.5000000000000002E-2</v>
      </c>
      <c r="O2001" s="9">
        <f>H2001</f>
        <v>2.4199999999999999E-2</v>
      </c>
      <c r="P2001" s="10">
        <f t="shared" si="61"/>
        <v>2.2824999999999998E-2</v>
      </c>
      <c r="Q2001" s="10">
        <f>IF(K2001=0,IF(A1998=A2001,AVERAGE(O1998:O2001),"x"),0)</f>
        <v>0</v>
      </c>
      <c r="R2001" s="9">
        <f>IF(L2001&gt;2005,AVERAGE(O1998:O2017),0)</f>
        <v>0</v>
      </c>
      <c r="S2001" s="10">
        <f>IF(A2001=A2002,(N2001-N2002)/N2002,0)</f>
        <v>6.1224489795918421E-2</v>
      </c>
      <c r="T2001" s="10">
        <f>IF(L2001&gt;2005,(((N2001-N2021)/N2021)+1)^(1/5)-1,0)</f>
        <v>0</v>
      </c>
      <c r="U2001" s="10">
        <f t="shared" si="62"/>
        <v>0</v>
      </c>
      <c r="V2001" s="26">
        <f t="shared" si="63"/>
        <v>0</v>
      </c>
      <c r="W2001" s="3">
        <f>IF(A2001=A2002,N2001-N2002,0)</f>
        <v>3.7500000000000033E-3</v>
      </c>
      <c r="X2001" s="10">
        <f>IF(A2001=A2002,(N2001-N2002)/N2002,0)</f>
        <v>6.1224489795918421E-2</v>
      </c>
    </row>
    <row r="2002" spans="1:24" ht="16.5" customHeight="1">
      <c r="A2002" s="3" t="s">
        <v>45</v>
      </c>
      <c r="B2002" s="3">
        <f t="shared" si="56"/>
        <v>2004</v>
      </c>
      <c r="C2002" s="3">
        <f t="shared" si="57"/>
        <v>1</v>
      </c>
      <c r="D2002" s="20" t="str">
        <f t="shared" si="58"/>
        <v>ABT20041</v>
      </c>
      <c r="E2002" s="2">
        <v>37999</v>
      </c>
      <c r="F2002" s="3">
        <v>0.245</v>
      </c>
      <c r="G2002" s="2">
        <v>38032</v>
      </c>
      <c r="H2002" s="3">
        <v>2.2100000000000002E-2</v>
      </c>
      <c r="I2002" s="3">
        <v>0</v>
      </c>
      <c r="J2002" s="3">
        <v>0</v>
      </c>
      <c r="K2002" s="3">
        <f t="shared" si="59"/>
        <v>0</v>
      </c>
      <c r="L2002" s="3">
        <f t="shared" si="60"/>
        <v>2004</v>
      </c>
      <c r="M2002" s="20" t="str">
        <f>A2002&amp;L2002</f>
        <v>ABT2004</v>
      </c>
      <c r="N2002" s="3">
        <f>F2002/4</f>
        <v>6.1249999999999999E-2</v>
      </c>
      <c r="O2002" s="9">
        <f>H2002</f>
        <v>2.2100000000000002E-2</v>
      </c>
      <c r="P2002" s="10">
        <f t="shared" si="61"/>
        <v>0</v>
      </c>
      <c r="Q2002" s="10">
        <f>IF(K2002=0,IF(A1999=A2002,AVERAGE(O1999:O2002),"x"),0)</f>
        <v>2.4E-2</v>
      </c>
      <c r="R2002" s="9">
        <f>IF(L2002&gt;2005,AVERAGE(O1999:O2018),0)</f>
        <v>0</v>
      </c>
      <c r="S2002" s="10">
        <f>IF(A2002=A2003,(N2002-N2003)/N2003,0)</f>
        <v>0</v>
      </c>
      <c r="T2002" s="10">
        <f>IF(L2002&gt;2005,(((N2002-N2022)/N2022)+1)^(1/5)-1,0)</f>
        <v>0</v>
      </c>
      <c r="U2002" s="10">
        <f t="shared" si="62"/>
        <v>0</v>
      </c>
      <c r="V2002" s="26">
        <f t="shared" si="63"/>
        <v>0</v>
      </c>
      <c r="W2002" s="3">
        <f>IF(A2002=A2003,N2002-N2003,0)</f>
        <v>0</v>
      </c>
      <c r="X2002" s="10">
        <f>IF(A2002=A2003,(N2002-N2003)/N2003,0)</f>
        <v>0</v>
      </c>
    </row>
    <row r="2003" spans="1:24" ht="16.5" customHeight="1">
      <c r="A2003" s="3" t="s">
        <v>45</v>
      </c>
      <c r="B2003" s="3">
        <f t="shared" si="56"/>
        <v>2003</v>
      </c>
      <c r="C2003" s="3">
        <f t="shared" si="57"/>
        <v>10</v>
      </c>
      <c r="D2003" s="20" t="str">
        <f t="shared" si="58"/>
        <v>ABT200310</v>
      </c>
      <c r="E2003" s="2">
        <v>37904</v>
      </c>
      <c r="F2003" s="3">
        <v>0.245</v>
      </c>
      <c r="G2003" s="2">
        <v>37940</v>
      </c>
      <c r="H2003" s="3">
        <v>2.3E-2</v>
      </c>
      <c r="I2003" s="3">
        <v>0</v>
      </c>
      <c r="J2003" s="3">
        <v>0</v>
      </c>
      <c r="K2003" s="3">
        <f t="shared" si="59"/>
        <v>2003</v>
      </c>
      <c r="L2003" s="3">
        <f t="shared" si="60"/>
        <v>0</v>
      </c>
      <c r="M2003" s="20" t="str">
        <f>A2003&amp;L2003</f>
        <v>ABT0</v>
      </c>
      <c r="N2003" s="3">
        <f>F2003/4</f>
        <v>6.1249999999999999E-2</v>
      </c>
      <c r="O2003" s="9">
        <f>H2003</f>
        <v>2.3E-2</v>
      </c>
      <c r="P2003" s="10">
        <f t="shared" si="61"/>
        <v>0</v>
      </c>
      <c r="Q2003" s="10">
        <f>IF(K2003=0,IF(A2000=A2003,AVERAGE(O2000:O2003),"x"),0)</f>
        <v>0</v>
      </c>
      <c r="R2003" s="9">
        <f>IF(L2003&gt;2005,AVERAGE(O2000:O2019),0)</f>
        <v>0</v>
      </c>
      <c r="S2003" s="10">
        <f>IF(A2003=A2004,(N2003-N2004)/N2004,0)</f>
        <v>0</v>
      </c>
      <c r="T2003" s="10">
        <f>IF(L2003&gt;2005,(((N2003-N2023)/N2023)+1)^(1/5)-1,0)</f>
        <v>0</v>
      </c>
      <c r="U2003" s="10">
        <f t="shared" si="62"/>
        <v>0</v>
      </c>
      <c r="V2003" s="26">
        <f t="shared" si="63"/>
        <v>0</v>
      </c>
      <c r="W2003" s="3">
        <f>IF(A2003=A2004,N2003-N2004,0)</f>
        <v>0</v>
      </c>
      <c r="X2003" s="10">
        <f>IF(A2003=A2004,(N2003-N2004)/N2004,0)</f>
        <v>0</v>
      </c>
    </row>
    <row r="2004" spans="1:24" ht="16.5" customHeight="1">
      <c r="A2004" s="3" t="s">
        <v>45</v>
      </c>
      <c r="B2004" s="3">
        <f t="shared" si="56"/>
        <v>2003</v>
      </c>
      <c r="C2004" s="3">
        <f t="shared" si="57"/>
        <v>7</v>
      </c>
      <c r="D2004" s="20" t="str">
        <f t="shared" si="58"/>
        <v>ABT20037</v>
      </c>
      <c r="E2004" s="2">
        <v>37813</v>
      </c>
      <c r="F2004" s="3">
        <v>0.245</v>
      </c>
      <c r="G2004" s="2">
        <v>37848</v>
      </c>
      <c r="H2004" s="3">
        <v>2.1999999999999999E-2</v>
      </c>
      <c r="I2004" s="3">
        <v>0</v>
      </c>
      <c r="J2004" s="3">
        <v>0</v>
      </c>
      <c r="K2004" s="3">
        <f t="shared" si="59"/>
        <v>2003</v>
      </c>
      <c r="L2004" s="3">
        <f t="shared" si="60"/>
        <v>0</v>
      </c>
      <c r="M2004" s="20" t="str">
        <f>A2004&amp;L2004</f>
        <v>ABT0</v>
      </c>
      <c r="N2004" s="3">
        <f>F2004/4</f>
        <v>6.1249999999999999E-2</v>
      </c>
      <c r="O2004" s="9">
        <f>H2004</f>
        <v>2.1999999999999999E-2</v>
      </c>
      <c r="P2004" s="10">
        <f t="shared" si="61"/>
        <v>0</v>
      </c>
      <c r="Q2004" s="10">
        <f>IF(K2004=0,IF(A2001=A2004,AVERAGE(O2001:O2004),"x"),0)</f>
        <v>0</v>
      </c>
      <c r="R2004" s="9">
        <f>IF(L2004&gt;2005,AVERAGE(O2001:O2020),0)</f>
        <v>0</v>
      </c>
      <c r="S2004" s="10">
        <f>IF(A2004=A2005,(N2004-N2005)/N2005,0)</f>
        <v>0</v>
      </c>
      <c r="T2004" s="10">
        <f>IF(L2004&gt;2005,(((N2004-N2024)/N2024)+1)^(1/5)-1,0)</f>
        <v>0</v>
      </c>
      <c r="U2004" s="10">
        <f t="shared" si="62"/>
        <v>0</v>
      </c>
      <c r="V2004" s="26">
        <f t="shared" si="63"/>
        <v>0</v>
      </c>
      <c r="W2004" s="3">
        <f>IF(A2004=A2005,N2004-N2005,0)</f>
        <v>0</v>
      </c>
      <c r="X2004" s="10">
        <f>IF(A2004=A2005,(N2004-N2005)/N2005,0)</f>
        <v>0</v>
      </c>
    </row>
    <row r="2005" spans="1:24" ht="16.5" customHeight="1">
      <c r="A2005" s="3" t="s">
        <v>45</v>
      </c>
      <c r="B2005" s="3">
        <f t="shared" si="56"/>
        <v>2003</v>
      </c>
      <c r="C2005" s="3">
        <f t="shared" si="57"/>
        <v>4</v>
      </c>
      <c r="D2005" s="20" t="str">
        <f t="shared" si="58"/>
        <v>ABT20034</v>
      </c>
      <c r="E2005" s="2">
        <v>37722</v>
      </c>
      <c r="F2005" s="3">
        <v>0.245</v>
      </c>
      <c r="G2005" s="2">
        <v>37756</v>
      </c>
      <c r="H2005" s="3">
        <v>2.3699999999999999E-2</v>
      </c>
      <c r="I2005" s="3">
        <v>4.2553190999999997E-2</v>
      </c>
      <c r="J2005" s="3">
        <v>0.01</v>
      </c>
      <c r="K2005" s="3">
        <f t="shared" si="59"/>
        <v>2003</v>
      </c>
      <c r="L2005" s="3">
        <f t="shared" si="60"/>
        <v>0</v>
      </c>
      <c r="M2005" s="20" t="str">
        <f>A2005&amp;L2005</f>
        <v>ABT0</v>
      </c>
      <c r="N2005" s="3">
        <f>F2005/4</f>
        <v>6.1249999999999999E-2</v>
      </c>
      <c r="O2005" s="9">
        <f>H2005</f>
        <v>2.3699999999999999E-2</v>
      </c>
      <c r="P2005" s="10">
        <f t="shared" si="61"/>
        <v>2.4074999999999999E-2</v>
      </c>
      <c r="Q2005" s="10">
        <f>IF(K2005=0,IF(A2002=A2005,AVERAGE(O2002:O2005),"x"),0)</f>
        <v>0</v>
      </c>
      <c r="R2005" s="9">
        <f>IF(L2005&gt;2005,AVERAGE(O2002:O2021),0)</f>
        <v>0</v>
      </c>
      <c r="S2005" s="10">
        <f>IF(A2005=A2006,(N2005-N2006)/N2006,0)</f>
        <v>4.2553191489361743E-2</v>
      </c>
      <c r="T2005" s="10">
        <f>IF(L2005&gt;2005,(((N2005-N2025)/N2025)+1)^(1/5)-1,0)</f>
        <v>0</v>
      </c>
      <c r="U2005" s="10">
        <f t="shared" si="62"/>
        <v>0</v>
      </c>
      <c r="V2005" s="26">
        <f t="shared" si="63"/>
        <v>0</v>
      </c>
      <c r="W2005" s="3">
        <f>IF(A2005=A2006,N2005-N2006,0)</f>
        <v>2.5000000000000022E-3</v>
      </c>
      <c r="X2005" s="10">
        <f>IF(A2005=A2006,(N2005-N2006)/N2006,0)</f>
        <v>4.2553191489361743E-2</v>
      </c>
    </row>
    <row r="2006" spans="1:24" ht="16.5" customHeight="1">
      <c r="A2006" s="3" t="s">
        <v>45</v>
      </c>
      <c r="B2006" s="3">
        <f t="shared" si="56"/>
        <v>2003</v>
      </c>
      <c r="C2006" s="3">
        <f t="shared" si="57"/>
        <v>1</v>
      </c>
      <c r="D2006" s="20" t="str">
        <f t="shared" si="58"/>
        <v>ABT20031</v>
      </c>
      <c r="E2006" s="2">
        <v>37634</v>
      </c>
      <c r="F2006" s="3">
        <v>0.23499999999999999</v>
      </c>
      <c r="G2006" s="2">
        <v>37667</v>
      </c>
      <c r="H2006" s="3">
        <v>2.3599999999999999E-2</v>
      </c>
      <c r="I2006" s="3">
        <v>0</v>
      </c>
      <c r="J2006" s="3">
        <v>0</v>
      </c>
      <c r="K2006" s="3">
        <f t="shared" si="59"/>
        <v>0</v>
      </c>
      <c r="L2006" s="3">
        <f t="shared" si="60"/>
        <v>2003</v>
      </c>
      <c r="M2006" s="20" t="str">
        <f>A2006&amp;L2006</f>
        <v>ABT2003</v>
      </c>
      <c r="N2006" s="3">
        <f>F2006/4</f>
        <v>5.8749999999999997E-2</v>
      </c>
      <c r="O2006" s="9">
        <f>H2006</f>
        <v>2.3599999999999999E-2</v>
      </c>
      <c r="P2006" s="10">
        <f t="shared" si="61"/>
        <v>0</v>
      </c>
      <c r="Q2006" s="10">
        <f>IF(K2006=0,IF(A2003=A2006,AVERAGE(O2003:O2006),"x"),0)</f>
        <v>2.3074999999999998E-2</v>
      </c>
      <c r="R2006" s="9">
        <f>IF(L2006&gt;2005,AVERAGE(O2003:O2022),0)</f>
        <v>0</v>
      </c>
      <c r="S2006" s="10">
        <f>IF(A2006=A2007,(N2006-N2007)/N2007,0)</f>
        <v>0</v>
      </c>
      <c r="T2006" s="10">
        <f>IF(L2006&gt;2005,(((N2006-N2026)/N2026)+1)^(1/5)-1,0)</f>
        <v>0</v>
      </c>
      <c r="U2006" s="10">
        <f t="shared" si="62"/>
        <v>0</v>
      </c>
      <c r="V2006" s="26">
        <f t="shared" si="63"/>
        <v>0</v>
      </c>
      <c r="W2006" s="3">
        <f>IF(A2006=A2007,N2006-N2007,0)</f>
        <v>0</v>
      </c>
      <c r="X2006" s="10">
        <f>IF(A2006=A2007,(N2006-N2007)/N2007,0)</f>
        <v>0</v>
      </c>
    </row>
    <row r="2007" spans="1:24" ht="16.5" customHeight="1">
      <c r="A2007" s="3" t="s">
        <v>45</v>
      </c>
      <c r="B2007" s="3">
        <f t="shared" si="56"/>
        <v>2002</v>
      </c>
      <c r="C2007" s="3">
        <f t="shared" si="57"/>
        <v>10</v>
      </c>
      <c r="D2007" s="20" t="str">
        <f t="shared" si="58"/>
        <v>ABT200210</v>
      </c>
      <c r="E2007" s="2">
        <v>37539</v>
      </c>
      <c r="F2007" s="3">
        <v>0.23499999999999999</v>
      </c>
      <c r="G2007" s="2">
        <v>37575</v>
      </c>
      <c r="H2007" s="3">
        <v>2.2700000000000001E-2</v>
      </c>
      <c r="I2007" s="3">
        <v>0</v>
      </c>
      <c r="J2007" s="3">
        <v>0</v>
      </c>
      <c r="K2007" s="3">
        <f t="shared" si="59"/>
        <v>2002</v>
      </c>
      <c r="L2007" s="3">
        <f t="shared" si="60"/>
        <v>0</v>
      </c>
      <c r="M2007" s="20" t="str">
        <f>A2007&amp;L2007</f>
        <v>ABT0</v>
      </c>
      <c r="N2007" s="3">
        <f>F2007/4</f>
        <v>5.8749999999999997E-2</v>
      </c>
      <c r="O2007" s="9">
        <f>H2007</f>
        <v>2.2700000000000001E-2</v>
      </c>
      <c r="P2007" s="10">
        <f t="shared" si="61"/>
        <v>0</v>
      </c>
      <c r="Q2007" s="10">
        <f>IF(K2007=0,IF(A2004=A2007,AVERAGE(O2004:O2007),"x"),0)</f>
        <v>0</v>
      </c>
      <c r="R2007" s="9">
        <f>IF(L2007&gt;2005,AVERAGE(O2004:O2023),0)</f>
        <v>0</v>
      </c>
      <c r="S2007" s="10">
        <f>IF(A2007=A2008,(N2007-N2008)/N2008,0)</f>
        <v>0</v>
      </c>
      <c r="T2007" s="10">
        <f>IF(L2007&gt;2005,(((N2007-N2027)/N2027)+1)^(1/5)-1,0)</f>
        <v>0</v>
      </c>
      <c r="U2007" s="10">
        <f t="shared" si="62"/>
        <v>0</v>
      </c>
      <c r="V2007" s="26">
        <f t="shared" si="63"/>
        <v>0</v>
      </c>
      <c r="W2007" s="3">
        <f>IF(A2007=A2008,N2007-N2008,0)</f>
        <v>0</v>
      </c>
      <c r="X2007" s="10">
        <f>IF(A2007=A2008,(N2007-N2008)/N2008,0)</f>
        <v>0</v>
      </c>
    </row>
    <row r="2008" spans="1:24" ht="16.5" customHeight="1">
      <c r="A2008" s="3" t="s">
        <v>45</v>
      </c>
      <c r="B2008" s="3">
        <f t="shared" si="56"/>
        <v>2002</v>
      </c>
      <c r="C2008" s="3">
        <f t="shared" si="57"/>
        <v>7</v>
      </c>
      <c r="D2008" s="20" t="str">
        <f t="shared" si="58"/>
        <v>ABT20027</v>
      </c>
      <c r="E2008" s="2">
        <v>37448</v>
      </c>
      <c r="F2008" s="3">
        <v>0.23499999999999999</v>
      </c>
      <c r="G2008" s="2">
        <v>37483</v>
      </c>
      <c r="H2008" s="3">
        <v>2.63E-2</v>
      </c>
      <c r="I2008" s="3">
        <v>0</v>
      </c>
      <c r="J2008" s="3">
        <v>0</v>
      </c>
      <c r="K2008" s="3">
        <f t="shared" si="59"/>
        <v>2002</v>
      </c>
      <c r="L2008" s="3">
        <f t="shared" si="60"/>
        <v>0</v>
      </c>
      <c r="M2008" s="20" t="str">
        <f>A2008&amp;L2008</f>
        <v>ABT0</v>
      </c>
      <c r="N2008" s="3">
        <f>F2008/4</f>
        <v>5.8749999999999997E-2</v>
      </c>
      <c r="O2008" s="9">
        <f>H2008</f>
        <v>2.63E-2</v>
      </c>
      <c r="P2008" s="10">
        <f t="shared" si="61"/>
        <v>0</v>
      </c>
      <c r="Q2008" s="10">
        <f>IF(K2008=0,IF(A2005=A2008,AVERAGE(O2005:O2008),"x"),0)</f>
        <v>0</v>
      </c>
      <c r="R2008" s="9">
        <f>IF(L2008&gt;2005,AVERAGE(O2005:O2024),0)</f>
        <v>0</v>
      </c>
      <c r="S2008" s="10">
        <f>IF(A2008=A2009,(N2008-N2009)/N2009,0)</f>
        <v>0</v>
      </c>
      <c r="T2008" s="10">
        <f>IF(L2008&gt;2005,(((N2008-N2028)/N2028)+1)^(1/5)-1,0)</f>
        <v>0</v>
      </c>
      <c r="U2008" s="10">
        <f t="shared" si="62"/>
        <v>0</v>
      </c>
      <c r="V2008" s="26">
        <f t="shared" si="63"/>
        <v>0</v>
      </c>
      <c r="W2008" s="3">
        <f>IF(A2008=A2009,N2008-N2009,0)</f>
        <v>0</v>
      </c>
      <c r="X2008" s="10">
        <f>IF(A2008=A2009,(N2008-N2009)/N2009,0)</f>
        <v>0</v>
      </c>
    </row>
    <row r="2009" spans="1:24" ht="16.5" customHeight="1">
      <c r="A2009" s="3" t="s">
        <v>45</v>
      </c>
      <c r="B2009" s="3">
        <f t="shared" si="56"/>
        <v>2002</v>
      </c>
      <c r="C2009" s="3">
        <f t="shared" si="57"/>
        <v>4</v>
      </c>
      <c r="D2009" s="20" t="str">
        <f t="shared" si="58"/>
        <v>ABT20024</v>
      </c>
      <c r="E2009" s="2">
        <v>37357</v>
      </c>
      <c r="F2009" s="3">
        <v>0.23499999999999999</v>
      </c>
      <c r="G2009" s="2">
        <v>37391</v>
      </c>
      <c r="H2009" s="3">
        <v>1.5800000000000002E-2</v>
      </c>
      <c r="I2009" s="3">
        <v>0.11904761899999999</v>
      </c>
      <c r="J2009" s="3">
        <v>2.5000000000000001E-2</v>
      </c>
      <c r="K2009" s="3">
        <f t="shared" si="59"/>
        <v>2002</v>
      </c>
      <c r="L2009" s="3">
        <f t="shared" si="60"/>
        <v>0</v>
      </c>
      <c r="M2009" s="20" t="str">
        <f>A2009&amp;L2009</f>
        <v>ABT0</v>
      </c>
      <c r="N2009" s="3">
        <f>F2009/4</f>
        <v>5.8749999999999997E-2</v>
      </c>
      <c r="O2009" s="9">
        <f>H2009</f>
        <v>1.5800000000000002E-2</v>
      </c>
      <c r="P2009" s="10">
        <f t="shared" si="61"/>
        <v>1.5775000000000001E-2</v>
      </c>
      <c r="Q2009" s="10">
        <f>IF(K2009=0,IF(A2006=A2009,AVERAGE(O2006:O2009),"x"),0)</f>
        <v>0</v>
      </c>
      <c r="R2009" s="9">
        <f>IF(L2009&gt;2005,AVERAGE(O2006:O2025),0)</f>
        <v>0</v>
      </c>
      <c r="S2009" s="10">
        <f>IF(A2009=A2010,(N2009-N2010)/N2010,0)</f>
        <v>0.11904761904761903</v>
      </c>
      <c r="T2009" s="10">
        <f>IF(L2009&gt;2005,(((N2009-N2029)/N2029)+1)^(1/5)-1,0)</f>
        <v>0</v>
      </c>
      <c r="U2009" s="10">
        <f t="shared" si="62"/>
        <v>0</v>
      </c>
      <c r="V2009" s="26">
        <f t="shared" si="63"/>
        <v>0</v>
      </c>
      <c r="W2009" s="3">
        <f>IF(A2009=A2010,N2009-N2010,0)</f>
        <v>6.2499999999999986E-3</v>
      </c>
      <c r="X2009" s="10">
        <f>IF(A2009=A2010,(N2009-N2010)/N2010,0)</f>
        <v>0.11904761904761903</v>
      </c>
    </row>
    <row r="2010" spans="1:24" ht="16.5" customHeight="1">
      <c r="A2010" s="3" t="s">
        <v>45</v>
      </c>
      <c r="B2010" s="3">
        <f t="shared" si="56"/>
        <v>2002</v>
      </c>
      <c r="C2010" s="3">
        <f t="shared" si="57"/>
        <v>1</v>
      </c>
      <c r="D2010" s="20" t="str">
        <f t="shared" si="58"/>
        <v>ABT20021</v>
      </c>
      <c r="E2010" s="2">
        <v>37267</v>
      </c>
      <c r="F2010" s="3">
        <v>0.21</v>
      </c>
      <c r="G2010" s="2">
        <v>37302</v>
      </c>
      <c r="H2010" s="3">
        <v>1.52E-2</v>
      </c>
      <c r="I2010" s="3">
        <v>0</v>
      </c>
      <c r="J2010" s="3">
        <v>0</v>
      </c>
      <c r="K2010" s="3">
        <f t="shared" si="59"/>
        <v>0</v>
      </c>
      <c r="L2010" s="3">
        <f t="shared" si="60"/>
        <v>2002</v>
      </c>
      <c r="M2010" s="20" t="str">
        <f>A2010&amp;L2010</f>
        <v>ABT2002</v>
      </c>
      <c r="N2010" s="3">
        <f>F2010/4</f>
        <v>5.2499999999999998E-2</v>
      </c>
      <c r="O2010" s="9">
        <f>H2010</f>
        <v>1.52E-2</v>
      </c>
      <c r="P2010" s="10">
        <f t="shared" si="61"/>
        <v>0</v>
      </c>
      <c r="Q2010" s="10">
        <f>IF(K2010=0,IF(A2007=A2010,AVERAGE(O2007:O2010),"x"),0)</f>
        <v>0.02</v>
      </c>
      <c r="R2010" s="9">
        <f>IF(L2010&gt;2005,AVERAGE(O2007:O2026),0)</f>
        <v>0</v>
      </c>
      <c r="S2010" s="10">
        <f>IF(A2010=A2011,(N2010-N2011)/N2011,0)</f>
        <v>0</v>
      </c>
      <c r="T2010" s="10">
        <f>IF(L2010&gt;2005,(((N2010-N2030)/N2030)+1)^(1/5)-1,0)</f>
        <v>0</v>
      </c>
      <c r="U2010" s="10">
        <f t="shared" si="62"/>
        <v>0</v>
      </c>
      <c r="V2010" s="26">
        <f t="shared" si="63"/>
        <v>0</v>
      </c>
      <c r="W2010" s="3">
        <f>IF(A2010=A2011,N2010-N2011,0)</f>
        <v>0</v>
      </c>
      <c r="X2010" s="10">
        <f>IF(A2010=A2011,(N2010-N2011)/N2011,0)</f>
        <v>0</v>
      </c>
    </row>
    <row r="2011" spans="1:24" ht="16.5" customHeight="1">
      <c r="A2011" s="3" t="s">
        <v>45</v>
      </c>
      <c r="B2011" s="3">
        <f t="shared" si="56"/>
        <v>2001</v>
      </c>
      <c r="C2011" s="3">
        <f t="shared" si="57"/>
        <v>10</v>
      </c>
      <c r="D2011" s="20" t="str">
        <f t="shared" si="58"/>
        <v>ABT200110</v>
      </c>
      <c r="E2011" s="2">
        <v>37175</v>
      </c>
      <c r="F2011" s="3">
        <v>0.21</v>
      </c>
      <c r="G2011" s="2">
        <v>37210</v>
      </c>
      <c r="H2011" s="3">
        <v>1.5599999999999999E-2</v>
      </c>
      <c r="I2011" s="3">
        <v>0</v>
      </c>
      <c r="J2011" s="3">
        <v>0</v>
      </c>
      <c r="K2011" s="3">
        <f t="shared" si="59"/>
        <v>2001</v>
      </c>
      <c r="L2011" s="3">
        <f t="shared" si="60"/>
        <v>0</v>
      </c>
      <c r="M2011" s="20" t="str">
        <f>A2011&amp;L2011</f>
        <v>ABT0</v>
      </c>
      <c r="N2011" s="3">
        <f>F2011/4</f>
        <v>5.2499999999999998E-2</v>
      </c>
      <c r="O2011" s="9">
        <f>H2011</f>
        <v>1.5599999999999999E-2</v>
      </c>
      <c r="P2011" s="10">
        <f t="shared" si="61"/>
        <v>0</v>
      </c>
      <c r="Q2011" s="10">
        <f>IF(K2011=0,IF(A2008=A2011,AVERAGE(O2008:O2011),"x"),0)</f>
        <v>0</v>
      </c>
      <c r="R2011" s="9">
        <f>IF(L2011&gt;2005,AVERAGE(O2008:O2027),0)</f>
        <v>0</v>
      </c>
      <c r="S2011" s="10">
        <f>IF(A2011=A2012,(N2011-N2012)/N2012,0)</f>
        <v>0</v>
      </c>
      <c r="T2011" s="10">
        <f>IF(L2011&gt;2005,(((N2011-N2031)/N2031)+1)^(1/5)-1,0)</f>
        <v>0</v>
      </c>
      <c r="U2011" s="10">
        <f t="shared" si="62"/>
        <v>0</v>
      </c>
      <c r="V2011" s="26">
        <f t="shared" si="63"/>
        <v>0</v>
      </c>
      <c r="W2011" s="3">
        <f>IF(A2011=A2012,N2011-N2012,0)</f>
        <v>0</v>
      </c>
      <c r="X2011" s="10">
        <f>IF(A2011=A2012,(N2011-N2012)/N2012,0)</f>
        <v>0</v>
      </c>
    </row>
    <row r="2012" spans="1:24" ht="16.5" customHeight="1">
      <c r="A2012" s="3" t="s">
        <v>45</v>
      </c>
      <c r="B2012" s="3">
        <f t="shared" si="56"/>
        <v>2001</v>
      </c>
      <c r="C2012" s="3">
        <f t="shared" si="57"/>
        <v>7</v>
      </c>
      <c r="D2012" s="20" t="str">
        <f t="shared" si="58"/>
        <v>ABT20017</v>
      </c>
      <c r="E2012" s="2">
        <v>37083</v>
      </c>
      <c r="F2012" s="3">
        <v>0.21</v>
      </c>
      <c r="G2012" s="2">
        <v>37118</v>
      </c>
      <c r="H2012" s="3">
        <v>1.6500000000000001E-2</v>
      </c>
      <c r="I2012" s="3">
        <v>0</v>
      </c>
      <c r="J2012" s="3">
        <v>0</v>
      </c>
      <c r="K2012" s="3">
        <f t="shared" si="59"/>
        <v>2001</v>
      </c>
      <c r="L2012" s="3">
        <f t="shared" si="60"/>
        <v>0</v>
      </c>
      <c r="M2012" s="20" t="str">
        <f>A2012&amp;L2012</f>
        <v>ABT0</v>
      </c>
      <c r="N2012" s="3">
        <f>F2012/4</f>
        <v>5.2499999999999998E-2</v>
      </c>
      <c r="O2012" s="9">
        <f>H2012</f>
        <v>1.6500000000000001E-2</v>
      </c>
      <c r="P2012" s="10">
        <f t="shared" si="61"/>
        <v>0</v>
      </c>
      <c r="Q2012" s="10">
        <f>IF(K2012=0,IF(A2009=A2012,AVERAGE(O2009:O2012),"x"),0)</f>
        <v>0</v>
      </c>
      <c r="R2012" s="9">
        <f>IF(L2012&gt;2005,AVERAGE(O2009:O2028),0)</f>
        <v>0</v>
      </c>
      <c r="S2012" s="10">
        <f>IF(A2012=A2013,(N2012-N2013)/N2013,0)</f>
        <v>0</v>
      </c>
      <c r="T2012" s="10">
        <f>IF(L2012&gt;2005,(((N2012-N2032)/N2032)+1)^(1/5)-1,0)</f>
        <v>0</v>
      </c>
      <c r="U2012" s="10">
        <f t="shared" si="62"/>
        <v>0</v>
      </c>
      <c r="V2012" s="26">
        <f t="shared" si="63"/>
        <v>0</v>
      </c>
      <c r="W2012" s="3">
        <f>IF(A2012=A2013,N2012-N2013,0)</f>
        <v>0</v>
      </c>
      <c r="X2012" s="10">
        <f>IF(A2012=A2013,(N2012-N2013)/N2013,0)</f>
        <v>0</v>
      </c>
    </row>
    <row r="2013" spans="1:24" ht="16.5" customHeight="1">
      <c r="A2013" s="3" t="s">
        <v>45</v>
      </c>
      <c r="B2013" s="3">
        <f t="shared" si="56"/>
        <v>2001</v>
      </c>
      <c r="C2013" s="3">
        <f t="shared" si="57"/>
        <v>4</v>
      </c>
      <c r="D2013" s="20" t="str">
        <f t="shared" si="58"/>
        <v>ABT20014</v>
      </c>
      <c r="E2013" s="2">
        <v>36991</v>
      </c>
      <c r="F2013" s="3">
        <v>0.21</v>
      </c>
      <c r="G2013" s="2">
        <v>37026</v>
      </c>
      <c r="H2013" s="3">
        <v>1.61E-2</v>
      </c>
      <c r="I2013" s="3">
        <v>0.105263158</v>
      </c>
      <c r="J2013" s="3">
        <v>0.02</v>
      </c>
      <c r="K2013" s="3">
        <f t="shared" si="59"/>
        <v>2001</v>
      </c>
      <c r="L2013" s="3">
        <f t="shared" si="60"/>
        <v>0</v>
      </c>
      <c r="M2013" s="20" t="str">
        <f>A2013&amp;L2013</f>
        <v>ABT0</v>
      </c>
      <c r="N2013" s="3">
        <f>F2013/4</f>
        <v>5.2499999999999998E-2</v>
      </c>
      <c r="O2013" s="9">
        <f>H2013</f>
        <v>1.61E-2</v>
      </c>
      <c r="P2013" s="10">
        <f t="shared" si="61"/>
        <v>1.6350000000000003E-2</v>
      </c>
      <c r="Q2013" s="10">
        <f>IF(K2013=0,IF(A2010=A2013,AVERAGE(O2010:O2013),"x"),0)</f>
        <v>0</v>
      </c>
      <c r="R2013" s="9">
        <f>IF(L2013&gt;2005,AVERAGE(O2010:O2029),0)</f>
        <v>0</v>
      </c>
      <c r="S2013" s="10">
        <f>IF(A2013=A2014,(N2013-N2014)/N2014,0)</f>
        <v>0.10526315789473679</v>
      </c>
      <c r="T2013" s="10">
        <f>IF(L2013&gt;2005,(((N2013-N2033)/N2033)+1)^(1/5)-1,0)</f>
        <v>0</v>
      </c>
      <c r="U2013" s="10">
        <f t="shared" si="62"/>
        <v>0</v>
      </c>
      <c r="V2013" s="26">
        <f t="shared" si="63"/>
        <v>0</v>
      </c>
      <c r="W2013" s="3">
        <f>IF(A2013=A2014,N2013-N2014,0)</f>
        <v>4.9999999999999975E-3</v>
      </c>
      <c r="X2013" s="10">
        <f>IF(A2013=A2014,(N2013-N2014)/N2014,0)</f>
        <v>0.10526315789473679</v>
      </c>
    </row>
    <row r="2014" spans="1:24" ht="16.5" customHeight="1">
      <c r="A2014" s="3" t="s">
        <v>45</v>
      </c>
      <c r="B2014" s="3">
        <f t="shared" si="56"/>
        <v>2001</v>
      </c>
      <c r="C2014" s="3">
        <f t="shared" si="57"/>
        <v>1</v>
      </c>
      <c r="D2014" s="20" t="str">
        <f t="shared" si="58"/>
        <v>ABT20011</v>
      </c>
      <c r="E2014" s="2">
        <v>36901</v>
      </c>
      <c r="F2014" s="3">
        <v>0.19</v>
      </c>
      <c r="G2014" s="2">
        <v>36937</v>
      </c>
      <c r="H2014" s="3">
        <v>1.7500000000000002E-2</v>
      </c>
      <c r="I2014" s="3">
        <v>0</v>
      </c>
      <c r="J2014" s="3">
        <v>0</v>
      </c>
      <c r="K2014" s="3">
        <f t="shared" si="59"/>
        <v>0</v>
      </c>
      <c r="L2014" s="3">
        <f t="shared" si="60"/>
        <v>2001</v>
      </c>
      <c r="M2014" s="20" t="str">
        <f>A2014&amp;L2014</f>
        <v>ABT2001</v>
      </c>
      <c r="N2014" s="3">
        <f>F2014/4</f>
        <v>4.7500000000000001E-2</v>
      </c>
      <c r="O2014" s="9">
        <f>H2014</f>
        <v>1.7500000000000002E-2</v>
      </c>
      <c r="P2014" s="10">
        <f t="shared" si="61"/>
        <v>0</v>
      </c>
      <c r="Q2014" s="10">
        <f>IF(K2014=0,IF(A2011=A2014,AVERAGE(O2011:O2014),"x"),0)</f>
        <v>1.6425000000000002E-2</v>
      </c>
      <c r="R2014" s="9">
        <f>IF(L2014&gt;2005,AVERAGE(O2011:O2030),0)</f>
        <v>0</v>
      </c>
      <c r="S2014" s="10">
        <f>IF(A2014=A2015,(N2014-N2015)/N2015,0)</f>
        <v>0</v>
      </c>
      <c r="T2014" s="10">
        <f>IF(L2014&gt;2005,(((N2014-N2034)/N2034)+1)^(1/5)-1,0)</f>
        <v>0</v>
      </c>
      <c r="U2014" s="10">
        <f t="shared" si="62"/>
        <v>0</v>
      </c>
      <c r="V2014" s="26">
        <f t="shared" si="63"/>
        <v>0</v>
      </c>
      <c r="W2014" s="3">
        <f>IF(A2014=A2015,N2014-N2015,0)</f>
        <v>0</v>
      </c>
      <c r="X2014" s="10">
        <f>IF(A2014=A2015,(N2014-N2015)/N2015,0)</f>
        <v>0</v>
      </c>
    </row>
    <row r="2015" spans="1:24" ht="16.5" customHeight="1">
      <c r="A2015" s="3" t="s">
        <v>45</v>
      </c>
      <c r="B2015" s="3">
        <f t="shared" si="56"/>
        <v>2000</v>
      </c>
      <c r="C2015" s="3">
        <f t="shared" si="57"/>
        <v>10</v>
      </c>
      <c r="D2015" s="20" t="str">
        <f t="shared" si="58"/>
        <v>ABT200010</v>
      </c>
      <c r="E2015" s="2">
        <v>36810</v>
      </c>
      <c r="F2015" s="3">
        <v>0.19</v>
      </c>
      <c r="G2015" s="2">
        <v>36845</v>
      </c>
      <c r="H2015" s="3">
        <v>1.5100000000000001E-2</v>
      </c>
      <c r="I2015" s="3">
        <v>0</v>
      </c>
      <c r="J2015" s="3">
        <v>0</v>
      </c>
      <c r="K2015" s="3">
        <f t="shared" si="59"/>
        <v>2000</v>
      </c>
      <c r="L2015" s="3">
        <f t="shared" si="60"/>
        <v>0</v>
      </c>
      <c r="M2015" s="20" t="str">
        <f>A2015&amp;L2015</f>
        <v>ABT0</v>
      </c>
      <c r="N2015" s="3">
        <f>F2015/4</f>
        <v>4.7500000000000001E-2</v>
      </c>
      <c r="O2015" s="9">
        <f>H2015</f>
        <v>1.5100000000000001E-2</v>
      </c>
      <c r="P2015" s="10">
        <f t="shared" si="61"/>
        <v>0</v>
      </c>
      <c r="Q2015" s="10">
        <f>IF(K2015=0,IF(A2012=A2015,AVERAGE(O2012:O2015),"x"),0)</f>
        <v>0</v>
      </c>
      <c r="R2015" s="9">
        <f>IF(L2015&gt;2005,AVERAGE(O2012:O2031),0)</f>
        <v>0</v>
      </c>
      <c r="S2015" s="10">
        <f>IF(A2015=A2016,(N2015-N2016)/N2016,0)</f>
        <v>0</v>
      </c>
      <c r="T2015" s="10">
        <f>IF(L2015&gt;2005,(((N2015-N2035)/N2035)+1)^(1/5)-1,0)</f>
        <v>0</v>
      </c>
      <c r="U2015" s="10">
        <f t="shared" si="62"/>
        <v>0</v>
      </c>
      <c r="V2015" s="26">
        <f t="shared" si="63"/>
        <v>0</v>
      </c>
      <c r="W2015" s="3">
        <f>IF(A2015=A2016,N2015-N2016,0)</f>
        <v>0</v>
      </c>
      <c r="X2015" s="10">
        <f>IF(A2015=A2016,(N2015-N2016)/N2016,0)</f>
        <v>0</v>
      </c>
    </row>
    <row r="2016" spans="1:24" ht="16.5" customHeight="1">
      <c r="A2016" s="3" t="s">
        <v>45</v>
      </c>
      <c r="B2016" s="3">
        <f t="shared" si="56"/>
        <v>2000</v>
      </c>
      <c r="C2016" s="3">
        <f t="shared" si="57"/>
        <v>7</v>
      </c>
      <c r="D2016" s="20" t="str">
        <f t="shared" si="58"/>
        <v>ABT20007</v>
      </c>
      <c r="E2016" s="2">
        <v>36719</v>
      </c>
      <c r="F2016" s="3">
        <v>0.19</v>
      </c>
      <c r="G2016" s="2">
        <v>36753</v>
      </c>
      <c r="H2016" s="3">
        <v>1.67E-2</v>
      </c>
      <c r="I2016" s="3">
        <v>0</v>
      </c>
      <c r="J2016" s="3">
        <v>0</v>
      </c>
      <c r="K2016" s="3">
        <f t="shared" si="59"/>
        <v>2000</v>
      </c>
      <c r="L2016" s="3">
        <f t="shared" si="60"/>
        <v>0</v>
      </c>
      <c r="M2016" s="20" t="str">
        <f>A2016&amp;L2016</f>
        <v>ABT0</v>
      </c>
      <c r="N2016" s="3">
        <f>F2016/4</f>
        <v>4.7500000000000001E-2</v>
      </c>
      <c r="O2016" s="9">
        <f>H2016</f>
        <v>1.67E-2</v>
      </c>
      <c r="P2016" s="10">
        <f t="shared" si="61"/>
        <v>0</v>
      </c>
      <c r="Q2016" s="10">
        <f>IF(K2016=0,IF(A2013=A2016,AVERAGE(O2013:O2016),"x"),0)</f>
        <v>0</v>
      </c>
      <c r="R2016" s="9">
        <f>IF(L2016&gt;2005,AVERAGE(O2013:O2032),0)</f>
        <v>0</v>
      </c>
      <c r="S2016" s="10">
        <f>IF(A2016=A2017,(N2016-N2017)/N2017,0)</f>
        <v>0</v>
      </c>
      <c r="T2016" s="10">
        <f>IF(L2016&gt;2005,(((N2016-N2036)/N2036)+1)^(1/5)-1,0)</f>
        <v>0</v>
      </c>
      <c r="U2016" s="10">
        <f t="shared" si="62"/>
        <v>0</v>
      </c>
      <c r="V2016" s="26">
        <f t="shared" si="63"/>
        <v>0</v>
      </c>
      <c r="W2016" s="3">
        <f>IF(A2016=A2017,N2016-N2017,0)</f>
        <v>0</v>
      </c>
      <c r="X2016" s="10">
        <f>IF(A2016=A2017,(N2016-N2017)/N2017,0)</f>
        <v>0</v>
      </c>
    </row>
    <row r="2017" spans="1:24" ht="16.5" customHeight="1">
      <c r="A2017" s="3" t="s">
        <v>45</v>
      </c>
      <c r="B2017" s="3">
        <f t="shared" si="56"/>
        <v>2000</v>
      </c>
      <c r="C2017" s="3">
        <f t="shared" si="57"/>
        <v>4</v>
      </c>
      <c r="D2017" s="20" t="str">
        <f t="shared" si="58"/>
        <v>ABT20004</v>
      </c>
      <c r="E2017" s="2">
        <v>36628</v>
      </c>
      <c r="F2017" s="3">
        <v>0.19</v>
      </c>
      <c r="G2017" s="2">
        <v>36661</v>
      </c>
      <c r="H2017" s="3">
        <v>1.8499999999999999E-2</v>
      </c>
      <c r="I2017" s="3">
        <v>0.117647059</v>
      </c>
      <c r="J2017" s="3">
        <v>0.02</v>
      </c>
      <c r="K2017" s="3">
        <f t="shared" si="59"/>
        <v>2000</v>
      </c>
      <c r="L2017" s="3">
        <f t="shared" si="60"/>
        <v>0</v>
      </c>
      <c r="M2017" s="20" t="str">
        <f>A2017&amp;L2017</f>
        <v>ABT0</v>
      </c>
      <c r="N2017" s="3">
        <f>F2017/4</f>
        <v>4.7500000000000001E-2</v>
      </c>
      <c r="O2017" s="9">
        <f>H2017</f>
        <v>1.8499999999999999E-2</v>
      </c>
      <c r="P2017" s="10">
        <f t="shared" si="61"/>
        <v>2.3199999999999998E-2</v>
      </c>
      <c r="Q2017" s="10">
        <f>IF(K2017=0,IF(A2014=A2017,AVERAGE(O2014:O2017),"x"),0)</f>
        <v>0</v>
      </c>
      <c r="R2017" s="9">
        <f>IF(L2017&gt;2005,AVERAGE(O2014:O2033),0)</f>
        <v>0</v>
      </c>
      <c r="S2017" s="10">
        <f>IF(A2017=A2018,(N2017-N2018)/N2018,0)</f>
        <v>0.11764705882352934</v>
      </c>
      <c r="T2017" s="10">
        <f>IF(L2017&gt;2005,(((N2017-N2037)/N2037)+1)^(1/5)-1,0)</f>
        <v>0</v>
      </c>
      <c r="U2017" s="10">
        <f t="shared" si="62"/>
        <v>0</v>
      </c>
      <c r="V2017" s="26">
        <f t="shared" si="63"/>
        <v>0</v>
      </c>
      <c r="W2017" s="3">
        <f>IF(A2017=A2018,N2017-N2018,0)</f>
        <v>4.9999999999999975E-3</v>
      </c>
      <c r="X2017" s="10">
        <f>IF(A2017=A2018,(N2017-N2018)/N2018,0)</f>
        <v>0.11764705882352934</v>
      </c>
    </row>
    <row r="2018" spans="1:24" ht="16.5" customHeight="1">
      <c r="A2018" s="14" t="s">
        <v>45</v>
      </c>
      <c r="B2018" s="3">
        <f t="shared" si="56"/>
        <v>2000</v>
      </c>
      <c r="C2018" s="3">
        <f t="shared" si="57"/>
        <v>1</v>
      </c>
      <c r="D2018" s="20" t="str">
        <f t="shared" si="58"/>
        <v>ABT20001</v>
      </c>
      <c r="E2018" s="15">
        <v>36537</v>
      </c>
      <c r="F2018" s="14">
        <v>0.17</v>
      </c>
      <c r="G2018" s="15">
        <v>36571</v>
      </c>
      <c r="H2018" s="14">
        <v>1.9599999999999999E-2</v>
      </c>
      <c r="I2018" s="14">
        <v>0</v>
      </c>
      <c r="J2018" s="14">
        <v>0</v>
      </c>
      <c r="K2018" s="3">
        <f t="shared" si="59"/>
        <v>0</v>
      </c>
      <c r="L2018" s="3">
        <f t="shared" si="60"/>
        <v>2000</v>
      </c>
      <c r="M2018" s="20" t="str">
        <f>A2018&amp;L2018</f>
        <v>ABT2000</v>
      </c>
      <c r="N2018" s="14">
        <f>F2018/4</f>
        <v>4.2500000000000003E-2</v>
      </c>
      <c r="O2018" s="9">
        <f>H2018</f>
        <v>1.9599999999999999E-2</v>
      </c>
      <c r="P2018" s="10">
        <f t="shared" si="61"/>
        <v>0</v>
      </c>
      <c r="Q2018" s="10">
        <f>IF(K2018=0,IF(A2015=A2018,AVERAGE(O2015:O2018),"x"),0)</f>
        <v>1.7474999999999997E-2</v>
      </c>
      <c r="R2018" s="9">
        <f>IF(L2018&gt;2005,AVERAGE(O2015:O2034),0)</f>
        <v>0</v>
      </c>
      <c r="S2018" s="10">
        <f>IF(A2018=A2019,(N2018-N2019)/N2019,0)</f>
        <v>0</v>
      </c>
      <c r="T2018" s="10">
        <f>IF(L2018&gt;2005,(((N2018-N2038)/N2038)+1)^(1/5)-1,0)</f>
        <v>0</v>
      </c>
      <c r="U2018" s="10">
        <f t="shared" si="62"/>
        <v>0</v>
      </c>
      <c r="V2018" s="26">
        <f t="shared" si="63"/>
        <v>0</v>
      </c>
      <c r="W2018" s="3">
        <f>IF(A2018=A2019,N2018-N2019,0)</f>
        <v>0</v>
      </c>
      <c r="X2018" s="10">
        <f>IF(A2018=A2019,(N2018-N2019)/N2019,0)</f>
        <v>0</v>
      </c>
    </row>
    <row r="2019" spans="1:24" ht="16.5" customHeight="1">
      <c r="A2019" s="3" t="s">
        <v>46</v>
      </c>
      <c r="B2019" s="3">
        <f t="shared" si="56"/>
        <v>2022</v>
      </c>
      <c r="C2019" s="3">
        <f t="shared" si="57"/>
        <v>9</v>
      </c>
      <c r="D2019" s="20" t="str">
        <f t="shared" si="58"/>
        <v>APD20229</v>
      </c>
      <c r="E2019" s="2">
        <v>44834</v>
      </c>
      <c r="F2019" s="3">
        <v>1.62</v>
      </c>
      <c r="G2019" s="2">
        <v>44879</v>
      </c>
      <c r="H2019" s="3">
        <v>2.8000000000000001E-2</v>
      </c>
      <c r="I2019" s="3">
        <v>0</v>
      </c>
      <c r="J2019" s="3">
        <v>0</v>
      </c>
      <c r="K2019" s="3">
        <f t="shared" si="59"/>
        <v>2022</v>
      </c>
      <c r="L2019" s="3">
        <f t="shared" si="60"/>
        <v>0</v>
      </c>
      <c r="M2019" s="20" t="str">
        <f>A2019&amp;L2019</f>
        <v>APD0</v>
      </c>
      <c r="N2019" s="3">
        <f>F2019</f>
        <v>1.62</v>
      </c>
      <c r="O2019" s="9">
        <f>H2019</f>
        <v>2.8000000000000001E-2</v>
      </c>
      <c r="P2019" s="10">
        <f t="shared" si="61"/>
        <v>0</v>
      </c>
      <c r="Q2019" s="10">
        <f>IF(K2019=0,IF(A2016=A2019,AVERAGE(O2016:O2019),"x"),0)</f>
        <v>0</v>
      </c>
      <c r="R2019" s="9">
        <f>IF(L2019&gt;2005,AVERAGE(O2016:O2035),0)</f>
        <v>0</v>
      </c>
      <c r="S2019" s="10">
        <f>IF(A2019=A2020,(N2019-N2020)/N2020,0)</f>
        <v>0</v>
      </c>
      <c r="T2019" s="10">
        <f>IF(L2019&gt;2005,(((N2019-N2039)/N2039)+1)^(1/5)-1,0)</f>
        <v>0</v>
      </c>
      <c r="U2019" s="10">
        <f t="shared" si="62"/>
        <v>0</v>
      </c>
      <c r="V2019" s="26">
        <f t="shared" si="63"/>
        <v>0</v>
      </c>
      <c r="W2019" s="3">
        <f>IF(A2019=A2020,N2019-N2020,0)</f>
        <v>0</v>
      </c>
      <c r="X2019" s="10">
        <f>IF(A2019=A2020,(N2019-N2020)/N2020,0)</f>
        <v>0</v>
      </c>
    </row>
    <row r="2020" spans="1:24" ht="16.5" customHeight="1">
      <c r="A2020" s="3" t="s">
        <v>46</v>
      </c>
      <c r="B2020" s="3">
        <f t="shared" si="56"/>
        <v>2022</v>
      </c>
      <c r="C2020" s="3">
        <f t="shared" si="57"/>
        <v>6</v>
      </c>
      <c r="D2020" s="20" t="str">
        <f t="shared" si="58"/>
        <v>APD20226</v>
      </c>
      <c r="E2020" s="2">
        <v>44742</v>
      </c>
      <c r="F2020" s="3">
        <v>1.62</v>
      </c>
      <c r="G2020" s="2">
        <v>44781</v>
      </c>
      <c r="H2020" s="3">
        <v>2.6700000000000002E-2</v>
      </c>
      <c r="I2020" s="3">
        <v>0</v>
      </c>
      <c r="J2020" s="3">
        <v>0</v>
      </c>
      <c r="K2020" s="3">
        <f t="shared" si="59"/>
        <v>2022</v>
      </c>
      <c r="L2020" s="3">
        <f t="shared" si="60"/>
        <v>0</v>
      </c>
      <c r="M2020" s="20" t="str">
        <f>A2020&amp;L2020</f>
        <v>APD0</v>
      </c>
      <c r="N2020" s="3">
        <f>F2020</f>
        <v>1.62</v>
      </c>
      <c r="O2020" s="9">
        <f>H2020</f>
        <v>2.6700000000000002E-2</v>
      </c>
      <c r="P2020" s="10">
        <f t="shared" si="61"/>
        <v>0</v>
      </c>
      <c r="Q2020" s="10">
        <f>IF(K2020=0,IF(A2017=A2020,AVERAGE(O2017:O2020),"x"),0)</f>
        <v>0</v>
      </c>
      <c r="R2020" s="9">
        <f>IF(L2020&gt;2005,AVERAGE(O2017:O2036),0)</f>
        <v>0</v>
      </c>
      <c r="S2020" s="10">
        <f>IF(A2020=A2021,(N2020-N2021)/N2021,0)</f>
        <v>0</v>
      </c>
      <c r="T2020" s="10">
        <f>IF(L2020&gt;2005,(((N2020-N2040)/N2040)+1)^(1/5)-1,0)</f>
        <v>0</v>
      </c>
      <c r="U2020" s="10">
        <f t="shared" si="62"/>
        <v>0</v>
      </c>
      <c r="V2020" s="26">
        <f t="shared" si="63"/>
        <v>0</v>
      </c>
      <c r="W2020" s="3">
        <f>IF(A2020=A2021,N2020-N2021,0)</f>
        <v>0</v>
      </c>
      <c r="X2020" s="10">
        <f>IF(A2020=A2021,(N2020-N2021)/N2021,0)</f>
        <v>0</v>
      </c>
    </row>
    <row r="2021" spans="1:24" ht="16.5" customHeight="1">
      <c r="A2021" s="3" t="s">
        <v>46</v>
      </c>
      <c r="B2021" s="3">
        <f t="shared" si="56"/>
        <v>2022</v>
      </c>
      <c r="C2021" s="3">
        <f t="shared" si="57"/>
        <v>3</v>
      </c>
      <c r="D2021" s="20" t="str">
        <f t="shared" si="58"/>
        <v>APD20223</v>
      </c>
      <c r="E2021" s="2">
        <v>44651</v>
      </c>
      <c r="F2021" s="3">
        <v>1.62</v>
      </c>
      <c r="G2021" s="2">
        <v>44690</v>
      </c>
      <c r="H2021" s="3">
        <v>2.5600000000000001E-2</v>
      </c>
      <c r="I2021" s="3">
        <v>0.08</v>
      </c>
      <c r="J2021" s="3">
        <v>0.12</v>
      </c>
      <c r="K2021" s="3">
        <f t="shared" si="59"/>
        <v>0</v>
      </c>
      <c r="L2021" s="3">
        <f t="shared" si="60"/>
        <v>2022</v>
      </c>
      <c r="M2021" s="20" t="str">
        <f>A2021&amp;L2021</f>
        <v>APD2022</v>
      </c>
      <c r="N2021" s="3">
        <f>F2021</f>
        <v>1.62</v>
      </c>
      <c r="O2021" s="9">
        <f>H2021</f>
        <v>2.5600000000000001E-2</v>
      </c>
      <c r="P2021" s="10">
        <f t="shared" si="61"/>
        <v>2.23E-2</v>
      </c>
      <c r="Q2021" s="10" t="str">
        <f>IF(K2021=0,IF(A2018=A2021,AVERAGE(O2018:O2021),"x"),0)</f>
        <v>x</v>
      </c>
      <c r="R2021" s="9">
        <f>IF(L2021&gt;2005,AVERAGE(O2018:O2037),0)</f>
        <v>2.3329999999999997E-2</v>
      </c>
      <c r="S2021" s="10">
        <f>IF(A2021=A2022,(N2021-N2022)/N2022,0)</f>
        <v>8.0000000000000071E-2</v>
      </c>
      <c r="T2021" s="10">
        <f>IF(L2021&gt;2005,(((N2021-N2041)/N2041)+1)^(1/5)-1,0)</f>
        <v>0.11264925596716679</v>
      </c>
      <c r="U2021" s="10">
        <f t="shared" si="62"/>
        <v>0.13597925596716678</v>
      </c>
      <c r="V2021" s="26">
        <f t="shared" si="63"/>
        <v>4.700246578802056</v>
      </c>
      <c r="W2021" s="3">
        <f>IF(A2021=A2022,N2021-N2022,0)</f>
        <v>0.12000000000000011</v>
      </c>
      <c r="X2021" s="10">
        <f>IF(A2021=A2022,(N2021-N2022)/N2022,0)</f>
        <v>8.0000000000000071E-2</v>
      </c>
    </row>
    <row r="2022" spans="1:24" ht="16.5" customHeight="1">
      <c r="A2022" s="3" t="s">
        <v>46</v>
      </c>
      <c r="B2022" s="3">
        <f t="shared" si="56"/>
        <v>2021</v>
      </c>
      <c r="C2022" s="3">
        <f t="shared" si="57"/>
        <v>12</v>
      </c>
      <c r="D2022" s="20" t="str">
        <f t="shared" si="58"/>
        <v>APD202112</v>
      </c>
      <c r="E2022" s="2">
        <v>44561</v>
      </c>
      <c r="F2022" s="3">
        <v>1.5</v>
      </c>
      <c r="G2022" s="2">
        <v>44606</v>
      </c>
      <c r="H2022" s="3">
        <v>1.9699999999999999E-2</v>
      </c>
      <c r="I2022" s="3">
        <v>0</v>
      </c>
      <c r="J2022" s="3">
        <v>0</v>
      </c>
      <c r="K2022" s="3">
        <f t="shared" si="59"/>
        <v>2021</v>
      </c>
      <c r="L2022" s="3">
        <f t="shared" si="60"/>
        <v>0</v>
      </c>
      <c r="M2022" s="20" t="str">
        <f>A2022&amp;L2022</f>
        <v>APD0</v>
      </c>
      <c r="N2022" s="3">
        <f>F2022</f>
        <v>1.5</v>
      </c>
      <c r="O2022" s="9">
        <f>H2022</f>
        <v>1.9699999999999999E-2</v>
      </c>
      <c r="P2022" s="10">
        <f t="shared" si="61"/>
        <v>0</v>
      </c>
      <c r="Q2022" s="10">
        <f>IF(K2022=0,IF(A2019=A2022,AVERAGE(O2019:O2022),"x"),0)</f>
        <v>0</v>
      </c>
      <c r="R2022" s="9">
        <f>IF(L2022&gt;2005,AVERAGE(O2019:O2038),0)</f>
        <v>0</v>
      </c>
      <c r="S2022" s="10">
        <f>IF(A2022=A2023,(N2022-N2023)/N2023,0)</f>
        <v>0</v>
      </c>
      <c r="T2022" s="10">
        <f>IF(L2022&gt;2005,(((N2022-N2042)/N2042)+1)^(1/5)-1,0)</f>
        <v>0</v>
      </c>
      <c r="U2022" s="10">
        <f t="shared" si="62"/>
        <v>0</v>
      </c>
      <c r="V2022" s="26">
        <f t="shared" si="63"/>
        <v>0</v>
      </c>
      <c r="W2022" s="3">
        <f>IF(A2022=A2023,N2022-N2023,0)</f>
        <v>0</v>
      </c>
      <c r="X2022" s="10">
        <f>IF(A2022=A2023,(N2022-N2023)/N2023,0)</f>
        <v>0</v>
      </c>
    </row>
    <row r="2023" spans="1:24" ht="16.5" customHeight="1">
      <c r="A2023" s="3" t="s">
        <v>46</v>
      </c>
      <c r="B2023" s="3">
        <f t="shared" si="56"/>
        <v>2021</v>
      </c>
      <c r="C2023" s="3">
        <f t="shared" si="57"/>
        <v>9</v>
      </c>
      <c r="D2023" s="20" t="str">
        <f t="shared" si="58"/>
        <v>APD20219</v>
      </c>
      <c r="E2023" s="2">
        <v>44469</v>
      </c>
      <c r="F2023" s="3">
        <v>1.5</v>
      </c>
      <c r="G2023" s="2">
        <v>44508</v>
      </c>
      <c r="H2023" s="3">
        <v>2.3099999999999999E-2</v>
      </c>
      <c r="I2023" s="3">
        <v>0</v>
      </c>
      <c r="J2023" s="3">
        <v>0</v>
      </c>
      <c r="K2023" s="3">
        <f t="shared" si="59"/>
        <v>2021</v>
      </c>
      <c r="L2023" s="3">
        <f t="shared" si="60"/>
        <v>0</v>
      </c>
      <c r="M2023" s="20" t="str">
        <f>A2023&amp;L2023</f>
        <v>APD0</v>
      </c>
      <c r="N2023" s="3">
        <f>F2023</f>
        <v>1.5</v>
      </c>
      <c r="O2023" s="9">
        <f>H2023</f>
        <v>2.3099999999999999E-2</v>
      </c>
      <c r="P2023" s="10">
        <f t="shared" si="61"/>
        <v>0</v>
      </c>
      <c r="Q2023" s="10">
        <f>IF(K2023=0,IF(A2020=A2023,AVERAGE(O2020:O2023),"x"),0)</f>
        <v>0</v>
      </c>
      <c r="R2023" s="9">
        <f>IF(L2023&gt;2005,AVERAGE(O2020:O2039),0)</f>
        <v>0</v>
      </c>
      <c r="S2023" s="10">
        <f>IF(A2023=A2024,(N2023-N2024)/N2024,0)</f>
        <v>0</v>
      </c>
      <c r="T2023" s="10">
        <f>IF(L2023&gt;2005,(((N2023-N2043)/N2043)+1)^(1/5)-1,0)</f>
        <v>0</v>
      </c>
      <c r="U2023" s="10">
        <f t="shared" si="62"/>
        <v>0</v>
      </c>
      <c r="V2023" s="26">
        <f t="shared" si="63"/>
        <v>0</v>
      </c>
      <c r="W2023" s="3">
        <f>IF(A2023=A2024,N2023-N2024,0)</f>
        <v>0</v>
      </c>
      <c r="X2023" s="10">
        <f>IF(A2023=A2024,(N2023-N2024)/N2024,0)</f>
        <v>0</v>
      </c>
    </row>
    <row r="2024" spans="1:24" ht="16.5" customHeight="1">
      <c r="A2024" s="3" t="s">
        <v>46</v>
      </c>
      <c r="B2024" s="3">
        <f t="shared" si="56"/>
        <v>2021</v>
      </c>
      <c r="C2024" s="3">
        <f t="shared" si="57"/>
        <v>6</v>
      </c>
      <c r="D2024" s="20" t="str">
        <f t="shared" si="58"/>
        <v>APD20216</v>
      </c>
      <c r="E2024" s="2">
        <v>44377</v>
      </c>
      <c r="F2024" s="3">
        <v>1.5</v>
      </c>
      <c r="G2024" s="2">
        <v>44417</v>
      </c>
      <c r="H2024" s="3">
        <v>2.0799999999999999E-2</v>
      </c>
      <c r="I2024" s="3">
        <v>0</v>
      </c>
      <c r="J2024" s="3">
        <v>0</v>
      </c>
      <c r="K2024" s="3">
        <f t="shared" si="59"/>
        <v>2021</v>
      </c>
      <c r="L2024" s="3">
        <f t="shared" si="60"/>
        <v>0</v>
      </c>
      <c r="M2024" s="20" t="str">
        <f>A2024&amp;L2024</f>
        <v>APD0</v>
      </c>
      <c r="N2024" s="3">
        <f>F2024</f>
        <v>1.5</v>
      </c>
      <c r="O2024" s="9">
        <f>H2024</f>
        <v>2.0799999999999999E-2</v>
      </c>
      <c r="P2024" s="10">
        <f t="shared" si="61"/>
        <v>0</v>
      </c>
      <c r="Q2024" s="10">
        <f>IF(K2024=0,IF(A2021=A2024,AVERAGE(O2021:O2024),"x"),0)</f>
        <v>0</v>
      </c>
      <c r="R2024" s="9">
        <f>IF(L2024&gt;2005,AVERAGE(O2021:O2040),0)</f>
        <v>0</v>
      </c>
      <c r="S2024" s="10">
        <f>IF(A2024=A2025,(N2024-N2025)/N2025,0)</f>
        <v>0</v>
      </c>
      <c r="T2024" s="10">
        <f>IF(L2024&gt;2005,(((N2024-N2044)/N2044)+1)^(1/5)-1,0)</f>
        <v>0</v>
      </c>
      <c r="U2024" s="10">
        <f t="shared" si="62"/>
        <v>0</v>
      </c>
      <c r="V2024" s="26">
        <f t="shared" si="63"/>
        <v>0</v>
      </c>
      <c r="W2024" s="3">
        <f>IF(A2024=A2025,N2024-N2025,0)</f>
        <v>0</v>
      </c>
      <c r="X2024" s="10">
        <f>IF(A2024=A2025,(N2024-N2025)/N2025,0)</f>
        <v>0</v>
      </c>
    </row>
    <row r="2025" spans="1:24" ht="16.5" customHeight="1">
      <c r="A2025" s="3" t="s">
        <v>46</v>
      </c>
      <c r="B2025" s="3">
        <f t="shared" si="56"/>
        <v>2021</v>
      </c>
      <c r="C2025" s="3">
        <f t="shared" si="57"/>
        <v>3</v>
      </c>
      <c r="D2025" s="20" t="str">
        <f t="shared" si="58"/>
        <v>APD20213</v>
      </c>
      <c r="E2025" s="2">
        <v>44286</v>
      </c>
      <c r="F2025" s="3">
        <v>1.5</v>
      </c>
      <c r="G2025" s="2">
        <v>44326</v>
      </c>
      <c r="H2025" s="3">
        <v>2.12E-2</v>
      </c>
      <c r="I2025" s="3">
        <v>0.119402985</v>
      </c>
      <c r="J2025" s="3">
        <v>0.16</v>
      </c>
      <c r="K2025" s="3">
        <f t="shared" si="59"/>
        <v>0</v>
      </c>
      <c r="L2025" s="3">
        <f t="shared" si="60"/>
        <v>2021</v>
      </c>
      <c r="M2025" s="20" t="str">
        <f>A2025&amp;L2025</f>
        <v>APD2021</v>
      </c>
      <c r="N2025" s="3">
        <f>F2025</f>
        <v>1.5</v>
      </c>
      <c r="O2025" s="9">
        <f>H2025</f>
        <v>2.12E-2</v>
      </c>
      <c r="P2025" s="10">
        <f t="shared" si="61"/>
        <v>2.0424999999999999E-2</v>
      </c>
      <c r="Q2025" s="10">
        <f>IF(K2025=0,IF(A2022=A2025,AVERAGE(O2022:O2025),"x"),0)</f>
        <v>2.1199999999999997E-2</v>
      </c>
      <c r="R2025" s="9">
        <f>IF(L2025&gt;2005,AVERAGE(O2022:O2041),0)</f>
        <v>2.3429999999999996E-2</v>
      </c>
      <c r="S2025" s="10">
        <f>IF(A2025=A2026,(N2025-N2026)/N2026,0)</f>
        <v>0.11940298507462679</v>
      </c>
      <c r="T2025" s="10">
        <f>IF(L2025&gt;2005,(((N2025-N2045)/N2045)+1)^(1/5)-1,0)</f>
        <v>0.11768278437733448</v>
      </c>
      <c r="U2025" s="10">
        <f t="shared" si="62"/>
        <v>0.14111278437733449</v>
      </c>
      <c r="V2025" s="26">
        <f t="shared" si="63"/>
        <v>4.7003141253968712</v>
      </c>
      <c r="W2025" s="3">
        <f>IF(A2025=A2026,N2025-N2026,0)</f>
        <v>0.15999999999999992</v>
      </c>
      <c r="X2025" s="10">
        <f>IF(A2025=A2026,(N2025-N2026)/N2026,0)</f>
        <v>0.11940298507462679</v>
      </c>
    </row>
    <row r="2026" spans="1:24" ht="16.5" customHeight="1">
      <c r="A2026" s="3" t="s">
        <v>46</v>
      </c>
      <c r="B2026" s="3">
        <f t="shared" si="56"/>
        <v>2020</v>
      </c>
      <c r="C2026" s="3">
        <f t="shared" si="57"/>
        <v>12</v>
      </c>
      <c r="D2026" s="20" t="str">
        <f t="shared" si="58"/>
        <v>APD202012</v>
      </c>
      <c r="E2026" s="2">
        <v>44196</v>
      </c>
      <c r="F2026" s="3">
        <v>1.34</v>
      </c>
      <c r="G2026" s="2">
        <v>44235</v>
      </c>
      <c r="H2026" s="3">
        <v>1.9800000000000002E-2</v>
      </c>
      <c r="I2026" s="3">
        <v>0</v>
      </c>
      <c r="J2026" s="3">
        <v>0</v>
      </c>
      <c r="K2026" s="3">
        <f t="shared" si="59"/>
        <v>2020</v>
      </c>
      <c r="L2026" s="3">
        <f t="shared" si="60"/>
        <v>0</v>
      </c>
      <c r="M2026" s="20" t="str">
        <f>A2026&amp;L2026</f>
        <v>APD0</v>
      </c>
      <c r="N2026" s="3">
        <f>F2026</f>
        <v>1.34</v>
      </c>
      <c r="O2026" s="9">
        <f>H2026</f>
        <v>1.9800000000000002E-2</v>
      </c>
      <c r="P2026" s="10">
        <f t="shared" si="61"/>
        <v>0</v>
      </c>
      <c r="Q2026" s="10">
        <f>IF(K2026=0,IF(A2023=A2026,AVERAGE(O2023:O2026),"x"),0)</f>
        <v>0</v>
      </c>
      <c r="R2026" s="9">
        <f>IF(L2026&gt;2005,AVERAGE(O2023:O2042),0)</f>
        <v>0</v>
      </c>
      <c r="S2026" s="10">
        <f>IF(A2026=A2027,(N2026-N2027)/N2027,0)</f>
        <v>0</v>
      </c>
      <c r="T2026" s="10">
        <f>IF(L2026&gt;2005,(((N2026-N2046)/N2046)+1)^(1/5)-1,0)</f>
        <v>0</v>
      </c>
      <c r="U2026" s="10">
        <f t="shared" si="62"/>
        <v>0</v>
      </c>
      <c r="V2026" s="26">
        <f t="shared" si="63"/>
        <v>0</v>
      </c>
      <c r="W2026" s="3">
        <f>IF(A2026=A2027,N2026-N2027,0)</f>
        <v>0</v>
      </c>
      <c r="X2026" s="10">
        <f>IF(A2026=A2027,(N2026-N2027)/N2027,0)</f>
        <v>0</v>
      </c>
    </row>
    <row r="2027" spans="1:24" ht="16.5" customHeight="1">
      <c r="A2027" s="3" t="s">
        <v>46</v>
      </c>
      <c r="B2027" s="3">
        <f t="shared" si="56"/>
        <v>2020</v>
      </c>
      <c r="C2027" s="3">
        <f t="shared" si="57"/>
        <v>9</v>
      </c>
      <c r="D2027" s="20" t="str">
        <f t="shared" si="58"/>
        <v>APD20209</v>
      </c>
      <c r="E2027" s="2">
        <v>44104</v>
      </c>
      <c r="F2027" s="3">
        <v>1.34</v>
      </c>
      <c r="G2027" s="2">
        <v>44144</v>
      </c>
      <c r="H2027" s="3">
        <v>1.8200000000000001E-2</v>
      </c>
      <c r="I2027" s="3">
        <v>0</v>
      </c>
      <c r="J2027" s="3">
        <v>0</v>
      </c>
      <c r="K2027" s="3">
        <f t="shared" si="59"/>
        <v>2020</v>
      </c>
      <c r="L2027" s="3">
        <f t="shared" si="60"/>
        <v>0</v>
      </c>
      <c r="M2027" s="20" t="str">
        <f>A2027&amp;L2027</f>
        <v>APD0</v>
      </c>
      <c r="N2027" s="3">
        <f>F2027</f>
        <v>1.34</v>
      </c>
      <c r="O2027" s="9">
        <f>H2027</f>
        <v>1.8200000000000001E-2</v>
      </c>
      <c r="P2027" s="10">
        <f t="shared" si="61"/>
        <v>0</v>
      </c>
      <c r="Q2027" s="10">
        <f>IF(K2027=0,IF(A2024=A2027,AVERAGE(O2024:O2027),"x"),0)</f>
        <v>0</v>
      </c>
      <c r="R2027" s="9">
        <f>IF(L2027&gt;2005,AVERAGE(O2024:O2043),0)</f>
        <v>0</v>
      </c>
      <c r="S2027" s="10">
        <f>IF(A2027=A2028,(N2027-N2028)/N2028,0)</f>
        <v>0</v>
      </c>
      <c r="T2027" s="10">
        <f>IF(L2027&gt;2005,(((N2027-N2047)/N2047)+1)^(1/5)-1,0)</f>
        <v>0</v>
      </c>
      <c r="U2027" s="10">
        <f t="shared" si="62"/>
        <v>0</v>
      </c>
      <c r="V2027" s="26">
        <f t="shared" si="63"/>
        <v>0</v>
      </c>
      <c r="W2027" s="3">
        <f>IF(A2027=A2028,N2027-N2028,0)</f>
        <v>0</v>
      </c>
      <c r="X2027" s="10">
        <f>IF(A2027=A2028,(N2027-N2028)/N2028,0)</f>
        <v>0</v>
      </c>
    </row>
    <row r="2028" spans="1:24" ht="16.5" customHeight="1">
      <c r="A2028" s="3" t="s">
        <v>46</v>
      </c>
      <c r="B2028" s="3">
        <f t="shared" si="56"/>
        <v>2020</v>
      </c>
      <c r="C2028" s="3">
        <f t="shared" si="57"/>
        <v>6</v>
      </c>
      <c r="D2028" s="20" t="str">
        <f t="shared" si="58"/>
        <v>APD20206</v>
      </c>
      <c r="E2028" s="2">
        <v>44012</v>
      </c>
      <c r="F2028" s="3">
        <v>1.34</v>
      </c>
      <c r="G2028" s="2">
        <v>44053</v>
      </c>
      <c r="H2028" s="3">
        <v>2.2499999999999999E-2</v>
      </c>
      <c r="I2028" s="3">
        <v>0</v>
      </c>
      <c r="J2028" s="3">
        <v>0</v>
      </c>
      <c r="K2028" s="3">
        <f t="shared" si="59"/>
        <v>2020</v>
      </c>
      <c r="L2028" s="3">
        <f t="shared" si="60"/>
        <v>0</v>
      </c>
      <c r="M2028" s="20" t="str">
        <f>A2028&amp;L2028</f>
        <v>APD0</v>
      </c>
      <c r="N2028" s="3">
        <f>F2028</f>
        <v>1.34</v>
      </c>
      <c r="O2028" s="9">
        <f>H2028</f>
        <v>2.2499999999999999E-2</v>
      </c>
      <c r="P2028" s="10">
        <f t="shared" si="61"/>
        <v>0</v>
      </c>
      <c r="Q2028" s="10">
        <f>IF(K2028=0,IF(A2025=A2028,AVERAGE(O2025:O2028),"x"),0)</f>
        <v>0</v>
      </c>
      <c r="R2028" s="9">
        <f>IF(L2028&gt;2005,AVERAGE(O2025:O2044),0)</f>
        <v>0</v>
      </c>
      <c r="S2028" s="10">
        <f>IF(A2028=A2029,(N2028-N2029)/N2029,0)</f>
        <v>0</v>
      </c>
      <c r="T2028" s="10">
        <f>IF(L2028&gt;2005,(((N2028-N2048)/N2048)+1)^(1/5)-1,0)</f>
        <v>0</v>
      </c>
      <c r="U2028" s="10">
        <f t="shared" si="62"/>
        <v>0</v>
      </c>
      <c r="V2028" s="26">
        <f t="shared" si="63"/>
        <v>0</v>
      </c>
      <c r="W2028" s="3">
        <f>IF(A2028=A2029,N2028-N2029,0)</f>
        <v>0</v>
      </c>
      <c r="X2028" s="10">
        <f>IF(A2028=A2029,(N2028-N2029)/N2029,0)</f>
        <v>0</v>
      </c>
    </row>
    <row r="2029" spans="1:24" ht="16.5" customHeight="1">
      <c r="A2029" s="3" t="s">
        <v>46</v>
      </c>
      <c r="B2029" s="3">
        <f t="shared" si="56"/>
        <v>2020</v>
      </c>
      <c r="C2029" s="3">
        <f t="shared" si="57"/>
        <v>3</v>
      </c>
      <c r="D2029" s="20" t="str">
        <f t="shared" si="58"/>
        <v>APD20203</v>
      </c>
      <c r="E2029" s="2">
        <v>43921</v>
      </c>
      <c r="F2029" s="3">
        <v>1.34</v>
      </c>
      <c r="G2029" s="2">
        <v>43962</v>
      </c>
      <c r="H2029" s="3">
        <v>2.5999999999999999E-2</v>
      </c>
      <c r="I2029" s="3">
        <v>0.15517241400000001</v>
      </c>
      <c r="J2029" s="3">
        <v>0.18</v>
      </c>
      <c r="K2029" s="3">
        <f t="shared" si="59"/>
        <v>0</v>
      </c>
      <c r="L2029" s="3">
        <f t="shared" si="60"/>
        <v>2020</v>
      </c>
      <c r="M2029" s="20" t="str">
        <f>A2029&amp;L2029</f>
        <v>APD2020</v>
      </c>
      <c r="N2029" s="3">
        <f>F2029</f>
        <v>1.34</v>
      </c>
      <c r="O2029" s="9">
        <f>H2029</f>
        <v>2.5999999999999999E-2</v>
      </c>
      <c r="P2029" s="10">
        <f t="shared" si="61"/>
        <v>2.1874999999999999E-2</v>
      </c>
      <c r="Q2029" s="10">
        <f>IF(K2029=0,IF(A2026=A2029,AVERAGE(O2026:O2029),"x"),0)</f>
        <v>2.1625000000000002E-2</v>
      </c>
      <c r="R2029" s="9">
        <f>IF(L2029&gt;2005,AVERAGE(O2026:O2045),0)</f>
        <v>2.4075000000000003E-2</v>
      </c>
      <c r="S2029" s="10">
        <f>IF(A2029=A2030,(N2029-N2030)/N2030,0)</f>
        <v>0.15517241379310359</v>
      </c>
      <c r="T2029" s="10">
        <f>IF(L2029&gt;2005,(((N2029-N2049)/N2049)+1)^(1/5)-1,0)</f>
        <v>0.10592062075555875</v>
      </c>
      <c r="U2029" s="10">
        <f t="shared" si="62"/>
        <v>0.12999562075555876</v>
      </c>
      <c r="V2029" s="26">
        <f t="shared" si="63"/>
        <v>4.6893536780861549</v>
      </c>
      <c r="W2029" s="3">
        <f>IF(A2029=A2030,N2029-N2030,0)</f>
        <v>0.18000000000000016</v>
      </c>
      <c r="X2029" s="10">
        <f>IF(A2029=A2030,(N2029-N2030)/N2030,0)</f>
        <v>0.15517241379310359</v>
      </c>
    </row>
    <row r="2030" spans="1:24" ht="16.5" customHeight="1">
      <c r="A2030" s="3" t="s">
        <v>46</v>
      </c>
      <c r="B2030" s="3">
        <f t="shared" si="56"/>
        <v>2019</v>
      </c>
      <c r="C2030" s="3">
        <f t="shared" si="57"/>
        <v>12</v>
      </c>
      <c r="D2030" s="20" t="str">
        <f t="shared" si="58"/>
        <v>APD201912</v>
      </c>
      <c r="E2030" s="2">
        <v>43830</v>
      </c>
      <c r="F2030" s="3">
        <v>1.1599999999999999</v>
      </c>
      <c r="G2030" s="2">
        <v>43871</v>
      </c>
      <c r="H2030" s="3">
        <v>1.9699999999999999E-2</v>
      </c>
      <c r="I2030" s="3">
        <v>0</v>
      </c>
      <c r="J2030" s="3">
        <v>0</v>
      </c>
      <c r="K2030" s="3">
        <f t="shared" si="59"/>
        <v>2019</v>
      </c>
      <c r="L2030" s="3">
        <f t="shared" si="60"/>
        <v>0</v>
      </c>
      <c r="M2030" s="20" t="str">
        <f>A2030&amp;L2030</f>
        <v>APD0</v>
      </c>
      <c r="N2030" s="3">
        <f>F2030</f>
        <v>1.1599999999999999</v>
      </c>
      <c r="O2030" s="9">
        <f>H2030</f>
        <v>1.9699999999999999E-2</v>
      </c>
      <c r="P2030" s="10">
        <f t="shared" si="61"/>
        <v>0</v>
      </c>
      <c r="Q2030" s="10">
        <f>IF(K2030=0,IF(A2027=A2030,AVERAGE(O2027:O2030),"x"),0)</f>
        <v>0</v>
      </c>
      <c r="R2030" s="9">
        <f>IF(L2030&gt;2005,AVERAGE(O2027:O2046),0)</f>
        <v>0</v>
      </c>
      <c r="S2030" s="10">
        <f>IF(A2030=A2031,(N2030-N2031)/N2031,0)</f>
        <v>0</v>
      </c>
      <c r="T2030" s="10">
        <f>IF(L2030&gt;2005,(((N2030-N2050)/N2050)+1)^(1/5)-1,0)</f>
        <v>0</v>
      </c>
      <c r="U2030" s="10">
        <f t="shared" si="62"/>
        <v>0</v>
      </c>
      <c r="V2030" s="26">
        <f t="shared" si="63"/>
        <v>0</v>
      </c>
      <c r="W2030" s="3">
        <f>IF(A2030=A2031,N2030-N2031,0)</f>
        <v>0</v>
      </c>
      <c r="X2030" s="10">
        <f>IF(A2030=A2031,(N2030-N2031)/N2031,0)</f>
        <v>0</v>
      </c>
    </row>
    <row r="2031" spans="1:24" ht="16.5" customHeight="1">
      <c r="A2031" s="3" t="s">
        <v>46</v>
      </c>
      <c r="B2031" s="3">
        <f t="shared" si="56"/>
        <v>2019</v>
      </c>
      <c r="C2031" s="3">
        <f t="shared" si="57"/>
        <v>9</v>
      </c>
      <c r="D2031" s="20" t="str">
        <f t="shared" si="58"/>
        <v>APD20199</v>
      </c>
      <c r="E2031" s="2">
        <v>43738</v>
      </c>
      <c r="F2031" s="3">
        <v>1.1599999999999999</v>
      </c>
      <c r="G2031" s="2">
        <v>43780</v>
      </c>
      <c r="H2031" s="3">
        <v>2.1000000000000001E-2</v>
      </c>
      <c r="I2031" s="3">
        <v>0</v>
      </c>
      <c r="J2031" s="3">
        <v>0</v>
      </c>
      <c r="K2031" s="3">
        <f t="shared" si="59"/>
        <v>2019</v>
      </c>
      <c r="L2031" s="3">
        <f t="shared" si="60"/>
        <v>0</v>
      </c>
      <c r="M2031" s="20" t="str">
        <f>A2031&amp;L2031</f>
        <v>APD0</v>
      </c>
      <c r="N2031" s="3">
        <f>F2031</f>
        <v>1.1599999999999999</v>
      </c>
      <c r="O2031" s="9">
        <f>H2031</f>
        <v>2.1000000000000001E-2</v>
      </c>
      <c r="P2031" s="10">
        <f t="shared" si="61"/>
        <v>0</v>
      </c>
      <c r="Q2031" s="10">
        <f>IF(K2031=0,IF(A2028=A2031,AVERAGE(O2028:O2031),"x"),0)</f>
        <v>0</v>
      </c>
      <c r="R2031" s="9">
        <f>IF(L2031&gt;2005,AVERAGE(O2028:O2047),0)</f>
        <v>0</v>
      </c>
      <c r="S2031" s="10">
        <f>IF(A2031=A2032,(N2031-N2032)/N2032,0)</f>
        <v>0</v>
      </c>
      <c r="T2031" s="10">
        <f>IF(L2031&gt;2005,(((N2031-N2051)/N2051)+1)^(1/5)-1,0)</f>
        <v>0</v>
      </c>
      <c r="U2031" s="10">
        <f t="shared" si="62"/>
        <v>0</v>
      </c>
      <c r="V2031" s="26">
        <f t="shared" si="63"/>
        <v>0</v>
      </c>
      <c r="W2031" s="3">
        <f>IF(A2031=A2032,N2031-N2032,0)</f>
        <v>0</v>
      </c>
      <c r="X2031" s="10">
        <f>IF(A2031=A2032,(N2031-N2032)/N2032,0)</f>
        <v>0</v>
      </c>
    </row>
    <row r="2032" spans="1:24" ht="16.5" customHeight="1">
      <c r="A2032" s="3" t="s">
        <v>46</v>
      </c>
      <c r="B2032" s="3">
        <f t="shared" si="56"/>
        <v>2019</v>
      </c>
      <c r="C2032" s="3">
        <f t="shared" si="57"/>
        <v>6</v>
      </c>
      <c r="D2032" s="20" t="str">
        <f t="shared" si="58"/>
        <v>APD20196</v>
      </c>
      <c r="E2032" s="2">
        <v>43644</v>
      </c>
      <c r="F2032" s="3">
        <v>1.1599999999999999</v>
      </c>
      <c r="G2032" s="2">
        <v>43689</v>
      </c>
      <c r="H2032" s="3">
        <v>2.0799999999999999E-2</v>
      </c>
      <c r="I2032" s="3">
        <v>0</v>
      </c>
      <c r="J2032" s="3">
        <v>0</v>
      </c>
      <c r="K2032" s="3">
        <f t="shared" si="59"/>
        <v>2019</v>
      </c>
      <c r="L2032" s="3">
        <f t="shared" si="60"/>
        <v>0</v>
      </c>
      <c r="M2032" s="20" t="str">
        <f>A2032&amp;L2032</f>
        <v>APD0</v>
      </c>
      <c r="N2032" s="3">
        <f>F2032</f>
        <v>1.1599999999999999</v>
      </c>
      <c r="O2032" s="9">
        <f>H2032</f>
        <v>2.0799999999999999E-2</v>
      </c>
      <c r="P2032" s="10">
        <f t="shared" si="61"/>
        <v>0</v>
      </c>
      <c r="Q2032" s="10">
        <f>IF(K2032=0,IF(A2029=A2032,AVERAGE(O2029:O2032),"x"),0)</f>
        <v>0</v>
      </c>
      <c r="R2032" s="9">
        <f>IF(L2032&gt;2005,AVERAGE(O2029:O2048),0)</f>
        <v>0</v>
      </c>
      <c r="S2032" s="10">
        <f>IF(A2032=A2033,(N2032-N2033)/N2033,0)</f>
        <v>0</v>
      </c>
      <c r="T2032" s="10">
        <f>IF(L2032&gt;2005,(((N2032-N2052)/N2052)+1)^(1/5)-1,0)</f>
        <v>0</v>
      </c>
      <c r="U2032" s="10">
        <f t="shared" si="62"/>
        <v>0</v>
      </c>
      <c r="V2032" s="26">
        <f t="shared" si="63"/>
        <v>0</v>
      </c>
      <c r="W2032" s="3">
        <f>IF(A2032=A2033,N2032-N2033,0)</f>
        <v>0</v>
      </c>
      <c r="X2032" s="10">
        <f>IF(A2032=A2033,(N2032-N2033)/N2033,0)</f>
        <v>0</v>
      </c>
    </row>
    <row r="2033" spans="1:24" ht="16.5" customHeight="1">
      <c r="A2033" s="3" t="s">
        <v>46</v>
      </c>
      <c r="B2033" s="3">
        <f t="shared" si="56"/>
        <v>2019</v>
      </c>
      <c r="C2033" s="3">
        <f t="shared" si="57"/>
        <v>3</v>
      </c>
      <c r="D2033" s="20" t="str">
        <f t="shared" si="58"/>
        <v>APD20193</v>
      </c>
      <c r="E2033" s="2">
        <v>43553</v>
      </c>
      <c r="F2033" s="3">
        <v>1.1599999999999999</v>
      </c>
      <c r="G2033" s="2">
        <v>43598</v>
      </c>
      <c r="H2033" s="3">
        <v>2.4400000000000002E-2</v>
      </c>
      <c r="I2033" s="3">
        <v>5.4545455E-2</v>
      </c>
      <c r="J2033" s="3">
        <v>0.06</v>
      </c>
      <c r="K2033" s="3">
        <f t="shared" si="59"/>
        <v>0</v>
      </c>
      <c r="L2033" s="3">
        <f t="shared" si="60"/>
        <v>2019</v>
      </c>
      <c r="M2033" s="20" t="str">
        <f>A2033&amp;L2033</f>
        <v>APD2019</v>
      </c>
      <c r="N2033" s="3">
        <f>F2033</f>
        <v>1.1599999999999999</v>
      </c>
      <c r="O2033" s="9">
        <f>H2033</f>
        <v>2.4400000000000002E-2</v>
      </c>
      <c r="P2033" s="10">
        <f t="shared" si="61"/>
        <v>2.6525E-2</v>
      </c>
      <c r="Q2033" s="10">
        <f>IF(K2033=0,IF(A2030=A2033,AVERAGE(O2030:O2033),"x"),0)</f>
        <v>2.1475000000000001E-2</v>
      </c>
      <c r="R2033" s="9">
        <f>IF(L2033&gt;2005,AVERAGE(O2030:O2049),0)</f>
        <v>2.4370000000000003E-2</v>
      </c>
      <c r="S2033" s="10">
        <f>IF(A2033=A2034,(N2033-N2034)/N2034,0)</f>
        <v>5.454545454545439E-2</v>
      </c>
      <c r="T2033" s="10">
        <f>IF(L2033&gt;2005,(((N2033-N2053)/N2053)+1)^(1/5)-1,0)</f>
        <v>8.5409086142167245E-2</v>
      </c>
      <c r="U2033" s="10">
        <f t="shared" si="62"/>
        <v>0.10977908614216725</v>
      </c>
      <c r="V2033" s="26">
        <f t="shared" si="63"/>
        <v>4.6800969137126405</v>
      </c>
      <c r="W2033" s="3">
        <f>IF(A2033=A2034,N2033-N2034,0)</f>
        <v>5.9999999999999831E-2</v>
      </c>
      <c r="X2033" s="10">
        <f>IF(A2033=A2034,(N2033-N2034)/N2034,0)</f>
        <v>5.454545454545439E-2</v>
      </c>
    </row>
    <row r="2034" spans="1:24" ht="16.5" customHeight="1">
      <c r="A2034" s="3" t="s">
        <v>46</v>
      </c>
      <c r="B2034" s="3">
        <f t="shared" si="56"/>
        <v>2018</v>
      </c>
      <c r="C2034" s="3">
        <f t="shared" si="57"/>
        <v>12</v>
      </c>
      <c r="D2034" s="20" t="str">
        <f t="shared" si="58"/>
        <v>APD201812</v>
      </c>
      <c r="E2034" s="2">
        <v>43465</v>
      </c>
      <c r="F2034" s="3">
        <v>1.1000000000000001</v>
      </c>
      <c r="G2034" s="2">
        <v>43507</v>
      </c>
      <c r="H2034" s="3">
        <v>2.7400000000000001E-2</v>
      </c>
      <c r="I2034" s="3">
        <v>0</v>
      </c>
      <c r="J2034" s="3">
        <v>0</v>
      </c>
      <c r="K2034" s="3">
        <f t="shared" si="59"/>
        <v>2018</v>
      </c>
      <c r="L2034" s="3">
        <f t="shared" si="60"/>
        <v>0</v>
      </c>
      <c r="M2034" s="20" t="str">
        <f>A2034&amp;L2034</f>
        <v>APD0</v>
      </c>
      <c r="N2034" s="3">
        <f>F2034</f>
        <v>1.1000000000000001</v>
      </c>
      <c r="O2034" s="9">
        <f>H2034</f>
        <v>2.7400000000000001E-2</v>
      </c>
      <c r="P2034" s="10">
        <f t="shared" si="61"/>
        <v>0</v>
      </c>
      <c r="Q2034" s="10">
        <f>IF(K2034=0,IF(A2031=A2034,AVERAGE(O2031:O2034),"x"),0)</f>
        <v>0</v>
      </c>
      <c r="R2034" s="9">
        <f>IF(L2034&gt;2005,AVERAGE(O2031:O2050),0)</f>
        <v>0</v>
      </c>
      <c r="S2034" s="10">
        <f>IF(A2034=A2035,(N2034-N2035)/N2035,0)</f>
        <v>0</v>
      </c>
      <c r="T2034" s="10">
        <f>IF(L2034&gt;2005,(((N2034-N2054)/N2054)+1)^(1/5)-1,0)</f>
        <v>0</v>
      </c>
      <c r="U2034" s="10">
        <f t="shared" si="62"/>
        <v>0</v>
      </c>
      <c r="V2034" s="26">
        <f t="shared" si="63"/>
        <v>0</v>
      </c>
      <c r="W2034" s="3">
        <f>IF(A2034=A2035,N2034-N2035,0)</f>
        <v>0</v>
      </c>
      <c r="X2034" s="10">
        <f>IF(A2034=A2035,(N2034-N2035)/N2035,0)</f>
        <v>0</v>
      </c>
    </row>
    <row r="2035" spans="1:24" ht="16.5" customHeight="1">
      <c r="A2035" s="3" t="s">
        <v>46</v>
      </c>
      <c r="B2035" s="3">
        <f t="shared" si="56"/>
        <v>2018</v>
      </c>
      <c r="C2035" s="3">
        <f t="shared" si="57"/>
        <v>9</v>
      </c>
      <c r="D2035" s="20" t="str">
        <f t="shared" si="58"/>
        <v>APD20189</v>
      </c>
      <c r="E2035" s="2">
        <v>43371</v>
      </c>
      <c r="F2035" s="3">
        <v>1.1000000000000001</v>
      </c>
      <c r="G2035" s="2">
        <v>43416</v>
      </c>
      <c r="H2035" s="3">
        <v>2.6100000000000002E-2</v>
      </c>
      <c r="I2035" s="3">
        <v>0</v>
      </c>
      <c r="J2035" s="3">
        <v>0</v>
      </c>
      <c r="K2035" s="3">
        <f t="shared" si="59"/>
        <v>2018</v>
      </c>
      <c r="L2035" s="3">
        <f t="shared" si="60"/>
        <v>0</v>
      </c>
      <c r="M2035" s="20" t="str">
        <f>A2035&amp;L2035</f>
        <v>APD0</v>
      </c>
      <c r="N2035" s="3">
        <f>F2035</f>
        <v>1.1000000000000001</v>
      </c>
      <c r="O2035" s="9">
        <f>H2035</f>
        <v>2.6100000000000002E-2</v>
      </c>
      <c r="P2035" s="10">
        <f t="shared" si="61"/>
        <v>0</v>
      </c>
      <c r="Q2035" s="10">
        <f>IF(K2035=0,IF(A2032=A2035,AVERAGE(O2032:O2035),"x"),0)</f>
        <v>0</v>
      </c>
      <c r="R2035" s="9">
        <f>IF(L2035&gt;2005,AVERAGE(O2032:O2051),0)</f>
        <v>0</v>
      </c>
      <c r="S2035" s="10">
        <f>IF(A2035=A2036,(N2035-N2036)/N2036,0)</f>
        <v>0</v>
      </c>
      <c r="T2035" s="10">
        <f>IF(L2035&gt;2005,(((N2035-N2055)/N2055)+1)^(1/5)-1,0)</f>
        <v>0</v>
      </c>
      <c r="U2035" s="10">
        <f t="shared" si="62"/>
        <v>0</v>
      </c>
      <c r="V2035" s="26">
        <f t="shared" si="63"/>
        <v>0</v>
      </c>
      <c r="W2035" s="3">
        <f>IF(A2035=A2036,N2035-N2036,0)</f>
        <v>0</v>
      </c>
      <c r="X2035" s="10">
        <f>IF(A2035=A2036,(N2035-N2036)/N2036,0)</f>
        <v>0</v>
      </c>
    </row>
    <row r="2036" spans="1:24" ht="16.5" customHeight="1">
      <c r="A2036" s="3" t="s">
        <v>46</v>
      </c>
      <c r="B2036" s="3">
        <f t="shared" si="56"/>
        <v>2018</v>
      </c>
      <c r="C2036" s="3">
        <f t="shared" si="57"/>
        <v>6</v>
      </c>
      <c r="D2036" s="20" t="str">
        <f t="shared" si="58"/>
        <v>APD20186</v>
      </c>
      <c r="E2036" s="2">
        <v>43280</v>
      </c>
      <c r="F2036" s="3">
        <v>1.1000000000000001</v>
      </c>
      <c r="G2036" s="2">
        <v>43325</v>
      </c>
      <c r="H2036" s="3">
        <v>2.8199999999999999E-2</v>
      </c>
      <c r="I2036" s="3">
        <v>0</v>
      </c>
      <c r="J2036" s="3">
        <v>0</v>
      </c>
      <c r="K2036" s="3">
        <f t="shared" si="59"/>
        <v>2018</v>
      </c>
      <c r="L2036" s="3">
        <f t="shared" si="60"/>
        <v>0</v>
      </c>
      <c r="M2036" s="20" t="str">
        <f>A2036&amp;L2036</f>
        <v>APD0</v>
      </c>
      <c r="N2036" s="3">
        <f>F2036</f>
        <v>1.1000000000000001</v>
      </c>
      <c r="O2036" s="9">
        <f>H2036</f>
        <v>2.8199999999999999E-2</v>
      </c>
      <c r="P2036" s="10">
        <f t="shared" si="61"/>
        <v>0</v>
      </c>
      <c r="Q2036" s="10">
        <f>IF(K2036=0,IF(A2033=A2036,AVERAGE(O2033:O2036),"x"),0)</f>
        <v>0</v>
      </c>
      <c r="R2036" s="9">
        <f>IF(L2036&gt;2005,AVERAGE(O2033:O2052),0)</f>
        <v>0</v>
      </c>
      <c r="S2036" s="10">
        <f>IF(A2036=A2037,(N2036-N2037)/N2037,0)</f>
        <v>0</v>
      </c>
      <c r="T2036" s="10">
        <f>IF(L2036&gt;2005,(((N2036-N2056)/N2056)+1)^(1/5)-1,0)</f>
        <v>0</v>
      </c>
      <c r="U2036" s="10">
        <f t="shared" si="62"/>
        <v>0</v>
      </c>
      <c r="V2036" s="26">
        <f t="shared" si="63"/>
        <v>0</v>
      </c>
      <c r="W2036" s="3">
        <f>IF(A2036=A2037,N2036-N2037,0)</f>
        <v>0</v>
      </c>
      <c r="X2036" s="10">
        <f>IF(A2036=A2037,(N2036-N2037)/N2037,0)</f>
        <v>0</v>
      </c>
    </row>
    <row r="2037" spans="1:24" ht="16.5" customHeight="1">
      <c r="A2037" s="3" t="s">
        <v>46</v>
      </c>
      <c r="B2037" s="3">
        <f t="shared" si="56"/>
        <v>2018</v>
      </c>
      <c r="C2037" s="3">
        <f t="shared" si="57"/>
        <v>3</v>
      </c>
      <c r="D2037" s="20" t="str">
        <f t="shared" si="58"/>
        <v>APD20183</v>
      </c>
      <c r="E2037" s="2">
        <v>43188</v>
      </c>
      <c r="F2037" s="3">
        <v>1.1000000000000001</v>
      </c>
      <c r="G2037" s="2">
        <v>43234</v>
      </c>
      <c r="H2037" s="3">
        <v>2.7799999999999998E-2</v>
      </c>
      <c r="I2037" s="3">
        <v>0.15789473700000001</v>
      </c>
      <c r="J2037" s="3">
        <v>0.15</v>
      </c>
      <c r="K2037" s="3">
        <f t="shared" si="59"/>
        <v>0</v>
      </c>
      <c r="L2037" s="3">
        <f t="shared" si="60"/>
        <v>2018</v>
      </c>
      <c r="M2037" s="20" t="str">
        <f>A2037&amp;L2037</f>
        <v>APD2018</v>
      </c>
      <c r="N2037" s="3">
        <f>F2037</f>
        <v>1.1000000000000001</v>
      </c>
      <c r="O2037" s="9">
        <f>H2037</f>
        <v>2.7799999999999998E-2</v>
      </c>
      <c r="P2037" s="10">
        <f t="shared" si="61"/>
        <v>2.5475000000000001E-2</v>
      </c>
      <c r="Q2037" s="10">
        <f>IF(K2037=0,IF(A2034=A2037,AVERAGE(O2034:O2037),"x"),0)</f>
        <v>2.7375000000000003E-2</v>
      </c>
      <c r="R2037" s="9">
        <f>IF(L2037&gt;2005,AVERAGE(O2034:O2053),0)</f>
        <v>2.461E-2</v>
      </c>
      <c r="S2037" s="10">
        <f>IF(A2037=A2038,(N2037-N2038)/N2038,0)</f>
        <v>0.15789473684210542</v>
      </c>
      <c r="T2037" s="10">
        <f>IF(L2037&gt;2005,(((N2037-N2057)/N2057)+1)^(1/5)-1,0)</f>
        <v>9.1507859638582101E-2</v>
      </c>
      <c r="U2037" s="10">
        <f t="shared" si="62"/>
        <v>0.11611785963858209</v>
      </c>
      <c r="V2037" s="26">
        <f t="shared" si="63"/>
        <v>4.6788197039618309</v>
      </c>
      <c r="W2037" s="3">
        <f>IF(A2037=A2038,N2037-N2038,0)</f>
        <v>0.15000000000000013</v>
      </c>
      <c r="X2037" s="10">
        <f>IF(A2037=A2038,(N2037-N2038)/N2038,0)</f>
        <v>0.15789473684210542</v>
      </c>
    </row>
    <row r="2038" spans="1:24" ht="16.5" customHeight="1">
      <c r="A2038" s="3" t="s">
        <v>46</v>
      </c>
      <c r="B2038" s="3">
        <f t="shared" si="56"/>
        <v>2017</v>
      </c>
      <c r="C2038" s="3">
        <f t="shared" si="57"/>
        <v>12</v>
      </c>
      <c r="D2038" s="20" t="str">
        <f t="shared" si="58"/>
        <v>APD201712</v>
      </c>
      <c r="E2038" s="2">
        <v>43098</v>
      </c>
      <c r="F2038" s="3">
        <v>0.95</v>
      </c>
      <c r="G2038" s="2">
        <v>43143</v>
      </c>
      <c r="H2038" s="3">
        <v>2.3099999999999999E-2</v>
      </c>
      <c r="I2038" s="3">
        <v>0</v>
      </c>
      <c r="J2038" s="3">
        <v>0</v>
      </c>
      <c r="K2038" s="3">
        <f t="shared" si="59"/>
        <v>2017</v>
      </c>
      <c r="L2038" s="3">
        <f t="shared" si="60"/>
        <v>0</v>
      </c>
      <c r="M2038" s="20" t="str">
        <f>A2038&amp;L2038</f>
        <v>APD0</v>
      </c>
      <c r="N2038" s="3">
        <f>F2038</f>
        <v>0.95</v>
      </c>
      <c r="O2038" s="9">
        <f>H2038</f>
        <v>2.3099999999999999E-2</v>
      </c>
      <c r="P2038" s="10">
        <f t="shared" si="61"/>
        <v>0</v>
      </c>
      <c r="Q2038" s="10">
        <f>IF(K2038=0,IF(A2035=A2038,AVERAGE(O2035:O2038),"x"),0)</f>
        <v>0</v>
      </c>
      <c r="R2038" s="9">
        <f>IF(L2038&gt;2005,AVERAGE(O2035:O2054),0)</f>
        <v>0</v>
      </c>
      <c r="S2038" s="10">
        <f>IF(A2038=A2039,(N2038-N2039)/N2039,0)</f>
        <v>0</v>
      </c>
      <c r="T2038" s="10">
        <f>IF(L2038&gt;2005,(((N2038-N2058)/N2058)+1)^(1/5)-1,0)</f>
        <v>0</v>
      </c>
      <c r="U2038" s="10">
        <f t="shared" si="62"/>
        <v>0</v>
      </c>
      <c r="V2038" s="26">
        <f t="shared" si="63"/>
        <v>0</v>
      </c>
      <c r="W2038" s="3">
        <f>IF(A2038=A2039,N2038-N2039,0)</f>
        <v>0</v>
      </c>
      <c r="X2038" s="10">
        <f>IF(A2038=A2039,(N2038-N2039)/N2039,0)</f>
        <v>0</v>
      </c>
    </row>
    <row r="2039" spans="1:24" ht="16.5" customHeight="1">
      <c r="A2039" s="3" t="s">
        <v>46</v>
      </c>
      <c r="B2039" s="3">
        <f t="shared" si="56"/>
        <v>2017</v>
      </c>
      <c r="C2039" s="3">
        <f t="shared" si="57"/>
        <v>10</v>
      </c>
      <c r="D2039" s="20" t="str">
        <f t="shared" si="58"/>
        <v>APD201710</v>
      </c>
      <c r="E2039" s="2">
        <v>43014</v>
      </c>
      <c r="F2039" s="3">
        <v>0.95</v>
      </c>
      <c r="G2039" s="2">
        <v>43052</v>
      </c>
      <c r="H2039" s="3">
        <v>2.4799999999999999E-2</v>
      </c>
      <c r="I2039" s="3">
        <v>0</v>
      </c>
      <c r="J2039" s="3">
        <v>0</v>
      </c>
      <c r="K2039" s="3">
        <f t="shared" si="59"/>
        <v>2017</v>
      </c>
      <c r="L2039" s="3">
        <f t="shared" si="60"/>
        <v>0</v>
      </c>
      <c r="M2039" s="20" t="str">
        <f>A2039&amp;L2039</f>
        <v>APD0</v>
      </c>
      <c r="N2039" s="3">
        <f>F2039</f>
        <v>0.95</v>
      </c>
      <c r="O2039" s="9">
        <f>H2039</f>
        <v>2.4799999999999999E-2</v>
      </c>
      <c r="P2039" s="10">
        <f t="shared" si="61"/>
        <v>0</v>
      </c>
      <c r="Q2039" s="10">
        <f>IF(K2039=0,IF(A2036=A2039,AVERAGE(O2036:O2039),"x"),0)</f>
        <v>0</v>
      </c>
      <c r="R2039" s="9">
        <f>IF(L2039&gt;2005,AVERAGE(O2036:O2055),0)</f>
        <v>0</v>
      </c>
      <c r="S2039" s="10">
        <f>IF(A2039=A2040,(N2039-N2040)/N2040,0)</f>
        <v>0</v>
      </c>
      <c r="T2039" s="10">
        <f>IF(L2039&gt;2005,(((N2039-N2059)/N2059)+1)^(1/5)-1,0)</f>
        <v>0</v>
      </c>
      <c r="U2039" s="10">
        <f t="shared" si="62"/>
        <v>0</v>
      </c>
      <c r="V2039" s="26">
        <f t="shared" si="63"/>
        <v>0</v>
      </c>
      <c r="W2039" s="3">
        <f>IF(A2039=A2040,N2039-N2040,0)</f>
        <v>0</v>
      </c>
      <c r="X2039" s="10">
        <f>IF(A2039=A2040,(N2039-N2040)/N2040,0)</f>
        <v>0</v>
      </c>
    </row>
    <row r="2040" spans="1:24" ht="16.5" customHeight="1">
      <c r="A2040" s="3" t="s">
        <v>46</v>
      </c>
      <c r="B2040" s="3">
        <f t="shared" si="56"/>
        <v>2017</v>
      </c>
      <c r="C2040" s="3">
        <f t="shared" si="57"/>
        <v>6</v>
      </c>
      <c r="D2040" s="20" t="str">
        <f t="shared" si="58"/>
        <v>APD20176</v>
      </c>
      <c r="E2040" s="2">
        <v>42915</v>
      </c>
      <c r="F2040" s="3">
        <v>0.95</v>
      </c>
      <c r="G2040" s="2">
        <v>42961</v>
      </c>
      <c r="H2040" s="3">
        <v>2.6200000000000001E-2</v>
      </c>
      <c r="I2040" s="3">
        <v>0</v>
      </c>
      <c r="J2040" s="3">
        <v>0</v>
      </c>
      <c r="K2040" s="3">
        <f t="shared" si="59"/>
        <v>2017</v>
      </c>
      <c r="L2040" s="3">
        <f t="shared" si="60"/>
        <v>0</v>
      </c>
      <c r="M2040" s="20" t="str">
        <f>A2040&amp;L2040</f>
        <v>APD0</v>
      </c>
      <c r="N2040" s="3">
        <f>F2040</f>
        <v>0.95</v>
      </c>
      <c r="O2040" s="9">
        <f>H2040</f>
        <v>2.6200000000000001E-2</v>
      </c>
      <c r="P2040" s="10">
        <f t="shared" si="61"/>
        <v>0</v>
      </c>
      <c r="Q2040" s="10">
        <f>IF(K2040=0,IF(A2037=A2040,AVERAGE(O2037:O2040),"x"),0)</f>
        <v>0</v>
      </c>
      <c r="R2040" s="9">
        <f>IF(L2040&gt;2005,AVERAGE(O2037:O2056),0)</f>
        <v>0</v>
      </c>
      <c r="S2040" s="10">
        <f>IF(A2040=A2041,(N2040-N2041)/N2041,0)</f>
        <v>0</v>
      </c>
      <c r="T2040" s="10">
        <f>IF(L2040&gt;2005,(((N2040-N2060)/N2060)+1)^(1/5)-1,0)</f>
        <v>0</v>
      </c>
      <c r="U2040" s="10">
        <f t="shared" si="62"/>
        <v>0</v>
      </c>
      <c r="V2040" s="26">
        <f t="shared" si="63"/>
        <v>0</v>
      </c>
      <c r="W2040" s="3">
        <f>IF(A2040=A2041,N2040-N2041,0)</f>
        <v>0</v>
      </c>
      <c r="X2040" s="10">
        <f>IF(A2040=A2041,(N2040-N2041)/N2041,0)</f>
        <v>0</v>
      </c>
    </row>
    <row r="2041" spans="1:24" ht="16.5" customHeight="1">
      <c r="A2041" s="3" t="s">
        <v>46</v>
      </c>
      <c r="B2041" s="3">
        <f t="shared" si="56"/>
        <v>2017</v>
      </c>
      <c r="C2041" s="3">
        <f t="shared" si="57"/>
        <v>3</v>
      </c>
      <c r="D2041" s="20" t="str">
        <f t="shared" si="58"/>
        <v>APD20173</v>
      </c>
      <c r="E2041" s="2">
        <v>42824</v>
      </c>
      <c r="F2041" s="3">
        <v>0.95</v>
      </c>
      <c r="G2041" s="2">
        <v>42863</v>
      </c>
      <c r="H2041" s="3">
        <v>2.7799999999999998E-2</v>
      </c>
      <c r="I2041" s="3">
        <v>0.10465116300000001</v>
      </c>
      <c r="J2041" s="3">
        <v>0.09</v>
      </c>
      <c r="K2041" s="3">
        <f t="shared" si="59"/>
        <v>0</v>
      </c>
      <c r="L2041" s="3">
        <f t="shared" si="60"/>
        <v>2017</v>
      </c>
      <c r="M2041" s="20" t="str">
        <f>A2041&amp;L2041</f>
        <v>APD2017</v>
      </c>
      <c r="N2041" s="3">
        <f>F2041</f>
        <v>0.95</v>
      </c>
      <c r="O2041" s="9">
        <f>H2041</f>
        <v>2.7799999999999998E-2</v>
      </c>
      <c r="P2041" s="10">
        <f t="shared" si="61"/>
        <v>2.545E-2</v>
      </c>
      <c r="Q2041" s="10">
        <f>IF(K2041=0,IF(A2038=A2041,AVERAGE(O2038:O2041),"x"),0)</f>
        <v>2.5474999999999998E-2</v>
      </c>
      <c r="R2041" s="9">
        <f>IF(L2041&gt;2005,AVERAGE(O2038:O2057),0)</f>
        <v>2.4545000000000004E-2</v>
      </c>
      <c r="S2041" s="10">
        <f>IF(A2041=A2042,(N2041-N2042)/N2042,0)</f>
        <v>0.10465116279069764</v>
      </c>
      <c r="T2041" s="10">
        <f>IF(L2041&gt;2005,(((N2041-N2061)/N2061)+1)^(1/5)-1,0)</f>
        <v>8.2202981921446039E-2</v>
      </c>
      <c r="U2041" s="10">
        <f t="shared" si="62"/>
        <v>0.10674798192144605</v>
      </c>
      <c r="V2041" s="26">
        <f t="shared" si="63"/>
        <v>4.6770109248667575</v>
      </c>
      <c r="W2041" s="3">
        <f>IF(A2041=A2042,N2041-N2042,0)</f>
        <v>8.9999999999999969E-2</v>
      </c>
      <c r="X2041" s="10">
        <f>IF(A2041=A2042,(N2041-N2042)/N2042,0)</f>
        <v>0.10465116279069764</v>
      </c>
    </row>
    <row r="2042" spans="1:24" ht="16.5" customHeight="1">
      <c r="A2042" s="3" t="s">
        <v>46</v>
      </c>
      <c r="B2042" s="3">
        <f t="shared" ref="B2042:B2296" si="64">YEAR(E2042)</f>
        <v>2016</v>
      </c>
      <c r="C2042" s="3">
        <f t="shared" ref="C2042:C2296" si="65">MONTH(E2042)</f>
        <v>12</v>
      </c>
      <c r="D2042" s="20" t="str">
        <f t="shared" ref="D2042:D2296" si="66">A2042&amp;B2042&amp;C2042</f>
        <v>APD201612</v>
      </c>
      <c r="E2042" s="2">
        <v>42733</v>
      </c>
      <c r="F2042" s="3">
        <v>0.86</v>
      </c>
      <c r="G2042" s="2">
        <v>42779</v>
      </c>
      <c r="H2042" s="3">
        <v>2.3699999999999999E-2</v>
      </c>
      <c r="I2042" s="3">
        <v>0</v>
      </c>
      <c r="J2042" s="3">
        <v>0</v>
      </c>
      <c r="K2042" s="3">
        <f t="shared" ref="K2042:K2296" si="67">IF(YEAR(E2042)=YEAR(E2043),YEAR(E2042),0)</f>
        <v>2016</v>
      </c>
      <c r="L2042" s="3">
        <f t="shared" ref="L2042:L2296" si="68">IF(K2042=0,K2041,0)</f>
        <v>0</v>
      </c>
      <c r="M2042" s="20" t="str">
        <f>A2042&amp;L2042</f>
        <v>APD0</v>
      </c>
      <c r="N2042" s="3">
        <f>F2042</f>
        <v>0.86</v>
      </c>
      <c r="O2042" s="9">
        <f>H2042</f>
        <v>2.3699999999999999E-2</v>
      </c>
      <c r="P2042" s="10">
        <f t="shared" ref="P2042:P2296" si="69">IF(S2042&gt;0,SUM(O2042:O2045)/4,0)</f>
        <v>0</v>
      </c>
      <c r="Q2042" s="10">
        <f>IF(K2042=0,IF(A2039=A2042,AVERAGE(O2039:O2042),"x"),0)</f>
        <v>0</v>
      </c>
      <c r="R2042" s="9">
        <f>IF(L2042&gt;2005,AVERAGE(O2039:O2058),0)</f>
        <v>0</v>
      </c>
      <c r="S2042" s="10">
        <f>IF(A2042=A2043,(N2042-N2043)/N2043,0)</f>
        <v>0</v>
      </c>
      <c r="T2042" s="10">
        <f>IF(L2042&gt;2005,(((N2042-N2062)/N2062)+1)^(1/5)-1,0)</f>
        <v>0</v>
      </c>
      <c r="U2042" s="10">
        <f t="shared" si="62"/>
        <v>0</v>
      </c>
      <c r="V2042" s="26">
        <f t="shared" si="63"/>
        <v>0</v>
      </c>
      <c r="W2042" s="3">
        <f>IF(A2042=A2043,N2042-N2043,0)</f>
        <v>0</v>
      </c>
      <c r="X2042" s="10">
        <f>IF(A2042=A2043,(N2042-N2043)/N2043,0)</f>
        <v>0</v>
      </c>
    </row>
    <row r="2043" spans="1:24" ht="16.5" customHeight="1">
      <c r="A2043" s="3" t="s">
        <v>46</v>
      </c>
      <c r="B2043" s="3">
        <f t="shared" si="64"/>
        <v>2016</v>
      </c>
      <c r="C2043" s="3">
        <f t="shared" si="65"/>
        <v>10</v>
      </c>
      <c r="D2043" s="20" t="str">
        <f t="shared" si="66"/>
        <v>APD201610</v>
      </c>
      <c r="E2043" s="2">
        <v>42649</v>
      </c>
      <c r="F2043" s="3">
        <v>0.86</v>
      </c>
      <c r="G2043" s="2">
        <v>42688</v>
      </c>
      <c r="H2043" s="3">
        <v>2.5100000000000001E-2</v>
      </c>
      <c r="I2043" s="3">
        <v>0</v>
      </c>
      <c r="J2043" s="3">
        <v>0</v>
      </c>
      <c r="K2043" s="3">
        <f t="shared" si="67"/>
        <v>2016</v>
      </c>
      <c r="L2043" s="3">
        <f t="shared" si="68"/>
        <v>0</v>
      </c>
      <c r="M2043" s="20" t="str">
        <f>A2043&amp;L2043</f>
        <v>APD0</v>
      </c>
      <c r="N2043" s="3">
        <f>F2043</f>
        <v>0.86</v>
      </c>
      <c r="O2043" s="9">
        <f>H2043</f>
        <v>2.5100000000000001E-2</v>
      </c>
      <c r="P2043" s="10">
        <f t="shared" si="69"/>
        <v>0</v>
      </c>
      <c r="Q2043" s="10">
        <f>IF(K2043=0,IF(A2040=A2043,AVERAGE(O2040:O2043),"x"),0)</f>
        <v>0</v>
      </c>
      <c r="R2043" s="9">
        <f>IF(L2043&gt;2005,AVERAGE(O2040:O2059),0)</f>
        <v>0</v>
      </c>
      <c r="S2043" s="10">
        <f>IF(A2043=A2044,(N2043-N2044)/N2044,0)</f>
        <v>0</v>
      </c>
      <c r="T2043" s="10">
        <f>IF(L2043&gt;2005,(((N2043-N2063)/N2063)+1)^(1/5)-1,0)</f>
        <v>0</v>
      </c>
      <c r="U2043" s="10">
        <f t="shared" si="62"/>
        <v>0</v>
      </c>
      <c r="V2043" s="26">
        <f t="shared" si="63"/>
        <v>0</v>
      </c>
      <c r="W2043" s="3">
        <f>IF(A2043=A2044,N2043-N2044,0)</f>
        <v>0</v>
      </c>
      <c r="X2043" s="10">
        <f>IF(A2043=A2044,(N2043-N2044)/N2044,0)</f>
        <v>0</v>
      </c>
    </row>
    <row r="2044" spans="1:24" ht="16.5" customHeight="1">
      <c r="A2044" s="3" t="s">
        <v>46</v>
      </c>
      <c r="B2044" s="3">
        <f t="shared" si="64"/>
        <v>2016</v>
      </c>
      <c r="C2044" s="3">
        <f t="shared" si="65"/>
        <v>6</v>
      </c>
      <c r="D2044" s="20" t="str">
        <f t="shared" si="66"/>
        <v>APD20166</v>
      </c>
      <c r="E2044" s="2">
        <v>42550</v>
      </c>
      <c r="F2044" s="3">
        <v>0.86</v>
      </c>
      <c r="G2044" s="2">
        <v>42590</v>
      </c>
      <c r="H2044" s="3">
        <v>2.52E-2</v>
      </c>
      <c r="I2044" s="3">
        <v>0</v>
      </c>
      <c r="J2044" s="3">
        <v>0</v>
      </c>
      <c r="K2044" s="3">
        <f t="shared" si="67"/>
        <v>2016</v>
      </c>
      <c r="L2044" s="3">
        <f t="shared" si="68"/>
        <v>0</v>
      </c>
      <c r="M2044" s="20" t="str">
        <f>A2044&amp;L2044</f>
        <v>APD0</v>
      </c>
      <c r="N2044" s="3">
        <f>F2044</f>
        <v>0.86</v>
      </c>
      <c r="O2044" s="9">
        <f>H2044</f>
        <v>2.52E-2</v>
      </c>
      <c r="P2044" s="10">
        <f t="shared" si="69"/>
        <v>0</v>
      </c>
      <c r="Q2044" s="10">
        <f>IF(K2044=0,IF(A2041=A2044,AVERAGE(O2041:O2044),"x"),0)</f>
        <v>0</v>
      </c>
      <c r="R2044" s="9">
        <f>IF(L2044&gt;2005,AVERAGE(O2041:O2060),0)</f>
        <v>0</v>
      </c>
      <c r="S2044" s="10">
        <f>IF(A2044=A2045,(N2044-N2045)/N2045,0)</f>
        <v>0</v>
      </c>
      <c r="T2044" s="10">
        <f>IF(L2044&gt;2005,(((N2044-N2064)/N2064)+1)^(1/5)-1,0)</f>
        <v>0</v>
      </c>
      <c r="U2044" s="10">
        <f t="shared" si="62"/>
        <v>0</v>
      </c>
      <c r="V2044" s="26">
        <f t="shared" si="63"/>
        <v>0</v>
      </c>
      <c r="W2044" s="3">
        <f>IF(A2044=A2045,N2044-N2045,0)</f>
        <v>0</v>
      </c>
      <c r="X2044" s="10">
        <f>IF(A2044=A2045,(N2044-N2045)/N2045,0)</f>
        <v>0</v>
      </c>
    </row>
    <row r="2045" spans="1:24" ht="16.5" customHeight="1">
      <c r="A2045" s="3" t="s">
        <v>46</v>
      </c>
      <c r="B2045" s="3">
        <f t="shared" si="64"/>
        <v>2016</v>
      </c>
      <c r="C2045" s="3">
        <f t="shared" si="65"/>
        <v>3</v>
      </c>
      <c r="D2045" s="20" t="str">
        <f t="shared" si="66"/>
        <v>APD20163</v>
      </c>
      <c r="E2045" s="2">
        <v>42459</v>
      </c>
      <c r="F2045" s="3">
        <v>0.86</v>
      </c>
      <c r="G2045" s="2">
        <v>42499</v>
      </c>
      <c r="H2045" s="3">
        <v>2.3699999999999999E-2</v>
      </c>
      <c r="I2045" s="3">
        <v>6.1728394999999998E-2</v>
      </c>
      <c r="J2045" s="3">
        <v>0.05</v>
      </c>
      <c r="K2045" s="3">
        <f t="shared" si="67"/>
        <v>0</v>
      </c>
      <c r="L2045" s="3">
        <f t="shared" si="68"/>
        <v>2016</v>
      </c>
      <c r="M2045" s="20" t="str">
        <f>A2045&amp;L2045</f>
        <v>APD2016</v>
      </c>
      <c r="N2045" s="3">
        <f>F2045</f>
        <v>0.86</v>
      </c>
      <c r="O2045" s="9">
        <f>H2045</f>
        <v>2.3699999999999999E-2</v>
      </c>
      <c r="P2045" s="10">
        <f t="shared" si="69"/>
        <v>2.3924999999999998E-2</v>
      </c>
      <c r="Q2045" s="10">
        <f>IF(K2045=0,IF(A2042=A2045,AVERAGE(O2042:O2045),"x"),0)</f>
        <v>2.4424999999999999E-2</v>
      </c>
      <c r="R2045" s="9">
        <f>IF(L2045&gt;2005,AVERAGE(O2042:O2061),0)</f>
        <v>2.5350000000000001E-2</v>
      </c>
      <c r="S2045" s="10">
        <f>IF(A2045=A2046,(N2045-N2046)/N2046,0)</f>
        <v>6.1728395061728308E-2</v>
      </c>
      <c r="T2045" s="10">
        <f>IF(L2045&gt;2005,(((N2045-N2065)/N2065)+1)^(1/5)-1,0)</f>
        <v>8.1967190705377613E-2</v>
      </c>
      <c r="U2045" s="10">
        <f t="shared" ref="U2045:U2299" si="70">IF(T2045&gt;0,R2045+T2045,0)</f>
        <v>0.10731719070537761</v>
      </c>
      <c r="V2045" s="26">
        <f t="shared" ref="V2045:V2299" si="71">IF(U2045&gt;0,(1+T2045)*(1-((1+T2045)/(1+U2045))^5)/(U2045-T2045),0)</f>
        <v>4.666906071526788</v>
      </c>
      <c r="W2045" s="3">
        <f>IF(A2045=A2046,N2045-N2046,0)</f>
        <v>4.9999999999999933E-2</v>
      </c>
      <c r="X2045" s="10">
        <f>IF(A2045=A2046,(N2045-N2046)/N2046,0)</f>
        <v>6.1728395061728308E-2</v>
      </c>
    </row>
    <row r="2046" spans="1:24" ht="16.5" customHeight="1">
      <c r="A2046" s="3" t="s">
        <v>46</v>
      </c>
      <c r="B2046" s="3">
        <f t="shared" si="64"/>
        <v>2015</v>
      </c>
      <c r="C2046" s="3">
        <f t="shared" si="65"/>
        <v>12</v>
      </c>
      <c r="D2046" s="20" t="str">
        <f t="shared" si="66"/>
        <v>APD201512</v>
      </c>
      <c r="E2046" s="2">
        <v>42368</v>
      </c>
      <c r="F2046" s="3">
        <v>0.81</v>
      </c>
      <c r="G2046" s="2">
        <v>42408</v>
      </c>
      <c r="H2046" s="3">
        <v>2.4299999999999999E-2</v>
      </c>
      <c r="I2046" s="3">
        <v>0</v>
      </c>
      <c r="J2046" s="3">
        <v>0</v>
      </c>
      <c r="K2046" s="3">
        <f t="shared" si="67"/>
        <v>2015</v>
      </c>
      <c r="L2046" s="3">
        <f t="shared" si="68"/>
        <v>0</v>
      </c>
      <c r="M2046" s="20" t="str">
        <f>A2046&amp;L2046</f>
        <v>APD0</v>
      </c>
      <c r="N2046" s="3">
        <f>F2046</f>
        <v>0.81</v>
      </c>
      <c r="O2046" s="9">
        <f>H2046</f>
        <v>2.4299999999999999E-2</v>
      </c>
      <c r="P2046" s="10">
        <f t="shared" si="69"/>
        <v>0</v>
      </c>
      <c r="Q2046" s="10">
        <f>IF(K2046=0,IF(A2043=A2046,AVERAGE(O2043:O2046),"x"),0)</f>
        <v>0</v>
      </c>
      <c r="R2046" s="9">
        <f>IF(L2046&gt;2005,AVERAGE(O2043:O2062),0)</f>
        <v>0</v>
      </c>
      <c r="S2046" s="10">
        <f>IF(A2046=A2047,(N2046-N2047)/N2047,0)</f>
        <v>0</v>
      </c>
      <c r="T2046" s="10">
        <f>IF(L2046&gt;2005,(((N2046-N2066)/N2066)+1)^(1/5)-1,0)</f>
        <v>0</v>
      </c>
      <c r="U2046" s="10">
        <f t="shared" si="70"/>
        <v>0</v>
      </c>
      <c r="V2046" s="26">
        <f t="shared" si="71"/>
        <v>0</v>
      </c>
      <c r="W2046" s="3">
        <f>IF(A2046=A2047,N2046-N2047,0)</f>
        <v>0</v>
      </c>
      <c r="X2046" s="10">
        <f>IF(A2046=A2047,(N2046-N2047)/N2047,0)</f>
        <v>0</v>
      </c>
    </row>
    <row r="2047" spans="1:24" ht="16.5" customHeight="1">
      <c r="A2047" s="3" t="s">
        <v>46</v>
      </c>
      <c r="B2047" s="3">
        <f t="shared" si="64"/>
        <v>2015</v>
      </c>
      <c r="C2047" s="3">
        <f t="shared" si="65"/>
        <v>9</v>
      </c>
      <c r="D2047" s="20" t="str">
        <f t="shared" si="66"/>
        <v>APD20159</v>
      </c>
      <c r="E2047" s="2">
        <v>42276</v>
      </c>
      <c r="F2047" s="3">
        <v>0.81</v>
      </c>
      <c r="G2047" s="2">
        <v>42317</v>
      </c>
      <c r="H2047" s="3">
        <v>2.5499999999999998E-2</v>
      </c>
      <c r="I2047" s="3">
        <v>0</v>
      </c>
      <c r="J2047" s="3">
        <v>0</v>
      </c>
      <c r="K2047" s="3">
        <f t="shared" si="67"/>
        <v>2015</v>
      </c>
      <c r="L2047" s="3">
        <f t="shared" si="68"/>
        <v>0</v>
      </c>
      <c r="M2047" s="20" t="str">
        <f>A2047&amp;L2047</f>
        <v>APD0</v>
      </c>
      <c r="N2047" s="3">
        <f>F2047</f>
        <v>0.81</v>
      </c>
      <c r="O2047" s="9">
        <f>H2047</f>
        <v>2.5499999999999998E-2</v>
      </c>
      <c r="P2047" s="10">
        <f t="shared" si="69"/>
        <v>0</v>
      </c>
      <c r="Q2047" s="10">
        <f>IF(K2047=0,IF(A2044=A2047,AVERAGE(O2044:O2047),"x"),0)</f>
        <v>0</v>
      </c>
      <c r="R2047" s="9">
        <f>IF(L2047&gt;2005,AVERAGE(O2044:O2063),0)</f>
        <v>0</v>
      </c>
      <c r="S2047" s="10">
        <f>IF(A2047=A2048,(N2047-N2048)/N2048,0)</f>
        <v>0</v>
      </c>
      <c r="T2047" s="10">
        <f>IF(L2047&gt;2005,(((N2047-N2067)/N2067)+1)^(1/5)-1,0)</f>
        <v>0</v>
      </c>
      <c r="U2047" s="10">
        <f t="shared" si="70"/>
        <v>0</v>
      </c>
      <c r="V2047" s="26">
        <f t="shared" si="71"/>
        <v>0</v>
      </c>
      <c r="W2047" s="3">
        <f>IF(A2047=A2048,N2047-N2048,0)</f>
        <v>0</v>
      </c>
      <c r="X2047" s="10">
        <f>IF(A2047=A2048,(N2047-N2048)/N2048,0)</f>
        <v>0</v>
      </c>
    </row>
    <row r="2048" spans="1:24" ht="16.5" customHeight="1">
      <c r="A2048" s="3" t="s">
        <v>46</v>
      </c>
      <c r="B2048" s="3">
        <f t="shared" si="64"/>
        <v>2015</v>
      </c>
      <c r="C2048" s="3">
        <f t="shared" si="65"/>
        <v>6</v>
      </c>
      <c r="D2048" s="20" t="str">
        <f t="shared" si="66"/>
        <v>APD20156</v>
      </c>
      <c r="E2048" s="2">
        <v>42184</v>
      </c>
      <c r="F2048" s="3">
        <v>0.81</v>
      </c>
      <c r="G2048" s="2">
        <v>42226</v>
      </c>
      <c r="H2048" s="3">
        <v>2.2200000000000001E-2</v>
      </c>
      <c r="I2048" s="3">
        <v>0</v>
      </c>
      <c r="J2048" s="3">
        <v>0</v>
      </c>
      <c r="K2048" s="3">
        <f t="shared" si="67"/>
        <v>2015</v>
      </c>
      <c r="L2048" s="3">
        <f t="shared" si="68"/>
        <v>0</v>
      </c>
      <c r="M2048" s="20" t="str">
        <f>A2048&amp;L2048</f>
        <v>APD0</v>
      </c>
      <c r="N2048" s="3">
        <f>F2048</f>
        <v>0.81</v>
      </c>
      <c r="O2048" s="9">
        <f>H2048</f>
        <v>2.2200000000000001E-2</v>
      </c>
      <c r="P2048" s="10">
        <f t="shared" si="69"/>
        <v>0</v>
      </c>
      <c r="Q2048" s="10">
        <f>IF(K2048=0,IF(A2045=A2048,AVERAGE(O2045:O2048),"x"),0)</f>
        <v>0</v>
      </c>
      <c r="R2048" s="9">
        <f>IF(L2048&gt;2005,AVERAGE(O2045:O2064),0)</f>
        <v>0</v>
      </c>
      <c r="S2048" s="10">
        <f>IF(A2048=A2049,(N2048-N2049)/N2049,0)</f>
        <v>0</v>
      </c>
      <c r="T2048" s="10">
        <f>IF(L2048&gt;2005,(((N2048-N2068)/N2068)+1)^(1/5)-1,0)</f>
        <v>0</v>
      </c>
      <c r="U2048" s="10">
        <f t="shared" si="70"/>
        <v>0</v>
      </c>
      <c r="V2048" s="26">
        <f t="shared" si="71"/>
        <v>0</v>
      </c>
      <c r="W2048" s="3">
        <f>IF(A2048=A2049,N2048-N2049,0)</f>
        <v>0</v>
      </c>
      <c r="X2048" s="10">
        <f>IF(A2048=A2049,(N2048-N2049)/N2049,0)</f>
        <v>0</v>
      </c>
    </row>
    <row r="2049" spans="1:24" ht="16.5" customHeight="1">
      <c r="A2049" s="3" t="s">
        <v>46</v>
      </c>
      <c r="B2049" s="3">
        <f t="shared" si="64"/>
        <v>2015</v>
      </c>
      <c r="C2049" s="3">
        <f t="shared" si="65"/>
        <v>3</v>
      </c>
      <c r="D2049" s="20" t="str">
        <f t="shared" si="66"/>
        <v>APD20153</v>
      </c>
      <c r="E2049" s="2">
        <v>42093</v>
      </c>
      <c r="F2049" s="3">
        <v>0.81</v>
      </c>
      <c r="G2049" s="2">
        <v>42135</v>
      </c>
      <c r="H2049" s="3">
        <v>2.0400000000000001E-2</v>
      </c>
      <c r="I2049" s="3">
        <v>5.1948052000000002E-2</v>
      </c>
      <c r="J2049" s="3">
        <v>0.04</v>
      </c>
      <c r="K2049" s="3">
        <f t="shared" si="67"/>
        <v>0</v>
      </c>
      <c r="L2049" s="3">
        <f t="shared" si="68"/>
        <v>2015</v>
      </c>
      <c r="M2049" s="20" t="str">
        <f>A2049&amp;L2049</f>
        <v>APD2015</v>
      </c>
      <c r="N2049" s="3">
        <f>F2049</f>
        <v>0.81</v>
      </c>
      <c r="O2049" s="9">
        <f>H2049</f>
        <v>2.0400000000000001E-2</v>
      </c>
      <c r="P2049" s="10">
        <f t="shared" si="69"/>
        <v>2.1650000000000003E-2</v>
      </c>
      <c r="Q2049" s="10">
        <f>IF(K2049=0,IF(A2046=A2049,AVERAGE(O2046:O2049),"x"),0)</f>
        <v>2.3099999999999999E-2</v>
      </c>
      <c r="R2049" s="9">
        <f>IF(L2049&gt;2005,AVERAGE(O2046:O2065),0)</f>
        <v>2.5505E-2</v>
      </c>
      <c r="S2049" s="10">
        <f>IF(A2049=A2050,(N2049-N2050)/N2050,0)</f>
        <v>5.1948051948051993E-2</v>
      </c>
      <c r="T2049" s="10">
        <f>IF(L2049&gt;2005,(((N2049-N2069)/N2069)+1)^(1/5)-1,0)</f>
        <v>0.10575213802062655</v>
      </c>
      <c r="U2049" s="10">
        <f t="shared" si="70"/>
        <v>0.13125713802062655</v>
      </c>
      <c r="V2049" s="26">
        <f t="shared" si="71"/>
        <v>4.6718101146055373</v>
      </c>
      <c r="W2049" s="3">
        <f>IF(A2049=A2050,N2049-N2050,0)</f>
        <v>4.0000000000000036E-2</v>
      </c>
      <c r="X2049" s="10">
        <f>IF(A2049=A2050,(N2049-N2050)/N2050,0)</f>
        <v>5.1948051948051993E-2</v>
      </c>
    </row>
    <row r="2050" spans="1:24" ht="16.5" customHeight="1">
      <c r="A2050" s="3" t="s">
        <v>46</v>
      </c>
      <c r="B2050" s="3">
        <f t="shared" si="64"/>
        <v>2014</v>
      </c>
      <c r="C2050" s="3">
        <f t="shared" si="65"/>
        <v>12</v>
      </c>
      <c r="D2050" s="20" t="str">
        <f t="shared" si="66"/>
        <v>APD201412</v>
      </c>
      <c r="E2050" s="2">
        <v>42003</v>
      </c>
      <c r="F2050" s="3">
        <v>0.77</v>
      </c>
      <c r="G2050" s="2">
        <v>42044</v>
      </c>
      <c r="H2050" s="3">
        <v>2.0799999999999999E-2</v>
      </c>
      <c r="I2050" s="3">
        <v>0</v>
      </c>
      <c r="J2050" s="3">
        <v>0</v>
      </c>
      <c r="K2050" s="3">
        <f t="shared" si="67"/>
        <v>2014</v>
      </c>
      <c r="L2050" s="3">
        <f t="shared" si="68"/>
        <v>0</v>
      </c>
      <c r="M2050" s="20" t="str">
        <f>A2050&amp;L2050</f>
        <v>APD0</v>
      </c>
      <c r="N2050" s="3">
        <f>F2050</f>
        <v>0.77</v>
      </c>
      <c r="O2050" s="9">
        <f>H2050</f>
        <v>2.0799999999999999E-2</v>
      </c>
      <c r="P2050" s="10">
        <f t="shared" si="69"/>
        <v>0</v>
      </c>
      <c r="Q2050" s="10">
        <f>IF(K2050=0,IF(A2047=A2050,AVERAGE(O2047:O2050),"x"),0)</f>
        <v>0</v>
      </c>
      <c r="R2050" s="9">
        <f>IF(L2050&gt;2005,AVERAGE(O2047:O2066),0)</f>
        <v>0</v>
      </c>
      <c r="S2050" s="10">
        <f>IF(A2050=A2051,(N2050-N2051)/N2051,0)</f>
        <v>0</v>
      </c>
      <c r="T2050" s="10">
        <f>IF(L2050&gt;2005,(((N2050-N2070)/N2070)+1)^(1/5)-1,0)</f>
        <v>0</v>
      </c>
      <c r="U2050" s="10">
        <f t="shared" si="70"/>
        <v>0</v>
      </c>
      <c r="V2050" s="26">
        <f t="shared" si="71"/>
        <v>0</v>
      </c>
      <c r="W2050" s="3">
        <f>IF(A2050=A2051,N2050-N2051,0)</f>
        <v>0</v>
      </c>
      <c r="X2050" s="10">
        <f>IF(A2050=A2051,(N2050-N2051)/N2051,0)</f>
        <v>0</v>
      </c>
    </row>
    <row r="2051" spans="1:24" ht="16.5" customHeight="1">
      <c r="A2051" s="3" t="s">
        <v>46</v>
      </c>
      <c r="B2051" s="3">
        <f t="shared" si="64"/>
        <v>2014</v>
      </c>
      <c r="C2051" s="3">
        <f t="shared" si="65"/>
        <v>9</v>
      </c>
      <c r="D2051" s="20" t="str">
        <f t="shared" si="66"/>
        <v>APD20149</v>
      </c>
      <c r="E2051" s="2">
        <v>41911</v>
      </c>
      <c r="F2051" s="3">
        <v>0.77</v>
      </c>
      <c r="G2051" s="2">
        <v>41953</v>
      </c>
      <c r="H2051" s="3">
        <v>2.24E-2</v>
      </c>
      <c r="I2051" s="3">
        <v>0</v>
      </c>
      <c r="J2051" s="3">
        <v>0</v>
      </c>
      <c r="K2051" s="3">
        <f t="shared" si="67"/>
        <v>2014</v>
      </c>
      <c r="L2051" s="3">
        <f t="shared" si="68"/>
        <v>0</v>
      </c>
      <c r="M2051" s="20" t="str">
        <f>A2051&amp;L2051</f>
        <v>APD0</v>
      </c>
      <c r="N2051" s="3">
        <f>F2051</f>
        <v>0.77</v>
      </c>
      <c r="O2051" s="9">
        <f>H2051</f>
        <v>2.24E-2</v>
      </c>
      <c r="P2051" s="10">
        <f t="shared" si="69"/>
        <v>0</v>
      </c>
      <c r="Q2051" s="10">
        <f>IF(K2051=0,IF(A2048=A2051,AVERAGE(O2048:O2051),"x"),0)</f>
        <v>0</v>
      </c>
      <c r="R2051" s="9">
        <f>IF(L2051&gt;2005,AVERAGE(O2048:O2067),0)</f>
        <v>0</v>
      </c>
      <c r="S2051" s="10">
        <f>IF(A2051=A2052,(N2051-N2052)/N2052,0)</f>
        <v>0</v>
      </c>
      <c r="T2051" s="10">
        <f>IF(L2051&gt;2005,(((N2051-N2071)/N2071)+1)^(1/5)-1,0)</f>
        <v>0</v>
      </c>
      <c r="U2051" s="10">
        <f t="shared" si="70"/>
        <v>0</v>
      </c>
      <c r="V2051" s="26">
        <f t="shared" si="71"/>
        <v>0</v>
      </c>
      <c r="W2051" s="3">
        <f>IF(A2051=A2052,N2051-N2052,0)</f>
        <v>0</v>
      </c>
      <c r="X2051" s="10">
        <f>IF(A2051=A2052,(N2051-N2052)/N2052,0)</f>
        <v>0</v>
      </c>
    </row>
    <row r="2052" spans="1:24" ht="16.5" customHeight="1">
      <c r="A2052" s="3" t="s">
        <v>46</v>
      </c>
      <c r="B2052" s="3">
        <f t="shared" si="64"/>
        <v>2014</v>
      </c>
      <c r="C2052" s="3">
        <f t="shared" si="65"/>
        <v>6</v>
      </c>
      <c r="D2052" s="20" t="str">
        <f t="shared" si="66"/>
        <v>APD20146</v>
      </c>
      <c r="E2052" s="2">
        <v>41817</v>
      </c>
      <c r="F2052" s="3">
        <v>0.77</v>
      </c>
      <c r="G2052" s="2">
        <v>41862</v>
      </c>
      <c r="H2052" s="3">
        <v>2.3E-2</v>
      </c>
      <c r="I2052" s="3">
        <v>0</v>
      </c>
      <c r="J2052" s="3">
        <v>0</v>
      </c>
      <c r="K2052" s="3">
        <f t="shared" si="67"/>
        <v>2014</v>
      </c>
      <c r="L2052" s="3">
        <f t="shared" si="68"/>
        <v>0</v>
      </c>
      <c r="M2052" s="20" t="str">
        <f>A2052&amp;L2052</f>
        <v>APD0</v>
      </c>
      <c r="N2052" s="3">
        <f>F2052</f>
        <v>0.77</v>
      </c>
      <c r="O2052" s="9">
        <f>H2052</f>
        <v>2.3E-2</v>
      </c>
      <c r="P2052" s="10">
        <f t="shared" si="69"/>
        <v>0</v>
      </c>
      <c r="Q2052" s="10">
        <f>IF(K2052=0,IF(A2049=A2052,AVERAGE(O2049:O2052),"x"),0)</f>
        <v>0</v>
      </c>
      <c r="R2052" s="9">
        <f>IF(L2052&gt;2005,AVERAGE(O2049:O2068),0)</f>
        <v>0</v>
      </c>
      <c r="S2052" s="10">
        <f>IF(A2052=A2053,(N2052-N2053)/N2053,0)</f>
        <v>0</v>
      </c>
      <c r="T2052" s="10">
        <f>IF(L2052&gt;2005,(((N2052-N2072)/N2072)+1)^(1/5)-1,0)</f>
        <v>0</v>
      </c>
      <c r="U2052" s="10">
        <f t="shared" si="70"/>
        <v>0</v>
      </c>
      <c r="V2052" s="26">
        <f t="shared" si="71"/>
        <v>0</v>
      </c>
      <c r="W2052" s="3">
        <f>IF(A2052=A2053,N2052-N2053,0)</f>
        <v>0</v>
      </c>
      <c r="X2052" s="10">
        <f>IF(A2052=A2053,(N2052-N2053)/N2053,0)</f>
        <v>0</v>
      </c>
    </row>
    <row r="2053" spans="1:24" ht="16.5" customHeight="1">
      <c r="A2053" s="3" t="s">
        <v>46</v>
      </c>
      <c r="B2053" s="3">
        <f t="shared" si="64"/>
        <v>2014</v>
      </c>
      <c r="C2053" s="3">
        <f t="shared" si="65"/>
        <v>3</v>
      </c>
      <c r="D2053" s="20" t="str">
        <f t="shared" si="66"/>
        <v>APD20143</v>
      </c>
      <c r="E2053" s="2">
        <v>41726</v>
      </c>
      <c r="F2053" s="3">
        <v>0.77</v>
      </c>
      <c r="G2053" s="2">
        <v>41771</v>
      </c>
      <c r="H2053" s="3">
        <v>2.4500000000000001E-2</v>
      </c>
      <c r="I2053" s="3">
        <v>8.4507042000000004E-2</v>
      </c>
      <c r="J2053" s="3">
        <v>0.06</v>
      </c>
      <c r="K2053" s="3">
        <f t="shared" si="67"/>
        <v>0</v>
      </c>
      <c r="L2053" s="3">
        <f t="shared" si="68"/>
        <v>2014</v>
      </c>
      <c r="M2053" s="20" t="str">
        <f>A2053&amp;L2053</f>
        <v>APD2014</v>
      </c>
      <c r="N2053" s="3">
        <f>F2053</f>
        <v>0.77</v>
      </c>
      <c r="O2053" s="9">
        <f>H2053</f>
        <v>2.4500000000000001E-2</v>
      </c>
      <c r="P2053" s="10">
        <f t="shared" si="69"/>
        <v>2.5700000000000001E-2</v>
      </c>
      <c r="Q2053" s="10">
        <f>IF(K2053=0,IF(A2050=A2053,AVERAGE(O2050:O2053),"x"),0)</f>
        <v>2.2675000000000001E-2</v>
      </c>
      <c r="R2053" s="9">
        <f>IF(L2053&gt;2005,AVERAGE(O2050:O2069),0)</f>
        <v>2.5730000000000003E-2</v>
      </c>
      <c r="S2053" s="10">
        <f>IF(A2053=A2054,(N2053-N2054)/N2054,0)</f>
        <v>8.4507042253521208E-2</v>
      </c>
      <c r="T2053" s="10">
        <f>IF(L2053&gt;2005,(((N2053-N2073)/N2073)+1)^(1/5)-1,0)</f>
        <v>0.11341134521344642</v>
      </c>
      <c r="U2053" s="10">
        <f t="shared" si="70"/>
        <v>0.13914134521344643</v>
      </c>
      <c r="V2053" s="26">
        <f t="shared" si="71"/>
        <v>4.6712245002963675</v>
      </c>
      <c r="W2053" s="3">
        <f>IF(A2053=A2054,N2053-N2054,0)</f>
        <v>6.0000000000000053E-2</v>
      </c>
      <c r="X2053" s="10">
        <f>IF(A2053=A2054,(N2053-N2054)/N2054,0)</f>
        <v>8.4507042253521208E-2</v>
      </c>
    </row>
    <row r="2054" spans="1:24" ht="16.5" customHeight="1">
      <c r="A2054" s="3" t="s">
        <v>46</v>
      </c>
      <c r="B2054" s="3">
        <f t="shared" si="64"/>
        <v>2013</v>
      </c>
      <c r="C2054" s="3">
        <f t="shared" si="65"/>
        <v>12</v>
      </c>
      <c r="D2054" s="20" t="str">
        <f t="shared" si="66"/>
        <v>APD201312</v>
      </c>
      <c r="E2054" s="2">
        <v>41638</v>
      </c>
      <c r="F2054" s="3">
        <v>0.71</v>
      </c>
      <c r="G2054" s="2">
        <v>41680</v>
      </c>
      <c r="H2054" s="3">
        <v>2.5000000000000001E-2</v>
      </c>
      <c r="I2054" s="3">
        <v>0</v>
      </c>
      <c r="J2054" s="3">
        <v>0</v>
      </c>
      <c r="K2054" s="3">
        <f t="shared" si="67"/>
        <v>2013</v>
      </c>
      <c r="L2054" s="3">
        <f t="shared" si="68"/>
        <v>0</v>
      </c>
      <c r="M2054" s="20" t="str">
        <f>A2054&amp;L2054</f>
        <v>APD0</v>
      </c>
      <c r="N2054" s="3">
        <f>F2054</f>
        <v>0.71</v>
      </c>
      <c r="O2054" s="9">
        <f>H2054</f>
        <v>2.5000000000000001E-2</v>
      </c>
      <c r="P2054" s="10">
        <f t="shared" si="69"/>
        <v>0</v>
      </c>
      <c r="Q2054" s="10">
        <f>IF(K2054=0,IF(A2051=A2054,AVERAGE(O2051:O2054),"x"),0)</f>
        <v>0</v>
      </c>
      <c r="R2054" s="9">
        <f>IF(L2054&gt;2005,AVERAGE(O2051:O2070),0)</f>
        <v>0</v>
      </c>
      <c r="S2054" s="10">
        <f>IF(A2054=A2055,(N2054-N2055)/N2055,0)</f>
        <v>0</v>
      </c>
      <c r="T2054" s="10">
        <f>IF(L2054&gt;2005,(((N2054-N2074)/N2074)+1)^(1/5)-1,0)</f>
        <v>0</v>
      </c>
      <c r="U2054" s="10">
        <f t="shared" si="70"/>
        <v>0</v>
      </c>
      <c r="V2054" s="26">
        <f t="shared" si="71"/>
        <v>0</v>
      </c>
      <c r="W2054" s="3">
        <f>IF(A2054=A2055,N2054-N2055,0)</f>
        <v>0</v>
      </c>
      <c r="X2054" s="10">
        <f>IF(A2054=A2055,(N2054-N2055)/N2055,0)</f>
        <v>0</v>
      </c>
    </row>
    <row r="2055" spans="1:24" ht="16.5" customHeight="1">
      <c r="A2055" s="3" t="s">
        <v>46</v>
      </c>
      <c r="B2055" s="3">
        <f t="shared" si="64"/>
        <v>2013</v>
      </c>
      <c r="C2055" s="3">
        <f t="shared" si="65"/>
        <v>9</v>
      </c>
      <c r="D2055" s="20" t="str">
        <f t="shared" si="66"/>
        <v>APD20139</v>
      </c>
      <c r="E2055" s="2">
        <v>41544</v>
      </c>
      <c r="F2055" s="3">
        <v>0.71</v>
      </c>
      <c r="G2055" s="2">
        <v>41590</v>
      </c>
      <c r="H2055" s="3">
        <v>2.52E-2</v>
      </c>
      <c r="I2055" s="3">
        <v>0</v>
      </c>
      <c r="J2055" s="3">
        <v>0</v>
      </c>
      <c r="K2055" s="3">
        <f t="shared" si="67"/>
        <v>2013</v>
      </c>
      <c r="L2055" s="3">
        <f t="shared" si="68"/>
        <v>0</v>
      </c>
      <c r="M2055" s="20" t="str">
        <f>A2055&amp;L2055</f>
        <v>APD0</v>
      </c>
      <c r="N2055" s="3">
        <f>F2055</f>
        <v>0.71</v>
      </c>
      <c r="O2055" s="9">
        <f>H2055</f>
        <v>2.52E-2</v>
      </c>
      <c r="P2055" s="10">
        <f t="shared" si="69"/>
        <v>0</v>
      </c>
      <c r="Q2055" s="10">
        <f>IF(K2055=0,IF(A2052=A2055,AVERAGE(O2052:O2055),"x"),0)</f>
        <v>0</v>
      </c>
      <c r="R2055" s="9">
        <f>IF(L2055&gt;2005,AVERAGE(O2052:O2071),0)</f>
        <v>0</v>
      </c>
      <c r="S2055" s="10">
        <f>IF(A2055=A2056,(N2055-N2056)/N2056,0)</f>
        <v>0</v>
      </c>
      <c r="T2055" s="10">
        <f>IF(L2055&gt;2005,(((N2055-N2075)/N2075)+1)^(1/5)-1,0)</f>
        <v>0</v>
      </c>
      <c r="U2055" s="10">
        <f t="shared" si="70"/>
        <v>0</v>
      </c>
      <c r="V2055" s="26">
        <f t="shared" si="71"/>
        <v>0</v>
      </c>
      <c r="W2055" s="3">
        <f>IF(A2055=A2056,N2055-N2056,0)</f>
        <v>0</v>
      </c>
      <c r="X2055" s="10">
        <f>IF(A2055=A2056,(N2055-N2056)/N2056,0)</f>
        <v>0</v>
      </c>
    </row>
    <row r="2056" spans="1:24" ht="16.5" customHeight="1">
      <c r="A2056" s="3" t="s">
        <v>46</v>
      </c>
      <c r="B2056" s="3">
        <f t="shared" si="64"/>
        <v>2013</v>
      </c>
      <c r="C2056" s="3">
        <f t="shared" si="65"/>
        <v>6</v>
      </c>
      <c r="D2056" s="20" t="str">
        <f t="shared" si="66"/>
        <v>APD20136</v>
      </c>
      <c r="E2056" s="2">
        <v>41452</v>
      </c>
      <c r="F2056" s="3">
        <v>0.71</v>
      </c>
      <c r="G2056" s="2">
        <v>41498</v>
      </c>
      <c r="H2056" s="3">
        <v>2.81E-2</v>
      </c>
      <c r="I2056" s="3">
        <v>0</v>
      </c>
      <c r="J2056" s="3">
        <v>0</v>
      </c>
      <c r="K2056" s="3">
        <f t="shared" si="67"/>
        <v>2013</v>
      </c>
      <c r="L2056" s="3">
        <f t="shared" si="68"/>
        <v>0</v>
      </c>
      <c r="M2056" s="20" t="str">
        <f>A2056&amp;L2056</f>
        <v>APD0</v>
      </c>
      <c r="N2056" s="3">
        <f>F2056</f>
        <v>0.71</v>
      </c>
      <c r="O2056" s="9">
        <f>H2056</f>
        <v>2.81E-2</v>
      </c>
      <c r="P2056" s="10">
        <f t="shared" si="69"/>
        <v>0</v>
      </c>
      <c r="Q2056" s="10">
        <f>IF(K2056=0,IF(A2053=A2056,AVERAGE(O2053:O2056),"x"),0)</f>
        <v>0</v>
      </c>
      <c r="R2056" s="9">
        <f>IF(L2056&gt;2005,AVERAGE(O2053:O2072),0)</f>
        <v>0</v>
      </c>
      <c r="S2056" s="10">
        <f>IF(A2056=A2057,(N2056-N2057)/N2057,0)</f>
        <v>0</v>
      </c>
      <c r="T2056" s="10">
        <f>IF(L2056&gt;2005,(((N2056-N2076)/N2076)+1)^(1/5)-1,0)</f>
        <v>0</v>
      </c>
      <c r="U2056" s="10">
        <f t="shared" si="70"/>
        <v>0</v>
      </c>
      <c r="V2056" s="26">
        <f t="shared" si="71"/>
        <v>0</v>
      </c>
      <c r="W2056" s="3">
        <f>IF(A2056=A2057,N2056-N2057,0)</f>
        <v>0</v>
      </c>
      <c r="X2056" s="10">
        <f>IF(A2056=A2057,(N2056-N2057)/N2057,0)</f>
        <v>0</v>
      </c>
    </row>
    <row r="2057" spans="1:24" ht="16.5" customHeight="1">
      <c r="A2057" s="3" t="s">
        <v>46</v>
      </c>
      <c r="B2057" s="3">
        <f t="shared" si="64"/>
        <v>2013</v>
      </c>
      <c r="C2057" s="3">
        <f t="shared" si="65"/>
        <v>3</v>
      </c>
      <c r="D2057" s="20" t="str">
        <f t="shared" si="66"/>
        <v>APD20133</v>
      </c>
      <c r="E2057" s="2">
        <v>41360</v>
      </c>
      <c r="F2057" s="3">
        <v>0.71</v>
      </c>
      <c r="G2057" s="2">
        <v>41407</v>
      </c>
      <c r="H2057" s="3">
        <v>2.9899999999999999E-2</v>
      </c>
      <c r="I2057" s="3">
        <v>0.109375</v>
      </c>
      <c r="J2057" s="3">
        <v>7.0000000000000007E-2</v>
      </c>
      <c r="K2057" s="3">
        <f t="shared" si="67"/>
        <v>0</v>
      </c>
      <c r="L2057" s="3">
        <f t="shared" si="68"/>
        <v>2013</v>
      </c>
      <c r="M2057" s="20" t="str">
        <f>A2057&amp;L2057</f>
        <v>APD2013</v>
      </c>
      <c r="N2057" s="3">
        <f>F2057</f>
        <v>0.71</v>
      </c>
      <c r="O2057" s="9">
        <f>H2057</f>
        <v>2.9899999999999999E-2</v>
      </c>
      <c r="P2057" s="10">
        <f t="shared" si="69"/>
        <v>3.0450000000000001E-2</v>
      </c>
      <c r="Q2057" s="10">
        <f>IF(K2057=0,IF(A2054=A2057,AVERAGE(O2054:O2057),"x"),0)</f>
        <v>2.7050000000000001E-2</v>
      </c>
      <c r="R2057" s="9">
        <f>IF(L2057&gt;2005,AVERAGE(O2054:O2073),0)</f>
        <v>2.6294999999999995E-2</v>
      </c>
      <c r="S2057" s="10">
        <f>IF(A2057=A2058,(N2057-N2058)/N2058,0)</f>
        <v>0.10937499999999992</v>
      </c>
      <c r="T2057" s="10">
        <f>IF(L2057&gt;2005,(((N2057-N2077)/N2077)+1)^(1/5)-1,0)</f>
        <v>0.1004267384562354</v>
      </c>
      <c r="U2057" s="10">
        <f t="shared" si="70"/>
        <v>0.12672173845623538</v>
      </c>
      <c r="V2057" s="26">
        <f t="shared" si="71"/>
        <v>4.6606397496953882</v>
      </c>
      <c r="W2057" s="3">
        <f>IF(A2057=A2058,N2057-N2058,0)</f>
        <v>6.9999999999999951E-2</v>
      </c>
      <c r="X2057" s="10">
        <f>IF(A2057=A2058,(N2057-N2058)/N2058,0)</f>
        <v>0.10937499999999992</v>
      </c>
    </row>
    <row r="2058" spans="1:24" ht="16.5" customHeight="1">
      <c r="A2058" s="3" t="s">
        <v>46</v>
      </c>
      <c r="B2058" s="3">
        <f t="shared" si="64"/>
        <v>2012</v>
      </c>
      <c r="C2058" s="3">
        <f t="shared" si="65"/>
        <v>12</v>
      </c>
      <c r="D2058" s="20" t="str">
        <f t="shared" si="66"/>
        <v>APD201212</v>
      </c>
      <c r="E2058" s="2">
        <v>41271</v>
      </c>
      <c r="F2058" s="3">
        <v>0.64</v>
      </c>
      <c r="G2058" s="2">
        <v>41316</v>
      </c>
      <c r="H2058" s="3">
        <v>3.0200000000000001E-2</v>
      </c>
      <c r="I2058" s="3">
        <v>0</v>
      </c>
      <c r="J2058" s="3">
        <v>0</v>
      </c>
      <c r="K2058" s="3">
        <f t="shared" si="67"/>
        <v>2012</v>
      </c>
      <c r="L2058" s="3">
        <f t="shared" si="68"/>
        <v>0</v>
      </c>
      <c r="M2058" s="20" t="str">
        <f>A2058&amp;L2058</f>
        <v>APD0</v>
      </c>
      <c r="N2058" s="3">
        <f>F2058</f>
        <v>0.64</v>
      </c>
      <c r="O2058" s="9">
        <f>H2058</f>
        <v>3.0200000000000001E-2</v>
      </c>
      <c r="P2058" s="10">
        <f t="shared" si="69"/>
        <v>0</v>
      </c>
      <c r="Q2058" s="10">
        <f>IF(K2058=0,IF(A2055=A2058,AVERAGE(O2055:O2058),"x"),0)</f>
        <v>0</v>
      </c>
      <c r="R2058" s="9">
        <f>IF(L2058&gt;2005,AVERAGE(O2055:O2074),0)</f>
        <v>0</v>
      </c>
      <c r="S2058" s="10">
        <f>IF(A2058=A2059,(N2058-N2059)/N2059,0)</f>
        <v>0</v>
      </c>
      <c r="T2058" s="10">
        <f>IF(L2058&gt;2005,(((N2058-N2078)/N2078)+1)^(1/5)-1,0)</f>
        <v>0</v>
      </c>
      <c r="U2058" s="10">
        <f t="shared" si="70"/>
        <v>0</v>
      </c>
      <c r="V2058" s="26">
        <f t="shared" si="71"/>
        <v>0</v>
      </c>
      <c r="W2058" s="3">
        <f>IF(A2058=A2059,N2058-N2059,0)</f>
        <v>0</v>
      </c>
      <c r="X2058" s="10">
        <f>IF(A2058=A2059,(N2058-N2059)/N2059,0)</f>
        <v>0</v>
      </c>
    </row>
    <row r="2059" spans="1:24" ht="16.5" customHeight="1">
      <c r="A2059" s="3" t="s">
        <v>46</v>
      </c>
      <c r="B2059" s="3">
        <f t="shared" si="64"/>
        <v>2012</v>
      </c>
      <c r="C2059" s="3">
        <f t="shared" si="65"/>
        <v>9</v>
      </c>
      <c r="D2059" s="20" t="str">
        <f t="shared" si="66"/>
        <v>APD20129</v>
      </c>
      <c r="E2059" s="2">
        <v>41179</v>
      </c>
      <c r="F2059" s="3">
        <v>0.64</v>
      </c>
      <c r="G2059" s="2">
        <v>41226</v>
      </c>
      <c r="H2059" s="3">
        <v>3.0099999999999998E-2</v>
      </c>
      <c r="I2059" s="3">
        <v>0</v>
      </c>
      <c r="J2059" s="3">
        <v>0</v>
      </c>
      <c r="K2059" s="3">
        <f t="shared" si="67"/>
        <v>2012</v>
      </c>
      <c r="L2059" s="3">
        <f t="shared" si="68"/>
        <v>0</v>
      </c>
      <c r="M2059" s="20" t="str">
        <f>A2059&amp;L2059</f>
        <v>APD0</v>
      </c>
      <c r="N2059" s="3">
        <f>F2059</f>
        <v>0.64</v>
      </c>
      <c r="O2059" s="9">
        <f>H2059</f>
        <v>3.0099999999999998E-2</v>
      </c>
      <c r="P2059" s="10">
        <f t="shared" si="69"/>
        <v>0</v>
      </c>
      <c r="Q2059" s="10">
        <f>IF(K2059=0,IF(A2056=A2059,AVERAGE(O2056:O2059),"x"),0)</f>
        <v>0</v>
      </c>
      <c r="R2059" s="9">
        <f>IF(L2059&gt;2005,AVERAGE(O2056:O2075),0)</f>
        <v>0</v>
      </c>
      <c r="S2059" s="10">
        <f>IF(A2059=A2060,(N2059-N2060)/N2060,0)</f>
        <v>0</v>
      </c>
      <c r="T2059" s="10">
        <f>IF(L2059&gt;2005,(((N2059-N2079)/N2079)+1)^(1/5)-1,0)</f>
        <v>0</v>
      </c>
      <c r="U2059" s="10">
        <f t="shared" si="70"/>
        <v>0</v>
      </c>
      <c r="V2059" s="26">
        <f t="shared" si="71"/>
        <v>0</v>
      </c>
      <c r="W2059" s="3">
        <f>IF(A2059=A2060,N2059-N2060,0)</f>
        <v>0</v>
      </c>
      <c r="X2059" s="10">
        <f>IF(A2059=A2060,(N2059-N2060)/N2060,0)</f>
        <v>0</v>
      </c>
    </row>
    <row r="2060" spans="1:24" ht="16.5" customHeight="1">
      <c r="A2060" s="3" t="s">
        <v>46</v>
      </c>
      <c r="B2060" s="3">
        <f t="shared" si="64"/>
        <v>2012</v>
      </c>
      <c r="C2060" s="3">
        <f t="shared" si="65"/>
        <v>6</v>
      </c>
      <c r="D2060" s="20" t="str">
        <f t="shared" si="66"/>
        <v>APD20126</v>
      </c>
      <c r="E2060" s="2">
        <v>41088</v>
      </c>
      <c r="F2060" s="3">
        <v>0.64</v>
      </c>
      <c r="G2060" s="2">
        <v>41134</v>
      </c>
      <c r="H2060" s="3">
        <v>3.1600000000000003E-2</v>
      </c>
      <c r="I2060" s="3">
        <v>0</v>
      </c>
      <c r="J2060" s="3">
        <v>0</v>
      </c>
      <c r="K2060" s="3">
        <f t="shared" si="67"/>
        <v>2012</v>
      </c>
      <c r="L2060" s="3">
        <f t="shared" si="68"/>
        <v>0</v>
      </c>
      <c r="M2060" s="20" t="str">
        <f>A2060&amp;L2060</f>
        <v>APD0</v>
      </c>
      <c r="N2060" s="3">
        <f>F2060</f>
        <v>0.64</v>
      </c>
      <c r="O2060" s="9">
        <f>H2060</f>
        <v>3.1600000000000003E-2</v>
      </c>
      <c r="P2060" s="10">
        <f t="shared" si="69"/>
        <v>0</v>
      </c>
      <c r="Q2060" s="10">
        <f>IF(K2060=0,IF(A2057=A2060,AVERAGE(O2057:O2060),"x"),0)</f>
        <v>0</v>
      </c>
      <c r="R2060" s="9">
        <f>IF(L2060&gt;2005,AVERAGE(O2057:O2076),0)</f>
        <v>0</v>
      </c>
      <c r="S2060" s="10">
        <f>IF(A2060=A2061,(N2060-N2061)/N2061,0)</f>
        <v>0</v>
      </c>
      <c r="T2060" s="10">
        <f>IF(L2060&gt;2005,(((N2060-N2080)/N2080)+1)^(1/5)-1,0)</f>
        <v>0</v>
      </c>
      <c r="U2060" s="10">
        <f t="shared" si="70"/>
        <v>0</v>
      </c>
      <c r="V2060" s="26">
        <f t="shared" si="71"/>
        <v>0</v>
      </c>
      <c r="W2060" s="3">
        <f>IF(A2060=A2061,N2060-N2061,0)</f>
        <v>0</v>
      </c>
      <c r="X2060" s="10">
        <f>IF(A2060=A2061,(N2060-N2061)/N2061,0)</f>
        <v>0</v>
      </c>
    </row>
    <row r="2061" spans="1:24" ht="16.5" customHeight="1">
      <c r="A2061" s="3" t="s">
        <v>46</v>
      </c>
      <c r="B2061" s="3">
        <f t="shared" si="64"/>
        <v>2012</v>
      </c>
      <c r="C2061" s="3">
        <f t="shared" si="65"/>
        <v>3</v>
      </c>
      <c r="D2061" s="20" t="str">
        <f t="shared" si="66"/>
        <v>APD20123</v>
      </c>
      <c r="E2061" s="2">
        <v>40997</v>
      </c>
      <c r="F2061" s="3">
        <v>0.64</v>
      </c>
      <c r="G2061" s="2">
        <v>41043</v>
      </c>
      <c r="H2061" s="3">
        <v>2.6100000000000002E-2</v>
      </c>
      <c r="I2061" s="3">
        <v>0.10344827600000001</v>
      </c>
      <c r="J2061" s="3">
        <v>0.06</v>
      </c>
      <c r="K2061" s="3">
        <f t="shared" si="67"/>
        <v>0</v>
      </c>
      <c r="L2061" s="3">
        <f t="shared" si="68"/>
        <v>2012</v>
      </c>
      <c r="M2061" s="20" t="str">
        <f>A2061&amp;L2061</f>
        <v>APD2012</v>
      </c>
      <c r="N2061" s="3">
        <f>F2061</f>
        <v>0.64</v>
      </c>
      <c r="O2061" s="9">
        <f>H2061</f>
        <v>2.6100000000000002E-2</v>
      </c>
      <c r="P2061" s="10">
        <f t="shared" si="69"/>
        <v>2.605E-2</v>
      </c>
      <c r="Q2061" s="10">
        <f>IF(K2061=0,IF(A2058=A2061,AVERAGE(O2058:O2061),"x"),0)</f>
        <v>2.9500000000000002E-2</v>
      </c>
      <c r="R2061" s="9">
        <f>IF(L2061&gt;2005,AVERAGE(O2058:O2077),0)</f>
        <v>2.5594999999999996E-2</v>
      </c>
      <c r="S2061" s="10">
        <f>IF(A2061=A2062,(N2061-N2062)/N2062,0)</f>
        <v>0.10344827586206906</v>
      </c>
      <c r="T2061" s="10">
        <f>IF(L2061&gt;2005,(((N2061-N2081)/N2081)+1)^(1/5)-1,0)</f>
        <v>0.1098883056567086</v>
      </c>
      <c r="U2061" s="10">
        <f t="shared" si="70"/>
        <v>0.1354833056567086</v>
      </c>
      <c r="V2061" s="26">
        <f t="shared" si="71"/>
        <v>4.6718758011017121</v>
      </c>
      <c r="W2061" s="3">
        <f>IF(A2061=A2062,N2061-N2062,0)</f>
        <v>6.0000000000000053E-2</v>
      </c>
      <c r="X2061" s="10">
        <f>IF(A2061=A2062,(N2061-N2062)/N2062,0)</f>
        <v>0.10344827586206906</v>
      </c>
    </row>
    <row r="2062" spans="1:24" ht="16.5" customHeight="1">
      <c r="A2062" s="3" t="s">
        <v>46</v>
      </c>
      <c r="B2062" s="3">
        <f t="shared" si="64"/>
        <v>2011</v>
      </c>
      <c r="C2062" s="3">
        <f t="shared" si="65"/>
        <v>12</v>
      </c>
      <c r="D2062" s="20" t="str">
        <f t="shared" si="66"/>
        <v>APD201112</v>
      </c>
      <c r="E2062" s="2">
        <v>40906</v>
      </c>
      <c r="F2062" s="3">
        <v>0.57999999999999996</v>
      </c>
      <c r="G2062" s="2">
        <v>40952</v>
      </c>
      <c r="H2062" s="3">
        <v>2.7300000000000001E-2</v>
      </c>
      <c r="I2062" s="3">
        <v>0</v>
      </c>
      <c r="J2062" s="3">
        <v>0</v>
      </c>
      <c r="K2062" s="3">
        <f t="shared" si="67"/>
        <v>2011</v>
      </c>
      <c r="L2062" s="3">
        <f t="shared" si="68"/>
        <v>0</v>
      </c>
      <c r="M2062" s="20" t="str">
        <f>A2062&amp;L2062</f>
        <v>APD0</v>
      </c>
      <c r="N2062" s="3">
        <f>F2062</f>
        <v>0.57999999999999996</v>
      </c>
      <c r="O2062" s="9">
        <f>H2062</f>
        <v>2.7300000000000001E-2</v>
      </c>
      <c r="P2062" s="10">
        <f t="shared" si="69"/>
        <v>0</v>
      </c>
      <c r="Q2062" s="10">
        <f>IF(K2062=0,IF(A2059=A2062,AVERAGE(O2059:O2062),"x"),0)</f>
        <v>0</v>
      </c>
      <c r="R2062" s="9">
        <f>IF(L2062&gt;2005,AVERAGE(O2059:O2078),0)</f>
        <v>0</v>
      </c>
      <c r="S2062" s="10">
        <f>IF(A2062=A2063,(N2062-N2063)/N2063,0)</f>
        <v>0</v>
      </c>
      <c r="T2062" s="10">
        <f>IF(L2062&gt;2005,(((N2062-N2082)/N2082)+1)^(1/5)-1,0)</f>
        <v>0</v>
      </c>
      <c r="U2062" s="10">
        <f t="shared" si="70"/>
        <v>0</v>
      </c>
      <c r="V2062" s="26">
        <f t="shared" si="71"/>
        <v>0</v>
      </c>
      <c r="W2062" s="3">
        <f>IF(A2062=A2063,N2062-N2063,0)</f>
        <v>0</v>
      </c>
      <c r="X2062" s="10">
        <f>IF(A2062=A2063,(N2062-N2063)/N2063,0)</f>
        <v>0</v>
      </c>
    </row>
    <row r="2063" spans="1:24" ht="16.5" customHeight="1">
      <c r="A2063" s="3" t="s">
        <v>46</v>
      </c>
      <c r="B2063" s="3">
        <f t="shared" si="64"/>
        <v>2011</v>
      </c>
      <c r="C2063" s="3">
        <f t="shared" si="65"/>
        <v>9</v>
      </c>
      <c r="D2063" s="20" t="str">
        <f t="shared" si="66"/>
        <v>APD20119</v>
      </c>
      <c r="E2063" s="2">
        <v>40815</v>
      </c>
      <c r="F2063" s="3">
        <v>0.57999999999999996</v>
      </c>
      <c r="G2063" s="2">
        <v>40861</v>
      </c>
      <c r="H2063" s="3">
        <v>2.8199999999999999E-2</v>
      </c>
      <c r="I2063" s="3">
        <v>0</v>
      </c>
      <c r="J2063" s="3">
        <v>0</v>
      </c>
      <c r="K2063" s="3">
        <f t="shared" si="67"/>
        <v>2011</v>
      </c>
      <c r="L2063" s="3">
        <f t="shared" si="68"/>
        <v>0</v>
      </c>
      <c r="M2063" s="20" t="str">
        <f>A2063&amp;L2063</f>
        <v>APD0</v>
      </c>
      <c r="N2063" s="3">
        <f>F2063</f>
        <v>0.57999999999999996</v>
      </c>
      <c r="O2063" s="9">
        <f>H2063</f>
        <v>2.8199999999999999E-2</v>
      </c>
      <c r="P2063" s="10">
        <f t="shared" si="69"/>
        <v>0</v>
      </c>
      <c r="Q2063" s="10">
        <f>IF(K2063=0,IF(A2060=A2063,AVERAGE(O2060:O2063),"x"),0)</f>
        <v>0</v>
      </c>
      <c r="R2063" s="9">
        <f>IF(L2063&gt;2005,AVERAGE(O2060:O2079),0)</f>
        <v>0</v>
      </c>
      <c r="S2063" s="10">
        <f>IF(A2063=A2064,(N2063-N2064)/N2064,0)</f>
        <v>0</v>
      </c>
      <c r="T2063" s="10">
        <f>IF(L2063&gt;2005,(((N2063-N2083)/N2083)+1)^(1/5)-1,0)</f>
        <v>0</v>
      </c>
      <c r="U2063" s="10">
        <f t="shared" si="70"/>
        <v>0</v>
      </c>
      <c r="V2063" s="26">
        <f t="shared" si="71"/>
        <v>0</v>
      </c>
      <c r="W2063" s="3">
        <f>IF(A2063=A2064,N2063-N2064,0)</f>
        <v>0</v>
      </c>
      <c r="X2063" s="10">
        <f>IF(A2063=A2064,(N2063-N2064)/N2064,0)</f>
        <v>0</v>
      </c>
    </row>
    <row r="2064" spans="1:24" ht="16.5" customHeight="1">
      <c r="A2064" s="3" t="s">
        <v>46</v>
      </c>
      <c r="B2064" s="3">
        <f t="shared" si="64"/>
        <v>2011</v>
      </c>
      <c r="C2064" s="3">
        <f t="shared" si="65"/>
        <v>6</v>
      </c>
      <c r="D2064" s="20" t="str">
        <f t="shared" si="66"/>
        <v>APD20116</v>
      </c>
      <c r="E2064" s="2">
        <v>40723</v>
      </c>
      <c r="F2064" s="3">
        <v>0.57999999999999996</v>
      </c>
      <c r="G2064" s="2">
        <v>40763</v>
      </c>
      <c r="H2064" s="3">
        <v>2.2599999999999999E-2</v>
      </c>
      <c r="I2064" s="3">
        <v>0</v>
      </c>
      <c r="J2064" s="3">
        <v>0</v>
      </c>
      <c r="K2064" s="3">
        <f t="shared" si="67"/>
        <v>2011</v>
      </c>
      <c r="L2064" s="3">
        <f t="shared" si="68"/>
        <v>0</v>
      </c>
      <c r="M2064" s="20" t="str">
        <f>A2064&amp;L2064</f>
        <v>APD0</v>
      </c>
      <c r="N2064" s="3">
        <f>F2064</f>
        <v>0.57999999999999996</v>
      </c>
      <c r="O2064" s="9">
        <f>H2064</f>
        <v>2.2599999999999999E-2</v>
      </c>
      <c r="P2064" s="10">
        <f t="shared" si="69"/>
        <v>0</v>
      </c>
      <c r="Q2064" s="10">
        <f>IF(K2064=0,IF(A2061=A2064,AVERAGE(O2061:O2064),"x"),0)</f>
        <v>0</v>
      </c>
      <c r="R2064" s="9">
        <f>IF(L2064&gt;2005,AVERAGE(O2061:O2080),0)</f>
        <v>0</v>
      </c>
      <c r="S2064" s="10">
        <f>IF(A2064=A2065,(N2064-N2065)/N2065,0)</f>
        <v>0</v>
      </c>
      <c r="T2064" s="10">
        <f>IF(L2064&gt;2005,(((N2064-N2084)/N2084)+1)^(1/5)-1,0)</f>
        <v>0</v>
      </c>
      <c r="U2064" s="10">
        <f t="shared" si="70"/>
        <v>0</v>
      </c>
      <c r="V2064" s="26">
        <f t="shared" si="71"/>
        <v>0</v>
      </c>
      <c r="W2064" s="3">
        <f>IF(A2064=A2065,N2064-N2065,0)</f>
        <v>0</v>
      </c>
      <c r="X2064" s="10">
        <f>IF(A2064=A2065,(N2064-N2065)/N2065,0)</f>
        <v>0</v>
      </c>
    </row>
    <row r="2065" spans="1:24" ht="16.5" customHeight="1">
      <c r="A2065" s="3" t="s">
        <v>46</v>
      </c>
      <c r="B2065" s="3">
        <f t="shared" si="64"/>
        <v>2011</v>
      </c>
      <c r="C2065" s="3">
        <f t="shared" si="65"/>
        <v>3</v>
      </c>
      <c r="D2065" s="20" t="str">
        <f t="shared" si="66"/>
        <v>APD20113</v>
      </c>
      <c r="E2065" s="2">
        <v>40632</v>
      </c>
      <c r="F2065" s="3">
        <v>0.57999999999999996</v>
      </c>
      <c r="G2065" s="2">
        <v>40672</v>
      </c>
      <c r="H2065" s="3">
        <v>2.2700000000000001E-2</v>
      </c>
      <c r="I2065" s="3">
        <v>0.18367346900000001</v>
      </c>
      <c r="J2065" s="3">
        <v>0.09</v>
      </c>
      <c r="K2065" s="3">
        <f t="shared" si="67"/>
        <v>0</v>
      </c>
      <c r="L2065" s="3">
        <f t="shared" si="68"/>
        <v>2011</v>
      </c>
      <c r="M2065" s="20" t="str">
        <f>A2065&amp;L2065</f>
        <v>APD2011</v>
      </c>
      <c r="N2065" s="3">
        <f>F2065</f>
        <v>0.57999999999999996</v>
      </c>
      <c r="O2065" s="9">
        <f>H2065</f>
        <v>2.2700000000000001E-2</v>
      </c>
      <c r="P2065" s="10">
        <f t="shared" si="69"/>
        <v>2.3700000000000002E-2</v>
      </c>
      <c r="Q2065" s="10">
        <f>IF(K2065=0,IF(A2062=A2065,AVERAGE(O2062:O2065),"x"),0)</f>
        <v>2.52E-2</v>
      </c>
      <c r="R2065" s="9">
        <f>IF(L2065&gt;2005,AVERAGE(O2062:O2081),0)</f>
        <v>2.3039999999999998E-2</v>
      </c>
      <c r="S2065" s="10">
        <f>IF(A2065=A2066,(N2065-N2066)/N2066,0)</f>
        <v>0.18367346938775503</v>
      </c>
      <c r="T2065" s="10">
        <f>IF(L2065&gt;2005,(((N2065-N2085)/N2085)+1)^(1/5)-1,0)</f>
        <v>0.11273004664881792</v>
      </c>
      <c r="U2065" s="10">
        <f t="shared" si="70"/>
        <v>0.13577004664881792</v>
      </c>
      <c r="V2065" s="26">
        <f t="shared" si="71"/>
        <v>4.7038191181832811</v>
      </c>
      <c r="W2065" s="3">
        <f>IF(A2065=A2066,N2065-N2066,0)</f>
        <v>8.9999999999999969E-2</v>
      </c>
      <c r="X2065" s="10">
        <f>IF(A2065=A2066,(N2065-N2066)/N2066,0)</f>
        <v>0.18367346938775503</v>
      </c>
    </row>
    <row r="2066" spans="1:24" ht="16.5" customHeight="1">
      <c r="A2066" s="3" t="s">
        <v>46</v>
      </c>
      <c r="B2066" s="3">
        <f t="shared" si="64"/>
        <v>2010</v>
      </c>
      <c r="C2066" s="3">
        <f t="shared" si="65"/>
        <v>12</v>
      </c>
      <c r="D2066" s="20" t="str">
        <f t="shared" si="66"/>
        <v>APD201012</v>
      </c>
      <c r="E2066" s="2">
        <v>40542</v>
      </c>
      <c r="F2066" s="3">
        <v>0.49</v>
      </c>
      <c r="G2066" s="2">
        <v>40588</v>
      </c>
      <c r="H2066" s="3">
        <v>2.1499999999999998E-2</v>
      </c>
      <c r="I2066" s="3">
        <v>0</v>
      </c>
      <c r="J2066" s="3">
        <v>0</v>
      </c>
      <c r="K2066" s="3">
        <f t="shared" si="67"/>
        <v>2010</v>
      </c>
      <c r="L2066" s="3">
        <f t="shared" si="68"/>
        <v>0</v>
      </c>
      <c r="M2066" s="20" t="str">
        <f>A2066&amp;L2066</f>
        <v>APD0</v>
      </c>
      <c r="N2066" s="3">
        <f>F2066</f>
        <v>0.49</v>
      </c>
      <c r="O2066" s="9">
        <f>H2066</f>
        <v>2.1499999999999998E-2</v>
      </c>
      <c r="P2066" s="10">
        <f t="shared" si="69"/>
        <v>0</v>
      </c>
      <c r="Q2066" s="10">
        <f>IF(K2066=0,IF(A2063=A2066,AVERAGE(O2063:O2066),"x"),0)</f>
        <v>0</v>
      </c>
      <c r="R2066" s="9">
        <f>IF(L2066&gt;2005,AVERAGE(O2063:O2082),0)</f>
        <v>0</v>
      </c>
      <c r="S2066" s="10">
        <f>IF(A2066=A2067,(N2066-N2067)/N2067,0)</f>
        <v>0</v>
      </c>
      <c r="T2066" s="10">
        <f>IF(L2066&gt;2005,(((N2066-N2086)/N2086)+1)^(1/5)-1,0)</f>
        <v>0</v>
      </c>
      <c r="U2066" s="10">
        <f t="shared" si="70"/>
        <v>0</v>
      </c>
      <c r="V2066" s="26">
        <f t="shared" si="71"/>
        <v>0</v>
      </c>
      <c r="W2066" s="3">
        <f>IF(A2066=A2067,N2066-N2067,0)</f>
        <v>0</v>
      </c>
      <c r="X2066" s="10">
        <f>IF(A2066=A2067,(N2066-N2067)/N2067,0)</f>
        <v>0</v>
      </c>
    </row>
    <row r="2067" spans="1:24" ht="16.5" customHeight="1">
      <c r="A2067" s="3" t="s">
        <v>46</v>
      </c>
      <c r="B2067" s="3">
        <f t="shared" si="64"/>
        <v>2010</v>
      </c>
      <c r="C2067" s="3">
        <f t="shared" si="65"/>
        <v>9</v>
      </c>
      <c r="D2067" s="20" t="str">
        <f t="shared" si="66"/>
        <v>APD20109</v>
      </c>
      <c r="E2067" s="2">
        <v>40450</v>
      </c>
      <c r="F2067" s="3">
        <v>0.49</v>
      </c>
      <c r="G2067" s="2">
        <v>40490</v>
      </c>
      <c r="H2067" s="3">
        <v>2.29E-2</v>
      </c>
      <c r="I2067" s="3">
        <v>0</v>
      </c>
      <c r="J2067" s="3">
        <v>0</v>
      </c>
      <c r="K2067" s="3">
        <f t="shared" si="67"/>
        <v>2010</v>
      </c>
      <c r="L2067" s="3">
        <f t="shared" si="68"/>
        <v>0</v>
      </c>
      <c r="M2067" s="20" t="str">
        <f>A2067&amp;L2067</f>
        <v>APD0</v>
      </c>
      <c r="N2067" s="3">
        <f>F2067</f>
        <v>0.49</v>
      </c>
      <c r="O2067" s="9">
        <f>H2067</f>
        <v>2.29E-2</v>
      </c>
      <c r="P2067" s="10">
        <f t="shared" si="69"/>
        <v>0</v>
      </c>
      <c r="Q2067" s="10">
        <f>IF(K2067=0,IF(A2064=A2067,AVERAGE(O2064:O2067),"x"),0)</f>
        <v>0</v>
      </c>
      <c r="R2067" s="9">
        <f>IF(L2067&gt;2005,AVERAGE(O2064:O2083),0)</f>
        <v>0</v>
      </c>
      <c r="S2067" s="10">
        <f>IF(A2067=A2068,(N2067-N2068)/N2068,0)</f>
        <v>0</v>
      </c>
      <c r="T2067" s="10">
        <f>IF(L2067&gt;2005,(((N2067-N2087)/N2087)+1)^(1/5)-1,0)</f>
        <v>0</v>
      </c>
      <c r="U2067" s="10">
        <f t="shared" si="70"/>
        <v>0</v>
      </c>
      <c r="V2067" s="26">
        <f t="shared" si="71"/>
        <v>0</v>
      </c>
      <c r="W2067" s="3">
        <f>IF(A2067=A2068,N2067-N2068,0)</f>
        <v>0</v>
      </c>
      <c r="X2067" s="10">
        <f>IF(A2067=A2068,(N2067-N2068)/N2068,0)</f>
        <v>0</v>
      </c>
    </row>
    <row r="2068" spans="1:24" ht="16.5" customHeight="1">
      <c r="A2068" s="3" t="s">
        <v>46</v>
      </c>
      <c r="B2068" s="3">
        <f t="shared" si="64"/>
        <v>2010</v>
      </c>
      <c r="C2068" s="3">
        <f t="shared" si="65"/>
        <v>6</v>
      </c>
      <c r="D2068" s="20" t="str">
        <f t="shared" si="66"/>
        <v>APD20106</v>
      </c>
      <c r="E2068" s="2">
        <v>40358</v>
      </c>
      <c r="F2068" s="3">
        <v>0.49</v>
      </c>
      <c r="G2068" s="2">
        <v>40399</v>
      </c>
      <c r="H2068" s="3">
        <v>2.7699999999999999E-2</v>
      </c>
      <c r="I2068" s="3">
        <v>0</v>
      </c>
      <c r="J2068" s="3">
        <v>0</v>
      </c>
      <c r="K2068" s="3">
        <f t="shared" si="67"/>
        <v>2010</v>
      </c>
      <c r="L2068" s="3">
        <f t="shared" si="68"/>
        <v>0</v>
      </c>
      <c r="M2068" s="20" t="str">
        <f>A2068&amp;L2068</f>
        <v>APD0</v>
      </c>
      <c r="N2068" s="3">
        <f>F2068</f>
        <v>0.49</v>
      </c>
      <c r="O2068" s="9">
        <f>H2068</f>
        <v>2.7699999999999999E-2</v>
      </c>
      <c r="P2068" s="10">
        <f t="shared" si="69"/>
        <v>0</v>
      </c>
      <c r="Q2068" s="10">
        <f>IF(K2068=0,IF(A2065=A2068,AVERAGE(O2065:O2068),"x"),0)</f>
        <v>0</v>
      </c>
      <c r="R2068" s="9">
        <f>IF(L2068&gt;2005,AVERAGE(O2065:O2084),0)</f>
        <v>0</v>
      </c>
      <c r="S2068" s="10">
        <f>IF(A2068=A2069,(N2068-N2069)/N2069,0)</f>
        <v>0</v>
      </c>
      <c r="T2068" s="10">
        <f>IF(L2068&gt;2005,(((N2068-N2088)/N2088)+1)^(1/5)-1,0)</f>
        <v>0</v>
      </c>
      <c r="U2068" s="10">
        <f t="shared" si="70"/>
        <v>0</v>
      </c>
      <c r="V2068" s="26">
        <f t="shared" si="71"/>
        <v>0</v>
      </c>
      <c r="W2068" s="3">
        <f>IF(A2068=A2069,N2068-N2069,0)</f>
        <v>0</v>
      </c>
      <c r="X2068" s="10">
        <f>IF(A2068=A2069,(N2068-N2069)/N2069,0)</f>
        <v>0</v>
      </c>
    </row>
    <row r="2069" spans="1:24" ht="16.5" customHeight="1">
      <c r="A2069" s="3" t="s">
        <v>46</v>
      </c>
      <c r="B2069" s="3">
        <f t="shared" si="64"/>
        <v>2010</v>
      </c>
      <c r="C2069" s="3">
        <f t="shared" si="65"/>
        <v>3</v>
      </c>
      <c r="D2069" s="20" t="str">
        <f t="shared" si="66"/>
        <v>APD20103</v>
      </c>
      <c r="E2069" s="2">
        <v>40267</v>
      </c>
      <c r="F2069" s="3">
        <v>0.49</v>
      </c>
      <c r="G2069" s="2">
        <v>40308</v>
      </c>
      <c r="H2069" s="3">
        <v>2.4799999999999999E-2</v>
      </c>
      <c r="I2069" s="3">
        <v>8.8888888999999999E-2</v>
      </c>
      <c r="J2069" s="3">
        <v>0.04</v>
      </c>
      <c r="K2069" s="3">
        <f t="shared" si="67"/>
        <v>0</v>
      </c>
      <c r="L2069" s="3">
        <f t="shared" si="68"/>
        <v>2010</v>
      </c>
      <c r="M2069" s="20" t="str">
        <f>A2069&amp;L2069</f>
        <v>APD2010</v>
      </c>
      <c r="N2069" s="3">
        <f>F2069</f>
        <v>0.49</v>
      </c>
      <c r="O2069" s="9">
        <f>H2069</f>
        <v>2.4799999999999999E-2</v>
      </c>
      <c r="P2069" s="10">
        <f t="shared" si="69"/>
        <v>2.4175000000000002E-2</v>
      </c>
      <c r="Q2069" s="10">
        <f>IF(K2069=0,IF(A2066=A2069,AVERAGE(O2066:O2069),"x"),0)</f>
        <v>2.4225E-2</v>
      </c>
      <c r="R2069" s="9">
        <f>IF(L2069&gt;2005,AVERAGE(O2066:O2085),0)</f>
        <v>2.1975000000000001E-2</v>
      </c>
      <c r="S2069" s="10">
        <f>IF(A2069=A2070,(N2069-N2070)/N2070,0)</f>
        <v>8.8888888888888837E-2</v>
      </c>
      <c r="T2069" s="10">
        <f>IF(L2069&gt;2005,(((N2069-N2089)/N2089)+1)^(1/5)-1,0)</f>
        <v>8.8953212241389856E-2</v>
      </c>
      <c r="U2069" s="10">
        <f t="shared" si="70"/>
        <v>0.11092821224138985</v>
      </c>
      <c r="V2069" s="26">
        <f t="shared" si="71"/>
        <v>4.7109990437291396</v>
      </c>
      <c r="W2069" s="3">
        <f>IF(A2069=A2070,N2069-N2070,0)</f>
        <v>3.999999999999998E-2</v>
      </c>
      <c r="X2069" s="10">
        <f>IF(A2069=A2070,(N2069-N2070)/N2070,0)</f>
        <v>8.8888888888888837E-2</v>
      </c>
    </row>
    <row r="2070" spans="1:24" ht="16.5" customHeight="1">
      <c r="A2070" s="3" t="s">
        <v>46</v>
      </c>
      <c r="B2070" s="3">
        <f t="shared" si="64"/>
        <v>2009</v>
      </c>
      <c r="C2070" s="3">
        <f t="shared" si="65"/>
        <v>12</v>
      </c>
      <c r="D2070" s="20" t="str">
        <f t="shared" si="66"/>
        <v>APD200912</v>
      </c>
      <c r="E2070" s="2">
        <v>40177</v>
      </c>
      <c r="F2070" s="3">
        <v>0.45</v>
      </c>
      <c r="G2070" s="2">
        <v>40217</v>
      </c>
      <c r="H2070" s="3">
        <v>2.18E-2</v>
      </c>
      <c r="I2070" s="3">
        <v>0</v>
      </c>
      <c r="J2070" s="3">
        <v>0</v>
      </c>
      <c r="K2070" s="3">
        <f t="shared" si="67"/>
        <v>2009</v>
      </c>
      <c r="L2070" s="3">
        <f t="shared" si="68"/>
        <v>0</v>
      </c>
      <c r="M2070" s="20" t="str">
        <f>A2070&amp;L2070</f>
        <v>APD0</v>
      </c>
      <c r="N2070" s="3">
        <f>F2070</f>
        <v>0.45</v>
      </c>
      <c r="O2070" s="9">
        <f>H2070</f>
        <v>2.18E-2</v>
      </c>
      <c r="P2070" s="10">
        <f t="shared" si="69"/>
        <v>0</v>
      </c>
      <c r="Q2070" s="10">
        <f>IF(K2070=0,IF(A2067=A2070,AVERAGE(O2067:O2070),"x"),0)</f>
        <v>0</v>
      </c>
      <c r="R2070" s="9">
        <f>IF(L2070&gt;2005,AVERAGE(O2067:O2086),0)</f>
        <v>0</v>
      </c>
      <c r="S2070" s="10">
        <f>IF(A2070=A2071,(N2070-N2071)/N2071,0)</f>
        <v>0</v>
      </c>
      <c r="T2070" s="10">
        <f>IF(L2070&gt;2005,(((N2070-N2090)/N2090)+1)^(1/5)-1,0)</f>
        <v>0</v>
      </c>
      <c r="U2070" s="10">
        <f t="shared" si="70"/>
        <v>0</v>
      </c>
      <c r="V2070" s="26">
        <f t="shared" si="71"/>
        <v>0</v>
      </c>
      <c r="W2070" s="3">
        <f>IF(A2070=A2071,N2070-N2071,0)</f>
        <v>0</v>
      </c>
      <c r="X2070" s="10">
        <f>IF(A2070=A2071,(N2070-N2071)/N2071,0)</f>
        <v>0</v>
      </c>
    </row>
    <row r="2071" spans="1:24" ht="16.5" customHeight="1">
      <c r="A2071" s="3" t="s">
        <v>46</v>
      </c>
      <c r="B2071" s="3">
        <f t="shared" si="64"/>
        <v>2009</v>
      </c>
      <c r="C2071" s="3">
        <f t="shared" si="65"/>
        <v>9</v>
      </c>
      <c r="D2071" s="20" t="str">
        <f t="shared" si="66"/>
        <v>APD20099</v>
      </c>
      <c r="E2071" s="2">
        <v>40085</v>
      </c>
      <c r="F2071" s="3">
        <v>0.45</v>
      </c>
      <c r="G2071" s="2">
        <v>40126</v>
      </c>
      <c r="H2071" s="3">
        <v>2.2800000000000001E-2</v>
      </c>
      <c r="I2071" s="3">
        <v>0</v>
      </c>
      <c r="J2071" s="3">
        <v>0</v>
      </c>
      <c r="K2071" s="3">
        <f t="shared" si="67"/>
        <v>2009</v>
      </c>
      <c r="L2071" s="3">
        <f t="shared" si="68"/>
        <v>0</v>
      </c>
      <c r="M2071" s="20" t="str">
        <f>A2071&amp;L2071</f>
        <v>APD0</v>
      </c>
      <c r="N2071" s="3">
        <f>F2071</f>
        <v>0.45</v>
      </c>
      <c r="O2071" s="9">
        <f>H2071</f>
        <v>2.2800000000000001E-2</v>
      </c>
      <c r="P2071" s="10">
        <f t="shared" si="69"/>
        <v>0</v>
      </c>
      <c r="Q2071" s="10">
        <f>IF(K2071=0,IF(A2068=A2071,AVERAGE(O2068:O2071),"x"),0)</f>
        <v>0</v>
      </c>
      <c r="R2071" s="9">
        <f>IF(L2071&gt;2005,AVERAGE(O2068:O2087),0)</f>
        <v>0</v>
      </c>
      <c r="S2071" s="10">
        <f>IF(A2071=A2072,(N2071-N2072)/N2072,0)</f>
        <v>0</v>
      </c>
      <c r="T2071" s="10">
        <f>IF(L2071&gt;2005,(((N2071-N2091)/N2091)+1)^(1/5)-1,0)</f>
        <v>0</v>
      </c>
      <c r="U2071" s="10">
        <f t="shared" si="70"/>
        <v>0</v>
      </c>
      <c r="V2071" s="26">
        <f t="shared" si="71"/>
        <v>0</v>
      </c>
      <c r="W2071" s="3">
        <f>IF(A2071=A2072,N2071-N2072,0)</f>
        <v>0</v>
      </c>
      <c r="X2071" s="10">
        <f>IF(A2071=A2072,(N2071-N2072)/N2072,0)</f>
        <v>0</v>
      </c>
    </row>
    <row r="2072" spans="1:24" ht="16.5" customHeight="1">
      <c r="A2072" s="3" t="s">
        <v>46</v>
      </c>
      <c r="B2072" s="3">
        <f t="shared" si="64"/>
        <v>2009</v>
      </c>
      <c r="C2072" s="3">
        <f t="shared" si="65"/>
        <v>6</v>
      </c>
      <c r="D2072" s="20" t="str">
        <f t="shared" si="66"/>
        <v>APD20096</v>
      </c>
      <c r="E2072" s="2">
        <v>39993</v>
      </c>
      <c r="F2072" s="3">
        <v>0.45</v>
      </c>
      <c r="G2072" s="2">
        <v>40035</v>
      </c>
      <c r="H2072" s="3">
        <v>2.7300000000000001E-2</v>
      </c>
      <c r="I2072" s="3">
        <v>0</v>
      </c>
      <c r="J2072" s="3">
        <v>0</v>
      </c>
      <c r="K2072" s="3">
        <f t="shared" si="67"/>
        <v>2009</v>
      </c>
      <c r="L2072" s="3">
        <f t="shared" si="68"/>
        <v>0</v>
      </c>
      <c r="M2072" s="20" t="str">
        <f>A2072&amp;L2072</f>
        <v>APD0</v>
      </c>
      <c r="N2072" s="3">
        <f>F2072</f>
        <v>0.45</v>
      </c>
      <c r="O2072" s="9">
        <f>H2072</f>
        <v>2.7300000000000001E-2</v>
      </c>
      <c r="P2072" s="10">
        <f t="shared" si="69"/>
        <v>0</v>
      </c>
      <c r="Q2072" s="10">
        <f>IF(K2072=0,IF(A2069=A2072,AVERAGE(O2069:O2072),"x"),0)</f>
        <v>0</v>
      </c>
      <c r="R2072" s="9">
        <f>IF(L2072&gt;2005,AVERAGE(O2069:O2088),0)</f>
        <v>0</v>
      </c>
      <c r="S2072" s="10">
        <f>IF(A2072=A2073,(N2072-N2073)/N2073,0)</f>
        <v>0</v>
      </c>
      <c r="T2072" s="10">
        <f>IF(L2072&gt;2005,(((N2072-N2092)/N2092)+1)^(1/5)-1,0)</f>
        <v>0</v>
      </c>
      <c r="U2072" s="10">
        <f t="shared" si="70"/>
        <v>0</v>
      </c>
      <c r="V2072" s="26">
        <f t="shared" si="71"/>
        <v>0</v>
      </c>
      <c r="W2072" s="3">
        <f>IF(A2072=A2073,N2072-N2073,0)</f>
        <v>0</v>
      </c>
      <c r="X2072" s="10">
        <f>IF(A2072=A2073,(N2072-N2073)/N2073,0)</f>
        <v>0</v>
      </c>
    </row>
    <row r="2073" spans="1:24" ht="16.5" customHeight="1">
      <c r="A2073" s="3" t="s">
        <v>46</v>
      </c>
      <c r="B2073" s="3">
        <f t="shared" si="64"/>
        <v>2009</v>
      </c>
      <c r="C2073" s="3">
        <f t="shared" si="65"/>
        <v>3</v>
      </c>
      <c r="D2073" s="20" t="str">
        <f t="shared" si="66"/>
        <v>APD20093</v>
      </c>
      <c r="E2073" s="2">
        <v>39902</v>
      </c>
      <c r="F2073" s="3">
        <v>0.45</v>
      </c>
      <c r="G2073" s="2">
        <v>39944</v>
      </c>
      <c r="H2073" s="3">
        <v>3.0099999999999998E-2</v>
      </c>
      <c r="I2073" s="3">
        <v>2.2727272999999999E-2</v>
      </c>
      <c r="J2073" s="3">
        <v>0.01</v>
      </c>
      <c r="K2073" s="3">
        <f t="shared" si="67"/>
        <v>0</v>
      </c>
      <c r="L2073" s="3">
        <f t="shared" si="68"/>
        <v>2009</v>
      </c>
      <c r="M2073" s="20" t="str">
        <f>A2073&amp;L2073</f>
        <v>APD2009</v>
      </c>
      <c r="N2073" s="3">
        <f>F2073</f>
        <v>0.45</v>
      </c>
      <c r="O2073" s="9">
        <f>H2073</f>
        <v>3.0099999999999998E-2</v>
      </c>
      <c r="P2073" s="10">
        <f t="shared" si="69"/>
        <v>2.6800000000000001E-2</v>
      </c>
      <c r="Q2073" s="10">
        <f>IF(K2073=0,IF(A2070=A2073,AVERAGE(O2070:O2073),"x"),0)</f>
        <v>2.5500000000000002E-2</v>
      </c>
      <c r="R2073" s="9">
        <f>IF(L2073&gt;2005,AVERAGE(O2070:O2089),0)</f>
        <v>2.1304999999999998E-2</v>
      </c>
      <c r="S2073" s="10">
        <f>IF(A2073=A2074,(N2073-N2074)/N2074,0)</f>
        <v>2.2727272727272749E-2</v>
      </c>
      <c r="T2073" s="10">
        <f>IF(L2073&gt;2005,(((N2073-N2093)/N2093)+1)^(1/5)-1,0)</f>
        <v>0.14366001004286111</v>
      </c>
      <c r="U2073" s="10">
        <f t="shared" si="70"/>
        <v>0.1649650100428611</v>
      </c>
      <c r="V2073" s="26">
        <f t="shared" si="71"/>
        <v>4.7322764713731322</v>
      </c>
      <c r="W2073" s="3">
        <f>IF(A2073=A2074,N2073-N2074,0)</f>
        <v>1.0000000000000009E-2</v>
      </c>
      <c r="X2073" s="10">
        <f>IF(A2073=A2074,(N2073-N2074)/N2074,0)</f>
        <v>2.2727272727272749E-2</v>
      </c>
    </row>
    <row r="2074" spans="1:24" ht="16.5" customHeight="1">
      <c r="A2074" s="3" t="s">
        <v>46</v>
      </c>
      <c r="B2074" s="3">
        <f t="shared" si="64"/>
        <v>2008</v>
      </c>
      <c r="C2074" s="3">
        <f t="shared" si="65"/>
        <v>12</v>
      </c>
      <c r="D2074" s="20" t="str">
        <f t="shared" si="66"/>
        <v>APD200812</v>
      </c>
      <c r="E2074" s="2">
        <v>39812</v>
      </c>
      <c r="F2074" s="3">
        <v>0.44</v>
      </c>
      <c r="G2074" s="2">
        <v>39853</v>
      </c>
      <c r="H2074" s="3">
        <v>3.6700000000000003E-2</v>
      </c>
      <c r="I2074" s="3">
        <v>0</v>
      </c>
      <c r="J2074" s="3">
        <v>0</v>
      </c>
      <c r="K2074" s="3">
        <f t="shared" si="67"/>
        <v>2008</v>
      </c>
      <c r="L2074" s="3">
        <f t="shared" si="68"/>
        <v>0</v>
      </c>
      <c r="M2074" s="20" t="str">
        <f>A2074&amp;L2074</f>
        <v>APD0</v>
      </c>
      <c r="N2074" s="3">
        <f>F2074</f>
        <v>0.44</v>
      </c>
      <c r="O2074" s="9">
        <f>H2074</f>
        <v>3.6700000000000003E-2</v>
      </c>
      <c r="P2074" s="10">
        <f t="shared" si="69"/>
        <v>0</v>
      </c>
      <c r="Q2074" s="10">
        <f>IF(K2074=0,IF(A2071=A2074,AVERAGE(O2071:O2074),"x"),0)</f>
        <v>0</v>
      </c>
      <c r="R2074" s="9">
        <f>IF(L2074&gt;2005,AVERAGE(O2071:O2090),0)</f>
        <v>0</v>
      </c>
      <c r="S2074" s="10">
        <f>IF(A2074=A2075,(N2074-N2075)/N2075,0)</f>
        <v>0</v>
      </c>
      <c r="T2074" s="10">
        <f>IF(L2074&gt;2005,(((N2074-N2094)/N2094)+1)^(1/5)-1,0)</f>
        <v>0</v>
      </c>
      <c r="U2074" s="10">
        <f t="shared" si="70"/>
        <v>0</v>
      </c>
      <c r="V2074" s="26">
        <f t="shared" si="71"/>
        <v>0</v>
      </c>
      <c r="W2074" s="3">
        <f>IF(A2074=A2075,N2074-N2075,0)</f>
        <v>0</v>
      </c>
      <c r="X2074" s="10">
        <f>IF(A2074=A2075,(N2074-N2075)/N2075,0)</f>
        <v>0</v>
      </c>
    </row>
    <row r="2075" spans="1:24" ht="16.5" customHeight="1">
      <c r="A2075" s="3" t="s">
        <v>46</v>
      </c>
      <c r="B2075" s="3">
        <f t="shared" si="64"/>
        <v>2008</v>
      </c>
      <c r="C2075" s="3">
        <f t="shared" si="65"/>
        <v>9</v>
      </c>
      <c r="D2075" s="20" t="str">
        <f t="shared" si="66"/>
        <v>APD20089</v>
      </c>
      <c r="E2075" s="2">
        <v>39720</v>
      </c>
      <c r="F2075" s="3">
        <v>0.44</v>
      </c>
      <c r="G2075" s="2">
        <v>39762</v>
      </c>
      <c r="H2075" s="3">
        <v>2.3800000000000002E-2</v>
      </c>
      <c r="I2075" s="3">
        <v>0</v>
      </c>
      <c r="J2075" s="3">
        <v>0</v>
      </c>
      <c r="K2075" s="3">
        <f t="shared" si="67"/>
        <v>2008</v>
      </c>
      <c r="L2075" s="3">
        <f t="shared" si="68"/>
        <v>0</v>
      </c>
      <c r="M2075" s="20" t="str">
        <f>A2075&amp;L2075</f>
        <v>APD0</v>
      </c>
      <c r="N2075" s="3">
        <f>F2075</f>
        <v>0.44</v>
      </c>
      <c r="O2075" s="9">
        <f>H2075</f>
        <v>2.3800000000000002E-2</v>
      </c>
      <c r="P2075" s="10">
        <f t="shared" si="69"/>
        <v>0</v>
      </c>
      <c r="Q2075" s="10">
        <f>IF(K2075=0,IF(A2072=A2075,AVERAGE(O2072:O2075),"x"),0)</f>
        <v>0</v>
      </c>
      <c r="R2075" s="9">
        <f>IF(L2075&gt;2005,AVERAGE(O2072:O2091),0)</f>
        <v>0</v>
      </c>
      <c r="S2075" s="10">
        <f>IF(A2075=A2076,(N2075-N2076)/N2076,0)</f>
        <v>0</v>
      </c>
      <c r="T2075" s="10">
        <f>IF(L2075&gt;2005,(((N2075-N2095)/N2095)+1)^(1/5)-1,0)</f>
        <v>0</v>
      </c>
      <c r="U2075" s="10">
        <f t="shared" si="70"/>
        <v>0</v>
      </c>
      <c r="V2075" s="26">
        <f t="shared" si="71"/>
        <v>0</v>
      </c>
      <c r="W2075" s="3">
        <f>IF(A2075=A2076,N2075-N2076,0)</f>
        <v>0</v>
      </c>
      <c r="X2075" s="10">
        <f>IF(A2075=A2076,(N2075-N2076)/N2076,0)</f>
        <v>0</v>
      </c>
    </row>
    <row r="2076" spans="1:24" ht="16.5" customHeight="1">
      <c r="A2076" s="3" t="s">
        <v>46</v>
      </c>
      <c r="B2076" s="3">
        <f t="shared" si="64"/>
        <v>2008</v>
      </c>
      <c r="C2076" s="3">
        <f t="shared" si="65"/>
        <v>6</v>
      </c>
      <c r="D2076" s="20" t="str">
        <f t="shared" si="66"/>
        <v>APD20086</v>
      </c>
      <c r="E2076" s="2">
        <v>39626</v>
      </c>
      <c r="F2076" s="3">
        <v>0.44</v>
      </c>
      <c r="G2076" s="2">
        <v>39671</v>
      </c>
      <c r="H2076" s="3">
        <v>1.66E-2</v>
      </c>
      <c r="I2076" s="3">
        <v>0</v>
      </c>
      <c r="J2076" s="3">
        <v>0</v>
      </c>
      <c r="K2076" s="3">
        <f t="shared" si="67"/>
        <v>2008</v>
      </c>
      <c r="L2076" s="3">
        <f t="shared" si="68"/>
        <v>0</v>
      </c>
      <c r="M2076" s="20" t="str">
        <f>A2076&amp;L2076</f>
        <v>APD0</v>
      </c>
      <c r="N2076" s="3">
        <f>F2076</f>
        <v>0.44</v>
      </c>
      <c r="O2076" s="9">
        <f>H2076</f>
        <v>1.66E-2</v>
      </c>
      <c r="P2076" s="10">
        <f t="shared" si="69"/>
        <v>0</v>
      </c>
      <c r="Q2076" s="10">
        <f>IF(K2076=0,IF(A2073=A2076,AVERAGE(O2073:O2076),"x"),0)</f>
        <v>0</v>
      </c>
      <c r="R2076" s="9">
        <f>IF(L2076&gt;2005,AVERAGE(O2073:O2092),0)</f>
        <v>0</v>
      </c>
      <c r="S2076" s="10">
        <f>IF(A2076=A2077,(N2076-N2077)/N2077,0)</f>
        <v>0</v>
      </c>
      <c r="T2076" s="10">
        <f>IF(L2076&gt;2005,(((N2076-N2096)/N2096)+1)^(1/5)-1,0)</f>
        <v>0</v>
      </c>
      <c r="U2076" s="10">
        <f t="shared" si="70"/>
        <v>0</v>
      </c>
      <c r="V2076" s="26">
        <f t="shared" si="71"/>
        <v>0</v>
      </c>
      <c r="W2076" s="3">
        <f>IF(A2076=A2077,N2076-N2077,0)</f>
        <v>0</v>
      </c>
      <c r="X2076" s="10">
        <f>IF(A2076=A2077,(N2076-N2077)/N2077,0)</f>
        <v>0</v>
      </c>
    </row>
    <row r="2077" spans="1:24" ht="16.5" customHeight="1">
      <c r="A2077" s="3" t="s">
        <v>46</v>
      </c>
      <c r="B2077" s="3">
        <f t="shared" si="64"/>
        <v>2008</v>
      </c>
      <c r="C2077" s="3">
        <f t="shared" si="65"/>
        <v>3</v>
      </c>
      <c r="D2077" s="20" t="str">
        <f t="shared" si="66"/>
        <v>APD20083</v>
      </c>
      <c r="E2077" s="2">
        <v>39535</v>
      </c>
      <c r="F2077" s="3">
        <v>0.44</v>
      </c>
      <c r="G2077" s="2">
        <v>39580</v>
      </c>
      <c r="H2077" s="3">
        <v>1.7100000000000001E-2</v>
      </c>
      <c r="I2077" s="3">
        <v>0.15789473700000001</v>
      </c>
      <c r="J2077" s="3">
        <v>0.06</v>
      </c>
      <c r="K2077" s="3">
        <f t="shared" si="67"/>
        <v>0</v>
      </c>
      <c r="L2077" s="3">
        <f t="shared" si="68"/>
        <v>2008</v>
      </c>
      <c r="M2077" s="20" t="str">
        <f>A2077&amp;L2077</f>
        <v>APD2008</v>
      </c>
      <c r="N2077" s="3">
        <f>F2077</f>
        <v>0.44</v>
      </c>
      <c r="O2077" s="9">
        <f>H2077</f>
        <v>1.7100000000000001E-2</v>
      </c>
      <c r="P2077" s="10">
        <f t="shared" si="69"/>
        <v>1.6274999999999998E-2</v>
      </c>
      <c r="Q2077" s="10">
        <f>IF(K2077=0,IF(A2074=A2077,AVERAGE(O2074:O2077),"x"),0)</f>
        <v>2.3550000000000001E-2</v>
      </c>
      <c r="R2077" s="9">
        <f>IF(L2077&gt;2005,AVERAGE(O2074:O2093),0)</f>
        <v>1.9965E-2</v>
      </c>
      <c r="S2077" s="10">
        <f>IF(A2077=A2078,(N2077-N2078)/N2078,0)</f>
        <v>0.15789473684210525</v>
      </c>
      <c r="T2077" s="10">
        <f>IF(L2077&gt;2005,(((N2077-N2097)/N2097)+1)^(1/5)-1,0)</f>
        <v>0.15943572087062341</v>
      </c>
      <c r="U2077" s="10">
        <f t="shared" si="70"/>
        <v>0.17940072087062342</v>
      </c>
      <c r="V2077" s="26">
        <f t="shared" si="71"/>
        <v>4.7517376009984433</v>
      </c>
      <c r="W2077" s="3">
        <f>IF(A2077=A2078,N2077-N2078,0)</f>
        <v>0.06</v>
      </c>
      <c r="X2077" s="10">
        <f>IF(A2077=A2078,(N2077-N2078)/N2078,0)</f>
        <v>0.15789473684210525</v>
      </c>
    </row>
    <row r="2078" spans="1:24" ht="16.5" customHeight="1">
      <c r="A2078" s="3" t="s">
        <v>46</v>
      </c>
      <c r="B2078" s="3">
        <f t="shared" si="64"/>
        <v>2007</v>
      </c>
      <c r="C2078" s="3">
        <f t="shared" si="65"/>
        <v>12</v>
      </c>
      <c r="D2078" s="20" t="str">
        <f t="shared" si="66"/>
        <v>APD200712</v>
      </c>
      <c r="E2078" s="2">
        <v>39444</v>
      </c>
      <c r="F2078" s="3">
        <v>0.38</v>
      </c>
      <c r="G2078" s="2">
        <v>39489</v>
      </c>
      <c r="H2078" s="3">
        <v>1.5100000000000001E-2</v>
      </c>
      <c r="I2078" s="3">
        <v>0</v>
      </c>
      <c r="J2078" s="3">
        <v>0</v>
      </c>
      <c r="K2078" s="3">
        <f t="shared" si="67"/>
        <v>2007</v>
      </c>
      <c r="L2078" s="3">
        <f t="shared" si="68"/>
        <v>0</v>
      </c>
      <c r="M2078" s="20" t="str">
        <f>A2078&amp;L2078</f>
        <v>APD0</v>
      </c>
      <c r="N2078" s="3">
        <f>F2078</f>
        <v>0.38</v>
      </c>
      <c r="O2078" s="9">
        <f>H2078</f>
        <v>1.5100000000000001E-2</v>
      </c>
      <c r="P2078" s="10">
        <f t="shared" si="69"/>
        <v>0</v>
      </c>
      <c r="Q2078" s="10">
        <f>IF(K2078=0,IF(A2075=A2078,AVERAGE(O2075:O2078),"x"),0)</f>
        <v>0</v>
      </c>
      <c r="R2078" s="9">
        <f>IF(L2078&gt;2005,AVERAGE(O2075:O2094),0)</f>
        <v>0</v>
      </c>
      <c r="S2078" s="10">
        <f>IF(A2078=A2079,(N2078-N2079)/N2079,0)</f>
        <v>0</v>
      </c>
      <c r="T2078" s="10">
        <f>IF(L2078&gt;2005,(((N2078-N2098)/N2098)+1)^(1/5)-1,0)</f>
        <v>0</v>
      </c>
      <c r="U2078" s="10">
        <f t="shared" si="70"/>
        <v>0</v>
      </c>
      <c r="V2078" s="26">
        <f t="shared" si="71"/>
        <v>0</v>
      </c>
      <c r="W2078" s="3">
        <f>IF(A2078=A2079,N2078-N2079,0)</f>
        <v>0</v>
      </c>
      <c r="X2078" s="10">
        <f>IF(A2078=A2079,(N2078-N2079)/N2079,0)</f>
        <v>0</v>
      </c>
    </row>
    <row r="2079" spans="1:24" ht="16.5" customHeight="1">
      <c r="A2079" s="3" t="s">
        <v>46</v>
      </c>
      <c r="B2079" s="3">
        <f t="shared" si="64"/>
        <v>2007</v>
      </c>
      <c r="C2079" s="3">
        <f t="shared" si="65"/>
        <v>9</v>
      </c>
      <c r="D2079" s="20" t="str">
        <f t="shared" si="66"/>
        <v>APD20079</v>
      </c>
      <c r="E2079" s="2">
        <v>39352</v>
      </c>
      <c r="F2079" s="3">
        <v>0.38</v>
      </c>
      <c r="G2079" s="2">
        <v>39398</v>
      </c>
      <c r="H2079" s="3">
        <v>1.52E-2</v>
      </c>
      <c r="I2079" s="3">
        <v>0</v>
      </c>
      <c r="J2079" s="3">
        <v>0</v>
      </c>
      <c r="K2079" s="3">
        <f t="shared" si="67"/>
        <v>2007</v>
      </c>
      <c r="L2079" s="3">
        <f t="shared" si="68"/>
        <v>0</v>
      </c>
      <c r="M2079" s="20" t="str">
        <f>A2079&amp;L2079</f>
        <v>APD0</v>
      </c>
      <c r="N2079" s="3">
        <f>F2079</f>
        <v>0.38</v>
      </c>
      <c r="O2079" s="9">
        <f>H2079</f>
        <v>1.52E-2</v>
      </c>
      <c r="P2079" s="10">
        <f t="shared" si="69"/>
        <v>0</v>
      </c>
      <c r="Q2079" s="10">
        <f>IF(K2079=0,IF(A2076=A2079,AVERAGE(O2076:O2079),"x"),0)</f>
        <v>0</v>
      </c>
      <c r="R2079" s="9">
        <f>IF(L2079&gt;2005,AVERAGE(O2076:O2095),0)</f>
        <v>0</v>
      </c>
      <c r="S2079" s="10">
        <f>IF(A2079=A2080,(N2079-N2080)/N2080,0)</f>
        <v>0</v>
      </c>
      <c r="T2079" s="10">
        <f>IF(L2079&gt;2005,(((N2079-N2099)/N2099)+1)^(1/5)-1,0)</f>
        <v>0</v>
      </c>
      <c r="U2079" s="10">
        <f t="shared" si="70"/>
        <v>0</v>
      </c>
      <c r="V2079" s="26">
        <f t="shared" si="71"/>
        <v>0</v>
      </c>
      <c r="W2079" s="3">
        <f>IF(A2079=A2080,N2079-N2080,0)</f>
        <v>0</v>
      </c>
      <c r="X2079" s="10">
        <f>IF(A2079=A2080,(N2079-N2080)/N2080,0)</f>
        <v>0</v>
      </c>
    </row>
    <row r="2080" spans="1:24" ht="16.5" customHeight="1">
      <c r="A2080" s="3" t="s">
        <v>46</v>
      </c>
      <c r="B2080" s="3">
        <f t="shared" si="64"/>
        <v>2007</v>
      </c>
      <c r="C2080" s="3">
        <f t="shared" si="65"/>
        <v>6</v>
      </c>
      <c r="D2080" s="20" t="str">
        <f t="shared" si="66"/>
        <v>APD20076</v>
      </c>
      <c r="E2080" s="2">
        <v>39261</v>
      </c>
      <c r="F2080" s="3">
        <v>0.38</v>
      </c>
      <c r="G2080" s="2">
        <v>39307</v>
      </c>
      <c r="H2080" s="3">
        <v>1.77E-2</v>
      </c>
      <c r="I2080" s="3">
        <v>0</v>
      </c>
      <c r="J2080" s="3">
        <v>0</v>
      </c>
      <c r="K2080" s="3">
        <f t="shared" si="67"/>
        <v>2007</v>
      </c>
      <c r="L2080" s="3">
        <f t="shared" si="68"/>
        <v>0</v>
      </c>
      <c r="M2080" s="20" t="str">
        <f>A2080&amp;L2080</f>
        <v>APD0</v>
      </c>
      <c r="N2080" s="3">
        <f>F2080</f>
        <v>0.38</v>
      </c>
      <c r="O2080" s="9">
        <f>H2080</f>
        <v>1.77E-2</v>
      </c>
      <c r="P2080" s="10">
        <f t="shared" si="69"/>
        <v>0</v>
      </c>
      <c r="Q2080" s="10">
        <f>IF(K2080=0,IF(A2077=A2080,AVERAGE(O2077:O2080),"x"),0)</f>
        <v>0</v>
      </c>
      <c r="R2080" s="9">
        <f>IF(L2080&gt;2005,AVERAGE(O2077:O2096),0)</f>
        <v>0</v>
      </c>
      <c r="S2080" s="10">
        <f>IF(A2080=A2081,(N2080-N2081)/N2081,0)</f>
        <v>0</v>
      </c>
      <c r="T2080" s="10">
        <f>IF(L2080&gt;2005,(((N2080-N2100)/N2100)+1)^(1/5)-1,0)</f>
        <v>0</v>
      </c>
      <c r="U2080" s="10">
        <f t="shared" si="70"/>
        <v>0</v>
      </c>
      <c r="V2080" s="26">
        <f t="shared" si="71"/>
        <v>0</v>
      </c>
      <c r="W2080" s="3">
        <f>IF(A2080=A2081,N2080-N2081,0)</f>
        <v>0</v>
      </c>
      <c r="X2080" s="10">
        <f>IF(A2080=A2081,(N2080-N2081)/N2081,0)</f>
        <v>0</v>
      </c>
    </row>
    <row r="2081" spans="1:24" ht="16.5" customHeight="1">
      <c r="A2081" s="3" t="s">
        <v>46</v>
      </c>
      <c r="B2081" s="3">
        <f t="shared" si="64"/>
        <v>2007</v>
      </c>
      <c r="C2081" s="3">
        <f t="shared" si="65"/>
        <v>3</v>
      </c>
      <c r="D2081" s="20" t="str">
        <f t="shared" si="66"/>
        <v>APD20073</v>
      </c>
      <c r="E2081" s="2">
        <v>39170</v>
      </c>
      <c r="F2081" s="3">
        <v>0.38</v>
      </c>
      <c r="G2081" s="2">
        <v>39216</v>
      </c>
      <c r="H2081" s="3">
        <v>1.89E-2</v>
      </c>
      <c r="I2081" s="3">
        <v>0.117647059</v>
      </c>
      <c r="J2081" s="3">
        <v>0.04</v>
      </c>
      <c r="K2081" s="3">
        <f t="shared" si="67"/>
        <v>0</v>
      </c>
      <c r="L2081" s="3">
        <f t="shared" si="68"/>
        <v>2007</v>
      </c>
      <c r="M2081" s="20" t="str">
        <f>A2081&amp;L2081</f>
        <v>APD2007</v>
      </c>
      <c r="N2081" s="3">
        <f>F2081</f>
        <v>0.38</v>
      </c>
      <c r="O2081" s="9">
        <f>H2081</f>
        <v>1.89E-2</v>
      </c>
      <c r="P2081" s="10">
        <f t="shared" si="69"/>
        <v>1.9724999999999999E-2</v>
      </c>
      <c r="Q2081" s="10">
        <f>IF(K2081=0,IF(A2078=A2081,AVERAGE(O2078:O2081),"x"),0)</f>
        <v>1.6725E-2</v>
      </c>
      <c r="R2081" s="9">
        <f>IF(L2081&gt;2005,AVERAGE(O2078:O2097),0)</f>
        <v>1.9125000000000003E-2</v>
      </c>
      <c r="S2081" s="10">
        <f>IF(A2081=A2082,(N2081-N2082)/N2082,0)</f>
        <v>0.11764705882352934</v>
      </c>
      <c r="T2081" s="10">
        <f>IF(L2081&gt;2005,(((N2081-N2101)/N2101)+1)^(1/5)-1,0)</f>
        <v>0.13697448881013807</v>
      </c>
      <c r="U2081" s="10">
        <f t="shared" si="70"/>
        <v>0.15609948881013808</v>
      </c>
      <c r="V2081" s="26">
        <f t="shared" si="71"/>
        <v>4.7572653472684738</v>
      </c>
      <c r="W2081" s="3">
        <f>IF(A2081=A2082,N2081-N2082,0)</f>
        <v>3.999999999999998E-2</v>
      </c>
      <c r="X2081" s="10">
        <f>IF(A2081=A2082,(N2081-N2082)/N2082,0)</f>
        <v>0.11764705882352934</v>
      </c>
    </row>
    <row r="2082" spans="1:24" ht="16.5" customHeight="1">
      <c r="A2082" s="3" t="s">
        <v>46</v>
      </c>
      <c r="B2082" s="3">
        <f t="shared" si="64"/>
        <v>2006</v>
      </c>
      <c r="C2082" s="3">
        <f t="shared" si="65"/>
        <v>12</v>
      </c>
      <c r="D2082" s="20" t="str">
        <f t="shared" si="66"/>
        <v>APD200612</v>
      </c>
      <c r="E2082" s="2">
        <v>39079</v>
      </c>
      <c r="F2082" s="3">
        <v>0.34</v>
      </c>
      <c r="G2082" s="2">
        <v>39125</v>
      </c>
      <c r="H2082" s="3">
        <v>1.89E-2</v>
      </c>
      <c r="I2082" s="3">
        <v>0</v>
      </c>
      <c r="J2082" s="3">
        <v>0</v>
      </c>
      <c r="K2082" s="3">
        <f t="shared" si="67"/>
        <v>2006</v>
      </c>
      <c r="L2082" s="3">
        <f t="shared" si="68"/>
        <v>0</v>
      </c>
      <c r="M2082" s="20" t="str">
        <f>A2082&amp;L2082</f>
        <v>APD0</v>
      </c>
      <c r="N2082" s="3">
        <f>F2082</f>
        <v>0.34</v>
      </c>
      <c r="O2082" s="9">
        <f>H2082</f>
        <v>1.89E-2</v>
      </c>
      <c r="P2082" s="10">
        <f t="shared" si="69"/>
        <v>0</v>
      </c>
      <c r="Q2082" s="10">
        <f>IF(K2082=0,IF(A2079=A2082,AVERAGE(O2079:O2082),"x"),0)</f>
        <v>0</v>
      </c>
      <c r="R2082" s="9">
        <f>IF(L2082&gt;2005,AVERAGE(O2079:O2098),0)</f>
        <v>0</v>
      </c>
      <c r="S2082" s="10">
        <f>IF(A2082=A2083,(N2082-N2083)/N2083,0)</f>
        <v>0</v>
      </c>
      <c r="T2082" s="10">
        <f>IF(L2082&gt;2005,(((N2082-N2102)/N2102)+1)^(1/5)-1,0)</f>
        <v>0</v>
      </c>
      <c r="U2082" s="10">
        <f t="shared" si="70"/>
        <v>0</v>
      </c>
      <c r="V2082" s="26">
        <f t="shared" si="71"/>
        <v>0</v>
      </c>
      <c r="W2082" s="3">
        <f>IF(A2082=A2083,N2082-N2083,0)</f>
        <v>0</v>
      </c>
      <c r="X2082" s="10">
        <f>IF(A2082=A2083,(N2082-N2083)/N2083,0)</f>
        <v>0</v>
      </c>
    </row>
    <row r="2083" spans="1:24" ht="16.5" customHeight="1">
      <c r="A2083" s="3" t="s">
        <v>46</v>
      </c>
      <c r="B2083" s="3">
        <f t="shared" si="64"/>
        <v>2006</v>
      </c>
      <c r="C2083" s="3">
        <f t="shared" si="65"/>
        <v>9</v>
      </c>
      <c r="D2083" s="20" t="str">
        <f t="shared" si="66"/>
        <v>APD20069</v>
      </c>
      <c r="E2083" s="2">
        <v>38988</v>
      </c>
      <c r="F2083" s="3">
        <v>0.34</v>
      </c>
      <c r="G2083" s="2">
        <v>39034</v>
      </c>
      <c r="H2083" s="3">
        <v>1.9800000000000002E-2</v>
      </c>
      <c r="I2083" s="3">
        <v>0</v>
      </c>
      <c r="J2083" s="3">
        <v>0</v>
      </c>
      <c r="K2083" s="3">
        <f t="shared" si="67"/>
        <v>2006</v>
      </c>
      <c r="L2083" s="3">
        <f t="shared" si="68"/>
        <v>0</v>
      </c>
      <c r="M2083" s="20" t="str">
        <f>A2083&amp;L2083</f>
        <v>APD0</v>
      </c>
      <c r="N2083" s="3">
        <f>F2083</f>
        <v>0.34</v>
      </c>
      <c r="O2083" s="9">
        <f>H2083</f>
        <v>1.9800000000000002E-2</v>
      </c>
      <c r="P2083" s="10">
        <f t="shared" si="69"/>
        <v>0</v>
      </c>
      <c r="Q2083" s="10">
        <f>IF(K2083=0,IF(A2080=A2083,AVERAGE(O2080:O2083),"x"),0)</f>
        <v>0</v>
      </c>
      <c r="R2083" s="9">
        <f>IF(L2083&gt;2005,AVERAGE(O2080:O2099),0)</f>
        <v>0</v>
      </c>
      <c r="S2083" s="10">
        <f>IF(A2083=A2084,(N2083-N2084)/N2084,0)</f>
        <v>0</v>
      </c>
      <c r="T2083" s="10">
        <f>IF(L2083&gt;2005,(((N2083-N2103)/N2103)+1)^(1/5)-1,0)</f>
        <v>0</v>
      </c>
      <c r="U2083" s="10">
        <f t="shared" si="70"/>
        <v>0</v>
      </c>
      <c r="V2083" s="26">
        <f t="shared" si="71"/>
        <v>0</v>
      </c>
      <c r="W2083" s="3">
        <f>IF(A2083=A2084,N2083-N2084,0)</f>
        <v>0</v>
      </c>
      <c r="X2083" s="10">
        <f>IF(A2083=A2084,(N2083-N2084)/N2084,0)</f>
        <v>0</v>
      </c>
    </row>
    <row r="2084" spans="1:24" ht="16.5" customHeight="1">
      <c r="A2084" s="3" t="s">
        <v>46</v>
      </c>
      <c r="B2084" s="3">
        <f t="shared" si="64"/>
        <v>2006</v>
      </c>
      <c r="C2084" s="3">
        <f t="shared" si="65"/>
        <v>6</v>
      </c>
      <c r="D2084" s="20" t="str">
        <f t="shared" si="66"/>
        <v>APD20066</v>
      </c>
      <c r="E2084" s="2">
        <v>38897</v>
      </c>
      <c r="F2084" s="3">
        <v>0.34</v>
      </c>
      <c r="G2084" s="2">
        <v>38943</v>
      </c>
      <c r="H2084" s="3">
        <v>2.1299999999999999E-2</v>
      </c>
      <c r="I2084" s="3">
        <v>0</v>
      </c>
      <c r="J2084" s="3">
        <v>0</v>
      </c>
      <c r="K2084" s="3">
        <f t="shared" si="67"/>
        <v>2006</v>
      </c>
      <c r="L2084" s="3">
        <f t="shared" si="68"/>
        <v>0</v>
      </c>
      <c r="M2084" s="20" t="str">
        <f>A2084&amp;L2084</f>
        <v>APD0</v>
      </c>
      <c r="N2084" s="3">
        <f>F2084</f>
        <v>0.34</v>
      </c>
      <c r="O2084" s="9">
        <f>H2084</f>
        <v>2.1299999999999999E-2</v>
      </c>
      <c r="P2084" s="10">
        <f t="shared" si="69"/>
        <v>0</v>
      </c>
      <c r="Q2084" s="10">
        <f>IF(K2084=0,IF(A2081=A2084,AVERAGE(O2081:O2084),"x"),0)</f>
        <v>0</v>
      </c>
      <c r="R2084" s="9">
        <f>IF(L2084&gt;2005,AVERAGE(O2081:O2100),0)</f>
        <v>0</v>
      </c>
      <c r="S2084" s="10">
        <f>IF(A2084=A2085,(N2084-N2085)/N2085,0)</f>
        <v>0</v>
      </c>
      <c r="T2084" s="10">
        <f>IF(L2084&gt;2005,(((N2084-N2104)/N2104)+1)^(1/5)-1,0)</f>
        <v>0</v>
      </c>
      <c r="U2084" s="10">
        <f t="shared" si="70"/>
        <v>0</v>
      </c>
      <c r="V2084" s="26">
        <f t="shared" si="71"/>
        <v>0</v>
      </c>
      <c r="W2084" s="3">
        <f>IF(A2084=A2085,N2084-N2085,0)</f>
        <v>0</v>
      </c>
      <c r="X2084" s="10">
        <f>IF(A2084=A2085,(N2084-N2085)/N2085,0)</f>
        <v>0</v>
      </c>
    </row>
    <row r="2085" spans="1:24" ht="16.5" customHeight="1">
      <c r="A2085" s="3" t="s">
        <v>46</v>
      </c>
      <c r="B2085" s="3">
        <f t="shared" si="64"/>
        <v>2006</v>
      </c>
      <c r="C2085" s="3">
        <f t="shared" si="65"/>
        <v>3</v>
      </c>
      <c r="D2085" s="20" t="str">
        <f t="shared" si="66"/>
        <v>APD20063</v>
      </c>
      <c r="E2085" s="2">
        <v>38806</v>
      </c>
      <c r="F2085" s="3">
        <v>0.34</v>
      </c>
      <c r="G2085" s="2">
        <v>38845</v>
      </c>
      <c r="H2085" s="3">
        <v>1.95E-2</v>
      </c>
      <c r="I2085" s="3">
        <v>6.25E-2</v>
      </c>
      <c r="J2085" s="3">
        <v>0.02</v>
      </c>
      <c r="K2085" s="3">
        <f t="shared" si="67"/>
        <v>0</v>
      </c>
      <c r="L2085" s="3">
        <f t="shared" si="68"/>
        <v>2006</v>
      </c>
      <c r="M2085" s="20" t="str">
        <f>A2085&amp;L2085</f>
        <v>APD2006</v>
      </c>
      <c r="N2085" s="3">
        <f>F2085</f>
        <v>0.34</v>
      </c>
      <c r="O2085" s="9">
        <f>H2085</f>
        <v>1.95E-2</v>
      </c>
      <c r="P2085" s="10">
        <f t="shared" si="69"/>
        <v>2.0975000000000001E-2</v>
      </c>
      <c r="Q2085" s="10">
        <f>IF(K2085=0,IF(A2082=A2085,AVERAGE(O2082:O2085),"x"),0)</f>
        <v>1.9875E-2</v>
      </c>
      <c r="R2085" s="9">
        <f>IF(L2085&gt;2005,AVERAGE(O2082:O2101),0)</f>
        <v>1.9320000000000004E-2</v>
      </c>
      <c r="S2085" s="10">
        <f>IF(A2085=A2086,(N2085-N2086)/N2086,0)</f>
        <v>6.2500000000000056E-2</v>
      </c>
      <c r="T2085" s="10">
        <f>IF(L2085&gt;2005,(((N2085-N2105)/N2105)+1)^(1/5)-1,0)</f>
        <v>0.1234275325950922</v>
      </c>
      <c r="U2085" s="10">
        <f t="shared" si="70"/>
        <v>0.14274753259509221</v>
      </c>
      <c r="V2085" s="26">
        <f t="shared" si="71"/>
        <v>4.752045356110413</v>
      </c>
      <c r="W2085" s="3">
        <f>IF(A2085=A2086,N2085-N2086,0)</f>
        <v>2.0000000000000018E-2</v>
      </c>
      <c r="X2085" s="10">
        <f>IF(A2085=A2086,(N2085-N2086)/N2086,0)</f>
        <v>6.2500000000000056E-2</v>
      </c>
    </row>
    <row r="2086" spans="1:24" ht="16.5" customHeight="1">
      <c r="A2086" s="3" t="s">
        <v>46</v>
      </c>
      <c r="B2086" s="3">
        <f t="shared" si="64"/>
        <v>2005</v>
      </c>
      <c r="C2086" s="3">
        <f t="shared" si="65"/>
        <v>12</v>
      </c>
      <c r="D2086" s="20" t="str">
        <f t="shared" si="66"/>
        <v>APD200512</v>
      </c>
      <c r="E2086" s="2">
        <v>38715</v>
      </c>
      <c r="F2086" s="3">
        <v>0.32</v>
      </c>
      <c r="G2086" s="2">
        <v>38761</v>
      </c>
      <c r="H2086" s="3">
        <v>2.1299999999999999E-2</v>
      </c>
      <c r="I2086" s="3">
        <v>0</v>
      </c>
      <c r="J2086" s="3">
        <v>0</v>
      </c>
      <c r="K2086" s="3">
        <f t="shared" si="67"/>
        <v>2005</v>
      </c>
      <c r="L2086" s="3">
        <f t="shared" si="68"/>
        <v>0</v>
      </c>
      <c r="M2086" s="20" t="str">
        <f>A2086&amp;L2086</f>
        <v>APD0</v>
      </c>
      <c r="N2086" s="3">
        <f>F2086</f>
        <v>0.32</v>
      </c>
      <c r="O2086" s="9">
        <f>H2086</f>
        <v>2.1299999999999999E-2</v>
      </c>
      <c r="P2086" s="10">
        <f t="shared" si="69"/>
        <v>0</v>
      </c>
      <c r="Q2086" s="10">
        <f>IF(K2086=0,IF(A2083=A2086,AVERAGE(O2083:O2086),"x"),0)</f>
        <v>0</v>
      </c>
      <c r="R2086" s="9">
        <f>IF(L2086&gt;2005,AVERAGE(O2083:O2102),0)</f>
        <v>0</v>
      </c>
      <c r="S2086" s="10">
        <f>IF(A2086=A2087,(N2086-N2087)/N2087,0)</f>
        <v>0</v>
      </c>
      <c r="T2086" s="10">
        <f>IF(L2086&gt;2005,(((N2086-N2106)/N2106)+1)^(1/5)-1,0)</f>
        <v>0</v>
      </c>
      <c r="U2086" s="10">
        <f t="shared" si="70"/>
        <v>0</v>
      </c>
      <c r="V2086" s="26">
        <f t="shared" si="71"/>
        <v>0</v>
      </c>
      <c r="W2086" s="3">
        <f>IF(A2086=A2087,N2086-N2087,0)</f>
        <v>0</v>
      </c>
      <c r="X2086" s="10">
        <f>IF(A2086=A2087,(N2086-N2087)/N2087,0)</f>
        <v>0</v>
      </c>
    </row>
    <row r="2087" spans="1:24" ht="16.5" customHeight="1">
      <c r="A2087" s="3" t="s">
        <v>46</v>
      </c>
      <c r="B2087" s="3">
        <f t="shared" si="64"/>
        <v>2005</v>
      </c>
      <c r="C2087" s="3">
        <f t="shared" si="65"/>
        <v>9</v>
      </c>
      <c r="D2087" s="20" t="str">
        <f t="shared" si="66"/>
        <v>APD20059</v>
      </c>
      <c r="E2087" s="2">
        <v>38624</v>
      </c>
      <c r="F2087" s="3">
        <v>0.32</v>
      </c>
      <c r="G2087" s="2">
        <v>38670</v>
      </c>
      <c r="H2087" s="3">
        <v>2.29E-2</v>
      </c>
      <c r="I2087" s="3">
        <v>0</v>
      </c>
      <c r="J2087" s="3">
        <v>0</v>
      </c>
      <c r="K2087" s="3">
        <f t="shared" si="67"/>
        <v>2005</v>
      </c>
      <c r="L2087" s="3">
        <f t="shared" si="68"/>
        <v>0</v>
      </c>
      <c r="M2087" s="20" t="str">
        <f>A2087&amp;L2087</f>
        <v>APD0</v>
      </c>
      <c r="N2087" s="3">
        <f>F2087</f>
        <v>0.32</v>
      </c>
      <c r="O2087" s="9">
        <f>H2087</f>
        <v>2.29E-2</v>
      </c>
      <c r="P2087" s="10">
        <f t="shared" si="69"/>
        <v>0</v>
      </c>
      <c r="Q2087" s="10">
        <f>IF(K2087=0,IF(A2084=A2087,AVERAGE(O2084:O2087),"x"),0)</f>
        <v>0</v>
      </c>
      <c r="R2087" s="9">
        <f>IF(L2087&gt;2005,AVERAGE(O2084:O2103),0)</f>
        <v>0</v>
      </c>
      <c r="S2087" s="10">
        <f>IF(A2087=A2088,(N2087-N2088)/N2088,0)</f>
        <v>0</v>
      </c>
      <c r="T2087" s="10">
        <f>IF(L2087&gt;2005,(((N2087-N2107)/N2107)+1)^(1/5)-1,0)</f>
        <v>0</v>
      </c>
      <c r="U2087" s="10">
        <f t="shared" si="70"/>
        <v>0</v>
      </c>
      <c r="V2087" s="26">
        <f t="shared" si="71"/>
        <v>0</v>
      </c>
      <c r="W2087" s="3">
        <f>IF(A2087=A2088,N2087-N2088,0)</f>
        <v>0</v>
      </c>
      <c r="X2087" s="10">
        <f>IF(A2087=A2088,(N2087-N2088)/N2088,0)</f>
        <v>0</v>
      </c>
    </row>
    <row r="2088" spans="1:24" ht="16.5" customHeight="1">
      <c r="A2088" s="3" t="s">
        <v>46</v>
      </c>
      <c r="B2088" s="3">
        <f t="shared" si="64"/>
        <v>2005</v>
      </c>
      <c r="C2088" s="3">
        <f t="shared" si="65"/>
        <v>6</v>
      </c>
      <c r="D2088" s="20" t="str">
        <f t="shared" si="66"/>
        <v>APD20056</v>
      </c>
      <c r="E2088" s="2">
        <v>38532</v>
      </c>
      <c r="F2088" s="3">
        <v>0.32</v>
      </c>
      <c r="G2088" s="2">
        <v>38572</v>
      </c>
      <c r="H2088" s="3">
        <v>2.0199999999999999E-2</v>
      </c>
      <c r="I2088" s="3">
        <v>0</v>
      </c>
      <c r="J2088" s="3">
        <v>0</v>
      </c>
      <c r="K2088" s="3">
        <f t="shared" si="67"/>
        <v>2005</v>
      </c>
      <c r="L2088" s="3">
        <f t="shared" si="68"/>
        <v>0</v>
      </c>
      <c r="M2088" s="20" t="str">
        <f>A2088&amp;L2088</f>
        <v>APD0</v>
      </c>
      <c r="N2088" s="3">
        <f>F2088</f>
        <v>0.32</v>
      </c>
      <c r="O2088" s="9">
        <f>H2088</f>
        <v>2.0199999999999999E-2</v>
      </c>
      <c r="P2088" s="10">
        <f t="shared" si="69"/>
        <v>0</v>
      </c>
      <c r="Q2088" s="10">
        <f>IF(K2088=0,IF(A2085=A2088,AVERAGE(O2085:O2088),"x"),0)</f>
        <v>0</v>
      </c>
      <c r="R2088" s="9">
        <f>IF(L2088&gt;2005,AVERAGE(O2085:O2104),0)</f>
        <v>0</v>
      </c>
      <c r="S2088" s="10">
        <f>IF(A2088=A2089,(N2088-N2089)/N2089,0)</f>
        <v>0</v>
      </c>
      <c r="T2088" s="10">
        <f>IF(L2088&gt;2005,(((N2088-N2108)/N2108)+1)^(1/5)-1,0)</f>
        <v>0</v>
      </c>
      <c r="U2088" s="10">
        <f t="shared" si="70"/>
        <v>0</v>
      </c>
      <c r="V2088" s="26">
        <f t="shared" si="71"/>
        <v>0</v>
      </c>
      <c r="W2088" s="3">
        <f>IF(A2088=A2089,N2088-N2089,0)</f>
        <v>0</v>
      </c>
      <c r="X2088" s="10">
        <f>IF(A2088=A2089,(N2088-N2089)/N2089,0)</f>
        <v>0</v>
      </c>
    </row>
    <row r="2089" spans="1:24" ht="16.5" customHeight="1">
      <c r="A2089" s="3" t="s">
        <v>46</v>
      </c>
      <c r="B2089" s="3">
        <f t="shared" si="64"/>
        <v>2005</v>
      </c>
      <c r="C2089" s="3">
        <f t="shared" si="65"/>
        <v>3</v>
      </c>
      <c r="D2089" s="20" t="str">
        <f t="shared" si="66"/>
        <v>APD20053</v>
      </c>
      <c r="E2089" s="2">
        <v>38441</v>
      </c>
      <c r="F2089" s="3">
        <v>0.32</v>
      </c>
      <c r="G2089" s="2">
        <v>38481</v>
      </c>
      <c r="H2089" s="3">
        <v>1.9099999999999999E-2</v>
      </c>
      <c r="I2089" s="3">
        <v>0.10344827600000001</v>
      </c>
      <c r="J2089" s="3">
        <v>0.03</v>
      </c>
      <c r="K2089" s="3">
        <f t="shared" si="67"/>
        <v>0</v>
      </c>
      <c r="L2089" s="3">
        <f t="shared" si="68"/>
        <v>2005</v>
      </c>
      <c r="M2089" s="20" t="str">
        <f>A2089&amp;L2089</f>
        <v>APD2005</v>
      </c>
      <c r="N2089" s="3">
        <f>F2089</f>
        <v>0.32</v>
      </c>
      <c r="O2089" s="9">
        <f>H2089</f>
        <v>1.9099999999999999E-2</v>
      </c>
      <c r="P2089" s="10">
        <f t="shared" si="69"/>
        <v>1.8974999999999999E-2</v>
      </c>
      <c r="Q2089" s="10">
        <f>IF(K2089=0,IF(A2086=A2089,AVERAGE(O2086:O2089),"x"),0)</f>
        <v>2.0874999999999998E-2</v>
      </c>
      <c r="R2089" s="9">
        <f>IF(L2089&gt;2005,AVERAGE(O2086:O2105),0)</f>
        <v>0</v>
      </c>
      <c r="S2089" s="10">
        <f>IF(A2089=A2090,(N2089-N2090)/N2090,0)</f>
        <v>0.10344827586206906</v>
      </c>
      <c r="T2089" s="10">
        <f>IF(L2089&gt;2005,(((N2089-N2109)/N2109)+1)^(1/5)-1,0)</f>
        <v>0</v>
      </c>
      <c r="U2089" s="10">
        <f t="shared" si="70"/>
        <v>0</v>
      </c>
      <c r="V2089" s="26">
        <f t="shared" si="71"/>
        <v>0</v>
      </c>
      <c r="W2089" s="3">
        <f>IF(A2089=A2090,N2089-N2090,0)</f>
        <v>3.0000000000000027E-2</v>
      </c>
      <c r="X2089" s="10">
        <f>IF(A2089=A2090,(N2089-N2090)/N2090,0)</f>
        <v>0.10344827586206906</v>
      </c>
    </row>
    <row r="2090" spans="1:24" ht="16.5" customHeight="1">
      <c r="A2090" s="3" t="s">
        <v>46</v>
      </c>
      <c r="B2090" s="3">
        <f t="shared" si="64"/>
        <v>2004</v>
      </c>
      <c r="C2090" s="3">
        <f t="shared" si="65"/>
        <v>12</v>
      </c>
      <c r="D2090" s="20" t="str">
        <f t="shared" si="66"/>
        <v>APD200412</v>
      </c>
      <c r="E2090" s="2">
        <v>38351</v>
      </c>
      <c r="F2090" s="3">
        <v>0.28999999999999998</v>
      </c>
      <c r="G2090" s="2">
        <v>38397</v>
      </c>
      <c r="H2090" s="3">
        <v>1.8800000000000001E-2</v>
      </c>
      <c r="I2090" s="3">
        <v>0</v>
      </c>
      <c r="J2090" s="3">
        <v>0</v>
      </c>
      <c r="K2090" s="3">
        <f t="shared" si="67"/>
        <v>2004</v>
      </c>
      <c r="L2090" s="3">
        <f t="shared" si="68"/>
        <v>0</v>
      </c>
      <c r="M2090" s="20" t="str">
        <f>A2090&amp;L2090</f>
        <v>APD0</v>
      </c>
      <c r="N2090" s="3">
        <f>F2090</f>
        <v>0.28999999999999998</v>
      </c>
      <c r="O2090" s="9">
        <f>H2090</f>
        <v>1.8800000000000001E-2</v>
      </c>
      <c r="P2090" s="10">
        <f t="shared" si="69"/>
        <v>0</v>
      </c>
      <c r="Q2090" s="10">
        <f>IF(K2090=0,IF(A2087=A2090,AVERAGE(O2087:O2090),"x"),0)</f>
        <v>0</v>
      </c>
      <c r="R2090" s="9">
        <f>IF(L2090&gt;2005,AVERAGE(O2087:O2106),0)</f>
        <v>0</v>
      </c>
      <c r="S2090" s="10">
        <f>IF(A2090=A2091,(N2090-N2091)/N2091,0)</f>
        <v>0</v>
      </c>
      <c r="T2090" s="10">
        <f>IF(L2090&gt;2005,(((N2090-N2110)/N2110)+1)^(1/5)-1,0)</f>
        <v>0</v>
      </c>
      <c r="U2090" s="10">
        <f t="shared" si="70"/>
        <v>0</v>
      </c>
      <c r="V2090" s="26">
        <f t="shared" si="71"/>
        <v>0</v>
      </c>
      <c r="W2090" s="3">
        <f>IF(A2090=A2091,N2090-N2091,0)</f>
        <v>0</v>
      </c>
      <c r="X2090" s="10">
        <f>IF(A2090=A2091,(N2090-N2091)/N2091,0)</f>
        <v>0</v>
      </c>
    </row>
    <row r="2091" spans="1:24" ht="16.5" customHeight="1">
      <c r="A2091" s="3" t="s">
        <v>46</v>
      </c>
      <c r="B2091" s="3">
        <f t="shared" si="64"/>
        <v>2004</v>
      </c>
      <c r="C2091" s="3">
        <f t="shared" si="65"/>
        <v>9</v>
      </c>
      <c r="D2091" s="20" t="str">
        <f t="shared" si="66"/>
        <v>APD20049</v>
      </c>
      <c r="E2091" s="2">
        <v>38259</v>
      </c>
      <c r="F2091" s="3">
        <v>0.28999999999999998</v>
      </c>
      <c r="G2091" s="2">
        <v>38299</v>
      </c>
      <c r="H2091" s="3">
        <v>1.9099999999999999E-2</v>
      </c>
      <c r="I2091" s="3">
        <v>0</v>
      </c>
      <c r="J2091" s="3">
        <v>0</v>
      </c>
      <c r="K2091" s="3">
        <f t="shared" si="67"/>
        <v>2004</v>
      </c>
      <c r="L2091" s="3">
        <f t="shared" si="68"/>
        <v>0</v>
      </c>
      <c r="M2091" s="20" t="str">
        <f>A2091&amp;L2091</f>
        <v>APD0</v>
      </c>
      <c r="N2091" s="3">
        <f>F2091</f>
        <v>0.28999999999999998</v>
      </c>
      <c r="O2091" s="9">
        <f>H2091</f>
        <v>1.9099999999999999E-2</v>
      </c>
      <c r="P2091" s="10">
        <f t="shared" si="69"/>
        <v>0</v>
      </c>
      <c r="Q2091" s="10">
        <f>IF(K2091=0,IF(A2088=A2091,AVERAGE(O2088:O2091),"x"),0)</f>
        <v>0</v>
      </c>
      <c r="R2091" s="9">
        <f>IF(L2091&gt;2005,AVERAGE(O2088:O2107),0)</f>
        <v>0</v>
      </c>
      <c r="S2091" s="10">
        <f>IF(A2091=A2092,(N2091-N2092)/N2092,0)</f>
        <v>0</v>
      </c>
      <c r="T2091" s="10">
        <f>IF(L2091&gt;2005,(((N2091-N2111)/N2111)+1)^(1/5)-1,0)</f>
        <v>0</v>
      </c>
      <c r="U2091" s="10">
        <f t="shared" si="70"/>
        <v>0</v>
      </c>
      <c r="V2091" s="26">
        <f t="shared" si="71"/>
        <v>0</v>
      </c>
      <c r="W2091" s="3">
        <f>IF(A2091=A2092,N2091-N2092,0)</f>
        <v>0</v>
      </c>
      <c r="X2091" s="10">
        <f>IF(A2091=A2092,(N2091-N2092)/N2092,0)</f>
        <v>0</v>
      </c>
    </row>
    <row r="2092" spans="1:24" ht="16.5" customHeight="1">
      <c r="A2092" s="3" t="s">
        <v>46</v>
      </c>
      <c r="B2092" s="3">
        <f t="shared" si="64"/>
        <v>2004</v>
      </c>
      <c r="C2092" s="3">
        <f t="shared" si="65"/>
        <v>6</v>
      </c>
      <c r="D2092" s="20" t="str">
        <f t="shared" si="66"/>
        <v>APD20046</v>
      </c>
      <c r="E2092" s="2">
        <v>38167</v>
      </c>
      <c r="F2092" s="3">
        <v>0.28999999999999998</v>
      </c>
      <c r="G2092" s="2">
        <v>38208</v>
      </c>
      <c r="H2092" s="3">
        <v>1.89E-2</v>
      </c>
      <c r="I2092" s="3">
        <v>0.26086956500000003</v>
      </c>
      <c r="J2092" s="3">
        <v>0.06</v>
      </c>
      <c r="K2092" s="3">
        <f t="shared" si="67"/>
        <v>2004</v>
      </c>
      <c r="L2092" s="3">
        <f t="shared" si="68"/>
        <v>0</v>
      </c>
      <c r="M2092" s="20" t="str">
        <f>A2092&amp;L2092</f>
        <v>APD0</v>
      </c>
      <c r="N2092" s="3">
        <f>F2092</f>
        <v>0.28999999999999998</v>
      </c>
      <c r="O2092" s="9">
        <f>H2092</f>
        <v>1.89E-2</v>
      </c>
      <c r="P2092" s="10">
        <f t="shared" si="69"/>
        <v>1.8450000000000001E-2</v>
      </c>
      <c r="Q2092" s="10">
        <f>IF(K2092=0,IF(A2089=A2092,AVERAGE(O2089:O2092),"x"),0)</f>
        <v>0</v>
      </c>
      <c r="R2092" s="9">
        <f>IF(L2092&gt;2005,AVERAGE(O2089:O2108),0)</f>
        <v>0</v>
      </c>
      <c r="S2092" s="10">
        <f>IF(A2092=A2093,(N2092-N2093)/N2093,0)</f>
        <v>0.26086956521739119</v>
      </c>
      <c r="T2092" s="10">
        <f>IF(L2092&gt;2005,(((N2092-N2112)/N2112)+1)^(1/5)-1,0)</f>
        <v>0</v>
      </c>
      <c r="U2092" s="10">
        <f t="shared" si="70"/>
        <v>0</v>
      </c>
      <c r="V2092" s="26">
        <f t="shared" si="71"/>
        <v>0</v>
      </c>
      <c r="W2092" s="3">
        <f>IF(A2092=A2093,N2092-N2093,0)</f>
        <v>5.999999999999997E-2</v>
      </c>
      <c r="X2092" s="10">
        <f>IF(A2092=A2093,(N2092-N2093)/N2093,0)</f>
        <v>0.26086956521739119</v>
      </c>
    </row>
    <row r="2093" spans="1:24" ht="16.5" customHeight="1">
      <c r="A2093" s="3" t="s">
        <v>46</v>
      </c>
      <c r="B2093" s="3">
        <f t="shared" si="64"/>
        <v>2004</v>
      </c>
      <c r="C2093" s="3">
        <f t="shared" si="65"/>
        <v>3</v>
      </c>
      <c r="D2093" s="20" t="str">
        <f t="shared" si="66"/>
        <v>APD20043</v>
      </c>
      <c r="E2093" s="2">
        <v>38076</v>
      </c>
      <c r="F2093" s="3">
        <v>0.23</v>
      </c>
      <c r="G2093" s="2">
        <v>38117</v>
      </c>
      <c r="H2093" s="3">
        <v>1.84E-2</v>
      </c>
      <c r="I2093" s="3">
        <v>0</v>
      </c>
      <c r="J2093" s="3">
        <v>0</v>
      </c>
      <c r="K2093" s="3">
        <f t="shared" si="67"/>
        <v>0</v>
      </c>
      <c r="L2093" s="3">
        <f t="shared" si="68"/>
        <v>2004</v>
      </c>
      <c r="M2093" s="20" t="str">
        <f>A2093&amp;L2093</f>
        <v>APD2004</v>
      </c>
      <c r="N2093" s="3">
        <f>F2093</f>
        <v>0.23</v>
      </c>
      <c r="O2093" s="9">
        <f>H2093</f>
        <v>1.84E-2</v>
      </c>
      <c r="P2093" s="10">
        <f t="shared" si="69"/>
        <v>0</v>
      </c>
      <c r="Q2093" s="10">
        <f>IF(K2093=0,IF(A2090=A2093,AVERAGE(O2090:O2093),"x"),0)</f>
        <v>1.8800000000000001E-2</v>
      </c>
      <c r="R2093" s="9">
        <f>IF(L2093&gt;2005,AVERAGE(O2090:O2109),0)</f>
        <v>0</v>
      </c>
      <c r="S2093" s="10">
        <f>IF(A2093=A2094,(N2093-N2094)/N2094,0)</f>
        <v>0</v>
      </c>
      <c r="T2093" s="10">
        <f>IF(L2093&gt;2005,(((N2093-N2113)/N2113)+1)^(1/5)-1,0)</f>
        <v>0</v>
      </c>
      <c r="U2093" s="10">
        <f t="shared" si="70"/>
        <v>0</v>
      </c>
      <c r="V2093" s="26">
        <f t="shared" si="71"/>
        <v>0</v>
      </c>
      <c r="W2093" s="3">
        <f>IF(A2093=A2094,N2093-N2094,0)</f>
        <v>0</v>
      </c>
      <c r="X2093" s="10">
        <f>IF(A2093=A2094,(N2093-N2094)/N2094,0)</f>
        <v>0</v>
      </c>
    </row>
    <row r="2094" spans="1:24" ht="16.5" customHeight="1">
      <c r="A2094" s="3" t="s">
        <v>46</v>
      </c>
      <c r="B2094" s="3">
        <f t="shared" si="64"/>
        <v>2003</v>
      </c>
      <c r="C2094" s="3">
        <f t="shared" si="65"/>
        <v>12</v>
      </c>
      <c r="D2094" s="20" t="str">
        <f t="shared" si="66"/>
        <v>APD200312</v>
      </c>
      <c r="E2094" s="2">
        <v>37985</v>
      </c>
      <c r="F2094" s="3">
        <v>0.23</v>
      </c>
      <c r="G2094" s="2">
        <v>38026</v>
      </c>
      <c r="H2094" s="3">
        <v>1.7000000000000001E-2</v>
      </c>
      <c r="I2094" s="3">
        <v>0</v>
      </c>
      <c r="J2094" s="3">
        <v>0</v>
      </c>
      <c r="K2094" s="3">
        <f t="shared" si="67"/>
        <v>2003</v>
      </c>
      <c r="L2094" s="3">
        <f t="shared" si="68"/>
        <v>0</v>
      </c>
      <c r="M2094" s="20" t="str">
        <f>A2094&amp;L2094</f>
        <v>APD0</v>
      </c>
      <c r="N2094" s="3">
        <f>F2094</f>
        <v>0.23</v>
      </c>
      <c r="O2094" s="9">
        <f>H2094</f>
        <v>1.7000000000000001E-2</v>
      </c>
      <c r="P2094" s="10">
        <f t="shared" si="69"/>
        <v>0</v>
      </c>
      <c r="Q2094" s="10">
        <f>IF(K2094=0,IF(A2091=A2094,AVERAGE(O2091:O2094),"x"),0)</f>
        <v>0</v>
      </c>
      <c r="R2094" s="9">
        <f>IF(L2094&gt;2005,AVERAGE(O2091:O2110),0)</f>
        <v>0</v>
      </c>
      <c r="S2094" s="10">
        <f>IF(A2094=A2095,(N2094-N2095)/N2095,0)</f>
        <v>0</v>
      </c>
      <c r="T2094" s="10">
        <f>IF(L2094&gt;2005,(((N2094-N2114)/N2114)+1)^(1/5)-1,0)</f>
        <v>0</v>
      </c>
      <c r="U2094" s="10">
        <f t="shared" si="70"/>
        <v>0</v>
      </c>
      <c r="V2094" s="26">
        <f t="shared" si="71"/>
        <v>0</v>
      </c>
      <c r="W2094" s="3">
        <f>IF(A2094=A2095,N2094-N2095,0)</f>
        <v>0</v>
      </c>
      <c r="X2094" s="10">
        <f>IF(A2094=A2095,(N2094-N2095)/N2095,0)</f>
        <v>0</v>
      </c>
    </row>
    <row r="2095" spans="1:24" ht="16.5" customHeight="1">
      <c r="A2095" s="3" t="s">
        <v>46</v>
      </c>
      <c r="B2095" s="3">
        <f t="shared" si="64"/>
        <v>2003</v>
      </c>
      <c r="C2095" s="3">
        <f t="shared" si="65"/>
        <v>9</v>
      </c>
      <c r="D2095" s="20" t="str">
        <f t="shared" si="66"/>
        <v>APD20039</v>
      </c>
      <c r="E2095" s="2">
        <v>37893</v>
      </c>
      <c r="F2095" s="3">
        <v>0.23</v>
      </c>
      <c r="G2095" s="2">
        <v>37935</v>
      </c>
      <c r="H2095" s="3">
        <v>1.95E-2</v>
      </c>
      <c r="I2095" s="3">
        <v>0</v>
      </c>
      <c r="J2095" s="3">
        <v>0</v>
      </c>
      <c r="K2095" s="3">
        <f t="shared" si="67"/>
        <v>2003</v>
      </c>
      <c r="L2095" s="3">
        <f t="shared" si="68"/>
        <v>0</v>
      </c>
      <c r="M2095" s="20" t="str">
        <f>A2095&amp;L2095</f>
        <v>APD0</v>
      </c>
      <c r="N2095" s="3">
        <f>F2095</f>
        <v>0.23</v>
      </c>
      <c r="O2095" s="9">
        <f>H2095</f>
        <v>1.95E-2</v>
      </c>
      <c r="P2095" s="10">
        <f t="shared" si="69"/>
        <v>0</v>
      </c>
      <c r="Q2095" s="10">
        <f>IF(K2095=0,IF(A2092=A2095,AVERAGE(O2092:O2095),"x"),0)</f>
        <v>0</v>
      </c>
      <c r="R2095" s="9">
        <f>IF(L2095&gt;2005,AVERAGE(O2092:O2111),0)</f>
        <v>0</v>
      </c>
      <c r="S2095" s="10">
        <f>IF(A2095=A2096,(N2095-N2096)/N2096,0)</f>
        <v>0</v>
      </c>
      <c r="T2095" s="10">
        <f>IF(L2095&gt;2005,(((N2095-N2115)/N2115)+1)^(1/5)-1,0)</f>
        <v>0</v>
      </c>
      <c r="U2095" s="10">
        <f t="shared" si="70"/>
        <v>0</v>
      </c>
      <c r="V2095" s="26">
        <f t="shared" si="71"/>
        <v>0</v>
      </c>
      <c r="W2095" s="3">
        <f>IF(A2095=A2096,N2095-N2096,0)</f>
        <v>0</v>
      </c>
      <c r="X2095" s="10">
        <f>IF(A2095=A2096,(N2095-N2096)/N2096,0)</f>
        <v>0</v>
      </c>
    </row>
    <row r="2096" spans="1:24" ht="16.5" customHeight="1">
      <c r="A2096" s="3" t="s">
        <v>46</v>
      </c>
      <c r="B2096" s="3">
        <f t="shared" si="64"/>
        <v>2003</v>
      </c>
      <c r="C2096" s="3">
        <f t="shared" si="65"/>
        <v>6</v>
      </c>
      <c r="D2096" s="20" t="str">
        <f t="shared" si="66"/>
        <v>APD20036</v>
      </c>
      <c r="E2096" s="2">
        <v>37799</v>
      </c>
      <c r="F2096" s="3">
        <v>0.23</v>
      </c>
      <c r="G2096" s="2">
        <v>37844</v>
      </c>
      <c r="H2096" s="3">
        <v>2.07E-2</v>
      </c>
      <c r="I2096" s="3">
        <v>9.5238094999999995E-2</v>
      </c>
      <c r="J2096" s="3">
        <v>0.02</v>
      </c>
      <c r="K2096" s="3">
        <f t="shared" si="67"/>
        <v>2003</v>
      </c>
      <c r="L2096" s="3">
        <f t="shared" si="68"/>
        <v>0</v>
      </c>
      <c r="M2096" s="20" t="str">
        <f>A2096&amp;L2096</f>
        <v>APD0</v>
      </c>
      <c r="N2096" s="3">
        <f>F2096</f>
        <v>0.23</v>
      </c>
      <c r="O2096" s="9">
        <f>H2096</f>
        <v>2.07E-2</v>
      </c>
      <c r="P2096" s="10">
        <f t="shared" si="69"/>
        <v>1.9875E-2</v>
      </c>
      <c r="Q2096" s="10">
        <f>IF(K2096=0,IF(A2093=A2096,AVERAGE(O2093:O2096),"x"),0)</f>
        <v>0</v>
      </c>
      <c r="R2096" s="9">
        <f>IF(L2096&gt;2005,AVERAGE(O2093:O2112),0)</f>
        <v>0</v>
      </c>
      <c r="S2096" s="10">
        <f>IF(A2096=A2097,(N2096-N2097)/N2097,0)</f>
        <v>9.523809523809533E-2</v>
      </c>
      <c r="T2096" s="10">
        <f>IF(L2096&gt;2005,(((N2096-N2116)/N2116)+1)^(1/5)-1,0)</f>
        <v>0</v>
      </c>
      <c r="U2096" s="10">
        <f t="shared" si="70"/>
        <v>0</v>
      </c>
      <c r="V2096" s="26">
        <f t="shared" si="71"/>
        <v>0</v>
      </c>
      <c r="W2096" s="3">
        <f>IF(A2096=A2097,N2096-N2097,0)</f>
        <v>2.0000000000000018E-2</v>
      </c>
      <c r="X2096" s="10">
        <f>IF(A2096=A2097,(N2096-N2097)/N2097,0)</f>
        <v>9.523809523809533E-2</v>
      </c>
    </row>
    <row r="2097" spans="1:24" ht="16.5" customHeight="1">
      <c r="A2097" s="3" t="s">
        <v>46</v>
      </c>
      <c r="B2097" s="3">
        <f t="shared" si="64"/>
        <v>2003</v>
      </c>
      <c r="C2097" s="3">
        <f t="shared" si="65"/>
        <v>3</v>
      </c>
      <c r="D2097" s="20" t="str">
        <f t="shared" si="66"/>
        <v>APD20033</v>
      </c>
      <c r="E2097" s="2">
        <v>37708</v>
      </c>
      <c r="F2097" s="3">
        <v>0.21</v>
      </c>
      <c r="G2097" s="2">
        <v>37753</v>
      </c>
      <c r="H2097" s="3">
        <v>2.0199999999999999E-2</v>
      </c>
      <c r="I2097" s="3">
        <v>0</v>
      </c>
      <c r="J2097" s="3">
        <v>0</v>
      </c>
      <c r="K2097" s="3">
        <f t="shared" si="67"/>
        <v>0</v>
      </c>
      <c r="L2097" s="3">
        <f t="shared" si="68"/>
        <v>2003</v>
      </c>
      <c r="M2097" s="20" t="str">
        <f>A2097&amp;L2097</f>
        <v>APD2003</v>
      </c>
      <c r="N2097" s="3">
        <f>F2097</f>
        <v>0.21</v>
      </c>
      <c r="O2097" s="9">
        <f>H2097</f>
        <v>2.0199999999999999E-2</v>
      </c>
      <c r="P2097" s="10">
        <f t="shared" si="69"/>
        <v>0</v>
      </c>
      <c r="Q2097" s="10">
        <f>IF(K2097=0,IF(A2094=A2097,AVERAGE(O2094:O2097),"x"),0)</f>
        <v>1.9349999999999999E-2</v>
      </c>
      <c r="R2097" s="9">
        <f>IF(L2097&gt;2005,AVERAGE(O2094:O2113),0)</f>
        <v>0</v>
      </c>
      <c r="S2097" s="10">
        <f>IF(A2097=A2098,(N2097-N2098)/N2098,0)</f>
        <v>0</v>
      </c>
      <c r="T2097" s="10">
        <f>IF(L2097&gt;2005,(((N2097-N2117)/N2117)+1)^(1/5)-1,0)</f>
        <v>0</v>
      </c>
      <c r="U2097" s="10">
        <f t="shared" si="70"/>
        <v>0</v>
      </c>
      <c r="V2097" s="26">
        <f t="shared" si="71"/>
        <v>0</v>
      </c>
      <c r="W2097" s="3">
        <f>IF(A2097=A2098,N2097-N2098,0)</f>
        <v>0</v>
      </c>
      <c r="X2097" s="10">
        <f>IF(A2097=A2098,(N2097-N2098)/N2098,0)</f>
        <v>0</v>
      </c>
    </row>
    <row r="2098" spans="1:24" ht="16.5" customHeight="1">
      <c r="A2098" s="3" t="s">
        <v>46</v>
      </c>
      <c r="B2098" s="3">
        <f t="shared" si="64"/>
        <v>2002</v>
      </c>
      <c r="C2098" s="3">
        <f t="shared" si="65"/>
        <v>12</v>
      </c>
      <c r="D2098" s="20" t="str">
        <f t="shared" si="66"/>
        <v>APD200212</v>
      </c>
      <c r="E2098" s="2">
        <v>37620</v>
      </c>
      <c r="F2098" s="3">
        <v>0.21</v>
      </c>
      <c r="G2098" s="2">
        <v>37662</v>
      </c>
      <c r="H2098" s="3">
        <v>1.9599999999999999E-2</v>
      </c>
      <c r="I2098" s="3">
        <v>0</v>
      </c>
      <c r="J2098" s="3">
        <v>0</v>
      </c>
      <c r="K2098" s="3">
        <f t="shared" si="67"/>
        <v>2002</v>
      </c>
      <c r="L2098" s="3">
        <f t="shared" si="68"/>
        <v>0</v>
      </c>
      <c r="M2098" s="20" t="str">
        <f>A2098&amp;L2098</f>
        <v>APD0</v>
      </c>
      <c r="N2098" s="3">
        <f>F2098</f>
        <v>0.21</v>
      </c>
      <c r="O2098" s="9">
        <f>H2098</f>
        <v>1.9599999999999999E-2</v>
      </c>
      <c r="P2098" s="10">
        <f t="shared" si="69"/>
        <v>0</v>
      </c>
      <c r="Q2098" s="10">
        <f>IF(K2098=0,IF(A2095=A2098,AVERAGE(O2095:O2098),"x"),0)</f>
        <v>0</v>
      </c>
      <c r="R2098" s="9">
        <f>IF(L2098&gt;2005,AVERAGE(O2095:O2114),0)</f>
        <v>0</v>
      </c>
      <c r="S2098" s="10">
        <f>IF(A2098=A2099,(N2098-N2099)/N2099,0)</f>
        <v>0</v>
      </c>
      <c r="T2098" s="10">
        <f>IF(L2098&gt;2005,(((N2098-N2118)/N2118)+1)^(1/5)-1,0)</f>
        <v>0</v>
      </c>
      <c r="U2098" s="10">
        <f t="shared" si="70"/>
        <v>0</v>
      </c>
      <c r="V2098" s="26">
        <f t="shared" si="71"/>
        <v>0</v>
      </c>
      <c r="W2098" s="3">
        <f>IF(A2098=A2099,N2098-N2099,0)</f>
        <v>0</v>
      </c>
      <c r="X2098" s="10">
        <f>IF(A2098=A2099,(N2098-N2099)/N2099,0)</f>
        <v>0</v>
      </c>
    </row>
    <row r="2099" spans="1:24" ht="16.5" customHeight="1">
      <c r="A2099" s="3" t="s">
        <v>46</v>
      </c>
      <c r="B2099" s="3">
        <f t="shared" si="64"/>
        <v>2002</v>
      </c>
      <c r="C2099" s="3">
        <f t="shared" si="65"/>
        <v>9</v>
      </c>
      <c r="D2099" s="20" t="str">
        <f t="shared" si="66"/>
        <v>APD20029</v>
      </c>
      <c r="E2099" s="2">
        <v>37526</v>
      </c>
      <c r="F2099" s="3">
        <v>0.21</v>
      </c>
      <c r="G2099" s="2">
        <v>37572</v>
      </c>
      <c r="H2099" s="3">
        <v>1.9E-2</v>
      </c>
      <c r="I2099" s="3">
        <v>0</v>
      </c>
      <c r="J2099" s="3">
        <v>0</v>
      </c>
      <c r="K2099" s="3">
        <f t="shared" si="67"/>
        <v>2002</v>
      </c>
      <c r="L2099" s="3">
        <f t="shared" si="68"/>
        <v>0</v>
      </c>
      <c r="M2099" s="20" t="str">
        <f>A2099&amp;L2099</f>
        <v>APD0</v>
      </c>
      <c r="N2099" s="3">
        <f>F2099</f>
        <v>0.21</v>
      </c>
      <c r="O2099" s="9">
        <f>H2099</f>
        <v>1.9E-2</v>
      </c>
      <c r="P2099" s="10">
        <f t="shared" si="69"/>
        <v>0</v>
      </c>
      <c r="Q2099" s="10">
        <f>IF(K2099=0,IF(A2096=A2099,AVERAGE(O2096:O2099),"x"),0)</f>
        <v>0</v>
      </c>
      <c r="R2099" s="9">
        <f>IF(L2099&gt;2005,AVERAGE(O2096:O2115),0)</f>
        <v>0</v>
      </c>
      <c r="S2099" s="10">
        <f>IF(A2099=A2100,(N2099-N2100)/N2100,0)</f>
        <v>0</v>
      </c>
      <c r="T2099" s="10">
        <f>IF(L2099&gt;2005,(((N2099-N2119)/N2119)+1)^(1/5)-1,0)</f>
        <v>0</v>
      </c>
      <c r="U2099" s="10">
        <f t="shared" si="70"/>
        <v>0</v>
      </c>
      <c r="V2099" s="26">
        <f t="shared" si="71"/>
        <v>0</v>
      </c>
      <c r="W2099" s="3">
        <f>IF(A2099=A2100,N2099-N2100,0)</f>
        <v>0</v>
      </c>
      <c r="X2099" s="10">
        <f>IF(A2099=A2100,(N2099-N2100)/N2100,0)</f>
        <v>0</v>
      </c>
    </row>
    <row r="2100" spans="1:24" ht="16.5" customHeight="1">
      <c r="A2100" s="3" t="s">
        <v>46</v>
      </c>
      <c r="B2100" s="3">
        <f t="shared" si="64"/>
        <v>2002</v>
      </c>
      <c r="C2100" s="3">
        <f t="shared" si="65"/>
        <v>6</v>
      </c>
      <c r="D2100" s="20" t="str">
        <f t="shared" si="66"/>
        <v>APD20026</v>
      </c>
      <c r="E2100" s="2">
        <v>37434</v>
      </c>
      <c r="F2100" s="3">
        <v>0.21</v>
      </c>
      <c r="G2100" s="2">
        <v>37480</v>
      </c>
      <c r="H2100" s="3">
        <v>1.6400000000000001E-2</v>
      </c>
      <c r="I2100" s="3">
        <v>0.05</v>
      </c>
      <c r="J2100" s="3">
        <v>0.01</v>
      </c>
      <c r="K2100" s="3">
        <f t="shared" si="67"/>
        <v>2002</v>
      </c>
      <c r="L2100" s="3">
        <f t="shared" si="68"/>
        <v>0</v>
      </c>
      <c r="M2100" s="20" t="str">
        <f>A2100&amp;L2100</f>
        <v>APD0</v>
      </c>
      <c r="N2100" s="3">
        <f>F2100</f>
        <v>0.21</v>
      </c>
      <c r="O2100" s="9">
        <f>H2100</f>
        <v>1.6400000000000001E-2</v>
      </c>
      <c r="P2100" s="10">
        <f t="shared" si="69"/>
        <v>1.7524999999999999E-2</v>
      </c>
      <c r="Q2100" s="10">
        <f>IF(K2100=0,IF(A2097=A2100,AVERAGE(O2097:O2100),"x"),0)</f>
        <v>0</v>
      </c>
      <c r="R2100" s="9">
        <f>IF(L2100&gt;2005,AVERAGE(O2097:O2116),0)</f>
        <v>0</v>
      </c>
      <c r="S2100" s="10">
        <f>IF(A2100=A2101,(N2100-N2101)/N2101,0)</f>
        <v>4.9999999999999906E-2</v>
      </c>
      <c r="T2100" s="10">
        <f>IF(L2100&gt;2005,(((N2100-N2120)/N2120)+1)^(1/5)-1,0)</f>
        <v>0</v>
      </c>
      <c r="U2100" s="10">
        <f t="shared" si="70"/>
        <v>0</v>
      </c>
      <c r="V2100" s="26">
        <f t="shared" si="71"/>
        <v>0</v>
      </c>
      <c r="W2100" s="3">
        <f>IF(A2100=A2101,N2100-N2101,0)</f>
        <v>9.9999999999999811E-3</v>
      </c>
      <c r="X2100" s="10">
        <f>IF(A2100=A2101,(N2100-N2101)/N2101,0)</f>
        <v>4.9999999999999906E-2</v>
      </c>
    </row>
    <row r="2101" spans="1:24" ht="16.5" customHeight="1">
      <c r="A2101" s="3" t="s">
        <v>46</v>
      </c>
      <c r="B2101" s="3">
        <f t="shared" si="64"/>
        <v>2002</v>
      </c>
      <c r="C2101" s="3">
        <f t="shared" si="65"/>
        <v>3</v>
      </c>
      <c r="D2101" s="20" t="str">
        <f t="shared" si="66"/>
        <v>APD20023</v>
      </c>
      <c r="E2101" s="2">
        <v>37342</v>
      </c>
      <c r="F2101" s="3">
        <v>0.2</v>
      </c>
      <c r="G2101" s="2">
        <v>37389</v>
      </c>
      <c r="H2101" s="3">
        <v>1.5800000000000002E-2</v>
      </c>
      <c r="I2101" s="3">
        <v>0</v>
      </c>
      <c r="J2101" s="3">
        <v>0</v>
      </c>
      <c r="K2101" s="3">
        <f t="shared" si="67"/>
        <v>0</v>
      </c>
      <c r="L2101" s="3">
        <f t="shared" si="68"/>
        <v>2002</v>
      </c>
      <c r="M2101" s="20" t="str">
        <f>A2101&amp;L2101</f>
        <v>APD2002</v>
      </c>
      <c r="N2101" s="3">
        <f>F2101</f>
        <v>0.2</v>
      </c>
      <c r="O2101" s="9">
        <f>H2101</f>
        <v>1.5800000000000002E-2</v>
      </c>
      <c r="P2101" s="10">
        <f t="shared" si="69"/>
        <v>0</v>
      </c>
      <c r="Q2101" s="10">
        <f>IF(K2101=0,IF(A2098=A2101,AVERAGE(O2098:O2101),"x"),0)</f>
        <v>1.77E-2</v>
      </c>
      <c r="R2101" s="9">
        <f>IF(L2101&gt;2005,AVERAGE(O2098:O2117),0)</f>
        <v>0</v>
      </c>
      <c r="S2101" s="10">
        <f>IF(A2101=A2102,(N2101-N2102)/N2102,0)</f>
        <v>0</v>
      </c>
      <c r="T2101" s="10">
        <f>IF(L2101&gt;2005,(((N2101-N2121)/N2121)+1)^(1/5)-1,0)</f>
        <v>0</v>
      </c>
      <c r="U2101" s="10">
        <f t="shared" si="70"/>
        <v>0</v>
      </c>
      <c r="V2101" s="26">
        <f t="shared" si="71"/>
        <v>0</v>
      </c>
      <c r="W2101" s="3">
        <f>IF(A2101=A2102,N2101-N2102,0)</f>
        <v>0</v>
      </c>
      <c r="X2101" s="10">
        <f>IF(A2101=A2102,(N2101-N2102)/N2102,0)</f>
        <v>0</v>
      </c>
    </row>
    <row r="2102" spans="1:24" ht="16.5" customHeight="1">
      <c r="A2102" s="3" t="s">
        <v>46</v>
      </c>
      <c r="B2102" s="3">
        <f t="shared" si="64"/>
        <v>2001</v>
      </c>
      <c r="C2102" s="3">
        <f t="shared" si="65"/>
        <v>12</v>
      </c>
      <c r="D2102" s="20" t="str">
        <f t="shared" si="66"/>
        <v>APD200112</v>
      </c>
      <c r="E2102" s="2">
        <v>37253</v>
      </c>
      <c r="F2102" s="3">
        <v>0.2</v>
      </c>
      <c r="G2102" s="2">
        <v>37298</v>
      </c>
      <c r="H2102" s="3">
        <v>1.6799999999999999E-2</v>
      </c>
      <c r="I2102" s="3">
        <v>0</v>
      </c>
      <c r="J2102" s="3">
        <v>0</v>
      </c>
      <c r="K2102" s="3">
        <f t="shared" si="67"/>
        <v>2001</v>
      </c>
      <c r="L2102" s="3">
        <f t="shared" si="68"/>
        <v>0</v>
      </c>
      <c r="M2102" s="20" t="str">
        <f>A2102&amp;L2102</f>
        <v>APD0</v>
      </c>
      <c r="N2102" s="3">
        <f>F2102</f>
        <v>0.2</v>
      </c>
      <c r="O2102" s="9">
        <f>H2102</f>
        <v>1.6799999999999999E-2</v>
      </c>
      <c r="P2102" s="10">
        <f t="shared" si="69"/>
        <v>0</v>
      </c>
      <c r="Q2102" s="10">
        <f>IF(K2102=0,IF(A2099=A2102,AVERAGE(O2099:O2102),"x"),0)</f>
        <v>0</v>
      </c>
      <c r="R2102" s="9">
        <f>IF(L2102&gt;2005,AVERAGE(O2099:O2118),0)</f>
        <v>0</v>
      </c>
      <c r="S2102" s="10">
        <f>IF(A2102=A2103,(N2102-N2103)/N2103,0)</f>
        <v>0</v>
      </c>
      <c r="T2102" s="10">
        <f>IF(L2102&gt;2005,(((N2102-N2122)/N2122)+1)^(1/5)-1,0)</f>
        <v>0</v>
      </c>
      <c r="U2102" s="10">
        <f t="shared" si="70"/>
        <v>0</v>
      </c>
      <c r="V2102" s="26">
        <f t="shared" si="71"/>
        <v>0</v>
      </c>
      <c r="W2102" s="3">
        <f>IF(A2102=A2103,N2102-N2103,0)</f>
        <v>0</v>
      </c>
      <c r="X2102" s="10">
        <f>IF(A2102=A2103,(N2102-N2103)/N2103,0)</f>
        <v>0</v>
      </c>
    </row>
    <row r="2103" spans="1:24" ht="16.5" customHeight="1">
      <c r="A2103" s="3" t="s">
        <v>46</v>
      </c>
      <c r="B2103" s="3">
        <f t="shared" si="64"/>
        <v>2001</v>
      </c>
      <c r="C2103" s="3">
        <f t="shared" si="65"/>
        <v>9</v>
      </c>
      <c r="D2103" s="20" t="str">
        <f t="shared" si="66"/>
        <v>APD20019</v>
      </c>
      <c r="E2103" s="2">
        <v>37161</v>
      </c>
      <c r="F2103" s="3">
        <v>0.2</v>
      </c>
      <c r="G2103" s="2">
        <v>37207</v>
      </c>
      <c r="H2103" s="3">
        <v>2.1100000000000001E-2</v>
      </c>
      <c r="I2103" s="3">
        <v>0</v>
      </c>
      <c r="J2103" s="3">
        <v>0</v>
      </c>
      <c r="K2103" s="3">
        <f t="shared" si="67"/>
        <v>2001</v>
      </c>
      <c r="L2103" s="3">
        <f t="shared" si="68"/>
        <v>0</v>
      </c>
      <c r="M2103" s="20" t="str">
        <f>A2103&amp;L2103</f>
        <v>APD0</v>
      </c>
      <c r="N2103" s="3">
        <f>F2103</f>
        <v>0.2</v>
      </c>
      <c r="O2103" s="9">
        <f>H2103</f>
        <v>2.1100000000000001E-2</v>
      </c>
      <c r="P2103" s="10">
        <f t="shared" si="69"/>
        <v>0</v>
      </c>
      <c r="Q2103" s="10">
        <f>IF(K2103=0,IF(A2100=A2103,AVERAGE(O2100:O2103),"x"),0)</f>
        <v>0</v>
      </c>
      <c r="R2103" s="9">
        <f>IF(L2103&gt;2005,AVERAGE(O2100:O2119),0)</f>
        <v>0</v>
      </c>
      <c r="S2103" s="10">
        <f>IF(A2103=A2104,(N2103-N2104)/N2104,0)</f>
        <v>0</v>
      </c>
      <c r="T2103" s="10">
        <f>IF(L2103&gt;2005,(((N2103-N2123)/N2123)+1)^(1/5)-1,0)</f>
        <v>0</v>
      </c>
      <c r="U2103" s="10">
        <f t="shared" si="70"/>
        <v>0</v>
      </c>
      <c r="V2103" s="26">
        <f t="shared" si="71"/>
        <v>0</v>
      </c>
      <c r="W2103" s="3">
        <f>IF(A2103=A2104,N2103-N2104,0)</f>
        <v>0</v>
      </c>
      <c r="X2103" s="10">
        <f>IF(A2103=A2104,(N2103-N2104)/N2104,0)</f>
        <v>0</v>
      </c>
    </row>
    <row r="2104" spans="1:24" ht="16.5" customHeight="1">
      <c r="A2104" s="3" t="s">
        <v>46</v>
      </c>
      <c r="B2104" s="3">
        <f t="shared" si="64"/>
        <v>2001</v>
      </c>
      <c r="C2104" s="3">
        <f t="shared" si="65"/>
        <v>6</v>
      </c>
      <c r="D2104" s="20" t="str">
        <f t="shared" si="66"/>
        <v>APD20016</v>
      </c>
      <c r="E2104" s="2">
        <v>37070</v>
      </c>
      <c r="F2104" s="3">
        <v>0.2</v>
      </c>
      <c r="G2104" s="2">
        <v>37116</v>
      </c>
      <c r="H2104" s="3">
        <v>1.6899999999999998E-2</v>
      </c>
      <c r="I2104" s="3">
        <v>5.2631578999999998E-2</v>
      </c>
      <c r="J2104" s="3">
        <v>0.01</v>
      </c>
      <c r="K2104" s="3">
        <f t="shared" si="67"/>
        <v>2001</v>
      </c>
      <c r="L2104" s="3">
        <f t="shared" si="68"/>
        <v>0</v>
      </c>
      <c r="M2104" s="20" t="str">
        <f>A2104&amp;L2104</f>
        <v>APD0</v>
      </c>
      <c r="N2104" s="3">
        <f>F2104</f>
        <v>0.2</v>
      </c>
      <c r="O2104" s="9">
        <f>H2104</f>
        <v>1.6899999999999998E-2</v>
      </c>
      <c r="P2104" s="10">
        <f t="shared" si="69"/>
        <v>1.9099999999999999E-2</v>
      </c>
      <c r="Q2104" s="10">
        <f>IF(K2104=0,IF(A2101=A2104,AVERAGE(O2101:O2104),"x"),0)</f>
        <v>0</v>
      </c>
      <c r="R2104" s="9">
        <f>IF(L2104&gt;2005,AVERAGE(O2101:O2120),0)</f>
        <v>0</v>
      </c>
      <c r="S2104" s="10">
        <f>IF(A2104=A2105,(N2104-N2105)/N2105,0)</f>
        <v>5.2631578947368467E-2</v>
      </c>
      <c r="T2104" s="10">
        <f>IF(L2104&gt;2005,(((N2104-N2124)/N2124)+1)^(1/5)-1,0)</f>
        <v>0</v>
      </c>
      <c r="U2104" s="10">
        <f t="shared" si="70"/>
        <v>0</v>
      </c>
      <c r="V2104" s="26">
        <f t="shared" si="71"/>
        <v>0</v>
      </c>
      <c r="W2104" s="3">
        <f>IF(A2104=A2105,N2104-N2105,0)</f>
        <v>1.0000000000000009E-2</v>
      </c>
      <c r="X2104" s="10">
        <f>IF(A2104=A2105,(N2104-N2105)/N2105,0)</f>
        <v>5.2631578947368467E-2</v>
      </c>
    </row>
    <row r="2105" spans="1:24" ht="16.5" customHeight="1">
      <c r="A2105" s="3" t="s">
        <v>46</v>
      </c>
      <c r="B2105" s="3">
        <f t="shared" si="64"/>
        <v>2001</v>
      </c>
      <c r="C2105" s="3">
        <f t="shared" si="65"/>
        <v>3</v>
      </c>
      <c r="D2105" s="20" t="str">
        <f t="shared" si="66"/>
        <v>APD20013</v>
      </c>
      <c r="E2105" s="2">
        <v>36979</v>
      </c>
      <c r="F2105" s="3">
        <v>0.19</v>
      </c>
      <c r="G2105" s="2">
        <v>37025</v>
      </c>
      <c r="H2105" s="3">
        <v>1.9599999999999999E-2</v>
      </c>
      <c r="I2105" s="3">
        <v>0</v>
      </c>
      <c r="J2105" s="3">
        <v>0</v>
      </c>
      <c r="K2105" s="3">
        <f t="shared" si="67"/>
        <v>0</v>
      </c>
      <c r="L2105" s="3">
        <f t="shared" si="68"/>
        <v>2001</v>
      </c>
      <c r="M2105" s="20" t="str">
        <f>A2105&amp;L2105</f>
        <v>APD2001</v>
      </c>
      <c r="N2105" s="3">
        <f>F2105</f>
        <v>0.19</v>
      </c>
      <c r="O2105" s="9">
        <f>H2105</f>
        <v>1.9599999999999999E-2</v>
      </c>
      <c r="P2105" s="10">
        <f t="shared" si="69"/>
        <v>0</v>
      </c>
      <c r="Q2105" s="10">
        <f>IF(K2105=0,IF(A2102=A2105,AVERAGE(O2102:O2105),"x"),0)</f>
        <v>1.8599999999999998E-2</v>
      </c>
      <c r="R2105" s="9">
        <f>IF(L2105&gt;2005,AVERAGE(O2102:O2121),0)</f>
        <v>0</v>
      </c>
      <c r="S2105" s="10">
        <f>IF(A2105=A2106,(N2105-N2106)/N2106,0)</f>
        <v>0</v>
      </c>
      <c r="T2105" s="10">
        <f>IF(L2105&gt;2005,(((N2105-N2125)/N2125)+1)^(1/5)-1,0)</f>
        <v>0</v>
      </c>
      <c r="U2105" s="10">
        <f t="shared" si="70"/>
        <v>0</v>
      </c>
      <c r="V2105" s="26">
        <f t="shared" si="71"/>
        <v>0</v>
      </c>
      <c r="W2105" s="3">
        <f>IF(A2105=A2106,N2105-N2106,0)</f>
        <v>0</v>
      </c>
      <c r="X2105" s="10">
        <f>IF(A2105=A2106,(N2105-N2106)/N2106,0)</f>
        <v>0</v>
      </c>
    </row>
    <row r="2106" spans="1:24" ht="16.5" customHeight="1">
      <c r="A2106" s="3" t="s">
        <v>46</v>
      </c>
      <c r="B2106" s="3">
        <f t="shared" si="64"/>
        <v>2000</v>
      </c>
      <c r="C2106" s="3">
        <f t="shared" si="65"/>
        <v>12</v>
      </c>
      <c r="D2106" s="20" t="str">
        <f t="shared" si="66"/>
        <v>APD200012</v>
      </c>
      <c r="E2106" s="2">
        <v>36888</v>
      </c>
      <c r="F2106" s="3">
        <v>0.19</v>
      </c>
      <c r="G2106" s="2">
        <v>36934</v>
      </c>
      <c r="H2106" s="3">
        <v>1.78E-2</v>
      </c>
      <c r="I2106" s="3">
        <v>0</v>
      </c>
      <c r="J2106" s="3">
        <v>0</v>
      </c>
      <c r="K2106" s="3">
        <f t="shared" si="67"/>
        <v>2000</v>
      </c>
      <c r="L2106" s="3">
        <f t="shared" si="68"/>
        <v>0</v>
      </c>
      <c r="M2106" s="20" t="str">
        <f>A2106&amp;L2106</f>
        <v>APD0</v>
      </c>
      <c r="N2106" s="3">
        <f>F2106</f>
        <v>0.19</v>
      </c>
      <c r="O2106" s="9">
        <f>H2106</f>
        <v>1.78E-2</v>
      </c>
      <c r="P2106" s="10">
        <f t="shared" si="69"/>
        <v>0</v>
      </c>
      <c r="Q2106" s="10">
        <f>IF(K2106=0,IF(A2103=A2106,AVERAGE(O2103:O2106),"x"),0)</f>
        <v>0</v>
      </c>
      <c r="R2106" s="9">
        <f>IF(L2106&gt;2005,AVERAGE(O2103:O2122),0)</f>
        <v>0</v>
      </c>
      <c r="S2106" s="10">
        <f>IF(A2106=A2107,(N2106-N2107)/N2107,0)</f>
        <v>0</v>
      </c>
      <c r="T2106" s="10">
        <f>IF(L2106&gt;2005,(((N2106-N2126)/N2126)+1)^(1/5)-1,0)</f>
        <v>0</v>
      </c>
      <c r="U2106" s="10">
        <f t="shared" si="70"/>
        <v>0</v>
      </c>
      <c r="V2106" s="26">
        <f t="shared" si="71"/>
        <v>0</v>
      </c>
      <c r="W2106" s="3">
        <f>IF(A2106=A2107,N2106-N2107,0)</f>
        <v>0</v>
      </c>
      <c r="X2106" s="10">
        <f>IF(A2106=A2107,(N2106-N2107)/N2107,0)</f>
        <v>0</v>
      </c>
    </row>
    <row r="2107" spans="1:24" ht="16.5" customHeight="1">
      <c r="A2107" s="3" t="s">
        <v>46</v>
      </c>
      <c r="B2107" s="3">
        <f t="shared" si="64"/>
        <v>2000</v>
      </c>
      <c r="C2107" s="3">
        <f t="shared" si="65"/>
        <v>9</v>
      </c>
      <c r="D2107" s="20" t="str">
        <f t="shared" si="66"/>
        <v>APD20009</v>
      </c>
      <c r="E2107" s="2">
        <v>36797</v>
      </c>
      <c r="F2107" s="3">
        <v>0.19</v>
      </c>
      <c r="G2107" s="2">
        <v>36843</v>
      </c>
      <c r="H2107" s="3">
        <v>2.2100000000000002E-2</v>
      </c>
      <c r="I2107" s="3">
        <v>0</v>
      </c>
      <c r="J2107" s="3">
        <v>0</v>
      </c>
      <c r="K2107" s="3">
        <f t="shared" si="67"/>
        <v>2000</v>
      </c>
      <c r="L2107" s="3">
        <f t="shared" si="68"/>
        <v>0</v>
      </c>
      <c r="M2107" s="20" t="str">
        <f>A2107&amp;L2107</f>
        <v>APD0</v>
      </c>
      <c r="N2107" s="3">
        <f>F2107</f>
        <v>0.19</v>
      </c>
      <c r="O2107" s="9">
        <f>H2107</f>
        <v>2.2100000000000002E-2</v>
      </c>
      <c r="P2107" s="10">
        <f t="shared" si="69"/>
        <v>0</v>
      </c>
      <c r="Q2107" s="10">
        <f>IF(K2107=0,IF(A2104=A2107,AVERAGE(O2104:O2107),"x"),0)</f>
        <v>0</v>
      </c>
      <c r="R2107" s="9">
        <f>IF(L2107&gt;2005,AVERAGE(O2104:O2123),0)</f>
        <v>0</v>
      </c>
      <c r="S2107" s="10">
        <f>IF(A2107=A2108,(N2107-N2108)/N2108,0)</f>
        <v>0</v>
      </c>
      <c r="T2107" s="10">
        <f>IF(L2107&gt;2005,(((N2107-N2127)/N2127)+1)^(1/5)-1,0)</f>
        <v>0</v>
      </c>
      <c r="U2107" s="10">
        <f t="shared" si="70"/>
        <v>0</v>
      </c>
      <c r="V2107" s="26">
        <f t="shared" si="71"/>
        <v>0</v>
      </c>
      <c r="W2107" s="3">
        <f>IF(A2107=A2108,N2107-N2108,0)</f>
        <v>0</v>
      </c>
      <c r="X2107" s="10">
        <f>IF(A2107=A2108,(N2107-N2108)/N2108,0)</f>
        <v>0</v>
      </c>
    </row>
    <row r="2108" spans="1:24" ht="16.5" customHeight="1">
      <c r="A2108" s="3" t="s">
        <v>46</v>
      </c>
      <c r="B2108" s="3">
        <f t="shared" si="64"/>
        <v>2000</v>
      </c>
      <c r="C2108" s="3">
        <f t="shared" si="65"/>
        <v>6</v>
      </c>
      <c r="D2108" s="20" t="str">
        <f t="shared" si="66"/>
        <v>APD20006</v>
      </c>
      <c r="E2108" s="2">
        <v>36706</v>
      </c>
      <c r="F2108" s="3">
        <v>0.19</v>
      </c>
      <c r="G2108" s="2">
        <v>36752</v>
      </c>
      <c r="H2108" s="3">
        <v>2.1999999999999999E-2</v>
      </c>
      <c r="I2108" s="3">
        <v>5.5555555999999999E-2</v>
      </c>
      <c r="J2108" s="3">
        <v>0.01</v>
      </c>
      <c r="K2108" s="3">
        <f t="shared" si="67"/>
        <v>2000</v>
      </c>
      <c r="L2108" s="3">
        <f t="shared" si="68"/>
        <v>0</v>
      </c>
      <c r="M2108" s="20" t="str">
        <f>A2108&amp;L2108</f>
        <v>APD0</v>
      </c>
      <c r="N2108" s="3">
        <f>F2108</f>
        <v>0.19</v>
      </c>
      <c r="O2108" s="9">
        <f>H2108</f>
        <v>2.1999999999999999E-2</v>
      </c>
      <c r="P2108" s="10">
        <f t="shared" si="69"/>
        <v>2.4149999999999998E-2</v>
      </c>
      <c r="Q2108" s="10">
        <f>IF(K2108=0,IF(A2105=A2108,AVERAGE(O2105:O2108),"x"),0)</f>
        <v>0</v>
      </c>
      <c r="R2108" s="9">
        <f>IF(L2108&gt;2005,AVERAGE(O2105:O2124),0)</f>
        <v>0</v>
      </c>
      <c r="S2108" s="10">
        <f>IF(A2108=A2109,(N2108-N2109)/N2109,0)</f>
        <v>5.5555555555555608E-2</v>
      </c>
      <c r="T2108" s="10">
        <f>IF(L2108&gt;2005,(((N2108-N2128)/N2128)+1)^(1/5)-1,0)</f>
        <v>0</v>
      </c>
      <c r="U2108" s="10">
        <f t="shared" si="70"/>
        <v>0</v>
      </c>
      <c r="V2108" s="26">
        <f t="shared" si="71"/>
        <v>0</v>
      </c>
      <c r="W2108" s="3">
        <f>IF(A2108=A2109,N2108-N2109,0)</f>
        <v>1.0000000000000009E-2</v>
      </c>
      <c r="X2108" s="10">
        <f>IF(A2108=A2109,(N2108-N2109)/N2109,0)</f>
        <v>5.5555555555555608E-2</v>
      </c>
    </row>
    <row r="2109" spans="1:24" ht="16.5" customHeight="1">
      <c r="A2109" s="14" t="s">
        <v>46</v>
      </c>
      <c r="B2109" s="3">
        <f t="shared" si="64"/>
        <v>2000</v>
      </c>
      <c r="C2109" s="3">
        <f t="shared" si="65"/>
        <v>3</v>
      </c>
      <c r="D2109" s="20" t="str">
        <f t="shared" si="66"/>
        <v>APD20003</v>
      </c>
      <c r="E2109" s="15">
        <v>36615</v>
      </c>
      <c r="F2109" s="14">
        <v>0.18</v>
      </c>
      <c r="G2109" s="15">
        <v>36658</v>
      </c>
      <c r="H2109" s="14">
        <v>2.53E-2</v>
      </c>
      <c r="I2109" s="14">
        <v>0</v>
      </c>
      <c r="J2109" s="14">
        <v>0</v>
      </c>
      <c r="K2109" s="3">
        <f t="shared" si="67"/>
        <v>0</v>
      </c>
      <c r="L2109" s="3">
        <f t="shared" si="68"/>
        <v>2000</v>
      </c>
      <c r="M2109" s="20" t="str">
        <f>A2109&amp;L2109</f>
        <v>APD2000</v>
      </c>
      <c r="N2109" s="14">
        <f>F2109</f>
        <v>0.18</v>
      </c>
      <c r="O2109" s="9">
        <f>H2109</f>
        <v>2.53E-2</v>
      </c>
      <c r="P2109" s="10">
        <f t="shared" si="69"/>
        <v>0</v>
      </c>
      <c r="Q2109" s="10">
        <f>IF(K2109=0,IF(A2106=A2109,AVERAGE(O2106:O2109),"x"),0)</f>
        <v>2.18E-2</v>
      </c>
      <c r="R2109" s="9">
        <f>IF(L2109&gt;2005,AVERAGE(O2106:O2125),0)</f>
        <v>0</v>
      </c>
      <c r="S2109" s="10">
        <f>IF(A2109=A2110,(N2109-N2110)/N2110,0)</f>
        <v>0</v>
      </c>
      <c r="T2109" s="10">
        <f>IF(L2109&gt;2005,(((N2109-N2129)/N2129)+1)^(1/5)-1,0)</f>
        <v>0</v>
      </c>
      <c r="U2109" s="10">
        <f t="shared" si="70"/>
        <v>0</v>
      </c>
      <c r="V2109" s="26">
        <f t="shared" si="71"/>
        <v>0</v>
      </c>
      <c r="W2109" s="3">
        <f>IF(A2109=A2110,N2109-N2110,0)</f>
        <v>0</v>
      </c>
      <c r="X2109" s="10">
        <f>IF(A2109=A2110,(N2109-N2110)/N2110,0)</f>
        <v>0</v>
      </c>
    </row>
    <row r="2110" spans="1:24" ht="16.5" customHeight="1">
      <c r="A2110" s="3" t="s">
        <v>47</v>
      </c>
      <c r="B2110" s="3">
        <f t="shared" si="64"/>
        <v>2022</v>
      </c>
      <c r="C2110" s="3">
        <f t="shared" si="65"/>
        <v>9</v>
      </c>
      <c r="D2110" s="20" t="str">
        <f t="shared" si="66"/>
        <v>GPC20229</v>
      </c>
      <c r="E2110" s="2">
        <v>44805</v>
      </c>
      <c r="F2110" s="3">
        <v>0.89500000000000002</v>
      </c>
      <c r="G2110" s="2">
        <v>44837</v>
      </c>
      <c r="H2110" s="3">
        <v>2.29E-2</v>
      </c>
      <c r="I2110" s="3">
        <v>0</v>
      </c>
      <c r="J2110" s="3">
        <v>0</v>
      </c>
      <c r="K2110" s="3">
        <f t="shared" si="67"/>
        <v>2022</v>
      </c>
      <c r="L2110" s="3">
        <f t="shared" si="68"/>
        <v>0</v>
      </c>
      <c r="M2110" s="20" t="str">
        <f>A2110&amp;L2110</f>
        <v>GPC0</v>
      </c>
      <c r="N2110" s="3">
        <f>F2110</f>
        <v>0.89500000000000002</v>
      </c>
      <c r="O2110" s="9">
        <f>H2110</f>
        <v>2.29E-2</v>
      </c>
      <c r="P2110" s="10">
        <f t="shared" si="69"/>
        <v>0</v>
      </c>
      <c r="Q2110" s="10">
        <f>IF(K2110=0,IF(A2107=A2110,AVERAGE(O2107:O2110),"x"),0)</f>
        <v>0</v>
      </c>
      <c r="R2110" s="9">
        <f>IF(L2110&gt;2005,AVERAGE(O2107:O2126),0)</f>
        <v>0</v>
      </c>
      <c r="S2110" s="10">
        <f>IF(A2110=A2111,(N2110-N2111)/N2111,0)</f>
        <v>0</v>
      </c>
      <c r="T2110" s="10">
        <f>IF(L2110&gt;2005,(((N2110-N2130)/N2130)+1)^(1/5)-1,0)</f>
        <v>0</v>
      </c>
      <c r="U2110" s="10">
        <f t="shared" si="70"/>
        <v>0</v>
      </c>
      <c r="V2110" s="26">
        <f t="shared" si="71"/>
        <v>0</v>
      </c>
      <c r="W2110" s="3">
        <f>IF(A2110=A2111,N2110-N2111,0)</f>
        <v>0</v>
      </c>
      <c r="X2110" s="10">
        <f>IF(A2110=A2111,(N2110-N2111)/N2111,0)</f>
        <v>0</v>
      </c>
    </row>
    <row r="2111" spans="1:24" ht="16.5" customHeight="1">
      <c r="A2111" s="3" t="s">
        <v>47</v>
      </c>
      <c r="B2111" s="3">
        <f t="shared" si="64"/>
        <v>2022</v>
      </c>
      <c r="C2111" s="3">
        <f t="shared" si="65"/>
        <v>6</v>
      </c>
      <c r="D2111" s="20" t="str">
        <f t="shared" si="66"/>
        <v>GPC20226</v>
      </c>
      <c r="E2111" s="2">
        <v>44714</v>
      </c>
      <c r="F2111" s="3">
        <v>0.89500000000000002</v>
      </c>
      <c r="G2111" s="2">
        <v>44743</v>
      </c>
      <c r="H2111" s="3">
        <v>2.64E-2</v>
      </c>
      <c r="I2111" s="3">
        <v>0</v>
      </c>
      <c r="J2111" s="3">
        <v>0</v>
      </c>
      <c r="K2111" s="3">
        <f t="shared" si="67"/>
        <v>2022</v>
      </c>
      <c r="L2111" s="3">
        <f t="shared" si="68"/>
        <v>0</v>
      </c>
      <c r="M2111" s="20" t="str">
        <f>A2111&amp;L2111</f>
        <v>GPC0</v>
      </c>
      <c r="N2111" s="3">
        <f>F2111</f>
        <v>0.89500000000000002</v>
      </c>
      <c r="O2111" s="9">
        <f>H2111</f>
        <v>2.64E-2</v>
      </c>
      <c r="P2111" s="10">
        <f t="shared" si="69"/>
        <v>0</v>
      </c>
      <c r="Q2111" s="10">
        <f>IF(K2111=0,IF(A2108=A2111,AVERAGE(O2108:O2111),"x"),0)</f>
        <v>0</v>
      </c>
      <c r="R2111" s="9">
        <f>IF(L2111&gt;2005,AVERAGE(O2108:O2127),0)</f>
        <v>0</v>
      </c>
      <c r="S2111" s="10">
        <f>IF(A2111=A2112,(N2111-N2112)/N2112,0)</f>
        <v>0</v>
      </c>
      <c r="T2111" s="10">
        <f>IF(L2111&gt;2005,(((N2111-N2131)/N2131)+1)^(1/5)-1,0)</f>
        <v>0</v>
      </c>
      <c r="U2111" s="10">
        <f t="shared" si="70"/>
        <v>0</v>
      </c>
      <c r="V2111" s="26">
        <f t="shared" si="71"/>
        <v>0</v>
      </c>
      <c r="W2111" s="3">
        <f>IF(A2111=A2112,N2111-N2112,0)</f>
        <v>0</v>
      </c>
      <c r="X2111" s="10">
        <f>IF(A2111=A2112,(N2111-N2112)/N2112,0)</f>
        <v>0</v>
      </c>
    </row>
    <row r="2112" spans="1:24" ht="16.5" customHeight="1">
      <c r="A2112" s="3" t="s">
        <v>47</v>
      </c>
      <c r="B2112" s="3">
        <f t="shared" si="64"/>
        <v>2022</v>
      </c>
      <c r="C2112" s="3">
        <f t="shared" si="65"/>
        <v>3</v>
      </c>
      <c r="D2112" s="20" t="str">
        <f t="shared" si="66"/>
        <v>GPC20223</v>
      </c>
      <c r="E2112" s="2">
        <v>44623</v>
      </c>
      <c r="F2112" s="3">
        <v>0.89500000000000002</v>
      </c>
      <c r="G2112" s="2">
        <v>44652</v>
      </c>
      <c r="H2112" s="3">
        <v>2.87E-2</v>
      </c>
      <c r="I2112" s="3">
        <v>9.8159509000000006E-2</v>
      </c>
      <c r="J2112" s="3">
        <v>0.08</v>
      </c>
      <c r="K2112" s="3">
        <f t="shared" si="67"/>
        <v>0</v>
      </c>
      <c r="L2112" s="3">
        <f t="shared" si="68"/>
        <v>2022</v>
      </c>
      <c r="M2112" s="20" t="str">
        <f>A2112&amp;L2112</f>
        <v>GPC2022</v>
      </c>
      <c r="N2112" s="3">
        <f>F2112</f>
        <v>0.89500000000000002</v>
      </c>
      <c r="O2112" s="9">
        <f>H2112</f>
        <v>2.87E-2</v>
      </c>
      <c r="P2112" s="10">
        <f t="shared" si="69"/>
        <v>2.6474999999999999E-2</v>
      </c>
      <c r="Q2112" s="10" t="str">
        <f>IF(K2112=0,IF(A2109=A2112,AVERAGE(O2109:O2112),"x"),0)</f>
        <v>x</v>
      </c>
      <c r="R2112" s="9">
        <f>IF(L2112&gt;2005,AVERAGE(O2109:O2128),0)</f>
        <v>2.9239999999999995E-2</v>
      </c>
      <c r="S2112" s="10">
        <f>IF(A2112=A2113,(N2112-N2113)/N2113,0)</f>
        <v>9.8159509202454087E-2</v>
      </c>
      <c r="T2112" s="10">
        <f>IF(L2112&gt;2005,(((N2112-N2132)/N2132)+1)^(1/5)-1,0)</f>
        <v>5.8044301550421951E-2</v>
      </c>
      <c r="U2112" s="10">
        <f t="shared" si="70"/>
        <v>8.7284301550421939E-2</v>
      </c>
      <c r="V2112" s="26">
        <f t="shared" si="71"/>
        <v>4.6107853667097558</v>
      </c>
      <c r="W2112" s="3">
        <f>IF(A2112=A2113,N2112-N2113,0)</f>
        <v>8.0000000000000071E-2</v>
      </c>
      <c r="X2112" s="10">
        <f>IF(A2112=A2113,(N2112-N2113)/N2113,0)</f>
        <v>9.8159509202454087E-2</v>
      </c>
    </row>
    <row r="2113" spans="1:24" ht="16.5" customHeight="1">
      <c r="A2113" s="3" t="s">
        <v>47</v>
      </c>
      <c r="B2113" s="3">
        <f t="shared" si="64"/>
        <v>2021</v>
      </c>
      <c r="C2113" s="3">
        <f t="shared" si="65"/>
        <v>12</v>
      </c>
      <c r="D2113" s="20" t="str">
        <f t="shared" si="66"/>
        <v>GPC202112</v>
      </c>
      <c r="E2113" s="2">
        <v>44532</v>
      </c>
      <c r="F2113" s="3">
        <v>0.81499999999999995</v>
      </c>
      <c r="G2113" s="2">
        <v>44565</v>
      </c>
      <c r="H2113" s="3">
        <v>2.58E-2</v>
      </c>
      <c r="I2113" s="3">
        <v>0</v>
      </c>
      <c r="J2113" s="3">
        <v>0</v>
      </c>
      <c r="K2113" s="3">
        <f t="shared" si="67"/>
        <v>2021</v>
      </c>
      <c r="L2113" s="3">
        <f t="shared" si="68"/>
        <v>0</v>
      </c>
      <c r="M2113" s="20" t="str">
        <f>A2113&amp;L2113</f>
        <v>GPC0</v>
      </c>
      <c r="N2113" s="3">
        <f>F2113</f>
        <v>0.81499999999999995</v>
      </c>
      <c r="O2113" s="9">
        <f>H2113</f>
        <v>2.58E-2</v>
      </c>
      <c r="P2113" s="10">
        <f t="shared" si="69"/>
        <v>0</v>
      </c>
      <c r="Q2113" s="10">
        <f>IF(K2113=0,IF(A2110=A2113,AVERAGE(O2110:O2113),"x"),0)</f>
        <v>0</v>
      </c>
      <c r="R2113" s="9">
        <f>IF(L2113&gt;2005,AVERAGE(O2110:O2129),0)</f>
        <v>0</v>
      </c>
      <c r="S2113" s="10">
        <f>IF(A2113=A2114,(N2113-N2114)/N2114,0)</f>
        <v>0</v>
      </c>
      <c r="T2113" s="10">
        <f>IF(L2113&gt;2005,(((N2113-N2133)/N2133)+1)^(1/5)-1,0)</f>
        <v>0</v>
      </c>
      <c r="U2113" s="10">
        <f t="shared" si="70"/>
        <v>0</v>
      </c>
      <c r="V2113" s="26">
        <f t="shared" si="71"/>
        <v>0</v>
      </c>
      <c r="W2113" s="3">
        <f>IF(A2113=A2114,N2113-N2114,0)</f>
        <v>0</v>
      </c>
      <c r="X2113" s="10">
        <f>IF(A2113=A2114,(N2113-N2114)/N2114,0)</f>
        <v>0</v>
      </c>
    </row>
    <row r="2114" spans="1:24" ht="16.5" customHeight="1">
      <c r="A2114" s="3" t="s">
        <v>47</v>
      </c>
      <c r="B2114" s="3">
        <f t="shared" si="64"/>
        <v>2021</v>
      </c>
      <c r="C2114" s="3">
        <f t="shared" si="65"/>
        <v>9</v>
      </c>
      <c r="D2114" s="20" t="str">
        <f t="shared" si="66"/>
        <v>GPC20219</v>
      </c>
      <c r="E2114" s="2">
        <v>44441</v>
      </c>
      <c r="F2114" s="3">
        <v>0.81499999999999995</v>
      </c>
      <c r="G2114" s="2">
        <v>44470</v>
      </c>
      <c r="H2114" s="3">
        <v>2.6499999999999999E-2</v>
      </c>
      <c r="I2114" s="3">
        <v>0</v>
      </c>
      <c r="J2114" s="3">
        <v>0</v>
      </c>
      <c r="K2114" s="3">
        <f t="shared" si="67"/>
        <v>2021</v>
      </c>
      <c r="L2114" s="3">
        <f t="shared" si="68"/>
        <v>0</v>
      </c>
      <c r="M2114" s="20" t="str">
        <f>A2114&amp;L2114</f>
        <v>GPC0</v>
      </c>
      <c r="N2114" s="3">
        <f>F2114</f>
        <v>0.81499999999999995</v>
      </c>
      <c r="O2114" s="9">
        <f>H2114</f>
        <v>2.6499999999999999E-2</v>
      </c>
      <c r="P2114" s="10">
        <f t="shared" si="69"/>
        <v>0</v>
      </c>
      <c r="Q2114" s="10">
        <f>IF(K2114=0,IF(A2111=A2114,AVERAGE(O2111:O2114),"x"),0)</f>
        <v>0</v>
      </c>
      <c r="R2114" s="9">
        <f>IF(L2114&gt;2005,AVERAGE(O2111:O2130),0)</f>
        <v>0</v>
      </c>
      <c r="S2114" s="10">
        <f>IF(A2114=A2115,(N2114-N2115)/N2115,0)</f>
        <v>0</v>
      </c>
      <c r="T2114" s="10">
        <f>IF(L2114&gt;2005,(((N2114-N2134)/N2134)+1)^(1/5)-1,0)</f>
        <v>0</v>
      </c>
      <c r="U2114" s="10">
        <f t="shared" si="70"/>
        <v>0</v>
      </c>
      <c r="V2114" s="26">
        <f t="shared" si="71"/>
        <v>0</v>
      </c>
      <c r="W2114" s="3">
        <f>IF(A2114=A2115,N2114-N2115,0)</f>
        <v>0</v>
      </c>
      <c r="X2114" s="10">
        <f>IF(A2114=A2115,(N2114-N2115)/N2115,0)</f>
        <v>0</v>
      </c>
    </row>
    <row r="2115" spans="1:24" ht="16.5" customHeight="1">
      <c r="A2115" s="3" t="s">
        <v>47</v>
      </c>
      <c r="B2115" s="3">
        <f t="shared" si="64"/>
        <v>2021</v>
      </c>
      <c r="C2115" s="3">
        <f t="shared" si="65"/>
        <v>6</v>
      </c>
      <c r="D2115" s="20" t="str">
        <f t="shared" si="66"/>
        <v>GPC20216</v>
      </c>
      <c r="E2115" s="2">
        <v>44350</v>
      </c>
      <c r="F2115" s="3">
        <v>0.81499999999999995</v>
      </c>
      <c r="G2115" s="2">
        <v>44378</v>
      </c>
      <c r="H2115" s="3">
        <v>2.4899999999999999E-2</v>
      </c>
      <c r="I2115" s="3">
        <v>0</v>
      </c>
      <c r="J2115" s="3">
        <v>0</v>
      </c>
      <c r="K2115" s="3">
        <f t="shared" si="67"/>
        <v>2021</v>
      </c>
      <c r="L2115" s="3">
        <f t="shared" si="68"/>
        <v>0</v>
      </c>
      <c r="M2115" s="20" t="str">
        <f>A2115&amp;L2115</f>
        <v>GPC0</v>
      </c>
      <c r="N2115" s="3">
        <f>F2115</f>
        <v>0.81499999999999995</v>
      </c>
      <c r="O2115" s="9">
        <f>H2115</f>
        <v>2.4899999999999999E-2</v>
      </c>
      <c r="P2115" s="10">
        <f t="shared" si="69"/>
        <v>0</v>
      </c>
      <c r="Q2115" s="10">
        <f>IF(K2115=0,IF(A2112=A2115,AVERAGE(O2112:O2115),"x"),0)</f>
        <v>0</v>
      </c>
      <c r="R2115" s="9">
        <f>IF(L2115&gt;2005,AVERAGE(O2112:O2131),0)</f>
        <v>0</v>
      </c>
      <c r="S2115" s="10">
        <f>IF(A2115=A2116,(N2115-N2116)/N2116,0)</f>
        <v>0</v>
      </c>
      <c r="T2115" s="10">
        <f>IF(L2115&gt;2005,(((N2115-N2135)/N2135)+1)^(1/5)-1,0)</f>
        <v>0</v>
      </c>
      <c r="U2115" s="10">
        <f t="shared" si="70"/>
        <v>0</v>
      </c>
      <c r="V2115" s="26">
        <f t="shared" si="71"/>
        <v>0</v>
      </c>
      <c r="W2115" s="3">
        <f>IF(A2115=A2116,N2115-N2116,0)</f>
        <v>0</v>
      </c>
      <c r="X2115" s="10">
        <f>IF(A2115=A2116,(N2115-N2116)/N2116,0)</f>
        <v>0</v>
      </c>
    </row>
    <row r="2116" spans="1:24" ht="16.5" customHeight="1">
      <c r="A2116" s="3" t="s">
        <v>47</v>
      </c>
      <c r="B2116" s="3">
        <f t="shared" si="64"/>
        <v>2021</v>
      </c>
      <c r="C2116" s="3">
        <f t="shared" si="65"/>
        <v>3</v>
      </c>
      <c r="D2116" s="20" t="str">
        <f t="shared" si="66"/>
        <v>GPC20213</v>
      </c>
      <c r="E2116" s="2">
        <v>44259</v>
      </c>
      <c r="F2116" s="3">
        <v>0.81499999999999995</v>
      </c>
      <c r="G2116" s="2">
        <v>44287</v>
      </c>
      <c r="H2116" s="3">
        <v>2.9600000000000001E-2</v>
      </c>
      <c r="I2116" s="3">
        <v>3.1645569999999998E-2</v>
      </c>
      <c r="J2116" s="3">
        <v>2.5000000000000001E-2</v>
      </c>
      <c r="K2116" s="3">
        <f t="shared" si="67"/>
        <v>0</v>
      </c>
      <c r="L2116" s="3">
        <f t="shared" si="68"/>
        <v>2021</v>
      </c>
      <c r="M2116" s="20" t="str">
        <f>A2116&amp;L2116</f>
        <v>GPC2021</v>
      </c>
      <c r="N2116" s="3">
        <f>F2116</f>
        <v>0.81499999999999995</v>
      </c>
      <c r="O2116" s="9">
        <f>H2116</f>
        <v>2.9600000000000001E-2</v>
      </c>
      <c r="P2116" s="10">
        <f t="shared" si="69"/>
        <v>3.2350000000000004E-2</v>
      </c>
      <c r="Q2116" s="10">
        <f>IF(K2116=0,IF(A2113=A2116,AVERAGE(O2113:O2116),"x"),0)</f>
        <v>2.6699999999999998E-2</v>
      </c>
      <c r="R2116" s="9">
        <f>IF(L2116&gt;2005,AVERAGE(O2113:O2132),0)</f>
        <v>3.0004999999999997E-2</v>
      </c>
      <c r="S2116" s="10">
        <f>IF(A2116=A2117,(N2116-N2117)/N2117,0)</f>
        <v>3.1645569620253049E-2</v>
      </c>
      <c r="T2116" s="10">
        <f>IF(L2116&gt;2005,(((N2116-N2136)/N2136)+1)^(1/5)-1,0)</f>
        <v>4.3884310724384035E-2</v>
      </c>
      <c r="U2116" s="10">
        <f t="shared" si="70"/>
        <v>7.3889310724384039E-2</v>
      </c>
      <c r="V2116" s="26">
        <f t="shared" si="71"/>
        <v>4.5961824407154133</v>
      </c>
      <c r="W2116" s="3">
        <f>IF(A2116=A2117,N2116-N2117,0)</f>
        <v>2.4999999999999911E-2</v>
      </c>
      <c r="X2116" s="10">
        <f>IF(A2116=A2117,(N2116-N2117)/N2117,0)</f>
        <v>3.1645569620253049E-2</v>
      </c>
    </row>
    <row r="2117" spans="1:24" ht="16.5" customHeight="1">
      <c r="A2117" s="3" t="s">
        <v>47</v>
      </c>
      <c r="B2117" s="3">
        <f t="shared" si="64"/>
        <v>2020</v>
      </c>
      <c r="C2117" s="3">
        <f t="shared" si="65"/>
        <v>12</v>
      </c>
      <c r="D2117" s="20" t="str">
        <f t="shared" si="66"/>
        <v>GPC202012</v>
      </c>
      <c r="E2117" s="2">
        <v>44168</v>
      </c>
      <c r="F2117" s="3">
        <v>0.79</v>
      </c>
      <c r="G2117" s="2">
        <v>44200</v>
      </c>
      <c r="H2117" s="3">
        <v>3.2599999999999997E-2</v>
      </c>
      <c r="I2117" s="3">
        <v>0</v>
      </c>
      <c r="J2117" s="3">
        <v>0</v>
      </c>
      <c r="K2117" s="3">
        <f t="shared" si="67"/>
        <v>2020</v>
      </c>
      <c r="L2117" s="3">
        <f t="shared" si="68"/>
        <v>0</v>
      </c>
      <c r="M2117" s="20" t="str">
        <f>A2117&amp;L2117</f>
        <v>GPC0</v>
      </c>
      <c r="N2117" s="3">
        <f>F2117</f>
        <v>0.79</v>
      </c>
      <c r="O2117" s="9">
        <f>H2117</f>
        <v>3.2599999999999997E-2</v>
      </c>
      <c r="P2117" s="10">
        <f t="shared" si="69"/>
        <v>0</v>
      </c>
      <c r="Q2117" s="10">
        <f>IF(K2117=0,IF(A2114=A2117,AVERAGE(O2114:O2117),"x"),0)</f>
        <v>0</v>
      </c>
      <c r="R2117" s="9">
        <f>IF(L2117&gt;2005,AVERAGE(O2114:O2133),0)</f>
        <v>0</v>
      </c>
      <c r="S2117" s="10">
        <f>IF(A2117=A2118,(N2117-N2118)/N2118,0)</f>
        <v>0</v>
      </c>
      <c r="T2117" s="10">
        <f>IF(L2117&gt;2005,(((N2117-N2137)/N2137)+1)^(1/5)-1,0)</f>
        <v>0</v>
      </c>
      <c r="U2117" s="10">
        <f t="shared" si="70"/>
        <v>0</v>
      </c>
      <c r="V2117" s="26">
        <f t="shared" si="71"/>
        <v>0</v>
      </c>
      <c r="W2117" s="3">
        <f>IF(A2117=A2118,N2117-N2118,0)</f>
        <v>0</v>
      </c>
      <c r="X2117" s="10">
        <f>IF(A2117=A2118,(N2117-N2118)/N2118,0)</f>
        <v>0</v>
      </c>
    </row>
    <row r="2118" spans="1:24" ht="16.5" customHeight="1">
      <c r="A2118" s="3" t="s">
        <v>47</v>
      </c>
      <c r="B2118" s="3">
        <f t="shared" si="64"/>
        <v>2020</v>
      </c>
      <c r="C2118" s="3">
        <f t="shared" si="65"/>
        <v>9</v>
      </c>
      <c r="D2118" s="20" t="str">
        <f t="shared" si="66"/>
        <v>GPC20209</v>
      </c>
      <c r="E2118" s="2">
        <v>44077</v>
      </c>
      <c r="F2118" s="3">
        <v>0.79</v>
      </c>
      <c r="G2118" s="2">
        <v>44105</v>
      </c>
      <c r="H2118" s="3">
        <v>3.1800000000000002E-2</v>
      </c>
      <c r="I2118" s="3">
        <v>0</v>
      </c>
      <c r="J2118" s="3">
        <v>0</v>
      </c>
      <c r="K2118" s="3">
        <f t="shared" si="67"/>
        <v>2020</v>
      </c>
      <c r="L2118" s="3">
        <f t="shared" si="68"/>
        <v>0</v>
      </c>
      <c r="M2118" s="20" t="str">
        <f>A2118&amp;L2118</f>
        <v>GPC0</v>
      </c>
      <c r="N2118" s="3">
        <f>F2118</f>
        <v>0.79</v>
      </c>
      <c r="O2118" s="9">
        <f>H2118</f>
        <v>3.1800000000000002E-2</v>
      </c>
      <c r="P2118" s="10">
        <f t="shared" si="69"/>
        <v>0</v>
      </c>
      <c r="Q2118" s="10">
        <f>IF(K2118=0,IF(A2115=A2118,AVERAGE(O2115:O2118),"x"),0)</f>
        <v>0</v>
      </c>
      <c r="R2118" s="9">
        <f>IF(L2118&gt;2005,AVERAGE(O2115:O2134),0)</f>
        <v>0</v>
      </c>
      <c r="S2118" s="10">
        <f>IF(A2118=A2119,(N2118-N2119)/N2119,0)</f>
        <v>0</v>
      </c>
      <c r="T2118" s="10">
        <f>IF(L2118&gt;2005,(((N2118-N2138)/N2138)+1)^(1/5)-1,0)</f>
        <v>0</v>
      </c>
      <c r="U2118" s="10">
        <f t="shared" si="70"/>
        <v>0</v>
      </c>
      <c r="V2118" s="26">
        <f t="shared" si="71"/>
        <v>0</v>
      </c>
      <c r="W2118" s="3">
        <f>IF(A2118=A2119,N2118-N2119,0)</f>
        <v>0</v>
      </c>
      <c r="X2118" s="10">
        <f>IF(A2118=A2119,(N2118-N2119)/N2119,0)</f>
        <v>0</v>
      </c>
    </row>
    <row r="2119" spans="1:24" ht="16.5" customHeight="1">
      <c r="A2119" s="3" t="s">
        <v>47</v>
      </c>
      <c r="B2119" s="3">
        <f t="shared" si="64"/>
        <v>2020</v>
      </c>
      <c r="C2119" s="3">
        <f t="shared" si="65"/>
        <v>6</v>
      </c>
      <c r="D2119" s="20" t="str">
        <f t="shared" si="66"/>
        <v>GPC20206</v>
      </c>
      <c r="E2119" s="2">
        <v>43986</v>
      </c>
      <c r="F2119" s="3">
        <v>0.79</v>
      </c>
      <c r="G2119" s="2">
        <v>44013</v>
      </c>
      <c r="H2119" s="3">
        <v>3.5400000000000001E-2</v>
      </c>
      <c r="I2119" s="3">
        <v>0</v>
      </c>
      <c r="J2119" s="3">
        <v>0</v>
      </c>
      <c r="K2119" s="3">
        <f t="shared" si="67"/>
        <v>2020</v>
      </c>
      <c r="L2119" s="3">
        <f t="shared" si="68"/>
        <v>0</v>
      </c>
      <c r="M2119" s="20" t="str">
        <f>A2119&amp;L2119</f>
        <v>GPC0</v>
      </c>
      <c r="N2119" s="3">
        <f>F2119</f>
        <v>0.79</v>
      </c>
      <c r="O2119" s="9">
        <f>H2119</f>
        <v>3.5400000000000001E-2</v>
      </c>
      <c r="P2119" s="10">
        <f t="shared" si="69"/>
        <v>0</v>
      </c>
      <c r="Q2119" s="10">
        <f>IF(K2119=0,IF(A2116=A2119,AVERAGE(O2116:O2119),"x"),0)</f>
        <v>0</v>
      </c>
      <c r="R2119" s="9">
        <f>IF(L2119&gt;2005,AVERAGE(O2116:O2135),0)</f>
        <v>0</v>
      </c>
      <c r="S2119" s="10">
        <f>IF(A2119=A2120,(N2119-N2120)/N2120,0)</f>
        <v>0</v>
      </c>
      <c r="T2119" s="10">
        <f>IF(L2119&gt;2005,(((N2119-N2139)/N2139)+1)^(1/5)-1,0)</f>
        <v>0</v>
      </c>
      <c r="U2119" s="10">
        <f t="shared" si="70"/>
        <v>0</v>
      </c>
      <c r="V2119" s="26">
        <f t="shared" si="71"/>
        <v>0</v>
      </c>
      <c r="W2119" s="3">
        <f>IF(A2119=A2120,N2119-N2120,0)</f>
        <v>0</v>
      </c>
      <c r="X2119" s="10">
        <f>IF(A2119=A2120,(N2119-N2120)/N2120,0)</f>
        <v>0</v>
      </c>
    </row>
    <row r="2120" spans="1:24" ht="16.5" customHeight="1">
      <c r="A2120" s="3" t="s">
        <v>47</v>
      </c>
      <c r="B2120" s="3">
        <f t="shared" si="64"/>
        <v>2020</v>
      </c>
      <c r="C2120" s="3">
        <f t="shared" si="65"/>
        <v>3</v>
      </c>
      <c r="D2120" s="20" t="str">
        <f t="shared" si="66"/>
        <v>GPC20203</v>
      </c>
      <c r="E2120" s="2">
        <v>43895</v>
      </c>
      <c r="F2120" s="3">
        <v>0.79</v>
      </c>
      <c r="G2120" s="2">
        <v>43922</v>
      </c>
      <c r="H2120" s="3">
        <v>3.5400000000000001E-2</v>
      </c>
      <c r="I2120" s="3">
        <v>3.6065574000000003E-2</v>
      </c>
      <c r="J2120" s="3">
        <v>2.75E-2</v>
      </c>
      <c r="K2120" s="3">
        <f t="shared" si="67"/>
        <v>0</v>
      </c>
      <c r="L2120" s="3">
        <f t="shared" si="68"/>
        <v>2020</v>
      </c>
      <c r="M2120" s="20" t="str">
        <f>A2120&amp;L2120</f>
        <v>GPC2020</v>
      </c>
      <c r="N2120" s="3">
        <f>F2120</f>
        <v>0.79</v>
      </c>
      <c r="O2120" s="9">
        <f>H2120</f>
        <v>3.5400000000000001E-2</v>
      </c>
      <c r="P2120" s="10">
        <f t="shared" si="69"/>
        <v>3.2049999999999995E-2</v>
      </c>
      <c r="Q2120" s="10">
        <f>IF(K2120=0,IF(A2117=A2120,AVERAGE(O2117:O2120),"x"),0)</f>
        <v>3.3799999999999997E-2</v>
      </c>
      <c r="R2120" s="9">
        <f>IF(L2120&gt;2005,AVERAGE(O2117:O2136),0)</f>
        <v>3.0080000000000003E-2</v>
      </c>
      <c r="S2120" s="10">
        <f>IF(A2120=A2121,(N2120-N2121)/N2121,0)</f>
        <v>3.606557377049191E-2</v>
      </c>
      <c r="T2120" s="10">
        <f>IF(L2120&gt;2005,(((N2120-N2140)/N2140)+1)^(1/5)-1,0)</f>
        <v>5.1357446631818515E-2</v>
      </c>
      <c r="U2120" s="10">
        <f t="shared" si="70"/>
        <v>8.1437446631818511E-2</v>
      </c>
      <c r="V2120" s="26">
        <f t="shared" si="71"/>
        <v>4.5979316134413555</v>
      </c>
      <c r="W2120" s="3">
        <f>IF(A2120=A2121,N2120-N2121,0)</f>
        <v>2.750000000000008E-2</v>
      </c>
      <c r="X2120" s="10">
        <f>IF(A2120=A2121,(N2120-N2121)/N2121,0)</f>
        <v>3.606557377049191E-2</v>
      </c>
    </row>
    <row r="2121" spans="1:24" ht="16.5" customHeight="1">
      <c r="A2121" s="3" t="s">
        <v>47</v>
      </c>
      <c r="B2121" s="3">
        <f t="shared" si="64"/>
        <v>2019</v>
      </c>
      <c r="C2121" s="3">
        <f t="shared" si="65"/>
        <v>12</v>
      </c>
      <c r="D2121" s="20" t="str">
        <f t="shared" si="66"/>
        <v>GPC201912</v>
      </c>
      <c r="E2121" s="2">
        <v>43804</v>
      </c>
      <c r="F2121" s="3">
        <v>0.76249999999999996</v>
      </c>
      <c r="G2121" s="2">
        <v>43832</v>
      </c>
      <c r="H2121" s="3">
        <v>2.9399999999999999E-2</v>
      </c>
      <c r="I2121" s="3">
        <v>0</v>
      </c>
      <c r="J2121" s="3">
        <v>0</v>
      </c>
      <c r="K2121" s="3">
        <f t="shared" si="67"/>
        <v>2019</v>
      </c>
      <c r="L2121" s="3">
        <f t="shared" si="68"/>
        <v>0</v>
      </c>
      <c r="M2121" s="20" t="str">
        <f>A2121&amp;L2121</f>
        <v>GPC0</v>
      </c>
      <c r="N2121" s="3">
        <f>F2121</f>
        <v>0.76249999999999996</v>
      </c>
      <c r="O2121" s="9">
        <f>H2121</f>
        <v>2.9399999999999999E-2</v>
      </c>
      <c r="P2121" s="10">
        <f t="shared" si="69"/>
        <v>0</v>
      </c>
      <c r="Q2121" s="10">
        <f>IF(K2121=0,IF(A2118=A2121,AVERAGE(O2118:O2121),"x"),0)</f>
        <v>0</v>
      </c>
      <c r="R2121" s="9">
        <f>IF(L2121&gt;2005,AVERAGE(O2118:O2137),0)</f>
        <v>0</v>
      </c>
      <c r="S2121" s="10">
        <f>IF(A2121=A2122,(N2121-N2122)/N2122,0)</f>
        <v>0</v>
      </c>
      <c r="T2121" s="10">
        <f>IF(L2121&gt;2005,(((N2121-N2141)/N2141)+1)^(1/5)-1,0)</f>
        <v>0</v>
      </c>
      <c r="U2121" s="10">
        <f t="shared" si="70"/>
        <v>0</v>
      </c>
      <c r="V2121" s="26">
        <f t="shared" si="71"/>
        <v>0</v>
      </c>
      <c r="W2121" s="3">
        <f>IF(A2121=A2122,N2121-N2122,0)</f>
        <v>0</v>
      </c>
      <c r="X2121" s="10">
        <f>IF(A2121=A2122,(N2121-N2122)/N2122,0)</f>
        <v>0</v>
      </c>
    </row>
    <row r="2122" spans="1:24" ht="16.5" customHeight="1">
      <c r="A2122" s="3" t="s">
        <v>47</v>
      </c>
      <c r="B2122" s="3">
        <f t="shared" si="64"/>
        <v>2019</v>
      </c>
      <c r="C2122" s="3">
        <f t="shared" si="65"/>
        <v>9</v>
      </c>
      <c r="D2122" s="20" t="str">
        <f t="shared" si="66"/>
        <v>GPC20199</v>
      </c>
      <c r="E2122" s="2">
        <v>43713</v>
      </c>
      <c r="F2122" s="3">
        <v>0.76249999999999996</v>
      </c>
      <c r="G2122" s="2">
        <v>43739</v>
      </c>
      <c r="H2122" s="3">
        <v>3.3300000000000003E-2</v>
      </c>
      <c r="I2122" s="3">
        <v>0</v>
      </c>
      <c r="J2122" s="3">
        <v>0</v>
      </c>
      <c r="K2122" s="3">
        <f t="shared" si="67"/>
        <v>2019</v>
      </c>
      <c r="L2122" s="3">
        <f t="shared" si="68"/>
        <v>0</v>
      </c>
      <c r="M2122" s="20" t="str">
        <f>A2122&amp;L2122</f>
        <v>GPC0</v>
      </c>
      <c r="N2122" s="3">
        <f>F2122</f>
        <v>0.76249999999999996</v>
      </c>
      <c r="O2122" s="9">
        <f>H2122</f>
        <v>3.3300000000000003E-2</v>
      </c>
      <c r="P2122" s="10">
        <f t="shared" si="69"/>
        <v>0</v>
      </c>
      <c r="Q2122" s="10">
        <f>IF(K2122=0,IF(A2119=A2122,AVERAGE(O2119:O2122),"x"),0)</f>
        <v>0</v>
      </c>
      <c r="R2122" s="9">
        <f>IF(L2122&gt;2005,AVERAGE(O2119:O2138),0)</f>
        <v>0</v>
      </c>
      <c r="S2122" s="10">
        <f>IF(A2122=A2123,(N2122-N2123)/N2123,0)</f>
        <v>0</v>
      </c>
      <c r="T2122" s="10">
        <f>IF(L2122&gt;2005,(((N2122-N2142)/N2142)+1)^(1/5)-1,0)</f>
        <v>0</v>
      </c>
      <c r="U2122" s="10">
        <f t="shared" si="70"/>
        <v>0</v>
      </c>
      <c r="V2122" s="26">
        <f t="shared" si="71"/>
        <v>0</v>
      </c>
      <c r="W2122" s="3">
        <f>IF(A2122=A2123,N2122-N2123,0)</f>
        <v>0</v>
      </c>
      <c r="X2122" s="10">
        <f>IF(A2122=A2123,(N2122-N2123)/N2123,0)</f>
        <v>0</v>
      </c>
    </row>
    <row r="2123" spans="1:24" ht="16.5" customHeight="1">
      <c r="A2123" s="3" t="s">
        <v>47</v>
      </c>
      <c r="B2123" s="3">
        <f t="shared" si="64"/>
        <v>2019</v>
      </c>
      <c r="C2123" s="3">
        <f t="shared" si="65"/>
        <v>6</v>
      </c>
      <c r="D2123" s="20" t="str">
        <f t="shared" si="66"/>
        <v>GPC20196</v>
      </c>
      <c r="E2123" s="2">
        <v>43622</v>
      </c>
      <c r="F2123" s="3">
        <v>0.76249999999999996</v>
      </c>
      <c r="G2123" s="2">
        <v>43647</v>
      </c>
      <c r="H2123" s="3">
        <v>3.0099999999999998E-2</v>
      </c>
      <c r="I2123" s="3">
        <v>0</v>
      </c>
      <c r="J2123" s="3">
        <v>0</v>
      </c>
      <c r="K2123" s="3">
        <f t="shared" si="67"/>
        <v>2019</v>
      </c>
      <c r="L2123" s="3">
        <f t="shared" si="68"/>
        <v>0</v>
      </c>
      <c r="M2123" s="20" t="str">
        <f>A2123&amp;L2123</f>
        <v>GPC0</v>
      </c>
      <c r="N2123" s="3">
        <f>F2123</f>
        <v>0.76249999999999996</v>
      </c>
      <c r="O2123" s="9">
        <f>H2123</f>
        <v>3.0099999999999998E-2</v>
      </c>
      <c r="P2123" s="10">
        <f t="shared" si="69"/>
        <v>0</v>
      </c>
      <c r="Q2123" s="10">
        <f>IF(K2123=0,IF(A2120=A2123,AVERAGE(O2120:O2123),"x"),0)</f>
        <v>0</v>
      </c>
      <c r="R2123" s="9">
        <f>IF(L2123&gt;2005,AVERAGE(O2120:O2139),0)</f>
        <v>0</v>
      </c>
      <c r="S2123" s="10">
        <f>IF(A2123=A2124,(N2123-N2124)/N2124,0)</f>
        <v>0</v>
      </c>
      <c r="T2123" s="10">
        <f>IF(L2123&gt;2005,(((N2123-N2143)/N2143)+1)^(1/5)-1,0)</f>
        <v>0</v>
      </c>
      <c r="U2123" s="10">
        <f t="shared" si="70"/>
        <v>0</v>
      </c>
      <c r="V2123" s="26">
        <f t="shared" si="71"/>
        <v>0</v>
      </c>
      <c r="W2123" s="3">
        <f>IF(A2123=A2124,N2123-N2124,0)</f>
        <v>0</v>
      </c>
      <c r="X2123" s="10">
        <f>IF(A2123=A2124,(N2123-N2124)/N2124,0)</f>
        <v>0</v>
      </c>
    </row>
    <row r="2124" spans="1:24" ht="16.5" customHeight="1">
      <c r="A2124" s="3" t="s">
        <v>47</v>
      </c>
      <c r="B2124" s="3">
        <f t="shared" si="64"/>
        <v>2019</v>
      </c>
      <c r="C2124" s="3">
        <f t="shared" si="65"/>
        <v>3</v>
      </c>
      <c r="D2124" s="20" t="str">
        <f t="shared" si="66"/>
        <v>GPC20193</v>
      </c>
      <c r="E2124" s="2">
        <v>43531</v>
      </c>
      <c r="F2124" s="3">
        <v>0.76249999999999996</v>
      </c>
      <c r="G2124" s="2">
        <v>43556</v>
      </c>
      <c r="H2124" s="3">
        <v>2.8299999999999999E-2</v>
      </c>
      <c r="I2124" s="3">
        <v>5.9027778000000003E-2</v>
      </c>
      <c r="J2124" s="3">
        <v>4.2500000000000003E-2</v>
      </c>
      <c r="K2124" s="3">
        <f t="shared" si="67"/>
        <v>0</v>
      </c>
      <c r="L2124" s="3">
        <f t="shared" si="68"/>
        <v>2019</v>
      </c>
      <c r="M2124" s="20" t="str">
        <f>A2124&amp;L2124</f>
        <v>GPC2019</v>
      </c>
      <c r="N2124" s="3">
        <f>F2124</f>
        <v>0.76249999999999996</v>
      </c>
      <c r="O2124" s="9">
        <f>H2124</f>
        <v>2.8299999999999999E-2</v>
      </c>
      <c r="P2124" s="10">
        <f t="shared" si="69"/>
        <v>2.8825E-2</v>
      </c>
      <c r="Q2124" s="10">
        <f>IF(K2124=0,IF(A2121=A2124,AVERAGE(O2121:O2124),"x"),0)</f>
        <v>3.0275000000000003E-2</v>
      </c>
      <c r="R2124" s="9">
        <f>IF(L2124&gt;2005,AVERAGE(O2121:O2140),0)</f>
        <v>2.8704999999999998E-2</v>
      </c>
      <c r="S2124" s="10">
        <f>IF(A2124=A2125,(N2124-N2125)/N2125,0)</f>
        <v>5.9027777777777755E-2</v>
      </c>
      <c r="T2124" s="10">
        <f>IF(L2124&gt;2005,(((N2124-N2144)/N2144)+1)^(1/5)-1,0)</f>
        <v>5.8069999702146546E-2</v>
      </c>
      <c r="U2124" s="10">
        <f t="shared" si="70"/>
        <v>8.6774999702146541E-2</v>
      </c>
      <c r="V2124" s="26">
        <f t="shared" si="71"/>
        <v>4.617484281266238</v>
      </c>
      <c r="W2124" s="3">
        <f>IF(A2124=A2125,N2124-N2125,0)</f>
        <v>4.2499999999999982E-2</v>
      </c>
      <c r="X2124" s="10">
        <f>IF(A2124=A2125,(N2124-N2125)/N2125,0)</f>
        <v>5.9027777777777755E-2</v>
      </c>
    </row>
    <row r="2125" spans="1:24" ht="16.5" customHeight="1">
      <c r="A2125" s="3" t="s">
        <v>47</v>
      </c>
      <c r="B2125" s="3">
        <f t="shared" si="64"/>
        <v>2018</v>
      </c>
      <c r="C2125" s="3">
        <f t="shared" si="65"/>
        <v>12</v>
      </c>
      <c r="D2125" s="20" t="str">
        <f t="shared" si="66"/>
        <v>GPC201812</v>
      </c>
      <c r="E2125" s="2">
        <v>43440</v>
      </c>
      <c r="F2125" s="3">
        <v>0.72</v>
      </c>
      <c r="G2125" s="2">
        <v>43467</v>
      </c>
      <c r="H2125" s="3">
        <v>2.7900000000000001E-2</v>
      </c>
      <c r="I2125" s="3">
        <v>0</v>
      </c>
      <c r="J2125" s="3">
        <v>0</v>
      </c>
      <c r="K2125" s="3">
        <f t="shared" si="67"/>
        <v>2018</v>
      </c>
      <c r="L2125" s="3">
        <f t="shared" si="68"/>
        <v>0</v>
      </c>
      <c r="M2125" s="20" t="str">
        <f>A2125&amp;L2125</f>
        <v>GPC0</v>
      </c>
      <c r="N2125" s="3">
        <f>F2125</f>
        <v>0.72</v>
      </c>
      <c r="O2125" s="9">
        <f>H2125</f>
        <v>2.7900000000000001E-2</v>
      </c>
      <c r="P2125" s="10">
        <f t="shared" si="69"/>
        <v>0</v>
      </c>
      <c r="Q2125" s="10">
        <f>IF(K2125=0,IF(A2122=A2125,AVERAGE(O2122:O2125),"x"),0)</f>
        <v>0</v>
      </c>
      <c r="R2125" s="9">
        <f>IF(L2125&gt;2005,AVERAGE(O2122:O2141),0)</f>
        <v>0</v>
      </c>
      <c r="S2125" s="10">
        <f>IF(A2125=A2126,(N2125-N2126)/N2126,0)</f>
        <v>0</v>
      </c>
      <c r="T2125" s="10">
        <f>IF(L2125&gt;2005,(((N2125-N2145)/N2145)+1)^(1/5)-1,0)</f>
        <v>0</v>
      </c>
      <c r="U2125" s="10">
        <f t="shared" si="70"/>
        <v>0</v>
      </c>
      <c r="V2125" s="26">
        <f t="shared" si="71"/>
        <v>0</v>
      </c>
      <c r="W2125" s="3">
        <f>IF(A2125=A2126,N2125-N2126,0)</f>
        <v>0</v>
      </c>
      <c r="X2125" s="10">
        <f>IF(A2125=A2126,(N2125-N2126)/N2126,0)</f>
        <v>0</v>
      </c>
    </row>
    <row r="2126" spans="1:24" ht="16.5" customHeight="1">
      <c r="A2126" s="3" t="s">
        <v>47</v>
      </c>
      <c r="B2126" s="3">
        <f t="shared" si="64"/>
        <v>2018</v>
      </c>
      <c r="C2126" s="3">
        <f t="shared" si="65"/>
        <v>9</v>
      </c>
      <c r="D2126" s="20" t="str">
        <f t="shared" si="66"/>
        <v>GPC20189</v>
      </c>
      <c r="E2126" s="2">
        <v>43349</v>
      </c>
      <c r="F2126" s="3">
        <v>0.72</v>
      </c>
      <c r="G2126" s="2">
        <v>43374</v>
      </c>
      <c r="H2126" s="3">
        <v>2.8500000000000001E-2</v>
      </c>
      <c r="I2126" s="3">
        <v>0</v>
      </c>
      <c r="J2126" s="3">
        <v>0</v>
      </c>
      <c r="K2126" s="3">
        <f t="shared" si="67"/>
        <v>2018</v>
      </c>
      <c r="L2126" s="3">
        <f t="shared" si="68"/>
        <v>0</v>
      </c>
      <c r="M2126" s="20" t="str">
        <f>A2126&amp;L2126</f>
        <v>GPC0</v>
      </c>
      <c r="N2126" s="3">
        <f>F2126</f>
        <v>0.72</v>
      </c>
      <c r="O2126" s="9">
        <f>H2126</f>
        <v>2.8500000000000001E-2</v>
      </c>
      <c r="P2126" s="10">
        <f t="shared" si="69"/>
        <v>0</v>
      </c>
      <c r="Q2126" s="10">
        <f>IF(K2126=0,IF(A2123=A2126,AVERAGE(O2123:O2126),"x"),0)</f>
        <v>0</v>
      </c>
      <c r="R2126" s="9">
        <f>IF(L2126&gt;2005,AVERAGE(O2123:O2142),0)</f>
        <v>0</v>
      </c>
      <c r="S2126" s="10">
        <f>IF(A2126=A2127,(N2126-N2127)/N2127,0)</f>
        <v>0</v>
      </c>
      <c r="T2126" s="10">
        <f>IF(L2126&gt;2005,(((N2126-N2146)/N2146)+1)^(1/5)-1,0)</f>
        <v>0</v>
      </c>
      <c r="U2126" s="10">
        <f t="shared" si="70"/>
        <v>0</v>
      </c>
      <c r="V2126" s="26">
        <f t="shared" si="71"/>
        <v>0</v>
      </c>
      <c r="W2126" s="3">
        <f>IF(A2126=A2127,N2126-N2127,0)</f>
        <v>0</v>
      </c>
      <c r="X2126" s="10">
        <f>IF(A2126=A2127,(N2126-N2127)/N2127,0)</f>
        <v>0</v>
      </c>
    </row>
    <row r="2127" spans="1:24" ht="16.5" customHeight="1">
      <c r="A2127" s="3" t="s">
        <v>47</v>
      </c>
      <c r="B2127" s="3">
        <f t="shared" si="64"/>
        <v>2018</v>
      </c>
      <c r="C2127" s="3">
        <f t="shared" si="65"/>
        <v>6</v>
      </c>
      <c r="D2127" s="20" t="str">
        <f t="shared" si="66"/>
        <v>GPC20186</v>
      </c>
      <c r="E2127" s="2">
        <v>43258</v>
      </c>
      <c r="F2127" s="3">
        <v>0.72</v>
      </c>
      <c r="G2127" s="2">
        <v>43283</v>
      </c>
      <c r="H2127" s="3">
        <v>3.0599999999999999E-2</v>
      </c>
      <c r="I2127" s="3">
        <v>0</v>
      </c>
      <c r="J2127" s="3">
        <v>0</v>
      </c>
      <c r="K2127" s="3">
        <f t="shared" si="67"/>
        <v>2018</v>
      </c>
      <c r="L2127" s="3">
        <f t="shared" si="68"/>
        <v>0</v>
      </c>
      <c r="M2127" s="20" t="str">
        <f>A2127&amp;L2127</f>
        <v>GPC0</v>
      </c>
      <c r="N2127" s="3">
        <f>F2127</f>
        <v>0.72</v>
      </c>
      <c r="O2127" s="9">
        <f>H2127</f>
        <v>3.0599999999999999E-2</v>
      </c>
      <c r="P2127" s="10">
        <f t="shared" si="69"/>
        <v>0</v>
      </c>
      <c r="Q2127" s="10">
        <f>IF(K2127=0,IF(A2124=A2127,AVERAGE(O2124:O2127),"x"),0)</f>
        <v>0</v>
      </c>
      <c r="R2127" s="9">
        <f>IF(L2127&gt;2005,AVERAGE(O2124:O2143),0)</f>
        <v>0</v>
      </c>
      <c r="S2127" s="10">
        <f>IF(A2127=A2128,(N2127-N2128)/N2128,0)</f>
        <v>0</v>
      </c>
      <c r="T2127" s="10">
        <f>IF(L2127&gt;2005,(((N2127-N2147)/N2147)+1)^(1/5)-1,0)</f>
        <v>0</v>
      </c>
      <c r="U2127" s="10">
        <f t="shared" si="70"/>
        <v>0</v>
      </c>
      <c r="V2127" s="26">
        <f t="shared" si="71"/>
        <v>0</v>
      </c>
      <c r="W2127" s="3">
        <f>IF(A2127=A2128,N2127-N2128,0)</f>
        <v>0</v>
      </c>
      <c r="X2127" s="10">
        <f>IF(A2127=A2128,(N2127-N2128)/N2128,0)</f>
        <v>0</v>
      </c>
    </row>
    <row r="2128" spans="1:24" ht="16.5" customHeight="1">
      <c r="A2128" s="3" t="s">
        <v>47</v>
      </c>
      <c r="B2128" s="3">
        <f t="shared" si="64"/>
        <v>2018</v>
      </c>
      <c r="C2128" s="3">
        <f t="shared" si="65"/>
        <v>3</v>
      </c>
      <c r="D2128" s="20" t="str">
        <f t="shared" si="66"/>
        <v>GPC20183</v>
      </c>
      <c r="E2128" s="2">
        <v>43167</v>
      </c>
      <c r="F2128" s="3">
        <v>0.72</v>
      </c>
      <c r="G2128" s="2">
        <v>43192</v>
      </c>
      <c r="H2128" s="3">
        <v>3.1399999999999997E-2</v>
      </c>
      <c r="I2128" s="3">
        <v>6.6666666999999999E-2</v>
      </c>
      <c r="J2128" s="3">
        <v>4.4999999999999998E-2</v>
      </c>
      <c r="K2128" s="3">
        <f t="shared" si="67"/>
        <v>0</v>
      </c>
      <c r="L2128" s="3">
        <f t="shared" si="68"/>
        <v>2018</v>
      </c>
      <c r="M2128" s="20" t="str">
        <f>A2128&amp;L2128</f>
        <v>GPC2018</v>
      </c>
      <c r="N2128" s="3">
        <f>F2128</f>
        <v>0.72</v>
      </c>
      <c r="O2128" s="9">
        <f>H2128</f>
        <v>3.1399999999999997E-2</v>
      </c>
      <c r="P2128" s="10">
        <f t="shared" si="69"/>
        <v>3.0274999999999996E-2</v>
      </c>
      <c r="Q2128" s="10">
        <f>IF(K2128=0,IF(A2125=A2128,AVERAGE(O2125:O2128),"x"),0)</f>
        <v>2.9600000000000001E-2</v>
      </c>
      <c r="R2128" s="9">
        <f>IF(L2128&gt;2005,AVERAGE(O2125:O2144),0)</f>
        <v>2.7600000000000003E-2</v>
      </c>
      <c r="S2128" s="10">
        <f>IF(A2128=A2129,(N2128-N2129)/N2129,0)</f>
        <v>6.6666666666666555E-2</v>
      </c>
      <c r="T2128" s="10">
        <f>IF(L2128&gt;2005,(((N2128-N2148)/N2148)+1)^(1/5)-1,0)</f>
        <v>6.0207337489450063E-2</v>
      </c>
      <c r="U2128" s="10">
        <f t="shared" si="70"/>
        <v>8.7807337489450063E-2</v>
      </c>
      <c r="V2128" s="26">
        <f t="shared" si="71"/>
        <v>4.6320502884594452</v>
      </c>
      <c r="W2128" s="3">
        <f>IF(A2128=A2129,N2128-N2129,0)</f>
        <v>4.4999999999999929E-2</v>
      </c>
      <c r="X2128" s="10">
        <f>IF(A2128=A2129,(N2128-N2129)/N2129,0)</f>
        <v>6.6666666666666555E-2</v>
      </c>
    </row>
    <row r="2129" spans="1:24" ht="16.5" customHeight="1">
      <c r="A2129" s="3" t="s">
        <v>47</v>
      </c>
      <c r="B2129" s="3">
        <f t="shared" si="64"/>
        <v>2017</v>
      </c>
      <c r="C2129" s="3">
        <f t="shared" si="65"/>
        <v>12</v>
      </c>
      <c r="D2129" s="20" t="str">
        <f t="shared" si="66"/>
        <v>GPC201712</v>
      </c>
      <c r="E2129" s="2">
        <v>43076</v>
      </c>
      <c r="F2129" s="3">
        <v>0.67500000000000004</v>
      </c>
      <c r="G2129" s="2">
        <v>43102</v>
      </c>
      <c r="H2129" s="3">
        <v>2.8799999999999999E-2</v>
      </c>
      <c r="I2129" s="3">
        <v>0</v>
      </c>
      <c r="J2129" s="3">
        <v>0</v>
      </c>
      <c r="K2129" s="3">
        <f t="shared" si="67"/>
        <v>2017</v>
      </c>
      <c r="L2129" s="3">
        <f t="shared" si="68"/>
        <v>0</v>
      </c>
      <c r="M2129" s="20" t="str">
        <f>A2129&amp;L2129</f>
        <v>GPC0</v>
      </c>
      <c r="N2129" s="3">
        <f>F2129</f>
        <v>0.67500000000000004</v>
      </c>
      <c r="O2129" s="9">
        <f>H2129</f>
        <v>2.8799999999999999E-2</v>
      </c>
      <c r="P2129" s="10">
        <f t="shared" si="69"/>
        <v>0</v>
      </c>
      <c r="Q2129" s="10">
        <f>IF(K2129=0,IF(A2126=A2129,AVERAGE(O2126:O2129),"x"),0)</f>
        <v>0</v>
      </c>
      <c r="R2129" s="9">
        <f>IF(L2129&gt;2005,AVERAGE(O2126:O2145),0)</f>
        <v>0</v>
      </c>
      <c r="S2129" s="10">
        <f>IF(A2129=A2130,(N2129-N2130)/N2130,0)</f>
        <v>0</v>
      </c>
      <c r="T2129" s="10">
        <f>IF(L2129&gt;2005,(((N2129-N2149)/N2149)+1)^(1/5)-1,0)</f>
        <v>0</v>
      </c>
      <c r="U2129" s="10">
        <f t="shared" si="70"/>
        <v>0</v>
      </c>
      <c r="V2129" s="26">
        <f t="shared" si="71"/>
        <v>0</v>
      </c>
      <c r="W2129" s="3">
        <f>IF(A2129=A2130,N2129-N2130,0)</f>
        <v>0</v>
      </c>
      <c r="X2129" s="10">
        <f>IF(A2129=A2130,(N2129-N2130)/N2130,0)</f>
        <v>0</v>
      </c>
    </row>
    <row r="2130" spans="1:24" ht="16.5" customHeight="1">
      <c r="A2130" s="3" t="s">
        <v>47</v>
      </c>
      <c r="B2130" s="3">
        <f t="shared" si="64"/>
        <v>2017</v>
      </c>
      <c r="C2130" s="3">
        <f t="shared" si="65"/>
        <v>9</v>
      </c>
      <c r="D2130" s="20" t="str">
        <f t="shared" si="66"/>
        <v>GPC20179</v>
      </c>
      <c r="E2130" s="2">
        <v>42985</v>
      </c>
      <c r="F2130" s="3">
        <v>0.67500000000000004</v>
      </c>
      <c r="G2130" s="2">
        <v>43010</v>
      </c>
      <c r="H2130" s="3">
        <v>3.1600000000000003E-2</v>
      </c>
      <c r="I2130" s="3">
        <v>0</v>
      </c>
      <c r="J2130" s="3">
        <v>0</v>
      </c>
      <c r="K2130" s="3">
        <f t="shared" si="67"/>
        <v>2017</v>
      </c>
      <c r="L2130" s="3">
        <f t="shared" si="68"/>
        <v>0</v>
      </c>
      <c r="M2130" s="20" t="str">
        <f>A2130&amp;L2130</f>
        <v>GPC0</v>
      </c>
      <c r="N2130" s="3">
        <f>F2130</f>
        <v>0.67500000000000004</v>
      </c>
      <c r="O2130" s="9">
        <f>H2130</f>
        <v>3.1600000000000003E-2</v>
      </c>
      <c r="P2130" s="10">
        <f t="shared" si="69"/>
        <v>0</v>
      </c>
      <c r="Q2130" s="10">
        <f>IF(K2130=0,IF(A2127=A2130,AVERAGE(O2127:O2130),"x"),0)</f>
        <v>0</v>
      </c>
      <c r="R2130" s="9">
        <f>IF(L2130&gt;2005,AVERAGE(O2127:O2146),0)</f>
        <v>0</v>
      </c>
      <c r="S2130" s="10">
        <f>IF(A2130=A2131,(N2130-N2131)/N2131,0)</f>
        <v>0</v>
      </c>
      <c r="T2130" s="10">
        <f>IF(L2130&gt;2005,(((N2130-N2150)/N2150)+1)^(1/5)-1,0)</f>
        <v>0</v>
      </c>
      <c r="U2130" s="10">
        <f t="shared" si="70"/>
        <v>0</v>
      </c>
      <c r="V2130" s="26">
        <f t="shared" si="71"/>
        <v>0</v>
      </c>
      <c r="W2130" s="3">
        <f>IF(A2130=A2131,N2130-N2131,0)</f>
        <v>0</v>
      </c>
      <c r="X2130" s="10">
        <f>IF(A2130=A2131,(N2130-N2131)/N2131,0)</f>
        <v>0</v>
      </c>
    </row>
    <row r="2131" spans="1:24" ht="16.5" customHeight="1">
      <c r="A2131" s="3" t="s">
        <v>47</v>
      </c>
      <c r="B2131" s="3">
        <f t="shared" si="64"/>
        <v>2017</v>
      </c>
      <c r="C2131" s="3">
        <f t="shared" si="65"/>
        <v>6</v>
      </c>
      <c r="D2131" s="20" t="str">
        <f t="shared" si="66"/>
        <v>GPC20176</v>
      </c>
      <c r="E2131" s="2">
        <v>42893</v>
      </c>
      <c r="F2131" s="3">
        <v>0.67500000000000004</v>
      </c>
      <c r="G2131" s="2">
        <v>42919</v>
      </c>
      <c r="H2131" s="3">
        <v>2.93E-2</v>
      </c>
      <c r="I2131" s="3">
        <v>0</v>
      </c>
      <c r="J2131" s="3">
        <v>0</v>
      </c>
      <c r="K2131" s="3">
        <f t="shared" si="67"/>
        <v>2017</v>
      </c>
      <c r="L2131" s="3">
        <f t="shared" si="68"/>
        <v>0</v>
      </c>
      <c r="M2131" s="20" t="str">
        <f>A2131&amp;L2131</f>
        <v>GPC0</v>
      </c>
      <c r="N2131" s="3">
        <f>F2131</f>
        <v>0.67500000000000004</v>
      </c>
      <c r="O2131" s="9">
        <f>H2131</f>
        <v>2.93E-2</v>
      </c>
      <c r="P2131" s="10">
        <f t="shared" si="69"/>
        <v>0</v>
      </c>
      <c r="Q2131" s="10">
        <f>IF(K2131=0,IF(A2128=A2131,AVERAGE(O2128:O2131),"x"),0)</f>
        <v>0</v>
      </c>
      <c r="R2131" s="9">
        <f>IF(L2131&gt;2005,AVERAGE(O2128:O2147),0)</f>
        <v>0</v>
      </c>
      <c r="S2131" s="10">
        <f>IF(A2131=A2132,(N2131-N2132)/N2132,0)</f>
        <v>0</v>
      </c>
      <c r="T2131" s="10">
        <f>IF(L2131&gt;2005,(((N2131-N2151)/N2151)+1)^(1/5)-1,0)</f>
        <v>0</v>
      </c>
      <c r="U2131" s="10">
        <f t="shared" si="70"/>
        <v>0</v>
      </c>
      <c r="V2131" s="26">
        <f t="shared" si="71"/>
        <v>0</v>
      </c>
      <c r="W2131" s="3">
        <f>IF(A2131=A2132,N2131-N2132,0)</f>
        <v>0</v>
      </c>
      <c r="X2131" s="10">
        <f>IF(A2131=A2132,(N2131-N2132)/N2132,0)</f>
        <v>0</v>
      </c>
    </row>
    <row r="2132" spans="1:24" ht="16.5" customHeight="1">
      <c r="A2132" s="3" t="s">
        <v>47</v>
      </c>
      <c r="B2132" s="3">
        <f t="shared" si="64"/>
        <v>2017</v>
      </c>
      <c r="C2132" s="3">
        <f t="shared" si="65"/>
        <v>3</v>
      </c>
      <c r="D2132" s="20" t="str">
        <f t="shared" si="66"/>
        <v>GPC20173</v>
      </c>
      <c r="E2132" s="2">
        <v>42802</v>
      </c>
      <c r="F2132" s="3">
        <v>0.67500000000000004</v>
      </c>
      <c r="G2132" s="2">
        <v>42828</v>
      </c>
      <c r="H2132" s="3">
        <v>2.8899999999999999E-2</v>
      </c>
      <c r="I2132" s="3">
        <v>2.6615969999999999E-2</v>
      </c>
      <c r="J2132" s="3">
        <v>1.7500000000000002E-2</v>
      </c>
      <c r="K2132" s="3">
        <f t="shared" si="67"/>
        <v>0</v>
      </c>
      <c r="L2132" s="3">
        <f t="shared" si="68"/>
        <v>2017</v>
      </c>
      <c r="M2132" s="20" t="str">
        <f>A2132&amp;L2132</f>
        <v>GPC2017</v>
      </c>
      <c r="N2132" s="3">
        <f>F2132</f>
        <v>0.67500000000000004</v>
      </c>
      <c r="O2132" s="9">
        <f>H2132</f>
        <v>2.8899999999999999E-2</v>
      </c>
      <c r="P2132" s="10">
        <f t="shared" si="69"/>
        <v>2.7224999999999999E-2</v>
      </c>
      <c r="Q2132" s="10">
        <f>IF(K2132=0,IF(A2129=A2132,AVERAGE(O2129:O2132),"x"),0)</f>
        <v>2.9649999999999999E-2</v>
      </c>
      <c r="R2132" s="9">
        <f>IF(L2132&gt;2005,AVERAGE(O2129:O2148),0)</f>
        <v>2.7074999999999998E-2</v>
      </c>
      <c r="S2132" s="10">
        <f>IF(A2132=A2133,(N2132-N2133)/N2133,0)</f>
        <v>2.6615969581749159E-2</v>
      </c>
      <c r="T2132" s="10">
        <f>IF(L2132&gt;2005,(((N2132-N2152)/N2152)+1)^(1/5)-1,0)</f>
        <v>6.3995312815083638E-2</v>
      </c>
      <c r="U2132" s="10">
        <f t="shared" si="70"/>
        <v>9.107031281508364E-2</v>
      </c>
      <c r="V2132" s="26">
        <f t="shared" si="71"/>
        <v>4.6398625798414441</v>
      </c>
      <c r="W2132" s="3">
        <f>IF(A2132=A2133,N2132-N2133,0)</f>
        <v>1.7500000000000071E-2</v>
      </c>
      <c r="X2132" s="10">
        <f>IF(A2132=A2133,(N2132-N2133)/N2133,0)</f>
        <v>2.6615969581749159E-2</v>
      </c>
    </row>
    <row r="2133" spans="1:24" ht="16.5" customHeight="1">
      <c r="A2133" s="3" t="s">
        <v>47</v>
      </c>
      <c r="B2133" s="3">
        <f t="shared" si="64"/>
        <v>2016</v>
      </c>
      <c r="C2133" s="3">
        <f t="shared" si="65"/>
        <v>12</v>
      </c>
      <c r="D2133" s="20" t="str">
        <f t="shared" si="66"/>
        <v>GPC201612</v>
      </c>
      <c r="E2133" s="2">
        <v>42711</v>
      </c>
      <c r="F2133" s="3">
        <v>0.65749999999999997</v>
      </c>
      <c r="G2133" s="2">
        <v>42738</v>
      </c>
      <c r="H2133" s="3">
        <v>2.7E-2</v>
      </c>
      <c r="I2133" s="3">
        <v>0</v>
      </c>
      <c r="J2133" s="3">
        <v>0</v>
      </c>
      <c r="K2133" s="3">
        <f t="shared" si="67"/>
        <v>2016</v>
      </c>
      <c r="L2133" s="3">
        <f t="shared" si="68"/>
        <v>0</v>
      </c>
      <c r="M2133" s="20" t="str">
        <f>A2133&amp;L2133</f>
        <v>GPC0</v>
      </c>
      <c r="N2133" s="3">
        <f>F2133</f>
        <v>0.65749999999999997</v>
      </c>
      <c r="O2133" s="9">
        <f>H2133</f>
        <v>2.7E-2</v>
      </c>
      <c r="P2133" s="10">
        <f t="shared" si="69"/>
        <v>0</v>
      </c>
      <c r="Q2133" s="10">
        <f>IF(K2133=0,IF(A2130=A2133,AVERAGE(O2130:O2133),"x"),0)</f>
        <v>0</v>
      </c>
      <c r="R2133" s="9">
        <f>IF(L2133&gt;2005,AVERAGE(O2130:O2149),0)</f>
        <v>0</v>
      </c>
      <c r="S2133" s="10">
        <f>IF(A2133=A2134,(N2133-N2134)/N2134,0)</f>
        <v>0</v>
      </c>
      <c r="T2133" s="10">
        <f>IF(L2133&gt;2005,(((N2133-N2153)/N2153)+1)^(1/5)-1,0)</f>
        <v>0</v>
      </c>
      <c r="U2133" s="10">
        <f t="shared" si="70"/>
        <v>0</v>
      </c>
      <c r="V2133" s="26">
        <f t="shared" si="71"/>
        <v>0</v>
      </c>
      <c r="W2133" s="3">
        <f>IF(A2133=A2134,N2133-N2134,0)</f>
        <v>0</v>
      </c>
      <c r="X2133" s="10">
        <f>IF(A2133=A2134,(N2133-N2134)/N2134,0)</f>
        <v>0</v>
      </c>
    </row>
    <row r="2134" spans="1:24" ht="16.5" customHeight="1">
      <c r="A2134" s="3" t="s">
        <v>47</v>
      </c>
      <c r="B2134" s="3">
        <f t="shared" si="64"/>
        <v>2016</v>
      </c>
      <c r="C2134" s="3">
        <f t="shared" si="65"/>
        <v>9</v>
      </c>
      <c r="D2134" s="20" t="str">
        <f t="shared" si="66"/>
        <v>GPC20169</v>
      </c>
      <c r="E2134" s="2">
        <v>42620</v>
      </c>
      <c r="F2134" s="3">
        <v>0.65749999999999997</v>
      </c>
      <c r="G2134" s="2">
        <v>42646</v>
      </c>
      <c r="H2134" s="3">
        <v>2.5899999999999999E-2</v>
      </c>
      <c r="I2134" s="3">
        <v>0</v>
      </c>
      <c r="J2134" s="3">
        <v>0</v>
      </c>
      <c r="K2134" s="3">
        <f t="shared" si="67"/>
        <v>2016</v>
      </c>
      <c r="L2134" s="3">
        <f t="shared" si="68"/>
        <v>0</v>
      </c>
      <c r="M2134" s="20" t="str">
        <f>A2134&amp;L2134</f>
        <v>GPC0</v>
      </c>
      <c r="N2134" s="3">
        <f>F2134</f>
        <v>0.65749999999999997</v>
      </c>
      <c r="O2134" s="9">
        <f>H2134</f>
        <v>2.5899999999999999E-2</v>
      </c>
      <c r="P2134" s="10">
        <f t="shared" si="69"/>
        <v>0</v>
      </c>
      <c r="Q2134" s="10">
        <f>IF(K2134=0,IF(A2131=A2134,AVERAGE(O2131:O2134),"x"),0)</f>
        <v>0</v>
      </c>
      <c r="R2134" s="9">
        <f>IF(L2134&gt;2005,AVERAGE(O2131:O2150),0)</f>
        <v>0</v>
      </c>
      <c r="S2134" s="10">
        <f>IF(A2134=A2135,(N2134-N2135)/N2135,0)</f>
        <v>0</v>
      </c>
      <c r="T2134" s="10">
        <f>IF(L2134&gt;2005,(((N2134-N2154)/N2154)+1)^(1/5)-1,0)</f>
        <v>0</v>
      </c>
      <c r="U2134" s="10">
        <f t="shared" si="70"/>
        <v>0</v>
      </c>
      <c r="V2134" s="26">
        <f t="shared" si="71"/>
        <v>0</v>
      </c>
      <c r="W2134" s="3">
        <f>IF(A2134=A2135,N2134-N2135,0)</f>
        <v>0</v>
      </c>
      <c r="X2134" s="10">
        <f>IF(A2134=A2135,(N2134-N2135)/N2135,0)</f>
        <v>0</v>
      </c>
    </row>
    <row r="2135" spans="1:24" ht="16.5" customHeight="1">
      <c r="A2135" s="3" t="s">
        <v>47</v>
      </c>
      <c r="B2135" s="3">
        <f t="shared" si="64"/>
        <v>2016</v>
      </c>
      <c r="C2135" s="3">
        <f t="shared" si="65"/>
        <v>6</v>
      </c>
      <c r="D2135" s="20" t="str">
        <f t="shared" si="66"/>
        <v>GPC20166</v>
      </c>
      <c r="E2135" s="2">
        <v>42522</v>
      </c>
      <c r="F2135" s="3">
        <v>0.65749999999999997</v>
      </c>
      <c r="G2135" s="2">
        <v>42552</v>
      </c>
      <c r="H2135" s="3">
        <v>2.7099999999999999E-2</v>
      </c>
      <c r="I2135" s="3">
        <v>0</v>
      </c>
      <c r="J2135" s="3">
        <v>0</v>
      </c>
      <c r="K2135" s="3">
        <f t="shared" si="67"/>
        <v>2016</v>
      </c>
      <c r="L2135" s="3">
        <f t="shared" si="68"/>
        <v>0</v>
      </c>
      <c r="M2135" s="20" t="str">
        <f>A2135&amp;L2135</f>
        <v>GPC0</v>
      </c>
      <c r="N2135" s="3">
        <f>F2135</f>
        <v>0.65749999999999997</v>
      </c>
      <c r="O2135" s="9">
        <f>H2135</f>
        <v>2.7099999999999999E-2</v>
      </c>
      <c r="P2135" s="10">
        <f t="shared" si="69"/>
        <v>0</v>
      </c>
      <c r="Q2135" s="10">
        <f>IF(K2135=0,IF(A2132=A2135,AVERAGE(O2132:O2135),"x"),0)</f>
        <v>0</v>
      </c>
      <c r="R2135" s="9">
        <f>IF(L2135&gt;2005,AVERAGE(O2132:O2151),0)</f>
        <v>0</v>
      </c>
      <c r="S2135" s="10">
        <f>IF(A2135=A2136,(N2135-N2136)/N2136,0)</f>
        <v>0</v>
      </c>
      <c r="T2135" s="10">
        <f>IF(L2135&gt;2005,(((N2135-N2155)/N2155)+1)^(1/5)-1,0)</f>
        <v>0</v>
      </c>
      <c r="U2135" s="10">
        <f t="shared" si="70"/>
        <v>0</v>
      </c>
      <c r="V2135" s="26">
        <f t="shared" si="71"/>
        <v>0</v>
      </c>
      <c r="W2135" s="3">
        <f>IF(A2135=A2136,N2135-N2136,0)</f>
        <v>0</v>
      </c>
      <c r="X2135" s="10">
        <f>IF(A2135=A2136,(N2135-N2136)/N2136,0)</f>
        <v>0</v>
      </c>
    </row>
    <row r="2136" spans="1:24" ht="16.5" customHeight="1">
      <c r="A2136" s="3" t="s">
        <v>47</v>
      </c>
      <c r="B2136" s="3">
        <f t="shared" si="64"/>
        <v>2016</v>
      </c>
      <c r="C2136" s="3">
        <f t="shared" si="65"/>
        <v>3</v>
      </c>
      <c r="D2136" s="20" t="str">
        <f t="shared" si="66"/>
        <v>GPC20163</v>
      </c>
      <c r="E2136" s="2">
        <v>42431</v>
      </c>
      <c r="F2136" s="3">
        <v>0.65749999999999997</v>
      </c>
      <c r="G2136" s="2">
        <v>42461</v>
      </c>
      <c r="H2136" s="3">
        <v>2.8299999999999999E-2</v>
      </c>
      <c r="I2136" s="3">
        <v>6.9105690999999997E-2</v>
      </c>
      <c r="J2136" s="3">
        <v>4.2500000000000003E-2</v>
      </c>
      <c r="K2136" s="3">
        <f t="shared" si="67"/>
        <v>0</v>
      </c>
      <c r="L2136" s="3">
        <f t="shared" si="68"/>
        <v>2016</v>
      </c>
      <c r="M2136" s="20" t="str">
        <f>A2136&amp;L2136</f>
        <v>GPC2016</v>
      </c>
      <c r="N2136" s="3">
        <f>F2136</f>
        <v>0.65749999999999997</v>
      </c>
      <c r="O2136" s="9">
        <f>H2136</f>
        <v>2.8299999999999999E-2</v>
      </c>
      <c r="P2136" s="10">
        <f t="shared" si="69"/>
        <v>2.7875E-2</v>
      </c>
      <c r="Q2136" s="10">
        <f>IF(K2136=0,IF(A2133=A2136,AVERAGE(O2133:O2136),"x"),0)</f>
        <v>2.7075000000000002E-2</v>
      </c>
      <c r="R2136" s="9">
        <f>IF(L2136&gt;2005,AVERAGE(O2133:O2152),0)</f>
        <v>2.7284999999999997E-2</v>
      </c>
      <c r="S2136" s="10">
        <f>IF(A2136=A2137,(N2136-N2137)/N2137,0)</f>
        <v>6.9105691056910543E-2</v>
      </c>
      <c r="T2136" s="10">
        <f>IF(L2136&gt;2005,(((N2136-N2156)/N2156)+1)^(1/5)-1,0)</f>
        <v>7.8789345795840626E-2</v>
      </c>
      <c r="U2136" s="10">
        <f t="shared" si="70"/>
        <v>0.10607434579584063</v>
      </c>
      <c r="V2136" s="26">
        <f t="shared" si="71"/>
        <v>4.6419227112354404</v>
      </c>
      <c r="W2136" s="3">
        <f>IF(A2136=A2137,N2136-N2137,0)</f>
        <v>4.2499999999999982E-2</v>
      </c>
      <c r="X2136" s="10">
        <f>IF(A2136=A2137,(N2136-N2137)/N2137,0)</f>
        <v>6.9105691056910543E-2</v>
      </c>
    </row>
    <row r="2137" spans="1:24" ht="16.5" customHeight="1">
      <c r="A2137" s="3" t="s">
        <v>47</v>
      </c>
      <c r="B2137" s="3">
        <f t="shared" si="64"/>
        <v>2015</v>
      </c>
      <c r="C2137" s="3">
        <f t="shared" si="65"/>
        <v>12</v>
      </c>
      <c r="D2137" s="20" t="str">
        <f t="shared" si="66"/>
        <v>GPC201512</v>
      </c>
      <c r="E2137" s="2">
        <v>42340</v>
      </c>
      <c r="F2137" s="3">
        <v>0.61499999999999999</v>
      </c>
      <c r="G2137" s="2">
        <v>42373</v>
      </c>
      <c r="H2137" s="3">
        <v>2.7099999999999999E-2</v>
      </c>
      <c r="I2137" s="3">
        <v>0</v>
      </c>
      <c r="J2137" s="3">
        <v>0</v>
      </c>
      <c r="K2137" s="3">
        <f t="shared" si="67"/>
        <v>2015</v>
      </c>
      <c r="L2137" s="3">
        <f t="shared" si="68"/>
        <v>0</v>
      </c>
      <c r="M2137" s="20" t="str">
        <f>A2137&amp;L2137</f>
        <v>GPC0</v>
      </c>
      <c r="N2137" s="3">
        <f>F2137</f>
        <v>0.61499999999999999</v>
      </c>
      <c r="O2137" s="9">
        <f>H2137</f>
        <v>2.7099999999999999E-2</v>
      </c>
      <c r="P2137" s="10">
        <f t="shared" si="69"/>
        <v>0</v>
      </c>
      <c r="Q2137" s="10">
        <f>IF(K2137=0,IF(A2134=A2137,AVERAGE(O2134:O2137),"x"),0)</f>
        <v>0</v>
      </c>
      <c r="R2137" s="9">
        <f>IF(L2137&gt;2005,AVERAGE(O2134:O2153),0)</f>
        <v>0</v>
      </c>
      <c r="S2137" s="10">
        <f>IF(A2137=A2138,(N2137-N2138)/N2138,0)</f>
        <v>0</v>
      </c>
      <c r="T2137" s="10">
        <f>IF(L2137&gt;2005,(((N2137-N2157)/N2157)+1)^(1/5)-1,0)</f>
        <v>0</v>
      </c>
      <c r="U2137" s="10">
        <f t="shared" si="70"/>
        <v>0</v>
      </c>
      <c r="V2137" s="26">
        <f t="shared" si="71"/>
        <v>0</v>
      </c>
      <c r="W2137" s="3">
        <f>IF(A2137=A2138,N2137-N2138,0)</f>
        <v>0</v>
      </c>
      <c r="X2137" s="10">
        <f>IF(A2137=A2138,(N2137-N2138)/N2138,0)</f>
        <v>0</v>
      </c>
    </row>
    <row r="2138" spans="1:24" ht="16.5" customHeight="1">
      <c r="A2138" s="3" t="s">
        <v>47</v>
      </c>
      <c r="B2138" s="3">
        <f t="shared" si="64"/>
        <v>2015</v>
      </c>
      <c r="C2138" s="3">
        <f t="shared" si="65"/>
        <v>9</v>
      </c>
      <c r="D2138" s="20" t="str">
        <f t="shared" si="66"/>
        <v>GPC20159</v>
      </c>
      <c r="E2138" s="2">
        <v>42249</v>
      </c>
      <c r="F2138" s="3">
        <v>0.61499999999999999</v>
      </c>
      <c r="G2138" s="2">
        <v>42278</v>
      </c>
      <c r="H2138" s="3">
        <v>2.98E-2</v>
      </c>
      <c r="I2138" s="3">
        <v>0</v>
      </c>
      <c r="J2138" s="3">
        <v>0</v>
      </c>
      <c r="K2138" s="3">
        <f t="shared" si="67"/>
        <v>2015</v>
      </c>
      <c r="L2138" s="3">
        <f t="shared" si="68"/>
        <v>0</v>
      </c>
      <c r="M2138" s="20" t="str">
        <f>A2138&amp;L2138</f>
        <v>GPC0</v>
      </c>
      <c r="N2138" s="3">
        <f>F2138</f>
        <v>0.61499999999999999</v>
      </c>
      <c r="O2138" s="9">
        <f>H2138</f>
        <v>2.98E-2</v>
      </c>
      <c r="P2138" s="10">
        <f t="shared" si="69"/>
        <v>0</v>
      </c>
      <c r="Q2138" s="10">
        <f>IF(K2138=0,IF(A2135=A2138,AVERAGE(O2135:O2138),"x"),0)</f>
        <v>0</v>
      </c>
      <c r="R2138" s="9">
        <f>IF(L2138&gt;2005,AVERAGE(O2135:O2154),0)</f>
        <v>0</v>
      </c>
      <c r="S2138" s="10">
        <f>IF(A2138=A2139,(N2138-N2139)/N2139,0)</f>
        <v>0</v>
      </c>
      <c r="T2138" s="10">
        <f>IF(L2138&gt;2005,(((N2138-N2158)/N2158)+1)^(1/5)-1,0)</f>
        <v>0</v>
      </c>
      <c r="U2138" s="10">
        <f t="shared" si="70"/>
        <v>0</v>
      </c>
      <c r="V2138" s="26">
        <f t="shared" si="71"/>
        <v>0</v>
      </c>
      <c r="W2138" s="3">
        <f>IF(A2138=A2139,N2138-N2139,0)</f>
        <v>0</v>
      </c>
      <c r="X2138" s="10">
        <f>IF(A2138=A2139,(N2138-N2139)/N2139,0)</f>
        <v>0</v>
      </c>
    </row>
    <row r="2139" spans="1:24" ht="16.5" customHeight="1">
      <c r="A2139" s="3" t="s">
        <v>47</v>
      </c>
      <c r="B2139" s="3">
        <f t="shared" si="64"/>
        <v>2015</v>
      </c>
      <c r="C2139" s="3">
        <f t="shared" si="65"/>
        <v>6</v>
      </c>
      <c r="D2139" s="20" t="str">
        <f t="shared" si="66"/>
        <v>GPC20156</v>
      </c>
      <c r="E2139" s="2">
        <v>42158</v>
      </c>
      <c r="F2139" s="3">
        <v>0.61499999999999999</v>
      </c>
      <c r="G2139" s="2">
        <v>42186</v>
      </c>
      <c r="H2139" s="3">
        <v>2.63E-2</v>
      </c>
      <c r="I2139" s="3">
        <v>0</v>
      </c>
      <c r="J2139" s="3">
        <v>0</v>
      </c>
      <c r="K2139" s="3">
        <f t="shared" si="67"/>
        <v>2015</v>
      </c>
      <c r="L2139" s="3">
        <f t="shared" si="68"/>
        <v>0</v>
      </c>
      <c r="M2139" s="20" t="str">
        <f>A2139&amp;L2139</f>
        <v>GPC0</v>
      </c>
      <c r="N2139" s="3">
        <f>F2139</f>
        <v>0.61499999999999999</v>
      </c>
      <c r="O2139" s="9">
        <f>H2139</f>
        <v>2.63E-2</v>
      </c>
      <c r="P2139" s="10">
        <f t="shared" si="69"/>
        <v>0</v>
      </c>
      <c r="Q2139" s="10">
        <f>IF(K2139=0,IF(A2136=A2139,AVERAGE(O2136:O2139),"x"),0)</f>
        <v>0</v>
      </c>
      <c r="R2139" s="9">
        <f>IF(L2139&gt;2005,AVERAGE(O2136:O2155),0)</f>
        <v>0</v>
      </c>
      <c r="S2139" s="10">
        <f>IF(A2139=A2140,(N2139-N2140)/N2140,0)</f>
        <v>0</v>
      </c>
      <c r="T2139" s="10">
        <f>IF(L2139&gt;2005,(((N2139-N2159)/N2159)+1)^(1/5)-1,0)</f>
        <v>0</v>
      </c>
      <c r="U2139" s="10">
        <f t="shared" si="70"/>
        <v>0</v>
      </c>
      <c r="V2139" s="26">
        <f t="shared" si="71"/>
        <v>0</v>
      </c>
      <c r="W2139" s="3">
        <f>IF(A2139=A2140,N2139-N2140,0)</f>
        <v>0</v>
      </c>
      <c r="X2139" s="10">
        <f>IF(A2139=A2140,(N2139-N2140)/N2140,0)</f>
        <v>0</v>
      </c>
    </row>
    <row r="2140" spans="1:24" ht="16.5" customHeight="1">
      <c r="A2140" s="3" t="s">
        <v>47</v>
      </c>
      <c r="B2140" s="3">
        <f t="shared" si="64"/>
        <v>2015</v>
      </c>
      <c r="C2140" s="3">
        <f t="shared" si="65"/>
        <v>3</v>
      </c>
      <c r="D2140" s="20" t="str">
        <f t="shared" si="66"/>
        <v>GPC20153</v>
      </c>
      <c r="E2140" s="2">
        <v>42067</v>
      </c>
      <c r="F2140" s="3">
        <v>0.61499999999999999</v>
      </c>
      <c r="G2140" s="2">
        <v>42095</v>
      </c>
      <c r="H2140" s="3">
        <v>2.4500000000000001E-2</v>
      </c>
      <c r="I2140" s="3">
        <v>6.9565216999999999E-2</v>
      </c>
      <c r="J2140" s="3">
        <v>0.04</v>
      </c>
      <c r="K2140" s="3">
        <f t="shared" si="67"/>
        <v>0</v>
      </c>
      <c r="L2140" s="3">
        <f t="shared" si="68"/>
        <v>2015</v>
      </c>
      <c r="M2140" s="20" t="str">
        <f>A2140&amp;L2140</f>
        <v>GPC2015</v>
      </c>
      <c r="N2140" s="3">
        <f>F2140</f>
        <v>0.61499999999999999</v>
      </c>
      <c r="O2140" s="9">
        <f>H2140</f>
        <v>2.4500000000000001E-2</v>
      </c>
      <c r="P2140" s="10">
        <f t="shared" si="69"/>
        <v>2.4649999999999998E-2</v>
      </c>
      <c r="Q2140" s="10">
        <f>IF(K2140=0,IF(A2137=A2140,AVERAGE(O2137:O2140),"x"),0)</f>
        <v>2.6924999999999998E-2</v>
      </c>
      <c r="R2140" s="9">
        <f>IF(L2140&gt;2005,AVERAGE(O2137:O2156),0)</f>
        <v>2.8299999999999999E-2</v>
      </c>
      <c r="S2140" s="10">
        <f>IF(A2140=A2141,(N2140-N2141)/N2141,0)</f>
        <v>6.9565217391304418E-2</v>
      </c>
      <c r="T2140" s="10">
        <f>IF(L2140&gt;2005,(((N2140-N2160)/N2160)+1)^(1/5)-1,0)</f>
        <v>8.4471771197698553E-2</v>
      </c>
      <c r="U2140" s="10">
        <f t="shared" si="70"/>
        <v>0.11277177119769854</v>
      </c>
      <c r="V2140" s="26">
        <f t="shared" si="71"/>
        <v>4.6312116428098351</v>
      </c>
      <c r="W2140" s="3">
        <f>IF(A2140=A2141,N2140-N2141,0)</f>
        <v>4.0000000000000036E-2</v>
      </c>
      <c r="X2140" s="10">
        <f>IF(A2140=A2141,(N2140-N2141)/N2141,0)</f>
        <v>6.9565217391304418E-2</v>
      </c>
    </row>
    <row r="2141" spans="1:24" ht="16.5" customHeight="1">
      <c r="A2141" s="3" t="s">
        <v>47</v>
      </c>
      <c r="B2141" s="3">
        <f t="shared" si="64"/>
        <v>2014</v>
      </c>
      <c r="C2141" s="3">
        <f t="shared" si="65"/>
        <v>12</v>
      </c>
      <c r="D2141" s="20" t="str">
        <f t="shared" si="66"/>
        <v>GPC201412</v>
      </c>
      <c r="E2141" s="2">
        <v>41976</v>
      </c>
      <c r="F2141" s="3">
        <v>0.57499999999999996</v>
      </c>
      <c r="G2141" s="2">
        <v>42006</v>
      </c>
      <c r="H2141" s="3">
        <v>2.24E-2</v>
      </c>
      <c r="I2141" s="3">
        <v>0</v>
      </c>
      <c r="J2141" s="3">
        <v>0</v>
      </c>
      <c r="K2141" s="3">
        <f t="shared" si="67"/>
        <v>2014</v>
      </c>
      <c r="L2141" s="3">
        <f t="shared" si="68"/>
        <v>0</v>
      </c>
      <c r="M2141" s="20" t="str">
        <f>A2141&amp;L2141</f>
        <v>GPC0</v>
      </c>
      <c r="N2141" s="3">
        <f>F2141</f>
        <v>0.57499999999999996</v>
      </c>
      <c r="O2141" s="9">
        <f>H2141</f>
        <v>2.24E-2</v>
      </c>
      <c r="P2141" s="10">
        <f t="shared" si="69"/>
        <v>0</v>
      </c>
      <c r="Q2141" s="10">
        <f>IF(K2141=0,IF(A2138=A2141,AVERAGE(O2138:O2141),"x"),0)</f>
        <v>0</v>
      </c>
      <c r="R2141" s="9">
        <f>IF(L2141&gt;2005,AVERAGE(O2138:O2157),0)</f>
        <v>0</v>
      </c>
      <c r="S2141" s="10">
        <f>IF(A2141=A2142,(N2141-N2142)/N2142,0)</f>
        <v>0</v>
      </c>
      <c r="T2141" s="10">
        <f>IF(L2141&gt;2005,(((N2141-N2161)/N2161)+1)^(1/5)-1,0)</f>
        <v>0</v>
      </c>
      <c r="U2141" s="10">
        <f t="shared" si="70"/>
        <v>0</v>
      </c>
      <c r="V2141" s="26">
        <f t="shared" si="71"/>
        <v>0</v>
      </c>
      <c r="W2141" s="3">
        <f>IF(A2141=A2142,N2141-N2142,0)</f>
        <v>0</v>
      </c>
      <c r="X2141" s="10">
        <f>IF(A2141=A2142,(N2141-N2142)/N2142,0)</f>
        <v>0</v>
      </c>
    </row>
    <row r="2142" spans="1:24" ht="16.5" customHeight="1">
      <c r="A2142" s="3" t="s">
        <v>47</v>
      </c>
      <c r="B2142" s="3">
        <f t="shared" si="64"/>
        <v>2014</v>
      </c>
      <c r="C2142" s="3">
        <f t="shared" si="65"/>
        <v>9</v>
      </c>
      <c r="D2142" s="20" t="str">
        <f t="shared" si="66"/>
        <v>GPC20149</v>
      </c>
      <c r="E2142" s="2">
        <v>41885</v>
      </c>
      <c r="F2142" s="3">
        <v>0.57499999999999996</v>
      </c>
      <c r="G2142" s="2">
        <v>41913</v>
      </c>
      <c r="H2142" s="3">
        <v>2.5700000000000001E-2</v>
      </c>
      <c r="I2142" s="3">
        <v>0</v>
      </c>
      <c r="J2142" s="3">
        <v>0</v>
      </c>
      <c r="K2142" s="3">
        <f t="shared" si="67"/>
        <v>2014</v>
      </c>
      <c r="L2142" s="3">
        <f t="shared" si="68"/>
        <v>0</v>
      </c>
      <c r="M2142" s="20" t="str">
        <f>A2142&amp;L2142</f>
        <v>GPC0</v>
      </c>
      <c r="N2142" s="3">
        <f>F2142</f>
        <v>0.57499999999999996</v>
      </c>
      <c r="O2142" s="9">
        <f>H2142</f>
        <v>2.5700000000000001E-2</v>
      </c>
      <c r="P2142" s="10">
        <f t="shared" si="69"/>
        <v>0</v>
      </c>
      <c r="Q2142" s="10">
        <f>IF(K2142=0,IF(A2139=A2142,AVERAGE(O2139:O2142),"x"),0)</f>
        <v>0</v>
      </c>
      <c r="R2142" s="9">
        <f>IF(L2142&gt;2005,AVERAGE(O2139:O2158),0)</f>
        <v>0</v>
      </c>
      <c r="S2142" s="10">
        <f>IF(A2142=A2143,(N2142-N2143)/N2143,0)</f>
        <v>0</v>
      </c>
      <c r="T2142" s="10">
        <f>IF(L2142&gt;2005,(((N2142-N2162)/N2162)+1)^(1/5)-1,0)</f>
        <v>0</v>
      </c>
      <c r="U2142" s="10">
        <f t="shared" si="70"/>
        <v>0</v>
      </c>
      <c r="V2142" s="26">
        <f t="shared" si="71"/>
        <v>0</v>
      </c>
      <c r="W2142" s="3">
        <f>IF(A2142=A2143,N2142-N2143,0)</f>
        <v>0</v>
      </c>
      <c r="X2142" s="10">
        <f>IF(A2142=A2143,(N2142-N2143)/N2143,0)</f>
        <v>0</v>
      </c>
    </row>
    <row r="2143" spans="1:24" ht="16.5" customHeight="1">
      <c r="A2143" s="3" t="s">
        <v>47</v>
      </c>
      <c r="B2143" s="3">
        <f t="shared" si="64"/>
        <v>2014</v>
      </c>
      <c r="C2143" s="3">
        <f t="shared" si="65"/>
        <v>6</v>
      </c>
      <c r="D2143" s="20" t="str">
        <f t="shared" si="66"/>
        <v>GPC20146</v>
      </c>
      <c r="E2143" s="2">
        <v>41794</v>
      </c>
      <c r="F2143" s="3">
        <v>0.57499999999999996</v>
      </c>
      <c r="G2143" s="2">
        <v>41821</v>
      </c>
      <c r="H2143" s="3">
        <v>2.5999999999999999E-2</v>
      </c>
      <c r="I2143" s="3">
        <v>0</v>
      </c>
      <c r="J2143" s="3">
        <v>0</v>
      </c>
      <c r="K2143" s="3">
        <f t="shared" si="67"/>
        <v>2014</v>
      </c>
      <c r="L2143" s="3">
        <f t="shared" si="68"/>
        <v>0</v>
      </c>
      <c r="M2143" s="20" t="str">
        <f>A2143&amp;L2143</f>
        <v>GPC0</v>
      </c>
      <c r="N2143" s="3">
        <f>F2143</f>
        <v>0.57499999999999996</v>
      </c>
      <c r="O2143" s="9">
        <f>H2143</f>
        <v>2.5999999999999999E-2</v>
      </c>
      <c r="P2143" s="10">
        <f t="shared" si="69"/>
        <v>0</v>
      </c>
      <c r="Q2143" s="10">
        <f>IF(K2143=0,IF(A2140=A2143,AVERAGE(O2140:O2143),"x"),0)</f>
        <v>0</v>
      </c>
      <c r="R2143" s="9">
        <f>IF(L2143&gt;2005,AVERAGE(O2140:O2159),0)</f>
        <v>0</v>
      </c>
      <c r="S2143" s="10">
        <f>IF(A2143=A2144,(N2143-N2144)/N2144,0)</f>
        <v>0</v>
      </c>
      <c r="T2143" s="10">
        <f>IF(L2143&gt;2005,(((N2143-N2163)/N2163)+1)^(1/5)-1,0)</f>
        <v>0</v>
      </c>
      <c r="U2143" s="10">
        <f t="shared" si="70"/>
        <v>0</v>
      </c>
      <c r="V2143" s="26">
        <f t="shared" si="71"/>
        <v>0</v>
      </c>
      <c r="W2143" s="3">
        <f>IF(A2143=A2144,N2143-N2144,0)</f>
        <v>0</v>
      </c>
      <c r="X2143" s="10">
        <f>IF(A2143=A2144,(N2143-N2144)/N2144,0)</f>
        <v>0</v>
      </c>
    </row>
    <row r="2144" spans="1:24" ht="16.5" customHeight="1">
      <c r="A2144" s="3" t="s">
        <v>47</v>
      </c>
      <c r="B2144" s="3">
        <f t="shared" si="64"/>
        <v>2014</v>
      </c>
      <c r="C2144" s="3">
        <f t="shared" si="65"/>
        <v>3</v>
      </c>
      <c r="D2144" s="20" t="str">
        <f t="shared" si="66"/>
        <v>GPC20143</v>
      </c>
      <c r="E2144" s="2">
        <v>41703</v>
      </c>
      <c r="F2144" s="3">
        <v>0.57499999999999996</v>
      </c>
      <c r="G2144" s="2">
        <v>41730</v>
      </c>
      <c r="H2144" s="3">
        <v>2.4899999999999999E-2</v>
      </c>
      <c r="I2144" s="3">
        <v>6.9767441999999999E-2</v>
      </c>
      <c r="J2144" s="3">
        <v>3.7499999999999999E-2</v>
      </c>
      <c r="K2144" s="3">
        <f t="shared" si="67"/>
        <v>0</v>
      </c>
      <c r="L2144" s="3">
        <f t="shared" si="68"/>
        <v>2014</v>
      </c>
      <c r="M2144" s="20" t="str">
        <f>A2144&amp;L2144</f>
        <v>GPC2014</v>
      </c>
      <c r="N2144" s="3">
        <f>F2144</f>
        <v>0.57499999999999996</v>
      </c>
      <c r="O2144" s="9">
        <f>H2144</f>
        <v>2.4899999999999999E-2</v>
      </c>
      <c r="P2144" s="10">
        <f t="shared" si="69"/>
        <v>2.6250000000000002E-2</v>
      </c>
      <c r="Q2144" s="10">
        <f>IF(K2144=0,IF(A2141=A2144,AVERAGE(O2141:O2144),"x"),0)</f>
        <v>2.4750000000000001E-2</v>
      </c>
      <c r="R2144" s="9">
        <f>IF(L2144&gt;2005,AVERAGE(O2141:O2160),0)</f>
        <v>3.0445E-2</v>
      </c>
      <c r="S2144" s="10">
        <f>IF(A2144=A2145,(N2144-N2145)/N2145,0)</f>
        <v>6.9767441860465074E-2</v>
      </c>
      <c r="T2144" s="10">
        <f>IF(L2144&gt;2005,(((N2144-N2164)/N2164)+1)^(1/5)-1,0)</f>
        <v>7.5280006405569644E-2</v>
      </c>
      <c r="U2144" s="10">
        <f t="shared" si="70"/>
        <v>0.10572500640556964</v>
      </c>
      <c r="V2144" s="26">
        <f t="shared" si="71"/>
        <v>4.6018431514782598</v>
      </c>
      <c r="W2144" s="3">
        <f>IF(A2144=A2145,N2144-N2145,0)</f>
        <v>3.7499999999999978E-2</v>
      </c>
      <c r="X2144" s="10">
        <f>IF(A2144=A2145,(N2144-N2145)/N2145,0)</f>
        <v>6.9767441860465074E-2</v>
      </c>
    </row>
    <row r="2145" spans="1:24" ht="16.5" customHeight="1">
      <c r="A2145" s="3" t="s">
        <v>47</v>
      </c>
      <c r="B2145" s="3">
        <f t="shared" si="64"/>
        <v>2013</v>
      </c>
      <c r="C2145" s="3">
        <f t="shared" si="65"/>
        <v>12</v>
      </c>
      <c r="D2145" s="20" t="str">
        <f t="shared" si="66"/>
        <v>GPC201312</v>
      </c>
      <c r="E2145" s="2">
        <v>41612</v>
      </c>
      <c r="F2145" s="3">
        <v>0.53749999999999998</v>
      </c>
      <c r="G2145" s="2">
        <v>41641</v>
      </c>
      <c r="H2145" s="3">
        <v>2.5899999999999999E-2</v>
      </c>
      <c r="I2145" s="3">
        <v>0</v>
      </c>
      <c r="J2145" s="3">
        <v>0</v>
      </c>
      <c r="K2145" s="3">
        <f t="shared" si="67"/>
        <v>2013</v>
      </c>
      <c r="L2145" s="3">
        <f t="shared" si="68"/>
        <v>0</v>
      </c>
      <c r="M2145" s="20" t="str">
        <f>A2145&amp;L2145</f>
        <v>GPC0</v>
      </c>
      <c r="N2145" s="3">
        <f>F2145</f>
        <v>0.53749999999999998</v>
      </c>
      <c r="O2145" s="9">
        <f>H2145</f>
        <v>2.5899999999999999E-2</v>
      </c>
      <c r="P2145" s="10">
        <f t="shared" si="69"/>
        <v>0</v>
      </c>
      <c r="Q2145" s="10">
        <f>IF(K2145=0,IF(A2142=A2145,AVERAGE(O2142:O2145),"x"),0)</f>
        <v>0</v>
      </c>
      <c r="R2145" s="9">
        <f>IF(L2145&gt;2005,AVERAGE(O2142:O2161),0)</f>
        <v>0</v>
      </c>
      <c r="S2145" s="10">
        <f>IF(A2145=A2146,(N2145-N2146)/N2146,0)</f>
        <v>0</v>
      </c>
      <c r="T2145" s="10">
        <f>IF(L2145&gt;2005,(((N2145-N2165)/N2165)+1)^(1/5)-1,0)</f>
        <v>0</v>
      </c>
      <c r="U2145" s="10">
        <f t="shared" si="70"/>
        <v>0</v>
      </c>
      <c r="V2145" s="26">
        <f t="shared" si="71"/>
        <v>0</v>
      </c>
      <c r="W2145" s="3">
        <f>IF(A2145=A2146,N2145-N2146,0)</f>
        <v>0</v>
      </c>
      <c r="X2145" s="10">
        <f>IF(A2145=A2146,(N2145-N2146)/N2146,0)</f>
        <v>0</v>
      </c>
    </row>
    <row r="2146" spans="1:24" ht="16.5" customHeight="1">
      <c r="A2146" s="3" t="s">
        <v>47</v>
      </c>
      <c r="B2146" s="3">
        <f t="shared" si="64"/>
        <v>2013</v>
      </c>
      <c r="C2146" s="3">
        <f t="shared" si="65"/>
        <v>9</v>
      </c>
      <c r="D2146" s="20" t="str">
        <f t="shared" si="66"/>
        <v>GPC20139</v>
      </c>
      <c r="E2146" s="2">
        <v>41521</v>
      </c>
      <c r="F2146" s="3">
        <v>0.53749999999999998</v>
      </c>
      <c r="G2146" s="2">
        <v>41548</v>
      </c>
      <c r="H2146" s="3">
        <v>2.7300000000000001E-2</v>
      </c>
      <c r="I2146" s="3">
        <v>0</v>
      </c>
      <c r="J2146" s="3">
        <v>0</v>
      </c>
      <c r="K2146" s="3">
        <f t="shared" si="67"/>
        <v>2013</v>
      </c>
      <c r="L2146" s="3">
        <f t="shared" si="68"/>
        <v>0</v>
      </c>
      <c r="M2146" s="20" t="str">
        <f>A2146&amp;L2146</f>
        <v>GPC0</v>
      </c>
      <c r="N2146" s="3">
        <f>F2146</f>
        <v>0.53749999999999998</v>
      </c>
      <c r="O2146" s="9">
        <f>H2146</f>
        <v>2.7300000000000001E-2</v>
      </c>
      <c r="P2146" s="10">
        <f t="shared" si="69"/>
        <v>0</v>
      </c>
      <c r="Q2146" s="10">
        <f>IF(K2146=0,IF(A2143=A2146,AVERAGE(O2143:O2146),"x"),0)</f>
        <v>0</v>
      </c>
      <c r="R2146" s="9">
        <f>IF(L2146&gt;2005,AVERAGE(O2143:O2162),0)</f>
        <v>0</v>
      </c>
      <c r="S2146" s="10">
        <f>IF(A2146=A2147,(N2146-N2147)/N2147,0)</f>
        <v>0</v>
      </c>
      <c r="T2146" s="10">
        <f>IF(L2146&gt;2005,(((N2146-N2166)/N2166)+1)^(1/5)-1,0)</f>
        <v>0</v>
      </c>
      <c r="U2146" s="10">
        <f t="shared" si="70"/>
        <v>0</v>
      </c>
      <c r="V2146" s="26">
        <f t="shared" si="71"/>
        <v>0</v>
      </c>
      <c r="W2146" s="3">
        <f>IF(A2146=A2147,N2146-N2147,0)</f>
        <v>0</v>
      </c>
      <c r="X2146" s="10">
        <f>IF(A2146=A2147,(N2146-N2147)/N2147,0)</f>
        <v>0</v>
      </c>
    </row>
    <row r="2147" spans="1:24" ht="16.5" customHeight="1">
      <c r="A2147" s="3" t="s">
        <v>47</v>
      </c>
      <c r="B2147" s="3">
        <f t="shared" si="64"/>
        <v>2013</v>
      </c>
      <c r="C2147" s="3">
        <f t="shared" si="65"/>
        <v>6</v>
      </c>
      <c r="D2147" s="20" t="str">
        <f t="shared" si="66"/>
        <v>GPC20136</v>
      </c>
      <c r="E2147" s="2">
        <v>41430</v>
      </c>
      <c r="F2147" s="3">
        <v>0.53749999999999998</v>
      </c>
      <c r="G2147" s="2">
        <v>41456</v>
      </c>
      <c r="H2147" s="3">
        <v>2.69E-2</v>
      </c>
      <c r="I2147" s="3">
        <v>0</v>
      </c>
      <c r="J2147" s="3">
        <v>0</v>
      </c>
      <c r="K2147" s="3">
        <f t="shared" si="67"/>
        <v>2013</v>
      </c>
      <c r="L2147" s="3">
        <f t="shared" si="68"/>
        <v>0</v>
      </c>
      <c r="M2147" s="20" t="str">
        <f>A2147&amp;L2147</f>
        <v>GPC0</v>
      </c>
      <c r="N2147" s="3">
        <f>F2147</f>
        <v>0.53749999999999998</v>
      </c>
      <c r="O2147" s="9">
        <f>H2147</f>
        <v>2.69E-2</v>
      </c>
      <c r="P2147" s="10">
        <f t="shared" si="69"/>
        <v>0</v>
      </c>
      <c r="Q2147" s="10">
        <f>IF(K2147=0,IF(A2144=A2147,AVERAGE(O2144:O2147),"x"),0)</f>
        <v>0</v>
      </c>
      <c r="R2147" s="9">
        <f>IF(L2147&gt;2005,AVERAGE(O2144:O2163),0)</f>
        <v>0</v>
      </c>
      <c r="S2147" s="10">
        <f>IF(A2147=A2148,(N2147-N2148)/N2148,0)</f>
        <v>0</v>
      </c>
      <c r="T2147" s="10">
        <f>IF(L2147&gt;2005,(((N2147-N2167)/N2167)+1)^(1/5)-1,0)</f>
        <v>0</v>
      </c>
      <c r="U2147" s="10">
        <f t="shared" si="70"/>
        <v>0</v>
      </c>
      <c r="V2147" s="26">
        <f t="shared" si="71"/>
        <v>0</v>
      </c>
      <c r="W2147" s="3">
        <f>IF(A2147=A2148,N2147-N2148,0)</f>
        <v>0</v>
      </c>
      <c r="X2147" s="10">
        <f>IF(A2147=A2148,(N2147-N2148)/N2148,0)</f>
        <v>0</v>
      </c>
    </row>
    <row r="2148" spans="1:24" ht="16.5" customHeight="1">
      <c r="A2148" s="3" t="s">
        <v>47</v>
      </c>
      <c r="B2148" s="3">
        <f t="shared" si="64"/>
        <v>2013</v>
      </c>
      <c r="C2148" s="3">
        <f t="shared" si="65"/>
        <v>3</v>
      </c>
      <c r="D2148" s="20" t="str">
        <f t="shared" si="66"/>
        <v>GPC20133</v>
      </c>
      <c r="E2148" s="2">
        <v>41339</v>
      </c>
      <c r="F2148" s="3">
        <v>0.53749999999999998</v>
      </c>
      <c r="G2148" s="2">
        <v>41365</v>
      </c>
      <c r="H2148" s="3">
        <v>2.7799999999999998E-2</v>
      </c>
      <c r="I2148" s="3">
        <v>8.5858586000000001E-2</v>
      </c>
      <c r="J2148" s="3">
        <v>4.2500000000000003E-2</v>
      </c>
      <c r="K2148" s="3">
        <f t="shared" si="67"/>
        <v>0</v>
      </c>
      <c r="L2148" s="3">
        <f t="shared" si="68"/>
        <v>2013</v>
      </c>
      <c r="M2148" s="20" t="str">
        <f>A2148&amp;L2148</f>
        <v>GPC2013</v>
      </c>
      <c r="N2148" s="3">
        <f>F2148</f>
        <v>0.53749999999999998</v>
      </c>
      <c r="O2148" s="9">
        <f>H2148</f>
        <v>2.7799999999999998E-2</v>
      </c>
      <c r="P2148" s="10">
        <f t="shared" si="69"/>
        <v>3.0249999999999996E-2</v>
      </c>
      <c r="Q2148" s="10">
        <f>IF(K2148=0,IF(A2145=A2148,AVERAGE(O2145:O2148),"x"),0)</f>
        <v>2.6974999999999999E-2</v>
      </c>
      <c r="R2148" s="9">
        <f>IF(L2148&gt;2005,AVERAGE(O2145:O2164),0)</f>
        <v>3.4965000000000003E-2</v>
      </c>
      <c r="S2148" s="10">
        <f>IF(A2148=A2149,(N2148-N2149)/N2149,0)</f>
        <v>8.5858585858585829E-2</v>
      </c>
      <c r="T2148" s="10">
        <f>IF(L2148&gt;2005,(((N2148-N2168)/N2168)+1)^(1/5)-1,0)</f>
        <v>6.6259153104471613E-2</v>
      </c>
      <c r="U2148" s="10">
        <f t="shared" si="70"/>
        <v>0.10122415310447161</v>
      </c>
      <c r="V2148" s="26">
        <f t="shared" si="71"/>
        <v>4.5434230513260916</v>
      </c>
      <c r="W2148" s="3">
        <f>IF(A2148=A2149,N2148-N2149,0)</f>
        <v>4.2499999999999982E-2</v>
      </c>
      <c r="X2148" s="10">
        <f>IF(A2148=A2149,(N2148-N2149)/N2149,0)</f>
        <v>8.5858585858585829E-2</v>
      </c>
    </row>
    <row r="2149" spans="1:24" ht="16.5" customHeight="1">
      <c r="A2149" s="3" t="s">
        <v>47</v>
      </c>
      <c r="B2149" s="3">
        <f t="shared" si="64"/>
        <v>2012</v>
      </c>
      <c r="C2149" s="3">
        <f t="shared" si="65"/>
        <v>12</v>
      </c>
      <c r="D2149" s="20" t="str">
        <f t="shared" si="66"/>
        <v>GPC201212</v>
      </c>
      <c r="E2149" s="2">
        <v>41248</v>
      </c>
      <c r="F2149" s="3">
        <v>0.495</v>
      </c>
      <c r="G2149" s="2">
        <v>41276</v>
      </c>
      <c r="H2149" s="3">
        <v>3.0599999999999999E-2</v>
      </c>
      <c r="I2149" s="3">
        <v>0</v>
      </c>
      <c r="J2149" s="3">
        <v>0</v>
      </c>
      <c r="K2149" s="3">
        <f t="shared" si="67"/>
        <v>2012</v>
      </c>
      <c r="L2149" s="3">
        <f t="shared" si="68"/>
        <v>0</v>
      </c>
      <c r="M2149" s="20" t="str">
        <f>A2149&amp;L2149</f>
        <v>GPC0</v>
      </c>
      <c r="N2149" s="3">
        <f>F2149</f>
        <v>0.495</v>
      </c>
      <c r="O2149" s="9">
        <f>H2149</f>
        <v>3.0599999999999999E-2</v>
      </c>
      <c r="P2149" s="10">
        <f t="shared" si="69"/>
        <v>0</v>
      </c>
      <c r="Q2149" s="10">
        <f>IF(K2149=0,IF(A2146=A2149,AVERAGE(O2146:O2149),"x"),0)</f>
        <v>0</v>
      </c>
      <c r="R2149" s="9">
        <f>IF(L2149&gt;2005,AVERAGE(O2146:O2165),0)</f>
        <v>0</v>
      </c>
      <c r="S2149" s="10">
        <f>IF(A2149=A2150,(N2149-N2150)/N2150,0)</f>
        <v>0</v>
      </c>
      <c r="T2149" s="10">
        <f>IF(L2149&gt;2005,(((N2149-N2169)/N2169)+1)^(1/5)-1,0)</f>
        <v>0</v>
      </c>
      <c r="U2149" s="10">
        <f t="shared" si="70"/>
        <v>0</v>
      </c>
      <c r="V2149" s="26">
        <f t="shared" si="71"/>
        <v>0</v>
      </c>
      <c r="W2149" s="3">
        <f>IF(A2149=A2150,N2149-N2150,0)</f>
        <v>0</v>
      </c>
      <c r="X2149" s="10">
        <f>IF(A2149=A2150,(N2149-N2150)/N2150,0)</f>
        <v>0</v>
      </c>
    </row>
    <row r="2150" spans="1:24" ht="16.5" customHeight="1">
      <c r="A2150" s="3" t="s">
        <v>47</v>
      </c>
      <c r="B2150" s="3">
        <f t="shared" si="64"/>
        <v>2012</v>
      </c>
      <c r="C2150" s="3">
        <f t="shared" si="65"/>
        <v>9</v>
      </c>
      <c r="D2150" s="20" t="str">
        <f t="shared" si="66"/>
        <v>GPC20129</v>
      </c>
      <c r="E2150" s="2">
        <v>41157</v>
      </c>
      <c r="F2150" s="3">
        <v>0.495</v>
      </c>
      <c r="G2150" s="2">
        <v>41183</v>
      </c>
      <c r="H2150" s="3">
        <v>3.1199999999999999E-2</v>
      </c>
      <c r="I2150" s="3">
        <v>0</v>
      </c>
      <c r="J2150" s="3">
        <v>0</v>
      </c>
      <c r="K2150" s="3">
        <f t="shared" si="67"/>
        <v>2012</v>
      </c>
      <c r="L2150" s="3">
        <f t="shared" si="68"/>
        <v>0</v>
      </c>
      <c r="M2150" s="20" t="str">
        <f>A2150&amp;L2150</f>
        <v>GPC0</v>
      </c>
      <c r="N2150" s="3">
        <f>F2150</f>
        <v>0.495</v>
      </c>
      <c r="O2150" s="9">
        <f>H2150</f>
        <v>3.1199999999999999E-2</v>
      </c>
      <c r="P2150" s="10">
        <f t="shared" si="69"/>
        <v>0</v>
      </c>
      <c r="Q2150" s="10">
        <f>IF(K2150=0,IF(A2147=A2150,AVERAGE(O2147:O2150),"x"),0)</f>
        <v>0</v>
      </c>
      <c r="R2150" s="9">
        <f>IF(L2150&gt;2005,AVERAGE(O2147:O2166),0)</f>
        <v>0</v>
      </c>
      <c r="S2150" s="10">
        <f>IF(A2150=A2151,(N2150-N2151)/N2151,0)</f>
        <v>0</v>
      </c>
      <c r="T2150" s="10">
        <f>IF(L2150&gt;2005,(((N2150-N2170)/N2170)+1)^(1/5)-1,0)</f>
        <v>0</v>
      </c>
      <c r="U2150" s="10">
        <f t="shared" si="70"/>
        <v>0</v>
      </c>
      <c r="V2150" s="26">
        <f t="shared" si="71"/>
        <v>0</v>
      </c>
      <c r="W2150" s="3">
        <f>IF(A2150=A2151,N2150-N2151,0)</f>
        <v>0</v>
      </c>
      <c r="X2150" s="10">
        <f>IF(A2150=A2151,(N2150-N2151)/N2151,0)</f>
        <v>0</v>
      </c>
    </row>
    <row r="2151" spans="1:24" ht="16.5" customHeight="1">
      <c r="A2151" s="3" t="s">
        <v>47</v>
      </c>
      <c r="B2151" s="3">
        <f t="shared" si="64"/>
        <v>2012</v>
      </c>
      <c r="C2151" s="3">
        <f t="shared" si="65"/>
        <v>6</v>
      </c>
      <c r="D2151" s="20" t="str">
        <f t="shared" si="66"/>
        <v>GPC20126</v>
      </c>
      <c r="E2151" s="2">
        <v>41066</v>
      </c>
      <c r="F2151" s="3">
        <v>0.495</v>
      </c>
      <c r="G2151" s="2">
        <v>41092</v>
      </c>
      <c r="H2151" s="3">
        <v>3.1399999999999997E-2</v>
      </c>
      <c r="I2151" s="3">
        <v>0</v>
      </c>
      <c r="J2151" s="3">
        <v>0</v>
      </c>
      <c r="K2151" s="3">
        <f t="shared" si="67"/>
        <v>2012</v>
      </c>
      <c r="L2151" s="3">
        <f t="shared" si="68"/>
        <v>0</v>
      </c>
      <c r="M2151" s="20" t="str">
        <f>A2151&amp;L2151</f>
        <v>GPC0</v>
      </c>
      <c r="N2151" s="3">
        <f>F2151</f>
        <v>0.495</v>
      </c>
      <c r="O2151" s="9">
        <f>H2151</f>
        <v>3.1399999999999997E-2</v>
      </c>
      <c r="P2151" s="10">
        <f t="shared" si="69"/>
        <v>0</v>
      </c>
      <c r="Q2151" s="10">
        <f>IF(K2151=0,IF(A2148=A2151,AVERAGE(O2148:O2151),"x"),0)</f>
        <v>0</v>
      </c>
      <c r="R2151" s="9">
        <f>IF(L2151&gt;2005,AVERAGE(O2148:O2167),0)</f>
        <v>0</v>
      </c>
      <c r="S2151" s="10">
        <f>IF(A2151=A2152,(N2151-N2152)/N2152,0)</f>
        <v>0</v>
      </c>
      <c r="T2151" s="10">
        <f>IF(L2151&gt;2005,(((N2151-N2171)/N2171)+1)^(1/5)-1,0)</f>
        <v>0</v>
      </c>
      <c r="U2151" s="10">
        <f t="shared" si="70"/>
        <v>0</v>
      </c>
      <c r="V2151" s="26">
        <f t="shared" si="71"/>
        <v>0</v>
      </c>
      <c r="W2151" s="3">
        <f>IF(A2151=A2152,N2151-N2152,0)</f>
        <v>0</v>
      </c>
      <c r="X2151" s="10">
        <f>IF(A2151=A2152,(N2151-N2152)/N2152,0)</f>
        <v>0</v>
      </c>
    </row>
    <row r="2152" spans="1:24" ht="16.5" customHeight="1">
      <c r="A2152" s="3" t="s">
        <v>47</v>
      </c>
      <c r="B2152" s="3">
        <f t="shared" si="64"/>
        <v>2012</v>
      </c>
      <c r="C2152" s="3">
        <f t="shared" si="65"/>
        <v>3</v>
      </c>
      <c r="D2152" s="20" t="str">
        <f t="shared" si="66"/>
        <v>GPC20123</v>
      </c>
      <c r="E2152" s="2">
        <v>40975</v>
      </c>
      <c r="F2152" s="3">
        <v>0.495</v>
      </c>
      <c r="G2152" s="2">
        <v>41001</v>
      </c>
      <c r="H2152" s="3">
        <v>2.9600000000000001E-2</v>
      </c>
      <c r="I2152" s="3">
        <v>0.1</v>
      </c>
      <c r="J2152" s="3">
        <v>4.4999999999999998E-2</v>
      </c>
      <c r="K2152" s="3">
        <f t="shared" si="67"/>
        <v>0</v>
      </c>
      <c r="L2152" s="3">
        <f t="shared" si="68"/>
        <v>2012</v>
      </c>
      <c r="M2152" s="20" t="str">
        <f>A2152&amp;L2152</f>
        <v>GPC2012</v>
      </c>
      <c r="N2152" s="3">
        <f>F2152</f>
        <v>0.495</v>
      </c>
      <c r="O2152" s="9">
        <f>H2152</f>
        <v>2.9600000000000001E-2</v>
      </c>
      <c r="P2152" s="10">
        <f t="shared" si="69"/>
        <v>3.1625E-2</v>
      </c>
      <c r="Q2152" s="10">
        <f>IF(K2152=0,IF(A2149=A2152,AVERAGE(O2149:O2152),"x"),0)</f>
        <v>3.0699999999999998E-2</v>
      </c>
      <c r="R2152" s="9">
        <f>IF(L2152&gt;2005,AVERAGE(O2149:O2168),0)</f>
        <v>3.7020000000000004E-2</v>
      </c>
      <c r="S2152" s="10">
        <f>IF(A2152=A2153,(N2152-N2153)/N2153,0)</f>
        <v>9.9999999999999964E-2</v>
      </c>
      <c r="T2152" s="10">
        <f>IF(L2152&gt;2005,(((N2152-N2172)/N2172)+1)^(1/5)-1,0)</f>
        <v>6.2826726454686233E-2</v>
      </c>
      <c r="U2152" s="10">
        <f t="shared" si="70"/>
        <v>9.984672645468623E-2</v>
      </c>
      <c r="V2152" s="26">
        <f t="shared" si="71"/>
        <v>4.5172059976045436</v>
      </c>
      <c r="W2152" s="3">
        <f>IF(A2152=A2153,N2152-N2153,0)</f>
        <v>4.4999999999999984E-2</v>
      </c>
      <c r="X2152" s="10">
        <f>IF(A2152=A2153,(N2152-N2153)/N2153,0)</f>
        <v>9.9999999999999964E-2</v>
      </c>
    </row>
    <row r="2153" spans="1:24" ht="16.5" customHeight="1">
      <c r="A2153" s="3" t="s">
        <v>47</v>
      </c>
      <c r="B2153" s="3">
        <f t="shared" si="64"/>
        <v>2011</v>
      </c>
      <c r="C2153" s="3">
        <f t="shared" si="65"/>
        <v>12</v>
      </c>
      <c r="D2153" s="20" t="str">
        <f t="shared" si="66"/>
        <v>GPC201112</v>
      </c>
      <c r="E2153" s="2">
        <v>40884</v>
      </c>
      <c r="F2153" s="3">
        <v>0.45</v>
      </c>
      <c r="G2153" s="2">
        <v>40911</v>
      </c>
      <c r="H2153" s="3">
        <v>2.9899999999999999E-2</v>
      </c>
      <c r="I2153" s="3">
        <v>0</v>
      </c>
      <c r="J2153" s="3">
        <v>0</v>
      </c>
      <c r="K2153" s="3">
        <f t="shared" si="67"/>
        <v>2011</v>
      </c>
      <c r="L2153" s="3">
        <f t="shared" si="68"/>
        <v>0</v>
      </c>
      <c r="M2153" s="20" t="str">
        <f>A2153&amp;L2153</f>
        <v>GPC0</v>
      </c>
      <c r="N2153" s="3">
        <f>F2153</f>
        <v>0.45</v>
      </c>
      <c r="O2153" s="9">
        <f>H2153</f>
        <v>2.9899999999999999E-2</v>
      </c>
      <c r="P2153" s="10">
        <f t="shared" si="69"/>
        <v>0</v>
      </c>
      <c r="Q2153" s="10">
        <f>IF(K2153=0,IF(A2150=A2153,AVERAGE(O2150:O2153),"x"),0)</f>
        <v>0</v>
      </c>
      <c r="R2153" s="9">
        <f>IF(L2153&gt;2005,AVERAGE(O2150:O2169),0)</f>
        <v>0</v>
      </c>
      <c r="S2153" s="10">
        <f>IF(A2153=A2154,(N2153-N2154)/N2154,0)</f>
        <v>0</v>
      </c>
      <c r="T2153" s="10">
        <f>IF(L2153&gt;2005,(((N2153-N2173)/N2173)+1)^(1/5)-1,0)</f>
        <v>0</v>
      </c>
      <c r="U2153" s="10">
        <f t="shared" si="70"/>
        <v>0</v>
      </c>
      <c r="V2153" s="26">
        <f t="shared" si="71"/>
        <v>0</v>
      </c>
      <c r="W2153" s="3">
        <f>IF(A2153=A2154,N2153-N2154,0)</f>
        <v>0</v>
      </c>
      <c r="X2153" s="10">
        <f>IF(A2153=A2154,(N2153-N2154)/N2154,0)</f>
        <v>0</v>
      </c>
    </row>
    <row r="2154" spans="1:24" ht="16.5" customHeight="1">
      <c r="A2154" s="3" t="s">
        <v>47</v>
      </c>
      <c r="B2154" s="3">
        <f t="shared" si="64"/>
        <v>2011</v>
      </c>
      <c r="C2154" s="3">
        <f t="shared" si="65"/>
        <v>9</v>
      </c>
      <c r="D2154" s="20" t="str">
        <f t="shared" si="66"/>
        <v>GPC20119</v>
      </c>
      <c r="E2154" s="2">
        <v>40793</v>
      </c>
      <c r="F2154" s="3">
        <v>0.45</v>
      </c>
      <c r="G2154" s="2">
        <v>40819</v>
      </c>
      <c r="H2154" s="3">
        <v>3.3300000000000003E-2</v>
      </c>
      <c r="I2154" s="3">
        <v>0</v>
      </c>
      <c r="J2154" s="3">
        <v>0</v>
      </c>
      <c r="K2154" s="3">
        <f t="shared" si="67"/>
        <v>2011</v>
      </c>
      <c r="L2154" s="3">
        <f t="shared" si="68"/>
        <v>0</v>
      </c>
      <c r="M2154" s="20" t="str">
        <f>A2154&amp;L2154</f>
        <v>GPC0</v>
      </c>
      <c r="N2154" s="3">
        <f>F2154</f>
        <v>0.45</v>
      </c>
      <c r="O2154" s="9">
        <f>H2154</f>
        <v>3.3300000000000003E-2</v>
      </c>
      <c r="P2154" s="10">
        <f t="shared" si="69"/>
        <v>0</v>
      </c>
      <c r="Q2154" s="10">
        <f>IF(K2154=0,IF(A2151=A2154,AVERAGE(O2151:O2154),"x"),0)</f>
        <v>0</v>
      </c>
      <c r="R2154" s="9">
        <f>IF(L2154&gt;2005,AVERAGE(O2151:O2170),0)</f>
        <v>0</v>
      </c>
      <c r="S2154" s="10">
        <f>IF(A2154=A2155,(N2154-N2155)/N2155,0)</f>
        <v>0</v>
      </c>
      <c r="T2154" s="10">
        <f>IF(L2154&gt;2005,(((N2154-N2174)/N2174)+1)^(1/5)-1,0)</f>
        <v>0</v>
      </c>
      <c r="U2154" s="10">
        <f t="shared" si="70"/>
        <v>0</v>
      </c>
      <c r="V2154" s="26">
        <f t="shared" si="71"/>
        <v>0</v>
      </c>
      <c r="W2154" s="3">
        <f>IF(A2154=A2155,N2154-N2155,0)</f>
        <v>0</v>
      </c>
      <c r="X2154" s="10">
        <f>IF(A2154=A2155,(N2154-N2155)/N2155,0)</f>
        <v>0</v>
      </c>
    </row>
    <row r="2155" spans="1:24" ht="16.5" customHeight="1">
      <c r="A2155" s="3" t="s">
        <v>47</v>
      </c>
      <c r="B2155" s="3">
        <f t="shared" si="64"/>
        <v>2011</v>
      </c>
      <c r="C2155" s="3">
        <f t="shared" si="65"/>
        <v>6</v>
      </c>
      <c r="D2155" s="20" t="str">
        <f t="shared" si="66"/>
        <v>GPC20116</v>
      </c>
      <c r="E2155" s="2">
        <v>40702</v>
      </c>
      <c r="F2155" s="3">
        <v>0.45</v>
      </c>
      <c r="G2155" s="2">
        <v>40725</v>
      </c>
      <c r="H2155" s="3">
        <v>3.3700000000000001E-2</v>
      </c>
      <c r="I2155" s="3">
        <v>0</v>
      </c>
      <c r="J2155" s="3">
        <v>0</v>
      </c>
      <c r="K2155" s="3">
        <f t="shared" si="67"/>
        <v>2011</v>
      </c>
      <c r="L2155" s="3">
        <f t="shared" si="68"/>
        <v>0</v>
      </c>
      <c r="M2155" s="20" t="str">
        <f>A2155&amp;L2155</f>
        <v>GPC0</v>
      </c>
      <c r="N2155" s="3">
        <f>F2155</f>
        <v>0.45</v>
      </c>
      <c r="O2155" s="9">
        <f>H2155</f>
        <v>3.3700000000000001E-2</v>
      </c>
      <c r="P2155" s="10">
        <f t="shared" si="69"/>
        <v>0</v>
      </c>
      <c r="Q2155" s="10">
        <f>IF(K2155=0,IF(A2152=A2155,AVERAGE(O2152:O2155),"x"),0)</f>
        <v>0</v>
      </c>
      <c r="R2155" s="9">
        <f>IF(L2155&gt;2005,AVERAGE(O2152:O2171),0)</f>
        <v>0</v>
      </c>
      <c r="S2155" s="10">
        <f>IF(A2155=A2156,(N2155-N2156)/N2156,0)</f>
        <v>0</v>
      </c>
      <c r="T2155" s="10">
        <f>IF(L2155&gt;2005,(((N2155-N2175)/N2175)+1)^(1/5)-1,0)</f>
        <v>0</v>
      </c>
      <c r="U2155" s="10">
        <f t="shared" si="70"/>
        <v>0</v>
      </c>
      <c r="V2155" s="26">
        <f t="shared" si="71"/>
        <v>0</v>
      </c>
      <c r="W2155" s="3">
        <f>IF(A2155=A2156,N2155-N2156,0)</f>
        <v>0</v>
      </c>
      <c r="X2155" s="10">
        <f>IF(A2155=A2156,(N2155-N2156)/N2156,0)</f>
        <v>0</v>
      </c>
    </row>
    <row r="2156" spans="1:24" ht="16.5" customHeight="1">
      <c r="A2156" s="3" t="s">
        <v>47</v>
      </c>
      <c r="B2156" s="3">
        <f t="shared" si="64"/>
        <v>2011</v>
      </c>
      <c r="C2156" s="3">
        <f t="shared" si="65"/>
        <v>3</v>
      </c>
      <c r="D2156" s="20" t="str">
        <f t="shared" si="66"/>
        <v>GPC20113</v>
      </c>
      <c r="E2156" s="2">
        <v>40611</v>
      </c>
      <c r="F2156" s="3">
        <v>0.45</v>
      </c>
      <c r="G2156" s="2">
        <v>40634</v>
      </c>
      <c r="H2156" s="3">
        <v>3.1699999999999999E-2</v>
      </c>
      <c r="I2156" s="3">
        <v>9.7560975999999994E-2</v>
      </c>
      <c r="J2156" s="3">
        <v>0.04</v>
      </c>
      <c r="K2156" s="3">
        <f t="shared" si="67"/>
        <v>0</v>
      </c>
      <c r="L2156" s="3">
        <f t="shared" si="68"/>
        <v>2011</v>
      </c>
      <c r="M2156" s="20" t="str">
        <f>A2156&amp;L2156</f>
        <v>GPC2011</v>
      </c>
      <c r="N2156" s="3">
        <f>F2156</f>
        <v>0.45</v>
      </c>
      <c r="O2156" s="9">
        <f>H2156</f>
        <v>3.1699999999999999E-2</v>
      </c>
      <c r="P2156" s="10">
        <f t="shared" si="69"/>
        <v>3.5750000000000004E-2</v>
      </c>
      <c r="Q2156" s="10">
        <f>IF(K2156=0,IF(A2153=A2156,AVERAGE(O2153:O2156),"x"),0)</f>
        <v>3.2150000000000005E-2</v>
      </c>
      <c r="R2156" s="9">
        <f>IF(L2156&gt;2005,AVERAGE(O2153:O2172),0)</f>
        <v>3.6665000000000003E-2</v>
      </c>
      <c r="S2156" s="10">
        <f>IF(A2156=A2157,(N2156-N2157)/N2157,0)</f>
        <v>9.7560975609756184E-2</v>
      </c>
      <c r="T2156" s="10">
        <f>IF(L2156&gt;2005,(((N2156-N2176)/N2176)+1)^(1/5)-1,0)</f>
        <v>5.9223841048812176E-2</v>
      </c>
      <c r="U2156" s="10">
        <f t="shared" si="70"/>
        <v>9.5888841048812179E-2</v>
      </c>
      <c r="V2156" s="26">
        <f t="shared" si="71"/>
        <v>4.5199800448423311</v>
      </c>
      <c r="W2156" s="3">
        <f>IF(A2156=A2157,N2156-N2157,0)</f>
        <v>4.0000000000000036E-2</v>
      </c>
      <c r="X2156" s="10">
        <f>IF(A2156=A2157,(N2156-N2157)/N2157,0)</f>
        <v>9.7560975609756184E-2</v>
      </c>
    </row>
    <row r="2157" spans="1:24" ht="16.5" customHeight="1">
      <c r="A2157" s="3" t="s">
        <v>47</v>
      </c>
      <c r="B2157" s="3">
        <f t="shared" si="64"/>
        <v>2010</v>
      </c>
      <c r="C2157" s="3">
        <f t="shared" si="65"/>
        <v>12</v>
      </c>
      <c r="D2157" s="20" t="str">
        <f t="shared" si="66"/>
        <v>GPC201012</v>
      </c>
      <c r="E2157" s="2">
        <v>40520</v>
      </c>
      <c r="F2157" s="3">
        <v>0.41</v>
      </c>
      <c r="G2157" s="2">
        <v>40546</v>
      </c>
      <c r="H2157" s="3">
        <v>3.2199999999999999E-2</v>
      </c>
      <c r="I2157" s="3">
        <v>0</v>
      </c>
      <c r="J2157" s="3">
        <v>0</v>
      </c>
      <c r="K2157" s="3">
        <f t="shared" si="67"/>
        <v>2010</v>
      </c>
      <c r="L2157" s="3">
        <f t="shared" si="68"/>
        <v>0</v>
      </c>
      <c r="M2157" s="20" t="str">
        <f>A2157&amp;L2157</f>
        <v>GPC0</v>
      </c>
      <c r="N2157" s="3">
        <f>F2157</f>
        <v>0.41</v>
      </c>
      <c r="O2157" s="9">
        <f>H2157</f>
        <v>3.2199999999999999E-2</v>
      </c>
      <c r="P2157" s="10">
        <f t="shared" si="69"/>
        <v>0</v>
      </c>
      <c r="Q2157" s="10">
        <f>IF(K2157=0,IF(A2154=A2157,AVERAGE(O2154:O2157),"x"),0)</f>
        <v>0</v>
      </c>
      <c r="R2157" s="9">
        <f>IF(L2157&gt;2005,AVERAGE(O2154:O2173),0)</f>
        <v>0</v>
      </c>
      <c r="S2157" s="10">
        <f>IF(A2157=A2158,(N2157-N2158)/N2158,0)</f>
        <v>0</v>
      </c>
      <c r="T2157" s="10">
        <f>IF(L2157&gt;2005,(((N2157-N2177)/N2177)+1)^(1/5)-1,0)</f>
        <v>0</v>
      </c>
      <c r="U2157" s="10">
        <f t="shared" si="70"/>
        <v>0</v>
      </c>
      <c r="V2157" s="26">
        <f t="shared" si="71"/>
        <v>0</v>
      </c>
      <c r="W2157" s="3">
        <f>IF(A2157=A2158,N2157-N2158,0)</f>
        <v>0</v>
      </c>
      <c r="X2157" s="10">
        <f>IF(A2157=A2158,(N2157-N2158)/N2158,0)</f>
        <v>0</v>
      </c>
    </row>
    <row r="2158" spans="1:24" ht="16.5" customHeight="1">
      <c r="A2158" s="3" t="s">
        <v>47</v>
      </c>
      <c r="B2158" s="3">
        <f t="shared" si="64"/>
        <v>2010</v>
      </c>
      <c r="C2158" s="3">
        <f t="shared" si="65"/>
        <v>9</v>
      </c>
      <c r="D2158" s="20" t="str">
        <f t="shared" si="66"/>
        <v>GPC20109</v>
      </c>
      <c r="E2158" s="2">
        <v>40429</v>
      </c>
      <c r="F2158" s="3">
        <v>0.41</v>
      </c>
      <c r="G2158" s="2">
        <v>40452</v>
      </c>
      <c r="H2158" s="3">
        <v>3.8100000000000002E-2</v>
      </c>
      <c r="I2158" s="3">
        <v>0</v>
      </c>
      <c r="J2158" s="3">
        <v>0</v>
      </c>
      <c r="K2158" s="3">
        <f t="shared" si="67"/>
        <v>2010</v>
      </c>
      <c r="L2158" s="3">
        <f t="shared" si="68"/>
        <v>0</v>
      </c>
      <c r="M2158" s="20" t="str">
        <f>A2158&amp;L2158</f>
        <v>GPC0</v>
      </c>
      <c r="N2158" s="3">
        <f>F2158</f>
        <v>0.41</v>
      </c>
      <c r="O2158" s="9">
        <f>H2158</f>
        <v>3.8100000000000002E-2</v>
      </c>
      <c r="P2158" s="10">
        <f t="shared" si="69"/>
        <v>0</v>
      </c>
      <c r="Q2158" s="10">
        <f>IF(K2158=0,IF(A2155=A2158,AVERAGE(O2155:O2158),"x"),0)</f>
        <v>0</v>
      </c>
      <c r="R2158" s="9">
        <f>IF(L2158&gt;2005,AVERAGE(O2155:O2174),0)</f>
        <v>0</v>
      </c>
      <c r="S2158" s="10">
        <f>IF(A2158=A2159,(N2158-N2159)/N2159,0)</f>
        <v>0</v>
      </c>
      <c r="T2158" s="10">
        <f>IF(L2158&gt;2005,(((N2158-N2178)/N2178)+1)^(1/5)-1,0)</f>
        <v>0</v>
      </c>
      <c r="U2158" s="10">
        <f t="shared" si="70"/>
        <v>0</v>
      </c>
      <c r="V2158" s="26">
        <f t="shared" si="71"/>
        <v>0</v>
      </c>
      <c r="W2158" s="3">
        <f>IF(A2158=A2159,N2158-N2159,0)</f>
        <v>0</v>
      </c>
      <c r="X2158" s="10">
        <f>IF(A2158=A2159,(N2158-N2159)/N2159,0)</f>
        <v>0</v>
      </c>
    </row>
    <row r="2159" spans="1:24" ht="16.5" customHeight="1">
      <c r="A2159" s="3" t="s">
        <v>47</v>
      </c>
      <c r="B2159" s="3">
        <f t="shared" si="64"/>
        <v>2010</v>
      </c>
      <c r="C2159" s="3">
        <f t="shared" si="65"/>
        <v>6</v>
      </c>
      <c r="D2159" s="20" t="str">
        <f t="shared" si="66"/>
        <v>GPC20106</v>
      </c>
      <c r="E2159" s="2">
        <v>40338</v>
      </c>
      <c r="F2159" s="3">
        <v>0.41</v>
      </c>
      <c r="G2159" s="2">
        <v>40360</v>
      </c>
      <c r="H2159" s="3">
        <v>4.1000000000000002E-2</v>
      </c>
      <c r="I2159" s="3">
        <v>0</v>
      </c>
      <c r="J2159" s="3">
        <v>0</v>
      </c>
      <c r="K2159" s="3">
        <f t="shared" si="67"/>
        <v>2010</v>
      </c>
      <c r="L2159" s="3">
        <f t="shared" si="68"/>
        <v>0</v>
      </c>
      <c r="M2159" s="20" t="str">
        <f>A2159&amp;L2159</f>
        <v>GPC0</v>
      </c>
      <c r="N2159" s="3">
        <f>F2159</f>
        <v>0.41</v>
      </c>
      <c r="O2159" s="9">
        <f>H2159</f>
        <v>4.1000000000000002E-2</v>
      </c>
      <c r="P2159" s="10">
        <f t="shared" si="69"/>
        <v>0</v>
      </c>
      <c r="Q2159" s="10">
        <f>IF(K2159=0,IF(A2156=A2159,AVERAGE(O2156:O2159),"x"),0)</f>
        <v>0</v>
      </c>
      <c r="R2159" s="9">
        <f>IF(L2159&gt;2005,AVERAGE(O2156:O2175),0)</f>
        <v>0</v>
      </c>
      <c r="S2159" s="10">
        <f>IF(A2159=A2160,(N2159-N2160)/N2160,0)</f>
        <v>0</v>
      </c>
      <c r="T2159" s="10">
        <f>IF(L2159&gt;2005,(((N2159-N2179)/N2179)+1)^(1/5)-1,0)</f>
        <v>0</v>
      </c>
      <c r="U2159" s="10">
        <f t="shared" si="70"/>
        <v>0</v>
      </c>
      <c r="V2159" s="26">
        <f t="shared" si="71"/>
        <v>0</v>
      </c>
      <c r="W2159" s="3">
        <f>IF(A2159=A2160,N2159-N2160,0)</f>
        <v>0</v>
      </c>
      <c r="X2159" s="10">
        <f>IF(A2159=A2160,(N2159-N2160)/N2160,0)</f>
        <v>0</v>
      </c>
    </row>
    <row r="2160" spans="1:24" ht="16.5" customHeight="1">
      <c r="A2160" s="3" t="s">
        <v>47</v>
      </c>
      <c r="B2160" s="3">
        <f t="shared" si="64"/>
        <v>2010</v>
      </c>
      <c r="C2160" s="3">
        <f t="shared" si="65"/>
        <v>3</v>
      </c>
      <c r="D2160" s="20" t="str">
        <f t="shared" si="66"/>
        <v>GPC20103</v>
      </c>
      <c r="E2160" s="2">
        <v>40240</v>
      </c>
      <c r="F2160" s="3">
        <v>0.41</v>
      </c>
      <c r="G2160" s="2">
        <v>40269</v>
      </c>
      <c r="H2160" s="3">
        <v>3.9300000000000002E-2</v>
      </c>
      <c r="I2160" s="3">
        <v>2.5000000000000001E-2</v>
      </c>
      <c r="J2160" s="3">
        <v>0.01</v>
      </c>
      <c r="K2160" s="3">
        <f t="shared" si="67"/>
        <v>0</v>
      </c>
      <c r="L2160" s="3">
        <f t="shared" si="68"/>
        <v>2010</v>
      </c>
      <c r="M2160" s="20" t="str">
        <f>A2160&amp;L2160</f>
        <v>GPC2010</v>
      </c>
      <c r="N2160" s="3">
        <f>F2160</f>
        <v>0.41</v>
      </c>
      <c r="O2160" s="9">
        <f>H2160</f>
        <v>3.9300000000000002E-2</v>
      </c>
      <c r="P2160" s="10">
        <f t="shared" si="69"/>
        <v>4.2900000000000001E-2</v>
      </c>
      <c r="Q2160" s="10">
        <f>IF(K2160=0,IF(A2157=A2160,AVERAGE(O2157:O2160),"x"),0)</f>
        <v>3.7650000000000003E-2</v>
      </c>
      <c r="R2160" s="9">
        <f>IF(L2160&gt;2005,AVERAGE(O2157:O2176),0)</f>
        <v>3.6215000000000004E-2</v>
      </c>
      <c r="S2160" s="10">
        <f>IF(A2160=A2161,(N2160-N2161)/N2161,0)</f>
        <v>2.4999999999999883E-2</v>
      </c>
      <c r="T2160" s="10">
        <f>IF(L2160&gt;2005,(((N2160-N2180)/N2180)+1)^(1/5)-1,0)</f>
        <v>5.5812421240159171E-2</v>
      </c>
      <c r="U2160" s="10">
        <f t="shared" si="70"/>
        <v>9.2027421240159168E-2</v>
      </c>
      <c r="V2160" s="26">
        <f t="shared" si="71"/>
        <v>4.5240096370044247</v>
      </c>
      <c r="W2160" s="3">
        <f>IF(A2160=A2161,N2160-N2161,0)</f>
        <v>9.9999999999999534E-3</v>
      </c>
      <c r="X2160" s="10">
        <f>IF(A2160=A2161,(N2160-N2161)/N2161,0)</f>
        <v>2.4999999999999883E-2</v>
      </c>
    </row>
    <row r="2161" spans="1:24" ht="16.5" customHeight="1">
      <c r="A2161" s="3" t="s">
        <v>47</v>
      </c>
      <c r="B2161" s="3">
        <f t="shared" si="64"/>
        <v>2009</v>
      </c>
      <c r="C2161" s="3">
        <f t="shared" si="65"/>
        <v>12</v>
      </c>
      <c r="D2161" s="20" t="str">
        <f t="shared" si="66"/>
        <v>GPC200912</v>
      </c>
      <c r="E2161" s="2">
        <v>40149</v>
      </c>
      <c r="F2161" s="3">
        <v>0.4</v>
      </c>
      <c r="G2161" s="2">
        <v>40182</v>
      </c>
      <c r="H2161" s="3">
        <v>4.36E-2</v>
      </c>
      <c r="I2161" s="3">
        <v>0</v>
      </c>
      <c r="J2161" s="3">
        <v>0</v>
      </c>
      <c r="K2161" s="3">
        <f t="shared" si="67"/>
        <v>2009</v>
      </c>
      <c r="L2161" s="3">
        <f t="shared" si="68"/>
        <v>0</v>
      </c>
      <c r="M2161" s="20" t="str">
        <f>A2161&amp;L2161</f>
        <v>GPC0</v>
      </c>
      <c r="N2161" s="3">
        <f>F2161</f>
        <v>0.4</v>
      </c>
      <c r="O2161" s="9">
        <f>H2161</f>
        <v>4.36E-2</v>
      </c>
      <c r="P2161" s="10">
        <f t="shared" si="69"/>
        <v>0</v>
      </c>
      <c r="Q2161" s="10">
        <f>IF(K2161=0,IF(A2158=A2161,AVERAGE(O2158:O2161),"x"),0)</f>
        <v>0</v>
      </c>
      <c r="R2161" s="9">
        <f>IF(L2161&gt;2005,AVERAGE(O2158:O2177),0)</f>
        <v>0</v>
      </c>
      <c r="S2161" s="10">
        <f>IF(A2161=A2162,(N2161-N2162)/N2162,0)</f>
        <v>0</v>
      </c>
      <c r="T2161" s="10">
        <f>IF(L2161&gt;2005,(((N2161-N2181)/N2181)+1)^(1/5)-1,0)</f>
        <v>0</v>
      </c>
      <c r="U2161" s="10">
        <f t="shared" si="70"/>
        <v>0</v>
      </c>
      <c r="V2161" s="26">
        <f t="shared" si="71"/>
        <v>0</v>
      </c>
      <c r="W2161" s="3">
        <f>IF(A2161=A2162,N2161-N2162,0)</f>
        <v>0</v>
      </c>
      <c r="X2161" s="10">
        <f>IF(A2161=A2162,(N2161-N2162)/N2162,0)</f>
        <v>0</v>
      </c>
    </row>
    <row r="2162" spans="1:24" ht="16.5" customHeight="1">
      <c r="A2162" s="3" t="s">
        <v>47</v>
      </c>
      <c r="B2162" s="3">
        <f t="shared" si="64"/>
        <v>2009</v>
      </c>
      <c r="C2162" s="3">
        <f t="shared" si="65"/>
        <v>9</v>
      </c>
      <c r="D2162" s="20" t="str">
        <f t="shared" si="66"/>
        <v>GPC20099</v>
      </c>
      <c r="E2162" s="2">
        <v>40058</v>
      </c>
      <c r="F2162" s="3">
        <v>0.4</v>
      </c>
      <c r="G2162" s="2">
        <v>40087</v>
      </c>
      <c r="H2162" s="3">
        <v>4.4600000000000001E-2</v>
      </c>
      <c r="I2162" s="3">
        <v>0</v>
      </c>
      <c r="J2162" s="3">
        <v>0</v>
      </c>
      <c r="K2162" s="3">
        <f t="shared" si="67"/>
        <v>2009</v>
      </c>
      <c r="L2162" s="3">
        <f t="shared" si="68"/>
        <v>0</v>
      </c>
      <c r="M2162" s="20" t="str">
        <f>A2162&amp;L2162</f>
        <v>GPC0</v>
      </c>
      <c r="N2162" s="3">
        <f>F2162</f>
        <v>0.4</v>
      </c>
      <c r="O2162" s="9">
        <f>H2162</f>
        <v>4.4600000000000001E-2</v>
      </c>
      <c r="P2162" s="10">
        <f t="shared" si="69"/>
        <v>0</v>
      </c>
      <c r="Q2162" s="10">
        <f>IF(K2162=0,IF(A2159=A2162,AVERAGE(O2159:O2162),"x"),0)</f>
        <v>0</v>
      </c>
      <c r="R2162" s="9">
        <f>IF(L2162&gt;2005,AVERAGE(O2159:O2178),0)</f>
        <v>0</v>
      </c>
      <c r="S2162" s="10">
        <f>IF(A2162=A2163,(N2162-N2163)/N2163,0)</f>
        <v>0</v>
      </c>
      <c r="T2162" s="10">
        <f>IF(L2162&gt;2005,(((N2162-N2182)/N2182)+1)^(1/5)-1,0)</f>
        <v>0</v>
      </c>
      <c r="U2162" s="10">
        <f t="shared" si="70"/>
        <v>0</v>
      </c>
      <c r="V2162" s="26">
        <f t="shared" si="71"/>
        <v>0</v>
      </c>
      <c r="W2162" s="3">
        <f>IF(A2162=A2163,N2162-N2163,0)</f>
        <v>0</v>
      </c>
      <c r="X2162" s="10">
        <f>IF(A2162=A2163,(N2162-N2163)/N2163,0)</f>
        <v>0</v>
      </c>
    </row>
    <row r="2163" spans="1:24" ht="16.5" customHeight="1">
      <c r="A2163" s="3" t="s">
        <v>47</v>
      </c>
      <c r="B2163" s="3">
        <f t="shared" si="64"/>
        <v>2009</v>
      </c>
      <c r="C2163" s="3">
        <f t="shared" si="65"/>
        <v>6</v>
      </c>
      <c r="D2163" s="20" t="str">
        <f t="shared" si="66"/>
        <v>GPC20096</v>
      </c>
      <c r="E2163" s="2">
        <v>39967</v>
      </c>
      <c r="F2163" s="3">
        <v>0.4</v>
      </c>
      <c r="G2163" s="2">
        <v>39995</v>
      </c>
      <c r="H2163" s="3">
        <v>4.41E-2</v>
      </c>
      <c r="I2163" s="3">
        <v>0</v>
      </c>
      <c r="J2163" s="3">
        <v>0</v>
      </c>
      <c r="K2163" s="3">
        <f t="shared" si="67"/>
        <v>2009</v>
      </c>
      <c r="L2163" s="3">
        <f t="shared" si="68"/>
        <v>0</v>
      </c>
      <c r="M2163" s="20" t="str">
        <f>A2163&amp;L2163</f>
        <v>GPC0</v>
      </c>
      <c r="N2163" s="3">
        <f>F2163</f>
        <v>0.4</v>
      </c>
      <c r="O2163" s="9">
        <f>H2163</f>
        <v>4.41E-2</v>
      </c>
      <c r="P2163" s="10">
        <f t="shared" si="69"/>
        <v>0</v>
      </c>
      <c r="Q2163" s="10">
        <f>IF(K2163=0,IF(A2160=A2163,AVERAGE(O2160:O2163),"x"),0)</f>
        <v>0</v>
      </c>
      <c r="R2163" s="9">
        <f>IF(L2163&gt;2005,AVERAGE(O2160:O2179),0)</f>
        <v>0</v>
      </c>
      <c r="S2163" s="10">
        <f>IF(A2163=A2164,(N2163-N2164)/N2164,0)</f>
        <v>0</v>
      </c>
      <c r="T2163" s="10">
        <f>IF(L2163&gt;2005,(((N2163-N2183)/N2183)+1)^(1/5)-1,0)</f>
        <v>0</v>
      </c>
      <c r="U2163" s="10">
        <f t="shared" si="70"/>
        <v>0</v>
      </c>
      <c r="V2163" s="26">
        <f t="shared" si="71"/>
        <v>0</v>
      </c>
      <c r="W2163" s="3">
        <f>IF(A2163=A2164,N2163-N2164,0)</f>
        <v>0</v>
      </c>
      <c r="X2163" s="10">
        <f>IF(A2163=A2164,(N2163-N2164)/N2164,0)</f>
        <v>0</v>
      </c>
    </row>
    <row r="2164" spans="1:24" ht="16.5" customHeight="1">
      <c r="A2164" s="3" t="s">
        <v>47</v>
      </c>
      <c r="B2164" s="3">
        <f t="shared" si="64"/>
        <v>2009</v>
      </c>
      <c r="C2164" s="3">
        <f t="shared" si="65"/>
        <v>3</v>
      </c>
      <c r="D2164" s="20" t="str">
        <f t="shared" si="66"/>
        <v>GPC20093</v>
      </c>
      <c r="E2164" s="2">
        <v>39876</v>
      </c>
      <c r="F2164" s="3">
        <v>0.4</v>
      </c>
      <c r="G2164" s="2">
        <v>39904</v>
      </c>
      <c r="H2164" s="3">
        <v>5.7099999999999998E-2</v>
      </c>
      <c r="I2164" s="3">
        <v>2.5641026000000001E-2</v>
      </c>
      <c r="J2164" s="3">
        <v>0.01</v>
      </c>
      <c r="K2164" s="3">
        <f t="shared" si="67"/>
        <v>0</v>
      </c>
      <c r="L2164" s="3">
        <f t="shared" si="68"/>
        <v>2009</v>
      </c>
      <c r="M2164" s="20" t="str">
        <f>A2164&amp;L2164</f>
        <v>GPC2009</v>
      </c>
      <c r="N2164" s="3">
        <f>F2164</f>
        <v>0.4</v>
      </c>
      <c r="O2164" s="9">
        <f>H2164</f>
        <v>5.7099999999999998E-2</v>
      </c>
      <c r="P2164" s="10">
        <f t="shared" si="69"/>
        <v>4.2550000000000004E-2</v>
      </c>
      <c r="Q2164" s="10">
        <f>IF(K2164=0,IF(A2161=A2164,AVERAGE(O2161:O2164),"x"),0)</f>
        <v>4.7350000000000003E-2</v>
      </c>
      <c r="R2164" s="9">
        <f>IF(L2164&gt;2005,AVERAGE(O2161:O2180),0)</f>
        <v>3.4259999999999999E-2</v>
      </c>
      <c r="S2164" s="10">
        <f>IF(A2164=A2165,(N2164-N2165)/N2165,0)</f>
        <v>2.5641025641025664E-2</v>
      </c>
      <c r="T2164" s="10">
        <f>IF(L2164&gt;2005,(((N2164-N2184)/N2184)+1)^(1/5)-1,0)</f>
        <v>5.9223841048812176E-2</v>
      </c>
      <c r="U2164" s="10">
        <f t="shared" si="70"/>
        <v>9.3483841048812175E-2</v>
      </c>
      <c r="V2164" s="26">
        <f t="shared" si="71"/>
        <v>4.5492113215271024</v>
      </c>
      <c r="W2164" s="3">
        <f>IF(A2164=A2165,N2164-N2165,0)</f>
        <v>1.0000000000000009E-2</v>
      </c>
      <c r="X2164" s="10">
        <f>IF(A2164=A2165,(N2164-N2165)/N2165,0)</f>
        <v>2.5641025641025664E-2</v>
      </c>
    </row>
    <row r="2165" spans="1:24" ht="16.5" customHeight="1">
      <c r="A2165" s="3" t="s">
        <v>47</v>
      </c>
      <c r="B2165" s="3">
        <f t="shared" si="64"/>
        <v>2008</v>
      </c>
      <c r="C2165" s="3">
        <f t="shared" si="65"/>
        <v>12</v>
      </c>
      <c r="D2165" s="20" t="str">
        <f t="shared" si="66"/>
        <v>GPC200812</v>
      </c>
      <c r="E2165" s="2">
        <v>39785</v>
      </c>
      <c r="F2165" s="3">
        <v>0.39</v>
      </c>
      <c r="G2165" s="2">
        <v>39815</v>
      </c>
      <c r="H2165" s="3">
        <v>4.24E-2</v>
      </c>
      <c r="I2165" s="3">
        <v>0</v>
      </c>
      <c r="J2165" s="3">
        <v>0</v>
      </c>
      <c r="K2165" s="3">
        <f t="shared" si="67"/>
        <v>2008</v>
      </c>
      <c r="L2165" s="3">
        <f t="shared" si="68"/>
        <v>0</v>
      </c>
      <c r="M2165" s="20" t="str">
        <f>A2165&amp;L2165</f>
        <v>GPC0</v>
      </c>
      <c r="N2165" s="3">
        <f>F2165</f>
        <v>0.39</v>
      </c>
      <c r="O2165" s="9">
        <f>H2165</f>
        <v>4.24E-2</v>
      </c>
      <c r="P2165" s="10">
        <f t="shared" si="69"/>
        <v>0</v>
      </c>
      <c r="Q2165" s="10">
        <f>IF(K2165=0,IF(A2162=A2165,AVERAGE(O2162:O2165),"x"),0)</f>
        <v>0</v>
      </c>
      <c r="R2165" s="9">
        <f>IF(L2165&gt;2005,AVERAGE(O2162:O2181),0)</f>
        <v>0</v>
      </c>
      <c r="S2165" s="10">
        <f>IF(A2165=A2166,(N2165-N2166)/N2166,0)</f>
        <v>0</v>
      </c>
      <c r="T2165" s="10">
        <f>IF(L2165&gt;2005,(((N2165-N2185)/N2185)+1)^(1/5)-1,0)</f>
        <v>0</v>
      </c>
      <c r="U2165" s="10">
        <f t="shared" si="70"/>
        <v>0</v>
      </c>
      <c r="V2165" s="26">
        <f t="shared" si="71"/>
        <v>0</v>
      </c>
      <c r="W2165" s="3">
        <f>IF(A2165=A2166,N2165-N2166,0)</f>
        <v>0</v>
      </c>
      <c r="X2165" s="10">
        <f>IF(A2165=A2166,(N2165-N2166)/N2166,0)</f>
        <v>0</v>
      </c>
    </row>
    <row r="2166" spans="1:24" ht="16.5" customHeight="1">
      <c r="A2166" s="3" t="s">
        <v>47</v>
      </c>
      <c r="B2166" s="3">
        <f t="shared" si="64"/>
        <v>2008</v>
      </c>
      <c r="C2166" s="3">
        <f t="shared" si="65"/>
        <v>9</v>
      </c>
      <c r="D2166" s="20" t="str">
        <f t="shared" si="66"/>
        <v>GPC20089</v>
      </c>
      <c r="E2166" s="2">
        <v>39694</v>
      </c>
      <c r="F2166" s="3">
        <v>0.39</v>
      </c>
      <c r="G2166" s="2">
        <v>39722</v>
      </c>
      <c r="H2166" s="3">
        <v>3.5999999999999997E-2</v>
      </c>
      <c r="I2166" s="3">
        <v>0</v>
      </c>
      <c r="J2166" s="3">
        <v>0</v>
      </c>
      <c r="K2166" s="3">
        <f t="shared" si="67"/>
        <v>2008</v>
      </c>
      <c r="L2166" s="3">
        <f t="shared" si="68"/>
        <v>0</v>
      </c>
      <c r="M2166" s="20" t="str">
        <f>A2166&amp;L2166</f>
        <v>GPC0</v>
      </c>
      <c r="N2166" s="3">
        <f>F2166</f>
        <v>0.39</v>
      </c>
      <c r="O2166" s="9">
        <f>H2166</f>
        <v>3.5999999999999997E-2</v>
      </c>
      <c r="P2166" s="10">
        <f t="shared" si="69"/>
        <v>0</v>
      </c>
      <c r="Q2166" s="10">
        <f>IF(K2166=0,IF(A2163=A2166,AVERAGE(O2163:O2166),"x"),0)</f>
        <v>0</v>
      </c>
      <c r="R2166" s="9">
        <f>IF(L2166&gt;2005,AVERAGE(O2163:O2182),0)</f>
        <v>0</v>
      </c>
      <c r="S2166" s="10">
        <f>IF(A2166=A2167,(N2166-N2167)/N2167,0)</f>
        <v>0</v>
      </c>
      <c r="T2166" s="10">
        <f>IF(L2166&gt;2005,(((N2166-N2186)/N2186)+1)^(1/5)-1,0)</f>
        <v>0</v>
      </c>
      <c r="U2166" s="10">
        <f t="shared" si="70"/>
        <v>0</v>
      </c>
      <c r="V2166" s="26">
        <f t="shared" si="71"/>
        <v>0</v>
      </c>
      <c r="W2166" s="3">
        <f>IF(A2166=A2167,N2166-N2167,0)</f>
        <v>0</v>
      </c>
      <c r="X2166" s="10">
        <f>IF(A2166=A2167,(N2166-N2167)/N2167,0)</f>
        <v>0</v>
      </c>
    </row>
    <row r="2167" spans="1:24" ht="16.5" customHeight="1">
      <c r="A2167" s="3" t="s">
        <v>47</v>
      </c>
      <c r="B2167" s="3">
        <f t="shared" si="64"/>
        <v>2008</v>
      </c>
      <c r="C2167" s="3">
        <f t="shared" si="65"/>
        <v>6</v>
      </c>
      <c r="D2167" s="20" t="str">
        <f t="shared" si="66"/>
        <v>GPC20086</v>
      </c>
      <c r="E2167" s="2">
        <v>39603</v>
      </c>
      <c r="F2167" s="3">
        <v>0.39</v>
      </c>
      <c r="G2167" s="2">
        <v>39630</v>
      </c>
      <c r="H2167" s="3">
        <v>3.4700000000000002E-2</v>
      </c>
      <c r="I2167" s="3">
        <v>0</v>
      </c>
      <c r="J2167" s="3">
        <v>0</v>
      </c>
      <c r="K2167" s="3">
        <f t="shared" si="67"/>
        <v>2008</v>
      </c>
      <c r="L2167" s="3">
        <f t="shared" si="68"/>
        <v>0</v>
      </c>
      <c r="M2167" s="20" t="str">
        <f>A2167&amp;L2167</f>
        <v>GPC0</v>
      </c>
      <c r="N2167" s="3">
        <f>F2167</f>
        <v>0.39</v>
      </c>
      <c r="O2167" s="9">
        <f>H2167</f>
        <v>3.4700000000000002E-2</v>
      </c>
      <c r="P2167" s="10">
        <f t="shared" si="69"/>
        <v>0</v>
      </c>
      <c r="Q2167" s="10">
        <f>IF(K2167=0,IF(A2164=A2167,AVERAGE(O2164:O2167),"x"),0)</f>
        <v>0</v>
      </c>
      <c r="R2167" s="9">
        <f>IF(L2167&gt;2005,AVERAGE(O2164:O2183),0)</f>
        <v>0</v>
      </c>
      <c r="S2167" s="10">
        <f>IF(A2167=A2168,(N2167-N2168)/N2168,0)</f>
        <v>0</v>
      </c>
      <c r="T2167" s="10">
        <f>IF(L2167&gt;2005,(((N2167-N2187)/N2187)+1)^(1/5)-1,0)</f>
        <v>0</v>
      </c>
      <c r="U2167" s="10">
        <f t="shared" si="70"/>
        <v>0</v>
      </c>
      <c r="V2167" s="26">
        <f t="shared" si="71"/>
        <v>0</v>
      </c>
      <c r="W2167" s="3">
        <f>IF(A2167=A2168,N2167-N2168,0)</f>
        <v>0</v>
      </c>
      <c r="X2167" s="10">
        <f>IF(A2167=A2168,(N2167-N2168)/N2168,0)</f>
        <v>0</v>
      </c>
    </row>
    <row r="2168" spans="1:24" ht="16.5" customHeight="1">
      <c r="A2168" s="3" t="s">
        <v>47</v>
      </c>
      <c r="B2168" s="3">
        <f t="shared" si="64"/>
        <v>2008</v>
      </c>
      <c r="C2168" s="3">
        <f t="shared" si="65"/>
        <v>3</v>
      </c>
      <c r="D2168" s="20" t="str">
        <f t="shared" si="66"/>
        <v>GPC20083</v>
      </c>
      <c r="E2168" s="2">
        <v>39512</v>
      </c>
      <c r="F2168" s="3">
        <v>0.39</v>
      </c>
      <c r="G2168" s="2">
        <v>39539</v>
      </c>
      <c r="H2168" s="3">
        <v>3.5900000000000001E-2</v>
      </c>
      <c r="I2168" s="3">
        <v>6.8493151000000002E-2</v>
      </c>
      <c r="J2168" s="3">
        <v>2.5000000000000001E-2</v>
      </c>
      <c r="K2168" s="3">
        <f t="shared" si="67"/>
        <v>0</v>
      </c>
      <c r="L2168" s="3">
        <f t="shared" si="68"/>
        <v>2008</v>
      </c>
      <c r="M2168" s="20" t="str">
        <f>A2168&amp;L2168</f>
        <v>GPC2008</v>
      </c>
      <c r="N2168" s="3">
        <f>F2168</f>
        <v>0.39</v>
      </c>
      <c r="O2168" s="9">
        <f>H2168</f>
        <v>3.5900000000000001E-2</v>
      </c>
      <c r="P2168" s="10">
        <f t="shared" si="69"/>
        <v>3.0800000000000001E-2</v>
      </c>
      <c r="Q2168" s="10">
        <f>IF(K2168=0,IF(A2165=A2168,AVERAGE(O2165:O2168),"x"),0)</f>
        <v>3.7250000000000005E-2</v>
      </c>
      <c r="R2168" s="9">
        <f>IF(L2168&gt;2005,AVERAGE(O2165:O2184),0)</f>
        <v>3.0924999999999998E-2</v>
      </c>
      <c r="S2168" s="10">
        <f>IF(A2168=A2169,(N2168-N2169)/N2169,0)</f>
        <v>6.8493150684931572E-2</v>
      </c>
      <c r="T2168" s="10">
        <f>IF(L2168&gt;2005,(((N2168-N2188)/N2188)+1)^(1/5)-1,0)</f>
        <v>5.7422429529181418E-2</v>
      </c>
      <c r="U2168" s="10">
        <f t="shared" si="70"/>
        <v>8.8347429529181412E-2</v>
      </c>
      <c r="V2168" s="26">
        <f t="shared" si="71"/>
        <v>4.5895880070689064</v>
      </c>
      <c r="W2168" s="3">
        <f>IF(A2168=A2169,N2168-N2169,0)</f>
        <v>2.5000000000000022E-2</v>
      </c>
      <c r="X2168" s="10">
        <f>IF(A2168=A2169,(N2168-N2169)/N2169,0)</f>
        <v>6.8493150684931572E-2</v>
      </c>
    </row>
    <row r="2169" spans="1:24" ht="16.5" customHeight="1">
      <c r="A2169" s="3" t="s">
        <v>47</v>
      </c>
      <c r="B2169" s="3">
        <f t="shared" si="64"/>
        <v>2007</v>
      </c>
      <c r="C2169" s="3">
        <f t="shared" si="65"/>
        <v>12</v>
      </c>
      <c r="D2169" s="20" t="str">
        <f t="shared" si="66"/>
        <v>GPC200712</v>
      </c>
      <c r="E2169" s="2">
        <v>39421</v>
      </c>
      <c r="F2169" s="3">
        <v>0.36499999999999999</v>
      </c>
      <c r="G2169" s="2">
        <v>39449</v>
      </c>
      <c r="H2169" s="3">
        <v>3.04E-2</v>
      </c>
      <c r="I2169" s="3">
        <v>0</v>
      </c>
      <c r="J2169" s="3">
        <v>0</v>
      </c>
      <c r="K2169" s="3">
        <f t="shared" si="67"/>
        <v>2007</v>
      </c>
      <c r="L2169" s="3">
        <f t="shared" si="68"/>
        <v>0</v>
      </c>
      <c r="M2169" s="20" t="str">
        <f>A2169&amp;L2169</f>
        <v>GPC0</v>
      </c>
      <c r="N2169" s="3">
        <f>F2169</f>
        <v>0.36499999999999999</v>
      </c>
      <c r="O2169" s="9">
        <f>H2169</f>
        <v>3.04E-2</v>
      </c>
      <c r="P2169" s="10">
        <f t="shared" si="69"/>
        <v>0</v>
      </c>
      <c r="Q2169" s="10">
        <f>IF(K2169=0,IF(A2166=A2169,AVERAGE(O2166:O2169),"x"),0)</f>
        <v>0</v>
      </c>
      <c r="R2169" s="9">
        <f>IF(L2169&gt;2005,AVERAGE(O2166:O2185),0)</f>
        <v>0</v>
      </c>
      <c r="S2169" s="10">
        <f>IF(A2169=A2170,(N2169-N2170)/N2170,0)</f>
        <v>0</v>
      </c>
      <c r="T2169" s="10">
        <f>IF(L2169&gt;2005,(((N2169-N2189)/N2189)+1)^(1/5)-1,0)</f>
        <v>0</v>
      </c>
      <c r="U2169" s="10">
        <f t="shared" si="70"/>
        <v>0</v>
      </c>
      <c r="V2169" s="26">
        <f t="shared" si="71"/>
        <v>0</v>
      </c>
      <c r="W2169" s="3">
        <f>IF(A2169=A2170,N2169-N2170,0)</f>
        <v>0</v>
      </c>
      <c r="X2169" s="10">
        <f>IF(A2169=A2170,(N2169-N2170)/N2170,0)</f>
        <v>0</v>
      </c>
    </row>
    <row r="2170" spans="1:24" ht="16.5" customHeight="1">
      <c r="A2170" s="3" t="s">
        <v>47</v>
      </c>
      <c r="B2170" s="3">
        <f t="shared" si="64"/>
        <v>2007</v>
      </c>
      <c r="C2170" s="3">
        <f t="shared" si="65"/>
        <v>9</v>
      </c>
      <c r="D2170" s="20" t="str">
        <f t="shared" si="66"/>
        <v>GPC20079</v>
      </c>
      <c r="E2170" s="2">
        <v>39330</v>
      </c>
      <c r="F2170" s="3">
        <v>0.36499999999999999</v>
      </c>
      <c r="G2170" s="2">
        <v>39356</v>
      </c>
      <c r="H2170" s="3">
        <v>2.9100000000000001E-2</v>
      </c>
      <c r="I2170" s="3">
        <v>0</v>
      </c>
      <c r="J2170" s="3">
        <v>0</v>
      </c>
      <c r="K2170" s="3">
        <f t="shared" si="67"/>
        <v>2007</v>
      </c>
      <c r="L2170" s="3">
        <f t="shared" si="68"/>
        <v>0</v>
      </c>
      <c r="M2170" s="20" t="str">
        <f>A2170&amp;L2170</f>
        <v>GPC0</v>
      </c>
      <c r="N2170" s="3">
        <f>F2170</f>
        <v>0.36499999999999999</v>
      </c>
      <c r="O2170" s="9">
        <f>H2170</f>
        <v>2.9100000000000001E-2</v>
      </c>
      <c r="P2170" s="10">
        <f t="shared" si="69"/>
        <v>0</v>
      </c>
      <c r="Q2170" s="10">
        <f>IF(K2170=0,IF(A2167=A2170,AVERAGE(O2167:O2170),"x"),0)</f>
        <v>0</v>
      </c>
      <c r="R2170" s="9">
        <f>IF(L2170&gt;2005,AVERAGE(O2167:O2186),0)</f>
        <v>0</v>
      </c>
      <c r="S2170" s="10">
        <f>IF(A2170=A2171,(N2170-N2171)/N2171,0)</f>
        <v>0</v>
      </c>
      <c r="T2170" s="10">
        <f>IF(L2170&gt;2005,(((N2170-N2190)/N2190)+1)^(1/5)-1,0)</f>
        <v>0</v>
      </c>
      <c r="U2170" s="10">
        <f t="shared" si="70"/>
        <v>0</v>
      </c>
      <c r="V2170" s="26">
        <f t="shared" si="71"/>
        <v>0</v>
      </c>
      <c r="W2170" s="3">
        <f>IF(A2170=A2171,N2170-N2171,0)</f>
        <v>0</v>
      </c>
      <c r="X2170" s="10">
        <f>IF(A2170=A2171,(N2170-N2171)/N2171,0)</f>
        <v>0</v>
      </c>
    </row>
    <row r="2171" spans="1:24" ht="16.5" customHeight="1">
      <c r="A2171" s="3" t="s">
        <v>47</v>
      </c>
      <c r="B2171" s="3">
        <f t="shared" si="64"/>
        <v>2007</v>
      </c>
      <c r="C2171" s="3">
        <f t="shared" si="65"/>
        <v>6</v>
      </c>
      <c r="D2171" s="20" t="str">
        <f t="shared" si="66"/>
        <v>GPC20076</v>
      </c>
      <c r="E2171" s="2">
        <v>39239</v>
      </c>
      <c r="F2171" s="3">
        <v>0.36499999999999999</v>
      </c>
      <c r="G2171" s="2">
        <v>39265</v>
      </c>
      <c r="H2171" s="3">
        <v>2.7799999999999998E-2</v>
      </c>
      <c r="I2171" s="3">
        <v>0</v>
      </c>
      <c r="J2171" s="3">
        <v>0</v>
      </c>
      <c r="K2171" s="3">
        <f t="shared" si="67"/>
        <v>2007</v>
      </c>
      <c r="L2171" s="3">
        <f t="shared" si="68"/>
        <v>0</v>
      </c>
      <c r="M2171" s="20" t="str">
        <f>A2171&amp;L2171</f>
        <v>GPC0</v>
      </c>
      <c r="N2171" s="3">
        <f>F2171</f>
        <v>0.36499999999999999</v>
      </c>
      <c r="O2171" s="9">
        <f>H2171</f>
        <v>2.7799999999999998E-2</v>
      </c>
      <c r="P2171" s="10">
        <f t="shared" si="69"/>
        <v>0</v>
      </c>
      <c r="Q2171" s="10">
        <f>IF(K2171=0,IF(A2168=A2171,AVERAGE(O2168:O2171),"x"),0)</f>
        <v>0</v>
      </c>
      <c r="R2171" s="9">
        <f>IF(L2171&gt;2005,AVERAGE(O2168:O2187),0)</f>
        <v>0</v>
      </c>
      <c r="S2171" s="10">
        <f>IF(A2171=A2172,(N2171-N2172)/N2172,0)</f>
        <v>0</v>
      </c>
      <c r="T2171" s="10">
        <f>IF(L2171&gt;2005,(((N2171-N2191)/N2191)+1)^(1/5)-1,0)</f>
        <v>0</v>
      </c>
      <c r="U2171" s="10">
        <f t="shared" si="70"/>
        <v>0</v>
      </c>
      <c r="V2171" s="26">
        <f t="shared" si="71"/>
        <v>0</v>
      </c>
      <c r="W2171" s="3">
        <f>IF(A2171=A2172,N2171-N2172,0)</f>
        <v>0</v>
      </c>
      <c r="X2171" s="10">
        <f>IF(A2171=A2172,(N2171-N2172)/N2172,0)</f>
        <v>0</v>
      </c>
    </row>
    <row r="2172" spans="1:24" ht="16.5" customHeight="1">
      <c r="A2172" s="3" t="s">
        <v>47</v>
      </c>
      <c r="B2172" s="3">
        <f t="shared" si="64"/>
        <v>2007</v>
      </c>
      <c r="C2172" s="3">
        <f t="shared" si="65"/>
        <v>3</v>
      </c>
      <c r="D2172" s="20" t="str">
        <f t="shared" si="66"/>
        <v>GPC20073</v>
      </c>
      <c r="E2172" s="2">
        <v>39148</v>
      </c>
      <c r="F2172" s="3">
        <v>0.36499999999999999</v>
      </c>
      <c r="G2172" s="2">
        <v>39174</v>
      </c>
      <c r="H2172" s="3">
        <v>2.8400000000000002E-2</v>
      </c>
      <c r="I2172" s="3">
        <v>8.1481480999999994E-2</v>
      </c>
      <c r="J2172" s="3">
        <v>2.75E-2</v>
      </c>
      <c r="K2172" s="3">
        <f t="shared" si="67"/>
        <v>0</v>
      </c>
      <c r="L2172" s="3">
        <f t="shared" si="68"/>
        <v>2007</v>
      </c>
      <c r="M2172" s="20" t="str">
        <f>A2172&amp;L2172</f>
        <v>GPC2007</v>
      </c>
      <c r="N2172" s="3">
        <f>F2172</f>
        <v>0.36499999999999999</v>
      </c>
      <c r="O2172" s="9">
        <f>H2172</f>
        <v>2.8400000000000002E-2</v>
      </c>
      <c r="P2172" s="10">
        <f t="shared" si="69"/>
        <v>2.9874999999999999E-2</v>
      </c>
      <c r="Q2172" s="10">
        <f>IF(K2172=0,IF(A2169=A2172,AVERAGE(O2169:O2172),"x"),0)</f>
        <v>2.8924999999999999E-2</v>
      </c>
      <c r="R2172" s="9">
        <f>IF(L2172&gt;2005,AVERAGE(O2169:O2188),0)</f>
        <v>3.0920000000000003E-2</v>
      </c>
      <c r="S2172" s="10">
        <f>IF(A2172=A2173,(N2172-N2173)/N2173,0)</f>
        <v>8.1481481481481391E-2</v>
      </c>
      <c r="T2172" s="10">
        <f>IF(L2172&gt;2005,(((N2172-N2192)/N2192)+1)^(1/5)-1,0)</f>
        <v>4.7077851775166879E-2</v>
      </c>
      <c r="U2172" s="10">
        <f t="shared" si="70"/>
        <v>7.7997851775166882E-2</v>
      </c>
      <c r="V2172" s="26">
        <f t="shared" si="71"/>
        <v>4.5858620991038732</v>
      </c>
      <c r="W2172" s="3">
        <f>IF(A2172=A2173,N2172-N2173,0)</f>
        <v>2.7499999999999969E-2</v>
      </c>
      <c r="X2172" s="10">
        <f>IF(A2172=A2173,(N2172-N2173)/N2173,0)</f>
        <v>8.1481481481481391E-2</v>
      </c>
    </row>
    <row r="2173" spans="1:24" ht="16.5" customHeight="1">
      <c r="A2173" s="3" t="s">
        <v>47</v>
      </c>
      <c r="B2173" s="3">
        <f t="shared" si="64"/>
        <v>2006</v>
      </c>
      <c r="C2173" s="3">
        <f t="shared" si="65"/>
        <v>12</v>
      </c>
      <c r="D2173" s="20" t="str">
        <f t="shared" si="66"/>
        <v>GPC200612</v>
      </c>
      <c r="E2173" s="2">
        <v>39057</v>
      </c>
      <c r="F2173" s="3">
        <v>0.33750000000000002</v>
      </c>
      <c r="G2173" s="2">
        <v>39084</v>
      </c>
      <c r="H2173" s="3">
        <v>2.8299999999999999E-2</v>
      </c>
      <c r="I2173" s="3">
        <v>0</v>
      </c>
      <c r="J2173" s="3">
        <v>0</v>
      </c>
      <c r="K2173" s="3">
        <f t="shared" si="67"/>
        <v>2006</v>
      </c>
      <c r="L2173" s="3">
        <f t="shared" si="68"/>
        <v>0</v>
      </c>
      <c r="M2173" s="20" t="str">
        <f>A2173&amp;L2173</f>
        <v>GPC0</v>
      </c>
      <c r="N2173" s="3">
        <f>F2173</f>
        <v>0.33750000000000002</v>
      </c>
      <c r="O2173" s="9">
        <f>H2173</f>
        <v>2.8299999999999999E-2</v>
      </c>
      <c r="P2173" s="10">
        <f t="shared" si="69"/>
        <v>0</v>
      </c>
      <c r="Q2173" s="10">
        <f>IF(K2173=0,IF(A2170=A2173,AVERAGE(O2170:O2173),"x"),0)</f>
        <v>0</v>
      </c>
      <c r="R2173" s="9">
        <f>IF(L2173&gt;2005,AVERAGE(O2170:O2189),0)</f>
        <v>0</v>
      </c>
      <c r="S2173" s="10">
        <f>IF(A2173=A2174,(N2173-N2174)/N2174,0)</f>
        <v>0</v>
      </c>
      <c r="T2173" s="10">
        <f>IF(L2173&gt;2005,(((N2173-N2193)/N2193)+1)^(1/5)-1,0)</f>
        <v>0</v>
      </c>
      <c r="U2173" s="10">
        <f t="shared" si="70"/>
        <v>0</v>
      </c>
      <c r="V2173" s="26">
        <f t="shared" si="71"/>
        <v>0</v>
      </c>
      <c r="W2173" s="3">
        <f>IF(A2173=A2174,N2173-N2174,0)</f>
        <v>0</v>
      </c>
      <c r="X2173" s="10">
        <f>IF(A2173=A2174,(N2173-N2174)/N2174,0)</f>
        <v>0</v>
      </c>
    </row>
    <row r="2174" spans="1:24" ht="16.5" customHeight="1">
      <c r="A2174" s="3" t="s">
        <v>47</v>
      </c>
      <c r="B2174" s="3">
        <f t="shared" si="64"/>
        <v>2006</v>
      </c>
      <c r="C2174" s="3">
        <f t="shared" si="65"/>
        <v>9</v>
      </c>
      <c r="D2174" s="20" t="str">
        <f t="shared" si="66"/>
        <v>GPC20069</v>
      </c>
      <c r="E2174" s="2">
        <v>38966</v>
      </c>
      <c r="F2174" s="3">
        <v>0.33750000000000002</v>
      </c>
      <c r="G2174" s="2">
        <v>38992</v>
      </c>
      <c r="H2174" s="3">
        <v>3.1899999999999998E-2</v>
      </c>
      <c r="I2174" s="3">
        <v>0</v>
      </c>
      <c r="J2174" s="3">
        <v>0</v>
      </c>
      <c r="K2174" s="3">
        <f t="shared" si="67"/>
        <v>2006</v>
      </c>
      <c r="L2174" s="3">
        <f t="shared" si="68"/>
        <v>0</v>
      </c>
      <c r="M2174" s="20" t="str">
        <f>A2174&amp;L2174</f>
        <v>GPC0</v>
      </c>
      <c r="N2174" s="3">
        <f>F2174</f>
        <v>0.33750000000000002</v>
      </c>
      <c r="O2174" s="9">
        <f>H2174</f>
        <v>3.1899999999999998E-2</v>
      </c>
      <c r="P2174" s="10">
        <f t="shared" si="69"/>
        <v>0</v>
      </c>
      <c r="Q2174" s="10">
        <f>IF(K2174=0,IF(A2171=A2174,AVERAGE(O2171:O2174),"x"),0)</f>
        <v>0</v>
      </c>
      <c r="R2174" s="9">
        <f>IF(L2174&gt;2005,AVERAGE(O2171:O2190),0)</f>
        <v>0</v>
      </c>
      <c r="S2174" s="10">
        <f>IF(A2174=A2175,(N2174-N2175)/N2175,0)</f>
        <v>0</v>
      </c>
      <c r="T2174" s="10">
        <f>IF(L2174&gt;2005,(((N2174-N2194)/N2194)+1)^(1/5)-1,0)</f>
        <v>0</v>
      </c>
      <c r="U2174" s="10">
        <f t="shared" si="70"/>
        <v>0</v>
      </c>
      <c r="V2174" s="26">
        <f t="shared" si="71"/>
        <v>0</v>
      </c>
      <c r="W2174" s="3">
        <f>IF(A2174=A2175,N2174-N2175,0)</f>
        <v>0</v>
      </c>
      <c r="X2174" s="10">
        <f>IF(A2174=A2175,(N2174-N2175)/N2175,0)</f>
        <v>0</v>
      </c>
    </row>
    <row r="2175" spans="1:24" ht="16.5" customHeight="1">
      <c r="A2175" s="3" t="s">
        <v>47</v>
      </c>
      <c r="B2175" s="3">
        <f t="shared" si="64"/>
        <v>2006</v>
      </c>
      <c r="C2175" s="3">
        <f t="shared" si="65"/>
        <v>6</v>
      </c>
      <c r="D2175" s="20" t="str">
        <f t="shared" si="66"/>
        <v>GPC20066</v>
      </c>
      <c r="E2175" s="2">
        <v>38875</v>
      </c>
      <c r="F2175" s="3">
        <v>0.33750000000000002</v>
      </c>
      <c r="G2175" s="2">
        <v>38901</v>
      </c>
      <c r="H2175" s="3">
        <v>3.09E-2</v>
      </c>
      <c r="I2175" s="3">
        <v>0</v>
      </c>
      <c r="J2175" s="3">
        <v>0</v>
      </c>
      <c r="K2175" s="3">
        <f t="shared" si="67"/>
        <v>2006</v>
      </c>
      <c r="L2175" s="3">
        <f t="shared" si="68"/>
        <v>0</v>
      </c>
      <c r="M2175" s="20" t="str">
        <f>A2175&amp;L2175</f>
        <v>GPC0</v>
      </c>
      <c r="N2175" s="3">
        <f>F2175</f>
        <v>0.33750000000000002</v>
      </c>
      <c r="O2175" s="9">
        <f>H2175</f>
        <v>3.09E-2</v>
      </c>
      <c r="P2175" s="10">
        <f t="shared" si="69"/>
        <v>0</v>
      </c>
      <c r="Q2175" s="10">
        <f>IF(K2175=0,IF(A2172=A2175,AVERAGE(O2172:O2175),"x"),0)</f>
        <v>0</v>
      </c>
      <c r="R2175" s="9">
        <f>IF(L2175&gt;2005,AVERAGE(O2172:O2191),0)</f>
        <v>0</v>
      </c>
      <c r="S2175" s="10">
        <f>IF(A2175=A2176,(N2175-N2176)/N2176,0)</f>
        <v>0</v>
      </c>
      <c r="T2175" s="10">
        <f>IF(L2175&gt;2005,(((N2175-N2195)/N2195)+1)^(1/5)-1,0)</f>
        <v>0</v>
      </c>
      <c r="U2175" s="10">
        <f t="shared" si="70"/>
        <v>0</v>
      </c>
      <c r="V2175" s="26">
        <f t="shared" si="71"/>
        <v>0</v>
      </c>
      <c r="W2175" s="3">
        <f>IF(A2175=A2176,N2175-N2176,0)</f>
        <v>0</v>
      </c>
      <c r="X2175" s="10">
        <f>IF(A2175=A2176,(N2175-N2176)/N2176,0)</f>
        <v>0</v>
      </c>
    </row>
    <row r="2176" spans="1:24" ht="16.5" customHeight="1">
      <c r="A2176" s="3" t="s">
        <v>47</v>
      </c>
      <c r="B2176" s="3">
        <f t="shared" si="64"/>
        <v>2006</v>
      </c>
      <c r="C2176" s="3">
        <f t="shared" si="65"/>
        <v>3</v>
      </c>
      <c r="D2176" s="20" t="str">
        <f t="shared" si="66"/>
        <v>GPC20063</v>
      </c>
      <c r="E2176" s="2">
        <v>38784</v>
      </c>
      <c r="F2176" s="3">
        <v>0.33750000000000002</v>
      </c>
      <c r="G2176" s="2">
        <v>38810</v>
      </c>
      <c r="H2176" s="3">
        <v>2.8500000000000001E-2</v>
      </c>
      <c r="I2176" s="3">
        <v>0.08</v>
      </c>
      <c r="J2176" s="3">
        <v>2.5000000000000001E-2</v>
      </c>
      <c r="K2176" s="3">
        <f t="shared" si="67"/>
        <v>0</v>
      </c>
      <c r="L2176" s="3">
        <f t="shared" si="68"/>
        <v>2006</v>
      </c>
      <c r="M2176" s="20" t="str">
        <f>A2176&amp;L2176</f>
        <v>GPC2006</v>
      </c>
      <c r="N2176" s="3">
        <f>F2176</f>
        <v>0.33750000000000002</v>
      </c>
      <c r="O2176" s="9">
        <f>H2176</f>
        <v>2.8500000000000001E-2</v>
      </c>
      <c r="P2176" s="10">
        <f t="shared" si="69"/>
        <v>2.8075000000000003E-2</v>
      </c>
      <c r="Q2176" s="10">
        <f>IF(K2176=0,IF(A2173=A2176,AVERAGE(O2173:O2176),"x"),0)</f>
        <v>2.9899999999999999E-2</v>
      </c>
      <c r="R2176" s="9">
        <f>IF(L2176&gt;2005,AVERAGE(O2173:O2192),0)</f>
        <v>3.1934999999999991E-2</v>
      </c>
      <c r="S2176" s="10">
        <f>IF(A2176=A2177,(N2176-N2177)/N2177,0)</f>
        <v>8.0000000000000071E-2</v>
      </c>
      <c r="T2176" s="10">
        <f>IF(L2176&gt;2005,(((N2176-N2196)/N2196)+1)^(1/5)-1,0)</f>
        <v>3.4393501436834395E-2</v>
      </c>
      <c r="U2176" s="10">
        <f t="shared" si="70"/>
        <v>6.6328501436834386E-2</v>
      </c>
      <c r="V2176" s="26">
        <f t="shared" si="71"/>
        <v>4.5683118476366626</v>
      </c>
      <c r="W2176" s="3">
        <f>IF(A2176=A2177,N2176-N2177,0)</f>
        <v>2.5000000000000022E-2</v>
      </c>
      <c r="X2176" s="10">
        <f>IF(A2176=A2177,(N2176-N2177)/N2177,0)</f>
        <v>8.0000000000000071E-2</v>
      </c>
    </row>
    <row r="2177" spans="1:24" ht="16.5" customHeight="1">
      <c r="A2177" s="3" t="s">
        <v>47</v>
      </c>
      <c r="B2177" s="3">
        <f t="shared" si="64"/>
        <v>2005</v>
      </c>
      <c r="C2177" s="3">
        <f t="shared" si="65"/>
        <v>12</v>
      </c>
      <c r="D2177" s="20" t="str">
        <f t="shared" si="66"/>
        <v>GPC200512</v>
      </c>
      <c r="E2177" s="2">
        <v>38693</v>
      </c>
      <c r="F2177" s="3">
        <v>0.3125</v>
      </c>
      <c r="G2177" s="2">
        <v>38719</v>
      </c>
      <c r="H2177" s="3">
        <v>2.8400000000000002E-2</v>
      </c>
      <c r="I2177" s="3">
        <v>0</v>
      </c>
      <c r="J2177" s="3">
        <v>0</v>
      </c>
      <c r="K2177" s="3">
        <f t="shared" si="67"/>
        <v>2005</v>
      </c>
      <c r="L2177" s="3">
        <f t="shared" si="68"/>
        <v>0</v>
      </c>
      <c r="M2177" s="20" t="str">
        <f>A2177&amp;L2177</f>
        <v>GPC0</v>
      </c>
      <c r="N2177" s="3">
        <f>F2177</f>
        <v>0.3125</v>
      </c>
      <c r="O2177" s="9">
        <f>H2177</f>
        <v>2.8400000000000002E-2</v>
      </c>
      <c r="P2177" s="10">
        <f t="shared" si="69"/>
        <v>0</v>
      </c>
      <c r="Q2177" s="10">
        <f>IF(K2177=0,IF(A2174=A2177,AVERAGE(O2174:O2177),"x"),0)</f>
        <v>0</v>
      </c>
      <c r="R2177" s="9">
        <f>IF(L2177&gt;2005,AVERAGE(O2174:O2193),0)</f>
        <v>0</v>
      </c>
      <c r="S2177" s="10">
        <f>IF(A2177=A2178,(N2177-N2178)/N2178,0)</f>
        <v>0</v>
      </c>
      <c r="T2177" s="10">
        <f>IF(L2177&gt;2005,(((N2177-N2197)/N2197)+1)^(1/5)-1,0)</f>
        <v>0</v>
      </c>
      <c r="U2177" s="10">
        <f t="shared" si="70"/>
        <v>0</v>
      </c>
      <c r="V2177" s="26">
        <f t="shared" si="71"/>
        <v>0</v>
      </c>
      <c r="W2177" s="3">
        <f>IF(A2177=A2178,N2177-N2178,0)</f>
        <v>0</v>
      </c>
      <c r="X2177" s="10">
        <f>IF(A2177=A2178,(N2177-N2178)/N2178,0)</f>
        <v>0</v>
      </c>
    </row>
    <row r="2178" spans="1:24" ht="16.5" customHeight="1">
      <c r="A2178" s="3" t="s">
        <v>47</v>
      </c>
      <c r="B2178" s="3">
        <f t="shared" si="64"/>
        <v>2005</v>
      </c>
      <c r="C2178" s="3">
        <f t="shared" si="65"/>
        <v>9</v>
      </c>
      <c r="D2178" s="20" t="str">
        <f t="shared" si="66"/>
        <v>GPC20059</v>
      </c>
      <c r="E2178" s="2">
        <v>38602</v>
      </c>
      <c r="F2178" s="3">
        <v>0.3125</v>
      </c>
      <c r="G2178" s="2">
        <v>38626</v>
      </c>
      <c r="H2178" s="3">
        <v>2.6800000000000001E-2</v>
      </c>
      <c r="I2178" s="3">
        <v>0</v>
      </c>
      <c r="J2178" s="3">
        <v>0</v>
      </c>
      <c r="K2178" s="3">
        <f t="shared" si="67"/>
        <v>2005</v>
      </c>
      <c r="L2178" s="3">
        <f t="shared" si="68"/>
        <v>0</v>
      </c>
      <c r="M2178" s="20" t="str">
        <f>A2178&amp;L2178</f>
        <v>GPC0</v>
      </c>
      <c r="N2178" s="3">
        <f>F2178</f>
        <v>0.3125</v>
      </c>
      <c r="O2178" s="9">
        <f>H2178</f>
        <v>2.6800000000000001E-2</v>
      </c>
      <c r="P2178" s="10">
        <f t="shared" si="69"/>
        <v>0</v>
      </c>
      <c r="Q2178" s="10">
        <f>IF(K2178=0,IF(A2175=A2178,AVERAGE(O2175:O2178),"x"),0)</f>
        <v>0</v>
      </c>
      <c r="R2178" s="9">
        <f>IF(L2178&gt;2005,AVERAGE(O2175:O2194),0)</f>
        <v>0</v>
      </c>
      <c r="S2178" s="10">
        <f>IF(A2178=A2179,(N2178-N2179)/N2179,0)</f>
        <v>0</v>
      </c>
      <c r="T2178" s="10">
        <f>IF(L2178&gt;2005,(((N2178-N2198)/N2198)+1)^(1/5)-1,0)</f>
        <v>0</v>
      </c>
      <c r="U2178" s="10">
        <f t="shared" si="70"/>
        <v>0</v>
      </c>
      <c r="V2178" s="26">
        <f t="shared" si="71"/>
        <v>0</v>
      </c>
      <c r="W2178" s="3">
        <f>IF(A2178=A2179,N2178-N2179,0)</f>
        <v>0</v>
      </c>
      <c r="X2178" s="10">
        <f>IF(A2178=A2179,(N2178-N2179)/N2179,0)</f>
        <v>0</v>
      </c>
    </row>
    <row r="2179" spans="1:24" ht="16.5" customHeight="1">
      <c r="A2179" s="3" t="s">
        <v>47</v>
      </c>
      <c r="B2179" s="3">
        <f t="shared" si="64"/>
        <v>2005</v>
      </c>
      <c r="C2179" s="3">
        <f t="shared" si="65"/>
        <v>6</v>
      </c>
      <c r="D2179" s="20" t="str">
        <f t="shared" si="66"/>
        <v>GPC20056</v>
      </c>
      <c r="E2179" s="2">
        <v>38511</v>
      </c>
      <c r="F2179" s="3">
        <v>0.3125</v>
      </c>
      <c r="G2179" s="2">
        <v>38534</v>
      </c>
      <c r="H2179" s="3">
        <v>2.86E-2</v>
      </c>
      <c r="I2179" s="3">
        <v>0</v>
      </c>
      <c r="J2179" s="3">
        <v>0</v>
      </c>
      <c r="K2179" s="3">
        <f t="shared" si="67"/>
        <v>2005</v>
      </c>
      <c r="L2179" s="3">
        <f t="shared" si="68"/>
        <v>0</v>
      </c>
      <c r="M2179" s="20" t="str">
        <f>A2179&amp;L2179</f>
        <v>GPC0</v>
      </c>
      <c r="N2179" s="3">
        <f>F2179</f>
        <v>0.3125</v>
      </c>
      <c r="O2179" s="9">
        <f>H2179</f>
        <v>2.86E-2</v>
      </c>
      <c r="P2179" s="10">
        <f t="shared" si="69"/>
        <v>0</v>
      </c>
      <c r="Q2179" s="10">
        <f>IF(K2179=0,IF(A2176=A2179,AVERAGE(O2176:O2179),"x"),0)</f>
        <v>0</v>
      </c>
      <c r="R2179" s="9">
        <f>IF(L2179&gt;2005,AVERAGE(O2176:O2195),0)</f>
        <v>0</v>
      </c>
      <c r="S2179" s="10">
        <f>IF(A2179=A2180,(N2179-N2180)/N2180,0)</f>
        <v>0</v>
      </c>
      <c r="T2179" s="10">
        <f>IF(L2179&gt;2005,(((N2179-N2199)/N2199)+1)^(1/5)-1,0)</f>
        <v>0</v>
      </c>
      <c r="U2179" s="10">
        <f t="shared" si="70"/>
        <v>0</v>
      </c>
      <c r="V2179" s="26">
        <f t="shared" si="71"/>
        <v>0</v>
      </c>
      <c r="W2179" s="3">
        <f>IF(A2179=A2180,N2179-N2180,0)</f>
        <v>0</v>
      </c>
      <c r="X2179" s="10">
        <f>IF(A2179=A2180,(N2179-N2180)/N2180,0)</f>
        <v>0</v>
      </c>
    </row>
    <row r="2180" spans="1:24" ht="16.5" customHeight="1">
      <c r="A2180" s="3" t="s">
        <v>47</v>
      </c>
      <c r="B2180" s="3">
        <f t="shared" si="64"/>
        <v>2005</v>
      </c>
      <c r="C2180" s="3">
        <f t="shared" si="65"/>
        <v>3</v>
      </c>
      <c r="D2180" s="20" t="str">
        <f t="shared" si="66"/>
        <v>GPC20053</v>
      </c>
      <c r="E2180" s="2">
        <v>38420</v>
      </c>
      <c r="F2180" s="3">
        <v>0.3125</v>
      </c>
      <c r="G2180" s="2">
        <v>38443</v>
      </c>
      <c r="H2180" s="3">
        <v>2.7699999999999999E-2</v>
      </c>
      <c r="I2180" s="3">
        <v>4.1666666999999998E-2</v>
      </c>
      <c r="J2180" s="3">
        <v>1.2500000000000001E-2</v>
      </c>
      <c r="K2180" s="3">
        <f t="shared" si="67"/>
        <v>0</v>
      </c>
      <c r="L2180" s="3">
        <f t="shared" si="68"/>
        <v>2005</v>
      </c>
      <c r="M2180" s="20" t="str">
        <f>A2180&amp;L2180</f>
        <v>GPC2005</v>
      </c>
      <c r="N2180" s="3">
        <f>F2180</f>
        <v>0.3125</v>
      </c>
      <c r="O2180" s="9">
        <f>H2180</f>
        <v>2.7699999999999999E-2</v>
      </c>
      <c r="P2180" s="10">
        <f t="shared" si="69"/>
        <v>2.9124999999999998E-2</v>
      </c>
      <c r="Q2180" s="10">
        <f>IF(K2180=0,IF(A2177=A2180,AVERAGE(O2177:O2180),"x"),0)</f>
        <v>2.7875E-2</v>
      </c>
      <c r="R2180" s="9">
        <f>IF(L2180&gt;2005,AVERAGE(O2177:O2196),0)</f>
        <v>0</v>
      </c>
      <c r="S2180" s="10">
        <f>IF(A2180=A2181,(N2180-N2181)/N2181,0)</f>
        <v>4.1666666666666706E-2</v>
      </c>
      <c r="T2180" s="10">
        <f>IF(L2180&gt;2005,(((N2180-N2200)/N2200)+1)^(1/5)-1,0)</f>
        <v>0</v>
      </c>
      <c r="U2180" s="10">
        <f t="shared" si="70"/>
        <v>0</v>
      </c>
      <c r="V2180" s="26">
        <f t="shared" si="71"/>
        <v>0</v>
      </c>
      <c r="W2180" s="3">
        <f>IF(A2180=A2181,N2180-N2181,0)</f>
        <v>1.2500000000000011E-2</v>
      </c>
      <c r="X2180" s="10">
        <f>IF(A2180=A2181,(N2180-N2181)/N2181,0)</f>
        <v>4.1666666666666706E-2</v>
      </c>
    </row>
    <row r="2181" spans="1:24" ht="16.5" customHeight="1">
      <c r="A2181" s="3" t="s">
        <v>47</v>
      </c>
      <c r="B2181" s="3">
        <f t="shared" si="64"/>
        <v>2004</v>
      </c>
      <c r="C2181" s="3">
        <f t="shared" si="65"/>
        <v>12</v>
      </c>
      <c r="D2181" s="20" t="str">
        <f t="shared" si="66"/>
        <v>GPC200412</v>
      </c>
      <c r="E2181" s="2">
        <v>38329</v>
      </c>
      <c r="F2181" s="3">
        <v>0.3</v>
      </c>
      <c r="G2181" s="2">
        <v>38355</v>
      </c>
      <c r="H2181" s="3">
        <v>2.7799999999999998E-2</v>
      </c>
      <c r="I2181" s="3">
        <v>0</v>
      </c>
      <c r="J2181" s="3">
        <v>0</v>
      </c>
      <c r="K2181" s="3">
        <f t="shared" si="67"/>
        <v>2004</v>
      </c>
      <c r="L2181" s="3">
        <f t="shared" si="68"/>
        <v>0</v>
      </c>
      <c r="M2181" s="20" t="str">
        <f>A2181&amp;L2181</f>
        <v>GPC0</v>
      </c>
      <c r="N2181" s="3">
        <f>F2181</f>
        <v>0.3</v>
      </c>
      <c r="O2181" s="9">
        <f>H2181</f>
        <v>2.7799999999999998E-2</v>
      </c>
      <c r="P2181" s="10">
        <f t="shared" si="69"/>
        <v>0</v>
      </c>
      <c r="Q2181" s="10">
        <f>IF(K2181=0,IF(A2178=A2181,AVERAGE(O2178:O2181),"x"),0)</f>
        <v>0</v>
      </c>
      <c r="R2181" s="9">
        <f>IF(L2181&gt;2005,AVERAGE(O2178:O2197),0)</f>
        <v>0</v>
      </c>
      <c r="S2181" s="10">
        <f>IF(A2181=A2182,(N2181-N2182)/N2182,0)</f>
        <v>0</v>
      </c>
      <c r="T2181" s="10">
        <f>IF(L2181&gt;2005,(((N2181-N2201)/N2201)+1)^(1/5)-1,0)</f>
        <v>0</v>
      </c>
      <c r="U2181" s="10">
        <f t="shared" si="70"/>
        <v>0</v>
      </c>
      <c r="V2181" s="26">
        <f t="shared" si="71"/>
        <v>0</v>
      </c>
      <c r="W2181" s="3">
        <f>IF(A2181=A2182,N2181-N2182,0)</f>
        <v>0</v>
      </c>
      <c r="X2181" s="10">
        <f>IF(A2181=A2182,(N2181-N2182)/N2182,0)</f>
        <v>0</v>
      </c>
    </row>
    <row r="2182" spans="1:24" ht="16.5" customHeight="1">
      <c r="A2182" s="3" t="s">
        <v>47</v>
      </c>
      <c r="B2182" s="3">
        <f t="shared" si="64"/>
        <v>2004</v>
      </c>
      <c r="C2182" s="3">
        <f t="shared" si="65"/>
        <v>9</v>
      </c>
      <c r="D2182" s="20" t="str">
        <f t="shared" si="66"/>
        <v>GPC20049</v>
      </c>
      <c r="E2182" s="2">
        <v>38238</v>
      </c>
      <c r="F2182" s="3">
        <v>0.3</v>
      </c>
      <c r="G2182" s="2">
        <v>38261</v>
      </c>
      <c r="H2182" s="3">
        <v>3.1399999999999997E-2</v>
      </c>
      <c r="I2182" s="3">
        <v>0</v>
      </c>
      <c r="J2182" s="3">
        <v>0</v>
      </c>
      <c r="K2182" s="3">
        <f t="shared" si="67"/>
        <v>2004</v>
      </c>
      <c r="L2182" s="3">
        <f t="shared" si="68"/>
        <v>0</v>
      </c>
      <c r="M2182" s="20" t="str">
        <f>A2182&amp;L2182</f>
        <v>GPC0</v>
      </c>
      <c r="N2182" s="3">
        <f>F2182</f>
        <v>0.3</v>
      </c>
      <c r="O2182" s="9">
        <f>H2182</f>
        <v>3.1399999999999997E-2</v>
      </c>
      <c r="P2182" s="10">
        <f t="shared" si="69"/>
        <v>0</v>
      </c>
      <c r="Q2182" s="10">
        <f>IF(K2182=0,IF(A2179=A2182,AVERAGE(O2179:O2182),"x"),0)</f>
        <v>0</v>
      </c>
      <c r="R2182" s="9">
        <f>IF(L2182&gt;2005,AVERAGE(O2179:O2198),0)</f>
        <v>0</v>
      </c>
      <c r="S2182" s="10">
        <f>IF(A2182=A2183,(N2182-N2183)/N2183,0)</f>
        <v>0</v>
      </c>
      <c r="T2182" s="10">
        <f>IF(L2182&gt;2005,(((N2182-N2202)/N2202)+1)^(1/5)-1,0)</f>
        <v>0</v>
      </c>
      <c r="U2182" s="10">
        <f t="shared" si="70"/>
        <v>0</v>
      </c>
      <c r="V2182" s="26">
        <f t="shared" si="71"/>
        <v>0</v>
      </c>
      <c r="W2182" s="3">
        <f>IF(A2182=A2183,N2182-N2183,0)</f>
        <v>0</v>
      </c>
      <c r="X2182" s="10">
        <f>IF(A2182=A2183,(N2182-N2183)/N2183,0)</f>
        <v>0</v>
      </c>
    </row>
    <row r="2183" spans="1:24" ht="16.5" customHeight="1">
      <c r="A2183" s="3" t="s">
        <v>47</v>
      </c>
      <c r="B2183" s="3">
        <f t="shared" si="64"/>
        <v>2004</v>
      </c>
      <c r="C2183" s="3">
        <f t="shared" si="65"/>
        <v>6</v>
      </c>
      <c r="D2183" s="20" t="str">
        <f t="shared" si="66"/>
        <v>GPC20046</v>
      </c>
      <c r="E2183" s="2">
        <v>38147</v>
      </c>
      <c r="F2183" s="3">
        <v>0.3</v>
      </c>
      <c r="G2183" s="2">
        <v>38169</v>
      </c>
      <c r="H2183" s="3">
        <v>2.9600000000000001E-2</v>
      </c>
      <c r="I2183" s="3">
        <v>0</v>
      </c>
      <c r="J2183" s="3">
        <v>0</v>
      </c>
      <c r="K2183" s="3">
        <f t="shared" si="67"/>
        <v>2004</v>
      </c>
      <c r="L2183" s="3">
        <f t="shared" si="68"/>
        <v>0</v>
      </c>
      <c r="M2183" s="20" t="str">
        <f>A2183&amp;L2183</f>
        <v>GPC0</v>
      </c>
      <c r="N2183" s="3">
        <f>F2183</f>
        <v>0.3</v>
      </c>
      <c r="O2183" s="9">
        <f>H2183</f>
        <v>2.9600000000000001E-2</v>
      </c>
      <c r="P2183" s="10">
        <f t="shared" si="69"/>
        <v>0</v>
      </c>
      <c r="Q2183" s="10">
        <f>IF(K2183=0,IF(A2180=A2183,AVERAGE(O2180:O2183),"x"),0)</f>
        <v>0</v>
      </c>
      <c r="R2183" s="9">
        <f>IF(L2183&gt;2005,AVERAGE(O2180:O2199),0)</f>
        <v>0</v>
      </c>
      <c r="S2183" s="10">
        <f>IF(A2183=A2184,(N2183-N2184)/N2184,0)</f>
        <v>0</v>
      </c>
      <c r="T2183" s="10">
        <f>IF(L2183&gt;2005,(((N2183-N2203)/N2203)+1)^(1/5)-1,0)</f>
        <v>0</v>
      </c>
      <c r="U2183" s="10">
        <f t="shared" si="70"/>
        <v>0</v>
      </c>
      <c r="V2183" s="26">
        <f t="shared" si="71"/>
        <v>0</v>
      </c>
      <c r="W2183" s="3">
        <f>IF(A2183=A2184,N2183-N2184,0)</f>
        <v>0</v>
      </c>
      <c r="X2183" s="10">
        <f>IF(A2183=A2184,(N2183-N2184)/N2184,0)</f>
        <v>0</v>
      </c>
    </row>
    <row r="2184" spans="1:24" ht="16.5" customHeight="1">
      <c r="A2184" s="3" t="s">
        <v>47</v>
      </c>
      <c r="B2184" s="3">
        <f t="shared" si="64"/>
        <v>2004</v>
      </c>
      <c r="C2184" s="3">
        <f t="shared" si="65"/>
        <v>3</v>
      </c>
      <c r="D2184" s="20" t="str">
        <f t="shared" si="66"/>
        <v>GPC20043</v>
      </c>
      <c r="E2184" s="2">
        <v>38049</v>
      </c>
      <c r="F2184" s="3">
        <v>0.3</v>
      </c>
      <c r="G2184" s="2">
        <v>38078</v>
      </c>
      <c r="H2184" s="3">
        <v>3.39E-2</v>
      </c>
      <c r="I2184" s="3">
        <v>1.6949153000000002E-2</v>
      </c>
      <c r="J2184" s="3">
        <v>5.0000000000000001E-3</v>
      </c>
      <c r="K2184" s="3">
        <f t="shared" si="67"/>
        <v>0</v>
      </c>
      <c r="L2184" s="3">
        <f t="shared" si="68"/>
        <v>2004</v>
      </c>
      <c r="M2184" s="20" t="str">
        <f>A2184&amp;L2184</f>
        <v>GPC2004</v>
      </c>
      <c r="N2184" s="3">
        <f>F2184</f>
        <v>0.3</v>
      </c>
      <c r="O2184" s="9">
        <f>H2184</f>
        <v>3.39E-2</v>
      </c>
      <c r="P2184" s="10">
        <f t="shared" si="69"/>
        <v>3.5475E-2</v>
      </c>
      <c r="Q2184" s="10">
        <f>IF(K2184=0,IF(A2181=A2184,AVERAGE(O2181:O2184),"x"),0)</f>
        <v>3.0674999999999997E-2</v>
      </c>
      <c r="R2184" s="9">
        <f>IF(L2184&gt;2005,AVERAGE(O2181:O2200),0)</f>
        <v>0</v>
      </c>
      <c r="S2184" s="10">
        <f>IF(A2184=A2185,(N2184-N2185)/N2185,0)</f>
        <v>1.6949152542372899E-2</v>
      </c>
      <c r="T2184" s="10">
        <f>IF(L2184&gt;2005,(((N2184-N2204)/N2204)+1)^(1/5)-1,0)</f>
        <v>0</v>
      </c>
      <c r="U2184" s="10">
        <f t="shared" si="70"/>
        <v>0</v>
      </c>
      <c r="V2184" s="26">
        <f t="shared" si="71"/>
        <v>0</v>
      </c>
      <c r="W2184" s="3">
        <f>IF(A2184=A2185,N2184-N2185,0)</f>
        <v>5.0000000000000044E-3</v>
      </c>
      <c r="X2184" s="10">
        <f>IF(A2184=A2185,(N2184-N2185)/N2185,0)</f>
        <v>1.6949152542372899E-2</v>
      </c>
    </row>
    <row r="2185" spans="1:24" ht="16.5" customHeight="1">
      <c r="A2185" s="3" t="s">
        <v>47</v>
      </c>
      <c r="B2185" s="3">
        <f t="shared" si="64"/>
        <v>2003</v>
      </c>
      <c r="C2185" s="3">
        <f t="shared" si="65"/>
        <v>12</v>
      </c>
      <c r="D2185" s="20" t="str">
        <f t="shared" si="66"/>
        <v>GPC200312</v>
      </c>
      <c r="E2185" s="2">
        <v>37958</v>
      </c>
      <c r="F2185" s="3">
        <v>0.29499999999999998</v>
      </c>
      <c r="G2185" s="2">
        <v>37988</v>
      </c>
      <c r="H2185" s="3">
        <v>3.6700000000000003E-2</v>
      </c>
      <c r="I2185" s="3">
        <v>0</v>
      </c>
      <c r="J2185" s="3">
        <v>0</v>
      </c>
      <c r="K2185" s="3">
        <f t="shared" si="67"/>
        <v>2003</v>
      </c>
      <c r="L2185" s="3">
        <f t="shared" si="68"/>
        <v>0</v>
      </c>
      <c r="M2185" s="20" t="str">
        <f>A2185&amp;L2185</f>
        <v>GPC0</v>
      </c>
      <c r="N2185" s="3">
        <f>F2185</f>
        <v>0.29499999999999998</v>
      </c>
      <c r="O2185" s="9">
        <f>H2185</f>
        <v>3.6700000000000003E-2</v>
      </c>
      <c r="P2185" s="10">
        <f t="shared" si="69"/>
        <v>0</v>
      </c>
      <c r="Q2185" s="10">
        <f>IF(K2185=0,IF(A2182=A2185,AVERAGE(O2182:O2185),"x"),0)</f>
        <v>0</v>
      </c>
      <c r="R2185" s="9">
        <f>IF(L2185&gt;2005,AVERAGE(O2182:O2201),0)</f>
        <v>0</v>
      </c>
      <c r="S2185" s="10">
        <f>IF(A2185=A2186,(N2185-N2186)/N2186,0)</f>
        <v>0</v>
      </c>
      <c r="T2185" s="10">
        <f>IF(L2185&gt;2005,(((N2185-N2205)/N2205)+1)^(1/5)-1,0)</f>
        <v>0</v>
      </c>
      <c r="U2185" s="10">
        <f t="shared" si="70"/>
        <v>0</v>
      </c>
      <c r="V2185" s="26">
        <f t="shared" si="71"/>
        <v>0</v>
      </c>
      <c r="W2185" s="3">
        <f>IF(A2185=A2186,N2185-N2186,0)</f>
        <v>0</v>
      </c>
      <c r="X2185" s="10">
        <f>IF(A2185=A2186,(N2185-N2186)/N2186,0)</f>
        <v>0</v>
      </c>
    </row>
    <row r="2186" spans="1:24" ht="16.5" customHeight="1">
      <c r="A2186" s="3" t="s">
        <v>47</v>
      </c>
      <c r="B2186" s="3">
        <f t="shared" si="64"/>
        <v>2003</v>
      </c>
      <c r="C2186" s="3">
        <f t="shared" si="65"/>
        <v>9</v>
      </c>
      <c r="D2186" s="20" t="str">
        <f t="shared" si="66"/>
        <v>GPC20039</v>
      </c>
      <c r="E2186" s="2">
        <v>37867</v>
      </c>
      <c r="F2186" s="3">
        <v>0.29499999999999998</v>
      </c>
      <c r="G2186" s="2">
        <v>37895</v>
      </c>
      <c r="H2186" s="3">
        <v>3.5999999999999997E-2</v>
      </c>
      <c r="I2186" s="3">
        <v>0</v>
      </c>
      <c r="J2186" s="3">
        <v>0</v>
      </c>
      <c r="K2186" s="3">
        <f t="shared" si="67"/>
        <v>2003</v>
      </c>
      <c r="L2186" s="3">
        <f t="shared" si="68"/>
        <v>0</v>
      </c>
      <c r="M2186" s="20" t="str">
        <f>A2186&amp;L2186</f>
        <v>GPC0</v>
      </c>
      <c r="N2186" s="3">
        <f>F2186</f>
        <v>0.29499999999999998</v>
      </c>
      <c r="O2186" s="9">
        <f>H2186</f>
        <v>3.5999999999999997E-2</v>
      </c>
      <c r="P2186" s="10">
        <f t="shared" si="69"/>
        <v>0</v>
      </c>
      <c r="Q2186" s="10">
        <f>IF(K2186=0,IF(A2183=A2186,AVERAGE(O2183:O2186),"x"),0)</f>
        <v>0</v>
      </c>
      <c r="R2186" s="9">
        <f>IF(L2186&gt;2005,AVERAGE(O2183:O2202),0)</f>
        <v>0</v>
      </c>
      <c r="S2186" s="10">
        <f>IF(A2186=A2187,(N2186-N2187)/N2187,0)</f>
        <v>0</v>
      </c>
      <c r="T2186" s="10">
        <f>IF(L2186&gt;2005,(((N2186-N2206)/N2206)+1)^(1/5)-1,0)</f>
        <v>0</v>
      </c>
      <c r="U2186" s="10">
        <f t="shared" si="70"/>
        <v>0</v>
      </c>
      <c r="V2186" s="26">
        <f t="shared" si="71"/>
        <v>0</v>
      </c>
      <c r="W2186" s="3">
        <f>IF(A2186=A2187,N2186-N2187,0)</f>
        <v>0</v>
      </c>
      <c r="X2186" s="10">
        <f>IF(A2186=A2187,(N2186-N2187)/N2187,0)</f>
        <v>0</v>
      </c>
    </row>
    <row r="2187" spans="1:24" ht="16.5" customHeight="1">
      <c r="A2187" s="3" t="s">
        <v>47</v>
      </c>
      <c r="B2187" s="3">
        <f t="shared" si="64"/>
        <v>2003</v>
      </c>
      <c r="C2187" s="3">
        <f t="shared" si="65"/>
        <v>6</v>
      </c>
      <c r="D2187" s="20" t="str">
        <f t="shared" si="66"/>
        <v>GPC20036</v>
      </c>
      <c r="E2187" s="2">
        <v>37776</v>
      </c>
      <c r="F2187" s="3">
        <v>0.29499999999999998</v>
      </c>
      <c r="G2187" s="2">
        <v>37803</v>
      </c>
      <c r="H2187" s="3">
        <v>3.5299999999999998E-2</v>
      </c>
      <c r="I2187" s="3">
        <v>0</v>
      </c>
      <c r="J2187" s="3">
        <v>0</v>
      </c>
      <c r="K2187" s="3">
        <f t="shared" si="67"/>
        <v>2003</v>
      </c>
      <c r="L2187" s="3">
        <f t="shared" si="68"/>
        <v>0</v>
      </c>
      <c r="M2187" s="20" t="str">
        <f>A2187&amp;L2187</f>
        <v>GPC0</v>
      </c>
      <c r="N2187" s="3">
        <f>F2187</f>
        <v>0.29499999999999998</v>
      </c>
      <c r="O2187" s="9">
        <f>H2187</f>
        <v>3.5299999999999998E-2</v>
      </c>
      <c r="P2187" s="10">
        <f t="shared" si="69"/>
        <v>0</v>
      </c>
      <c r="Q2187" s="10">
        <f>IF(K2187=0,IF(A2184=A2187,AVERAGE(O2184:O2187),"x"),0)</f>
        <v>0</v>
      </c>
      <c r="R2187" s="9">
        <f>IF(L2187&gt;2005,AVERAGE(O2184:O2203),0)</f>
        <v>0</v>
      </c>
      <c r="S2187" s="10">
        <f>IF(A2187=A2188,(N2187-N2188)/N2188,0)</f>
        <v>0</v>
      </c>
      <c r="T2187" s="10">
        <f>IF(L2187&gt;2005,(((N2187-N2207)/N2207)+1)^(1/5)-1,0)</f>
        <v>0</v>
      </c>
      <c r="U2187" s="10">
        <f t="shared" si="70"/>
        <v>0</v>
      </c>
      <c r="V2187" s="26">
        <f t="shared" si="71"/>
        <v>0</v>
      </c>
      <c r="W2187" s="3">
        <f>IF(A2187=A2188,N2187-N2188,0)</f>
        <v>0</v>
      </c>
      <c r="X2187" s="10">
        <f>IF(A2187=A2188,(N2187-N2188)/N2188,0)</f>
        <v>0</v>
      </c>
    </row>
    <row r="2188" spans="1:24" ht="16.5" customHeight="1">
      <c r="A2188" s="3" t="s">
        <v>47</v>
      </c>
      <c r="B2188" s="3">
        <f t="shared" si="64"/>
        <v>2003</v>
      </c>
      <c r="C2188" s="3">
        <f t="shared" si="65"/>
        <v>3</v>
      </c>
      <c r="D2188" s="20" t="str">
        <f t="shared" si="66"/>
        <v>GPC20033</v>
      </c>
      <c r="E2188" s="2">
        <v>37685</v>
      </c>
      <c r="F2188" s="3">
        <v>0.29499999999999998</v>
      </c>
      <c r="G2188" s="2">
        <v>37712</v>
      </c>
      <c r="H2188" s="3">
        <v>4.0899999999999999E-2</v>
      </c>
      <c r="I2188" s="3">
        <v>1.7241379000000001E-2</v>
      </c>
      <c r="J2188" s="3">
        <v>5.0000000000000001E-3</v>
      </c>
      <c r="K2188" s="3">
        <f t="shared" si="67"/>
        <v>0</v>
      </c>
      <c r="L2188" s="3">
        <f t="shared" si="68"/>
        <v>2003</v>
      </c>
      <c r="M2188" s="20" t="str">
        <f>A2188&amp;L2188</f>
        <v>GPC2003</v>
      </c>
      <c r="N2188" s="3">
        <f>F2188</f>
        <v>0.29499999999999998</v>
      </c>
      <c r="O2188" s="9">
        <f>H2188</f>
        <v>4.0899999999999999E-2</v>
      </c>
      <c r="P2188" s="10">
        <f t="shared" si="69"/>
        <v>3.6549999999999999E-2</v>
      </c>
      <c r="Q2188" s="10">
        <f>IF(K2188=0,IF(A2185=A2188,AVERAGE(O2185:O2188),"x"),0)</f>
        <v>3.7225000000000001E-2</v>
      </c>
      <c r="R2188" s="9">
        <f>IF(L2188&gt;2005,AVERAGE(O2185:O2204),0)</f>
        <v>0</v>
      </c>
      <c r="S2188" s="10">
        <f>IF(A2188=A2189,(N2188-N2189)/N2189,0)</f>
        <v>1.7241379310344845E-2</v>
      </c>
      <c r="T2188" s="10">
        <f>IF(L2188&gt;2005,(((N2188-N2208)/N2208)+1)^(1/5)-1,0)</f>
        <v>0</v>
      </c>
      <c r="U2188" s="10">
        <f t="shared" si="70"/>
        <v>0</v>
      </c>
      <c r="V2188" s="26">
        <f t="shared" si="71"/>
        <v>0</v>
      </c>
      <c r="W2188" s="3">
        <f>IF(A2188=A2189,N2188-N2189,0)</f>
        <v>5.0000000000000044E-3</v>
      </c>
      <c r="X2188" s="10">
        <f>IF(A2188=A2189,(N2188-N2189)/N2189,0)</f>
        <v>1.7241379310344845E-2</v>
      </c>
    </row>
    <row r="2189" spans="1:24" ht="16.5" customHeight="1">
      <c r="A2189" s="3" t="s">
        <v>47</v>
      </c>
      <c r="B2189" s="3">
        <f t="shared" si="64"/>
        <v>2002</v>
      </c>
      <c r="C2189" s="3">
        <f t="shared" si="65"/>
        <v>12</v>
      </c>
      <c r="D2189" s="20" t="str">
        <f t="shared" si="66"/>
        <v>GPC200212</v>
      </c>
      <c r="E2189" s="2">
        <v>37594</v>
      </c>
      <c r="F2189" s="3">
        <v>0.28999999999999998</v>
      </c>
      <c r="G2189" s="2">
        <v>37623</v>
      </c>
      <c r="H2189" s="3">
        <v>3.73E-2</v>
      </c>
      <c r="I2189" s="3">
        <v>0</v>
      </c>
      <c r="J2189" s="3">
        <v>0</v>
      </c>
      <c r="K2189" s="3">
        <f t="shared" si="67"/>
        <v>2002</v>
      </c>
      <c r="L2189" s="3">
        <f t="shared" si="68"/>
        <v>0</v>
      </c>
      <c r="M2189" s="20" t="str">
        <f>A2189&amp;L2189</f>
        <v>GPC0</v>
      </c>
      <c r="N2189" s="3">
        <f>F2189</f>
        <v>0.28999999999999998</v>
      </c>
      <c r="O2189" s="9">
        <f>H2189</f>
        <v>3.73E-2</v>
      </c>
      <c r="P2189" s="10">
        <f t="shared" si="69"/>
        <v>0</v>
      </c>
      <c r="Q2189" s="10">
        <f>IF(K2189=0,IF(A2186=A2189,AVERAGE(O2186:O2189),"x"),0)</f>
        <v>0</v>
      </c>
      <c r="R2189" s="9">
        <f>IF(L2189&gt;2005,AVERAGE(O2186:O2205),0)</f>
        <v>0</v>
      </c>
      <c r="S2189" s="10">
        <f>IF(A2189=A2190,(N2189-N2190)/N2190,0)</f>
        <v>0</v>
      </c>
      <c r="T2189" s="10">
        <f>IF(L2189&gt;2005,(((N2189-N2209)/N2209)+1)^(1/5)-1,0)</f>
        <v>0</v>
      </c>
      <c r="U2189" s="10">
        <f t="shared" si="70"/>
        <v>0</v>
      </c>
      <c r="V2189" s="26">
        <f t="shared" si="71"/>
        <v>0</v>
      </c>
      <c r="W2189" s="3">
        <f>IF(A2189=A2190,N2189-N2190,0)</f>
        <v>0</v>
      </c>
      <c r="X2189" s="10">
        <f>IF(A2189=A2190,(N2189-N2190)/N2190,0)</f>
        <v>0</v>
      </c>
    </row>
    <row r="2190" spans="1:24" ht="16.5" customHeight="1">
      <c r="A2190" s="3" t="s">
        <v>47</v>
      </c>
      <c r="B2190" s="3">
        <f t="shared" si="64"/>
        <v>2002</v>
      </c>
      <c r="C2190" s="3">
        <f t="shared" si="65"/>
        <v>9</v>
      </c>
      <c r="D2190" s="20" t="str">
        <f t="shared" si="66"/>
        <v>GPC20029</v>
      </c>
      <c r="E2190" s="2">
        <v>37503</v>
      </c>
      <c r="F2190" s="3">
        <v>0.28999999999999998</v>
      </c>
      <c r="G2190" s="2">
        <v>37530</v>
      </c>
      <c r="H2190" s="3">
        <v>3.5799999999999998E-2</v>
      </c>
      <c r="I2190" s="3">
        <v>0</v>
      </c>
      <c r="J2190" s="3">
        <v>0</v>
      </c>
      <c r="K2190" s="3">
        <f t="shared" si="67"/>
        <v>2002</v>
      </c>
      <c r="L2190" s="3">
        <f t="shared" si="68"/>
        <v>0</v>
      </c>
      <c r="M2190" s="20" t="str">
        <f>A2190&amp;L2190</f>
        <v>GPC0</v>
      </c>
      <c r="N2190" s="3">
        <f>F2190</f>
        <v>0.28999999999999998</v>
      </c>
      <c r="O2190" s="9">
        <f>H2190</f>
        <v>3.5799999999999998E-2</v>
      </c>
      <c r="P2190" s="10">
        <f t="shared" si="69"/>
        <v>0</v>
      </c>
      <c r="Q2190" s="10">
        <f>IF(K2190=0,IF(A2187=A2190,AVERAGE(O2187:O2190),"x"),0)</f>
        <v>0</v>
      </c>
      <c r="R2190" s="9">
        <f>IF(L2190&gt;2005,AVERAGE(O2187:O2206),0)</f>
        <v>0</v>
      </c>
      <c r="S2190" s="10">
        <f>IF(A2190=A2191,(N2190-N2191)/N2191,0)</f>
        <v>0</v>
      </c>
      <c r="T2190" s="10">
        <f>IF(L2190&gt;2005,(((N2190-N2210)/N2210)+1)^(1/5)-1,0)</f>
        <v>0</v>
      </c>
      <c r="U2190" s="10">
        <f t="shared" si="70"/>
        <v>0</v>
      </c>
      <c r="V2190" s="26">
        <f t="shared" si="71"/>
        <v>0</v>
      </c>
      <c r="W2190" s="3">
        <f>IF(A2190=A2191,N2190-N2191,0)</f>
        <v>0</v>
      </c>
      <c r="X2190" s="10">
        <f>IF(A2190=A2191,(N2190-N2191)/N2191,0)</f>
        <v>0</v>
      </c>
    </row>
    <row r="2191" spans="1:24" ht="16.5" customHeight="1">
      <c r="A2191" s="3" t="s">
        <v>47</v>
      </c>
      <c r="B2191" s="3">
        <f t="shared" si="64"/>
        <v>2002</v>
      </c>
      <c r="C2191" s="3">
        <f t="shared" si="65"/>
        <v>6</v>
      </c>
      <c r="D2191" s="20" t="str">
        <f t="shared" si="66"/>
        <v>GPC20026</v>
      </c>
      <c r="E2191" s="2">
        <v>37412</v>
      </c>
      <c r="F2191" s="3">
        <v>0.28999999999999998</v>
      </c>
      <c r="G2191" s="2">
        <v>37438</v>
      </c>
      <c r="H2191" s="3">
        <v>3.2199999999999999E-2</v>
      </c>
      <c r="I2191" s="3">
        <v>0</v>
      </c>
      <c r="J2191" s="3">
        <v>0</v>
      </c>
      <c r="K2191" s="3">
        <f t="shared" si="67"/>
        <v>2002</v>
      </c>
      <c r="L2191" s="3">
        <f t="shared" si="68"/>
        <v>0</v>
      </c>
      <c r="M2191" s="20" t="str">
        <f>A2191&amp;L2191</f>
        <v>GPC0</v>
      </c>
      <c r="N2191" s="3">
        <f>F2191</f>
        <v>0.28999999999999998</v>
      </c>
      <c r="O2191" s="9">
        <f>H2191</f>
        <v>3.2199999999999999E-2</v>
      </c>
      <c r="P2191" s="10">
        <f t="shared" si="69"/>
        <v>0</v>
      </c>
      <c r="Q2191" s="10">
        <f>IF(K2191=0,IF(A2188=A2191,AVERAGE(O2188:O2191),"x"),0)</f>
        <v>0</v>
      </c>
      <c r="R2191" s="9">
        <f>IF(L2191&gt;2005,AVERAGE(O2188:O2207),0)</f>
        <v>0</v>
      </c>
      <c r="S2191" s="10">
        <f>IF(A2191=A2192,(N2191-N2192)/N2192,0)</f>
        <v>0</v>
      </c>
      <c r="T2191" s="10">
        <f>IF(L2191&gt;2005,(((N2191-N2211)/N2211)+1)^(1/5)-1,0)</f>
        <v>0</v>
      </c>
      <c r="U2191" s="10">
        <f t="shared" si="70"/>
        <v>0</v>
      </c>
      <c r="V2191" s="26">
        <f t="shared" si="71"/>
        <v>0</v>
      </c>
      <c r="W2191" s="3">
        <f>IF(A2191=A2192,N2191-N2192,0)</f>
        <v>0</v>
      </c>
      <c r="X2191" s="10">
        <f>IF(A2191=A2192,(N2191-N2192)/N2192,0)</f>
        <v>0</v>
      </c>
    </row>
    <row r="2192" spans="1:24" ht="16.5" customHeight="1">
      <c r="A2192" s="3" t="s">
        <v>47</v>
      </c>
      <c r="B2192" s="3">
        <f t="shared" si="64"/>
        <v>2002</v>
      </c>
      <c r="C2192" s="3">
        <f t="shared" si="65"/>
        <v>3</v>
      </c>
      <c r="D2192" s="20" t="str">
        <f t="shared" si="66"/>
        <v>GPC20023</v>
      </c>
      <c r="E2192" s="2">
        <v>37321</v>
      </c>
      <c r="F2192" s="3">
        <v>0.28999999999999998</v>
      </c>
      <c r="G2192" s="2">
        <v>37347</v>
      </c>
      <c r="H2192" s="3">
        <v>3.0700000000000002E-2</v>
      </c>
      <c r="I2192" s="3">
        <v>1.7543860000000001E-2</v>
      </c>
      <c r="J2192" s="3">
        <v>5.0000000000000001E-3</v>
      </c>
      <c r="K2192" s="3">
        <f t="shared" si="67"/>
        <v>0</v>
      </c>
      <c r="L2192" s="3">
        <f t="shared" si="68"/>
        <v>2002</v>
      </c>
      <c r="M2192" s="20" t="str">
        <f>A2192&amp;L2192</f>
        <v>GPC2002</v>
      </c>
      <c r="N2192" s="3">
        <f>F2192</f>
        <v>0.28999999999999998</v>
      </c>
      <c r="O2192" s="9">
        <f>H2192</f>
        <v>3.0700000000000002E-2</v>
      </c>
      <c r="P2192" s="10">
        <f t="shared" si="69"/>
        <v>3.465E-2</v>
      </c>
      <c r="Q2192" s="10">
        <f>IF(K2192=0,IF(A2189=A2192,AVERAGE(O2189:O2192),"x"),0)</f>
        <v>3.4000000000000002E-2</v>
      </c>
      <c r="R2192" s="9">
        <f>IF(L2192&gt;2005,AVERAGE(O2189:O2208),0)</f>
        <v>0</v>
      </c>
      <c r="S2192" s="10">
        <f>IF(A2192=A2193,(N2192-N2193)/N2193,0)</f>
        <v>1.7543859649122823E-2</v>
      </c>
      <c r="T2192" s="10">
        <f>IF(L2192&gt;2005,(((N2192-N2212)/N2212)+1)^(1/5)-1,0)</f>
        <v>0</v>
      </c>
      <c r="U2192" s="10">
        <f t="shared" si="70"/>
        <v>0</v>
      </c>
      <c r="V2192" s="26">
        <f t="shared" si="71"/>
        <v>0</v>
      </c>
      <c r="W2192" s="3">
        <f>IF(A2192=A2193,N2192-N2193,0)</f>
        <v>5.0000000000000044E-3</v>
      </c>
      <c r="X2192" s="10">
        <f>IF(A2192=A2193,(N2192-N2193)/N2193,0)</f>
        <v>1.7543859649122823E-2</v>
      </c>
    </row>
    <row r="2193" spans="1:24" ht="16.5" customHeight="1">
      <c r="A2193" s="3" t="s">
        <v>47</v>
      </c>
      <c r="B2193" s="3">
        <f t="shared" si="64"/>
        <v>2001</v>
      </c>
      <c r="C2193" s="3">
        <f t="shared" si="65"/>
        <v>12</v>
      </c>
      <c r="D2193" s="20" t="str">
        <f t="shared" si="66"/>
        <v>GPC200112</v>
      </c>
      <c r="E2193" s="2">
        <v>37230</v>
      </c>
      <c r="F2193" s="3">
        <v>0.28499999999999998</v>
      </c>
      <c r="G2193" s="2">
        <v>37258</v>
      </c>
      <c r="H2193" s="3">
        <v>3.3799999999999997E-2</v>
      </c>
      <c r="I2193" s="3">
        <v>0</v>
      </c>
      <c r="J2193" s="3">
        <v>0</v>
      </c>
      <c r="K2193" s="3">
        <f t="shared" si="67"/>
        <v>2001</v>
      </c>
      <c r="L2193" s="3">
        <f t="shared" si="68"/>
        <v>0</v>
      </c>
      <c r="M2193" s="20" t="str">
        <f>A2193&amp;L2193</f>
        <v>GPC0</v>
      </c>
      <c r="N2193" s="3">
        <f>F2193</f>
        <v>0.28499999999999998</v>
      </c>
      <c r="O2193" s="9">
        <f>H2193</f>
        <v>3.3799999999999997E-2</v>
      </c>
      <c r="P2193" s="10">
        <f t="shared" si="69"/>
        <v>0</v>
      </c>
      <c r="Q2193" s="10">
        <f>IF(K2193=0,IF(A2190=A2193,AVERAGE(O2190:O2193),"x"),0)</f>
        <v>0</v>
      </c>
      <c r="R2193" s="9">
        <f>IF(L2193&gt;2005,AVERAGE(O2190:O2209),0)</f>
        <v>0</v>
      </c>
      <c r="S2193" s="10">
        <f>IF(A2193=A2194,(N2193-N2194)/N2194,0)</f>
        <v>0</v>
      </c>
      <c r="T2193" s="10">
        <f>IF(L2193&gt;2005,(((N2193-N2213)/N2213)+1)^(1/5)-1,0)</f>
        <v>0</v>
      </c>
      <c r="U2193" s="10">
        <f t="shared" si="70"/>
        <v>0</v>
      </c>
      <c r="V2193" s="26">
        <f t="shared" si="71"/>
        <v>0</v>
      </c>
      <c r="W2193" s="3">
        <f>IF(A2193=A2194,N2193-N2194,0)</f>
        <v>0</v>
      </c>
      <c r="X2193" s="10">
        <f>IF(A2193=A2194,(N2193-N2194)/N2194,0)</f>
        <v>0</v>
      </c>
    </row>
    <row r="2194" spans="1:24" ht="16.5" customHeight="1">
      <c r="A2194" s="3" t="s">
        <v>47</v>
      </c>
      <c r="B2194" s="3">
        <f t="shared" si="64"/>
        <v>2001</v>
      </c>
      <c r="C2194" s="3">
        <f t="shared" si="65"/>
        <v>9</v>
      </c>
      <c r="D2194" s="20" t="str">
        <f t="shared" si="66"/>
        <v>GPC20019</v>
      </c>
      <c r="E2194" s="2">
        <v>37139</v>
      </c>
      <c r="F2194" s="3">
        <v>0.28499999999999998</v>
      </c>
      <c r="G2194" s="2">
        <v>37165</v>
      </c>
      <c r="H2194" s="3">
        <v>3.5799999999999998E-2</v>
      </c>
      <c r="I2194" s="3">
        <v>0</v>
      </c>
      <c r="J2194" s="3">
        <v>0</v>
      </c>
      <c r="K2194" s="3">
        <f t="shared" si="67"/>
        <v>2001</v>
      </c>
      <c r="L2194" s="3">
        <f t="shared" si="68"/>
        <v>0</v>
      </c>
      <c r="M2194" s="20" t="str">
        <f>A2194&amp;L2194</f>
        <v>GPC0</v>
      </c>
      <c r="N2194" s="3">
        <f>F2194</f>
        <v>0.28499999999999998</v>
      </c>
      <c r="O2194" s="9">
        <f>H2194</f>
        <v>3.5799999999999998E-2</v>
      </c>
      <c r="P2194" s="10">
        <f t="shared" si="69"/>
        <v>0</v>
      </c>
      <c r="Q2194" s="10">
        <f>IF(K2194=0,IF(A2191=A2194,AVERAGE(O2191:O2194),"x"),0)</f>
        <v>0</v>
      </c>
      <c r="R2194" s="9">
        <f>IF(L2194&gt;2005,AVERAGE(O2191:O2210),0)</f>
        <v>0</v>
      </c>
      <c r="S2194" s="10">
        <f>IF(A2194=A2195,(N2194-N2195)/N2195,0)</f>
        <v>0</v>
      </c>
      <c r="T2194" s="10">
        <f>IF(L2194&gt;2005,(((N2194-N2214)/N2214)+1)^(1/5)-1,0)</f>
        <v>0</v>
      </c>
      <c r="U2194" s="10">
        <f t="shared" si="70"/>
        <v>0</v>
      </c>
      <c r="V2194" s="26">
        <f t="shared" si="71"/>
        <v>0</v>
      </c>
      <c r="W2194" s="3">
        <f>IF(A2194=A2195,N2194-N2195,0)</f>
        <v>0</v>
      </c>
      <c r="X2194" s="10">
        <f>IF(A2194=A2195,(N2194-N2195)/N2195,0)</f>
        <v>0</v>
      </c>
    </row>
    <row r="2195" spans="1:24" ht="16.5" customHeight="1">
      <c r="A2195" s="3" t="s">
        <v>47</v>
      </c>
      <c r="B2195" s="3">
        <f t="shared" si="64"/>
        <v>2001</v>
      </c>
      <c r="C2195" s="3">
        <f t="shared" si="65"/>
        <v>6</v>
      </c>
      <c r="D2195" s="20" t="str">
        <f t="shared" si="66"/>
        <v>GPC20016</v>
      </c>
      <c r="E2195" s="2">
        <v>37048</v>
      </c>
      <c r="F2195" s="3">
        <v>0.28499999999999998</v>
      </c>
      <c r="G2195" s="2">
        <v>37074</v>
      </c>
      <c r="H2195" s="3">
        <v>3.8300000000000001E-2</v>
      </c>
      <c r="I2195" s="3">
        <v>0</v>
      </c>
      <c r="J2195" s="3">
        <v>0</v>
      </c>
      <c r="K2195" s="3">
        <f t="shared" si="67"/>
        <v>2001</v>
      </c>
      <c r="L2195" s="3">
        <f t="shared" si="68"/>
        <v>0</v>
      </c>
      <c r="M2195" s="20" t="str">
        <f>A2195&amp;L2195</f>
        <v>GPC0</v>
      </c>
      <c r="N2195" s="3">
        <f>F2195</f>
        <v>0.28499999999999998</v>
      </c>
      <c r="O2195" s="9">
        <f>H2195</f>
        <v>3.8300000000000001E-2</v>
      </c>
      <c r="P2195" s="10">
        <f t="shared" si="69"/>
        <v>0</v>
      </c>
      <c r="Q2195" s="10">
        <f>IF(K2195=0,IF(A2192=A2195,AVERAGE(O2192:O2195),"x"),0)</f>
        <v>0</v>
      </c>
      <c r="R2195" s="9">
        <f>IF(L2195&gt;2005,AVERAGE(O2192:O2211),0)</f>
        <v>0</v>
      </c>
      <c r="S2195" s="10">
        <f>IF(A2195=A2196,(N2195-N2196)/N2196,0)</f>
        <v>0</v>
      </c>
      <c r="T2195" s="10">
        <f>IF(L2195&gt;2005,(((N2195-N2215)/N2215)+1)^(1/5)-1,0)</f>
        <v>0</v>
      </c>
      <c r="U2195" s="10">
        <f t="shared" si="70"/>
        <v>0</v>
      </c>
      <c r="V2195" s="26">
        <f t="shared" si="71"/>
        <v>0</v>
      </c>
      <c r="W2195" s="3">
        <f>IF(A2195=A2196,N2195-N2196,0)</f>
        <v>0</v>
      </c>
      <c r="X2195" s="10">
        <f>IF(A2195=A2196,(N2195-N2196)/N2196,0)</f>
        <v>0</v>
      </c>
    </row>
    <row r="2196" spans="1:24" ht="16.5" customHeight="1">
      <c r="A2196" s="3" t="s">
        <v>47</v>
      </c>
      <c r="B2196" s="3">
        <f t="shared" si="64"/>
        <v>2001</v>
      </c>
      <c r="C2196" s="3">
        <f t="shared" si="65"/>
        <v>3</v>
      </c>
      <c r="D2196" s="20" t="str">
        <f t="shared" si="66"/>
        <v>GPC20013</v>
      </c>
      <c r="E2196" s="2">
        <v>36957</v>
      </c>
      <c r="F2196" s="3">
        <v>0.28499999999999998</v>
      </c>
      <c r="G2196" s="2">
        <v>36983</v>
      </c>
      <c r="H2196" s="3">
        <v>4.0599999999999997E-2</v>
      </c>
      <c r="I2196" s="3">
        <v>3.6363635999999998E-2</v>
      </c>
      <c r="J2196" s="3">
        <v>0.01</v>
      </c>
      <c r="K2196" s="3">
        <f t="shared" si="67"/>
        <v>0</v>
      </c>
      <c r="L2196" s="3">
        <f t="shared" si="68"/>
        <v>2001</v>
      </c>
      <c r="M2196" s="20" t="str">
        <f>A2196&amp;L2196</f>
        <v>GPC2001</v>
      </c>
      <c r="N2196" s="3">
        <f>F2196</f>
        <v>0.28499999999999998</v>
      </c>
      <c r="O2196" s="9">
        <f>H2196</f>
        <v>4.0599999999999997E-2</v>
      </c>
      <c r="P2196" s="10">
        <f t="shared" si="69"/>
        <v>4.7999999999999994E-2</v>
      </c>
      <c r="Q2196" s="10">
        <f>IF(K2196=0,IF(A2193=A2196,AVERAGE(O2193:O2196),"x"),0)</f>
        <v>3.7124999999999998E-2</v>
      </c>
      <c r="R2196" s="9">
        <f>IF(L2196&gt;2005,AVERAGE(O2193:O2212),0)</f>
        <v>0</v>
      </c>
      <c r="S2196" s="10">
        <f>IF(A2196=A2197,(N2196-N2197)/N2197,0)</f>
        <v>3.6363636363636188E-2</v>
      </c>
      <c r="T2196" s="10">
        <f>IF(L2196&gt;2005,(((N2196-N2216)/N2216)+1)^(1/5)-1,0)</f>
        <v>0</v>
      </c>
      <c r="U2196" s="10">
        <f t="shared" si="70"/>
        <v>0</v>
      </c>
      <c r="V2196" s="26">
        <f t="shared" si="71"/>
        <v>0</v>
      </c>
      <c r="W2196" s="3">
        <f>IF(A2196=A2197,N2196-N2197,0)</f>
        <v>9.9999999999999534E-3</v>
      </c>
      <c r="X2196" s="10">
        <f>IF(A2196=A2197,(N2196-N2197)/N2197,0)</f>
        <v>3.6363636363636188E-2</v>
      </c>
    </row>
    <row r="2197" spans="1:24" ht="16.5" customHeight="1">
      <c r="A2197" s="3" t="s">
        <v>47</v>
      </c>
      <c r="B2197" s="3">
        <f t="shared" si="64"/>
        <v>2000</v>
      </c>
      <c r="C2197" s="3">
        <f t="shared" si="65"/>
        <v>12</v>
      </c>
      <c r="D2197" s="20" t="str">
        <f t="shared" si="66"/>
        <v>GPC200012</v>
      </c>
      <c r="E2197" s="2">
        <v>36866</v>
      </c>
      <c r="F2197" s="3">
        <v>0.27500000000000002</v>
      </c>
      <c r="G2197" s="2">
        <v>36893</v>
      </c>
      <c r="H2197" s="3">
        <v>5.45E-2</v>
      </c>
      <c r="I2197" s="3">
        <v>0</v>
      </c>
      <c r="J2197" s="3">
        <v>0</v>
      </c>
      <c r="K2197" s="3">
        <f t="shared" si="67"/>
        <v>2000</v>
      </c>
      <c r="L2197" s="3">
        <f t="shared" si="68"/>
        <v>0</v>
      </c>
      <c r="M2197" s="20" t="str">
        <f>A2197&amp;L2197</f>
        <v>GPC0</v>
      </c>
      <c r="N2197" s="3">
        <f>F2197</f>
        <v>0.27500000000000002</v>
      </c>
      <c r="O2197" s="9">
        <f>H2197</f>
        <v>5.45E-2</v>
      </c>
      <c r="P2197" s="10">
        <f t="shared" si="69"/>
        <v>0</v>
      </c>
      <c r="Q2197" s="10">
        <f>IF(K2197=0,IF(A2194=A2197,AVERAGE(O2194:O2197),"x"),0)</f>
        <v>0</v>
      </c>
      <c r="R2197" s="9">
        <f>IF(L2197&gt;2005,AVERAGE(O2194:O2213),0)</f>
        <v>0</v>
      </c>
      <c r="S2197" s="10">
        <f>IF(A2197=A2198,(N2197-N2198)/N2198,0)</f>
        <v>0</v>
      </c>
      <c r="T2197" s="10">
        <f>IF(L2197&gt;2005,(((N2197-N2217)/N2217)+1)^(1/5)-1,0)</f>
        <v>0</v>
      </c>
      <c r="U2197" s="10">
        <f t="shared" si="70"/>
        <v>0</v>
      </c>
      <c r="V2197" s="26">
        <f t="shared" si="71"/>
        <v>0</v>
      </c>
      <c r="W2197" s="3">
        <f>IF(A2197=A2198,N2197-N2198,0)</f>
        <v>0</v>
      </c>
      <c r="X2197" s="10">
        <f>IF(A2197=A2198,(N2197-N2198)/N2198,0)</f>
        <v>0</v>
      </c>
    </row>
    <row r="2198" spans="1:24" ht="16.5" customHeight="1">
      <c r="A2198" s="3" t="s">
        <v>47</v>
      </c>
      <c r="B2198" s="3">
        <f t="shared" si="64"/>
        <v>2000</v>
      </c>
      <c r="C2198" s="3">
        <f t="shared" si="65"/>
        <v>9</v>
      </c>
      <c r="D2198" s="20" t="str">
        <f t="shared" si="66"/>
        <v>GPC20009</v>
      </c>
      <c r="E2198" s="2">
        <v>36775</v>
      </c>
      <c r="F2198" s="3">
        <v>0.27500000000000002</v>
      </c>
      <c r="G2198" s="2">
        <v>36801</v>
      </c>
      <c r="H2198" s="3">
        <v>5.1999999999999998E-2</v>
      </c>
      <c r="I2198" s="3">
        <v>0</v>
      </c>
      <c r="J2198" s="3">
        <v>0</v>
      </c>
      <c r="K2198" s="3">
        <f t="shared" si="67"/>
        <v>2000</v>
      </c>
      <c r="L2198" s="3">
        <f t="shared" si="68"/>
        <v>0</v>
      </c>
      <c r="M2198" s="20" t="str">
        <f>A2198&amp;L2198</f>
        <v>GPC0</v>
      </c>
      <c r="N2198" s="3">
        <f>F2198</f>
        <v>0.27500000000000002</v>
      </c>
      <c r="O2198" s="9">
        <f>H2198</f>
        <v>5.1999999999999998E-2</v>
      </c>
      <c r="P2198" s="10">
        <f t="shared" si="69"/>
        <v>0</v>
      </c>
      <c r="Q2198" s="10">
        <f>IF(K2198=0,IF(A2195=A2198,AVERAGE(O2195:O2198),"x"),0)</f>
        <v>0</v>
      </c>
      <c r="R2198" s="9">
        <f>IF(L2198&gt;2005,AVERAGE(O2195:O2214),0)</f>
        <v>0</v>
      </c>
      <c r="S2198" s="10">
        <f>IF(A2198=A2199,(N2198-N2199)/N2199,0)</f>
        <v>0</v>
      </c>
      <c r="T2198" s="10">
        <f>IF(L2198&gt;2005,(((N2198-N2218)/N2218)+1)^(1/5)-1,0)</f>
        <v>0</v>
      </c>
      <c r="U2198" s="10">
        <f t="shared" si="70"/>
        <v>0</v>
      </c>
      <c r="V2198" s="26">
        <f t="shared" si="71"/>
        <v>0</v>
      </c>
      <c r="W2198" s="3">
        <f>IF(A2198=A2199,N2198-N2199,0)</f>
        <v>0</v>
      </c>
      <c r="X2198" s="10">
        <f>IF(A2198=A2199,(N2198-N2199)/N2199,0)</f>
        <v>0</v>
      </c>
    </row>
    <row r="2199" spans="1:24" ht="16.5" customHeight="1">
      <c r="A2199" s="3" t="s">
        <v>47</v>
      </c>
      <c r="B2199" s="3">
        <f t="shared" si="64"/>
        <v>2000</v>
      </c>
      <c r="C2199" s="3">
        <f t="shared" si="65"/>
        <v>6</v>
      </c>
      <c r="D2199" s="20" t="str">
        <f t="shared" si="66"/>
        <v>GPC20006</v>
      </c>
      <c r="E2199" s="2">
        <v>36684</v>
      </c>
      <c r="F2199" s="3">
        <v>0.27500000000000002</v>
      </c>
      <c r="G2199" s="2">
        <v>36710</v>
      </c>
      <c r="H2199" s="3">
        <v>4.4900000000000002E-2</v>
      </c>
      <c r="I2199" s="3">
        <v>0</v>
      </c>
      <c r="J2199" s="3">
        <v>0</v>
      </c>
      <c r="K2199" s="3">
        <f t="shared" si="67"/>
        <v>2000</v>
      </c>
      <c r="L2199" s="3">
        <f t="shared" si="68"/>
        <v>0</v>
      </c>
      <c r="M2199" s="20" t="str">
        <f>A2199&amp;L2199</f>
        <v>GPC0</v>
      </c>
      <c r="N2199" s="3">
        <f>F2199</f>
        <v>0.27500000000000002</v>
      </c>
      <c r="O2199" s="9">
        <f>H2199</f>
        <v>4.4900000000000002E-2</v>
      </c>
      <c r="P2199" s="10">
        <f t="shared" si="69"/>
        <v>0</v>
      </c>
      <c r="Q2199" s="10">
        <f>IF(K2199=0,IF(A2196=A2199,AVERAGE(O2196:O2199),"x"),0)</f>
        <v>0</v>
      </c>
      <c r="R2199" s="9">
        <f>IF(L2199&gt;2005,AVERAGE(O2196:O2215),0)</f>
        <v>0</v>
      </c>
      <c r="S2199" s="10">
        <f>IF(A2199=A2200,(N2199-N2200)/N2200,0)</f>
        <v>0</v>
      </c>
      <c r="T2199" s="10">
        <f>IF(L2199&gt;2005,(((N2199-N2219)/N2219)+1)^(1/5)-1,0)</f>
        <v>0</v>
      </c>
      <c r="U2199" s="10">
        <f t="shared" si="70"/>
        <v>0</v>
      </c>
      <c r="V2199" s="26">
        <f t="shared" si="71"/>
        <v>0</v>
      </c>
      <c r="W2199" s="3">
        <f>IF(A2199=A2200,N2199-N2200,0)</f>
        <v>0</v>
      </c>
      <c r="X2199" s="10">
        <f>IF(A2199=A2200,(N2199-N2200)/N2200,0)</f>
        <v>0</v>
      </c>
    </row>
    <row r="2200" spans="1:24" ht="16.5" customHeight="1">
      <c r="A2200" s="14" t="s">
        <v>47</v>
      </c>
      <c r="B2200" s="3">
        <f t="shared" si="64"/>
        <v>2000</v>
      </c>
      <c r="C2200" s="3">
        <f t="shared" si="65"/>
        <v>3</v>
      </c>
      <c r="D2200" s="20" t="str">
        <f t="shared" si="66"/>
        <v>GPC20003</v>
      </c>
      <c r="E2200" s="15">
        <v>36586</v>
      </c>
      <c r="F2200" s="14">
        <v>0.27500000000000002</v>
      </c>
      <c r="G2200" s="15">
        <v>36619</v>
      </c>
      <c r="H2200" s="14">
        <v>4.6800000000000001E-2</v>
      </c>
      <c r="I2200" s="14">
        <v>0</v>
      </c>
      <c r="J2200" s="14">
        <v>0</v>
      </c>
      <c r="K2200" s="3">
        <f t="shared" si="67"/>
        <v>0</v>
      </c>
      <c r="L2200" s="3">
        <f t="shared" si="68"/>
        <v>2000</v>
      </c>
      <c r="M2200" s="20" t="str">
        <f>A2200&amp;L2200</f>
        <v>GPC2000</v>
      </c>
      <c r="N2200" s="14">
        <f>F2200</f>
        <v>0.27500000000000002</v>
      </c>
      <c r="O2200" s="9">
        <f>H2200</f>
        <v>4.6800000000000001E-2</v>
      </c>
      <c r="P2200" s="10">
        <f t="shared" si="69"/>
        <v>0</v>
      </c>
      <c r="Q2200" s="10">
        <f>IF(K2200=0,IF(A2197=A2200,AVERAGE(O2197:O2200),"x"),0)</f>
        <v>4.9550000000000004E-2</v>
      </c>
      <c r="R2200" s="9">
        <f>IF(L2200&gt;2005,AVERAGE(O2197:O2216),0)</f>
        <v>0</v>
      </c>
      <c r="S2200" s="10">
        <f>IF(A2200=A2201,(N2200-N2201)/N2201,0)</f>
        <v>0</v>
      </c>
      <c r="T2200" s="10">
        <f>IF(L2200&gt;2005,(((N2200-N2220)/N2220)+1)^(1/5)-1,0)</f>
        <v>0</v>
      </c>
      <c r="U2200" s="10">
        <f t="shared" si="70"/>
        <v>0</v>
      </c>
      <c r="V2200" s="26">
        <f t="shared" si="71"/>
        <v>0</v>
      </c>
      <c r="W2200" s="3">
        <f>IF(A2200=A2201,N2200-N2201,0)</f>
        <v>0</v>
      </c>
      <c r="X2200" s="10">
        <f>IF(A2200=A2201,(N2200-N2201)/N2201,0)</f>
        <v>0</v>
      </c>
    </row>
    <row r="2201" spans="1:24" ht="16.5" customHeight="1">
      <c r="A2201" s="3" t="s">
        <v>48</v>
      </c>
      <c r="B2201" s="3">
        <f t="shared" si="64"/>
        <v>2022</v>
      </c>
      <c r="C2201" s="3">
        <f t="shared" si="65"/>
        <v>10</v>
      </c>
      <c r="D2201" s="20" t="str">
        <f t="shared" si="66"/>
        <v>ABM202210</v>
      </c>
      <c r="E2201" s="2">
        <v>44839</v>
      </c>
      <c r="F2201" s="3">
        <v>0.19500000000000001</v>
      </c>
      <c r="G2201" s="2">
        <v>44872</v>
      </c>
      <c r="H2201" s="3">
        <v>1.8599999999999998E-2</v>
      </c>
      <c r="I2201" s="3">
        <v>0</v>
      </c>
      <c r="J2201" s="3">
        <v>0</v>
      </c>
      <c r="K2201" s="3">
        <f t="shared" si="67"/>
        <v>2022</v>
      </c>
      <c r="L2201" s="3">
        <f t="shared" si="68"/>
        <v>0</v>
      </c>
      <c r="M2201" s="20" t="str">
        <f>A2201&amp;L2201</f>
        <v>ABM0</v>
      </c>
      <c r="N2201" s="3">
        <f>F2201</f>
        <v>0.19500000000000001</v>
      </c>
      <c r="O2201" s="9">
        <f>H2201</f>
        <v>1.8599999999999998E-2</v>
      </c>
      <c r="P2201" s="10">
        <f t="shared" si="69"/>
        <v>0</v>
      </c>
      <c r="Q2201" s="10">
        <f>IF(K2201=0,IF(A2198=A2201,AVERAGE(O2198:O2201),"x"),0)</f>
        <v>0</v>
      </c>
      <c r="R2201" s="9">
        <f>IF(L2201&gt;2005,AVERAGE(O2198:O2217),0)</f>
        <v>0</v>
      </c>
      <c r="S2201" s="10">
        <f>IF(A2201=A2202,(N2201-N2202)/N2202,0)</f>
        <v>0</v>
      </c>
      <c r="T2201" s="10">
        <f>IF(L2201&gt;2005,(((N2201-N2221)/N2221)+1)^(1/5)-1,0)</f>
        <v>0</v>
      </c>
      <c r="U2201" s="10">
        <f t="shared" si="70"/>
        <v>0</v>
      </c>
      <c r="V2201" s="26">
        <f t="shared" si="71"/>
        <v>0</v>
      </c>
      <c r="W2201" s="3">
        <f>IF(A2201=A2202,N2201-N2202,0)</f>
        <v>0</v>
      </c>
      <c r="X2201" s="10">
        <f>IF(A2201=A2202,(N2201-N2202)/N2202,0)</f>
        <v>0</v>
      </c>
    </row>
    <row r="2202" spans="1:24" ht="16.5" customHeight="1">
      <c r="A2202" s="3" t="s">
        <v>48</v>
      </c>
      <c r="B2202" s="3">
        <f t="shared" si="64"/>
        <v>2022</v>
      </c>
      <c r="C2202" s="3">
        <f t="shared" si="65"/>
        <v>7</v>
      </c>
      <c r="D2202" s="20" t="str">
        <f t="shared" si="66"/>
        <v>ABM20227</v>
      </c>
      <c r="E2202" s="2">
        <v>44748</v>
      </c>
      <c r="F2202" s="3">
        <v>0.19500000000000001</v>
      </c>
      <c r="G2202" s="2">
        <v>44774</v>
      </c>
      <c r="H2202" s="3">
        <v>1.83E-2</v>
      </c>
      <c r="I2202" s="3">
        <v>0</v>
      </c>
      <c r="J2202" s="3">
        <v>0</v>
      </c>
      <c r="K2202" s="3">
        <f t="shared" si="67"/>
        <v>2022</v>
      </c>
      <c r="L2202" s="3">
        <f t="shared" si="68"/>
        <v>0</v>
      </c>
      <c r="M2202" s="20" t="str">
        <f>A2202&amp;L2202</f>
        <v>ABM0</v>
      </c>
      <c r="N2202" s="3">
        <f>F2202</f>
        <v>0.19500000000000001</v>
      </c>
      <c r="O2202" s="9">
        <f>H2202</f>
        <v>1.83E-2</v>
      </c>
      <c r="P2202" s="10">
        <f t="shared" si="69"/>
        <v>0</v>
      </c>
      <c r="Q2202" s="10">
        <f>IF(K2202=0,IF(A2199=A2202,AVERAGE(O2199:O2202),"x"),0)</f>
        <v>0</v>
      </c>
      <c r="R2202" s="9">
        <f>IF(L2202&gt;2005,AVERAGE(O2199:O2218),0)</f>
        <v>0</v>
      </c>
      <c r="S2202" s="10">
        <f>IF(A2202=A2203,(N2202-N2203)/N2203,0)</f>
        <v>0</v>
      </c>
      <c r="T2202" s="10">
        <f>IF(L2202&gt;2005,(((N2202-N2222)/N2222)+1)^(1/5)-1,0)</f>
        <v>0</v>
      </c>
      <c r="U2202" s="10">
        <f t="shared" si="70"/>
        <v>0</v>
      </c>
      <c r="V2202" s="26">
        <f t="shared" si="71"/>
        <v>0</v>
      </c>
      <c r="W2202" s="3">
        <f>IF(A2202=A2203,N2202-N2203,0)</f>
        <v>0</v>
      </c>
      <c r="X2202" s="10">
        <f>IF(A2202=A2203,(N2202-N2203)/N2203,0)</f>
        <v>0</v>
      </c>
    </row>
    <row r="2203" spans="1:24" ht="16.5" customHeight="1">
      <c r="A2203" s="3" t="s">
        <v>48</v>
      </c>
      <c r="B2203" s="3">
        <f t="shared" si="64"/>
        <v>2022</v>
      </c>
      <c r="C2203" s="3">
        <f t="shared" si="65"/>
        <v>4</v>
      </c>
      <c r="D2203" s="20" t="str">
        <f t="shared" si="66"/>
        <v>ABM20224</v>
      </c>
      <c r="E2203" s="2">
        <v>44657</v>
      </c>
      <c r="F2203" s="3">
        <v>0.19500000000000001</v>
      </c>
      <c r="G2203" s="2">
        <v>44683</v>
      </c>
      <c r="H2203" s="3">
        <v>1.7000000000000001E-2</v>
      </c>
      <c r="I2203" s="3">
        <v>0</v>
      </c>
      <c r="J2203" s="3">
        <v>0</v>
      </c>
      <c r="K2203" s="3">
        <f t="shared" si="67"/>
        <v>2022</v>
      </c>
      <c r="L2203" s="3">
        <f t="shared" si="68"/>
        <v>0</v>
      </c>
      <c r="M2203" s="20" t="str">
        <f>A2203&amp;L2203</f>
        <v>ABM0</v>
      </c>
      <c r="N2203" s="3">
        <f>F2203</f>
        <v>0.19500000000000001</v>
      </c>
      <c r="O2203" s="9">
        <f>H2203</f>
        <v>1.7000000000000001E-2</v>
      </c>
      <c r="P2203" s="10">
        <f t="shared" si="69"/>
        <v>0</v>
      </c>
      <c r="Q2203" s="10">
        <f>IF(K2203=0,IF(A2200=A2203,AVERAGE(O2200:O2203),"x"),0)</f>
        <v>0</v>
      </c>
      <c r="R2203" s="9">
        <f>IF(L2203&gt;2005,AVERAGE(O2200:O2219),0)</f>
        <v>0</v>
      </c>
      <c r="S2203" s="10">
        <f>IF(A2203=A2204,(N2203-N2204)/N2204,0)</f>
        <v>0</v>
      </c>
      <c r="T2203" s="10">
        <f>IF(L2203&gt;2005,(((N2203-N2223)/N2223)+1)^(1/5)-1,0)</f>
        <v>0</v>
      </c>
      <c r="U2203" s="10">
        <f t="shared" si="70"/>
        <v>0</v>
      </c>
      <c r="V2203" s="26">
        <f t="shared" si="71"/>
        <v>0</v>
      </c>
      <c r="W2203" s="3">
        <f>IF(A2203=A2204,N2203-N2204,0)</f>
        <v>0</v>
      </c>
      <c r="X2203" s="10">
        <f>IF(A2203=A2204,(N2203-N2204)/N2204,0)</f>
        <v>0</v>
      </c>
    </row>
    <row r="2204" spans="1:24" ht="16.5" customHeight="1">
      <c r="A2204" s="3" t="s">
        <v>48</v>
      </c>
      <c r="B2204" s="3">
        <f t="shared" si="64"/>
        <v>2022</v>
      </c>
      <c r="C2204" s="3">
        <f t="shared" si="65"/>
        <v>1</v>
      </c>
      <c r="D2204" s="20" t="str">
        <f t="shared" si="66"/>
        <v>ABM20221</v>
      </c>
      <c r="E2204" s="2">
        <v>44566</v>
      </c>
      <c r="F2204" s="3">
        <v>0.19500000000000001</v>
      </c>
      <c r="G2204" s="2">
        <v>44599</v>
      </c>
      <c r="H2204" s="3">
        <v>1.8599999999999998E-2</v>
      </c>
      <c r="I2204" s="3">
        <v>2.6315788999999999E-2</v>
      </c>
      <c r="J2204" s="3">
        <v>5.0000000000000001E-3</v>
      </c>
      <c r="K2204" s="3">
        <f t="shared" si="67"/>
        <v>0</v>
      </c>
      <c r="L2204" s="3">
        <f t="shared" si="68"/>
        <v>2022</v>
      </c>
      <c r="M2204" s="20" t="str">
        <f>A2204&amp;L2204</f>
        <v>ABM2022</v>
      </c>
      <c r="N2204" s="3">
        <f>F2204</f>
        <v>0.19500000000000001</v>
      </c>
      <c r="O2204" s="9">
        <f>H2204</f>
        <v>1.8599999999999998E-2</v>
      </c>
      <c r="P2204" s="10">
        <f t="shared" si="69"/>
        <v>1.6674999999999999E-2</v>
      </c>
      <c r="Q2204" s="10">
        <f>IF(K2204=0,IF(A2201=A2204,AVERAGE(O2201:O2204),"x"),0)</f>
        <v>1.8125000000000002E-2</v>
      </c>
      <c r="R2204" s="9">
        <f>IF(L2204&gt;2005,AVERAGE(O2201:O2220),0)</f>
        <v>1.976E-2</v>
      </c>
      <c r="S2204" s="10">
        <f>IF(A2204=A2205,(N2204-N2205)/N2205,0)</f>
        <v>2.6315789473684233E-2</v>
      </c>
      <c r="T2204" s="10">
        <f>IF(L2204&gt;2005,(((N2204-N2224)/N2224)+1)^(1/5)-1,0)</f>
        <v>2.7820174603307546E-2</v>
      </c>
      <c r="U2204" s="10">
        <f t="shared" si="70"/>
        <v>4.7580174603307546E-2</v>
      </c>
      <c r="V2204" s="26">
        <f t="shared" si="71"/>
        <v>4.7240782097676286</v>
      </c>
      <c r="W2204" s="3">
        <f>IF(A2204=A2205,N2204-N2205,0)</f>
        <v>5.0000000000000044E-3</v>
      </c>
      <c r="X2204" s="10">
        <f>IF(A2204=A2205,(N2204-N2205)/N2205,0)</f>
        <v>2.6315789473684233E-2</v>
      </c>
    </row>
    <row r="2205" spans="1:24" ht="16.5" customHeight="1">
      <c r="A2205" s="3" t="s">
        <v>48</v>
      </c>
      <c r="B2205" s="3">
        <f t="shared" si="64"/>
        <v>2021</v>
      </c>
      <c r="C2205" s="3">
        <f t="shared" si="65"/>
        <v>10</v>
      </c>
      <c r="D2205" s="20" t="str">
        <f t="shared" si="66"/>
        <v>ABM202110</v>
      </c>
      <c r="E2205" s="2">
        <v>44475</v>
      </c>
      <c r="F2205" s="3">
        <v>0.19</v>
      </c>
      <c r="G2205" s="2">
        <v>44501</v>
      </c>
      <c r="H2205" s="3">
        <v>1.6E-2</v>
      </c>
      <c r="I2205" s="3">
        <v>0</v>
      </c>
      <c r="J2205" s="3">
        <v>0</v>
      </c>
      <c r="K2205" s="3">
        <f t="shared" si="67"/>
        <v>2021</v>
      </c>
      <c r="L2205" s="3">
        <f t="shared" si="68"/>
        <v>0</v>
      </c>
      <c r="M2205" s="20" t="str">
        <f>A2205&amp;L2205</f>
        <v>ABM0</v>
      </c>
      <c r="N2205" s="3">
        <f>F2205</f>
        <v>0.19</v>
      </c>
      <c r="O2205" s="9">
        <f>H2205</f>
        <v>1.6E-2</v>
      </c>
      <c r="P2205" s="10">
        <f t="shared" si="69"/>
        <v>0</v>
      </c>
      <c r="Q2205" s="10">
        <f>IF(K2205=0,IF(A2202=A2205,AVERAGE(O2202:O2205),"x"),0)</f>
        <v>0</v>
      </c>
      <c r="R2205" s="9">
        <f>IF(L2205&gt;2005,AVERAGE(O2202:O2221),0)</f>
        <v>0</v>
      </c>
      <c r="S2205" s="10">
        <f>IF(A2205=A2206,(N2205-N2206)/N2206,0)</f>
        <v>0</v>
      </c>
      <c r="T2205" s="10">
        <f>IF(L2205&gt;2005,(((N2205-N2225)/N2225)+1)^(1/5)-1,0)</f>
        <v>0</v>
      </c>
      <c r="U2205" s="10">
        <f t="shared" si="70"/>
        <v>0</v>
      </c>
      <c r="V2205" s="26">
        <f t="shared" si="71"/>
        <v>0</v>
      </c>
      <c r="W2205" s="3">
        <f>IF(A2205=A2206,N2205-N2206,0)</f>
        <v>0</v>
      </c>
      <c r="X2205" s="10">
        <f>IF(A2205=A2206,(N2205-N2206)/N2206,0)</f>
        <v>0</v>
      </c>
    </row>
    <row r="2206" spans="1:24" ht="16.5" customHeight="1">
      <c r="A2206" s="3" t="s">
        <v>48</v>
      </c>
      <c r="B2206" s="3">
        <f t="shared" si="64"/>
        <v>2021</v>
      </c>
      <c r="C2206" s="3">
        <f t="shared" si="65"/>
        <v>6</v>
      </c>
      <c r="D2206" s="20" t="str">
        <f t="shared" si="66"/>
        <v>ABM20216</v>
      </c>
      <c r="E2206" s="2">
        <v>44377</v>
      </c>
      <c r="F2206" s="3">
        <v>0.19</v>
      </c>
      <c r="G2206" s="2">
        <v>44410</v>
      </c>
      <c r="H2206" s="3">
        <v>1.72E-2</v>
      </c>
      <c r="I2206" s="3">
        <v>0</v>
      </c>
      <c r="J2206" s="3">
        <v>0</v>
      </c>
      <c r="K2206" s="3">
        <f t="shared" si="67"/>
        <v>2021</v>
      </c>
      <c r="L2206" s="3">
        <f t="shared" si="68"/>
        <v>0</v>
      </c>
      <c r="M2206" s="20" t="str">
        <f>A2206&amp;L2206</f>
        <v>ABM0</v>
      </c>
      <c r="N2206" s="3">
        <f>F2206</f>
        <v>0.19</v>
      </c>
      <c r="O2206" s="9">
        <f>H2206</f>
        <v>1.72E-2</v>
      </c>
      <c r="P2206" s="10">
        <f t="shared" si="69"/>
        <v>0</v>
      </c>
      <c r="Q2206" s="10">
        <f>IF(K2206=0,IF(A2203=A2206,AVERAGE(O2203:O2206),"x"),0)</f>
        <v>0</v>
      </c>
      <c r="R2206" s="9">
        <f>IF(L2206&gt;2005,AVERAGE(O2203:O2222),0)</f>
        <v>0</v>
      </c>
      <c r="S2206" s="10">
        <f>IF(A2206=A2207,(N2206-N2207)/N2207,0)</f>
        <v>0</v>
      </c>
      <c r="T2206" s="10">
        <f>IF(L2206&gt;2005,(((N2206-N2226)/N2226)+1)^(1/5)-1,0)</f>
        <v>0</v>
      </c>
      <c r="U2206" s="10">
        <f t="shared" si="70"/>
        <v>0</v>
      </c>
      <c r="V2206" s="26">
        <f t="shared" si="71"/>
        <v>0</v>
      </c>
      <c r="W2206" s="3">
        <f>IF(A2206=A2207,N2206-N2207,0)</f>
        <v>0</v>
      </c>
      <c r="X2206" s="10">
        <f>IF(A2206=A2207,(N2206-N2207)/N2207,0)</f>
        <v>0</v>
      </c>
    </row>
    <row r="2207" spans="1:24" ht="16.5" customHeight="1">
      <c r="A2207" s="3" t="s">
        <v>48</v>
      </c>
      <c r="B2207" s="3">
        <f t="shared" si="64"/>
        <v>2021</v>
      </c>
      <c r="C2207" s="3">
        <f t="shared" si="65"/>
        <v>3</v>
      </c>
      <c r="D2207" s="20" t="str">
        <f t="shared" si="66"/>
        <v>ABM20213</v>
      </c>
      <c r="E2207" s="2">
        <v>44286</v>
      </c>
      <c r="F2207" s="3">
        <v>0.19</v>
      </c>
      <c r="G2207" s="2">
        <v>44319</v>
      </c>
      <c r="H2207" s="3">
        <v>1.49E-2</v>
      </c>
      <c r="I2207" s="3">
        <v>0</v>
      </c>
      <c r="J2207" s="3">
        <v>0</v>
      </c>
      <c r="K2207" s="3">
        <f t="shared" si="67"/>
        <v>2021</v>
      </c>
      <c r="L2207" s="3">
        <f t="shared" si="68"/>
        <v>0</v>
      </c>
      <c r="M2207" s="20" t="str">
        <f>A2207&amp;L2207</f>
        <v>ABM0</v>
      </c>
      <c r="N2207" s="3">
        <f>F2207</f>
        <v>0.19</v>
      </c>
      <c r="O2207" s="9">
        <f>H2207</f>
        <v>1.49E-2</v>
      </c>
      <c r="P2207" s="10">
        <f t="shared" si="69"/>
        <v>0</v>
      </c>
      <c r="Q2207" s="10">
        <f>IF(K2207=0,IF(A2204=A2207,AVERAGE(O2204:O2207),"x"),0)</f>
        <v>0</v>
      </c>
      <c r="R2207" s="9">
        <f>IF(L2207&gt;2005,AVERAGE(O2204:O2223),0)</f>
        <v>0</v>
      </c>
      <c r="S2207" s="10">
        <f>IF(A2207=A2208,(N2207-N2208)/N2208,0)</f>
        <v>0</v>
      </c>
      <c r="T2207" s="10">
        <f>IF(L2207&gt;2005,(((N2207-N2227)/N2227)+1)^(1/5)-1,0)</f>
        <v>0</v>
      </c>
      <c r="U2207" s="10">
        <f t="shared" si="70"/>
        <v>0</v>
      </c>
      <c r="V2207" s="26">
        <f t="shared" si="71"/>
        <v>0</v>
      </c>
      <c r="W2207" s="3">
        <f>IF(A2207=A2208,N2207-N2208,0)</f>
        <v>0</v>
      </c>
      <c r="X2207" s="10">
        <f>IF(A2207=A2208,(N2207-N2208)/N2208,0)</f>
        <v>0</v>
      </c>
    </row>
    <row r="2208" spans="1:24" ht="16.5" customHeight="1">
      <c r="A2208" s="3" t="s">
        <v>48</v>
      </c>
      <c r="B2208" s="3">
        <f t="shared" si="64"/>
        <v>2021</v>
      </c>
      <c r="C2208" s="3">
        <f t="shared" si="65"/>
        <v>1</v>
      </c>
      <c r="D2208" s="20" t="str">
        <f t="shared" si="66"/>
        <v>ABM20211</v>
      </c>
      <c r="E2208" s="2">
        <v>44202</v>
      </c>
      <c r="F2208" s="3">
        <v>0.19</v>
      </c>
      <c r="G2208" s="2">
        <v>44228</v>
      </c>
      <c r="H2208" s="3">
        <v>1.9900000000000001E-2</v>
      </c>
      <c r="I2208" s="3">
        <v>2.7027026999999999E-2</v>
      </c>
      <c r="J2208" s="3">
        <v>5.0000000000000001E-3</v>
      </c>
      <c r="K2208" s="3">
        <f t="shared" si="67"/>
        <v>0</v>
      </c>
      <c r="L2208" s="3">
        <f t="shared" si="68"/>
        <v>2021</v>
      </c>
      <c r="M2208" s="20" t="str">
        <f>A2208&amp;L2208</f>
        <v>ABM2021</v>
      </c>
      <c r="N2208" s="3">
        <f>F2208</f>
        <v>0.19</v>
      </c>
      <c r="O2208" s="9">
        <f>H2208</f>
        <v>1.9900000000000001E-2</v>
      </c>
      <c r="P2208" s="10">
        <f t="shared" si="69"/>
        <v>2.2675000000000001E-2</v>
      </c>
      <c r="Q2208" s="10">
        <f>IF(K2208=0,IF(A2205=A2208,AVERAGE(O2205:O2208),"x"),0)</f>
        <v>1.7000000000000001E-2</v>
      </c>
      <c r="R2208" s="9">
        <f>IF(L2208&gt;2005,AVERAGE(O2205:O2224),0)</f>
        <v>1.9385000000000006E-2</v>
      </c>
      <c r="S2208" s="10">
        <f>IF(A2208=A2209,(N2208-N2209)/N2209,0)</f>
        <v>2.7027027027027053E-2</v>
      </c>
      <c r="T2208" s="10">
        <f>IF(L2208&gt;2005,(((N2208-N2228)/N2228)+1)^(1/5)-1,0)</f>
        <v>2.8617553510468241E-2</v>
      </c>
      <c r="U2208" s="10">
        <f t="shared" si="70"/>
        <v>4.8002553510468247E-2</v>
      </c>
      <c r="V2208" s="26">
        <f t="shared" si="71"/>
        <v>4.7292922340694874</v>
      </c>
      <c r="W2208" s="3">
        <f>IF(A2208=A2209,N2208-N2209,0)</f>
        <v>5.0000000000000044E-3</v>
      </c>
      <c r="X2208" s="10">
        <f>IF(A2208=A2209,(N2208-N2209)/N2209,0)</f>
        <v>2.7027027027027053E-2</v>
      </c>
    </row>
    <row r="2209" spans="1:24" ht="16.5" customHeight="1">
      <c r="A2209" s="3" t="s">
        <v>48</v>
      </c>
      <c r="B2209" s="3">
        <f t="shared" si="64"/>
        <v>2020</v>
      </c>
      <c r="C2209" s="3">
        <f t="shared" si="65"/>
        <v>9</v>
      </c>
      <c r="D2209" s="20" t="str">
        <f t="shared" si="66"/>
        <v>ABM20209</v>
      </c>
      <c r="E2209" s="2">
        <v>44104</v>
      </c>
      <c r="F2209" s="3">
        <v>0.185</v>
      </c>
      <c r="G2209" s="2">
        <v>44137</v>
      </c>
      <c r="H2209" s="3">
        <v>0.02</v>
      </c>
      <c r="I2209" s="3">
        <v>0</v>
      </c>
      <c r="J2209" s="3">
        <v>0</v>
      </c>
      <c r="K2209" s="3">
        <f t="shared" si="67"/>
        <v>2020</v>
      </c>
      <c r="L2209" s="3">
        <f t="shared" si="68"/>
        <v>0</v>
      </c>
      <c r="M2209" s="20" t="str">
        <f>A2209&amp;L2209</f>
        <v>ABM0</v>
      </c>
      <c r="N2209" s="3">
        <f>F2209</f>
        <v>0.185</v>
      </c>
      <c r="O2209" s="9">
        <f>H2209</f>
        <v>0.02</v>
      </c>
      <c r="P2209" s="10">
        <f t="shared" si="69"/>
        <v>0</v>
      </c>
      <c r="Q2209" s="10">
        <f>IF(K2209=0,IF(A2206=A2209,AVERAGE(O2206:O2209),"x"),0)</f>
        <v>0</v>
      </c>
      <c r="R2209" s="9">
        <f>IF(L2209&gt;2005,AVERAGE(O2206:O2225),0)</f>
        <v>0</v>
      </c>
      <c r="S2209" s="10">
        <f>IF(A2209=A2210,(N2209-N2210)/N2210,0)</f>
        <v>0</v>
      </c>
      <c r="T2209" s="10">
        <f>IF(L2209&gt;2005,(((N2209-N2229)/N2229)+1)^(1/5)-1,0)</f>
        <v>0</v>
      </c>
      <c r="U2209" s="10">
        <f t="shared" si="70"/>
        <v>0</v>
      </c>
      <c r="V2209" s="26">
        <f t="shared" si="71"/>
        <v>0</v>
      </c>
      <c r="W2209" s="3">
        <f>IF(A2209=A2210,N2209-N2210,0)</f>
        <v>0</v>
      </c>
      <c r="X2209" s="10">
        <f>IF(A2209=A2210,(N2209-N2210)/N2210,0)</f>
        <v>0</v>
      </c>
    </row>
    <row r="2210" spans="1:24" ht="16.5" customHeight="1">
      <c r="A2210" s="3" t="s">
        <v>48</v>
      </c>
      <c r="B2210" s="3">
        <f t="shared" si="64"/>
        <v>2020</v>
      </c>
      <c r="C2210" s="3">
        <f t="shared" si="65"/>
        <v>7</v>
      </c>
      <c r="D2210" s="20" t="str">
        <f t="shared" si="66"/>
        <v>ABM20207</v>
      </c>
      <c r="E2210" s="2">
        <v>44013</v>
      </c>
      <c r="F2210" s="3">
        <v>0.185</v>
      </c>
      <c r="G2210" s="2">
        <v>44046</v>
      </c>
      <c r="H2210" s="3">
        <v>2.0400000000000001E-2</v>
      </c>
      <c r="I2210" s="3">
        <v>0</v>
      </c>
      <c r="J2210" s="3">
        <v>0</v>
      </c>
      <c r="K2210" s="3">
        <f t="shared" si="67"/>
        <v>2020</v>
      </c>
      <c r="L2210" s="3">
        <f t="shared" si="68"/>
        <v>0</v>
      </c>
      <c r="M2210" s="20" t="str">
        <f>A2210&amp;L2210</f>
        <v>ABM0</v>
      </c>
      <c r="N2210" s="3">
        <f>F2210</f>
        <v>0.185</v>
      </c>
      <c r="O2210" s="9">
        <f>H2210</f>
        <v>2.0400000000000001E-2</v>
      </c>
      <c r="P2210" s="10">
        <f t="shared" si="69"/>
        <v>0</v>
      </c>
      <c r="Q2210" s="10">
        <f>IF(K2210=0,IF(A2207=A2210,AVERAGE(O2207:O2210),"x"),0)</f>
        <v>0</v>
      </c>
      <c r="R2210" s="9">
        <f>IF(L2210&gt;2005,AVERAGE(O2207:O2226),0)</f>
        <v>0</v>
      </c>
      <c r="S2210" s="10">
        <f>IF(A2210=A2211,(N2210-N2211)/N2211,0)</f>
        <v>0</v>
      </c>
      <c r="T2210" s="10">
        <f>IF(L2210&gt;2005,(((N2210-N2230)/N2230)+1)^(1/5)-1,0)</f>
        <v>0</v>
      </c>
      <c r="U2210" s="10">
        <f t="shared" si="70"/>
        <v>0</v>
      </c>
      <c r="V2210" s="26">
        <f t="shared" si="71"/>
        <v>0</v>
      </c>
      <c r="W2210" s="3">
        <f>IF(A2210=A2211,N2210-N2211,0)</f>
        <v>0</v>
      </c>
      <c r="X2210" s="10">
        <f>IF(A2210=A2211,(N2210-N2211)/N2211,0)</f>
        <v>0</v>
      </c>
    </row>
    <row r="2211" spans="1:24" ht="16.5" customHeight="1">
      <c r="A2211" s="3" t="s">
        <v>48</v>
      </c>
      <c r="B2211" s="3">
        <f t="shared" si="64"/>
        <v>2020</v>
      </c>
      <c r="C2211" s="3">
        <f t="shared" si="65"/>
        <v>4</v>
      </c>
      <c r="D2211" s="20" t="str">
        <f t="shared" si="66"/>
        <v>ABM20204</v>
      </c>
      <c r="E2211" s="2">
        <v>43922</v>
      </c>
      <c r="F2211" s="3">
        <v>0.185</v>
      </c>
      <c r="G2211" s="2">
        <v>43955</v>
      </c>
      <c r="H2211" s="3">
        <v>3.04E-2</v>
      </c>
      <c r="I2211" s="3">
        <v>0</v>
      </c>
      <c r="J2211" s="3">
        <v>0</v>
      </c>
      <c r="K2211" s="3">
        <f t="shared" si="67"/>
        <v>0</v>
      </c>
      <c r="L2211" s="3">
        <f t="shared" si="68"/>
        <v>2020</v>
      </c>
      <c r="M2211" s="20" t="str">
        <f>A2211&amp;L2211</f>
        <v>ABM2020</v>
      </c>
      <c r="N2211" s="3">
        <f>F2211</f>
        <v>0.185</v>
      </c>
      <c r="O2211" s="9">
        <f>H2211</f>
        <v>3.04E-2</v>
      </c>
      <c r="P2211" s="10">
        <f t="shared" si="69"/>
        <v>0</v>
      </c>
      <c r="Q2211" s="10">
        <f>IF(K2211=0,IF(A2208=A2211,AVERAGE(O2208:O2211),"x"),0)</f>
        <v>2.2675000000000001E-2</v>
      </c>
      <c r="R2211" s="9">
        <f>IF(L2211&gt;2005,AVERAGE(O2208:O2227),0)</f>
        <v>1.9750000000000004E-2</v>
      </c>
      <c r="S2211" s="10">
        <f>IF(A2211=A2212,(N2211-N2212)/N2212,0)</f>
        <v>0</v>
      </c>
      <c r="T2211" s="10">
        <f>IF(L2211&gt;2005,(((N2211-N2231)/N2231)+1)^(1/5)-1,0)</f>
        <v>2.9462068239258565E-2</v>
      </c>
      <c r="U2211" s="10">
        <f t="shared" si="70"/>
        <v>4.9212068239258569E-2</v>
      </c>
      <c r="V2211" s="26">
        <f t="shared" si="71"/>
        <v>4.7246325603913117</v>
      </c>
      <c r="W2211" s="3">
        <f>IF(A2211=A2212,N2211-N2212,0)</f>
        <v>0</v>
      </c>
      <c r="X2211" s="10">
        <f>IF(A2211=A2212,(N2211-N2212)/N2212,0)</f>
        <v>0</v>
      </c>
    </row>
    <row r="2212" spans="1:24" ht="16.5" customHeight="1">
      <c r="A2212" s="3" t="s">
        <v>48</v>
      </c>
      <c r="B2212" s="3">
        <f t="shared" si="64"/>
        <v>2019</v>
      </c>
      <c r="C2212" s="3">
        <f t="shared" si="65"/>
        <v>12</v>
      </c>
      <c r="D2212" s="20" t="str">
        <f t="shared" si="66"/>
        <v>ABM201912</v>
      </c>
      <c r="E2212" s="2">
        <v>43830</v>
      </c>
      <c r="F2212" s="3">
        <v>0.185</v>
      </c>
      <c r="G2212" s="2">
        <v>43864</v>
      </c>
      <c r="H2212" s="3">
        <v>1.9300000000000001E-2</v>
      </c>
      <c r="I2212" s="3">
        <v>2.7777777999999999E-2</v>
      </c>
      <c r="J2212" s="3">
        <v>5.0000000000000001E-3</v>
      </c>
      <c r="K2212" s="3">
        <f t="shared" si="67"/>
        <v>2019</v>
      </c>
      <c r="L2212" s="3">
        <f t="shared" si="68"/>
        <v>0</v>
      </c>
      <c r="M2212" s="20" t="str">
        <f>A2212&amp;L2212</f>
        <v>ABM0</v>
      </c>
      <c r="N2212" s="3">
        <f>F2212</f>
        <v>0.185</v>
      </c>
      <c r="O2212" s="9">
        <f>H2212</f>
        <v>1.9300000000000001E-2</v>
      </c>
      <c r="P2212" s="10">
        <f t="shared" si="69"/>
        <v>1.9200000000000002E-2</v>
      </c>
      <c r="Q2212" s="10">
        <f>IF(K2212=0,IF(A2209=A2212,AVERAGE(O2209:O2212),"x"),0)</f>
        <v>0</v>
      </c>
      <c r="R2212" s="9">
        <f>IF(L2212&gt;2005,AVERAGE(O2209:O2228),0)</f>
        <v>0</v>
      </c>
      <c r="S2212" s="10">
        <f>IF(A2212=A2213,(N2212-N2213)/N2213,0)</f>
        <v>2.7777777777777804E-2</v>
      </c>
      <c r="T2212" s="10">
        <f>IF(L2212&gt;2005,(((N2212-N2232)/N2232)+1)^(1/5)-1,0)</f>
        <v>0</v>
      </c>
      <c r="U2212" s="10">
        <f t="shared" si="70"/>
        <v>0</v>
      </c>
      <c r="V2212" s="26">
        <f t="shared" si="71"/>
        <v>0</v>
      </c>
      <c r="W2212" s="3">
        <f>IF(A2212=A2213,N2212-N2213,0)</f>
        <v>5.0000000000000044E-3</v>
      </c>
      <c r="X2212" s="10">
        <f>IF(A2212=A2213,(N2212-N2213)/N2213,0)</f>
        <v>2.7777777777777804E-2</v>
      </c>
    </row>
    <row r="2213" spans="1:24" ht="16.5" customHeight="1">
      <c r="A2213" s="3" t="s">
        <v>48</v>
      </c>
      <c r="B2213" s="3">
        <f t="shared" si="64"/>
        <v>2019</v>
      </c>
      <c r="C2213" s="3">
        <f t="shared" si="65"/>
        <v>10</v>
      </c>
      <c r="D2213" s="20" t="str">
        <f t="shared" si="66"/>
        <v>ABM201910</v>
      </c>
      <c r="E2213" s="2">
        <v>43740</v>
      </c>
      <c r="F2213" s="3">
        <v>0.18</v>
      </c>
      <c r="G2213" s="2">
        <v>43773</v>
      </c>
      <c r="H2213" s="3">
        <v>2.01E-2</v>
      </c>
      <c r="I2213" s="3">
        <v>0</v>
      </c>
      <c r="J2213" s="3">
        <v>0</v>
      </c>
      <c r="K2213" s="3">
        <f t="shared" si="67"/>
        <v>2019</v>
      </c>
      <c r="L2213" s="3">
        <f t="shared" si="68"/>
        <v>0</v>
      </c>
      <c r="M2213" s="20" t="str">
        <f>A2213&amp;L2213</f>
        <v>ABM0</v>
      </c>
      <c r="N2213" s="3">
        <f>F2213</f>
        <v>0.18</v>
      </c>
      <c r="O2213" s="9">
        <f>H2213</f>
        <v>2.01E-2</v>
      </c>
      <c r="P2213" s="10">
        <f t="shared" si="69"/>
        <v>0</v>
      </c>
      <c r="Q2213" s="10">
        <f>IF(K2213=0,IF(A2210=A2213,AVERAGE(O2210:O2213),"x"),0)</f>
        <v>0</v>
      </c>
      <c r="R2213" s="9">
        <f>IF(L2213&gt;2005,AVERAGE(O2210:O2229),0)</f>
        <v>0</v>
      </c>
      <c r="S2213" s="10">
        <f>IF(A2213=A2214,(N2213-N2214)/N2214,0)</f>
        <v>0</v>
      </c>
      <c r="T2213" s="10">
        <f>IF(L2213&gt;2005,(((N2213-N2233)/N2233)+1)^(1/5)-1,0)</f>
        <v>0</v>
      </c>
      <c r="U2213" s="10">
        <f t="shared" si="70"/>
        <v>0</v>
      </c>
      <c r="V2213" s="26">
        <f t="shared" si="71"/>
        <v>0</v>
      </c>
      <c r="W2213" s="3">
        <f>IF(A2213=A2214,N2213-N2214,0)</f>
        <v>0</v>
      </c>
      <c r="X2213" s="10">
        <f>IF(A2213=A2214,(N2213-N2214)/N2214,0)</f>
        <v>0</v>
      </c>
    </row>
    <row r="2214" spans="1:24" ht="16.5" customHeight="1">
      <c r="A2214" s="3" t="s">
        <v>48</v>
      </c>
      <c r="B2214" s="3">
        <f t="shared" si="64"/>
        <v>2019</v>
      </c>
      <c r="C2214" s="3">
        <f t="shared" si="65"/>
        <v>7</v>
      </c>
      <c r="D2214" s="20" t="str">
        <f t="shared" si="66"/>
        <v>ABM20197</v>
      </c>
      <c r="E2214" s="2">
        <v>43649</v>
      </c>
      <c r="F2214" s="3">
        <v>0.18</v>
      </c>
      <c r="G2214" s="2">
        <v>43682</v>
      </c>
      <c r="H2214" s="3">
        <v>1.8100000000000002E-2</v>
      </c>
      <c r="I2214" s="3">
        <v>0</v>
      </c>
      <c r="J2214" s="3">
        <v>0</v>
      </c>
      <c r="K2214" s="3">
        <f t="shared" si="67"/>
        <v>2019</v>
      </c>
      <c r="L2214" s="3">
        <f t="shared" si="68"/>
        <v>0</v>
      </c>
      <c r="M2214" s="20" t="str">
        <f>A2214&amp;L2214</f>
        <v>ABM0</v>
      </c>
      <c r="N2214" s="3">
        <f>F2214</f>
        <v>0.18</v>
      </c>
      <c r="O2214" s="9">
        <f>H2214</f>
        <v>1.8100000000000002E-2</v>
      </c>
      <c r="P2214" s="10">
        <f t="shared" si="69"/>
        <v>0</v>
      </c>
      <c r="Q2214" s="10">
        <f>IF(K2214=0,IF(A2211=A2214,AVERAGE(O2211:O2214),"x"),0)</f>
        <v>0</v>
      </c>
      <c r="R2214" s="9">
        <f>IF(L2214&gt;2005,AVERAGE(O2211:O2230),0)</f>
        <v>0</v>
      </c>
      <c r="S2214" s="10">
        <f>IF(A2214=A2215,(N2214-N2215)/N2215,0)</f>
        <v>0</v>
      </c>
      <c r="T2214" s="10">
        <f>IF(L2214&gt;2005,(((N2214-N2234)/N2234)+1)^(1/5)-1,0)</f>
        <v>0</v>
      </c>
      <c r="U2214" s="10">
        <f t="shared" si="70"/>
        <v>0</v>
      </c>
      <c r="V2214" s="26">
        <f t="shared" si="71"/>
        <v>0</v>
      </c>
      <c r="W2214" s="3">
        <f>IF(A2214=A2215,N2214-N2215,0)</f>
        <v>0</v>
      </c>
      <c r="X2214" s="10">
        <f>IF(A2214=A2215,(N2214-N2215)/N2215,0)</f>
        <v>0</v>
      </c>
    </row>
    <row r="2215" spans="1:24" ht="16.5" customHeight="1">
      <c r="A2215" s="3" t="s">
        <v>48</v>
      </c>
      <c r="B2215" s="3">
        <f t="shared" si="64"/>
        <v>2019</v>
      </c>
      <c r="C2215" s="3">
        <f t="shared" si="65"/>
        <v>4</v>
      </c>
      <c r="D2215" s="20" t="str">
        <f t="shared" si="66"/>
        <v>ABM20194</v>
      </c>
      <c r="E2215" s="2">
        <v>43558</v>
      </c>
      <c r="F2215" s="3">
        <v>0.18</v>
      </c>
      <c r="G2215" s="2">
        <v>43591</v>
      </c>
      <c r="H2215" s="3">
        <v>1.9300000000000001E-2</v>
      </c>
      <c r="I2215" s="3">
        <v>0</v>
      </c>
      <c r="J2215" s="3">
        <v>0</v>
      </c>
      <c r="K2215" s="3">
        <f t="shared" si="67"/>
        <v>2019</v>
      </c>
      <c r="L2215" s="3">
        <f t="shared" si="68"/>
        <v>0</v>
      </c>
      <c r="M2215" s="20" t="str">
        <f>A2215&amp;L2215</f>
        <v>ABM0</v>
      </c>
      <c r="N2215" s="3">
        <f>F2215</f>
        <v>0.18</v>
      </c>
      <c r="O2215" s="9">
        <f>H2215</f>
        <v>1.9300000000000001E-2</v>
      </c>
      <c r="P2215" s="10">
        <f t="shared" si="69"/>
        <v>0</v>
      </c>
      <c r="Q2215" s="10">
        <f>IF(K2215=0,IF(A2212=A2215,AVERAGE(O2212:O2215),"x"),0)</f>
        <v>0</v>
      </c>
      <c r="R2215" s="9">
        <f>IF(L2215&gt;2005,AVERAGE(O2212:O2231),0)</f>
        <v>0</v>
      </c>
      <c r="S2215" s="10">
        <f>IF(A2215=A2216,(N2215-N2216)/N2216,0)</f>
        <v>0</v>
      </c>
      <c r="T2215" s="10">
        <f>IF(L2215&gt;2005,(((N2215-N2235)/N2235)+1)^(1/5)-1,0)</f>
        <v>0</v>
      </c>
      <c r="U2215" s="10">
        <f t="shared" si="70"/>
        <v>0</v>
      </c>
      <c r="V2215" s="26">
        <f t="shared" si="71"/>
        <v>0</v>
      </c>
      <c r="W2215" s="3">
        <f>IF(A2215=A2216,N2215-N2216,0)</f>
        <v>0</v>
      </c>
      <c r="X2215" s="10">
        <f>IF(A2215=A2216,(N2215-N2216)/N2216,0)</f>
        <v>0</v>
      </c>
    </row>
    <row r="2216" spans="1:24" ht="16.5" customHeight="1">
      <c r="A2216" s="3" t="s">
        <v>48</v>
      </c>
      <c r="B2216" s="3">
        <f t="shared" si="64"/>
        <v>2019</v>
      </c>
      <c r="C2216" s="3">
        <f t="shared" si="65"/>
        <v>1</v>
      </c>
      <c r="D2216" s="20" t="str">
        <f t="shared" si="66"/>
        <v>ABM20191</v>
      </c>
      <c r="E2216" s="2">
        <v>43467</v>
      </c>
      <c r="F2216" s="3">
        <v>0.18</v>
      </c>
      <c r="G2216" s="2">
        <v>43500</v>
      </c>
      <c r="H2216" s="3">
        <v>2.24E-2</v>
      </c>
      <c r="I2216" s="3">
        <v>2.8571428999999999E-2</v>
      </c>
      <c r="J2216" s="3">
        <v>5.0000000000000001E-3</v>
      </c>
      <c r="K2216" s="3">
        <f t="shared" si="67"/>
        <v>0</v>
      </c>
      <c r="L2216" s="3">
        <f t="shared" si="68"/>
        <v>2019</v>
      </c>
      <c r="M2216" s="20" t="str">
        <f>A2216&amp;L2216</f>
        <v>ABM2019</v>
      </c>
      <c r="N2216" s="3">
        <f>F2216</f>
        <v>0.18</v>
      </c>
      <c r="O2216" s="9">
        <f>H2216</f>
        <v>2.24E-2</v>
      </c>
      <c r="P2216" s="10">
        <f t="shared" si="69"/>
        <v>2.215E-2</v>
      </c>
      <c r="Q2216" s="10">
        <f>IF(K2216=0,IF(A2213=A2216,AVERAGE(O2213:O2216),"x"),0)</f>
        <v>1.9975E-2</v>
      </c>
      <c r="R2216" s="9">
        <f>IF(L2216&gt;2005,AVERAGE(O2213:O2232),0)</f>
        <v>1.9594999999999994E-2</v>
      </c>
      <c r="S2216" s="10">
        <f>IF(A2216=A2217,(N2216-N2217)/N2217,0)</f>
        <v>2.8571428571428598E-2</v>
      </c>
      <c r="T2216" s="10">
        <f>IF(L2216&gt;2005,(((N2216-N2236)/N2236)+1)^(1/5)-1,0)</f>
        <v>3.0358033101851145E-2</v>
      </c>
      <c r="U2216" s="10">
        <f t="shared" si="70"/>
        <v>4.9953033101851139E-2</v>
      </c>
      <c r="V2216" s="26">
        <f t="shared" si="71"/>
        <v>4.7269280863769785</v>
      </c>
      <c r="W2216" s="3">
        <f>IF(A2216=A2217,N2216-N2217,0)</f>
        <v>5.0000000000000044E-3</v>
      </c>
      <c r="X2216" s="10">
        <f>IF(A2216=A2217,(N2216-N2217)/N2217,0)</f>
        <v>2.8571428571428598E-2</v>
      </c>
    </row>
    <row r="2217" spans="1:24" ht="16.5" customHeight="1">
      <c r="A2217" s="3" t="s">
        <v>48</v>
      </c>
      <c r="B2217" s="3">
        <f t="shared" si="64"/>
        <v>2018</v>
      </c>
      <c r="C2217" s="3">
        <f t="shared" si="65"/>
        <v>10</v>
      </c>
      <c r="D2217" s="20" t="str">
        <f t="shared" si="66"/>
        <v>ABM201810</v>
      </c>
      <c r="E2217" s="2">
        <v>43376</v>
      </c>
      <c r="F2217" s="3">
        <v>0.17499999999999999</v>
      </c>
      <c r="G2217" s="2">
        <v>43409</v>
      </c>
      <c r="H2217" s="3">
        <v>2.1600000000000001E-2</v>
      </c>
      <c r="I2217" s="3">
        <v>0</v>
      </c>
      <c r="J2217" s="3">
        <v>0</v>
      </c>
      <c r="K2217" s="3">
        <f t="shared" si="67"/>
        <v>2018</v>
      </c>
      <c r="L2217" s="3">
        <f t="shared" si="68"/>
        <v>0</v>
      </c>
      <c r="M2217" s="20" t="str">
        <f>A2217&amp;L2217</f>
        <v>ABM0</v>
      </c>
      <c r="N2217" s="3">
        <f>F2217</f>
        <v>0.17499999999999999</v>
      </c>
      <c r="O2217" s="9">
        <f>H2217</f>
        <v>2.1600000000000001E-2</v>
      </c>
      <c r="P2217" s="10">
        <f t="shared" si="69"/>
        <v>0</v>
      </c>
      <c r="Q2217" s="10">
        <f>IF(K2217=0,IF(A2214=A2217,AVERAGE(O2214:O2217),"x"),0)</f>
        <v>0</v>
      </c>
      <c r="R2217" s="9">
        <f>IF(L2217&gt;2005,AVERAGE(O2214:O2233),0)</f>
        <v>0</v>
      </c>
      <c r="S2217" s="10">
        <f>IF(A2217=A2218,(N2217-N2218)/N2218,0)</f>
        <v>0</v>
      </c>
      <c r="T2217" s="10">
        <f>IF(L2217&gt;2005,(((N2217-N2237)/N2237)+1)^(1/5)-1,0)</f>
        <v>0</v>
      </c>
      <c r="U2217" s="10">
        <f t="shared" si="70"/>
        <v>0</v>
      </c>
      <c r="V2217" s="26">
        <f t="shared" si="71"/>
        <v>0</v>
      </c>
      <c r="W2217" s="3">
        <f>IF(A2217=A2218,N2217-N2218,0)</f>
        <v>0</v>
      </c>
      <c r="X2217" s="10">
        <f>IF(A2217=A2218,(N2217-N2218)/N2218,0)</f>
        <v>0</v>
      </c>
    </row>
    <row r="2218" spans="1:24" ht="16.5" customHeight="1">
      <c r="A2218" s="3" t="s">
        <v>48</v>
      </c>
      <c r="B2218" s="3">
        <f t="shared" si="64"/>
        <v>2018</v>
      </c>
      <c r="C2218" s="3">
        <f t="shared" si="65"/>
        <v>7</v>
      </c>
      <c r="D2218" s="20" t="str">
        <f t="shared" si="66"/>
        <v>ABM20187</v>
      </c>
      <c r="E2218" s="2">
        <v>43284</v>
      </c>
      <c r="F2218" s="3">
        <v>0.17499999999999999</v>
      </c>
      <c r="G2218" s="2">
        <v>43318</v>
      </c>
      <c r="H2218" s="3">
        <v>2.3699999999999999E-2</v>
      </c>
      <c r="I2218" s="3">
        <v>0</v>
      </c>
      <c r="J2218" s="3">
        <v>0</v>
      </c>
      <c r="K2218" s="3">
        <f t="shared" si="67"/>
        <v>2018</v>
      </c>
      <c r="L2218" s="3">
        <f t="shared" si="68"/>
        <v>0</v>
      </c>
      <c r="M2218" s="20" t="str">
        <f>A2218&amp;L2218</f>
        <v>ABM0</v>
      </c>
      <c r="N2218" s="3">
        <f>F2218</f>
        <v>0.17499999999999999</v>
      </c>
      <c r="O2218" s="9">
        <f>H2218</f>
        <v>2.3699999999999999E-2</v>
      </c>
      <c r="P2218" s="10">
        <f t="shared" si="69"/>
        <v>0</v>
      </c>
      <c r="Q2218" s="10">
        <f>IF(K2218=0,IF(A2215=A2218,AVERAGE(O2215:O2218),"x"),0)</f>
        <v>0</v>
      </c>
      <c r="R2218" s="9">
        <f>IF(L2218&gt;2005,AVERAGE(O2215:O2234),0)</f>
        <v>0</v>
      </c>
      <c r="S2218" s="10">
        <f>IF(A2218=A2219,(N2218-N2219)/N2219,0)</f>
        <v>0</v>
      </c>
      <c r="T2218" s="10">
        <f>IF(L2218&gt;2005,(((N2218-N2238)/N2238)+1)^(1/5)-1,0)</f>
        <v>0</v>
      </c>
      <c r="U2218" s="10">
        <f t="shared" si="70"/>
        <v>0</v>
      </c>
      <c r="V2218" s="26">
        <f t="shared" si="71"/>
        <v>0</v>
      </c>
      <c r="W2218" s="3">
        <f>IF(A2218=A2219,N2218-N2219,0)</f>
        <v>0</v>
      </c>
      <c r="X2218" s="10">
        <f>IF(A2218=A2219,(N2218-N2219)/N2219,0)</f>
        <v>0</v>
      </c>
    </row>
    <row r="2219" spans="1:24" ht="16.5" customHeight="1">
      <c r="A2219" s="3" t="s">
        <v>48</v>
      </c>
      <c r="B2219" s="3">
        <f t="shared" si="64"/>
        <v>2018</v>
      </c>
      <c r="C2219" s="3">
        <f t="shared" si="65"/>
        <v>4</v>
      </c>
      <c r="D2219" s="20" t="str">
        <f t="shared" si="66"/>
        <v>ABM20184</v>
      </c>
      <c r="E2219" s="2">
        <v>43194</v>
      </c>
      <c r="F2219" s="3">
        <v>0.17499999999999999</v>
      </c>
      <c r="G2219" s="2">
        <v>43227</v>
      </c>
      <c r="H2219" s="3">
        <v>2.0899999999999998E-2</v>
      </c>
      <c r="I2219" s="3">
        <v>0</v>
      </c>
      <c r="J2219" s="3">
        <v>0</v>
      </c>
      <c r="K2219" s="3">
        <f t="shared" si="67"/>
        <v>2018</v>
      </c>
      <c r="L2219" s="3">
        <f t="shared" si="68"/>
        <v>0</v>
      </c>
      <c r="M2219" s="20" t="str">
        <f>A2219&amp;L2219</f>
        <v>ABM0</v>
      </c>
      <c r="N2219" s="3">
        <f>F2219</f>
        <v>0.17499999999999999</v>
      </c>
      <c r="O2219" s="9">
        <f>H2219</f>
        <v>2.0899999999999998E-2</v>
      </c>
      <c r="P2219" s="10">
        <f t="shared" si="69"/>
        <v>0</v>
      </c>
      <c r="Q2219" s="10">
        <f>IF(K2219=0,IF(A2216=A2219,AVERAGE(O2216:O2219),"x"),0)</f>
        <v>0</v>
      </c>
      <c r="R2219" s="9">
        <f>IF(L2219&gt;2005,AVERAGE(O2216:O2235),0)</f>
        <v>0</v>
      </c>
      <c r="S2219" s="10">
        <f>IF(A2219=A2220,(N2219-N2220)/N2220,0)</f>
        <v>0</v>
      </c>
      <c r="T2219" s="10">
        <f>IF(L2219&gt;2005,(((N2219-N2239)/N2239)+1)^(1/5)-1,0)</f>
        <v>0</v>
      </c>
      <c r="U2219" s="10">
        <f t="shared" si="70"/>
        <v>0</v>
      </c>
      <c r="V2219" s="26">
        <f t="shared" si="71"/>
        <v>0</v>
      </c>
      <c r="W2219" s="3">
        <f>IF(A2219=A2220,N2219-N2220,0)</f>
        <v>0</v>
      </c>
      <c r="X2219" s="10">
        <f>IF(A2219=A2220,(N2219-N2220)/N2220,0)</f>
        <v>0</v>
      </c>
    </row>
    <row r="2220" spans="1:24" ht="16.5" customHeight="1">
      <c r="A2220" s="3" t="s">
        <v>48</v>
      </c>
      <c r="B2220" s="3">
        <f t="shared" si="64"/>
        <v>2018</v>
      </c>
      <c r="C2220" s="3">
        <f t="shared" si="65"/>
        <v>1</v>
      </c>
      <c r="D2220" s="20" t="str">
        <f t="shared" si="66"/>
        <v>ABM20181</v>
      </c>
      <c r="E2220" s="2">
        <v>43103</v>
      </c>
      <c r="F2220" s="3">
        <v>0.17499999999999999</v>
      </c>
      <c r="G2220" s="2">
        <v>43136</v>
      </c>
      <c r="H2220" s="3">
        <v>1.8499999999999999E-2</v>
      </c>
      <c r="I2220" s="3">
        <v>2.9411764999999999E-2</v>
      </c>
      <c r="J2220" s="3">
        <v>5.0000000000000001E-3</v>
      </c>
      <c r="K2220" s="3">
        <f t="shared" si="67"/>
        <v>0</v>
      </c>
      <c r="L2220" s="3">
        <f t="shared" si="68"/>
        <v>2018</v>
      </c>
      <c r="M2220" s="20" t="str">
        <f>A2220&amp;L2220</f>
        <v>ABM2018</v>
      </c>
      <c r="N2220" s="3">
        <f>F2220</f>
        <v>0.17499999999999999</v>
      </c>
      <c r="O2220" s="9">
        <f>H2220</f>
        <v>1.8499999999999999E-2</v>
      </c>
      <c r="P2220" s="10">
        <f t="shared" si="69"/>
        <v>1.67E-2</v>
      </c>
      <c r="Q2220" s="10">
        <f>IF(K2220=0,IF(A2217=A2220,AVERAGE(O2217:O2220),"x"),0)</f>
        <v>2.1174999999999999E-2</v>
      </c>
      <c r="R2220" s="9">
        <f>IF(L2220&gt;2005,AVERAGE(O2217:O2236),0)</f>
        <v>2.0039999999999999E-2</v>
      </c>
      <c r="S2220" s="10">
        <f>IF(A2220=A2221,(N2220-N2221)/N2221,0)</f>
        <v>2.9411764705882214E-2</v>
      </c>
      <c r="T2220" s="10">
        <f>IF(L2220&gt;2005,(((N2220-N2240)/N2240)+1)^(1/5)-1,0)</f>
        <v>3.1310306477545069E-2</v>
      </c>
      <c r="U2220" s="10">
        <f t="shared" si="70"/>
        <v>5.1350306477545071E-2</v>
      </c>
      <c r="V2220" s="26">
        <f t="shared" si="71"/>
        <v>4.7212454731882332</v>
      </c>
      <c r="W2220" s="3">
        <f>IF(A2220=A2221,N2220-N2221,0)</f>
        <v>4.9999999999999767E-3</v>
      </c>
      <c r="X2220" s="10">
        <f>IF(A2220=A2221,(N2220-N2221)/N2221,0)</f>
        <v>2.9411764705882214E-2</v>
      </c>
    </row>
    <row r="2221" spans="1:24" ht="16.5" customHeight="1">
      <c r="A2221" s="3" t="s">
        <v>48</v>
      </c>
      <c r="B2221" s="3">
        <f t="shared" si="64"/>
        <v>2017</v>
      </c>
      <c r="C2221" s="3">
        <f t="shared" si="65"/>
        <v>10</v>
      </c>
      <c r="D2221" s="20" t="str">
        <f t="shared" si="66"/>
        <v>ABM201710</v>
      </c>
      <c r="E2221" s="2">
        <v>43012</v>
      </c>
      <c r="F2221" s="3">
        <v>0.17</v>
      </c>
      <c r="G2221" s="2">
        <v>43045</v>
      </c>
      <c r="H2221" s="3">
        <v>1.5900000000000001E-2</v>
      </c>
      <c r="I2221" s="3">
        <v>0</v>
      </c>
      <c r="J2221" s="3">
        <v>0</v>
      </c>
      <c r="K2221" s="3">
        <f t="shared" si="67"/>
        <v>2017</v>
      </c>
      <c r="L2221" s="3">
        <f t="shared" si="68"/>
        <v>0</v>
      </c>
      <c r="M2221" s="20" t="str">
        <f>A2221&amp;L2221</f>
        <v>ABM0</v>
      </c>
      <c r="N2221" s="3">
        <f>F2221</f>
        <v>0.17</v>
      </c>
      <c r="O2221" s="9">
        <f>H2221</f>
        <v>1.5900000000000001E-2</v>
      </c>
      <c r="P2221" s="10">
        <f t="shared" si="69"/>
        <v>0</v>
      </c>
      <c r="Q2221" s="10">
        <f>IF(K2221=0,IF(A2218=A2221,AVERAGE(O2218:O2221),"x"),0)</f>
        <v>0</v>
      </c>
      <c r="R2221" s="9">
        <f>IF(L2221&gt;2005,AVERAGE(O2218:O2237),0)</f>
        <v>0</v>
      </c>
      <c r="S2221" s="10">
        <f>IF(A2221=A2222,(N2221-N2222)/N2222,0)</f>
        <v>0</v>
      </c>
      <c r="T2221" s="10">
        <f>IF(L2221&gt;2005,(((N2221-N2241)/N2241)+1)^(1/5)-1,0)</f>
        <v>0</v>
      </c>
      <c r="U2221" s="10">
        <f t="shared" si="70"/>
        <v>0</v>
      </c>
      <c r="V2221" s="26">
        <f t="shared" si="71"/>
        <v>0</v>
      </c>
      <c r="W2221" s="3">
        <f>IF(A2221=A2222,N2221-N2222,0)</f>
        <v>0</v>
      </c>
      <c r="X2221" s="10">
        <f>IF(A2221=A2222,(N2221-N2222)/N2222,0)</f>
        <v>0</v>
      </c>
    </row>
    <row r="2222" spans="1:24" ht="16.5" customHeight="1">
      <c r="A2222" s="3" t="s">
        <v>48</v>
      </c>
      <c r="B2222" s="3">
        <f t="shared" si="64"/>
        <v>2017</v>
      </c>
      <c r="C2222" s="3">
        <f t="shared" si="65"/>
        <v>7</v>
      </c>
      <c r="D2222" s="20" t="str">
        <f t="shared" si="66"/>
        <v>ABM20177</v>
      </c>
      <c r="E2222" s="2">
        <v>42919</v>
      </c>
      <c r="F2222" s="3">
        <v>0.17</v>
      </c>
      <c r="G2222" s="2">
        <v>42954</v>
      </c>
      <c r="H2222" s="3">
        <v>1.6400000000000001E-2</v>
      </c>
      <c r="I2222" s="3">
        <v>0</v>
      </c>
      <c r="J2222" s="3">
        <v>0</v>
      </c>
      <c r="K2222" s="3">
        <f t="shared" si="67"/>
        <v>2017</v>
      </c>
      <c r="L2222" s="3">
        <f t="shared" si="68"/>
        <v>0</v>
      </c>
      <c r="M2222" s="20" t="str">
        <f>A2222&amp;L2222</f>
        <v>ABM0</v>
      </c>
      <c r="N2222" s="3">
        <f>F2222</f>
        <v>0.17</v>
      </c>
      <c r="O2222" s="9">
        <f>H2222</f>
        <v>1.6400000000000001E-2</v>
      </c>
      <c r="P2222" s="10">
        <f t="shared" si="69"/>
        <v>0</v>
      </c>
      <c r="Q2222" s="10">
        <f>IF(K2222=0,IF(A2219=A2222,AVERAGE(O2219:O2222),"x"),0)</f>
        <v>0</v>
      </c>
      <c r="R2222" s="9">
        <f>IF(L2222&gt;2005,AVERAGE(O2219:O2238),0)</f>
        <v>0</v>
      </c>
      <c r="S2222" s="10">
        <f>IF(A2222=A2223,(N2222-N2223)/N2223,0)</f>
        <v>0</v>
      </c>
      <c r="T2222" s="10">
        <f>IF(L2222&gt;2005,(((N2222-N2242)/N2242)+1)^(1/5)-1,0)</f>
        <v>0</v>
      </c>
      <c r="U2222" s="10">
        <f t="shared" si="70"/>
        <v>0</v>
      </c>
      <c r="V2222" s="26">
        <f t="shared" si="71"/>
        <v>0</v>
      </c>
      <c r="W2222" s="3">
        <f>IF(A2222=A2223,N2222-N2223,0)</f>
        <v>0</v>
      </c>
      <c r="X2222" s="10">
        <f>IF(A2222=A2223,(N2222-N2223)/N2223,0)</f>
        <v>0</v>
      </c>
    </row>
    <row r="2223" spans="1:24" ht="16.5" customHeight="1">
      <c r="A2223" s="3" t="s">
        <v>48</v>
      </c>
      <c r="B2223" s="3">
        <f t="shared" si="64"/>
        <v>2017</v>
      </c>
      <c r="C2223" s="3">
        <f t="shared" si="65"/>
        <v>4</v>
      </c>
      <c r="D2223" s="20" t="str">
        <f t="shared" si="66"/>
        <v>ABM20174</v>
      </c>
      <c r="E2223" s="2">
        <v>42829</v>
      </c>
      <c r="F2223" s="3">
        <v>0.17</v>
      </c>
      <c r="G2223" s="2">
        <v>42856</v>
      </c>
      <c r="H2223" s="3">
        <v>1.6E-2</v>
      </c>
      <c r="I2223" s="3">
        <v>0</v>
      </c>
      <c r="J2223" s="3">
        <v>0</v>
      </c>
      <c r="K2223" s="3">
        <f t="shared" si="67"/>
        <v>2017</v>
      </c>
      <c r="L2223" s="3">
        <f t="shared" si="68"/>
        <v>0</v>
      </c>
      <c r="M2223" s="20" t="str">
        <f>A2223&amp;L2223</f>
        <v>ABM0</v>
      </c>
      <c r="N2223" s="3">
        <f>F2223</f>
        <v>0.17</v>
      </c>
      <c r="O2223" s="9">
        <f>H2223</f>
        <v>1.6E-2</v>
      </c>
      <c r="P2223" s="10">
        <f t="shared" si="69"/>
        <v>0</v>
      </c>
      <c r="Q2223" s="10">
        <f>IF(K2223=0,IF(A2220=A2223,AVERAGE(O2220:O2223),"x"),0)</f>
        <v>0</v>
      </c>
      <c r="R2223" s="9">
        <f>IF(L2223&gt;2005,AVERAGE(O2220:O2239),0)</f>
        <v>0</v>
      </c>
      <c r="S2223" s="10">
        <f>IF(A2223=A2224,(N2223-N2224)/N2224,0)</f>
        <v>0</v>
      </c>
      <c r="T2223" s="10">
        <f>IF(L2223&gt;2005,(((N2223-N2243)/N2243)+1)^(1/5)-1,0)</f>
        <v>0</v>
      </c>
      <c r="U2223" s="10">
        <f t="shared" si="70"/>
        <v>0</v>
      </c>
      <c r="V2223" s="26">
        <f t="shared" si="71"/>
        <v>0</v>
      </c>
      <c r="W2223" s="3">
        <f>IF(A2223=A2224,N2223-N2224,0)</f>
        <v>0</v>
      </c>
      <c r="X2223" s="10">
        <f>IF(A2223=A2224,(N2223-N2224)/N2224,0)</f>
        <v>0</v>
      </c>
    </row>
    <row r="2224" spans="1:24" ht="16.5" customHeight="1">
      <c r="A2224" s="3" t="s">
        <v>48</v>
      </c>
      <c r="B2224" s="3">
        <f t="shared" si="64"/>
        <v>2017</v>
      </c>
      <c r="C2224" s="3">
        <f t="shared" si="65"/>
        <v>1</v>
      </c>
      <c r="D2224" s="20" t="str">
        <f t="shared" si="66"/>
        <v>ABM20171</v>
      </c>
      <c r="E2224" s="2">
        <v>42738</v>
      </c>
      <c r="F2224" s="3">
        <v>0.17</v>
      </c>
      <c r="G2224" s="2">
        <v>42772</v>
      </c>
      <c r="H2224" s="3">
        <v>1.67E-2</v>
      </c>
      <c r="I2224" s="3">
        <v>3.0303030000000002E-2</v>
      </c>
      <c r="J2224" s="3">
        <v>5.0000000000000001E-3</v>
      </c>
      <c r="K2224" s="3">
        <f t="shared" si="67"/>
        <v>0</v>
      </c>
      <c r="L2224" s="3">
        <f t="shared" si="68"/>
        <v>2017</v>
      </c>
      <c r="M2224" s="20" t="str">
        <f>A2224&amp;L2224</f>
        <v>ABM2017</v>
      </c>
      <c r="N2224" s="3">
        <f>F2224</f>
        <v>0.17</v>
      </c>
      <c r="O2224" s="9">
        <f>H2224</f>
        <v>1.67E-2</v>
      </c>
      <c r="P2224" s="10">
        <f t="shared" si="69"/>
        <v>1.8024999999999999E-2</v>
      </c>
      <c r="Q2224" s="10">
        <f>IF(K2224=0,IF(A2221=A2224,AVERAGE(O2221:O2224),"x"),0)</f>
        <v>1.6250000000000001E-2</v>
      </c>
      <c r="R2224" s="9">
        <f>IF(L2224&gt;2005,AVERAGE(O2221:O2240),0)</f>
        <v>2.0915000000000003E-2</v>
      </c>
      <c r="S2224" s="10">
        <f>IF(A2224=A2225,(N2224-N2225)/N2225,0)</f>
        <v>3.0303030303030328E-2</v>
      </c>
      <c r="T2224" s="10">
        <f>IF(L2224&gt;2005,(((N2224-N2244)/N2244)+1)^(1/5)-1,0)</f>
        <v>3.2324379535307868E-2</v>
      </c>
      <c r="U2224" s="10">
        <f t="shared" si="70"/>
        <v>5.3239379535307871E-2</v>
      </c>
      <c r="V2224" s="26">
        <f t="shared" si="71"/>
        <v>4.7099033446710381</v>
      </c>
      <c r="W2224" s="3">
        <f>IF(A2224=A2225,N2224-N2225,0)</f>
        <v>5.0000000000000044E-3</v>
      </c>
      <c r="X2224" s="10">
        <f>IF(A2224=A2225,(N2224-N2225)/N2225,0)</f>
        <v>3.0303030303030328E-2</v>
      </c>
    </row>
    <row r="2225" spans="1:24" ht="16.5" customHeight="1">
      <c r="A2225" s="3" t="s">
        <v>48</v>
      </c>
      <c r="B2225" s="3">
        <f t="shared" si="64"/>
        <v>2016</v>
      </c>
      <c r="C2225" s="3">
        <f t="shared" si="65"/>
        <v>10</v>
      </c>
      <c r="D2225" s="20" t="str">
        <f t="shared" si="66"/>
        <v>ABM201610</v>
      </c>
      <c r="E2225" s="2">
        <v>42647</v>
      </c>
      <c r="F2225" s="3">
        <v>0.16500000000000001</v>
      </c>
      <c r="G2225" s="2">
        <v>42681</v>
      </c>
      <c r="H2225" s="3">
        <v>1.6500000000000001E-2</v>
      </c>
      <c r="I2225" s="3">
        <v>0</v>
      </c>
      <c r="J2225" s="3">
        <v>0</v>
      </c>
      <c r="K2225" s="3">
        <f t="shared" si="67"/>
        <v>2016</v>
      </c>
      <c r="L2225" s="3">
        <f t="shared" si="68"/>
        <v>0</v>
      </c>
      <c r="M2225" s="20" t="str">
        <f>A2225&amp;L2225</f>
        <v>ABM0</v>
      </c>
      <c r="N2225" s="3">
        <f>F2225</f>
        <v>0.16500000000000001</v>
      </c>
      <c r="O2225" s="9">
        <f>H2225</f>
        <v>1.6500000000000001E-2</v>
      </c>
      <c r="P2225" s="10">
        <f t="shared" si="69"/>
        <v>0</v>
      </c>
      <c r="Q2225" s="10">
        <f>IF(K2225=0,IF(A2222=A2225,AVERAGE(O2222:O2225),"x"),0)</f>
        <v>0</v>
      </c>
      <c r="R2225" s="9">
        <f>IF(L2225&gt;2005,AVERAGE(O2222:O2241),0)</f>
        <v>0</v>
      </c>
      <c r="S2225" s="10">
        <f>IF(A2225=A2226,(N2225-N2226)/N2226,0)</f>
        <v>0</v>
      </c>
      <c r="T2225" s="10">
        <f>IF(L2225&gt;2005,(((N2225-N2245)/N2245)+1)^(1/5)-1,0)</f>
        <v>0</v>
      </c>
      <c r="U2225" s="10">
        <f t="shared" si="70"/>
        <v>0</v>
      </c>
      <c r="V2225" s="26">
        <f t="shared" si="71"/>
        <v>0</v>
      </c>
      <c r="W2225" s="3">
        <f>IF(A2225=A2226,N2225-N2226,0)</f>
        <v>0</v>
      </c>
      <c r="X2225" s="10">
        <f>IF(A2225=A2226,(N2225-N2226)/N2226,0)</f>
        <v>0</v>
      </c>
    </row>
    <row r="2226" spans="1:24" ht="16.5" customHeight="1">
      <c r="A2226" s="3" t="s">
        <v>48</v>
      </c>
      <c r="B2226" s="3">
        <f t="shared" si="64"/>
        <v>2016</v>
      </c>
      <c r="C2226" s="3">
        <f t="shared" si="65"/>
        <v>7</v>
      </c>
      <c r="D2226" s="20" t="str">
        <f t="shared" si="66"/>
        <v>ABM20167</v>
      </c>
      <c r="E2226" s="2">
        <v>42556</v>
      </c>
      <c r="F2226" s="3">
        <v>0.16500000000000001</v>
      </c>
      <c r="G2226" s="2">
        <v>42583</v>
      </c>
      <c r="H2226" s="3">
        <v>1.8200000000000001E-2</v>
      </c>
      <c r="I2226" s="3">
        <v>0</v>
      </c>
      <c r="J2226" s="3">
        <v>0</v>
      </c>
      <c r="K2226" s="3">
        <f t="shared" si="67"/>
        <v>2016</v>
      </c>
      <c r="L2226" s="3">
        <f t="shared" si="68"/>
        <v>0</v>
      </c>
      <c r="M2226" s="20" t="str">
        <f>A2226&amp;L2226</f>
        <v>ABM0</v>
      </c>
      <c r="N2226" s="3">
        <f>F2226</f>
        <v>0.16500000000000001</v>
      </c>
      <c r="O2226" s="9">
        <f>H2226</f>
        <v>1.8200000000000001E-2</v>
      </c>
      <c r="P2226" s="10">
        <f t="shared" si="69"/>
        <v>0</v>
      </c>
      <c r="Q2226" s="10">
        <f>IF(K2226=0,IF(A2223=A2226,AVERAGE(O2223:O2226),"x"),0)</f>
        <v>0</v>
      </c>
      <c r="R2226" s="9">
        <f>IF(L2226&gt;2005,AVERAGE(O2223:O2242),0)</f>
        <v>0</v>
      </c>
      <c r="S2226" s="10">
        <f>IF(A2226=A2227,(N2226-N2227)/N2227,0)</f>
        <v>0</v>
      </c>
      <c r="T2226" s="10">
        <f>IF(L2226&gt;2005,(((N2226-N2246)/N2246)+1)^(1/5)-1,0)</f>
        <v>0</v>
      </c>
      <c r="U2226" s="10">
        <f t="shared" si="70"/>
        <v>0</v>
      </c>
      <c r="V2226" s="26">
        <f t="shared" si="71"/>
        <v>0</v>
      </c>
      <c r="W2226" s="3">
        <f>IF(A2226=A2227,N2226-N2227,0)</f>
        <v>0</v>
      </c>
      <c r="X2226" s="10">
        <f>IF(A2226=A2227,(N2226-N2227)/N2227,0)</f>
        <v>0</v>
      </c>
    </row>
    <row r="2227" spans="1:24" ht="16.5" customHeight="1">
      <c r="A2227" s="3" t="s">
        <v>48</v>
      </c>
      <c r="B2227" s="3">
        <f t="shared" si="64"/>
        <v>2016</v>
      </c>
      <c r="C2227" s="3">
        <f t="shared" si="65"/>
        <v>4</v>
      </c>
      <c r="D2227" s="20" t="str">
        <f t="shared" si="66"/>
        <v>ABM20164</v>
      </c>
      <c r="E2227" s="2">
        <v>42465</v>
      </c>
      <c r="F2227" s="3">
        <v>0.16500000000000001</v>
      </c>
      <c r="G2227" s="2">
        <v>42492</v>
      </c>
      <c r="H2227" s="3">
        <v>2.07E-2</v>
      </c>
      <c r="I2227" s="3">
        <v>0</v>
      </c>
      <c r="J2227" s="3">
        <v>0</v>
      </c>
      <c r="K2227" s="3">
        <f t="shared" si="67"/>
        <v>2016</v>
      </c>
      <c r="L2227" s="3">
        <f t="shared" si="68"/>
        <v>0</v>
      </c>
      <c r="M2227" s="20" t="str">
        <f>A2227&amp;L2227</f>
        <v>ABM0</v>
      </c>
      <c r="N2227" s="3">
        <f>F2227</f>
        <v>0.16500000000000001</v>
      </c>
      <c r="O2227" s="9">
        <f>H2227</f>
        <v>2.07E-2</v>
      </c>
      <c r="P2227" s="10">
        <f t="shared" si="69"/>
        <v>0</v>
      </c>
      <c r="Q2227" s="10">
        <f>IF(K2227=0,IF(A2224=A2227,AVERAGE(O2224:O2227),"x"),0)</f>
        <v>0</v>
      </c>
      <c r="R2227" s="9">
        <f>IF(L2227&gt;2005,AVERAGE(O2224:O2243),0)</f>
        <v>0</v>
      </c>
      <c r="S2227" s="10">
        <f>IF(A2227=A2228,(N2227-N2228)/N2228,0)</f>
        <v>0</v>
      </c>
      <c r="T2227" s="10">
        <f>IF(L2227&gt;2005,(((N2227-N2247)/N2247)+1)^(1/5)-1,0)</f>
        <v>0</v>
      </c>
      <c r="U2227" s="10">
        <f t="shared" si="70"/>
        <v>0</v>
      </c>
      <c r="V2227" s="26">
        <f t="shared" si="71"/>
        <v>0</v>
      </c>
      <c r="W2227" s="3">
        <f>IF(A2227=A2228,N2227-N2228,0)</f>
        <v>0</v>
      </c>
      <c r="X2227" s="10">
        <f>IF(A2227=A2228,(N2227-N2228)/N2228,0)</f>
        <v>0</v>
      </c>
    </row>
    <row r="2228" spans="1:24" ht="16.5" customHeight="1">
      <c r="A2228" s="3" t="s">
        <v>48</v>
      </c>
      <c r="B2228" s="3">
        <f t="shared" si="64"/>
        <v>2016</v>
      </c>
      <c r="C2228" s="3">
        <f t="shared" si="65"/>
        <v>1</v>
      </c>
      <c r="D2228" s="20" t="str">
        <f t="shared" si="66"/>
        <v>ABM20161</v>
      </c>
      <c r="E2228" s="2">
        <v>42374</v>
      </c>
      <c r="F2228" s="3">
        <v>0.16500000000000001</v>
      </c>
      <c r="G2228" s="2">
        <v>42401</v>
      </c>
      <c r="H2228" s="3">
        <v>2.3900000000000001E-2</v>
      </c>
      <c r="I2228" s="3">
        <v>3.125E-2</v>
      </c>
      <c r="J2228" s="3">
        <v>5.0000000000000001E-3</v>
      </c>
      <c r="K2228" s="3">
        <f t="shared" si="67"/>
        <v>0</v>
      </c>
      <c r="L2228" s="3">
        <f t="shared" si="68"/>
        <v>2016</v>
      </c>
      <c r="M2228" s="20" t="str">
        <f>A2228&amp;L2228</f>
        <v>ABM2016</v>
      </c>
      <c r="N2228" s="3">
        <f>F2228</f>
        <v>0.16500000000000001</v>
      </c>
      <c r="O2228" s="9">
        <f>H2228</f>
        <v>2.3900000000000001E-2</v>
      </c>
      <c r="P2228" s="10">
        <f t="shared" si="69"/>
        <v>2.1400000000000002E-2</v>
      </c>
      <c r="Q2228" s="10">
        <f>IF(K2228=0,IF(A2225=A2228,AVERAGE(O2225:O2228),"x"),0)</f>
        <v>1.9825000000000002E-2</v>
      </c>
      <c r="R2228" s="9">
        <f>IF(L2228&gt;2005,AVERAGE(O2225:O2244),0)</f>
        <v>2.3215000000000003E-2</v>
      </c>
      <c r="S2228" s="10">
        <f>IF(A2228=A2229,(N2228-N2229)/N2229,0)</f>
        <v>3.1250000000000028E-2</v>
      </c>
      <c r="T2228" s="10">
        <f>IF(L2228&gt;2005,(((N2228-N2248)/N2248)+1)^(1/5)-1,0)</f>
        <v>3.3406482938779236E-2</v>
      </c>
      <c r="U2228" s="10">
        <f t="shared" si="70"/>
        <v>5.6621482938779236E-2</v>
      </c>
      <c r="V2228" s="26">
        <f t="shared" si="71"/>
        <v>4.679932210223499</v>
      </c>
      <c r="W2228" s="3">
        <f>IF(A2228=A2229,N2228-N2229,0)</f>
        <v>5.0000000000000044E-3</v>
      </c>
      <c r="X2228" s="10">
        <f>IF(A2228=A2229,(N2228-N2229)/N2229,0)</f>
        <v>3.1250000000000028E-2</v>
      </c>
    </row>
    <row r="2229" spans="1:24" ht="16.5" customHeight="1">
      <c r="A2229" s="3" t="s">
        <v>48</v>
      </c>
      <c r="B2229" s="3">
        <f t="shared" si="64"/>
        <v>2015</v>
      </c>
      <c r="C2229" s="3">
        <f t="shared" si="65"/>
        <v>9</v>
      </c>
      <c r="D2229" s="20" t="str">
        <f t="shared" si="66"/>
        <v>ABM20159</v>
      </c>
      <c r="E2229" s="2">
        <v>42276</v>
      </c>
      <c r="F2229" s="3">
        <v>0.16</v>
      </c>
      <c r="G2229" s="2">
        <v>42310</v>
      </c>
      <c r="H2229" s="3">
        <v>2.29E-2</v>
      </c>
      <c r="I2229" s="3">
        <v>0</v>
      </c>
      <c r="J2229" s="3">
        <v>0</v>
      </c>
      <c r="K2229" s="3">
        <f t="shared" si="67"/>
        <v>2015</v>
      </c>
      <c r="L2229" s="3">
        <f t="shared" si="68"/>
        <v>0</v>
      </c>
      <c r="M2229" s="20" t="str">
        <f>A2229&amp;L2229</f>
        <v>ABM0</v>
      </c>
      <c r="N2229" s="3">
        <f>F2229</f>
        <v>0.16</v>
      </c>
      <c r="O2229" s="9">
        <f>H2229</f>
        <v>2.29E-2</v>
      </c>
      <c r="P2229" s="10">
        <f t="shared" si="69"/>
        <v>0</v>
      </c>
      <c r="Q2229" s="10">
        <f>IF(K2229=0,IF(A2226=A2229,AVERAGE(O2226:O2229),"x"),0)</f>
        <v>0</v>
      </c>
      <c r="R2229" s="9">
        <f>IF(L2229&gt;2005,AVERAGE(O2226:O2245),0)</f>
        <v>0</v>
      </c>
      <c r="S2229" s="10">
        <f>IF(A2229=A2230,(N2229-N2230)/N2230,0)</f>
        <v>0</v>
      </c>
      <c r="T2229" s="10">
        <f>IF(L2229&gt;2005,(((N2229-N2249)/N2249)+1)^(1/5)-1,0)</f>
        <v>0</v>
      </c>
      <c r="U2229" s="10">
        <f t="shared" si="70"/>
        <v>0</v>
      </c>
      <c r="V2229" s="26">
        <f t="shared" si="71"/>
        <v>0</v>
      </c>
      <c r="W2229" s="3">
        <f>IF(A2229=A2230,N2229-N2230,0)</f>
        <v>0</v>
      </c>
      <c r="X2229" s="10">
        <f>IF(A2229=A2230,(N2229-N2230)/N2230,0)</f>
        <v>0</v>
      </c>
    </row>
    <row r="2230" spans="1:24" ht="16.5" customHeight="1">
      <c r="A2230" s="3" t="s">
        <v>48</v>
      </c>
      <c r="B2230" s="3">
        <f t="shared" si="64"/>
        <v>2015</v>
      </c>
      <c r="C2230" s="3">
        <f t="shared" si="65"/>
        <v>6</v>
      </c>
      <c r="D2230" s="20" t="str">
        <f t="shared" si="66"/>
        <v>ABM20156</v>
      </c>
      <c r="E2230" s="2">
        <v>42185</v>
      </c>
      <c r="F2230" s="3">
        <v>0.16</v>
      </c>
      <c r="G2230" s="2">
        <v>42219</v>
      </c>
      <c r="H2230" s="3">
        <v>1.9300000000000001E-2</v>
      </c>
      <c r="I2230" s="3">
        <v>0</v>
      </c>
      <c r="J2230" s="3">
        <v>0</v>
      </c>
      <c r="K2230" s="3">
        <f t="shared" si="67"/>
        <v>2015</v>
      </c>
      <c r="L2230" s="3">
        <f t="shared" si="68"/>
        <v>0</v>
      </c>
      <c r="M2230" s="20" t="str">
        <f>A2230&amp;L2230</f>
        <v>ABM0</v>
      </c>
      <c r="N2230" s="3">
        <f>F2230</f>
        <v>0.16</v>
      </c>
      <c r="O2230" s="9">
        <f>H2230</f>
        <v>1.9300000000000001E-2</v>
      </c>
      <c r="P2230" s="10">
        <f t="shared" si="69"/>
        <v>0</v>
      </c>
      <c r="Q2230" s="10">
        <f>IF(K2230=0,IF(A2227=A2230,AVERAGE(O2227:O2230),"x"),0)</f>
        <v>0</v>
      </c>
      <c r="R2230" s="9">
        <f>IF(L2230&gt;2005,AVERAGE(O2227:O2246),0)</f>
        <v>0</v>
      </c>
      <c r="S2230" s="10">
        <f>IF(A2230=A2231,(N2230-N2231)/N2231,0)</f>
        <v>0</v>
      </c>
      <c r="T2230" s="10">
        <f>IF(L2230&gt;2005,(((N2230-N2250)/N2250)+1)^(1/5)-1,0)</f>
        <v>0</v>
      </c>
      <c r="U2230" s="10">
        <f t="shared" si="70"/>
        <v>0</v>
      </c>
      <c r="V2230" s="26">
        <f t="shared" si="71"/>
        <v>0</v>
      </c>
      <c r="W2230" s="3">
        <f>IF(A2230=A2231,N2230-N2231,0)</f>
        <v>0</v>
      </c>
      <c r="X2230" s="10">
        <f>IF(A2230=A2231,(N2230-N2231)/N2231,0)</f>
        <v>0</v>
      </c>
    </row>
    <row r="2231" spans="1:24" ht="16.5" customHeight="1">
      <c r="A2231" s="3" t="s">
        <v>48</v>
      </c>
      <c r="B2231" s="3">
        <f t="shared" si="64"/>
        <v>2015</v>
      </c>
      <c r="C2231" s="3">
        <f t="shared" si="65"/>
        <v>3</v>
      </c>
      <c r="D2231" s="20" t="str">
        <f t="shared" si="66"/>
        <v>ABM20153</v>
      </c>
      <c r="E2231" s="2">
        <v>42094</v>
      </c>
      <c r="F2231" s="3">
        <v>0.16</v>
      </c>
      <c r="G2231" s="2">
        <v>42128</v>
      </c>
      <c r="H2231" s="3">
        <v>1.95E-2</v>
      </c>
      <c r="I2231" s="3">
        <v>0</v>
      </c>
      <c r="J2231" s="3">
        <v>0</v>
      </c>
      <c r="K2231" s="3">
        <f t="shared" si="67"/>
        <v>0</v>
      </c>
      <c r="L2231" s="3">
        <f t="shared" si="68"/>
        <v>2015</v>
      </c>
      <c r="M2231" s="20" t="str">
        <f>A2231&amp;L2231</f>
        <v>ABM2015</v>
      </c>
      <c r="N2231" s="3">
        <f>F2231</f>
        <v>0.16</v>
      </c>
      <c r="O2231" s="9">
        <f>H2231</f>
        <v>1.95E-2</v>
      </c>
      <c r="P2231" s="10">
        <f t="shared" si="69"/>
        <v>0</v>
      </c>
      <c r="Q2231" s="10">
        <f>IF(K2231=0,IF(A2228=A2231,AVERAGE(O2228:O2231),"x"),0)</f>
        <v>2.1400000000000002E-2</v>
      </c>
      <c r="R2231" s="9">
        <f>IF(L2231&gt;2005,AVERAGE(O2228:O2247),0)</f>
        <v>2.4265000000000002E-2</v>
      </c>
      <c r="S2231" s="10">
        <f>IF(A2231=A2232,(N2231-N2232)/N2232,0)</f>
        <v>0</v>
      </c>
      <c r="T2231" s="10">
        <f>IF(L2231&gt;2005,(((N2231-N2251)/N2251)+1)^(1/5)-1,0)</f>
        <v>3.4563715943573214E-2</v>
      </c>
      <c r="U2231" s="10">
        <f t="shared" si="70"/>
        <v>5.8828715943573216E-2</v>
      </c>
      <c r="V2231" s="26">
        <f t="shared" si="71"/>
        <v>4.6665722573492125</v>
      </c>
      <c r="W2231" s="3">
        <f>IF(A2231=A2232,N2231-N2232,0)</f>
        <v>0</v>
      </c>
      <c r="X2231" s="10">
        <f>IF(A2231=A2232,(N2231-N2232)/N2232,0)</f>
        <v>0</v>
      </c>
    </row>
    <row r="2232" spans="1:24" ht="16.5" customHeight="1">
      <c r="A2232" s="3" t="s">
        <v>48</v>
      </c>
      <c r="B2232" s="3">
        <f t="shared" si="64"/>
        <v>2014</v>
      </c>
      <c r="C2232" s="3">
        <f t="shared" si="65"/>
        <v>12</v>
      </c>
      <c r="D2232" s="20" t="str">
        <f t="shared" si="66"/>
        <v>ABM201412</v>
      </c>
      <c r="E2232" s="2">
        <v>42003</v>
      </c>
      <c r="F2232" s="3">
        <v>0.16</v>
      </c>
      <c r="G2232" s="2">
        <v>42037</v>
      </c>
      <c r="H2232" s="3">
        <v>2.1299999999999999E-2</v>
      </c>
      <c r="I2232" s="3">
        <v>3.2258065000000002E-2</v>
      </c>
      <c r="J2232" s="3">
        <v>5.0000000000000001E-3</v>
      </c>
      <c r="K2232" s="3">
        <f t="shared" si="67"/>
        <v>2014</v>
      </c>
      <c r="L2232" s="3">
        <f t="shared" si="68"/>
        <v>0</v>
      </c>
      <c r="M2232" s="20" t="str">
        <f>A2232&amp;L2232</f>
        <v>ABM0</v>
      </c>
      <c r="N2232" s="3">
        <f>F2232</f>
        <v>0.16</v>
      </c>
      <c r="O2232" s="9">
        <f>H2232</f>
        <v>2.1299999999999999E-2</v>
      </c>
      <c r="P2232" s="10">
        <f t="shared" si="69"/>
        <v>2.2249999999999999E-2</v>
      </c>
      <c r="Q2232" s="10">
        <f>IF(K2232=0,IF(A2229=A2232,AVERAGE(O2229:O2232),"x"),0)</f>
        <v>0</v>
      </c>
      <c r="R2232" s="9">
        <f>IF(L2232&gt;2005,AVERAGE(O2229:O2248),0)</f>
        <v>0</v>
      </c>
      <c r="S2232" s="10">
        <f>IF(A2232=A2233,(N2232-N2233)/N2233,0)</f>
        <v>3.2258064516129059E-2</v>
      </c>
      <c r="T2232" s="10">
        <f>IF(L2232&gt;2005,(((N2232-N2252)/N2252)+1)^(1/5)-1,0)</f>
        <v>0</v>
      </c>
      <c r="U2232" s="10">
        <f t="shared" si="70"/>
        <v>0</v>
      </c>
      <c r="V2232" s="26">
        <f t="shared" si="71"/>
        <v>0</v>
      </c>
      <c r="W2232" s="3">
        <f>IF(A2232=A2233,N2232-N2233,0)</f>
        <v>5.0000000000000044E-3</v>
      </c>
      <c r="X2232" s="10">
        <f>IF(A2232=A2233,(N2232-N2233)/N2233,0)</f>
        <v>3.2258064516129059E-2</v>
      </c>
    </row>
    <row r="2233" spans="1:24" ht="16.5" customHeight="1">
      <c r="A2233" s="3" t="s">
        <v>48</v>
      </c>
      <c r="B2233" s="3">
        <f t="shared" si="64"/>
        <v>2014</v>
      </c>
      <c r="C2233" s="3">
        <f t="shared" si="65"/>
        <v>9</v>
      </c>
      <c r="D2233" s="20" t="str">
        <f t="shared" si="66"/>
        <v>ABM20149</v>
      </c>
      <c r="E2233" s="2">
        <v>41912</v>
      </c>
      <c r="F2233" s="3">
        <v>0.155</v>
      </c>
      <c r="G2233" s="2">
        <v>41946</v>
      </c>
      <c r="H2233" s="3">
        <v>2.3699999999999999E-2</v>
      </c>
      <c r="I2233" s="3">
        <v>0</v>
      </c>
      <c r="J2233" s="3">
        <v>0</v>
      </c>
      <c r="K2233" s="3">
        <f t="shared" si="67"/>
        <v>2014</v>
      </c>
      <c r="L2233" s="3">
        <f t="shared" si="68"/>
        <v>0</v>
      </c>
      <c r="M2233" s="20" t="str">
        <f>A2233&amp;L2233</f>
        <v>ABM0</v>
      </c>
      <c r="N2233" s="3">
        <f>F2233</f>
        <v>0.155</v>
      </c>
      <c r="O2233" s="9">
        <f>H2233</f>
        <v>2.3699999999999999E-2</v>
      </c>
      <c r="P2233" s="10">
        <f t="shared" si="69"/>
        <v>0</v>
      </c>
      <c r="Q2233" s="10">
        <f>IF(K2233=0,IF(A2230=A2233,AVERAGE(O2230:O2233),"x"),0)</f>
        <v>0</v>
      </c>
      <c r="R2233" s="9">
        <f>IF(L2233&gt;2005,AVERAGE(O2230:O2249),0)</f>
        <v>0</v>
      </c>
      <c r="S2233" s="10">
        <f>IF(A2233=A2234,(N2233-N2234)/N2234,0)</f>
        <v>0</v>
      </c>
      <c r="T2233" s="10">
        <f>IF(L2233&gt;2005,(((N2233-N2253)/N2253)+1)^(1/5)-1,0)</f>
        <v>0</v>
      </c>
      <c r="U2233" s="10">
        <f t="shared" si="70"/>
        <v>0</v>
      </c>
      <c r="V2233" s="26">
        <f t="shared" si="71"/>
        <v>0</v>
      </c>
      <c r="W2233" s="3">
        <f>IF(A2233=A2234,N2233-N2234,0)</f>
        <v>0</v>
      </c>
      <c r="X2233" s="10">
        <f>IF(A2233=A2234,(N2233-N2234)/N2234,0)</f>
        <v>0</v>
      </c>
    </row>
    <row r="2234" spans="1:24" ht="16.5" customHeight="1">
      <c r="A2234" s="3" t="s">
        <v>48</v>
      </c>
      <c r="B2234" s="3">
        <f t="shared" si="64"/>
        <v>2014</v>
      </c>
      <c r="C2234" s="3">
        <f t="shared" si="65"/>
        <v>7</v>
      </c>
      <c r="D2234" s="20" t="str">
        <f t="shared" si="66"/>
        <v>ABM20147</v>
      </c>
      <c r="E2234" s="2">
        <v>41821</v>
      </c>
      <c r="F2234" s="3">
        <v>0.155</v>
      </c>
      <c r="G2234" s="2">
        <v>41855</v>
      </c>
      <c r="H2234" s="3">
        <v>2.2800000000000001E-2</v>
      </c>
      <c r="I2234" s="3">
        <v>0</v>
      </c>
      <c r="J2234" s="3">
        <v>0</v>
      </c>
      <c r="K2234" s="3">
        <f t="shared" si="67"/>
        <v>2014</v>
      </c>
      <c r="L2234" s="3">
        <f t="shared" si="68"/>
        <v>0</v>
      </c>
      <c r="M2234" s="20" t="str">
        <f>A2234&amp;L2234</f>
        <v>ABM0</v>
      </c>
      <c r="N2234" s="3">
        <f>F2234</f>
        <v>0.155</v>
      </c>
      <c r="O2234" s="9">
        <f>H2234</f>
        <v>2.2800000000000001E-2</v>
      </c>
      <c r="P2234" s="10">
        <f t="shared" si="69"/>
        <v>0</v>
      </c>
      <c r="Q2234" s="10">
        <f>IF(K2234=0,IF(A2231=A2234,AVERAGE(O2231:O2234),"x"),0)</f>
        <v>0</v>
      </c>
      <c r="R2234" s="9">
        <f>IF(L2234&gt;2005,AVERAGE(O2231:O2250),0)</f>
        <v>0</v>
      </c>
      <c r="S2234" s="10">
        <f>IF(A2234=A2235,(N2234-N2235)/N2235,0)</f>
        <v>0</v>
      </c>
      <c r="T2234" s="10">
        <f>IF(L2234&gt;2005,(((N2234-N2254)/N2254)+1)^(1/5)-1,0)</f>
        <v>0</v>
      </c>
      <c r="U2234" s="10">
        <f t="shared" si="70"/>
        <v>0</v>
      </c>
      <c r="V2234" s="26">
        <f t="shared" si="71"/>
        <v>0</v>
      </c>
      <c r="W2234" s="3">
        <f>IF(A2234=A2235,N2234-N2235,0)</f>
        <v>0</v>
      </c>
      <c r="X2234" s="10">
        <f>IF(A2234=A2235,(N2234-N2235)/N2235,0)</f>
        <v>0</v>
      </c>
    </row>
    <row r="2235" spans="1:24" ht="16.5" customHeight="1">
      <c r="A2235" s="3" t="s">
        <v>48</v>
      </c>
      <c r="B2235" s="3">
        <f t="shared" si="64"/>
        <v>2014</v>
      </c>
      <c r="C2235" s="3">
        <f t="shared" si="65"/>
        <v>4</v>
      </c>
      <c r="D2235" s="20" t="str">
        <f t="shared" si="66"/>
        <v>ABM20144</v>
      </c>
      <c r="E2235" s="2">
        <v>41730</v>
      </c>
      <c r="F2235" s="3">
        <v>0.155</v>
      </c>
      <c r="G2235" s="2">
        <v>41764</v>
      </c>
      <c r="H2235" s="3">
        <v>2.12E-2</v>
      </c>
      <c r="I2235" s="3">
        <v>0</v>
      </c>
      <c r="J2235" s="3">
        <v>0</v>
      </c>
      <c r="K2235" s="3">
        <f t="shared" si="67"/>
        <v>0</v>
      </c>
      <c r="L2235" s="3">
        <f t="shared" si="68"/>
        <v>2014</v>
      </c>
      <c r="M2235" s="20" t="str">
        <f>A2235&amp;L2235</f>
        <v>ABM2014</v>
      </c>
      <c r="N2235" s="3">
        <f>F2235</f>
        <v>0.155</v>
      </c>
      <c r="O2235" s="9">
        <f>H2235</f>
        <v>2.12E-2</v>
      </c>
      <c r="P2235" s="10">
        <f t="shared" si="69"/>
        <v>0</v>
      </c>
      <c r="Q2235" s="10">
        <f>IF(K2235=0,IF(A2232=A2235,AVERAGE(O2232:O2235),"x"),0)</f>
        <v>2.2249999999999999E-2</v>
      </c>
      <c r="R2235" s="9">
        <f>IF(L2235&gt;2005,AVERAGE(O2232:O2251),0)</f>
        <v>2.4730000000000002E-2</v>
      </c>
      <c r="S2235" s="10">
        <f>IF(A2235=A2236,(N2235-N2236)/N2236,0)</f>
        <v>0</v>
      </c>
      <c r="T2235" s="10">
        <f>IF(L2235&gt;2005,(((N2235-N2255)/N2255)+1)^(1/5)-1,0)</f>
        <v>3.5804203580214189E-2</v>
      </c>
      <c r="U2235" s="10">
        <f t="shared" si="70"/>
        <v>6.0534203580214191E-2</v>
      </c>
      <c r="V2235" s="26">
        <f t="shared" si="71"/>
        <v>4.6609100115073234</v>
      </c>
      <c r="W2235" s="3">
        <f>IF(A2235=A2236,N2235-N2236,0)</f>
        <v>0</v>
      </c>
      <c r="X2235" s="10">
        <f>IF(A2235=A2236,(N2235-N2236)/N2236,0)</f>
        <v>0</v>
      </c>
    </row>
    <row r="2236" spans="1:24" ht="16.5" customHeight="1">
      <c r="A2236" s="3" t="s">
        <v>48</v>
      </c>
      <c r="B2236" s="3">
        <f t="shared" si="64"/>
        <v>2013</v>
      </c>
      <c r="C2236" s="3">
        <f t="shared" si="65"/>
        <v>12</v>
      </c>
      <c r="D2236" s="20" t="str">
        <f t="shared" si="66"/>
        <v>ABM201312</v>
      </c>
      <c r="E2236" s="2">
        <v>41638</v>
      </c>
      <c r="F2236" s="3">
        <v>0.155</v>
      </c>
      <c r="G2236" s="2">
        <v>41673</v>
      </c>
      <c r="H2236" s="3">
        <v>2.1100000000000001E-2</v>
      </c>
      <c r="I2236" s="3">
        <v>3.3333333E-2</v>
      </c>
      <c r="J2236" s="3">
        <v>5.0000000000000001E-3</v>
      </c>
      <c r="K2236" s="3">
        <f t="shared" si="67"/>
        <v>2013</v>
      </c>
      <c r="L2236" s="3">
        <f t="shared" si="68"/>
        <v>0</v>
      </c>
      <c r="M2236" s="20" t="str">
        <f>A2236&amp;L2236</f>
        <v>ABM0</v>
      </c>
      <c r="N2236" s="3">
        <f>F2236</f>
        <v>0.155</v>
      </c>
      <c r="O2236" s="9">
        <f>H2236</f>
        <v>2.1100000000000001E-2</v>
      </c>
      <c r="P2236" s="10">
        <f t="shared" si="69"/>
        <v>2.3699999999999999E-2</v>
      </c>
      <c r="Q2236" s="10">
        <f>IF(K2236=0,IF(A2233=A2236,AVERAGE(O2233:O2236),"x"),0)</f>
        <v>0</v>
      </c>
      <c r="R2236" s="9">
        <f>IF(L2236&gt;2005,AVERAGE(O2233:O2252),0)</f>
        <v>0</v>
      </c>
      <c r="S2236" s="10">
        <f>IF(A2236=A2237,(N2236-N2237)/N2237,0)</f>
        <v>3.3333333333333368E-2</v>
      </c>
      <c r="T2236" s="10">
        <f>IF(L2236&gt;2005,(((N2236-N2256)/N2256)+1)^(1/5)-1,0)</f>
        <v>0</v>
      </c>
      <c r="U2236" s="10">
        <f t="shared" si="70"/>
        <v>0</v>
      </c>
      <c r="V2236" s="26">
        <f t="shared" si="71"/>
        <v>0</v>
      </c>
      <c r="W2236" s="3">
        <f>IF(A2236=A2237,N2236-N2237,0)</f>
        <v>5.0000000000000044E-3</v>
      </c>
      <c r="X2236" s="10">
        <f>IF(A2236=A2237,(N2236-N2237)/N2237,0)</f>
        <v>3.3333333333333368E-2</v>
      </c>
    </row>
    <row r="2237" spans="1:24" ht="16.5" customHeight="1">
      <c r="A2237" s="3" t="s">
        <v>48</v>
      </c>
      <c r="B2237" s="3">
        <f t="shared" si="64"/>
        <v>2013</v>
      </c>
      <c r="C2237" s="3">
        <f t="shared" si="65"/>
        <v>10</v>
      </c>
      <c r="D2237" s="20" t="str">
        <f t="shared" si="66"/>
        <v>ABM201310</v>
      </c>
      <c r="E2237" s="2">
        <v>41548</v>
      </c>
      <c r="F2237" s="3">
        <v>0.15</v>
      </c>
      <c r="G2237" s="2">
        <v>41582</v>
      </c>
      <c r="H2237" s="3">
        <v>2.2499999999999999E-2</v>
      </c>
      <c r="I2237" s="3">
        <v>0</v>
      </c>
      <c r="J2237" s="3">
        <v>0</v>
      </c>
      <c r="K2237" s="3">
        <f t="shared" si="67"/>
        <v>2013</v>
      </c>
      <c r="L2237" s="3">
        <f t="shared" si="68"/>
        <v>0</v>
      </c>
      <c r="M2237" s="20" t="str">
        <f>A2237&amp;L2237</f>
        <v>ABM0</v>
      </c>
      <c r="N2237" s="3">
        <f>F2237</f>
        <v>0.15</v>
      </c>
      <c r="O2237" s="9">
        <f>H2237</f>
        <v>2.2499999999999999E-2</v>
      </c>
      <c r="P2237" s="10">
        <f t="shared" si="69"/>
        <v>0</v>
      </c>
      <c r="Q2237" s="10">
        <f>IF(K2237=0,IF(A2234=A2237,AVERAGE(O2234:O2237),"x"),0)</f>
        <v>0</v>
      </c>
      <c r="R2237" s="9">
        <f>IF(L2237&gt;2005,AVERAGE(O2234:O2253),0)</f>
        <v>0</v>
      </c>
      <c r="S2237" s="10">
        <f>IF(A2237=A2238,(N2237-N2238)/N2238,0)</f>
        <v>0</v>
      </c>
      <c r="T2237" s="10">
        <f>IF(L2237&gt;2005,(((N2237-N2257)/N2257)+1)^(1/5)-1,0)</f>
        <v>0</v>
      </c>
      <c r="U2237" s="10">
        <f t="shared" si="70"/>
        <v>0</v>
      </c>
      <c r="V2237" s="26">
        <f t="shared" si="71"/>
        <v>0</v>
      </c>
      <c r="W2237" s="3">
        <f>IF(A2237=A2238,N2237-N2238,0)</f>
        <v>0</v>
      </c>
      <c r="X2237" s="10">
        <f>IF(A2237=A2238,(N2237-N2238)/N2238,0)</f>
        <v>0</v>
      </c>
    </row>
    <row r="2238" spans="1:24" ht="16.5" customHeight="1">
      <c r="A2238" s="3" t="s">
        <v>48</v>
      </c>
      <c r="B2238" s="3">
        <f t="shared" si="64"/>
        <v>2013</v>
      </c>
      <c r="C2238" s="3">
        <f t="shared" si="65"/>
        <v>7</v>
      </c>
      <c r="D2238" s="20" t="str">
        <f t="shared" si="66"/>
        <v>ABM20137</v>
      </c>
      <c r="E2238" s="2">
        <v>41457</v>
      </c>
      <c r="F2238" s="3">
        <v>0.15</v>
      </c>
      <c r="G2238" s="2">
        <v>41491</v>
      </c>
      <c r="H2238" s="3">
        <v>2.41E-2</v>
      </c>
      <c r="I2238" s="3">
        <v>0</v>
      </c>
      <c r="J2238" s="3">
        <v>0</v>
      </c>
      <c r="K2238" s="3">
        <f t="shared" si="67"/>
        <v>2013</v>
      </c>
      <c r="L2238" s="3">
        <f t="shared" si="68"/>
        <v>0</v>
      </c>
      <c r="M2238" s="20" t="str">
        <f>A2238&amp;L2238</f>
        <v>ABM0</v>
      </c>
      <c r="N2238" s="3">
        <f>F2238</f>
        <v>0.15</v>
      </c>
      <c r="O2238" s="9">
        <f>H2238</f>
        <v>2.41E-2</v>
      </c>
      <c r="P2238" s="10">
        <f t="shared" si="69"/>
        <v>0</v>
      </c>
      <c r="Q2238" s="10">
        <f>IF(K2238=0,IF(A2235=A2238,AVERAGE(O2235:O2238),"x"),0)</f>
        <v>0</v>
      </c>
      <c r="R2238" s="9">
        <f>IF(L2238&gt;2005,AVERAGE(O2235:O2254),0)</f>
        <v>0</v>
      </c>
      <c r="S2238" s="10">
        <f>IF(A2238=A2239,(N2238-N2239)/N2239,0)</f>
        <v>0</v>
      </c>
      <c r="T2238" s="10">
        <f>IF(L2238&gt;2005,(((N2238-N2258)/N2258)+1)^(1/5)-1,0)</f>
        <v>0</v>
      </c>
      <c r="U2238" s="10">
        <f t="shared" si="70"/>
        <v>0</v>
      </c>
      <c r="V2238" s="26">
        <f t="shared" si="71"/>
        <v>0</v>
      </c>
      <c r="W2238" s="3">
        <f>IF(A2238=A2239,N2238-N2239,0)</f>
        <v>0</v>
      </c>
      <c r="X2238" s="10">
        <f>IF(A2238=A2239,(N2238-N2239)/N2239,0)</f>
        <v>0</v>
      </c>
    </row>
    <row r="2239" spans="1:24" ht="16.5" customHeight="1">
      <c r="A2239" s="3" t="s">
        <v>48</v>
      </c>
      <c r="B2239" s="3">
        <f t="shared" si="64"/>
        <v>2013</v>
      </c>
      <c r="C2239" s="3">
        <f t="shared" si="65"/>
        <v>4</v>
      </c>
      <c r="D2239" s="20" t="str">
        <f t="shared" si="66"/>
        <v>ABM20134</v>
      </c>
      <c r="E2239" s="2">
        <v>41366</v>
      </c>
      <c r="F2239" s="3">
        <v>0.15</v>
      </c>
      <c r="G2239" s="2">
        <v>41400</v>
      </c>
      <c r="H2239" s="3">
        <v>2.7099999999999999E-2</v>
      </c>
      <c r="I2239" s="3">
        <v>0</v>
      </c>
      <c r="J2239" s="3">
        <v>0</v>
      </c>
      <c r="K2239" s="3">
        <f t="shared" si="67"/>
        <v>0</v>
      </c>
      <c r="L2239" s="3">
        <f t="shared" si="68"/>
        <v>2013</v>
      </c>
      <c r="M2239" s="20" t="str">
        <f>A2239&amp;L2239</f>
        <v>ABM2013</v>
      </c>
      <c r="N2239" s="3">
        <f>F2239</f>
        <v>0.15</v>
      </c>
      <c r="O2239" s="9">
        <f>H2239</f>
        <v>2.7099999999999999E-2</v>
      </c>
      <c r="P2239" s="10">
        <f t="shared" si="69"/>
        <v>0</v>
      </c>
      <c r="Q2239" s="10">
        <f>IF(K2239=0,IF(A2236=A2239,AVERAGE(O2236:O2239),"x"),0)</f>
        <v>2.3699999999999999E-2</v>
      </c>
      <c r="R2239" s="9">
        <f>IF(L2239&gt;2005,AVERAGE(O2236:O2255),0)</f>
        <v>2.5745000000000001E-2</v>
      </c>
      <c r="S2239" s="10">
        <f>IF(A2239=A2240,(N2239-N2240)/N2240,0)</f>
        <v>0</v>
      </c>
      <c r="T2239" s="10">
        <f>IF(L2239&gt;2005,(((N2239-N2259)/N2259)+1)^(1/5)-1,0)</f>
        <v>3.7137289336648172E-2</v>
      </c>
      <c r="U2239" s="10">
        <f t="shared" si="70"/>
        <v>6.2882289336648176E-2</v>
      </c>
      <c r="V2239" s="26">
        <f t="shared" si="71"/>
        <v>4.6481947780146147</v>
      </c>
      <c r="W2239" s="3">
        <f>IF(A2239=A2240,N2239-N2240,0)</f>
        <v>0</v>
      </c>
      <c r="X2239" s="10">
        <f>IF(A2239=A2240,(N2239-N2240)/N2240,0)</f>
        <v>0</v>
      </c>
    </row>
    <row r="2240" spans="1:24" ht="16.5" customHeight="1">
      <c r="A2240" s="3" t="s">
        <v>48</v>
      </c>
      <c r="B2240" s="3">
        <f t="shared" si="64"/>
        <v>2012</v>
      </c>
      <c r="C2240" s="3">
        <f t="shared" si="65"/>
        <v>12</v>
      </c>
      <c r="D2240" s="20" t="str">
        <f t="shared" si="66"/>
        <v>ABM201212</v>
      </c>
      <c r="E2240" s="2">
        <v>41262</v>
      </c>
      <c r="F2240" s="3">
        <v>0.15</v>
      </c>
      <c r="G2240" s="2">
        <v>41271</v>
      </c>
      <c r="H2240" s="3">
        <v>2.8500000000000001E-2</v>
      </c>
      <c r="I2240" s="3">
        <v>3.4482759000000002E-2</v>
      </c>
      <c r="J2240" s="3">
        <v>5.0000000000000001E-3</v>
      </c>
      <c r="K2240" s="3">
        <f t="shared" si="67"/>
        <v>2012</v>
      </c>
      <c r="L2240" s="3">
        <f t="shared" si="68"/>
        <v>0</v>
      </c>
      <c r="M2240" s="20" t="str">
        <f>A2240&amp;L2240</f>
        <v>ABM0</v>
      </c>
      <c r="N2240" s="3">
        <f>F2240</f>
        <v>0.15</v>
      </c>
      <c r="O2240" s="9">
        <f>H2240</f>
        <v>2.8500000000000001E-2</v>
      </c>
      <c r="P2240" s="10">
        <f t="shared" si="69"/>
        <v>2.8025000000000001E-2</v>
      </c>
      <c r="Q2240" s="10">
        <f>IF(K2240=0,IF(A2237=A2240,AVERAGE(O2237:O2240),"x"),0)</f>
        <v>0</v>
      </c>
      <c r="R2240" s="9">
        <f>IF(L2240&gt;2005,AVERAGE(O2237:O2256),0)</f>
        <v>0</v>
      </c>
      <c r="S2240" s="10">
        <f>IF(A2240=A2241,(N2240-N2241)/N2241,0)</f>
        <v>3.4482758620689689E-2</v>
      </c>
      <c r="T2240" s="10">
        <f>IF(L2240&gt;2005,(((N2240-N2260)/N2260)+1)^(1/5)-1,0)</f>
        <v>0</v>
      </c>
      <c r="U2240" s="10">
        <f t="shared" si="70"/>
        <v>0</v>
      </c>
      <c r="V2240" s="26">
        <f t="shared" si="71"/>
        <v>0</v>
      </c>
      <c r="W2240" s="3">
        <f>IF(A2240=A2241,N2240-N2241,0)</f>
        <v>5.0000000000000044E-3</v>
      </c>
      <c r="X2240" s="10">
        <f>IF(A2240=A2241,(N2240-N2241)/N2241,0)</f>
        <v>3.4482758620689689E-2</v>
      </c>
    </row>
    <row r="2241" spans="1:24" ht="16.5" customHeight="1">
      <c r="A2241" s="3" t="s">
        <v>48</v>
      </c>
      <c r="B2241" s="3">
        <f t="shared" si="64"/>
        <v>2012</v>
      </c>
      <c r="C2241" s="3">
        <f t="shared" si="65"/>
        <v>10</v>
      </c>
      <c r="D2241" s="20" t="str">
        <f t="shared" si="66"/>
        <v>ABM201210</v>
      </c>
      <c r="E2241" s="2">
        <v>41184</v>
      </c>
      <c r="F2241" s="3">
        <v>0.14499999999999999</v>
      </c>
      <c r="G2241" s="2">
        <v>41218</v>
      </c>
      <c r="H2241" s="3">
        <v>3.0700000000000002E-2</v>
      </c>
      <c r="I2241" s="3">
        <v>0</v>
      </c>
      <c r="J2241" s="3">
        <v>0</v>
      </c>
      <c r="K2241" s="3">
        <f t="shared" si="67"/>
        <v>2012</v>
      </c>
      <c r="L2241" s="3">
        <f t="shared" si="68"/>
        <v>0</v>
      </c>
      <c r="M2241" s="20" t="str">
        <f>A2241&amp;L2241</f>
        <v>ABM0</v>
      </c>
      <c r="N2241" s="3">
        <f>F2241</f>
        <v>0.14499999999999999</v>
      </c>
      <c r="O2241" s="9">
        <f>H2241</f>
        <v>3.0700000000000002E-2</v>
      </c>
      <c r="P2241" s="10">
        <f t="shared" si="69"/>
        <v>0</v>
      </c>
      <c r="Q2241" s="10">
        <f>IF(K2241=0,IF(A2238=A2241,AVERAGE(O2238:O2241),"x"),0)</f>
        <v>0</v>
      </c>
      <c r="R2241" s="9">
        <f>IF(L2241&gt;2005,AVERAGE(O2238:O2257),0)</f>
        <v>0</v>
      </c>
      <c r="S2241" s="10">
        <f>IF(A2241=A2242,(N2241-N2242)/N2242,0)</f>
        <v>0</v>
      </c>
      <c r="T2241" s="10">
        <f>IF(L2241&gt;2005,(((N2241-N2261)/N2261)+1)^(1/5)-1,0)</f>
        <v>0</v>
      </c>
      <c r="U2241" s="10">
        <f t="shared" si="70"/>
        <v>0</v>
      </c>
      <c r="V2241" s="26">
        <f t="shared" si="71"/>
        <v>0</v>
      </c>
      <c r="W2241" s="3">
        <f>IF(A2241=A2242,N2241-N2242,0)</f>
        <v>0</v>
      </c>
      <c r="X2241" s="10">
        <f>IF(A2241=A2242,(N2241-N2242)/N2242,0)</f>
        <v>0</v>
      </c>
    </row>
    <row r="2242" spans="1:24" ht="16.5" customHeight="1">
      <c r="A2242" s="3" t="s">
        <v>48</v>
      </c>
      <c r="B2242" s="3">
        <f t="shared" si="64"/>
        <v>2012</v>
      </c>
      <c r="C2242" s="3">
        <f t="shared" si="65"/>
        <v>7</v>
      </c>
      <c r="D2242" s="20" t="str">
        <f t="shared" si="66"/>
        <v>ABM20127</v>
      </c>
      <c r="E2242" s="2">
        <v>41092</v>
      </c>
      <c r="F2242" s="3">
        <v>0.14499999999999999</v>
      </c>
      <c r="G2242" s="2">
        <v>41127</v>
      </c>
      <c r="H2242" s="3">
        <v>2.9399999999999999E-2</v>
      </c>
      <c r="I2242" s="3">
        <v>0</v>
      </c>
      <c r="J2242" s="3">
        <v>0</v>
      </c>
      <c r="K2242" s="3">
        <f t="shared" si="67"/>
        <v>2012</v>
      </c>
      <c r="L2242" s="3">
        <f t="shared" si="68"/>
        <v>0</v>
      </c>
      <c r="M2242" s="20" t="str">
        <f>A2242&amp;L2242</f>
        <v>ABM0</v>
      </c>
      <c r="N2242" s="3">
        <f>F2242</f>
        <v>0.14499999999999999</v>
      </c>
      <c r="O2242" s="9">
        <f>H2242</f>
        <v>2.9399999999999999E-2</v>
      </c>
      <c r="P2242" s="10">
        <f t="shared" si="69"/>
        <v>0</v>
      </c>
      <c r="Q2242" s="10">
        <f>IF(K2242=0,IF(A2239=A2242,AVERAGE(O2239:O2242),"x"),0)</f>
        <v>0</v>
      </c>
      <c r="R2242" s="9">
        <f>IF(L2242&gt;2005,AVERAGE(O2239:O2258),0)</f>
        <v>0</v>
      </c>
      <c r="S2242" s="10">
        <f>IF(A2242=A2243,(N2242-N2243)/N2243,0)</f>
        <v>0</v>
      </c>
      <c r="T2242" s="10">
        <f>IF(L2242&gt;2005,(((N2242-N2262)/N2262)+1)^(1/5)-1,0)</f>
        <v>0</v>
      </c>
      <c r="U2242" s="10">
        <f t="shared" si="70"/>
        <v>0</v>
      </c>
      <c r="V2242" s="26">
        <f t="shared" si="71"/>
        <v>0</v>
      </c>
      <c r="W2242" s="3">
        <f>IF(A2242=A2243,N2242-N2243,0)</f>
        <v>0</v>
      </c>
      <c r="X2242" s="10">
        <f>IF(A2242=A2243,(N2242-N2243)/N2243,0)</f>
        <v>0</v>
      </c>
    </row>
    <row r="2243" spans="1:24" ht="16.5" customHeight="1">
      <c r="A2243" s="3" t="s">
        <v>48</v>
      </c>
      <c r="B2243" s="3">
        <f t="shared" si="64"/>
        <v>2012</v>
      </c>
      <c r="C2243" s="3">
        <f t="shared" si="65"/>
        <v>4</v>
      </c>
      <c r="D2243" s="20" t="str">
        <f t="shared" si="66"/>
        <v>ABM20124</v>
      </c>
      <c r="E2243" s="2">
        <v>41002</v>
      </c>
      <c r="F2243" s="3">
        <v>0.14499999999999999</v>
      </c>
      <c r="G2243" s="2">
        <v>41036</v>
      </c>
      <c r="H2243" s="3">
        <v>2.35E-2</v>
      </c>
      <c r="I2243" s="3">
        <v>0</v>
      </c>
      <c r="J2243" s="3">
        <v>0</v>
      </c>
      <c r="K2243" s="3">
        <f t="shared" si="67"/>
        <v>2012</v>
      </c>
      <c r="L2243" s="3">
        <f t="shared" si="68"/>
        <v>0</v>
      </c>
      <c r="M2243" s="20" t="str">
        <f>A2243&amp;L2243</f>
        <v>ABM0</v>
      </c>
      <c r="N2243" s="3">
        <f>F2243</f>
        <v>0.14499999999999999</v>
      </c>
      <c r="O2243" s="9">
        <f>H2243</f>
        <v>2.35E-2</v>
      </c>
      <c r="P2243" s="10">
        <f t="shared" si="69"/>
        <v>0</v>
      </c>
      <c r="Q2243" s="10">
        <f>IF(K2243=0,IF(A2240=A2243,AVERAGE(O2240:O2243),"x"),0)</f>
        <v>0</v>
      </c>
      <c r="R2243" s="9">
        <f>IF(L2243&gt;2005,AVERAGE(O2240:O2259),0)</f>
        <v>0</v>
      </c>
      <c r="S2243" s="10">
        <f>IF(A2243=A2244,(N2243-N2244)/N2244,0)</f>
        <v>0</v>
      </c>
      <c r="T2243" s="10">
        <f>IF(L2243&gt;2005,(((N2243-N2263)/N2263)+1)^(1/5)-1,0)</f>
        <v>0</v>
      </c>
      <c r="U2243" s="10">
        <f t="shared" si="70"/>
        <v>0</v>
      </c>
      <c r="V2243" s="26">
        <f t="shared" si="71"/>
        <v>0</v>
      </c>
      <c r="W2243" s="3">
        <f>IF(A2243=A2244,N2243-N2244,0)</f>
        <v>0</v>
      </c>
      <c r="X2243" s="10">
        <f>IF(A2243=A2244,(N2243-N2244)/N2244,0)</f>
        <v>0</v>
      </c>
    </row>
    <row r="2244" spans="1:24" ht="16.5" customHeight="1">
      <c r="A2244" s="3" t="s">
        <v>48</v>
      </c>
      <c r="B2244" s="3">
        <f t="shared" si="64"/>
        <v>2012</v>
      </c>
      <c r="C2244" s="3">
        <f t="shared" si="65"/>
        <v>1</v>
      </c>
      <c r="D2244" s="20" t="str">
        <f t="shared" si="66"/>
        <v>ABM20121</v>
      </c>
      <c r="E2244" s="2">
        <v>40911</v>
      </c>
      <c r="F2244" s="3">
        <v>0.14499999999999999</v>
      </c>
      <c r="G2244" s="2">
        <v>40945</v>
      </c>
      <c r="H2244" s="3">
        <v>2.7400000000000001E-2</v>
      </c>
      <c r="I2244" s="3">
        <v>3.5714285999999998E-2</v>
      </c>
      <c r="J2244" s="3">
        <v>5.0000000000000001E-3</v>
      </c>
      <c r="K2244" s="3">
        <f t="shared" si="67"/>
        <v>0</v>
      </c>
      <c r="L2244" s="3">
        <f t="shared" si="68"/>
        <v>2012</v>
      </c>
      <c r="M2244" s="20" t="str">
        <f>A2244&amp;L2244</f>
        <v>ABM2012</v>
      </c>
      <c r="N2244" s="3">
        <f>F2244</f>
        <v>0.14499999999999999</v>
      </c>
      <c r="O2244" s="9">
        <f>H2244</f>
        <v>2.7400000000000001E-2</v>
      </c>
      <c r="P2244" s="10">
        <f t="shared" si="69"/>
        <v>2.5950000000000001E-2</v>
      </c>
      <c r="Q2244" s="10">
        <f>IF(K2244=0,IF(A2241=A2244,AVERAGE(O2241:O2244),"x"),0)</f>
        <v>2.7750000000000004E-2</v>
      </c>
      <c r="R2244" s="9">
        <f>IF(L2244&gt;2005,AVERAGE(O2241:O2260),0)</f>
        <v>2.5645000000000001E-2</v>
      </c>
      <c r="S2244" s="10">
        <f>IF(A2244=A2245,(N2244-N2245)/N2245,0)</f>
        <v>3.5714285714285546E-2</v>
      </c>
      <c r="T2244" s="10">
        <f>IF(L2244&gt;2005,(((N2244-N2264)/N2264)+1)^(1/5)-1,0)</f>
        <v>3.8573773084258578E-2</v>
      </c>
      <c r="U2244" s="10">
        <f t="shared" si="70"/>
        <v>6.4218773084258579E-2</v>
      </c>
      <c r="V2244" s="26">
        <f t="shared" si="71"/>
        <v>4.6499435647531895</v>
      </c>
      <c r="W2244" s="3">
        <f>IF(A2244=A2245,N2244-N2245,0)</f>
        <v>4.9999999999999767E-3</v>
      </c>
      <c r="X2244" s="10">
        <f>IF(A2244=A2245,(N2244-N2245)/N2245,0)</f>
        <v>3.5714285714285546E-2</v>
      </c>
    </row>
    <row r="2245" spans="1:24" ht="16.5" customHeight="1">
      <c r="A2245" s="3" t="s">
        <v>48</v>
      </c>
      <c r="B2245" s="3">
        <f t="shared" si="64"/>
        <v>2011</v>
      </c>
      <c r="C2245" s="3">
        <f t="shared" si="65"/>
        <v>10</v>
      </c>
      <c r="D2245" s="20" t="str">
        <f t="shared" si="66"/>
        <v>ABM201110</v>
      </c>
      <c r="E2245" s="2">
        <v>40820</v>
      </c>
      <c r="F2245" s="3">
        <v>0.14000000000000001</v>
      </c>
      <c r="G2245" s="2">
        <v>40854</v>
      </c>
      <c r="H2245" s="3">
        <v>3.1399999999999997E-2</v>
      </c>
      <c r="I2245" s="3">
        <v>0</v>
      </c>
      <c r="J2245" s="3">
        <v>0</v>
      </c>
      <c r="K2245" s="3">
        <f t="shared" si="67"/>
        <v>2011</v>
      </c>
      <c r="L2245" s="3">
        <f t="shared" si="68"/>
        <v>0</v>
      </c>
      <c r="M2245" s="20" t="str">
        <f>A2245&amp;L2245</f>
        <v>ABM0</v>
      </c>
      <c r="N2245" s="3">
        <f>F2245</f>
        <v>0.14000000000000001</v>
      </c>
      <c r="O2245" s="9">
        <f>H2245</f>
        <v>3.1399999999999997E-2</v>
      </c>
      <c r="P2245" s="10">
        <f t="shared" si="69"/>
        <v>0</v>
      </c>
      <c r="Q2245" s="10">
        <f>IF(K2245=0,IF(A2242=A2245,AVERAGE(O2242:O2245),"x"),0)</f>
        <v>0</v>
      </c>
      <c r="R2245" s="9">
        <f>IF(L2245&gt;2005,AVERAGE(O2242:O2261),0)</f>
        <v>0</v>
      </c>
      <c r="S2245" s="10">
        <f>IF(A2245=A2246,(N2245-N2246)/N2246,0)</f>
        <v>0</v>
      </c>
      <c r="T2245" s="10">
        <f>IF(L2245&gt;2005,(((N2245-N2265)/N2265)+1)^(1/5)-1,0)</f>
        <v>0</v>
      </c>
      <c r="U2245" s="10">
        <f t="shared" si="70"/>
        <v>0</v>
      </c>
      <c r="V2245" s="26">
        <f t="shared" si="71"/>
        <v>0</v>
      </c>
      <c r="W2245" s="3">
        <f>IF(A2245=A2246,N2245-N2246,0)</f>
        <v>0</v>
      </c>
      <c r="X2245" s="10">
        <f>IF(A2245=A2246,(N2245-N2246)/N2246,0)</f>
        <v>0</v>
      </c>
    </row>
    <row r="2246" spans="1:24" ht="16.5" customHeight="1">
      <c r="A2246" s="3" t="s">
        <v>48</v>
      </c>
      <c r="B2246" s="3">
        <f t="shared" si="64"/>
        <v>2011</v>
      </c>
      <c r="C2246" s="3">
        <f t="shared" si="65"/>
        <v>7</v>
      </c>
      <c r="D2246" s="20" t="str">
        <f t="shared" si="66"/>
        <v>ABM20117</v>
      </c>
      <c r="E2246" s="2">
        <v>40729</v>
      </c>
      <c r="F2246" s="3">
        <v>0.14000000000000001</v>
      </c>
      <c r="G2246" s="2">
        <v>40756</v>
      </c>
      <c r="H2246" s="3">
        <v>2.35E-2</v>
      </c>
      <c r="I2246" s="3">
        <v>0</v>
      </c>
      <c r="J2246" s="3">
        <v>0</v>
      </c>
      <c r="K2246" s="3">
        <f t="shared" si="67"/>
        <v>2011</v>
      </c>
      <c r="L2246" s="3">
        <f t="shared" si="68"/>
        <v>0</v>
      </c>
      <c r="M2246" s="20" t="str">
        <f>A2246&amp;L2246</f>
        <v>ABM0</v>
      </c>
      <c r="N2246" s="3">
        <f>F2246</f>
        <v>0.14000000000000001</v>
      </c>
      <c r="O2246" s="9">
        <f>H2246</f>
        <v>2.35E-2</v>
      </c>
      <c r="P2246" s="10">
        <f t="shared" si="69"/>
        <v>0</v>
      </c>
      <c r="Q2246" s="10">
        <f>IF(K2246=0,IF(A2243=A2246,AVERAGE(O2243:O2246),"x"),0)</f>
        <v>0</v>
      </c>
      <c r="R2246" s="9">
        <f>IF(L2246&gt;2005,AVERAGE(O2243:O2262),0)</f>
        <v>0</v>
      </c>
      <c r="S2246" s="10">
        <f>IF(A2246=A2247,(N2246-N2247)/N2247,0)</f>
        <v>0</v>
      </c>
      <c r="T2246" s="10">
        <f>IF(L2246&gt;2005,(((N2246-N2266)/N2266)+1)^(1/5)-1,0)</f>
        <v>0</v>
      </c>
      <c r="U2246" s="10">
        <f t="shared" si="70"/>
        <v>0</v>
      </c>
      <c r="V2246" s="26">
        <f t="shared" si="71"/>
        <v>0</v>
      </c>
      <c r="W2246" s="3">
        <f>IF(A2246=A2247,N2246-N2247,0)</f>
        <v>0</v>
      </c>
      <c r="X2246" s="10">
        <f>IF(A2246=A2247,(N2246-N2247)/N2247,0)</f>
        <v>0</v>
      </c>
    </row>
    <row r="2247" spans="1:24" ht="16.5" customHeight="1">
      <c r="A2247" s="3" t="s">
        <v>48</v>
      </c>
      <c r="B2247" s="3">
        <f t="shared" si="64"/>
        <v>2011</v>
      </c>
      <c r="C2247" s="3">
        <f t="shared" si="65"/>
        <v>4</v>
      </c>
      <c r="D2247" s="20" t="str">
        <f t="shared" si="66"/>
        <v>ABM20114</v>
      </c>
      <c r="E2247" s="2">
        <v>40638</v>
      </c>
      <c r="F2247" s="3">
        <v>0.14000000000000001</v>
      </c>
      <c r="G2247" s="2">
        <v>40665</v>
      </c>
      <c r="H2247" s="3">
        <v>2.1499999999999998E-2</v>
      </c>
      <c r="I2247" s="3">
        <v>0</v>
      </c>
      <c r="J2247" s="3">
        <v>0</v>
      </c>
      <c r="K2247" s="3">
        <f t="shared" si="67"/>
        <v>2011</v>
      </c>
      <c r="L2247" s="3">
        <f t="shared" si="68"/>
        <v>0</v>
      </c>
      <c r="M2247" s="20" t="str">
        <f>A2247&amp;L2247</f>
        <v>ABM0</v>
      </c>
      <c r="N2247" s="3">
        <f>F2247</f>
        <v>0.14000000000000001</v>
      </c>
      <c r="O2247" s="9">
        <f>H2247</f>
        <v>2.1499999999999998E-2</v>
      </c>
      <c r="P2247" s="10">
        <f t="shared" si="69"/>
        <v>0</v>
      </c>
      <c r="Q2247" s="10">
        <f>IF(K2247=0,IF(A2244=A2247,AVERAGE(O2244:O2247),"x"),0)</f>
        <v>0</v>
      </c>
      <c r="R2247" s="9">
        <f>IF(L2247&gt;2005,AVERAGE(O2244:O2263),0)</f>
        <v>0</v>
      </c>
      <c r="S2247" s="10">
        <f>IF(A2247=A2248,(N2247-N2248)/N2248,0)</f>
        <v>0</v>
      </c>
      <c r="T2247" s="10">
        <f>IF(L2247&gt;2005,(((N2247-N2267)/N2267)+1)^(1/5)-1,0)</f>
        <v>0</v>
      </c>
      <c r="U2247" s="10">
        <f t="shared" si="70"/>
        <v>0</v>
      </c>
      <c r="V2247" s="26">
        <f t="shared" si="71"/>
        <v>0</v>
      </c>
      <c r="W2247" s="3">
        <f>IF(A2247=A2248,N2247-N2248,0)</f>
        <v>0</v>
      </c>
      <c r="X2247" s="10">
        <f>IF(A2247=A2248,(N2247-N2248)/N2248,0)</f>
        <v>0</v>
      </c>
    </row>
    <row r="2248" spans="1:24" ht="16.5" customHeight="1">
      <c r="A2248" s="3" t="s">
        <v>48</v>
      </c>
      <c r="B2248" s="3">
        <f t="shared" si="64"/>
        <v>2011</v>
      </c>
      <c r="C2248" s="3">
        <f t="shared" si="65"/>
        <v>1</v>
      </c>
      <c r="D2248" s="20" t="str">
        <f t="shared" si="66"/>
        <v>ABM20111</v>
      </c>
      <c r="E2248" s="2">
        <v>40547</v>
      </c>
      <c r="F2248" s="3">
        <v>0.14000000000000001</v>
      </c>
      <c r="G2248" s="2">
        <v>40581</v>
      </c>
      <c r="H2248" s="3">
        <v>2.0299999999999999E-2</v>
      </c>
      <c r="I2248" s="3">
        <v>3.7037037000000002E-2</v>
      </c>
      <c r="J2248" s="3">
        <v>5.0000000000000001E-3</v>
      </c>
      <c r="K2248" s="3">
        <f t="shared" si="67"/>
        <v>0</v>
      </c>
      <c r="L2248" s="3">
        <f t="shared" si="68"/>
        <v>2011</v>
      </c>
      <c r="M2248" s="20" t="str">
        <f>A2248&amp;L2248</f>
        <v>ABM2011</v>
      </c>
      <c r="N2248" s="3">
        <f>F2248</f>
        <v>0.14000000000000001</v>
      </c>
      <c r="O2248" s="9">
        <f>H2248</f>
        <v>2.0299999999999999E-2</v>
      </c>
      <c r="P2248" s="10">
        <f t="shared" si="69"/>
        <v>2.3725E-2</v>
      </c>
      <c r="Q2248" s="10">
        <f>IF(K2248=0,IF(A2245=A2248,AVERAGE(O2245:O2248),"x"),0)</f>
        <v>2.4174999999999999E-2</v>
      </c>
      <c r="R2248" s="9">
        <f>IF(L2248&gt;2005,AVERAGE(O2245:O2264),0)</f>
        <v>2.3885E-2</v>
      </c>
      <c r="S2248" s="10">
        <f>IF(A2248=A2249,(N2248-N2249)/N2249,0)</f>
        <v>3.703703703703707E-2</v>
      </c>
      <c r="T2248" s="10">
        <f>IF(L2248&gt;2005,(((N2248-N2268)/N2268)+1)^(1/5)-1,0)</f>
        <v>4.9414522844583919E-2</v>
      </c>
      <c r="U2248" s="10">
        <f t="shared" si="70"/>
        <v>7.3299522844583923E-2</v>
      </c>
      <c r="V2248" s="26">
        <f t="shared" si="71"/>
        <v>4.6759336933763951</v>
      </c>
      <c r="W2248" s="3">
        <f>IF(A2248=A2249,N2248-N2249,0)</f>
        <v>5.0000000000000044E-3</v>
      </c>
      <c r="X2248" s="10">
        <f>IF(A2248=A2249,(N2248-N2249)/N2249,0)</f>
        <v>3.703703703703707E-2</v>
      </c>
    </row>
    <row r="2249" spans="1:24" ht="16.5" customHeight="1">
      <c r="A2249" s="3" t="s">
        <v>48</v>
      </c>
      <c r="B2249" s="3">
        <f t="shared" si="64"/>
        <v>2010</v>
      </c>
      <c r="C2249" s="3">
        <f t="shared" si="65"/>
        <v>10</v>
      </c>
      <c r="D2249" s="20" t="str">
        <f t="shared" si="66"/>
        <v>ABM201010</v>
      </c>
      <c r="E2249" s="2">
        <v>40456</v>
      </c>
      <c r="F2249" s="3">
        <v>0.13500000000000001</v>
      </c>
      <c r="G2249" s="2">
        <v>40483</v>
      </c>
      <c r="H2249" s="3">
        <v>2.52E-2</v>
      </c>
      <c r="I2249" s="3">
        <v>0</v>
      </c>
      <c r="J2249" s="3">
        <v>0</v>
      </c>
      <c r="K2249" s="3">
        <f t="shared" si="67"/>
        <v>2010</v>
      </c>
      <c r="L2249" s="3">
        <f t="shared" si="68"/>
        <v>0</v>
      </c>
      <c r="M2249" s="20" t="str">
        <f>A2249&amp;L2249</f>
        <v>ABM0</v>
      </c>
      <c r="N2249" s="3">
        <f>F2249</f>
        <v>0.13500000000000001</v>
      </c>
      <c r="O2249" s="9">
        <f>H2249</f>
        <v>2.52E-2</v>
      </c>
      <c r="P2249" s="10">
        <f t="shared" si="69"/>
        <v>0</v>
      </c>
      <c r="Q2249" s="10">
        <f>IF(K2249=0,IF(A2246=A2249,AVERAGE(O2246:O2249),"x"),0)</f>
        <v>0</v>
      </c>
      <c r="R2249" s="9">
        <f>IF(L2249&gt;2005,AVERAGE(O2246:O2265),0)</f>
        <v>0</v>
      </c>
      <c r="S2249" s="10">
        <f>IF(A2249=A2250,(N2249-N2250)/N2250,0)</f>
        <v>0</v>
      </c>
      <c r="T2249" s="10">
        <f>IF(L2249&gt;2005,(((N2249-N2269)/N2269)+1)^(1/5)-1,0)</f>
        <v>0</v>
      </c>
      <c r="U2249" s="10">
        <f t="shared" si="70"/>
        <v>0</v>
      </c>
      <c r="V2249" s="26">
        <f t="shared" si="71"/>
        <v>0</v>
      </c>
      <c r="W2249" s="3">
        <f>IF(A2249=A2250,N2249-N2250,0)</f>
        <v>0</v>
      </c>
      <c r="X2249" s="10">
        <f>IF(A2249=A2250,(N2249-N2250)/N2250,0)</f>
        <v>0</v>
      </c>
    </row>
    <row r="2250" spans="1:24" ht="16.5" customHeight="1">
      <c r="A2250" s="3" t="s">
        <v>48</v>
      </c>
      <c r="B2250" s="3">
        <f t="shared" si="64"/>
        <v>2010</v>
      </c>
      <c r="C2250" s="3">
        <f t="shared" si="65"/>
        <v>6</v>
      </c>
      <c r="D2250" s="20" t="str">
        <f t="shared" si="66"/>
        <v>ABM20106</v>
      </c>
      <c r="E2250" s="2">
        <v>40358</v>
      </c>
      <c r="F2250" s="3">
        <v>0.13500000000000001</v>
      </c>
      <c r="G2250" s="2">
        <v>40392</v>
      </c>
      <c r="H2250" s="3">
        <v>2.41E-2</v>
      </c>
      <c r="I2250" s="3">
        <v>0</v>
      </c>
      <c r="J2250" s="3">
        <v>0</v>
      </c>
      <c r="K2250" s="3">
        <f t="shared" si="67"/>
        <v>2010</v>
      </c>
      <c r="L2250" s="3">
        <f t="shared" si="68"/>
        <v>0</v>
      </c>
      <c r="M2250" s="20" t="str">
        <f>A2250&amp;L2250</f>
        <v>ABM0</v>
      </c>
      <c r="N2250" s="3">
        <f>F2250</f>
        <v>0.13500000000000001</v>
      </c>
      <c r="O2250" s="9">
        <f>H2250</f>
        <v>2.41E-2</v>
      </c>
      <c r="P2250" s="10">
        <f t="shared" si="69"/>
        <v>0</v>
      </c>
      <c r="Q2250" s="10">
        <f>IF(K2250=0,IF(A2247=A2250,AVERAGE(O2247:O2250),"x"),0)</f>
        <v>0</v>
      </c>
      <c r="R2250" s="9">
        <f>IF(L2250&gt;2005,AVERAGE(O2247:O2266),0)</f>
        <v>0</v>
      </c>
      <c r="S2250" s="10">
        <f>IF(A2250=A2251,(N2250-N2251)/N2251,0)</f>
        <v>0</v>
      </c>
      <c r="T2250" s="10">
        <f>IF(L2250&gt;2005,(((N2250-N2270)/N2270)+1)^(1/5)-1,0)</f>
        <v>0</v>
      </c>
      <c r="U2250" s="10">
        <f t="shared" si="70"/>
        <v>0</v>
      </c>
      <c r="V2250" s="26">
        <f t="shared" si="71"/>
        <v>0</v>
      </c>
      <c r="W2250" s="3">
        <f>IF(A2250=A2251,N2250-N2251,0)</f>
        <v>0</v>
      </c>
      <c r="X2250" s="10">
        <f>IF(A2250=A2251,(N2250-N2251)/N2251,0)</f>
        <v>0</v>
      </c>
    </row>
    <row r="2251" spans="1:24" ht="16.5" customHeight="1">
      <c r="A2251" s="3" t="s">
        <v>48</v>
      </c>
      <c r="B2251" s="3">
        <f t="shared" si="64"/>
        <v>2010</v>
      </c>
      <c r="C2251" s="3">
        <f t="shared" si="65"/>
        <v>4</v>
      </c>
      <c r="D2251" s="20" t="str">
        <f t="shared" si="66"/>
        <v>ABM20104</v>
      </c>
      <c r="E2251" s="2">
        <v>40274</v>
      </c>
      <c r="F2251" s="3">
        <v>0.13500000000000001</v>
      </c>
      <c r="G2251" s="2">
        <v>40301</v>
      </c>
      <c r="H2251" s="3">
        <v>2.53E-2</v>
      </c>
      <c r="I2251" s="3">
        <v>0</v>
      </c>
      <c r="J2251" s="3">
        <v>0</v>
      </c>
      <c r="K2251" s="3">
        <f t="shared" si="67"/>
        <v>2010</v>
      </c>
      <c r="L2251" s="3">
        <f t="shared" si="68"/>
        <v>0</v>
      </c>
      <c r="M2251" s="20" t="str">
        <f>A2251&amp;L2251</f>
        <v>ABM0</v>
      </c>
      <c r="N2251" s="3">
        <f>F2251</f>
        <v>0.13500000000000001</v>
      </c>
      <c r="O2251" s="9">
        <f>H2251</f>
        <v>2.53E-2</v>
      </c>
      <c r="P2251" s="10">
        <f t="shared" si="69"/>
        <v>0</v>
      </c>
      <c r="Q2251" s="10">
        <f>IF(K2251=0,IF(A2248=A2251,AVERAGE(O2248:O2251),"x"),0)</f>
        <v>0</v>
      </c>
      <c r="R2251" s="9">
        <f>IF(L2251&gt;2005,AVERAGE(O2248:O2267),0)</f>
        <v>0</v>
      </c>
      <c r="S2251" s="10">
        <f>IF(A2251=A2252,(N2251-N2252)/N2252,0)</f>
        <v>0</v>
      </c>
      <c r="T2251" s="10">
        <f>IF(L2251&gt;2005,(((N2251-N2271)/N2271)+1)^(1/5)-1,0)</f>
        <v>0</v>
      </c>
      <c r="U2251" s="10">
        <f t="shared" si="70"/>
        <v>0</v>
      </c>
      <c r="V2251" s="26">
        <f t="shared" si="71"/>
        <v>0</v>
      </c>
      <c r="W2251" s="3">
        <f>IF(A2251=A2252,N2251-N2252,0)</f>
        <v>0</v>
      </c>
      <c r="X2251" s="10">
        <f>IF(A2251=A2252,(N2251-N2252)/N2252,0)</f>
        <v>0</v>
      </c>
    </row>
    <row r="2252" spans="1:24" ht="16.5" customHeight="1">
      <c r="A2252" s="3" t="s">
        <v>48</v>
      </c>
      <c r="B2252" s="3">
        <f t="shared" si="64"/>
        <v>2010</v>
      </c>
      <c r="C2252" s="3">
        <f t="shared" si="65"/>
        <v>1</v>
      </c>
      <c r="D2252" s="20" t="str">
        <f t="shared" si="66"/>
        <v>ABM20101</v>
      </c>
      <c r="E2252" s="2">
        <v>40183</v>
      </c>
      <c r="F2252" s="3">
        <v>0.13500000000000001</v>
      </c>
      <c r="G2252" s="2">
        <v>40210</v>
      </c>
      <c r="H2252" s="3">
        <v>2.47E-2</v>
      </c>
      <c r="I2252" s="3">
        <v>3.8461538000000003E-2</v>
      </c>
      <c r="J2252" s="3">
        <v>5.0000000000000001E-3</v>
      </c>
      <c r="K2252" s="3">
        <f t="shared" si="67"/>
        <v>0</v>
      </c>
      <c r="L2252" s="3">
        <f t="shared" si="68"/>
        <v>2010</v>
      </c>
      <c r="M2252" s="20" t="str">
        <f>A2252&amp;L2252</f>
        <v>ABM2010</v>
      </c>
      <c r="N2252" s="3">
        <f>F2252</f>
        <v>0.13500000000000001</v>
      </c>
      <c r="O2252" s="9">
        <f>H2252</f>
        <v>2.47E-2</v>
      </c>
      <c r="P2252" s="10">
        <f t="shared" si="69"/>
        <v>2.7325000000000002E-2</v>
      </c>
      <c r="Q2252" s="10">
        <f>IF(K2252=0,IF(A2249=A2252,AVERAGE(O2249:O2252),"x"),0)</f>
        <v>2.4825E-2</v>
      </c>
      <c r="R2252" s="9">
        <f>IF(L2252&gt;2005,AVERAGE(O2249:O2268),0)</f>
        <v>2.3734999999999999E-2</v>
      </c>
      <c r="S2252" s="10">
        <f>IF(A2252=A2253,(N2252-N2253)/N2253,0)</f>
        <v>3.8461538461538491E-2</v>
      </c>
      <c r="T2252" s="10">
        <f>IF(L2252&gt;2005,(((N2252-N2272)/N2272)+1)^(1/5)-1,0)</f>
        <v>5.1547496797280434E-2</v>
      </c>
      <c r="U2252" s="10">
        <f t="shared" si="70"/>
        <v>7.528249679728044E-2</v>
      </c>
      <c r="V2252" s="26">
        <f t="shared" si="71"/>
        <v>4.6784856444883429</v>
      </c>
      <c r="W2252" s="3">
        <f>IF(A2252=A2253,N2252-N2253,0)</f>
        <v>5.0000000000000044E-3</v>
      </c>
      <c r="X2252" s="10">
        <f>IF(A2252=A2253,(N2252-N2253)/N2253,0)</f>
        <v>3.8461538461538491E-2</v>
      </c>
    </row>
    <row r="2253" spans="1:24" ht="16.5" customHeight="1">
      <c r="A2253" s="3" t="s">
        <v>48</v>
      </c>
      <c r="B2253" s="3">
        <f t="shared" si="64"/>
        <v>2009</v>
      </c>
      <c r="C2253" s="3">
        <f t="shared" si="65"/>
        <v>10</v>
      </c>
      <c r="D2253" s="20" t="str">
        <f t="shared" si="66"/>
        <v>ABM200910</v>
      </c>
      <c r="E2253" s="2">
        <v>40092</v>
      </c>
      <c r="F2253" s="3">
        <v>0.13</v>
      </c>
      <c r="G2253" s="2">
        <v>40119</v>
      </c>
      <c r="H2253" s="3">
        <v>2.64E-2</v>
      </c>
      <c r="I2253" s="3">
        <v>0</v>
      </c>
      <c r="J2253" s="3">
        <v>0</v>
      </c>
      <c r="K2253" s="3">
        <f t="shared" si="67"/>
        <v>2009</v>
      </c>
      <c r="L2253" s="3">
        <f t="shared" si="68"/>
        <v>0</v>
      </c>
      <c r="M2253" s="20" t="str">
        <f>A2253&amp;L2253</f>
        <v>ABM0</v>
      </c>
      <c r="N2253" s="3">
        <f>F2253</f>
        <v>0.13</v>
      </c>
      <c r="O2253" s="9">
        <f>H2253</f>
        <v>2.64E-2</v>
      </c>
      <c r="P2253" s="10">
        <f t="shared" si="69"/>
        <v>0</v>
      </c>
      <c r="Q2253" s="10">
        <f>IF(K2253=0,IF(A2250=A2253,AVERAGE(O2250:O2253),"x"),0)</f>
        <v>0</v>
      </c>
      <c r="R2253" s="9">
        <f>IF(L2253&gt;2005,AVERAGE(O2250:O2269),0)</f>
        <v>0</v>
      </c>
      <c r="S2253" s="10">
        <f>IF(A2253=A2254,(N2253-N2254)/N2254,0)</f>
        <v>0</v>
      </c>
      <c r="T2253" s="10">
        <f>IF(L2253&gt;2005,(((N2253-N2273)/N2273)+1)^(1/5)-1,0)</f>
        <v>0</v>
      </c>
      <c r="U2253" s="10">
        <f t="shared" si="70"/>
        <v>0</v>
      </c>
      <c r="V2253" s="26">
        <f t="shared" si="71"/>
        <v>0</v>
      </c>
      <c r="W2253" s="3">
        <f>IF(A2253=A2254,N2253-N2254,0)</f>
        <v>0</v>
      </c>
      <c r="X2253" s="10">
        <f>IF(A2253=A2254,(N2253-N2254)/N2254,0)</f>
        <v>0</v>
      </c>
    </row>
    <row r="2254" spans="1:24" ht="16.5" customHeight="1">
      <c r="A2254" s="3" t="s">
        <v>48</v>
      </c>
      <c r="B2254" s="3">
        <f t="shared" si="64"/>
        <v>2009</v>
      </c>
      <c r="C2254" s="3">
        <f t="shared" si="65"/>
        <v>6</v>
      </c>
      <c r="D2254" s="20" t="str">
        <f t="shared" si="66"/>
        <v>ABM20096</v>
      </c>
      <c r="E2254" s="2">
        <v>39994</v>
      </c>
      <c r="F2254" s="3">
        <v>0.13</v>
      </c>
      <c r="G2254" s="2">
        <v>40028</v>
      </c>
      <c r="H2254" s="3">
        <v>2.8400000000000002E-2</v>
      </c>
      <c r="I2254" s="3">
        <v>0</v>
      </c>
      <c r="J2254" s="3">
        <v>0</v>
      </c>
      <c r="K2254" s="3">
        <f t="shared" si="67"/>
        <v>2009</v>
      </c>
      <c r="L2254" s="3">
        <f t="shared" si="68"/>
        <v>0</v>
      </c>
      <c r="M2254" s="20" t="str">
        <f>A2254&amp;L2254</f>
        <v>ABM0</v>
      </c>
      <c r="N2254" s="3">
        <f>F2254</f>
        <v>0.13</v>
      </c>
      <c r="O2254" s="9">
        <f>H2254</f>
        <v>2.8400000000000002E-2</v>
      </c>
      <c r="P2254" s="10">
        <f t="shared" si="69"/>
        <v>0</v>
      </c>
      <c r="Q2254" s="10">
        <f>IF(K2254=0,IF(A2251=A2254,AVERAGE(O2251:O2254),"x"),0)</f>
        <v>0</v>
      </c>
      <c r="R2254" s="9">
        <f>IF(L2254&gt;2005,AVERAGE(O2251:O2270),0)</f>
        <v>0</v>
      </c>
      <c r="S2254" s="10">
        <f>IF(A2254=A2255,(N2254-N2255)/N2255,0)</f>
        <v>0</v>
      </c>
      <c r="T2254" s="10">
        <f>IF(L2254&gt;2005,(((N2254-N2274)/N2274)+1)^(1/5)-1,0)</f>
        <v>0</v>
      </c>
      <c r="U2254" s="10">
        <f t="shared" si="70"/>
        <v>0</v>
      </c>
      <c r="V2254" s="26">
        <f t="shared" si="71"/>
        <v>0</v>
      </c>
      <c r="W2254" s="3">
        <f>IF(A2254=A2255,N2254-N2255,0)</f>
        <v>0</v>
      </c>
      <c r="X2254" s="10">
        <f>IF(A2254=A2255,(N2254-N2255)/N2255,0)</f>
        <v>0</v>
      </c>
    </row>
    <row r="2255" spans="1:24" ht="16.5" customHeight="1">
      <c r="A2255" s="3" t="s">
        <v>48</v>
      </c>
      <c r="B2255" s="3">
        <f t="shared" si="64"/>
        <v>2009</v>
      </c>
      <c r="C2255" s="3">
        <f t="shared" si="65"/>
        <v>4</v>
      </c>
      <c r="D2255" s="20" t="str">
        <f t="shared" si="66"/>
        <v>ABM20094</v>
      </c>
      <c r="E2255" s="2">
        <v>39910</v>
      </c>
      <c r="F2255" s="3">
        <v>0.13</v>
      </c>
      <c r="G2255" s="2">
        <v>39937</v>
      </c>
      <c r="H2255" s="3">
        <v>2.98E-2</v>
      </c>
      <c r="I2255" s="3">
        <v>0</v>
      </c>
      <c r="J2255" s="3">
        <v>0</v>
      </c>
      <c r="K2255" s="3">
        <f t="shared" si="67"/>
        <v>2009</v>
      </c>
      <c r="L2255" s="3">
        <f t="shared" si="68"/>
        <v>0</v>
      </c>
      <c r="M2255" s="20" t="str">
        <f>A2255&amp;L2255</f>
        <v>ABM0</v>
      </c>
      <c r="N2255" s="3">
        <f>F2255</f>
        <v>0.13</v>
      </c>
      <c r="O2255" s="9">
        <f>H2255</f>
        <v>2.98E-2</v>
      </c>
      <c r="P2255" s="10">
        <f t="shared" si="69"/>
        <v>0</v>
      </c>
      <c r="Q2255" s="10">
        <f>IF(K2255=0,IF(A2252=A2255,AVERAGE(O2252:O2255),"x"),0)</f>
        <v>0</v>
      </c>
      <c r="R2255" s="9">
        <f>IF(L2255&gt;2005,AVERAGE(O2252:O2271),0)</f>
        <v>0</v>
      </c>
      <c r="S2255" s="10">
        <f>IF(A2255=A2256,(N2255-N2256)/N2256,0)</f>
        <v>0</v>
      </c>
      <c r="T2255" s="10">
        <f>IF(L2255&gt;2005,(((N2255-N2275)/N2275)+1)^(1/5)-1,0)</f>
        <v>0</v>
      </c>
      <c r="U2255" s="10">
        <f t="shared" si="70"/>
        <v>0</v>
      </c>
      <c r="V2255" s="26">
        <f t="shared" si="71"/>
        <v>0</v>
      </c>
      <c r="W2255" s="3">
        <f>IF(A2255=A2256,N2255-N2256,0)</f>
        <v>0</v>
      </c>
      <c r="X2255" s="10">
        <f>IF(A2255=A2256,(N2255-N2256)/N2256,0)</f>
        <v>0</v>
      </c>
    </row>
    <row r="2256" spans="1:24" ht="16.5" customHeight="1">
      <c r="A2256" s="3" t="s">
        <v>48</v>
      </c>
      <c r="B2256" s="3">
        <f t="shared" si="64"/>
        <v>2009</v>
      </c>
      <c r="C2256" s="3">
        <f t="shared" si="65"/>
        <v>1</v>
      </c>
      <c r="D2256" s="20" t="str">
        <f t="shared" si="66"/>
        <v>ABM20091</v>
      </c>
      <c r="E2256" s="2">
        <v>39819</v>
      </c>
      <c r="F2256" s="3">
        <v>0.13</v>
      </c>
      <c r="G2256" s="2">
        <v>39846</v>
      </c>
      <c r="H2256" s="3">
        <v>2.6700000000000002E-2</v>
      </c>
      <c r="I2256" s="3">
        <v>0.04</v>
      </c>
      <c r="J2256" s="3">
        <v>5.0000000000000001E-3</v>
      </c>
      <c r="K2256" s="3">
        <f t="shared" si="67"/>
        <v>0</v>
      </c>
      <c r="L2256" s="3">
        <f t="shared" si="68"/>
        <v>2009</v>
      </c>
      <c r="M2256" s="20" t="str">
        <f>A2256&amp;L2256</f>
        <v>ABM2009</v>
      </c>
      <c r="N2256" s="3">
        <f>F2256</f>
        <v>0.13</v>
      </c>
      <c r="O2256" s="9">
        <f>H2256</f>
        <v>2.6700000000000002E-2</v>
      </c>
      <c r="P2256" s="10">
        <f t="shared" si="69"/>
        <v>2.4099999999999996E-2</v>
      </c>
      <c r="Q2256" s="10">
        <f>IF(K2256=0,IF(A2253=A2256,AVERAGE(O2253:O2256),"x"),0)</f>
        <v>2.7825000000000003E-2</v>
      </c>
      <c r="R2256" s="9">
        <f>IF(L2256&gt;2005,AVERAGE(O2253:O2272),0)</f>
        <v>2.3034999999999993E-2</v>
      </c>
      <c r="S2256" s="10">
        <f>IF(A2256=A2257,(N2256-N2257)/N2257,0)</f>
        <v>4.0000000000000036E-2</v>
      </c>
      <c r="T2256" s="10">
        <f>IF(L2256&gt;2005,(((N2256-N2276)/N2276)+1)^(1/5)-1,0)</f>
        <v>5.387395206178347E-2</v>
      </c>
      <c r="U2256" s="10">
        <f t="shared" si="70"/>
        <v>7.690895206178347E-2</v>
      </c>
      <c r="V2256" s="26">
        <f t="shared" si="71"/>
        <v>4.6881561792949604</v>
      </c>
      <c r="W2256" s="3">
        <f>IF(A2256=A2257,N2256-N2257,0)</f>
        <v>5.0000000000000044E-3</v>
      </c>
      <c r="X2256" s="10">
        <f>IF(A2256=A2257,(N2256-N2257)/N2257,0)</f>
        <v>4.0000000000000036E-2</v>
      </c>
    </row>
    <row r="2257" spans="1:24" ht="16.5" customHeight="1">
      <c r="A2257" s="3" t="s">
        <v>48</v>
      </c>
      <c r="B2257" s="3">
        <f t="shared" si="64"/>
        <v>2008</v>
      </c>
      <c r="C2257" s="3">
        <f t="shared" si="65"/>
        <v>10</v>
      </c>
      <c r="D2257" s="20" t="str">
        <f t="shared" si="66"/>
        <v>ABM200810</v>
      </c>
      <c r="E2257" s="2">
        <v>39728</v>
      </c>
      <c r="F2257" s="3">
        <v>0.125</v>
      </c>
      <c r="G2257" s="2">
        <v>39755</v>
      </c>
      <c r="H2257" s="3">
        <v>2.5499999999999998E-2</v>
      </c>
      <c r="I2257" s="3">
        <v>0</v>
      </c>
      <c r="J2257" s="3">
        <v>0</v>
      </c>
      <c r="K2257" s="3">
        <f t="shared" si="67"/>
        <v>2008</v>
      </c>
      <c r="L2257" s="3">
        <f t="shared" si="68"/>
        <v>0</v>
      </c>
      <c r="M2257" s="20" t="str">
        <f>A2257&amp;L2257</f>
        <v>ABM0</v>
      </c>
      <c r="N2257" s="3">
        <f>F2257</f>
        <v>0.125</v>
      </c>
      <c r="O2257" s="9">
        <f>H2257</f>
        <v>2.5499999999999998E-2</v>
      </c>
      <c r="P2257" s="10">
        <f t="shared" si="69"/>
        <v>0</v>
      </c>
      <c r="Q2257" s="10">
        <f>IF(K2257=0,IF(A2254=A2257,AVERAGE(O2254:O2257),"x"),0)</f>
        <v>0</v>
      </c>
      <c r="R2257" s="9">
        <f>IF(L2257&gt;2005,AVERAGE(O2254:O2273),0)</f>
        <v>0</v>
      </c>
      <c r="S2257" s="10">
        <f>IF(A2257=A2258,(N2257-N2258)/N2258,0)</f>
        <v>0</v>
      </c>
      <c r="T2257" s="10">
        <f>IF(L2257&gt;2005,(((N2257-N2277)/N2277)+1)^(1/5)-1,0)</f>
        <v>0</v>
      </c>
      <c r="U2257" s="10">
        <f t="shared" si="70"/>
        <v>0</v>
      </c>
      <c r="V2257" s="26">
        <f t="shared" si="71"/>
        <v>0</v>
      </c>
      <c r="W2257" s="3">
        <f>IF(A2257=A2258,N2257-N2258,0)</f>
        <v>0</v>
      </c>
      <c r="X2257" s="10">
        <f>IF(A2257=A2258,(N2257-N2258)/N2258,0)</f>
        <v>0</v>
      </c>
    </row>
    <row r="2258" spans="1:24" ht="16.5" customHeight="1">
      <c r="A2258" s="3" t="s">
        <v>48</v>
      </c>
      <c r="B2258" s="3">
        <f t="shared" si="64"/>
        <v>2008</v>
      </c>
      <c r="C2258" s="3">
        <f t="shared" si="65"/>
        <v>7</v>
      </c>
      <c r="D2258" s="20" t="str">
        <f t="shared" si="66"/>
        <v>ABM20087</v>
      </c>
      <c r="E2258" s="2">
        <v>39630</v>
      </c>
      <c r="F2258" s="3">
        <v>0.125</v>
      </c>
      <c r="G2258" s="2">
        <v>39664</v>
      </c>
      <c r="H2258" s="3">
        <v>2.2200000000000001E-2</v>
      </c>
      <c r="I2258" s="3">
        <v>0</v>
      </c>
      <c r="J2258" s="3">
        <v>0</v>
      </c>
      <c r="K2258" s="3">
        <f t="shared" si="67"/>
        <v>2008</v>
      </c>
      <c r="L2258" s="3">
        <f t="shared" si="68"/>
        <v>0</v>
      </c>
      <c r="M2258" s="20" t="str">
        <f>A2258&amp;L2258</f>
        <v>ABM0</v>
      </c>
      <c r="N2258" s="3">
        <f>F2258</f>
        <v>0.125</v>
      </c>
      <c r="O2258" s="9">
        <f>H2258</f>
        <v>2.2200000000000001E-2</v>
      </c>
      <c r="P2258" s="10">
        <f t="shared" si="69"/>
        <v>0</v>
      </c>
      <c r="Q2258" s="10">
        <f>IF(K2258=0,IF(A2255=A2258,AVERAGE(O2255:O2258),"x"),0)</f>
        <v>0</v>
      </c>
      <c r="R2258" s="9">
        <f>IF(L2258&gt;2005,AVERAGE(O2255:O2274),0)</f>
        <v>0</v>
      </c>
      <c r="S2258" s="10">
        <f>IF(A2258=A2259,(N2258-N2259)/N2259,0)</f>
        <v>0</v>
      </c>
      <c r="T2258" s="10">
        <f>IF(L2258&gt;2005,(((N2258-N2278)/N2278)+1)^(1/5)-1,0)</f>
        <v>0</v>
      </c>
      <c r="U2258" s="10">
        <f t="shared" si="70"/>
        <v>0</v>
      </c>
      <c r="V2258" s="26">
        <f t="shared" si="71"/>
        <v>0</v>
      </c>
      <c r="W2258" s="3">
        <f>IF(A2258=A2259,N2258-N2259,0)</f>
        <v>0</v>
      </c>
      <c r="X2258" s="10">
        <f>IF(A2258=A2259,(N2258-N2259)/N2259,0)</f>
        <v>0</v>
      </c>
    </row>
    <row r="2259" spans="1:24" ht="16.5" customHeight="1">
      <c r="A2259" s="3" t="s">
        <v>48</v>
      </c>
      <c r="B2259" s="3">
        <f t="shared" si="64"/>
        <v>2008</v>
      </c>
      <c r="C2259" s="3">
        <f t="shared" si="65"/>
        <v>4</v>
      </c>
      <c r="D2259" s="20" t="str">
        <f t="shared" si="66"/>
        <v>ABM20084</v>
      </c>
      <c r="E2259" s="2">
        <v>39546</v>
      </c>
      <c r="F2259" s="3">
        <v>0.125</v>
      </c>
      <c r="G2259" s="2">
        <v>39573</v>
      </c>
      <c r="H2259" s="3">
        <v>2.1999999999999999E-2</v>
      </c>
      <c r="I2259" s="3">
        <v>0</v>
      </c>
      <c r="J2259" s="3">
        <v>0</v>
      </c>
      <c r="K2259" s="3">
        <f t="shared" si="67"/>
        <v>2008</v>
      </c>
      <c r="L2259" s="3">
        <f t="shared" si="68"/>
        <v>0</v>
      </c>
      <c r="M2259" s="20" t="str">
        <f>A2259&amp;L2259</f>
        <v>ABM0</v>
      </c>
      <c r="N2259" s="3">
        <f>F2259</f>
        <v>0.125</v>
      </c>
      <c r="O2259" s="9">
        <f>H2259</f>
        <v>2.1999999999999999E-2</v>
      </c>
      <c r="P2259" s="10">
        <f t="shared" si="69"/>
        <v>0</v>
      </c>
      <c r="Q2259" s="10">
        <f>IF(K2259=0,IF(A2256=A2259,AVERAGE(O2256:O2259),"x"),0)</f>
        <v>0</v>
      </c>
      <c r="R2259" s="9">
        <f>IF(L2259&gt;2005,AVERAGE(O2256:O2275),0)</f>
        <v>0</v>
      </c>
      <c r="S2259" s="10">
        <f>IF(A2259=A2260,(N2259-N2260)/N2260,0)</f>
        <v>0</v>
      </c>
      <c r="T2259" s="10">
        <f>IF(L2259&gt;2005,(((N2259-N2279)/N2279)+1)^(1/5)-1,0)</f>
        <v>0</v>
      </c>
      <c r="U2259" s="10">
        <f t="shared" si="70"/>
        <v>0</v>
      </c>
      <c r="V2259" s="26">
        <f t="shared" si="71"/>
        <v>0</v>
      </c>
      <c r="W2259" s="3">
        <f>IF(A2259=A2260,N2259-N2260,0)</f>
        <v>0</v>
      </c>
      <c r="X2259" s="10">
        <f>IF(A2259=A2260,(N2259-N2260)/N2260,0)</f>
        <v>0</v>
      </c>
    </row>
    <row r="2260" spans="1:24" ht="16.5" customHeight="1">
      <c r="A2260" s="3" t="s">
        <v>48</v>
      </c>
      <c r="B2260" s="3">
        <f t="shared" si="64"/>
        <v>2008</v>
      </c>
      <c r="C2260" s="3">
        <f t="shared" si="65"/>
        <v>1</v>
      </c>
      <c r="D2260" s="20" t="str">
        <f t="shared" si="66"/>
        <v>ABM20081</v>
      </c>
      <c r="E2260" s="2">
        <v>39455</v>
      </c>
      <c r="F2260" s="3">
        <v>0.125</v>
      </c>
      <c r="G2260" s="2">
        <v>39482</v>
      </c>
      <c r="H2260" s="3">
        <v>2.4899999999999999E-2</v>
      </c>
      <c r="I2260" s="3">
        <v>4.1666666999999998E-2</v>
      </c>
      <c r="J2260" s="3">
        <v>5.0000000000000001E-3</v>
      </c>
      <c r="K2260" s="3">
        <f t="shared" si="67"/>
        <v>0</v>
      </c>
      <c r="L2260" s="3">
        <f t="shared" si="68"/>
        <v>2008</v>
      </c>
      <c r="M2260" s="20" t="str">
        <f>A2260&amp;L2260</f>
        <v>ABM2008</v>
      </c>
      <c r="N2260" s="3">
        <f>F2260</f>
        <v>0.125</v>
      </c>
      <c r="O2260" s="9">
        <f>H2260</f>
        <v>2.4899999999999999E-2</v>
      </c>
      <c r="P2260" s="10">
        <f t="shared" si="69"/>
        <v>2.0324999999999999E-2</v>
      </c>
      <c r="Q2260" s="10">
        <f>IF(K2260=0,IF(A2257=A2260,AVERAGE(O2257:O2260),"x"),0)</f>
        <v>2.3649999999999997E-2</v>
      </c>
      <c r="R2260" s="9">
        <f>IF(L2260&gt;2005,AVERAGE(O2257:O2276),0)</f>
        <v>2.1584999999999997E-2</v>
      </c>
      <c r="S2260" s="10">
        <f>IF(A2260=A2261,(N2260-N2261)/N2261,0)</f>
        <v>4.1666666666666706E-2</v>
      </c>
      <c r="T2260" s="10">
        <f>IF(L2260&gt;2005,(((N2260-N2280)/N2280)+1)^(1/5)-1,0)</f>
        <v>5.6421622299043017E-2</v>
      </c>
      <c r="U2260" s="10">
        <f t="shared" si="70"/>
        <v>7.800662229904301E-2</v>
      </c>
      <c r="V2260" s="26">
        <f t="shared" si="71"/>
        <v>4.7075529892751407</v>
      </c>
      <c r="W2260" s="3">
        <f>IF(A2260=A2261,N2260-N2261,0)</f>
        <v>5.0000000000000044E-3</v>
      </c>
      <c r="X2260" s="10">
        <f>IF(A2260=A2261,(N2260-N2261)/N2261,0)</f>
        <v>4.1666666666666706E-2</v>
      </c>
    </row>
    <row r="2261" spans="1:24" ht="16.5" customHeight="1">
      <c r="A2261" s="3" t="s">
        <v>48</v>
      </c>
      <c r="B2261" s="3">
        <f t="shared" si="64"/>
        <v>2007</v>
      </c>
      <c r="C2261" s="3">
        <f t="shared" si="65"/>
        <v>10</v>
      </c>
      <c r="D2261" s="20" t="str">
        <f t="shared" si="66"/>
        <v>ABM200710</v>
      </c>
      <c r="E2261" s="2">
        <v>39364</v>
      </c>
      <c r="F2261" s="3">
        <v>0.12</v>
      </c>
      <c r="G2261" s="2">
        <v>39391</v>
      </c>
      <c r="H2261" s="3">
        <v>2.07E-2</v>
      </c>
      <c r="I2261" s="3">
        <v>0</v>
      </c>
      <c r="J2261" s="3">
        <v>0</v>
      </c>
      <c r="K2261" s="3">
        <f t="shared" si="67"/>
        <v>2007</v>
      </c>
      <c r="L2261" s="3">
        <f t="shared" si="68"/>
        <v>0</v>
      </c>
      <c r="M2261" s="20" t="str">
        <f>A2261&amp;L2261</f>
        <v>ABM0</v>
      </c>
      <c r="N2261" s="3">
        <f>F2261</f>
        <v>0.12</v>
      </c>
      <c r="O2261" s="9">
        <f>H2261</f>
        <v>2.07E-2</v>
      </c>
      <c r="P2261" s="10">
        <f t="shared" si="69"/>
        <v>0</v>
      </c>
      <c r="Q2261" s="10">
        <f>IF(K2261=0,IF(A2258=A2261,AVERAGE(O2258:O2261),"x"),0)</f>
        <v>0</v>
      </c>
      <c r="R2261" s="9">
        <f>IF(L2261&gt;2005,AVERAGE(O2258:O2277),0)</f>
        <v>0</v>
      </c>
      <c r="S2261" s="10">
        <f>IF(A2261=A2262,(N2261-N2262)/N2262,0)</f>
        <v>0</v>
      </c>
      <c r="T2261" s="10">
        <f>IF(L2261&gt;2005,(((N2261-N2281)/N2281)+1)^(1/5)-1,0)</f>
        <v>0</v>
      </c>
      <c r="U2261" s="10">
        <f t="shared" si="70"/>
        <v>0</v>
      </c>
      <c r="V2261" s="26">
        <f t="shared" si="71"/>
        <v>0</v>
      </c>
      <c r="W2261" s="3">
        <f>IF(A2261=A2262,N2261-N2262,0)</f>
        <v>0</v>
      </c>
      <c r="X2261" s="10">
        <f>IF(A2261=A2262,(N2261-N2262)/N2262,0)</f>
        <v>0</v>
      </c>
    </row>
    <row r="2262" spans="1:24" ht="16.5" customHeight="1">
      <c r="A2262" s="3" t="s">
        <v>48</v>
      </c>
      <c r="B2262" s="3">
        <f t="shared" si="64"/>
        <v>2007</v>
      </c>
      <c r="C2262" s="3">
        <f t="shared" si="65"/>
        <v>7</v>
      </c>
      <c r="D2262" s="20" t="str">
        <f t="shared" si="66"/>
        <v>ABM20077</v>
      </c>
      <c r="E2262" s="2">
        <v>39265</v>
      </c>
      <c r="F2262" s="3">
        <v>0.12</v>
      </c>
      <c r="G2262" s="2">
        <v>39300</v>
      </c>
      <c r="H2262" s="3">
        <v>1.8200000000000001E-2</v>
      </c>
      <c r="I2262" s="3">
        <v>0</v>
      </c>
      <c r="J2262" s="3">
        <v>0</v>
      </c>
      <c r="K2262" s="3">
        <f t="shared" si="67"/>
        <v>2007</v>
      </c>
      <c r="L2262" s="3">
        <f t="shared" si="68"/>
        <v>0</v>
      </c>
      <c r="M2262" s="20" t="str">
        <f>A2262&amp;L2262</f>
        <v>ABM0</v>
      </c>
      <c r="N2262" s="3">
        <f>F2262</f>
        <v>0.12</v>
      </c>
      <c r="O2262" s="9">
        <f>H2262</f>
        <v>1.8200000000000001E-2</v>
      </c>
      <c r="P2262" s="10">
        <f t="shared" si="69"/>
        <v>0</v>
      </c>
      <c r="Q2262" s="10">
        <f>IF(K2262=0,IF(A2259=A2262,AVERAGE(O2259:O2262),"x"),0)</f>
        <v>0</v>
      </c>
      <c r="R2262" s="9">
        <f>IF(L2262&gt;2005,AVERAGE(O2259:O2278),0)</f>
        <v>0</v>
      </c>
      <c r="S2262" s="10">
        <f>IF(A2262=A2263,(N2262-N2263)/N2263,0)</f>
        <v>0</v>
      </c>
      <c r="T2262" s="10">
        <f>IF(L2262&gt;2005,(((N2262-N2282)/N2282)+1)^(1/5)-1,0)</f>
        <v>0</v>
      </c>
      <c r="U2262" s="10">
        <f t="shared" si="70"/>
        <v>0</v>
      </c>
      <c r="V2262" s="26">
        <f t="shared" si="71"/>
        <v>0</v>
      </c>
      <c r="W2262" s="3">
        <f>IF(A2262=A2263,N2262-N2263,0)</f>
        <v>0</v>
      </c>
      <c r="X2262" s="10">
        <f>IF(A2262=A2263,(N2262-N2263)/N2263,0)</f>
        <v>0</v>
      </c>
    </row>
    <row r="2263" spans="1:24" ht="16.5" customHeight="1">
      <c r="A2263" s="3" t="s">
        <v>48</v>
      </c>
      <c r="B2263" s="3">
        <f t="shared" si="64"/>
        <v>2007</v>
      </c>
      <c r="C2263" s="3">
        <f t="shared" si="65"/>
        <v>4</v>
      </c>
      <c r="D2263" s="20" t="str">
        <f t="shared" si="66"/>
        <v>ABM20074</v>
      </c>
      <c r="E2263" s="2">
        <v>39182</v>
      </c>
      <c r="F2263" s="3">
        <v>0.12</v>
      </c>
      <c r="G2263" s="2">
        <v>39209</v>
      </c>
      <c r="H2263" s="3">
        <v>1.7500000000000002E-2</v>
      </c>
      <c r="I2263" s="3">
        <v>0</v>
      </c>
      <c r="J2263" s="3">
        <v>0</v>
      </c>
      <c r="K2263" s="3">
        <f t="shared" si="67"/>
        <v>2007</v>
      </c>
      <c r="L2263" s="3">
        <f t="shared" si="68"/>
        <v>0</v>
      </c>
      <c r="M2263" s="20" t="str">
        <f>A2263&amp;L2263</f>
        <v>ABM0</v>
      </c>
      <c r="N2263" s="3">
        <f>F2263</f>
        <v>0.12</v>
      </c>
      <c r="O2263" s="9">
        <f>H2263</f>
        <v>1.7500000000000002E-2</v>
      </c>
      <c r="P2263" s="10">
        <f t="shared" si="69"/>
        <v>0</v>
      </c>
      <c r="Q2263" s="10">
        <f>IF(K2263=0,IF(A2260=A2263,AVERAGE(O2260:O2263),"x"),0)</f>
        <v>0</v>
      </c>
      <c r="R2263" s="9">
        <f>IF(L2263&gt;2005,AVERAGE(O2260:O2279),0)</f>
        <v>0</v>
      </c>
      <c r="S2263" s="10">
        <f>IF(A2263=A2264,(N2263-N2264)/N2264,0)</f>
        <v>0</v>
      </c>
      <c r="T2263" s="10">
        <f>IF(L2263&gt;2005,(((N2263-N2283)/N2283)+1)^(1/5)-1,0)</f>
        <v>0</v>
      </c>
      <c r="U2263" s="10">
        <f t="shared" si="70"/>
        <v>0</v>
      </c>
      <c r="V2263" s="26">
        <f t="shared" si="71"/>
        <v>0</v>
      </c>
      <c r="W2263" s="3">
        <f>IF(A2263=A2264,N2263-N2264,0)</f>
        <v>0</v>
      </c>
      <c r="X2263" s="10">
        <f>IF(A2263=A2264,(N2263-N2264)/N2264,0)</f>
        <v>0</v>
      </c>
    </row>
    <row r="2264" spans="1:24" ht="16.5" customHeight="1">
      <c r="A2264" s="3" t="s">
        <v>48</v>
      </c>
      <c r="B2264" s="3">
        <f t="shared" si="64"/>
        <v>2007</v>
      </c>
      <c r="C2264" s="3">
        <f t="shared" si="65"/>
        <v>1</v>
      </c>
      <c r="D2264" s="20" t="str">
        <f t="shared" si="66"/>
        <v>ABM20071</v>
      </c>
      <c r="E2264" s="2">
        <v>39092</v>
      </c>
      <c r="F2264" s="3">
        <v>0.12</v>
      </c>
      <c r="G2264" s="2">
        <v>39118</v>
      </c>
      <c r="H2264" s="3">
        <v>1.9400000000000001E-2</v>
      </c>
      <c r="I2264" s="3">
        <v>9.0909090999999997E-2</v>
      </c>
      <c r="J2264" s="3">
        <v>0.01</v>
      </c>
      <c r="K2264" s="3">
        <f t="shared" si="67"/>
        <v>0</v>
      </c>
      <c r="L2264" s="3">
        <f t="shared" si="68"/>
        <v>2007</v>
      </c>
      <c r="M2264" s="20" t="str">
        <f>A2264&amp;L2264</f>
        <v>ABM2007</v>
      </c>
      <c r="N2264" s="3">
        <f>F2264</f>
        <v>0.12</v>
      </c>
      <c r="O2264" s="9">
        <f>H2264</f>
        <v>1.9400000000000001E-2</v>
      </c>
      <c r="P2264" s="10">
        <f t="shared" si="69"/>
        <v>2.3050000000000001E-2</v>
      </c>
      <c r="Q2264" s="10">
        <f>IF(K2264=0,IF(A2261=A2264,AVERAGE(O2261:O2264),"x"),0)</f>
        <v>1.8950000000000002E-2</v>
      </c>
      <c r="R2264" s="9">
        <f>IF(L2264&gt;2005,AVERAGE(O2261:O2280),0)</f>
        <v>2.1785000000000002E-2</v>
      </c>
      <c r="S2264" s="10">
        <f>IF(A2264=A2265,(N2264-N2265)/N2265,0)</f>
        <v>9.090909090909087E-2</v>
      </c>
      <c r="T2264" s="10">
        <f>IF(L2264&gt;2005,(((N2264-N2284)/N2284)+1)^(1/5)-1,0)</f>
        <v>5.9223841048812176E-2</v>
      </c>
      <c r="U2264" s="10">
        <f t="shared" si="70"/>
        <v>8.1008841048812175E-2</v>
      </c>
      <c r="V2264" s="26">
        <f t="shared" si="71"/>
        <v>4.7057135886411103</v>
      </c>
      <c r="W2264" s="3">
        <f>IF(A2264=A2265,N2264-N2265,0)</f>
        <v>9.999999999999995E-3</v>
      </c>
      <c r="X2264" s="10">
        <f>IF(A2264=A2265,(N2264-N2265)/N2265,0)</f>
        <v>9.090909090909087E-2</v>
      </c>
    </row>
    <row r="2265" spans="1:24" ht="16.5" customHeight="1">
      <c r="A2265" s="3" t="s">
        <v>48</v>
      </c>
      <c r="B2265" s="3">
        <f t="shared" si="64"/>
        <v>2006</v>
      </c>
      <c r="C2265" s="3">
        <f t="shared" si="65"/>
        <v>10</v>
      </c>
      <c r="D2265" s="20" t="str">
        <f t="shared" si="66"/>
        <v>ABM200610</v>
      </c>
      <c r="E2265" s="2">
        <v>39001</v>
      </c>
      <c r="F2265" s="3">
        <v>0.11</v>
      </c>
      <c r="G2265" s="2">
        <v>39027</v>
      </c>
      <c r="H2265" s="3">
        <v>2.29E-2</v>
      </c>
      <c r="I2265" s="3">
        <v>0</v>
      </c>
      <c r="J2265" s="3">
        <v>0</v>
      </c>
      <c r="K2265" s="3">
        <f t="shared" si="67"/>
        <v>2006</v>
      </c>
      <c r="L2265" s="3">
        <f t="shared" si="68"/>
        <v>0</v>
      </c>
      <c r="M2265" s="20" t="str">
        <f>A2265&amp;L2265</f>
        <v>ABM0</v>
      </c>
      <c r="N2265" s="3">
        <f>F2265</f>
        <v>0.11</v>
      </c>
      <c r="O2265" s="9">
        <f>H2265</f>
        <v>2.29E-2</v>
      </c>
      <c r="P2265" s="10">
        <f t="shared" si="69"/>
        <v>0</v>
      </c>
      <c r="Q2265" s="10">
        <f>IF(K2265=0,IF(A2262=A2265,AVERAGE(O2262:O2265),"x"),0)</f>
        <v>0</v>
      </c>
      <c r="R2265" s="9">
        <f>IF(L2265&gt;2005,AVERAGE(O2262:O2281),0)</f>
        <v>0</v>
      </c>
      <c r="S2265" s="10">
        <f>IF(A2265=A2266,(N2265-N2266)/N2266,0)</f>
        <v>0</v>
      </c>
      <c r="T2265" s="10">
        <f>IF(L2265&gt;2005,(((N2265-N2285)/N2285)+1)^(1/5)-1,0)</f>
        <v>0</v>
      </c>
      <c r="U2265" s="10">
        <f t="shared" si="70"/>
        <v>0</v>
      </c>
      <c r="V2265" s="26">
        <f t="shared" si="71"/>
        <v>0</v>
      </c>
      <c r="W2265" s="3">
        <f>IF(A2265=A2266,N2265-N2266,0)</f>
        <v>0</v>
      </c>
      <c r="X2265" s="10">
        <f>IF(A2265=A2266,(N2265-N2266)/N2266,0)</f>
        <v>0</v>
      </c>
    </row>
    <row r="2266" spans="1:24" ht="16.5" customHeight="1">
      <c r="A2266" s="3" t="s">
        <v>48</v>
      </c>
      <c r="B2266" s="3">
        <f t="shared" si="64"/>
        <v>2006</v>
      </c>
      <c r="C2266" s="3">
        <f t="shared" si="65"/>
        <v>7</v>
      </c>
      <c r="D2266" s="20" t="str">
        <f t="shared" si="66"/>
        <v>ABM20067</v>
      </c>
      <c r="E2266" s="2">
        <v>38903</v>
      </c>
      <c r="F2266" s="3">
        <v>0.11</v>
      </c>
      <c r="G2266" s="2">
        <v>38936</v>
      </c>
      <c r="H2266" s="3">
        <v>2.53E-2</v>
      </c>
      <c r="I2266" s="3">
        <v>0</v>
      </c>
      <c r="J2266" s="3">
        <v>0</v>
      </c>
      <c r="K2266" s="3">
        <f t="shared" si="67"/>
        <v>2006</v>
      </c>
      <c r="L2266" s="3">
        <f t="shared" si="68"/>
        <v>0</v>
      </c>
      <c r="M2266" s="20" t="str">
        <f>A2266&amp;L2266</f>
        <v>ABM0</v>
      </c>
      <c r="N2266" s="3">
        <f>F2266</f>
        <v>0.11</v>
      </c>
      <c r="O2266" s="9">
        <f>H2266</f>
        <v>2.53E-2</v>
      </c>
      <c r="P2266" s="10">
        <f t="shared" si="69"/>
        <v>0</v>
      </c>
      <c r="Q2266" s="10">
        <f>IF(K2266=0,IF(A2263=A2266,AVERAGE(O2263:O2266),"x"),0)</f>
        <v>0</v>
      </c>
      <c r="R2266" s="9">
        <f>IF(L2266&gt;2005,AVERAGE(O2263:O2282),0)</f>
        <v>0</v>
      </c>
      <c r="S2266" s="10">
        <f>IF(A2266=A2267,(N2266-N2267)/N2267,0)</f>
        <v>0</v>
      </c>
      <c r="T2266" s="10">
        <f>IF(L2266&gt;2005,(((N2266-N2286)/N2286)+1)^(1/5)-1,0)</f>
        <v>0</v>
      </c>
      <c r="U2266" s="10">
        <f t="shared" si="70"/>
        <v>0</v>
      </c>
      <c r="V2266" s="26">
        <f t="shared" si="71"/>
        <v>0</v>
      </c>
      <c r="W2266" s="3">
        <f>IF(A2266=A2267,N2266-N2267,0)</f>
        <v>0</v>
      </c>
      <c r="X2266" s="10">
        <f>IF(A2266=A2267,(N2266-N2267)/N2267,0)</f>
        <v>0</v>
      </c>
    </row>
    <row r="2267" spans="1:24" ht="16.5" customHeight="1">
      <c r="A2267" s="3" t="s">
        <v>48</v>
      </c>
      <c r="B2267" s="3">
        <f t="shared" si="64"/>
        <v>2006</v>
      </c>
      <c r="C2267" s="3">
        <f t="shared" si="65"/>
        <v>4</v>
      </c>
      <c r="D2267" s="20" t="str">
        <f t="shared" si="66"/>
        <v>ABM20064</v>
      </c>
      <c r="E2267" s="2">
        <v>38818</v>
      </c>
      <c r="F2267" s="3">
        <v>0.11</v>
      </c>
      <c r="G2267" s="2">
        <v>38845</v>
      </c>
      <c r="H2267" s="3">
        <v>2.46E-2</v>
      </c>
      <c r="I2267" s="3">
        <v>0</v>
      </c>
      <c r="J2267" s="3">
        <v>0</v>
      </c>
      <c r="K2267" s="3">
        <f t="shared" si="67"/>
        <v>2006</v>
      </c>
      <c r="L2267" s="3">
        <f t="shared" si="68"/>
        <v>0</v>
      </c>
      <c r="M2267" s="20" t="str">
        <f>A2267&amp;L2267</f>
        <v>ABM0</v>
      </c>
      <c r="N2267" s="3">
        <f>F2267</f>
        <v>0.11</v>
      </c>
      <c r="O2267" s="9">
        <f>H2267</f>
        <v>2.46E-2</v>
      </c>
      <c r="P2267" s="10">
        <f t="shared" si="69"/>
        <v>0</v>
      </c>
      <c r="Q2267" s="10">
        <f>IF(K2267=0,IF(A2264=A2267,AVERAGE(O2264:O2267),"x"),0)</f>
        <v>0</v>
      </c>
      <c r="R2267" s="9">
        <f>IF(L2267&gt;2005,AVERAGE(O2264:O2283),0)</f>
        <v>0</v>
      </c>
      <c r="S2267" s="10">
        <f>IF(A2267=A2268,(N2267-N2268)/N2268,0)</f>
        <v>0</v>
      </c>
      <c r="T2267" s="10">
        <f>IF(L2267&gt;2005,(((N2267-N2287)/N2287)+1)^(1/5)-1,0)</f>
        <v>0</v>
      </c>
      <c r="U2267" s="10">
        <f t="shared" si="70"/>
        <v>0</v>
      </c>
      <c r="V2267" s="26">
        <f t="shared" si="71"/>
        <v>0</v>
      </c>
      <c r="W2267" s="3">
        <f>IF(A2267=A2268,N2267-N2268,0)</f>
        <v>0</v>
      </c>
      <c r="X2267" s="10">
        <f>IF(A2267=A2268,(N2267-N2268)/N2268,0)</f>
        <v>0</v>
      </c>
    </row>
    <row r="2268" spans="1:24" ht="16.5" customHeight="1">
      <c r="A2268" s="3" t="s">
        <v>48</v>
      </c>
      <c r="B2268" s="3">
        <f t="shared" si="64"/>
        <v>2006</v>
      </c>
      <c r="C2268" s="3">
        <f t="shared" si="65"/>
        <v>1</v>
      </c>
      <c r="D2268" s="20" t="str">
        <f t="shared" si="66"/>
        <v>ABM20061</v>
      </c>
      <c r="E2268" s="2">
        <v>38728</v>
      </c>
      <c r="F2268" s="3">
        <v>0.11</v>
      </c>
      <c r="G2268" s="2">
        <v>38754</v>
      </c>
      <c r="H2268" s="3">
        <v>2.0899999999999998E-2</v>
      </c>
      <c r="I2268" s="3">
        <v>4.7619047999999997E-2</v>
      </c>
      <c r="J2268" s="3">
        <v>5.0000000000000001E-3</v>
      </c>
      <c r="K2268" s="3">
        <f t="shared" si="67"/>
        <v>0</v>
      </c>
      <c r="L2268" s="3">
        <f t="shared" si="68"/>
        <v>2006</v>
      </c>
      <c r="M2268" s="20" t="str">
        <f>A2268&amp;L2268</f>
        <v>ABM2006</v>
      </c>
      <c r="N2268" s="3">
        <f>F2268</f>
        <v>0.11</v>
      </c>
      <c r="O2268" s="9">
        <f>H2268</f>
        <v>2.0899999999999998E-2</v>
      </c>
      <c r="P2268" s="10">
        <f t="shared" si="69"/>
        <v>2.1075E-2</v>
      </c>
      <c r="Q2268" s="10">
        <f>IF(K2268=0,IF(A2265=A2268,AVERAGE(O2265:O2268),"x"),0)</f>
        <v>2.3425000000000001E-2</v>
      </c>
      <c r="R2268" s="9">
        <f>IF(L2268&gt;2005,AVERAGE(O2265:O2284),0)</f>
        <v>2.2745000000000001E-2</v>
      </c>
      <c r="S2268" s="10">
        <f>IF(A2268=A2269,(N2268-N2269)/N2269,0)</f>
        <v>4.7619047619047665E-2</v>
      </c>
      <c r="T2268" s="10">
        <f>IF(L2268&gt;2005,(((N2268-N2288)/N2288)+1)^(1/5)-1,0)</f>
        <v>5.9223841048812176E-2</v>
      </c>
      <c r="U2268" s="10">
        <f t="shared" si="70"/>
        <v>8.1968841048812177E-2</v>
      </c>
      <c r="V2268" s="26">
        <f t="shared" si="71"/>
        <v>4.6933722575907542</v>
      </c>
      <c r="W2268" s="3">
        <f>IF(A2268=A2269,N2268-N2269,0)</f>
        <v>5.0000000000000044E-3</v>
      </c>
      <c r="X2268" s="10">
        <f>IF(A2268=A2269,(N2268-N2269)/N2269,0)</f>
        <v>4.7619047619047665E-2</v>
      </c>
    </row>
    <row r="2269" spans="1:24" ht="16.5" customHeight="1">
      <c r="A2269" s="3" t="s">
        <v>48</v>
      </c>
      <c r="B2269" s="3">
        <f t="shared" si="64"/>
        <v>2005</v>
      </c>
      <c r="C2269" s="3">
        <f t="shared" si="65"/>
        <v>10</v>
      </c>
      <c r="D2269" s="20" t="str">
        <f t="shared" si="66"/>
        <v>ABM200510</v>
      </c>
      <c r="E2269" s="2">
        <v>38637</v>
      </c>
      <c r="F2269" s="3">
        <v>0.105</v>
      </c>
      <c r="G2269" s="2">
        <v>38663</v>
      </c>
      <c r="H2269" s="3">
        <v>2.12E-2</v>
      </c>
      <c r="I2269" s="3">
        <v>0</v>
      </c>
      <c r="J2269" s="3">
        <v>0</v>
      </c>
      <c r="K2269" s="3">
        <f t="shared" si="67"/>
        <v>2005</v>
      </c>
      <c r="L2269" s="3">
        <f t="shared" si="68"/>
        <v>0</v>
      </c>
      <c r="M2269" s="20" t="str">
        <f>A2269&amp;L2269</f>
        <v>ABM0</v>
      </c>
      <c r="N2269" s="3">
        <f>F2269</f>
        <v>0.105</v>
      </c>
      <c r="O2269" s="9">
        <f>H2269</f>
        <v>2.12E-2</v>
      </c>
      <c r="P2269" s="10">
        <f t="shared" si="69"/>
        <v>0</v>
      </c>
      <c r="Q2269" s="10">
        <f>IF(K2269=0,IF(A2266=A2269,AVERAGE(O2266:O2269),"x"),0)</f>
        <v>0</v>
      </c>
      <c r="R2269" s="9">
        <f>IF(L2269&gt;2005,AVERAGE(O2266:O2285),0)</f>
        <v>0</v>
      </c>
      <c r="S2269" s="10">
        <f>IF(A2269=A2270,(N2269-N2270)/N2270,0)</f>
        <v>0</v>
      </c>
      <c r="T2269" s="10">
        <f>IF(L2269&gt;2005,(((N2269-N2289)/N2289)+1)^(1/5)-1,0)</f>
        <v>0</v>
      </c>
      <c r="U2269" s="10">
        <f t="shared" si="70"/>
        <v>0</v>
      </c>
      <c r="V2269" s="26">
        <f t="shared" si="71"/>
        <v>0</v>
      </c>
      <c r="W2269" s="3">
        <f>IF(A2269=A2270,N2269-N2270,0)</f>
        <v>0</v>
      </c>
      <c r="X2269" s="10">
        <f>IF(A2269=A2270,(N2269-N2270)/N2270,0)</f>
        <v>0</v>
      </c>
    </row>
    <row r="2270" spans="1:24" ht="16.5" customHeight="1">
      <c r="A2270" s="3" t="s">
        <v>48</v>
      </c>
      <c r="B2270" s="3">
        <f t="shared" si="64"/>
        <v>2005</v>
      </c>
      <c r="C2270" s="3">
        <f t="shared" si="65"/>
        <v>7</v>
      </c>
      <c r="D2270" s="20" t="str">
        <f t="shared" si="66"/>
        <v>ABM20057</v>
      </c>
      <c r="E2270" s="2">
        <v>38539</v>
      </c>
      <c r="F2270" s="3">
        <v>0.105</v>
      </c>
      <c r="G2270" s="2">
        <v>38565</v>
      </c>
      <c r="H2270" s="3">
        <v>2.1000000000000001E-2</v>
      </c>
      <c r="I2270" s="3">
        <v>0</v>
      </c>
      <c r="J2270" s="3">
        <v>0</v>
      </c>
      <c r="K2270" s="3">
        <f t="shared" si="67"/>
        <v>2005</v>
      </c>
      <c r="L2270" s="3">
        <f t="shared" si="68"/>
        <v>0</v>
      </c>
      <c r="M2270" s="20" t="str">
        <f>A2270&amp;L2270</f>
        <v>ABM0</v>
      </c>
      <c r="N2270" s="3">
        <f>F2270</f>
        <v>0.105</v>
      </c>
      <c r="O2270" s="9">
        <f>H2270</f>
        <v>2.1000000000000001E-2</v>
      </c>
      <c r="P2270" s="10">
        <f t="shared" si="69"/>
        <v>0</v>
      </c>
      <c r="Q2270" s="10">
        <f>IF(K2270=0,IF(A2267=A2270,AVERAGE(O2267:O2270),"x"),0)</f>
        <v>0</v>
      </c>
      <c r="R2270" s="9">
        <f>IF(L2270&gt;2005,AVERAGE(O2267:O2286),0)</f>
        <v>0</v>
      </c>
      <c r="S2270" s="10">
        <f>IF(A2270=A2271,(N2270-N2271)/N2271,0)</f>
        <v>0</v>
      </c>
      <c r="T2270" s="10">
        <f>IF(L2270&gt;2005,(((N2270-N2290)/N2290)+1)^(1/5)-1,0)</f>
        <v>0</v>
      </c>
      <c r="U2270" s="10">
        <f t="shared" si="70"/>
        <v>0</v>
      </c>
      <c r="V2270" s="26">
        <f t="shared" si="71"/>
        <v>0</v>
      </c>
      <c r="W2270" s="3">
        <f>IF(A2270=A2271,N2270-N2271,0)</f>
        <v>0</v>
      </c>
      <c r="X2270" s="10">
        <f>IF(A2270=A2271,(N2270-N2271)/N2271,0)</f>
        <v>0</v>
      </c>
    </row>
    <row r="2271" spans="1:24" ht="16.5" customHeight="1">
      <c r="A2271" s="3" t="s">
        <v>48</v>
      </c>
      <c r="B2271" s="3">
        <f t="shared" si="64"/>
        <v>2005</v>
      </c>
      <c r="C2271" s="3">
        <f t="shared" si="65"/>
        <v>4</v>
      </c>
      <c r="D2271" s="20" t="str">
        <f t="shared" si="66"/>
        <v>ABM20054</v>
      </c>
      <c r="E2271" s="2">
        <v>38448</v>
      </c>
      <c r="F2271" s="3">
        <v>0.105</v>
      </c>
      <c r="G2271" s="2">
        <v>38474</v>
      </c>
      <c r="H2271" s="3">
        <v>2.12E-2</v>
      </c>
      <c r="I2271" s="3">
        <v>0</v>
      </c>
      <c r="J2271" s="3">
        <v>0</v>
      </c>
      <c r="K2271" s="3">
        <f t="shared" si="67"/>
        <v>2005</v>
      </c>
      <c r="L2271" s="3">
        <f t="shared" si="68"/>
        <v>0</v>
      </c>
      <c r="M2271" s="20" t="str">
        <f>A2271&amp;L2271</f>
        <v>ABM0</v>
      </c>
      <c r="N2271" s="3">
        <f>F2271</f>
        <v>0.105</v>
      </c>
      <c r="O2271" s="9">
        <f>H2271</f>
        <v>2.12E-2</v>
      </c>
      <c r="P2271" s="10">
        <f t="shared" si="69"/>
        <v>0</v>
      </c>
      <c r="Q2271" s="10">
        <f>IF(K2271=0,IF(A2268=A2271,AVERAGE(O2268:O2271),"x"),0)</f>
        <v>0</v>
      </c>
      <c r="R2271" s="9">
        <f>IF(L2271&gt;2005,AVERAGE(O2268:O2287),0)</f>
        <v>0</v>
      </c>
      <c r="S2271" s="10">
        <f>IF(A2271=A2272,(N2271-N2272)/N2272,0)</f>
        <v>0</v>
      </c>
      <c r="T2271" s="10">
        <f>IF(L2271&gt;2005,(((N2271-N2291)/N2291)+1)^(1/5)-1,0)</f>
        <v>0</v>
      </c>
      <c r="U2271" s="10">
        <f t="shared" si="70"/>
        <v>0</v>
      </c>
      <c r="V2271" s="26">
        <f t="shared" si="71"/>
        <v>0</v>
      </c>
      <c r="W2271" s="3">
        <f>IF(A2271=A2272,N2271-N2272,0)</f>
        <v>0</v>
      </c>
      <c r="X2271" s="10">
        <f>IF(A2271=A2272,(N2271-N2272)/N2272,0)</f>
        <v>0</v>
      </c>
    </row>
    <row r="2272" spans="1:24" ht="16.5" customHeight="1">
      <c r="A2272" s="3" t="s">
        <v>48</v>
      </c>
      <c r="B2272" s="3">
        <f t="shared" si="64"/>
        <v>2005</v>
      </c>
      <c r="C2272" s="3">
        <f t="shared" si="65"/>
        <v>1</v>
      </c>
      <c r="D2272" s="20" t="str">
        <f t="shared" si="66"/>
        <v>ABM20051</v>
      </c>
      <c r="E2272" s="2">
        <v>38364</v>
      </c>
      <c r="F2272" s="3">
        <v>0.105</v>
      </c>
      <c r="G2272" s="2">
        <v>38390</v>
      </c>
      <c r="H2272" s="3">
        <v>2.1899999999999999E-2</v>
      </c>
      <c r="I2272" s="3">
        <v>0.05</v>
      </c>
      <c r="J2272" s="3">
        <v>5.0000000000000001E-3</v>
      </c>
      <c r="K2272" s="3">
        <f t="shared" si="67"/>
        <v>0</v>
      </c>
      <c r="L2272" s="3">
        <f t="shared" si="68"/>
        <v>2005</v>
      </c>
      <c r="M2272" s="20" t="str">
        <f>A2272&amp;L2272</f>
        <v>ABM2005</v>
      </c>
      <c r="N2272" s="3">
        <f>F2272</f>
        <v>0.105</v>
      </c>
      <c r="O2272" s="9">
        <f>H2272</f>
        <v>2.1899999999999999E-2</v>
      </c>
      <c r="P2272" s="10">
        <f t="shared" si="69"/>
        <v>2.0725E-2</v>
      </c>
      <c r="Q2272" s="10">
        <f>IF(K2272=0,IF(A2269=A2272,AVERAGE(O2269:O2272),"x"),0)</f>
        <v>2.1325E-2</v>
      </c>
      <c r="R2272" s="9">
        <f>IF(L2272&gt;2005,AVERAGE(O2269:O2288),0)</f>
        <v>0</v>
      </c>
      <c r="S2272" s="10">
        <f>IF(A2272=A2273,(N2272-N2273)/N2273,0)</f>
        <v>4.9999999999999906E-2</v>
      </c>
      <c r="T2272" s="10">
        <f>IF(L2272&gt;2005,(((N2272-N2292)/N2292)+1)^(1/5)-1,0)</f>
        <v>0</v>
      </c>
      <c r="U2272" s="10">
        <f t="shared" si="70"/>
        <v>0</v>
      </c>
      <c r="V2272" s="26">
        <f t="shared" si="71"/>
        <v>0</v>
      </c>
      <c r="W2272" s="3">
        <f>IF(A2272=A2273,N2272-N2273,0)</f>
        <v>4.9999999999999906E-3</v>
      </c>
      <c r="X2272" s="10">
        <f>IF(A2272=A2273,(N2272-N2273)/N2273,0)</f>
        <v>4.9999999999999906E-2</v>
      </c>
    </row>
    <row r="2273" spans="1:24" ht="16.5" customHeight="1">
      <c r="A2273" s="3" t="s">
        <v>48</v>
      </c>
      <c r="B2273" s="3">
        <f t="shared" si="64"/>
        <v>2004</v>
      </c>
      <c r="C2273" s="3">
        <f t="shared" si="65"/>
        <v>10</v>
      </c>
      <c r="D2273" s="20" t="str">
        <f t="shared" si="66"/>
        <v>ABM200410</v>
      </c>
      <c r="E2273" s="2">
        <v>38266</v>
      </c>
      <c r="F2273" s="3">
        <v>0.1</v>
      </c>
      <c r="G2273" s="2">
        <v>38292</v>
      </c>
      <c r="H2273" s="3">
        <v>1.9300000000000001E-2</v>
      </c>
      <c r="I2273" s="3">
        <v>0</v>
      </c>
      <c r="J2273" s="3">
        <v>0</v>
      </c>
      <c r="K2273" s="3">
        <f t="shared" si="67"/>
        <v>2004</v>
      </c>
      <c r="L2273" s="3">
        <f t="shared" si="68"/>
        <v>0</v>
      </c>
      <c r="M2273" s="20" t="str">
        <f>A2273&amp;L2273</f>
        <v>ABM0</v>
      </c>
      <c r="N2273" s="3">
        <f>F2273</f>
        <v>0.1</v>
      </c>
      <c r="O2273" s="9">
        <f>H2273</f>
        <v>1.9300000000000001E-2</v>
      </c>
      <c r="P2273" s="10">
        <f t="shared" si="69"/>
        <v>0</v>
      </c>
      <c r="Q2273" s="10">
        <f>IF(K2273=0,IF(A2270=A2273,AVERAGE(O2270:O2273),"x"),0)</f>
        <v>0</v>
      </c>
      <c r="R2273" s="9">
        <f>IF(L2273&gt;2005,AVERAGE(O2270:O2289),0)</f>
        <v>0</v>
      </c>
      <c r="S2273" s="10">
        <f>IF(A2273=A2274,(N2273-N2274)/N2274,0)</f>
        <v>0</v>
      </c>
      <c r="T2273" s="10">
        <f>IF(L2273&gt;2005,(((N2273-N2293)/N2293)+1)^(1/5)-1,0)</f>
        <v>0</v>
      </c>
      <c r="U2273" s="10">
        <f t="shared" si="70"/>
        <v>0</v>
      </c>
      <c r="V2273" s="26">
        <f t="shared" si="71"/>
        <v>0</v>
      </c>
      <c r="W2273" s="3">
        <f>IF(A2273=A2274,N2273-N2274,0)</f>
        <v>0</v>
      </c>
      <c r="X2273" s="10">
        <f>IF(A2273=A2274,(N2273-N2274)/N2274,0)</f>
        <v>0</v>
      </c>
    </row>
    <row r="2274" spans="1:24" ht="16.5" customHeight="1">
      <c r="A2274" s="3" t="s">
        <v>48</v>
      </c>
      <c r="B2274" s="3">
        <f t="shared" si="64"/>
        <v>2004</v>
      </c>
      <c r="C2274" s="3">
        <f t="shared" si="65"/>
        <v>7</v>
      </c>
      <c r="D2274" s="20" t="str">
        <f t="shared" si="66"/>
        <v>ABM20047</v>
      </c>
      <c r="E2274" s="2">
        <v>38176</v>
      </c>
      <c r="F2274" s="3">
        <v>0.1</v>
      </c>
      <c r="G2274" s="2">
        <v>38201</v>
      </c>
      <c r="H2274" s="3">
        <v>2.0500000000000001E-2</v>
      </c>
      <c r="I2274" s="3">
        <v>0</v>
      </c>
      <c r="J2274" s="3">
        <v>0</v>
      </c>
      <c r="K2274" s="3">
        <f t="shared" si="67"/>
        <v>2004</v>
      </c>
      <c r="L2274" s="3">
        <f t="shared" si="68"/>
        <v>0</v>
      </c>
      <c r="M2274" s="20" t="str">
        <f>A2274&amp;L2274</f>
        <v>ABM0</v>
      </c>
      <c r="N2274" s="3">
        <f>F2274</f>
        <v>0.1</v>
      </c>
      <c r="O2274" s="9">
        <f>H2274</f>
        <v>2.0500000000000001E-2</v>
      </c>
      <c r="P2274" s="10">
        <f t="shared" si="69"/>
        <v>0</v>
      </c>
      <c r="Q2274" s="10">
        <f>IF(K2274=0,IF(A2271=A2274,AVERAGE(O2271:O2274),"x"),0)</f>
        <v>0</v>
      </c>
      <c r="R2274" s="9">
        <f>IF(L2274&gt;2005,AVERAGE(O2271:O2290),0)</f>
        <v>0</v>
      </c>
      <c r="S2274" s="10">
        <f>IF(A2274=A2275,(N2274-N2275)/N2275,0)</f>
        <v>0</v>
      </c>
      <c r="T2274" s="10">
        <f>IF(L2274&gt;2005,(((N2274-N2294)/N2294)+1)^(1/5)-1,0)</f>
        <v>0</v>
      </c>
      <c r="U2274" s="10">
        <f t="shared" si="70"/>
        <v>0</v>
      </c>
      <c r="V2274" s="26">
        <f t="shared" si="71"/>
        <v>0</v>
      </c>
      <c r="W2274" s="3">
        <f>IF(A2274=A2275,N2274-N2275,0)</f>
        <v>0</v>
      </c>
      <c r="X2274" s="10">
        <f>IF(A2274=A2275,(N2274-N2275)/N2275,0)</f>
        <v>0</v>
      </c>
    </row>
    <row r="2275" spans="1:24" ht="16.5" customHeight="1">
      <c r="A2275" s="3" t="s">
        <v>48</v>
      </c>
      <c r="B2275" s="3">
        <f t="shared" si="64"/>
        <v>2004</v>
      </c>
      <c r="C2275" s="3">
        <f t="shared" si="65"/>
        <v>4</v>
      </c>
      <c r="D2275" s="20" t="str">
        <f t="shared" si="66"/>
        <v>ABM20044</v>
      </c>
      <c r="E2275" s="2">
        <v>38084</v>
      </c>
      <c r="F2275" s="3">
        <v>0.1</v>
      </c>
      <c r="G2275" s="2">
        <v>38110</v>
      </c>
      <c r="H2275" s="3">
        <v>2.12E-2</v>
      </c>
      <c r="I2275" s="3">
        <v>0</v>
      </c>
      <c r="J2275" s="3">
        <v>0</v>
      </c>
      <c r="K2275" s="3">
        <f t="shared" si="67"/>
        <v>2004</v>
      </c>
      <c r="L2275" s="3">
        <f t="shared" si="68"/>
        <v>0</v>
      </c>
      <c r="M2275" s="20" t="str">
        <f>A2275&amp;L2275</f>
        <v>ABM0</v>
      </c>
      <c r="N2275" s="3">
        <f>F2275</f>
        <v>0.1</v>
      </c>
      <c r="O2275" s="9">
        <f>H2275</f>
        <v>2.12E-2</v>
      </c>
      <c r="P2275" s="10">
        <f t="shared" si="69"/>
        <v>0</v>
      </c>
      <c r="Q2275" s="10">
        <f>IF(K2275=0,IF(A2272=A2275,AVERAGE(O2272:O2275),"x"),0)</f>
        <v>0</v>
      </c>
      <c r="R2275" s="9">
        <f>IF(L2275&gt;2005,AVERAGE(O2272:O2291),0)</f>
        <v>0</v>
      </c>
      <c r="S2275" s="10">
        <f>IF(A2275=A2276,(N2275-N2276)/N2276,0)</f>
        <v>0</v>
      </c>
      <c r="T2275" s="10">
        <f>IF(L2275&gt;2005,(((N2275-N2295)/N2295)+1)^(1/5)-1,0)</f>
        <v>0</v>
      </c>
      <c r="U2275" s="10">
        <f t="shared" si="70"/>
        <v>0</v>
      </c>
      <c r="V2275" s="26">
        <f t="shared" si="71"/>
        <v>0</v>
      </c>
      <c r="W2275" s="3">
        <f>IF(A2275=A2276,N2275-N2276,0)</f>
        <v>0</v>
      </c>
      <c r="X2275" s="10">
        <f>IF(A2275=A2276,(N2275-N2276)/N2276,0)</f>
        <v>0</v>
      </c>
    </row>
    <row r="2276" spans="1:24" ht="16.5" customHeight="1">
      <c r="A2276" s="3" t="s">
        <v>48</v>
      </c>
      <c r="B2276" s="3">
        <f t="shared" si="64"/>
        <v>2004</v>
      </c>
      <c r="C2276" s="3">
        <f t="shared" si="65"/>
        <v>1</v>
      </c>
      <c r="D2276" s="20" t="str">
        <f t="shared" si="66"/>
        <v>ABM20041</v>
      </c>
      <c r="E2276" s="2">
        <v>37994</v>
      </c>
      <c r="F2276" s="3">
        <v>0.1</v>
      </c>
      <c r="G2276" s="2">
        <v>38019</v>
      </c>
      <c r="H2276" s="3">
        <v>2.1299999999999999E-2</v>
      </c>
      <c r="I2276" s="3">
        <v>5.2631578999999998E-2</v>
      </c>
      <c r="J2276" s="3">
        <v>5.0000000000000001E-3</v>
      </c>
      <c r="K2276" s="3">
        <f t="shared" si="67"/>
        <v>0</v>
      </c>
      <c r="L2276" s="3">
        <f t="shared" si="68"/>
        <v>2004</v>
      </c>
      <c r="M2276" s="20" t="str">
        <f>A2276&amp;L2276</f>
        <v>ABM2004</v>
      </c>
      <c r="N2276" s="3">
        <f>F2276</f>
        <v>0.1</v>
      </c>
      <c r="O2276" s="9">
        <f>H2276</f>
        <v>2.1299999999999999E-2</v>
      </c>
      <c r="P2276" s="10">
        <f t="shared" si="69"/>
        <v>2.4225E-2</v>
      </c>
      <c r="Q2276" s="10">
        <f>IF(K2276=0,IF(A2273=A2276,AVERAGE(O2273:O2276),"x"),0)</f>
        <v>2.0575E-2</v>
      </c>
      <c r="R2276" s="9">
        <f>IF(L2276&gt;2005,AVERAGE(O2273:O2292),0)</f>
        <v>0</v>
      </c>
      <c r="S2276" s="10">
        <f>IF(A2276=A2277,(N2276-N2277)/N2277,0)</f>
        <v>5.2631578947368467E-2</v>
      </c>
      <c r="T2276" s="10">
        <f>IF(L2276&gt;2005,(((N2276-N2296)/N2296)+1)^(1/5)-1,0)</f>
        <v>0</v>
      </c>
      <c r="U2276" s="10">
        <f t="shared" si="70"/>
        <v>0</v>
      </c>
      <c r="V2276" s="26">
        <f t="shared" si="71"/>
        <v>0</v>
      </c>
      <c r="W2276" s="3">
        <f>IF(A2276=A2277,N2276-N2277,0)</f>
        <v>5.0000000000000044E-3</v>
      </c>
      <c r="X2276" s="10">
        <f>IF(A2276=A2277,(N2276-N2277)/N2277,0)</f>
        <v>5.2631578947368467E-2</v>
      </c>
    </row>
    <row r="2277" spans="1:24" ht="16.5" customHeight="1">
      <c r="A2277" s="3" t="s">
        <v>48</v>
      </c>
      <c r="B2277" s="3">
        <f t="shared" si="64"/>
        <v>2003</v>
      </c>
      <c r="C2277" s="3">
        <f t="shared" si="65"/>
        <v>10</v>
      </c>
      <c r="D2277" s="20" t="str">
        <f t="shared" si="66"/>
        <v>ABM200310</v>
      </c>
      <c r="E2277" s="2">
        <v>37902</v>
      </c>
      <c r="F2277" s="3">
        <v>9.5000000000000001E-2</v>
      </c>
      <c r="G2277" s="2">
        <v>37928</v>
      </c>
      <c r="H2277" s="3">
        <v>2.5000000000000001E-2</v>
      </c>
      <c r="I2277" s="3">
        <v>0</v>
      </c>
      <c r="J2277" s="3">
        <v>0</v>
      </c>
      <c r="K2277" s="3">
        <f t="shared" si="67"/>
        <v>2003</v>
      </c>
      <c r="L2277" s="3">
        <f t="shared" si="68"/>
        <v>0</v>
      </c>
      <c r="M2277" s="20" t="str">
        <f>A2277&amp;L2277</f>
        <v>ABM0</v>
      </c>
      <c r="N2277" s="3">
        <f>F2277</f>
        <v>9.5000000000000001E-2</v>
      </c>
      <c r="O2277" s="9">
        <f>H2277</f>
        <v>2.5000000000000001E-2</v>
      </c>
      <c r="P2277" s="10">
        <f t="shared" si="69"/>
        <v>0</v>
      </c>
      <c r="Q2277" s="10">
        <f>IF(K2277=0,IF(A2274=A2277,AVERAGE(O2274:O2277),"x"),0)</f>
        <v>0</v>
      </c>
      <c r="R2277" s="9">
        <f>IF(L2277&gt;2005,AVERAGE(O2274:O2293),0)</f>
        <v>0</v>
      </c>
      <c r="S2277" s="10">
        <f>IF(A2277=A2278,(N2277-N2278)/N2278,0)</f>
        <v>0</v>
      </c>
      <c r="T2277" s="10">
        <f>IF(L2277&gt;2005,(((N2277-N2297)/N2297)+1)^(1/5)-1,0)</f>
        <v>0</v>
      </c>
      <c r="U2277" s="10">
        <f t="shared" si="70"/>
        <v>0</v>
      </c>
      <c r="V2277" s="26">
        <f t="shared" si="71"/>
        <v>0</v>
      </c>
      <c r="W2277" s="3">
        <f>IF(A2277=A2278,N2277-N2278,0)</f>
        <v>0</v>
      </c>
      <c r="X2277" s="10">
        <f>IF(A2277=A2278,(N2277-N2278)/N2278,0)</f>
        <v>0</v>
      </c>
    </row>
    <row r="2278" spans="1:24" ht="16.5" customHeight="1">
      <c r="A2278" s="3" t="s">
        <v>48</v>
      </c>
      <c r="B2278" s="3">
        <f t="shared" si="64"/>
        <v>2003</v>
      </c>
      <c r="C2278" s="3">
        <f t="shared" si="65"/>
        <v>7</v>
      </c>
      <c r="D2278" s="20" t="str">
        <f t="shared" si="66"/>
        <v>ABM20037</v>
      </c>
      <c r="E2278" s="2">
        <v>37812</v>
      </c>
      <c r="F2278" s="3">
        <v>9.5000000000000001E-2</v>
      </c>
      <c r="G2278" s="2">
        <v>37837</v>
      </c>
      <c r="H2278" s="3">
        <v>2.35E-2</v>
      </c>
      <c r="I2278" s="3">
        <v>0</v>
      </c>
      <c r="J2278" s="3">
        <v>0</v>
      </c>
      <c r="K2278" s="3">
        <f t="shared" si="67"/>
        <v>2003</v>
      </c>
      <c r="L2278" s="3">
        <f t="shared" si="68"/>
        <v>0</v>
      </c>
      <c r="M2278" s="20" t="str">
        <f>A2278&amp;L2278</f>
        <v>ABM0</v>
      </c>
      <c r="N2278" s="3">
        <f>F2278</f>
        <v>9.5000000000000001E-2</v>
      </c>
      <c r="O2278" s="9">
        <f>H2278</f>
        <v>2.35E-2</v>
      </c>
      <c r="P2278" s="10">
        <f t="shared" si="69"/>
        <v>0</v>
      </c>
      <c r="Q2278" s="10">
        <f>IF(K2278=0,IF(A2275=A2278,AVERAGE(O2275:O2278),"x"),0)</f>
        <v>0</v>
      </c>
      <c r="R2278" s="9">
        <f>IF(L2278&gt;2005,AVERAGE(O2275:O2294),0)</f>
        <v>0</v>
      </c>
      <c r="S2278" s="10">
        <f>IF(A2278=A2279,(N2278-N2279)/N2279,0)</f>
        <v>0</v>
      </c>
      <c r="T2278" s="10">
        <f>IF(L2278&gt;2005,(((N2278-N2298)/N2298)+1)^(1/5)-1,0)</f>
        <v>0</v>
      </c>
      <c r="U2278" s="10">
        <f t="shared" si="70"/>
        <v>0</v>
      </c>
      <c r="V2278" s="26">
        <f t="shared" si="71"/>
        <v>0</v>
      </c>
      <c r="W2278" s="3">
        <f>IF(A2278=A2279,N2278-N2279,0)</f>
        <v>0</v>
      </c>
      <c r="X2278" s="10">
        <f>IF(A2278=A2279,(N2278-N2279)/N2279,0)</f>
        <v>0</v>
      </c>
    </row>
    <row r="2279" spans="1:24" ht="16.5" customHeight="1">
      <c r="A2279" s="3" t="s">
        <v>48</v>
      </c>
      <c r="B2279" s="3">
        <f t="shared" si="64"/>
        <v>2003</v>
      </c>
      <c r="C2279" s="3">
        <f t="shared" si="65"/>
        <v>4</v>
      </c>
      <c r="D2279" s="20" t="str">
        <f t="shared" si="66"/>
        <v>ABM20034</v>
      </c>
      <c r="E2279" s="2">
        <v>37726</v>
      </c>
      <c r="F2279" s="3">
        <v>9.5000000000000001E-2</v>
      </c>
      <c r="G2279" s="2">
        <v>37746</v>
      </c>
      <c r="H2279" s="3">
        <v>2.7099999999999999E-2</v>
      </c>
      <c r="I2279" s="3">
        <v>0</v>
      </c>
      <c r="J2279" s="3">
        <v>0</v>
      </c>
      <c r="K2279" s="3">
        <f t="shared" si="67"/>
        <v>2003</v>
      </c>
      <c r="L2279" s="3">
        <f t="shared" si="68"/>
        <v>0</v>
      </c>
      <c r="M2279" s="20" t="str">
        <f>A2279&amp;L2279</f>
        <v>ABM0</v>
      </c>
      <c r="N2279" s="3">
        <f>F2279</f>
        <v>9.5000000000000001E-2</v>
      </c>
      <c r="O2279" s="9">
        <f>H2279</f>
        <v>2.7099999999999999E-2</v>
      </c>
      <c r="P2279" s="10">
        <f t="shared" si="69"/>
        <v>0</v>
      </c>
      <c r="Q2279" s="10">
        <f>IF(K2279=0,IF(A2276=A2279,AVERAGE(O2276:O2279),"x"),0)</f>
        <v>0</v>
      </c>
      <c r="R2279" s="9">
        <f>IF(L2279&gt;2005,AVERAGE(O2276:O2295),0)</f>
        <v>0</v>
      </c>
      <c r="S2279" s="10">
        <f>IF(A2279=A2280,(N2279-N2280)/N2280,0)</f>
        <v>0</v>
      </c>
      <c r="T2279" s="10">
        <f>IF(L2279&gt;2005,(((N2279-N2299)/N2299)+1)^(1/5)-1,0)</f>
        <v>0</v>
      </c>
      <c r="U2279" s="10">
        <f t="shared" si="70"/>
        <v>0</v>
      </c>
      <c r="V2279" s="26">
        <f t="shared" si="71"/>
        <v>0</v>
      </c>
      <c r="W2279" s="3">
        <f>IF(A2279=A2280,N2279-N2280,0)</f>
        <v>0</v>
      </c>
      <c r="X2279" s="10">
        <f>IF(A2279=A2280,(N2279-N2280)/N2280,0)</f>
        <v>0</v>
      </c>
    </row>
    <row r="2280" spans="1:24" ht="16.5" customHeight="1">
      <c r="A2280" s="3" t="s">
        <v>48</v>
      </c>
      <c r="B2280" s="3">
        <f t="shared" si="64"/>
        <v>2003</v>
      </c>
      <c r="C2280" s="3">
        <f t="shared" si="65"/>
        <v>1</v>
      </c>
      <c r="D2280" s="20" t="str">
        <f t="shared" si="66"/>
        <v>ABM20031</v>
      </c>
      <c r="E2280" s="2">
        <v>37636</v>
      </c>
      <c r="F2280" s="3">
        <v>9.5000000000000001E-2</v>
      </c>
      <c r="G2280" s="2">
        <v>37657</v>
      </c>
      <c r="H2280" s="3">
        <v>2.3E-2</v>
      </c>
      <c r="I2280" s="3">
        <v>5.5555555999999999E-2</v>
      </c>
      <c r="J2280" s="3">
        <v>5.0000000000000001E-3</v>
      </c>
      <c r="K2280" s="3">
        <f t="shared" si="67"/>
        <v>0</v>
      </c>
      <c r="L2280" s="3">
        <f t="shared" si="68"/>
        <v>2003</v>
      </c>
      <c r="M2280" s="20" t="str">
        <f>A2280&amp;L2280</f>
        <v>ABM2003</v>
      </c>
      <c r="N2280" s="3">
        <f>F2280</f>
        <v>9.5000000000000001E-2</v>
      </c>
      <c r="O2280" s="9">
        <f>H2280</f>
        <v>2.3E-2</v>
      </c>
      <c r="P2280" s="10">
        <f t="shared" si="69"/>
        <v>2.3824999999999999E-2</v>
      </c>
      <c r="Q2280" s="10">
        <f>IF(K2280=0,IF(A2277=A2280,AVERAGE(O2277:O2280),"x"),0)</f>
        <v>2.4649999999999998E-2</v>
      </c>
      <c r="R2280" s="9">
        <f>IF(L2280&gt;2005,AVERAGE(O2277:O2296),0)</f>
        <v>0</v>
      </c>
      <c r="S2280" s="10">
        <f>IF(A2280=A2281,(N2280-N2281)/N2281,0)</f>
        <v>5.5555555555555608E-2</v>
      </c>
      <c r="T2280" s="10">
        <f>IF(L2280&gt;2005,(((N2280-N2300)/N2300)+1)^(1/5)-1,0)</f>
        <v>0</v>
      </c>
      <c r="U2280" s="10">
        <f t="shared" si="70"/>
        <v>0</v>
      </c>
      <c r="V2280" s="26">
        <f t="shared" si="71"/>
        <v>0</v>
      </c>
      <c r="W2280" s="3">
        <f>IF(A2280=A2281,N2280-N2281,0)</f>
        <v>5.0000000000000044E-3</v>
      </c>
      <c r="X2280" s="10">
        <f>IF(A2280=A2281,(N2280-N2281)/N2281,0)</f>
        <v>5.5555555555555608E-2</v>
      </c>
    </row>
    <row r="2281" spans="1:24" ht="16.5" customHeight="1">
      <c r="A2281" s="3" t="s">
        <v>48</v>
      </c>
      <c r="B2281" s="3">
        <f t="shared" si="64"/>
        <v>2002</v>
      </c>
      <c r="C2281" s="3">
        <f t="shared" si="65"/>
        <v>10</v>
      </c>
      <c r="D2281" s="20" t="str">
        <f t="shared" si="66"/>
        <v>ABM200210</v>
      </c>
      <c r="E2281" s="2">
        <v>37539</v>
      </c>
      <c r="F2281" s="3">
        <v>0.09</v>
      </c>
      <c r="G2281" s="2">
        <v>37565</v>
      </c>
      <c r="H2281" s="3">
        <v>2.76E-2</v>
      </c>
      <c r="I2281" s="3">
        <v>0</v>
      </c>
      <c r="J2281" s="3">
        <v>0</v>
      </c>
      <c r="K2281" s="3">
        <f t="shared" si="67"/>
        <v>2002</v>
      </c>
      <c r="L2281" s="3">
        <f t="shared" si="68"/>
        <v>0</v>
      </c>
      <c r="M2281" s="20" t="str">
        <f>A2281&amp;L2281</f>
        <v>ABM0</v>
      </c>
      <c r="N2281" s="3">
        <f>F2281</f>
        <v>0.09</v>
      </c>
      <c r="O2281" s="9">
        <f>H2281</f>
        <v>2.76E-2</v>
      </c>
      <c r="P2281" s="10">
        <f t="shared" si="69"/>
        <v>0</v>
      </c>
      <c r="Q2281" s="10">
        <f>IF(K2281=0,IF(A2278=A2281,AVERAGE(O2278:O2281),"x"),0)</f>
        <v>0</v>
      </c>
      <c r="R2281" s="9">
        <f>IF(L2281&gt;2005,AVERAGE(O2278:O2297),0)</f>
        <v>0</v>
      </c>
      <c r="S2281" s="10">
        <f>IF(A2281=A2282,(N2281-N2282)/N2282,0)</f>
        <v>0</v>
      </c>
      <c r="T2281" s="10">
        <f>IF(L2281&gt;2005,(((N2281-N2301)/N2301)+1)^(1/5)-1,0)</f>
        <v>0</v>
      </c>
      <c r="U2281" s="10">
        <f t="shared" si="70"/>
        <v>0</v>
      </c>
      <c r="V2281" s="26">
        <f t="shared" si="71"/>
        <v>0</v>
      </c>
      <c r="W2281" s="3">
        <f>IF(A2281=A2282,N2281-N2282,0)</f>
        <v>0</v>
      </c>
      <c r="X2281" s="10">
        <f>IF(A2281=A2282,(N2281-N2282)/N2282,0)</f>
        <v>0</v>
      </c>
    </row>
    <row r="2282" spans="1:24" ht="16.5" customHeight="1">
      <c r="A2282" s="3" t="s">
        <v>48</v>
      </c>
      <c r="B2282" s="3">
        <f t="shared" si="64"/>
        <v>2002</v>
      </c>
      <c r="C2282" s="3">
        <f t="shared" si="65"/>
        <v>7</v>
      </c>
      <c r="D2282" s="20" t="str">
        <f t="shared" si="66"/>
        <v>ABM20027</v>
      </c>
      <c r="E2282" s="2">
        <v>37448</v>
      </c>
      <c r="F2282" s="3">
        <v>0.09</v>
      </c>
      <c r="G2282" s="2">
        <v>37473</v>
      </c>
      <c r="H2282" s="3">
        <v>2.0799999999999999E-2</v>
      </c>
      <c r="I2282" s="3">
        <v>-0.5</v>
      </c>
      <c r="J2282" s="3">
        <v>-0.09</v>
      </c>
      <c r="K2282" s="3">
        <f t="shared" si="67"/>
        <v>2002</v>
      </c>
      <c r="L2282" s="3">
        <f t="shared" si="68"/>
        <v>0</v>
      </c>
      <c r="M2282" s="20" t="str">
        <f>A2282&amp;L2282</f>
        <v>ABM0</v>
      </c>
      <c r="N2282" s="3">
        <f>F2282</f>
        <v>0.09</v>
      </c>
      <c r="O2282" s="9">
        <f>H2282</f>
        <v>2.0799999999999999E-2</v>
      </c>
      <c r="P2282" s="10">
        <f t="shared" si="69"/>
        <v>0</v>
      </c>
      <c r="Q2282" s="10">
        <f>IF(K2282=0,IF(A2279=A2282,AVERAGE(O2279:O2282),"x"),0)</f>
        <v>0</v>
      </c>
      <c r="R2282" s="9">
        <f>IF(L2282&gt;2005,AVERAGE(O2279:O2298),0)</f>
        <v>0</v>
      </c>
      <c r="S2282" s="10">
        <f>IF(A2282=A2283,(N2282-N2283)/N2283,0)</f>
        <v>0</v>
      </c>
      <c r="T2282" s="10">
        <f>IF(L2282&gt;2005,(((N2282-N2302)/N2302)+1)^(1/5)-1,0)</f>
        <v>0</v>
      </c>
      <c r="U2282" s="10">
        <f t="shared" si="70"/>
        <v>0</v>
      </c>
      <c r="V2282" s="26">
        <f t="shared" si="71"/>
        <v>0</v>
      </c>
      <c r="W2282" s="3">
        <f>IF(A2282=A2283,N2282-N2283,0)</f>
        <v>0</v>
      </c>
      <c r="X2282" s="10">
        <f>IF(A2282=A2283,(N2282-N2283)/N2283,0)</f>
        <v>0</v>
      </c>
    </row>
    <row r="2283" spans="1:24" ht="16.5" customHeight="1">
      <c r="A2283" s="3" t="s">
        <v>48</v>
      </c>
      <c r="B2283" s="3">
        <f t="shared" si="64"/>
        <v>2002</v>
      </c>
      <c r="C2283" s="3">
        <f t="shared" si="65"/>
        <v>3</v>
      </c>
      <c r="D2283" s="20" t="str">
        <f t="shared" si="66"/>
        <v>ABM20023</v>
      </c>
      <c r="E2283" s="2">
        <v>37341</v>
      </c>
      <c r="F2283" s="3">
        <v>0.18</v>
      </c>
      <c r="G2283" s="2">
        <v>37379</v>
      </c>
      <c r="H2283" s="3">
        <v>2.3900000000000001E-2</v>
      </c>
      <c r="I2283" s="3">
        <v>0</v>
      </c>
      <c r="J2283" s="3">
        <v>0</v>
      </c>
      <c r="K2283" s="3">
        <f t="shared" si="67"/>
        <v>2002</v>
      </c>
      <c r="L2283" s="3">
        <f t="shared" si="68"/>
        <v>0</v>
      </c>
      <c r="M2283" s="20" t="str">
        <f>A2283&amp;L2283</f>
        <v>ABM0</v>
      </c>
      <c r="N2283" s="3">
        <f>F2283/2</f>
        <v>0.09</v>
      </c>
      <c r="O2283" s="9">
        <f>H2283</f>
        <v>2.3900000000000001E-2</v>
      </c>
      <c r="P2283" s="10">
        <f t="shared" si="69"/>
        <v>0</v>
      </c>
      <c r="Q2283" s="10">
        <f>IF(K2283=0,IF(A2280=A2283,AVERAGE(O2280:O2283),"x"),0)</f>
        <v>0</v>
      </c>
      <c r="R2283" s="9">
        <f>IF(L2283&gt;2005,AVERAGE(O2280:O2299),0)</f>
        <v>0</v>
      </c>
      <c r="S2283" s="10">
        <f>IF(A2283=A2284,(N2283-N2284)/N2284,0)</f>
        <v>0</v>
      </c>
      <c r="T2283" s="10">
        <f>IF(L2283&gt;2005,(((N2283-N2303)/N2303)+1)^(1/5)-1,0)</f>
        <v>0</v>
      </c>
      <c r="U2283" s="10">
        <f t="shared" si="70"/>
        <v>0</v>
      </c>
      <c r="V2283" s="26">
        <f t="shared" si="71"/>
        <v>0</v>
      </c>
      <c r="W2283" s="3">
        <f>IF(A2283=A2284,N2283-N2284,0)</f>
        <v>0</v>
      </c>
      <c r="X2283" s="10">
        <f>IF(A2283=A2284,(N2283-N2284)/N2284,0)</f>
        <v>0</v>
      </c>
    </row>
    <row r="2284" spans="1:24" ht="16.5" customHeight="1">
      <c r="A2284" s="3" t="s">
        <v>48</v>
      </c>
      <c r="B2284" s="3">
        <f t="shared" si="64"/>
        <v>2002</v>
      </c>
      <c r="C2284" s="3">
        <f t="shared" si="65"/>
        <v>1</v>
      </c>
      <c r="D2284" s="20" t="str">
        <f t="shared" si="66"/>
        <v>ABM20021</v>
      </c>
      <c r="E2284" s="2">
        <v>37272</v>
      </c>
      <c r="F2284" s="3">
        <v>0.18</v>
      </c>
      <c r="G2284" s="2">
        <v>37292</v>
      </c>
      <c r="H2284" s="3">
        <v>2.2700000000000001E-2</v>
      </c>
      <c r="I2284" s="3">
        <v>9.0909090999999997E-2</v>
      </c>
      <c r="J2284" s="3">
        <v>1.4999999999999999E-2</v>
      </c>
      <c r="K2284" s="3">
        <f t="shared" si="67"/>
        <v>0</v>
      </c>
      <c r="L2284" s="3">
        <f t="shared" si="68"/>
        <v>2002</v>
      </c>
      <c r="M2284" s="20" t="str">
        <f>A2284&amp;L2284</f>
        <v>ABM2002</v>
      </c>
      <c r="N2284" s="3">
        <f>F2284/2</f>
        <v>0.09</v>
      </c>
      <c r="O2284" s="9">
        <f>H2284</f>
        <v>2.2700000000000001E-2</v>
      </c>
      <c r="P2284" s="10">
        <f t="shared" si="69"/>
        <v>2.145E-2</v>
      </c>
      <c r="Q2284" s="10">
        <f>IF(K2284=0,IF(A2281=A2284,AVERAGE(O2281:O2284),"x"),0)</f>
        <v>2.375E-2</v>
      </c>
      <c r="R2284" s="9">
        <f>IF(L2284&gt;2005,AVERAGE(O2281:O2300),0)</f>
        <v>0</v>
      </c>
      <c r="S2284" s="10">
        <f>IF(A2284=A2285,(N2284-N2285)/N2285,0)</f>
        <v>9.0909090909090814E-2</v>
      </c>
      <c r="T2284" s="10">
        <f>IF(L2284&gt;2005,(((N2284-N2304)/N2304)+1)^(1/5)-1,0)</f>
        <v>0</v>
      </c>
      <c r="U2284" s="10">
        <f t="shared" si="70"/>
        <v>0</v>
      </c>
      <c r="V2284" s="26">
        <f t="shared" si="71"/>
        <v>0</v>
      </c>
      <c r="W2284" s="3">
        <f>IF(A2284=A2285,N2284-N2285,0)</f>
        <v>7.4999999999999928E-3</v>
      </c>
      <c r="X2284" s="10">
        <f>IF(A2284=A2285,(N2284-N2285)/N2285,0)</f>
        <v>9.0909090909090814E-2</v>
      </c>
    </row>
    <row r="2285" spans="1:24" ht="16.5" customHeight="1">
      <c r="A2285" s="3" t="s">
        <v>48</v>
      </c>
      <c r="B2285" s="3">
        <f t="shared" si="64"/>
        <v>2001</v>
      </c>
      <c r="C2285" s="3">
        <f t="shared" si="65"/>
        <v>10</v>
      </c>
      <c r="D2285" s="20" t="str">
        <f t="shared" si="66"/>
        <v>ABM200110</v>
      </c>
      <c r="E2285" s="2">
        <v>37175</v>
      </c>
      <c r="F2285" s="3">
        <v>0.16500000000000001</v>
      </c>
      <c r="G2285" s="2">
        <v>37200</v>
      </c>
      <c r="H2285" s="3">
        <v>2.4299999999999999E-2</v>
      </c>
      <c r="I2285" s="3">
        <v>0</v>
      </c>
      <c r="J2285" s="3">
        <v>0</v>
      </c>
      <c r="K2285" s="3">
        <f t="shared" si="67"/>
        <v>2001</v>
      </c>
      <c r="L2285" s="3">
        <f t="shared" si="68"/>
        <v>0</v>
      </c>
      <c r="M2285" s="20" t="str">
        <f>A2285&amp;L2285</f>
        <v>ABM0</v>
      </c>
      <c r="N2285" s="3">
        <f>F2285/2</f>
        <v>8.2500000000000004E-2</v>
      </c>
      <c r="O2285" s="9">
        <f>H2285</f>
        <v>2.4299999999999999E-2</v>
      </c>
      <c r="P2285" s="10">
        <f t="shared" si="69"/>
        <v>0</v>
      </c>
      <c r="Q2285" s="10">
        <f>IF(K2285=0,IF(A2282=A2285,AVERAGE(O2282:O2285),"x"),0)</f>
        <v>0</v>
      </c>
      <c r="R2285" s="9">
        <f>IF(L2285&gt;2005,AVERAGE(O2282:O2301),0)</f>
        <v>0</v>
      </c>
      <c r="S2285" s="10">
        <f>IF(A2285=A2286,(N2285-N2286)/N2286,0)</f>
        <v>0</v>
      </c>
      <c r="T2285" s="10">
        <f>IF(L2285&gt;2005,(((N2285-N2305)/N2305)+1)^(1/5)-1,0)</f>
        <v>0</v>
      </c>
      <c r="U2285" s="10">
        <f t="shared" si="70"/>
        <v>0</v>
      </c>
      <c r="V2285" s="26">
        <f t="shared" si="71"/>
        <v>0</v>
      </c>
      <c r="W2285" s="3">
        <f>IF(A2285=A2286,N2285-N2286,0)</f>
        <v>0</v>
      </c>
      <c r="X2285" s="10">
        <f>IF(A2285=A2286,(N2285-N2286)/N2286,0)</f>
        <v>0</v>
      </c>
    </row>
    <row r="2286" spans="1:24" ht="16.5" customHeight="1">
      <c r="A2286" s="3" t="s">
        <v>48</v>
      </c>
      <c r="B2286" s="3">
        <f t="shared" si="64"/>
        <v>2001</v>
      </c>
      <c r="C2286" s="3">
        <f t="shared" si="65"/>
        <v>7</v>
      </c>
      <c r="D2286" s="20" t="str">
        <f t="shared" si="66"/>
        <v>ABM20017</v>
      </c>
      <c r="E2286" s="2">
        <v>37083</v>
      </c>
      <c r="F2286" s="3">
        <v>0.16500000000000001</v>
      </c>
      <c r="G2286" s="2">
        <v>37106</v>
      </c>
      <c r="H2286" s="3">
        <v>1.7600000000000001E-2</v>
      </c>
      <c r="I2286" s="3">
        <v>0</v>
      </c>
      <c r="J2286" s="3">
        <v>0</v>
      </c>
      <c r="K2286" s="3">
        <f t="shared" si="67"/>
        <v>2001</v>
      </c>
      <c r="L2286" s="3">
        <f t="shared" si="68"/>
        <v>0</v>
      </c>
      <c r="M2286" s="20" t="str">
        <f>A2286&amp;L2286</f>
        <v>ABM0</v>
      </c>
      <c r="N2286" s="3">
        <f>F2286/2</f>
        <v>8.2500000000000004E-2</v>
      </c>
      <c r="O2286" s="9">
        <f>H2286</f>
        <v>1.7600000000000001E-2</v>
      </c>
      <c r="P2286" s="10">
        <f t="shared" si="69"/>
        <v>0</v>
      </c>
      <c r="Q2286" s="10">
        <f>IF(K2286=0,IF(A2283=A2286,AVERAGE(O2283:O2286),"x"),0)</f>
        <v>0</v>
      </c>
      <c r="R2286" s="9">
        <f>IF(L2286&gt;2005,AVERAGE(O2283:O2302),0)</f>
        <v>0</v>
      </c>
      <c r="S2286" s="10">
        <f>IF(A2286=A2287,(N2286-N2287)/N2287,0)</f>
        <v>0</v>
      </c>
      <c r="T2286" s="10">
        <f>IF(L2286&gt;2005,(((N2286-N2306)/N2306)+1)^(1/5)-1,0)</f>
        <v>0</v>
      </c>
      <c r="U2286" s="10">
        <f t="shared" si="70"/>
        <v>0</v>
      </c>
      <c r="V2286" s="26">
        <f t="shared" si="71"/>
        <v>0</v>
      </c>
      <c r="W2286" s="3">
        <f>IF(A2286=A2287,N2286-N2287,0)</f>
        <v>0</v>
      </c>
      <c r="X2286" s="10">
        <f>IF(A2286=A2287,(N2286-N2287)/N2287,0)</f>
        <v>0</v>
      </c>
    </row>
    <row r="2287" spans="1:24" ht="16.5" customHeight="1">
      <c r="A2287" s="3" t="s">
        <v>48</v>
      </c>
      <c r="B2287" s="3">
        <f t="shared" si="64"/>
        <v>2001</v>
      </c>
      <c r="C2287" s="3">
        <f t="shared" si="65"/>
        <v>4</v>
      </c>
      <c r="D2287" s="20" t="str">
        <f t="shared" si="66"/>
        <v>ABM20014</v>
      </c>
      <c r="E2287" s="2">
        <v>36991</v>
      </c>
      <c r="F2287" s="3">
        <v>0.16500000000000001</v>
      </c>
      <c r="G2287" s="2">
        <v>37014</v>
      </c>
      <c r="H2287" s="3">
        <v>2.12E-2</v>
      </c>
      <c r="I2287" s="3">
        <v>0</v>
      </c>
      <c r="J2287" s="3">
        <v>0</v>
      </c>
      <c r="K2287" s="3">
        <f t="shared" si="67"/>
        <v>2001</v>
      </c>
      <c r="L2287" s="3">
        <f t="shared" si="68"/>
        <v>0</v>
      </c>
      <c r="M2287" s="20" t="str">
        <f>A2287&amp;L2287</f>
        <v>ABM0</v>
      </c>
      <c r="N2287" s="3">
        <f>F2287/2</f>
        <v>8.2500000000000004E-2</v>
      </c>
      <c r="O2287" s="9">
        <f>H2287</f>
        <v>2.12E-2</v>
      </c>
      <c r="P2287" s="10">
        <f t="shared" si="69"/>
        <v>0</v>
      </c>
      <c r="Q2287" s="10">
        <f>IF(K2287=0,IF(A2284=A2287,AVERAGE(O2284:O2287),"x"),0)</f>
        <v>0</v>
      </c>
      <c r="R2287" s="9">
        <f>IF(L2287&gt;2005,AVERAGE(O2284:O2303),0)</f>
        <v>0</v>
      </c>
      <c r="S2287" s="10">
        <f>IF(A2287=A2288,(N2287-N2288)/N2288,0)</f>
        <v>0</v>
      </c>
      <c r="T2287" s="10">
        <f>IF(L2287&gt;2005,(((N2287-N2307)/N2307)+1)^(1/5)-1,0)</f>
        <v>0</v>
      </c>
      <c r="U2287" s="10">
        <f t="shared" si="70"/>
        <v>0</v>
      </c>
      <c r="V2287" s="26">
        <f t="shared" si="71"/>
        <v>0</v>
      </c>
      <c r="W2287" s="3">
        <f>IF(A2287=A2288,N2287-N2288,0)</f>
        <v>0</v>
      </c>
      <c r="X2287" s="10">
        <f>IF(A2287=A2288,(N2287-N2288)/N2288,0)</f>
        <v>0</v>
      </c>
    </row>
    <row r="2288" spans="1:24" ht="16.5" customHeight="1">
      <c r="A2288" s="3" t="s">
        <v>48</v>
      </c>
      <c r="B2288" s="3">
        <f t="shared" si="64"/>
        <v>2001</v>
      </c>
      <c r="C2288" s="3">
        <f t="shared" si="65"/>
        <v>1</v>
      </c>
      <c r="D2288" s="20" t="str">
        <f t="shared" si="66"/>
        <v>ABM20011</v>
      </c>
      <c r="E2288" s="2">
        <v>36901</v>
      </c>
      <c r="F2288" s="3">
        <v>0.16500000000000001</v>
      </c>
      <c r="G2288" s="2">
        <v>36927</v>
      </c>
      <c r="H2288" s="3">
        <v>2.0199999999999999E-2</v>
      </c>
      <c r="I2288" s="3">
        <v>6.4516129000000005E-2</v>
      </c>
      <c r="J2288" s="3">
        <v>0.01</v>
      </c>
      <c r="K2288" s="3">
        <f t="shared" si="67"/>
        <v>0</v>
      </c>
      <c r="L2288" s="3">
        <f t="shared" si="68"/>
        <v>2001</v>
      </c>
      <c r="M2288" s="20" t="str">
        <f>A2288&amp;L2288</f>
        <v>ABM2001</v>
      </c>
      <c r="N2288" s="3">
        <f>F2288/2</f>
        <v>8.2500000000000004E-2</v>
      </c>
      <c r="O2288" s="9">
        <f>H2288</f>
        <v>2.0199999999999999E-2</v>
      </c>
      <c r="P2288" s="10">
        <f t="shared" si="69"/>
        <v>2.3699999999999999E-2</v>
      </c>
      <c r="Q2288" s="10">
        <f>IF(K2288=0,IF(A2285=A2288,AVERAGE(O2285:O2288),"x"),0)</f>
        <v>2.0825E-2</v>
      </c>
      <c r="R2288" s="9">
        <f>IF(L2288&gt;2005,AVERAGE(O2285:O2304),0)</f>
        <v>0</v>
      </c>
      <c r="S2288" s="10">
        <f>IF(A2288=A2289,(N2288-N2289)/N2289,0)</f>
        <v>6.4516129032258118E-2</v>
      </c>
      <c r="T2288" s="10">
        <f>IF(L2288&gt;2005,(((N2288-N2308)/N2308)+1)^(1/5)-1,0)</f>
        <v>0</v>
      </c>
      <c r="U2288" s="10">
        <f t="shared" si="70"/>
        <v>0</v>
      </c>
      <c r="V2288" s="26">
        <f t="shared" si="71"/>
        <v>0</v>
      </c>
      <c r="W2288" s="3">
        <f>IF(A2288=A2289,N2288-N2289,0)</f>
        <v>5.0000000000000044E-3</v>
      </c>
      <c r="X2288" s="10">
        <f>IF(A2288=A2289,(N2288-N2289)/N2289,0)</f>
        <v>6.4516129032258118E-2</v>
      </c>
    </row>
    <row r="2289" spans="1:24" ht="16.5" customHeight="1">
      <c r="A2289" s="3" t="s">
        <v>48</v>
      </c>
      <c r="B2289" s="3">
        <f t="shared" si="64"/>
        <v>2000</v>
      </c>
      <c r="C2289" s="3">
        <f t="shared" si="65"/>
        <v>10</v>
      </c>
      <c r="D2289" s="20" t="str">
        <f t="shared" si="66"/>
        <v>ABM200010</v>
      </c>
      <c r="E2289" s="2">
        <v>36810</v>
      </c>
      <c r="F2289" s="3">
        <v>0.155</v>
      </c>
      <c r="G2289" s="2">
        <v>36833</v>
      </c>
      <c r="H2289" s="3">
        <v>2.35E-2</v>
      </c>
      <c r="I2289" s="3">
        <v>0</v>
      </c>
      <c r="J2289" s="3">
        <v>0</v>
      </c>
      <c r="K2289" s="3">
        <f t="shared" si="67"/>
        <v>2000</v>
      </c>
      <c r="L2289" s="3">
        <f t="shared" si="68"/>
        <v>0</v>
      </c>
      <c r="M2289" s="20" t="str">
        <f>A2289&amp;L2289</f>
        <v>ABM0</v>
      </c>
      <c r="N2289" s="3">
        <f>F2289/2</f>
        <v>7.7499999999999999E-2</v>
      </c>
      <c r="O2289" s="9">
        <f>H2289</f>
        <v>2.35E-2</v>
      </c>
      <c r="P2289" s="10">
        <f t="shared" si="69"/>
        <v>0</v>
      </c>
      <c r="Q2289" s="10">
        <f>IF(K2289=0,IF(A2286=A2289,AVERAGE(O2286:O2289),"x"),0)</f>
        <v>0</v>
      </c>
      <c r="R2289" s="9">
        <f>IF(L2289&gt;2005,AVERAGE(O2286:O2305),0)</f>
        <v>0</v>
      </c>
      <c r="S2289" s="10">
        <f>IF(A2289=A2290,(N2289-N2290)/N2290,0)</f>
        <v>0</v>
      </c>
      <c r="T2289" s="10">
        <f>IF(L2289&gt;2005,(((N2289-N2309)/N2309)+1)^(1/5)-1,0)</f>
        <v>0</v>
      </c>
      <c r="U2289" s="10">
        <f t="shared" si="70"/>
        <v>0</v>
      </c>
      <c r="V2289" s="26">
        <f t="shared" si="71"/>
        <v>0</v>
      </c>
      <c r="W2289" s="3">
        <f>IF(A2289=A2290,N2289-N2290,0)</f>
        <v>0</v>
      </c>
      <c r="X2289" s="10">
        <f>IF(A2289=A2290,(N2289-N2290)/N2290,0)</f>
        <v>0</v>
      </c>
    </row>
    <row r="2290" spans="1:24" ht="16.5" customHeight="1">
      <c r="A2290" s="3" t="s">
        <v>48</v>
      </c>
      <c r="B2290" s="3">
        <f t="shared" si="64"/>
        <v>2000</v>
      </c>
      <c r="C2290" s="3">
        <f t="shared" si="65"/>
        <v>7</v>
      </c>
      <c r="D2290" s="20" t="str">
        <f t="shared" si="66"/>
        <v>ABM20007</v>
      </c>
      <c r="E2290" s="2">
        <v>36719</v>
      </c>
      <c r="F2290" s="3">
        <v>0.155</v>
      </c>
      <c r="G2290" s="2">
        <v>36741</v>
      </c>
      <c r="H2290" s="3">
        <v>2.5700000000000001E-2</v>
      </c>
      <c r="I2290" s="3">
        <v>0</v>
      </c>
      <c r="J2290" s="3">
        <v>0</v>
      </c>
      <c r="K2290" s="3">
        <f t="shared" si="67"/>
        <v>2000</v>
      </c>
      <c r="L2290" s="3">
        <f t="shared" si="68"/>
        <v>0</v>
      </c>
      <c r="M2290" s="20" t="str">
        <f>A2290&amp;L2290</f>
        <v>ABM0</v>
      </c>
      <c r="N2290" s="3">
        <f>F2290/2</f>
        <v>7.7499999999999999E-2</v>
      </c>
      <c r="O2290" s="9">
        <f>H2290</f>
        <v>2.5700000000000001E-2</v>
      </c>
      <c r="P2290" s="10">
        <f t="shared" si="69"/>
        <v>0</v>
      </c>
      <c r="Q2290" s="10">
        <f>IF(K2290=0,IF(A2287=A2290,AVERAGE(O2287:O2290),"x"),0)</f>
        <v>0</v>
      </c>
      <c r="R2290" s="9">
        <f>IF(L2290&gt;2005,AVERAGE(O2287:O2306),0)</f>
        <v>0</v>
      </c>
      <c r="S2290" s="10">
        <f>IF(A2290=A2291,(N2290-N2291)/N2291,0)</f>
        <v>0</v>
      </c>
      <c r="T2290" s="10">
        <f>IF(L2290&gt;2005,(((N2290-N2310)/N2310)+1)^(1/5)-1,0)</f>
        <v>0</v>
      </c>
      <c r="U2290" s="10">
        <f t="shared" si="70"/>
        <v>0</v>
      </c>
      <c r="V2290" s="26">
        <f t="shared" si="71"/>
        <v>0</v>
      </c>
      <c r="W2290" s="3">
        <f>IF(A2290=A2291,N2290-N2291,0)</f>
        <v>0</v>
      </c>
      <c r="X2290" s="10">
        <f>IF(A2290=A2291,(N2290-N2291)/N2291,0)</f>
        <v>0</v>
      </c>
    </row>
    <row r="2291" spans="1:24" ht="16.5" customHeight="1">
      <c r="A2291" s="3" t="s">
        <v>48</v>
      </c>
      <c r="B2291" s="3">
        <f t="shared" si="64"/>
        <v>2000</v>
      </c>
      <c r="C2291" s="3">
        <f t="shared" si="65"/>
        <v>4</v>
      </c>
      <c r="D2291" s="20" t="str">
        <f t="shared" si="66"/>
        <v>ABM20004</v>
      </c>
      <c r="E2291" s="2">
        <v>36628</v>
      </c>
      <c r="F2291" s="3">
        <v>0.155</v>
      </c>
      <c r="G2291" s="2">
        <v>36649</v>
      </c>
      <c r="H2291" s="3">
        <v>2.5399999999999999E-2</v>
      </c>
      <c r="I2291" s="3">
        <v>0</v>
      </c>
      <c r="J2291" s="3">
        <v>0</v>
      </c>
      <c r="K2291" s="3">
        <f t="shared" si="67"/>
        <v>2000</v>
      </c>
      <c r="L2291" s="3">
        <f t="shared" si="68"/>
        <v>0</v>
      </c>
      <c r="M2291" s="20" t="str">
        <f>A2291&amp;L2291</f>
        <v>ABM0</v>
      </c>
      <c r="N2291" s="3">
        <f>F2291/2</f>
        <v>7.7499999999999999E-2</v>
      </c>
      <c r="O2291" s="9">
        <f>H2291</f>
        <v>2.5399999999999999E-2</v>
      </c>
      <c r="P2291" s="10">
        <f t="shared" si="69"/>
        <v>0</v>
      </c>
      <c r="Q2291" s="10">
        <f>IF(K2291=0,IF(A2288=A2291,AVERAGE(O2288:O2291),"x"),0)</f>
        <v>0</v>
      </c>
      <c r="R2291" s="9">
        <f>IF(L2291&gt;2005,AVERAGE(O2288:O2307),0)</f>
        <v>0</v>
      </c>
      <c r="S2291" s="10">
        <f>IF(A2291=A2292,(N2291-N2292)/N2292,0)</f>
        <v>0</v>
      </c>
      <c r="T2291" s="10">
        <f>IF(L2291&gt;2005,(((N2291-N2311)/N2311)+1)^(1/5)-1,0)</f>
        <v>0</v>
      </c>
      <c r="U2291" s="10">
        <f t="shared" si="70"/>
        <v>0</v>
      </c>
      <c r="V2291" s="26">
        <f t="shared" si="71"/>
        <v>0</v>
      </c>
      <c r="W2291" s="3">
        <f>IF(A2291=A2292,N2291-N2292,0)</f>
        <v>0</v>
      </c>
      <c r="X2291" s="10">
        <f>IF(A2291=A2292,(N2291-N2292)/N2292,0)</f>
        <v>0</v>
      </c>
    </row>
    <row r="2292" spans="1:24" ht="16.5" customHeight="1">
      <c r="A2292" s="14" t="s">
        <v>48</v>
      </c>
      <c r="B2292" s="3">
        <f t="shared" si="64"/>
        <v>2000</v>
      </c>
      <c r="C2292" s="3">
        <f t="shared" si="65"/>
        <v>1</v>
      </c>
      <c r="D2292" s="20" t="str">
        <f t="shared" si="66"/>
        <v>ABM20001</v>
      </c>
      <c r="E2292" s="15">
        <v>36537</v>
      </c>
      <c r="F2292" s="14">
        <v>0.155</v>
      </c>
      <c r="G2292" s="15">
        <v>36559</v>
      </c>
      <c r="H2292" s="14">
        <v>2.87E-2</v>
      </c>
      <c r="I2292" s="14">
        <v>0</v>
      </c>
      <c r="J2292" s="14">
        <v>0</v>
      </c>
      <c r="K2292" s="3">
        <f t="shared" si="67"/>
        <v>0</v>
      </c>
      <c r="L2292" s="3">
        <f t="shared" si="68"/>
        <v>2000</v>
      </c>
      <c r="M2292" s="20" t="str">
        <f>A2292&amp;L2292</f>
        <v>ABM2000</v>
      </c>
      <c r="N2292" s="14">
        <f>F2292/2</f>
        <v>7.7499999999999999E-2</v>
      </c>
      <c r="O2292" s="9">
        <f>H2292</f>
        <v>2.87E-2</v>
      </c>
      <c r="P2292" s="10">
        <f t="shared" si="69"/>
        <v>0</v>
      </c>
      <c r="Q2292" s="10">
        <f>IF(K2292=0,IF(A2289=A2292,AVERAGE(O2289:O2292),"x"),0)</f>
        <v>2.5825000000000001E-2</v>
      </c>
      <c r="R2292" s="9">
        <f>IF(L2292&gt;2005,AVERAGE(O2289:O2308),0)</f>
        <v>0</v>
      </c>
      <c r="S2292" s="10">
        <f>IF(A2292=A2293,(N2292-N2293)/N2293,0)</f>
        <v>0</v>
      </c>
      <c r="T2292" s="10">
        <f>IF(L2292&gt;2005,(((N2292-N2312)/N2312)+1)^(1/5)-1,0)</f>
        <v>0</v>
      </c>
      <c r="U2292" s="10">
        <f t="shared" si="70"/>
        <v>0</v>
      </c>
      <c r="V2292" s="26">
        <f t="shared" si="71"/>
        <v>0</v>
      </c>
      <c r="W2292" s="3">
        <f>IF(A2292=A2293,N2292-N2293,0)</f>
        <v>0</v>
      </c>
      <c r="X2292" s="10">
        <f>IF(A2292=A2293,(N2292-N2293)/N2293,0)</f>
        <v>0</v>
      </c>
    </row>
    <row r="2293" spans="1:24" ht="16.5" customHeight="1">
      <c r="A2293" s="3" t="s">
        <v>49</v>
      </c>
      <c r="B2293" s="3">
        <f t="shared" si="64"/>
        <v>2022</v>
      </c>
      <c r="C2293" s="3">
        <f t="shared" si="65"/>
        <v>10</v>
      </c>
      <c r="D2293" s="20" t="str">
        <f t="shared" si="66"/>
        <v>GD202210</v>
      </c>
      <c r="E2293" s="2">
        <v>44840</v>
      </c>
      <c r="F2293" s="3">
        <v>1.26</v>
      </c>
      <c r="G2293" s="2">
        <v>44875</v>
      </c>
      <c r="H2293" s="3">
        <v>2.2200000000000001E-2</v>
      </c>
      <c r="I2293" s="3">
        <v>0</v>
      </c>
      <c r="J2293" s="3">
        <v>0</v>
      </c>
      <c r="K2293" s="3">
        <f t="shared" si="67"/>
        <v>2022</v>
      </c>
      <c r="L2293" s="3">
        <f t="shared" si="68"/>
        <v>0</v>
      </c>
      <c r="M2293" s="20" t="str">
        <f>A2293&amp;L2293</f>
        <v>GD0</v>
      </c>
      <c r="N2293" s="3">
        <f>F2293</f>
        <v>1.26</v>
      </c>
      <c r="O2293" s="9">
        <f>H2293</f>
        <v>2.2200000000000001E-2</v>
      </c>
      <c r="P2293" s="10">
        <f t="shared" si="69"/>
        <v>0</v>
      </c>
      <c r="Q2293" s="10">
        <f>IF(K2293=0,IF(A2290=A2293,AVERAGE(O2290:O2293),"x"),0)</f>
        <v>0</v>
      </c>
      <c r="R2293" s="9">
        <f>IF(L2293&gt;2005,AVERAGE(O2290:O2309),0)</f>
        <v>0</v>
      </c>
      <c r="S2293" s="10">
        <f>IF(A2293=A2294,(N2293-N2294)/N2294,0)</f>
        <v>0</v>
      </c>
      <c r="T2293" s="10">
        <f>IF(L2293&gt;2005,(((N2293-N2313)/N2313)+1)^(1/5)-1,0)</f>
        <v>0</v>
      </c>
      <c r="U2293" s="10">
        <f t="shared" si="70"/>
        <v>0</v>
      </c>
      <c r="V2293" s="26">
        <f t="shared" si="71"/>
        <v>0</v>
      </c>
      <c r="W2293" s="3">
        <f>IF(A2293=A2294,N2293-N2294,0)</f>
        <v>0</v>
      </c>
      <c r="X2293" s="10">
        <f>IF(A2293=A2294,(N2293-N2294)/N2294,0)</f>
        <v>0</v>
      </c>
    </row>
    <row r="2294" spans="1:24" ht="16.5" customHeight="1">
      <c r="A2294" s="3" t="s">
        <v>49</v>
      </c>
      <c r="B2294" s="3">
        <f t="shared" si="64"/>
        <v>2022</v>
      </c>
      <c r="C2294" s="3">
        <f t="shared" si="65"/>
        <v>6</v>
      </c>
      <c r="D2294" s="20" t="str">
        <f t="shared" si="66"/>
        <v>GD20226</v>
      </c>
      <c r="E2294" s="2">
        <v>44742</v>
      </c>
      <c r="F2294" s="3">
        <v>1.26</v>
      </c>
      <c r="G2294" s="2">
        <v>44778</v>
      </c>
      <c r="H2294" s="3">
        <v>2.3E-2</v>
      </c>
      <c r="I2294" s="3">
        <v>0</v>
      </c>
      <c r="J2294" s="3">
        <v>0</v>
      </c>
      <c r="K2294" s="3">
        <f t="shared" si="67"/>
        <v>2022</v>
      </c>
      <c r="L2294" s="3">
        <f t="shared" si="68"/>
        <v>0</v>
      </c>
      <c r="M2294" s="20" t="str">
        <f>A2294&amp;L2294</f>
        <v>GD0</v>
      </c>
      <c r="N2294" s="3">
        <f>F2294</f>
        <v>1.26</v>
      </c>
      <c r="O2294" s="9">
        <f>H2294</f>
        <v>2.3E-2</v>
      </c>
      <c r="P2294" s="10">
        <f t="shared" si="69"/>
        <v>0</v>
      </c>
      <c r="Q2294" s="10">
        <f>IF(K2294=0,IF(A2291=A2294,AVERAGE(O2291:O2294),"x"),0)</f>
        <v>0</v>
      </c>
      <c r="R2294" s="9">
        <f>IF(L2294&gt;2005,AVERAGE(O2291:O2310),0)</f>
        <v>0</v>
      </c>
      <c r="S2294" s="10">
        <f>IF(A2294=A2295,(N2294-N2295)/N2295,0)</f>
        <v>0</v>
      </c>
      <c r="T2294" s="10">
        <f>IF(L2294&gt;2005,(((N2294-N2314)/N2314)+1)^(1/5)-1,0)</f>
        <v>0</v>
      </c>
      <c r="U2294" s="10">
        <f t="shared" si="70"/>
        <v>0</v>
      </c>
      <c r="V2294" s="26">
        <f t="shared" si="71"/>
        <v>0</v>
      </c>
      <c r="W2294" s="3">
        <f>IF(A2294=A2295,N2294-N2295,0)</f>
        <v>0</v>
      </c>
      <c r="X2294" s="10">
        <f>IF(A2294=A2295,(N2294-N2295)/N2295,0)</f>
        <v>0</v>
      </c>
    </row>
    <row r="2295" spans="1:24" ht="16.5" customHeight="1">
      <c r="A2295" s="3" t="s">
        <v>49</v>
      </c>
      <c r="B2295" s="3">
        <f t="shared" si="64"/>
        <v>2022</v>
      </c>
      <c r="C2295" s="3">
        <f t="shared" si="65"/>
        <v>4</v>
      </c>
      <c r="D2295" s="20" t="str">
        <f t="shared" si="66"/>
        <v>GD20224</v>
      </c>
      <c r="E2295" s="2">
        <v>44658</v>
      </c>
      <c r="F2295" s="3">
        <v>1.26</v>
      </c>
      <c r="G2295" s="2">
        <v>44687</v>
      </c>
      <c r="H2295" s="3">
        <v>2.0899999999999998E-2</v>
      </c>
      <c r="I2295" s="3">
        <v>5.8823528999999999E-2</v>
      </c>
      <c r="J2295" s="3">
        <v>7.0000000000000007E-2</v>
      </c>
      <c r="K2295" s="3">
        <f t="shared" si="67"/>
        <v>2022</v>
      </c>
      <c r="L2295" s="3">
        <f t="shared" si="68"/>
        <v>0</v>
      </c>
      <c r="M2295" s="20" t="str">
        <f>A2295&amp;L2295</f>
        <v>GD0</v>
      </c>
      <c r="N2295" s="3">
        <f>F2295</f>
        <v>1.26</v>
      </c>
      <c r="O2295" s="9">
        <f>H2295</f>
        <v>2.0899999999999998E-2</v>
      </c>
      <c r="P2295" s="10">
        <f t="shared" si="69"/>
        <v>2.315E-2</v>
      </c>
      <c r="Q2295" s="10">
        <f>IF(K2295=0,IF(A2292=A2295,AVERAGE(O2292:O2295),"x"),0)</f>
        <v>0</v>
      </c>
      <c r="R2295" s="9">
        <f>IF(L2295&gt;2005,AVERAGE(O2292:O2311),0)</f>
        <v>0</v>
      </c>
      <c r="S2295" s="10">
        <f>IF(A2295=A2296,(N2295-N2296)/N2296,0)</f>
        <v>5.8823529411764761E-2</v>
      </c>
      <c r="T2295" s="10">
        <f>IF(L2295&gt;2005,(((N2295-N2315)/N2315)+1)^(1/5)-1,0)</f>
        <v>0</v>
      </c>
      <c r="U2295" s="10">
        <f t="shared" si="70"/>
        <v>0</v>
      </c>
      <c r="V2295" s="26">
        <f t="shared" si="71"/>
        <v>0</v>
      </c>
      <c r="W2295" s="3">
        <f>IF(A2295=A2296,N2295-N2296,0)</f>
        <v>7.0000000000000062E-2</v>
      </c>
      <c r="X2295" s="10">
        <f>IF(A2295=A2296,(N2295-N2296)/N2296,0)</f>
        <v>5.8823529411764761E-2</v>
      </c>
    </row>
    <row r="2296" spans="1:24" ht="16.5" customHeight="1">
      <c r="A2296" s="3" t="s">
        <v>49</v>
      </c>
      <c r="B2296" s="3">
        <f t="shared" si="64"/>
        <v>2022</v>
      </c>
      <c r="C2296" s="3">
        <f t="shared" si="65"/>
        <v>1</v>
      </c>
      <c r="D2296" s="20" t="str">
        <f t="shared" si="66"/>
        <v>GD20221</v>
      </c>
      <c r="E2296" s="2">
        <v>44574</v>
      </c>
      <c r="F2296" s="3">
        <v>1.19</v>
      </c>
      <c r="G2296" s="2">
        <v>44596</v>
      </c>
      <c r="H2296" s="3">
        <v>2.2499999999999999E-2</v>
      </c>
      <c r="I2296" s="3">
        <v>0</v>
      </c>
      <c r="J2296" s="3">
        <v>0</v>
      </c>
      <c r="K2296" s="3">
        <f t="shared" si="67"/>
        <v>0</v>
      </c>
      <c r="L2296" s="3">
        <f t="shared" si="68"/>
        <v>2022</v>
      </c>
      <c r="M2296" s="20" t="str">
        <f>A2296&amp;L2296</f>
        <v>GD2022</v>
      </c>
      <c r="N2296" s="3">
        <f>F2296</f>
        <v>1.19</v>
      </c>
      <c r="O2296" s="9">
        <f>H2296</f>
        <v>2.2499999999999999E-2</v>
      </c>
      <c r="P2296" s="10">
        <f t="shared" si="69"/>
        <v>0</v>
      </c>
      <c r="Q2296" s="10">
        <f>IF(K2296=0,IF(A2293=A2296,AVERAGE(O2293:O2296),"x"),0)</f>
        <v>2.2150000000000003E-2</v>
      </c>
      <c r="R2296" s="9">
        <f>IF(L2296&gt;2005,AVERAGE(O2293:O2312),0)</f>
        <v>2.3540000000000002E-2</v>
      </c>
      <c r="S2296" s="10">
        <f>IF(A2296=A2297,(N2296-N2297)/N2297,0)</f>
        <v>0</v>
      </c>
      <c r="T2296" s="10">
        <f>IF(L2296&gt;2005,(((N2296-N2316)/N2316)+1)^(1/5)-1,0)</f>
        <v>9.3822049736666413E-2</v>
      </c>
      <c r="U2296" s="10">
        <f t="shared" si="70"/>
        <v>0.11736204973666642</v>
      </c>
      <c r="V2296" s="26">
        <f t="shared" si="71"/>
        <v>4.6927255270695802</v>
      </c>
      <c r="W2296" s="3">
        <f>IF(A2296=A2297,N2296-N2297,0)</f>
        <v>0</v>
      </c>
      <c r="X2296" s="10">
        <f>IF(A2296=A2297,(N2296-N2297)/N2297,0)</f>
        <v>0</v>
      </c>
    </row>
    <row r="2297" spans="1:24" ht="16.5" customHeight="1">
      <c r="A2297" s="3" t="s">
        <v>49</v>
      </c>
      <c r="B2297" s="3">
        <f t="shared" ref="B2297:B2551" si="72">YEAR(E2297)</f>
        <v>2021</v>
      </c>
      <c r="C2297" s="3">
        <f t="shared" ref="C2297:C2551" si="73">MONTH(E2297)</f>
        <v>10</v>
      </c>
      <c r="D2297" s="20" t="str">
        <f t="shared" ref="D2297:D2551" si="74">A2297&amp;B2297&amp;C2297</f>
        <v>GD202110</v>
      </c>
      <c r="E2297" s="2">
        <v>44476</v>
      </c>
      <c r="F2297" s="3">
        <v>1.19</v>
      </c>
      <c r="G2297" s="2">
        <v>44512</v>
      </c>
      <c r="H2297" s="3">
        <v>2.3900000000000001E-2</v>
      </c>
      <c r="I2297" s="3">
        <v>0</v>
      </c>
      <c r="J2297" s="3">
        <v>0</v>
      </c>
      <c r="K2297" s="3">
        <f t="shared" ref="K2297:K2551" si="75">IF(YEAR(E2297)=YEAR(E2298),YEAR(E2297),0)</f>
        <v>2021</v>
      </c>
      <c r="L2297" s="3">
        <f t="shared" ref="L2297:L2551" si="76">IF(K2297=0,K2296,0)</f>
        <v>0</v>
      </c>
      <c r="M2297" s="20" t="str">
        <f>A2297&amp;L2297</f>
        <v>GD0</v>
      </c>
      <c r="N2297" s="3">
        <f>F2297</f>
        <v>1.19</v>
      </c>
      <c r="O2297" s="9">
        <f>H2297</f>
        <v>2.3900000000000001E-2</v>
      </c>
      <c r="P2297" s="10">
        <f t="shared" ref="P2297:P2551" si="77">IF(S2297&gt;0,SUM(O2297:O2300)/4,0)</f>
        <v>0</v>
      </c>
      <c r="Q2297" s="10">
        <f>IF(K2297=0,IF(A2294=A2297,AVERAGE(O2294:O2297),"x"),0)</f>
        <v>0</v>
      </c>
      <c r="R2297" s="9">
        <f>IF(L2297&gt;2005,AVERAGE(O2294:O2313),0)</f>
        <v>0</v>
      </c>
      <c r="S2297" s="10">
        <f>IF(A2297=A2298,(N2297-N2298)/N2298,0)</f>
        <v>0</v>
      </c>
      <c r="T2297" s="10">
        <f>IF(L2297&gt;2005,(((N2297-N2317)/N2317)+1)^(1/5)-1,0)</f>
        <v>0</v>
      </c>
      <c r="U2297" s="10">
        <f t="shared" si="70"/>
        <v>0</v>
      </c>
      <c r="V2297" s="26">
        <f t="shared" si="71"/>
        <v>0</v>
      </c>
      <c r="W2297" s="3">
        <f>IF(A2297=A2298,N2297-N2298,0)</f>
        <v>0</v>
      </c>
      <c r="X2297" s="10">
        <f>IF(A2297=A2298,(N2297-N2298)/N2298,0)</f>
        <v>0</v>
      </c>
    </row>
    <row r="2298" spans="1:24" ht="16.5" customHeight="1">
      <c r="A2298" s="3" t="s">
        <v>49</v>
      </c>
      <c r="B2298" s="3">
        <f t="shared" si="72"/>
        <v>2021</v>
      </c>
      <c r="C2298" s="3">
        <f t="shared" si="73"/>
        <v>7</v>
      </c>
      <c r="D2298" s="20" t="str">
        <f t="shared" si="74"/>
        <v>GD20217</v>
      </c>
      <c r="E2298" s="2">
        <v>44378</v>
      </c>
      <c r="F2298" s="3">
        <v>1.19</v>
      </c>
      <c r="G2298" s="2">
        <v>44414</v>
      </c>
      <c r="H2298" s="3">
        <v>2.53E-2</v>
      </c>
      <c r="I2298" s="3">
        <v>0</v>
      </c>
      <c r="J2298" s="3">
        <v>0</v>
      </c>
      <c r="K2298" s="3">
        <f t="shared" si="75"/>
        <v>2021</v>
      </c>
      <c r="L2298" s="3">
        <f t="shared" si="76"/>
        <v>0</v>
      </c>
      <c r="M2298" s="20" t="str">
        <f>A2298&amp;L2298</f>
        <v>GD0</v>
      </c>
      <c r="N2298" s="3">
        <f>F2298</f>
        <v>1.19</v>
      </c>
      <c r="O2298" s="9">
        <f>H2298</f>
        <v>2.53E-2</v>
      </c>
      <c r="P2298" s="10">
        <f t="shared" si="77"/>
        <v>0</v>
      </c>
      <c r="Q2298" s="10">
        <f>IF(K2298=0,IF(A2295=A2298,AVERAGE(O2295:O2298),"x"),0)</f>
        <v>0</v>
      </c>
      <c r="R2298" s="9">
        <f>IF(L2298&gt;2005,AVERAGE(O2295:O2314),0)</f>
        <v>0</v>
      </c>
      <c r="S2298" s="10">
        <f>IF(A2298=A2299,(N2298-N2299)/N2299,0)</f>
        <v>0</v>
      </c>
      <c r="T2298" s="10">
        <f>IF(L2298&gt;2005,(((N2298-N2318)/N2318)+1)^(1/5)-1,0)</f>
        <v>0</v>
      </c>
      <c r="U2298" s="10">
        <f t="shared" si="70"/>
        <v>0</v>
      </c>
      <c r="V2298" s="26">
        <f t="shared" si="71"/>
        <v>0</v>
      </c>
      <c r="W2298" s="3">
        <f>IF(A2298=A2299,N2298-N2299,0)</f>
        <v>0</v>
      </c>
      <c r="X2298" s="10">
        <f>IF(A2298=A2299,(N2298-N2299)/N2299,0)</f>
        <v>0</v>
      </c>
    </row>
    <row r="2299" spans="1:24" ht="16.5" customHeight="1">
      <c r="A2299" s="3" t="s">
        <v>49</v>
      </c>
      <c r="B2299" s="3">
        <f t="shared" si="72"/>
        <v>2021</v>
      </c>
      <c r="C2299" s="3">
        <f t="shared" si="73"/>
        <v>4</v>
      </c>
      <c r="D2299" s="20" t="str">
        <f t="shared" si="74"/>
        <v>GD20214</v>
      </c>
      <c r="E2299" s="2">
        <v>44294</v>
      </c>
      <c r="F2299" s="3">
        <v>1.19</v>
      </c>
      <c r="G2299" s="2">
        <v>44323</v>
      </c>
      <c r="H2299" s="3">
        <v>2.58E-2</v>
      </c>
      <c r="I2299" s="3">
        <v>8.1818182000000003E-2</v>
      </c>
      <c r="J2299" s="3">
        <v>0.09</v>
      </c>
      <c r="K2299" s="3">
        <f t="shared" si="75"/>
        <v>2021</v>
      </c>
      <c r="L2299" s="3">
        <f t="shared" si="76"/>
        <v>0</v>
      </c>
      <c r="M2299" s="20" t="str">
        <f>A2299&amp;L2299</f>
        <v>GD0</v>
      </c>
      <c r="N2299" s="3">
        <f>F2299</f>
        <v>1.19</v>
      </c>
      <c r="O2299" s="9">
        <f>H2299</f>
        <v>2.58E-2</v>
      </c>
      <c r="P2299" s="10">
        <f t="shared" si="77"/>
        <v>2.87E-2</v>
      </c>
      <c r="Q2299" s="10">
        <f>IF(K2299=0,IF(A2296=A2299,AVERAGE(O2296:O2299),"x"),0)</f>
        <v>0</v>
      </c>
      <c r="R2299" s="9">
        <f>IF(L2299&gt;2005,AVERAGE(O2296:O2315),0)</f>
        <v>0</v>
      </c>
      <c r="S2299" s="10">
        <f>IF(A2299=A2300,(N2299-N2300)/N2300,0)</f>
        <v>8.1818181818181679E-2</v>
      </c>
      <c r="T2299" s="10">
        <f>IF(L2299&gt;2005,(((N2299-N2319)/N2319)+1)^(1/5)-1,0)</f>
        <v>0</v>
      </c>
      <c r="U2299" s="10">
        <f t="shared" si="70"/>
        <v>0</v>
      </c>
      <c r="V2299" s="26">
        <f t="shared" si="71"/>
        <v>0</v>
      </c>
      <c r="W2299" s="3">
        <f>IF(A2299=A2300,N2299-N2300,0)</f>
        <v>8.9999999999999858E-2</v>
      </c>
      <c r="X2299" s="10">
        <f>IF(A2299=A2300,(N2299-N2300)/N2300,0)</f>
        <v>8.1818181818181679E-2</v>
      </c>
    </row>
    <row r="2300" spans="1:24" ht="16.5" customHeight="1">
      <c r="A2300" s="3" t="s">
        <v>49</v>
      </c>
      <c r="B2300" s="3">
        <f t="shared" si="72"/>
        <v>2021</v>
      </c>
      <c r="C2300" s="3">
        <f t="shared" si="73"/>
        <v>1</v>
      </c>
      <c r="D2300" s="20" t="str">
        <f t="shared" si="74"/>
        <v>GD20211</v>
      </c>
      <c r="E2300" s="2">
        <v>44210</v>
      </c>
      <c r="F2300" s="3">
        <v>1.1000000000000001</v>
      </c>
      <c r="G2300" s="2">
        <v>44232</v>
      </c>
      <c r="H2300" s="3">
        <v>2.92E-2</v>
      </c>
      <c r="I2300" s="3">
        <v>0</v>
      </c>
      <c r="J2300" s="3">
        <v>0</v>
      </c>
      <c r="K2300" s="3">
        <f t="shared" si="75"/>
        <v>0</v>
      </c>
      <c r="L2300" s="3">
        <f t="shared" si="76"/>
        <v>2021</v>
      </c>
      <c r="M2300" s="20" t="str">
        <f>A2300&amp;L2300</f>
        <v>GD2021</v>
      </c>
      <c r="N2300" s="3">
        <f>F2300</f>
        <v>1.1000000000000001</v>
      </c>
      <c r="O2300" s="9">
        <f>H2300</f>
        <v>2.92E-2</v>
      </c>
      <c r="P2300" s="10">
        <f t="shared" si="77"/>
        <v>0</v>
      </c>
      <c r="Q2300" s="10">
        <f>IF(K2300=0,IF(A2297=A2300,AVERAGE(O2297:O2300),"x"),0)</f>
        <v>2.605E-2</v>
      </c>
      <c r="R2300" s="9">
        <f>IF(L2300&gt;2005,AVERAGE(O2297:O2316),0)</f>
        <v>2.2505000000000004E-2</v>
      </c>
      <c r="S2300" s="10">
        <f>IF(A2300=A2301,(N2300-N2301)/N2301,0)</f>
        <v>0</v>
      </c>
      <c r="T2300" s="10">
        <f>IF(L2300&gt;2005,(((N2300-N2320)/N2320)+1)^(1/5)-1,0)</f>
        <v>9.7763328719189246E-2</v>
      </c>
      <c r="U2300" s="10">
        <f t="shared" ref="U2300:U2554" si="78">IF(T2300&gt;0,R2300+T2300,0)</f>
        <v>0.12026832871918924</v>
      </c>
      <c r="V2300" s="26">
        <f t="shared" ref="V2300:V2554" si="79">IF(U2300&gt;0,(1+T2300)*(1-((1+T2300)/(1+U2300))^5)/(U2300-T2300),0)</f>
        <v>4.7066166171801376</v>
      </c>
      <c r="W2300" s="3">
        <f>IF(A2300=A2301,N2300-N2301,0)</f>
        <v>0</v>
      </c>
      <c r="X2300" s="10">
        <f>IF(A2300=A2301,(N2300-N2301)/N2301,0)</f>
        <v>0</v>
      </c>
    </row>
    <row r="2301" spans="1:24" ht="16.5" customHeight="1">
      <c r="A2301" s="3" t="s">
        <v>49</v>
      </c>
      <c r="B2301" s="3">
        <f t="shared" si="72"/>
        <v>2020</v>
      </c>
      <c r="C2301" s="3">
        <f t="shared" si="73"/>
        <v>10</v>
      </c>
      <c r="D2301" s="20" t="str">
        <f t="shared" si="74"/>
        <v>GD202010</v>
      </c>
      <c r="E2301" s="2">
        <v>44112</v>
      </c>
      <c r="F2301" s="3">
        <v>1.1000000000000001</v>
      </c>
      <c r="G2301" s="2">
        <v>44148</v>
      </c>
      <c r="H2301" s="3">
        <v>3.04E-2</v>
      </c>
      <c r="I2301" s="3">
        <v>0</v>
      </c>
      <c r="J2301" s="3">
        <v>0</v>
      </c>
      <c r="K2301" s="3">
        <f t="shared" si="75"/>
        <v>2020</v>
      </c>
      <c r="L2301" s="3">
        <f t="shared" si="76"/>
        <v>0</v>
      </c>
      <c r="M2301" s="20" t="str">
        <f>A2301&amp;L2301</f>
        <v>GD0</v>
      </c>
      <c r="N2301" s="3">
        <f>F2301</f>
        <v>1.1000000000000001</v>
      </c>
      <c r="O2301" s="9">
        <f>H2301</f>
        <v>3.04E-2</v>
      </c>
      <c r="P2301" s="10">
        <f t="shared" si="77"/>
        <v>0</v>
      </c>
      <c r="Q2301" s="10">
        <f>IF(K2301=0,IF(A2298=A2301,AVERAGE(O2298:O2301),"x"),0)</f>
        <v>0</v>
      </c>
      <c r="R2301" s="9">
        <f>IF(L2301&gt;2005,AVERAGE(O2298:O2317),0)</f>
        <v>0</v>
      </c>
      <c r="S2301" s="10">
        <f>IF(A2301=A2302,(N2301-N2302)/N2302,0)</f>
        <v>0</v>
      </c>
      <c r="T2301" s="10">
        <f>IF(L2301&gt;2005,(((N2301-N2321)/N2321)+1)^(1/5)-1,0)</f>
        <v>0</v>
      </c>
      <c r="U2301" s="10">
        <f t="shared" si="78"/>
        <v>0</v>
      </c>
      <c r="V2301" s="26">
        <f t="shared" si="79"/>
        <v>0</v>
      </c>
      <c r="W2301" s="3">
        <f>IF(A2301=A2302,N2301-N2302,0)</f>
        <v>0</v>
      </c>
      <c r="X2301" s="10">
        <f>IF(A2301=A2302,(N2301-N2302)/N2302,0)</f>
        <v>0</v>
      </c>
    </row>
    <row r="2302" spans="1:24" ht="16.5" customHeight="1">
      <c r="A2302" s="3" t="s">
        <v>49</v>
      </c>
      <c r="B2302" s="3">
        <f t="shared" si="72"/>
        <v>2020</v>
      </c>
      <c r="C2302" s="3">
        <f t="shared" si="73"/>
        <v>7</v>
      </c>
      <c r="D2302" s="20" t="str">
        <f t="shared" si="74"/>
        <v>GD20207</v>
      </c>
      <c r="E2302" s="2">
        <v>44013</v>
      </c>
      <c r="F2302" s="3">
        <v>1.1000000000000001</v>
      </c>
      <c r="G2302" s="2">
        <v>44050</v>
      </c>
      <c r="H2302" s="3">
        <v>2.9399999999999999E-2</v>
      </c>
      <c r="I2302" s="3">
        <v>0</v>
      </c>
      <c r="J2302" s="3">
        <v>0</v>
      </c>
      <c r="K2302" s="3">
        <f t="shared" si="75"/>
        <v>2020</v>
      </c>
      <c r="L2302" s="3">
        <f t="shared" si="76"/>
        <v>0</v>
      </c>
      <c r="M2302" s="20" t="str">
        <f>A2302&amp;L2302</f>
        <v>GD0</v>
      </c>
      <c r="N2302" s="3">
        <f>F2302</f>
        <v>1.1000000000000001</v>
      </c>
      <c r="O2302" s="9">
        <f>H2302</f>
        <v>2.9399999999999999E-2</v>
      </c>
      <c r="P2302" s="10">
        <f t="shared" si="77"/>
        <v>0</v>
      </c>
      <c r="Q2302" s="10">
        <f>IF(K2302=0,IF(A2299=A2302,AVERAGE(O2299:O2302),"x"),0)</f>
        <v>0</v>
      </c>
      <c r="R2302" s="9">
        <f>IF(L2302&gt;2005,AVERAGE(O2299:O2318),0)</f>
        <v>0</v>
      </c>
      <c r="S2302" s="10">
        <f>IF(A2302=A2303,(N2302-N2303)/N2303,0)</f>
        <v>0</v>
      </c>
      <c r="T2302" s="10">
        <f>IF(L2302&gt;2005,(((N2302-N2322)/N2322)+1)^(1/5)-1,0)</f>
        <v>0</v>
      </c>
      <c r="U2302" s="10">
        <f t="shared" si="78"/>
        <v>0</v>
      </c>
      <c r="V2302" s="26">
        <f t="shared" si="79"/>
        <v>0</v>
      </c>
      <c r="W2302" s="3">
        <f>IF(A2302=A2303,N2302-N2303,0)</f>
        <v>0</v>
      </c>
      <c r="X2302" s="10">
        <f>IF(A2302=A2303,(N2302-N2303)/N2303,0)</f>
        <v>0</v>
      </c>
    </row>
    <row r="2303" spans="1:24" ht="16.5" customHeight="1">
      <c r="A2303" s="3" t="s">
        <v>49</v>
      </c>
      <c r="B2303" s="3">
        <f t="shared" si="72"/>
        <v>2020</v>
      </c>
      <c r="C2303" s="3">
        <f t="shared" si="73"/>
        <v>4</v>
      </c>
      <c r="D2303" s="20" t="str">
        <f t="shared" si="74"/>
        <v>GD20204</v>
      </c>
      <c r="E2303" s="2">
        <v>43929</v>
      </c>
      <c r="F2303" s="3">
        <v>1.1000000000000001</v>
      </c>
      <c r="G2303" s="2">
        <v>43959</v>
      </c>
      <c r="H2303" s="3">
        <v>3.27E-2</v>
      </c>
      <c r="I2303" s="3">
        <v>7.8431372999999999E-2</v>
      </c>
      <c r="J2303" s="3">
        <v>0.08</v>
      </c>
      <c r="K2303" s="3">
        <f t="shared" si="75"/>
        <v>2020</v>
      </c>
      <c r="L2303" s="3">
        <f t="shared" si="76"/>
        <v>0</v>
      </c>
      <c r="M2303" s="20" t="str">
        <f>A2303&amp;L2303</f>
        <v>GD0</v>
      </c>
      <c r="N2303" s="3">
        <f>F2303</f>
        <v>1.1000000000000001</v>
      </c>
      <c r="O2303" s="9">
        <f>H2303</f>
        <v>3.27E-2</v>
      </c>
      <c r="P2303" s="10">
        <f t="shared" si="77"/>
        <v>2.5099999999999997E-2</v>
      </c>
      <c r="Q2303" s="10">
        <f>IF(K2303=0,IF(A2300=A2303,AVERAGE(O2300:O2303),"x"),0)</f>
        <v>0</v>
      </c>
      <c r="R2303" s="9">
        <f>IF(L2303&gt;2005,AVERAGE(O2300:O2319),0)</f>
        <v>0</v>
      </c>
      <c r="S2303" s="10">
        <f>IF(A2303=A2304,(N2303-N2304)/N2304,0)</f>
        <v>7.8431372549019676E-2</v>
      </c>
      <c r="T2303" s="10">
        <f>IF(L2303&gt;2005,(((N2303-N2323)/N2323)+1)^(1/5)-1,0)</f>
        <v>0</v>
      </c>
      <c r="U2303" s="10">
        <f t="shared" si="78"/>
        <v>0</v>
      </c>
      <c r="V2303" s="26">
        <f t="shared" si="79"/>
        <v>0</v>
      </c>
      <c r="W2303" s="3">
        <f>IF(A2303=A2304,N2303-N2304,0)</f>
        <v>8.0000000000000071E-2</v>
      </c>
      <c r="X2303" s="10">
        <f>IF(A2303=A2304,(N2303-N2304)/N2304,0)</f>
        <v>7.8431372549019676E-2</v>
      </c>
    </row>
    <row r="2304" spans="1:24" ht="16.5" customHeight="1">
      <c r="A2304" s="3" t="s">
        <v>49</v>
      </c>
      <c r="B2304" s="3">
        <f t="shared" si="72"/>
        <v>2020</v>
      </c>
      <c r="C2304" s="3">
        <f t="shared" si="73"/>
        <v>1</v>
      </c>
      <c r="D2304" s="20" t="str">
        <f t="shared" si="74"/>
        <v>GD20201</v>
      </c>
      <c r="E2304" s="2">
        <v>43846</v>
      </c>
      <c r="F2304" s="3">
        <v>1.02</v>
      </c>
      <c r="G2304" s="2">
        <v>43868</v>
      </c>
      <c r="H2304" s="3">
        <v>2.2499999999999999E-2</v>
      </c>
      <c r="I2304" s="3">
        <v>0</v>
      </c>
      <c r="J2304" s="3">
        <v>0</v>
      </c>
      <c r="K2304" s="3">
        <f t="shared" si="75"/>
        <v>0</v>
      </c>
      <c r="L2304" s="3">
        <f t="shared" si="76"/>
        <v>2020</v>
      </c>
      <c r="M2304" s="20" t="str">
        <f>A2304&amp;L2304</f>
        <v>GD2020</v>
      </c>
      <c r="N2304" s="3">
        <f>F2304</f>
        <v>1.02</v>
      </c>
      <c r="O2304" s="9">
        <f>H2304</f>
        <v>2.2499999999999999E-2</v>
      </c>
      <c r="P2304" s="10">
        <f t="shared" si="77"/>
        <v>0</v>
      </c>
      <c r="Q2304" s="10">
        <f>IF(K2304=0,IF(A2301=A2304,AVERAGE(O2301:O2304),"x"),0)</f>
        <v>2.8749999999999998E-2</v>
      </c>
      <c r="R2304" s="9">
        <f>IF(L2304&gt;2005,AVERAGE(O2301:O2320),0)</f>
        <v>2.1619999999999997E-2</v>
      </c>
      <c r="S2304" s="10">
        <f>IF(A2304=A2305,(N2304-N2305)/N2305,0)</f>
        <v>0</v>
      </c>
      <c r="T2304" s="10">
        <f>IF(L2304&gt;2005,(((N2304-N2324)/N2324)+1)^(1/5)-1,0)</f>
        <v>0.10469324008713388</v>
      </c>
      <c r="U2304" s="10">
        <f t="shared" si="78"/>
        <v>0.12631324008713388</v>
      </c>
      <c r="V2304" s="26">
        <f t="shared" si="79"/>
        <v>4.7193334071854327</v>
      </c>
      <c r="W2304" s="3">
        <f>IF(A2304=A2305,N2304-N2305,0)</f>
        <v>0</v>
      </c>
      <c r="X2304" s="10">
        <f>IF(A2304=A2305,(N2304-N2305)/N2305,0)</f>
        <v>0</v>
      </c>
    </row>
    <row r="2305" spans="1:24" ht="16.5" customHeight="1">
      <c r="A2305" s="3" t="s">
        <v>49</v>
      </c>
      <c r="B2305" s="3">
        <f t="shared" si="72"/>
        <v>2019</v>
      </c>
      <c r="C2305" s="3">
        <f t="shared" si="73"/>
        <v>10</v>
      </c>
      <c r="D2305" s="20" t="str">
        <f t="shared" si="74"/>
        <v>GD201910</v>
      </c>
      <c r="E2305" s="2">
        <v>43748</v>
      </c>
      <c r="F2305" s="3">
        <v>1.02</v>
      </c>
      <c r="G2305" s="2">
        <v>43784</v>
      </c>
      <c r="H2305" s="3">
        <v>2.3E-2</v>
      </c>
      <c r="I2305" s="3">
        <v>0</v>
      </c>
      <c r="J2305" s="3">
        <v>0</v>
      </c>
      <c r="K2305" s="3">
        <f t="shared" si="75"/>
        <v>2019</v>
      </c>
      <c r="L2305" s="3">
        <f t="shared" si="76"/>
        <v>0</v>
      </c>
      <c r="M2305" s="20" t="str">
        <f>A2305&amp;L2305</f>
        <v>GD0</v>
      </c>
      <c r="N2305" s="3">
        <f>F2305</f>
        <v>1.02</v>
      </c>
      <c r="O2305" s="9">
        <f>H2305</f>
        <v>2.3E-2</v>
      </c>
      <c r="P2305" s="10">
        <f t="shared" si="77"/>
        <v>0</v>
      </c>
      <c r="Q2305" s="10">
        <f>IF(K2305=0,IF(A2302=A2305,AVERAGE(O2302:O2305),"x"),0)</f>
        <v>0</v>
      </c>
      <c r="R2305" s="9">
        <f>IF(L2305&gt;2005,AVERAGE(O2302:O2321),0)</f>
        <v>0</v>
      </c>
      <c r="S2305" s="10">
        <f>IF(A2305=A2306,(N2305-N2306)/N2306,0)</f>
        <v>0</v>
      </c>
      <c r="T2305" s="10">
        <f>IF(L2305&gt;2005,(((N2305-N2325)/N2325)+1)^(1/5)-1,0)</f>
        <v>0</v>
      </c>
      <c r="U2305" s="10">
        <f t="shared" si="78"/>
        <v>0</v>
      </c>
      <c r="V2305" s="26">
        <f t="shared" si="79"/>
        <v>0</v>
      </c>
      <c r="W2305" s="3">
        <f>IF(A2305=A2306,N2305-N2306,0)</f>
        <v>0</v>
      </c>
      <c r="X2305" s="10">
        <f>IF(A2305=A2306,(N2305-N2306)/N2306,0)</f>
        <v>0</v>
      </c>
    </row>
    <row r="2306" spans="1:24" ht="16.5" customHeight="1">
      <c r="A2306" s="3" t="s">
        <v>49</v>
      </c>
      <c r="B2306" s="3">
        <f t="shared" si="72"/>
        <v>2019</v>
      </c>
      <c r="C2306" s="3">
        <f t="shared" si="73"/>
        <v>7</v>
      </c>
      <c r="D2306" s="20" t="str">
        <f t="shared" si="74"/>
        <v>GD20197</v>
      </c>
      <c r="E2306" s="2">
        <v>43649</v>
      </c>
      <c r="F2306" s="3">
        <v>1.02</v>
      </c>
      <c r="G2306" s="2">
        <v>43686</v>
      </c>
      <c r="H2306" s="3">
        <v>2.2200000000000001E-2</v>
      </c>
      <c r="I2306" s="3">
        <v>0</v>
      </c>
      <c r="J2306" s="3">
        <v>0</v>
      </c>
      <c r="K2306" s="3">
        <f t="shared" si="75"/>
        <v>2019</v>
      </c>
      <c r="L2306" s="3">
        <f t="shared" si="76"/>
        <v>0</v>
      </c>
      <c r="M2306" s="20" t="str">
        <f>A2306&amp;L2306</f>
        <v>GD0</v>
      </c>
      <c r="N2306" s="3">
        <f>F2306</f>
        <v>1.02</v>
      </c>
      <c r="O2306" s="9">
        <f>H2306</f>
        <v>2.2200000000000001E-2</v>
      </c>
      <c r="P2306" s="10">
        <f t="shared" si="77"/>
        <v>0</v>
      </c>
      <c r="Q2306" s="10">
        <f>IF(K2306=0,IF(A2303=A2306,AVERAGE(O2303:O2306),"x"),0)</f>
        <v>0</v>
      </c>
      <c r="R2306" s="9">
        <f>IF(L2306&gt;2005,AVERAGE(O2303:O2322),0)</f>
        <v>0</v>
      </c>
      <c r="S2306" s="10">
        <f>IF(A2306=A2307,(N2306-N2307)/N2307,0)</f>
        <v>0</v>
      </c>
      <c r="T2306" s="10">
        <f>IF(L2306&gt;2005,(((N2306-N2326)/N2326)+1)^(1/5)-1,0)</f>
        <v>0</v>
      </c>
      <c r="U2306" s="10">
        <f t="shared" si="78"/>
        <v>0</v>
      </c>
      <c r="V2306" s="26">
        <f t="shared" si="79"/>
        <v>0</v>
      </c>
      <c r="W2306" s="3">
        <f>IF(A2306=A2307,N2306-N2307,0)</f>
        <v>0</v>
      </c>
      <c r="X2306" s="10">
        <f>IF(A2306=A2307,(N2306-N2307)/N2307,0)</f>
        <v>0</v>
      </c>
    </row>
    <row r="2307" spans="1:24" ht="16.5" customHeight="1">
      <c r="A2307" s="3" t="s">
        <v>49</v>
      </c>
      <c r="B2307" s="3">
        <f t="shared" si="72"/>
        <v>2019</v>
      </c>
      <c r="C2307" s="3">
        <f t="shared" si="73"/>
        <v>4</v>
      </c>
      <c r="D2307" s="20" t="str">
        <f t="shared" si="74"/>
        <v>GD20194</v>
      </c>
      <c r="E2307" s="2">
        <v>43566</v>
      </c>
      <c r="F2307" s="3">
        <v>1.02</v>
      </c>
      <c r="G2307" s="2">
        <v>43595</v>
      </c>
      <c r="H2307" s="3">
        <v>2.41E-2</v>
      </c>
      <c r="I2307" s="3">
        <v>9.6774193999999994E-2</v>
      </c>
      <c r="J2307" s="3">
        <v>0.09</v>
      </c>
      <c r="K2307" s="3">
        <f t="shared" si="75"/>
        <v>2019</v>
      </c>
      <c r="L2307" s="3">
        <f t="shared" si="76"/>
        <v>0</v>
      </c>
      <c r="M2307" s="20" t="str">
        <f>A2307&amp;L2307</f>
        <v>GD0</v>
      </c>
      <c r="N2307" s="3">
        <f>F2307</f>
        <v>1.02</v>
      </c>
      <c r="O2307" s="9">
        <f>H2307</f>
        <v>2.41E-2</v>
      </c>
      <c r="P2307" s="10">
        <f t="shared" si="77"/>
        <v>2.1124999999999998E-2</v>
      </c>
      <c r="Q2307" s="10">
        <f>IF(K2307=0,IF(A2304=A2307,AVERAGE(O2304:O2307),"x"),0)</f>
        <v>0</v>
      </c>
      <c r="R2307" s="9">
        <f>IF(L2307&gt;2005,AVERAGE(O2304:O2323),0)</f>
        <v>0</v>
      </c>
      <c r="S2307" s="10">
        <f>IF(A2307=A2308,(N2307-N2308)/N2308,0)</f>
        <v>9.6774193548387052E-2</v>
      </c>
      <c r="T2307" s="10">
        <f>IF(L2307&gt;2005,(((N2307-N2327)/N2327)+1)^(1/5)-1,0)</f>
        <v>0</v>
      </c>
      <c r="U2307" s="10">
        <f t="shared" si="78"/>
        <v>0</v>
      </c>
      <c r="V2307" s="26">
        <f t="shared" si="79"/>
        <v>0</v>
      </c>
      <c r="W2307" s="3">
        <f>IF(A2307=A2308,N2307-N2308,0)</f>
        <v>8.9999999999999969E-2</v>
      </c>
      <c r="X2307" s="10">
        <f>IF(A2307=A2308,(N2307-N2308)/N2308,0)</f>
        <v>9.6774193548387052E-2</v>
      </c>
    </row>
    <row r="2308" spans="1:24" ht="16.5" customHeight="1">
      <c r="A2308" s="3" t="s">
        <v>49</v>
      </c>
      <c r="B2308" s="3">
        <f t="shared" si="72"/>
        <v>2019</v>
      </c>
      <c r="C2308" s="3">
        <f t="shared" si="73"/>
        <v>1</v>
      </c>
      <c r="D2308" s="20" t="str">
        <f t="shared" si="74"/>
        <v>GD20191</v>
      </c>
      <c r="E2308" s="2">
        <v>43482</v>
      </c>
      <c r="F2308" s="3">
        <v>0.93</v>
      </c>
      <c r="G2308" s="2">
        <v>43504</v>
      </c>
      <c r="H2308" s="3">
        <v>2.2700000000000001E-2</v>
      </c>
      <c r="I2308" s="3">
        <v>0</v>
      </c>
      <c r="J2308" s="3">
        <v>0</v>
      </c>
      <c r="K2308" s="3">
        <f t="shared" si="75"/>
        <v>0</v>
      </c>
      <c r="L2308" s="3">
        <f t="shared" si="76"/>
        <v>2019</v>
      </c>
      <c r="M2308" s="20" t="str">
        <f>A2308&amp;L2308</f>
        <v>GD2019</v>
      </c>
      <c r="N2308" s="3">
        <f>F2308</f>
        <v>0.93</v>
      </c>
      <c r="O2308" s="9">
        <f>H2308</f>
        <v>2.2700000000000001E-2</v>
      </c>
      <c r="P2308" s="10">
        <f t="shared" si="77"/>
        <v>0</v>
      </c>
      <c r="Q2308" s="10">
        <f>IF(K2308=0,IF(A2305=A2308,AVERAGE(O2305:O2308),"x"),0)</f>
        <v>2.3E-2</v>
      </c>
      <c r="R2308" s="9">
        <f>IF(L2308&gt;2005,AVERAGE(O2305:O2324),0)</f>
        <v>1.9595000000000001E-2</v>
      </c>
      <c r="S2308" s="10">
        <f>IF(A2308=A2309,(N2308-N2309)/N2309,0)</f>
        <v>0</v>
      </c>
      <c r="T2308" s="10">
        <f>IF(L2308&gt;2005,(((N2308-N2328)/N2328)+1)^(1/5)-1,0)</f>
        <v>0.10677409183408271</v>
      </c>
      <c r="U2308" s="10">
        <f t="shared" si="78"/>
        <v>0.12636909183408271</v>
      </c>
      <c r="V2308" s="26">
        <f t="shared" si="79"/>
        <v>4.7450253129547573</v>
      </c>
      <c r="W2308" s="3">
        <f>IF(A2308=A2309,N2308-N2309,0)</f>
        <v>0</v>
      </c>
      <c r="X2308" s="10">
        <f>IF(A2308=A2309,(N2308-N2309)/N2309,0)</f>
        <v>0</v>
      </c>
    </row>
    <row r="2309" spans="1:24" ht="16.5" customHeight="1">
      <c r="A2309" s="3" t="s">
        <v>49</v>
      </c>
      <c r="B2309" s="3">
        <f t="shared" si="72"/>
        <v>2018</v>
      </c>
      <c r="C2309" s="3">
        <f t="shared" si="73"/>
        <v>10</v>
      </c>
      <c r="D2309" s="20" t="str">
        <f t="shared" si="74"/>
        <v>GD201810</v>
      </c>
      <c r="E2309" s="2">
        <v>43377</v>
      </c>
      <c r="F2309" s="3">
        <v>0.93</v>
      </c>
      <c r="G2309" s="2">
        <v>43413</v>
      </c>
      <c r="H2309" s="3">
        <v>1.8100000000000002E-2</v>
      </c>
      <c r="I2309" s="3">
        <v>0</v>
      </c>
      <c r="J2309" s="3">
        <v>0</v>
      </c>
      <c r="K2309" s="3">
        <f t="shared" si="75"/>
        <v>2018</v>
      </c>
      <c r="L2309" s="3">
        <f t="shared" si="76"/>
        <v>0</v>
      </c>
      <c r="M2309" s="20" t="str">
        <f>A2309&amp;L2309</f>
        <v>GD0</v>
      </c>
      <c r="N2309" s="3">
        <f>F2309</f>
        <v>0.93</v>
      </c>
      <c r="O2309" s="9">
        <f>H2309</f>
        <v>1.8100000000000002E-2</v>
      </c>
      <c r="P2309" s="10">
        <f t="shared" si="77"/>
        <v>0</v>
      </c>
      <c r="Q2309" s="10">
        <f>IF(K2309=0,IF(A2306=A2309,AVERAGE(O2306:O2309),"x"),0)</f>
        <v>0</v>
      </c>
      <c r="R2309" s="9">
        <f>IF(L2309&gt;2005,AVERAGE(O2306:O2325),0)</f>
        <v>0</v>
      </c>
      <c r="S2309" s="10">
        <f>IF(A2309=A2310,(N2309-N2310)/N2310,0)</f>
        <v>0</v>
      </c>
      <c r="T2309" s="10">
        <f>IF(L2309&gt;2005,(((N2309-N2329)/N2329)+1)^(1/5)-1,0)</f>
        <v>0</v>
      </c>
      <c r="U2309" s="10">
        <f t="shared" si="78"/>
        <v>0</v>
      </c>
      <c r="V2309" s="26">
        <f t="shared" si="79"/>
        <v>0</v>
      </c>
      <c r="W2309" s="3">
        <f>IF(A2309=A2310,N2309-N2310,0)</f>
        <v>0</v>
      </c>
      <c r="X2309" s="10">
        <f>IF(A2309=A2310,(N2309-N2310)/N2310,0)</f>
        <v>0</v>
      </c>
    </row>
    <row r="2310" spans="1:24" ht="16.5" customHeight="1">
      <c r="A2310" s="3" t="s">
        <v>49</v>
      </c>
      <c r="B2310" s="3">
        <f t="shared" si="72"/>
        <v>2018</v>
      </c>
      <c r="C2310" s="3">
        <f t="shared" si="73"/>
        <v>7</v>
      </c>
      <c r="D2310" s="20" t="str">
        <f t="shared" si="74"/>
        <v>GD20187</v>
      </c>
      <c r="E2310" s="2">
        <v>43286</v>
      </c>
      <c r="F2310" s="3">
        <v>0.93</v>
      </c>
      <c r="G2310" s="2">
        <v>43322</v>
      </c>
      <c r="H2310" s="3">
        <v>1.9599999999999999E-2</v>
      </c>
      <c r="I2310" s="3">
        <v>0</v>
      </c>
      <c r="J2310" s="3">
        <v>0</v>
      </c>
      <c r="K2310" s="3">
        <f t="shared" si="75"/>
        <v>2018</v>
      </c>
      <c r="L2310" s="3">
        <f t="shared" si="76"/>
        <v>0</v>
      </c>
      <c r="M2310" s="20" t="str">
        <f>A2310&amp;L2310</f>
        <v>GD0</v>
      </c>
      <c r="N2310" s="3">
        <f>F2310</f>
        <v>0.93</v>
      </c>
      <c r="O2310" s="9">
        <f>H2310</f>
        <v>1.9599999999999999E-2</v>
      </c>
      <c r="P2310" s="10">
        <f t="shared" si="77"/>
        <v>0</v>
      </c>
      <c r="Q2310" s="10">
        <f>IF(K2310=0,IF(A2307=A2310,AVERAGE(O2307:O2310),"x"),0)</f>
        <v>0</v>
      </c>
      <c r="R2310" s="9">
        <f>IF(L2310&gt;2005,AVERAGE(O2307:O2326),0)</f>
        <v>0</v>
      </c>
      <c r="S2310" s="10">
        <f>IF(A2310=A2311,(N2310-N2311)/N2311,0)</f>
        <v>0</v>
      </c>
      <c r="T2310" s="10">
        <f>IF(L2310&gt;2005,(((N2310-N2330)/N2330)+1)^(1/5)-1,0)</f>
        <v>0</v>
      </c>
      <c r="U2310" s="10">
        <f t="shared" si="78"/>
        <v>0</v>
      </c>
      <c r="V2310" s="26">
        <f t="shared" si="79"/>
        <v>0</v>
      </c>
      <c r="W2310" s="3">
        <f>IF(A2310=A2311,N2310-N2311,0)</f>
        <v>0</v>
      </c>
      <c r="X2310" s="10">
        <f>IF(A2310=A2311,(N2310-N2311)/N2311,0)</f>
        <v>0</v>
      </c>
    </row>
    <row r="2311" spans="1:24" ht="16.5" customHeight="1">
      <c r="A2311" s="3" t="s">
        <v>49</v>
      </c>
      <c r="B2311" s="3">
        <f t="shared" si="72"/>
        <v>2018</v>
      </c>
      <c r="C2311" s="3">
        <f t="shared" si="73"/>
        <v>4</v>
      </c>
      <c r="D2311" s="20" t="str">
        <f t="shared" si="74"/>
        <v>GD20184</v>
      </c>
      <c r="E2311" s="2">
        <v>43202</v>
      </c>
      <c r="F2311" s="3">
        <v>0.93</v>
      </c>
      <c r="G2311" s="2">
        <v>43231</v>
      </c>
      <c r="H2311" s="3">
        <v>1.72E-2</v>
      </c>
      <c r="I2311" s="3">
        <v>0.10714285699999999</v>
      </c>
      <c r="J2311" s="3">
        <v>0.09</v>
      </c>
      <c r="K2311" s="3">
        <f t="shared" si="75"/>
        <v>2018</v>
      </c>
      <c r="L2311" s="3">
        <f t="shared" si="76"/>
        <v>0</v>
      </c>
      <c r="M2311" s="20" t="str">
        <f>A2311&amp;L2311</f>
        <v>GD0</v>
      </c>
      <c r="N2311" s="3">
        <f>F2311</f>
        <v>0.93</v>
      </c>
      <c r="O2311" s="9">
        <f>H2311</f>
        <v>1.72E-2</v>
      </c>
      <c r="P2311" s="10">
        <f t="shared" si="77"/>
        <v>1.6499999999999997E-2</v>
      </c>
      <c r="Q2311" s="10">
        <f>IF(K2311=0,IF(A2308=A2311,AVERAGE(O2308:O2311),"x"),0)</f>
        <v>0</v>
      </c>
      <c r="R2311" s="9">
        <f>IF(L2311&gt;2005,AVERAGE(O2308:O2327),0)</f>
        <v>0</v>
      </c>
      <c r="S2311" s="10">
        <f>IF(A2311=A2312,(N2311-N2312)/N2312,0)</f>
        <v>0.10714285714285725</v>
      </c>
      <c r="T2311" s="10">
        <f>IF(L2311&gt;2005,(((N2311-N2331)/N2331)+1)^(1/5)-1,0)</f>
        <v>0</v>
      </c>
      <c r="U2311" s="10">
        <f t="shared" si="78"/>
        <v>0</v>
      </c>
      <c r="V2311" s="26">
        <f t="shared" si="79"/>
        <v>0</v>
      </c>
      <c r="W2311" s="3">
        <f>IF(A2311=A2312,N2311-N2312,0)</f>
        <v>9.000000000000008E-2</v>
      </c>
      <c r="X2311" s="10">
        <f>IF(A2311=A2312,(N2311-N2312)/N2312,0)</f>
        <v>0.10714285714285725</v>
      </c>
    </row>
    <row r="2312" spans="1:24" ht="16.5" customHeight="1">
      <c r="A2312" s="3" t="s">
        <v>49</v>
      </c>
      <c r="B2312" s="3">
        <f t="shared" si="72"/>
        <v>2018</v>
      </c>
      <c r="C2312" s="3">
        <f t="shared" si="73"/>
        <v>1</v>
      </c>
      <c r="D2312" s="20" t="str">
        <f t="shared" si="74"/>
        <v>GD20181</v>
      </c>
      <c r="E2312" s="2">
        <v>43118</v>
      </c>
      <c r="F2312" s="3">
        <v>0.84</v>
      </c>
      <c r="G2312" s="2">
        <v>43140</v>
      </c>
      <c r="H2312" s="3">
        <v>1.61E-2</v>
      </c>
      <c r="I2312" s="3">
        <v>0</v>
      </c>
      <c r="J2312" s="3">
        <v>0</v>
      </c>
      <c r="K2312" s="3">
        <f t="shared" si="75"/>
        <v>0</v>
      </c>
      <c r="L2312" s="3">
        <f t="shared" si="76"/>
        <v>2018</v>
      </c>
      <c r="M2312" s="20" t="str">
        <f>A2312&amp;L2312</f>
        <v>GD2018</v>
      </c>
      <c r="N2312" s="3">
        <f>F2312</f>
        <v>0.84</v>
      </c>
      <c r="O2312" s="9">
        <f>H2312</f>
        <v>1.61E-2</v>
      </c>
      <c r="P2312" s="10">
        <f t="shared" si="77"/>
        <v>0</v>
      </c>
      <c r="Q2312" s="10">
        <f>IF(K2312=0,IF(A2309=A2312,AVERAGE(O2309:O2312),"x"),0)</f>
        <v>1.7749999999999998E-2</v>
      </c>
      <c r="R2312" s="9">
        <f>IF(L2312&gt;2005,AVERAGE(O2309:O2328),0)</f>
        <v>1.9255000000000001E-2</v>
      </c>
      <c r="S2312" s="10">
        <f>IF(A2312=A2313,(N2312-N2313)/N2313,0)</f>
        <v>0</v>
      </c>
      <c r="T2312" s="10">
        <f>IF(L2312&gt;2005,(((N2312-N2332)/N2332)+1)^(1/5)-1,0)</f>
        <v>0.10494795379650301</v>
      </c>
      <c r="U2312" s="10">
        <f t="shared" si="78"/>
        <v>0.12420295379650301</v>
      </c>
      <c r="V2312" s="26">
        <f t="shared" si="79"/>
        <v>4.7488769481059663</v>
      </c>
      <c r="W2312" s="3">
        <f>IF(A2312=A2313,N2312-N2313,0)</f>
        <v>0</v>
      </c>
      <c r="X2312" s="10">
        <f>IF(A2312=A2313,(N2312-N2313)/N2313,0)</f>
        <v>0</v>
      </c>
    </row>
    <row r="2313" spans="1:24" ht="16.5" customHeight="1">
      <c r="A2313" s="3" t="s">
        <v>49</v>
      </c>
      <c r="B2313" s="3">
        <f t="shared" si="72"/>
        <v>2017</v>
      </c>
      <c r="C2313" s="3">
        <f t="shared" si="73"/>
        <v>10</v>
      </c>
      <c r="D2313" s="20" t="str">
        <f t="shared" si="74"/>
        <v>GD201710</v>
      </c>
      <c r="E2313" s="2">
        <v>43013</v>
      </c>
      <c r="F2313" s="3">
        <v>0.84</v>
      </c>
      <c r="G2313" s="2">
        <v>43049</v>
      </c>
      <c r="H2313" s="3">
        <v>1.5900000000000001E-2</v>
      </c>
      <c r="I2313" s="3">
        <v>0</v>
      </c>
      <c r="J2313" s="3">
        <v>0</v>
      </c>
      <c r="K2313" s="3">
        <f t="shared" si="75"/>
        <v>2017</v>
      </c>
      <c r="L2313" s="3">
        <f t="shared" si="76"/>
        <v>0</v>
      </c>
      <c r="M2313" s="20" t="str">
        <f>A2313&amp;L2313</f>
        <v>GD0</v>
      </c>
      <c r="N2313" s="3">
        <f>F2313</f>
        <v>0.84</v>
      </c>
      <c r="O2313" s="9">
        <f>H2313</f>
        <v>1.5900000000000001E-2</v>
      </c>
      <c r="P2313" s="10">
        <f t="shared" si="77"/>
        <v>0</v>
      </c>
      <c r="Q2313" s="10">
        <f>IF(K2313=0,IF(A2310=A2313,AVERAGE(O2310:O2313),"x"),0)</f>
        <v>0</v>
      </c>
      <c r="R2313" s="9">
        <f>IF(L2313&gt;2005,AVERAGE(O2310:O2329),0)</f>
        <v>0</v>
      </c>
      <c r="S2313" s="10">
        <f>IF(A2313=A2314,(N2313-N2314)/N2314,0)</f>
        <v>0</v>
      </c>
      <c r="T2313" s="10">
        <f>IF(L2313&gt;2005,(((N2313-N2333)/N2333)+1)^(1/5)-1,0)</f>
        <v>0</v>
      </c>
      <c r="U2313" s="10">
        <f t="shared" si="78"/>
        <v>0</v>
      </c>
      <c r="V2313" s="26">
        <f t="shared" si="79"/>
        <v>0</v>
      </c>
      <c r="W2313" s="3">
        <f>IF(A2313=A2314,N2313-N2314,0)</f>
        <v>0</v>
      </c>
      <c r="X2313" s="10">
        <f>IF(A2313=A2314,(N2313-N2314)/N2314,0)</f>
        <v>0</v>
      </c>
    </row>
    <row r="2314" spans="1:24" ht="16.5" customHeight="1">
      <c r="A2314" s="3" t="s">
        <v>49</v>
      </c>
      <c r="B2314" s="3">
        <f t="shared" si="72"/>
        <v>2017</v>
      </c>
      <c r="C2314" s="3">
        <f t="shared" si="73"/>
        <v>7</v>
      </c>
      <c r="D2314" s="20" t="str">
        <f t="shared" si="74"/>
        <v>GD20177</v>
      </c>
      <c r="E2314" s="2">
        <v>42921</v>
      </c>
      <c r="F2314" s="3">
        <v>0.84</v>
      </c>
      <c r="G2314" s="2">
        <v>42958</v>
      </c>
      <c r="H2314" s="3">
        <v>1.6799999999999999E-2</v>
      </c>
      <c r="I2314" s="3">
        <v>0</v>
      </c>
      <c r="J2314" s="3">
        <v>0</v>
      </c>
      <c r="K2314" s="3">
        <f t="shared" si="75"/>
        <v>2017</v>
      </c>
      <c r="L2314" s="3">
        <f t="shared" si="76"/>
        <v>0</v>
      </c>
      <c r="M2314" s="20" t="str">
        <f>A2314&amp;L2314</f>
        <v>GD0</v>
      </c>
      <c r="N2314" s="3">
        <f>F2314</f>
        <v>0.84</v>
      </c>
      <c r="O2314" s="9">
        <f>H2314</f>
        <v>1.6799999999999999E-2</v>
      </c>
      <c r="P2314" s="10">
        <f t="shared" si="77"/>
        <v>0</v>
      </c>
      <c r="Q2314" s="10">
        <f>IF(K2314=0,IF(A2311=A2314,AVERAGE(O2311:O2314),"x"),0)</f>
        <v>0</v>
      </c>
      <c r="R2314" s="9">
        <f>IF(L2314&gt;2005,AVERAGE(O2311:O2330),0)</f>
        <v>0</v>
      </c>
      <c r="S2314" s="10">
        <f>IF(A2314=A2315,(N2314-N2315)/N2315,0)</f>
        <v>0</v>
      </c>
      <c r="T2314" s="10">
        <f>IF(L2314&gt;2005,(((N2314-N2334)/N2334)+1)^(1/5)-1,0)</f>
        <v>0</v>
      </c>
      <c r="U2314" s="10">
        <f t="shared" si="78"/>
        <v>0</v>
      </c>
      <c r="V2314" s="26">
        <f t="shared" si="79"/>
        <v>0</v>
      </c>
      <c r="W2314" s="3">
        <f>IF(A2314=A2315,N2314-N2315,0)</f>
        <v>0</v>
      </c>
      <c r="X2314" s="10">
        <f>IF(A2314=A2315,(N2314-N2315)/N2315,0)</f>
        <v>0</v>
      </c>
    </row>
    <row r="2315" spans="1:24" ht="16.5" customHeight="1">
      <c r="A2315" s="3" t="s">
        <v>49</v>
      </c>
      <c r="B2315" s="3">
        <f t="shared" si="72"/>
        <v>2017</v>
      </c>
      <c r="C2315" s="3">
        <f t="shared" si="73"/>
        <v>4</v>
      </c>
      <c r="D2315" s="20" t="str">
        <f t="shared" si="74"/>
        <v>GD20174</v>
      </c>
      <c r="E2315" s="2">
        <v>42830</v>
      </c>
      <c r="F2315" s="3">
        <v>0.84</v>
      </c>
      <c r="G2315" s="2">
        <v>42860</v>
      </c>
      <c r="H2315" s="3">
        <v>1.7899999999999999E-2</v>
      </c>
      <c r="I2315" s="3">
        <v>0.105263158</v>
      </c>
      <c r="J2315" s="3">
        <v>0.08</v>
      </c>
      <c r="K2315" s="3">
        <f t="shared" si="75"/>
        <v>2017</v>
      </c>
      <c r="L2315" s="3">
        <f t="shared" si="76"/>
        <v>0</v>
      </c>
      <c r="M2315" s="20" t="str">
        <f>A2315&amp;L2315</f>
        <v>GD0</v>
      </c>
      <c r="N2315" s="3">
        <f>F2315</f>
        <v>0.84</v>
      </c>
      <c r="O2315" s="9">
        <f>H2315</f>
        <v>1.7899999999999999E-2</v>
      </c>
      <c r="P2315" s="10">
        <f t="shared" si="77"/>
        <v>1.9424999999999998E-2</v>
      </c>
      <c r="Q2315" s="10">
        <f>IF(K2315=0,IF(A2312=A2315,AVERAGE(O2312:O2315),"x"),0)</f>
        <v>0</v>
      </c>
      <c r="R2315" s="9">
        <f>IF(L2315&gt;2005,AVERAGE(O2312:O2331),0)</f>
        <v>0</v>
      </c>
      <c r="S2315" s="10">
        <f>IF(A2315=A2316,(N2315-N2316)/N2316,0)</f>
        <v>0.10526315789473679</v>
      </c>
      <c r="T2315" s="10">
        <f>IF(L2315&gt;2005,(((N2315-N2335)/N2335)+1)^(1/5)-1,0)</f>
        <v>0</v>
      </c>
      <c r="U2315" s="10">
        <f t="shared" si="78"/>
        <v>0</v>
      </c>
      <c r="V2315" s="26">
        <f t="shared" si="79"/>
        <v>0</v>
      </c>
      <c r="W2315" s="3">
        <f>IF(A2315=A2316,N2315-N2316,0)</f>
        <v>7.999999999999996E-2</v>
      </c>
      <c r="X2315" s="10">
        <f>IF(A2315=A2316,(N2315-N2316)/N2316,0)</f>
        <v>0.10526315789473679</v>
      </c>
    </row>
    <row r="2316" spans="1:24" ht="16.5" customHeight="1">
      <c r="A2316" s="3" t="s">
        <v>49</v>
      </c>
      <c r="B2316" s="3">
        <f t="shared" si="72"/>
        <v>2017</v>
      </c>
      <c r="C2316" s="3">
        <f t="shared" si="73"/>
        <v>1</v>
      </c>
      <c r="D2316" s="20" t="str">
        <f t="shared" si="74"/>
        <v>GD20171</v>
      </c>
      <c r="E2316" s="2">
        <v>42753</v>
      </c>
      <c r="F2316" s="3">
        <v>0.76</v>
      </c>
      <c r="G2316" s="2">
        <v>42776</v>
      </c>
      <c r="H2316" s="3">
        <v>1.7299999999999999E-2</v>
      </c>
      <c r="I2316" s="3">
        <v>0</v>
      </c>
      <c r="J2316" s="3">
        <v>0</v>
      </c>
      <c r="K2316" s="3">
        <f t="shared" si="75"/>
        <v>0</v>
      </c>
      <c r="L2316" s="3">
        <f t="shared" si="76"/>
        <v>2017</v>
      </c>
      <c r="M2316" s="20" t="str">
        <f>A2316&amp;L2316</f>
        <v>GD2017</v>
      </c>
      <c r="N2316" s="3">
        <f>F2316</f>
        <v>0.76</v>
      </c>
      <c r="O2316" s="9">
        <f>H2316</f>
        <v>1.7299999999999999E-2</v>
      </c>
      <c r="P2316" s="10">
        <f t="shared" si="77"/>
        <v>0</v>
      </c>
      <c r="Q2316" s="10">
        <f>IF(K2316=0,IF(A2313=A2316,AVERAGE(O2313:O2316),"x"),0)</f>
        <v>1.6975000000000001E-2</v>
      </c>
      <c r="R2316" s="9">
        <f>IF(L2316&gt;2005,AVERAGE(O2313:O2332),0)</f>
        <v>2.1700000000000001E-2</v>
      </c>
      <c r="S2316" s="10">
        <f>IF(A2316=A2317,(N2316-N2317)/N2317,0)</f>
        <v>0</v>
      </c>
      <c r="T2316" s="10">
        <f>IF(L2316&gt;2005,(((N2316-N2336)/N2336)+1)^(1/5)-1,0)</f>
        <v>0.10088802295684807</v>
      </c>
      <c r="U2316" s="10">
        <f t="shared" si="78"/>
        <v>0.12258802295684806</v>
      </c>
      <c r="V2316" s="26">
        <f t="shared" si="79"/>
        <v>4.7174107342968723</v>
      </c>
      <c r="W2316" s="3">
        <f>IF(A2316=A2317,N2316-N2317,0)</f>
        <v>0</v>
      </c>
      <c r="X2316" s="10">
        <f>IF(A2316=A2317,(N2316-N2317)/N2317,0)</f>
        <v>0</v>
      </c>
    </row>
    <row r="2317" spans="1:24" ht="16.5" customHeight="1">
      <c r="A2317" s="3" t="s">
        <v>49</v>
      </c>
      <c r="B2317" s="3">
        <f t="shared" si="72"/>
        <v>2016</v>
      </c>
      <c r="C2317" s="3">
        <f t="shared" si="73"/>
        <v>10</v>
      </c>
      <c r="D2317" s="20" t="str">
        <f t="shared" si="74"/>
        <v>GD201610</v>
      </c>
      <c r="E2317" s="2">
        <v>42648</v>
      </c>
      <c r="F2317" s="3">
        <v>0.76</v>
      </c>
      <c r="G2317" s="2">
        <v>42684</v>
      </c>
      <c r="H2317" s="3">
        <v>1.9800000000000002E-2</v>
      </c>
      <c r="I2317" s="3">
        <v>0</v>
      </c>
      <c r="J2317" s="3">
        <v>0</v>
      </c>
      <c r="K2317" s="3">
        <f t="shared" si="75"/>
        <v>2016</v>
      </c>
      <c r="L2317" s="3">
        <f t="shared" si="76"/>
        <v>0</v>
      </c>
      <c r="M2317" s="20" t="str">
        <f>A2317&amp;L2317</f>
        <v>GD0</v>
      </c>
      <c r="N2317" s="3">
        <f>F2317</f>
        <v>0.76</v>
      </c>
      <c r="O2317" s="9">
        <f>H2317</f>
        <v>1.9800000000000002E-2</v>
      </c>
      <c r="P2317" s="10">
        <f t="shared" si="77"/>
        <v>0</v>
      </c>
      <c r="Q2317" s="10">
        <f>IF(K2317=0,IF(A2314=A2317,AVERAGE(O2314:O2317),"x"),0)</f>
        <v>0</v>
      </c>
      <c r="R2317" s="9">
        <f>IF(L2317&gt;2005,AVERAGE(O2314:O2333),0)</f>
        <v>0</v>
      </c>
      <c r="S2317" s="10">
        <f>IF(A2317=A2318,(N2317-N2318)/N2318,0)</f>
        <v>0</v>
      </c>
      <c r="T2317" s="10">
        <f>IF(L2317&gt;2005,(((N2317-N2337)/N2337)+1)^(1/5)-1,0)</f>
        <v>0</v>
      </c>
      <c r="U2317" s="10">
        <f t="shared" si="78"/>
        <v>0</v>
      </c>
      <c r="V2317" s="26">
        <f t="shared" si="79"/>
        <v>0</v>
      </c>
      <c r="W2317" s="3">
        <f>IF(A2317=A2318,N2317-N2318,0)</f>
        <v>0</v>
      </c>
      <c r="X2317" s="10">
        <f>IF(A2317=A2318,(N2317-N2318)/N2318,0)</f>
        <v>0</v>
      </c>
    </row>
    <row r="2318" spans="1:24" ht="16.5" customHeight="1">
      <c r="A2318" s="3" t="s">
        <v>49</v>
      </c>
      <c r="B2318" s="3">
        <f t="shared" si="72"/>
        <v>2016</v>
      </c>
      <c r="C2318" s="3">
        <f t="shared" si="73"/>
        <v>6</v>
      </c>
      <c r="D2318" s="20" t="str">
        <f t="shared" si="74"/>
        <v>GD20166</v>
      </c>
      <c r="E2318" s="2">
        <v>42550</v>
      </c>
      <c r="F2318" s="3">
        <v>0.76</v>
      </c>
      <c r="G2318" s="2">
        <v>42587</v>
      </c>
      <c r="H2318" s="3">
        <v>2.2700000000000001E-2</v>
      </c>
      <c r="I2318" s="3">
        <v>0</v>
      </c>
      <c r="J2318" s="3">
        <v>0</v>
      </c>
      <c r="K2318" s="3">
        <f t="shared" si="75"/>
        <v>2016</v>
      </c>
      <c r="L2318" s="3">
        <f t="shared" si="76"/>
        <v>0</v>
      </c>
      <c r="M2318" s="20" t="str">
        <f>A2318&amp;L2318</f>
        <v>GD0</v>
      </c>
      <c r="N2318" s="3">
        <f>F2318</f>
        <v>0.76</v>
      </c>
      <c r="O2318" s="9">
        <f>H2318</f>
        <v>2.2700000000000001E-2</v>
      </c>
      <c r="P2318" s="10">
        <f t="shared" si="77"/>
        <v>0</v>
      </c>
      <c r="Q2318" s="10">
        <f>IF(K2318=0,IF(A2315=A2318,AVERAGE(O2315:O2318),"x"),0)</f>
        <v>0</v>
      </c>
      <c r="R2318" s="9">
        <f>IF(L2318&gt;2005,AVERAGE(O2315:O2334),0)</f>
        <v>0</v>
      </c>
      <c r="S2318" s="10">
        <f>IF(A2318=A2319,(N2318-N2319)/N2319,0)</f>
        <v>0</v>
      </c>
      <c r="T2318" s="10">
        <f>IF(L2318&gt;2005,(((N2318-N2338)/N2338)+1)^(1/5)-1,0)</f>
        <v>0</v>
      </c>
      <c r="U2318" s="10">
        <f t="shared" si="78"/>
        <v>0</v>
      </c>
      <c r="V2318" s="26">
        <f t="shared" si="79"/>
        <v>0</v>
      </c>
      <c r="W2318" s="3">
        <f>IF(A2318=A2319,N2318-N2319,0)</f>
        <v>0</v>
      </c>
      <c r="X2318" s="10">
        <f>IF(A2318=A2319,(N2318-N2319)/N2319,0)</f>
        <v>0</v>
      </c>
    </row>
    <row r="2319" spans="1:24" ht="16.5" customHeight="1">
      <c r="A2319" s="3" t="s">
        <v>49</v>
      </c>
      <c r="B2319" s="3">
        <f t="shared" si="72"/>
        <v>2016</v>
      </c>
      <c r="C2319" s="3">
        <f t="shared" si="73"/>
        <v>4</v>
      </c>
      <c r="D2319" s="20" t="str">
        <f t="shared" si="74"/>
        <v>GD20164</v>
      </c>
      <c r="E2319" s="2">
        <v>42466</v>
      </c>
      <c r="F2319" s="3">
        <v>0.76</v>
      </c>
      <c r="G2319" s="2">
        <v>42496</v>
      </c>
      <c r="H2319" s="3">
        <v>2.3199999999999998E-2</v>
      </c>
      <c r="I2319" s="3">
        <v>0.10144927500000001</v>
      </c>
      <c r="J2319" s="3">
        <v>7.0000000000000007E-2</v>
      </c>
      <c r="K2319" s="3">
        <f t="shared" si="75"/>
        <v>2016</v>
      </c>
      <c r="L2319" s="3">
        <f t="shared" si="76"/>
        <v>0</v>
      </c>
      <c r="M2319" s="20" t="str">
        <f>A2319&amp;L2319</f>
        <v>GD0</v>
      </c>
      <c r="N2319" s="3">
        <f>F2319</f>
        <v>0.76</v>
      </c>
      <c r="O2319" s="9">
        <f>H2319</f>
        <v>2.3199999999999998E-2</v>
      </c>
      <c r="P2319" s="10">
        <f t="shared" si="77"/>
        <v>2.0399999999999998E-2</v>
      </c>
      <c r="Q2319" s="10">
        <f>IF(K2319=0,IF(A2316=A2319,AVERAGE(O2316:O2319),"x"),0)</f>
        <v>0</v>
      </c>
      <c r="R2319" s="9">
        <f>IF(L2319&gt;2005,AVERAGE(O2316:O2335),0)</f>
        <v>0</v>
      </c>
      <c r="S2319" s="10">
        <f>IF(A2319=A2320,(N2319-N2320)/N2320,0)</f>
        <v>0.10144927536231894</v>
      </c>
      <c r="T2319" s="10">
        <f>IF(L2319&gt;2005,(((N2319-N2339)/N2339)+1)^(1/5)-1,0)</f>
        <v>0</v>
      </c>
      <c r="U2319" s="10">
        <f t="shared" si="78"/>
        <v>0</v>
      </c>
      <c r="V2319" s="26">
        <f t="shared" si="79"/>
        <v>0</v>
      </c>
      <c r="W2319" s="3">
        <f>IF(A2319=A2320,N2319-N2320,0)</f>
        <v>7.0000000000000062E-2</v>
      </c>
      <c r="X2319" s="10">
        <f>IF(A2319=A2320,(N2319-N2320)/N2320,0)</f>
        <v>0.10144927536231894</v>
      </c>
    </row>
    <row r="2320" spans="1:24" ht="16.5" customHeight="1">
      <c r="A2320" s="3" t="s">
        <v>49</v>
      </c>
      <c r="B2320" s="3">
        <f t="shared" si="72"/>
        <v>2016</v>
      </c>
      <c r="C2320" s="3">
        <f t="shared" si="73"/>
        <v>1</v>
      </c>
      <c r="D2320" s="20" t="str">
        <f t="shared" si="74"/>
        <v>GD20161</v>
      </c>
      <c r="E2320" s="2">
        <v>42382</v>
      </c>
      <c r="F2320" s="3">
        <v>0.69</v>
      </c>
      <c r="G2320" s="2">
        <v>42405</v>
      </c>
      <c r="H2320" s="3">
        <v>2.0799999999999999E-2</v>
      </c>
      <c r="I2320" s="3">
        <v>0</v>
      </c>
      <c r="J2320" s="3">
        <v>0</v>
      </c>
      <c r="K2320" s="3">
        <f t="shared" si="75"/>
        <v>0</v>
      </c>
      <c r="L2320" s="3">
        <f t="shared" si="76"/>
        <v>2016</v>
      </c>
      <c r="M2320" s="20" t="str">
        <f>A2320&amp;L2320</f>
        <v>GD2016</v>
      </c>
      <c r="N2320" s="3">
        <f>F2320</f>
        <v>0.69</v>
      </c>
      <c r="O2320" s="9">
        <f>H2320</f>
        <v>2.0799999999999999E-2</v>
      </c>
      <c r="P2320" s="10">
        <f t="shared" si="77"/>
        <v>0</v>
      </c>
      <c r="Q2320" s="10">
        <f>IF(K2320=0,IF(A2317=A2320,AVERAGE(O2317:O2320),"x"),0)</f>
        <v>2.1625000000000002E-2</v>
      </c>
      <c r="R2320" s="9">
        <f>IF(L2320&gt;2005,AVERAGE(O2317:O2336),0)</f>
        <v>2.3970000000000002E-2</v>
      </c>
      <c r="S2320" s="10">
        <f>IF(A2320=A2321,(N2320-N2321)/N2321,0)</f>
        <v>0</v>
      </c>
      <c r="T2320" s="10">
        <f>IF(L2320&gt;2005,(((N2320-N2340)/N2340)+1)^(1/5)-1,0)</f>
        <v>0.10438362870438156</v>
      </c>
      <c r="U2320" s="10">
        <f t="shared" si="78"/>
        <v>0.12835362870438155</v>
      </c>
      <c r="V2320" s="26">
        <f t="shared" si="79"/>
        <v>4.6902329043957982</v>
      </c>
      <c r="W2320" s="3">
        <f>IF(A2320=A2321,N2320-N2321,0)</f>
        <v>0</v>
      </c>
      <c r="X2320" s="10">
        <f>IF(A2320=A2321,(N2320-N2321)/N2321,0)</f>
        <v>0</v>
      </c>
    </row>
    <row r="2321" spans="1:24" ht="16.5" customHeight="1">
      <c r="A2321" s="3" t="s">
        <v>49</v>
      </c>
      <c r="B2321" s="3">
        <f t="shared" si="72"/>
        <v>2015</v>
      </c>
      <c r="C2321" s="3">
        <f t="shared" si="73"/>
        <v>10</v>
      </c>
      <c r="D2321" s="20" t="str">
        <f t="shared" si="74"/>
        <v>GD201510</v>
      </c>
      <c r="E2321" s="2">
        <v>42284</v>
      </c>
      <c r="F2321" s="3">
        <v>0.69</v>
      </c>
      <c r="G2321" s="2">
        <v>42321</v>
      </c>
      <c r="H2321" s="3">
        <v>1.9099999999999999E-2</v>
      </c>
      <c r="I2321" s="3">
        <v>0</v>
      </c>
      <c r="J2321" s="3">
        <v>0</v>
      </c>
      <c r="K2321" s="3">
        <f t="shared" si="75"/>
        <v>2015</v>
      </c>
      <c r="L2321" s="3">
        <f t="shared" si="76"/>
        <v>0</v>
      </c>
      <c r="M2321" s="20" t="str">
        <f>A2321&amp;L2321</f>
        <v>GD0</v>
      </c>
      <c r="N2321" s="3">
        <f>F2321</f>
        <v>0.69</v>
      </c>
      <c r="O2321" s="9">
        <f>H2321</f>
        <v>1.9099999999999999E-2</v>
      </c>
      <c r="P2321" s="10">
        <f t="shared" si="77"/>
        <v>0</v>
      </c>
      <c r="Q2321" s="10">
        <f>IF(K2321=0,IF(A2318=A2321,AVERAGE(O2318:O2321),"x"),0)</f>
        <v>0</v>
      </c>
      <c r="R2321" s="9">
        <f>IF(L2321&gt;2005,AVERAGE(O2318:O2337),0)</f>
        <v>0</v>
      </c>
      <c r="S2321" s="10">
        <f>IF(A2321=A2322,(N2321-N2322)/N2322,0)</f>
        <v>0</v>
      </c>
      <c r="T2321" s="10">
        <f>IF(L2321&gt;2005,(((N2321-N2341)/N2341)+1)^(1/5)-1,0)</f>
        <v>0</v>
      </c>
      <c r="U2321" s="10">
        <f t="shared" si="78"/>
        <v>0</v>
      </c>
      <c r="V2321" s="26">
        <f t="shared" si="79"/>
        <v>0</v>
      </c>
      <c r="W2321" s="3">
        <f>IF(A2321=A2322,N2321-N2322,0)</f>
        <v>0</v>
      </c>
      <c r="X2321" s="10">
        <f>IF(A2321=A2322,(N2321-N2322)/N2322,0)</f>
        <v>0</v>
      </c>
    </row>
    <row r="2322" spans="1:24" ht="16.5" customHeight="1">
      <c r="A2322" s="3" t="s">
        <v>49</v>
      </c>
      <c r="B2322" s="3">
        <f t="shared" si="72"/>
        <v>2015</v>
      </c>
      <c r="C2322" s="3">
        <f t="shared" si="73"/>
        <v>6</v>
      </c>
      <c r="D2322" s="20" t="str">
        <f t="shared" si="74"/>
        <v>GD20156</v>
      </c>
      <c r="E2322" s="2">
        <v>42185</v>
      </c>
      <c r="F2322" s="3">
        <v>0.69</v>
      </c>
      <c r="G2322" s="2">
        <v>42223</v>
      </c>
      <c r="H2322" s="3">
        <v>1.8499999999999999E-2</v>
      </c>
      <c r="I2322" s="3">
        <v>0</v>
      </c>
      <c r="J2322" s="3">
        <v>0</v>
      </c>
      <c r="K2322" s="3">
        <f t="shared" si="75"/>
        <v>2015</v>
      </c>
      <c r="L2322" s="3">
        <f t="shared" si="76"/>
        <v>0</v>
      </c>
      <c r="M2322" s="20" t="str">
        <f>A2322&amp;L2322</f>
        <v>GD0</v>
      </c>
      <c r="N2322" s="3">
        <f>F2322</f>
        <v>0.69</v>
      </c>
      <c r="O2322" s="9">
        <f>H2322</f>
        <v>1.8499999999999999E-2</v>
      </c>
      <c r="P2322" s="10">
        <f t="shared" si="77"/>
        <v>0</v>
      </c>
      <c r="Q2322" s="10">
        <f>IF(K2322=0,IF(A2319=A2322,AVERAGE(O2319:O2322),"x"),0)</f>
        <v>0</v>
      </c>
      <c r="R2322" s="9">
        <f>IF(L2322&gt;2005,AVERAGE(O2319:O2338),0)</f>
        <v>0</v>
      </c>
      <c r="S2322" s="10">
        <f>IF(A2322=A2323,(N2322-N2323)/N2323,0)</f>
        <v>0</v>
      </c>
      <c r="T2322" s="10">
        <f>IF(L2322&gt;2005,(((N2322-N2342)/N2342)+1)^(1/5)-1,0)</f>
        <v>0</v>
      </c>
      <c r="U2322" s="10">
        <f t="shared" si="78"/>
        <v>0</v>
      </c>
      <c r="V2322" s="26">
        <f t="shared" si="79"/>
        <v>0</v>
      </c>
      <c r="W2322" s="3">
        <f>IF(A2322=A2323,N2322-N2323,0)</f>
        <v>0</v>
      </c>
      <c r="X2322" s="10">
        <f>IF(A2322=A2323,(N2322-N2323)/N2323,0)</f>
        <v>0</v>
      </c>
    </row>
    <row r="2323" spans="1:24" ht="16.5" customHeight="1">
      <c r="A2323" s="3" t="s">
        <v>49</v>
      </c>
      <c r="B2323" s="3">
        <f t="shared" si="72"/>
        <v>2015</v>
      </c>
      <c r="C2323" s="3">
        <f t="shared" si="73"/>
        <v>4</v>
      </c>
      <c r="D2323" s="20" t="str">
        <f t="shared" si="74"/>
        <v>GD20154</v>
      </c>
      <c r="E2323" s="2">
        <v>42102</v>
      </c>
      <c r="F2323" s="3">
        <v>0.69</v>
      </c>
      <c r="G2323" s="2">
        <v>42132</v>
      </c>
      <c r="H2323" s="3">
        <v>1.89E-2</v>
      </c>
      <c r="I2323" s="3">
        <v>0.112903226</v>
      </c>
      <c r="J2323" s="3">
        <v>7.0000000000000007E-2</v>
      </c>
      <c r="K2323" s="3">
        <f t="shared" si="75"/>
        <v>2015</v>
      </c>
      <c r="L2323" s="3">
        <f t="shared" si="76"/>
        <v>0</v>
      </c>
      <c r="M2323" s="20" t="str">
        <f>A2323&amp;L2323</f>
        <v>GD0</v>
      </c>
      <c r="N2323" s="3">
        <f>F2323</f>
        <v>0.69</v>
      </c>
      <c r="O2323" s="9">
        <f>H2323</f>
        <v>1.89E-2</v>
      </c>
      <c r="P2323" s="10">
        <f t="shared" si="77"/>
        <v>1.9300000000000001E-2</v>
      </c>
      <c r="Q2323" s="10">
        <f>IF(K2323=0,IF(A2320=A2323,AVERAGE(O2320:O2323),"x"),0)</f>
        <v>0</v>
      </c>
      <c r="R2323" s="9">
        <f>IF(L2323&gt;2005,AVERAGE(O2320:O2339),0)</f>
        <v>0</v>
      </c>
      <c r="S2323" s="10">
        <f>IF(A2323=A2324,(N2323-N2324)/N2324,0)</f>
        <v>0.11290322580645154</v>
      </c>
      <c r="T2323" s="10">
        <f>IF(L2323&gt;2005,(((N2323-N2343)/N2343)+1)^(1/5)-1,0)</f>
        <v>0</v>
      </c>
      <c r="U2323" s="10">
        <f t="shared" si="78"/>
        <v>0</v>
      </c>
      <c r="V2323" s="26">
        <f t="shared" si="79"/>
        <v>0</v>
      </c>
      <c r="W2323" s="3">
        <f>IF(A2323=A2324,N2323-N2324,0)</f>
        <v>6.9999999999999951E-2</v>
      </c>
      <c r="X2323" s="10">
        <f>IF(A2323=A2324,(N2323-N2324)/N2324,0)</f>
        <v>0.11290322580645154</v>
      </c>
    </row>
    <row r="2324" spans="1:24" ht="16.5" customHeight="1">
      <c r="A2324" s="3" t="s">
        <v>49</v>
      </c>
      <c r="B2324" s="3">
        <f t="shared" si="72"/>
        <v>2015</v>
      </c>
      <c r="C2324" s="3">
        <f t="shared" si="73"/>
        <v>1</v>
      </c>
      <c r="D2324" s="20" t="str">
        <f t="shared" si="74"/>
        <v>GD20151</v>
      </c>
      <c r="E2324" s="2">
        <v>42018</v>
      </c>
      <c r="F2324" s="3">
        <v>0.62</v>
      </c>
      <c r="G2324" s="2">
        <v>42041</v>
      </c>
      <c r="H2324" s="3">
        <v>1.7999999999999999E-2</v>
      </c>
      <c r="I2324" s="3">
        <v>0</v>
      </c>
      <c r="J2324" s="3">
        <v>0</v>
      </c>
      <c r="K2324" s="3">
        <f t="shared" si="75"/>
        <v>0</v>
      </c>
      <c r="L2324" s="3">
        <f t="shared" si="76"/>
        <v>2015</v>
      </c>
      <c r="M2324" s="20" t="str">
        <f>A2324&amp;L2324</f>
        <v>GD2015</v>
      </c>
      <c r="N2324" s="3">
        <f>F2324</f>
        <v>0.62</v>
      </c>
      <c r="O2324" s="9">
        <f>H2324</f>
        <v>1.7999999999999999E-2</v>
      </c>
      <c r="P2324" s="10">
        <f t="shared" si="77"/>
        <v>0</v>
      </c>
      <c r="Q2324" s="10">
        <f>IF(K2324=0,IF(A2321=A2324,AVERAGE(O2321:O2324),"x"),0)</f>
        <v>1.8624999999999999E-2</v>
      </c>
      <c r="R2324" s="9">
        <f>IF(L2324&gt;2005,AVERAGE(O2321:O2340),0)</f>
        <v>2.4790000000000003E-2</v>
      </c>
      <c r="S2324" s="10">
        <f>IF(A2324=A2325,(N2324-N2325)/N2325,0)</f>
        <v>0</v>
      </c>
      <c r="T2324" s="10">
        <f>IF(L2324&gt;2005,(((N2324-N2344)/N2344)+1)^(1/5)-1,0)</f>
        <v>0.10286313147852999</v>
      </c>
      <c r="U2324" s="10">
        <f t="shared" si="78"/>
        <v>0.12765313147853</v>
      </c>
      <c r="V2324" s="26">
        <f t="shared" si="79"/>
        <v>4.6797520436478575</v>
      </c>
      <c r="W2324" s="3">
        <f>IF(A2324=A2325,N2324-N2325,0)</f>
        <v>0</v>
      </c>
      <c r="X2324" s="10">
        <f>IF(A2324=A2325,(N2324-N2325)/N2325,0)</f>
        <v>0</v>
      </c>
    </row>
    <row r="2325" spans="1:24" ht="16.5" customHeight="1">
      <c r="A2325" s="3" t="s">
        <v>49</v>
      </c>
      <c r="B2325" s="3">
        <f t="shared" si="72"/>
        <v>2014</v>
      </c>
      <c r="C2325" s="3">
        <f t="shared" si="73"/>
        <v>10</v>
      </c>
      <c r="D2325" s="20" t="str">
        <f t="shared" si="74"/>
        <v>GD201410</v>
      </c>
      <c r="E2325" s="2">
        <v>41920</v>
      </c>
      <c r="F2325" s="3">
        <v>0.62</v>
      </c>
      <c r="G2325" s="2">
        <v>41957</v>
      </c>
      <c r="H2325" s="3">
        <v>2.01E-2</v>
      </c>
      <c r="I2325" s="3">
        <v>0</v>
      </c>
      <c r="J2325" s="3">
        <v>0</v>
      </c>
      <c r="K2325" s="3">
        <f t="shared" si="75"/>
        <v>2014</v>
      </c>
      <c r="L2325" s="3">
        <f t="shared" si="76"/>
        <v>0</v>
      </c>
      <c r="M2325" s="20" t="str">
        <f>A2325&amp;L2325</f>
        <v>GD0</v>
      </c>
      <c r="N2325" s="3">
        <f>F2325</f>
        <v>0.62</v>
      </c>
      <c r="O2325" s="9">
        <f>H2325</f>
        <v>2.01E-2</v>
      </c>
      <c r="P2325" s="10">
        <f t="shared" si="77"/>
        <v>0</v>
      </c>
      <c r="Q2325" s="10">
        <f>IF(K2325=0,IF(A2322=A2325,AVERAGE(O2322:O2325),"x"),0)</f>
        <v>0</v>
      </c>
      <c r="R2325" s="9">
        <f>IF(L2325&gt;2005,AVERAGE(O2322:O2341),0)</f>
        <v>0</v>
      </c>
      <c r="S2325" s="10">
        <f>IF(A2325=A2326,(N2325-N2326)/N2326,0)</f>
        <v>0</v>
      </c>
      <c r="T2325" s="10">
        <f>IF(L2325&gt;2005,(((N2325-N2345)/N2345)+1)^(1/5)-1,0)</f>
        <v>0</v>
      </c>
      <c r="U2325" s="10">
        <f t="shared" si="78"/>
        <v>0</v>
      </c>
      <c r="V2325" s="26">
        <f t="shared" si="79"/>
        <v>0</v>
      </c>
      <c r="W2325" s="3">
        <f>IF(A2325=A2326,N2325-N2326,0)</f>
        <v>0</v>
      </c>
      <c r="X2325" s="10">
        <f>IF(A2325=A2326,(N2325-N2326)/N2326,0)</f>
        <v>0</v>
      </c>
    </row>
    <row r="2326" spans="1:24" ht="16.5" customHeight="1">
      <c r="A2326" s="3" t="s">
        <v>49</v>
      </c>
      <c r="B2326" s="3">
        <f t="shared" si="72"/>
        <v>2014</v>
      </c>
      <c r="C2326" s="3">
        <f t="shared" si="73"/>
        <v>7</v>
      </c>
      <c r="D2326" s="20" t="str">
        <f t="shared" si="74"/>
        <v>GD20147</v>
      </c>
      <c r="E2326" s="2">
        <v>41821</v>
      </c>
      <c r="F2326" s="3">
        <v>0.62</v>
      </c>
      <c r="G2326" s="2">
        <v>41859</v>
      </c>
      <c r="H2326" s="3">
        <v>2.0199999999999999E-2</v>
      </c>
      <c r="I2326" s="3">
        <v>0</v>
      </c>
      <c r="J2326" s="3">
        <v>0</v>
      </c>
      <c r="K2326" s="3">
        <f t="shared" si="75"/>
        <v>2014</v>
      </c>
      <c r="L2326" s="3">
        <f t="shared" si="76"/>
        <v>0</v>
      </c>
      <c r="M2326" s="20" t="str">
        <f>A2326&amp;L2326</f>
        <v>GD0</v>
      </c>
      <c r="N2326" s="3">
        <f>F2326</f>
        <v>0.62</v>
      </c>
      <c r="O2326" s="9">
        <f>H2326</f>
        <v>2.0199999999999999E-2</v>
      </c>
      <c r="P2326" s="10">
        <f t="shared" si="77"/>
        <v>0</v>
      </c>
      <c r="Q2326" s="10">
        <f>IF(K2326=0,IF(A2323=A2326,AVERAGE(O2323:O2326),"x"),0)</f>
        <v>0</v>
      </c>
      <c r="R2326" s="9">
        <f>IF(L2326&gt;2005,AVERAGE(O2323:O2342),0)</f>
        <v>0</v>
      </c>
      <c r="S2326" s="10">
        <f>IF(A2326=A2327,(N2326-N2327)/N2327,0)</f>
        <v>0</v>
      </c>
      <c r="T2326" s="10">
        <f>IF(L2326&gt;2005,(((N2326-N2346)/N2346)+1)^(1/5)-1,0)</f>
        <v>0</v>
      </c>
      <c r="U2326" s="10">
        <f t="shared" si="78"/>
        <v>0</v>
      </c>
      <c r="V2326" s="26">
        <f t="shared" si="79"/>
        <v>0</v>
      </c>
      <c r="W2326" s="3">
        <f>IF(A2326=A2327,N2326-N2327,0)</f>
        <v>0</v>
      </c>
      <c r="X2326" s="10">
        <f>IF(A2326=A2327,(N2326-N2327)/N2327,0)</f>
        <v>0</v>
      </c>
    </row>
    <row r="2327" spans="1:24" ht="16.5" customHeight="1">
      <c r="A2327" s="3" t="s">
        <v>49</v>
      </c>
      <c r="B2327" s="3">
        <f t="shared" si="72"/>
        <v>2014</v>
      </c>
      <c r="C2327" s="3">
        <f t="shared" si="73"/>
        <v>4</v>
      </c>
      <c r="D2327" s="20" t="str">
        <f t="shared" si="74"/>
        <v>GD20144</v>
      </c>
      <c r="E2327" s="2">
        <v>41738</v>
      </c>
      <c r="F2327" s="3">
        <v>0.62</v>
      </c>
      <c r="G2327" s="2">
        <v>41768</v>
      </c>
      <c r="H2327" s="3">
        <v>2.1600000000000001E-2</v>
      </c>
      <c r="I2327" s="3">
        <v>0.10714285699999999</v>
      </c>
      <c r="J2327" s="3">
        <v>0.06</v>
      </c>
      <c r="K2327" s="3">
        <f t="shared" si="75"/>
        <v>2014</v>
      </c>
      <c r="L2327" s="3">
        <f t="shared" si="76"/>
        <v>0</v>
      </c>
      <c r="M2327" s="20" t="str">
        <f>A2327&amp;L2327</f>
        <v>GD0</v>
      </c>
      <c r="N2327" s="3">
        <f>F2327</f>
        <v>0.62</v>
      </c>
      <c r="O2327" s="9">
        <f>H2327</f>
        <v>2.1600000000000001E-2</v>
      </c>
      <c r="P2327" s="10">
        <f t="shared" si="77"/>
        <v>2.445E-2</v>
      </c>
      <c r="Q2327" s="10">
        <f>IF(K2327=0,IF(A2324=A2327,AVERAGE(O2324:O2327),"x"),0)</f>
        <v>0</v>
      </c>
      <c r="R2327" s="9">
        <f>IF(L2327&gt;2005,AVERAGE(O2324:O2343),0)</f>
        <v>0</v>
      </c>
      <c r="S2327" s="10">
        <f>IF(A2327=A2328,(N2327-N2328)/N2328,0)</f>
        <v>0.10714285714285703</v>
      </c>
      <c r="T2327" s="10">
        <f>IF(L2327&gt;2005,(((N2327-N2347)/N2347)+1)^(1/5)-1,0)</f>
        <v>0</v>
      </c>
      <c r="U2327" s="10">
        <f t="shared" si="78"/>
        <v>0</v>
      </c>
      <c r="V2327" s="26">
        <f t="shared" si="79"/>
        <v>0</v>
      </c>
      <c r="W2327" s="3">
        <f>IF(A2327=A2328,N2327-N2328,0)</f>
        <v>5.9999999999999942E-2</v>
      </c>
      <c r="X2327" s="10">
        <f>IF(A2327=A2328,(N2327-N2328)/N2328,0)</f>
        <v>0.10714285714285703</v>
      </c>
    </row>
    <row r="2328" spans="1:24" ht="16.5" customHeight="1">
      <c r="A2328" s="3" t="s">
        <v>49</v>
      </c>
      <c r="B2328" s="3">
        <f t="shared" si="72"/>
        <v>2014</v>
      </c>
      <c r="C2328" s="3">
        <f t="shared" si="73"/>
        <v>1</v>
      </c>
      <c r="D2328" s="20" t="str">
        <f t="shared" si="74"/>
        <v>GD20141</v>
      </c>
      <c r="E2328" s="2">
        <v>41654</v>
      </c>
      <c r="F2328" s="3">
        <v>0.56000000000000005</v>
      </c>
      <c r="G2328" s="2">
        <v>41677</v>
      </c>
      <c r="H2328" s="3">
        <v>2.3300000000000001E-2</v>
      </c>
      <c r="I2328" s="3">
        <v>0</v>
      </c>
      <c r="J2328" s="3">
        <v>0</v>
      </c>
      <c r="K2328" s="3">
        <f t="shared" si="75"/>
        <v>0</v>
      </c>
      <c r="L2328" s="3">
        <f t="shared" si="76"/>
        <v>2014</v>
      </c>
      <c r="M2328" s="20" t="str">
        <f>A2328&amp;L2328</f>
        <v>GD2014</v>
      </c>
      <c r="N2328" s="3">
        <f>F2328</f>
        <v>0.56000000000000005</v>
      </c>
      <c r="O2328" s="9">
        <f>H2328</f>
        <v>2.3300000000000001E-2</v>
      </c>
      <c r="P2328" s="10">
        <f t="shared" si="77"/>
        <v>0</v>
      </c>
      <c r="Q2328" s="10">
        <f>IF(K2328=0,IF(A2325=A2328,AVERAGE(O2325:O2328),"x"),0)</f>
        <v>2.1299999999999999E-2</v>
      </c>
      <c r="R2328" s="9">
        <f>IF(L2328&gt;2005,AVERAGE(O2325:O2344),0)</f>
        <v>2.5795000000000002E-2</v>
      </c>
      <c r="S2328" s="10">
        <f>IF(A2328=A2329,(N2328-N2329)/N2329,0)</f>
        <v>0</v>
      </c>
      <c r="T2328" s="10">
        <f>IF(L2328&gt;2005,(((N2328-N2348)/N2348)+1)^(1/5)-1,0)</f>
        <v>9.8560543306117854E-2</v>
      </c>
      <c r="U2328" s="10">
        <f t="shared" si="78"/>
        <v>0.12435554330611785</v>
      </c>
      <c r="V2328" s="26">
        <f t="shared" si="79"/>
        <v>4.6662167946389372</v>
      </c>
      <c r="W2328" s="3">
        <f>IF(A2328=A2329,N2328-N2329,0)</f>
        <v>0</v>
      </c>
      <c r="X2328" s="10">
        <f>IF(A2328=A2329,(N2328-N2329)/N2329,0)</f>
        <v>0</v>
      </c>
    </row>
    <row r="2329" spans="1:24" ht="16.5" customHeight="1">
      <c r="A2329" s="3" t="s">
        <v>49</v>
      </c>
      <c r="B2329" s="3">
        <f t="shared" si="72"/>
        <v>2013</v>
      </c>
      <c r="C2329" s="3">
        <f t="shared" si="73"/>
        <v>10</v>
      </c>
      <c r="D2329" s="20" t="str">
        <f t="shared" si="74"/>
        <v>GD201310</v>
      </c>
      <c r="E2329" s="2">
        <v>41556</v>
      </c>
      <c r="F2329" s="3">
        <v>0.56000000000000005</v>
      </c>
      <c r="G2329" s="2">
        <v>41593</v>
      </c>
      <c r="H2329" s="3">
        <v>2.58E-2</v>
      </c>
      <c r="I2329" s="3">
        <v>0</v>
      </c>
      <c r="J2329" s="3">
        <v>0</v>
      </c>
      <c r="K2329" s="3">
        <f t="shared" si="75"/>
        <v>2013</v>
      </c>
      <c r="L2329" s="3">
        <f t="shared" si="76"/>
        <v>0</v>
      </c>
      <c r="M2329" s="20" t="str">
        <f>A2329&amp;L2329</f>
        <v>GD0</v>
      </c>
      <c r="N2329" s="3">
        <f>F2329</f>
        <v>0.56000000000000005</v>
      </c>
      <c r="O2329" s="9">
        <f>H2329</f>
        <v>2.58E-2</v>
      </c>
      <c r="P2329" s="10">
        <f t="shared" si="77"/>
        <v>0</v>
      </c>
      <c r="Q2329" s="10">
        <f>IF(K2329=0,IF(A2326=A2329,AVERAGE(O2326:O2329),"x"),0)</f>
        <v>0</v>
      </c>
      <c r="R2329" s="9">
        <f>IF(L2329&gt;2005,AVERAGE(O2326:O2345),0)</f>
        <v>0</v>
      </c>
      <c r="S2329" s="10">
        <f>IF(A2329=A2330,(N2329-N2330)/N2330,0)</f>
        <v>0</v>
      </c>
      <c r="T2329" s="10">
        <f>IF(L2329&gt;2005,(((N2329-N2349)/N2349)+1)^(1/5)-1,0)</f>
        <v>0</v>
      </c>
      <c r="U2329" s="10">
        <f t="shared" si="78"/>
        <v>0</v>
      </c>
      <c r="V2329" s="26">
        <f t="shared" si="79"/>
        <v>0</v>
      </c>
      <c r="W2329" s="3">
        <f>IF(A2329=A2330,N2329-N2330,0)</f>
        <v>0</v>
      </c>
      <c r="X2329" s="10">
        <f>IF(A2329=A2330,(N2329-N2330)/N2330,0)</f>
        <v>0</v>
      </c>
    </row>
    <row r="2330" spans="1:24" ht="16.5" customHeight="1">
      <c r="A2330" s="3" t="s">
        <v>49</v>
      </c>
      <c r="B2330" s="3">
        <f t="shared" si="72"/>
        <v>2013</v>
      </c>
      <c r="C2330" s="3">
        <f t="shared" si="73"/>
        <v>7</v>
      </c>
      <c r="D2330" s="20" t="str">
        <f t="shared" si="74"/>
        <v>GD20137</v>
      </c>
      <c r="E2330" s="2">
        <v>41457</v>
      </c>
      <c r="F2330" s="3">
        <v>0.56000000000000005</v>
      </c>
      <c r="G2330" s="2">
        <v>41495</v>
      </c>
      <c r="H2330" s="3">
        <v>2.7099999999999999E-2</v>
      </c>
      <c r="I2330" s="3">
        <v>0</v>
      </c>
      <c r="J2330" s="3">
        <v>0</v>
      </c>
      <c r="K2330" s="3">
        <f t="shared" si="75"/>
        <v>2013</v>
      </c>
      <c r="L2330" s="3">
        <f t="shared" si="76"/>
        <v>0</v>
      </c>
      <c r="M2330" s="20" t="str">
        <f>A2330&amp;L2330</f>
        <v>GD0</v>
      </c>
      <c r="N2330" s="3">
        <f>F2330</f>
        <v>0.56000000000000005</v>
      </c>
      <c r="O2330" s="9">
        <f>H2330</f>
        <v>2.7099999999999999E-2</v>
      </c>
      <c r="P2330" s="10">
        <f t="shared" si="77"/>
        <v>0</v>
      </c>
      <c r="Q2330" s="10">
        <f>IF(K2330=0,IF(A2327=A2330,AVERAGE(O2327:O2330),"x"),0)</f>
        <v>0</v>
      </c>
      <c r="R2330" s="9">
        <f>IF(L2330&gt;2005,AVERAGE(O2327:O2346),0)</f>
        <v>0</v>
      </c>
      <c r="S2330" s="10">
        <f>IF(A2330=A2331,(N2330-N2331)/N2331,0)</f>
        <v>0</v>
      </c>
      <c r="T2330" s="10">
        <f>IF(L2330&gt;2005,(((N2330-N2350)/N2350)+1)^(1/5)-1,0)</f>
        <v>0</v>
      </c>
      <c r="U2330" s="10">
        <f t="shared" si="78"/>
        <v>0</v>
      </c>
      <c r="V2330" s="26">
        <f t="shared" si="79"/>
        <v>0</v>
      </c>
      <c r="W2330" s="3">
        <f>IF(A2330=A2331,N2330-N2331,0)</f>
        <v>0</v>
      </c>
      <c r="X2330" s="10">
        <f>IF(A2330=A2331,(N2330-N2331)/N2331,0)</f>
        <v>0</v>
      </c>
    </row>
    <row r="2331" spans="1:24" ht="16.5" customHeight="1">
      <c r="A2331" s="3" t="s">
        <v>49</v>
      </c>
      <c r="B2331" s="3">
        <f t="shared" si="72"/>
        <v>2013</v>
      </c>
      <c r="C2331" s="3">
        <f t="shared" si="73"/>
        <v>4</v>
      </c>
      <c r="D2331" s="20" t="str">
        <f t="shared" si="74"/>
        <v>GD20134</v>
      </c>
      <c r="E2331" s="2">
        <v>41374</v>
      </c>
      <c r="F2331" s="3">
        <v>0.56000000000000005</v>
      </c>
      <c r="G2331" s="2">
        <v>41404</v>
      </c>
      <c r="H2331" s="3">
        <v>3.0099999999999998E-2</v>
      </c>
      <c r="I2331" s="3">
        <v>9.8039215999999998E-2</v>
      </c>
      <c r="J2331" s="3">
        <v>0.05</v>
      </c>
      <c r="K2331" s="3">
        <f t="shared" si="75"/>
        <v>0</v>
      </c>
      <c r="L2331" s="3">
        <f t="shared" si="76"/>
        <v>2013</v>
      </c>
      <c r="M2331" s="20" t="str">
        <f>A2331&amp;L2331</f>
        <v>GD2013</v>
      </c>
      <c r="N2331" s="3">
        <f>F2331</f>
        <v>0.56000000000000005</v>
      </c>
      <c r="O2331" s="9">
        <f>H2331</f>
        <v>3.0099999999999998E-2</v>
      </c>
      <c r="P2331" s="10">
        <f t="shared" si="77"/>
        <v>3.1600000000000003E-2</v>
      </c>
      <c r="Q2331" s="10">
        <f>IF(K2331=0,IF(A2328=A2331,AVERAGE(O2328:O2331),"x"),0)</f>
        <v>2.6575000000000001E-2</v>
      </c>
      <c r="R2331" s="9">
        <f>IF(L2331&gt;2005,AVERAGE(O2328:O2347),0)</f>
        <v>2.6679999999999999E-2</v>
      </c>
      <c r="S2331" s="10">
        <f>IF(A2331=A2332,(N2331-N2332)/N2332,0)</f>
        <v>9.8039215686274592E-2</v>
      </c>
      <c r="T2331" s="10">
        <f>IF(L2331&gt;2005,(((N2331-N2351)/N2351)+1)^(1/5)-1,0)</f>
        <v>9.8560543306117854E-2</v>
      </c>
      <c r="U2331" s="10">
        <f t="shared" si="78"/>
        <v>0.12524054330611786</v>
      </c>
      <c r="V2331" s="26">
        <f t="shared" si="79"/>
        <v>4.655388397662815</v>
      </c>
      <c r="W2331" s="3">
        <f>IF(A2331=A2332,N2331-N2332,0)</f>
        <v>5.0000000000000044E-2</v>
      </c>
      <c r="X2331" s="10">
        <f>IF(A2331=A2332,(N2331-N2332)/N2332,0)</f>
        <v>9.8039215686274592E-2</v>
      </c>
    </row>
    <row r="2332" spans="1:24" ht="16.5" customHeight="1">
      <c r="A2332" s="3" t="s">
        <v>49</v>
      </c>
      <c r="B2332" s="3">
        <f t="shared" si="72"/>
        <v>2012</v>
      </c>
      <c r="C2332" s="3">
        <f t="shared" si="73"/>
        <v>12</v>
      </c>
      <c r="D2332" s="20" t="str">
        <f t="shared" si="74"/>
        <v>GD201212</v>
      </c>
      <c r="E2332" s="2">
        <v>41257</v>
      </c>
      <c r="F2332" s="3">
        <v>0.51</v>
      </c>
      <c r="G2332" s="2">
        <v>41269</v>
      </c>
      <c r="H2332" s="3">
        <v>3.6900000000000002E-2</v>
      </c>
      <c r="I2332" s="3">
        <v>0</v>
      </c>
      <c r="J2332" s="3">
        <v>0</v>
      </c>
      <c r="K2332" s="3">
        <f t="shared" si="75"/>
        <v>2012</v>
      </c>
      <c r="L2332" s="3">
        <f t="shared" si="76"/>
        <v>0</v>
      </c>
      <c r="M2332" s="20" t="str">
        <f>A2332&amp;L2332</f>
        <v>GD0</v>
      </c>
      <c r="N2332" s="3">
        <f>F2332</f>
        <v>0.51</v>
      </c>
      <c r="O2332" s="9">
        <f>H2332</f>
        <v>3.6900000000000002E-2</v>
      </c>
      <c r="P2332" s="10">
        <f t="shared" si="77"/>
        <v>0</v>
      </c>
      <c r="Q2332" s="10">
        <f>IF(K2332=0,IF(A2329=A2332,AVERAGE(O2329:O2332),"x"),0)</f>
        <v>0</v>
      </c>
      <c r="R2332" s="9">
        <f>IF(L2332&gt;2005,AVERAGE(O2329:O2348),0)</f>
        <v>0</v>
      </c>
      <c r="S2332" s="10">
        <f>IF(A2332=A2333,(N2332-N2333)/N2333,0)</f>
        <v>0</v>
      </c>
      <c r="T2332" s="10">
        <f>IF(L2332&gt;2005,(((N2332-N2352)/N2352)+1)^(1/5)-1,0)</f>
        <v>0</v>
      </c>
      <c r="U2332" s="10">
        <f t="shared" si="78"/>
        <v>0</v>
      </c>
      <c r="V2332" s="26">
        <f t="shared" si="79"/>
        <v>0</v>
      </c>
      <c r="W2332" s="3">
        <f>IF(A2332=A2333,N2332-N2333,0)</f>
        <v>0</v>
      </c>
      <c r="X2332" s="10">
        <f>IF(A2332=A2333,(N2332-N2333)/N2333,0)</f>
        <v>0</v>
      </c>
    </row>
    <row r="2333" spans="1:24" ht="16.5" customHeight="1">
      <c r="A2333" s="3" t="s">
        <v>49</v>
      </c>
      <c r="B2333" s="3">
        <f t="shared" si="72"/>
        <v>2012</v>
      </c>
      <c r="C2333" s="3">
        <f t="shared" si="73"/>
        <v>10</v>
      </c>
      <c r="D2333" s="20" t="str">
        <f t="shared" si="74"/>
        <v>GD201210</v>
      </c>
      <c r="E2333" s="2">
        <v>41185</v>
      </c>
      <c r="F2333" s="3">
        <v>0.51</v>
      </c>
      <c r="G2333" s="2">
        <v>41222</v>
      </c>
      <c r="H2333" s="3">
        <v>2.9700000000000001E-2</v>
      </c>
      <c r="I2333" s="3">
        <v>0</v>
      </c>
      <c r="J2333" s="3">
        <v>0</v>
      </c>
      <c r="K2333" s="3">
        <f t="shared" si="75"/>
        <v>2012</v>
      </c>
      <c r="L2333" s="3">
        <f t="shared" si="76"/>
        <v>0</v>
      </c>
      <c r="M2333" s="20" t="str">
        <f>A2333&amp;L2333</f>
        <v>GD0</v>
      </c>
      <c r="N2333" s="3">
        <f>F2333</f>
        <v>0.51</v>
      </c>
      <c r="O2333" s="9">
        <f>H2333</f>
        <v>2.9700000000000001E-2</v>
      </c>
      <c r="P2333" s="10">
        <f t="shared" si="77"/>
        <v>0</v>
      </c>
      <c r="Q2333" s="10">
        <f>IF(K2333=0,IF(A2330=A2333,AVERAGE(O2330:O2333),"x"),0)</f>
        <v>0</v>
      </c>
      <c r="R2333" s="9">
        <f>IF(L2333&gt;2005,AVERAGE(O2330:O2349),0)</f>
        <v>0</v>
      </c>
      <c r="S2333" s="10">
        <f>IF(A2333=A2334,(N2333-N2334)/N2334,0)</f>
        <v>0</v>
      </c>
      <c r="T2333" s="10">
        <f>IF(L2333&gt;2005,(((N2333-N2353)/N2353)+1)^(1/5)-1,0)</f>
        <v>0</v>
      </c>
      <c r="U2333" s="10">
        <f t="shared" si="78"/>
        <v>0</v>
      </c>
      <c r="V2333" s="26">
        <f t="shared" si="79"/>
        <v>0</v>
      </c>
      <c r="W2333" s="3">
        <f>IF(A2333=A2334,N2333-N2334,0)</f>
        <v>0</v>
      </c>
      <c r="X2333" s="10">
        <f>IF(A2333=A2334,(N2333-N2334)/N2334,0)</f>
        <v>0</v>
      </c>
    </row>
    <row r="2334" spans="1:24" ht="16.5" customHeight="1">
      <c r="A2334" s="3" t="s">
        <v>49</v>
      </c>
      <c r="B2334" s="3">
        <f t="shared" si="72"/>
        <v>2012</v>
      </c>
      <c r="C2334" s="3">
        <f t="shared" si="73"/>
        <v>7</v>
      </c>
      <c r="D2334" s="20" t="str">
        <f t="shared" si="74"/>
        <v>GD20127</v>
      </c>
      <c r="E2334" s="2">
        <v>41093</v>
      </c>
      <c r="F2334" s="3">
        <v>0.51</v>
      </c>
      <c r="G2334" s="2">
        <v>41131</v>
      </c>
      <c r="H2334" s="3">
        <v>2.9700000000000001E-2</v>
      </c>
      <c r="I2334" s="3">
        <v>0</v>
      </c>
      <c r="J2334" s="3">
        <v>0</v>
      </c>
      <c r="K2334" s="3">
        <f t="shared" si="75"/>
        <v>2012</v>
      </c>
      <c r="L2334" s="3">
        <f t="shared" si="76"/>
        <v>0</v>
      </c>
      <c r="M2334" s="20" t="str">
        <f>A2334&amp;L2334</f>
        <v>GD0</v>
      </c>
      <c r="N2334" s="3">
        <f>F2334</f>
        <v>0.51</v>
      </c>
      <c r="O2334" s="9">
        <f>H2334</f>
        <v>2.9700000000000001E-2</v>
      </c>
      <c r="P2334" s="10">
        <f t="shared" si="77"/>
        <v>0</v>
      </c>
      <c r="Q2334" s="10">
        <f>IF(K2334=0,IF(A2331=A2334,AVERAGE(O2331:O2334),"x"),0)</f>
        <v>0</v>
      </c>
      <c r="R2334" s="9">
        <f>IF(L2334&gt;2005,AVERAGE(O2331:O2350),0)</f>
        <v>0</v>
      </c>
      <c r="S2334" s="10">
        <f>IF(A2334=A2335,(N2334-N2335)/N2335,0)</f>
        <v>0</v>
      </c>
      <c r="T2334" s="10">
        <f>IF(L2334&gt;2005,(((N2334-N2354)/N2354)+1)^(1/5)-1,0)</f>
        <v>0</v>
      </c>
      <c r="U2334" s="10">
        <f t="shared" si="78"/>
        <v>0</v>
      </c>
      <c r="V2334" s="26">
        <f t="shared" si="79"/>
        <v>0</v>
      </c>
      <c r="W2334" s="3">
        <f>IF(A2334=A2335,N2334-N2335,0)</f>
        <v>0</v>
      </c>
      <c r="X2334" s="10">
        <f>IF(A2334=A2335,(N2334-N2335)/N2335,0)</f>
        <v>0</v>
      </c>
    </row>
    <row r="2335" spans="1:24" ht="16.5" customHeight="1">
      <c r="A2335" s="3" t="s">
        <v>49</v>
      </c>
      <c r="B2335" s="3">
        <f t="shared" si="72"/>
        <v>2012</v>
      </c>
      <c r="C2335" s="3">
        <f t="shared" si="73"/>
        <v>4</v>
      </c>
      <c r="D2335" s="20" t="str">
        <f t="shared" si="74"/>
        <v>GD20124</v>
      </c>
      <c r="E2335" s="2">
        <v>41010</v>
      </c>
      <c r="F2335" s="3">
        <v>0.51</v>
      </c>
      <c r="G2335" s="2">
        <v>41040</v>
      </c>
      <c r="H2335" s="3">
        <v>2.76E-2</v>
      </c>
      <c r="I2335" s="3">
        <v>8.5106382999999994E-2</v>
      </c>
      <c r="J2335" s="3">
        <v>0.04</v>
      </c>
      <c r="K2335" s="3">
        <f t="shared" si="75"/>
        <v>2012</v>
      </c>
      <c r="L2335" s="3">
        <f t="shared" si="76"/>
        <v>0</v>
      </c>
      <c r="M2335" s="20" t="str">
        <f>A2335&amp;L2335</f>
        <v>GD0</v>
      </c>
      <c r="N2335" s="3">
        <f>F2335</f>
        <v>0.51</v>
      </c>
      <c r="O2335" s="9">
        <f>H2335</f>
        <v>2.76E-2</v>
      </c>
      <c r="P2335" s="10">
        <f t="shared" si="77"/>
        <v>2.75E-2</v>
      </c>
      <c r="Q2335" s="10">
        <f>IF(K2335=0,IF(A2332=A2335,AVERAGE(O2332:O2335),"x"),0)</f>
        <v>0</v>
      </c>
      <c r="R2335" s="9">
        <f>IF(L2335&gt;2005,AVERAGE(O2332:O2351),0)</f>
        <v>0</v>
      </c>
      <c r="S2335" s="10">
        <f>IF(A2335=A2336,(N2335-N2336)/N2336,0)</f>
        <v>8.5106382978723485E-2</v>
      </c>
      <c r="T2335" s="10">
        <f>IF(L2335&gt;2005,(((N2335-N2355)/N2355)+1)^(1/5)-1,0)</f>
        <v>0</v>
      </c>
      <c r="U2335" s="10">
        <f t="shared" si="78"/>
        <v>0</v>
      </c>
      <c r="V2335" s="26">
        <f t="shared" si="79"/>
        <v>0</v>
      </c>
      <c r="W2335" s="3">
        <f>IF(A2335=A2336,N2335-N2336,0)</f>
        <v>4.0000000000000036E-2</v>
      </c>
      <c r="X2335" s="10">
        <f>IF(A2335=A2336,(N2335-N2336)/N2336,0)</f>
        <v>8.5106382978723485E-2</v>
      </c>
    </row>
    <row r="2336" spans="1:24" ht="16.5" customHeight="1">
      <c r="A2336" s="3" t="s">
        <v>49</v>
      </c>
      <c r="B2336" s="3">
        <f t="shared" si="72"/>
        <v>2012</v>
      </c>
      <c r="C2336" s="3">
        <f t="shared" si="73"/>
        <v>1</v>
      </c>
      <c r="D2336" s="20" t="str">
        <f t="shared" si="74"/>
        <v>GD20121</v>
      </c>
      <c r="E2336" s="2">
        <v>40926</v>
      </c>
      <c r="F2336" s="3">
        <v>0.47</v>
      </c>
      <c r="G2336" s="2">
        <v>40949</v>
      </c>
      <c r="H2336" s="3">
        <v>2.63E-2</v>
      </c>
      <c r="I2336" s="3">
        <v>0</v>
      </c>
      <c r="J2336" s="3">
        <v>0</v>
      </c>
      <c r="K2336" s="3">
        <f t="shared" si="75"/>
        <v>0</v>
      </c>
      <c r="L2336" s="3">
        <f t="shared" si="76"/>
        <v>2012</v>
      </c>
      <c r="M2336" s="20" t="str">
        <f>A2336&amp;L2336</f>
        <v>GD2012</v>
      </c>
      <c r="N2336" s="3">
        <f>F2336</f>
        <v>0.47</v>
      </c>
      <c r="O2336" s="9">
        <f>H2336</f>
        <v>2.63E-2</v>
      </c>
      <c r="P2336" s="10">
        <f t="shared" si="77"/>
        <v>0</v>
      </c>
      <c r="Q2336" s="10">
        <f>IF(K2336=0,IF(A2333=A2336,AVERAGE(O2333:O2336),"x"),0)</f>
        <v>2.8324999999999999E-2</v>
      </c>
      <c r="R2336" s="9">
        <f>IF(L2336&gt;2005,AVERAGE(O2333:O2352),0)</f>
        <v>2.3980000000000001E-2</v>
      </c>
      <c r="S2336" s="10">
        <f>IF(A2336=A2337,(N2336-N2337)/N2337,0)</f>
        <v>0</v>
      </c>
      <c r="T2336" s="10">
        <f>IF(L2336&gt;2005,(((N2336-N2356)/N2356)+1)^(1/5)-1,0)</f>
        <v>0.15364982460731169</v>
      </c>
      <c r="U2336" s="10">
        <f t="shared" si="78"/>
        <v>0.17762982460731169</v>
      </c>
      <c r="V2336" s="26">
        <f t="shared" si="79"/>
        <v>4.7027233282860772</v>
      </c>
      <c r="W2336" s="3">
        <f>IF(A2336=A2337,N2336-N2337,0)</f>
        <v>0</v>
      </c>
      <c r="X2336" s="10">
        <f>IF(A2336=A2337,(N2336-N2337)/N2337,0)</f>
        <v>0</v>
      </c>
    </row>
    <row r="2337" spans="1:24" ht="16.5" customHeight="1">
      <c r="A2337" s="3" t="s">
        <v>49</v>
      </c>
      <c r="B2337" s="3">
        <f t="shared" si="72"/>
        <v>2011</v>
      </c>
      <c r="C2337" s="3">
        <f t="shared" si="73"/>
        <v>10</v>
      </c>
      <c r="D2337" s="20" t="str">
        <f t="shared" si="74"/>
        <v>GD201110</v>
      </c>
      <c r="E2337" s="2">
        <v>40821</v>
      </c>
      <c r="F2337" s="3">
        <v>0.47</v>
      </c>
      <c r="G2337" s="2">
        <v>40857</v>
      </c>
      <c r="H2337" s="3">
        <v>3.2000000000000001E-2</v>
      </c>
      <c r="I2337" s="3">
        <v>0</v>
      </c>
      <c r="J2337" s="3">
        <v>0</v>
      </c>
      <c r="K2337" s="3">
        <f t="shared" si="75"/>
        <v>2011</v>
      </c>
      <c r="L2337" s="3">
        <f t="shared" si="76"/>
        <v>0</v>
      </c>
      <c r="M2337" s="20" t="str">
        <f>A2337&amp;L2337</f>
        <v>GD0</v>
      </c>
      <c r="N2337" s="3">
        <f>F2337</f>
        <v>0.47</v>
      </c>
      <c r="O2337" s="9">
        <f>H2337</f>
        <v>3.2000000000000001E-2</v>
      </c>
      <c r="P2337" s="10">
        <f t="shared" si="77"/>
        <v>0</v>
      </c>
      <c r="Q2337" s="10">
        <f>IF(K2337=0,IF(A2334=A2337,AVERAGE(O2334:O2337),"x"),0)</f>
        <v>0</v>
      </c>
      <c r="R2337" s="9">
        <f>IF(L2337&gt;2005,AVERAGE(O2334:O2353),0)</f>
        <v>0</v>
      </c>
      <c r="S2337" s="10">
        <f>IF(A2337=A2338,(N2337-N2338)/N2338,0)</f>
        <v>0</v>
      </c>
      <c r="T2337" s="10">
        <f>IF(L2337&gt;2005,(((N2337-N2357)/N2357)+1)^(1/5)-1,0)</f>
        <v>0</v>
      </c>
      <c r="U2337" s="10">
        <f t="shared" si="78"/>
        <v>0</v>
      </c>
      <c r="V2337" s="26">
        <f t="shared" si="79"/>
        <v>0</v>
      </c>
      <c r="W2337" s="3">
        <f>IF(A2337=A2338,N2337-N2338,0)</f>
        <v>0</v>
      </c>
      <c r="X2337" s="10">
        <f>IF(A2337=A2338,(N2337-N2338)/N2338,0)</f>
        <v>0</v>
      </c>
    </row>
    <row r="2338" spans="1:24" ht="16.5" customHeight="1">
      <c r="A2338" s="3" t="s">
        <v>49</v>
      </c>
      <c r="B2338" s="3">
        <f t="shared" si="72"/>
        <v>2011</v>
      </c>
      <c r="C2338" s="3">
        <f t="shared" si="73"/>
        <v>6</v>
      </c>
      <c r="D2338" s="20" t="str">
        <f t="shared" si="74"/>
        <v>GD20116</v>
      </c>
      <c r="E2338" s="2">
        <v>40723</v>
      </c>
      <c r="F2338" s="3">
        <v>0.47</v>
      </c>
      <c r="G2338" s="2">
        <v>40760</v>
      </c>
      <c r="H2338" s="3">
        <v>2.41E-2</v>
      </c>
      <c r="I2338" s="3">
        <v>0</v>
      </c>
      <c r="J2338" s="3">
        <v>0</v>
      </c>
      <c r="K2338" s="3">
        <f t="shared" si="75"/>
        <v>2011</v>
      </c>
      <c r="L2338" s="3">
        <f t="shared" si="76"/>
        <v>0</v>
      </c>
      <c r="M2338" s="20" t="str">
        <f>A2338&amp;L2338</f>
        <v>GD0</v>
      </c>
      <c r="N2338" s="3">
        <f>F2338</f>
        <v>0.47</v>
      </c>
      <c r="O2338" s="9">
        <f>H2338</f>
        <v>2.41E-2</v>
      </c>
      <c r="P2338" s="10">
        <f t="shared" si="77"/>
        <v>0</v>
      </c>
      <c r="Q2338" s="10">
        <f>IF(K2338=0,IF(A2335=A2338,AVERAGE(O2335:O2338),"x"),0)</f>
        <v>0</v>
      </c>
      <c r="R2338" s="9">
        <f>IF(L2338&gt;2005,AVERAGE(O2335:O2354),0)</f>
        <v>0</v>
      </c>
      <c r="S2338" s="10">
        <f>IF(A2338=A2339,(N2338-N2339)/N2339,0)</f>
        <v>0</v>
      </c>
      <c r="T2338" s="10">
        <f>IF(L2338&gt;2005,(((N2338-N2358)/N2358)+1)^(1/5)-1,0)</f>
        <v>0</v>
      </c>
      <c r="U2338" s="10">
        <f t="shared" si="78"/>
        <v>0</v>
      </c>
      <c r="V2338" s="26">
        <f t="shared" si="79"/>
        <v>0</v>
      </c>
      <c r="W2338" s="3">
        <f>IF(A2338=A2339,N2338-N2339,0)</f>
        <v>0</v>
      </c>
      <c r="X2338" s="10">
        <f>IF(A2338=A2339,(N2338-N2339)/N2339,0)</f>
        <v>0</v>
      </c>
    </row>
    <row r="2339" spans="1:24" ht="16.5" customHeight="1">
      <c r="A2339" s="3" t="s">
        <v>49</v>
      </c>
      <c r="B2339" s="3">
        <f t="shared" si="72"/>
        <v>2011</v>
      </c>
      <c r="C2339" s="3">
        <f t="shared" si="73"/>
        <v>4</v>
      </c>
      <c r="D2339" s="20" t="str">
        <f t="shared" si="74"/>
        <v>GD20114</v>
      </c>
      <c r="E2339" s="2">
        <v>40639</v>
      </c>
      <c r="F2339" s="3">
        <v>0.47</v>
      </c>
      <c r="G2339" s="2">
        <v>40669</v>
      </c>
      <c r="H2339" s="3">
        <v>2.3199999999999998E-2</v>
      </c>
      <c r="I2339" s="3">
        <v>0.11904761899999999</v>
      </c>
      <c r="J2339" s="3">
        <v>0.05</v>
      </c>
      <c r="K2339" s="3">
        <f t="shared" si="75"/>
        <v>2011</v>
      </c>
      <c r="L2339" s="3">
        <f t="shared" si="76"/>
        <v>0</v>
      </c>
      <c r="M2339" s="20" t="str">
        <f>A2339&amp;L2339</f>
        <v>GD0</v>
      </c>
      <c r="N2339" s="3">
        <f>F2339</f>
        <v>0.47</v>
      </c>
      <c r="O2339" s="9">
        <f>H2339</f>
        <v>2.3199999999999998E-2</v>
      </c>
      <c r="P2339" s="10">
        <f t="shared" si="77"/>
        <v>2.4899999999999999E-2</v>
      </c>
      <c r="Q2339" s="10">
        <f>IF(K2339=0,IF(A2336=A2339,AVERAGE(O2336:O2339),"x"),0)</f>
        <v>0</v>
      </c>
      <c r="R2339" s="9">
        <f>IF(L2339&gt;2005,AVERAGE(O2336:O2355),0)</f>
        <v>0</v>
      </c>
      <c r="S2339" s="10">
        <f>IF(A2339=A2340,(N2339-N2340)/N2340,0)</f>
        <v>0.11904761904761903</v>
      </c>
      <c r="T2339" s="10">
        <f>IF(L2339&gt;2005,(((N2339-N2359)/N2359)+1)^(1/5)-1,0)</f>
        <v>0</v>
      </c>
      <c r="U2339" s="10">
        <f t="shared" si="78"/>
        <v>0</v>
      </c>
      <c r="V2339" s="26">
        <f t="shared" si="79"/>
        <v>0</v>
      </c>
      <c r="W2339" s="3">
        <f>IF(A2339=A2340,N2339-N2340,0)</f>
        <v>4.9999999999999989E-2</v>
      </c>
      <c r="X2339" s="10">
        <f>IF(A2339=A2340,(N2339-N2340)/N2340,0)</f>
        <v>0.11904761904761903</v>
      </c>
    </row>
    <row r="2340" spans="1:24" ht="16.5" customHeight="1">
      <c r="A2340" s="3" t="s">
        <v>49</v>
      </c>
      <c r="B2340" s="3">
        <f t="shared" si="72"/>
        <v>2011</v>
      </c>
      <c r="C2340" s="3">
        <f t="shared" si="73"/>
        <v>1</v>
      </c>
      <c r="D2340" s="20" t="str">
        <f t="shared" si="74"/>
        <v>GD20111</v>
      </c>
      <c r="E2340" s="2">
        <v>40555</v>
      </c>
      <c r="F2340" s="3">
        <v>0.42</v>
      </c>
      <c r="G2340" s="2">
        <v>40578</v>
      </c>
      <c r="H2340" s="3">
        <v>2.3599999999999999E-2</v>
      </c>
      <c r="I2340" s="3">
        <v>0</v>
      </c>
      <c r="J2340" s="3">
        <v>0</v>
      </c>
      <c r="K2340" s="3">
        <f t="shared" si="75"/>
        <v>0</v>
      </c>
      <c r="L2340" s="3">
        <f t="shared" si="76"/>
        <v>2011</v>
      </c>
      <c r="M2340" s="20" t="str">
        <f>A2340&amp;L2340</f>
        <v>GD2011</v>
      </c>
      <c r="N2340" s="3">
        <f>F2340</f>
        <v>0.42</v>
      </c>
      <c r="O2340" s="9">
        <f>H2340</f>
        <v>2.3599999999999999E-2</v>
      </c>
      <c r="P2340" s="10">
        <f t="shared" si="77"/>
        <v>0</v>
      </c>
      <c r="Q2340" s="10">
        <f>IF(K2340=0,IF(A2337=A2340,AVERAGE(O2337:O2340),"x"),0)</f>
        <v>2.5724999999999998E-2</v>
      </c>
      <c r="R2340" s="9">
        <f>IF(L2340&gt;2005,AVERAGE(O2337:O2356),0)</f>
        <v>2.0840000000000001E-2</v>
      </c>
      <c r="S2340" s="10">
        <f>IF(A2340=A2341,(N2340-N2341)/N2341,0)</f>
        <v>0</v>
      </c>
      <c r="T2340" s="10">
        <f>IF(L2340&gt;2005,(((N2340-N2360)/N2360)+1)^(1/5)-1,0)</f>
        <v>0.15996225865400127</v>
      </c>
      <c r="U2340" s="10">
        <f t="shared" si="78"/>
        <v>0.18080225865400126</v>
      </c>
      <c r="V2340" s="26">
        <f t="shared" si="79"/>
        <v>4.7414126091927553</v>
      </c>
      <c r="W2340" s="3">
        <f>IF(A2340=A2341,N2340-N2341,0)</f>
        <v>0</v>
      </c>
      <c r="X2340" s="10">
        <f>IF(A2340=A2341,(N2340-N2341)/N2341,0)</f>
        <v>0</v>
      </c>
    </row>
    <row r="2341" spans="1:24" ht="16.5" customHeight="1">
      <c r="A2341" s="3" t="s">
        <v>49</v>
      </c>
      <c r="B2341" s="3">
        <f t="shared" si="72"/>
        <v>2010</v>
      </c>
      <c r="C2341" s="3">
        <f t="shared" si="73"/>
        <v>10</v>
      </c>
      <c r="D2341" s="20" t="str">
        <f t="shared" si="74"/>
        <v>GD201010</v>
      </c>
      <c r="E2341" s="2">
        <v>40457</v>
      </c>
      <c r="F2341" s="3">
        <v>0.42</v>
      </c>
      <c r="G2341" s="2">
        <v>40494</v>
      </c>
      <c r="H2341" s="3">
        <v>2.5899999999999999E-2</v>
      </c>
      <c r="I2341" s="3">
        <v>0</v>
      </c>
      <c r="J2341" s="3">
        <v>0</v>
      </c>
      <c r="K2341" s="3">
        <f t="shared" si="75"/>
        <v>2010</v>
      </c>
      <c r="L2341" s="3">
        <f t="shared" si="76"/>
        <v>0</v>
      </c>
      <c r="M2341" s="20" t="str">
        <f>A2341&amp;L2341</f>
        <v>GD0</v>
      </c>
      <c r="N2341" s="3">
        <f>F2341</f>
        <v>0.42</v>
      </c>
      <c r="O2341" s="9">
        <f>H2341</f>
        <v>2.5899999999999999E-2</v>
      </c>
      <c r="P2341" s="10">
        <f t="shared" si="77"/>
        <v>0</v>
      </c>
      <c r="Q2341" s="10">
        <f>IF(K2341=0,IF(A2338=A2341,AVERAGE(O2338:O2341),"x"),0)</f>
        <v>0</v>
      </c>
      <c r="R2341" s="9">
        <f>IF(L2341&gt;2005,AVERAGE(O2338:O2357),0)</f>
        <v>0</v>
      </c>
      <c r="S2341" s="10">
        <f>IF(A2341=A2342,(N2341-N2342)/N2342,0)</f>
        <v>0</v>
      </c>
      <c r="T2341" s="10">
        <f>IF(L2341&gt;2005,(((N2341-N2361)/N2361)+1)^(1/5)-1,0)</f>
        <v>0</v>
      </c>
      <c r="U2341" s="10">
        <f t="shared" si="78"/>
        <v>0</v>
      </c>
      <c r="V2341" s="26">
        <f t="shared" si="79"/>
        <v>0</v>
      </c>
      <c r="W2341" s="3">
        <f>IF(A2341=A2342,N2341-N2342,0)</f>
        <v>0</v>
      </c>
      <c r="X2341" s="10">
        <f>IF(A2341=A2342,(N2341-N2342)/N2342,0)</f>
        <v>0</v>
      </c>
    </row>
    <row r="2342" spans="1:24" ht="16.5" customHeight="1">
      <c r="A2342" s="3" t="s">
        <v>49</v>
      </c>
      <c r="B2342" s="3">
        <f t="shared" si="72"/>
        <v>2010</v>
      </c>
      <c r="C2342" s="3">
        <f t="shared" si="73"/>
        <v>6</v>
      </c>
      <c r="D2342" s="20" t="str">
        <f t="shared" si="74"/>
        <v>GD20106</v>
      </c>
      <c r="E2342" s="2">
        <v>40359</v>
      </c>
      <c r="F2342" s="3">
        <v>0.42</v>
      </c>
      <c r="G2342" s="2">
        <v>40396</v>
      </c>
      <c r="H2342" s="3">
        <v>2.69E-2</v>
      </c>
      <c r="I2342" s="3">
        <v>0</v>
      </c>
      <c r="J2342" s="3">
        <v>0</v>
      </c>
      <c r="K2342" s="3">
        <f t="shared" si="75"/>
        <v>2010</v>
      </c>
      <c r="L2342" s="3">
        <f t="shared" si="76"/>
        <v>0</v>
      </c>
      <c r="M2342" s="20" t="str">
        <f>A2342&amp;L2342</f>
        <v>GD0</v>
      </c>
      <c r="N2342" s="3">
        <f>F2342</f>
        <v>0.42</v>
      </c>
      <c r="O2342" s="9">
        <f>H2342</f>
        <v>2.69E-2</v>
      </c>
      <c r="P2342" s="10">
        <f t="shared" si="77"/>
        <v>0</v>
      </c>
      <c r="Q2342" s="10">
        <f>IF(K2342=0,IF(A2339=A2342,AVERAGE(O2339:O2342),"x"),0)</f>
        <v>0</v>
      </c>
      <c r="R2342" s="9">
        <f>IF(L2342&gt;2005,AVERAGE(O2339:O2358),0)</f>
        <v>0</v>
      </c>
      <c r="S2342" s="10">
        <f>IF(A2342=A2343,(N2342-N2343)/N2343,0)</f>
        <v>0</v>
      </c>
      <c r="T2342" s="10">
        <f>IF(L2342&gt;2005,(((N2342-N2362)/N2362)+1)^(1/5)-1,0)</f>
        <v>0</v>
      </c>
      <c r="U2342" s="10">
        <f t="shared" si="78"/>
        <v>0</v>
      </c>
      <c r="V2342" s="26">
        <f t="shared" si="79"/>
        <v>0</v>
      </c>
      <c r="W2342" s="3">
        <f>IF(A2342=A2343,N2342-N2343,0)</f>
        <v>0</v>
      </c>
      <c r="X2342" s="10">
        <f>IF(A2342=A2343,(N2342-N2343)/N2343,0)</f>
        <v>0</v>
      </c>
    </row>
    <row r="2343" spans="1:24" ht="16.5" customHeight="1">
      <c r="A2343" s="3" t="s">
        <v>49</v>
      </c>
      <c r="B2343" s="3">
        <f t="shared" si="72"/>
        <v>2010</v>
      </c>
      <c r="C2343" s="3">
        <f t="shared" si="73"/>
        <v>4</v>
      </c>
      <c r="D2343" s="20" t="str">
        <f t="shared" si="74"/>
        <v>GD20104</v>
      </c>
      <c r="E2343" s="2">
        <v>40275</v>
      </c>
      <c r="F2343" s="3">
        <v>0.42</v>
      </c>
      <c r="G2343" s="2">
        <v>40305</v>
      </c>
      <c r="H2343" s="3">
        <v>2.0199999999999999E-2</v>
      </c>
      <c r="I2343" s="3">
        <v>0.105263158</v>
      </c>
      <c r="J2343" s="3">
        <v>0.04</v>
      </c>
      <c r="K2343" s="3">
        <f t="shared" si="75"/>
        <v>2010</v>
      </c>
      <c r="L2343" s="3">
        <f t="shared" si="76"/>
        <v>0</v>
      </c>
      <c r="M2343" s="20" t="str">
        <f>A2343&amp;L2343</f>
        <v>GD0</v>
      </c>
      <c r="N2343" s="3">
        <f>F2343</f>
        <v>0.42</v>
      </c>
      <c r="O2343" s="9">
        <f>H2343</f>
        <v>2.0199999999999999E-2</v>
      </c>
      <c r="P2343" s="10">
        <f t="shared" si="77"/>
        <v>2.2499999999999999E-2</v>
      </c>
      <c r="Q2343" s="10">
        <f>IF(K2343=0,IF(A2340=A2343,AVERAGE(O2340:O2343),"x"),0)</f>
        <v>0</v>
      </c>
      <c r="R2343" s="9">
        <f>IF(L2343&gt;2005,AVERAGE(O2340:O2359),0)</f>
        <v>0</v>
      </c>
      <c r="S2343" s="10">
        <f>IF(A2343=A2344,(N2343-N2344)/N2344,0)</f>
        <v>0.10526315789473679</v>
      </c>
      <c r="T2343" s="10">
        <f>IF(L2343&gt;2005,(((N2343-N2363)/N2363)+1)^(1/5)-1,0)</f>
        <v>0</v>
      </c>
      <c r="U2343" s="10">
        <f t="shared" si="78"/>
        <v>0</v>
      </c>
      <c r="V2343" s="26">
        <f t="shared" si="79"/>
        <v>0</v>
      </c>
      <c r="W2343" s="3">
        <f>IF(A2343=A2344,N2343-N2344,0)</f>
        <v>3.999999999999998E-2</v>
      </c>
      <c r="X2343" s="10">
        <f>IF(A2343=A2344,(N2343-N2344)/N2344,0)</f>
        <v>0.10526315789473679</v>
      </c>
    </row>
    <row r="2344" spans="1:24" ht="16.5" customHeight="1">
      <c r="A2344" s="3" t="s">
        <v>49</v>
      </c>
      <c r="B2344" s="3">
        <f t="shared" si="72"/>
        <v>2010</v>
      </c>
      <c r="C2344" s="3">
        <f t="shared" si="73"/>
        <v>1</v>
      </c>
      <c r="D2344" s="20" t="str">
        <f t="shared" si="74"/>
        <v>GD20101</v>
      </c>
      <c r="E2344" s="2">
        <v>40191</v>
      </c>
      <c r="F2344" s="3">
        <v>0.38</v>
      </c>
      <c r="G2344" s="2">
        <v>40214</v>
      </c>
      <c r="H2344" s="3">
        <v>2.1600000000000001E-2</v>
      </c>
      <c r="I2344" s="3">
        <v>0</v>
      </c>
      <c r="J2344" s="3">
        <v>0</v>
      </c>
      <c r="K2344" s="3">
        <f t="shared" si="75"/>
        <v>0</v>
      </c>
      <c r="L2344" s="3">
        <f t="shared" si="76"/>
        <v>2010</v>
      </c>
      <c r="M2344" s="20" t="str">
        <f>A2344&amp;L2344</f>
        <v>GD2010</v>
      </c>
      <c r="N2344" s="3">
        <f>F2344</f>
        <v>0.38</v>
      </c>
      <c r="O2344" s="9">
        <f>H2344</f>
        <v>2.1600000000000001E-2</v>
      </c>
      <c r="P2344" s="10">
        <f t="shared" si="77"/>
        <v>0</v>
      </c>
      <c r="Q2344" s="10">
        <f>IF(K2344=0,IF(A2341=A2344,AVERAGE(O2341:O2344),"x"),0)</f>
        <v>2.3649999999999997E-2</v>
      </c>
      <c r="R2344" s="9">
        <f>IF(L2344&gt;2005,AVERAGE(O2341:O2360),0)</f>
        <v>1.8284999999999996E-2</v>
      </c>
      <c r="S2344" s="10">
        <f>IF(A2344=A2345,(N2344-N2345)/N2345,0)</f>
        <v>0</v>
      </c>
      <c r="T2344" s="10">
        <f>IF(L2344&gt;2005,(((N2344-N2364)/N2364)+1)^(1/5)-1,0)</f>
        <v>0.16118714233316211</v>
      </c>
      <c r="U2344" s="10">
        <f t="shared" si="78"/>
        <v>0.17947214233316211</v>
      </c>
      <c r="V2344" s="26">
        <f t="shared" si="79"/>
        <v>4.7722106664217323</v>
      </c>
      <c r="W2344" s="3">
        <f>IF(A2344=A2345,N2344-N2345,0)</f>
        <v>0</v>
      </c>
      <c r="X2344" s="10">
        <f>IF(A2344=A2345,(N2344-N2345)/N2345,0)</f>
        <v>0</v>
      </c>
    </row>
    <row r="2345" spans="1:24" ht="16.5" customHeight="1">
      <c r="A2345" s="3" t="s">
        <v>49</v>
      </c>
      <c r="B2345" s="3">
        <f t="shared" si="72"/>
        <v>2009</v>
      </c>
      <c r="C2345" s="3">
        <f t="shared" si="73"/>
        <v>10</v>
      </c>
      <c r="D2345" s="20" t="str">
        <f t="shared" si="74"/>
        <v>GD200910</v>
      </c>
      <c r="E2345" s="2">
        <v>40093</v>
      </c>
      <c r="F2345" s="3">
        <v>0.38</v>
      </c>
      <c r="G2345" s="2">
        <v>40130</v>
      </c>
      <c r="H2345" s="3">
        <v>2.2599999999999999E-2</v>
      </c>
      <c r="I2345" s="3">
        <v>0</v>
      </c>
      <c r="J2345" s="3">
        <v>0</v>
      </c>
      <c r="K2345" s="3">
        <f t="shared" si="75"/>
        <v>2009</v>
      </c>
      <c r="L2345" s="3">
        <f t="shared" si="76"/>
        <v>0</v>
      </c>
      <c r="M2345" s="20" t="str">
        <f>A2345&amp;L2345</f>
        <v>GD0</v>
      </c>
      <c r="N2345" s="3">
        <f>F2345</f>
        <v>0.38</v>
      </c>
      <c r="O2345" s="9">
        <f>H2345</f>
        <v>2.2599999999999999E-2</v>
      </c>
      <c r="P2345" s="10">
        <f t="shared" si="77"/>
        <v>0</v>
      </c>
      <c r="Q2345" s="10">
        <f>IF(K2345=0,IF(A2342=A2345,AVERAGE(O2342:O2345),"x"),0)</f>
        <v>0</v>
      </c>
      <c r="R2345" s="9">
        <f>IF(L2345&gt;2005,AVERAGE(O2342:O2361),0)</f>
        <v>0</v>
      </c>
      <c r="S2345" s="10">
        <f>IF(A2345=A2346,(N2345-N2346)/N2346,0)</f>
        <v>0</v>
      </c>
      <c r="T2345" s="10">
        <f>IF(L2345&gt;2005,(((N2345-N2365)/N2365)+1)^(1/5)-1,0)</f>
        <v>0</v>
      </c>
      <c r="U2345" s="10">
        <f t="shared" si="78"/>
        <v>0</v>
      </c>
      <c r="V2345" s="26">
        <f t="shared" si="79"/>
        <v>0</v>
      </c>
      <c r="W2345" s="3">
        <f>IF(A2345=A2346,N2345-N2346,0)</f>
        <v>0</v>
      </c>
      <c r="X2345" s="10">
        <f>IF(A2345=A2346,(N2345-N2346)/N2346,0)</f>
        <v>0</v>
      </c>
    </row>
    <row r="2346" spans="1:24" ht="16.5" customHeight="1">
      <c r="A2346" s="3" t="s">
        <v>49</v>
      </c>
      <c r="B2346" s="3">
        <f t="shared" si="72"/>
        <v>2009</v>
      </c>
      <c r="C2346" s="3">
        <f t="shared" si="73"/>
        <v>6</v>
      </c>
      <c r="D2346" s="20" t="str">
        <f t="shared" si="74"/>
        <v>GD20096</v>
      </c>
      <c r="E2346" s="2">
        <v>39994</v>
      </c>
      <c r="F2346" s="3">
        <v>0.38</v>
      </c>
      <c r="G2346" s="2">
        <v>40032</v>
      </c>
      <c r="H2346" s="3">
        <v>2.5600000000000001E-2</v>
      </c>
      <c r="I2346" s="3">
        <v>0</v>
      </c>
      <c r="J2346" s="3">
        <v>0</v>
      </c>
      <c r="K2346" s="3">
        <f t="shared" si="75"/>
        <v>2009</v>
      </c>
      <c r="L2346" s="3">
        <f t="shared" si="76"/>
        <v>0</v>
      </c>
      <c r="M2346" s="20" t="str">
        <f>A2346&amp;L2346</f>
        <v>GD0</v>
      </c>
      <c r="N2346" s="3">
        <f>F2346</f>
        <v>0.38</v>
      </c>
      <c r="O2346" s="9">
        <f>H2346</f>
        <v>2.5600000000000001E-2</v>
      </c>
      <c r="P2346" s="10">
        <f t="shared" si="77"/>
        <v>0</v>
      </c>
      <c r="Q2346" s="10">
        <f>IF(K2346=0,IF(A2343=A2346,AVERAGE(O2343:O2346),"x"),0)</f>
        <v>0</v>
      </c>
      <c r="R2346" s="9">
        <f>IF(L2346&gt;2005,AVERAGE(O2343:O2362),0)</f>
        <v>0</v>
      </c>
      <c r="S2346" s="10">
        <f>IF(A2346=A2347,(N2346-N2347)/N2347,0)</f>
        <v>0</v>
      </c>
      <c r="T2346" s="10">
        <f>IF(L2346&gt;2005,(((N2346-N2366)/N2366)+1)^(1/5)-1,0)</f>
        <v>0</v>
      </c>
      <c r="U2346" s="10">
        <f t="shared" si="78"/>
        <v>0</v>
      </c>
      <c r="V2346" s="26">
        <f t="shared" si="79"/>
        <v>0</v>
      </c>
      <c r="W2346" s="3">
        <f>IF(A2346=A2347,N2346-N2347,0)</f>
        <v>0</v>
      </c>
      <c r="X2346" s="10">
        <f>IF(A2346=A2347,(N2346-N2347)/N2347,0)</f>
        <v>0</v>
      </c>
    </row>
    <row r="2347" spans="1:24" ht="16.5" customHeight="1">
      <c r="A2347" s="3" t="s">
        <v>49</v>
      </c>
      <c r="B2347" s="3">
        <f t="shared" si="72"/>
        <v>2009</v>
      </c>
      <c r="C2347" s="3">
        <f t="shared" si="73"/>
        <v>4</v>
      </c>
      <c r="D2347" s="20" t="str">
        <f t="shared" si="74"/>
        <v>GD20094</v>
      </c>
      <c r="E2347" s="2">
        <v>39910</v>
      </c>
      <c r="F2347" s="3">
        <v>0.38</v>
      </c>
      <c r="G2347" s="2">
        <v>39941</v>
      </c>
      <c r="H2347" s="3">
        <v>3.1399999999999997E-2</v>
      </c>
      <c r="I2347" s="3">
        <v>8.5714286000000001E-2</v>
      </c>
      <c r="J2347" s="3">
        <v>0.03</v>
      </c>
      <c r="K2347" s="3">
        <f t="shared" si="75"/>
        <v>2009</v>
      </c>
      <c r="L2347" s="3">
        <f t="shared" si="76"/>
        <v>0</v>
      </c>
      <c r="M2347" s="20" t="str">
        <f>A2347&amp;L2347</f>
        <v>GD0</v>
      </c>
      <c r="N2347" s="3">
        <f>F2347</f>
        <v>0.38</v>
      </c>
      <c r="O2347" s="9">
        <f>H2347</f>
        <v>3.1399999999999997E-2</v>
      </c>
      <c r="P2347" s="10">
        <f t="shared" si="77"/>
        <v>2.315E-2</v>
      </c>
      <c r="Q2347" s="10">
        <f>IF(K2347=0,IF(A2344=A2347,AVERAGE(O2344:O2347),"x"),0)</f>
        <v>0</v>
      </c>
      <c r="R2347" s="9">
        <f>IF(L2347&gt;2005,AVERAGE(O2344:O2363),0)</f>
        <v>0</v>
      </c>
      <c r="S2347" s="10">
        <f>IF(A2347=A2348,(N2347-N2348)/N2348,0)</f>
        <v>8.5714285714285798E-2</v>
      </c>
      <c r="T2347" s="10">
        <f>IF(L2347&gt;2005,(((N2347-N2367)/N2367)+1)^(1/5)-1,0)</f>
        <v>0</v>
      </c>
      <c r="U2347" s="10">
        <f t="shared" si="78"/>
        <v>0</v>
      </c>
      <c r="V2347" s="26">
        <f t="shared" si="79"/>
        <v>0</v>
      </c>
      <c r="W2347" s="3">
        <f>IF(A2347=A2348,N2347-N2348,0)</f>
        <v>3.0000000000000027E-2</v>
      </c>
      <c r="X2347" s="10">
        <f>IF(A2347=A2348,(N2347-N2348)/N2348,0)</f>
        <v>8.5714285714285798E-2</v>
      </c>
    </row>
    <row r="2348" spans="1:24" ht="16.5" customHeight="1">
      <c r="A2348" s="3" t="s">
        <v>49</v>
      </c>
      <c r="B2348" s="3">
        <f t="shared" si="72"/>
        <v>2009</v>
      </c>
      <c r="C2348" s="3">
        <f t="shared" si="73"/>
        <v>1</v>
      </c>
      <c r="D2348" s="20" t="str">
        <f t="shared" si="74"/>
        <v>GD20091</v>
      </c>
      <c r="E2348" s="2">
        <v>39827</v>
      </c>
      <c r="F2348" s="3">
        <v>0.35</v>
      </c>
      <c r="G2348" s="2">
        <v>39850</v>
      </c>
      <c r="H2348" s="3">
        <v>2.5399999999999999E-2</v>
      </c>
      <c r="I2348" s="3">
        <v>0</v>
      </c>
      <c r="J2348" s="3">
        <v>0</v>
      </c>
      <c r="K2348" s="3">
        <f t="shared" si="75"/>
        <v>0</v>
      </c>
      <c r="L2348" s="3">
        <f t="shared" si="76"/>
        <v>2009</v>
      </c>
      <c r="M2348" s="20" t="str">
        <f>A2348&amp;L2348</f>
        <v>GD2009</v>
      </c>
      <c r="N2348" s="3">
        <f>F2348</f>
        <v>0.35</v>
      </c>
      <c r="O2348" s="9">
        <f>H2348</f>
        <v>2.5399999999999999E-2</v>
      </c>
      <c r="P2348" s="10">
        <f t="shared" si="77"/>
        <v>0</v>
      </c>
      <c r="Q2348" s="10">
        <f>IF(K2348=0,IF(A2345=A2348,AVERAGE(O2345:O2348),"x"),0)</f>
        <v>2.6250000000000002E-2</v>
      </c>
      <c r="R2348" s="9">
        <f>IF(L2348&gt;2005,AVERAGE(O2345:O2364),0)</f>
        <v>1.6279999999999999E-2</v>
      </c>
      <c r="S2348" s="10">
        <f>IF(A2348=A2349,(N2348-N2349)/N2349,0)</f>
        <v>0</v>
      </c>
      <c r="T2348" s="10">
        <f>IF(L2348&gt;2005,(((N2348-N2368)/N2368)+1)^(1/5)-1,0)</f>
        <v>0.16947141871401028</v>
      </c>
      <c r="U2348" s="10">
        <f t="shared" si="78"/>
        <v>0.18575141871401027</v>
      </c>
      <c r="V2348" s="26">
        <f t="shared" si="79"/>
        <v>4.7977861214982083</v>
      </c>
      <c r="W2348" s="3">
        <f>IF(A2348=A2349,N2348-N2349,0)</f>
        <v>0</v>
      </c>
      <c r="X2348" s="10">
        <f>IF(A2348=A2349,(N2348-N2349)/N2349,0)</f>
        <v>0</v>
      </c>
    </row>
    <row r="2349" spans="1:24" ht="16.5" customHeight="1">
      <c r="A2349" s="3" t="s">
        <v>49</v>
      </c>
      <c r="B2349" s="3">
        <f t="shared" si="72"/>
        <v>2008</v>
      </c>
      <c r="C2349" s="3">
        <f t="shared" si="73"/>
        <v>10</v>
      </c>
      <c r="D2349" s="20" t="str">
        <f t="shared" si="74"/>
        <v>GD200810</v>
      </c>
      <c r="E2349" s="2">
        <v>39729</v>
      </c>
      <c r="F2349" s="3">
        <v>0.35</v>
      </c>
      <c r="G2349" s="2">
        <v>39766</v>
      </c>
      <c r="H2349" s="3">
        <v>2.06E-2</v>
      </c>
      <c r="I2349" s="3">
        <v>0</v>
      </c>
      <c r="J2349" s="3">
        <v>0</v>
      </c>
      <c r="K2349" s="3">
        <f t="shared" si="75"/>
        <v>2008</v>
      </c>
      <c r="L2349" s="3">
        <f t="shared" si="76"/>
        <v>0</v>
      </c>
      <c r="M2349" s="20" t="str">
        <f>A2349&amp;L2349</f>
        <v>GD0</v>
      </c>
      <c r="N2349" s="3">
        <f>F2349</f>
        <v>0.35</v>
      </c>
      <c r="O2349" s="9">
        <f>H2349</f>
        <v>2.06E-2</v>
      </c>
      <c r="P2349" s="10">
        <f t="shared" si="77"/>
        <v>0</v>
      </c>
      <c r="Q2349" s="10">
        <f>IF(K2349=0,IF(A2346=A2349,AVERAGE(O2346:O2349),"x"),0)</f>
        <v>0</v>
      </c>
      <c r="R2349" s="9">
        <f>IF(L2349&gt;2005,AVERAGE(O2346:O2365),0)</f>
        <v>0</v>
      </c>
      <c r="S2349" s="10">
        <f>IF(A2349=A2350,(N2349-N2350)/N2350,0)</f>
        <v>0</v>
      </c>
      <c r="T2349" s="10">
        <f>IF(L2349&gt;2005,(((N2349-N2369)/N2369)+1)^(1/5)-1,0)</f>
        <v>0</v>
      </c>
      <c r="U2349" s="10">
        <f t="shared" si="78"/>
        <v>0</v>
      </c>
      <c r="V2349" s="26">
        <f t="shared" si="79"/>
        <v>0</v>
      </c>
      <c r="W2349" s="3">
        <f>IF(A2349=A2350,N2349-N2350,0)</f>
        <v>0</v>
      </c>
      <c r="X2349" s="10">
        <f>IF(A2349=A2350,(N2349-N2350)/N2350,0)</f>
        <v>0</v>
      </c>
    </row>
    <row r="2350" spans="1:24" ht="16.5" customHeight="1">
      <c r="A2350" s="3" t="s">
        <v>49</v>
      </c>
      <c r="B2350" s="3">
        <f t="shared" si="72"/>
        <v>2008</v>
      </c>
      <c r="C2350" s="3">
        <f t="shared" si="73"/>
        <v>7</v>
      </c>
      <c r="D2350" s="20" t="str">
        <f t="shared" si="74"/>
        <v>GD20087</v>
      </c>
      <c r="E2350" s="2">
        <v>39630</v>
      </c>
      <c r="F2350" s="3">
        <v>0.35</v>
      </c>
      <c r="G2350" s="2">
        <v>39668</v>
      </c>
      <c r="H2350" s="3">
        <v>1.52E-2</v>
      </c>
      <c r="I2350" s="3">
        <v>0</v>
      </c>
      <c r="J2350" s="3">
        <v>0</v>
      </c>
      <c r="K2350" s="3">
        <f t="shared" si="75"/>
        <v>2008</v>
      </c>
      <c r="L2350" s="3">
        <f t="shared" si="76"/>
        <v>0</v>
      </c>
      <c r="M2350" s="20" t="str">
        <f>A2350&amp;L2350</f>
        <v>GD0</v>
      </c>
      <c r="N2350" s="3">
        <f>F2350</f>
        <v>0.35</v>
      </c>
      <c r="O2350" s="9">
        <f>H2350</f>
        <v>1.52E-2</v>
      </c>
      <c r="P2350" s="10">
        <f t="shared" si="77"/>
        <v>0</v>
      </c>
      <c r="Q2350" s="10">
        <f>IF(K2350=0,IF(A2347=A2350,AVERAGE(O2347:O2350),"x"),0)</f>
        <v>0</v>
      </c>
      <c r="R2350" s="9">
        <f>IF(L2350&gt;2005,AVERAGE(O2347:O2366),0)</f>
        <v>0</v>
      </c>
      <c r="S2350" s="10">
        <f>IF(A2350=A2351,(N2350-N2351)/N2351,0)</f>
        <v>0</v>
      </c>
      <c r="T2350" s="10">
        <f>IF(L2350&gt;2005,(((N2350-N2370)/N2370)+1)^(1/5)-1,0)</f>
        <v>0</v>
      </c>
      <c r="U2350" s="10">
        <f t="shared" si="78"/>
        <v>0</v>
      </c>
      <c r="V2350" s="26">
        <f t="shared" si="79"/>
        <v>0</v>
      </c>
      <c r="W2350" s="3">
        <f>IF(A2350=A2351,N2350-N2351,0)</f>
        <v>0</v>
      </c>
      <c r="X2350" s="10">
        <f>IF(A2350=A2351,(N2350-N2351)/N2351,0)</f>
        <v>0</v>
      </c>
    </row>
    <row r="2351" spans="1:24" ht="16.5" customHeight="1">
      <c r="A2351" s="3" t="s">
        <v>49</v>
      </c>
      <c r="B2351" s="3">
        <f t="shared" si="72"/>
        <v>2008</v>
      </c>
      <c r="C2351" s="3">
        <f t="shared" si="73"/>
        <v>4</v>
      </c>
      <c r="D2351" s="20" t="str">
        <f t="shared" si="74"/>
        <v>GD20084</v>
      </c>
      <c r="E2351" s="2">
        <v>39547</v>
      </c>
      <c r="F2351" s="3">
        <v>0.35</v>
      </c>
      <c r="G2351" s="2">
        <v>39577</v>
      </c>
      <c r="H2351" s="3">
        <v>1.44E-2</v>
      </c>
      <c r="I2351" s="3">
        <v>0.20689655200000001</v>
      </c>
      <c r="J2351" s="3">
        <v>0.06</v>
      </c>
      <c r="K2351" s="3">
        <f t="shared" si="75"/>
        <v>2008</v>
      </c>
      <c r="L2351" s="3">
        <f t="shared" si="76"/>
        <v>0</v>
      </c>
      <c r="M2351" s="20" t="str">
        <f>A2351&amp;L2351</f>
        <v>GD0</v>
      </c>
      <c r="N2351" s="3">
        <f>F2351</f>
        <v>0.35</v>
      </c>
      <c r="O2351" s="9">
        <f>H2351</f>
        <v>1.44E-2</v>
      </c>
      <c r="P2351" s="10">
        <f t="shared" si="77"/>
        <v>1.3625E-2</v>
      </c>
      <c r="Q2351" s="10">
        <f>IF(K2351=0,IF(A2348=A2351,AVERAGE(O2348:O2351),"x"),0)</f>
        <v>0</v>
      </c>
      <c r="R2351" s="9">
        <f>IF(L2351&gt;2005,AVERAGE(O2348:O2367),0)</f>
        <v>0</v>
      </c>
      <c r="S2351" s="10">
        <f>IF(A2351=A2352,(N2351-N2352)/N2352,0)</f>
        <v>0.20689655172413793</v>
      </c>
      <c r="T2351" s="10">
        <f>IF(L2351&gt;2005,(((N2351-N2371)/N2371)+1)^(1/5)-1,0)</f>
        <v>0</v>
      </c>
      <c r="U2351" s="10">
        <f t="shared" si="78"/>
        <v>0</v>
      </c>
      <c r="V2351" s="26">
        <f t="shared" si="79"/>
        <v>0</v>
      </c>
      <c r="W2351" s="3">
        <f>IF(A2351=A2352,N2351-N2352,0)</f>
        <v>0.06</v>
      </c>
      <c r="X2351" s="10">
        <f>IF(A2351=A2352,(N2351-N2352)/N2352,0)</f>
        <v>0.20689655172413793</v>
      </c>
    </row>
    <row r="2352" spans="1:24" ht="16.5" customHeight="1">
      <c r="A2352" s="3" t="s">
        <v>49</v>
      </c>
      <c r="B2352" s="3">
        <f t="shared" si="72"/>
        <v>2008</v>
      </c>
      <c r="C2352" s="3">
        <f t="shared" si="73"/>
        <v>1</v>
      </c>
      <c r="D2352" s="20" t="str">
        <f t="shared" si="74"/>
        <v>GD20081</v>
      </c>
      <c r="E2352" s="2">
        <v>39463</v>
      </c>
      <c r="F2352" s="3">
        <v>0.28999999999999998</v>
      </c>
      <c r="G2352" s="2">
        <v>39486</v>
      </c>
      <c r="H2352" s="3">
        <v>1.3599999999999999E-2</v>
      </c>
      <c r="I2352" s="3">
        <v>0</v>
      </c>
      <c r="J2352" s="3">
        <v>0</v>
      </c>
      <c r="K2352" s="3">
        <f t="shared" si="75"/>
        <v>0</v>
      </c>
      <c r="L2352" s="3">
        <f t="shared" si="76"/>
        <v>2008</v>
      </c>
      <c r="M2352" s="20" t="str">
        <f>A2352&amp;L2352</f>
        <v>GD2008</v>
      </c>
      <c r="N2352" s="3">
        <f>F2352</f>
        <v>0.28999999999999998</v>
      </c>
      <c r="O2352" s="9">
        <f>H2352</f>
        <v>1.3599999999999999E-2</v>
      </c>
      <c r="P2352" s="10">
        <f t="shared" si="77"/>
        <v>0</v>
      </c>
      <c r="Q2352" s="10">
        <f>IF(K2352=0,IF(A2349=A2352,AVERAGE(O2349:O2352),"x"),0)</f>
        <v>1.5949999999999999E-2</v>
      </c>
      <c r="R2352" s="9">
        <f>IF(L2352&gt;2005,AVERAGE(O2349:O2368),0)</f>
        <v>1.3799999999999998E-2</v>
      </c>
      <c r="S2352" s="10">
        <f>IF(A2352=A2353,(N2352-N2353)/N2353,0)</f>
        <v>0</v>
      </c>
      <c r="T2352" s="10">
        <f>IF(L2352&gt;2005,(((N2352-N2372)/N2372)+1)^(1/5)-1,0)</f>
        <v>0.14093616842292778</v>
      </c>
      <c r="U2352" s="10">
        <f t="shared" si="78"/>
        <v>0.15473616842292778</v>
      </c>
      <c r="V2352" s="26">
        <f t="shared" si="79"/>
        <v>4.8235692163000179</v>
      </c>
      <c r="W2352" s="3">
        <f>IF(A2352=A2353,N2352-N2353,0)</f>
        <v>0</v>
      </c>
      <c r="X2352" s="10">
        <f>IF(A2352=A2353,(N2352-N2353)/N2353,0)</f>
        <v>0</v>
      </c>
    </row>
    <row r="2353" spans="1:24" ht="16.5" customHeight="1">
      <c r="A2353" s="3" t="s">
        <v>49</v>
      </c>
      <c r="B2353" s="3">
        <f t="shared" si="72"/>
        <v>2007</v>
      </c>
      <c r="C2353" s="3">
        <f t="shared" si="73"/>
        <v>10</v>
      </c>
      <c r="D2353" s="20" t="str">
        <f t="shared" si="74"/>
        <v>GD200710</v>
      </c>
      <c r="E2353" s="2">
        <v>39358</v>
      </c>
      <c r="F2353" s="3">
        <v>0.28999999999999998</v>
      </c>
      <c r="G2353" s="2">
        <v>39395</v>
      </c>
      <c r="H2353" s="3">
        <v>1.32E-2</v>
      </c>
      <c r="I2353" s="3">
        <v>0</v>
      </c>
      <c r="J2353" s="3">
        <v>0</v>
      </c>
      <c r="K2353" s="3">
        <f t="shared" si="75"/>
        <v>2007</v>
      </c>
      <c r="L2353" s="3">
        <f t="shared" si="76"/>
        <v>0</v>
      </c>
      <c r="M2353" s="20" t="str">
        <f>A2353&amp;L2353</f>
        <v>GD0</v>
      </c>
      <c r="N2353" s="3">
        <f>F2353</f>
        <v>0.28999999999999998</v>
      </c>
      <c r="O2353" s="9">
        <f>H2353</f>
        <v>1.32E-2</v>
      </c>
      <c r="P2353" s="10">
        <f t="shared" si="77"/>
        <v>0</v>
      </c>
      <c r="Q2353" s="10">
        <f>IF(K2353=0,IF(A2350=A2353,AVERAGE(O2350:O2353),"x"),0)</f>
        <v>0</v>
      </c>
      <c r="R2353" s="9">
        <f>IF(L2353&gt;2005,AVERAGE(O2350:O2369),0)</f>
        <v>0</v>
      </c>
      <c r="S2353" s="10">
        <f>IF(A2353=A2354,(N2353-N2354)/N2354,0)</f>
        <v>0</v>
      </c>
      <c r="T2353" s="10">
        <f>IF(L2353&gt;2005,(((N2353-N2373)/N2373)+1)^(1/5)-1,0)</f>
        <v>0</v>
      </c>
      <c r="U2353" s="10">
        <f t="shared" si="78"/>
        <v>0</v>
      </c>
      <c r="V2353" s="26">
        <f t="shared" si="79"/>
        <v>0</v>
      </c>
      <c r="W2353" s="3">
        <f>IF(A2353=A2354,N2353-N2354,0)</f>
        <v>0</v>
      </c>
      <c r="X2353" s="10">
        <f>IF(A2353=A2354,(N2353-N2354)/N2354,0)</f>
        <v>0</v>
      </c>
    </row>
    <row r="2354" spans="1:24" ht="16.5" customHeight="1">
      <c r="A2354" s="3" t="s">
        <v>49</v>
      </c>
      <c r="B2354" s="3">
        <f t="shared" si="72"/>
        <v>2007</v>
      </c>
      <c r="C2354" s="3">
        <f t="shared" si="73"/>
        <v>7</v>
      </c>
      <c r="D2354" s="20" t="str">
        <f t="shared" si="74"/>
        <v>GD20077</v>
      </c>
      <c r="E2354" s="2">
        <v>39266</v>
      </c>
      <c r="F2354" s="3">
        <v>0.28999999999999998</v>
      </c>
      <c r="G2354" s="2">
        <v>39304</v>
      </c>
      <c r="H2354" s="3">
        <v>1.3299999999999999E-2</v>
      </c>
      <c r="I2354" s="3">
        <v>0</v>
      </c>
      <c r="J2354" s="3">
        <v>0</v>
      </c>
      <c r="K2354" s="3">
        <f t="shared" si="75"/>
        <v>2007</v>
      </c>
      <c r="L2354" s="3">
        <f t="shared" si="76"/>
        <v>0</v>
      </c>
      <c r="M2354" s="20" t="str">
        <f>A2354&amp;L2354</f>
        <v>GD0</v>
      </c>
      <c r="N2354" s="3">
        <f>F2354</f>
        <v>0.28999999999999998</v>
      </c>
      <c r="O2354" s="9">
        <f>H2354</f>
        <v>1.3299999999999999E-2</v>
      </c>
      <c r="P2354" s="10">
        <f t="shared" si="77"/>
        <v>0</v>
      </c>
      <c r="Q2354" s="10">
        <f>IF(K2354=0,IF(A2351=A2354,AVERAGE(O2351:O2354),"x"),0)</f>
        <v>0</v>
      </c>
      <c r="R2354" s="9">
        <f>IF(L2354&gt;2005,AVERAGE(O2351:O2370),0)</f>
        <v>0</v>
      </c>
      <c r="S2354" s="10">
        <f>IF(A2354=A2355,(N2354-N2355)/N2355,0)</f>
        <v>0</v>
      </c>
      <c r="T2354" s="10">
        <f>IF(L2354&gt;2005,(((N2354-N2374)/N2374)+1)^(1/5)-1,0)</f>
        <v>0</v>
      </c>
      <c r="U2354" s="10">
        <f t="shared" si="78"/>
        <v>0</v>
      </c>
      <c r="V2354" s="26">
        <f t="shared" si="79"/>
        <v>0</v>
      </c>
      <c r="W2354" s="3">
        <f>IF(A2354=A2355,N2354-N2355,0)</f>
        <v>0</v>
      </c>
      <c r="X2354" s="10">
        <f>IF(A2354=A2355,(N2354-N2355)/N2355,0)</f>
        <v>0</v>
      </c>
    </row>
    <row r="2355" spans="1:24" ht="16.5" customHeight="1">
      <c r="A2355" s="3" t="s">
        <v>49</v>
      </c>
      <c r="B2355" s="3">
        <f t="shared" si="72"/>
        <v>2007</v>
      </c>
      <c r="C2355" s="3">
        <f t="shared" si="73"/>
        <v>4</v>
      </c>
      <c r="D2355" s="20" t="str">
        <f t="shared" si="74"/>
        <v>GD20074</v>
      </c>
      <c r="E2355" s="2">
        <v>39183</v>
      </c>
      <c r="F2355" s="3">
        <v>0.28999999999999998</v>
      </c>
      <c r="G2355" s="2">
        <v>39213</v>
      </c>
      <c r="H2355" s="3">
        <v>1.2500000000000001E-2</v>
      </c>
      <c r="I2355" s="3">
        <v>0.26086956500000003</v>
      </c>
      <c r="J2355" s="3">
        <v>0.06</v>
      </c>
      <c r="K2355" s="3">
        <f t="shared" si="75"/>
        <v>2007</v>
      </c>
      <c r="L2355" s="3">
        <f t="shared" si="76"/>
        <v>0</v>
      </c>
      <c r="M2355" s="20" t="str">
        <f>A2355&amp;L2355</f>
        <v>GD0</v>
      </c>
      <c r="N2355" s="3">
        <f>F2355</f>
        <v>0.28999999999999998</v>
      </c>
      <c r="O2355" s="9">
        <f>H2355</f>
        <v>1.2500000000000001E-2</v>
      </c>
      <c r="P2355" s="10">
        <f t="shared" si="77"/>
        <v>1.2300000000000002E-2</v>
      </c>
      <c r="Q2355" s="10">
        <f>IF(K2355=0,IF(A2352=A2355,AVERAGE(O2352:O2355),"x"),0)</f>
        <v>0</v>
      </c>
      <c r="R2355" s="9">
        <f>IF(L2355&gt;2005,AVERAGE(O2352:O2371),0)</f>
        <v>0</v>
      </c>
      <c r="S2355" s="10">
        <f>IF(A2355=A2356,(N2355-N2356)/N2356,0)</f>
        <v>0.26086956521739119</v>
      </c>
      <c r="T2355" s="10">
        <f>IF(L2355&gt;2005,(((N2355-N2375)/N2375)+1)^(1/5)-1,0)</f>
        <v>0</v>
      </c>
      <c r="U2355" s="10">
        <f t="shared" si="78"/>
        <v>0</v>
      </c>
      <c r="V2355" s="26">
        <f t="shared" si="79"/>
        <v>0</v>
      </c>
      <c r="W2355" s="3">
        <f>IF(A2355=A2356,N2355-N2356,0)</f>
        <v>5.999999999999997E-2</v>
      </c>
      <c r="X2355" s="10">
        <f>IF(A2355=A2356,(N2355-N2356)/N2356,0)</f>
        <v>0.26086956521739119</v>
      </c>
    </row>
    <row r="2356" spans="1:24" ht="16.5" customHeight="1">
      <c r="A2356" s="3" t="s">
        <v>49</v>
      </c>
      <c r="B2356" s="3">
        <f t="shared" si="72"/>
        <v>2007</v>
      </c>
      <c r="C2356" s="3">
        <f t="shared" si="73"/>
        <v>1</v>
      </c>
      <c r="D2356" s="20" t="str">
        <f t="shared" si="74"/>
        <v>GD20071</v>
      </c>
      <c r="E2356" s="2">
        <v>39099</v>
      </c>
      <c r="F2356" s="3">
        <v>0.23</v>
      </c>
      <c r="G2356" s="2">
        <v>39122</v>
      </c>
      <c r="H2356" s="3">
        <v>1.15E-2</v>
      </c>
      <c r="I2356" s="3">
        <v>0</v>
      </c>
      <c r="J2356" s="3">
        <v>0</v>
      </c>
      <c r="K2356" s="3">
        <f t="shared" si="75"/>
        <v>0</v>
      </c>
      <c r="L2356" s="3">
        <f t="shared" si="76"/>
        <v>2007</v>
      </c>
      <c r="M2356" s="20" t="str">
        <f>A2356&amp;L2356</f>
        <v>GD2007</v>
      </c>
      <c r="N2356" s="3">
        <f>F2356</f>
        <v>0.23</v>
      </c>
      <c r="O2356" s="9">
        <f>H2356</f>
        <v>1.15E-2</v>
      </c>
      <c r="P2356" s="10">
        <f t="shared" si="77"/>
        <v>0</v>
      </c>
      <c r="Q2356" s="10">
        <f>IF(K2356=0,IF(A2353=A2356,AVERAGE(O2353:O2356),"x"),0)</f>
        <v>1.2625000000000001E-2</v>
      </c>
      <c r="R2356" s="9">
        <f>IF(L2356&gt;2005,AVERAGE(O2353:O2372),0)</f>
        <v>1.4109999999999998E-2</v>
      </c>
      <c r="S2356" s="10">
        <f>IF(A2356=A2357,(N2356-N2357)/N2357,0)</f>
        <v>0</v>
      </c>
      <c r="T2356" s="10">
        <f>IF(L2356&gt;2005,(((N2356-N2376)/N2376)+1)^(1/5)-1,0)</f>
        <v>0.10438362870438156</v>
      </c>
      <c r="U2356" s="10">
        <f t="shared" si="78"/>
        <v>0.11849362870438156</v>
      </c>
      <c r="V2356" s="26">
        <f t="shared" si="79"/>
        <v>4.8139251727148489</v>
      </c>
      <c r="W2356" s="3">
        <f>IF(A2356=A2357,N2356-N2357,0)</f>
        <v>0</v>
      </c>
      <c r="X2356" s="10">
        <f>IF(A2356=A2357,(N2356-N2357)/N2357,0)</f>
        <v>0</v>
      </c>
    </row>
    <row r="2357" spans="1:24" ht="16.5" customHeight="1">
      <c r="A2357" s="3" t="s">
        <v>49</v>
      </c>
      <c r="B2357" s="3">
        <f t="shared" si="72"/>
        <v>2006</v>
      </c>
      <c r="C2357" s="3">
        <f t="shared" si="73"/>
        <v>10</v>
      </c>
      <c r="D2357" s="20" t="str">
        <f t="shared" si="74"/>
        <v>GD200610</v>
      </c>
      <c r="E2357" s="2">
        <v>38994</v>
      </c>
      <c r="F2357" s="3">
        <v>0.23</v>
      </c>
      <c r="G2357" s="2">
        <v>39031</v>
      </c>
      <c r="H2357" s="3">
        <v>1.2E-2</v>
      </c>
      <c r="I2357" s="3">
        <v>0</v>
      </c>
      <c r="J2357" s="3">
        <v>0</v>
      </c>
      <c r="K2357" s="3">
        <f t="shared" si="75"/>
        <v>2006</v>
      </c>
      <c r="L2357" s="3">
        <f t="shared" si="76"/>
        <v>0</v>
      </c>
      <c r="M2357" s="20" t="str">
        <f>A2357&amp;L2357</f>
        <v>GD0</v>
      </c>
      <c r="N2357" s="3">
        <f>F2357</f>
        <v>0.23</v>
      </c>
      <c r="O2357" s="9">
        <f>H2357</f>
        <v>1.2E-2</v>
      </c>
      <c r="P2357" s="10">
        <f t="shared" si="77"/>
        <v>0</v>
      </c>
      <c r="Q2357" s="10">
        <f>IF(K2357=0,IF(A2354=A2357,AVERAGE(O2354:O2357),"x"),0)</f>
        <v>0</v>
      </c>
      <c r="R2357" s="9">
        <f>IF(L2357&gt;2005,AVERAGE(O2354:O2373),0)</f>
        <v>0</v>
      </c>
      <c r="S2357" s="10">
        <f>IF(A2357=A2358,(N2357-N2358)/N2358,0)</f>
        <v>0</v>
      </c>
      <c r="T2357" s="10">
        <f>IF(L2357&gt;2005,(((N2357-N2377)/N2377)+1)^(1/5)-1,0)</f>
        <v>0</v>
      </c>
      <c r="U2357" s="10">
        <f t="shared" si="78"/>
        <v>0</v>
      </c>
      <c r="V2357" s="26">
        <f t="shared" si="79"/>
        <v>0</v>
      </c>
      <c r="W2357" s="3">
        <f>IF(A2357=A2358,N2357-N2358,0)</f>
        <v>0</v>
      </c>
      <c r="X2357" s="10">
        <f>IF(A2357=A2358,(N2357-N2358)/N2358,0)</f>
        <v>0</v>
      </c>
    </row>
    <row r="2358" spans="1:24" ht="16.5" customHeight="1">
      <c r="A2358" s="3" t="s">
        <v>49</v>
      </c>
      <c r="B2358" s="3">
        <f t="shared" si="72"/>
        <v>2006</v>
      </c>
      <c r="C2358" s="3">
        <f t="shared" si="73"/>
        <v>7</v>
      </c>
      <c r="D2358" s="20" t="str">
        <f t="shared" si="74"/>
        <v>GD20067</v>
      </c>
      <c r="E2358" s="2">
        <v>38903</v>
      </c>
      <c r="F2358" s="3">
        <v>0.23</v>
      </c>
      <c r="G2358" s="2">
        <v>38940</v>
      </c>
      <c r="H2358" s="3">
        <v>1.32E-2</v>
      </c>
      <c r="I2358" s="3">
        <v>0</v>
      </c>
      <c r="J2358" s="3">
        <v>0</v>
      </c>
      <c r="K2358" s="3">
        <f t="shared" si="75"/>
        <v>2006</v>
      </c>
      <c r="L2358" s="3">
        <f t="shared" si="76"/>
        <v>0</v>
      </c>
      <c r="M2358" s="20" t="str">
        <f>A2358&amp;L2358</f>
        <v>GD0</v>
      </c>
      <c r="N2358" s="3">
        <f>F2358</f>
        <v>0.23</v>
      </c>
      <c r="O2358" s="9">
        <f>H2358</f>
        <v>1.32E-2</v>
      </c>
      <c r="P2358" s="10">
        <f t="shared" si="77"/>
        <v>0</v>
      </c>
      <c r="Q2358" s="10">
        <f>IF(K2358=0,IF(A2355=A2358,AVERAGE(O2355:O2358),"x"),0)</f>
        <v>0</v>
      </c>
      <c r="R2358" s="9">
        <f>IF(L2358&gt;2005,AVERAGE(O2355:O2374),0)</f>
        <v>0</v>
      </c>
      <c r="S2358" s="10">
        <f>IF(A2358=A2359,(N2358-N2359)/N2359,0)</f>
        <v>0</v>
      </c>
      <c r="T2358" s="10">
        <f>IF(L2358&gt;2005,(((N2358-N2378)/N2378)+1)^(1/5)-1,0)</f>
        <v>0</v>
      </c>
      <c r="U2358" s="10">
        <f t="shared" si="78"/>
        <v>0</v>
      </c>
      <c r="V2358" s="26">
        <f t="shared" si="79"/>
        <v>0</v>
      </c>
      <c r="W2358" s="3">
        <f>IF(A2358=A2359,N2358-N2359,0)</f>
        <v>0</v>
      </c>
      <c r="X2358" s="10">
        <f>IF(A2358=A2359,(N2358-N2359)/N2359,0)</f>
        <v>0</v>
      </c>
    </row>
    <row r="2359" spans="1:24" ht="16.5" customHeight="1">
      <c r="A2359" s="3" t="s">
        <v>49</v>
      </c>
      <c r="B2359" s="3">
        <f t="shared" si="72"/>
        <v>2006</v>
      </c>
      <c r="C2359" s="3">
        <f t="shared" si="73"/>
        <v>4</v>
      </c>
      <c r="D2359" s="20" t="str">
        <f t="shared" si="74"/>
        <v>GD20064</v>
      </c>
      <c r="E2359" s="2">
        <v>38812</v>
      </c>
      <c r="F2359" s="3">
        <v>0.23</v>
      </c>
      <c r="G2359" s="2">
        <v>38842</v>
      </c>
      <c r="H2359" s="3">
        <v>1.2800000000000001E-2</v>
      </c>
      <c r="I2359" s="3">
        <v>-0.42499999999999999</v>
      </c>
      <c r="J2359" s="3">
        <v>-0.17</v>
      </c>
      <c r="K2359" s="3">
        <f t="shared" si="75"/>
        <v>2006</v>
      </c>
      <c r="L2359" s="3">
        <f t="shared" si="76"/>
        <v>0</v>
      </c>
      <c r="M2359" s="20" t="str">
        <f>A2359&amp;L2359</f>
        <v>GD0</v>
      </c>
      <c r="N2359" s="3">
        <f>F2359</f>
        <v>0.23</v>
      </c>
      <c r="O2359" s="9">
        <f>H2359</f>
        <v>1.2800000000000001E-2</v>
      </c>
      <c r="P2359" s="10">
        <f t="shared" si="77"/>
        <v>1.3299999999999999E-2</v>
      </c>
      <c r="Q2359" s="10">
        <f>IF(K2359=0,IF(A2356=A2359,AVERAGE(O2356:O2359),"x"),0)</f>
        <v>0</v>
      </c>
      <c r="R2359" s="9">
        <f>IF(L2359&gt;2005,AVERAGE(O2356:O2375),0)</f>
        <v>0</v>
      </c>
      <c r="S2359" s="10">
        <f>IF(A2359=A2360,(N2359-N2360)/N2360,0)</f>
        <v>0.15</v>
      </c>
      <c r="T2359" s="10">
        <f>IF(L2359&gt;2005,(((N2359-N2379)/N2379)+1)^(1/5)-1,0)</f>
        <v>0</v>
      </c>
      <c r="U2359" s="10">
        <f t="shared" si="78"/>
        <v>0</v>
      </c>
      <c r="V2359" s="26">
        <f t="shared" si="79"/>
        <v>0</v>
      </c>
      <c r="W2359" s="3">
        <f>IF(A2359=A2360,N2359-N2360,0)</f>
        <v>0.03</v>
      </c>
      <c r="X2359" s="10">
        <f>IF(A2359=A2360,(N2359-N2360)/N2360,0)</f>
        <v>0.15</v>
      </c>
    </row>
    <row r="2360" spans="1:24" ht="16.5" customHeight="1">
      <c r="A2360" s="3" t="s">
        <v>49</v>
      </c>
      <c r="B2360" s="3">
        <f t="shared" si="72"/>
        <v>2006</v>
      </c>
      <c r="C2360" s="3">
        <f t="shared" si="73"/>
        <v>1</v>
      </c>
      <c r="D2360" s="20" t="str">
        <f t="shared" si="74"/>
        <v>GD20061</v>
      </c>
      <c r="E2360" s="2">
        <v>38735</v>
      </c>
      <c r="F2360" s="3">
        <v>0.4</v>
      </c>
      <c r="G2360" s="2">
        <v>38758</v>
      </c>
      <c r="H2360" s="3">
        <v>1.38E-2</v>
      </c>
      <c r="I2360" s="3">
        <v>0</v>
      </c>
      <c r="J2360" s="3">
        <v>0</v>
      </c>
      <c r="K2360" s="3">
        <f t="shared" si="75"/>
        <v>0</v>
      </c>
      <c r="L2360" s="3">
        <f t="shared" si="76"/>
        <v>2006</v>
      </c>
      <c r="M2360" s="20" t="str">
        <f>A2360&amp;L2360</f>
        <v>GD2006</v>
      </c>
      <c r="N2360" s="3">
        <f>F2360/2</f>
        <v>0.2</v>
      </c>
      <c r="O2360" s="9">
        <f>H2360</f>
        <v>1.38E-2</v>
      </c>
      <c r="P2360" s="10">
        <f t="shared" si="77"/>
        <v>0</v>
      </c>
      <c r="Q2360" s="10">
        <f>IF(K2360=0,IF(A2357=A2360,AVERAGE(O2357:O2360),"x"),0)</f>
        <v>1.295E-2</v>
      </c>
      <c r="R2360" s="9">
        <f>IF(L2360&gt;2005,AVERAGE(O2357:O2376),0)</f>
        <v>1.4235000000000003E-2</v>
      </c>
      <c r="S2360" s="10">
        <f>IF(A2360=A2361,(N2360-N2361)/N2361,0)</f>
        <v>0</v>
      </c>
      <c r="T2360" s="10">
        <f>IF(L2360&gt;2005,(((N2360-N2380)/N2380)+1)^(1/5)-1,0)</f>
        <v>8.9976987048345336E-2</v>
      </c>
      <c r="U2360" s="10">
        <f t="shared" si="78"/>
        <v>0.10421198704834533</v>
      </c>
      <c r="V2360" s="26">
        <f t="shared" si="79"/>
        <v>4.809918672534466</v>
      </c>
      <c r="W2360" s="3">
        <f>IF(A2360=A2361,N2360-N2361,0)</f>
        <v>0</v>
      </c>
      <c r="X2360" s="10">
        <f>IF(A2360=A2361,(N2360-N2361)/N2361,0)</f>
        <v>0</v>
      </c>
    </row>
    <row r="2361" spans="1:24" ht="16.5" customHeight="1">
      <c r="A2361" s="3" t="s">
        <v>49</v>
      </c>
      <c r="B2361" s="3">
        <f t="shared" si="72"/>
        <v>2005</v>
      </c>
      <c r="C2361" s="3">
        <f t="shared" si="73"/>
        <v>10</v>
      </c>
      <c r="D2361" s="20" t="str">
        <f t="shared" si="74"/>
        <v>GD200510</v>
      </c>
      <c r="E2361" s="2">
        <v>38630</v>
      </c>
      <c r="F2361" s="3">
        <v>0.4</v>
      </c>
      <c r="G2361" s="2">
        <v>38666</v>
      </c>
      <c r="H2361" s="3">
        <v>1.29E-2</v>
      </c>
      <c r="I2361" s="3">
        <v>0</v>
      </c>
      <c r="J2361" s="3">
        <v>0</v>
      </c>
      <c r="K2361" s="3">
        <f t="shared" si="75"/>
        <v>2005</v>
      </c>
      <c r="L2361" s="3">
        <f t="shared" si="76"/>
        <v>0</v>
      </c>
      <c r="M2361" s="20" t="str">
        <f>A2361&amp;L2361</f>
        <v>GD0</v>
      </c>
      <c r="N2361" s="3">
        <f>F2361/2</f>
        <v>0.2</v>
      </c>
      <c r="O2361" s="9">
        <f>H2361</f>
        <v>1.29E-2</v>
      </c>
      <c r="P2361" s="10">
        <f t="shared" si="77"/>
        <v>0</v>
      </c>
      <c r="Q2361" s="10">
        <f>IF(K2361=0,IF(A2358=A2361,AVERAGE(O2358:O2361),"x"),0)</f>
        <v>0</v>
      </c>
      <c r="R2361" s="9">
        <f>IF(L2361&gt;2005,AVERAGE(O2358:O2377),0)</f>
        <v>0</v>
      </c>
      <c r="S2361" s="10">
        <f>IF(A2361=A2362,(N2361-N2362)/N2362,0)</f>
        <v>0</v>
      </c>
      <c r="T2361" s="10">
        <f>IF(L2361&gt;2005,(((N2361-N2381)/N2381)+1)^(1/5)-1,0)</f>
        <v>0</v>
      </c>
      <c r="U2361" s="10">
        <f t="shared" si="78"/>
        <v>0</v>
      </c>
      <c r="V2361" s="26">
        <f t="shared" si="79"/>
        <v>0</v>
      </c>
      <c r="W2361" s="3">
        <f>IF(A2361=A2362,N2361-N2362,0)</f>
        <v>0</v>
      </c>
      <c r="X2361" s="10">
        <f>IF(A2361=A2362,(N2361-N2362)/N2362,0)</f>
        <v>0</v>
      </c>
    </row>
    <row r="2362" spans="1:24" ht="16.5" customHeight="1">
      <c r="A2362" s="3" t="s">
        <v>49</v>
      </c>
      <c r="B2362" s="3">
        <f t="shared" si="72"/>
        <v>2005</v>
      </c>
      <c r="C2362" s="3">
        <f t="shared" si="73"/>
        <v>6</v>
      </c>
      <c r="D2362" s="20" t="str">
        <f t="shared" si="74"/>
        <v>GD20056</v>
      </c>
      <c r="E2362" s="2">
        <v>38532</v>
      </c>
      <c r="F2362" s="3">
        <v>0.4</v>
      </c>
      <c r="G2362" s="2">
        <v>38569</v>
      </c>
      <c r="H2362" s="3">
        <v>1.37E-2</v>
      </c>
      <c r="I2362" s="3">
        <v>0</v>
      </c>
      <c r="J2362" s="3">
        <v>0</v>
      </c>
      <c r="K2362" s="3">
        <f t="shared" si="75"/>
        <v>2005</v>
      </c>
      <c r="L2362" s="3">
        <f t="shared" si="76"/>
        <v>0</v>
      </c>
      <c r="M2362" s="20" t="str">
        <f>A2362&amp;L2362</f>
        <v>GD0</v>
      </c>
      <c r="N2362" s="3">
        <f>F2362/2</f>
        <v>0.2</v>
      </c>
      <c r="O2362" s="9">
        <f>H2362</f>
        <v>1.37E-2</v>
      </c>
      <c r="P2362" s="10">
        <f t="shared" si="77"/>
        <v>0</v>
      </c>
      <c r="Q2362" s="10">
        <f>IF(K2362=0,IF(A2359=A2362,AVERAGE(O2359:O2362),"x"),0)</f>
        <v>0</v>
      </c>
      <c r="R2362" s="9">
        <f>IF(L2362&gt;2005,AVERAGE(O2359:O2378),0)</f>
        <v>0</v>
      </c>
      <c r="S2362" s="10">
        <f>IF(A2362=A2363,(N2362-N2363)/N2363,0)</f>
        <v>0</v>
      </c>
      <c r="T2362" s="10">
        <f>IF(L2362&gt;2005,(((N2362-N2382)/N2382)+1)^(1/5)-1,0)</f>
        <v>0</v>
      </c>
      <c r="U2362" s="10">
        <f t="shared" si="78"/>
        <v>0</v>
      </c>
      <c r="V2362" s="26">
        <f t="shared" si="79"/>
        <v>0</v>
      </c>
      <c r="W2362" s="3">
        <f>IF(A2362=A2363,N2362-N2363,0)</f>
        <v>0</v>
      </c>
      <c r="X2362" s="10">
        <f>IF(A2362=A2363,(N2362-N2363)/N2363,0)</f>
        <v>0</v>
      </c>
    </row>
    <row r="2363" spans="1:24" ht="16.5" customHeight="1">
      <c r="A2363" s="3" t="s">
        <v>49</v>
      </c>
      <c r="B2363" s="3">
        <f t="shared" si="72"/>
        <v>2005</v>
      </c>
      <c r="C2363" s="3">
        <f t="shared" si="73"/>
        <v>4</v>
      </c>
      <c r="D2363" s="20" t="str">
        <f t="shared" si="74"/>
        <v>GD20054</v>
      </c>
      <c r="E2363" s="2">
        <v>38447</v>
      </c>
      <c r="F2363" s="3">
        <v>0.4</v>
      </c>
      <c r="G2363" s="2">
        <v>38478</v>
      </c>
      <c r="H2363" s="3">
        <v>1.37E-2</v>
      </c>
      <c r="I2363" s="3">
        <v>0.111111111</v>
      </c>
      <c r="J2363" s="3">
        <v>0.04</v>
      </c>
      <c r="K2363" s="3">
        <f t="shared" si="75"/>
        <v>2005</v>
      </c>
      <c r="L2363" s="3">
        <f t="shared" si="76"/>
        <v>0</v>
      </c>
      <c r="M2363" s="20" t="str">
        <f>A2363&amp;L2363</f>
        <v>GD0</v>
      </c>
      <c r="N2363" s="3">
        <f>F2363/2</f>
        <v>0.2</v>
      </c>
      <c r="O2363" s="9">
        <f>H2363</f>
        <v>1.37E-2</v>
      </c>
      <c r="P2363" s="10">
        <f t="shared" si="77"/>
        <v>1.3774999999999999E-2</v>
      </c>
      <c r="Q2363" s="10">
        <f>IF(K2363=0,IF(A2360=A2363,AVERAGE(O2360:O2363),"x"),0)</f>
        <v>0</v>
      </c>
      <c r="R2363" s="9">
        <f>IF(L2363&gt;2005,AVERAGE(O2360:O2379),0)</f>
        <v>0</v>
      </c>
      <c r="S2363" s="10">
        <f>IF(A2363=A2364,(N2363-N2364)/N2364,0)</f>
        <v>0.11111111111111122</v>
      </c>
      <c r="T2363" s="10">
        <f>IF(L2363&gt;2005,(((N2363-N2383)/N2383)+1)^(1/5)-1,0)</f>
        <v>0</v>
      </c>
      <c r="U2363" s="10">
        <f t="shared" si="78"/>
        <v>0</v>
      </c>
      <c r="V2363" s="26">
        <f t="shared" si="79"/>
        <v>0</v>
      </c>
      <c r="W2363" s="3">
        <f>IF(A2363=A2364,N2363-N2364,0)</f>
        <v>2.0000000000000018E-2</v>
      </c>
      <c r="X2363" s="10">
        <f>IF(A2363=A2364,(N2363-N2364)/N2364,0)</f>
        <v>0.11111111111111122</v>
      </c>
    </row>
    <row r="2364" spans="1:24" ht="16.5" customHeight="1">
      <c r="A2364" s="3" t="s">
        <v>49</v>
      </c>
      <c r="B2364" s="3">
        <f t="shared" si="72"/>
        <v>2005</v>
      </c>
      <c r="C2364" s="3">
        <f t="shared" si="73"/>
        <v>1</v>
      </c>
      <c r="D2364" s="20" t="str">
        <f t="shared" si="74"/>
        <v>GD20051</v>
      </c>
      <c r="E2364" s="2">
        <v>38364</v>
      </c>
      <c r="F2364" s="3">
        <v>0.36</v>
      </c>
      <c r="G2364" s="2">
        <v>38387</v>
      </c>
      <c r="H2364" s="3">
        <v>1.4200000000000001E-2</v>
      </c>
      <c r="I2364" s="3">
        <v>0</v>
      </c>
      <c r="J2364" s="3">
        <v>0</v>
      </c>
      <c r="K2364" s="3">
        <f t="shared" si="75"/>
        <v>0</v>
      </c>
      <c r="L2364" s="3">
        <f t="shared" si="76"/>
        <v>2005</v>
      </c>
      <c r="M2364" s="20" t="str">
        <f>A2364&amp;L2364</f>
        <v>GD2005</v>
      </c>
      <c r="N2364" s="3">
        <f>F2364/2</f>
        <v>0.18</v>
      </c>
      <c r="O2364" s="9">
        <f>H2364</f>
        <v>1.4200000000000001E-2</v>
      </c>
      <c r="P2364" s="10">
        <f t="shared" si="77"/>
        <v>0</v>
      </c>
      <c r="Q2364" s="10">
        <f>IF(K2364=0,IF(A2361=A2364,AVERAGE(O2361:O2364),"x"),0)</f>
        <v>1.3625000000000002E-2</v>
      </c>
      <c r="R2364" s="9">
        <f>IF(L2364&gt;2005,AVERAGE(O2361:O2380),0)</f>
        <v>0</v>
      </c>
      <c r="S2364" s="10">
        <f>IF(A2364=A2365,(N2364-N2365)/N2365,0)</f>
        <v>0</v>
      </c>
      <c r="T2364" s="10">
        <f>IF(L2364&gt;2005,(((N2364-N2384)/N2384)+1)^(1/5)-1,0)</f>
        <v>0</v>
      </c>
      <c r="U2364" s="10">
        <f t="shared" si="78"/>
        <v>0</v>
      </c>
      <c r="V2364" s="26">
        <f t="shared" si="79"/>
        <v>0</v>
      </c>
      <c r="W2364" s="3">
        <f>IF(A2364=A2365,N2364-N2365,0)</f>
        <v>0</v>
      </c>
      <c r="X2364" s="10">
        <f>IF(A2364=A2365,(N2364-N2365)/N2365,0)</f>
        <v>0</v>
      </c>
    </row>
    <row r="2365" spans="1:24" ht="16.5" customHeight="1">
      <c r="A2365" s="3" t="s">
        <v>49</v>
      </c>
      <c r="B2365" s="3">
        <f t="shared" si="72"/>
        <v>2004</v>
      </c>
      <c r="C2365" s="3">
        <f t="shared" si="73"/>
        <v>10</v>
      </c>
      <c r="D2365" s="20" t="str">
        <f t="shared" si="74"/>
        <v>GD200410</v>
      </c>
      <c r="E2365" s="2">
        <v>38266</v>
      </c>
      <c r="F2365" s="3">
        <v>0.36</v>
      </c>
      <c r="G2365" s="2">
        <v>38303</v>
      </c>
      <c r="H2365" s="3">
        <v>1.37E-2</v>
      </c>
      <c r="I2365" s="3">
        <v>0</v>
      </c>
      <c r="J2365" s="3">
        <v>0</v>
      </c>
      <c r="K2365" s="3">
        <f t="shared" si="75"/>
        <v>2004</v>
      </c>
      <c r="L2365" s="3">
        <f t="shared" si="76"/>
        <v>0</v>
      </c>
      <c r="M2365" s="20" t="str">
        <f>A2365&amp;L2365</f>
        <v>GD0</v>
      </c>
      <c r="N2365" s="3">
        <f>F2365/2</f>
        <v>0.18</v>
      </c>
      <c r="O2365" s="9">
        <f>H2365</f>
        <v>1.37E-2</v>
      </c>
      <c r="P2365" s="10">
        <f t="shared" si="77"/>
        <v>0</v>
      </c>
      <c r="Q2365" s="10">
        <f>IF(K2365=0,IF(A2362=A2365,AVERAGE(O2362:O2365),"x"),0)</f>
        <v>0</v>
      </c>
      <c r="R2365" s="9">
        <f>IF(L2365&gt;2005,AVERAGE(O2362:O2381),0)</f>
        <v>0</v>
      </c>
      <c r="S2365" s="10">
        <f>IF(A2365=A2366,(N2365-N2366)/N2366,0)</f>
        <v>0</v>
      </c>
      <c r="T2365" s="10">
        <f>IF(L2365&gt;2005,(((N2365-N2385)/N2385)+1)^(1/5)-1,0)</f>
        <v>0</v>
      </c>
      <c r="U2365" s="10">
        <f t="shared" si="78"/>
        <v>0</v>
      </c>
      <c r="V2365" s="26">
        <f t="shared" si="79"/>
        <v>0</v>
      </c>
      <c r="W2365" s="3">
        <f>IF(A2365=A2366,N2365-N2366,0)</f>
        <v>0</v>
      </c>
      <c r="X2365" s="10">
        <f>IF(A2365=A2366,(N2365-N2366)/N2366,0)</f>
        <v>0</v>
      </c>
    </row>
    <row r="2366" spans="1:24" ht="16.5" customHeight="1">
      <c r="A2366" s="3" t="s">
        <v>49</v>
      </c>
      <c r="B2366" s="3">
        <f t="shared" si="72"/>
        <v>2004</v>
      </c>
      <c r="C2366" s="3">
        <f t="shared" si="73"/>
        <v>6</v>
      </c>
      <c r="D2366" s="20" t="str">
        <f t="shared" si="74"/>
        <v>GD20046</v>
      </c>
      <c r="E2366" s="2">
        <v>38168</v>
      </c>
      <c r="F2366" s="3">
        <v>0.36</v>
      </c>
      <c r="G2366" s="2">
        <v>38205</v>
      </c>
      <c r="H2366" s="3">
        <v>1.35E-2</v>
      </c>
      <c r="I2366" s="3">
        <v>0</v>
      </c>
      <c r="J2366" s="3">
        <v>0</v>
      </c>
      <c r="K2366" s="3">
        <f t="shared" si="75"/>
        <v>2004</v>
      </c>
      <c r="L2366" s="3">
        <f t="shared" si="76"/>
        <v>0</v>
      </c>
      <c r="M2366" s="20" t="str">
        <f>A2366&amp;L2366</f>
        <v>GD0</v>
      </c>
      <c r="N2366" s="3">
        <f>F2366/2</f>
        <v>0.18</v>
      </c>
      <c r="O2366" s="9">
        <f>H2366</f>
        <v>1.35E-2</v>
      </c>
      <c r="P2366" s="10">
        <f t="shared" si="77"/>
        <v>0</v>
      </c>
      <c r="Q2366" s="10">
        <f>IF(K2366=0,IF(A2363=A2366,AVERAGE(O2363:O2366),"x"),0)</f>
        <v>0</v>
      </c>
      <c r="R2366" s="9">
        <f>IF(L2366&gt;2005,AVERAGE(O2363:O2382),0)</f>
        <v>0</v>
      </c>
      <c r="S2366" s="10">
        <f>IF(A2366=A2367,(N2366-N2367)/N2367,0)</f>
        <v>0</v>
      </c>
      <c r="T2366" s="10">
        <f>IF(L2366&gt;2005,(((N2366-N2386)/N2386)+1)^(1/5)-1,0)</f>
        <v>0</v>
      </c>
      <c r="U2366" s="10">
        <f t="shared" si="78"/>
        <v>0</v>
      </c>
      <c r="V2366" s="26">
        <f t="shared" si="79"/>
        <v>0</v>
      </c>
      <c r="W2366" s="3">
        <f>IF(A2366=A2367,N2366-N2367,0)</f>
        <v>0</v>
      </c>
      <c r="X2366" s="10">
        <f>IF(A2366=A2367,(N2366-N2367)/N2367,0)</f>
        <v>0</v>
      </c>
    </row>
    <row r="2367" spans="1:24" ht="16.5" customHeight="1">
      <c r="A2367" s="3" t="s">
        <v>49</v>
      </c>
      <c r="B2367" s="3">
        <f t="shared" si="72"/>
        <v>2004</v>
      </c>
      <c r="C2367" s="3">
        <f t="shared" si="73"/>
        <v>4</v>
      </c>
      <c r="D2367" s="20" t="str">
        <f t="shared" si="74"/>
        <v>GD20044</v>
      </c>
      <c r="E2367" s="2">
        <v>38083</v>
      </c>
      <c r="F2367" s="3">
        <v>0.36</v>
      </c>
      <c r="G2367" s="2">
        <v>38114</v>
      </c>
      <c r="H2367" s="3">
        <v>1.43E-2</v>
      </c>
      <c r="I2367" s="3">
        <v>0.125</v>
      </c>
      <c r="J2367" s="3">
        <v>0.04</v>
      </c>
      <c r="K2367" s="3">
        <f t="shared" si="75"/>
        <v>2004</v>
      </c>
      <c r="L2367" s="3">
        <f t="shared" si="76"/>
        <v>0</v>
      </c>
      <c r="M2367" s="20" t="str">
        <f>A2367&amp;L2367</f>
        <v>GD0</v>
      </c>
      <c r="N2367" s="3">
        <f>F2367/2</f>
        <v>0.18</v>
      </c>
      <c r="O2367" s="9">
        <f>H2367</f>
        <v>1.43E-2</v>
      </c>
      <c r="P2367" s="10">
        <f t="shared" si="77"/>
        <v>1.5199999999999998E-2</v>
      </c>
      <c r="Q2367" s="10">
        <f>IF(K2367=0,IF(A2364=A2367,AVERAGE(O2364:O2367),"x"),0)</f>
        <v>0</v>
      </c>
      <c r="R2367" s="9">
        <f>IF(L2367&gt;2005,AVERAGE(O2364:O2383),0)</f>
        <v>0</v>
      </c>
      <c r="S2367" s="10">
        <f>IF(A2367=A2368,(N2367-N2368)/N2368,0)</f>
        <v>0.12499999999999993</v>
      </c>
      <c r="T2367" s="10">
        <f>IF(L2367&gt;2005,(((N2367-N2387)/N2387)+1)^(1/5)-1,0)</f>
        <v>0</v>
      </c>
      <c r="U2367" s="10">
        <f t="shared" si="78"/>
        <v>0</v>
      </c>
      <c r="V2367" s="26">
        <f t="shared" si="79"/>
        <v>0</v>
      </c>
      <c r="W2367" s="3">
        <f>IF(A2367=A2368,N2367-N2368,0)</f>
        <v>1.999999999999999E-2</v>
      </c>
      <c r="X2367" s="10">
        <f>IF(A2367=A2368,(N2367-N2368)/N2368,0)</f>
        <v>0.12499999999999993</v>
      </c>
    </row>
    <row r="2368" spans="1:24" ht="16.5" customHeight="1">
      <c r="A2368" s="3" t="s">
        <v>49</v>
      </c>
      <c r="B2368" s="3">
        <f t="shared" si="72"/>
        <v>2004</v>
      </c>
      <c r="C2368" s="3">
        <f t="shared" si="73"/>
        <v>1</v>
      </c>
      <c r="D2368" s="20" t="str">
        <f t="shared" si="74"/>
        <v>GD20041</v>
      </c>
      <c r="E2368" s="2">
        <v>38000</v>
      </c>
      <c r="F2368" s="3">
        <v>0.32</v>
      </c>
      <c r="G2368" s="2">
        <v>38023</v>
      </c>
      <c r="H2368" s="3">
        <v>1.3899999999999999E-2</v>
      </c>
      <c r="I2368" s="3">
        <v>0</v>
      </c>
      <c r="J2368" s="3">
        <v>0</v>
      </c>
      <c r="K2368" s="3">
        <f t="shared" si="75"/>
        <v>0</v>
      </c>
      <c r="L2368" s="3">
        <f t="shared" si="76"/>
        <v>2004</v>
      </c>
      <c r="M2368" s="20" t="str">
        <f>A2368&amp;L2368</f>
        <v>GD2004</v>
      </c>
      <c r="N2368" s="3">
        <f>F2368/2</f>
        <v>0.16</v>
      </c>
      <c r="O2368" s="9">
        <f>H2368</f>
        <v>1.3899999999999999E-2</v>
      </c>
      <c r="P2368" s="10">
        <f t="shared" si="77"/>
        <v>0</v>
      </c>
      <c r="Q2368" s="10">
        <f>IF(K2368=0,IF(A2365=A2368,AVERAGE(O2365:O2368),"x"),0)</f>
        <v>1.3850000000000001E-2</v>
      </c>
      <c r="R2368" s="9">
        <f>IF(L2368&gt;2005,AVERAGE(O2365:O2384),0)</f>
        <v>0</v>
      </c>
      <c r="S2368" s="10">
        <f>IF(A2368=A2369,(N2368-N2369)/N2369,0)</f>
        <v>0</v>
      </c>
      <c r="T2368" s="10">
        <f>IF(L2368&gt;2005,(((N2368-N2388)/N2388)+1)^(1/5)-1,0)</f>
        <v>0</v>
      </c>
      <c r="U2368" s="10">
        <f t="shared" si="78"/>
        <v>0</v>
      </c>
      <c r="V2368" s="26">
        <f t="shared" si="79"/>
        <v>0</v>
      </c>
      <c r="W2368" s="3">
        <f>IF(A2368=A2369,N2368-N2369,0)</f>
        <v>0</v>
      </c>
      <c r="X2368" s="10">
        <f>IF(A2368=A2369,(N2368-N2369)/N2369,0)</f>
        <v>0</v>
      </c>
    </row>
    <row r="2369" spans="1:24" ht="16.5" customHeight="1">
      <c r="A2369" s="3" t="s">
        <v>49</v>
      </c>
      <c r="B2369" s="3">
        <f t="shared" si="72"/>
        <v>2003</v>
      </c>
      <c r="C2369" s="3">
        <f t="shared" si="73"/>
        <v>10</v>
      </c>
      <c r="D2369" s="20" t="str">
        <f t="shared" si="74"/>
        <v>GD200310</v>
      </c>
      <c r="E2369" s="2">
        <v>37902</v>
      </c>
      <c r="F2369" s="3">
        <v>0.32</v>
      </c>
      <c r="G2369" s="2">
        <v>37939</v>
      </c>
      <c r="H2369" s="3">
        <v>1.5800000000000002E-2</v>
      </c>
      <c r="I2369" s="3">
        <v>0</v>
      </c>
      <c r="J2369" s="3">
        <v>0</v>
      </c>
      <c r="K2369" s="3">
        <f t="shared" si="75"/>
        <v>2003</v>
      </c>
      <c r="L2369" s="3">
        <f t="shared" si="76"/>
        <v>0</v>
      </c>
      <c r="M2369" s="20" t="str">
        <f>A2369&amp;L2369</f>
        <v>GD0</v>
      </c>
      <c r="N2369" s="3">
        <f>F2369/2</f>
        <v>0.16</v>
      </c>
      <c r="O2369" s="9">
        <f>H2369</f>
        <v>1.5800000000000002E-2</v>
      </c>
      <c r="P2369" s="10">
        <f t="shared" si="77"/>
        <v>0</v>
      </c>
      <c r="Q2369" s="10">
        <f>IF(K2369=0,IF(A2366=A2369,AVERAGE(O2366:O2369),"x"),0)</f>
        <v>0</v>
      </c>
      <c r="R2369" s="9">
        <f>IF(L2369&gt;2005,AVERAGE(O2366:O2385),0)</f>
        <v>0</v>
      </c>
      <c r="S2369" s="10">
        <f>IF(A2369=A2370,(N2369-N2370)/N2370,0)</f>
        <v>0</v>
      </c>
      <c r="T2369" s="10">
        <f>IF(L2369&gt;2005,(((N2369-N2389)/N2389)+1)^(1/5)-1,0)</f>
        <v>0</v>
      </c>
      <c r="U2369" s="10">
        <f t="shared" si="78"/>
        <v>0</v>
      </c>
      <c r="V2369" s="26">
        <f t="shared" si="79"/>
        <v>0</v>
      </c>
      <c r="W2369" s="3">
        <f>IF(A2369=A2370,N2369-N2370,0)</f>
        <v>0</v>
      </c>
      <c r="X2369" s="10">
        <f>IF(A2369=A2370,(N2369-N2370)/N2370,0)</f>
        <v>0</v>
      </c>
    </row>
    <row r="2370" spans="1:24" ht="16.5" customHeight="1">
      <c r="A2370" s="3" t="s">
        <v>49</v>
      </c>
      <c r="B2370" s="3">
        <f t="shared" si="72"/>
        <v>2003</v>
      </c>
      <c r="C2370" s="3">
        <f t="shared" si="73"/>
        <v>7</v>
      </c>
      <c r="D2370" s="20" t="str">
        <f t="shared" si="74"/>
        <v>GD20037</v>
      </c>
      <c r="E2370" s="2">
        <v>37804</v>
      </c>
      <c r="F2370" s="3">
        <v>0.32</v>
      </c>
      <c r="G2370" s="2">
        <v>37841</v>
      </c>
      <c r="H2370" s="3">
        <v>1.6799999999999999E-2</v>
      </c>
      <c r="I2370" s="3">
        <v>0</v>
      </c>
      <c r="J2370" s="3">
        <v>0</v>
      </c>
      <c r="K2370" s="3">
        <f t="shared" si="75"/>
        <v>2003</v>
      </c>
      <c r="L2370" s="3">
        <f t="shared" si="76"/>
        <v>0</v>
      </c>
      <c r="M2370" s="20" t="str">
        <f>A2370&amp;L2370</f>
        <v>GD0</v>
      </c>
      <c r="N2370" s="3">
        <f>F2370/2</f>
        <v>0.16</v>
      </c>
      <c r="O2370" s="9">
        <f>H2370</f>
        <v>1.6799999999999999E-2</v>
      </c>
      <c r="P2370" s="10">
        <f t="shared" si="77"/>
        <v>0</v>
      </c>
      <c r="Q2370" s="10">
        <f>IF(K2370=0,IF(A2367=A2370,AVERAGE(O2367:O2370),"x"),0)</f>
        <v>0</v>
      </c>
      <c r="R2370" s="9">
        <f>IF(L2370&gt;2005,AVERAGE(O2367:O2386),0)</f>
        <v>0</v>
      </c>
      <c r="S2370" s="10">
        <f>IF(A2370=A2371,(N2370-N2371)/N2371,0)</f>
        <v>0</v>
      </c>
      <c r="T2370" s="10">
        <f>IF(L2370&gt;2005,(((N2370-N2390)/N2390)+1)^(1/5)-1,0)</f>
        <v>0</v>
      </c>
      <c r="U2370" s="10">
        <f t="shared" si="78"/>
        <v>0</v>
      </c>
      <c r="V2370" s="26">
        <f t="shared" si="79"/>
        <v>0</v>
      </c>
      <c r="W2370" s="3">
        <f>IF(A2370=A2371,N2370-N2371,0)</f>
        <v>0</v>
      </c>
      <c r="X2370" s="10">
        <f>IF(A2370=A2371,(N2370-N2371)/N2371,0)</f>
        <v>0</v>
      </c>
    </row>
    <row r="2371" spans="1:24" ht="16.5" customHeight="1">
      <c r="A2371" s="3" t="s">
        <v>49</v>
      </c>
      <c r="B2371" s="3">
        <f t="shared" si="72"/>
        <v>2003</v>
      </c>
      <c r="C2371" s="3">
        <f t="shared" si="73"/>
        <v>4</v>
      </c>
      <c r="D2371" s="20" t="str">
        <f t="shared" si="74"/>
        <v>GD20034</v>
      </c>
      <c r="E2371" s="2">
        <v>37720</v>
      </c>
      <c r="F2371" s="3">
        <v>0.32</v>
      </c>
      <c r="G2371" s="2">
        <v>37750</v>
      </c>
      <c r="H2371" s="3">
        <v>2.2100000000000002E-2</v>
      </c>
      <c r="I2371" s="3">
        <v>6.6666666999999999E-2</v>
      </c>
      <c r="J2371" s="3">
        <v>0.02</v>
      </c>
      <c r="K2371" s="3">
        <f t="shared" si="75"/>
        <v>2003</v>
      </c>
      <c r="L2371" s="3">
        <f t="shared" si="76"/>
        <v>0</v>
      </c>
      <c r="M2371" s="20" t="str">
        <f>A2371&amp;L2371</f>
        <v>GD0</v>
      </c>
      <c r="N2371" s="3">
        <f>F2371/2</f>
        <v>0.16</v>
      </c>
      <c r="O2371" s="9">
        <f>H2371</f>
        <v>2.2100000000000002E-2</v>
      </c>
      <c r="P2371" s="10">
        <f t="shared" si="77"/>
        <v>1.5975E-2</v>
      </c>
      <c r="Q2371" s="10">
        <f>IF(K2371=0,IF(A2368=A2371,AVERAGE(O2368:O2371),"x"),0)</f>
        <v>0</v>
      </c>
      <c r="R2371" s="9">
        <f>IF(L2371&gt;2005,AVERAGE(O2368:O2387),0)</f>
        <v>0</v>
      </c>
      <c r="S2371" s="10">
        <f>IF(A2371=A2372,(N2371-N2372)/N2372,0)</f>
        <v>6.6666666666666735E-2</v>
      </c>
      <c r="T2371" s="10">
        <f>IF(L2371&gt;2005,(((N2371-N2391)/N2391)+1)^(1/5)-1,0)</f>
        <v>0</v>
      </c>
      <c r="U2371" s="10">
        <f t="shared" si="78"/>
        <v>0</v>
      </c>
      <c r="V2371" s="26">
        <f t="shared" si="79"/>
        <v>0</v>
      </c>
      <c r="W2371" s="3">
        <f>IF(A2371=A2372,N2371-N2372,0)</f>
        <v>1.0000000000000009E-2</v>
      </c>
      <c r="X2371" s="10">
        <f>IF(A2371=A2372,(N2371-N2372)/N2372,0)</f>
        <v>6.6666666666666735E-2</v>
      </c>
    </row>
    <row r="2372" spans="1:24" ht="16.5" customHeight="1">
      <c r="A2372" s="3" t="s">
        <v>49</v>
      </c>
      <c r="B2372" s="3">
        <f t="shared" si="72"/>
        <v>2003</v>
      </c>
      <c r="C2372" s="3">
        <f t="shared" si="73"/>
        <v>1</v>
      </c>
      <c r="D2372" s="20" t="str">
        <f t="shared" si="74"/>
        <v>GD20031</v>
      </c>
      <c r="E2372" s="2">
        <v>37636</v>
      </c>
      <c r="F2372" s="3">
        <v>0.3</v>
      </c>
      <c r="G2372" s="2">
        <v>37659</v>
      </c>
      <c r="H2372" s="3">
        <v>1.5299999999999999E-2</v>
      </c>
      <c r="I2372" s="3">
        <v>0</v>
      </c>
      <c r="J2372" s="3">
        <v>0</v>
      </c>
      <c r="K2372" s="3">
        <f t="shared" si="75"/>
        <v>0</v>
      </c>
      <c r="L2372" s="3">
        <f t="shared" si="76"/>
        <v>2003</v>
      </c>
      <c r="M2372" s="20" t="str">
        <f>A2372&amp;L2372</f>
        <v>GD2003</v>
      </c>
      <c r="N2372" s="3">
        <f>F2372/2</f>
        <v>0.15</v>
      </c>
      <c r="O2372" s="9">
        <f>H2372</f>
        <v>1.5299999999999999E-2</v>
      </c>
      <c r="P2372" s="10">
        <f t="shared" si="77"/>
        <v>0</v>
      </c>
      <c r="Q2372" s="10">
        <f>IF(K2372=0,IF(A2369=A2372,AVERAGE(O2369:O2372),"x"),0)</f>
        <v>1.7500000000000002E-2</v>
      </c>
      <c r="R2372" s="9">
        <f>IF(L2372&gt;2005,AVERAGE(O2369:O2388),0)</f>
        <v>0</v>
      </c>
      <c r="S2372" s="10">
        <f>IF(A2372=A2373,(N2372-N2373)/N2373,0)</f>
        <v>0</v>
      </c>
      <c r="T2372" s="10">
        <f>IF(L2372&gt;2005,(((N2372-N2392)/N2392)+1)^(1/5)-1,0)</f>
        <v>0</v>
      </c>
      <c r="U2372" s="10">
        <f t="shared" si="78"/>
        <v>0</v>
      </c>
      <c r="V2372" s="26">
        <f t="shared" si="79"/>
        <v>0</v>
      </c>
      <c r="W2372" s="3">
        <f>IF(A2372=A2373,N2372-N2373,0)</f>
        <v>0</v>
      </c>
      <c r="X2372" s="10">
        <f>IF(A2372=A2373,(N2372-N2373)/N2373,0)</f>
        <v>0</v>
      </c>
    </row>
    <row r="2373" spans="1:24" ht="16.5" customHeight="1">
      <c r="A2373" s="3" t="s">
        <v>49</v>
      </c>
      <c r="B2373" s="3">
        <f t="shared" si="72"/>
        <v>2002</v>
      </c>
      <c r="C2373" s="3">
        <f t="shared" si="73"/>
        <v>10</v>
      </c>
      <c r="D2373" s="20" t="str">
        <f t="shared" si="74"/>
        <v>GD200210</v>
      </c>
      <c r="E2373" s="2">
        <v>37538</v>
      </c>
      <c r="F2373" s="3">
        <v>0.3</v>
      </c>
      <c r="G2373" s="2">
        <v>37575</v>
      </c>
      <c r="H2373" s="3">
        <v>1.54E-2</v>
      </c>
      <c r="I2373" s="3">
        <v>0</v>
      </c>
      <c r="J2373" s="3">
        <v>0</v>
      </c>
      <c r="K2373" s="3">
        <f t="shared" si="75"/>
        <v>2002</v>
      </c>
      <c r="L2373" s="3">
        <f t="shared" si="76"/>
        <v>0</v>
      </c>
      <c r="M2373" s="20" t="str">
        <f>A2373&amp;L2373</f>
        <v>GD0</v>
      </c>
      <c r="N2373" s="3">
        <f>F2373/2</f>
        <v>0.15</v>
      </c>
      <c r="O2373" s="9">
        <f>H2373</f>
        <v>1.54E-2</v>
      </c>
      <c r="P2373" s="10">
        <f t="shared" si="77"/>
        <v>0</v>
      </c>
      <c r="Q2373" s="10">
        <f>IF(K2373=0,IF(A2370=A2373,AVERAGE(O2370:O2373),"x"),0)</f>
        <v>0</v>
      </c>
      <c r="R2373" s="9">
        <f>IF(L2373&gt;2005,AVERAGE(O2370:O2389),0)</f>
        <v>0</v>
      </c>
      <c r="S2373" s="10">
        <f>IF(A2373=A2374,(N2373-N2374)/N2374,0)</f>
        <v>0</v>
      </c>
      <c r="T2373" s="10">
        <f>IF(L2373&gt;2005,(((N2373-N2393)/N2393)+1)^(1/5)-1,0)</f>
        <v>0</v>
      </c>
      <c r="U2373" s="10">
        <f t="shared" si="78"/>
        <v>0</v>
      </c>
      <c r="V2373" s="26">
        <f t="shared" si="79"/>
        <v>0</v>
      </c>
      <c r="W2373" s="3">
        <f>IF(A2373=A2374,N2373-N2374,0)</f>
        <v>0</v>
      </c>
      <c r="X2373" s="10">
        <f>IF(A2373=A2374,(N2373-N2374)/N2374,0)</f>
        <v>0</v>
      </c>
    </row>
    <row r="2374" spans="1:24" ht="16.5" customHeight="1">
      <c r="A2374" s="3" t="s">
        <v>49</v>
      </c>
      <c r="B2374" s="3">
        <f t="shared" si="72"/>
        <v>2002</v>
      </c>
      <c r="C2374" s="3">
        <f t="shared" si="73"/>
        <v>7</v>
      </c>
      <c r="D2374" s="20" t="str">
        <f t="shared" si="74"/>
        <v>GD20027</v>
      </c>
      <c r="E2374" s="2">
        <v>37439</v>
      </c>
      <c r="F2374" s="3">
        <v>0.3</v>
      </c>
      <c r="G2374" s="2">
        <v>37470</v>
      </c>
      <c r="H2374" s="3">
        <v>1.11E-2</v>
      </c>
      <c r="I2374" s="3">
        <v>0</v>
      </c>
      <c r="J2374" s="3">
        <v>0</v>
      </c>
      <c r="K2374" s="3">
        <f t="shared" si="75"/>
        <v>2002</v>
      </c>
      <c r="L2374" s="3">
        <f t="shared" si="76"/>
        <v>0</v>
      </c>
      <c r="M2374" s="20" t="str">
        <f>A2374&amp;L2374</f>
        <v>GD0</v>
      </c>
      <c r="N2374" s="3">
        <f>F2374/2</f>
        <v>0.15</v>
      </c>
      <c r="O2374" s="9">
        <f>H2374</f>
        <v>1.11E-2</v>
      </c>
      <c r="P2374" s="10">
        <f t="shared" si="77"/>
        <v>0</v>
      </c>
      <c r="Q2374" s="10">
        <f>IF(K2374=0,IF(A2371=A2374,AVERAGE(O2371:O2374),"x"),0)</f>
        <v>0</v>
      </c>
      <c r="R2374" s="9">
        <f>IF(L2374&gt;2005,AVERAGE(O2371:O2390),0)</f>
        <v>0</v>
      </c>
      <c r="S2374" s="10">
        <f>IF(A2374=A2375,(N2374-N2375)/N2375,0)</f>
        <v>0</v>
      </c>
      <c r="T2374" s="10">
        <f>IF(L2374&gt;2005,(((N2374-N2394)/N2394)+1)^(1/5)-1,0)</f>
        <v>0</v>
      </c>
      <c r="U2374" s="10">
        <f t="shared" si="78"/>
        <v>0</v>
      </c>
      <c r="V2374" s="26">
        <f t="shared" si="79"/>
        <v>0</v>
      </c>
      <c r="W2374" s="3">
        <f>IF(A2374=A2375,N2374-N2375,0)</f>
        <v>0</v>
      </c>
      <c r="X2374" s="10">
        <f>IF(A2374=A2375,(N2374-N2375)/N2375,0)</f>
        <v>0</v>
      </c>
    </row>
    <row r="2375" spans="1:24" ht="16.5" customHeight="1">
      <c r="A2375" s="3" t="s">
        <v>49</v>
      </c>
      <c r="B2375" s="3">
        <f t="shared" si="72"/>
        <v>2002</v>
      </c>
      <c r="C2375" s="3">
        <f t="shared" si="73"/>
        <v>4</v>
      </c>
      <c r="D2375" s="20" t="str">
        <f t="shared" si="74"/>
        <v>GD20024</v>
      </c>
      <c r="E2375" s="2">
        <v>37356</v>
      </c>
      <c r="F2375" s="3">
        <v>0.3</v>
      </c>
      <c r="G2375" s="2">
        <v>37386</v>
      </c>
      <c r="H2375" s="3">
        <v>1.2E-2</v>
      </c>
      <c r="I2375" s="3">
        <v>7.1428570999999996E-2</v>
      </c>
      <c r="J2375" s="3">
        <v>0.02</v>
      </c>
      <c r="K2375" s="3">
        <f t="shared" si="75"/>
        <v>2002</v>
      </c>
      <c r="L2375" s="3">
        <f t="shared" si="76"/>
        <v>0</v>
      </c>
      <c r="M2375" s="20" t="str">
        <f>A2375&amp;L2375</f>
        <v>GD0</v>
      </c>
      <c r="N2375" s="3">
        <f>F2375/2</f>
        <v>0.15</v>
      </c>
      <c r="O2375" s="9">
        <f>H2375</f>
        <v>1.2E-2</v>
      </c>
      <c r="P2375" s="10">
        <f t="shared" si="77"/>
        <v>1.3424999999999999E-2</v>
      </c>
      <c r="Q2375" s="10">
        <f>IF(K2375=0,IF(A2372=A2375,AVERAGE(O2372:O2375),"x"),0)</f>
        <v>0</v>
      </c>
      <c r="R2375" s="9">
        <f>IF(L2375&gt;2005,AVERAGE(O2372:O2391),0)</f>
        <v>0</v>
      </c>
      <c r="S2375" s="10">
        <f>IF(A2375=A2376,(N2375-N2376)/N2376,0)</f>
        <v>7.1428571428571286E-2</v>
      </c>
      <c r="T2375" s="10">
        <f>IF(L2375&gt;2005,(((N2375-N2395)/N2395)+1)^(1/5)-1,0)</f>
        <v>0</v>
      </c>
      <c r="U2375" s="10">
        <f t="shared" si="78"/>
        <v>0</v>
      </c>
      <c r="V2375" s="26">
        <f t="shared" si="79"/>
        <v>0</v>
      </c>
      <c r="W2375" s="3">
        <f>IF(A2375=A2376,N2375-N2376,0)</f>
        <v>9.9999999999999811E-3</v>
      </c>
      <c r="X2375" s="10">
        <f>IF(A2375=A2376,(N2375-N2376)/N2376,0)</f>
        <v>7.1428571428571286E-2</v>
      </c>
    </row>
    <row r="2376" spans="1:24" ht="16.5" customHeight="1">
      <c r="A2376" s="3" t="s">
        <v>49</v>
      </c>
      <c r="B2376" s="3">
        <f t="shared" si="72"/>
        <v>2002</v>
      </c>
      <c r="C2376" s="3">
        <f t="shared" si="73"/>
        <v>1</v>
      </c>
      <c r="D2376" s="20" t="str">
        <f t="shared" si="74"/>
        <v>GD20021</v>
      </c>
      <c r="E2376" s="2">
        <v>37272</v>
      </c>
      <c r="F2376" s="3">
        <v>0.28000000000000003</v>
      </c>
      <c r="G2376" s="2">
        <v>37295</v>
      </c>
      <c r="H2376" s="3">
        <v>1.4500000000000001E-2</v>
      </c>
      <c r="I2376" s="3">
        <v>0</v>
      </c>
      <c r="J2376" s="3">
        <v>0</v>
      </c>
      <c r="K2376" s="3">
        <f t="shared" si="75"/>
        <v>0</v>
      </c>
      <c r="L2376" s="3">
        <f t="shared" si="76"/>
        <v>2002</v>
      </c>
      <c r="M2376" s="20" t="str">
        <f>A2376&amp;L2376</f>
        <v>GD2002</v>
      </c>
      <c r="N2376" s="3">
        <f>F2376/2</f>
        <v>0.14000000000000001</v>
      </c>
      <c r="O2376" s="9">
        <f>H2376</f>
        <v>1.4500000000000001E-2</v>
      </c>
      <c r="P2376" s="10">
        <f t="shared" si="77"/>
        <v>0</v>
      </c>
      <c r="Q2376" s="10">
        <f>IF(K2376=0,IF(A2373=A2376,AVERAGE(O2373:O2376),"x"),0)</f>
        <v>1.3250000000000001E-2</v>
      </c>
      <c r="R2376" s="9">
        <f>IF(L2376&gt;2005,AVERAGE(O2373:O2392),0)</f>
        <v>0</v>
      </c>
      <c r="S2376" s="10">
        <f>IF(A2376=A2377,(N2376-N2377)/N2377,0)</f>
        <v>0</v>
      </c>
      <c r="T2376" s="10">
        <f>IF(L2376&gt;2005,(((N2376-N2396)/N2396)+1)^(1/5)-1,0)</f>
        <v>0</v>
      </c>
      <c r="U2376" s="10">
        <f t="shared" si="78"/>
        <v>0</v>
      </c>
      <c r="V2376" s="26">
        <f t="shared" si="79"/>
        <v>0</v>
      </c>
      <c r="W2376" s="3">
        <f>IF(A2376=A2377,N2376-N2377,0)</f>
        <v>0</v>
      </c>
      <c r="X2376" s="10">
        <f>IF(A2376=A2377,(N2376-N2377)/N2377,0)</f>
        <v>0</v>
      </c>
    </row>
    <row r="2377" spans="1:24" ht="16.5" customHeight="1">
      <c r="A2377" s="3" t="s">
        <v>49</v>
      </c>
      <c r="B2377" s="3">
        <f t="shared" si="72"/>
        <v>2001</v>
      </c>
      <c r="C2377" s="3">
        <f t="shared" si="73"/>
        <v>10</v>
      </c>
      <c r="D2377" s="20" t="str">
        <f t="shared" si="74"/>
        <v>GD200110</v>
      </c>
      <c r="E2377" s="2">
        <v>37167</v>
      </c>
      <c r="F2377" s="3">
        <v>0.28000000000000003</v>
      </c>
      <c r="G2377" s="2">
        <v>37204</v>
      </c>
      <c r="H2377" s="3">
        <v>1.2699999999999999E-2</v>
      </c>
      <c r="I2377" s="3">
        <v>0</v>
      </c>
      <c r="J2377" s="3">
        <v>0</v>
      </c>
      <c r="K2377" s="3">
        <f t="shared" si="75"/>
        <v>2001</v>
      </c>
      <c r="L2377" s="3">
        <f t="shared" si="76"/>
        <v>0</v>
      </c>
      <c r="M2377" s="20" t="str">
        <f>A2377&amp;L2377</f>
        <v>GD0</v>
      </c>
      <c r="N2377" s="3">
        <f>F2377/2</f>
        <v>0.14000000000000001</v>
      </c>
      <c r="O2377" s="9">
        <f>H2377</f>
        <v>1.2699999999999999E-2</v>
      </c>
      <c r="P2377" s="10">
        <f t="shared" si="77"/>
        <v>0</v>
      </c>
      <c r="Q2377" s="10">
        <f>IF(K2377=0,IF(A2374=A2377,AVERAGE(O2374:O2377),"x"),0)</f>
        <v>0</v>
      </c>
      <c r="R2377" s="9">
        <f>IF(L2377&gt;2005,AVERAGE(O2374:O2393),0)</f>
        <v>0</v>
      </c>
      <c r="S2377" s="10">
        <f>IF(A2377=A2378,(N2377-N2378)/N2378,0)</f>
        <v>0</v>
      </c>
      <c r="T2377" s="10">
        <f>IF(L2377&gt;2005,(((N2377-N2397)/N2397)+1)^(1/5)-1,0)</f>
        <v>0</v>
      </c>
      <c r="U2377" s="10">
        <f t="shared" si="78"/>
        <v>0</v>
      </c>
      <c r="V2377" s="26">
        <f t="shared" si="79"/>
        <v>0</v>
      </c>
      <c r="W2377" s="3">
        <f>IF(A2377=A2378,N2377-N2378,0)</f>
        <v>0</v>
      </c>
      <c r="X2377" s="10">
        <f>IF(A2377=A2378,(N2377-N2378)/N2378,0)</f>
        <v>0</v>
      </c>
    </row>
    <row r="2378" spans="1:24" ht="16.5" customHeight="1">
      <c r="A2378" s="3" t="s">
        <v>49</v>
      </c>
      <c r="B2378" s="3">
        <f t="shared" si="72"/>
        <v>2001</v>
      </c>
      <c r="C2378" s="3">
        <f t="shared" si="73"/>
        <v>7</v>
      </c>
      <c r="D2378" s="20" t="str">
        <f t="shared" si="74"/>
        <v>GD20017</v>
      </c>
      <c r="E2378" s="2">
        <v>37083</v>
      </c>
      <c r="F2378" s="3">
        <v>0.28000000000000003</v>
      </c>
      <c r="G2378" s="2">
        <v>37113</v>
      </c>
      <c r="H2378" s="3">
        <v>1.4500000000000001E-2</v>
      </c>
      <c r="I2378" s="3">
        <v>0</v>
      </c>
      <c r="J2378" s="3">
        <v>0</v>
      </c>
      <c r="K2378" s="3">
        <f t="shared" si="75"/>
        <v>2001</v>
      </c>
      <c r="L2378" s="3">
        <f t="shared" si="76"/>
        <v>0</v>
      </c>
      <c r="M2378" s="20" t="str">
        <f>A2378&amp;L2378</f>
        <v>GD0</v>
      </c>
      <c r="N2378" s="3">
        <f>F2378/2</f>
        <v>0.14000000000000001</v>
      </c>
      <c r="O2378" s="9">
        <f>H2378</f>
        <v>1.4500000000000001E-2</v>
      </c>
      <c r="P2378" s="10">
        <f t="shared" si="77"/>
        <v>0</v>
      </c>
      <c r="Q2378" s="10">
        <f>IF(K2378=0,IF(A2375=A2378,AVERAGE(O2375:O2378),"x"),0)</f>
        <v>0</v>
      </c>
      <c r="R2378" s="9">
        <f>IF(L2378&gt;2005,AVERAGE(O2375:O2394),0)</f>
        <v>0</v>
      </c>
      <c r="S2378" s="10">
        <f>IF(A2378=A2379,(N2378-N2379)/N2379,0)</f>
        <v>0</v>
      </c>
      <c r="T2378" s="10">
        <f>IF(L2378&gt;2005,(((N2378-N2398)/N2398)+1)^(1/5)-1,0)</f>
        <v>0</v>
      </c>
      <c r="U2378" s="10">
        <f t="shared" si="78"/>
        <v>0</v>
      </c>
      <c r="V2378" s="26">
        <f t="shared" si="79"/>
        <v>0</v>
      </c>
      <c r="W2378" s="3">
        <f>IF(A2378=A2379,N2378-N2379,0)</f>
        <v>0</v>
      </c>
      <c r="X2378" s="10">
        <f>IF(A2378=A2379,(N2378-N2379)/N2379,0)</f>
        <v>0</v>
      </c>
    </row>
    <row r="2379" spans="1:24" ht="16.5" customHeight="1">
      <c r="A2379" s="3" t="s">
        <v>49</v>
      </c>
      <c r="B2379" s="3">
        <f t="shared" si="72"/>
        <v>2001</v>
      </c>
      <c r="C2379" s="3">
        <f t="shared" si="73"/>
        <v>4</v>
      </c>
      <c r="D2379" s="20" t="str">
        <f t="shared" si="74"/>
        <v>GD20014</v>
      </c>
      <c r="E2379" s="2">
        <v>36991</v>
      </c>
      <c r="F2379" s="3">
        <v>0.28000000000000003</v>
      </c>
      <c r="G2379" s="2">
        <v>37022</v>
      </c>
      <c r="H2379" s="3">
        <v>1.61E-2</v>
      </c>
      <c r="I2379" s="3">
        <v>7.6923077000000006E-2</v>
      </c>
      <c r="J2379" s="3">
        <v>0.02</v>
      </c>
      <c r="K2379" s="3">
        <f t="shared" si="75"/>
        <v>2001</v>
      </c>
      <c r="L2379" s="3">
        <f t="shared" si="76"/>
        <v>0</v>
      </c>
      <c r="M2379" s="20" t="str">
        <f>A2379&amp;L2379</f>
        <v>GD0</v>
      </c>
      <c r="N2379" s="3">
        <f>F2379/2</f>
        <v>0.14000000000000001</v>
      </c>
      <c r="O2379" s="9">
        <f>H2379</f>
        <v>1.61E-2</v>
      </c>
      <c r="P2379" s="10">
        <f t="shared" si="77"/>
        <v>1.66E-2</v>
      </c>
      <c r="Q2379" s="10">
        <f>IF(K2379=0,IF(A2376=A2379,AVERAGE(O2376:O2379),"x"),0)</f>
        <v>0</v>
      </c>
      <c r="R2379" s="9">
        <f>IF(L2379&gt;2005,AVERAGE(O2376:O2395),0)</f>
        <v>0</v>
      </c>
      <c r="S2379" s="10">
        <f>IF(A2379=A2380,(N2379-N2380)/N2380,0)</f>
        <v>7.6923076923076983E-2</v>
      </c>
      <c r="T2379" s="10">
        <f>IF(L2379&gt;2005,(((N2379-N2399)/N2399)+1)^(1/5)-1,0)</f>
        <v>0</v>
      </c>
      <c r="U2379" s="10">
        <f t="shared" si="78"/>
        <v>0</v>
      </c>
      <c r="V2379" s="26">
        <f t="shared" si="79"/>
        <v>0</v>
      </c>
      <c r="W2379" s="3">
        <f>IF(A2379=A2380,N2379-N2380,0)</f>
        <v>1.0000000000000009E-2</v>
      </c>
      <c r="X2379" s="10">
        <f>IF(A2379=A2380,(N2379-N2380)/N2380,0)</f>
        <v>7.6923076923076983E-2</v>
      </c>
    </row>
    <row r="2380" spans="1:24" ht="16.5" customHeight="1">
      <c r="A2380" s="3" t="s">
        <v>49</v>
      </c>
      <c r="B2380" s="3">
        <f t="shared" si="72"/>
        <v>2001</v>
      </c>
      <c r="C2380" s="3">
        <f t="shared" si="73"/>
        <v>1</v>
      </c>
      <c r="D2380" s="20" t="str">
        <f t="shared" si="74"/>
        <v>GD20011</v>
      </c>
      <c r="E2380" s="2">
        <v>36908</v>
      </c>
      <c r="F2380" s="3">
        <v>0.26</v>
      </c>
      <c r="G2380" s="2">
        <v>36931</v>
      </c>
      <c r="H2380" s="3">
        <v>1.52E-2</v>
      </c>
      <c r="I2380" s="3">
        <v>0</v>
      </c>
      <c r="J2380" s="3">
        <v>0</v>
      </c>
      <c r="K2380" s="3">
        <f t="shared" si="75"/>
        <v>0</v>
      </c>
      <c r="L2380" s="3">
        <f t="shared" si="76"/>
        <v>2001</v>
      </c>
      <c r="M2380" s="20" t="str">
        <f>A2380&amp;L2380</f>
        <v>GD2001</v>
      </c>
      <c r="N2380" s="3">
        <f>F2380/2</f>
        <v>0.13</v>
      </c>
      <c r="O2380" s="9">
        <f>H2380</f>
        <v>1.52E-2</v>
      </c>
      <c r="P2380" s="10">
        <f t="shared" si="77"/>
        <v>0</v>
      </c>
      <c r="Q2380" s="10">
        <f>IF(K2380=0,IF(A2377=A2380,AVERAGE(O2377:O2380),"x"),0)</f>
        <v>1.4625000000000001E-2</v>
      </c>
      <c r="R2380" s="9">
        <f>IF(L2380&gt;2005,AVERAGE(O2377:O2396),0)</f>
        <v>0</v>
      </c>
      <c r="S2380" s="10">
        <f>IF(A2380=A2381,(N2380-N2381)/N2381,0)</f>
        <v>0</v>
      </c>
      <c r="T2380" s="10">
        <f>IF(L2380&gt;2005,(((N2380-N2400)/N2400)+1)^(1/5)-1,0)</f>
        <v>0</v>
      </c>
      <c r="U2380" s="10">
        <f t="shared" si="78"/>
        <v>0</v>
      </c>
      <c r="V2380" s="26">
        <f t="shared" si="79"/>
        <v>0</v>
      </c>
      <c r="W2380" s="3">
        <f>IF(A2380=A2381,N2380-N2381,0)</f>
        <v>0</v>
      </c>
      <c r="X2380" s="10">
        <f>IF(A2380=A2381,(N2380-N2381)/N2381,0)</f>
        <v>0</v>
      </c>
    </row>
    <row r="2381" spans="1:24" ht="16.5" customHeight="1">
      <c r="A2381" s="3" t="s">
        <v>49</v>
      </c>
      <c r="B2381" s="3">
        <f t="shared" si="72"/>
        <v>2000</v>
      </c>
      <c r="C2381" s="3">
        <f t="shared" si="73"/>
        <v>10</v>
      </c>
      <c r="D2381" s="20" t="str">
        <f t="shared" si="74"/>
        <v>GD200010</v>
      </c>
      <c r="E2381" s="2">
        <v>36803</v>
      </c>
      <c r="F2381" s="3">
        <v>0.26</v>
      </c>
      <c r="G2381" s="2">
        <v>36840</v>
      </c>
      <c r="H2381" s="3">
        <v>1.6299999999999999E-2</v>
      </c>
      <c r="I2381" s="3">
        <v>0</v>
      </c>
      <c r="J2381" s="3">
        <v>0</v>
      </c>
      <c r="K2381" s="3">
        <f t="shared" si="75"/>
        <v>2000</v>
      </c>
      <c r="L2381" s="3">
        <f t="shared" si="76"/>
        <v>0</v>
      </c>
      <c r="M2381" s="20" t="str">
        <f>A2381&amp;L2381</f>
        <v>GD0</v>
      </c>
      <c r="N2381" s="3">
        <f>F2381/2</f>
        <v>0.13</v>
      </c>
      <c r="O2381" s="9">
        <f>H2381</f>
        <v>1.6299999999999999E-2</v>
      </c>
      <c r="P2381" s="10">
        <f t="shared" si="77"/>
        <v>0</v>
      </c>
      <c r="Q2381" s="10">
        <f>IF(K2381=0,IF(A2378=A2381,AVERAGE(O2378:O2381),"x"),0)</f>
        <v>0</v>
      </c>
      <c r="R2381" s="9">
        <f>IF(L2381&gt;2005,AVERAGE(O2378:O2397),0)</f>
        <v>0</v>
      </c>
      <c r="S2381" s="10">
        <f>IF(A2381=A2382,(N2381-N2382)/N2382,0)</f>
        <v>0</v>
      </c>
      <c r="T2381" s="10">
        <f>IF(L2381&gt;2005,(((N2381-N2401)/N2401)+1)^(1/5)-1,0)</f>
        <v>0</v>
      </c>
      <c r="U2381" s="10">
        <f t="shared" si="78"/>
        <v>0</v>
      </c>
      <c r="V2381" s="26">
        <f t="shared" si="79"/>
        <v>0</v>
      </c>
      <c r="W2381" s="3">
        <f>IF(A2381=A2382,N2381-N2382,0)</f>
        <v>0</v>
      </c>
      <c r="X2381" s="10">
        <f>IF(A2381=A2382,(N2381-N2382)/N2382,0)</f>
        <v>0</v>
      </c>
    </row>
    <row r="2382" spans="1:24" ht="16.5" customHeight="1">
      <c r="A2382" s="3" t="s">
        <v>49</v>
      </c>
      <c r="B2382" s="3">
        <f t="shared" si="72"/>
        <v>2000</v>
      </c>
      <c r="C2382" s="3">
        <f t="shared" si="73"/>
        <v>7</v>
      </c>
      <c r="D2382" s="20" t="str">
        <f t="shared" si="74"/>
        <v>GD20007</v>
      </c>
      <c r="E2382" s="2">
        <v>36719</v>
      </c>
      <c r="F2382" s="3">
        <v>0.26</v>
      </c>
      <c r="G2382" s="2">
        <v>36749</v>
      </c>
      <c r="H2382" s="3">
        <v>1.8800000000000001E-2</v>
      </c>
      <c r="I2382" s="3">
        <v>0</v>
      </c>
      <c r="J2382" s="3">
        <v>0</v>
      </c>
      <c r="K2382" s="3">
        <f t="shared" si="75"/>
        <v>2000</v>
      </c>
      <c r="L2382" s="3">
        <f t="shared" si="76"/>
        <v>0</v>
      </c>
      <c r="M2382" s="20" t="str">
        <f>A2382&amp;L2382</f>
        <v>GD0</v>
      </c>
      <c r="N2382" s="3">
        <f>F2382/2</f>
        <v>0.13</v>
      </c>
      <c r="O2382" s="9">
        <f>H2382</f>
        <v>1.8800000000000001E-2</v>
      </c>
      <c r="P2382" s="10">
        <f t="shared" si="77"/>
        <v>0</v>
      </c>
      <c r="Q2382" s="10">
        <f>IF(K2382=0,IF(A2379=A2382,AVERAGE(O2379:O2382),"x"),0)</f>
        <v>0</v>
      </c>
      <c r="R2382" s="9">
        <f>IF(L2382&gt;2005,AVERAGE(O2379:O2398),0)</f>
        <v>0</v>
      </c>
      <c r="S2382" s="10">
        <f>IF(A2382=A2383,(N2382-N2383)/N2383,0)</f>
        <v>0</v>
      </c>
      <c r="T2382" s="10">
        <f>IF(L2382&gt;2005,(((N2382-N2402)/N2402)+1)^(1/5)-1,0)</f>
        <v>0</v>
      </c>
      <c r="U2382" s="10">
        <f t="shared" si="78"/>
        <v>0</v>
      </c>
      <c r="V2382" s="26">
        <f t="shared" si="79"/>
        <v>0</v>
      </c>
      <c r="W2382" s="3">
        <f>IF(A2382=A2383,N2382-N2383,0)</f>
        <v>0</v>
      </c>
      <c r="X2382" s="10">
        <f>IF(A2382=A2383,(N2382-N2383)/N2383,0)</f>
        <v>0</v>
      </c>
    </row>
    <row r="2383" spans="1:24" ht="16.5" customHeight="1">
      <c r="A2383" s="3" t="s">
        <v>49</v>
      </c>
      <c r="B2383" s="3">
        <f t="shared" si="72"/>
        <v>2000</v>
      </c>
      <c r="C2383" s="3">
        <f t="shared" si="73"/>
        <v>4</v>
      </c>
      <c r="D2383" s="20" t="str">
        <f t="shared" si="74"/>
        <v>GD20004</v>
      </c>
      <c r="E2383" s="2">
        <v>36621</v>
      </c>
      <c r="F2383" s="3">
        <v>0.26</v>
      </c>
      <c r="G2383" s="2">
        <v>36651</v>
      </c>
      <c r="H2383" s="3">
        <v>1.89E-2</v>
      </c>
      <c r="I2383" s="3">
        <v>8.3333332999999996E-2</v>
      </c>
      <c r="J2383" s="3">
        <v>0.02</v>
      </c>
      <c r="K2383" s="3">
        <f t="shared" si="75"/>
        <v>2000</v>
      </c>
      <c r="L2383" s="3">
        <f t="shared" si="76"/>
        <v>0</v>
      </c>
      <c r="M2383" s="20" t="str">
        <f>A2383&amp;L2383</f>
        <v>GD0</v>
      </c>
      <c r="N2383" s="3">
        <f>F2383/2</f>
        <v>0.13</v>
      </c>
      <c r="O2383" s="9">
        <f>H2383</f>
        <v>1.89E-2</v>
      </c>
      <c r="P2383" s="10">
        <f t="shared" si="77"/>
        <v>1.755E-2</v>
      </c>
      <c r="Q2383" s="10">
        <f>IF(K2383=0,IF(A2380=A2383,AVERAGE(O2380:O2383),"x"),0)</f>
        <v>0</v>
      </c>
      <c r="R2383" s="9">
        <f>IF(L2383&gt;2005,AVERAGE(O2380:O2399),0)</f>
        <v>0</v>
      </c>
      <c r="S2383" s="10">
        <f>IF(A2383=A2384,(N2383-N2384)/N2384,0)</f>
        <v>8.3333333333333412E-2</v>
      </c>
      <c r="T2383" s="10">
        <f>IF(L2383&gt;2005,(((N2383-N2403)/N2403)+1)^(1/5)-1,0)</f>
        <v>0</v>
      </c>
      <c r="U2383" s="10">
        <f t="shared" si="78"/>
        <v>0</v>
      </c>
      <c r="V2383" s="26">
        <f t="shared" si="79"/>
        <v>0</v>
      </c>
      <c r="W2383" s="3">
        <f>IF(A2383=A2384,N2383-N2384,0)</f>
        <v>1.0000000000000009E-2</v>
      </c>
      <c r="X2383" s="10">
        <f>IF(A2383=A2384,(N2383-N2384)/N2384,0)</f>
        <v>8.3333333333333412E-2</v>
      </c>
    </row>
    <row r="2384" spans="1:24" ht="16.5" customHeight="1">
      <c r="A2384" s="14" t="s">
        <v>49</v>
      </c>
      <c r="B2384" s="3">
        <f t="shared" si="72"/>
        <v>2000</v>
      </c>
      <c r="C2384" s="3">
        <f t="shared" si="73"/>
        <v>1</v>
      </c>
      <c r="D2384" s="20" t="str">
        <f t="shared" si="74"/>
        <v>GD20001</v>
      </c>
      <c r="E2384" s="15">
        <v>36537</v>
      </c>
      <c r="F2384" s="14">
        <v>0.24</v>
      </c>
      <c r="G2384" s="15">
        <v>36567</v>
      </c>
      <c r="H2384" s="14">
        <v>1.7500000000000002E-2</v>
      </c>
      <c r="I2384" s="14">
        <v>0</v>
      </c>
      <c r="J2384" s="14">
        <v>0</v>
      </c>
      <c r="K2384" s="3">
        <f t="shared" si="75"/>
        <v>0</v>
      </c>
      <c r="L2384" s="3">
        <f t="shared" si="76"/>
        <v>2000</v>
      </c>
      <c r="M2384" s="20" t="str">
        <f>A2384&amp;L2384</f>
        <v>GD2000</v>
      </c>
      <c r="N2384" s="14">
        <f>F2384/2</f>
        <v>0.12</v>
      </c>
      <c r="O2384" s="9">
        <f>H2384</f>
        <v>1.7500000000000002E-2</v>
      </c>
      <c r="P2384" s="10">
        <f t="shared" si="77"/>
        <v>0</v>
      </c>
      <c r="Q2384" s="10">
        <f>IF(K2384=0,IF(A2381=A2384,AVERAGE(O2381:O2384),"x"),0)</f>
        <v>1.7875000000000002E-2</v>
      </c>
      <c r="R2384" s="9">
        <f>IF(L2384&gt;2005,AVERAGE(O2381:O2400),0)</f>
        <v>0</v>
      </c>
      <c r="S2384" s="10">
        <f>IF(A2384=A2385,(N2384-N2385)/N2385,0)</f>
        <v>0</v>
      </c>
      <c r="T2384" s="10">
        <f>IF(L2384&gt;2005,(((N2384-N2404)/N2404)+1)^(1/5)-1,0)</f>
        <v>0</v>
      </c>
      <c r="U2384" s="10">
        <f t="shared" si="78"/>
        <v>0</v>
      </c>
      <c r="V2384" s="26">
        <f t="shared" si="79"/>
        <v>0</v>
      </c>
      <c r="W2384" s="3">
        <f>IF(A2384=A2385,N2384-N2385,0)</f>
        <v>0</v>
      </c>
      <c r="X2384" s="10">
        <f>IF(A2384=A2385,(N2384-N2385)/N2385,0)</f>
        <v>0</v>
      </c>
    </row>
    <row r="2385" spans="1:24" ht="16.5" customHeight="1">
      <c r="A2385" s="3" t="s">
        <v>50</v>
      </c>
      <c r="B2385" s="3">
        <f t="shared" si="72"/>
        <v>2022</v>
      </c>
      <c r="C2385" s="3">
        <f t="shared" si="73"/>
        <v>11</v>
      </c>
      <c r="D2385" s="20" t="str">
        <f t="shared" si="74"/>
        <v>TNC202211</v>
      </c>
      <c r="E2385" s="2">
        <v>44894</v>
      </c>
      <c r="F2385" s="3">
        <v>0.26500000000000001</v>
      </c>
      <c r="G2385" s="2">
        <v>44910</v>
      </c>
      <c r="H2385" s="3">
        <v>1.78E-2</v>
      </c>
      <c r="I2385" s="3">
        <v>0.06</v>
      </c>
      <c r="J2385" s="3">
        <v>1.4999999999999999E-2</v>
      </c>
      <c r="K2385" s="3">
        <f t="shared" si="75"/>
        <v>2022</v>
      </c>
      <c r="L2385" s="3">
        <f t="shared" si="76"/>
        <v>0</v>
      </c>
      <c r="M2385" s="20" t="str">
        <f>A2385&amp;L2385</f>
        <v>TNC0</v>
      </c>
      <c r="N2385" s="3">
        <f>F2385</f>
        <v>0.26500000000000001</v>
      </c>
      <c r="O2385" s="9">
        <f>H2385</f>
        <v>1.78E-2</v>
      </c>
      <c r="P2385" s="10">
        <f t="shared" si="77"/>
        <v>1.5724999999999999E-2</v>
      </c>
      <c r="Q2385" s="10">
        <f>IF(K2385=0,IF(A2382=A2385,AVERAGE(O2382:O2385),"x"),0)</f>
        <v>0</v>
      </c>
      <c r="R2385" s="9">
        <f>IF(L2385&gt;2005,AVERAGE(O2382:O2401),0)</f>
        <v>0</v>
      </c>
      <c r="S2385" s="10">
        <f>IF(A2385=A2386,(N2385-N2386)/N2386,0)</f>
        <v>6.0000000000000053E-2</v>
      </c>
      <c r="T2385" s="10">
        <f>IF(L2385&gt;2005,(((N2385-N2405)/N2405)+1)^(1/5)-1,0)</f>
        <v>0</v>
      </c>
      <c r="U2385" s="10">
        <f t="shared" si="78"/>
        <v>0</v>
      </c>
      <c r="V2385" s="26">
        <f t="shared" si="79"/>
        <v>0</v>
      </c>
      <c r="W2385" s="3">
        <f>IF(A2385=A2386,N2385-N2386,0)</f>
        <v>1.5000000000000013E-2</v>
      </c>
      <c r="X2385" s="10">
        <f>IF(A2385=A2386,(N2385-N2386)/N2386,0)</f>
        <v>6.0000000000000053E-2</v>
      </c>
    </row>
    <row r="2386" spans="1:24" ht="16.5" customHeight="1">
      <c r="A2386" s="3" t="s">
        <v>50</v>
      </c>
      <c r="B2386" s="3">
        <f t="shared" si="72"/>
        <v>2022</v>
      </c>
      <c r="C2386" s="3">
        <f t="shared" si="73"/>
        <v>8</v>
      </c>
      <c r="D2386" s="20" t="str">
        <f t="shared" si="74"/>
        <v>TNC20228</v>
      </c>
      <c r="E2386" s="2">
        <v>44803</v>
      </c>
      <c r="F2386" s="3">
        <v>0.25</v>
      </c>
      <c r="G2386" s="2">
        <v>44819</v>
      </c>
      <c r="H2386" s="3">
        <v>1.6E-2</v>
      </c>
      <c r="I2386" s="3">
        <v>0</v>
      </c>
      <c r="J2386" s="3">
        <v>0</v>
      </c>
      <c r="K2386" s="3">
        <f t="shared" si="75"/>
        <v>2022</v>
      </c>
      <c r="L2386" s="3">
        <f t="shared" si="76"/>
        <v>0</v>
      </c>
      <c r="M2386" s="20" t="str">
        <f>A2386&amp;L2386</f>
        <v>TNC0</v>
      </c>
      <c r="N2386" s="3">
        <f>F2386</f>
        <v>0.25</v>
      </c>
      <c r="O2386" s="9">
        <f>H2386</f>
        <v>1.6E-2</v>
      </c>
      <c r="P2386" s="10">
        <f t="shared" si="77"/>
        <v>0</v>
      </c>
      <c r="Q2386" s="10">
        <f>IF(K2386=0,IF(A2383=A2386,AVERAGE(O2383:O2386),"x"),0)</f>
        <v>0</v>
      </c>
      <c r="R2386" s="9">
        <f>IF(L2386&gt;2005,AVERAGE(O2383:O2402),0)</f>
        <v>0</v>
      </c>
      <c r="S2386" s="10">
        <f>IF(A2386=A2387,(N2386-N2387)/N2387,0)</f>
        <v>0</v>
      </c>
      <c r="T2386" s="10">
        <f>IF(L2386&gt;2005,(((N2386-N2406)/N2406)+1)^(1/5)-1,0)</f>
        <v>0</v>
      </c>
      <c r="U2386" s="10">
        <f t="shared" si="78"/>
        <v>0</v>
      </c>
      <c r="V2386" s="26">
        <f t="shared" si="79"/>
        <v>0</v>
      </c>
      <c r="W2386" s="3">
        <f>IF(A2386=A2387,N2386-N2387,0)</f>
        <v>0</v>
      </c>
      <c r="X2386" s="10">
        <f>IF(A2386=A2387,(N2386-N2387)/N2387,0)</f>
        <v>0</v>
      </c>
    </row>
    <row r="2387" spans="1:24" ht="16.5" customHeight="1">
      <c r="A2387" s="3" t="s">
        <v>50</v>
      </c>
      <c r="B2387" s="3">
        <f t="shared" si="72"/>
        <v>2022</v>
      </c>
      <c r="C2387" s="3">
        <f t="shared" si="73"/>
        <v>5</v>
      </c>
      <c r="D2387" s="20" t="str">
        <f t="shared" si="74"/>
        <v>TNC20225</v>
      </c>
      <c r="E2387" s="2">
        <v>44708</v>
      </c>
      <c r="F2387" s="3">
        <v>0.25</v>
      </c>
      <c r="G2387" s="2">
        <v>44727</v>
      </c>
      <c r="H2387" s="3">
        <v>1.6199999999999999E-2</v>
      </c>
      <c r="I2387" s="3">
        <v>0</v>
      </c>
      <c r="J2387" s="3">
        <v>0</v>
      </c>
      <c r="K2387" s="3">
        <f t="shared" si="75"/>
        <v>2022</v>
      </c>
      <c r="L2387" s="3">
        <f t="shared" si="76"/>
        <v>0</v>
      </c>
      <c r="M2387" s="20" t="str">
        <f>A2387&amp;L2387</f>
        <v>TNC0</v>
      </c>
      <c r="N2387" s="3">
        <f>F2387</f>
        <v>0.25</v>
      </c>
      <c r="O2387" s="9">
        <f>H2387</f>
        <v>1.6199999999999999E-2</v>
      </c>
      <c r="P2387" s="10">
        <f t="shared" si="77"/>
        <v>0</v>
      </c>
      <c r="Q2387" s="10">
        <f>IF(K2387=0,IF(A2384=A2387,AVERAGE(O2384:O2387),"x"),0)</f>
        <v>0</v>
      </c>
      <c r="R2387" s="9">
        <f>IF(L2387&gt;2005,AVERAGE(O2384:O2403),0)</f>
        <v>0</v>
      </c>
      <c r="S2387" s="10">
        <f>IF(A2387=A2388,(N2387-N2388)/N2388,0)</f>
        <v>0</v>
      </c>
      <c r="T2387" s="10">
        <f>IF(L2387&gt;2005,(((N2387-N2407)/N2407)+1)^(1/5)-1,0)</f>
        <v>0</v>
      </c>
      <c r="U2387" s="10">
        <f t="shared" si="78"/>
        <v>0</v>
      </c>
      <c r="V2387" s="26">
        <f t="shared" si="79"/>
        <v>0</v>
      </c>
      <c r="W2387" s="3">
        <f>IF(A2387=A2388,N2387-N2388,0)</f>
        <v>0</v>
      </c>
      <c r="X2387" s="10">
        <f>IF(A2387=A2388,(N2387-N2388)/N2388,0)</f>
        <v>0</v>
      </c>
    </row>
    <row r="2388" spans="1:24" ht="16.5" customHeight="1">
      <c r="A2388" s="3" t="s">
        <v>50</v>
      </c>
      <c r="B2388" s="3">
        <f t="shared" si="72"/>
        <v>2022</v>
      </c>
      <c r="C2388" s="3">
        <f t="shared" si="73"/>
        <v>3</v>
      </c>
      <c r="D2388" s="20" t="str">
        <f t="shared" si="74"/>
        <v>TNC20223</v>
      </c>
      <c r="E2388" s="2">
        <v>44622</v>
      </c>
      <c r="F2388" s="3">
        <v>0.25</v>
      </c>
      <c r="G2388" s="2">
        <v>44635</v>
      </c>
      <c r="H2388" s="3">
        <v>1.29E-2</v>
      </c>
      <c r="I2388" s="3">
        <v>0</v>
      </c>
      <c r="J2388" s="3">
        <v>0</v>
      </c>
      <c r="K2388" s="3">
        <f t="shared" si="75"/>
        <v>0</v>
      </c>
      <c r="L2388" s="3">
        <f t="shared" si="76"/>
        <v>2022</v>
      </c>
      <c r="M2388" s="20" t="str">
        <f>A2388&amp;L2388</f>
        <v>TNC2022</v>
      </c>
      <c r="N2388" s="3">
        <f>F2388</f>
        <v>0.25</v>
      </c>
      <c r="O2388" s="9">
        <f>H2388</f>
        <v>1.29E-2</v>
      </c>
      <c r="P2388" s="10">
        <f t="shared" si="77"/>
        <v>0</v>
      </c>
      <c r="Q2388" s="10">
        <f>IF(K2388=0,IF(A2385=A2388,AVERAGE(O2385:O2388),"x"),0)</f>
        <v>1.5724999999999999E-2</v>
      </c>
      <c r="R2388" s="9">
        <f>IF(L2388&gt;2005,AVERAGE(O2385:O2404),0)</f>
        <v>1.3205E-2</v>
      </c>
      <c r="S2388" s="10">
        <f>IF(A2388=A2389,(N2388-N2389)/N2389,0)</f>
        <v>0</v>
      </c>
      <c r="T2388" s="10">
        <f>IF(L2388&gt;2005,(((N2388-N2408)/N2408)+1)^(1/5)-1,0)</f>
        <v>3.5485788455905221E-2</v>
      </c>
      <c r="U2388" s="10">
        <f t="shared" si="78"/>
        <v>4.8690788455905222E-2</v>
      </c>
      <c r="V2388" s="26">
        <f t="shared" si="79"/>
        <v>4.814262953553091</v>
      </c>
      <c r="W2388" s="3">
        <f>IF(A2388=A2389,N2388-N2389,0)</f>
        <v>0</v>
      </c>
      <c r="X2388" s="10">
        <f>IF(A2388=A2389,(N2388-N2389)/N2389,0)</f>
        <v>0</v>
      </c>
    </row>
    <row r="2389" spans="1:24" ht="16.5" customHeight="1">
      <c r="A2389" s="3" t="s">
        <v>50</v>
      </c>
      <c r="B2389" s="3">
        <f t="shared" si="72"/>
        <v>2021</v>
      </c>
      <c r="C2389" s="3">
        <f t="shared" si="73"/>
        <v>11</v>
      </c>
      <c r="D2389" s="20" t="str">
        <f t="shared" si="74"/>
        <v>TNC202111</v>
      </c>
      <c r="E2389" s="2">
        <v>44529</v>
      </c>
      <c r="F2389" s="3">
        <v>0.25</v>
      </c>
      <c r="G2389" s="2">
        <v>44545</v>
      </c>
      <c r="H2389" s="3">
        <v>1.24E-2</v>
      </c>
      <c r="I2389" s="3">
        <v>8.6956521999999994E-2</v>
      </c>
      <c r="J2389" s="3">
        <v>0.02</v>
      </c>
      <c r="K2389" s="3">
        <f t="shared" si="75"/>
        <v>2021</v>
      </c>
      <c r="L2389" s="3">
        <f t="shared" si="76"/>
        <v>0</v>
      </c>
      <c r="M2389" s="20" t="str">
        <f>A2389&amp;L2389</f>
        <v>TNC0</v>
      </c>
      <c r="N2389" s="3">
        <f>F2389</f>
        <v>0.25</v>
      </c>
      <c r="O2389" s="9">
        <f>H2389</f>
        <v>1.24E-2</v>
      </c>
      <c r="P2389" s="10">
        <f t="shared" si="77"/>
        <v>1.1900000000000001E-2</v>
      </c>
      <c r="Q2389" s="10">
        <f>IF(K2389=0,IF(A2386=A2389,AVERAGE(O2386:O2389),"x"),0)</f>
        <v>0</v>
      </c>
      <c r="R2389" s="9">
        <f>IF(L2389&gt;2005,AVERAGE(O2386:O2405),0)</f>
        <v>0</v>
      </c>
      <c r="S2389" s="10">
        <f>IF(A2389=A2390,(N2389-N2390)/N2390,0)</f>
        <v>8.6956521739130391E-2</v>
      </c>
      <c r="T2389" s="10">
        <f>IF(L2389&gt;2005,(((N2389-N2409)/N2409)+1)^(1/5)-1,0)</f>
        <v>0</v>
      </c>
      <c r="U2389" s="10">
        <f t="shared" si="78"/>
        <v>0</v>
      </c>
      <c r="V2389" s="26">
        <f t="shared" si="79"/>
        <v>0</v>
      </c>
      <c r="W2389" s="3">
        <f>IF(A2389=A2390,N2389-N2390,0)</f>
        <v>1.999999999999999E-2</v>
      </c>
      <c r="X2389" s="10">
        <f>IF(A2389=A2390,(N2389-N2390)/N2390,0)</f>
        <v>8.6956521739130391E-2</v>
      </c>
    </row>
    <row r="2390" spans="1:24" ht="16.5" customHeight="1">
      <c r="A2390" s="3" t="s">
        <v>50</v>
      </c>
      <c r="B2390" s="3">
        <f t="shared" si="72"/>
        <v>2021</v>
      </c>
      <c r="C2390" s="3">
        <f t="shared" si="73"/>
        <v>8</v>
      </c>
      <c r="D2390" s="20" t="str">
        <f t="shared" si="74"/>
        <v>TNC20218</v>
      </c>
      <c r="E2390" s="2">
        <v>44438</v>
      </c>
      <c r="F2390" s="3">
        <v>0.23</v>
      </c>
      <c r="G2390" s="2">
        <v>44454</v>
      </c>
      <c r="H2390" s="3">
        <v>1.24E-2</v>
      </c>
      <c r="I2390" s="3">
        <v>0</v>
      </c>
      <c r="J2390" s="3">
        <v>0</v>
      </c>
      <c r="K2390" s="3">
        <f t="shared" si="75"/>
        <v>2021</v>
      </c>
      <c r="L2390" s="3">
        <f t="shared" si="76"/>
        <v>0</v>
      </c>
      <c r="M2390" s="20" t="str">
        <f>A2390&amp;L2390</f>
        <v>TNC0</v>
      </c>
      <c r="N2390" s="3">
        <f>F2390</f>
        <v>0.23</v>
      </c>
      <c r="O2390" s="9">
        <f>H2390</f>
        <v>1.24E-2</v>
      </c>
      <c r="P2390" s="10">
        <f t="shared" si="77"/>
        <v>0</v>
      </c>
      <c r="Q2390" s="10">
        <f>IF(K2390=0,IF(A2387=A2390,AVERAGE(O2387:O2390),"x"),0)</f>
        <v>0</v>
      </c>
      <c r="R2390" s="9">
        <f>IF(L2390&gt;2005,AVERAGE(O2387:O2406),0)</f>
        <v>0</v>
      </c>
      <c r="S2390" s="10">
        <f>IF(A2390=A2391,(N2390-N2391)/N2391,0)</f>
        <v>0</v>
      </c>
      <c r="T2390" s="10">
        <f>IF(L2390&gt;2005,(((N2390-N2410)/N2410)+1)^(1/5)-1,0)</f>
        <v>0</v>
      </c>
      <c r="U2390" s="10">
        <f t="shared" si="78"/>
        <v>0</v>
      </c>
      <c r="V2390" s="26">
        <f t="shared" si="79"/>
        <v>0</v>
      </c>
      <c r="W2390" s="3">
        <f>IF(A2390=A2391,N2390-N2391,0)</f>
        <v>0</v>
      </c>
      <c r="X2390" s="10">
        <f>IF(A2390=A2391,(N2390-N2391)/N2391,0)</f>
        <v>0</v>
      </c>
    </row>
    <row r="2391" spans="1:24" ht="16.5" customHeight="1">
      <c r="A2391" s="3" t="s">
        <v>50</v>
      </c>
      <c r="B2391" s="3">
        <f t="shared" si="72"/>
        <v>2021</v>
      </c>
      <c r="C2391" s="3">
        <f t="shared" si="73"/>
        <v>5</v>
      </c>
      <c r="D2391" s="20" t="str">
        <f t="shared" si="74"/>
        <v>TNC20215</v>
      </c>
      <c r="E2391" s="2">
        <v>44343</v>
      </c>
      <c r="F2391" s="3">
        <v>0.23</v>
      </c>
      <c r="G2391" s="2">
        <v>44362</v>
      </c>
      <c r="H2391" s="3">
        <v>1.11E-2</v>
      </c>
      <c r="I2391" s="3">
        <v>0</v>
      </c>
      <c r="J2391" s="3">
        <v>0</v>
      </c>
      <c r="K2391" s="3">
        <f t="shared" si="75"/>
        <v>2021</v>
      </c>
      <c r="L2391" s="3">
        <f t="shared" si="76"/>
        <v>0</v>
      </c>
      <c r="M2391" s="20" t="str">
        <f>A2391&amp;L2391</f>
        <v>TNC0</v>
      </c>
      <c r="N2391" s="3">
        <f>F2391</f>
        <v>0.23</v>
      </c>
      <c r="O2391" s="9">
        <f>H2391</f>
        <v>1.11E-2</v>
      </c>
      <c r="P2391" s="10">
        <f t="shared" si="77"/>
        <v>0</v>
      </c>
      <c r="Q2391" s="10">
        <f>IF(K2391=0,IF(A2388=A2391,AVERAGE(O2388:O2391),"x"),0)</f>
        <v>0</v>
      </c>
      <c r="R2391" s="9">
        <f>IF(L2391&gt;2005,AVERAGE(O2388:O2407),0)</f>
        <v>0</v>
      </c>
      <c r="S2391" s="10">
        <f>IF(A2391=A2392,(N2391-N2392)/N2392,0)</f>
        <v>0</v>
      </c>
      <c r="T2391" s="10">
        <f>IF(L2391&gt;2005,(((N2391-N2411)/N2411)+1)^(1/5)-1,0)</f>
        <v>0</v>
      </c>
      <c r="U2391" s="10">
        <f t="shared" si="78"/>
        <v>0</v>
      </c>
      <c r="V2391" s="26">
        <f t="shared" si="79"/>
        <v>0</v>
      </c>
      <c r="W2391" s="3">
        <f>IF(A2391=A2392,N2391-N2392,0)</f>
        <v>0</v>
      </c>
      <c r="X2391" s="10">
        <f>IF(A2391=A2392,(N2391-N2392)/N2392,0)</f>
        <v>0</v>
      </c>
    </row>
    <row r="2392" spans="1:24" ht="16.5" customHeight="1">
      <c r="A2392" s="3" t="s">
        <v>50</v>
      </c>
      <c r="B2392" s="3">
        <f t="shared" si="72"/>
        <v>2021</v>
      </c>
      <c r="C2392" s="3">
        <f t="shared" si="73"/>
        <v>2</v>
      </c>
      <c r="D2392" s="20" t="str">
        <f t="shared" si="74"/>
        <v>TNC20212</v>
      </c>
      <c r="E2392" s="2">
        <v>44253</v>
      </c>
      <c r="F2392" s="3">
        <v>0.23</v>
      </c>
      <c r="G2392" s="2">
        <v>44270</v>
      </c>
      <c r="H2392" s="3">
        <v>1.17E-2</v>
      </c>
      <c r="I2392" s="3">
        <v>0</v>
      </c>
      <c r="J2392" s="3">
        <v>0</v>
      </c>
      <c r="K2392" s="3">
        <f t="shared" si="75"/>
        <v>0</v>
      </c>
      <c r="L2392" s="3">
        <f t="shared" si="76"/>
        <v>2021</v>
      </c>
      <c r="M2392" s="20" t="str">
        <f>A2392&amp;L2392</f>
        <v>TNC2021</v>
      </c>
      <c r="N2392" s="3">
        <f>F2392</f>
        <v>0.23</v>
      </c>
      <c r="O2392" s="9">
        <f>H2392</f>
        <v>1.17E-2</v>
      </c>
      <c r="P2392" s="10">
        <f t="shared" si="77"/>
        <v>0</v>
      </c>
      <c r="Q2392" s="10">
        <f>IF(K2392=0,IF(A2389=A2392,AVERAGE(O2389:O2392),"x"),0)</f>
        <v>1.1900000000000001E-2</v>
      </c>
      <c r="R2392" s="9">
        <f>IF(L2392&gt;2005,AVERAGE(O2389:O2408),0)</f>
        <v>1.2560000000000002E-2</v>
      </c>
      <c r="S2392" s="10">
        <f>IF(A2392=A2393,(N2392-N2393)/N2393,0)</f>
        <v>0</v>
      </c>
      <c r="T2392" s="10">
        <f>IF(L2392&gt;2005,(((N2392-N2412)/N2412)+1)^(1/5)-1,0)</f>
        <v>2.8346722100213606E-2</v>
      </c>
      <c r="U2392" s="10">
        <f t="shared" si="78"/>
        <v>4.0906722100213608E-2</v>
      </c>
      <c r="V2392" s="26">
        <f t="shared" si="79"/>
        <v>4.8218896908073061</v>
      </c>
      <c r="W2392" s="3">
        <f>IF(A2392=A2393,N2392-N2393,0)</f>
        <v>0</v>
      </c>
      <c r="X2392" s="10">
        <f>IF(A2392=A2393,(N2392-N2393)/N2393,0)</f>
        <v>0</v>
      </c>
    </row>
    <row r="2393" spans="1:24" ht="16.5" customHeight="1">
      <c r="A2393" s="3" t="s">
        <v>50</v>
      </c>
      <c r="B2393" s="3">
        <f t="shared" si="72"/>
        <v>2020</v>
      </c>
      <c r="C2393" s="3">
        <f t="shared" si="73"/>
        <v>11</v>
      </c>
      <c r="D2393" s="20" t="str">
        <f t="shared" si="74"/>
        <v>TNC202011</v>
      </c>
      <c r="E2393" s="2">
        <v>44162</v>
      </c>
      <c r="F2393" s="3">
        <v>0.23</v>
      </c>
      <c r="G2393" s="2">
        <v>44180</v>
      </c>
      <c r="H2393" s="3">
        <v>1.32E-2</v>
      </c>
      <c r="I2393" s="3">
        <v>4.5454544999999999E-2</v>
      </c>
      <c r="J2393" s="3">
        <v>0.01</v>
      </c>
      <c r="K2393" s="3">
        <f t="shared" si="75"/>
        <v>2020</v>
      </c>
      <c r="L2393" s="3">
        <f t="shared" si="76"/>
        <v>0</v>
      </c>
      <c r="M2393" s="20" t="str">
        <f>A2393&amp;L2393</f>
        <v>TNC0</v>
      </c>
      <c r="N2393" s="3">
        <f>F2393</f>
        <v>0.23</v>
      </c>
      <c r="O2393" s="9">
        <f>H2393</f>
        <v>1.32E-2</v>
      </c>
      <c r="P2393" s="10">
        <f t="shared" si="77"/>
        <v>1.2775E-2</v>
      </c>
      <c r="Q2393" s="10">
        <f>IF(K2393=0,IF(A2390=A2393,AVERAGE(O2390:O2393),"x"),0)</f>
        <v>0</v>
      </c>
      <c r="R2393" s="9">
        <f>IF(L2393&gt;2005,AVERAGE(O2390:O2409),0)</f>
        <v>0</v>
      </c>
      <c r="S2393" s="10">
        <f>IF(A2393=A2394,(N2393-N2394)/N2394,0)</f>
        <v>4.5454545454545497E-2</v>
      </c>
      <c r="T2393" s="10">
        <f>IF(L2393&gt;2005,(((N2393-N2413)/N2413)+1)^(1/5)-1,0)</f>
        <v>0</v>
      </c>
      <c r="U2393" s="10">
        <f t="shared" si="78"/>
        <v>0</v>
      </c>
      <c r="V2393" s="26">
        <f t="shared" si="79"/>
        <v>0</v>
      </c>
      <c r="W2393" s="3">
        <f>IF(A2393=A2394,N2393-N2394,0)</f>
        <v>1.0000000000000009E-2</v>
      </c>
      <c r="X2393" s="10">
        <f>IF(A2393=A2394,(N2393-N2394)/N2394,0)</f>
        <v>4.5454545454545497E-2</v>
      </c>
    </row>
    <row r="2394" spans="1:24" ht="16.5" customHeight="1">
      <c r="A2394" s="3" t="s">
        <v>50</v>
      </c>
      <c r="B2394" s="3">
        <f t="shared" si="72"/>
        <v>2020</v>
      </c>
      <c r="C2394" s="3">
        <f t="shared" si="73"/>
        <v>8</v>
      </c>
      <c r="D2394" s="20" t="str">
        <f t="shared" si="74"/>
        <v>TNC20208</v>
      </c>
      <c r="E2394" s="2">
        <v>44071</v>
      </c>
      <c r="F2394" s="3">
        <v>0.22</v>
      </c>
      <c r="G2394" s="2">
        <v>44089</v>
      </c>
      <c r="H2394" s="3">
        <v>1.2800000000000001E-2</v>
      </c>
      <c r="I2394" s="3">
        <v>0</v>
      </c>
      <c r="J2394" s="3">
        <v>0</v>
      </c>
      <c r="K2394" s="3">
        <f t="shared" si="75"/>
        <v>2020</v>
      </c>
      <c r="L2394" s="3">
        <f t="shared" si="76"/>
        <v>0</v>
      </c>
      <c r="M2394" s="20" t="str">
        <f>A2394&amp;L2394</f>
        <v>TNC0</v>
      </c>
      <c r="N2394" s="3">
        <f>F2394</f>
        <v>0.22</v>
      </c>
      <c r="O2394" s="9">
        <f>H2394</f>
        <v>1.2800000000000001E-2</v>
      </c>
      <c r="P2394" s="10">
        <f t="shared" si="77"/>
        <v>0</v>
      </c>
      <c r="Q2394" s="10">
        <f>IF(K2394=0,IF(A2391=A2394,AVERAGE(O2391:O2394),"x"),0)</f>
        <v>0</v>
      </c>
      <c r="R2394" s="9">
        <f>IF(L2394&gt;2005,AVERAGE(O2391:O2410),0)</f>
        <v>0</v>
      </c>
      <c r="S2394" s="10">
        <f>IF(A2394=A2395,(N2394-N2395)/N2395,0)</f>
        <v>0</v>
      </c>
      <c r="T2394" s="10">
        <f>IF(L2394&gt;2005,(((N2394-N2414)/N2414)+1)^(1/5)-1,0)</f>
        <v>0</v>
      </c>
      <c r="U2394" s="10">
        <f t="shared" si="78"/>
        <v>0</v>
      </c>
      <c r="V2394" s="26">
        <f t="shared" si="79"/>
        <v>0</v>
      </c>
      <c r="W2394" s="3">
        <f>IF(A2394=A2395,N2394-N2395,0)</f>
        <v>0</v>
      </c>
      <c r="X2394" s="10">
        <f>IF(A2394=A2395,(N2394-N2395)/N2395,0)</f>
        <v>0</v>
      </c>
    </row>
    <row r="2395" spans="1:24" ht="16.5" customHeight="1">
      <c r="A2395" s="3" t="s">
        <v>50</v>
      </c>
      <c r="B2395" s="3">
        <f t="shared" si="72"/>
        <v>2020</v>
      </c>
      <c r="C2395" s="3">
        <f t="shared" si="73"/>
        <v>5</v>
      </c>
      <c r="D2395" s="20" t="str">
        <f t="shared" si="74"/>
        <v>TNC20205</v>
      </c>
      <c r="E2395" s="2">
        <v>43979</v>
      </c>
      <c r="F2395" s="3">
        <v>0.22</v>
      </c>
      <c r="G2395" s="2">
        <v>43997</v>
      </c>
      <c r="H2395" s="3">
        <v>1.37E-2</v>
      </c>
      <c r="I2395" s="3">
        <v>0</v>
      </c>
      <c r="J2395" s="3">
        <v>0</v>
      </c>
      <c r="K2395" s="3">
        <f t="shared" si="75"/>
        <v>2020</v>
      </c>
      <c r="L2395" s="3">
        <f t="shared" si="76"/>
        <v>0</v>
      </c>
      <c r="M2395" s="20" t="str">
        <f>A2395&amp;L2395</f>
        <v>TNC0</v>
      </c>
      <c r="N2395" s="3">
        <f>F2395</f>
        <v>0.22</v>
      </c>
      <c r="O2395" s="9">
        <f>H2395</f>
        <v>1.37E-2</v>
      </c>
      <c r="P2395" s="10">
        <f t="shared" si="77"/>
        <v>0</v>
      </c>
      <c r="Q2395" s="10">
        <f>IF(K2395=0,IF(A2392=A2395,AVERAGE(O2392:O2395),"x"),0)</f>
        <v>0</v>
      </c>
      <c r="R2395" s="9">
        <f>IF(L2395&gt;2005,AVERAGE(O2392:O2411),0)</f>
        <v>0</v>
      </c>
      <c r="S2395" s="10">
        <f>IF(A2395=A2396,(N2395-N2396)/N2396,0)</f>
        <v>0</v>
      </c>
      <c r="T2395" s="10">
        <f>IF(L2395&gt;2005,(((N2395-N2415)/N2415)+1)^(1/5)-1,0)</f>
        <v>0</v>
      </c>
      <c r="U2395" s="10">
        <f t="shared" si="78"/>
        <v>0</v>
      </c>
      <c r="V2395" s="26">
        <f t="shared" si="79"/>
        <v>0</v>
      </c>
      <c r="W2395" s="3">
        <f>IF(A2395=A2396,N2395-N2396,0)</f>
        <v>0</v>
      </c>
      <c r="X2395" s="10">
        <f>IF(A2395=A2396,(N2395-N2396)/N2396,0)</f>
        <v>0</v>
      </c>
    </row>
    <row r="2396" spans="1:24" ht="16.5" customHeight="1">
      <c r="A2396" s="3" t="s">
        <v>50</v>
      </c>
      <c r="B2396" s="3">
        <f t="shared" si="72"/>
        <v>2020</v>
      </c>
      <c r="C2396" s="3">
        <f t="shared" si="73"/>
        <v>2</v>
      </c>
      <c r="D2396" s="20" t="str">
        <f t="shared" si="74"/>
        <v>TNC20202</v>
      </c>
      <c r="E2396" s="2">
        <v>43889</v>
      </c>
      <c r="F2396" s="3">
        <v>0.22</v>
      </c>
      <c r="G2396" s="2">
        <v>43906</v>
      </c>
      <c r="H2396" s="3">
        <v>1.14E-2</v>
      </c>
      <c r="I2396" s="3">
        <v>0</v>
      </c>
      <c r="J2396" s="3">
        <v>0</v>
      </c>
      <c r="K2396" s="3">
        <f t="shared" si="75"/>
        <v>0</v>
      </c>
      <c r="L2396" s="3">
        <f t="shared" si="76"/>
        <v>2020</v>
      </c>
      <c r="M2396" s="20" t="str">
        <f>A2396&amp;L2396</f>
        <v>TNC2020</v>
      </c>
      <c r="N2396" s="3">
        <f>F2396</f>
        <v>0.22</v>
      </c>
      <c r="O2396" s="9">
        <f>H2396</f>
        <v>1.14E-2</v>
      </c>
      <c r="P2396" s="10">
        <f t="shared" si="77"/>
        <v>0</v>
      </c>
      <c r="Q2396" s="10">
        <f>IF(K2396=0,IF(A2393=A2396,AVERAGE(O2393:O2396),"x"),0)</f>
        <v>1.2775E-2</v>
      </c>
      <c r="R2396" s="9">
        <f>IF(L2396&gt;2005,AVERAGE(O2393:O2412),0)</f>
        <v>1.2839999999999999E-2</v>
      </c>
      <c r="S2396" s="10">
        <f>IF(A2396=A2397,(N2396-N2397)/N2397,0)</f>
        <v>0</v>
      </c>
      <c r="T2396" s="10">
        <f>IF(L2396&gt;2005,(((N2396-N2416)/N2416)+1)^(1/5)-1,0)</f>
        <v>1.9244876491456564E-2</v>
      </c>
      <c r="U2396" s="10">
        <f t="shared" si="78"/>
        <v>3.2084876491456561E-2</v>
      </c>
      <c r="V2396" s="26">
        <f t="shared" si="79"/>
        <v>4.8164541901309086</v>
      </c>
      <c r="W2396" s="3">
        <f>IF(A2396=A2397,N2396-N2397,0)</f>
        <v>0</v>
      </c>
      <c r="X2396" s="10">
        <f>IF(A2396=A2397,(N2396-N2397)/N2397,0)</f>
        <v>0</v>
      </c>
    </row>
    <row r="2397" spans="1:24" ht="16.5" customHeight="1">
      <c r="A2397" s="3" t="s">
        <v>50</v>
      </c>
      <c r="B2397" s="3">
        <f t="shared" si="72"/>
        <v>2019</v>
      </c>
      <c r="C2397" s="3">
        <f t="shared" si="73"/>
        <v>11</v>
      </c>
      <c r="D2397" s="20" t="str">
        <f t="shared" si="74"/>
        <v>TNC201911</v>
      </c>
      <c r="E2397" s="2">
        <v>43796</v>
      </c>
      <c r="F2397" s="3">
        <v>0.22</v>
      </c>
      <c r="G2397" s="2">
        <v>43815</v>
      </c>
      <c r="H2397" s="3">
        <v>1.18E-2</v>
      </c>
      <c r="I2397" s="3">
        <v>0</v>
      </c>
      <c r="J2397" s="3">
        <v>0</v>
      </c>
      <c r="K2397" s="3">
        <f t="shared" si="75"/>
        <v>2019</v>
      </c>
      <c r="L2397" s="3">
        <f t="shared" si="76"/>
        <v>0</v>
      </c>
      <c r="M2397" s="20" t="str">
        <f>A2397&amp;L2397</f>
        <v>TNC0</v>
      </c>
      <c r="N2397" s="3">
        <f>F2397</f>
        <v>0.22</v>
      </c>
      <c r="O2397" s="9">
        <f>H2397</f>
        <v>1.18E-2</v>
      </c>
      <c r="P2397" s="10">
        <f t="shared" si="77"/>
        <v>0</v>
      </c>
      <c r="Q2397" s="10">
        <f>IF(K2397=0,IF(A2394=A2397,AVERAGE(O2394:O2397),"x"),0)</f>
        <v>0</v>
      </c>
      <c r="R2397" s="9">
        <f>IF(L2397&gt;2005,AVERAGE(O2394:O2413),0)</f>
        <v>0</v>
      </c>
      <c r="S2397" s="10">
        <f>IF(A2397=A2398,(N2397-N2398)/N2398,0)</f>
        <v>0</v>
      </c>
      <c r="T2397" s="10">
        <f>IF(L2397&gt;2005,(((N2397-N2417)/N2417)+1)^(1/5)-1,0)</f>
        <v>0</v>
      </c>
      <c r="U2397" s="10">
        <f t="shared" si="78"/>
        <v>0</v>
      </c>
      <c r="V2397" s="26">
        <f t="shared" si="79"/>
        <v>0</v>
      </c>
      <c r="W2397" s="3">
        <f>IF(A2397=A2398,N2397-N2398,0)</f>
        <v>0</v>
      </c>
      <c r="X2397" s="10">
        <f>IF(A2397=A2398,(N2397-N2398)/N2398,0)</f>
        <v>0</v>
      </c>
    </row>
    <row r="2398" spans="1:24" ht="16.5" customHeight="1">
      <c r="A2398" s="3" t="s">
        <v>50</v>
      </c>
      <c r="B2398" s="3">
        <f t="shared" si="72"/>
        <v>2019</v>
      </c>
      <c r="C2398" s="3">
        <f t="shared" si="73"/>
        <v>8</v>
      </c>
      <c r="D2398" s="20" t="str">
        <f t="shared" si="74"/>
        <v>TNC20198</v>
      </c>
      <c r="E2398" s="2">
        <v>43706</v>
      </c>
      <c r="F2398" s="3">
        <v>0.22</v>
      </c>
      <c r="G2398" s="2">
        <v>43724</v>
      </c>
      <c r="H2398" s="3">
        <v>1.32E-2</v>
      </c>
      <c r="I2398" s="3">
        <v>0</v>
      </c>
      <c r="J2398" s="3">
        <v>0</v>
      </c>
      <c r="K2398" s="3">
        <f t="shared" si="75"/>
        <v>2019</v>
      </c>
      <c r="L2398" s="3">
        <f t="shared" si="76"/>
        <v>0</v>
      </c>
      <c r="M2398" s="20" t="str">
        <f>A2398&amp;L2398</f>
        <v>TNC0</v>
      </c>
      <c r="N2398" s="3">
        <f>F2398</f>
        <v>0.22</v>
      </c>
      <c r="O2398" s="9">
        <f>H2398</f>
        <v>1.32E-2</v>
      </c>
      <c r="P2398" s="10">
        <f t="shared" si="77"/>
        <v>0</v>
      </c>
      <c r="Q2398" s="10">
        <f>IF(K2398=0,IF(A2395=A2398,AVERAGE(O2395:O2398),"x"),0)</f>
        <v>0</v>
      </c>
      <c r="R2398" s="9">
        <f>IF(L2398&gt;2005,AVERAGE(O2395:O2414),0)</f>
        <v>0</v>
      </c>
      <c r="S2398" s="10">
        <f>IF(A2398=A2399,(N2398-N2399)/N2399,0)</f>
        <v>0</v>
      </c>
      <c r="T2398" s="10">
        <f>IF(L2398&gt;2005,(((N2398-N2418)/N2418)+1)^(1/5)-1,0)</f>
        <v>0</v>
      </c>
      <c r="U2398" s="10">
        <f t="shared" si="78"/>
        <v>0</v>
      </c>
      <c r="V2398" s="26">
        <f t="shared" si="79"/>
        <v>0</v>
      </c>
      <c r="W2398" s="3">
        <f>IF(A2398=A2399,N2398-N2399,0)</f>
        <v>0</v>
      </c>
      <c r="X2398" s="10">
        <f>IF(A2398=A2399,(N2398-N2399)/N2399,0)</f>
        <v>0</v>
      </c>
    </row>
    <row r="2399" spans="1:24" ht="16.5" customHeight="1">
      <c r="A2399" s="3" t="s">
        <v>50</v>
      </c>
      <c r="B2399" s="3">
        <f t="shared" si="72"/>
        <v>2019</v>
      </c>
      <c r="C2399" s="3">
        <f t="shared" si="73"/>
        <v>5</v>
      </c>
      <c r="D2399" s="20" t="str">
        <f t="shared" si="74"/>
        <v>TNC20195</v>
      </c>
      <c r="E2399" s="2">
        <v>43615</v>
      </c>
      <c r="F2399" s="3">
        <v>0.22</v>
      </c>
      <c r="G2399" s="2">
        <v>43630</v>
      </c>
      <c r="H2399" s="3">
        <v>1.49E-2</v>
      </c>
      <c r="I2399" s="3">
        <v>0</v>
      </c>
      <c r="J2399" s="3">
        <v>0</v>
      </c>
      <c r="K2399" s="3">
        <f t="shared" si="75"/>
        <v>2019</v>
      </c>
      <c r="L2399" s="3">
        <f t="shared" si="76"/>
        <v>0</v>
      </c>
      <c r="M2399" s="20" t="str">
        <f>A2399&amp;L2399</f>
        <v>TNC0</v>
      </c>
      <c r="N2399" s="3">
        <f>F2399</f>
        <v>0.22</v>
      </c>
      <c r="O2399" s="9">
        <f>H2399</f>
        <v>1.49E-2</v>
      </c>
      <c r="P2399" s="10">
        <f t="shared" si="77"/>
        <v>0</v>
      </c>
      <c r="Q2399" s="10">
        <f>IF(K2399=0,IF(A2396=A2399,AVERAGE(O2396:O2399),"x"),0)</f>
        <v>0</v>
      </c>
      <c r="R2399" s="9">
        <f>IF(L2399&gt;2005,AVERAGE(O2396:O2415),0)</f>
        <v>0</v>
      </c>
      <c r="S2399" s="10">
        <f>IF(A2399=A2400,(N2399-N2400)/N2400,0)</f>
        <v>0</v>
      </c>
      <c r="T2399" s="10">
        <f>IF(L2399&gt;2005,(((N2399-N2419)/N2419)+1)^(1/5)-1,0)</f>
        <v>0</v>
      </c>
      <c r="U2399" s="10">
        <f t="shared" si="78"/>
        <v>0</v>
      </c>
      <c r="V2399" s="26">
        <f t="shared" si="79"/>
        <v>0</v>
      </c>
      <c r="W2399" s="3">
        <f>IF(A2399=A2400,N2399-N2400,0)</f>
        <v>0</v>
      </c>
      <c r="X2399" s="10">
        <f>IF(A2399=A2400,(N2399-N2400)/N2400,0)</f>
        <v>0</v>
      </c>
    </row>
    <row r="2400" spans="1:24" ht="16.5" customHeight="1">
      <c r="A2400" s="3" t="s">
        <v>50</v>
      </c>
      <c r="B2400" s="3">
        <f t="shared" si="72"/>
        <v>2019</v>
      </c>
      <c r="C2400" s="3">
        <f t="shared" si="73"/>
        <v>2</v>
      </c>
      <c r="D2400" s="20" t="str">
        <f t="shared" si="74"/>
        <v>TNC20192</v>
      </c>
      <c r="E2400" s="2">
        <v>43523</v>
      </c>
      <c r="F2400" s="3">
        <v>0.22</v>
      </c>
      <c r="G2400" s="2">
        <v>43539</v>
      </c>
      <c r="H2400" s="3">
        <v>1.41E-2</v>
      </c>
      <c r="I2400" s="3">
        <v>0</v>
      </c>
      <c r="J2400" s="3">
        <v>0</v>
      </c>
      <c r="K2400" s="3">
        <f t="shared" si="75"/>
        <v>0</v>
      </c>
      <c r="L2400" s="3">
        <f t="shared" si="76"/>
        <v>2019</v>
      </c>
      <c r="M2400" s="20" t="str">
        <f>A2400&amp;L2400</f>
        <v>TNC2019</v>
      </c>
      <c r="N2400" s="3">
        <f>F2400</f>
        <v>0.22</v>
      </c>
      <c r="O2400" s="9">
        <f>H2400</f>
        <v>1.41E-2</v>
      </c>
      <c r="P2400" s="10">
        <f t="shared" si="77"/>
        <v>0</v>
      </c>
      <c r="Q2400" s="10">
        <f>IF(K2400=0,IF(A2397=A2400,AVERAGE(O2397:O2400),"x"),0)</f>
        <v>1.3500000000000002E-2</v>
      </c>
      <c r="R2400" s="9">
        <f>IF(L2400&gt;2005,AVERAGE(O2397:O2416),0)</f>
        <v>1.2850000000000004E-2</v>
      </c>
      <c r="S2400" s="10">
        <f>IF(A2400=A2401,(N2400-N2401)/N2401,0)</f>
        <v>0</v>
      </c>
      <c r="T2400" s="10">
        <f>IF(L2400&gt;2005,(((N2400-N2420)/N2420)+1)^(1/5)-1,0)</f>
        <v>4.0950396969256841E-2</v>
      </c>
      <c r="U2400" s="10">
        <f t="shared" si="78"/>
        <v>5.3800396969256842E-2</v>
      </c>
      <c r="V2400" s="26">
        <f t="shared" si="79"/>
        <v>4.8200373867773409</v>
      </c>
      <c r="W2400" s="3">
        <f>IF(A2400=A2401,N2400-N2401,0)</f>
        <v>0</v>
      </c>
      <c r="X2400" s="10">
        <f>IF(A2400=A2401,(N2400-N2401)/N2401,0)</f>
        <v>0</v>
      </c>
    </row>
    <row r="2401" spans="1:24" ht="16.5" customHeight="1">
      <c r="A2401" s="3" t="s">
        <v>50</v>
      </c>
      <c r="B2401" s="3">
        <f t="shared" si="72"/>
        <v>2018</v>
      </c>
      <c r="C2401" s="3">
        <f t="shared" si="73"/>
        <v>11</v>
      </c>
      <c r="D2401" s="20" t="str">
        <f t="shared" si="74"/>
        <v>TNC201811</v>
      </c>
      <c r="E2401" s="2">
        <v>43433</v>
      </c>
      <c r="F2401" s="3">
        <v>0.22</v>
      </c>
      <c r="G2401" s="2">
        <v>43448</v>
      </c>
      <c r="H2401" s="3">
        <v>1.4500000000000001E-2</v>
      </c>
      <c r="I2401" s="3">
        <v>4.7619047999999997E-2</v>
      </c>
      <c r="J2401" s="3">
        <v>0.01</v>
      </c>
      <c r="K2401" s="3">
        <f t="shared" si="75"/>
        <v>2018</v>
      </c>
      <c r="L2401" s="3">
        <f t="shared" si="76"/>
        <v>0</v>
      </c>
      <c r="M2401" s="20" t="str">
        <f>A2401&amp;L2401</f>
        <v>TNC0</v>
      </c>
      <c r="N2401" s="3">
        <f>F2401</f>
        <v>0.22</v>
      </c>
      <c r="O2401" s="9">
        <f>H2401</f>
        <v>1.4500000000000001E-2</v>
      </c>
      <c r="P2401" s="10">
        <f t="shared" si="77"/>
        <v>1.2125E-2</v>
      </c>
      <c r="Q2401" s="10">
        <f>IF(K2401=0,IF(A2398=A2401,AVERAGE(O2398:O2401),"x"),0)</f>
        <v>0</v>
      </c>
      <c r="R2401" s="9">
        <f>IF(L2401&gt;2005,AVERAGE(O2398:O2417),0)</f>
        <v>0</v>
      </c>
      <c r="S2401" s="10">
        <f>IF(A2401=A2402,(N2401-N2402)/N2402,0)</f>
        <v>4.7619047619047665E-2</v>
      </c>
      <c r="T2401" s="10">
        <f>IF(L2401&gt;2005,(((N2401-N2421)/N2421)+1)^(1/5)-1,0)</f>
        <v>0</v>
      </c>
      <c r="U2401" s="10">
        <f t="shared" si="78"/>
        <v>0</v>
      </c>
      <c r="V2401" s="26">
        <f t="shared" si="79"/>
        <v>0</v>
      </c>
      <c r="W2401" s="3">
        <f>IF(A2401=A2402,N2401-N2402,0)</f>
        <v>1.0000000000000009E-2</v>
      </c>
      <c r="X2401" s="10">
        <f>IF(A2401=A2402,(N2401-N2402)/N2402,0)</f>
        <v>4.7619047619047665E-2</v>
      </c>
    </row>
    <row r="2402" spans="1:24" ht="16.5" customHeight="1">
      <c r="A2402" s="3" t="s">
        <v>50</v>
      </c>
      <c r="B2402" s="3">
        <f t="shared" si="72"/>
        <v>2018</v>
      </c>
      <c r="C2402" s="3">
        <f t="shared" si="73"/>
        <v>8</v>
      </c>
      <c r="D2402" s="20" t="str">
        <f t="shared" si="74"/>
        <v>TNC20188</v>
      </c>
      <c r="E2402" s="2">
        <v>43342</v>
      </c>
      <c r="F2402" s="3">
        <v>0.21</v>
      </c>
      <c r="G2402" s="2">
        <v>43357</v>
      </c>
      <c r="H2402" s="3">
        <v>1.11E-2</v>
      </c>
      <c r="I2402" s="3">
        <v>0</v>
      </c>
      <c r="J2402" s="3">
        <v>0</v>
      </c>
      <c r="K2402" s="3">
        <f t="shared" si="75"/>
        <v>2018</v>
      </c>
      <c r="L2402" s="3">
        <f t="shared" si="76"/>
        <v>0</v>
      </c>
      <c r="M2402" s="20" t="str">
        <f>A2402&amp;L2402</f>
        <v>TNC0</v>
      </c>
      <c r="N2402" s="3">
        <f>F2402</f>
        <v>0.21</v>
      </c>
      <c r="O2402" s="9">
        <f>H2402</f>
        <v>1.11E-2</v>
      </c>
      <c r="P2402" s="10">
        <f t="shared" si="77"/>
        <v>0</v>
      </c>
      <c r="Q2402" s="10">
        <f>IF(K2402=0,IF(A2399=A2402,AVERAGE(O2399:O2402),"x"),0)</f>
        <v>0</v>
      </c>
      <c r="R2402" s="9">
        <f>IF(L2402&gt;2005,AVERAGE(O2399:O2418),0)</f>
        <v>0</v>
      </c>
      <c r="S2402" s="10">
        <f>IF(A2402=A2403,(N2402-N2403)/N2403,0)</f>
        <v>0</v>
      </c>
      <c r="T2402" s="10">
        <f>IF(L2402&gt;2005,(((N2402-N2422)/N2422)+1)^(1/5)-1,0)</f>
        <v>0</v>
      </c>
      <c r="U2402" s="10">
        <f t="shared" si="78"/>
        <v>0</v>
      </c>
      <c r="V2402" s="26">
        <f t="shared" si="79"/>
        <v>0</v>
      </c>
      <c r="W2402" s="3">
        <f>IF(A2402=A2403,N2402-N2403,0)</f>
        <v>0</v>
      </c>
      <c r="X2402" s="10">
        <f>IF(A2402=A2403,(N2402-N2403)/N2403,0)</f>
        <v>0</v>
      </c>
    </row>
    <row r="2403" spans="1:24" ht="16.5" customHeight="1">
      <c r="A2403" s="3" t="s">
        <v>50</v>
      </c>
      <c r="B2403" s="3">
        <f t="shared" si="72"/>
        <v>2018</v>
      </c>
      <c r="C2403" s="3">
        <f t="shared" si="73"/>
        <v>5</v>
      </c>
      <c r="D2403" s="20" t="str">
        <f t="shared" si="74"/>
        <v>TNC20185</v>
      </c>
      <c r="E2403" s="2">
        <v>43250</v>
      </c>
      <c r="F2403" s="3">
        <v>0.21</v>
      </c>
      <c r="G2403" s="2">
        <v>43266</v>
      </c>
      <c r="H2403" s="3">
        <v>1.0500000000000001E-2</v>
      </c>
      <c r="I2403" s="3">
        <v>0</v>
      </c>
      <c r="J2403" s="3">
        <v>0</v>
      </c>
      <c r="K2403" s="3">
        <f t="shared" si="75"/>
        <v>2018</v>
      </c>
      <c r="L2403" s="3">
        <f t="shared" si="76"/>
        <v>0</v>
      </c>
      <c r="M2403" s="20" t="str">
        <f>A2403&amp;L2403</f>
        <v>TNC0</v>
      </c>
      <c r="N2403" s="3">
        <f>F2403</f>
        <v>0.21</v>
      </c>
      <c r="O2403" s="9">
        <f>H2403</f>
        <v>1.0500000000000001E-2</v>
      </c>
      <c r="P2403" s="10">
        <f t="shared" si="77"/>
        <v>0</v>
      </c>
      <c r="Q2403" s="10">
        <f>IF(K2403=0,IF(A2400=A2403,AVERAGE(O2400:O2403),"x"),0)</f>
        <v>0</v>
      </c>
      <c r="R2403" s="9">
        <f>IF(L2403&gt;2005,AVERAGE(O2400:O2419),0)</f>
        <v>0</v>
      </c>
      <c r="S2403" s="10">
        <f>IF(A2403=A2404,(N2403-N2404)/N2404,0)</f>
        <v>0</v>
      </c>
      <c r="T2403" s="10">
        <f>IF(L2403&gt;2005,(((N2403-N2423)/N2423)+1)^(1/5)-1,0)</f>
        <v>0</v>
      </c>
      <c r="U2403" s="10">
        <f t="shared" si="78"/>
        <v>0</v>
      </c>
      <c r="V2403" s="26">
        <f t="shared" si="79"/>
        <v>0</v>
      </c>
      <c r="W2403" s="3">
        <f>IF(A2403=A2404,N2403-N2404,0)</f>
        <v>0</v>
      </c>
      <c r="X2403" s="10">
        <f>IF(A2403=A2404,(N2403-N2404)/N2404,0)</f>
        <v>0</v>
      </c>
    </row>
    <row r="2404" spans="1:24" ht="16.5" customHeight="1">
      <c r="A2404" s="3" t="s">
        <v>50</v>
      </c>
      <c r="B2404" s="3">
        <f t="shared" si="72"/>
        <v>2018</v>
      </c>
      <c r="C2404" s="3">
        <f t="shared" si="73"/>
        <v>2</v>
      </c>
      <c r="D2404" s="20" t="str">
        <f t="shared" si="74"/>
        <v>TNC20182</v>
      </c>
      <c r="E2404" s="2">
        <v>43158</v>
      </c>
      <c r="F2404" s="3">
        <v>0.21</v>
      </c>
      <c r="G2404" s="2">
        <v>43174</v>
      </c>
      <c r="H2404" s="3">
        <v>1.24E-2</v>
      </c>
      <c r="I2404" s="3">
        <v>0</v>
      </c>
      <c r="J2404" s="3">
        <v>0</v>
      </c>
      <c r="K2404" s="3">
        <f t="shared" si="75"/>
        <v>0</v>
      </c>
      <c r="L2404" s="3">
        <f t="shared" si="76"/>
        <v>2018</v>
      </c>
      <c r="M2404" s="20" t="str">
        <f>A2404&amp;L2404</f>
        <v>TNC2018</v>
      </c>
      <c r="N2404" s="3">
        <f>F2404</f>
        <v>0.21</v>
      </c>
      <c r="O2404" s="9">
        <f>H2404</f>
        <v>1.24E-2</v>
      </c>
      <c r="P2404" s="10">
        <f t="shared" si="77"/>
        <v>0</v>
      </c>
      <c r="Q2404" s="10">
        <f>IF(K2404=0,IF(A2401=A2404,AVERAGE(O2401:O2404),"x"),0)</f>
        <v>1.2125E-2</v>
      </c>
      <c r="R2404" s="9">
        <f>IF(L2404&gt;2005,AVERAGE(O2401:O2420),0)</f>
        <v>1.2434999999999998E-2</v>
      </c>
      <c r="S2404" s="10">
        <f>IF(A2404=A2405,(N2404-N2405)/N2405,0)</f>
        <v>0</v>
      </c>
      <c r="T2404" s="10">
        <f>IF(L2404&gt;2005,(((N2404-N2424)/N2424)+1)^(1/5)-1,0)</f>
        <v>3.1310306477545069E-2</v>
      </c>
      <c r="U2404" s="10">
        <f t="shared" si="78"/>
        <v>4.3745306477545071E-2</v>
      </c>
      <c r="V2404" s="26">
        <f t="shared" si="79"/>
        <v>4.824106149624785</v>
      </c>
      <c r="W2404" s="3">
        <f>IF(A2404=A2405,N2404-N2405,0)</f>
        <v>0</v>
      </c>
      <c r="X2404" s="10">
        <f>IF(A2404=A2405,(N2404-N2405)/N2405,0)</f>
        <v>0</v>
      </c>
    </row>
    <row r="2405" spans="1:24" ht="16.5" customHeight="1">
      <c r="A2405" s="3" t="s">
        <v>50</v>
      </c>
      <c r="B2405" s="3">
        <f t="shared" si="72"/>
        <v>2017</v>
      </c>
      <c r="C2405" s="3">
        <f t="shared" si="73"/>
        <v>11</v>
      </c>
      <c r="D2405" s="20" t="str">
        <f t="shared" si="74"/>
        <v>TNC201711</v>
      </c>
      <c r="E2405" s="2">
        <v>43068</v>
      </c>
      <c r="F2405" s="3">
        <v>0.21</v>
      </c>
      <c r="G2405" s="2">
        <v>43084</v>
      </c>
      <c r="H2405" s="3">
        <v>1.29E-2</v>
      </c>
      <c r="I2405" s="3">
        <v>0</v>
      </c>
      <c r="J2405" s="3">
        <v>0</v>
      </c>
      <c r="K2405" s="3">
        <f t="shared" si="75"/>
        <v>2017</v>
      </c>
      <c r="L2405" s="3">
        <f t="shared" si="76"/>
        <v>0</v>
      </c>
      <c r="M2405" s="20" t="str">
        <f>A2405&amp;L2405</f>
        <v>TNC0</v>
      </c>
      <c r="N2405" s="3">
        <f>F2405</f>
        <v>0.21</v>
      </c>
      <c r="O2405" s="9">
        <f>H2405</f>
        <v>1.29E-2</v>
      </c>
      <c r="P2405" s="10">
        <f t="shared" si="77"/>
        <v>0</v>
      </c>
      <c r="Q2405" s="10">
        <f>IF(K2405=0,IF(A2402=A2405,AVERAGE(O2402:O2405),"x"),0)</f>
        <v>0</v>
      </c>
      <c r="R2405" s="9">
        <f>IF(L2405&gt;2005,AVERAGE(O2402:O2421),0)</f>
        <v>0</v>
      </c>
      <c r="S2405" s="10">
        <f>IF(A2405=A2406,(N2405-N2406)/N2406,0)</f>
        <v>0</v>
      </c>
      <c r="T2405" s="10">
        <f>IF(L2405&gt;2005,(((N2405-N2425)/N2425)+1)^(1/5)-1,0)</f>
        <v>0</v>
      </c>
      <c r="U2405" s="10">
        <f t="shared" si="78"/>
        <v>0</v>
      </c>
      <c r="V2405" s="26">
        <f t="shared" si="79"/>
        <v>0</v>
      </c>
      <c r="W2405" s="3">
        <f>IF(A2405=A2406,N2405-N2406,0)</f>
        <v>0</v>
      </c>
      <c r="X2405" s="10">
        <f>IF(A2405=A2406,(N2405-N2406)/N2406,0)</f>
        <v>0</v>
      </c>
    </row>
    <row r="2406" spans="1:24" ht="16.5" customHeight="1">
      <c r="A2406" s="3" t="s">
        <v>50</v>
      </c>
      <c r="B2406" s="3">
        <f t="shared" si="72"/>
        <v>2017</v>
      </c>
      <c r="C2406" s="3">
        <f t="shared" si="73"/>
        <v>8</v>
      </c>
      <c r="D2406" s="20" t="str">
        <f t="shared" si="74"/>
        <v>TNC20178</v>
      </c>
      <c r="E2406" s="2">
        <v>42976</v>
      </c>
      <c r="F2406" s="3">
        <v>0.21</v>
      </c>
      <c r="G2406" s="2">
        <v>42993</v>
      </c>
      <c r="H2406" s="3">
        <v>1.37E-2</v>
      </c>
      <c r="I2406" s="3">
        <v>0</v>
      </c>
      <c r="J2406" s="3">
        <v>0</v>
      </c>
      <c r="K2406" s="3">
        <f t="shared" si="75"/>
        <v>2017</v>
      </c>
      <c r="L2406" s="3">
        <f t="shared" si="76"/>
        <v>0</v>
      </c>
      <c r="M2406" s="20" t="str">
        <f>A2406&amp;L2406</f>
        <v>TNC0</v>
      </c>
      <c r="N2406" s="3">
        <f>F2406</f>
        <v>0.21</v>
      </c>
      <c r="O2406" s="9">
        <f>H2406</f>
        <v>1.37E-2</v>
      </c>
      <c r="P2406" s="10">
        <f t="shared" si="77"/>
        <v>0</v>
      </c>
      <c r="Q2406" s="10">
        <f>IF(K2406=0,IF(A2403=A2406,AVERAGE(O2403:O2406),"x"),0)</f>
        <v>0</v>
      </c>
      <c r="R2406" s="9">
        <f>IF(L2406&gt;2005,AVERAGE(O2403:O2422),0)</f>
        <v>0</v>
      </c>
      <c r="S2406" s="10">
        <f>IF(A2406=A2407,(N2406-N2407)/N2407,0)</f>
        <v>0</v>
      </c>
      <c r="T2406" s="10">
        <f>IF(L2406&gt;2005,(((N2406-N2426)/N2426)+1)^(1/5)-1,0)</f>
        <v>0</v>
      </c>
      <c r="U2406" s="10">
        <f t="shared" si="78"/>
        <v>0</v>
      </c>
      <c r="V2406" s="26">
        <f t="shared" si="79"/>
        <v>0</v>
      </c>
      <c r="W2406" s="3">
        <f>IF(A2406=A2407,N2406-N2407,0)</f>
        <v>0</v>
      </c>
      <c r="X2406" s="10">
        <f>IF(A2406=A2407,(N2406-N2407)/N2407,0)</f>
        <v>0</v>
      </c>
    </row>
    <row r="2407" spans="1:24" ht="16.5" customHeight="1">
      <c r="A2407" s="3" t="s">
        <v>50</v>
      </c>
      <c r="B2407" s="3">
        <f t="shared" si="72"/>
        <v>2017</v>
      </c>
      <c r="C2407" s="3">
        <f t="shared" si="73"/>
        <v>5</v>
      </c>
      <c r="D2407" s="20" t="str">
        <f t="shared" si="74"/>
        <v>TNC20175</v>
      </c>
      <c r="E2407" s="2">
        <v>42881</v>
      </c>
      <c r="F2407" s="3">
        <v>0.21</v>
      </c>
      <c r="G2407" s="2">
        <v>42901</v>
      </c>
      <c r="H2407" s="3">
        <v>1.1900000000000001E-2</v>
      </c>
      <c r="I2407" s="3">
        <v>0</v>
      </c>
      <c r="J2407" s="3">
        <v>0</v>
      </c>
      <c r="K2407" s="3">
        <f t="shared" si="75"/>
        <v>2017</v>
      </c>
      <c r="L2407" s="3">
        <f t="shared" si="76"/>
        <v>0</v>
      </c>
      <c r="M2407" s="20" t="str">
        <f>A2407&amp;L2407</f>
        <v>TNC0</v>
      </c>
      <c r="N2407" s="3">
        <f>F2407</f>
        <v>0.21</v>
      </c>
      <c r="O2407" s="9">
        <f>H2407</f>
        <v>1.1900000000000001E-2</v>
      </c>
      <c r="P2407" s="10">
        <f t="shared" si="77"/>
        <v>0</v>
      </c>
      <c r="Q2407" s="10">
        <f>IF(K2407=0,IF(A2404=A2407,AVERAGE(O2404:O2407),"x"),0)</f>
        <v>0</v>
      </c>
      <c r="R2407" s="9">
        <f>IF(L2407&gt;2005,AVERAGE(O2404:O2423),0)</f>
        <v>0</v>
      </c>
      <c r="S2407" s="10">
        <f>IF(A2407=A2408,(N2407-N2408)/N2408,0)</f>
        <v>0</v>
      </c>
      <c r="T2407" s="10">
        <f>IF(L2407&gt;2005,(((N2407-N2427)/N2427)+1)^(1/5)-1,0)</f>
        <v>0</v>
      </c>
      <c r="U2407" s="10">
        <f t="shared" si="78"/>
        <v>0</v>
      </c>
      <c r="V2407" s="26">
        <f t="shared" si="79"/>
        <v>0</v>
      </c>
      <c r="W2407" s="3">
        <f>IF(A2407=A2408,N2407-N2408,0)</f>
        <v>0</v>
      </c>
      <c r="X2407" s="10">
        <f>IF(A2407=A2408,(N2407-N2408)/N2408,0)</f>
        <v>0</v>
      </c>
    </row>
    <row r="2408" spans="1:24" ht="16.5" customHeight="1">
      <c r="A2408" s="3" t="s">
        <v>50</v>
      </c>
      <c r="B2408" s="3">
        <f t="shared" si="72"/>
        <v>2017</v>
      </c>
      <c r="C2408" s="3">
        <f t="shared" si="73"/>
        <v>2</v>
      </c>
      <c r="D2408" s="20" t="str">
        <f t="shared" si="74"/>
        <v>TNC20172</v>
      </c>
      <c r="E2408" s="2">
        <v>42794</v>
      </c>
      <c r="F2408" s="3">
        <v>0.21</v>
      </c>
      <c r="G2408" s="2">
        <v>42809</v>
      </c>
      <c r="H2408" s="3">
        <v>1.15E-2</v>
      </c>
      <c r="I2408" s="3">
        <v>0</v>
      </c>
      <c r="J2408" s="3">
        <v>0</v>
      </c>
      <c r="K2408" s="3">
        <f t="shared" si="75"/>
        <v>0</v>
      </c>
      <c r="L2408" s="3">
        <f t="shared" si="76"/>
        <v>2017</v>
      </c>
      <c r="M2408" s="20" t="str">
        <f>A2408&amp;L2408</f>
        <v>TNC2017</v>
      </c>
      <c r="N2408" s="3">
        <f>F2408</f>
        <v>0.21</v>
      </c>
      <c r="O2408" s="9">
        <f>H2408</f>
        <v>1.15E-2</v>
      </c>
      <c r="P2408" s="10">
        <f t="shared" si="77"/>
        <v>0</v>
      </c>
      <c r="Q2408" s="10">
        <f>IF(K2408=0,IF(A2405=A2408,AVERAGE(O2405:O2408),"x"),0)</f>
        <v>1.2500000000000001E-2</v>
      </c>
      <c r="R2408" s="9">
        <f>IF(L2408&gt;2005,AVERAGE(O2405:O2424),0)</f>
        <v>1.2744999999999996E-2</v>
      </c>
      <c r="S2408" s="10">
        <f>IF(A2408=A2409,(N2408-N2409)/N2409,0)</f>
        <v>0</v>
      </c>
      <c r="T2408" s="10">
        <f>IF(L2408&gt;2005,(((N2408-N2428)/N2428)+1)^(1/5)-1,0)</f>
        <v>4.3167563810134979E-2</v>
      </c>
      <c r="U2408" s="10">
        <f t="shared" si="78"/>
        <v>5.5912563810134971E-2</v>
      </c>
      <c r="V2408" s="26">
        <f t="shared" si="79"/>
        <v>4.8218355870787244</v>
      </c>
      <c r="W2408" s="3">
        <f>IF(A2408=A2409,N2408-N2409,0)</f>
        <v>0</v>
      </c>
      <c r="X2408" s="10">
        <f>IF(A2408=A2409,(N2408-N2409)/N2409,0)</f>
        <v>0</v>
      </c>
    </row>
    <row r="2409" spans="1:24" ht="16.5" customHeight="1">
      <c r="A2409" s="3" t="s">
        <v>50</v>
      </c>
      <c r="B2409" s="3">
        <f t="shared" si="72"/>
        <v>2016</v>
      </c>
      <c r="C2409" s="3">
        <f t="shared" si="73"/>
        <v>11</v>
      </c>
      <c r="D2409" s="20" t="str">
        <f t="shared" si="74"/>
        <v>TNC201611</v>
      </c>
      <c r="E2409" s="2">
        <v>42702</v>
      </c>
      <c r="F2409" s="3">
        <v>0.21</v>
      </c>
      <c r="G2409" s="2">
        <v>42719</v>
      </c>
      <c r="H2409" s="3">
        <v>1.0999999999999999E-2</v>
      </c>
      <c r="I2409" s="3">
        <v>0.05</v>
      </c>
      <c r="J2409" s="3">
        <v>0.01</v>
      </c>
      <c r="K2409" s="3">
        <f t="shared" si="75"/>
        <v>2016</v>
      </c>
      <c r="L2409" s="3">
        <f t="shared" si="76"/>
        <v>0</v>
      </c>
      <c r="M2409" s="20" t="str">
        <f>A2409&amp;L2409</f>
        <v>TNC0</v>
      </c>
      <c r="N2409" s="3">
        <f>F2409</f>
        <v>0.21</v>
      </c>
      <c r="O2409" s="9">
        <f>H2409</f>
        <v>1.0999999999999999E-2</v>
      </c>
      <c r="P2409" s="10">
        <f t="shared" si="77"/>
        <v>1.3299999999999999E-2</v>
      </c>
      <c r="Q2409" s="10">
        <f>IF(K2409=0,IF(A2406=A2409,AVERAGE(O2406:O2409),"x"),0)</f>
        <v>0</v>
      </c>
      <c r="R2409" s="9">
        <f>IF(L2409&gt;2005,AVERAGE(O2406:O2425),0)</f>
        <v>0</v>
      </c>
      <c r="S2409" s="10">
        <f>IF(A2409=A2410,(N2409-N2410)/N2410,0)</f>
        <v>4.9999999999999906E-2</v>
      </c>
      <c r="T2409" s="10">
        <f>IF(L2409&gt;2005,(((N2409-N2429)/N2429)+1)^(1/5)-1,0)</f>
        <v>0</v>
      </c>
      <c r="U2409" s="10">
        <f t="shared" si="78"/>
        <v>0</v>
      </c>
      <c r="V2409" s="26">
        <f t="shared" si="79"/>
        <v>0</v>
      </c>
      <c r="W2409" s="3">
        <f>IF(A2409=A2410,N2409-N2410,0)</f>
        <v>9.9999999999999811E-3</v>
      </c>
      <c r="X2409" s="10">
        <f>IF(A2409=A2410,(N2409-N2410)/N2410,0)</f>
        <v>4.9999999999999906E-2</v>
      </c>
    </row>
    <row r="2410" spans="1:24" ht="16.5" customHeight="1">
      <c r="A2410" s="3" t="s">
        <v>50</v>
      </c>
      <c r="B2410" s="3">
        <f t="shared" si="72"/>
        <v>2016</v>
      </c>
      <c r="C2410" s="3">
        <f t="shared" si="73"/>
        <v>8</v>
      </c>
      <c r="D2410" s="20" t="str">
        <f t="shared" si="74"/>
        <v>TNC20168</v>
      </c>
      <c r="E2410" s="2">
        <v>42611</v>
      </c>
      <c r="F2410" s="3">
        <v>0.2</v>
      </c>
      <c r="G2410" s="2">
        <v>42628</v>
      </c>
      <c r="H2410" s="3">
        <v>1.24E-2</v>
      </c>
      <c r="I2410" s="3">
        <v>0</v>
      </c>
      <c r="J2410" s="3">
        <v>0</v>
      </c>
      <c r="K2410" s="3">
        <f t="shared" si="75"/>
        <v>2016</v>
      </c>
      <c r="L2410" s="3">
        <f t="shared" si="76"/>
        <v>0</v>
      </c>
      <c r="M2410" s="20" t="str">
        <f>A2410&amp;L2410</f>
        <v>TNC0</v>
      </c>
      <c r="N2410" s="3">
        <f>F2410</f>
        <v>0.2</v>
      </c>
      <c r="O2410" s="9">
        <f>H2410</f>
        <v>1.24E-2</v>
      </c>
      <c r="P2410" s="10">
        <f t="shared" si="77"/>
        <v>0</v>
      </c>
      <c r="Q2410" s="10">
        <f>IF(K2410=0,IF(A2407=A2410,AVERAGE(O2407:O2410),"x"),0)</f>
        <v>0</v>
      </c>
      <c r="R2410" s="9">
        <f>IF(L2410&gt;2005,AVERAGE(O2407:O2426),0)</f>
        <v>0</v>
      </c>
      <c r="S2410" s="10">
        <f>IF(A2410=A2411,(N2410-N2411)/N2411,0)</f>
        <v>0</v>
      </c>
      <c r="T2410" s="10">
        <f>IF(L2410&gt;2005,(((N2410-N2430)/N2430)+1)^(1/5)-1,0)</f>
        <v>0</v>
      </c>
      <c r="U2410" s="10">
        <f t="shared" si="78"/>
        <v>0</v>
      </c>
      <c r="V2410" s="26">
        <f t="shared" si="79"/>
        <v>0</v>
      </c>
      <c r="W2410" s="3">
        <f>IF(A2410=A2411,N2410-N2411,0)</f>
        <v>0</v>
      </c>
      <c r="X2410" s="10">
        <f>IF(A2410=A2411,(N2410-N2411)/N2411,0)</f>
        <v>0</v>
      </c>
    </row>
    <row r="2411" spans="1:24" ht="16.5" customHeight="1">
      <c r="A2411" s="3" t="s">
        <v>50</v>
      </c>
      <c r="B2411" s="3">
        <f t="shared" si="72"/>
        <v>2016</v>
      </c>
      <c r="C2411" s="3">
        <f t="shared" si="73"/>
        <v>5</v>
      </c>
      <c r="D2411" s="20" t="str">
        <f t="shared" si="74"/>
        <v>TNC20165</v>
      </c>
      <c r="E2411" s="2">
        <v>42516</v>
      </c>
      <c r="F2411" s="3">
        <v>0.2</v>
      </c>
      <c r="G2411" s="2">
        <v>42536</v>
      </c>
      <c r="H2411" s="3">
        <v>1.4999999999999999E-2</v>
      </c>
      <c r="I2411" s="3">
        <v>0</v>
      </c>
      <c r="J2411" s="3">
        <v>0</v>
      </c>
      <c r="K2411" s="3">
        <f t="shared" si="75"/>
        <v>2016</v>
      </c>
      <c r="L2411" s="3">
        <f t="shared" si="76"/>
        <v>0</v>
      </c>
      <c r="M2411" s="20" t="str">
        <f>A2411&amp;L2411</f>
        <v>TNC0</v>
      </c>
      <c r="N2411" s="3">
        <f>F2411</f>
        <v>0.2</v>
      </c>
      <c r="O2411" s="9">
        <f>H2411</f>
        <v>1.4999999999999999E-2</v>
      </c>
      <c r="P2411" s="10">
        <f t="shared" si="77"/>
        <v>0</v>
      </c>
      <c r="Q2411" s="10">
        <f>IF(K2411=0,IF(A2408=A2411,AVERAGE(O2408:O2411),"x"),0)</f>
        <v>0</v>
      </c>
      <c r="R2411" s="9">
        <f>IF(L2411&gt;2005,AVERAGE(O2408:O2427),0)</f>
        <v>0</v>
      </c>
      <c r="S2411" s="10">
        <f>IF(A2411=A2412,(N2411-N2412)/N2412,0)</f>
        <v>0</v>
      </c>
      <c r="T2411" s="10">
        <f>IF(L2411&gt;2005,(((N2411-N2431)/N2431)+1)^(1/5)-1,0)</f>
        <v>0</v>
      </c>
      <c r="U2411" s="10">
        <f t="shared" si="78"/>
        <v>0</v>
      </c>
      <c r="V2411" s="26">
        <f t="shared" si="79"/>
        <v>0</v>
      </c>
      <c r="W2411" s="3">
        <f>IF(A2411=A2412,N2411-N2412,0)</f>
        <v>0</v>
      </c>
      <c r="X2411" s="10">
        <f>IF(A2411=A2412,(N2411-N2412)/N2412,0)</f>
        <v>0</v>
      </c>
    </row>
    <row r="2412" spans="1:24" ht="16.5" customHeight="1">
      <c r="A2412" s="3" t="s">
        <v>50</v>
      </c>
      <c r="B2412" s="3">
        <f t="shared" si="72"/>
        <v>2016</v>
      </c>
      <c r="C2412" s="3">
        <f t="shared" si="73"/>
        <v>2</v>
      </c>
      <c r="D2412" s="20" t="str">
        <f t="shared" si="74"/>
        <v>TNC20162</v>
      </c>
      <c r="E2412" s="2">
        <v>42425</v>
      </c>
      <c r="F2412" s="3">
        <v>0.2</v>
      </c>
      <c r="G2412" s="2">
        <v>42444</v>
      </c>
      <c r="H2412" s="3">
        <v>1.4800000000000001E-2</v>
      </c>
      <c r="I2412" s="3">
        <v>0</v>
      </c>
      <c r="J2412" s="3">
        <v>0</v>
      </c>
      <c r="K2412" s="3">
        <f t="shared" si="75"/>
        <v>0</v>
      </c>
      <c r="L2412" s="3">
        <f t="shared" si="76"/>
        <v>2016</v>
      </c>
      <c r="M2412" s="20" t="str">
        <f>A2412&amp;L2412</f>
        <v>TNC2016</v>
      </c>
      <c r="N2412" s="3">
        <f>F2412</f>
        <v>0.2</v>
      </c>
      <c r="O2412" s="9">
        <f>H2412</f>
        <v>1.4800000000000001E-2</v>
      </c>
      <c r="P2412" s="10">
        <f t="shared" si="77"/>
        <v>0</v>
      </c>
      <c r="Q2412" s="10">
        <f>IF(K2412=0,IF(A2409=A2412,AVERAGE(O2409:O2412),"x"),0)</f>
        <v>1.3299999999999999E-2</v>
      </c>
      <c r="R2412" s="9">
        <f>IF(L2412&gt;2005,AVERAGE(O2409:O2428),0)</f>
        <v>1.359E-2</v>
      </c>
      <c r="S2412" s="10">
        <f>IF(A2412=A2413,(N2412-N2413)/N2413,0)</f>
        <v>0</v>
      </c>
      <c r="T2412" s="10">
        <f>IF(L2412&gt;2005,(((N2412-N2432)/N2432)+1)^(1/5)-1,0)</f>
        <v>3.3037804113932312E-2</v>
      </c>
      <c r="U2412" s="10">
        <f t="shared" si="78"/>
        <v>4.662780411393231E-2</v>
      </c>
      <c r="V2412" s="26">
        <f t="shared" si="79"/>
        <v>4.8085709294773773</v>
      </c>
      <c r="W2412" s="3">
        <f>IF(A2412=A2413,N2412-N2413,0)</f>
        <v>0</v>
      </c>
      <c r="X2412" s="10">
        <f>IF(A2412=A2413,(N2412-N2413)/N2413,0)</f>
        <v>0</v>
      </c>
    </row>
    <row r="2413" spans="1:24" ht="16.5" customHeight="1">
      <c r="A2413" s="3" t="s">
        <v>50</v>
      </c>
      <c r="B2413" s="3">
        <f t="shared" si="72"/>
        <v>2015</v>
      </c>
      <c r="C2413" s="3">
        <f t="shared" si="73"/>
        <v>11</v>
      </c>
      <c r="D2413" s="20" t="str">
        <f t="shared" si="74"/>
        <v>TNC201511</v>
      </c>
      <c r="E2413" s="2">
        <v>42333</v>
      </c>
      <c r="F2413" s="3">
        <v>0.2</v>
      </c>
      <c r="G2413" s="2">
        <v>42353</v>
      </c>
      <c r="H2413" s="3">
        <v>1.2999999999999999E-2</v>
      </c>
      <c r="I2413" s="3">
        <v>0</v>
      </c>
      <c r="J2413" s="3">
        <v>0</v>
      </c>
      <c r="K2413" s="3">
        <f t="shared" si="75"/>
        <v>2015</v>
      </c>
      <c r="L2413" s="3">
        <f t="shared" si="76"/>
        <v>0</v>
      </c>
      <c r="M2413" s="20" t="str">
        <f>A2413&amp;L2413</f>
        <v>TNC0</v>
      </c>
      <c r="N2413" s="3">
        <f>F2413</f>
        <v>0.2</v>
      </c>
      <c r="O2413" s="9">
        <f>H2413</f>
        <v>1.2999999999999999E-2</v>
      </c>
      <c r="P2413" s="10">
        <f t="shared" si="77"/>
        <v>0</v>
      </c>
      <c r="Q2413" s="10">
        <f>IF(K2413=0,IF(A2410=A2413,AVERAGE(O2410:O2413),"x"),0)</f>
        <v>0</v>
      </c>
      <c r="R2413" s="9">
        <f>IF(L2413&gt;2005,AVERAGE(O2410:O2429),0)</f>
        <v>0</v>
      </c>
      <c r="S2413" s="10">
        <f>IF(A2413=A2414,(N2413-N2414)/N2414,0)</f>
        <v>0</v>
      </c>
      <c r="T2413" s="10">
        <f>IF(L2413&gt;2005,(((N2413-N2433)/N2433)+1)^(1/5)-1,0)</f>
        <v>0</v>
      </c>
      <c r="U2413" s="10">
        <f t="shared" si="78"/>
        <v>0</v>
      </c>
      <c r="V2413" s="26">
        <f t="shared" si="79"/>
        <v>0</v>
      </c>
      <c r="W2413" s="3">
        <f>IF(A2413=A2414,N2413-N2414,0)</f>
        <v>0</v>
      </c>
      <c r="X2413" s="10">
        <f>IF(A2413=A2414,(N2413-N2414)/N2414,0)</f>
        <v>0</v>
      </c>
    </row>
    <row r="2414" spans="1:24" ht="16.5" customHeight="1">
      <c r="A2414" s="3" t="s">
        <v>50</v>
      </c>
      <c r="B2414" s="3">
        <f t="shared" si="72"/>
        <v>2015</v>
      </c>
      <c r="C2414" s="3">
        <f t="shared" si="73"/>
        <v>8</v>
      </c>
      <c r="D2414" s="20" t="str">
        <f t="shared" si="74"/>
        <v>TNC20158</v>
      </c>
      <c r="E2414" s="2">
        <v>42243</v>
      </c>
      <c r="F2414" s="3">
        <v>0.2</v>
      </c>
      <c r="G2414" s="2">
        <v>42262</v>
      </c>
      <c r="H2414" s="3">
        <v>1.41E-2</v>
      </c>
      <c r="I2414" s="3">
        <v>0</v>
      </c>
      <c r="J2414" s="3">
        <v>0</v>
      </c>
      <c r="K2414" s="3">
        <f t="shared" si="75"/>
        <v>2015</v>
      </c>
      <c r="L2414" s="3">
        <f t="shared" si="76"/>
        <v>0</v>
      </c>
      <c r="M2414" s="20" t="str">
        <f>A2414&amp;L2414</f>
        <v>TNC0</v>
      </c>
      <c r="N2414" s="3">
        <f>F2414</f>
        <v>0.2</v>
      </c>
      <c r="O2414" s="9">
        <f>H2414</f>
        <v>1.41E-2</v>
      </c>
      <c r="P2414" s="10">
        <f t="shared" si="77"/>
        <v>0</v>
      </c>
      <c r="Q2414" s="10">
        <f>IF(K2414=0,IF(A2411=A2414,AVERAGE(O2411:O2414),"x"),0)</f>
        <v>0</v>
      </c>
      <c r="R2414" s="9">
        <f>IF(L2414&gt;2005,AVERAGE(O2411:O2430),0)</f>
        <v>0</v>
      </c>
      <c r="S2414" s="10">
        <f>IF(A2414=A2415,(N2414-N2415)/N2415,0)</f>
        <v>0</v>
      </c>
      <c r="T2414" s="10">
        <f>IF(L2414&gt;2005,(((N2414-N2434)/N2434)+1)^(1/5)-1,0)</f>
        <v>0</v>
      </c>
      <c r="U2414" s="10">
        <f t="shared" si="78"/>
        <v>0</v>
      </c>
      <c r="V2414" s="26">
        <f t="shared" si="79"/>
        <v>0</v>
      </c>
      <c r="W2414" s="3">
        <f>IF(A2414=A2415,N2414-N2415,0)</f>
        <v>0</v>
      </c>
      <c r="X2414" s="10">
        <f>IF(A2414=A2415,(N2414-N2415)/N2415,0)</f>
        <v>0</v>
      </c>
    </row>
    <row r="2415" spans="1:24" ht="16.5" customHeight="1">
      <c r="A2415" s="3" t="s">
        <v>50</v>
      </c>
      <c r="B2415" s="3">
        <f t="shared" si="72"/>
        <v>2015</v>
      </c>
      <c r="C2415" s="3">
        <f t="shared" si="73"/>
        <v>5</v>
      </c>
      <c r="D2415" s="20" t="str">
        <f t="shared" si="74"/>
        <v>TNC20155</v>
      </c>
      <c r="E2415" s="2">
        <v>42151</v>
      </c>
      <c r="F2415" s="3">
        <v>0.2</v>
      </c>
      <c r="G2415" s="2">
        <v>42170</v>
      </c>
      <c r="H2415" s="3">
        <v>1.23E-2</v>
      </c>
      <c r="I2415" s="3">
        <v>0</v>
      </c>
      <c r="J2415" s="3">
        <v>0</v>
      </c>
      <c r="K2415" s="3">
        <f t="shared" si="75"/>
        <v>2015</v>
      </c>
      <c r="L2415" s="3">
        <f t="shared" si="76"/>
        <v>0</v>
      </c>
      <c r="M2415" s="20" t="str">
        <f>A2415&amp;L2415</f>
        <v>TNC0</v>
      </c>
      <c r="N2415" s="3">
        <f>F2415</f>
        <v>0.2</v>
      </c>
      <c r="O2415" s="9">
        <f>H2415</f>
        <v>1.23E-2</v>
      </c>
      <c r="P2415" s="10">
        <f t="shared" si="77"/>
        <v>0</v>
      </c>
      <c r="Q2415" s="10">
        <f>IF(K2415=0,IF(A2412=A2415,AVERAGE(O2412:O2415),"x"),0)</f>
        <v>0</v>
      </c>
      <c r="R2415" s="9">
        <f>IF(L2415&gt;2005,AVERAGE(O2412:O2431),0)</f>
        <v>0</v>
      </c>
      <c r="S2415" s="10">
        <f>IF(A2415=A2416,(N2415-N2416)/N2416,0)</f>
        <v>0</v>
      </c>
      <c r="T2415" s="10">
        <f>IF(L2415&gt;2005,(((N2415-N2435)/N2435)+1)^(1/5)-1,0)</f>
        <v>0</v>
      </c>
      <c r="U2415" s="10">
        <f t="shared" si="78"/>
        <v>0</v>
      </c>
      <c r="V2415" s="26">
        <f t="shared" si="79"/>
        <v>0</v>
      </c>
      <c r="W2415" s="3">
        <f>IF(A2415=A2416,N2415-N2416,0)</f>
        <v>0</v>
      </c>
      <c r="X2415" s="10">
        <f>IF(A2415=A2416,(N2415-N2416)/N2416,0)</f>
        <v>0</v>
      </c>
    </row>
    <row r="2416" spans="1:24" ht="16.5" customHeight="1">
      <c r="A2416" s="3" t="s">
        <v>50</v>
      </c>
      <c r="B2416" s="3">
        <f t="shared" si="72"/>
        <v>2015</v>
      </c>
      <c r="C2416" s="3">
        <f t="shared" si="73"/>
        <v>2</v>
      </c>
      <c r="D2416" s="20" t="str">
        <f t="shared" si="74"/>
        <v>TNC20152</v>
      </c>
      <c r="E2416" s="2">
        <v>42061</v>
      </c>
      <c r="F2416" s="3">
        <v>0.2</v>
      </c>
      <c r="G2416" s="2">
        <v>42079</v>
      </c>
      <c r="H2416" s="3">
        <v>1.1900000000000001E-2</v>
      </c>
      <c r="I2416" s="3">
        <v>0</v>
      </c>
      <c r="J2416" s="3">
        <v>0</v>
      </c>
      <c r="K2416" s="3">
        <f t="shared" si="75"/>
        <v>0</v>
      </c>
      <c r="L2416" s="3">
        <f t="shared" si="76"/>
        <v>2015</v>
      </c>
      <c r="M2416" s="20" t="str">
        <f>A2416&amp;L2416</f>
        <v>TNC2015</v>
      </c>
      <c r="N2416" s="3">
        <f>F2416</f>
        <v>0.2</v>
      </c>
      <c r="O2416" s="9">
        <f>H2416</f>
        <v>1.1900000000000001E-2</v>
      </c>
      <c r="P2416" s="10">
        <f t="shared" si="77"/>
        <v>0</v>
      </c>
      <c r="Q2416" s="10">
        <f>IF(K2416=0,IF(A2413=A2416,AVERAGE(O2413:O2416),"x"),0)</f>
        <v>1.2825E-2</v>
      </c>
      <c r="R2416" s="9">
        <f>IF(L2416&gt;2005,AVERAGE(O2413:O2432),0)</f>
        <v>1.4330000000000001E-2</v>
      </c>
      <c r="S2416" s="10">
        <f>IF(A2416=A2417,(N2416-N2417)/N2417,0)</f>
        <v>0</v>
      </c>
      <c r="T2416" s="10">
        <f>IF(L2416&gt;2005,(((N2416-N2436)/N2436)+1)^(1/5)-1,0)</f>
        <v>7.3940923785779322E-2</v>
      </c>
      <c r="U2416" s="10">
        <f t="shared" si="78"/>
        <v>8.8270923785779318E-2</v>
      </c>
      <c r="V2416" s="26">
        <f t="shared" si="79"/>
        <v>4.8059185328052552</v>
      </c>
      <c r="W2416" s="3">
        <f>IF(A2416=A2417,N2416-N2417,0)</f>
        <v>0</v>
      </c>
      <c r="X2416" s="10">
        <f>IF(A2416=A2417,(N2416-N2417)/N2417,0)</f>
        <v>0</v>
      </c>
    </row>
    <row r="2417" spans="1:24" ht="16.5" customHeight="1">
      <c r="A2417" s="3" t="s">
        <v>50</v>
      </c>
      <c r="B2417" s="3">
        <f t="shared" si="72"/>
        <v>2014</v>
      </c>
      <c r="C2417" s="3">
        <f t="shared" si="73"/>
        <v>11</v>
      </c>
      <c r="D2417" s="20" t="str">
        <f t="shared" si="74"/>
        <v>TNC201411</v>
      </c>
      <c r="E2417" s="2">
        <v>41968</v>
      </c>
      <c r="F2417" s="3">
        <v>0.2</v>
      </c>
      <c r="G2417" s="2">
        <v>41988</v>
      </c>
      <c r="H2417" s="3">
        <v>1.12E-2</v>
      </c>
      <c r="I2417" s="3">
        <v>0</v>
      </c>
      <c r="J2417" s="3">
        <v>0</v>
      </c>
      <c r="K2417" s="3">
        <f t="shared" si="75"/>
        <v>2014</v>
      </c>
      <c r="L2417" s="3">
        <f t="shared" si="76"/>
        <v>0</v>
      </c>
      <c r="M2417" s="20" t="str">
        <f>A2417&amp;L2417</f>
        <v>TNC0</v>
      </c>
      <c r="N2417" s="3">
        <f>F2417</f>
        <v>0.2</v>
      </c>
      <c r="O2417" s="9">
        <f>H2417</f>
        <v>1.12E-2</v>
      </c>
      <c r="P2417" s="10">
        <f t="shared" si="77"/>
        <v>0</v>
      </c>
      <c r="Q2417" s="10">
        <f>IF(K2417=0,IF(A2414=A2417,AVERAGE(O2414:O2417),"x"),0)</f>
        <v>0</v>
      </c>
      <c r="R2417" s="9">
        <f>IF(L2417&gt;2005,AVERAGE(O2414:O2433),0)</f>
        <v>0</v>
      </c>
      <c r="S2417" s="10">
        <f>IF(A2417=A2418,(N2417-N2418)/N2418,0)</f>
        <v>0</v>
      </c>
      <c r="T2417" s="10">
        <f>IF(L2417&gt;2005,(((N2417-N2437)/N2437)+1)^(1/5)-1,0)</f>
        <v>0</v>
      </c>
      <c r="U2417" s="10">
        <f t="shared" si="78"/>
        <v>0</v>
      </c>
      <c r="V2417" s="26">
        <f t="shared" si="79"/>
        <v>0</v>
      </c>
      <c r="W2417" s="3">
        <f>IF(A2417=A2418,N2417-N2418,0)</f>
        <v>0</v>
      </c>
      <c r="X2417" s="10">
        <f>IF(A2417=A2418,(N2417-N2418)/N2418,0)</f>
        <v>0</v>
      </c>
    </row>
    <row r="2418" spans="1:24" ht="16.5" customHeight="1">
      <c r="A2418" s="3" t="s">
        <v>50</v>
      </c>
      <c r="B2418" s="3">
        <f t="shared" si="72"/>
        <v>2014</v>
      </c>
      <c r="C2418" s="3">
        <f t="shared" si="73"/>
        <v>8</v>
      </c>
      <c r="D2418" s="20" t="str">
        <f t="shared" si="74"/>
        <v>TNC20148</v>
      </c>
      <c r="E2418" s="2">
        <v>41879</v>
      </c>
      <c r="F2418" s="3">
        <v>0.2</v>
      </c>
      <c r="G2418" s="2">
        <v>41897</v>
      </c>
      <c r="H2418" s="3">
        <v>1.0699999999999999E-2</v>
      </c>
      <c r="I2418" s="3">
        <v>0</v>
      </c>
      <c r="J2418" s="3">
        <v>0</v>
      </c>
      <c r="K2418" s="3">
        <f t="shared" si="75"/>
        <v>2014</v>
      </c>
      <c r="L2418" s="3">
        <f t="shared" si="76"/>
        <v>0</v>
      </c>
      <c r="M2418" s="20" t="str">
        <f>A2418&amp;L2418</f>
        <v>TNC0</v>
      </c>
      <c r="N2418" s="3">
        <f>F2418</f>
        <v>0.2</v>
      </c>
      <c r="O2418" s="9">
        <f>H2418</f>
        <v>1.0699999999999999E-2</v>
      </c>
      <c r="P2418" s="10">
        <f t="shared" si="77"/>
        <v>0</v>
      </c>
      <c r="Q2418" s="10">
        <f>IF(K2418=0,IF(A2415=A2418,AVERAGE(O2415:O2418),"x"),0)</f>
        <v>0</v>
      </c>
      <c r="R2418" s="9">
        <f>IF(L2418&gt;2005,AVERAGE(O2415:O2434),0)</f>
        <v>0</v>
      </c>
      <c r="S2418" s="10">
        <f>IF(A2418=A2419,(N2418-N2419)/N2419,0)</f>
        <v>0</v>
      </c>
      <c r="T2418" s="10">
        <f>IF(L2418&gt;2005,(((N2418-N2438)/N2438)+1)^(1/5)-1,0)</f>
        <v>0</v>
      </c>
      <c r="U2418" s="10">
        <f t="shared" si="78"/>
        <v>0</v>
      </c>
      <c r="V2418" s="26">
        <f t="shared" si="79"/>
        <v>0</v>
      </c>
      <c r="W2418" s="3">
        <f>IF(A2418=A2419,N2418-N2419,0)</f>
        <v>0</v>
      </c>
      <c r="X2418" s="10">
        <f>IF(A2418=A2419,(N2418-N2419)/N2419,0)</f>
        <v>0</v>
      </c>
    </row>
    <row r="2419" spans="1:24" ht="16.5" customHeight="1">
      <c r="A2419" s="3" t="s">
        <v>50</v>
      </c>
      <c r="B2419" s="3">
        <f t="shared" si="72"/>
        <v>2014</v>
      </c>
      <c r="C2419" s="3">
        <f t="shared" si="73"/>
        <v>5</v>
      </c>
      <c r="D2419" s="20" t="str">
        <f t="shared" si="74"/>
        <v>TNC20145</v>
      </c>
      <c r="E2419" s="2">
        <v>41787</v>
      </c>
      <c r="F2419" s="3">
        <v>0.2</v>
      </c>
      <c r="G2419" s="2">
        <v>41806</v>
      </c>
      <c r="H2419" s="3">
        <v>1.14E-2</v>
      </c>
      <c r="I2419" s="3">
        <v>0.111111111</v>
      </c>
      <c r="J2419" s="3">
        <v>0.02</v>
      </c>
      <c r="K2419" s="3">
        <f t="shared" si="75"/>
        <v>2014</v>
      </c>
      <c r="L2419" s="3">
        <f t="shared" si="76"/>
        <v>0</v>
      </c>
      <c r="M2419" s="20" t="str">
        <f>A2419&amp;L2419</f>
        <v>TNC0</v>
      </c>
      <c r="N2419" s="3">
        <f>F2419</f>
        <v>0.2</v>
      </c>
      <c r="O2419" s="9">
        <f>H2419</f>
        <v>1.14E-2</v>
      </c>
      <c r="P2419" s="10">
        <f t="shared" si="77"/>
        <v>1.225E-2</v>
      </c>
      <c r="Q2419" s="10">
        <f>IF(K2419=0,IF(A2416=A2419,AVERAGE(O2416:O2419),"x"),0)</f>
        <v>0</v>
      </c>
      <c r="R2419" s="9">
        <f>IF(L2419&gt;2005,AVERAGE(O2416:O2435),0)</f>
        <v>0</v>
      </c>
      <c r="S2419" s="10">
        <f>IF(A2419=A2420,(N2419-N2420)/N2420,0)</f>
        <v>0.11111111111111122</v>
      </c>
      <c r="T2419" s="10">
        <f>IF(L2419&gt;2005,(((N2419-N2439)/N2439)+1)^(1/5)-1,0)</f>
        <v>0</v>
      </c>
      <c r="U2419" s="10">
        <f t="shared" si="78"/>
        <v>0</v>
      </c>
      <c r="V2419" s="26">
        <f t="shared" si="79"/>
        <v>0</v>
      </c>
      <c r="W2419" s="3">
        <f>IF(A2419=A2420,N2419-N2420,0)</f>
        <v>2.0000000000000018E-2</v>
      </c>
      <c r="X2419" s="10">
        <f>IF(A2419=A2420,(N2419-N2420)/N2420,0)</f>
        <v>0.11111111111111122</v>
      </c>
    </row>
    <row r="2420" spans="1:24" ht="16.5" customHeight="1">
      <c r="A2420" s="3" t="s">
        <v>50</v>
      </c>
      <c r="B2420" s="3">
        <f t="shared" si="72"/>
        <v>2014</v>
      </c>
      <c r="C2420" s="3">
        <f t="shared" si="73"/>
        <v>2</v>
      </c>
      <c r="D2420" s="20" t="str">
        <f t="shared" si="74"/>
        <v>TNC20142</v>
      </c>
      <c r="E2420" s="2">
        <v>41697</v>
      </c>
      <c r="F2420" s="3">
        <v>0.18</v>
      </c>
      <c r="G2420" s="2">
        <v>41715</v>
      </c>
      <c r="H2420" s="3">
        <v>1.24E-2</v>
      </c>
      <c r="I2420" s="3">
        <v>0</v>
      </c>
      <c r="J2420" s="3">
        <v>0</v>
      </c>
      <c r="K2420" s="3">
        <f t="shared" si="75"/>
        <v>0</v>
      </c>
      <c r="L2420" s="3">
        <f t="shared" si="76"/>
        <v>2014</v>
      </c>
      <c r="M2420" s="20" t="str">
        <f>A2420&amp;L2420</f>
        <v>TNC2014</v>
      </c>
      <c r="N2420" s="3">
        <f>F2420</f>
        <v>0.18</v>
      </c>
      <c r="O2420" s="9">
        <f>H2420</f>
        <v>1.24E-2</v>
      </c>
      <c r="P2420" s="10">
        <f t="shared" si="77"/>
        <v>0</v>
      </c>
      <c r="Q2420" s="10">
        <f>IF(K2420=0,IF(A2417=A2420,AVERAGE(O2417:O2420),"x"),0)</f>
        <v>1.1424999999999999E-2</v>
      </c>
      <c r="R2420" s="9">
        <f>IF(L2420&gt;2005,AVERAGE(O2417:O2436),0)</f>
        <v>1.5495E-2</v>
      </c>
      <c r="S2420" s="10">
        <f>IF(A2420=A2421,(N2420-N2421)/N2421,0)</f>
        <v>0</v>
      </c>
      <c r="T2420" s="10">
        <f>IF(L2420&gt;2005,(((N2420-N2440)/N2440)+1)^(1/5)-1,0)</f>
        <v>6.7249181879538877E-2</v>
      </c>
      <c r="U2420" s="10">
        <f t="shared" si="78"/>
        <v>8.2744181879538872E-2</v>
      </c>
      <c r="V2420" s="26">
        <f t="shared" si="79"/>
        <v>4.7893894075926662</v>
      </c>
      <c r="W2420" s="3">
        <f>IF(A2420=A2421,N2420-N2421,0)</f>
        <v>0</v>
      </c>
      <c r="X2420" s="10">
        <f>IF(A2420=A2421,(N2420-N2421)/N2421,0)</f>
        <v>0</v>
      </c>
    </row>
    <row r="2421" spans="1:24" ht="16.5" customHeight="1">
      <c r="A2421" s="3" t="s">
        <v>50</v>
      </c>
      <c r="B2421" s="3">
        <f t="shared" si="72"/>
        <v>2013</v>
      </c>
      <c r="C2421" s="3">
        <f t="shared" si="73"/>
        <v>11</v>
      </c>
      <c r="D2421" s="20" t="str">
        <f t="shared" si="74"/>
        <v>TNC201311</v>
      </c>
      <c r="E2421" s="2">
        <v>41604</v>
      </c>
      <c r="F2421" s="3">
        <v>0.18</v>
      </c>
      <c r="G2421" s="2">
        <v>41624</v>
      </c>
      <c r="H2421" s="3">
        <v>1.14E-2</v>
      </c>
      <c r="I2421" s="3">
        <v>0</v>
      </c>
      <c r="J2421" s="3">
        <v>0</v>
      </c>
      <c r="K2421" s="3">
        <f t="shared" si="75"/>
        <v>2013</v>
      </c>
      <c r="L2421" s="3">
        <f t="shared" si="76"/>
        <v>0</v>
      </c>
      <c r="M2421" s="20" t="str">
        <f>A2421&amp;L2421</f>
        <v>TNC0</v>
      </c>
      <c r="N2421" s="3">
        <f>F2421</f>
        <v>0.18</v>
      </c>
      <c r="O2421" s="9">
        <f>H2421</f>
        <v>1.14E-2</v>
      </c>
      <c r="P2421" s="10">
        <f t="shared" si="77"/>
        <v>0</v>
      </c>
      <c r="Q2421" s="10">
        <f>IF(K2421=0,IF(A2418=A2421,AVERAGE(O2418:O2421),"x"),0)</f>
        <v>0</v>
      </c>
      <c r="R2421" s="9">
        <f>IF(L2421&gt;2005,AVERAGE(O2418:O2437),0)</f>
        <v>0</v>
      </c>
      <c r="S2421" s="10">
        <f>IF(A2421=A2422,(N2421-N2422)/N2422,0)</f>
        <v>0</v>
      </c>
      <c r="T2421" s="10">
        <f>IF(L2421&gt;2005,(((N2421-N2441)/N2441)+1)^(1/5)-1,0)</f>
        <v>0</v>
      </c>
      <c r="U2421" s="10">
        <f t="shared" si="78"/>
        <v>0</v>
      </c>
      <c r="V2421" s="26">
        <f t="shared" si="79"/>
        <v>0</v>
      </c>
      <c r="W2421" s="3">
        <f>IF(A2421=A2422,N2421-N2422,0)</f>
        <v>0</v>
      </c>
      <c r="X2421" s="10">
        <f>IF(A2421=A2422,(N2421-N2422)/N2422,0)</f>
        <v>0</v>
      </c>
    </row>
    <row r="2422" spans="1:24" ht="16.5" customHeight="1">
      <c r="A2422" s="3" t="s">
        <v>50</v>
      </c>
      <c r="B2422" s="3">
        <f t="shared" si="72"/>
        <v>2013</v>
      </c>
      <c r="C2422" s="3">
        <f t="shared" si="73"/>
        <v>8</v>
      </c>
      <c r="D2422" s="20" t="str">
        <f t="shared" si="74"/>
        <v>TNC20138</v>
      </c>
      <c r="E2422" s="2">
        <v>41514</v>
      </c>
      <c r="F2422" s="3">
        <v>0.18</v>
      </c>
      <c r="G2422" s="2">
        <v>41533</v>
      </c>
      <c r="H2422" s="3">
        <v>1.38E-2</v>
      </c>
      <c r="I2422" s="3">
        <v>0</v>
      </c>
      <c r="J2422" s="3">
        <v>0</v>
      </c>
      <c r="K2422" s="3">
        <f t="shared" si="75"/>
        <v>2013</v>
      </c>
      <c r="L2422" s="3">
        <f t="shared" si="76"/>
        <v>0</v>
      </c>
      <c r="M2422" s="20" t="str">
        <f>A2422&amp;L2422</f>
        <v>TNC0</v>
      </c>
      <c r="N2422" s="3">
        <f>F2422</f>
        <v>0.18</v>
      </c>
      <c r="O2422" s="9">
        <f>H2422</f>
        <v>1.38E-2</v>
      </c>
      <c r="P2422" s="10">
        <f t="shared" si="77"/>
        <v>0</v>
      </c>
      <c r="Q2422" s="10">
        <f>IF(K2422=0,IF(A2419=A2422,AVERAGE(O2419:O2422),"x"),0)</f>
        <v>0</v>
      </c>
      <c r="R2422" s="9">
        <f>IF(L2422&gt;2005,AVERAGE(O2419:O2438),0)</f>
        <v>0</v>
      </c>
      <c r="S2422" s="10">
        <f>IF(A2422=A2423,(N2422-N2423)/N2423,0)</f>
        <v>0</v>
      </c>
      <c r="T2422" s="10">
        <f>IF(L2422&gt;2005,(((N2422-N2442)/N2442)+1)^(1/5)-1,0)</f>
        <v>0</v>
      </c>
      <c r="U2422" s="10">
        <f t="shared" si="78"/>
        <v>0</v>
      </c>
      <c r="V2422" s="26">
        <f t="shared" si="79"/>
        <v>0</v>
      </c>
      <c r="W2422" s="3">
        <f>IF(A2422=A2423,N2422-N2423,0)</f>
        <v>0</v>
      </c>
      <c r="X2422" s="10">
        <f>IF(A2422=A2423,(N2422-N2423)/N2423,0)</f>
        <v>0</v>
      </c>
    </row>
    <row r="2423" spans="1:24" ht="16.5" customHeight="1">
      <c r="A2423" s="3" t="s">
        <v>50</v>
      </c>
      <c r="B2423" s="3">
        <f t="shared" si="72"/>
        <v>2013</v>
      </c>
      <c r="C2423" s="3">
        <f t="shared" si="73"/>
        <v>5</v>
      </c>
      <c r="D2423" s="20" t="str">
        <f t="shared" si="74"/>
        <v>TNC20135</v>
      </c>
      <c r="E2423" s="2">
        <v>41423</v>
      </c>
      <c r="F2423" s="3">
        <v>0.18</v>
      </c>
      <c r="G2423" s="2">
        <v>41442</v>
      </c>
      <c r="H2423" s="3">
        <v>1.4200000000000001E-2</v>
      </c>
      <c r="I2423" s="3">
        <v>0</v>
      </c>
      <c r="J2423" s="3">
        <v>0</v>
      </c>
      <c r="K2423" s="3">
        <f t="shared" si="75"/>
        <v>2013</v>
      </c>
      <c r="L2423" s="3">
        <f t="shared" si="76"/>
        <v>0</v>
      </c>
      <c r="M2423" s="20" t="str">
        <f>A2423&amp;L2423</f>
        <v>TNC0</v>
      </c>
      <c r="N2423" s="3">
        <f>F2423</f>
        <v>0.18</v>
      </c>
      <c r="O2423" s="9">
        <f>H2423</f>
        <v>1.4200000000000001E-2</v>
      </c>
      <c r="P2423" s="10">
        <f t="shared" si="77"/>
        <v>0</v>
      </c>
      <c r="Q2423" s="10">
        <f>IF(K2423=0,IF(A2420=A2423,AVERAGE(O2420:O2423),"x"),0)</f>
        <v>0</v>
      </c>
      <c r="R2423" s="9">
        <f>IF(L2423&gt;2005,AVERAGE(O2420:O2439),0)</f>
        <v>0</v>
      </c>
      <c r="S2423" s="10">
        <f>IF(A2423=A2424,(N2423-N2424)/N2424,0)</f>
        <v>0</v>
      </c>
      <c r="T2423" s="10">
        <f>IF(L2423&gt;2005,(((N2423-N2443)/N2443)+1)^(1/5)-1,0)</f>
        <v>0</v>
      </c>
      <c r="U2423" s="10">
        <f t="shared" si="78"/>
        <v>0</v>
      </c>
      <c r="V2423" s="26">
        <f t="shared" si="79"/>
        <v>0</v>
      </c>
      <c r="W2423" s="3">
        <f>IF(A2423=A2424,N2423-N2424,0)</f>
        <v>0</v>
      </c>
      <c r="X2423" s="10">
        <f>IF(A2423=A2424,(N2423-N2424)/N2424,0)</f>
        <v>0</v>
      </c>
    </row>
    <row r="2424" spans="1:24" ht="16.5" customHeight="1">
      <c r="A2424" s="3" t="s">
        <v>50</v>
      </c>
      <c r="B2424" s="3">
        <f t="shared" si="72"/>
        <v>2013</v>
      </c>
      <c r="C2424" s="3">
        <f t="shared" si="73"/>
        <v>2</v>
      </c>
      <c r="D2424" s="20" t="str">
        <f t="shared" si="74"/>
        <v>TNC20132</v>
      </c>
      <c r="E2424" s="2">
        <v>41331</v>
      </c>
      <c r="F2424" s="3">
        <v>0.18</v>
      </c>
      <c r="G2424" s="2">
        <v>41348</v>
      </c>
      <c r="H2424" s="3">
        <v>1.5299999999999999E-2</v>
      </c>
      <c r="I2424" s="3">
        <v>0</v>
      </c>
      <c r="J2424" s="3">
        <v>0</v>
      </c>
      <c r="K2424" s="3">
        <f t="shared" si="75"/>
        <v>0</v>
      </c>
      <c r="L2424" s="3">
        <f t="shared" si="76"/>
        <v>2013</v>
      </c>
      <c r="M2424" s="20" t="str">
        <f>A2424&amp;L2424</f>
        <v>TNC2013</v>
      </c>
      <c r="N2424" s="3">
        <f>F2424</f>
        <v>0.18</v>
      </c>
      <c r="O2424" s="9">
        <f>H2424</f>
        <v>1.5299999999999999E-2</v>
      </c>
      <c r="P2424" s="10">
        <f t="shared" si="77"/>
        <v>0</v>
      </c>
      <c r="Q2424" s="10">
        <f>IF(K2424=0,IF(A2421=A2424,AVERAGE(O2421:O2424),"x"),0)</f>
        <v>1.3675000000000001E-2</v>
      </c>
      <c r="R2424" s="9">
        <f>IF(L2424&gt;2005,AVERAGE(O2421:O2440),0)</f>
        <v>1.8645000000000002E-2</v>
      </c>
      <c r="S2424" s="10">
        <f>IF(A2424=A2425,(N2424-N2425)/N2425,0)</f>
        <v>0</v>
      </c>
      <c r="T2424" s="10">
        <f>IF(L2424&gt;2005,(((N2424-N2444)/N2444)+1)^(1/5)-1,0)</f>
        <v>6.7249181879538877E-2</v>
      </c>
      <c r="U2424" s="10">
        <f t="shared" si="78"/>
        <v>8.5894181879538872E-2</v>
      </c>
      <c r="V2424" s="26">
        <f t="shared" si="79"/>
        <v>4.748268172260075</v>
      </c>
      <c r="W2424" s="3">
        <f>IF(A2424=A2425,N2424-N2425,0)</f>
        <v>0</v>
      </c>
      <c r="X2424" s="10">
        <f>IF(A2424=A2425,(N2424-N2425)/N2425,0)</f>
        <v>0</v>
      </c>
    </row>
    <row r="2425" spans="1:24" ht="16.5" customHeight="1">
      <c r="A2425" s="3" t="s">
        <v>50</v>
      </c>
      <c r="B2425" s="3">
        <f t="shared" si="72"/>
        <v>2012</v>
      </c>
      <c r="C2425" s="3">
        <f t="shared" si="73"/>
        <v>11</v>
      </c>
      <c r="D2425" s="20" t="str">
        <f t="shared" si="74"/>
        <v>TNC201211</v>
      </c>
      <c r="E2425" s="2">
        <v>41241</v>
      </c>
      <c r="F2425" s="3">
        <v>0.18</v>
      </c>
      <c r="G2425" s="2">
        <v>41257</v>
      </c>
      <c r="H2425" s="3">
        <v>1.8599999999999998E-2</v>
      </c>
      <c r="I2425" s="3">
        <v>5.8823528999999999E-2</v>
      </c>
      <c r="J2425" s="3">
        <v>0.01</v>
      </c>
      <c r="K2425" s="3">
        <f t="shared" si="75"/>
        <v>2012</v>
      </c>
      <c r="L2425" s="3">
        <f t="shared" si="76"/>
        <v>0</v>
      </c>
      <c r="M2425" s="20" t="str">
        <f>A2425&amp;L2425</f>
        <v>TNC0</v>
      </c>
      <c r="N2425" s="3">
        <f>F2425</f>
        <v>0.18</v>
      </c>
      <c r="O2425" s="9">
        <f>H2425</f>
        <v>1.8599999999999998E-2</v>
      </c>
      <c r="P2425" s="10">
        <f t="shared" si="77"/>
        <v>1.6724999999999997E-2</v>
      </c>
      <c r="Q2425" s="10">
        <f>IF(K2425=0,IF(A2422=A2425,AVERAGE(O2422:O2425),"x"),0)</f>
        <v>0</v>
      </c>
      <c r="R2425" s="9">
        <f>IF(L2425&gt;2005,AVERAGE(O2422:O2441),0)</f>
        <v>0</v>
      </c>
      <c r="S2425" s="10">
        <f>IF(A2425=A2426,(N2425-N2426)/N2426,0)</f>
        <v>5.8823529411764594E-2</v>
      </c>
      <c r="T2425" s="10">
        <f>IF(L2425&gt;2005,(((N2425-N2445)/N2445)+1)^(1/5)-1,0)</f>
        <v>0</v>
      </c>
      <c r="U2425" s="10">
        <f t="shared" si="78"/>
        <v>0</v>
      </c>
      <c r="V2425" s="26">
        <f t="shared" si="79"/>
        <v>0</v>
      </c>
      <c r="W2425" s="3">
        <f>IF(A2425=A2426,N2425-N2426,0)</f>
        <v>9.9999999999999811E-3</v>
      </c>
      <c r="X2425" s="10">
        <f>IF(A2425=A2426,(N2425-N2426)/N2426,0)</f>
        <v>5.8823529411764594E-2</v>
      </c>
    </row>
    <row r="2426" spans="1:24" ht="16.5" customHeight="1">
      <c r="A2426" s="3" t="s">
        <v>50</v>
      </c>
      <c r="B2426" s="3">
        <f t="shared" si="72"/>
        <v>2012</v>
      </c>
      <c r="C2426" s="3">
        <f t="shared" si="73"/>
        <v>8</v>
      </c>
      <c r="D2426" s="20" t="str">
        <f t="shared" si="74"/>
        <v>TNC20128</v>
      </c>
      <c r="E2426" s="2">
        <v>41150</v>
      </c>
      <c r="F2426" s="3">
        <v>0.17</v>
      </c>
      <c r="G2426" s="2">
        <v>41166</v>
      </c>
      <c r="H2426" s="3">
        <v>1.61E-2</v>
      </c>
      <c r="I2426" s="3">
        <v>0</v>
      </c>
      <c r="J2426" s="3">
        <v>0</v>
      </c>
      <c r="K2426" s="3">
        <f t="shared" si="75"/>
        <v>2012</v>
      </c>
      <c r="L2426" s="3">
        <f t="shared" si="76"/>
        <v>0</v>
      </c>
      <c r="M2426" s="20" t="str">
        <f>A2426&amp;L2426</f>
        <v>TNC0</v>
      </c>
      <c r="N2426" s="3">
        <f>F2426</f>
        <v>0.17</v>
      </c>
      <c r="O2426" s="9">
        <f>H2426</f>
        <v>1.61E-2</v>
      </c>
      <c r="P2426" s="10">
        <f t="shared" si="77"/>
        <v>0</v>
      </c>
      <c r="Q2426" s="10">
        <f>IF(K2426=0,IF(A2423=A2426,AVERAGE(O2423:O2426),"x"),0)</f>
        <v>0</v>
      </c>
      <c r="R2426" s="9">
        <f>IF(L2426&gt;2005,AVERAGE(O2423:O2442),0)</f>
        <v>0</v>
      </c>
      <c r="S2426" s="10">
        <f>IF(A2426=A2427,(N2426-N2427)/N2427,0)</f>
        <v>0</v>
      </c>
      <c r="T2426" s="10">
        <f>IF(L2426&gt;2005,(((N2426-N2446)/N2446)+1)^(1/5)-1,0)</f>
        <v>0</v>
      </c>
      <c r="U2426" s="10">
        <f t="shared" si="78"/>
        <v>0</v>
      </c>
      <c r="V2426" s="26">
        <f t="shared" si="79"/>
        <v>0</v>
      </c>
      <c r="W2426" s="3">
        <f>IF(A2426=A2427,N2426-N2427,0)</f>
        <v>0</v>
      </c>
      <c r="X2426" s="10">
        <f>IF(A2426=A2427,(N2426-N2427)/N2427,0)</f>
        <v>0</v>
      </c>
    </row>
    <row r="2427" spans="1:24" ht="16.5" customHeight="1">
      <c r="A2427" s="3" t="s">
        <v>50</v>
      </c>
      <c r="B2427" s="3">
        <f t="shared" si="72"/>
        <v>2012</v>
      </c>
      <c r="C2427" s="3">
        <f t="shared" si="73"/>
        <v>5</v>
      </c>
      <c r="D2427" s="20" t="str">
        <f t="shared" si="74"/>
        <v>TNC20125</v>
      </c>
      <c r="E2427" s="2">
        <v>41058</v>
      </c>
      <c r="F2427" s="3">
        <v>0.17</v>
      </c>
      <c r="G2427" s="2">
        <v>41075</v>
      </c>
      <c r="H2427" s="3">
        <v>1.6400000000000001E-2</v>
      </c>
      <c r="I2427" s="3">
        <v>0</v>
      </c>
      <c r="J2427" s="3">
        <v>0</v>
      </c>
      <c r="K2427" s="3">
        <f t="shared" si="75"/>
        <v>2012</v>
      </c>
      <c r="L2427" s="3">
        <f t="shared" si="76"/>
        <v>0</v>
      </c>
      <c r="M2427" s="20" t="str">
        <f>A2427&amp;L2427</f>
        <v>TNC0</v>
      </c>
      <c r="N2427" s="3">
        <f>F2427</f>
        <v>0.17</v>
      </c>
      <c r="O2427" s="9">
        <f>H2427</f>
        <v>1.6400000000000001E-2</v>
      </c>
      <c r="P2427" s="10">
        <f t="shared" si="77"/>
        <v>0</v>
      </c>
      <c r="Q2427" s="10">
        <f>IF(K2427=0,IF(A2424=A2427,AVERAGE(O2424:O2427),"x"),0)</f>
        <v>0</v>
      </c>
      <c r="R2427" s="9">
        <f>IF(L2427&gt;2005,AVERAGE(O2424:O2443),0)</f>
        <v>0</v>
      </c>
      <c r="S2427" s="10">
        <f>IF(A2427=A2428,(N2427-N2428)/N2428,0)</f>
        <v>0</v>
      </c>
      <c r="T2427" s="10">
        <f>IF(L2427&gt;2005,(((N2427-N2447)/N2447)+1)^(1/5)-1,0)</f>
        <v>0</v>
      </c>
      <c r="U2427" s="10">
        <f t="shared" si="78"/>
        <v>0</v>
      </c>
      <c r="V2427" s="26">
        <f t="shared" si="79"/>
        <v>0</v>
      </c>
      <c r="W2427" s="3">
        <f>IF(A2427=A2428,N2427-N2428,0)</f>
        <v>0</v>
      </c>
      <c r="X2427" s="10">
        <f>IF(A2427=A2428,(N2427-N2428)/N2428,0)</f>
        <v>0</v>
      </c>
    </row>
    <row r="2428" spans="1:24" ht="16.5" customHeight="1">
      <c r="A2428" s="3" t="s">
        <v>50</v>
      </c>
      <c r="B2428" s="3">
        <f t="shared" si="72"/>
        <v>2012</v>
      </c>
      <c r="C2428" s="3">
        <f t="shared" si="73"/>
        <v>2</v>
      </c>
      <c r="D2428" s="20" t="str">
        <f t="shared" si="74"/>
        <v>TNC20122</v>
      </c>
      <c r="E2428" s="2">
        <v>40966</v>
      </c>
      <c r="F2428" s="3">
        <v>0.17</v>
      </c>
      <c r="G2428" s="2">
        <v>40983</v>
      </c>
      <c r="H2428" s="3">
        <v>1.5800000000000002E-2</v>
      </c>
      <c r="I2428" s="3">
        <v>0</v>
      </c>
      <c r="J2428" s="3">
        <v>0</v>
      </c>
      <c r="K2428" s="3">
        <f t="shared" si="75"/>
        <v>0</v>
      </c>
      <c r="L2428" s="3">
        <f t="shared" si="76"/>
        <v>2012</v>
      </c>
      <c r="M2428" s="20" t="str">
        <f>A2428&amp;L2428</f>
        <v>TNC2012</v>
      </c>
      <c r="N2428" s="3">
        <f>F2428</f>
        <v>0.17</v>
      </c>
      <c r="O2428" s="9">
        <f>H2428</f>
        <v>1.5800000000000002E-2</v>
      </c>
      <c r="P2428" s="10">
        <f t="shared" si="77"/>
        <v>0</v>
      </c>
      <c r="Q2428" s="10">
        <f>IF(K2428=0,IF(A2425=A2428,AVERAGE(O2425:O2428),"x"),0)</f>
        <v>1.6724999999999997E-2</v>
      </c>
      <c r="R2428" s="9">
        <f>IF(L2428&gt;2005,AVERAGE(O2425:O2444),0)</f>
        <v>1.9354999999999997E-2</v>
      </c>
      <c r="S2428" s="10">
        <f>IF(A2428=A2429,(N2428-N2429)/N2429,0)</f>
        <v>0</v>
      </c>
      <c r="T2428" s="10">
        <f>IF(L2428&gt;2005,(((N2428-N2448)/N2448)+1)^(1/5)-1,0)</f>
        <v>7.2145025900850923E-2</v>
      </c>
      <c r="U2428" s="10">
        <f t="shared" si="78"/>
        <v>9.150002590085092E-2</v>
      </c>
      <c r="V2428" s="26">
        <f t="shared" si="79"/>
        <v>4.7402186023654487</v>
      </c>
      <c r="W2428" s="3">
        <f>IF(A2428=A2429,N2428-N2429,0)</f>
        <v>0</v>
      </c>
      <c r="X2428" s="10">
        <f>IF(A2428=A2429,(N2428-N2429)/N2429,0)</f>
        <v>0</v>
      </c>
    </row>
    <row r="2429" spans="1:24" ht="16.5" customHeight="1">
      <c r="A2429" s="3" t="s">
        <v>50</v>
      </c>
      <c r="B2429" s="3">
        <f t="shared" si="72"/>
        <v>2011</v>
      </c>
      <c r="C2429" s="3">
        <f t="shared" si="73"/>
        <v>11</v>
      </c>
      <c r="D2429" s="20" t="str">
        <f t="shared" si="74"/>
        <v>TNC201111</v>
      </c>
      <c r="E2429" s="2">
        <v>40875</v>
      </c>
      <c r="F2429" s="3">
        <v>0.17</v>
      </c>
      <c r="G2429" s="2">
        <v>40892</v>
      </c>
      <c r="H2429" s="3">
        <v>1.83E-2</v>
      </c>
      <c r="I2429" s="3">
        <v>0</v>
      </c>
      <c r="J2429" s="3">
        <v>0</v>
      </c>
      <c r="K2429" s="3">
        <f t="shared" si="75"/>
        <v>2011</v>
      </c>
      <c r="L2429" s="3">
        <f t="shared" si="76"/>
        <v>0</v>
      </c>
      <c r="M2429" s="20" t="str">
        <f>A2429&amp;L2429</f>
        <v>TNC0</v>
      </c>
      <c r="N2429" s="3">
        <f>F2429</f>
        <v>0.17</v>
      </c>
      <c r="O2429" s="9">
        <f>H2429</f>
        <v>1.83E-2</v>
      </c>
      <c r="P2429" s="10">
        <f t="shared" si="77"/>
        <v>0</v>
      </c>
      <c r="Q2429" s="10">
        <f>IF(K2429=0,IF(A2426=A2429,AVERAGE(O2426:O2429),"x"),0)</f>
        <v>0</v>
      </c>
      <c r="R2429" s="9">
        <f>IF(L2429&gt;2005,AVERAGE(O2426:O2445),0)</f>
        <v>0</v>
      </c>
      <c r="S2429" s="10">
        <f>IF(A2429=A2430,(N2429-N2430)/N2430,0)</f>
        <v>0</v>
      </c>
      <c r="T2429" s="10">
        <f>IF(L2429&gt;2005,(((N2429-N2449)/N2449)+1)^(1/5)-1,0)</f>
        <v>0</v>
      </c>
      <c r="U2429" s="10">
        <f t="shared" si="78"/>
        <v>0</v>
      </c>
      <c r="V2429" s="26">
        <f t="shared" si="79"/>
        <v>0</v>
      </c>
      <c r="W2429" s="3">
        <f>IF(A2429=A2430,N2429-N2430,0)</f>
        <v>0</v>
      </c>
      <c r="X2429" s="10">
        <f>IF(A2429=A2430,(N2429-N2430)/N2430,0)</f>
        <v>0</v>
      </c>
    </row>
    <row r="2430" spans="1:24" ht="16.5" customHeight="1">
      <c r="A2430" s="3" t="s">
        <v>50</v>
      </c>
      <c r="B2430" s="3">
        <f t="shared" si="72"/>
        <v>2011</v>
      </c>
      <c r="C2430" s="3">
        <f t="shared" si="73"/>
        <v>8</v>
      </c>
      <c r="D2430" s="20" t="str">
        <f t="shared" si="74"/>
        <v>TNC20118</v>
      </c>
      <c r="E2430" s="2">
        <v>40784</v>
      </c>
      <c r="F2430" s="3">
        <v>0.17</v>
      </c>
      <c r="G2430" s="2">
        <v>40801</v>
      </c>
      <c r="H2430" s="3">
        <v>1.66E-2</v>
      </c>
      <c r="I2430" s="3">
        <v>0</v>
      </c>
      <c r="J2430" s="3">
        <v>0</v>
      </c>
      <c r="K2430" s="3">
        <f t="shared" si="75"/>
        <v>2011</v>
      </c>
      <c r="L2430" s="3">
        <f t="shared" si="76"/>
        <v>0</v>
      </c>
      <c r="M2430" s="20" t="str">
        <f>A2430&amp;L2430</f>
        <v>TNC0</v>
      </c>
      <c r="N2430" s="3">
        <f>F2430</f>
        <v>0.17</v>
      </c>
      <c r="O2430" s="9">
        <f>H2430</f>
        <v>1.66E-2</v>
      </c>
      <c r="P2430" s="10">
        <f t="shared" si="77"/>
        <v>0</v>
      </c>
      <c r="Q2430" s="10">
        <f>IF(K2430=0,IF(A2427=A2430,AVERAGE(O2427:O2430),"x"),0)</f>
        <v>0</v>
      </c>
      <c r="R2430" s="9">
        <f>IF(L2430&gt;2005,AVERAGE(O2427:O2446),0)</f>
        <v>0</v>
      </c>
      <c r="S2430" s="10">
        <f>IF(A2430=A2431,(N2430-N2431)/N2431,0)</f>
        <v>0</v>
      </c>
      <c r="T2430" s="10">
        <f>IF(L2430&gt;2005,(((N2430-N2450)/N2450)+1)^(1/5)-1,0)</f>
        <v>0</v>
      </c>
      <c r="U2430" s="10">
        <f t="shared" si="78"/>
        <v>0</v>
      </c>
      <c r="V2430" s="26">
        <f t="shared" si="79"/>
        <v>0</v>
      </c>
      <c r="W2430" s="3">
        <f>IF(A2430=A2431,N2430-N2431,0)</f>
        <v>0</v>
      </c>
      <c r="X2430" s="10">
        <f>IF(A2430=A2431,(N2430-N2431)/N2431,0)</f>
        <v>0</v>
      </c>
    </row>
    <row r="2431" spans="1:24" ht="16.5" customHeight="1">
      <c r="A2431" s="3" t="s">
        <v>50</v>
      </c>
      <c r="B2431" s="3">
        <f t="shared" si="72"/>
        <v>2011</v>
      </c>
      <c r="C2431" s="3">
        <f t="shared" si="73"/>
        <v>5</v>
      </c>
      <c r="D2431" s="20" t="str">
        <f t="shared" si="74"/>
        <v>TNC20115</v>
      </c>
      <c r="E2431" s="2">
        <v>40689</v>
      </c>
      <c r="F2431" s="3">
        <v>0.17</v>
      </c>
      <c r="G2431" s="2">
        <v>40709</v>
      </c>
      <c r="H2431" s="3">
        <v>1.7100000000000001E-2</v>
      </c>
      <c r="I2431" s="3">
        <v>0</v>
      </c>
      <c r="J2431" s="3">
        <v>0</v>
      </c>
      <c r="K2431" s="3">
        <f t="shared" si="75"/>
        <v>2011</v>
      </c>
      <c r="L2431" s="3">
        <f t="shared" si="76"/>
        <v>0</v>
      </c>
      <c r="M2431" s="20" t="str">
        <f>A2431&amp;L2431</f>
        <v>TNC0</v>
      </c>
      <c r="N2431" s="3">
        <f>F2431</f>
        <v>0.17</v>
      </c>
      <c r="O2431" s="9">
        <f>H2431</f>
        <v>1.7100000000000001E-2</v>
      </c>
      <c r="P2431" s="10">
        <f t="shared" si="77"/>
        <v>0</v>
      </c>
      <c r="Q2431" s="10">
        <f>IF(K2431=0,IF(A2428=A2431,AVERAGE(O2428:O2431),"x"),0)</f>
        <v>0</v>
      </c>
      <c r="R2431" s="9">
        <f>IF(L2431&gt;2005,AVERAGE(O2428:O2447),0)</f>
        <v>0</v>
      </c>
      <c r="S2431" s="10">
        <f>IF(A2431=A2432,(N2431-N2432)/N2432,0)</f>
        <v>0</v>
      </c>
      <c r="T2431" s="10">
        <f>IF(L2431&gt;2005,(((N2431-N2451)/N2451)+1)^(1/5)-1,0)</f>
        <v>0</v>
      </c>
      <c r="U2431" s="10">
        <f t="shared" si="78"/>
        <v>0</v>
      </c>
      <c r="V2431" s="26">
        <f t="shared" si="79"/>
        <v>0</v>
      </c>
      <c r="W2431" s="3">
        <f>IF(A2431=A2432,N2431-N2432,0)</f>
        <v>0</v>
      </c>
      <c r="X2431" s="10">
        <f>IF(A2431=A2432,(N2431-N2432)/N2432,0)</f>
        <v>0</v>
      </c>
    </row>
    <row r="2432" spans="1:24" ht="16.5" customHeight="1">
      <c r="A2432" s="3" t="s">
        <v>50</v>
      </c>
      <c r="B2432" s="3">
        <f t="shared" si="72"/>
        <v>2011</v>
      </c>
      <c r="C2432" s="3">
        <f t="shared" si="73"/>
        <v>2</v>
      </c>
      <c r="D2432" s="20" t="str">
        <f t="shared" si="74"/>
        <v>TNC20112</v>
      </c>
      <c r="E2432" s="2">
        <v>40598</v>
      </c>
      <c r="F2432" s="3">
        <v>0.17</v>
      </c>
      <c r="G2432" s="2">
        <v>40617</v>
      </c>
      <c r="H2432" s="3">
        <v>1.6E-2</v>
      </c>
      <c r="I2432" s="3">
        <v>0</v>
      </c>
      <c r="J2432" s="3">
        <v>0</v>
      </c>
      <c r="K2432" s="3">
        <f t="shared" si="75"/>
        <v>0</v>
      </c>
      <c r="L2432" s="3">
        <f t="shared" si="76"/>
        <v>2011</v>
      </c>
      <c r="M2432" s="20" t="str">
        <f>A2432&amp;L2432</f>
        <v>TNC2011</v>
      </c>
      <c r="N2432" s="3">
        <f>F2432</f>
        <v>0.17</v>
      </c>
      <c r="O2432" s="9">
        <f>H2432</f>
        <v>1.6E-2</v>
      </c>
      <c r="P2432" s="10">
        <f t="shared" si="77"/>
        <v>0</v>
      </c>
      <c r="Q2432" s="10">
        <f>IF(K2432=0,IF(A2429=A2432,AVERAGE(O2429:O2432),"x"),0)</f>
        <v>1.7000000000000001E-2</v>
      </c>
      <c r="R2432" s="9">
        <f>IF(L2432&gt;2005,AVERAGE(O2429:O2448),0)</f>
        <v>1.8644999999999995E-2</v>
      </c>
      <c r="S2432" s="10">
        <f>IF(A2432=A2433,(N2432-N2433)/N2433,0)</f>
        <v>0</v>
      </c>
      <c r="T2432" s="10">
        <f>IF(L2432&gt;2005,(((N2432-N2452)/N2452)+1)^(1/5)-1,0)</f>
        <v>9.0966078501449665E-2</v>
      </c>
      <c r="U2432" s="10">
        <f t="shared" si="78"/>
        <v>0.10961107850144966</v>
      </c>
      <c r="V2432" s="26">
        <f t="shared" si="79"/>
        <v>4.7535284805366107</v>
      </c>
      <c r="W2432" s="3">
        <f>IF(A2432=A2433,N2432-N2433,0)</f>
        <v>0</v>
      </c>
      <c r="X2432" s="10">
        <f>IF(A2432=A2433,(N2432-N2433)/N2433,0)</f>
        <v>0</v>
      </c>
    </row>
    <row r="2433" spans="1:24" ht="16.5" customHeight="1">
      <c r="A2433" s="3" t="s">
        <v>50</v>
      </c>
      <c r="B2433" s="3">
        <f t="shared" si="72"/>
        <v>2010</v>
      </c>
      <c r="C2433" s="3">
        <f t="shared" si="73"/>
        <v>11</v>
      </c>
      <c r="D2433" s="20" t="str">
        <f t="shared" si="74"/>
        <v>TNC201011</v>
      </c>
      <c r="E2433" s="2">
        <v>40508</v>
      </c>
      <c r="F2433" s="3">
        <v>0.17</v>
      </c>
      <c r="G2433" s="2">
        <v>40527</v>
      </c>
      <c r="H2433" s="3">
        <v>1.67E-2</v>
      </c>
      <c r="I2433" s="3">
        <v>0.21428571399999999</v>
      </c>
      <c r="J2433" s="3">
        <v>0.03</v>
      </c>
      <c r="K2433" s="3">
        <f t="shared" si="75"/>
        <v>2010</v>
      </c>
      <c r="L2433" s="3">
        <f t="shared" si="76"/>
        <v>0</v>
      </c>
      <c r="M2433" s="20" t="str">
        <f>A2433&amp;L2433</f>
        <v>TNC0</v>
      </c>
      <c r="N2433" s="3">
        <f>F2433</f>
        <v>0.17</v>
      </c>
      <c r="O2433" s="9">
        <f>H2433</f>
        <v>1.67E-2</v>
      </c>
      <c r="P2433" s="10">
        <f t="shared" si="77"/>
        <v>1.865E-2</v>
      </c>
      <c r="Q2433" s="10">
        <f>IF(K2433=0,IF(A2430=A2433,AVERAGE(O2430:O2433),"x"),0)</f>
        <v>0</v>
      </c>
      <c r="R2433" s="9">
        <f>IF(L2433&gt;2005,AVERAGE(O2430:O2449),0)</f>
        <v>0</v>
      </c>
      <c r="S2433" s="10">
        <f>IF(A2433=A2434,(N2433-N2434)/N2434,0)</f>
        <v>0.21428571428571425</v>
      </c>
      <c r="T2433" s="10">
        <f>IF(L2433&gt;2005,(((N2433-N2453)/N2453)+1)^(1/5)-1,0)</f>
        <v>0</v>
      </c>
      <c r="U2433" s="10">
        <f t="shared" si="78"/>
        <v>0</v>
      </c>
      <c r="V2433" s="26">
        <f t="shared" si="79"/>
        <v>0</v>
      </c>
      <c r="W2433" s="3">
        <f>IF(A2433=A2434,N2433-N2434,0)</f>
        <v>0.03</v>
      </c>
      <c r="X2433" s="10">
        <f>IF(A2433=A2434,(N2433-N2434)/N2434,0)</f>
        <v>0.21428571428571425</v>
      </c>
    </row>
    <row r="2434" spans="1:24" ht="16.5" customHeight="1">
      <c r="A2434" s="3" t="s">
        <v>50</v>
      </c>
      <c r="B2434" s="3">
        <f t="shared" si="72"/>
        <v>2010</v>
      </c>
      <c r="C2434" s="3">
        <f t="shared" si="73"/>
        <v>8</v>
      </c>
      <c r="D2434" s="20" t="str">
        <f t="shared" si="74"/>
        <v>TNC20108</v>
      </c>
      <c r="E2434" s="2">
        <v>40417</v>
      </c>
      <c r="F2434" s="3">
        <v>0.14000000000000001</v>
      </c>
      <c r="G2434" s="2">
        <v>40436</v>
      </c>
      <c r="H2434" s="3">
        <v>1.7500000000000002E-2</v>
      </c>
      <c r="I2434" s="3">
        <v>0</v>
      </c>
      <c r="J2434" s="3">
        <v>0</v>
      </c>
      <c r="K2434" s="3">
        <f t="shared" si="75"/>
        <v>2010</v>
      </c>
      <c r="L2434" s="3">
        <f t="shared" si="76"/>
        <v>0</v>
      </c>
      <c r="M2434" s="20" t="str">
        <f>A2434&amp;L2434</f>
        <v>TNC0</v>
      </c>
      <c r="N2434" s="3">
        <f>F2434</f>
        <v>0.14000000000000001</v>
      </c>
      <c r="O2434" s="9">
        <f>H2434</f>
        <v>1.7500000000000002E-2</v>
      </c>
      <c r="P2434" s="10">
        <f t="shared" si="77"/>
        <v>0</v>
      </c>
      <c r="Q2434" s="10">
        <f>IF(K2434=0,IF(A2431=A2434,AVERAGE(O2431:O2434),"x"),0)</f>
        <v>0</v>
      </c>
      <c r="R2434" s="9">
        <f>IF(L2434&gt;2005,AVERAGE(O2431:O2450),0)</f>
        <v>0</v>
      </c>
      <c r="S2434" s="10">
        <f>IF(A2434=A2435,(N2434-N2435)/N2435,0)</f>
        <v>0</v>
      </c>
      <c r="T2434" s="10">
        <f>IF(L2434&gt;2005,(((N2434-N2454)/N2454)+1)^(1/5)-1,0)</f>
        <v>0</v>
      </c>
      <c r="U2434" s="10">
        <f t="shared" si="78"/>
        <v>0</v>
      </c>
      <c r="V2434" s="26">
        <f t="shared" si="79"/>
        <v>0</v>
      </c>
      <c r="W2434" s="3">
        <f>IF(A2434=A2435,N2434-N2435,0)</f>
        <v>0</v>
      </c>
      <c r="X2434" s="10">
        <f>IF(A2434=A2435,(N2434-N2435)/N2435,0)</f>
        <v>0</v>
      </c>
    </row>
    <row r="2435" spans="1:24" ht="16.5" customHeight="1">
      <c r="A2435" s="3" t="s">
        <v>50</v>
      </c>
      <c r="B2435" s="3">
        <f t="shared" si="72"/>
        <v>2010</v>
      </c>
      <c r="C2435" s="3">
        <f t="shared" si="73"/>
        <v>5</v>
      </c>
      <c r="D2435" s="20" t="str">
        <f t="shared" si="74"/>
        <v>TNC20105</v>
      </c>
      <c r="E2435" s="2">
        <v>40324</v>
      </c>
      <c r="F2435" s="3">
        <v>0.14000000000000001</v>
      </c>
      <c r="G2435" s="2">
        <v>40344</v>
      </c>
      <c r="H2435" s="3">
        <v>1.72E-2</v>
      </c>
      <c r="I2435" s="3">
        <v>0</v>
      </c>
      <c r="J2435" s="3">
        <v>0</v>
      </c>
      <c r="K2435" s="3">
        <f t="shared" si="75"/>
        <v>2010</v>
      </c>
      <c r="L2435" s="3">
        <f t="shared" si="76"/>
        <v>0</v>
      </c>
      <c r="M2435" s="20" t="str">
        <f>A2435&amp;L2435</f>
        <v>TNC0</v>
      </c>
      <c r="N2435" s="3">
        <f>F2435</f>
        <v>0.14000000000000001</v>
      </c>
      <c r="O2435" s="9">
        <f>H2435</f>
        <v>1.72E-2</v>
      </c>
      <c r="P2435" s="10">
        <f t="shared" si="77"/>
        <v>0</v>
      </c>
      <c r="Q2435" s="10">
        <f>IF(K2435=0,IF(A2432=A2435,AVERAGE(O2432:O2435),"x"),0)</f>
        <v>0</v>
      </c>
      <c r="R2435" s="9">
        <f>IF(L2435&gt;2005,AVERAGE(O2432:O2451),0)</f>
        <v>0</v>
      </c>
      <c r="S2435" s="10">
        <f>IF(A2435=A2436,(N2435-N2436)/N2436,0)</f>
        <v>0</v>
      </c>
      <c r="T2435" s="10">
        <f>IF(L2435&gt;2005,(((N2435-N2455)/N2455)+1)^(1/5)-1,0)</f>
        <v>0</v>
      </c>
      <c r="U2435" s="10">
        <f t="shared" si="78"/>
        <v>0</v>
      </c>
      <c r="V2435" s="26">
        <f t="shared" si="79"/>
        <v>0</v>
      </c>
      <c r="W2435" s="3">
        <f>IF(A2435=A2436,N2435-N2436,0)</f>
        <v>0</v>
      </c>
      <c r="X2435" s="10">
        <f>IF(A2435=A2436,(N2435-N2436)/N2436,0)</f>
        <v>0</v>
      </c>
    </row>
    <row r="2436" spans="1:24" ht="16.5" customHeight="1">
      <c r="A2436" s="3" t="s">
        <v>50</v>
      </c>
      <c r="B2436" s="3">
        <f t="shared" si="72"/>
        <v>2010</v>
      </c>
      <c r="C2436" s="3">
        <f t="shared" si="73"/>
        <v>2</v>
      </c>
      <c r="D2436" s="20" t="str">
        <f t="shared" si="74"/>
        <v>TNC20102</v>
      </c>
      <c r="E2436" s="2">
        <v>40233</v>
      </c>
      <c r="F2436" s="3">
        <v>0.14000000000000001</v>
      </c>
      <c r="G2436" s="2">
        <v>40252</v>
      </c>
      <c r="H2436" s="3">
        <v>2.3199999999999998E-2</v>
      </c>
      <c r="I2436" s="3">
        <v>0</v>
      </c>
      <c r="J2436" s="3">
        <v>0</v>
      </c>
      <c r="K2436" s="3">
        <f t="shared" si="75"/>
        <v>0</v>
      </c>
      <c r="L2436" s="3">
        <f t="shared" si="76"/>
        <v>2010</v>
      </c>
      <c r="M2436" s="20" t="str">
        <f>A2436&amp;L2436</f>
        <v>TNC2010</v>
      </c>
      <c r="N2436" s="3">
        <f>F2436</f>
        <v>0.14000000000000001</v>
      </c>
      <c r="O2436" s="9">
        <f>H2436</f>
        <v>2.3199999999999998E-2</v>
      </c>
      <c r="P2436" s="10">
        <f t="shared" si="77"/>
        <v>0</v>
      </c>
      <c r="Q2436" s="10">
        <f>IF(K2436=0,IF(A2433=A2436,AVERAGE(O2433:O2436),"x"),0)</f>
        <v>1.865E-2</v>
      </c>
      <c r="R2436" s="9">
        <f>IF(L2436&gt;2005,AVERAGE(O2433:O2452),0)</f>
        <v>1.8765E-2</v>
      </c>
      <c r="S2436" s="10">
        <f>IF(A2436=A2437,(N2436-N2437)/N2437,0)</f>
        <v>0</v>
      </c>
      <c r="T2436" s="10">
        <f>IF(L2436&gt;2005,(((N2436-N2456)/N2456)+1)^(1/5)-1,0)</f>
        <v>4.9414522844583919E-2</v>
      </c>
      <c r="U2436" s="10">
        <f t="shared" si="78"/>
        <v>6.8179522844583923E-2</v>
      </c>
      <c r="V2436" s="26">
        <f t="shared" si="79"/>
        <v>4.7425823523717749</v>
      </c>
      <c r="W2436" s="3">
        <f>IF(A2436=A2437,N2436-N2437,0)</f>
        <v>0</v>
      </c>
      <c r="X2436" s="10">
        <f>IF(A2436=A2437,(N2436-N2437)/N2437,0)</f>
        <v>0</v>
      </c>
    </row>
    <row r="2437" spans="1:24" ht="16.5" customHeight="1">
      <c r="A2437" s="3" t="s">
        <v>50</v>
      </c>
      <c r="B2437" s="3">
        <f t="shared" si="72"/>
        <v>2009</v>
      </c>
      <c r="C2437" s="3">
        <f t="shared" si="73"/>
        <v>11</v>
      </c>
      <c r="D2437" s="20" t="str">
        <f t="shared" si="74"/>
        <v>TNC200911</v>
      </c>
      <c r="E2437" s="2">
        <v>40142</v>
      </c>
      <c r="F2437" s="3">
        <v>0.14000000000000001</v>
      </c>
      <c r="G2437" s="2">
        <v>40162</v>
      </c>
      <c r="H2437" s="3">
        <v>1.8700000000000001E-2</v>
      </c>
      <c r="I2437" s="3">
        <v>7.6923077000000006E-2</v>
      </c>
      <c r="J2437" s="3">
        <v>0.01</v>
      </c>
      <c r="K2437" s="3">
        <f t="shared" si="75"/>
        <v>2009</v>
      </c>
      <c r="L2437" s="3">
        <f t="shared" si="76"/>
        <v>0</v>
      </c>
      <c r="M2437" s="20" t="str">
        <f>A2437&amp;L2437</f>
        <v>TNC0</v>
      </c>
      <c r="N2437" s="3">
        <f>F2437</f>
        <v>0.14000000000000001</v>
      </c>
      <c r="O2437" s="9">
        <f>H2437</f>
        <v>1.8700000000000001E-2</v>
      </c>
      <c r="P2437" s="10">
        <f t="shared" si="77"/>
        <v>2.7174999999999998E-2</v>
      </c>
      <c r="Q2437" s="10">
        <f>IF(K2437=0,IF(A2434=A2437,AVERAGE(O2434:O2437),"x"),0)</f>
        <v>0</v>
      </c>
      <c r="R2437" s="9">
        <f>IF(L2437&gt;2005,AVERAGE(O2434:O2453),0)</f>
        <v>0</v>
      </c>
      <c r="S2437" s="10">
        <f>IF(A2437=A2438,(N2437-N2438)/N2438,0)</f>
        <v>7.6923076923076983E-2</v>
      </c>
      <c r="T2437" s="10">
        <f>IF(L2437&gt;2005,(((N2437-N2457)/N2457)+1)^(1/5)-1,0)</f>
        <v>0</v>
      </c>
      <c r="U2437" s="10">
        <f t="shared" si="78"/>
        <v>0</v>
      </c>
      <c r="V2437" s="26">
        <f t="shared" si="79"/>
        <v>0</v>
      </c>
      <c r="W2437" s="3">
        <f>IF(A2437=A2438,N2437-N2438,0)</f>
        <v>1.0000000000000009E-2</v>
      </c>
      <c r="X2437" s="10">
        <f>IF(A2437=A2438,(N2437-N2438)/N2438,0)</f>
        <v>7.6923076923076983E-2</v>
      </c>
    </row>
    <row r="2438" spans="1:24" ht="16.5" customHeight="1">
      <c r="A2438" s="3" t="s">
        <v>50</v>
      </c>
      <c r="B2438" s="3">
        <f t="shared" si="72"/>
        <v>2009</v>
      </c>
      <c r="C2438" s="3">
        <f t="shared" si="73"/>
        <v>8</v>
      </c>
      <c r="D2438" s="20" t="str">
        <f t="shared" si="74"/>
        <v>TNC20098</v>
      </c>
      <c r="E2438" s="2">
        <v>40052</v>
      </c>
      <c r="F2438" s="3">
        <v>0.13</v>
      </c>
      <c r="G2438" s="2">
        <v>40071</v>
      </c>
      <c r="H2438" s="3">
        <v>1.95E-2</v>
      </c>
      <c r="I2438" s="3">
        <v>0</v>
      </c>
      <c r="J2438" s="3">
        <v>0</v>
      </c>
      <c r="K2438" s="3">
        <f t="shared" si="75"/>
        <v>2009</v>
      </c>
      <c r="L2438" s="3">
        <f t="shared" si="76"/>
        <v>0</v>
      </c>
      <c r="M2438" s="20" t="str">
        <f>A2438&amp;L2438</f>
        <v>TNC0</v>
      </c>
      <c r="N2438" s="3">
        <f>F2438</f>
        <v>0.13</v>
      </c>
      <c r="O2438" s="9">
        <f>H2438</f>
        <v>1.95E-2</v>
      </c>
      <c r="P2438" s="10">
        <f t="shared" si="77"/>
        <v>0</v>
      </c>
      <c r="Q2438" s="10">
        <f>IF(K2438=0,IF(A2435=A2438,AVERAGE(O2435:O2438),"x"),0)</f>
        <v>0</v>
      </c>
      <c r="R2438" s="9">
        <f>IF(L2438&gt;2005,AVERAGE(O2435:O2454),0)</f>
        <v>0</v>
      </c>
      <c r="S2438" s="10">
        <f>IF(A2438=A2439,(N2438-N2439)/N2439,0)</f>
        <v>0</v>
      </c>
      <c r="T2438" s="10">
        <f>IF(L2438&gt;2005,(((N2438-N2458)/N2458)+1)^(1/5)-1,0)</f>
        <v>0</v>
      </c>
      <c r="U2438" s="10">
        <f t="shared" si="78"/>
        <v>0</v>
      </c>
      <c r="V2438" s="26">
        <f t="shared" si="79"/>
        <v>0</v>
      </c>
      <c r="W2438" s="3">
        <f>IF(A2438=A2439,N2438-N2439,0)</f>
        <v>0</v>
      </c>
      <c r="X2438" s="10">
        <f>IF(A2438=A2439,(N2438-N2439)/N2439,0)</f>
        <v>0</v>
      </c>
    </row>
    <row r="2439" spans="1:24" ht="16.5" customHeight="1">
      <c r="A2439" s="3" t="s">
        <v>50</v>
      </c>
      <c r="B2439" s="3">
        <f t="shared" si="72"/>
        <v>2009</v>
      </c>
      <c r="C2439" s="3">
        <f t="shared" si="73"/>
        <v>5</v>
      </c>
      <c r="D2439" s="20" t="str">
        <f t="shared" si="74"/>
        <v>TNC20095</v>
      </c>
      <c r="E2439" s="2">
        <v>39960</v>
      </c>
      <c r="F2439" s="3">
        <v>0.13</v>
      </c>
      <c r="G2439" s="2">
        <v>39979</v>
      </c>
      <c r="H2439" s="3">
        <v>2.6700000000000002E-2</v>
      </c>
      <c r="I2439" s="3">
        <v>0</v>
      </c>
      <c r="J2439" s="3">
        <v>0</v>
      </c>
      <c r="K2439" s="3">
        <f t="shared" si="75"/>
        <v>2009</v>
      </c>
      <c r="L2439" s="3">
        <f t="shared" si="76"/>
        <v>0</v>
      </c>
      <c r="M2439" s="20" t="str">
        <f>A2439&amp;L2439</f>
        <v>TNC0</v>
      </c>
      <c r="N2439" s="3">
        <f>F2439</f>
        <v>0.13</v>
      </c>
      <c r="O2439" s="9">
        <f>H2439</f>
        <v>2.6700000000000002E-2</v>
      </c>
      <c r="P2439" s="10">
        <f t="shared" si="77"/>
        <v>0</v>
      </c>
      <c r="Q2439" s="10">
        <f>IF(K2439=0,IF(A2436=A2439,AVERAGE(O2436:O2439),"x"),0)</f>
        <v>0</v>
      </c>
      <c r="R2439" s="9">
        <f>IF(L2439&gt;2005,AVERAGE(O2436:O2455),0)</f>
        <v>0</v>
      </c>
      <c r="S2439" s="10">
        <f>IF(A2439=A2440,(N2439-N2440)/N2440,0)</f>
        <v>0</v>
      </c>
      <c r="T2439" s="10">
        <f>IF(L2439&gt;2005,(((N2439-N2459)/N2459)+1)^(1/5)-1,0)</f>
        <v>0</v>
      </c>
      <c r="U2439" s="10">
        <f t="shared" si="78"/>
        <v>0</v>
      </c>
      <c r="V2439" s="26">
        <f t="shared" si="79"/>
        <v>0</v>
      </c>
      <c r="W2439" s="3">
        <f>IF(A2439=A2440,N2439-N2440,0)</f>
        <v>0</v>
      </c>
      <c r="X2439" s="10">
        <f>IF(A2439=A2440,(N2439-N2440)/N2440,0)</f>
        <v>0</v>
      </c>
    </row>
    <row r="2440" spans="1:24" ht="16.5" customHeight="1">
      <c r="A2440" s="3" t="s">
        <v>50</v>
      </c>
      <c r="B2440" s="3">
        <f t="shared" si="72"/>
        <v>2009</v>
      </c>
      <c r="C2440" s="3">
        <f t="shared" si="73"/>
        <v>2</v>
      </c>
      <c r="D2440" s="20" t="str">
        <f t="shared" si="74"/>
        <v>TNC20092</v>
      </c>
      <c r="E2440" s="2">
        <v>39869</v>
      </c>
      <c r="F2440" s="3">
        <v>0.13</v>
      </c>
      <c r="G2440" s="2">
        <v>39888</v>
      </c>
      <c r="H2440" s="3">
        <v>4.3799999999999999E-2</v>
      </c>
      <c r="I2440" s="3">
        <v>0</v>
      </c>
      <c r="J2440" s="3">
        <v>0</v>
      </c>
      <c r="K2440" s="3">
        <f t="shared" si="75"/>
        <v>0</v>
      </c>
      <c r="L2440" s="3">
        <f t="shared" si="76"/>
        <v>2009</v>
      </c>
      <c r="M2440" s="20" t="str">
        <f>A2440&amp;L2440</f>
        <v>TNC2009</v>
      </c>
      <c r="N2440" s="3">
        <f>F2440</f>
        <v>0.13</v>
      </c>
      <c r="O2440" s="9">
        <f>H2440</f>
        <v>4.3799999999999999E-2</v>
      </c>
      <c r="P2440" s="10">
        <f t="shared" si="77"/>
        <v>0</v>
      </c>
      <c r="Q2440" s="10">
        <f>IF(K2440=0,IF(A2437=A2440,AVERAGE(O2437:O2440),"x"),0)</f>
        <v>2.7174999999999998E-2</v>
      </c>
      <c r="R2440" s="9">
        <f>IF(L2440&gt;2005,AVERAGE(O2437:O2456),0)</f>
        <v>1.9399999999999997E-2</v>
      </c>
      <c r="S2440" s="10">
        <f>IF(A2440=A2441,(N2440-N2441)/N2441,0)</f>
        <v>0</v>
      </c>
      <c r="T2440" s="10">
        <f>IF(L2440&gt;2005,(((N2440-N2460)/N2460)+1)^(1/5)-1,0)</f>
        <v>4.3640227150435917E-2</v>
      </c>
      <c r="U2440" s="10">
        <f t="shared" si="78"/>
        <v>6.3040227150435918E-2</v>
      </c>
      <c r="V2440" s="26">
        <f t="shared" si="79"/>
        <v>4.7328272435180496</v>
      </c>
      <c r="W2440" s="3">
        <f>IF(A2440=A2441,N2440-N2441,0)</f>
        <v>0</v>
      </c>
      <c r="X2440" s="10">
        <f>IF(A2440=A2441,(N2440-N2441)/N2441,0)</f>
        <v>0</v>
      </c>
    </row>
    <row r="2441" spans="1:24" ht="16.5" customHeight="1">
      <c r="A2441" s="3" t="s">
        <v>50</v>
      </c>
      <c r="B2441" s="3">
        <f t="shared" si="72"/>
        <v>2008</v>
      </c>
      <c r="C2441" s="3">
        <f t="shared" si="73"/>
        <v>11</v>
      </c>
      <c r="D2441" s="20" t="str">
        <f t="shared" si="74"/>
        <v>TNC200811</v>
      </c>
      <c r="E2441" s="2">
        <v>39777</v>
      </c>
      <c r="F2441" s="3">
        <v>0.13</v>
      </c>
      <c r="G2441" s="2">
        <v>39797</v>
      </c>
      <c r="H2441" s="3">
        <v>2.46E-2</v>
      </c>
      <c r="I2441" s="3">
        <v>0</v>
      </c>
      <c r="J2441" s="3">
        <v>0</v>
      </c>
      <c r="K2441" s="3">
        <f t="shared" si="75"/>
        <v>2008</v>
      </c>
      <c r="L2441" s="3">
        <f t="shared" si="76"/>
        <v>0</v>
      </c>
      <c r="M2441" s="20" t="str">
        <f>A2441&amp;L2441</f>
        <v>TNC0</v>
      </c>
      <c r="N2441" s="3">
        <f>F2441</f>
        <v>0.13</v>
      </c>
      <c r="O2441" s="9">
        <f>H2441</f>
        <v>2.46E-2</v>
      </c>
      <c r="P2441" s="10">
        <f t="shared" si="77"/>
        <v>0</v>
      </c>
      <c r="Q2441" s="10">
        <f>IF(K2441=0,IF(A2438=A2441,AVERAGE(O2438:O2441),"x"),0)</f>
        <v>0</v>
      </c>
      <c r="R2441" s="9">
        <f>IF(L2441&gt;2005,AVERAGE(O2438:O2457),0)</f>
        <v>0</v>
      </c>
      <c r="S2441" s="10">
        <f>IF(A2441=A2442,(N2441-N2442)/N2442,0)</f>
        <v>0</v>
      </c>
      <c r="T2441" s="10">
        <f>IF(L2441&gt;2005,(((N2441-N2461)/N2461)+1)^(1/5)-1,0)</f>
        <v>0</v>
      </c>
      <c r="U2441" s="10">
        <f t="shared" si="78"/>
        <v>0</v>
      </c>
      <c r="V2441" s="26">
        <f t="shared" si="79"/>
        <v>0</v>
      </c>
      <c r="W2441" s="3">
        <f>IF(A2441=A2442,N2441-N2442,0)</f>
        <v>0</v>
      </c>
      <c r="X2441" s="10">
        <f>IF(A2441=A2442,(N2441-N2442)/N2442,0)</f>
        <v>0</v>
      </c>
    </row>
    <row r="2442" spans="1:24" ht="16.5" customHeight="1">
      <c r="A2442" s="3" t="s">
        <v>50</v>
      </c>
      <c r="B2442" s="3">
        <f t="shared" si="72"/>
        <v>2008</v>
      </c>
      <c r="C2442" s="3">
        <f t="shared" si="73"/>
        <v>8</v>
      </c>
      <c r="D2442" s="20" t="str">
        <f t="shared" si="74"/>
        <v>TNC20088</v>
      </c>
      <c r="E2442" s="2">
        <v>39687</v>
      </c>
      <c r="F2442" s="3">
        <v>0.13</v>
      </c>
      <c r="G2442" s="2">
        <v>39706</v>
      </c>
      <c r="H2442" s="3">
        <v>1.6299999999999999E-2</v>
      </c>
      <c r="I2442" s="3">
        <v>0</v>
      </c>
      <c r="J2442" s="3">
        <v>0</v>
      </c>
      <c r="K2442" s="3">
        <f t="shared" si="75"/>
        <v>2008</v>
      </c>
      <c r="L2442" s="3">
        <f t="shared" si="76"/>
        <v>0</v>
      </c>
      <c r="M2442" s="20" t="str">
        <f>A2442&amp;L2442</f>
        <v>TNC0</v>
      </c>
      <c r="N2442" s="3">
        <f>F2442</f>
        <v>0.13</v>
      </c>
      <c r="O2442" s="9">
        <f>H2442</f>
        <v>1.6299999999999999E-2</v>
      </c>
      <c r="P2442" s="10">
        <f t="shared" si="77"/>
        <v>0</v>
      </c>
      <c r="Q2442" s="10">
        <f>IF(K2442=0,IF(A2439=A2442,AVERAGE(O2439:O2442),"x"),0)</f>
        <v>0</v>
      </c>
      <c r="R2442" s="9">
        <f>IF(L2442&gt;2005,AVERAGE(O2439:O2458),0)</f>
        <v>0</v>
      </c>
      <c r="S2442" s="10">
        <f>IF(A2442=A2443,(N2442-N2443)/N2443,0)</f>
        <v>0</v>
      </c>
      <c r="T2442" s="10">
        <f>IF(L2442&gt;2005,(((N2442-N2462)/N2462)+1)^(1/5)-1,0)</f>
        <v>0</v>
      </c>
      <c r="U2442" s="10">
        <f t="shared" si="78"/>
        <v>0</v>
      </c>
      <c r="V2442" s="26">
        <f t="shared" si="79"/>
        <v>0</v>
      </c>
      <c r="W2442" s="3">
        <f>IF(A2442=A2443,N2442-N2443,0)</f>
        <v>0</v>
      </c>
      <c r="X2442" s="10">
        <f>IF(A2442=A2443,(N2442-N2443)/N2443,0)</f>
        <v>0</v>
      </c>
    </row>
    <row r="2443" spans="1:24" ht="16.5" customHeight="1">
      <c r="A2443" s="3" t="s">
        <v>50</v>
      </c>
      <c r="B2443" s="3">
        <f t="shared" si="72"/>
        <v>2008</v>
      </c>
      <c r="C2443" s="3">
        <f t="shared" si="73"/>
        <v>5</v>
      </c>
      <c r="D2443" s="20" t="str">
        <f t="shared" si="74"/>
        <v>TNC20085</v>
      </c>
      <c r="E2443" s="2">
        <v>39596</v>
      </c>
      <c r="F2443" s="3">
        <v>0.13</v>
      </c>
      <c r="G2443" s="2">
        <v>39615</v>
      </c>
      <c r="H2443" s="3">
        <v>1.43E-2</v>
      </c>
      <c r="I2443" s="3">
        <v>0</v>
      </c>
      <c r="J2443" s="3">
        <v>0</v>
      </c>
      <c r="K2443" s="3">
        <f t="shared" si="75"/>
        <v>2008</v>
      </c>
      <c r="L2443" s="3">
        <f t="shared" si="76"/>
        <v>0</v>
      </c>
      <c r="M2443" s="20" t="str">
        <f>A2443&amp;L2443</f>
        <v>TNC0</v>
      </c>
      <c r="N2443" s="3">
        <f>F2443</f>
        <v>0.13</v>
      </c>
      <c r="O2443" s="9">
        <f>H2443</f>
        <v>1.43E-2</v>
      </c>
      <c r="P2443" s="10">
        <f t="shared" si="77"/>
        <v>0</v>
      </c>
      <c r="Q2443" s="10">
        <f>IF(K2443=0,IF(A2440=A2443,AVERAGE(O2440:O2443),"x"),0)</f>
        <v>0</v>
      </c>
      <c r="R2443" s="9">
        <f>IF(L2443&gt;2005,AVERAGE(O2440:O2459),0)</f>
        <v>0</v>
      </c>
      <c r="S2443" s="10">
        <f>IF(A2443=A2444,(N2443-N2444)/N2444,0)</f>
        <v>0</v>
      </c>
      <c r="T2443" s="10">
        <f>IF(L2443&gt;2005,(((N2443-N2463)/N2463)+1)^(1/5)-1,0)</f>
        <v>0</v>
      </c>
      <c r="U2443" s="10">
        <f t="shared" si="78"/>
        <v>0</v>
      </c>
      <c r="V2443" s="26">
        <f t="shared" si="79"/>
        <v>0</v>
      </c>
      <c r="W2443" s="3">
        <f>IF(A2443=A2444,N2443-N2444,0)</f>
        <v>0</v>
      </c>
      <c r="X2443" s="10">
        <f>IF(A2443=A2444,(N2443-N2444)/N2444,0)</f>
        <v>0</v>
      </c>
    </row>
    <row r="2444" spans="1:24" ht="16.5" customHeight="1">
      <c r="A2444" s="3" t="s">
        <v>50</v>
      </c>
      <c r="B2444" s="3">
        <f t="shared" si="72"/>
        <v>2008</v>
      </c>
      <c r="C2444" s="3">
        <f t="shared" si="73"/>
        <v>2</v>
      </c>
      <c r="D2444" s="20" t="str">
        <f t="shared" si="74"/>
        <v>TNC20082</v>
      </c>
      <c r="E2444" s="2">
        <v>39505</v>
      </c>
      <c r="F2444" s="3">
        <v>0.13</v>
      </c>
      <c r="G2444" s="2">
        <v>39524</v>
      </c>
      <c r="H2444" s="3">
        <v>1.37E-2</v>
      </c>
      <c r="I2444" s="3">
        <v>8.3333332999999996E-2</v>
      </c>
      <c r="J2444" s="3">
        <v>0.01</v>
      </c>
      <c r="K2444" s="3">
        <f t="shared" si="75"/>
        <v>0</v>
      </c>
      <c r="L2444" s="3">
        <f t="shared" si="76"/>
        <v>2008</v>
      </c>
      <c r="M2444" s="20" t="str">
        <f>A2444&amp;L2444</f>
        <v>TNC2008</v>
      </c>
      <c r="N2444" s="3">
        <f>F2444</f>
        <v>0.13</v>
      </c>
      <c r="O2444" s="9">
        <f>H2444</f>
        <v>1.37E-2</v>
      </c>
      <c r="P2444" s="10">
        <f t="shared" si="77"/>
        <v>1.2800000000000001E-2</v>
      </c>
      <c r="Q2444" s="10">
        <f>IF(K2444=0,IF(A2441=A2444,AVERAGE(O2441:O2444),"x"),0)</f>
        <v>1.7225000000000001E-2</v>
      </c>
      <c r="R2444" s="9">
        <f>IF(L2444&gt;2005,AVERAGE(O2441:O2460),0)</f>
        <v>1.8230000000000003E-2</v>
      </c>
      <c r="S2444" s="10">
        <f>IF(A2444=A2445,(N2444-N2445)/N2445,0)</f>
        <v>8.3333333333333412E-2</v>
      </c>
      <c r="T2444" s="10">
        <f>IF(L2444&gt;2005,(((N2444-N2464)/N2464)+1)^(1/5)-1,0)</f>
        <v>4.3640227150435917E-2</v>
      </c>
      <c r="U2444" s="10">
        <f t="shared" si="78"/>
        <v>6.1870227150435921E-2</v>
      </c>
      <c r="V2444" s="26">
        <f t="shared" si="79"/>
        <v>4.7483019599606306</v>
      </c>
      <c r="W2444" s="3">
        <f>IF(A2444=A2445,N2444-N2445,0)</f>
        <v>1.0000000000000009E-2</v>
      </c>
      <c r="X2444" s="10">
        <f>IF(A2444=A2445,(N2444-N2445)/N2445,0)</f>
        <v>8.3333333333333412E-2</v>
      </c>
    </row>
    <row r="2445" spans="1:24" ht="16.5" customHeight="1">
      <c r="A2445" s="3" t="s">
        <v>50</v>
      </c>
      <c r="B2445" s="3">
        <f t="shared" si="72"/>
        <v>2007</v>
      </c>
      <c r="C2445" s="3">
        <f t="shared" si="73"/>
        <v>11</v>
      </c>
      <c r="D2445" s="20" t="str">
        <f t="shared" si="74"/>
        <v>TNC200711</v>
      </c>
      <c r="E2445" s="2">
        <v>39414</v>
      </c>
      <c r="F2445" s="3">
        <v>0.12</v>
      </c>
      <c r="G2445" s="2">
        <v>39433</v>
      </c>
      <c r="H2445" s="3">
        <v>1.0699999999999999E-2</v>
      </c>
      <c r="I2445" s="3">
        <v>0</v>
      </c>
      <c r="J2445" s="3">
        <v>0</v>
      </c>
      <c r="K2445" s="3">
        <f t="shared" si="75"/>
        <v>2007</v>
      </c>
      <c r="L2445" s="3">
        <f t="shared" si="76"/>
        <v>0</v>
      </c>
      <c r="M2445" s="20" t="str">
        <f>A2445&amp;L2445</f>
        <v>TNC0</v>
      </c>
      <c r="N2445" s="3">
        <f>F2445</f>
        <v>0.12</v>
      </c>
      <c r="O2445" s="9">
        <f>H2445</f>
        <v>1.0699999999999999E-2</v>
      </c>
      <c r="P2445" s="10">
        <f t="shared" si="77"/>
        <v>0</v>
      </c>
      <c r="Q2445" s="10">
        <f>IF(K2445=0,IF(A2442=A2445,AVERAGE(O2442:O2445),"x"),0)</f>
        <v>0</v>
      </c>
      <c r="R2445" s="9">
        <f>IF(L2445&gt;2005,AVERAGE(O2442:O2461),0)</f>
        <v>0</v>
      </c>
      <c r="S2445" s="10">
        <f>IF(A2445=A2446,(N2445-N2446)/N2446,0)</f>
        <v>0</v>
      </c>
      <c r="T2445" s="10">
        <f>IF(L2445&gt;2005,(((N2445-N2465)/N2465)+1)^(1/5)-1,0)</f>
        <v>0</v>
      </c>
      <c r="U2445" s="10">
        <f t="shared" si="78"/>
        <v>0</v>
      </c>
      <c r="V2445" s="26">
        <f t="shared" si="79"/>
        <v>0</v>
      </c>
      <c r="W2445" s="3">
        <f>IF(A2445=A2446,N2445-N2446,0)</f>
        <v>0</v>
      </c>
      <c r="X2445" s="10">
        <f>IF(A2445=A2446,(N2445-N2446)/N2446,0)</f>
        <v>0</v>
      </c>
    </row>
    <row r="2446" spans="1:24" ht="16.5" customHeight="1">
      <c r="A2446" s="3" t="s">
        <v>50</v>
      </c>
      <c r="B2446" s="3">
        <f t="shared" si="72"/>
        <v>2007</v>
      </c>
      <c r="C2446" s="3">
        <f t="shared" si="73"/>
        <v>8</v>
      </c>
      <c r="D2446" s="20" t="str">
        <f t="shared" si="74"/>
        <v>TNC20078</v>
      </c>
      <c r="E2446" s="2">
        <v>39323</v>
      </c>
      <c r="F2446" s="3">
        <v>0.12</v>
      </c>
      <c r="G2446" s="2">
        <v>39342</v>
      </c>
      <c r="H2446" s="3">
        <v>1.17E-2</v>
      </c>
      <c r="I2446" s="3">
        <v>0</v>
      </c>
      <c r="J2446" s="3">
        <v>0</v>
      </c>
      <c r="K2446" s="3">
        <f t="shared" si="75"/>
        <v>2007</v>
      </c>
      <c r="L2446" s="3">
        <f t="shared" si="76"/>
        <v>0</v>
      </c>
      <c r="M2446" s="20" t="str">
        <f>A2446&amp;L2446</f>
        <v>TNC0</v>
      </c>
      <c r="N2446" s="3">
        <f>F2446</f>
        <v>0.12</v>
      </c>
      <c r="O2446" s="9">
        <f>H2446</f>
        <v>1.17E-2</v>
      </c>
      <c r="P2446" s="10">
        <f t="shared" si="77"/>
        <v>0</v>
      </c>
      <c r="Q2446" s="10">
        <f>IF(K2446=0,IF(A2443=A2446,AVERAGE(O2443:O2446),"x"),0)</f>
        <v>0</v>
      </c>
      <c r="R2446" s="9">
        <f>IF(L2446&gt;2005,AVERAGE(O2443:O2462),0)</f>
        <v>0</v>
      </c>
      <c r="S2446" s="10">
        <f>IF(A2446=A2447,(N2446-N2447)/N2447,0)</f>
        <v>0</v>
      </c>
      <c r="T2446" s="10">
        <f>IF(L2446&gt;2005,(((N2446-N2466)/N2466)+1)^(1/5)-1,0)</f>
        <v>0</v>
      </c>
      <c r="U2446" s="10">
        <f t="shared" si="78"/>
        <v>0</v>
      </c>
      <c r="V2446" s="26">
        <f t="shared" si="79"/>
        <v>0</v>
      </c>
      <c r="W2446" s="3">
        <f>IF(A2446=A2447,N2446-N2447,0)</f>
        <v>0</v>
      </c>
      <c r="X2446" s="10">
        <f>IF(A2446=A2447,(N2446-N2447)/N2447,0)</f>
        <v>0</v>
      </c>
    </row>
    <row r="2447" spans="1:24" ht="16.5" customHeight="1">
      <c r="A2447" s="3" t="s">
        <v>50</v>
      </c>
      <c r="B2447" s="3">
        <f t="shared" si="72"/>
        <v>2007</v>
      </c>
      <c r="C2447" s="3">
        <f t="shared" si="73"/>
        <v>5</v>
      </c>
      <c r="D2447" s="20" t="str">
        <f t="shared" si="74"/>
        <v>TNC20075</v>
      </c>
      <c r="E2447" s="2">
        <v>39231</v>
      </c>
      <c r="F2447" s="3">
        <v>0.12</v>
      </c>
      <c r="G2447" s="2">
        <v>39248</v>
      </c>
      <c r="H2447" s="3">
        <v>1.5100000000000001E-2</v>
      </c>
      <c r="I2447" s="3">
        <v>0</v>
      </c>
      <c r="J2447" s="3">
        <v>0</v>
      </c>
      <c r="K2447" s="3">
        <f t="shared" si="75"/>
        <v>2007</v>
      </c>
      <c r="L2447" s="3">
        <f t="shared" si="76"/>
        <v>0</v>
      </c>
      <c r="M2447" s="20" t="str">
        <f>A2447&amp;L2447</f>
        <v>TNC0</v>
      </c>
      <c r="N2447" s="3">
        <f>F2447</f>
        <v>0.12</v>
      </c>
      <c r="O2447" s="9">
        <f>H2447</f>
        <v>1.5100000000000001E-2</v>
      </c>
      <c r="P2447" s="10">
        <f t="shared" si="77"/>
        <v>0</v>
      </c>
      <c r="Q2447" s="10">
        <f>IF(K2447=0,IF(A2444=A2447,AVERAGE(O2444:O2447),"x"),0)</f>
        <v>0</v>
      </c>
      <c r="R2447" s="9">
        <f>IF(L2447&gt;2005,AVERAGE(O2444:O2463),0)</f>
        <v>0</v>
      </c>
      <c r="S2447" s="10">
        <f>IF(A2447=A2448,(N2447-N2448)/N2448,0)</f>
        <v>0</v>
      </c>
      <c r="T2447" s="10">
        <f>IF(L2447&gt;2005,(((N2447-N2467)/N2467)+1)^(1/5)-1,0)</f>
        <v>0</v>
      </c>
      <c r="U2447" s="10">
        <f t="shared" si="78"/>
        <v>0</v>
      </c>
      <c r="V2447" s="26">
        <f t="shared" si="79"/>
        <v>0</v>
      </c>
      <c r="W2447" s="3">
        <f>IF(A2447=A2448,N2447-N2448,0)</f>
        <v>0</v>
      </c>
      <c r="X2447" s="10">
        <f>IF(A2447=A2448,(N2447-N2448)/N2448,0)</f>
        <v>0</v>
      </c>
    </row>
    <row r="2448" spans="1:24" ht="16.5" customHeight="1">
      <c r="A2448" s="3" t="s">
        <v>50</v>
      </c>
      <c r="B2448" s="3">
        <f t="shared" si="72"/>
        <v>2007</v>
      </c>
      <c r="C2448" s="3">
        <f t="shared" si="73"/>
        <v>2</v>
      </c>
      <c r="D2448" s="20" t="str">
        <f t="shared" si="74"/>
        <v>TNC20072</v>
      </c>
      <c r="E2448" s="2">
        <v>39139</v>
      </c>
      <c r="F2448" s="3">
        <v>0.12</v>
      </c>
      <c r="G2448" s="2">
        <v>39156</v>
      </c>
      <c r="H2448" s="3">
        <v>1.52E-2</v>
      </c>
      <c r="I2448" s="3">
        <v>0</v>
      </c>
      <c r="J2448" s="3">
        <v>0</v>
      </c>
      <c r="K2448" s="3">
        <f t="shared" si="75"/>
        <v>0</v>
      </c>
      <c r="L2448" s="3">
        <f t="shared" si="76"/>
        <v>2007</v>
      </c>
      <c r="M2448" s="20" t="str">
        <f>A2448&amp;L2448</f>
        <v>TNC2007</v>
      </c>
      <c r="N2448" s="3">
        <f>F2448</f>
        <v>0.12</v>
      </c>
      <c r="O2448" s="9">
        <f>H2448</f>
        <v>1.52E-2</v>
      </c>
      <c r="P2448" s="10">
        <f t="shared" si="77"/>
        <v>0</v>
      </c>
      <c r="Q2448" s="10">
        <f>IF(K2448=0,IF(A2445=A2448,AVERAGE(O2445:O2448),"x"),0)</f>
        <v>1.3174999999999999E-2</v>
      </c>
      <c r="R2448" s="9">
        <f>IF(L2448&gt;2005,AVERAGE(O2445:O2464),0)</f>
        <v>1.9360000000000002E-2</v>
      </c>
      <c r="S2448" s="10">
        <f>IF(A2448=A2449,(N2448-N2449)/N2449,0)</f>
        <v>0</v>
      </c>
      <c r="T2448" s="10">
        <f>IF(L2448&gt;2005,(((N2448-N2468)/N2468)+1)^(1/5)-1,0)</f>
        <v>3.7137289336648172E-2</v>
      </c>
      <c r="U2448" s="10">
        <f t="shared" si="78"/>
        <v>5.6497289336648174E-2</v>
      </c>
      <c r="V2448" s="26">
        <f t="shared" si="79"/>
        <v>4.7317537113224555</v>
      </c>
      <c r="W2448" s="3">
        <f>IF(A2448=A2449,N2448-N2449,0)</f>
        <v>0</v>
      </c>
      <c r="X2448" s="10">
        <f>IF(A2448=A2449,(N2448-N2449)/N2449,0)</f>
        <v>0</v>
      </c>
    </row>
    <row r="2449" spans="1:24" ht="16.5" customHeight="1">
      <c r="A2449" s="3" t="s">
        <v>50</v>
      </c>
      <c r="B2449" s="3">
        <f t="shared" si="72"/>
        <v>2006</v>
      </c>
      <c r="C2449" s="3">
        <f t="shared" si="73"/>
        <v>11</v>
      </c>
      <c r="D2449" s="20" t="str">
        <f t="shared" si="74"/>
        <v>TNC200611</v>
      </c>
      <c r="E2449" s="2">
        <v>39049</v>
      </c>
      <c r="F2449" s="3">
        <v>0.12</v>
      </c>
      <c r="G2449" s="2">
        <v>39066</v>
      </c>
      <c r="H2449" s="3">
        <v>1.5900000000000001E-2</v>
      </c>
      <c r="I2449" s="3">
        <v>0</v>
      </c>
      <c r="J2449" s="3">
        <v>0</v>
      </c>
      <c r="K2449" s="3">
        <f t="shared" si="75"/>
        <v>2006</v>
      </c>
      <c r="L2449" s="3">
        <f t="shared" si="76"/>
        <v>0</v>
      </c>
      <c r="M2449" s="20" t="str">
        <f>A2449&amp;L2449</f>
        <v>TNC0</v>
      </c>
      <c r="N2449" s="3">
        <f>F2449</f>
        <v>0.12</v>
      </c>
      <c r="O2449" s="9">
        <f>H2449</f>
        <v>1.5900000000000001E-2</v>
      </c>
      <c r="P2449" s="10">
        <f t="shared" si="77"/>
        <v>0</v>
      </c>
      <c r="Q2449" s="10">
        <f>IF(K2449=0,IF(A2446=A2449,AVERAGE(O2446:O2449),"x"),0)</f>
        <v>0</v>
      </c>
      <c r="R2449" s="9">
        <f>IF(L2449&gt;2005,AVERAGE(O2446:O2465),0)</f>
        <v>0</v>
      </c>
      <c r="S2449" s="10">
        <f>IF(A2449=A2450,(N2449-N2450)/N2450,0)</f>
        <v>0</v>
      </c>
      <c r="T2449" s="10">
        <f>IF(L2449&gt;2005,(((N2449-N2469)/N2469)+1)^(1/5)-1,0)</f>
        <v>0</v>
      </c>
      <c r="U2449" s="10">
        <f t="shared" si="78"/>
        <v>0</v>
      </c>
      <c r="V2449" s="26">
        <f t="shared" si="79"/>
        <v>0</v>
      </c>
      <c r="W2449" s="3">
        <f>IF(A2449=A2450,N2449-N2450,0)</f>
        <v>0</v>
      </c>
      <c r="X2449" s="10">
        <f>IF(A2449=A2450,(N2449-N2450)/N2450,0)</f>
        <v>0</v>
      </c>
    </row>
    <row r="2450" spans="1:24" ht="16.5" customHeight="1">
      <c r="A2450" s="3" t="s">
        <v>50</v>
      </c>
      <c r="B2450" s="3">
        <f t="shared" si="72"/>
        <v>2006</v>
      </c>
      <c r="C2450" s="3">
        <f t="shared" si="73"/>
        <v>8</v>
      </c>
      <c r="D2450" s="20" t="str">
        <f t="shared" si="74"/>
        <v>TNC20068</v>
      </c>
      <c r="E2450" s="2">
        <v>38958</v>
      </c>
      <c r="F2450" s="3">
        <v>0.12</v>
      </c>
      <c r="G2450" s="2">
        <v>38975</v>
      </c>
      <c r="H2450" s="3">
        <v>1.7600000000000001E-2</v>
      </c>
      <c r="I2450" s="3">
        <v>-0.45454545499999999</v>
      </c>
      <c r="J2450" s="3">
        <v>-0.1</v>
      </c>
      <c r="K2450" s="3">
        <f t="shared" si="75"/>
        <v>2006</v>
      </c>
      <c r="L2450" s="3">
        <f t="shared" si="76"/>
        <v>0</v>
      </c>
      <c r="M2450" s="20" t="str">
        <f>A2450&amp;L2450</f>
        <v>TNC0</v>
      </c>
      <c r="N2450" s="3">
        <f>F2450</f>
        <v>0.12</v>
      </c>
      <c r="O2450" s="9">
        <f>H2450</f>
        <v>1.7600000000000001E-2</v>
      </c>
      <c r="P2450" s="10">
        <f t="shared" si="77"/>
        <v>1.8374999999999999E-2</v>
      </c>
      <c r="Q2450" s="10">
        <f>IF(K2450=0,IF(A2447=A2450,AVERAGE(O2447:O2450),"x"),0)</f>
        <v>0</v>
      </c>
      <c r="R2450" s="9">
        <f>IF(L2450&gt;2005,AVERAGE(O2447:O2466),0)</f>
        <v>0</v>
      </c>
      <c r="S2450" s="10">
        <f>IF(A2450=A2451,(N2450-N2451)/N2451,0)</f>
        <v>9.090909090909087E-2</v>
      </c>
      <c r="T2450" s="10">
        <f>IF(L2450&gt;2005,(((N2450-N2470)/N2470)+1)^(1/5)-1,0)</f>
        <v>0</v>
      </c>
      <c r="U2450" s="10">
        <f t="shared" si="78"/>
        <v>0</v>
      </c>
      <c r="V2450" s="26">
        <f t="shared" si="79"/>
        <v>0</v>
      </c>
      <c r="W2450" s="3">
        <f>IF(A2450=A2451,N2450-N2451,0)</f>
        <v>9.999999999999995E-3</v>
      </c>
      <c r="X2450" s="10">
        <f>IF(A2450=A2451,(N2450-N2451)/N2451,0)</f>
        <v>9.090909090909087E-2</v>
      </c>
    </row>
    <row r="2451" spans="1:24" ht="16.5" customHeight="1">
      <c r="A2451" s="3" t="s">
        <v>50</v>
      </c>
      <c r="B2451" s="3">
        <f t="shared" si="72"/>
        <v>2006</v>
      </c>
      <c r="C2451" s="3">
        <f t="shared" si="73"/>
        <v>5</v>
      </c>
      <c r="D2451" s="20" t="str">
        <f t="shared" si="74"/>
        <v>TNC20065</v>
      </c>
      <c r="E2451" s="2">
        <v>38863</v>
      </c>
      <c r="F2451" s="3">
        <v>0.22</v>
      </c>
      <c r="G2451" s="2">
        <v>38883</v>
      </c>
      <c r="H2451" s="3">
        <v>1.8200000000000001E-2</v>
      </c>
      <c r="I2451" s="3">
        <v>0</v>
      </c>
      <c r="J2451" s="3">
        <v>0</v>
      </c>
      <c r="K2451" s="3">
        <f t="shared" si="75"/>
        <v>2006</v>
      </c>
      <c r="L2451" s="3">
        <f t="shared" si="76"/>
        <v>0</v>
      </c>
      <c r="M2451" s="20" t="str">
        <f>A2451&amp;L2451</f>
        <v>TNC0</v>
      </c>
      <c r="N2451" s="3">
        <f>F2451/2</f>
        <v>0.11</v>
      </c>
      <c r="O2451" s="9">
        <f>H2451</f>
        <v>1.8200000000000001E-2</v>
      </c>
      <c r="P2451" s="10">
        <f t="shared" si="77"/>
        <v>0</v>
      </c>
      <c r="Q2451" s="10">
        <f>IF(K2451=0,IF(A2448=A2451,AVERAGE(O2448:O2451),"x"),0)</f>
        <v>0</v>
      </c>
      <c r="R2451" s="9">
        <f>IF(L2451&gt;2005,AVERAGE(O2448:O2467),0)</f>
        <v>0</v>
      </c>
      <c r="S2451" s="10">
        <f>IF(A2451=A2452,(N2451-N2452)/N2452,0)</f>
        <v>0</v>
      </c>
      <c r="T2451" s="10">
        <f>IF(L2451&gt;2005,(((N2451-N2471)/N2471)+1)^(1/5)-1,0)</f>
        <v>0</v>
      </c>
      <c r="U2451" s="10">
        <f t="shared" si="78"/>
        <v>0</v>
      </c>
      <c r="V2451" s="26">
        <f t="shared" si="79"/>
        <v>0</v>
      </c>
      <c r="W2451" s="3">
        <f>IF(A2451=A2452,N2451-N2452,0)</f>
        <v>0</v>
      </c>
      <c r="X2451" s="10">
        <f>IF(A2451=A2452,(N2451-N2452)/N2452,0)</f>
        <v>0</v>
      </c>
    </row>
    <row r="2452" spans="1:24" ht="16.5" customHeight="1">
      <c r="A2452" s="3" t="s">
        <v>50</v>
      </c>
      <c r="B2452" s="3">
        <f t="shared" si="72"/>
        <v>2006</v>
      </c>
      <c r="C2452" s="3">
        <f t="shared" si="73"/>
        <v>2</v>
      </c>
      <c r="D2452" s="20" t="str">
        <f t="shared" si="74"/>
        <v>TNC20062</v>
      </c>
      <c r="E2452" s="2">
        <v>38772</v>
      </c>
      <c r="F2452" s="3">
        <v>0.22</v>
      </c>
      <c r="G2452" s="2">
        <v>38791</v>
      </c>
      <c r="H2452" s="3">
        <v>1.8700000000000001E-2</v>
      </c>
      <c r="I2452" s="3">
        <v>0</v>
      </c>
      <c r="J2452" s="3">
        <v>0</v>
      </c>
      <c r="K2452" s="3">
        <f t="shared" si="75"/>
        <v>0</v>
      </c>
      <c r="L2452" s="3">
        <f t="shared" si="76"/>
        <v>2006</v>
      </c>
      <c r="M2452" s="20" t="str">
        <f>A2452&amp;L2452</f>
        <v>TNC2006</v>
      </c>
      <c r="N2452" s="3">
        <f>F2452/2</f>
        <v>0.11</v>
      </c>
      <c r="O2452" s="9">
        <f>H2452</f>
        <v>1.8700000000000001E-2</v>
      </c>
      <c r="P2452" s="10">
        <f t="shared" si="77"/>
        <v>0</v>
      </c>
      <c r="Q2452" s="10">
        <f>IF(K2452=0,IF(A2449=A2452,AVERAGE(O2449:O2452),"x"),0)</f>
        <v>1.7600000000000001E-2</v>
      </c>
      <c r="R2452" s="9">
        <f>IF(L2452&gt;2005,AVERAGE(O2449:O2468),0)</f>
        <v>2.1094999999999999E-2</v>
      </c>
      <c r="S2452" s="10">
        <f>IF(A2452=A2453,(N2452-N2453)/N2453,0)</f>
        <v>0</v>
      </c>
      <c r="T2452" s="10">
        <f>IF(L2452&gt;2005,(((N2452-N2472)/N2472)+1)^(1/5)-1,0)</f>
        <v>1.9244876491456564E-2</v>
      </c>
      <c r="U2452" s="10">
        <f t="shared" si="78"/>
        <v>4.0339876491456567E-2</v>
      </c>
      <c r="V2452" s="26">
        <f t="shared" si="79"/>
        <v>4.7039437032693829</v>
      </c>
      <c r="W2452" s="3">
        <f>IF(A2452=A2453,N2452-N2453,0)</f>
        <v>0</v>
      </c>
      <c r="X2452" s="10">
        <f>IF(A2452=A2453,(N2452-N2453)/N2453,0)</f>
        <v>0</v>
      </c>
    </row>
    <row r="2453" spans="1:24" ht="16.5" customHeight="1">
      <c r="A2453" s="3" t="s">
        <v>50</v>
      </c>
      <c r="B2453" s="3">
        <f t="shared" si="72"/>
        <v>2005</v>
      </c>
      <c r="C2453" s="3">
        <f t="shared" si="73"/>
        <v>11</v>
      </c>
      <c r="D2453" s="20" t="str">
        <f t="shared" si="74"/>
        <v>TNC200511</v>
      </c>
      <c r="E2453" s="2">
        <v>38684</v>
      </c>
      <c r="F2453" s="3">
        <v>0.22</v>
      </c>
      <c r="G2453" s="2">
        <v>38701</v>
      </c>
      <c r="H2453" s="3">
        <v>1.9E-2</v>
      </c>
      <c r="I2453" s="3">
        <v>0</v>
      </c>
      <c r="J2453" s="3">
        <v>0</v>
      </c>
      <c r="K2453" s="3">
        <f t="shared" si="75"/>
        <v>2005</v>
      </c>
      <c r="L2453" s="3">
        <f t="shared" si="76"/>
        <v>0</v>
      </c>
      <c r="M2453" s="20" t="str">
        <f>A2453&amp;L2453</f>
        <v>TNC0</v>
      </c>
      <c r="N2453" s="3">
        <f>F2453/2</f>
        <v>0.11</v>
      </c>
      <c r="O2453" s="9">
        <f>H2453</f>
        <v>1.9E-2</v>
      </c>
      <c r="P2453" s="10">
        <f t="shared" si="77"/>
        <v>0</v>
      </c>
      <c r="Q2453" s="10">
        <f>IF(K2453=0,IF(A2450=A2453,AVERAGE(O2450:O2453),"x"),0)</f>
        <v>0</v>
      </c>
      <c r="R2453" s="9">
        <f>IF(L2453&gt;2005,AVERAGE(O2450:O2469),0)</f>
        <v>0</v>
      </c>
      <c r="S2453" s="10">
        <f>IF(A2453=A2454,(N2453-N2454)/N2454,0)</f>
        <v>0</v>
      </c>
      <c r="T2453" s="10">
        <f>IF(L2453&gt;2005,(((N2453-N2473)/N2473)+1)^(1/5)-1,0)</f>
        <v>0</v>
      </c>
      <c r="U2453" s="10">
        <f t="shared" si="78"/>
        <v>0</v>
      </c>
      <c r="V2453" s="26">
        <f t="shared" si="79"/>
        <v>0</v>
      </c>
      <c r="W2453" s="3">
        <f>IF(A2453=A2454,N2453-N2454,0)</f>
        <v>0</v>
      </c>
      <c r="X2453" s="10">
        <f>IF(A2453=A2454,(N2453-N2454)/N2454,0)</f>
        <v>0</v>
      </c>
    </row>
    <row r="2454" spans="1:24" ht="16.5" customHeight="1">
      <c r="A2454" s="3" t="s">
        <v>50</v>
      </c>
      <c r="B2454" s="3">
        <f t="shared" si="72"/>
        <v>2005</v>
      </c>
      <c r="C2454" s="3">
        <f t="shared" si="73"/>
        <v>8</v>
      </c>
      <c r="D2454" s="20" t="str">
        <f t="shared" si="74"/>
        <v>TNC20058</v>
      </c>
      <c r="E2454" s="2">
        <v>38593</v>
      </c>
      <c r="F2454" s="3">
        <v>0.22</v>
      </c>
      <c r="G2454" s="2">
        <v>38610</v>
      </c>
      <c r="H2454" s="3">
        <v>2.29E-2</v>
      </c>
      <c r="I2454" s="3">
        <v>0</v>
      </c>
      <c r="J2454" s="3">
        <v>0</v>
      </c>
      <c r="K2454" s="3">
        <f t="shared" si="75"/>
        <v>2005</v>
      </c>
      <c r="L2454" s="3">
        <f t="shared" si="76"/>
        <v>0</v>
      </c>
      <c r="M2454" s="20" t="str">
        <f>A2454&amp;L2454</f>
        <v>TNC0</v>
      </c>
      <c r="N2454" s="3">
        <f>F2454/2</f>
        <v>0.11</v>
      </c>
      <c r="O2454" s="9">
        <f>H2454</f>
        <v>2.29E-2</v>
      </c>
      <c r="P2454" s="10">
        <f t="shared" si="77"/>
        <v>0</v>
      </c>
      <c r="Q2454" s="10">
        <f>IF(K2454=0,IF(A2451=A2454,AVERAGE(O2451:O2454),"x"),0)</f>
        <v>0</v>
      </c>
      <c r="R2454" s="9">
        <f>IF(L2454&gt;2005,AVERAGE(O2451:O2470),0)</f>
        <v>0</v>
      </c>
      <c r="S2454" s="10">
        <f>IF(A2454=A2455,(N2454-N2455)/N2455,0)</f>
        <v>0</v>
      </c>
      <c r="T2454" s="10">
        <f>IF(L2454&gt;2005,(((N2454-N2474)/N2474)+1)^(1/5)-1,0)</f>
        <v>0</v>
      </c>
      <c r="U2454" s="10">
        <f t="shared" si="78"/>
        <v>0</v>
      </c>
      <c r="V2454" s="26">
        <f t="shared" si="79"/>
        <v>0</v>
      </c>
      <c r="W2454" s="3">
        <f>IF(A2454=A2455,N2454-N2455,0)</f>
        <v>0</v>
      </c>
      <c r="X2454" s="10">
        <f>IF(A2454=A2455,(N2454-N2455)/N2455,0)</f>
        <v>0</v>
      </c>
    </row>
    <row r="2455" spans="1:24" ht="16.5" customHeight="1">
      <c r="A2455" s="3" t="s">
        <v>50</v>
      </c>
      <c r="B2455" s="3">
        <f t="shared" si="72"/>
        <v>2005</v>
      </c>
      <c r="C2455" s="3">
        <f t="shared" si="73"/>
        <v>5</v>
      </c>
      <c r="D2455" s="20" t="str">
        <f t="shared" si="74"/>
        <v>TNC20055</v>
      </c>
      <c r="E2455" s="2">
        <v>38498</v>
      </c>
      <c r="F2455" s="3">
        <v>0.22</v>
      </c>
      <c r="G2455" s="2">
        <v>38518</v>
      </c>
      <c r="H2455" s="3">
        <v>2.29E-2</v>
      </c>
      <c r="I2455" s="3">
        <v>0</v>
      </c>
      <c r="J2455" s="3">
        <v>0</v>
      </c>
      <c r="K2455" s="3">
        <f t="shared" si="75"/>
        <v>2005</v>
      </c>
      <c r="L2455" s="3">
        <f t="shared" si="76"/>
        <v>0</v>
      </c>
      <c r="M2455" s="20" t="str">
        <f>A2455&amp;L2455</f>
        <v>TNC0</v>
      </c>
      <c r="N2455" s="3">
        <f>F2455/2</f>
        <v>0.11</v>
      </c>
      <c r="O2455" s="9">
        <f>H2455</f>
        <v>2.29E-2</v>
      </c>
      <c r="P2455" s="10">
        <f t="shared" si="77"/>
        <v>0</v>
      </c>
      <c r="Q2455" s="10">
        <f>IF(K2455=0,IF(A2452=A2455,AVERAGE(O2452:O2455),"x"),0)</f>
        <v>0</v>
      </c>
      <c r="R2455" s="9">
        <f>IF(L2455&gt;2005,AVERAGE(O2452:O2471),0)</f>
        <v>0</v>
      </c>
      <c r="S2455" s="10">
        <f>IF(A2455=A2456,(N2455-N2456)/N2456,0)</f>
        <v>0</v>
      </c>
      <c r="T2455" s="10">
        <f>IF(L2455&gt;2005,(((N2455-N2475)/N2475)+1)^(1/5)-1,0)</f>
        <v>0</v>
      </c>
      <c r="U2455" s="10">
        <f t="shared" si="78"/>
        <v>0</v>
      </c>
      <c r="V2455" s="26">
        <f t="shared" si="79"/>
        <v>0</v>
      </c>
      <c r="W2455" s="3">
        <f>IF(A2455=A2456,N2455-N2456,0)</f>
        <v>0</v>
      </c>
      <c r="X2455" s="10">
        <f>IF(A2455=A2456,(N2455-N2456)/N2456,0)</f>
        <v>0</v>
      </c>
    </row>
    <row r="2456" spans="1:24" ht="16.5" customHeight="1">
      <c r="A2456" s="3" t="s">
        <v>50</v>
      </c>
      <c r="B2456" s="3">
        <f t="shared" si="72"/>
        <v>2005</v>
      </c>
      <c r="C2456" s="3">
        <f t="shared" si="73"/>
        <v>2</v>
      </c>
      <c r="D2456" s="20" t="str">
        <f t="shared" si="74"/>
        <v>TNC20052</v>
      </c>
      <c r="E2456" s="2">
        <v>38407</v>
      </c>
      <c r="F2456" s="3">
        <v>0.22</v>
      </c>
      <c r="G2456" s="2">
        <v>38426</v>
      </c>
      <c r="H2456" s="3">
        <v>2.2499999999999999E-2</v>
      </c>
      <c r="I2456" s="3">
        <v>0</v>
      </c>
      <c r="J2456" s="3">
        <v>0</v>
      </c>
      <c r="K2456" s="3">
        <f t="shared" si="75"/>
        <v>0</v>
      </c>
      <c r="L2456" s="3">
        <f t="shared" si="76"/>
        <v>2005</v>
      </c>
      <c r="M2456" s="20" t="str">
        <f>A2456&amp;L2456</f>
        <v>TNC2005</v>
      </c>
      <c r="N2456" s="3">
        <f>F2456/2</f>
        <v>0.11</v>
      </c>
      <c r="O2456" s="9">
        <f>H2456</f>
        <v>2.2499999999999999E-2</v>
      </c>
      <c r="P2456" s="10">
        <f t="shared" si="77"/>
        <v>0</v>
      </c>
      <c r="Q2456" s="10">
        <f>IF(K2456=0,IF(A2453=A2456,AVERAGE(O2453:O2456),"x"),0)</f>
        <v>2.1824999999999997E-2</v>
      </c>
      <c r="R2456" s="9">
        <f>IF(L2456&gt;2005,AVERAGE(O2453:O2472),0)</f>
        <v>0</v>
      </c>
      <c r="S2456" s="10">
        <f>IF(A2456=A2457,(N2456-N2457)/N2457,0)</f>
        <v>0</v>
      </c>
      <c r="T2456" s="10">
        <f>IF(L2456&gt;2005,(((N2456-N2476)/N2476)+1)^(1/5)-1,0)</f>
        <v>0</v>
      </c>
      <c r="U2456" s="10">
        <f t="shared" si="78"/>
        <v>0</v>
      </c>
      <c r="V2456" s="26">
        <f t="shared" si="79"/>
        <v>0</v>
      </c>
      <c r="W2456" s="3">
        <f>IF(A2456=A2457,N2456-N2457,0)</f>
        <v>0</v>
      </c>
      <c r="X2456" s="10">
        <f>IF(A2456=A2457,(N2456-N2457)/N2457,0)</f>
        <v>0</v>
      </c>
    </row>
    <row r="2457" spans="1:24" ht="16.5" customHeight="1">
      <c r="A2457" s="3" t="s">
        <v>50</v>
      </c>
      <c r="B2457" s="3">
        <f t="shared" si="72"/>
        <v>2004</v>
      </c>
      <c r="C2457" s="3">
        <f t="shared" si="73"/>
        <v>11</v>
      </c>
      <c r="D2457" s="20" t="str">
        <f t="shared" si="74"/>
        <v>TNC200411</v>
      </c>
      <c r="E2457" s="2">
        <v>38317</v>
      </c>
      <c r="F2457" s="3">
        <v>0.22</v>
      </c>
      <c r="G2457" s="2">
        <v>38336</v>
      </c>
      <c r="H2457" s="3">
        <v>2.1100000000000001E-2</v>
      </c>
      <c r="I2457" s="3">
        <v>0</v>
      </c>
      <c r="J2457" s="3">
        <v>0</v>
      </c>
      <c r="K2457" s="3">
        <f t="shared" si="75"/>
        <v>2004</v>
      </c>
      <c r="L2457" s="3">
        <f t="shared" si="76"/>
        <v>0</v>
      </c>
      <c r="M2457" s="20" t="str">
        <f>A2457&amp;L2457</f>
        <v>TNC0</v>
      </c>
      <c r="N2457" s="3">
        <f>F2457/2</f>
        <v>0.11</v>
      </c>
      <c r="O2457" s="9">
        <f>H2457</f>
        <v>2.1100000000000001E-2</v>
      </c>
      <c r="P2457" s="10">
        <f t="shared" si="77"/>
        <v>0</v>
      </c>
      <c r="Q2457" s="10">
        <f>IF(K2457=0,IF(A2454=A2457,AVERAGE(O2454:O2457),"x"),0)</f>
        <v>0</v>
      </c>
      <c r="R2457" s="9">
        <f>IF(L2457&gt;2005,AVERAGE(O2454:O2473),0)</f>
        <v>0</v>
      </c>
      <c r="S2457" s="10">
        <f>IF(A2457=A2458,(N2457-N2458)/N2458,0)</f>
        <v>0</v>
      </c>
      <c r="T2457" s="10">
        <f>IF(L2457&gt;2005,(((N2457-N2477)/N2477)+1)^(1/5)-1,0)</f>
        <v>0</v>
      </c>
      <c r="U2457" s="10">
        <f t="shared" si="78"/>
        <v>0</v>
      </c>
      <c r="V2457" s="26">
        <f t="shared" si="79"/>
        <v>0</v>
      </c>
      <c r="W2457" s="3">
        <f>IF(A2457=A2458,N2457-N2458,0)</f>
        <v>0</v>
      </c>
      <c r="X2457" s="10">
        <f>IF(A2457=A2458,(N2457-N2458)/N2458,0)</f>
        <v>0</v>
      </c>
    </row>
    <row r="2458" spans="1:24" ht="16.5" customHeight="1">
      <c r="A2458" s="3" t="s">
        <v>50</v>
      </c>
      <c r="B2458" s="3">
        <f t="shared" si="72"/>
        <v>2004</v>
      </c>
      <c r="C2458" s="3">
        <f t="shared" si="73"/>
        <v>8</v>
      </c>
      <c r="D2458" s="20" t="str">
        <f t="shared" si="74"/>
        <v>TNC20048</v>
      </c>
      <c r="E2458" s="2">
        <v>38226</v>
      </c>
      <c r="F2458" s="3">
        <v>0.22</v>
      </c>
      <c r="G2458" s="2">
        <v>38245</v>
      </c>
      <c r="H2458" s="3">
        <v>2.1100000000000001E-2</v>
      </c>
      <c r="I2458" s="3">
        <v>4.7619047999999997E-2</v>
      </c>
      <c r="J2458" s="3">
        <v>0.01</v>
      </c>
      <c r="K2458" s="3">
        <f t="shared" si="75"/>
        <v>2004</v>
      </c>
      <c r="L2458" s="3">
        <f t="shared" si="76"/>
        <v>0</v>
      </c>
      <c r="M2458" s="20" t="str">
        <f>A2458&amp;L2458</f>
        <v>TNC0</v>
      </c>
      <c r="N2458" s="3">
        <f>F2458/2</f>
        <v>0.11</v>
      </c>
      <c r="O2458" s="9">
        <f>H2458</f>
        <v>2.1100000000000001E-2</v>
      </c>
      <c r="P2458" s="10">
        <f t="shared" si="77"/>
        <v>2.0925000000000003E-2</v>
      </c>
      <c r="Q2458" s="10">
        <f>IF(K2458=0,IF(A2455=A2458,AVERAGE(O2455:O2458),"x"),0)</f>
        <v>0</v>
      </c>
      <c r="R2458" s="9">
        <f>IF(L2458&gt;2005,AVERAGE(O2455:O2474),0)</f>
        <v>0</v>
      </c>
      <c r="S2458" s="10">
        <f>IF(A2458=A2459,(N2458-N2459)/N2459,0)</f>
        <v>4.7619047619047665E-2</v>
      </c>
      <c r="T2458" s="10">
        <f>IF(L2458&gt;2005,(((N2458-N2478)/N2478)+1)^(1/5)-1,0)</f>
        <v>0</v>
      </c>
      <c r="U2458" s="10">
        <f t="shared" si="78"/>
        <v>0</v>
      </c>
      <c r="V2458" s="26">
        <f t="shared" si="79"/>
        <v>0</v>
      </c>
      <c r="W2458" s="3">
        <f>IF(A2458=A2459,N2458-N2459,0)</f>
        <v>5.0000000000000044E-3</v>
      </c>
      <c r="X2458" s="10">
        <f>IF(A2458=A2459,(N2458-N2459)/N2459,0)</f>
        <v>4.7619047619047665E-2</v>
      </c>
    </row>
    <row r="2459" spans="1:24" ht="16.5" customHeight="1">
      <c r="A2459" s="3" t="s">
        <v>50</v>
      </c>
      <c r="B2459" s="3">
        <f t="shared" si="72"/>
        <v>2004</v>
      </c>
      <c r="C2459" s="3">
        <f t="shared" si="73"/>
        <v>5</v>
      </c>
      <c r="D2459" s="20" t="str">
        <f t="shared" si="74"/>
        <v>TNC20045</v>
      </c>
      <c r="E2459" s="2">
        <v>38133</v>
      </c>
      <c r="F2459" s="3">
        <v>0.21</v>
      </c>
      <c r="G2459" s="2">
        <v>38153</v>
      </c>
      <c r="H2459" s="3">
        <v>2.2100000000000002E-2</v>
      </c>
      <c r="I2459" s="3">
        <v>0</v>
      </c>
      <c r="J2459" s="3">
        <v>0</v>
      </c>
      <c r="K2459" s="3">
        <f t="shared" si="75"/>
        <v>2004</v>
      </c>
      <c r="L2459" s="3">
        <f t="shared" si="76"/>
        <v>0</v>
      </c>
      <c r="M2459" s="20" t="str">
        <f>A2459&amp;L2459</f>
        <v>TNC0</v>
      </c>
      <c r="N2459" s="3">
        <f>F2459/2</f>
        <v>0.105</v>
      </c>
      <c r="O2459" s="9">
        <f>H2459</f>
        <v>2.2100000000000002E-2</v>
      </c>
      <c r="P2459" s="10">
        <f t="shared" si="77"/>
        <v>0</v>
      </c>
      <c r="Q2459" s="10">
        <f>IF(K2459=0,IF(A2456=A2459,AVERAGE(O2456:O2459),"x"),0)</f>
        <v>0</v>
      </c>
      <c r="R2459" s="9">
        <f>IF(L2459&gt;2005,AVERAGE(O2456:O2475),0)</f>
        <v>0</v>
      </c>
      <c r="S2459" s="10">
        <f>IF(A2459=A2460,(N2459-N2460)/N2460,0)</f>
        <v>0</v>
      </c>
      <c r="T2459" s="10">
        <f>IF(L2459&gt;2005,(((N2459-N2479)/N2479)+1)^(1/5)-1,0)</f>
        <v>0</v>
      </c>
      <c r="U2459" s="10">
        <f t="shared" si="78"/>
        <v>0</v>
      </c>
      <c r="V2459" s="26">
        <f t="shared" si="79"/>
        <v>0</v>
      </c>
      <c r="W2459" s="3">
        <f>IF(A2459=A2460,N2459-N2460,0)</f>
        <v>0</v>
      </c>
      <c r="X2459" s="10">
        <f>IF(A2459=A2460,(N2459-N2460)/N2460,0)</f>
        <v>0</v>
      </c>
    </row>
    <row r="2460" spans="1:24" ht="16.5" customHeight="1">
      <c r="A2460" s="3" t="s">
        <v>50</v>
      </c>
      <c r="B2460" s="3">
        <f t="shared" si="72"/>
        <v>2004</v>
      </c>
      <c r="C2460" s="3">
        <f t="shared" si="73"/>
        <v>2</v>
      </c>
      <c r="D2460" s="20" t="str">
        <f t="shared" si="74"/>
        <v>TNC20042</v>
      </c>
      <c r="E2460" s="2">
        <v>38042</v>
      </c>
      <c r="F2460" s="3">
        <v>0.21</v>
      </c>
      <c r="G2460" s="2">
        <v>38061</v>
      </c>
      <c r="H2460" s="3">
        <v>2.1000000000000001E-2</v>
      </c>
      <c r="I2460" s="3">
        <v>0</v>
      </c>
      <c r="J2460" s="3">
        <v>0</v>
      </c>
      <c r="K2460" s="3">
        <f t="shared" si="75"/>
        <v>0</v>
      </c>
      <c r="L2460" s="3">
        <f t="shared" si="76"/>
        <v>2004</v>
      </c>
      <c r="M2460" s="20" t="str">
        <f>A2460&amp;L2460</f>
        <v>TNC2004</v>
      </c>
      <c r="N2460" s="3">
        <f>F2460/2</f>
        <v>0.105</v>
      </c>
      <c r="O2460" s="9">
        <f>H2460</f>
        <v>2.1000000000000001E-2</v>
      </c>
      <c r="P2460" s="10">
        <f t="shared" si="77"/>
        <v>0</v>
      </c>
      <c r="Q2460" s="10">
        <f>IF(K2460=0,IF(A2457=A2460,AVERAGE(O2457:O2460),"x"),0)</f>
        <v>2.1325E-2</v>
      </c>
      <c r="R2460" s="9">
        <f>IF(L2460&gt;2005,AVERAGE(O2457:O2476),0)</f>
        <v>0</v>
      </c>
      <c r="S2460" s="10">
        <f>IF(A2460=A2461,(N2460-N2461)/N2461,0)</f>
        <v>0</v>
      </c>
      <c r="T2460" s="10">
        <f>IF(L2460&gt;2005,(((N2460-N2480)/N2480)+1)^(1/5)-1,0)</f>
        <v>0</v>
      </c>
      <c r="U2460" s="10">
        <f t="shared" si="78"/>
        <v>0</v>
      </c>
      <c r="V2460" s="26">
        <f t="shared" si="79"/>
        <v>0</v>
      </c>
      <c r="W2460" s="3">
        <f>IF(A2460=A2461,N2460-N2461,0)</f>
        <v>0</v>
      </c>
      <c r="X2460" s="10">
        <f>IF(A2460=A2461,(N2460-N2461)/N2461,0)</f>
        <v>0</v>
      </c>
    </row>
    <row r="2461" spans="1:24" ht="16.5" customHeight="1">
      <c r="A2461" s="3" t="s">
        <v>50</v>
      </c>
      <c r="B2461" s="3">
        <f t="shared" si="72"/>
        <v>2003</v>
      </c>
      <c r="C2461" s="3">
        <f t="shared" si="73"/>
        <v>11</v>
      </c>
      <c r="D2461" s="20" t="str">
        <f t="shared" si="74"/>
        <v>TNC200311</v>
      </c>
      <c r="E2461" s="2">
        <v>37950</v>
      </c>
      <c r="F2461" s="3">
        <v>0.21</v>
      </c>
      <c r="G2461" s="2">
        <v>37970</v>
      </c>
      <c r="H2461" s="3">
        <v>1.95E-2</v>
      </c>
      <c r="I2461" s="3">
        <v>0</v>
      </c>
      <c r="J2461" s="3">
        <v>0</v>
      </c>
      <c r="K2461" s="3">
        <f t="shared" si="75"/>
        <v>2003</v>
      </c>
      <c r="L2461" s="3">
        <f t="shared" si="76"/>
        <v>0</v>
      </c>
      <c r="M2461" s="20" t="str">
        <f>A2461&amp;L2461</f>
        <v>TNC0</v>
      </c>
      <c r="N2461" s="3">
        <f>F2461/2</f>
        <v>0.105</v>
      </c>
      <c r="O2461" s="9">
        <f>H2461</f>
        <v>1.95E-2</v>
      </c>
      <c r="P2461" s="10">
        <f t="shared" si="77"/>
        <v>0</v>
      </c>
      <c r="Q2461" s="10">
        <f>IF(K2461=0,IF(A2458=A2461,AVERAGE(O2458:O2461),"x"),0)</f>
        <v>0</v>
      </c>
      <c r="R2461" s="9">
        <f>IF(L2461&gt;2005,AVERAGE(O2458:O2477),0)</f>
        <v>0</v>
      </c>
      <c r="S2461" s="10">
        <f>IF(A2461=A2462,(N2461-N2462)/N2462,0)</f>
        <v>0</v>
      </c>
      <c r="T2461" s="10">
        <f>IF(L2461&gt;2005,(((N2461-N2481)/N2481)+1)^(1/5)-1,0)</f>
        <v>0</v>
      </c>
      <c r="U2461" s="10">
        <f t="shared" si="78"/>
        <v>0</v>
      </c>
      <c r="V2461" s="26">
        <f t="shared" si="79"/>
        <v>0</v>
      </c>
      <c r="W2461" s="3">
        <f>IF(A2461=A2462,N2461-N2462,0)</f>
        <v>0</v>
      </c>
      <c r="X2461" s="10">
        <f>IF(A2461=A2462,(N2461-N2462)/N2462,0)</f>
        <v>0</v>
      </c>
    </row>
    <row r="2462" spans="1:24" ht="16.5" customHeight="1">
      <c r="A2462" s="3" t="s">
        <v>50</v>
      </c>
      <c r="B2462" s="3">
        <f t="shared" si="72"/>
        <v>2003</v>
      </c>
      <c r="C2462" s="3">
        <f t="shared" si="73"/>
        <v>8</v>
      </c>
      <c r="D2462" s="20" t="str">
        <f t="shared" si="74"/>
        <v>TNC20038</v>
      </c>
      <c r="E2462" s="2">
        <v>37860</v>
      </c>
      <c r="F2462" s="3">
        <v>0.21</v>
      </c>
      <c r="G2462" s="2">
        <v>37879</v>
      </c>
      <c r="H2462" s="3">
        <v>2.1299999999999999E-2</v>
      </c>
      <c r="I2462" s="3">
        <v>0</v>
      </c>
      <c r="J2462" s="3">
        <v>0</v>
      </c>
      <c r="K2462" s="3">
        <f t="shared" si="75"/>
        <v>2003</v>
      </c>
      <c r="L2462" s="3">
        <f t="shared" si="76"/>
        <v>0</v>
      </c>
      <c r="M2462" s="20" t="str">
        <f>A2462&amp;L2462</f>
        <v>TNC0</v>
      </c>
      <c r="N2462" s="3">
        <f>F2462/2</f>
        <v>0.105</v>
      </c>
      <c r="O2462" s="9">
        <f>H2462</f>
        <v>2.1299999999999999E-2</v>
      </c>
      <c r="P2462" s="10">
        <f t="shared" si="77"/>
        <v>0</v>
      </c>
      <c r="Q2462" s="10">
        <f>IF(K2462=0,IF(A2459=A2462,AVERAGE(O2459:O2462),"x"),0)</f>
        <v>0</v>
      </c>
      <c r="R2462" s="9">
        <f>IF(L2462&gt;2005,AVERAGE(O2459:O2478),0)</f>
        <v>0</v>
      </c>
      <c r="S2462" s="10">
        <f>IF(A2462=A2463,(N2462-N2463)/N2463,0)</f>
        <v>0</v>
      </c>
      <c r="T2462" s="10">
        <f>IF(L2462&gt;2005,(((N2462-N2482)/N2482)+1)^(1/5)-1,0)</f>
        <v>0</v>
      </c>
      <c r="U2462" s="10">
        <f t="shared" si="78"/>
        <v>0</v>
      </c>
      <c r="V2462" s="26">
        <f t="shared" si="79"/>
        <v>0</v>
      </c>
      <c r="W2462" s="3">
        <f>IF(A2462=A2463,N2462-N2463,0)</f>
        <v>0</v>
      </c>
      <c r="X2462" s="10">
        <f>IF(A2462=A2463,(N2462-N2463)/N2463,0)</f>
        <v>0</v>
      </c>
    </row>
    <row r="2463" spans="1:24" ht="16.5" customHeight="1">
      <c r="A2463" s="3" t="s">
        <v>50</v>
      </c>
      <c r="B2463" s="3">
        <f t="shared" si="72"/>
        <v>2003</v>
      </c>
      <c r="C2463" s="3">
        <f t="shared" si="73"/>
        <v>5</v>
      </c>
      <c r="D2463" s="20" t="str">
        <f t="shared" si="74"/>
        <v>TNC20035</v>
      </c>
      <c r="E2463" s="2">
        <v>37769</v>
      </c>
      <c r="F2463" s="3">
        <v>0.21</v>
      </c>
      <c r="G2463" s="2">
        <v>37785</v>
      </c>
      <c r="H2463" s="3">
        <v>2.5000000000000001E-2</v>
      </c>
      <c r="I2463" s="3">
        <v>0</v>
      </c>
      <c r="J2463" s="3">
        <v>0</v>
      </c>
      <c r="K2463" s="3">
        <f t="shared" si="75"/>
        <v>2003</v>
      </c>
      <c r="L2463" s="3">
        <f t="shared" si="76"/>
        <v>0</v>
      </c>
      <c r="M2463" s="20" t="str">
        <f>A2463&amp;L2463</f>
        <v>TNC0</v>
      </c>
      <c r="N2463" s="3">
        <f>F2463/2</f>
        <v>0.105</v>
      </c>
      <c r="O2463" s="9">
        <f>H2463</f>
        <v>2.5000000000000001E-2</v>
      </c>
      <c r="P2463" s="10">
        <f t="shared" si="77"/>
        <v>0</v>
      </c>
      <c r="Q2463" s="10">
        <f>IF(K2463=0,IF(A2460=A2463,AVERAGE(O2460:O2463),"x"),0)</f>
        <v>0</v>
      </c>
      <c r="R2463" s="9">
        <f>IF(L2463&gt;2005,AVERAGE(O2460:O2479),0)</f>
        <v>0</v>
      </c>
      <c r="S2463" s="10">
        <f>IF(A2463=A2464,(N2463-N2464)/N2464,0)</f>
        <v>0</v>
      </c>
      <c r="T2463" s="10">
        <f>IF(L2463&gt;2005,(((N2463-N2483)/N2483)+1)^(1/5)-1,0)</f>
        <v>0</v>
      </c>
      <c r="U2463" s="10">
        <f t="shared" si="78"/>
        <v>0</v>
      </c>
      <c r="V2463" s="26">
        <f t="shared" si="79"/>
        <v>0</v>
      </c>
      <c r="W2463" s="3">
        <f>IF(A2463=A2464,N2463-N2464,0)</f>
        <v>0</v>
      </c>
      <c r="X2463" s="10">
        <f>IF(A2463=A2464,(N2463-N2464)/N2464,0)</f>
        <v>0</v>
      </c>
    </row>
    <row r="2464" spans="1:24" ht="16.5" customHeight="1">
      <c r="A2464" s="3" t="s">
        <v>50</v>
      </c>
      <c r="B2464" s="3">
        <f t="shared" si="72"/>
        <v>2003</v>
      </c>
      <c r="C2464" s="3">
        <f t="shared" si="73"/>
        <v>2</v>
      </c>
      <c r="D2464" s="20" t="str">
        <f t="shared" si="74"/>
        <v>TNC20032</v>
      </c>
      <c r="E2464" s="2">
        <v>37678</v>
      </c>
      <c r="F2464" s="3">
        <v>0.21</v>
      </c>
      <c r="G2464" s="2">
        <v>37694</v>
      </c>
      <c r="H2464" s="3">
        <v>2.5700000000000001E-2</v>
      </c>
      <c r="I2464" s="3">
        <v>0</v>
      </c>
      <c r="J2464" s="3">
        <v>0</v>
      </c>
      <c r="K2464" s="3">
        <f t="shared" si="75"/>
        <v>0</v>
      </c>
      <c r="L2464" s="3">
        <f t="shared" si="76"/>
        <v>2003</v>
      </c>
      <c r="M2464" s="20" t="str">
        <f>A2464&amp;L2464</f>
        <v>TNC2003</v>
      </c>
      <c r="N2464" s="3">
        <f>F2464/2</f>
        <v>0.105</v>
      </c>
      <c r="O2464" s="9">
        <f>H2464</f>
        <v>2.5700000000000001E-2</v>
      </c>
      <c r="P2464" s="10">
        <f t="shared" si="77"/>
        <v>0</v>
      </c>
      <c r="Q2464" s="10">
        <f>IF(K2464=0,IF(A2461=A2464,AVERAGE(O2461:O2464),"x"),0)</f>
        <v>2.2875E-2</v>
      </c>
      <c r="R2464" s="9">
        <f>IF(L2464&gt;2005,AVERAGE(O2461:O2480),0)</f>
        <v>0</v>
      </c>
      <c r="S2464" s="10">
        <f>IF(A2464=A2465,(N2464-N2465)/N2465,0)</f>
        <v>0</v>
      </c>
      <c r="T2464" s="10">
        <f>IF(L2464&gt;2005,(((N2464-N2484)/N2484)+1)^(1/5)-1,0)</f>
        <v>0</v>
      </c>
      <c r="U2464" s="10">
        <f t="shared" si="78"/>
        <v>0</v>
      </c>
      <c r="V2464" s="26">
        <f t="shared" si="79"/>
        <v>0</v>
      </c>
      <c r="W2464" s="3">
        <f>IF(A2464=A2465,N2464-N2465,0)</f>
        <v>0</v>
      </c>
      <c r="X2464" s="10">
        <f>IF(A2464=A2465,(N2464-N2465)/N2465,0)</f>
        <v>0</v>
      </c>
    </row>
    <row r="2465" spans="1:24" ht="16.5" customHeight="1">
      <c r="A2465" s="3" t="s">
        <v>50</v>
      </c>
      <c r="B2465" s="3">
        <f t="shared" si="72"/>
        <v>2002</v>
      </c>
      <c r="C2465" s="3">
        <f t="shared" si="73"/>
        <v>11</v>
      </c>
      <c r="D2465" s="20" t="str">
        <f t="shared" si="74"/>
        <v>TNC200211</v>
      </c>
      <c r="E2465" s="2">
        <v>37586</v>
      </c>
      <c r="F2465" s="3">
        <v>0.21</v>
      </c>
      <c r="G2465" s="2">
        <v>37606</v>
      </c>
      <c r="H2465" s="3">
        <v>2.4400000000000002E-2</v>
      </c>
      <c r="I2465" s="3">
        <v>0</v>
      </c>
      <c r="J2465" s="3">
        <v>0</v>
      </c>
      <c r="K2465" s="3">
        <f t="shared" si="75"/>
        <v>2002</v>
      </c>
      <c r="L2465" s="3">
        <f t="shared" si="76"/>
        <v>0</v>
      </c>
      <c r="M2465" s="20" t="str">
        <f>A2465&amp;L2465</f>
        <v>TNC0</v>
      </c>
      <c r="N2465" s="3">
        <f>F2465/2</f>
        <v>0.105</v>
      </c>
      <c r="O2465" s="9">
        <f>H2465</f>
        <v>2.4400000000000002E-2</v>
      </c>
      <c r="P2465" s="10">
        <f t="shared" si="77"/>
        <v>0</v>
      </c>
      <c r="Q2465" s="10">
        <f>IF(K2465=0,IF(A2462=A2465,AVERAGE(O2462:O2465),"x"),0)</f>
        <v>0</v>
      </c>
      <c r="R2465" s="9">
        <f>IF(L2465&gt;2005,AVERAGE(O2462:O2481),0)</f>
        <v>0</v>
      </c>
      <c r="S2465" s="10">
        <f>IF(A2465=A2466,(N2465-N2466)/N2466,0)</f>
        <v>0</v>
      </c>
      <c r="T2465" s="10">
        <f>IF(L2465&gt;2005,(((N2465-N2485)/N2485)+1)^(1/5)-1,0)</f>
        <v>0</v>
      </c>
      <c r="U2465" s="10">
        <f t="shared" si="78"/>
        <v>0</v>
      </c>
      <c r="V2465" s="26">
        <f t="shared" si="79"/>
        <v>0</v>
      </c>
      <c r="W2465" s="3">
        <f>IF(A2465=A2466,N2465-N2466,0)</f>
        <v>0</v>
      </c>
      <c r="X2465" s="10">
        <f>IF(A2465=A2466,(N2465-N2466)/N2466,0)</f>
        <v>0</v>
      </c>
    </row>
    <row r="2466" spans="1:24" ht="16.5" customHeight="1">
      <c r="A2466" s="3" t="s">
        <v>50</v>
      </c>
      <c r="B2466" s="3">
        <f t="shared" si="72"/>
        <v>2002</v>
      </c>
      <c r="C2466" s="3">
        <f t="shared" si="73"/>
        <v>8</v>
      </c>
      <c r="D2466" s="20" t="str">
        <f t="shared" si="74"/>
        <v>TNC20028</v>
      </c>
      <c r="E2466" s="2">
        <v>37496</v>
      </c>
      <c r="F2466" s="3">
        <v>0.21</v>
      </c>
      <c r="G2466" s="2">
        <v>37515</v>
      </c>
      <c r="H2466" s="3">
        <v>2.1100000000000001E-2</v>
      </c>
      <c r="I2466" s="3">
        <v>0.05</v>
      </c>
      <c r="J2466" s="3">
        <v>0.01</v>
      </c>
      <c r="K2466" s="3">
        <f t="shared" si="75"/>
        <v>2002</v>
      </c>
      <c r="L2466" s="3">
        <f t="shared" si="76"/>
        <v>0</v>
      </c>
      <c r="M2466" s="20" t="str">
        <f>A2466&amp;L2466</f>
        <v>TNC0</v>
      </c>
      <c r="N2466" s="3">
        <f>F2466/2</f>
        <v>0.105</v>
      </c>
      <c r="O2466" s="9">
        <f>H2466</f>
        <v>2.1100000000000001E-2</v>
      </c>
      <c r="P2466" s="10">
        <f t="shared" si="77"/>
        <v>2.3125E-2</v>
      </c>
      <c r="Q2466" s="10">
        <f>IF(K2466=0,IF(A2463=A2466,AVERAGE(O2463:O2466),"x"),0)</f>
        <v>0</v>
      </c>
      <c r="R2466" s="9">
        <f>IF(L2466&gt;2005,AVERAGE(O2463:O2482),0)</f>
        <v>0</v>
      </c>
      <c r="S2466" s="10">
        <f>IF(A2466=A2467,(N2466-N2467)/N2467,0)</f>
        <v>4.9999999999999906E-2</v>
      </c>
      <c r="T2466" s="10">
        <f>IF(L2466&gt;2005,(((N2466-N2486)/N2486)+1)^(1/5)-1,0)</f>
        <v>0</v>
      </c>
      <c r="U2466" s="10">
        <f t="shared" si="78"/>
        <v>0</v>
      </c>
      <c r="V2466" s="26">
        <f t="shared" si="79"/>
        <v>0</v>
      </c>
      <c r="W2466" s="3">
        <f>IF(A2466=A2467,N2466-N2467,0)</f>
        <v>4.9999999999999906E-3</v>
      </c>
      <c r="X2466" s="10">
        <f>IF(A2466=A2467,(N2466-N2467)/N2467,0)</f>
        <v>4.9999999999999906E-2</v>
      </c>
    </row>
    <row r="2467" spans="1:24" ht="16.5" customHeight="1">
      <c r="A2467" s="3" t="s">
        <v>50</v>
      </c>
      <c r="B2467" s="3">
        <f t="shared" si="72"/>
        <v>2002</v>
      </c>
      <c r="C2467" s="3">
        <f t="shared" si="73"/>
        <v>5</v>
      </c>
      <c r="D2467" s="20" t="str">
        <f t="shared" si="74"/>
        <v>TNC20025</v>
      </c>
      <c r="E2467" s="2">
        <v>37405</v>
      </c>
      <c r="F2467" s="3">
        <v>0.2</v>
      </c>
      <c r="G2467" s="2">
        <v>37421</v>
      </c>
      <c r="H2467" s="3">
        <v>1.9400000000000001E-2</v>
      </c>
      <c r="I2467" s="3">
        <v>0</v>
      </c>
      <c r="J2467" s="3">
        <v>0</v>
      </c>
      <c r="K2467" s="3">
        <f t="shared" si="75"/>
        <v>2002</v>
      </c>
      <c r="L2467" s="3">
        <f t="shared" si="76"/>
        <v>0</v>
      </c>
      <c r="M2467" s="20" t="str">
        <f>A2467&amp;L2467</f>
        <v>TNC0</v>
      </c>
      <c r="N2467" s="3">
        <f>F2467/2</f>
        <v>0.1</v>
      </c>
      <c r="O2467" s="9">
        <f>H2467</f>
        <v>1.9400000000000001E-2</v>
      </c>
      <c r="P2467" s="10">
        <f t="shared" si="77"/>
        <v>0</v>
      </c>
      <c r="Q2467" s="10">
        <f>IF(K2467=0,IF(A2464=A2467,AVERAGE(O2464:O2467),"x"),0)</f>
        <v>0</v>
      </c>
      <c r="R2467" s="9">
        <f>IF(L2467&gt;2005,AVERAGE(O2464:O2483),0)</f>
        <v>0</v>
      </c>
      <c r="S2467" s="10">
        <f>IF(A2467=A2468,(N2467-N2468)/N2468,0)</f>
        <v>0</v>
      </c>
      <c r="T2467" s="10">
        <f>IF(L2467&gt;2005,(((N2467-N2487)/N2487)+1)^(1/5)-1,0)</f>
        <v>0</v>
      </c>
      <c r="U2467" s="10">
        <f t="shared" si="78"/>
        <v>0</v>
      </c>
      <c r="V2467" s="26">
        <f t="shared" si="79"/>
        <v>0</v>
      </c>
      <c r="W2467" s="3">
        <f>IF(A2467=A2468,N2467-N2468,0)</f>
        <v>0</v>
      </c>
      <c r="X2467" s="10">
        <f>IF(A2467=A2468,(N2467-N2468)/N2468,0)</f>
        <v>0</v>
      </c>
    </row>
    <row r="2468" spans="1:24" ht="16.5" customHeight="1">
      <c r="A2468" s="3" t="s">
        <v>50</v>
      </c>
      <c r="B2468" s="3">
        <f t="shared" si="72"/>
        <v>2002</v>
      </c>
      <c r="C2468" s="3">
        <f t="shared" si="73"/>
        <v>2</v>
      </c>
      <c r="D2468" s="20" t="str">
        <f t="shared" si="74"/>
        <v>TNC20022</v>
      </c>
      <c r="E2468" s="2">
        <v>37315</v>
      </c>
      <c r="F2468" s="3">
        <v>0.2</v>
      </c>
      <c r="G2468" s="2">
        <v>37330</v>
      </c>
      <c r="H2468" s="3">
        <v>2.2499999999999999E-2</v>
      </c>
      <c r="I2468" s="3">
        <v>0</v>
      </c>
      <c r="J2468" s="3">
        <v>0</v>
      </c>
      <c r="K2468" s="3">
        <f t="shared" si="75"/>
        <v>0</v>
      </c>
      <c r="L2468" s="3">
        <f t="shared" si="76"/>
        <v>2002</v>
      </c>
      <c r="M2468" s="20" t="str">
        <f>A2468&amp;L2468</f>
        <v>TNC2002</v>
      </c>
      <c r="N2468" s="3">
        <f>F2468/2</f>
        <v>0.1</v>
      </c>
      <c r="O2468" s="9">
        <f>H2468</f>
        <v>2.2499999999999999E-2</v>
      </c>
      <c r="P2468" s="10">
        <f t="shared" si="77"/>
        <v>0</v>
      </c>
      <c r="Q2468" s="10">
        <f>IF(K2468=0,IF(A2465=A2468,AVERAGE(O2465:O2468),"x"),0)</f>
        <v>2.1850000000000001E-2</v>
      </c>
      <c r="R2468" s="9">
        <f>IF(L2468&gt;2005,AVERAGE(O2465:O2484),0)</f>
        <v>0</v>
      </c>
      <c r="S2468" s="10">
        <f>IF(A2468=A2469,(N2468-N2469)/N2469,0)</f>
        <v>0</v>
      </c>
      <c r="T2468" s="10">
        <f>IF(L2468&gt;2005,(((N2468-N2488)/N2488)+1)^(1/5)-1,0)</f>
        <v>0</v>
      </c>
      <c r="U2468" s="10">
        <f t="shared" si="78"/>
        <v>0</v>
      </c>
      <c r="V2468" s="26">
        <f t="shared" si="79"/>
        <v>0</v>
      </c>
      <c r="W2468" s="3">
        <f>IF(A2468=A2469,N2468-N2469,0)</f>
        <v>0</v>
      </c>
      <c r="X2468" s="10">
        <f>IF(A2468=A2469,(N2468-N2469)/N2469,0)</f>
        <v>0</v>
      </c>
    </row>
    <row r="2469" spans="1:24" ht="16.5" customHeight="1">
      <c r="A2469" s="3" t="s">
        <v>50</v>
      </c>
      <c r="B2469" s="3">
        <f t="shared" si="72"/>
        <v>2001</v>
      </c>
      <c r="C2469" s="3">
        <f t="shared" si="73"/>
        <v>11</v>
      </c>
      <c r="D2469" s="20" t="str">
        <f t="shared" si="74"/>
        <v>TNC200111</v>
      </c>
      <c r="E2469" s="2">
        <v>37223</v>
      </c>
      <c r="F2469" s="3">
        <v>0.2</v>
      </c>
      <c r="G2469" s="2">
        <v>37239</v>
      </c>
      <c r="H2469" s="3">
        <v>2.9499999999999998E-2</v>
      </c>
      <c r="I2469" s="3">
        <v>0</v>
      </c>
      <c r="J2469" s="3">
        <v>0</v>
      </c>
      <c r="K2469" s="3">
        <f t="shared" si="75"/>
        <v>2001</v>
      </c>
      <c r="L2469" s="3">
        <f t="shared" si="76"/>
        <v>0</v>
      </c>
      <c r="M2469" s="20" t="str">
        <f>A2469&amp;L2469</f>
        <v>TNC0</v>
      </c>
      <c r="N2469" s="3">
        <f>F2469/2</f>
        <v>0.1</v>
      </c>
      <c r="O2469" s="9">
        <f>H2469</f>
        <v>2.9499999999999998E-2</v>
      </c>
      <c r="P2469" s="10">
        <f t="shared" si="77"/>
        <v>0</v>
      </c>
      <c r="Q2469" s="10">
        <f>IF(K2469=0,IF(A2466=A2469,AVERAGE(O2466:O2469),"x"),0)</f>
        <v>0</v>
      </c>
      <c r="R2469" s="9">
        <f>IF(L2469&gt;2005,AVERAGE(O2466:O2485),0)</f>
        <v>0</v>
      </c>
      <c r="S2469" s="10">
        <f>IF(A2469=A2470,(N2469-N2470)/N2470,0)</f>
        <v>0</v>
      </c>
      <c r="T2469" s="10">
        <f>IF(L2469&gt;2005,(((N2469-N2489)/N2489)+1)^(1/5)-1,0)</f>
        <v>0</v>
      </c>
      <c r="U2469" s="10">
        <f t="shared" si="78"/>
        <v>0</v>
      </c>
      <c r="V2469" s="26">
        <f t="shared" si="79"/>
        <v>0</v>
      </c>
      <c r="W2469" s="3">
        <f>IF(A2469=A2470,N2469-N2470,0)</f>
        <v>0</v>
      </c>
      <c r="X2469" s="10">
        <f>IF(A2469=A2470,(N2469-N2470)/N2470,0)</f>
        <v>0</v>
      </c>
    </row>
    <row r="2470" spans="1:24" ht="16.5" customHeight="1">
      <c r="A2470" s="3" t="s">
        <v>50</v>
      </c>
      <c r="B2470" s="3">
        <f t="shared" si="72"/>
        <v>2001</v>
      </c>
      <c r="C2470" s="3">
        <f t="shared" si="73"/>
        <v>8</v>
      </c>
      <c r="D2470" s="20" t="str">
        <f t="shared" si="74"/>
        <v>TNC20018</v>
      </c>
      <c r="E2470" s="2">
        <v>37132</v>
      </c>
      <c r="F2470" s="3">
        <v>0.2</v>
      </c>
      <c r="G2470" s="2">
        <v>37148</v>
      </c>
      <c r="H2470" s="3">
        <v>2.0500000000000001E-2</v>
      </c>
      <c r="I2470" s="3">
        <v>0</v>
      </c>
      <c r="J2470" s="3">
        <v>0</v>
      </c>
      <c r="K2470" s="3">
        <f t="shared" si="75"/>
        <v>2001</v>
      </c>
      <c r="L2470" s="3">
        <f t="shared" si="76"/>
        <v>0</v>
      </c>
      <c r="M2470" s="20" t="str">
        <f>A2470&amp;L2470</f>
        <v>TNC0</v>
      </c>
      <c r="N2470" s="3">
        <f>F2470/2</f>
        <v>0.1</v>
      </c>
      <c r="O2470" s="9">
        <f>H2470</f>
        <v>2.0500000000000001E-2</v>
      </c>
      <c r="P2470" s="10">
        <f t="shared" si="77"/>
        <v>0</v>
      </c>
      <c r="Q2470" s="10">
        <f>IF(K2470=0,IF(A2467=A2470,AVERAGE(O2467:O2470),"x"),0)</f>
        <v>0</v>
      </c>
      <c r="R2470" s="9">
        <f>IF(L2470&gt;2005,AVERAGE(O2467:O2486),0)</f>
        <v>0</v>
      </c>
      <c r="S2470" s="10">
        <f>IF(A2470=A2471,(N2470-N2471)/N2471,0)</f>
        <v>0</v>
      </c>
      <c r="T2470" s="10">
        <f>IF(L2470&gt;2005,(((N2470-N2490)/N2490)+1)^(1/5)-1,0)</f>
        <v>0</v>
      </c>
      <c r="U2470" s="10">
        <f t="shared" si="78"/>
        <v>0</v>
      </c>
      <c r="V2470" s="26">
        <f t="shared" si="79"/>
        <v>0</v>
      </c>
      <c r="W2470" s="3">
        <f>IF(A2470=A2471,N2470-N2471,0)</f>
        <v>0</v>
      </c>
      <c r="X2470" s="10">
        <f>IF(A2470=A2471,(N2470-N2471)/N2471,0)</f>
        <v>0</v>
      </c>
    </row>
    <row r="2471" spans="1:24" ht="16.5" customHeight="1">
      <c r="A2471" s="3" t="s">
        <v>50</v>
      </c>
      <c r="B2471" s="3">
        <f t="shared" si="72"/>
        <v>2001</v>
      </c>
      <c r="C2471" s="3">
        <f t="shared" si="73"/>
        <v>5</v>
      </c>
      <c r="D2471" s="20" t="str">
        <f t="shared" si="74"/>
        <v>TNC20015</v>
      </c>
      <c r="E2471" s="2">
        <v>37041</v>
      </c>
      <c r="F2471" s="3">
        <v>0.2</v>
      </c>
      <c r="G2471" s="2">
        <v>37057</v>
      </c>
      <c r="H2471" s="3">
        <v>1.9199999999999998E-2</v>
      </c>
      <c r="I2471" s="3">
        <v>0</v>
      </c>
      <c r="J2471" s="3">
        <v>0</v>
      </c>
      <c r="K2471" s="3">
        <f t="shared" si="75"/>
        <v>2001</v>
      </c>
      <c r="L2471" s="3">
        <f t="shared" si="76"/>
        <v>0</v>
      </c>
      <c r="M2471" s="20" t="str">
        <f>A2471&amp;L2471</f>
        <v>TNC0</v>
      </c>
      <c r="N2471" s="3">
        <f>F2471/2</f>
        <v>0.1</v>
      </c>
      <c r="O2471" s="9">
        <f>H2471</f>
        <v>1.9199999999999998E-2</v>
      </c>
      <c r="P2471" s="10">
        <f t="shared" si="77"/>
        <v>0</v>
      </c>
      <c r="Q2471" s="10">
        <f>IF(K2471=0,IF(A2468=A2471,AVERAGE(O2468:O2471),"x"),0)</f>
        <v>0</v>
      </c>
      <c r="R2471" s="9">
        <f>IF(L2471&gt;2005,AVERAGE(O2468:O2487),0)</f>
        <v>0</v>
      </c>
      <c r="S2471" s="10">
        <f>IF(A2471=A2472,(N2471-N2472)/N2472,0)</f>
        <v>0</v>
      </c>
      <c r="T2471" s="10">
        <f>IF(L2471&gt;2005,(((N2471-N2491)/N2491)+1)^(1/5)-1,0)</f>
        <v>0</v>
      </c>
      <c r="U2471" s="10">
        <f t="shared" si="78"/>
        <v>0</v>
      </c>
      <c r="V2471" s="26">
        <f t="shared" si="79"/>
        <v>0</v>
      </c>
      <c r="W2471" s="3">
        <f>IF(A2471=A2472,N2471-N2472,0)</f>
        <v>0</v>
      </c>
      <c r="X2471" s="10">
        <f>IF(A2471=A2472,(N2471-N2472)/N2472,0)</f>
        <v>0</v>
      </c>
    </row>
    <row r="2472" spans="1:24" ht="16.5" customHeight="1">
      <c r="A2472" s="3" t="s">
        <v>50</v>
      </c>
      <c r="B2472" s="3">
        <f t="shared" si="72"/>
        <v>2001</v>
      </c>
      <c r="C2472" s="3">
        <f t="shared" si="73"/>
        <v>3</v>
      </c>
      <c r="D2472" s="20" t="str">
        <f t="shared" si="74"/>
        <v>TNC20013</v>
      </c>
      <c r="E2472" s="2">
        <v>36951</v>
      </c>
      <c r="F2472" s="3">
        <v>0.2</v>
      </c>
      <c r="G2472" s="2">
        <v>36965</v>
      </c>
      <c r="H2472" s="3">
        <v>1.84E-2</v>
      </c>
      <c r="I2472" s="3">
        <v>0</v>
      </c>
      <c r="J2472" s="3">
        <v>0</v>
      </c>
      <c r="K2472" s="3">
        <f t="shared" si="75"/>
        <v>0</v>
      </c>
      <c r="L2472" s="3">
        <f t="shared" si="76"/>
        <v>2001</v>
      </c>
      <c r="M2472" s="20" t="str">
        <f>A2472&amp;L2472</f>
        <v>TNC2001</v>
      </c>
      <c r="N2472" s="3">
        <f>F2472/2</f>
        <v>0.1</v>
      </c>
      <c r="O2472" s="9">
        <f>H2472</f>
        <v>1.84E-2</v>
      </c>
      <c r="P2472" s="10">
        <f t="shared" si="77"/>
        <v>0</v>
      </c>
      <c r="Q2472" s="10">
        <f>IF(K2472=0,IF(A2469=A2472,AVERAGE(O2469:O2472),"x"),0)</f>
        <v>2.1899999999999999E-2</v>
      </c>
      <c r="R2472" s="9">
        <f>IF(L2472&gt;2005,AVERAGE(O2469:O2488),0)</f>
        <v>0</v>
      </c>
      <c r="S2472" s="10">
        <f>IF(A2472=A2473,(N2472-N2473)/N2473,0)</f>
        <v>0</v>
      </c>
      <c r="T2472" s="10">
        <f>IF(L2472&gt;2005,(((N2472-N2492)/N2492)+1)^(1/5)-1,0)</f>
        <v>0</v>
      </c>
      <c r="U2472" s="10">
        <f t="shared" si="78"/>
        <v>0</v>
      </c>
      <c r="V2472" s="26">
        <f t="shared" si="79"/>
        <v>0</v>
      </c>
      <c r="W2472" s="3">
        <f>IF(A2472=A2473,N2472-N2473,0)</f>
        <v>0</v>
      </c>
      <c r="X2472" s="10">
        <f>IF(A2472=A2473,(N2472-N2473)/N2473,0)</f>
        <v>0</v>
      </c>
    </row>
    <row r="2473" spans="1:24" ht="16.5" customHeight="1">
      <c r="A2473" s="3" t="s">
        <v>50</v>
      </c>
      <c r="B2473" s="3">
        <f t="shared" si="72"/>
        <v>2000</v>
      </c>
      <c r="C2473" s="3">
        <f t="shared" si="73"/>
        <v>12</v>
      </c>
      <c r="D2473" s="20" t="str">
        <f t="shared" si="74"/>
        <v>TNC200012</v>
      </c>
      <c r="E2473" s="2">
        <v>36873</v>
      </c>
      <c r="F2473" s="3">
        <v>0.2</v>
      </c>
      <c r="G2473" s="2">
        <v>36889</v>
      </c>
      <c r="H2473" s="3">
        <v>1.66E-2</v>
      </c>
      <c r="I2473" s="3">
        <v>0</v>
      </c>
      <c r="J2473" s="3">
        <v>0</v>
      </c>
      <c r="K2473" s="3">
        <f t="shared" si="75"/>
        <v>2000</v>
      </c>
      <c r="L2473" s="3">
        <f t="shared" si="76"/>
        <v>0</v>
      </c>
      <c r="M2473" s="20" t="str">
        <f>A2473&amp;L2473</f>
        <v>TNC0</v>
      </c>
      <c r="N2473" s="3">
        <f>F2473/2</f>
        <v>0.1</v>
      </c>
      <c r="O2473" s="9">
        <f>H2473</f>
        <v>1.66E-2</v>
      </c>
      <c r="P2473" s="10">
        <f t="shared" si="77"/>
        <v>0</v>
      </c>
      <c r="Q2473" s="10">
        <f>IF(K2473=0,IF(A2470=A2473,AVERAGE(O2470:O2473),"x"),0)</f>
        <v>0</v>
      </c>
      <c r="R2473" s="9">
        <f>IF(L2473&gt;2005,AVERAGE(O2470:O2489),0)</f>
        <v>0</v>
      </c>
      <c r="S2473" s="10">
        <f>IF(A2473=A2474,(N2473-N2474)/N2474,0)</f>
        <v>0</v>
      </c>
      <c r="T2473" s="10">
        <f>IF(L2473&gt;2005,(((N2473-N2493)/N2493)+1)^(1/5)-1,0)</f>
        <v>0</v>
      </c>
      <c r="U2473" s="10">
        <f t="shared" si="78"/>
        <v>0</v>
      </c>
      <c r="V2473" s="26">
        <f t="shared" si="79"/>
        <v>0</v>
      </c>
      <c r="W2473" s="3">
        <f>IF(A2473=A2474,N2473-N2474,0)</f>
        <v>0</v>
      </c>
      <c r="X2473" s="10">
        <f>IF(A2473=A2474,(N2473-N2474)/N2474,0)</f>
        <v>0</v>
      </c>
    </row>
    <row r="2474" spans="1:24" ht="16.5" customHeight="1">
      <c r="A2474" s="3" t="s">
        <v>50</v>
      </c>
      <c r="B2474" s="3">
        <f t="shared" si="72"/>
        <v>2000</v>
      </c>
      <c r="C2474" s="3">
        <f t="shared" si="73"/>
        <v>8</v>
      </c>
      <c r="D2474" s="20" t="str">
        <f t="shared" si="74"/>
        <v>TNC20008</v>
      </c>
      <c r="E2474" s="2">
        <v>36768</v>
      </c>
      <c r="F2474" s="3">
        <v>0.2</v>
      </c>
      <c r="G2474" s="2">
        <v>36784</v>
      </c>
      <c r="H2474" s="3">
        <v>1.8100000000000002E-2</v>
      </c>
      <c r="I2474" s="3">
        <v>5.2631578999999998E-2</v>
      </c>
      <c r="J2474" s="3">
        <v>0.01</v>
      </c>
      <c r="K2474" s="3">
        <f t="shared" si="75"/>
        <v>2000</v>
      </c>
      <c r="L2474" s="3">
        <f t="shared" si="76"/>
        <v>0</v>
      </c>
      <c r="M2474" s="20" t="str">
        <f>A2474&amp;L2474</f>
        <v>TNC0</v>
      </c>
      <c r="N2474" s="3">
        <f>F2474/2</f>
        <v>0.1</v>
      </c>
      <c r="O2474" s="9">
        <f>H2474</f>
        <v>1.8100000000000002E-2</v>
      </c>
      <c r="P2474" s="10">
        <f t="shared" si="77"/>
        <v>2.0499999999999997E-2</v>
      </c>
      <c r="Q2474" s="10">
        <f>IF(K2474=0,IF(A2471=A2474,AVERAGE(O2471:O2474),"x"),0)</f>
        <v>0</v>
      </c>
      <c r="R2474" s="9">
        <f>IF(L2474&gt;2005,AVERAGE(O2471:O2490),0)</f>
        <v>0</v>
      </c>
      <c r="S2474" s="10">
        <f>IF(A2474=A2475,(N2474-N2475)/N2475,0)</f>
        <v>5.2631578947368467E-2</v>
      </c>
      <c r="T2474" s="10">
        <f>IF(L2474&gt;2005,(((N2474-N2494)/N2494)+1)^(1/5)-1,0)</f>
        <v>0</v>
      </c>
      <c r="U2474" s="10">
        <f t="shared" si="78"/>
        <v>0</v>
      </c>
      <c r="V2474" s="26">
        <f t="shared" si="79"/>
        <v>0</v>
      </c>
      <c r="W2474" s="3">
        <f>IF(A2474=A2475,N2474-N2475,0)</f>
        <v>5.0000000000000044E-3</v>
      </c>
      <c r="X2474" s="10">
        <f>IF(A2474=A2475,(N2474-N2475)/N2475,0)</f>
        <v>5.2631578947368467E-2</v>
      </c>
    </row>
    <row r="2475" spans="1:24" ht="16.5" customHeight="1">
      <c r="A2475" s="3" t="s">
        <v>50</v>
      </c>
      <c r="B2475" s="3">
        <f t="shared" si="72"/>
        <v>2000</v>
      </c>
      <c r="C2475" s="3">
        <f t="shared" si="73"/>
        <v>5</v>
      </c>
      <c r="D2475" s="20" t="str">
        <f t="shared" si="74"/>
        <v>TNC20005</v>
      </c>
      <c r="E2475" s="2">
        <v>36676</v>
      </c>
      <c r="F2475" s="3">
        <v>0.19</v>
      </c>
      <c r="G2475" s="2">
        <v>36692</v>
      </c>
      <c r="H2475" s="3">
        <v>2.1399999999999999E-2</v>
      </c>
      <c r="I2475" s="3">
        <v>0</v>
      </c>
      <c r="J2475" s="3">
        <v>0</v>
      </c>
      <c r="K2475" s="3">
        <f t="shared" si="75"/>
        <v>2000</v>
      </c>
      <c r="L2475" s="3">
        <f t="shared" si="76"/>
        <v>0</v>
      </c>
      <c r="M2475" s="20" t="str">
        <f>A2475&amp;L2475</f>
        <v>TNC0</v>
      </c>
      <c r="N2475" s="3">
        <f>F2475/2</f>
        <v>9.5000000000000001E-2</v>
      </c>
      <c r="O2475" s="9">
        <f>H2475</f>
        <v>2.1399999999999999E-2</v>
      </c>
      <c r="P2475" s="10">
        <f t="shared" si="77"/>
        <v>0</v>
      </c>
      <c r="Q2475" s="10">
        <f>IF(K2475=0,IF(A2472=A2475,AVERAGE(O2472:O2475),"x"),0)</f>
        <v>0</v>
      </c>
      <c r="R2475" s="9">
        <f>IF(L2475&gt;2005,AVERAGE(O2472:O2491),0)</f>
        <v>0</v>
      </c>
      <c r="S2475" s="10">
        <f>IF(A2475=A2476,(N2475-N2476)/N2476,0)</f>
        <v>0</v>
      </c>
      <c r="T2475" s="10">
        <f>IF(L2475&gt;2005,(((N2475-N2495)/N2495)+1)^(1/5)-1,0)</f>
        <v>0</v>
      </c>
      <c r="U2475" s="10">
        <f t="shared" si="78"/>
        <v>0</v>
      </c>
      <c r="V2475" s="26">
        <f t="shared" si="79"/>
        <v>0</v>
      </c>
      <c r="W2475" s="3">
        <f>IF(A2475=A2476,N2475-N2476,0)</f>
        <v>0</v>
      </c>
      <c r="X2475" s="10">
        <f>IF(A2475=A2476,(N2475-N2476)/N2476,0)</f>
        <v>0</v>
      </c>
    </row>
    <row r="2476" spans="1:24" ht="16.5" customHeight="1">
      <c r="A2476" s="14" t="s">
        <v>50</v>
      </c>
      <c r="B2476" s="3">
        <f t="shared" si="72"/>
        <v>2000</v>
      </c>
      <c r="C2476" s="3">
        <f t="shared" si="73"/>
        <v>3</v>
      </c>
      <c r="D2476" s="20" t="str">
        <f t="shared" si="74"/>
        <v>TNC20003</v>
      </c>
      <c r="E2476" s="15">
        <v>36587</v>
      </c>
      <c r="F2476" s="14">
        <v>0.19</v>
      </c>
      <c r="G2476" s="15">
        <v>36600</v>
      </c>
      <c r="H2476" s="14">
        <v>2.3900000000000001E-2</v>
      </c>
      <c r="I2476" s="14">
        <v>0</v>
      </c>
      <c r="J2476" s="14">
        <v>0</v>
      </c>
      <c r="K2476" s="3">
        <f t="shared" si="75"/>
        <v>0</v>
      </c>
      <c r="L2476" s="3">
        <f t="shared" si="76"/>
        <v>2000</v>
      </c>
      <c r="M2476" s="20" t="str">
        <f>A2476&amp;L2476</f>
        <v>TNC2000</v>
      </c>
      <c r="N2476" s="14">
        <f>F2476/2</f>
        <v>9.5000000000000001E-2</v>
      </c>
      <c r="O2476" s="9">
        <f>H2476</f>
        <v>2.3900000000000001E-2</v>
      </c>
      <c r="P2476" s="10">
        <f t="shared" si="77"/>
        <v>0</v>
      </c>
      <c r="Q2476" s="10">
        <f>IF(K2476=0,IF(A2473=A2476,AVERAGE(O2473:O2476),"x"),0)</f>
        <v>0.02</v>
      </c>
      <c r="R2476" s="9">
        <f>IF(L2476&gt;2005,AVERAGE(O2473:O2492),0)</f>
        <v>0</v>
      </c>
      <c r="S2476" s="10">
        <f>IF(A2476=A2477,(N2476-N2477)/N2477,0)</f>
        <v>0</v>
      </c>
      <c r="T2476" s="10">
        <f>IF(L2476&gt;2005,(((N2476-N2496)/N2496)+1)^(1/5)-1,0)</f>
        <v>0</v>
      </c>
      <c r="U2476" s="10">
        <f t="shared" si="78"/>
        <v>0</v>
      </c>
      <c r="V2476" s="26">
        <f t="shared" si="79"/>
        <v>0</v>
      </c>
      <c r="W2476" s="3">
        <f>IF(A2476=A2477,N2476-N2477,0)</f>
        <v>0</v>
      </c>
      <c r="X2476" s="10">
        <f>IF(A2476=A2477,(N2476-N2477)/N2477,0)</f>
        <v>0</v>
      </c>
    </row>
    <row r="2477" spans="1:24" ht="16.5" customHeight="1">
      <c r="A2477" s="3" t="s">
        <v>51</v>
      </c>
      <c r="B2477" s="3">
        <f t="shared" si="72"/>
        <v>2022</v>
      </c>
      <c r="C2477" s="3">
        <f t="shared" si="73"/>
        <v>8</v>
      </c>
      <c r="D2477" s="20" t="str">
        <f t="shared" si="74"/>
        <v>ADM20228</v>
      </c>
      <c r="E2477" s="2">
        <v>44789</v>
      </c>
      <c r="F2477" s="3">
        <v>0.4</v>
      </c>
      <c r="G2477" s="2">
        <v>44811</v>
      </c>
      <c r="H2477" s="3">
        <v>1.8599999999999998E-2</v>
      </c>
      <c r="I2477" s="3">
        <v>0</v>
      </c>
      <c r="J2477" s="3">
        <v>0</v>
      </c>
      <c r="K2477" s="3">
        <f t="shared" si="75"/>
        <v>2022</v>
      </c>
      <c r="L2477" s="3">
        <f t="shared" si="76"/>
        <v>0</v>
      </c>
      <c r="M2477" s="20" t="str">
        <f>A2477&amp;L2477</f>
        <v>ADM0</v>
      </c>
      <c r="N2477" s="3">
        <f>F2477</f>
        <v>0.4</v>
      </c>
      <c r="O2477" s="9">
        <f>H2477</f>
        <v>1.8599999999999998E-2</v>
      </c>
      <c r="P2477" s="10">
        <f t="shared" si="77"/>
        <v>0</v>
      </c>
      <c r="Q2477" s="10">
        <f>IF(K2477=0,IF(A2474=A2477,AVERAGE(O2474:O2477),"x"),0)</f>
        <v>0</v>
      </c>
      <c r="R2477" s="9">
        <f>IF(L2477&gt;2005,AVERAGE(O2474:O2493),0)</f>
        <v>0</v>
      </c>
      <c r="S2477" s="10">
        <f>IF(A2477=A2478,(N2477-N2478)/N2478,0)</f>
        <v>0</v>
      </c>
      <c r="T2477" s="10">
        <f>IF(L2477&gt;2005,(((N2477-N2497)/N2497)+1)^(1/5)-1,0)</f>
        <v>0</v>
      </c>
      <c r="U2477" s="10">
        <f t="shared" si="78"/>
        <v>0</v>
      </c>
      <c r="V2477" s="26">
        <f t="shared" si="79"/>
        <v>0</v>
      </c>
      <c r="W2477" s="3">
        <f>IF(A2477=A2478,N2477-N2478,0)</f>
        <v>0</v>
      </c>
      <c r="X2477" s="10">
        <f>IF(A2477=A2478,(N2477-N2478)/N2478,0)</f>
        <v>0</v>
      </c>
    </row>
    <row r="2478" spans="1:24" ht="16.5" customHeight="1">
      <c r="A2478" s="3" t="s">
        <v>51</v>
      </c>
      <c r="B2478" s="3">
        <f t="shared" si="72"/>
        <v>2022</v>
      </c>
      <c r="C2478" s="3">
        <f t="shared" si="73"/>
        <v>5</v>
      </c>
      <c r="D2478" s="20" t="str">
        <f t="shared" si="74"/>
        <v>ADM20225</v>
      </c>
      <c r="E2478" s="2">
        <v>44698</v>
      </c>
      <c r="F2478" s="3">
        <v>0.4</v>
      </c>
      <c r="G2478" s="2">
        <v>44720</v>
      </c>
      <c r="H2478" s="3">
        <v>1.84E-2</v>
      </c>
      <c r="I2478" s="3">
        <v>0</v>
      </c>
      <c r="J2478" s="3">
        <v>0</v>
      </c>
      <c r="K2478" s="3">
        <f t="shared" si="75"/>
        <v>2022</v>
      </c>
      <c r="L2478" s="3">
        <f t="shared" si="76"/>
        <v>0</v>
      </c>
      <c r="M2478" s="20" t="str">
        <f>A2478&amp;L2478</f>
        <v>ADM0</v>
      </c>
      <c r="N2478" s="3">
        <f>F2478</f>
        <v>0.4</v>
      </c>
      <c r="O2478" s="9">
        <f>H2478</f>
        <v>1.84E-2</v>
      </c>
      <c r="P2478" s="10">
        <f t="shared" si="77"/>
        <v>0</v>
      </c>
      <c r="Q2478" s="10">
        <f>IF(K2478=0,IF(A2475=A2478,AVERAGE(O2475:O2478),"x"),0)</f>
        <v>0</v>
      </c>
      <c r="R2478" s="9">
        <f>IF(L2478&gt;2005,AVERAGE(O2475:O2494),0)</f>
        <v>0</v>
      </c>
      <c r="S2478" s="10">
        <f>IF(A2478=A2479,(N2478-N2479)/N2479,0)</f>
        <v>0</v>
      </c>
      <c r="T2478" s="10">
        <f>IF(L2478&gt;2005,(((N2478-N2498)/N2498)+1)^(1/5)-1,0)</f>
        <v>0</v>
      </c>
      <c r="U2478" s="10">
        <f t="shared" si="78"/>
        <v>0</v>
      </c>
      <c r="V2478" s="26">
        <f t="shared" si="79"/>
        <v>0</v>
      </c>
      <c r="W2478" s="3">
        <f>IF(A2478=A2479,N2478-N2479,0)</f>
        <v>0</v>
      </c>
      <c r="X2478" s="10">
        <f>IF(A2478=A2479,(N2478-N2479)/N2479,0)</f>
        <v>0</v>
      </c>
    </row>
    <row r="2479" spans="1:24" ht="16.5" customHeight="1">
      <c r="A2479" s="3" t="s">
        <v>51</v>
      </c>
      <c r="B2479" s="3">
        <f t="shared" si="72"/>
        <v>2022</v>
      </c>
      <c r="C2479" s="3">
        <f t="shared" si="73"/>
        <v>2</v>
      </c>
      <c r="D2479" s="20" t="str">
        <f t="shared" si="74"/>
        <v>ADM20222</v>
      </c>
      <c r="E2479" s="2">
        <v>44599</v>
      </c>
      <c r="F2479" s="3">
        <v>0.4</v>
      </c>
      <c r="G2479" s="2">
        <v>44621</v>
      </c>
      <c r="H2479" s="3">
        <v>2.1100000000000001E-2</v>
      </c>
      <c r="I2479" s="3">
        <v>8.1081080999999999E-2</v>
      </c>
      <c r="J2479" s="3">
        <v>0.03</v>
      </c>
      <c r="K2479" s="3">
        <f t="shared" si="75"/>
        <v>0</v>
      </c>
      <c r="L2479" s="3">
        <f t="shared" si="76"/>
        <v>2022</v>
      </c>
      <c r="M2479" s="20" t="str">
        <f>A2479&amp;L2479</f>
        <v>ADM2022</v>
      </c>
      <c r="N2479" s="3">
        <f>F2479</f>
        <v>0.4</v>
      </c>
      <c r="O2479" s="9">
        <f>H2479</f>
        <v>2.1100000000000001E-2</v>
      </c>
      <c r="P2479" s="10">
        <f t="shared" si="77"/>
        <v>2.2175E-2</v>
      </c>
      <c r="Q2479" s="10" t="str">
        <f>IF(K2479=0,IF(A2476=A2479,AVERAGE(O2476:O2479),"x"),0)</f>
        <v>x</v>
      </c>
      <c r="R2479" s="9">
        <f>IF(L2479&gt;2005,AVERAGE(O2476:O2495),0)</f>
        <v>2.8230000000000005E-2</v>
      </c>
      <c r="S2479" s="10">
        <f>IF(A2479=A2480,(N2479-N2480)/N2480,0)</f>
        <v>8.1081081081081155E-2</v>
      </c>
      <c r="T2479" s="10">
        <f>IF(L2479&gt;2005,(((N2479-N2499)/N2499)+1)^(1/5)-1,0)</f>
        <v>4.5639552591273169E-2</v>
      </c>
      <c r="U2479" s="10">
        <f t="shared" si="78"/>
        <v>7.3869552591273174E-2</v>
      </c>
      <c r="V2479" s="26">
        <f t="shared" si="79"/>
        <v>4.6192300076626296</v>
      </c>
      <c r="W2479" s="3">
        <f>IF(A2479=A2480,N2479-N2480,0)</f>
        <v>3.0000000000000027E-2</v>
      </c>
      <c r="X2479" s="10">
        <f>IF(A2479=A2480,(N2479-N2480)/N2480,0)</f>
        <v>8.1081081081081155E-2</v>
      </c>
    </row>
    <row r="2480" spans="1:24" ht="16.5" customHeight="1">
      <c r="A2480" s="3" t="s">
        <v>51</v>
      </c>
      <c r="B2480" s="3">
        <f t="shared" si="72"/>
        <v>2021</v>
      </c>
      <c r="C2480" s="3">
        <f t="shared" si="73"/>
        <v>11</v>
      </c>
      <c r="D2480" s="20" t="str">
        <f t="shared" si="74"/>
        <v>ADM202111</v>
      </c>
      <c r="E2480" s="2">
        <v>44516</v>
      </c>
      <c r="F2480" s="3">
        <v>0.37</v>
      </c>
      <c r="G2480" s="2">
        <v>44538</v>
      </c>
      <c r="H2480" s="3">
        <v>2.2100000000000002E-2</v>
      </c>
      <c r="I2480" s="3">
        <v>0</v>
      </c>
      <c r="J2480" s="3">
        <v>0</v>
      </c>
      <c r="K2480" s="3">
        <f t="shared" si="75"/>
        <v>2021</v>
      </c>
      <c r="L2480" s="3">
        <f t="shared" si="76"/>
        <v>0</v>
      </c>
      <c r="M2480" s="20" t="str">
        <f>A2480&amp;L2480</f>
        <v>ADM0</v>
      </c>
      <c r="N2480" s="3">
        <f>F2480</f>
        <v>0.37</v>
      </c>
      <c r="O2480" s="9">
        <f>H2480</f>
        <v>2.2100000000000002E-2</v>
      </c>
      <c r="P2480" s="10">
        <f t="shared" si="77"/>
        <v>0</v>
      </c>
      <c r="Q2480" s="10">
        <f>IF(K2480=0,IF(A2477=A2480,AVERAGE(O2477:O2480),"x"),0)</f>
        <v>0</v>
      </c>
      <c r="R2480" s="9">
        <f>IF(L2480&gt;2005,AVERAGE(O2477:O2496),0)</f>
        <v>0</v>
      </c>
      <c r="S2480" s="10">
        <f>IF(A2480=A2481,(N2480-N2481)/N2481,0)</f>
        <v>0</v>
      </c>
      <c r="T2480" s="10">
        <f>IF(L2480&gt;2005,(((N2480-N2500)/N2500)+1)^(1/5)-1,0)</f>
        <v>0</v>
      </c>
      <c r="U2480" s="10">
        <f t="shared" si="78"/>
        <v>0</v>
      </c>
      <c r="V2480" s="26">
        <f t="shared" si="79"/>
        <v>0</v>
      </c>
      <c r="W2480" s="3">
        <f>IF(A2480=A2481,N2480-N2481,0)</f>
        <v>0</v>
      </c>
      <c r="X2480" s="10">
        <f>IF(A2480=A2481,(N2480-N2481)/N2481,0)</f>
        <v>0</v>
      </c>
    </row>
    <row r="2481" spans="1:24" ht="16.5" customHeight="1">
      <c r="A2481" s="3" t="s">
        <v>51</v>
      </c>
      <c r="B2481" s="3">
        <f t="shared" si="72"/>
        <v>2021</v>
      </c>
      <c r="C2481" s="3">
        <f t="shared" si="73"/>
        <v>8</v>
      </c>
      <c r="D2481" s="20" t="str">
        <f t="shared" si="74"/>
        <v>ADM20218</v>
      </c>
      <c r="E2481" s="2">
        <v>44425</v>
      </c>
      <c r="F2481" s="3">
        <v>0.37</v>
      </c>
      <c r="G2481" s="2">
        <v>44447</v>
      </c>
      <c r="H2481" s="3">
        <v>2.3599999999999999E-2</v>
      </c>
      <c r="I2481" s="3">
        <v>0</v>
      </c>
      <c r="J2481" s="3">
        <v>0</v>
      </c>
      <c r="K2481" s="3">
        <f t="shared" si="75"/>
        <v>2021</v>
      </c>
      <c r="L2481" s="3">
        <f t="shared" si="76"/>
        <v>0</v>
      </c>
      <c r="M2481" s="20" t="str">
        <f>A2481&amp;L2481</f>
        <v>ADM0</v>
      </c>
      <c r="N2481" s="3">
        <f>F2481</f>
        <v>0.37</v>
      </c>
      <c r="O2481" s="9">
        <f>H2481</f>
        <v>2.3599999999999999E-2</v>
      </c>
      <c r="P2481" s="10">
        <f t="shared" si="77"/>
        <v>0</v>
      </c>
      <c r="Q2481" s="10">
        <f>IF(K2481=0,IF(A2478=A2481,AVERAGE(O2478:O2481),"x"),0)</f>
        <v>0</v>
      </c>
      <c r="R2481" s="9">
        <f>IF(L2481&gt;2005,AVERAGE(O2478:O2497),0)</f>
        <v>0</v>
      </c>
      <c r="S2481" s="10">
        <f>IF(A2481=A2482,(N2481-N2482)/N2482,0)</f>
        <v>0</v>
      </c>
      <c r="T2481" s="10">
        <f>IF(L2481&gt;2005,(((N2481-N2501)/N2501)+1)^(1/5)-1,0)</f>
        <v>0</v>
      </c>
      <c r="U2481" s="10">
        <f t="shared" si="78"/>
        <v>0</v>
      </c>
      <c r="V2481" s="26">
        <f t="shared" si="79"/>
        <v>0</v>
      </c>
      <c r="W2481" s="3">
        <f>IF(A2481=A2482,N2481-N2482,0)</f>
        <v>0</v>
      </c>
      <c r="X2481" s="10">
        <f>IF(A2481=A2482,(N2481-N2482)/N2482,0)</f>
        <v>0</v>
      </c>
    </row>
    <row r="2482" spans="1:24" ht="16.5" customHeight="1">
      <c r="A2482" s="3" t="s">
        <v>51</v>
      </c>
      <c r="B2482" s="3">
        <f t="shared" si="72"/>
        <v>2021</v>
      </c>
      <c r="C2482" s="3">
        <f t="shared" si="73"/>
        <v>5</v>
      </c>
      <c r="D2482" s="20" t="str">
        <f t="shared" si="74"/>
        <v>ADM20215</v>
      </c>
      <c r="E2482" s="2">
        <v>44334</v>
      </c>
      <c r="F2482" s="3">
        <v>0.37</v>
      </c>
      <c r="G2482" s="2">
        <v>44356</v>
      </c>
      <c r="H2482" s="3">
        <v>2.1899999999999999E-2</v>
      </c>
      <c r="I2482" s="3">
        <v>0</v>
      </c>
      <c r="J2482" s="3">
        <v>0</v>
      </c>
      <c r="K2482" s="3">
        <f t="shared" si="75"/>
        <v>2021</v>
      </c>
      <c r="L2482" s="3">
        <f t="shared" si="76"/>
        <v>0</v>
      </c>
      <c r="M2482" s="20" t="str">
        <f>A2482&amp;L2482</f>
        <v>ADM0</v>
      </c>
      <c r="N2482" s="3">
        <f>F2482</f>
        <v>0.37</v>
      </c>
      <c r="O2482" s="9">
        <f>H2482</f>
        <v>2.1899999999999999E-2</v>
      </c>
      <c r="P2482" s="10">
        <f t="shared" si="77"/>
        <v>0</v>
      </c>
      <c r="Q2482" s="10">
        <f>IF(K2482=0,IF(A2479=A2482,AVERAGE(O2479:O2482),"x"),0)</f>
        <v>0</v>
      </c>
      <c r="R2482" s="9">
        <f>IF(L2482&gt;2005,AVERAGE(O2479:O2498),0)</f>
        <v>0</v>
      </c>
      <c r="S2482" s="10">
        <f>IF(A2482=A2483,(N2482-N2483)/N2483,0)</f>
        <v>0</v>
      </c>
      <c r="T2482" s="10">
        <f>IF(L2482&gt;2005,(((N2482-N2502)/N2502)+1)^(1/5)-1,0)</f>
        <v>0</v>
      </c>
      <c r="U2482" s="10">
        <f t="shared" si="78"/>
        <v>0</v>
      </c>
      <c r="V2482" s="26">
        <f t="shared" si="79"/>
        <v>0</v>
      </c>
      <c r="W2482" s="3">
        <f>IF(A2482=A2483,N2482-N2483,0)</f>
        <v>0</v>
      </c>
      <c r="X2482" s="10">
        <f>IF(A2482=A2483,(N2482-N2483)/N2483,0)</f>
        <v>0</v>
      </c>
    </row>
    <row r="2483" spans="1:24" ht="16.5" customHeight="1">
      <c r="A2483" s="3" t="s">
        <v>51</v>
      </c>
      <c r="B2483" s="3">
        <f t="shared" si="72"/>
        <v>2021</v>
      </c>
      <c r="C2483" s="3">
        <f t="shared" si="73"/>
        <v>2</v>
      </c>
      <c r="D2483" s="20" t="str">
        <f t="shared" si="74"/>
        <v>ADM20212</v>
      </c>
      <c r="E2483" s="2">
        <v>44235</v>
      </c>
      <c r="F2483" s="3">
        <v>0.37</v>
      </c>
      <c r="G2483" s="2">
        <v>44257</v>
      </c>
      <c r="H2483" s="3">
        <v>2.7799999999999998E-2</v>
      </c>
      <c r="I2483" s="3">
        <v>2.7777777999999999E-2</v>
      </c>
      <c r="J2483" s="3">
        <v>0.01</v>
      </c>
      <c r="K2483" s="3">
        <f t="shared" si="75"/>
        <v>0</v>
      </c>
      <c r="L2483" s="3">
        <f t="shared" si="76"/>
        <v>2021</v>
      </c>
      <c r="M2483" s="20" t="str">
        <f>A2483&amp;L2483</f>
        <v>ADM2021</v>
      </c>
      <c r="N2483" s="3">
        <f>F2483</f>
        <v>0.37</v>
      </c>
      <c r="O2483" s="9">
        <f>H2483</f>
        <v>2.7799999999999998E-2</v>
      </c>
      <c r="P2483" s="10">
        <f t="shared" si="77"/>
        <v>3.2274999999999998E-2</v>
      </c>
      <c r="Q2483" s="10">
        <f>IF(K2483=0,IF(A2480=A2483,AVERAGE(O2480:O2483),"x"),0)</f>
        <v>2.3850000000000003E-2</v>
      </c>
      <c r="R2483" s="9">
        <f>IF(L2483&gt;2005,AVERAGE(O2480:O2499),0)</f>
        <v>3.0225000000000002E-2</v>
      </c>
      <c r="S2483" s="10">
        <f>IF(A2483=A2484,(N2483-N2484)/N2484,0)</f>
        <v>2.7777777777777804E-2</v>
      </c>
      <c r="T2483" s="10">
        <f>IF(L2483&gt;2005,(((N2483-N2503)/N2503)+1)^(1/5)-1,0)</f>
        <v>4.2836189040638795E-2</v>
      </c>
      <c r="U2483" s="10">
        <f t="shared" si="78"/>
        <v>7.3061189040638796E-2</v>
      </c>
      <c r="V2483" s="26">
        <f t="shared" si="79"/>
        <v>4.5930300417332299</v>
      </c>
      <c r="W2483" s="3">
        <f>IF(A2483=A2484,N2483-N2484,0)</f>
        <v>1.0000000000000009E-2</v>
      </c>
      <c r="X2483" s="10">
        <f>IF(A2483=A2484,(N2483-N2484)/N2484,0)</f>
        <v>2.7777777777777804E-2</v>
      </c>
    </row>
    <row r="2484" spans="1:24" ht="16.5" customHeight="1">
      <c r="A2484" s="3" t="s">
        <v>51</v>
      </c>
      <c r="B2484" s="3">
        <f t="shared" si="72"/>
        <v>2020</v>
      </c>
      <c r="C2484" s="3">
        <f t="shared" si="73"/>
        <v>11</v>
      </c>
      <c r="D2484" s="20" t="str">
        <f t="shared" si="74"/>
        <v>ADM202011</v>
      </c>
      <c r="E2484" s="2">
        <v>44153</v>
      </c>
      <c r="F2484" s="3">
        <v>0.36</v>
      </c>
      <c r="G2484" s="2">
        <v>44175</v>
      </c>
      <c r="H2484" s="3">
        <v>2.87E-2</v>
      </c>
      <c r="I2484" s="3">
        <v>0</v>
      </c>
      <c r="J2484" s="3">
        <v>0</v>
      </c>
      <c r="K2484" s="3">
        <f t="shared" si="75"/>
        <v>2020</v>
      </c>
      <c r="L2484" s="3">
        <f t="shared" si="76"/>
        <v>0</v>
      </c>
      <c r="M2484" s="20" t="str">
        <f>A2484&amp;L2484</f>
        <v>ADM0</v>
      </c>
      <c r="N2484" s="3">
        <f>F2484</f>
        <v>0.36</v>
      </c>
      <c r="O2484" s="9">
        <f>H2484</f>
        <v>2.87E-2</v>
      </c>
      <c r="P2484" s="10">
        <f t="shared" si="77"/>
        <v>0</v>
      </c>
      <c r="Q2484" s="10">
        <f>IF(K2484=0,IF(A2481=A2484,AVERAGE(O2481:O2484),"x"),0)</f>
        <v>0</v>
      </c>
      <c r="R2484" s="9">
        <f>IF(L2484&gt;2005,AVERAGE(O2481:O2500),0)</f>
        <v>0</v>
      </c>
      <c r="S2484" s="10">
        <f>IF(A2484=A2485,(N2484-N2485)/N2485,0)</f>
        <v>0</v>
      </c>
      <c r="T2484" s="10">
        <f>IF(L2484&gt;2005,(((N2484-N2504)/N2504)+1)^(1/5)-1,0)</f>
        <v>0</v>
      </c>
      <c r="U2484" s="10">
        <f t="shared" si="78"/>
        <v>0</v>
      </c>
      <c r="V2484" s="26">
        <f t="shared" si="79"/>
        <v>0</v>
      </c>
      <c r="W2484" s="3">
        <f>IF(A2484=A2485,N2484-N2485,0)</f>
        <v>0</v>
      </c>
      <c r="X2484" s="10">
        <f>IF(A2484=A2485,(N2484-N2485)/N2485,0)</f>
        <v>0</v>
      </c>
    </row>
    <row r="2485" spans="1:24" ht="16.5" customHeight="1">
      <c r="A2485" s="3" t="s">
        <v>51</v>
      </c>
      <c r="B2485" s="3">
        <f t="shared" si="72"/>
        <v>2020</v>
      </c>
      <c r="C2485" s="3">
        <f t="shared" si="73"/>
        <v>8</v>
      </c>
      <c r="D2485" s="20" t="str">
        <f t="shared" si="74"/>
        <v>ADM20208</v>
      </c>
      <c r="E2485" s="2">
        <v>44061</v>
      </c>
      <c r="F2485" s="3">
        <v>0.36</v>
      </c>
      <c r="G2485" s="2">
        <v>44083</v>
      </c>
      <c r="H2485" s="3">
        <v>3.2399999999999998E-2</v>
      </c>
      <c r="I2485" s="3">
        <v>0</v>
      </c>
      <c r="J2485" s="3">
        <v>0</v>
      </c>
      <c r="K2485" s="3">
        <f t="shared" si="75"/>
        <v>2020</v>
      </c>
      <c r="L2485" s="3">
        <f t="shared" si="76"/>
        <v>0</v>
      </c>
      <c r="M2485" s="20" t="str">
        <f>A2485&amp;L2485</f>
        <v>ADM0</v>
      </c>
      <c r="N2485" s="3">
        <f>F2485</f>
        <v>0.36</v>
      </c>
      <c r="O2485" s="9">
        <f>H2485</f>
        <v>3.2399999999999998E-2</v>
      </c>
      <c r="P2485" s="10">
        <f t="shared" si="77"/>
        <v>0</v>
      </c>
      <c r="Q2485" s="10">
        <f>IF(K2485=0,IF(A2482=A2485,AVERAGE(O2482:O2485),"x"),0)</f>
        <v>0</v>
      </c>
      <c r="R2485" s="9">
        <f>IF(L2485&gt;2005,AVERAGE(O2482:O2501),0)</f>
        <v>0</v>
      </c>
      <c r="S2485" s="10">
        <f>IF(A2485=A2486,(N2485-N2486)/N2486,0)</f>
        <v>0</v>
      </c>
      <c r="T2485" s="10">
        <f>IF(L2485&gt;2005,(((N2485-N2505)/N2505)+1)^(1/5)-1,0)</f>
        <v>0</v>
      </c>
      <c r="U2485" s="10">
        <f t="shared" si="78"/>
        <v>0</v>
      </c>
      <c r="V2485" s="26">
        <f t="shared" si="79"/>
        <v>0</v>
      </c>
      <c r="W2485" s="3">
        <f>IF(A2485=A2486,N2485-N2486,0)</f>
        <v>0</v>
      </c>
      <c r="X2485" s="10">
        <f>IF(A2485=A2486,(N2485-N2486)/N2486,0)</f>
        <v>0</v>
      </c>
    </row>
    <row r="2486" spans="1:24" ht="16.5" customHeight="1">
      <c r="A2486" s="3" t="s">
        <v>51</v>
      </c>
      <c r="B2486" s="3">
        <f t="shared" si="72"/>
        <v>2020</v>
      </c>
      <c r="C2486" s="3">
        <f t="shared" si="73"/>
        <v>5</v>
      </c>
      <c r="D2486" s="20" t="str">
        <f t="shared" si="74"/>
        <v>ADM20205</v>
      </c>
      <c r="E2486" s="2">
        <v>43970</v>
      </c>
      <c r="F2486" s="3">
        <v>0.36</v>
      </c>
      <c r="G2486" s="2">
        <v>43992</v>
      </c>
      <c r="H2486" s="3">
        <v>4.02E-2</v>
      </c>
      <c r="I2486" s="3">
        <v>0</v>
      </c>
      <c r="J2486" s="3">
        <v>0</v>
      </c>
      <c r="K2486" s="3">
        <f t="shared" si="75"/>
        <v>2020</v>
      </c>
      <c r="L2486" s="3">
        <f t="shared" si="76"/>
        <v>0</v>
      </c>
      <c r="M2486" s="20" t="str">
        <f>A2486&amp;L2486</f>
        <v>ADM0</v>
      </c>
      <c r="N2486" s="3">
        <f>F2486</f>
        <v>0.36</v>
      </c>
      <c r="O2486" s="9">
        <f>H2486</f>
        <v>4.02E-2</v>
      </c>
      <c r="P2486" s="10">
        <f t="shared" si="77"/>
        <v>0</v>
      </c>
      <c r="Q2486" s="10">
        <f>IF(K2486=0,IF(A2483=A2486,AVERAGE(O2483:O2486),"x"),0)</f>
        <v>0</v>
      </c>
      <c r="R2486" s="9">
        <f>IF(L2486&gt;2005,AVERAGE(O2483:O2502),0)</f>
        <v>0</v>
      </c>
      <c r="S2486" s="10">
        <f>IF(A2486=A2487,(N2486-N2487)/N2487,0)</f>
        <v>0</v>
      </c>
      <c r="T2486" s="10">
        <f>IF(L2486&gt;2005,(((N2486-N2506)/N2506)+1)^(1/5)-1,0)</f>
        <v>0</v>
      </c>
      <c r="U2486" s="10">
        <f t="shared" si="78"/>
        <v>0</v>
      </c>
      <c r="V2486" s="26">
        <f t="shared" si="79"/>
        <v>0</v>
      </c>
      <c r="W2486" s="3">
        <f>IF(A2486=A2487,N2486-N2487,0)</f>
        <v>0</v>
      </c>
      <c r="X2486" s="10">
        <f>IF(A2486=A2487,(N2486-N2487)/N2487,0)</f>
        <v>0</v>
      </c>
    </row>
    <row r="2487" spans="1:24" ht="16.5" customHeight="1">
      <c r="A2487" s="3" t="s">
        <v>51</v>
      </c>
      <c r="B2487" s="3">
        <f t="shared" si="72"/>
        <v>2020</v>
      </c>
      <c r="C2487" s="3">
        <f t="shared" si="73"/>
        <v>2</v>
      </c>
      <c r="D2487" s="20" t="str">
        <f t="shared" si="74"/>
        <v>ADM20202</v>
      </c>
      <c r="E2487" s="2">
        <v>43873</v>
      </c>
      <c r="F2487" s="3">
        <v>0.36</v>
      </c>
      <c r="G2487" s="2">
        <v>43895</v>
      </c>
      <c r="H2487" s="3">
        <v>3.1199999999999999E-2</v>
      </c>
      <c r="I2487" s="3">
        <v>2.8571428999999999E-2</v>
      </c>
      <c r="J2487" s="3">
        <v>0.01</v>
      </c>
      <c r="K2487" s="3">
        <f t="shared" si="75"/>
        <v>0</v>
      </c>
      <c r="L2487" s="3">
        <f t="shared" si="76"/>
        <v>2020</v>
      </c>
      <c r="M2487" s="20" t="str">
        <f>A2487&amp;L2487</f>
        <v>ADM2020</v>
      </c>
      <c r="N2487" s="3">
        <f>F2487</f>
        <v>0.36</v>
      </c>
      <c r="O2487" s="9">
        <f>H2487</f>
        <v>3.1199999999999999E-2</v>
      </c>
      <c r="P2487" s="10">
        <f t="shared" si="77"/>
        <v>3.3875000000000002E-2</v>
      </c>
      <c r="Q2487" s="10">
        <f>IF(K2487=0,IF(A2484=A2487,AVERAGE(O2484:O2487),"x"),0)</f>
        <v>3.3125000000000002E-2</v>
      </c>
      <c r="R2487" s="9">
        <f>IF(L2487&gt;2005,AVERAGE(O2484:O2503),0)</f>
        <v>3.1660000000000008E-2</v>
      </c>
      <c r="S2487" s="10">
        <f>IF(A2487=A2488,(N2487-N2488)/N2488,0)</f>
        <v>2.8571428571428598E-2</v>
      </c>
      <c r="T2487" s="10">
        <f>IF(L2487&gt;2005,(((N2487-N2507)/N2507)+1)^(1/5)-1,0)</f>
        <v>5.1547496797280434E-2</v>
      </c>
      <c r="U2487" s="10">
        <f t="shared" si="78"/>
        <v>8.3207496797280442E-2</v>
      </c>
      <c r="V2487" s="26">
        <f t="shared" si="79"/>
        <v>4.5782952009291806</v>
      </c>
      <c r="W2487" s="3">
        <f>IF(A2487=A2488,N2487-N2488,0)</f>
        <v>1.0000000000000009E-2</v>
      </c>
      <c r="X2487" s="10">
        <f>IF(A2487=A2488,(N2487-N2488)/N2488,0)</f>
        <v>2.8571428571428598E-2</v>
      </c>
    </row>
    <row r="2488" spans="1:24" ht="16.5" customHeight="1">
      <c r="A2488" s="3" t="s">
        <v>51</v>
      </c>
      <c r="B2488" s="3">
        <f t="shared" si="72"/>
        <v>2019</v>
      </c>
      <c r="C2488" s="3">
        <f t="shared" si="73"/>
        <v>11</v>
      </c>
      <c r="D2488" s="20" t="str">
        <f t="shared" si="74"/>
        <v>ADM201911</v>
      </c>
      <c r="E2488" s="2">
        <v>43789</v>
      </c>
      <c r="F2488" s="3">
        <v>0.35</v>
      </c>
      <c r="G2488" s="2">
        <v>43811</v>
      </c>
      <c r="H2488" s="3">
        <v>3.2500000000000001E-2</v>
      </c>
      <c r="I2488" s="3">
        <v>0</v>
      </c>
      <c r="J2488" s="3">
        <v>0</v>
      </c>
      <c r="K2488" s="3">
        <f t="shared" si="75"/>
        <v>2019</v>
      </c>
      <c r="L2488" s="3">
        <f t="shared" si="76"/>
        <v>0</v>
      </c>
      <c r="M2488" s="20" t="str">
        <f>A2488&amp;L2488</f>
        <v>ADM0</v>
      </c>
      <c r="N2488" s="3">
        <f>F2488</f>
        <v>0.35</v>
      </c>
      <c r="O2488" s="9">
        <f>H2488</f>
        <v>3.2500000000000001E-2</v>
      </c>
      <c r="P2488" s="10">
        <f t="shared" si="77"/>
        <v>0</v>
      </c>
      <c r="Q2488" s="10">
        <f>IF(K2488=0,IF(A2485=A2488,AVERAGE(O2485:O2488),"x"),0)</f>
        <v>0</v>
      </c>
      <c r="R2488" s="9">
        <f>IF(L2488&gt;2005,AVERAGE(O2485:O2504),0)</f>
        <v>0</v>
      </c>
      <c r="S2488" s="10">
        <f>IF(A2488=A2489,(N2488-N2489)/N2489,0)</f>
        <v>0</v>
      </c>
      <c r="T2488" s="10">
        <f>IF(L2488&gt;2005,(((N2488-N2508)/N2508)+1)^(1/5)-1,0)</f>
        <v>0</v>
      </c>
      <c r="U2488" s="10">
        <f t="shared" si="78"/>
        <v>0</v>
      </c>
      <c r="V2488" s="26">
        <f t="shared" si="79"/>
        <v>0</v>
      </c>
      <c r="W2488" s="3">
        <f>IF(A2488=A2489,N2488-N2489,0)</f>
        <v>0</v>
      </c>
      <c r="X2488" s="10">
        <f>IF(A2488=A2489,(N2488-N2489)/N2489,0)</f>
        <v>0</v>
      </c>
    </row>
    <row r="2489" spans="1:24" ht="16.5" customHeight="1">
      <c r="A2489" s="3" t="s">
        <v>51</v>
      </c>
      <c r="B2489" s="3">
        <f t="shared" si="72"/>
        <v>2019</v>
      </c>
      <c r="C2489" s="3">
        <f t="shared" si="73"/>
        <v>8</v>
      </c>
      <c r="D2489" s="20" t="str">
        <f t="shared" si="74"/>
        <v>ADM20198</v>
      </c>
      <c r="E2489" s="2">
        <v>43698</v>
      </c>
      <c r="F2489" s="3">
        <v>0.35</v>
      </c>
      <c r="G2489" s="2">
        <v>43720</v>
      </c>
      <c r="H2489" s="3">
        <v>3.7400000000000003E-2</v>
      </c>
      <c r="I2489" s="3">
        <v>0</v>
      </c>
      <c r="J2489" s="3">
        <v>0</v>
      </c>
      <c r="K2489" s="3">
        <f t="shared" si="75"/>
        <v>2019</v>
      </c>
      <c r="L2489" s="3">
        <f t="shared" si="76"/>
        <v>0</v>
      </c>
      <c r="M2489" s="20" t="str">
        <f>A2489&amp;L2489</f>
        <v>ADM0</v>
      </c>
      <c r="N2489" s="3">
        <f>F2489</f>
        <v>0.35</v>
      </c>
      <c r="O2489" s="9">
        <f>H2489</f>
        <v>3.7400000000000003E-2</v>
      </c>
      <c r="P2489" s="10">
        <f t="shared" si="77"/>
        <v>0</v>
      </c>
      <c r="Q2489" s="10">
        <f>IF(K2489=0,IF(A2486=A2489,AVERAGE(O2486:O2489),"x"),0)</f>
        <v>0</v>
      </c>
      <c r="R2489" s="9">
        <f>IF(L2489&gt;2005,AVERAGE(O2486:O2505),0)</f>
        <v>0</v>
      </c>
      <c r="S2489" s="10">
        <f>IF(A2489=A2490,(N2489-N2490)/N2490,0)</f>
        <v>0</v>
      </c>
      <c r="T2489" s="10">
        <f>IF(L2489&gt;2005,(((N2489-N2509)/N2509)+1)^(1/5)-1,0)</f>
        <v>0</v>
      </c>
      <c r="U2489" s="10">
        <f t="shared" si="78"/>
        <v>0</v>
      </c>
      <c r="V2489" s="26">
        <f t="shared" si="79"/>
        <v>0</v>
      </c>
      <c r="W2489" s="3">
        <f>IF(A2489=A2490,N2489-N2490,0)</f>
        <v>0</v>
      </c>
      <c r="X2489" s="10">
        <f>IF(A2489=A2490,(N2489-N2490)/N2490,0)</f>
        <v>0</v>
      </c>
    </row>
    <row r="2490" spans="1:24" ht="16.5" customHeight="1">
      <c r="A2490" s="3" t="s">
        <v>51</v>
      </c>
      <c r="B2490" s="3">
        <f t="shared" si="72"/>
        <v>2019</v>
      </c>
      <c r="C2490" s="3">
        <f t="shared" si="73"/>
        <v>5</v>
      </c>
      <c r="D2490" s="20" t="str">
        <f t="shared" si="74"/>
        <v>ADM20195</v>
      </c>
      <c r="E2490" s="2">
        <v>43599</v>
      </c>
      <c r="F2490" s="3">
        <v>0.35</v>
      </c>
      <c r="G2490" s="2">
        <v>43621</v>
      </c>
      <c r="H2490" s="3">
        <v>3.44E-2</v>
      </c>
      <c r="I2490" s="3">
        <v>0</v>
      </c>
      <c r="J2490" s="3">
        <v>0</v>
      </c>
      <c r="K2490" s="3">
        <f t="shared" si="75"/>
        <v>2019</v>
      </c>
      <c r="L2490" s="3">
        <f t="shared" si="76"/>
        <v>0</v>
      </c>
      <c r="M2490" s="20" t="str">
        <f>A2490&amp;L2490</f>
        <v>ADM0</v>
      </c>
      <c r="N2490" s="3">
        <f>F2490</f>
        <v>0.35</v>
      </c>
      <c r="O2490" s="9">
        <f>H2490</f>
        <v>3.44E-2</v>
      </c>
      <c r="P2490" s="10">
        <f t="shared" si="77"/>
        <v>0</v>
      </c>
      <c r="Q2490" s="10">
        <f>IF(K2490=0,IF(A2487=A2490,AVERAGE(O2487:O2490),"x"),0)</f>
        <v>0</v>
      </c>
      <c r="R2490" s="9">
        <f>IF(L2490&gt;2005,AVERAGE(O2487:O2506),0)</f>
        <v>0</v>
      </c>
      <c r="S2490" s="10">
        <f>IF(A2490=A2491,(N2490-N2491)/N2491,0)</f>
        <v>0</v>
      </c>
      <c r="T2490" s="10">
        <f>IF(L2490&gt;2005,(((N2490-N2510)/N2510)+1)^(1/5)-1,0)</f>
        <v>0</v>
      </c>
      <c r="U2490" s="10">
        <f t="shared" si="78"/>
        <v>0</v>
      </c>
      <c r="V2490" s="26">
        <f t="shared" si="79"/>
        <v>0</v>
      </c>
      <c r="W2490" s="3">
        <f>IF(A2490=A2491,N2490-N2491,0)</f>
        <v>0</v>
      </c>
      <c r="X2490" s="10">
        <f>IF(A2490=A2491,(N2490-N2491)/N2491,0)</f>
        <v>0</v>
      </c>
    </row>
    <row r="2491" spans="1:24" ht="16.5" customHeight="1">
      <c r="A2491" s="3" t="s">
        <v>51</v>
      </c>
      <c r="B2491" s="3">
        <f t="shared" si="72"/>
        <v>2019</v>
      </c>
      <c r="C2491" s="3">
        <f t="shared" si="73"/>
        <v>2</v>
      </c>
      <c r="D2491" s="20" t="str">
        <f t="shared" si="74"/>
        <v>ADM20192</v>
      </c>
      <c r="E2491" s="2">
        <v>43511</v>
      </c>
      <c r="F2491" s="3">
        <v>0.35</v>
      </c>
      <c r="G2491" s="2">
        <v>43536</v>
      </c>
      <c r="H2491" s="3">
        <v>3.3099999999999997E-2</v>
      </c>
      <c r="I2491" s="3">
        <v>4.4776119000000003E-2</v>
      </c>
      <c r="J2491" s="3">
        <v>1.4999999999999999E-2</v>
      </c>
      <c r="K2491" s="3">
        <f t="shared" si="75"/>
        <v>0</v>
      </c>
      <c r="L2491" s="3">
        <f t="shared" si="76"/>
        <v>2019</v>
      </c>
      <c r="M2491" s="20" t="str">
        <f>A2491&amp;L2491</f>
        <v>ADM2019</v>
      </c>
      <c r="N2491" s="3">
        <f>F2491</f>
        <v>0.35</v>
      </c>
      <c r="O2491" s="9">
        <f>H2491</f>
        <v>3.3099999999999997E-2</v>
      </c>
      <c r="P2491" s="10">
        <f t="shared" si="77"/>
        <v>2.9850000000000002E-2</v>
      </c>
      <c r="Q2491" s="10">
        <f>IF(K2491=0,IF(A2488=A2491,AVERAGE(O2488:O2491),"x"),0)</f>
        <v>3.4349999999999999E-2</v>
      </c>
      <c r="R2491" s="9">
        <f>IF(L2491&gt;2005,AVERAGE(O2488:O2507),0)</f>
        <v>2.9709999999999993E-2</v>
      </c>
      <c r="S2491" s="10">
        <f>IF(A2491=A2492,(N2491-N2492)/N2492,0)</f>
        <v>4.4776119402984947E-2</v>
      </c>
      <c r="T2491" s="10">
        <f>IF(L2491&gt;2005,(((N2491-N2511)/N2511)+1)^(1/5)-1,0)</f>
        <v>7.8378847447948985E-2</v>
      </c>
      <c r="U2491" s="10">
        <f t="shared" si="78"/>
        <v>0.10808884744794897</v>
      </c>
      <c r="V2491" s="26">
        <f t="shared" si="79"/>
        <v>4.6119126181430055</v>
      </c>
      <c r="W2491" s="3">
        <f>IF(A2491=A2492,N2491-N2492,0)</f>
        <v>1.4999999999999958E-2</v>
      </c>
      <c r="X2491" s="10">
        <f>IF(A2491=A2492,(N2491-N2492)/N2492,0)</f>
        <v>4.4776119402984947E-2</v>
      </c>
    </row>
    <row r="2492" spans="1:24" ht="16.5" customHeight="1">
      <c r="A2492" s="3" t="s">
        <v>51</v>
      </c>
      <c r="B2492" s="3">
        <f t="shared" si="72"/>
        <v>2018</v>
      </c>
      <c r="C2492" s="3">
        <f t="shared" si="73"/>
        <v>11</v>
      </c>
      <c r="D2492" s="20" t="str">
        <f t="shared" si="74"/>
        <v>ADM201811</v>
      </c>
      <c r="E2492" s="2">
        <v>43425</v>
      </c>
      <c r="F2492" s="3">
        <v>0.33500000000000002</v>
      </c>
      <c r="G2492" s="2">
        <v>43448</v>
      </c>
      <c r="H2492" s="3">
        <v>2.93E-2</v>
      </c>
      <c r="I2492" s="3">
        <v>0</v>
      </c>
      <c r="J2492" s="3">
        <v>0</v>
      </c>
      <c r="K2492" s="3">
        <f t="shared" si="75"/>
        <v>2018</v>
      </c>
      <c r="L2492" s="3">
        <f t="shared" si="76"/>
        <v>0</v>
      </c>
      <c r="M2492" s="20" t="str">
        <f>A2492&amp;L2492</f>
        <v>ADM0</v>
      </c>
      <c r="N2492" s="3">
        <f>F2492</f>
        <v>0.33500000000000002</v>
      </c>
      <c r="O2492" s="9">
        <f>H2492</f>
        <v>2.93E-2</v>
      </c>
      <c r="P2492" s="10">
        <f t="shared" si="77"/>
        <v>0</v>
      </c>
      <c r="Q2492" s="10">
        <f>IF(K2492=0,IF(A2489=A2492,AVERAGE(O2489:O2492),"x"),0)</f>
        <v>0</v>
      </c>
      <c r="R2492" s="9">
        <f>IF(L2492&gt;2005,AVERAGE(O2489:O2508),0)</f>
        <v>0</v>
      </c>
      <c r="S2492" s="10">
        <f>IF(A2492=A2493,(N2492-N2493)/N2493,0)</f>
        <v>0</v>
      </c>
      <c r="T2492" s="10">
        <f>IF(L2492&gt;2005,(((N2492-N2512)/N2512)+1)^(1/5)-1,0)</f>
        <v>0</v>
      </c>
      <c r="U2492" s="10">
        <f t="shared" si="78"/>
        <v>0</v>
      </c>
      <c r="V2492" s="26">
        <f t="shared" si="79"/>
        <v>0</v>
      </c>
      <c r="W2492" s="3">
        <f>IF(A2492=A2493,N2492-N2493,0)</f>
        <v>0</v>
      </c>
      <c r="X2492" s="10">
        <f>IF(A2492=A2493,(N2492-N2493)/N2493,0)</f>
        <v>0</v>
      </c>
    </row>
    <row r="2493" spans="1:24" ht="16.5" customHeight="1">
      <c r="A2493" s="3" t="s">
        <v>51</v>
      </c>
      <c r="B2493" s="3">
        <f t="shared" si="72"/>
        <v>2018</v>
      </c>
      <c r="C2493" s="3">
        <f t="shared" si="73"/>
        <v>8</v>
      </c>
      <c r="D2493" s="20" t="str">
        <f t="shared" si="74"/>
        <v>ADM20188</v>
      </c>
      <c r="E2493" s="2">
        <v>43327</v>
      </c>
      <c r="F2493" s="3">
        <v>0.33500000000000002</v>
      </c>
      <c r="G2493" s="2">
        <v>43349</v>
      </c>
      <c r="H2493" s="3">
        <v>2.6800000000000001E-2</v>
      </c>
      <c r="I2493" s="3">
        <v>0</v>
      </c>
      <c r="J2493" s="3">
        <v>0</v>
      </c>
      <c r="K2493" s="3">
        <f t="shared" si="75"/>
        <v>2018</v>
      </c>
      <c r="L2493" s="3">
        <f t="shared" si="76"/>
        <v>0</v>
      </c>
      <c r="M2493" s="20" t="str">
        <f>A2493&amp;L2493</f>
        <v>ADM0</v>
      </c>
      <c r="N2493" s="3">
        <f>F2493</f>
        <v>0.33500000000000002</v>
      </c>
      <c r="O2493" s="9">
        <f>H2493</f>
        <v>2.6800000000000001E-2</v>
      </c>
      <c r="P2493" s="10">
        <f t="shared" si="77"/>
        <v>0</v>
      </c>
      <c r="Q2493" s="10">
        <f>IF(K2493=0,IF(A2490=A2493,AVERAGE(O2490:O2493),"x"),0)</f>
        <v>0</v>
      </c>
      <c r="R2493" s="9">
        <f>IF(L2493&gt;2005,AVERAGE(O2490:O2509),0)</f>
        <v>0</v>
      </c>
      <c r="S2493" s="10">
        <f>IF(A2493=A2494,(N2493-N2494)/N2494,0)</f>
        <v>0</v>
      </c>
      <c r="T2493" s="10">
        <f>IF(L2493&gt;2005,(((N2493-N2513)/N2513)+1)^(1/5)-1,0)</f>
        <v>0</v>
      </c>
      <c r="U2493" s="10">
        <f t="shared" si="78"/>
        <v>0</v>
      </c>
      <c r="V2493" s="26">
        <f t="shared" si="79"/>
        <v>0</v>
      </c>
      <c r="W2493" s="3">
        <f>IF(A2493=A2494,N2493-N2494,0)</f>
        <v>0</v>
      </c>
      <c r="X2493" s="10">
        <f>IF(A2493=A2494,(N2493-N2494)/N2494,0)</f>
        <v>0</v>
      </c>
    </row>
    <row r="2494" spans="1:24" ht="16.5" customHeight="1">
      <c r="A2494" s="3" t="s">
        <v>51</v>
      </c>
      <c r="B2494" s="3">
        <f t="shared" si="72"/>
        <v>2018</v>
      </c>
      <c r="C2494" s="3">
        <f t="shared" si="73"/>
        <v>5</v>
      </c>
      <c r="D2494" s="20" t="str">
        <f t="shared" si="74"/>
        <v>ADM20185</v>
      </c>
      <c r="E2494" s="2">
        <v>43236</v>
      </c>
      <c r="F2494" s="3">
        <v>0.33500000000000002</v>
      </c>
      <c r="G2494" s="2">
        <v>43258</v>
      </c>
      <c r="H2494" s="3">
        <v>3.0200000000000001E-2</v>
      </c>
      <c r="I2494" s="3">
        <v>0</v>
      </c>
      <c r="J2494" s="3">
        <v>0</v>
      </c>
      <c r="K2494" s="3">
        <f t="shared" si="75"/>
        <v>2018</v>
      </c>
      <c r="L2494" s="3">
        <f t="shared" si="76"/>
        <v>0</v>
      </c>
      <c r="M2494" s="20" t="str">
        <f>A2494&amp;L2494</f>
        <v>ADM0</v>
      </c>
      <c r="N2494" s="3">
        <f>F2494</f>
        <v>0.33500000000000002</v>
      </c>
      <c r="O2494" s="9">
        <f>H2494</f>
        <v>3.0200000000000001E-2</v>
      </c>
      <c r="P2494" s="10">
        <f t="shared" si="77"/>
        <v>0</v>
      </c>
      <c r="Q2494" s="10">
        <f>IF(K2494=0,IF(A2491=A2494,AVERAGE(O2491:O2494),"x"),0)</f>
        <v>0</v>
      </c>
      <c r="R2494" s="9">
        <f>IF(L2494&gt;2005,AVERAGE(O2491:O2510),0)</f>
        <v>0</v>
      </c>
      <c r="S2494" s="10">
        <f>IF(A2494=A2495,(N2494-N2495)/N2495,0)</f>
        <v>0</v>
      </c>
      <c r="T2494" s="10">
        <f>IF(L2494&gt;2005,(((N2494-N2514)/N2514)+1)^(1/5)-1,0)</f>
        <v>0</v>
      </c>
      <c r="U2494" s="10">
        <f t="shared" si="78"/>
        <v>0</v>
      </c>
      <c r="V2494" s="26">
        <f t="shared" si="79"/>
        <v>0</v>
      </c>
      <c r="W2494" s="3">
        <f>IF(A2494=A2495,N2494-N2495,0)</f>
        <v>0</v>
      </c>
      <c r="X2494" s="10">
        <f>IF(A2494=A2495,(N2494-N2495)/N2495,0)</f>
        <v>0</v>
      </c>
    </row>
    <row r="2495" spans="1:24" ht="16.5" customHeight="1">
      <c r="A2495" s="3" t="s">
        <v>51</v>
      </c>
      <c r="B2495" s="3">
        <f t="shared" si="72"/>
        <v>2018</v>
      </c>
      <c r="C2495" s="3">
        <f t="shared" si="73"/>
        <v>2</v>
      </c>
      <c r="D2495" s="20" t="str">
        <f t="shared" si="74"/>
        <v>ADM20182</v>
      </c>
      <c r="E2495" s="2">
        <v>43147</v>
      </c>
      <c r="F2495" s="3">
        <v>0.33500000000000002</v>
      </c>
      <c r="G2495" s="2">
        <v>43172</v>
      </c>
      <c r="H2495" s="3">
        <v>3.1E-2</v>
      </c>
      <c r="I2495" s="3">
        <v>4.6875E-2</v>
      </c>
      <c r="J2495" s="3">
        <v>1.4999999999999999E-2</v>
      </c>
      <c r="K2495" s="3">
        <f t="shared" si="75"/>
        <v>0</v>
      </c>
      <c r="L2495" s="3">
        <f t="shared" si="76"/>
        <v>2018</v>
      </c>
      <c r="M2495" s="20" t="str">
        <f>A2495&amp;L2495</f>
        <v>ADM2018</v>
      </c>
      <c r="N2495" s="3">
        <f>F2495</f>
        <v>0.33500000000000002</v>
      </c>
      <c r="O2495" s="9">
        <f>H2495</f>
        <v>3.1E-2</v>
      </c>
      <c r="P2495" s="10">
        <f t="shared" si="77"/>
        <v>3.1025E-2</v>
      </c>
      <c r="Q2495" s="10">
        <f>IF(K2495=0,IF(A2492=A2495,AVERAGE(O2492:O2495),"x"),0)</f>
        <v>2.9325E-2</v>
      </c>
      <c r="R2495" s="9">
        <f>IF(L2495&gt;2005,AVERAGE(O2492:O2511),0)</f>
        <v>2.6640000000000004E-2</v>
      </c>
      <c r="S2495" s="10">
        <f>IF(A2495=A2496,(N2495-N2496)/N2496,0)</f>
        <v>4.6875000000000042E-2</v>
      </c>
      <c r="T2495" s="10">
        <f>IF(L2495&gt;2005,(((N2495-N2515)/N2515)+1)^(1/5)-1,0)</f>
        <v>0.12010372422372351</v>
      </c>
      <c r="U2495" s="10">
        <f t="shared" si="78"/>
        <v>0.1467437242237235</v>
      </c>
      <c r="V2495" s="26">
        <f t="shared" si="79"/>
        <v>4.6621423111040086</v>
      </c>
      <c r="W2495" s="3">
        <f>IF(A2495=A2496,N2495-N2496,0)</f>
        <v>1.5000000000000013E-2</v>
      </c>
      <c r="X2495" s="10">
        <f>IF(A2495=A2496,(N2495-N2496)/N2496,0)</f>
        <v>4.6875000000000042E-2</v>
      </c>
    </row>
    <row r="2496" spans="1:24" ht="16.5" customHeight="1">
      <c r="A2496" s="3" t="s">
        <v>51</v>
      </c>
      <c r="B2496" s="3">
        <f t="shared" si="72"/>
        <v>2017</v>
      </c>
      <c r="C2496" s="3">
        <f t="shared" si="73"/>
        <v>11</v>
      </c>
      <c r="D2496" s="20" t="str">
        <f t="shared" si="74"/>
        <v>ADM201711</v>
      </c>
      <c r="E2496" s="2">
        <v>43054</v>
      </c>
      <c r="F2496" s="3">
        <v>0.32</v>
      </c>
      <c r="G2496" s="2">
        <v>43076</v>
      </c>
      <c r="H2496" s="3">
        <v>3.2199999999999999E-2</v>
      </c>
      <c r="I2496" s="3">
        <v>0</v>
      </c>
      <c r="J2496" s="3">
        <v>0</v>
      </c>
      <c r="K2496" s="3">
        <f t="shared" si="75"/>
        <v>2017</v>
      </c>
      <c r="L2496" s="3">
        <f t="shared" si="76"/>
        <v>0</v>
      </c>
      <c r="M2496" s="20" t="str">
        <f>A2496&amp;L2496</f>
        <v>ADM0</v>
      </c>
      <c r="N2496" s="3">
        <f>F2496</f>
        <v>0.32</v>
      </c>
      <c r="O2496" s="9">
        <f>H2496</f>
        <v>3.2199999999999999E-2</v>
      </c>
      <c r="P2496" s="10">
        <f t="shared" si="77"/>
        <v>0</v>
      </c>
      <c r="Q2496" s="10">
        <f>IF(K2496=0,IF(A2493=A2496,AVERAGE(O2493:O2496),"x"),0)</f>
        <v>0</v>
      </c>
      <c r="R2496" s="9">
        <f>IF(L2496&gt;2005,AVERAGE(O2493:O2512),0)</f>
        <v>0</v>
      </c>
      <c r="S2496" s="10">
        <f>IF(A2496=A2497,(N2496-N2497)/N2497,0)</f>
        <v>0</v>
      </c>
      <c r="T2496" s="10">
        <f>IF(L2496&gt;2005,(((N2496-N2516)/N2516)+1)^(1/5)-1,0)</f>
        <v>0</v>
      </c>
      <c r="U2496" s="10">
        <f t="shared" si="78"/>
        <v>0</v>
      </c>
      <c r="V2496" s="26">
        <f t="shared" si="79"/>
        <v>0</v>
      </c>
      <c r="W2496" s="3">
        <f>IF(A2496=A2497,N2496-N2497,0)</f>
        <v>0</v>
      </c>
      <c r="X2496" s="10">
        <f>IF(A2496=A2497,(N2496-N2497)/N2497,0)</f>
        <v>0</v>
      </c>
    </row>
    <row r="2497" spans="1:24" ht="16.5" customHeight="1">
      <c r="A2497" s="3" t="s">
        <v>51</v>
      </c>
      <c r="B2497" s="3">
        <f t="shared" si="72"/>
        <v>2017</v>
      </c>
      <c r="C2497" s="3">
        <f t="shared" si="73"/>
        <v>8</v>
      </c>
      <c r="D2497" s="20" t="str">
        <f t="shared" si="74"/>
        <v>ADM20178</v>
      </c>
      <c r="E2497" s="2">
        <v>42962</v>
      </c>
      <c r="F2497" s="3">
        <v>0.32</v>
      </c>
      <c r="G2497" s="2">
        <v>42985</v>
      </c>
      <c r="H2497" s="3">
        <v>3.0499999999999999E-2</v>
      </c>
      <c r="I2497" s="3">
        <v>0</v>
      </c>
      <c r="J2497" s="3">
        <v>0</v>
      </c>
      <c r="K2497" s="3">
        <f t="shared" si="75"/>
        <v>2017</v>
      </c>
      <c r="L2497" s="3">
        <f t="shared" si="76"/>
        <v>0</v>
      </c>
      <c r="M2497" s="20" t="str">
        <f>A2497&amp;L2497</f>
        <v>ADM0</v>
      </c>
      <c r="N2497" s="3">
        <f>F2497</f>
        <v>0.32</v>
      </c>
      <c r="O2497" s="9">
        <f>H2497</f>
        <v>3.0499999999999999E-2</v>
      </c>
      <c r="P2497" s="10">
        <f t="shared" si="77"/>
        <v>0</v>
      </c>
      <c r="Q2497" s="10">
        <f>IF(K2497=0,IF(A2494=A2497,AVERAGE(O2494:O2497),"x"),0)</f>
        <v>0</v>
      </c>
      <c r="R2497" s="9">
        <f>IF(L2497&gt;2005,AVERAGE(O2494:O2513),0)</f>
        <v>0</v>
      </c>
      <c r="S2497" s="10">
        <f>IF(A2497=A2498,(N2497-N2498)/N2498,0)</f>
        <v>0</v>
      </c>
      <c r="T2497" s="10">
        <f>IF(L2497&gt;2005,(((N2497-N2517)/N2517)+1)^(1/5)-1,0)</f>
        <v>0</v>
      </c>
      <c r="U2497" s="10">
        <f t="shared" si="78"/>
        <v>0</v>
      </c>
      <c r="V2497" s="26">
        <f t="shared" si="79"/>
        <v>0</v>
      </c>
      <c r="W2497" s="3">
        <f>IF(A2497=A2498,N2497-N2498,0)</f>
        <v>0</v>
      </c>
      <c r="X2497" s="10">
        <f>IF(A2497=A2498,(N2497-N2498)/N2498,0)</f>
        <v>0</v>
      </c>
    </row>
    <row r="2498" spans="1:24" ht="16.5" customHeight="1">
      <c r="A2498" s="3" t="s">
        <v>51</v>
      </c>
      <c r="B2498" s="3">
        <f t="shared" si="72"/>
        <v>2017</v>
      </c>
      <c r="C2498" s="3">
        <f t="shared" si="73"/>
        <v>5</v>
      </c>
      <c r="D2498" s="20" t="str">
        <f t="shared" si="74"/>
        <v>ADM20175</v>
      </c>
      <c r="E2498" s="2">
        <v>42871</v>
      </c>
      <c r="F2498" s="3">
        <v>0.32</v>
      </c>
      <c r="G2498" s="2">
        <v>42894</v>
      </c>
      <c r="H2498" s="3">
        <v>3.04E-2</v>
      </c>
      <c r="I2498" s="3">
        <v>0</v>
      </c>
      <c r="J2498" s="3">
        <v>0</v>
      </c>
      <c r="K2498" s="3">
        <f t="shared" si="75"/>
        <v>2017</v>
      </c>
      <c r="L2498" s="3">
        <f t="shared" si="76"/>
        <v>0</v>
      </c>
      <c r="M2498" s="20" t="str">
        <f>A2498&amp;L2498</f>
        <v>ADM0</v>
      </c>
      <c r="N2498" s="3">
        <f>F2498</f>
        <v>0.32</v>
      </c>
      <c r="O2498" s="9">
        <f>H2498</f>
        <v>3.04E-2</v>
      </c>
      <c r="P2498" s="10">
        <f t="shared" si="77"/>
        <v>0</v>
      </c>
      <c r="Q2498" s="10">
        <f>IF(K2498=0,IF(A2495=A2498,AVERAGE(O2495:O2498),"x"),0)</f>
        <v>0</v>
      </c>
      <c r="R2498" s="9">
        <f>IF(L2498&gt;2005,AVERAGE(O2495:O2514),0)</f>
        <v>0</v>
      </c>
      <c r="S2498" s="10">
        <f>IF(A2498=A2499,(N2498-N2499)/N2499,0)</f>
        <v>0</v>
      </c>
      <c r="T2498" s="10">
        <f>IF(L2498&gt;2005,(((N2498-N2518)/N2518)+1)^(1/5)-1,0)</f>
        <v>0</v>
      </c>
      <c r="U2498" s="10">
        <f t="shared" si="78"/>
        <v>0</v>
      </c>
      <c r="V2498" s="26">
        <f t="shared" si="79"/>
        <v>0</v>
      </c>
      <c r="W2498" s="3">
        <f>IF(A2498=A2499,N2498-N2499,0)</f>
        <v>0</v>
      </c>
      <c r="X2498" s="10">
        <f>IF(A2498=A2499,(N2498-N2499)/N2499,0)</f>
        <v>0</v>
      </c>
    </row>
    <row r="2499" spans="1:24" ht="16.5" customHeight="1">
      <c r="A2499" s="3" t="s">
        <v>51</v>
      </c>
      <c r="B2499" s="3">
        <f t="shared" si="72"/>
        <v>2017</v>
      </c>
      <c r="C2499" s="3">
        <f t="shared" si="73"/>
        <v>2</v>
      </c>
      <c r="D2499" s="20" t="str">
        <f t="shared" si="74"/>
        <v>ADM20172</v>
      </c>
      <c r="E2499" s="2">
        <v>42782</v>
      </c>
      <c r="F2499" s="3">
        <v>0.32</v>
      </c>
      <c r="G2499" s="2">
        <v>42808</v>
      </c>
      <c r="H2499" s="3">
        <v>2.8799999999999999E-2</v>
      </c>
      <c r="I2499" s="3">
        <v>6.6666666999999999E-2</v>
      </c>
      <c r="J2499" s="3">
        <v>0.02</v>
      </c>
      <c r="K2499" s="3">
        <f t="shared" si="75"/>
        <v>0</v>
      </c>
      <c r="L2499" s="3">
        <f t="shared" si="76"/>
        <v>2017</v>
      </c>
      <c r="M2499" s="20" t="str">
        <f>A2499&amp;L2499</f>
        <v>ADM2017</v>
      </c>
      <c r="N2499" s="3">
        <f>F2499</f>
        <v>0.32</v>
      </c>
      <c r="O2499" s="9">
        <f>H2499</f>
        <v>2.8799999999999999E-2</v>
      </c>
      <c r="P2499" s="10">
        <f t="shared" si="77"/>
        <v>2.9175E-2</v>
      </c>
      <c r="Q2499" s="10">
        <f>IF(K2499=0,IF(A2496=A2499,AVERAGE(O2496:O2499),"x"),0)</f>
        <v>3.0475000000000002E-2</v>
      </c>
      <c r="R2499" s="9">
        <f>IF(L2499&gt;2005,AVERAGE(O2496:O2515),0)</f>
        <v>2.4935000000000002E-2</v>
      </c>
      <c r="S2499" s="10">
        <f>IF(A2499=A2500,(N2499-N2500)/N2500,0)</f>
        <v>6.6666666666666735E-2</v>
      </c>
      <c r="T2499" s="10">
        <f>IF(L2499&gt;2005,(((N2499-N2519)/N2519)+1)^(1/5)-1,0)</f>
        <v>0.12829427864416676</v>
      </c>
      <c r="U2499" s="10">
        <f t="shared" si="78"/>
        <v>0.15322927864416677</v>
      </c>
      <c r="V2499" s="26">
        <f t="shared" si="79"/>
        <v>4.6848714120572135</v>
      </c>
      <c r="W2499" s="3">
        <f>IF(A2499=A2500,N2499-N2500,0)</f>
        <v>2.0000000000000018E-2</v>
      </c>
      <c r="X2499" s="10">
        <f>IF(A2499=A2500,(N2499-N2500)/N2500,0)</f>
        <v>6.6666666666666735E-2</v>
      </c>
    </row>
    <row r="2500" spans="1:24" ht="16.5" customHeight="1">
      <c r="A2500" s="3" t="s">
        <v>51</v>
      </c>
      <c r="B2500" s="3">
        <f t="shared" si="72"/>
        <v>2016</v>
      </c>
      <c r="C2500" s="3">
        <f t="shared" si="73"/>
        <v>11</v>
      </c>
      <c r="D2500" s="20" t="str">
        <f t="shared" si="74"/>
        <v>ADM201611</v>
      </c>
      <c r="E2500" s="2">
        <v>42688</v>
      </c>
      <c r="F2500" s="3">
        <v>0.3</v>
      </c>
      <c r="G2500" s="2">
        <v>42711</v>
      </c>
      <c r="H2500" s="3">
        <v>2.8799999999999999E-2</v>
      </c>
      <c r="I2500" s="3">
        <v>0</v>
      </c>
      <c r="J2500" s="3">
        <v>0</v>
      </c>
      <c r="K2500" s="3">
        <f t="shared" si="75"/>
        <v>2016</v>
      </c>
      <c r="L2500" s="3">
        <f t="shared" si="76"/>
        <v>0</v>
      </c>
      <c r="M2500" s="20" t="str">
        <f>A2500&amp;L2500</f>
        <v>ADM0</v>
      </c>
      <c r="N2500" s="3">
        <f>F2500</f>
        <v>0.3</v>
      </c>
      <c r="O2500" s="9">
        <f>H2500</f>
        <v>2.8799999999999999E-2</v>
      </c>
      <c r="P2500" s="10">
        <f t="shared" si="77"/>
        <v>0</v>
      </c>
      <c r="Q2500" s="10">
        <f>IF(K2500=0,IF(A2497=A2500,AVERAGE(O2497:O2500),"x"),0)</f>
        <v>0</v>
      </c>
      <c r="R2500" s="9">
        <f>IF(L2500&gt;2005,AVERAGE(O2497:O2516),0)</f>
        <v>0</v>
      </c>
      <c r="S2500" s="10">
        <f>IF(A2500=A2501,(N2500-N2501)/N2501,0)</f>
        <v>0</v>
      </c>
      <c r="T2500" s="10">
        <f>IF(L2500&gt;2005,(((N2500-N2520)/N2520)+1)^(1/5)-1,0)</f>
        <v>0</v>
      </c>
      <c r="U2500" s="10">
        <f t="shared" si="78"/>
        <v>0</v>
      </c>
      <c r="V2500" s="26">
        <f t="shared" si="79"/>
        <v>0</v>
      </c>
      <c r="W2500" s="3">
        <f>IF(A2500=A2501,N2500-N2501,0)</f>
        <v>0</v>
      </c>
      <c r="X2500" s="10">
        <f>IF(A2500=A2501,(N2500-N2501)/N2501,0)</f>
        <v>0</v>
      </c>
    </row>
    <row r="2501" spans="1:24" ht="16.5" customHeight="1">
      <c r="A2501" s="3" t="s">
        <v>51</v>
      </c>
      <c r="B2501" s="3">
        <f t="shared" si="72"/>
        <v>2016</v>
      </c>
      <c r="C2501" s="3">
        <f t="shared" si="73"/>
        <v>8</v>
      </c>
      <c r="D2501" s="20" t="str">
        <f t="shared" si="74"/>
        <v>ADM20168</v>
      </c>
      <c r="E2501" s="2">
        <v>42597</v>
      </c>
      <c r="F2501" s="3">
        <v>0.3</v>
      </c>
      <c r="G2501" s="2">
        <v>42620</v>
      </c>
      <c r="H2501" s="3">
        <v>2.7199999999999998E-2</v>
      </c>
      <c r="I2501" s="3">
        <v>0</v>
      </c>
      <c r="J2501" s="3">
        <v>0</v>
      </c>
      <c r="K2501" s="3">
        <f t="shared" si="75"/>
        <v>2016</v>
      </c>
      <c r="L2501" s="3">
        <f t="shared" si="76"/>
        <v>0</v>
      </c>
      <c r="M2501" s="20" t="str">
        <f>A2501&amp;L2501</f>
        <v>ADM0</v>
      </c>
      <c r="N2501" s="3">
        <f>F2501</f>
        <v>0.3</v>
      </c>
      <c r="O2501" s="9">
        <f>H2501</f>
        <v>2.7199999999999998E-2</v>
      </c>
      <c r="P2501" s="10">
        <f t="shared" si="77"/>
        <v>0</v>
      </c>
      <c r="Q2501" s="10">
        <f>IF(K2501=0,IF(A2498=A2501,AVERAGE(O2498:O2501),"x"),0)</f>
        <v>0</v>
      </c>
      <c r="R2501" s="9">
        <f>IF(L2501&gt;2005,AVERAGE(O2498:O2517),0)</f>
        <v>0</v>
      </c>
      <c r="S2501" s="10">
        <f>IF(A2501=A2502,(N2501-N2502)/N2502,0)</f>
        <v>0</v>
      </c>
      <c r="T2501" s="10">
        <f>IF(L2501&gt;2005,(((N2501-N2521)/N2521)+1)^(1/5)-1,0)</f>
        <v>0</v>
      </c>
      <c r="U2501" s="10">
        <f t="shared" si="78"/>
        <v>0</v>
      </c>
      <c r="V2501" s="26">
        <f t="shared" si="79"/>
        <v>0</v>
      </c>
      <c r="W2501" s="3">
        <f>IF(A2501=A2502,N2501-N2502,0)</f>
        <v>0</v>
      </c>
      <c r="X2501" s="10">
        <f>IF(A2501=A2502,(N2501-N2502)/N2502,0)</f>
        <v>0</v>
      </c>
    </row>
    <row r="2502" spans="1:24" ht="16.5" customHeight="1">
      <c r="A2502" s="3" t="s">
        <v>51</v>
      </c>
      <c r="B2502" s="3">
        <f t="shared" si="72"/>
        <v>2016</v>
      </c>
      <c r="C2502" s="3">
        <f t="shared" si="73"/>
        <v>5</v>
      </c>
      <c r="D2502" s="20" t="str">
        <f t="shared" si="74"/>
        <v>ADM20165</v>
      </c>
      <c r="E2502" s="2">
        <v>42506</v>
      </c>
      <c r="F2502" s="3">
        <v>0.3</v>
      </c>
      <c r="G2502" s="2">
        <v>42529</v>
      </c>
      <c r="H2502" s="3">
        <v>3.1899999999999998E-2</v>
      </c>
      <c r="I2502" s="3">
        <v>0</v>
      </c>
      <c r="J2502" s="3">
        <v>0</v>
      </c>
      <c r="K2502" s="3">
        <f t="shared" si="75"/>
        <v>2016</v>
      </c>
      <c r="L2502" s="3">
        <f t="shared" si="76"/>
        <v>0</v>
      </c>
      <c r="M2502" s="20" t="str">
        <f>A2502&amp;L2502</f>
        <v>ADM0</v>
      </c>
      <c r="N2502" s="3">
        <f>F2502</f>
        <v>0.3</v>
      </c>
      <c r="O2502" s="9">
        <f>H2502</f>
        <v>3.1899999999999998E-2</v>
      </c>
      <c r="P2502" s="10">
        <f t="shared" si="77"/>
        <v>0</v>
      </c>
      <c r="Q2502" s="10">
        <f>IF(K2502=0,IF(A2499=A2502,AVERAGE(O2499:O2502),"x"),0)</f>
        <v>0</v>
      </c>
      <c r="R2502" s="9">
        <f>IF(L2502&gt;2005,AVERAGE(O2499:O2518),0)</f>
        <v>0</v>
      </c>
      <c r="S2502" s="10">
        <f>IF(A2502=A2503,(N2502-N2503)/N2503,0)</f>
        <v>0</v>
      </c>
      <c r="T2502" s="10">
        <f>IF(L2502&gt;2005,(((N2502-N2522)/N2522)+1)^(1/5)-1,0)</f>
        <v>0</v>
      </c>
      <c r="U2502" s="10">
        <f t="shared" si="78"/>
        <v>0</v>
      </c>
      <c r="V2502" s="26">
        <f t="shared" si="79"/>
        <v>0</v>
      </c>
      <c r="W2502" s="3">
        <f>IF(A2502=A2503,N2502-N2503,0)</f>
        <v>0</v>
      </c>
      <c r="X2502" s="10">
        <f>IF(A2502=A2503,(N2502-N2503)/N2503,0)</f>
        <v>0</v>
      </c>
    </row>
    <row r="2503" spans="1:24" ht="16.5" customHeight="1">
      <c r="A2503" s="3" t="s">
        <v>51</v>
      </c>
      <c r="B2503" s="3">
        <f t="shared" si="72"/>
        <v>2016</v>
      </c>
      <c r="C2503" s="3">
        <f t="shared" si="73"/>
        <v>2</v>
      </c>
      <c r="D2503" s="20" t="str">
        <f t="shared" si="74"/>
        <v>ADM20162</v>
      </c>
      <c r="E2503" s="2">
        <v>42411</v>
      </c>
      <c r="F2503" s="3">
        <v>0.3</v>
      </c>
      <c r="G2503" s="2">
        <v>42437</v>
      </c>
      <c r="H2503" s="3">
        <v>3.6200000000000003E-2</v>
      </c>
      <c r="I2503" s="3">
        <v>7.1428570999999996E-2</v>
      </c>
      <c r="J2503" s="3">
        <v>0.02</v>
      </c>
      <c r="K2503" s="3">
        <f t="shared" si="75"/>
        <v>0</v>
      </c>
      <c r="L2503" s="3">
        <f t="shared" si="76"/>
        <v>2016</v>
      </c>
      <c r="M2503" s="20" t="str">
        <f>A2503&amp;L2503</f>
        <v>ADM2016</v>
      </c>
      <c r="N2503" s="3">
        <f>F2503</f>
        <v>0.3</v>
      </c>
      <c r="O2503" s="9">
        <f>H2503</f>
        <v>3.6200000000000003E-2</v>
      </c>
      <c r="P2503" s="10">
        <f t="shared" si="77"/>
        <v>2.7099999999999999E-2</v>
      </c>
      <c r="Q2503" s="10">
        <f>IF(K2503=0,IF(A2500=A2503,AVERAGE(O2500:O2503),"x"),0)</f>
        <v>3.1024999999999997E-2</v>
      </c>
      <c r="R2503" s="9">
        <f>IF(L2503&gt;2005,AVERAGE(O2500:O2519),0)</f>
        <v>2.3695000000000001E-2</v>
      </c>
      <c r="S2503" s="10">
        <f>IF(A2503=A2504,(N2503-N2504)/N2504,0)</f>
        <v>7.1428571428571286E-2</v>
      </c>
      <c r="T2503" s="10">
        <f>IF(L2503&gt;2005,(((N2503-N2523)/N2523)+1)^(1/5)-1,0)</f>
        <v>0.13396657763302722</v>
      </c>
      <c r="U2503" s="10">
        <f t="shared" si="78"/>
        <v>0.15766157763302721</v>
      </c>
      <c r="V2503" s="26">
        <f t="shared" si="79"/>
        <v>4.7012314179080983</v>
      </c>
      <c r="W2503" s="3">
        <f>IF(A2503=A2504,N2503-N2504,0)</f>
        <v>1.9999999999999962E-2</v>
      </c>
      <c r="X2503" s="10">
        <f>IF(A2503=A2504,(N2503-N2504)/N2504,0)</f>
        <v>7.1428571428571286E-2</v>
      </c>
    </row>
    <row r="2504" spans="1:24" ht="16.5" customHeight="1">
      <c r="A2504" s="3" t="s">
        <v>51</v>
      </c>
      <c r="B2504" s="3">
        <f t="shared" si="72"/>
        <v>2015</v>
      </c>
      <c r="C2504" s="3">
        <f t="shared" si="73"/>
        <v>11</v>
      </c>
      <c r="D2504" s="20" t="str">
        <f t="shared" si="74"/>
        <v>ADM201511</v>
      </c>
      <c r="E2504" s="2">
        <v>42324</v>
      </c>
      <c r="F2504" s="3">
        <v>0.28000000000000003</v>
      </c>
      <c r="G2504" s="2">
        <v>42347</v>
      </c>
      <c r="H2504" s="3">
        <v>2.9700000000000001E-2</v>
      </c>
      <c r="I2504" s="3">
        <v>0</v>
      </c>
      <c r="J2504" s="3">
        <v>0</v>
      </c>
      <c r="K2504" s="3">
        <f t="shared" si="75"/>
        <v>2015</v>
      </c>
      <c r="L2504" s="3">
        <f t="shared" si="76"/>
        <v>0</v>
      </c>
      <c r="M2504" s="20" t="str">
        <f>A2504&amp;L2504</f>
        <v>ADM0</v>
      </c>
      <c r="N2504" s="3">
        <f>F2504</f>
        <v>0.28000000000000003</v>
      </c>
      <c r="O2504" s="9">
        <f>H2504</f>
        <v>2.9700000000000001E-2</v>
      </c>
      <c r="P2504" s="10">
        <f t="shared" si="77"/>
        <v>0</v>
      </c>
      <c r="Q2504" s="10">
        <f>IF(K2504=0,IF(A2501=A2504,AVERAGE(O2501:O2504),"x"),0)</f>
        <v>0</v>
      </c>
      <c r="R2504" s="9">
        <f>IF(L2504&gt;2005,AVERAGE(O2501:O2520),0)</f>
        <v>0</v>
      </c>
      <c r="S2504" s="10">
        <f>IF(A2504=A2505,(N2504-N2505)/N2505,0)</f>
        <v>0</v>
      </c>
      <c r="T2504" s="10">
        <f>IF(L2504&gt;2005,(((N2504-N2524)/N2524)+1)^(1/5)-1,0)</f>
        <v>0</v>
      </c>
      <c r="U2504" s="10">
        <f t="shared" si="78"/>
        <v>0</v>
      </c>
      <c r="V2504" s="26">
        <f t="shared" si="79"/>
        <v>0</v>
      </c>
      <c r="W2504" s="3">
        <f>IF(A2504=A2505,N2504-N2505,0)</f>
        <v>0</v>
      </c>
      <c r="X2504" s="10">
        <f>IF(A2504=A2505,(N2504-N2505)/N2505,0)</f>
        <v>0</v>
      </c>
    </row>
    <row r="2505" spans="1:24" ht="16.5" customHeight="1">
      <c r="A2505" s="3" t="s">
        <v>51</v>
      </c>
      <c r="B2505" s="3">
        <f t="shared" si="72"/>
        <v>2015</v>
      </c>
      <c r="C2505" s="3">
        <f t="shared" si="73"/>
        <v>8</v>
      </c>
      <c r="D2505" s="20" t="str">
        <f t="shared" si="74"/>
        <v>ADM20158</v>
      </c>
      <c r="E2505" s="2">
        <v>42233</v>
      </c>
      <c r="F2505" s="3">
        <v>0.28000000000000003</v>
      </c>
      <c r="G2505" s="2">
        <v>42256</v>
      </c>
      <c r="H2505" s="3">
        <v>2.29E-2</v>
      </c>
      <c r="I2505" s="3">
        <v>0</v>
      </c>
      <c r="J2505" s="3">
        <v>0</v>
      </c>
      <c r="K2505" s="3">
        <f t="shared" si="75"/>
        <v>2015</v>
      </c>
      <c r="L2505" s="3">
        <f t="shared" si="76"/>
        <v>0</v>
      </c>
      <c r="M2505" s="20" t="str">
        <f>A2505&amp;L2505</f>
        <v>ADM0</v>
      </c>
      <c r="N2505" s="3">
        <f>F2505</f>
        <v>0.28000000000000003</v>
      </c>
      <c r="O2505" s="9">
        <f>H2505</f>
        <v>2.29E-2</v>
      </c>
      <c r="P2505" s="10">
        <f t="shared" si="77"/>
        <v>0</v>
      </c>
      <c r="Q2505" s="10">
        <f>IF(K2505=0,IF(A2502=A2505,AVERAGE(O2502:O2505),"x"),0)</f>
        <v>0</v>
      </c>
      <c r="R2505" s="9">
        <f>IF(L2505&gt;2005,AVERAGE(O2502:O2521),0)</f>
        <v>0</v>
      </c>
      <c r="S2505" s="10">
        <f>IF(A2505=A2506,(N2505-N2506)/N2506,0)</f>
        <v>0</v>
      </c>
      <c r="T2505" s="10">
        <f>IF(L2505&gt;2005,(((N2505-N2525)/N2525)+1)^(1/5)-1,0)</f>
        <v>0</v>
      </c>
      <c r="U2505" s="10">
        <f t="shared" si="78"/>
        <v>0</v>
      </c>
      <c r="V2505" s="26">
        <f t="shared" si="79"/>
        <v>0</v>
      </c>
      <c r="W2505" s="3">
        <f>IF(A2505=A2506,N2505-N2506,0)</f>
        <v>0</v>
      </c>
      <c r="X2505" s="10">
        <f>IF(A2505=A2506,(N2505-N2506)/N2506,0)</f>
        <v>0</v>
      </c>
    </row>
    <row r="2506" spans="1:24" ht="16.5" customHeight="1">
      <c r="A2506" s="3" t="s">
        <v>51</v>
      </c>
      <c r="B2506" s="3">
        <f t="shared" si="72"/>
        <v>2015</v>
      </c>
      <c r="C2506" s="3">
        <f t="shared" si="73"/>
        <v>5</v>
      </c>
      <c r="D2506" s="20" t="str">
        <f t="shared" si="74"/>
        <v>ADM20155</v>
      </c>
      <c r="E2506" s="2">
        <v>42143</v>
      </c>
      <c r="F2506" s="3">
        <v>0.28000000000000003</v>
      </c>
      <c r="G2506" s="2">
        <v>42166</v>
      </c>
      <c r="H2506" s="3">
        <v>1.9599999999999999E-2</v>
      </c>
      <c r="I2506" s="3">
        <v>0</v>
      </c>
      <c r="J2506" s="3">
        <v>0</v>
      </c>
      <c r="K2506" s="3">
        <f t="shared" si="75"/>
        <v>2015</v>
      </c>
      <c r="L2506" s="3">
        <f t="shared" si="76"/>
        <v>0</v>
      </c>
      <c r="M2506" s="20" t="str">
        <f>A2506&amp;L2506</f>
        <v>ADM0</v>
      </c>
      <c r="N2506" s="3">
        <f>F2506</f>
        <v>0.28000000000000003</v>
      </c>
      <c r="O2506" s="9">
        <f>H2506</f>
        <v>1.9599999999999999E-2</v>
      </c>
      <c r="P2506" s="10">
        <f t="shared" si="77"/>
        <v>0</v>
      </c>
      <c r="Q2506" s="10">
        <f>IF(K2506=0,IF(A2503=A2506,AVERAGE(O2503:O2506),"x"),0)</f>
        <v>0</v>
      </c>
      <c r="R2506" s="9">
        <f>IF(L2506&gt;2005,AVERAGE(O2503:O2522),0)</f>
        <v>0</v>
      </c>
      <c r="S2506" s="10">
        <f>IF(A2506=A2507,(N2506-N2507)/N2507,0)</f>
        <v>0</v>
      </c>
      <c r="T2506" s="10">
        <f>IF(L2506&gt;2005,(((N2506-N2526)/N2526)+1)^(1/5)-1,0)</f>
        <v>0</v>
      </c>
      <c r="U2506" s="10">
        <f t="shared" si="78"/>
        <v>0</v>
      </c>
      <c r="V2506" s="26">
        <f t="shared" si="79"/>
        <v>0</v>
      </c>
      <c r="W2506" s="3">
        <f>IF(A2506=A2507,N2506-N2507,0)</f>
        <v>0</v>
      </c>
      <c r="X2506" s="10">
        <f>IF(A2506=A2507,(N2506-N2507)/N2507,0)</f>
        <v>0</v>
      </c>
    </row>
    <row r="2507" spans="1:24" ht="16.5" customHeight="1">
      <c r="A2507" s="3" t="s">
        <v>51</v>
      </c>
      <c r="B2507" s="3">
        <f t="shared" si="72"/>
        <v>2015</v>
      </c>
      <c r="C2507" s="3">
        <f t="shared" si="73"/>
        <v>2</v>
      </c>
      <c r="D2507" s="20" t="str">
        <f t="shared" si="74"/>
        <v>ADM20152</v>
      </c>
      <c r="E2507" s="2">
        <v>42047</v>
      </c>
      <c r="F2507" s="3">
        <v>0.28000000000000003</v>
      </c>
      <c r="G2507" s="2">
        <v>42073</v>
      </c>
      <c r="H2507" s="3">
        <v>2.1299999999999999E-2</v>
      </c>
      <c r="I2507" s="3">
        <v>0.16666666699999999</v>
      </c>
      <c r="J2507" s="3">
        <v>0.04</v>
      </c>
      <c r="K2507" s="3">
        <f t="shared" si="75"/>
        <v>0</v>
      </c>
      <c r="L2507" s="3">
        <f t="shared" si="76"/>
        <v>2015</v>
      </c>
      <c r="M2507" s="20" t="str">
        <f>A2507&amp;L2507</f>
        <v>ADM2015</v>
      </c>
      <c r="N2507" s="3">
        <f>F2507</f>
        <v>0.28000000000000003</v>
      </c>
      <c r="O2507" s="9">
        <f>H2507</f>
        <v>2.1299999999999999E-2</v>
      </c>
      <c r="P2507" s="10">
        <f t="shared" si="77"/>
        <v>1.9349999999999999E-2</v>
      </c>
      <c r="Q2507" s="10">
        <f>IF(K2507=0,IF(A2504=A2507,AVERAGE(O2504:O2507),"x"),0)</f>
        <v>2.3375E-2</v>
      </c>
      <c r="R2507" s="9">
        <f>IF(L2507&gt;2005,AVERAGE(O2504:O2523),0)</f>
        <v>2.1505E-2</v>
      </c>
      <c r="S2507" s="10">
        <f>IF(A2507=A2508,(N2507-N2508)/N2508,0)</f>
        <v>0.16666666666666682</v>
      </c>
      <c r="T2507" s="10">
        <f>IF(L2507&gt;2005,(((N2507-N2527)/N2527)+1)^(1/5)-1,0)</f>
        <v>0.13295681060117071</v>
      </c>
      <c r="U2507" s="10">
        <f t="shared" si="78"/>
        <v>0.1544618106011707</v>
      </c>
      <c r="V2507" s="26">
        <f t="shared" si="79"/>
        <v>4.7274276973745453</v>
      </c>
      <c r="W2507" s="3">
        <f>IF(A2507=A2508,N2507-N2508,0)</f>
        <v>4.0000000000000036E-2</v>
      </c>
      <c r="X2507" s="10">
        <f>IF(A2507=A2508,(N2507-N2508)/N2508,0)</f>
        <v>0.16666666666666682</v>
      </c>
    </row>
    <row r="2508" spans="1:24" ht="16.5" customHeight="1">
      <c r="A2508" s="3" t="s">
        <v>51</v>
      </c>
      <c r="B2508" s="3">
        <f t="shared" si="72"/>
        <v>2014</v>
      </c>
      <c r="C2508" s="3">
        <f t="shared" si="73"/>
        <v>11</v>
      </c>
      <c r="D2508" s="20" t="str">
        <f t="shared" si="74"/>
        <v>ADM201411</v>
      </c>
      <c r="E2508" s="2">
        <v>41961</v>
      </c>
      <c r="F2508" s="3">
        <v>0.24</v>
      </c>
      <c r="G2508" s="2">
        <v>41984</v>
      </c>
      <c r="H2508" s="3">
        <v>1.8499999999999999E-2</v>
      </c>
      <c r="I2508" s="3">
        <v>0</v>
      </c>
      <c r="J2508" s="3">
        <v>0</v>
      </c>
      <c r="K2508" s="3">
        <f t="shared" si="75"/>
        <v>2014</v>
      </c>
      <c r="L2508" s="3">
        <f t="shared" si="76"/>
        <v>0</v>
      </c>
      <c r="M2508" s="20" t="str">
        <f>A2508&amp;L2508</f>
        <v>ADM0</v>
      </c>
      <c r="N2508" s="3">
        <f>F2508</f>
        <v>0.24</v>
      </c>
      <c r="O2508" s="9">
        <f>H2508</f>
        <v>1.8499999999999999E-2</v>
      </c>
      <c r="P2508" s="10">
        <f t="shared" si="77"/>
        <v>0</v>
      </c>
      <c r="Q2508" s="10">
        <f>IF(K2508=0,IF(A2505=A2508,AVERAGE(O2505:O2508),"x"),0)</f>
        <v>0</v>
      </c>
      <c r="R2508" s="9">
        <f>IF(L2508&gt;2005,AVERAGE(O2505:O2524),0)</f>
        <v>0</v>
      </c>
      <c r="S2508" s="10">
        <f>IF(A2508=A2509,(N2508-N2509)/N2509,0)</f>
        <v>0</v>
      </c>
      <c r="T2508" s="10">
        <f>IF(L2508&gt;2005,(((N2508-N2528)/N2528)+1)^(1/5)-1,0)</f>
        <v>0</v>
      </c>
      <c r="U2508" s="10">
        <f t="shared" si="78"/>
        <v>0</v>
      </c>
      <c r="V2508" s="26">
        <f t="shared" si="79"/>
        <v>0</v>
      </c>
      <c r="W2508" s="3">
        <f>IF(A2508=A2509,N2508-N2509,0)</f>
        <v>0</v>
      </c>
      <c r="X2508" s="10">
        <f>IF(A2508=A2509,(N2508-N2509)/N2509,0)</f>
        <v>0</v>
      </c>
    </row>
    <row r="2509" spans="1:24" ht="16.5" customHeight="1">
      <c r="A2509" s="3" t="s">
        <v>51</v>
      </c>
      <c r="B2509" s="3">
        <f t="shared" si="72"/>
        <v>2014</v>
      </c>
      <c r="C2509" s="3">
        <f t="shared" si="73"/>
        <v>8</v>
      </c>
      <c r="D2509" s="20" t="str">
        <f t="shared" si="74"/>
        <v>ADM20148</v>
      </c>
      <c r="E2509" s="2">
        <v>41870</v>
      </c>
      <c r="F2509" s="3">
        <v>0.24</v>
      </c>
      <c r="G2509" s="2">
        <v>41893</v>
      </c>
      <c r="H2509" s="3">
        <v>1.83E-2</v>
      </c>
      <c r="I2509" s="3">
        <v>0</v>
      </c>
      <c r="J2509" s="3">
        <v>0</v>
      </c>
      <c r="K2509" s="3">
        <f t="shared" si="75"/>
        <v>2014</v>
      </c>
      <c r="L2509" s="3">
        <f t="shared" si="76"/>
        <v>0</v>
      </c>
      <c r="M2509" s="20" t="str">
        <f>A2509&amp;L2509</f>
        <v>ADM0</v>
      </c>
      <c r="N2509" s="3">
        <f>F2509</f>
        <v>0.24</v>
      </c>
      <c r="O2509" s="9">
        <f>H2509</f>
        <v>1.83E-2</v>
      </c>
      <c r="P2509" s="10">
        <f t="shared" si="77"/>
        <v>0</v>
      </c>
      <c r="Q2509" s="10">
        <f>IF(K2509=0,IF(A2506=A2509,AVERAGE(O2506:O2509),"x"),0)</f>
        <v>0</v>
      </c>
      <c r="R2509" s="9">
        <f>IF(L2509&gt;2005,AVERAGE(O2506:O2525),0)</f>
        <v>0</v>
      </c>
      <c r="S2509" s="10">
        <f>IF(A2509=A2510,(N2509-N2510)/N2510,0)</f>
        <v>0</v>
      </c>
      <c r="T2509" s="10">
        <f>IF(L2509&gt;2005,(((N2509-N2529)/N2529)+1)^(1/5)-1,0)</f>
        <v>0</v>
      </c>
      <c r="U2509" s="10">
        <f t="shared" si="78"/>
        <v>0</v>
      </c>
      <c r="V2509" s="26">
        <f t="shared" si="79"/>
        <v>0</v>
      </c>
      <c r="W2509" s="3">
        <f>IF(A2509=A2510,N2509-N2510,0)</f>
        <v>0</v>
      </c>
      <c r="X2509" s="10">
        <f>IF(A2509=A2510,(N2509-N2510)/N2510,0)</f>
        <v>0</v>
      </c>
    </row>
    <row r="2510" spans="1:24" ht="16.5" customHeight="1">
      <c r="A2510" s="3" t="s">
        <v>51</v>
      </c>
      <c r="B2510" s="3">
        <f t="shared" si="72"/>
        <v>2014</v>
      </c>
      <c r="C2510" s="3">
        <f t="shared" si="73"/>
        <v>5</v>
      </c>
      <c r="D2510" s="20" t="str">
        <f t="shared" si="74"/>
        <v>ADM20145</v>
      </c>
      <c r="E2510" s="2">
        <v>41772</v>
      </c>
      <c r="F2510" s="3">
        <v>0.24</v>
      </c>
      <c r="G2510" s="2">
        <v>41795</v>
      </c>
      <c r="H2510" s="3">
        <v>1.9300000000000001E-2</v>
      </c>
      <c r="I2510" s="3">
        <v>0</v>
      </c>
      <c r="J2510" s="3">
        <v>0</v>
      </c>
      <c r="K2510" s="3">
        <f t="shared" si="75"/>
        <v>2014</v>
      </c>
      <c r="L2510" s="3">
        <f t="shared" si="76"/>
        <v>0</v>
      </c>
      <c r="M2510" s="20" t="str">
        <f>A2510&amp;L2510</f>
        <v>ADM0</v>
      </c>
      <c r="N2510" s="3">
        <f>F2510</f>
        <v>0.24</v>
      </c>
      <c r="O2510" s="9">
        <f>H2510</f>
        <v>1.9300000000000001E-2</v>
      </c>
      <c r="P2510" s="10">
        <f t="shared" si="77"/>
        <v>0</v>
      </c>
      <c r="Q2510" s="10">
        <f>IF(K2510=0,IF(A2507=A2510,AVERAGE(O2507:O2510),"x"),0)</f>
        <v>0</v>
      </c>
      <c r="R2510" s="9">
        <f>IF(L2510&gt;2005,AVERAGE(O2507:O2526),0)</f>
        <v>0</v>
      </c>
      <c r="S2510" s="10">
        <f>IF(A2510=A2511,(N2510-N2511)/N2511,0)</f>
        <v>0</v>
      </c>
      <c r="T2510" s="10">
        <f>IF(L2510&gt;2005,(((N2510-N2530)/N2530)+1)^(1/5)-1,0)</f>
        <v>0</v>
      </c>
      <c r="U2510" s="10">
        <f t="shared" si="78"/>
        <v>0</v>
      </c>
      <c r="V2510" s="26">
        <f t="shared" si="79"/>
        <v>0</v>
      </c>
      <c r="W2510" s="3">
        <f>IF(A2510=A2511,N2510-N2511,0)</f>
        <v>0</v>
      </c>
      <c r="X2510" s="10">
        <f>IF(A2510=A2511,(N2510-N2511)/N2511,0)</f>
        <v>0</v>
      </c>
    </row>
    <row r="2511" spans="1:24" ht="16.5" customHeight="1">
      <c r="A2511" s="3" t="s">
        <v>51</v>
      </c>
      <c r="B2511" s="3">
        <f t="shared" si="72"/>
        <v>2014</v>
      </c>
      <c r="C2511" s="3">
        <f t="shared" si="73"/>
        <v>2</v>
      </c>
      <c r="D2511" s="20" t="str">
        <f t="shared" si="74"/>
        <v>ADM20142</v>
      </c>
      <c r="E2511" s="2">
        <v>41688</v>
      </c>
      <c r="F2511" s="3">
        <v>0.24</v>
      </c>
      <c r="G2511" s="2">
        <v>41711</v>
      </c>
      <c r="H2511" s="3">
        <v>1.9900000000000001E-2</v>
      </c>
      <c r="I2511" s="3">
        <v>0.26315789499999998</v>
      </c>
      <c r="J2511" s="3">
        <v>0.05</v>
      </c>
      <c r="K2511" s="3">
        <f t="shared" si="75"/>
        <v>0</v>
      </c>
      <c r="L2511" s="3">
        <f t="shared" si="76"/>
        <v>2014</v>
      </c>
      <c r="M2511" s="20" t="str">
        <f>A2511&amp;L2511</f>
        <v>ADM2014</v>
      </c>
      <c r="N2511" s="3">
        <f>F2511</f>
        <v>0.24</v>
      </c>
      <c r="O2511" s="9">
        <f>H2511</f>
        <v>1.9900000000000001E-2</v>
      </c>
      <c r="P2511" s="10">
        <f t="shared" si="77"/>
        <v>2.0075000000000003E-2</v>
      </c>
      <c r="Q2511" s="10">
        <f>IF(K2511=0,IF(A2508=A2511,AVERAGE(O2508:O2511),"x"),0)</f>
        <v>1.9E-2</v>
      </c>
      <c r="R2511" s="9">
        <f>IF(L2511&gt;2005,AVERAGE(O2508:O2527),0)</f>
        <v>2.0825000000000003E-2</v>
      </c>
      <c r="S2511" s="10">
        <f>IF(A2511=A2512,(N2511-N2512)/N2512,0)</f>
        <v>0.26315789473684204</v>
      </c>
      <c r="T2511" s="10">
        <f>IF(L2511&gt;2005,(((N2511-N2531)/N2531)+1)^(1/5)-1,0)</f>
        <v>0.11382417860287886</v>
      </c>
      <c r="U2511" s="10">
        <f t="shared" si="78"/>
        <v>0.13464917860287887</v>
      </c>
      <c r="V2511" s="26">
        <f t="shared" si="79"/>
        <v>4.7313397396707666</v>
      </c>
      <c r="W2511" s="3">
        <f>IF(A2511=A2512,N2511-N2512,0)</f>
        <v>4.9999999999999989E-2</v>
      </c>
      <c r="X2511" s="10">
        <f>IF(A2511=A2512,(N2511-N2512)/N2512,0)</f>
        <v>0.26315789473684204</v>
      </c>
    </row>
    <row r="2512" spans="1:24" ht="16.5" customHeight="1">
      <c r="A2512" s="3" t="s">
        <v>51</v>
      </c>
      <c r="B2512" s="3">
        <f t="shared" si="72"/>
        <v>2013</v>
      </c>
      <c r="C2512" s="3">
        <f t="shared" si="73"/>
        <v>11</v>
      </c>
      <c r="D2512" s="20" t="str">
        <f t="shared" si="74"/>
        <v>ADM201311</v>
      </c>
      <c r="E2512" s="2">
        <v>41590</v>
      </c>
      <c r="F2512" s="3">
        <v>0.19</v>
      </c>
      <c r="G2512" s="2">
        <v>41613</v>
      </c>
      <c r="H2512" s="3">
        <v>1.8499999999999999E-2</v>
      </c>
      <c r="I2512" s="3">
        <v>0</v>
      </c>
      <c r="J2512" s="3">
        <v>0</v>
      </c>
      <c r="K2512" s="3">
        <f t="shared" si="75"/>
        <v>2013</v>
      </c>
      <c r="L2512" s="3">
        <f t="shared" si="76"/>
        <v>0</v>
      </c>
      <c r="M2512" s="20" t="str">
        <f>A2512&amp;L2512</f>
        <v>ADM0</v>
      </c>
      <c r="N2512" s="3">
        <f>F2512</f>
        <v>0.19</v>
      </c>
      <c r="O2512" s="9">
        <f>H2512</f>
        <v>1.8499999999999999E-2</v>
      </c>
      <c r="P2512" s="10">
        <f t="shared" si="77"/>
        <v>0</v>
      </c>
      <c r="Q2512" s="10">
        <f>IF(K2512=0,IF(A2509=A2512,AVERAGE(O2509:O2512),"x"),0)</f>
        <v>0</v>
      </c>
      <c r="R2512" s="9">
        <f>IF(L2512&gt;2005,AVERAGE(O2509:O2528),0)</f>
        <v>0</v>
      </c>
      <c r="S2512" s="10">
        <f>IF(A2512=A2513,(N2512-N2513)/N2513,0)</f>
        <v>0</v>
      </c>
      <c r="T2512" s="10">
        <f>IF(L2512&gt;2005,(((N2512-N2532)/N2532)+1)^(1/5)-1,0)</f>
        <v>0</v>
      </c>
      <c r="U2512" s="10">
        <f t="shared" si="78"/>
        <v>0</v>
      </c>
      <c r="V2512" s="26">
        <f t="shared" si="79"/>
        <v>0</v>
      </c>
      <c r="W2512" s="3">
        <f>IF(A2512=A2513,N2512-N2513,0)</f>
        <v>0</v>
      </c>
      <c r="X2512" s="10">
        <f>IF(A2512=A2513,(N2512-N2513)/N2513,0)</f>
        <v>0</v>
      </c>
    </row>
    <row r="2513" spans="1:24" ht="16.5" customHeight="1">
      <c r="A2513" s="3" t="s">
        <v>51</v>
      </c>
      <c r="B2513" s="3">
        <f t="shared" si="72"/>
        <v>2013</v>
      </c>
      <c r="C2513" s="3">
        <f t="shared" si="73"/>
        <v>8</v>
      </c>
      <c r="D2513" s="20" t="str">
        <f t="shared" si="74"/>
        <v>ADM20138</v>
      </c>
      <c r="E2513" s="2">
        <v>41506</v>
      </c>
      <c r="F2513" s="3">
        <v>0.19</v>
      </c>
      <c r="G2513" s="2">
        <v>41529</v>
      </c>
      <c r="H2513" s="3">
        <v>2.0400000000000001E-2</v>
      </c>
      <c r="I2513" s="3">
        <v>0</v>
      </c>
      <c r="J2513" s="3">
        <v>0</v>
      </c>
      <c r="K2513" s="3">
        <f t="shared" si="75"/>
        <v>2013</v>
      </c>
      <c r="L2513" s="3">
        <f t="shared" si="76"/>
        <v>0</v>
      </c>
      <c r="M2513" s="20" t="str">
        <f>A2513&amp;L2513</f>
        <v>ADM0</v>
      </c>
      <c r="N2513" s="3">
        <f>F2513</f>
        <v>0.19</v>
      </c>
      <c r="O2513" s="9">
        <f>H2513</f>
        <v>2.0400000000000001E-2</v>
      </c>
      <c r="P2513" s="10">
        <f t="shared" si="77"/>
        <v>0</v>
      </c>
      <c r="Q2513" s="10">
        <f>IF(K2513=0,IF(A2510=A2513,AVERAGE(O2510:O2513),"x"),0)</f>
        <v>0</v>
      </c>
      <c r="R2513" s="9">
        <f>IF(L2513&gt;2005,AVERAGE(O2510:O2529),0)</f>
        <v>0</v>
      </c>
      <c r="S2513" s="10">
        <f>IF(A2513=A2514,(N2513-N2514)/N2514,0)</f>
        <v>0</v>
      </c>
      <c r="T2513" s="10">
        <f>IF(L2513&gt;2005,(((N2513-N2533)/N2533)+1)^(1/5)-1,0)</f>
        <v>0</v>
      </c>
      <c r="U2513" s="10">
        <f t="shared" si="78"/>
        <v>0</v>
      </c>
      <c r="V2513" s="26">
        <f t="shared" si="79"/>
        <v>0</v>
      </c>
      <c r="W2513" s="3">
        <f>IF(A2513=A2514,N2513-N2514,0)</f>
        <v>0</v>
      </c>
      <c r="X2513" s="10">
        <f>IF(A2513=A2514,(N2513-N2514)/N2514,0)</f>
        <v>0</v>
      </c>
    </row>
    <row r="2514" spans="1:24" ht="16.5" customHeight="1">
      <c r="A2514" s="3" t="s">
        <v>51</v>
      </c>
      <c r="B2514" s="3">
        <f t="shared" si="72"/>
        <v>2013</v>
      </c>
      <c r="C2514" s="3">
        <f t="shared" si="73"/>
        <v>5</v>
      </c>
      <c r="D2514" s="20" t="str">
        <f t="shared" si="74"/>
        <v>ADM20135</v>
      </c>
      <c r="E2514" s="2">
        <v>41408</v>
      </c>
      <c r="F2514" s="3">
        <v>0.19</v>
      </c>
      <c r="G2514" s="2">
        <v>41431</v>
      </c>
      <c r="H2514" s="3">
        <v>2.1499999999999998E-2</v>
      </c>
      <c r="I2514" s="3">
        <v>0</v>
      </c>
      <c r="J2514" s="3">
        <v>0</v>
      </c>
      <c r="K2514" s="3">
        <f t="shared" si="75"/>
        <v>2013</v>
      </c>
      <c r="L2514" s="3">
        <f t="shared" si="76"/>
        <v>0</v>
      </c>
      <c r="M2514" s="20" t="str">
        <f>A2514&amp;L2514</f>
        <v>ADM0</v>
      </c>
      <c r="N2514" s="3">
        <f>F2514</f>
        <v>0.19</v>
      </c>
      <c r="O2514" s="9">
        <f>H2514</f>
        <v>2.1499999999999998E-2</v>
      </c>
      <c r="P2514" s="10">
        <f t="shared" si="77"/>
        <v>0</v>
      </c>
      <c r="Q2514" s="10">
        <f>IF(K2514=0,IF(A2511=A2514,AVERAGE(O2511:O2514),"x"),0)</f>
        <v>0</v>
      </c>
      <c r="R2514" s="9">
        <f>IF(L2514&gt;2005,AVERAGE(O2511:O2530),0)</f>
        <v>0</v>
      </c>
      <c r="S2514" s="10">
        <f>IF(A2514=A2515,(N2514-N2515)/N2515,0)</f>
        <v>0</v>
      </c>
      <c r="T2514" s="10">
        <f>IF(L2514&gt;2005,(((N2514-N2534)/N2534)+1)^(1/5)-1,0)</f>
        <v>0</v>
      </c>
      <c r="U2514" s="10">
        <f t="shared" si="78"/>
        <v>0</v>
      </c>
      <c r="V2514" s="26">
        <f t="shared" si="79"/>
        <v>0</v>
      </c>
      <c r="W2514" s="3">
        <f>IF(A2514=A2515,N2514-N2515,0)</f>
        <v>0</v>
      </c>
      <c r="X2514" s="10">
        <f>IF(A2514=A2515,(N2514-N2515)/N2515,0)</f>
        <v>0</v>
      </c>
    </row>
    <row r="2515" spans="1:24" ht="16.5" customHeight="1">
      <c r="A2515" s="3" t="s">
        <v>51</v>
      </c>
      <c r="B2515" s="3">
        <f t="shared" si="72"/>
        <v>2013</v>
      </c>
      <c r="C2515" s="3">
        <f t="shared" si="73"/>
        <v>2</v>
      </c>
      <c r="D2515" s="20" t="str">
        <f t="shared" si="74"/>
        <v>ADM20132</v>
      </c>
      <c r="E2515" s="2">
        <v>41320</v>
      </c>
      <c r="F2515" s="3">
        <v>0.19</v>
      </c>
      <c r="G2515" s="2">
        <v>41346</v>
      </c>
      <c r="H2515" s="3">
        <v>2.2800000000000001E-2</v>
      </c>
      <c r="I2515" s="3">
        <v>8.5714286000000001E-2</v>
      </c>
      <c r="J2515" s="3">
        <v>1.4999999999999999E-2</v>
      </c>
      <c r="K2515" s="3">
        <f t="shared" si="75"/>
        <v>0</v>
      </c>
      <c r="L2515" s="3">
        <f t="shared" si="76"/>
        <v>2013</v>
      </c>
      <c r="M2515" s="20" t="str">
        <f>A2515&amp;L2515</f>
        <v>ADM2013</v>
      </c>
      <c r="N2515" s="3">
        <f>F2515</f>
        <v>0.19</v>
      </c>
      <c r="O2515" s="9">
        <f>H2515</f>
        <v>2.2800000000000001E-2</v>
      </c>
      <c r="P2515" s="10">
        <f t="shared" si="77"/>
        <v>2.4549999999999999E-2</v>
      </c>
      <c r="Q2515" s="10">
        <f>IF(K2515=0,IF(A2512=A2515,AVERAGE(O2512:O2515),"x"),0)</f>
        <v>2.0799999999999999E-2</v>
      </c>
      <c r="R2515" s="9">
        <f>IF(L2515&gt;2005,AVERAGE(O2512:O2531),0)</f>
        <v>2.0929999999999997E-2</v>
      </c>
      <c r="S2515" s="10">
        <f>IF(A2515=A2516,(N2515-N2516)/N2516,0)</f>
        <v>8.5714285714285798E-2</v>
      </c>
      <c r="T2515" s="10">
        <f>IF(L2515&gt;2005,(((N2515-N2535)/N2535)+1)^(1/5)-1,0)</f>
        <v>7.8852443962371455E-2</v>
      </c>
      <c r="U2515" s="10">
        <f t="shared" si="78"/>
        <v>9.9782443962371459E-2</v>
      </c>
      <c r="V2515" s="26">
        <f t="shared" si="79"/>
        <v>4.7216754518813975</v>
      </c>
      <c r="W2515" s="3">
        <f>IF(A2515=A2516,N2515-N2516,0)</f>
        <v>1.5000000000000013E-2</v>
      </c>
      <c r="X2515" s="10">
        <f>IF(A2515=A2516,(N2515-N2516)/N2516,0)</f>
        <v>8.5714285714285798E-2</v>
      </c>
    </row>
    <row r="2516" spans="1:24" ht="16.5" customHeight="1">
      <c r="A2516" s="3" t="s">
        <v>51</v>
      </c>
      <c r="B2516" s="3">
        <f t="shared" si="72"/>
        <v>2012</v>
      </c>
      <c r="C2516" s="3">
        <f t="shared" si="73"/>
        <v>11</v>
      </c>
      <c r="D2516" s="20" t="str">
        <f t="shared" si="74"/>
        <v>ADM201211</v>
      </c>
      <c r="E2516" s="2">
        <v>41226</v>
      </c>
      <c r="F2516" s="3">
        <v>0.17499999999999999</v>
      </c>
      <c r="G2516" s="2">
        <v>41249</v>
      </c>
      <c r="H2516" s="3">
        <v>2.7699999999999999E-2</v>
      </c>
      <c r="I2516" s="3">
        <v>0</v>
      </c>
      <c r="J2516" s="3">
        <v>0</v>
      </c>
      <c r="K2516" s="3">
        <f t="shared" si="75"/>
        <v>2012</v>
      </c>
      <c r="L2516" s="3">
        <f t="shared" si="76"/>
        <v>0</v>
      </c>
      <c r="M2516" s="20" t="str">
        <f>A2516&amp;L2516</f>
        <v>ADM0</v>
      </c>
      <c r="N2516" s="3">
        <f>F2516</f>
        <v>0.17499999999999999</v>
      </c>
      <c r="O2516" s="9">
        <f>H2516</f>
        <v>2.7699999999999999E-2</v>
      </c>
      <c r="P2516" s="10">
        <f t="shared" si="77"/>
        <v>0</v>
      </c>
      <c r="Q2516" s="10">
        <f>IF(K2516=0,IF(A2513=A2516,AVERAGE(O2513:O2516),"x"),0)</f>
        <v>0</v>
      </c>
      <c r="R2516" s="9">
        <f>IF(L2516&gt;2005,AVERAGE(O2513:O2532),0)</f>
        <v>0</v>
      </c>
      <c r="S2516" s="10">
        <f>IF(A2516=A2517,(N2516-N2517)/N2517,0)</f>
        <v>0</v>
      </c>
      <c r="T2516" s="10">
        <f>IF(L2516&gt;2005,(((N2516-N2536)/N2536)+1)^(1/5)-1,0)</f>
        <v>0</v>
      </c>
      <c r="U2516" s="10">
        <f t="shared" si="78"/>
        <v>0</v>
      </c>
      <c r="V2516" s="26">
        <f t="shared" si="79"/>
        <v>0</v>
      </c>
      <c r="W2516" s="3">
        <f>IF(A2516=A2517,N2516-N2517,0)</f>
        <v>0</v>
      </c>
      <c r="X2516" s="10">
        <f>IF(A2516=A2517,(N2516-N2517)/N2517,0)</f>
        <v>0</v>
      </c>
    </row>
    <row r="2517" spans="1:24" ht="16.5" customHeight="1">
      <c r="A2517" s="3" t="s">
        <v>51</v>
      </c>
      <c r="B2517" s="3">
        <f t="shared" si="72"/>
        <v>2012</v>
      </c>
      <c r="C2517" s="3">
        <f t="shared" si="73"/>
        <v>8</v>
      </c>
      <c r="D2517" s="20" t="str">
        <f t="shared" si="74"/>
        <v>ADM20128</v>
      </c>
      <c r="E2517" s="2">
        <v>41135</v>
      </c>
      <c r="F2517" s="3">
        <v>0.17499999999999999</v>
      </c>
      <c r="G2517" s="2">
        <v>41158</v>
      </c>
      <c r="H2517" s="3">
        <v>2.7E-2</v>
      </c>
      <c r="I2517" s="3">
        <v>0</v>
      </c>
      <c r="J2517" s="3">
        <v>0</v>
      </c>
      <c r="K2517" s="3">
        <f t="shared" si="75"/>
        <v>2012</v>
      </c>
      <c r="L2517" s="3">
        <f t="shared" si="76"/>
        <v>0</v>
      </c>
      <c r="M2517" s="20" t="str">
        <f>A2517&amp;L2517</f>
        <v>ADM0</v>
      </c>
      <c r="N2517" s="3">
        <f>F2517</f>
        <v>0.17499999999999999</v>
      </c>
      <c r="O2517" s="9">
        <f>H2517</f>
        <v>2.7E-2</v>
      </c>
      <c r="P2517" s="10">
        <f t="shared" si="77"/>
        <v>0</v>
      </c>
      <c r="Q2517" s="10">
        <f>IF(K2517=0,IF(A2514=A2517,AVERAGE(O2514:O2517),"x"),0)</f>
        <v>0</v>
      </c>
      <c r="R2517" s="9">
        <f>IF(L2517&gt;2005,AVERAGE(O2514:O2533),0)</f>
        <v>0</v>
      </c>
      <c r="S2517" s="10">
        <f>IF(A2517=A2518,(N2517-N2518)/N2518,0)</f>
        <v>0</v>
      </c>
      <c r="T2517" s="10">
        <f>IF(L2517&gt;2005,(((N2517-N2537)/N2537)+1)^(1/5)-1,0)</f>
        <v>0</v>
      </c>
      <c r="U2517" s="10">
        <f t="shared" si="78"/>
        <v>0</v>
      </c>
      <c r="V2517" s="26">
        <f t="shared" si="79"/>
        <v>0</v>
      </c>
      <c r="W2517" s="3">
        <f>IF(A2517=A2518,N2517-N2518,0)</f>
        <v>0</v>
      </c>
      <c r="X2517" s="10">
        <f>IF(A2517=A2518,(N2517-N2518)/N2518,0)</f>
        <v>0</v>
      </c>
    </row>
    <row r="2518" spans="1:24" ht="16.5" customHeight="1">
      <c r="A2518" s="3" t="s">
        <v>51</v>
      </c>
      <c r="B2518" s="3">
        <f t="shared" si="72"/>
        <v>2012</v>
      </c>
      <c r="C2518" s="3">
        <f t="shared" si="73"/>
        <v>5</v>
      </c>
      <c r="D2518" s="20" t="str">
        <f t="shared" si="74"/>
        <v>ADM20125</v>
      </c>
      <c r="E2518" s="2">
        <v>41044</v>
      </c>
      <c r="F2518" s="3">
        <v>0.17499999999999999</v>
      </c>
      <c r="G2518" s="2">
        <v>41067</v>
      </c>
      <c r="H2518" s="3">
        <v>2.07E-2</v>
      </c>
      <c r="I2518" s="3">
        <v>0</v>
      </c>
      <c r="J2518" s="3">
        <v>0</v>
      </c>
      <c r="K2518" s="3">
        <f t="shared" si="75"/>
        <v>2012</v>
      </c>
      <c r="L2518" s="3">
        <f t="shared" si="76"/>
        <v>0</v>
      </c>
      <c r="M2518" s="20" t="str">
        <f>A2518&amp;L2518</f>
        <v>ADM0</v>
      </c>
      <c r="N2518" s="3">
        <f>F2518</f>
        <v>0.17499999999999999</v>
      </c>
      <c r="O2518" s="9">
        <f>H2518</f>
        <v>2.07E-2</v>
      </c>
      <c r="P2518" s="10">
        <f t="shared" si="77"/>
        <v>0</v>
      </c>
      <c r="Q2518" s="10">
        <f>IF(K2518=0,IF(A2515=A2518,AVERAGE(O2515:O2518),"x"),0)</f>
        <v>0</v>
      </c>
      <c r="R2518" s="9">
        <f>IF(L2518&gt;2005,AVERAGE(O2515:O2534),0)</f>
        <v>0</v>
      </c>
      <c r="S2518" s="10">
        <f>IF(A2518=A2519,(N2518-N2519)/N2519,0)</f>
        <v>0</v>
      </c>
      <c r="T2518" s="10">
        <f>IF(L2518&gt;2005,(((N2518-N2538)/N2538)+1)^(1/5)-1,0)</f>
        <v>0</v>
      </c>
      <c r="U2518" s="10">
        <f t="shared" si="78"/>
        <v>0</v>
      </c>
      <c r="V2518" s="26">
        <f t="shared" si="79"/>
        <v>0</v>
      </c>
      <c r="W2518" s="3">
        <f>IF(A2518=A2519,N2518-N2519,0)</f>
        <v>0</v>
      </c>
      <c r="X2518" s="10">
        <f>IF(A2518=A2519,(N2518-N2519)/N2519,0)</f>
        <v>0</v>
      </c>
    </row>
    <row r="2519" spans="1:24" ht="16.5" customHeight="1">
      <c r="A2519" s="3" t="s">
        <v>51</v>
      </c>
      <c r="B2519" s="3">
        <f t="shared" si="72"/>
        <v>2012</v>
      </c>
      <c r="C2519" s="3">
        <f t="shared" si="73"/>
        <v>2</v>
      </c>
      <c r="D2519" s="20" t="str">
        <f t="shared" si="74"/>
        <v>ADM20122</v>
      </c>
      <c r="E2519" s="2">
        <v>40953</v>
      </c>
      <c r="F2519" s="3">
        <v>0.17499999999999999</v>
      </c>
      <c r="G2519" s="2">
        <v>40976</v>
      </c>
      <c r="H2519" s="3">
        <v>2.1700000000000001E-2</v>
      </c>
      <c r="I2519" s="3">
        <v>0</v>
      </c>
      <c r="J2519" s="3">
        <v>0</v>
      </c>
      <c r="K2519" s="3">
        <f t="shared" si="75"/>
        <v>0</v>
      </c>
      <c r="L2519" s="3">
        <f t="shared" si="76"/>
        <v>2012</v>
      </c>
      <c r="M2519" s="20" t="str">
        <f>A2519&amp;L2519</f>
        <v>ADM2012</v>
      </c>
      <c r="N2519" s="3">
        <f>F2519</f>
        <v>0.17499999999999999</v>
      </c>
      <c r="O2519" s="9">
        <f>H2519</f>
        <v>2.1700000000000001E-2</v>
      </c>
      <c r="P2519" s="10">
        <f t="shared" si="77"/>
        <v>0</v>
      </c>
      <c r="Q2519" s="10">
        <f>IF(K2519=0,IF(A2516=A2519,AVERAGE(O2516:O2519),"x"),0)</f>
        <v>2.4274999999999998E-2</v>
      </c>
      <c r="R2519" s="9">
        <f>IF(L2519&gt;2005,AVERAGE(O2516:O2535),0)</f>
        <v>1.9879999999999995E-2</v>
      </c>
      <c r="S2519" s="10">
        <f>IF(A2519=A2520,(N2519-N2520)/N2520,0)</f>
        <v>0</v>
      </c>
      <c r="T2519" s="10">
        <f>IF(L2519&gt;2005,(((N2519-N2539)/N2539)+1)^(1/5)-1,0)</f>
        <v>8.7597101915158015E-2</v>
      </c>
      <c r="U2519" s="10">
        <f t="shared" si="78"/>
        <v>0.10747710191515801</v>
      </c>
      <c r="V2519" s="26">
        <f t="shared" si="79"/>
        <v>4.7370977713129125</v>
      </c>
      <c r="W2519" s="3">
        <f>IF(A2519=A2520,N2519-N2520,0)</f>
        <v>0</v>
      </c>
      <c r="X2519" s="10">
        <f>IF(A2519=A2520,(N2519-N2520)/N2520,0)</f>
        <v>0</v>
      </c>
    </row>
    <row r="2520" spans="1:24" ht="16.5" customHeight="1">
      <c r="A2520" s="3" t="s">
        <v>51</v>
      </c>
      <c r="B2520" s="3">
        <f t="shared" si="72"/>
        <v>2011</v>
      </c>
      <c r="C2520" s="3">
        <f t="shared" si="73"/>
        <v>11</v>
      </c>
      <c r="D2520" s="20" t="str">
        <f t="shared" si="74"/>
        <v>ADM201111</v>
      </c>
      <c r="E2520" s="2">
        <v>40862</v>
      </c>
      <c r="F2520" s="3">
        <v>0.17499999999999999</v>
      </c>
      <c r="G2520" s="2">
        <v>40885</v>
      </c>
      <c r="H2520" s="3">
        <v>2.1999999999999999E-2</v>
      </c>
      <c r="I2520" s="3">
        <v>9.375E-2</v>
      </c>
      <c r="J2520" s="3">
        <v>1.4999999999999999E-2</v>
      </c>
      <c r="K2520" s="3">
        <f t="shared" si="75"/>
        <v>2011</v>
      </c>
      <c r="L2520" s="3">
        <f t="shared" si="76"/>
        <v>0</v>
      </c>
      <c r="M2520" s="20" t="str">
        <f>A2520&amp;L2520</f>
        <v>ADM0</v>
      </c>
      <c r="N2520" s="3">
        <f>F2520</f>
        <v>0.17499999999999999</v>
      </c>
      <c r="O2520" s="9">
        <f>H2520</f>
        <v>2.1999999999999999E-2</v>
      </c>
      <c r="P2520" s="10">
        <f t="shared" si="77"/>
        <v>2.0075000000000003E-2</v>
      </c>
      <c r="Q2520" s="10">
        <f>IF(K2520=0,IF(A2517=A2520,AVERAGE(O2517:O2520),"x"),0)</f>
        <v>0</v>
      </c>
      <c r="R2520" s="9">
        <f>IF(L2520&gt;2005,AVERAGE(O2517:O2536),0)</f>
        <v>0</v>
      </c>
      <c r="S2520" s="10">
        <f>IF(A2520=A2521,(N2520-N2521)/N2521,0)</f>
        <v>9.3749999999999903E-2</v>
      </c>
      <c r="T2520" s="10">
        <f>IF(L2520&gt;2005,(((N2520-N2540)/N2540)+1)^(1/5)-1,0)</f>
        <v>0</v>
      </c>
      <c r="U2520" s="10">
        <f t="shared" si="78"/>
        <v>0</v>
      </c>
      <c r="V2520" s="26">
        <f t="shared" si="79"/>
        <v>0</v>
      </c>
      <c r="W2520" s="3">
        <f>IF(A2520=A2521,N2520-N2521,0)</f>
        <v>1.4999999999999986E-2</v>
      </c>
      <c r="X2520" s="10">
        <f>IF(A2520=A2521,(N2520-N2521)/N2521,0)</f>
        <v>9.3749999999999903E-2</v>
      </c>
    </row>
    <row r="2521" spans="1:24" ht="16.5" customHeight="1">
      <c r="A2521" s="3" t="s">
        <v>51</v>
      </c>
      <c r="B2521" s="3">
        <f t="shared" si="72"/>
        <v>2011</v>
      </c>
      <c r="C2521" s="3">
        <f t="shared" si="73"/>
        <v>8</v>
      </c>
      <c r="D2521" s="20" t="str">
        <f t="shared" si="74"/>
        <v>ADM20118</v>
      </c>
      <c r="E2521" s="2">
        <v>40771</v>
      </c>
      <c r="F2521" s="3">
        <v>0.16</v>
      </c>
      <c r="G2521" s="2">
        <v>40794</v>
      </c>
      <c r="H2521" s="3">
        <v>2.23E-2</v>
      </c>
      <c r="I2521" s="3">
        <v>0</v>
      </c>
      <c r="J2521" s="3">
        <v>0</v>
      </c>
      <c r="K2521" s="3">
        <f t="shared" si="75"/>
        <v>2011</v>
      </c>
      <c r="L2521" s="3">
        <f t="shared" si="76"/>
        <v>0</v>
      </c>
      <c r="M2521" s="20" t="str">
        <f>A2521&amp;L2521</f>
        <v>ADM0</v>
      </c>
      <c r="N2521" s="3">
        <f>F2521</f>
        <v>0.16</v>
      </c>
      <c r="O2521" s="9">
        <f>H2521</f>
        <v>2.23E-2</v>
      </c>
      <c r="P2521" s="10">
        <f t="shared" si="77"/>
        <v>0</v>
      </c>
      <c r="Q2521" s="10">
        <f>IF(K2521=0,IF(A2518=A2521,AVERAGE(O2518:O2521),"x"),0)</f>
        <v>0</v>
      </c>
      <c r="R2521" s="9">
        <f>IF(L2521&gt;2005,AVERAGE(O2518:O2537),0)</f>
        <v>0</v>
      </c>
      <c r="S2521" s="10">
        <f>IF(A2521=A2522,(N2521-N2522)/N2522,0)</f>
        <v>0</v>
      </c>
      <c r="T2521" s="10">
        <f>IF(L2521&gt;2005,(((N2521-N2541)/N2541)+1)^(1/5)-1,0)</f>
        <v>0</v>
      </c>
      <c r="U2521" s="10">
        <f t="shared" si="78"/>
        <v>0</v>
      </c>
      <c r="V2521" s="26">
        <f t="shared" si="79"/>
        <v>0</v>
      </c>
      <c r="W2521" s="3">
        <f>IF(A2521=A2522,N2521-N2522,0)</f>
        <v>0</v>
      </c>
      <c r="X2521" s="10">
        <f>IF(A2521=A2522,(N2521-N2522)/N2522,0)</f>
        <v>0</v>
      </c>
    </row>
    <row r="2522" spans="1:24" ht="16.5" customHeight="1">
      <c r="A2522" s="3" t="s">
        <v>51</v>
      </c>
      <c r="B2522" s="3">
        <f t="shared" si="72"/>
        <v>2011</v>
      </c>
      <c r="C2522" s="3">
        <f t="shared" si="73"/>
        <v>5</v>
      </c>
      <c r="D2522" s="20" t="str">
        <f t="shared" si="74"/>
        <v>ADM20115</v>
      </c>
      <c r="E2522" s="2">
        <v>40680</v>
      </c>
      <c r="F2522" s="3">
        <v>0.16</v>
      </c>
      <c r="G2522" s="2">
        <v>40703</v>
      </c>
      <c r="H2522" s="3">
        <v>1.9400000000000001E-2</v>
      </c>
      <c r="I2522" s="3">
        <v>0</v>
      </c>
      <c r="J2522" s="3">
        <v>0</v>
      </c>
      <c r="K2522" s="3">
        <f t="shared" si="75"/>
        <v>2011</v>
      </c>
      <c r="L2522" s="3">
        <f t="shared" si="76"/>
        <v>0</v>
      </c>
      <c r="M2522" s="20" t="str">
        <f>A2522&amp;L2522</f>
        <v>ADM0</v>
      </c>
      <c r="N2522" s="3">
        <f>F2522</f>
        <v>0.16</v>
      </c>
      <c r="O2522" s="9">
        <f>H2522</f>
        <v>1.9400000000000001E-2</v>
      </c>
      <c r="P2522" s="10">
        <f t="shared" si="77"/>
        <v>0</v>
      </c>
      <c r="Q2522" s="10">
        <f>IF(K2522=0,IF(A2519=A2522,AVERAGE(O2519:O2522),"x"),0)</f>
        <v>0</v>
      </c>
      <c r="R2522" s="9">
        <f>IF(L2522&gt;2005,AVERAGE(O2519:O2538),0)</f>
        <v>0</v>
      </c>
      <c r="S2522" s="10">
        <f>IF(A2522=A2523,(N2522-N2523)/N2523,0)</f>
        <v>0</v>
      </c>
      <c r="T2522" s="10">
        <f>IF(L2522&gt;2005,(((N2522-N2542)/N2542)+1)^(1/5)-1,0)</f>
        <v>0</v>
      </c>
      <c r="U2522" s="10">
        <f t="shared" si="78"/>
        <v>0</v>
      </c>
      <c r="V2522" s="26">
        <f t="shared" si="79"/>
        <v>0</v>
      </c>
      <c r="W2522" s="3">
        <f>IF(A2522=A2523,N2522-N2523,0)</f>
        <v>0</v>
      </c>
      <c r="X2522" s="10">
        <f>IF(A2522=A2523,(N2522-N2523)/N2523,0)</f>
        <v>0</v>
      </c>
    </row>
    <row r="2523" spans="1:24" ht="16.5" customHeight="1">
      <c r="A2523" s="3" t="s">
        <v>51</v>
      </c>
      <c r="B2523" s="3">
        <f t="shared" si="72"/>
        <v>2011</v>
      </c>
      <c r="C2523" s="3">
        <f t="shared" si="73"/>
        <v>2</v>
      </c>
      <c r="D2523" s="20" t="str">
        <f t="shared" si="74"/>
        <v>ADM20112</v>
      </c>
      <c r="E2523" s="2">
        <v>40589</v>
      </c>
      <c r="F2523" s="3">
        <v>0.16</v>
      </c>
      <c r="G2523" s="2">
        <v>40612</v>
      </c>
      <c r="H2523" s="3">
        <v>1.66E-2</v>
      </c>
      <c r="I2523" s="3">
        <v>6.6666666999999999E-2</v>
      </c>
      <c r="J2523" s="3">
        <v>0.01</v>
      </c>
      <c r="K2523" s="3">
        <f t="shared" si="75"/>
        <v>0</v>
      </c>
      <c r="L2523" s="3">
        <f t="shared" si="76"/>
        <v>2011</v>
      </c>
      <c r="M2523" s="20" t="str">
        <f>A2523&amp;L2523</f>
        <v>ADM2011</v>
      </c>
      <c r="N2523" s="3">
        <f>F2523</f>
        <v>0.16</v>
      </c>
      <c r="O2523" s="9">
        <f>H2523</f>
        <v>1.66E-2</v>
      </c>
      <c r="P2523" s="10">
        <f t="shared" si="77"/>
        <v>1.9349999999999999E-2</v>
      </c>
      <c r="Q2523" s="10">
        <f>IF(K2523=0,IF(A2520=A2523,AVERAGE(O2520:O2523),"x"),0)</f>
        <v>2.0075000000000003E-2</v>
      </c>
      <c r="R2523" s="9">
        <f>IF(L2523&gt;2005,AVERAGE(O2520:O2539),0)</f>
        <v>1.7495E-2</v>
      </c>
      <c r="S2523" s="10">
        <f>IF(A2523=A2524,(N2523-N2524)/N2524,0)</f>
        <v>6.6666666666666735E-2</v>
      </c>
      <c r="T2523" s="10">
        <f>IF(L2523&gt;2005,(((N2523-N2543)/N2543)+1)^(1/5)-1,0)</f>
        <v>9.8560543306117854E-2</v>
      </c>
      <c r="U2523" s="10">
        <f t="shared" si="78"/>
        <v>0.11605554330611785</v>
      </c>
      <c r="V2523" s="26">
        <f t="shared" si="79"/>
        <v>4.7697210133032568</v>
      </c>
      <c r="W2523" s="3">
        <f>IF(A2523=A2524,N2523-N2524,0)</f>
        <v>1.0000000000000009E-2</v>
      </c>
      <c r="X2523" s="10">
        <f>IF(A2523=A2524,(N2523-N2524)/N2524,0)</f>
        <v>6.6666666666666735E-2</v>
      </c>
    </row>
    <row r="2524" spans="1:24" ht="16.5" customHeight="1">
      <c r="A2524" s="3" t="s">
        <v>51</v>
      </c>
      <c r="B2524" s="3">
        <f t="shared" si="72"/>
        <v>2010</v>
      </c>
      <c r="C2524" s="3">
        <f t="shared" si="73"/>
        <v>11</v>
      </c>
      <c r="D2524" s="20" t="str">
        <f t="shared" si="74"/>
        <v>ADM201011</v>
      </c>
      <c r="E2524" s="2">
        <v>40498</v>
      </c>
      <c r="F2524" s="3">
        <v>0.15</v>
      </c>
      <c r="G2524" s="2">
        <v>40521</v>
      </c>
      <c r="H2524" s="3">
        <v>1.9900000000000001E-2</v>
      </c>
      <c r="I2524" s="3">
        <v>0</v>
      </c>
      <c r="J2524" s="3">
        <v>0</v>
      </c>
      <c r="K2524" s="3">
        <f t="shared" si="75"/>
        <v>2010</v>
      </c>
      <c r="L2524" s="3">
        <f t="shared" si="76"/>
        <v>0</v>
      </c>
      <c r="M2524" s="20" t="str">
        <f>A2524&amp;L2524</f>
        <v>ADM0</v>
      </c>
      <c r="N2524" s="3">
        <f>F2524</f>
        <v>0.15</v>
      </c>
      <c r="O2524" s="9">
        <f>H2524</f>
        <v>1.9900000000000001E-2</v>
      </c>
      <c r="P2524" s="10">
        <f t="shared" si="77"/>
        <v>0</v>
      </c>
      <c r="Q2524" s="10">
        <f>IF(K2524=0,IF(A2521=A2524,AVERAGE(O2521:O2524),"x"),0)</f>
        <v>0</v>
      </c>
      <c r="R2524" s="9">
        <f>IF(L2524&gt;2005,AVERAGE(O2521:O2540),0)</f>
        <v>0</v>
      </c>
      <c r="S2524" s="10">
        <f>IF(A2524=A2525,(N2524-N2525)/N2525,0)</f>
        <v>0</v>
      </c>
      <c r="T2524" s="10">
        <f>IF(L2524&gt;2005,(((N2524-N2544)/N2544)+1)^(1/5)-1,0)</f>
        <v>0</v>
      </c>
      <c r="U2524" s="10">
        <f t="shared" si="78"/>
        <v>0</v>
      </c>
      <c r="V2524" s="26">
        <f t="shared" si="79"/>
        <v>0</v>
      </c>
      <c r="W2524" s="3">
        <f>IF(A2524=A2525,N2524-N2525,0)</f>
        <v>0</v>
      </c>
      <c r="X2524" s="10">
        <f>IF(A2524=A2525,(N2524-N2525)/N2525,0)</f>
        <v>0</v>
      </c>
    </row>
    <row r="2525" spans="1:24" ht="16.5" customHeight="1">
      <c r="A2525" s="3" t="s">
        <v>51</v>
      </c>
      <c r="B2525" s="3">
        <f t="shared" si="72"/>
        <v>2010</v>
      </c>
      <c r="C2525" s="3">
        <f t="shared" si="73"/>
        <v>8</v>
      </c>
      <c r="D2525" s="20" t="str">
        <f t="shared" si="74"/>
        <v>ADM20108</v>
      </c>
      <c r="E2525" s="2">
        <v>40407</v>
      </c>
      <c r="F2525" s="3">
        <v>0.15</v>
      </c>
      <c r="G2525" s="2">
        <v>40430</v>
      </c>
      <c r="H2525" s="3">
        <v>1.9599999999999999E-2</v>
      </c>
      <c r="I2525" s="3">
        <v>0</v>
      </c>
      <c r="J2525" s="3">
        <v>0</v>
      </c>
      <c r="K2525" s="3">
        <f t="shared" si="75"/>
        <v>2010</v>
      </c>
      <c r="L2525" s="3">
        <f t="shared" si="76"/>
        <v>0</v>
      </c>
      <c r="M2525" s="20" t="str">
        <f>A2525&amp;L2525</f>
        <v>ADM0</v>
      </c>
      <c r="N2525" s="3">
        <f>F2525</f>
        <v>0.15</v>
      </c>
      <c r="O2525" s="9">
        <f>H2525</f>
        <v>1.9599999999999999E-2</v>
      </c>
      <c r="P2525" s="10">
        <f t="shared" si="77"/>
        <v>0</v>
      </c>
      <c r="Q2525" s="10">
        <f>IF(K2525=0,IF(A2522=A2525,AVERAGE(O2522:O2525),"x"),0)</f>
        <v>0</v>
      </c>
      <c r="R2525" s="9">
        <f>IF(L2525&gt;2005,AVERAGE(O2522:O2541),0)</f>
        <v>0</v>
      </c>
      <c r="S2525" s="10">
        <f>IF(A2525=A2526,(N2525-N2526)/N2526,0)</f>
        <v>0</v>
      </c>
      <c r="T2525" s="10">
        <f>IF(L2525&gt;2005,(((N2525-N2545)/N2545)+1)^(1/5)-1,0)</f>
        <v>0</v>
      </c>
      <c r="U2525" s="10">
        <f t="shared" si="78"/>
        <v>0</v>
      </c>
      <c r="V2525" s="26">
        <f t="shared" si="79"/>
        <v>0</v>
      </c>
      <c r="W2525" s="3">
        <f>IF(A2525=A2526,N2525-N2526,0)</f>
        <v>0</v>
      </c>
      <c r="X2525" s="10">
        <f>IF(A2525=A2526,(N2525-N2526)/N2526,0)</f>
        <v>0</v>
      </c>
    </row>
    <row r="2526" spans="1:24" ht="16.5" customHeight="1">
      <c r="A2526" s="3" t="s">
        <v>51</v>
      </c>
      <c r="B2526" s="3">
        <f t="shared" si="72"/>
        <v>2010</v>
      </c>
      <c r="C2526" s="3">
        <f t="shared" si="73"/>
        <v>5</v>
      </c>
      <c r="D2526" s="20" t="str">
        <f t="shared" si="74"/>
        <v>ADM20105</v>
      </c>
      <c r="E2526" s="2">
        <v>40316</v>
      </c>
      <c r="F2526" s="3">
        <v>0.15</v>
      </c>
      <c r="G2526" s="2">
        <v>40339</v>
      </c>
      <c r="H2526" s="3">
        <v>2.1299999999999999E-2</v>
      </c>
      <c r="I2526" s="3">
        <v>0</v>
      </c>
      <c r="J2526" s="3">
        <v>0</v>
      </c>
      <c r="K2526" s="3">
        <f t="shared" si="75"/>
        <v>2010</v>
      </c>
      <c r="L2526" s="3">
        <f t="shared" si="76"/>
        <v>0</v>
      </c>
      <c r="M2526" s="20" t="str">
        <f>A2526&amp;L2526</f>
        <v>ADM0</v>
      </c>
      <c r="N2526" s="3">
        <f>F2526</f>
        <v>0.15</v>
      </c>
      <c r="O2526" s="9">
        <f>H2526</f>
        <v>2.1299999999999999E-2</v>
      </c>
      <c r="P2526" s="10">
        <f t="shared" si="77"/>
        <v>0</v>
      </c>
      <c r="Q2526" s="10">
        <f>IF(K2526=0,IF(A2523=A2526,AVERAGE(O2523:O2526),"x"),0)</f>
        <v>0</v>
      </c>
      <c r="R2526" s="9">
        <f>IF(L2526&gt;2005,AVERAGE(O2523:O2542),0)</f>
        <v>0</v>
      </c>
      <c r="S2526" s="10">
        <f>IF(A2526=A2527,(N2526-N2527)/N2527,0)</f>
        <v>0</v>
      </c>
      <c r="T2526" s="10">
        <f>IF(L2526&gt;2005,(((N2526-N2546)/N2546)+1)^(1/5)-1,0)</f>
        <v>0</v>
      </c>
      <c r="U2526" s="10">
        <f t="shared" si="78"/>
        <v>0</v>
      </c>
      <c r="V2526" s="26">
        <f t="shared" si="79"/>
        <v>0</v>
      </c>
      <c r="W2526" s="3">
        <f>IF(A2526=A2527,N2526-N2527,0)</f>
        <v>0</v>
      </c>
      <c r="X2526" s="10">
        <f>IF(A2526=A2527,(N2526-N2527)/N2527,0)</f>
        <v>0</v>
      </c>
    </row>
    <row r="2527" spans="1:24" ht="16.5" customHeight="1">
      <c r="A2527" s="3" t="s">
        <v>51</v>
      </c>
      <c r="B2527" s="3">
        <f t="shared" si="72"/>
        <v>2010</v>
      </c>
      <c r="C2527" s="3">
        <f t="shared" si="73"/>
        <v>2</v>
      </c>
      <c r="D2527" s="20" t="str">
        <f t="shared" si="74"/>
        <v>ADM20102</v>
      </c>
      <c r="E2527" s="2">
        <v>40225</v>
      </c>
      <c r="F2527" s="3">
        <v>0.15</v>
      </c>
      <c r="G2527" s="2">
        <v>40248</v>
      </c>
      <c r="H2527" s="3">
        <v>1.9099999999999999E-2</v>
      </c>
      <c r="I2527" s="3">
        <v>7.1428570999999996E-2</v>
      </c>
      <c r="J2527" s="3">
        <v>0.01</v>
      </c>
      <c r="K2527" s="3">
        <f t="shared" si="75"/>
        <v>0</v>
      </c>
      <c r="L2527" s="3">
        <f t="shared" si="76"/>
        <v>2010</v>
      </c>
      <c r="M2527" s="20" t="str">
        <f>A2527&amp;L2527</f>
        <v>ADM2010</v>
      </c>
      <c r="N2527" s="3">
        <f>F2527</f>
        <v>0.15</v>
      </c>
      <c r="O2527" s="9">
        <f>H2527</f>
        <v>1.9099999999999999E-2</v>
      </c>
      <c r="P2527" s="10">
        <f t="shared" si="77"/>
        <v>1.9650000000000001E-2</v>
      </c>
      <c r="Q2527" s="10">
        <f>IF(K2527=0,IF(A2524=A2527,AVERAGE(O2524:O2527),"x"),0)</f>
        <v>1.9975E-2</v>
      </c>
      <c r="R2527" s="9">
        <f>IF(L2527&gt;2005,AVERAGE(O2524:O2543),0)</f>
        <v>1.5500000000000005E-2</v>
      </c>
      <c r="S2527" s="10">
        <f>IF(A2527=A2528,(N2527-N2528)/N2528,0)</f>
        <v>7.1428571428571286E-2</v>
      </c>
      <c r="T2527" s="10">
        <f>IF(L2527&gt;2005,(((N2527-N2547)/N2547)+1)^(1/5)-1,0)</f>
        <v>0.12030033714161736</v>
      </c>
      <c r="U2527" s="10">
        <f t="shared" si="78"/>
        <v>0.13580033714161738</v>
      </c>
      <c r="V2527" s="26">
        <f t="shared" si="79"/>
        <v>4.7989852977764569</v>
      </c>
      <c r="W2527" s="3">
        <f>IF(A2527=A2528,N2527-N2528,0)</f>
        <v>9.9999999999999811E-3</v>
      </c>
      <c r="X2527" s="10">
        <f>IF(A2527=A2528,(N2527-N2528)/N2528,0)</f>
        <v>7.1428571428571286E-2</v>
      </c>
    </row>
    <row r="2528" spans="1:24" ht="16.5" customHeight="1">
      <c r="A2528" s="3" t="s">
        <v>51</v>
      </c>
      <c r="B2528" s="3">
        <f t="shared" si="72"/>
        <v>2009</v>
      </c>
      <c r="C2528" s="3">
        <f t="shared" si="73"/>
        <v>11</v>
      </c>
      <c r="D2528" s="20" t="str">
        <f t="shared" si="74"/>
        <v>ADM200911</v>
      </c>
      <c r="E2528" s="2">
        <v>40134</v>
      </c>
      <c r="F2528" s="3">
        <v>0.14000000000000001</v>
      </c>
      <c r="G2528" s="2">
        <v>40157</v>
      </c>
      <c r="H2528" s="3">
        <v>1.7500000000000002E-2</v>
      </c>
      <c r="I2528" s="3">
        <v>0</v>
      </c>
      <c r="J2528" s="3">
        <v>0</v>
      </c>
      <c r="K2528" s="3">
        <f t="shared" si="75"/>
        <v>2009</v>
      </c>
      <c r="L2528" s="3">
        <f t="shared" si="76"/>
        <v>0</v>
      </c>
      <c r="M2528" s="20" t="str">
        <f>A2528&amp;L2528</f>
        <v>ADM0</v>
      </c>
      <c r="N2528" s="3">
        <f>F2528</f>
        <v>0.14000000000000001</v>
      </c>
      <c r="O2528" s="9">
        <f>H2528</f>
        <v>1.7500000000000002E-2</v>
      </c>
      <c r="P2528" s="10">
        <f t="shared" si="77"/>
        <v>0</v>
      </c>
      <c r="Q2528" s="10">
        <f>IF(K2528=0,IF(A2525=A2528,AVERAGE(O2525:O2528),"x"),0)</f>
        <v>0</v>
      </c>
      <c r="R2528" s="9">
        <f>IF(L2528&gt;2005,AVERAGE(O2525:O2544),0)</f>
        <v>0</v>
      </c>
      <c r="S2528" s="10">
        <f>IF(A2528=A2529,(N2528-N2529)/N2529,0)</f>
        <v>0</v>
      </c>
      <c r="T2528" s="10">
        <f>IF(L2528&gt;2005,(((N2528-N2548)/N2548)+1)^(1/5)-1,0)</f>
        <v>0</v>
      </c>
      <c r="U2528" s="10">
        <f t="shared" si="78"/>
        <v>0</v>
      </c>
      <c r="V2528" s="26">
        <f t="shared" si="79"/>
        <v>0</v>
      </c>
      <c r="W2528" s="3">
        <f>IF(A2528=A2529,N2528-N2529,0)</f>
        <v>0</v>
      </c>
      <c r="X2528" s="10">
        <f>IF(A2528=A2529,(N2528-N2529)/N2529,0)</f>
        <v>0</v>
      </c>
    </row>
    <row r="2529" spans="1:24" ht="16.5" customHeight="1">
      <c r="A2529" s="3" t="s">
        <v>51</v>
      </c>
      <c r="B2529" s="3">
        <f t="shared" si="72"/>
        <v>2009</v>
      </c>
      <c r="C2529" s="3">
        <f t="shared" si="73"/>
        <v>8</v>
      </c>
      <c r="D2529" s="20" t="str">
        <f t="shared" si="74"/>
        <v>ADM20098</v>
      </c>
      <c r="E2529" s="2">
        <v>40043</v>
      </c>
      <c r="F2529" s="3">
        <v>0.14000000000000001</v>
      </c>
      <c r="G2529" s="2">
        <v>40066</v>
      </c>
      <c r="H2529" s="3">
        <v>2.0299999999999999E-2</v>
      </c>
      <c r="I2529" s="3">
        <v>0</v>
      </c>
      <c r="J2529" s="3">
        <v>0</v>
      </c>
      <c r="K2529" s="3">
        <f t="shared" si="75"/>
        <v>2009</v>
      </c>
      <c r="L2529" s="3">
        <f t="shared" si="76"/>
        <v>0</v>
      </c>
      <c r="M2529" s="20" t="str">
        <f>A2529&amp;L2529</f>
        <v>ADM0</v>
      </c>
      <c r="N2529" s="3">
        <f>F2529</f>
        <v>0.14000000000000001</v>
      </c>
      <c r="O2529" s="9">
        <f>H2529</f>
        <v>2.0299999999999999E-2</v>
      </c>
      <c r="P2529" s="10">
        <f t="shared" si="77"/>
        <v>0</v>
      </c>
      <c r="Q2529" s="10">
        <f>IF(K2529=0,IF(A2526=A2529,AVERAGE(O2526:O2529),"x"),0)</f>
        <v>0</v>
      </c>
      <c r="R2529" s="9">
        <f>IF(L2529&gt;2005,AVERAGE(O2526:O2545),0)</f>
        <v>0</v>
      </c>
      <c r="S2529" s="10">
        <f>IF(A2529=A2530,(N2529-N2530)/N2530,0)</f>
        <v>0</v>
      </c>
      <c r="T2529" s="10">
        <f>IF(L2529&gt;2005,(((N2529-N2549)/N2549)+1)^(1/5)-1,0)</f>
        <v>0</v>
      </c>
      <c r="U2529" s="10">
        <f t="shared" si="78"/>
        <v>0</v>
      </c>
      <c r="V2529" s="26">
        <f t="shared" si="79"/>
        <v>0</v>
      </c>
      <c r="W2529" s="3">
        <f>IF(A2529=A2530,N2529-N2530,0)</f>
        <v>0</v>
      </c>
      <c r="X2529" s="10">
        <f>IF(A2529=A2530,(N2529-N2530)/N2530,0)</f>
        <v>0</v>
      </c>
    </row>
    <row r="2530" spans="1:24" ht="16.5" customHeight="1">
      <c r="A2530" s="3" t="s">
        <v>51</v>
      </c>
      <c r="B2530" s="3">
        <f t="shared" si="72"/>
        <v>2009</v>
      </c>
      <c r="C2530" s="3">
        <f t="shared" si="73"/>
        <v>5</v>
      </c>
      <c r="D2530" s="20" t="str">
        <f t="shared" si="74"/>
        <v>ADM20095</v>
      </c>
      <c r="E2530" s="2">
        <v>39952</v>
      </c>
      <c r="F2530" s="3">
        <v>0.14000000000000001</v>
      </c>
      <c r="G2530" s="2">
        <v>39975</v>
      </c>
      <c r="H2530" s="3">
        <v>2.1700000000000001E-2</v>
      </c>
      <c r="I2530" s="3">
        <v>0</v>
      </c>
      <c r="J2530" s="3">
        <v>0</v>
      </c>
      <c r="K2530" s="3">
        <f t="shared" si="75"/>
        <v>2009</v>
      </c>
      <c r="L2530" s="3">
        <f t="shared" si="76"/>
        <v>0</v>
      </c>
      <c r="M2530" s="20" t="str">
        <f>A2530&amp;L2530</f>
        <v>ADM0</v>
      </c>
      <c r="N2530" s="3">
        <f>F2530</f>
        <v>0.14000000000000001</v>
      </c>
      <c r="O2530" s="9">
        <f>H2530</f>
        <v>2.1700000000000001E-2</v>
      </c>
      <c r="P2530" s="10">
        <f t="shared" si="77"/>
        <v>0</v>
      </c>
      <c r="Q2530" s="10">
        <f>IF(K2530=0,IF(A2527=A2530,AVERAGE(O2527:O2530),"x"),0)</f>
        <v>0</v>
      </c>
      <c r="R2530" s="9">
        <f>IF(L2530&gt;2005,AVERAGE(O2527:O2546),0)</f>
        <v>0</v>
      </c>
      <c r="S2530" s="10">
        <f>IF(A2530=A2531,(N2530-N2531)/N2531,0)</f>
        <v>0</v>
      </c>
      <c r="T2530" s="10">
        <f>IF(L2530&gt;2005,(((N2530-N2550)/N2550)+1)^(1/5)-1,0)</f>
        <v>0</v>
      </c>
      <c r="U2530" s="10">
        <f t="shared" si="78"/>
        <v>0</v>
      </c>
      <c r="V2530" s="26">
        <f t="shared" si="79"/>
        <v>0</v>
      </c>
      <c r="W2530" s="3">
        <f>IF(A2530=A2531,N2530-N2531,0)</f>
        <v>0</v>
      </c>
      <c r="X2530" s="10">
        <f>IF(A2530=A2531,(N2530-N2531)/N2531,0)</f>
        <v>0</v>
      </c>
    </row>
    <row r="2531" spans="1:24" ht="16.5" customHeight="1">
      <c r="A2531" s="3" t="s">
        <v>51</v>
      </c>
      <c r="B2531" s="3">
        <f t="shared" si="72"/>
        <v>2009</v>
      </c>
      <c r="C2531" s="3">
        <f t="shared" si="73"/>
        <v>2</v>
      </c>
      <c r="D2531" s="20" t="str">
        <f t="shared" si="74"/>
        <v>ADM20092</v>
      </c>
      <c r="E2531" s="2">
        <v>39861</v>
      </c>
      <c r="F2531" s="3">
        <v>0.14000000000000001</v>
      </c>
      <c r="G2531" s="2">
        <v>39884</v>
      </c>
      <c r="H2531" s="3">
        <v>1.8599999999999998E-2</v>
      </c>
      <c r="I2531" s="3">
        <v>7.6923077000000006E-2</v>
      </c>
      <c r="J2531" s="3">
        <v>0.01</v>
      </c>
      <c r="K2531" s="3">
        <f t="shared" si="75"/>
        <v>0</v>
      </c>
      <c r="L2531" s="3">
        <f t="shared" si="76"/>
        <v>2009</v>
      </c>
      <c r="M2531" s="20" t="str">
        <f>A2531&amp;L2531</f>
        <v>ADM2009</v>
      </c>
      <c r="N2531" s="3">
        <f>F2531</f>
        <v>0.14000000000000001</v>
      </c>
      <c r="O2531" s="9">
        <f>H2531</f>
        <v>1.8599999999999998E-2</v>
      </c>
      <c r="P2531" s="10">
        <f t="shared" si="77"/>
        <v>1.7500000000000002E-2</v>
      </c>
      <c r="Q2531" s="10">
        <f>IF(K2531=0,IF(A2528=A2531,AVERAGE(O2528:O2531),"x"),0)</f>
        <v>1.9525000000000001E-2</v>
      </c>
      <c r="R2531" s="9">
        <f>IF(L2531&gt;2005,AVERAGE(O2528:O2547),0)</f>
        <v>1.4465E-2</v>
      </c>
      <c r="S2531" s="10">
        <f>IF(A2531=A2532,(N2531-N2532)/N2532,0)</f>
        <v>7.6923076923076983E-2</v>
      </c>
      <c r="T2531" s="10">
        <f>IF(L2531&gt;2005,(((N2531-N2551)/N2551)+1)^(1/5)-1,0)</f>
        <v>0.13295681060117071</v>
      </c>
      <c r="U2531" s="10">
        <f t="shared" si="78"/>
        <v>0.14742181060117071</v>
      </c>
      <c r="V2531" s="26">
        <f t="shared" si="79"/>
        <v>4.8140507353989284</v>
      </c>
      <c r="W2531" s="3">
        <f>IF(A2531=A2532,N2531-N2532,0)</f>
        <v>1.0000000000000009E-2</v>
      </c>
      <c r="X2531" s="10">
        <f>IF(A2531=A2532,(N2531-N2532)/N2532,0)</f>
        <v>7.6923076923076983E-2</v>
      </c>
    </row>
    <row r="2532" spans="1:24" ht="16.5" customHeight="1">
      <c r="A2532" s="3" t="s">
        <v>51</v>
      </c>
      <c r="B2532" s="3">
        <f t="shared" si="72"/>
        <v>2008</v>
      </c>
      <c r="C2532" s="3">
        <f t="shared" si="73"/>
        <v>11</v>
      </c>
      <c r="D2532" s="20" t="str">
        <f t="shared" si="74"/>
        <v>ADM200811</v>
      </c>
      <c r="E2532" s="2">
        <v>39770</v>
      </c>
      <c r="F2532" s="3">
        <v>0.13</v>
      </c>
      <c r="G2532" s="2">
        <v>39793</v>
      </c>
      <c r="H2532" s="3">
        <v>2.0299999999999999E-2</v>
      </c>
      <c r="I2532" s="3">
        <v>0</v>
      </c>
      <c r="J2532" s="3">
        <v>0</v>
      </c>
      <c r="K2532" s="3">
        <f t="shared" si="75"/>
        <v>2008</v>
      </c>
      <c r="L2532" s="3">
        <f t="shared" si="76"/>
        <v>0</v>
      </c>
      <c r="M2532" s="20" t="str">
        <f>A2532&amp;L2532</f>
        <v>ADM0</v>
      </c>
      <c r="N2532" s="3">
        <f>F2532</f>
        <v>0.13</v>
      </c>
      <c r="O2532" s="9">
        <f>H2532</f>
        <v>2.0299999999999999E-2</v>
      </c>
      <c r="P2532" s="10">
        <f t="shared" si="77"/>
        <v>0</v>
      </c>
      <c r="Q2532" s="10">
        <f>IF(K2532=0,IF(A2529=A2532,AVERAGE(O2529:O2532),"x"),0)</f>
        <v>0</v>
      </c>
      <c r="R2532" s="9">
        <f>IF(L2532&gt;2005,AVERAGE(O2529:O2548),0)</f>
        <v>0</v>
      </c>
      <c r="S2532" s="10">
        <f>IF(A2532=A2533,(N2532-N2533)/N2533,0)</f>
        <v>0</v>
      </c>
      <c r="T2532" s="10">
        <f>IF(L2532&gt;2005,(((N2532-N2552)/N2552)+1)^(1/5)-1,0)</f>
        <v>0</v>
      </c>
      <c r="U2532" s="10">
        <f t="shared" si="78"/>
        <v>0</v>
      </c>
      <c r="V2532" s="26">
        <f t="shared" si="79"/>
        <v>0</v>
      </c>
      <c r="W2532" s="3">
        <f>IF(A2532=A2533,N2532-N2533,0)</f>
        <v>0</v>
      </c>
      <c r="X2532" s="10">
        <f>IF(A2532=A2533,(N2532-N2533)/N2533,0)</f>
        <v>0</v>
      </c>
    </row>
    <row r="2533" spans="1:24" ht="16.5" customHeight="1">
      <c r="A2533" s="3" t="s">
        <v>51</v>
      </c>
      <c r="B2533" s="3">
        <f t="shared" si="72"/>
        <v>2008</v>
      </c>
      <c r="C2533" s="3">
        <f t="shared" si="73"/>
        <v>8</v>
      </c>
      <c r="D2533" s="20" t="str">
        <f t="shared" si="74"/>
        <v>ADM20088</v>
      </c>
      <c r="E2533" s="2">
        <v>39679</v>
      </c>
      <c r="F2533" s="3">
        <v>0.13</v>
      </c>
      <c r="G2533" s="2">
        <v>39702</v>
      </c>
      <c r="H2533" s="3">
        <v>1.9800000000000002E-2</v>
      </c>
      <c r="I2533" s="3">
        <v>0</v>
      </c>
      <c r="J2533" s="3">
        <v>0</v>
      </c>
      <c r="K2533" s="3">
        <f t="shared" si="75"/>
        <v>2008</v>
      </c>
      <c r="L2533" s="3">
        <f t="shared" si="76"/>
        <v>0</v>
      </c>
      <c r="M2533" s="20" t="str">
        <f>A2533&amp;L2533</f>
        <v>ADM0</v>
      </c>
      <c r="N2533" s="3">
        <f>F2533</f>
        <v>0.13</v>
      </c>
      <c r="O2533" s="9">
        <f>H2533</f>
        <v>1.9800000000000002E-2</v>
      </c>
      <c r="P2533" s="10">
        <f t="shared" si="77"/>
        <v>0</v>
      </c>
      <c r="Q2533" s="10">
        <f>IF(K2533=0,IF(A2530=A2533,AVERAGE(O2530:O2533),"x"),0)</f>
        <v>0</v>
      </c>
      <c r="R2533" s="9">
        <f>IF(L2533&gt;2005,AVERAGE(O2530:O2549),0)</f>
        <v>0</v>
      </c>
      <c r="S2533" s="10">
        <f>IF(A2533=A2534,(N2533-N2534)/N2534,0)</f>
        <v>0</v>
      </c>
      <c r="T2533" s="10">
        <f>IF(L2533&gt;2005,(((N2533-N2553)/N2553)+1)^(1/5)-1,0)</f>
        <v>0</v>
      </c>
      <c r="U2533" s="10">
        <f t="shared" si="78"/>
        <v>0</v>
      </c>
      <c r="V2533" s="26">
        <f t="shared" si="79"/>
        <v>0</v>
      </c>
      <c r="W2533" s="3">
        <f>IF(A2533=A2534,N2533-N2534,0)</f>
        <v>0</v>
      </c>
      <c r="X2533" s="10">
        <f>IF(A2533=A2534,(N2533-N2534)/N2534,0)</f>
        <v>0</v>
      </c>
    </row>
    <row r="2534" spans="1:24" ht="16.5" customHeight="1">
      <c r="A2534" s="3" t="s">
        <v>51</v>
      </c>
      <c r="B2534" s="3">
        <f t="shared" si="72"/>
        <v>2008</v>
      </c>
      <c r="C2534" s="3">
        <f t="shared" si="73"/>
        <v>5</v>
      </c>
      <c r="D2534" s="20" t="str">
        <f t="shared" si="74"/>
        <v>ADM20085</v>
      </c>
      <c r="E2534" s="2">
        <v>39581</v>
      </c>
      <c r="F2534" s="3">
        <v>0.13</v>
      </c>
      <c r="G2534" s="2">
        <v>39604</v>
      </c>
      <c r="H2534" s="3">
        <v>1.1299999999999999E-2</v>
      </c>
      <c r="I2534" s="3">
        <v>0</v>
      </c>
      <c r="J2534" s="3">
        <v>0</v>
      </c>
      <c r="K2534" s="3">
        <f t="shared" si="75"/>
        <v>2008</v>
      </c>
      <c r="L2534" s="3">
        <f t="shared" si="76"/>
        <v>0</v>
      </c>
      <c r="M2534" s="20" t="str">
        <f>A2534&amp;L2534</f>
        <v>ADM0</v>
      </c>
      <c r="N2534" s="3">
        <f>F2534</f>
        <v>0.13</v>
      </c>
      <c r="O2534" s="9">
        <f>H2534</f>
        <v>1.1299999999999999E-2</v>
      </c>
      <c r="P2534" s="10">
        <f t="shared" si="77"/>
        <v>0</v>
      </c>
      <c r="Q2534" s="10">
        <f>IF(K2534=0,IF(A2531=A2534,AVERAGE(O2531:O2534),"x"),0)</f>
        <v>0</v>
      </c>
      <c r="R2534" s="9">
        <f>IF(L2534&gt;2005,AVERAGE(O2531:O2550),0)</f>
        <v>0</v>
      </c>
      <c r="S2534" s="10">
        <f>IF(A2534=A2535,(N2534-N2535)/N2535,0)</f>
        <v>0</v>
      </c>
      <c r="T2534" s="10">
        <f>IF(L2534&gt;2005,(((N2534-N2554)/N2554)+1)^(1/5)-1,0)</f>
        <v>0</v>
      </c>
      <c r="U2534" s="10">
        <f t="shared" si="78"/>
        <v>0</v>
      </c>
      <c r="V2534" s="26">
        <f t="shared" si="79"/>
        <v>0</v>
      </c>
      <c r="W2534" s="3">
        <f>IF(A2534=A2535,N2534-N2535,0)</f>
        <v>0</v>
      </c>
      <c r="X2534" s="10">
        <f>IF(A2534=A2535,(N2534-N2535)/N2535,0)</f>
        <v>0</v>
      </c>
    </row>
    <row r="2535" spans="1:24" ht="16.5" customHeight="1">
      <c r="A2535" s="3" t="s">
        <v>51</v>
      </c>
      <c r="B2535" s="3">
        <f t="shared" si="72"/>
        <v>2008</v>
      </c>
      <c r="C2535" s="3">
        <f t="shared" si="73"/>
        <v>2</v>
      </c>
      <c r="D2535" s="20" t="str">
        <f t="shared" si="74"/>
        <v>ADM20082</v>
      </c>
      <c r="E2535" s="2">
        <v>39492</v>
      </c>
      <c r="F2535" s="3">
        <v>0.13</v>
      </c>
      <c r="G2535" s="2">
        <v>39518</v>
      </c>
      <c r="H2535" s="3">
        <v>1.0800000000000001E-2</v>
      </c>
      <c r="I2535" s="3">
        <v>0.130434783</v>
      </c>
      <c r="J2535" s="3">
        <v>1.4999999999999999E-2</v>
      </c>
      <c r="K2535" s="3">
        <f t="shared" si="75"/>
        <v>0</v>
      </c>
      <c r="L2535" s="3">
        <f t="shared" si="76"/>
        <v>2008</v>
      </c>
      <c r="M2535" s="20" t="str">
        <f>A2535&amp;L2535</f>
        <v>ADM2008</v>
      </c>
      <c r="N2535" s="3">
        <f>F2535</f>
        <v>0.13</v>
      </c>
      <c r="O2535" s="9">
        <f>H2535</f>
        <v>1.0800000000000001E-2</v>
      </c>
      <c r="P2535" s="10">
        <f t="shared" si="77"/>
        <v>1.2074999999999999E-2</v>
      </c>
      <c r="Q2535" s="10">
        <f>IF(K2535=0,IF(A2532=A2535,AVERAGE(O2532:O2535),"x"),0)</f>
        <v>1.5549999999999998E-2</v>
      </c>
      <c r="R2535" s="9">
        <f>IF(L2535&gt;2005,AVERAGE(O2532:O2551),0)</f>
        <v>1.3735000000000001E-2</v>
      </c>
      <c r="S2535" s="10">
        <f>IF(A2535=A2536,(N2535-N2536)/N2536,0)</f>
        <v>0.13043478260869565</v>
      </c>
      <c r="T2535" s="10">
        <f>IF(L2535&gt;2005,(((N2535-N2555)/N2555)+1)^(1/5)-1,0)</f>
        <v>0.16723531932969316</v>
      </c>
      <c r="U2535" s="10">
        <f t="shared" si="78"/>
        <v>0.18097031932969315</v>
      </c>
      <c r="V2535" s="26">
        <f t="shared" si="79"/>
        <v>4.8282277712184403</v>
      </c>
      <c r="W2535" s="3">
        <f>IF(A2535=A2536,N2535-N2536,0)</f>
        <v>1.4999999999999999E-2</v>
      </c>
      <c r="X2535" s="10">
        <f>IF(A2535=A2536,(N2535-N2536)/N2536,0)</f>
        <v>0.13043478260869565</v>
      </c>
    </row>
    <row r="2536" spans="1:24" ht="16.5" customHeight="1">
      <c r="A2536" s="3" t="s">
        <v>51</v>
      </c>
      <c r="B2536" s="3">
        <f t="shared" si="72"/>
        <v>2007</v>
      </c>
      <c r="C2536" s="3">
        <f t="shared" si="73"/>
        <v>11</v>
      </c>
      <c r="D2536" s="20" t="str">
        <f t="shared" si="74"/>
        <v>ADM200711</v>
      </c>
      <c r="E2536" s="2">
        <v>39406</v>
      </c>
      <c r="F2536" s="3">
        <v>0.115</v>
      </c>
      <c r="G2536" s="2">
        <v>39422</v>
      </c>
      <c r="H2536" s="3">
        <v>1.26E-2</v>
      </c>
      <c r="I2536" s="3">
        <v>0</v>
      </c>
      <c r="J2536" s="3">
        <v>0</v>
      </c>
      <c r="K2536" s="3">
        <f t="shared" si="75"/>
        <v>2007</v>
      </c>
      <c r="L2536" s="3">
        <f t="shared" si="76"/>
        <v>0</v>
      </c>
      <c r="M2536" s="20" t="str">
        <f>A2536&amp;L2536</f>
        <v>ADM0</v>
      </c>
      <c r="N2536" s="3">
        <f>F2536</f>
        <v>0.115</v>
      </c>
      <c r="O2536" s="9">
        <f>H2536</f>
        <v>1.26E-2</v>
      </c>
      <c r="P2536" s="10">
        <f t="shared" si="77"/>
        <v>0</v>
      </c>
      <c r="Q2536" s="10">
        <f>IF(K2536=0,IF(A2533=A2536,AVERAGE(O2533:O2536),"x"),0)</f>
        <v>0</v>
      </c>
      <c r="R2536" s="9">
        <f>IF(L2536&gt;2005,AVERAGE(O2533:O2552),0)</f>
        <v>0</v>
      </c>
      <c r="S2536" s="10">
        <f>IF(A2536=A2537,(N2536-N2537)/N2537,0)</f>
        <v>0</v>
      </c>
      <c r="T2536" s="10">
        <f>IF(L2536&gt;2005,(((N2536-N2556)/N2556)+1)^(1/5)-1,0)</f>
        <v>0</v>
      </c>
      <c r="U2536" s="10">
        <f t="shared" si="78"/>
        <v>0</v>
      </c>
      <c r="V2536" s="26">
        <f t="shared" si="79"/>
        <v>0</v>
      </c>
      <c r="W2536" s="3">
        <f>IF(A2536=A2537,N2536-N2537,0)</f>
        <v>0</v>
      </c>
      <c r="X2536" s="10">
        <f>IF(A2536=A2537,(N2536-N2537)/N2537,0)</f>
        <v>0</v>
      </c>
    </row>
    <row r="2537" spans="1:24" ht="16.5" customHeight="1">
      <c r="A2537" s="3" t="s">
        <v>51</v>
      </c>
      <c r="B2537" s="3">
        <f t="shared" si="72"/>
        <v>2007</v>
      </c>
      <c r="C2537" s="3">
        <f t="shared" si="73"/>
        <v>8</v>
      </c>
      <c r="D2537" s="20" t="str">
        <f t="shared" si="74"/>
        <v>ADM20078</v>
      </c>
      <c r="E2537" s="2">
        <v>39307</v>
      </c>
      <c r="F2537" s="3">
        <v>0.115</v>
      </c>
      <c r="G2537" s="2">
        <v>39330</v>
      </c>
      <c r="H2537" s="3">
        <v>1.29E-2</v>
      </c>
      <c r="I2537" s="3">
        <v>0</v>
      </c>
      <c r="J2537" s="3">
        <v>0</v>
      </c>
      <c r="K2537" s="3">
        <f t="shared" si="75"/>
        <v>2007</v>
      </c>
      <c r="L2537" s="3">
        <f t="shared" si="76"/>
        <v>0</v>
      </c>
      <c r="M2537" s="20" t="str">
        <f>A2537&amp;L2537</f>
        <v>ADM0</v>
      </c>
      <c r="N2537" s="3">
        <f>F2537</f>
        <v>0.115</v>
      </c>
      <c r="O2537" s="9">
        <f>H2537</f>
        <v>1.29E-2</v>
      </c>
      <c r="P2537" s="10">
        <f t="shared" si="77"/>
        <v>0</v>
      </c>
      <c r="Q2537" s="10">
        <f>IF(K2537=0,IF(A2534=A2537,AVERAGE(O2534:O2537),"x"),0)</f>
        <v>0</v>
      </c>
      <c r="R2537" s="9">
        <f>IF(L2537&gt;2005,AVERAGE(O2534:O2553),0)</f>
        <v>0</v>
      </c>
      <c r="S2537" s="10">
        <f>IF(A2537=A2538,(N2537-N2538)/N2538,0)</f>
        <v>0</v>
      </c>
      <c r="T2537" s="10">
        <f>IF(L2537&gt;2005,(((N2537-N2557)/N2557)+1)^(1/5)-1,0)</f>
        <v>0</v>
      </c>
      <c r="U2537" s="10">
        <f t="shared" si="78"/>
        <v>0</v>
      </c>
      <c r="V2537" s="26">
        <f t="shared" si="79"/>
        <v>0</v>
      </c>
      <c r="W2537" s="3">
        <f>IF(A2537=A2538,N2537-N2538,0)</f>
        <v>0</v>
      </c>
      <c r="X2537" s="10">
        <f>IF(A2537=A2538,(N2537-N2538)/N2538,0)</f>
        <v>0</v>
      </c>
    </row>
    <row r="2538" spans="1:24" ht="16.5" customHeight="1">
      <c r="A2538" s="3" t="s">
        <v>51</v>
      </c>
      <c r="B2538" s="3">
        <f t="shared" si="72"/>
        <v>2007</v>
      </c>
      <c r="C2538" s="3">
        <f t="shared" si="73"/>
        <v>5</v>
      </c>
      <c r="D2538" s="20" t="str">
        <f t="shared" si="74"/>
        <v>ADM20075</v>
      </c>
      <c r="E2538" s="2">
        <v>39217</v>
      </c>
      <c r="F2538" s="3">
        <v>0.115</v>
      </c>
      <c r="G2538" s="2">
        <v>39240</v>
      </c>
      <c r="H2538" s="3">
        <v>1.2E-2</v>
      </c>
      <c r="I2538" s="3">
        <v>0</v>
      </c>
      <c r="J2538" s="3">
        <v>0</v>
      </c>
      <c r="K2538" s="3">
        <f t="shared" si="75"/>
        <v>2007</v>
      </c>
      <c r="L2538" s="3">
        <f t="shared" si="76"/>
        <v>0</v>
      </c>
      <c r="M2538" s="20" t="str">
        <f>A2538&amp;L2538</f>
        <v>ADM0</v>
      </c>
      <c r="N2538" s="3">
        <f>F2538</f>
        <v>0.115</v>
      </c>
      <c r="O2538" s="9">
        <f>H2538</f>
        <v>1.2E-2</v>
      </c>
      <c r="P2538" s="10">
        <f t="shared" si="77"/>
        <v>0</v>
      </c>
      <c r="Q2538" s="10">
        <f>IF(K2538=0,IF(A2535=A2538,AVERAGE(O2535:O2538),"x"),0)</f>
        <v>0</v>
      </c>
      <c r="R2538" s="9">
        <f>IF(L2538&gt;2005,AVERAGE(O2535:O2554),0)</f>
        <v>0</v>
      </c>
      <c r="S2538" s="10">
        <f>IF(A2538=A2539,(N2538-N2539)/N2539,0)</f>
        <v>0</v>
      </c>
      <c r="T2538" s="10">
        <f>IF(L2538&gt;2005,(((N2538-N2558)/N2558)+1)^(1/5)-1,0)</f>
        <v>0</v>
      </c>
      <c r="U2538" s="10">
        <f t="shared" si="78"/>
        <v>0</v>
      </c>
      <c r="V2538" s="26">
        <f t="shared" si="79"/>
        <v>0</v>
      </c>
      <c r="W2538" s="3">
        <f>IF(A2538=A2539,N2538-N2539,0)</f>
        <v>0</v>
      </c>
      <c r="X2538" s="10">
        <f>IF(A2538=A2539,(N2538-N2539)/N2539,0)</f>
        <v>0</v>
      </c>
    </row>
    <row r="2539" spans="1:24" ht="16.5" customHeight="1">
      <c r="A2539" s="3" t="s">
        <v>51</v>
      </c>
      <c r="B2539" s="3">
        <f t="shared" si="72"/>
        <v>2007</v>
      </c>
      <c r="C2539" s="3">
        <f t="shared" si="73"/>
        <v>2</v>
      </c>
      <c r="D2539" s="20" t="str">
        <f t="shared" si="74"/>
        <v>ADM20072</v>
      </c>
      <c r="E2539" s="2">
        <v>39127</v>
      </c>
      <c r="F2539" s="3">
        <v>0.115</v>
      </c>
      <c r="G2539" s="2">
        <v>39150</v>
      </c>
      <c r="H2539" s="3">
        <v>1.1900000000000001E-2</v>
      </c>
      <c r="I2539" s="3">
        <v>0.15</v>
      </c>
      <c r="J2539" s="3">
        <v>1.4999999999999999E-2</v>
      </c>
      <c r="K2539" s="3">
        <f t="shared" si="75"/>
        <v>0</v>
      </c>
      <c r="L2539" s="3">
        <f t="shared" si="76"/>
        <v>2007</v>
      </c>
      <c r="M2539" s="20" t="str">
        <f>A2539&amp;L2539</f>
        <v>ADM2007</v>
      </c>
      <c r="N2539" s="3">
        <f>F2539</f>
        <v>0.115</v>
      </c>
      <c r="O2539" s="9">
        <f>H2539</f>
        <v>1.1900000000000001E-2</v>
      </c>
      <c r="P2539" s="10">
        <f t="shared" si="77"/>
        <v>1.0199999999999999E-2</v>
      </c>
      <c r="Q2539" s="10">
        <f>IF(K2539=0,IF(A2536=A2539,AVERAGE(O2536:O2539),"x"),0)</f>
        <v>1.2350000000000002E-2</v>
      </c>
      <c r="R2539" s="9">
        <f>IF(L2539&gt;2005,AVERAGE(O2536:O2555),0)</f>
        <v>1.4395000000000002E-2</v>
      </c>
      <c r="S2539" s="10">
        <f>IF(A2539=A2540,(N2539-N2540)/N2540,0)</f>
        <v>0.15</v>
      </c>
      <c r="T2539" s="10">
        <f>IF(L2539&gt;2005,(((N2539-N2559)/N2559)+1)^(1/5)-1,0)</f>
        <v>0.18126018804310839</v>
      </c>
      <c r="U2539" s="10">
        <f t="shared" si="78"/>
        <v>0.19565518804310839</v>
      </c>
      <c r="V2539" s="26">
        <f t="shared" si="79"/>
        <v>4.8222815412686746</v>
      </c>
      <c r="W2539" s="3">
        <f>IF(A2539=A2540,N2539-N2540,0)</f>
        <v>1.4999999999999999E-2</v>
      </c>
      <c r="X2539" s="10">
        <f>IF(A2539=A2540,(N2539-N2540)/N2540,0)</f>
        <v>0.15</v>
      </c>
    </row>
    <row r="2540" spans="1:24" ht="16.5" customHeight="1">
      <c r="A2540" s="3" t="s">
        <v>51</v>
      </c>
      <c r="B2540" s="3">
        <f t="shared" si="72"/>
        <v>2006</v>
      </c>
      <c r="C2540" s="3">
        <f t="shared" si="73"/>
        <v>11</v>
      </c>
      <c r="D2540" s="20" t="str">
        <f t="shared" si="74"/>
        <v>ADM200611</v>
      </c>
      <c r="E2540" s="2">
        <v>39036</v>
      </c>
      <c r="F2540" s="3">
        <v>0.1</v>
      </c>
      <c r="G2540" s="2">
        <v>39069</v>
      </c>
      <c r="H2540" s="3">
        <v>1.11E-2</v>
      </c>
      <c r="I2540" s="3">
        <v>0</v>
      </c>
      <c r="J2540" s="3">
        <v>0</v>
      </c>
      <c r="K2540" s="3">
        <f t="shared" si="75"/>
        <v>2006</v>
      </c>
      <c r="L2540" s="3">
        <f t="shared" si="76"/>
        <v>0</v>
      </c>
      <c r="M2540" s="20" t="str">
        <f>A2540&amp;L2540</f>
        <v>ADM0</v>
      </c>
      <c r="N2540" s="3">
        <f>F2540</f>
        <v>0.1</v>
      </c>
      <c r="O2540" s="9">
        <f>H2540</f>
        <v>1.11E-2</v>
      </c>
      <c r="P2540" s="10">
        <f t="shared" si="77"/>
        <v>0</v>
      </c>
      <c r="Q2540" s="10">
        <f>IF(K2540=0,IF(A2537=A2540,AVERAGE(O2537:O2540),"x"),0)</f>
        <v>0</v>
      </c>
      <c r="R2540" s="9">
        <f>IF(L2540&gt;2005,AVERAGE(O2537:O2556),0)</f>
        <v>0</v>
      </c>
      <c r="S2540" s="10">
        <f>IF(A2540=A2541,(N2540-N2541)/N2541,0)</f>
        <v>0</v>
      </c>
      <c r="T2540" s="10">
        <f>IF(L2540&gt;2005,(((N2540-N2560)/N2560)+1)^(1/5)-1,0)</f>
        <v>0</v>
      </c>
      <c r="U2540" s="10">
        <f t="shared" si="78"/>
        <v>0</v>
      </c>
      <c r="V2540" s="26">
        <f t="shared" si="79"/>
        <v>0</v>
      </c>
      <c r="W2540" s="3">
        <f>IF(A2540=A2541,N2540-N2541,0)</f>
        <v>0</v>
      </c>
      <c r="X2540" s="10">
        <f>IF(A2540=A2541,(N2540-N2541)/N2541,0)</f>
        <v>0</v>
      </c>
    </row>
    <row r="2541" spans="1:24" ht="16.5" customHeight="1">
      <c r="A2541" s="3" t="s">
        <v>51</v>
      </c>
      <c r="B2541" s="3">
        <f t="shared" si="72"/>
        <v>2006</v>
      </c>
      <c r="C2541" s="3">
        <f t="shared" si="73"/>
        <v>8</v>
      </c>
      <c r="D2541" s="20" t="str">
        <f t="shared" si="74"/>
        <v>ADM20068</v>
      </c>
      <c r="E2541" s="2">
        <v>38945</v>
      </c>
      <c r="F2541" s="3">
        <v>0.1</v>
      </c>
      <c r="G2541" s="2">
        <v>38968</v>
      </c>
      <c r="H2541" s="3">
        <v>9.4000000000000004E-3</v>
      </c>
      <c r="I2541" s="3">
        <v>0</v>
      </c>
      <c r="J2541" s="3">
        <v>0</v>
      </c>
      <c r="K2541" s="3">
        <f t="shared" si="75"/>
        <v>2006</v>
      </c>
      <c r="L2541" s="3">
        <f t="shared" si="76"/>
        <v>0</v>
      </c>
      <c r="M2541" s="20" t="str">
        <f>A2541&amp;L2541</f>
        <v>ADM0</v>
      </c>
      <c r="N2541" s="3">
        <f>F2541</f>
        <v>0.1</v>
      </c>
      <c r="O2541" s="9">
        <f>H2541</f>
        <v>9.4000000000000004E-3</v>
      </c>
      <c r="P2541" s="10">
        <f t="shared" si="77"/>
        <v>0</v>
      </c>
      <c r="Q2541" s="10">
        <f>IF(K2541=0,IF(A2538=A2541,AVERAGE(O2538:O2541),"x"),0)</f>
        <v>0</v>
      </c>
      <c r="R2541" s="9">
        <f>IF(L2541&gt;2005,AVERAGE(O2538:O2557),0)</f>
        <v>0</v>
      </c>
      <c r="S2541" s="10">
        <f>IF(A2541=A2542,(N2541-N2542)/N2542,0)</f>
        <v>0</v>
      </c>
      <c r="T2541" s="10">
        <f>IF(L2541&gt;2005,(((N2541-N2561)/N2561)+1)^(1/5)-1,0)</f>
        <v>0</v>
      </c>
      <c r="U2541" s="10">
        <f t="shared" si="78"/>
        <v>0</v>
      </c>
      <c r="V2541" s="26">
        <f t="shared" si="79"/>
        <v>0</v>
      </c>
      <c r="W2541" s="3">
        <f>IF(A2541=A2542,N2541-N2542,0)</f>
        <v>0</v>
      </c>
      <c r="X2541" s="10">
        <f>IF(A2541=A2542,(N2541-N2542)/N2542,0)</f>
        <v>0</v>
      </c>
    </row>
    <row r="2542" spans="1:24" ht="16.5" customHeight="1">
      <c r="A2542" s="3" t="s">
        <v>51</v>
      </c>
      <c r="B2542" s="3">
        <f t="shared" si="72"/>
        <v>2006</v>
      </c>
      <c r="C2542" s="3">
        <f t="shared" si="73"/>
        <v>5</v>
      </c>
      <c r="D2542" s="20" t="str">
        <f t="shared" si="74"/>
        <v>ADM20065</v>
      </c>
      <c r="E2542" s="2">
        <v>38854</v>
      </c>
      <c r="F2542" s="3">
        <v>0.1</v>
      </c>
      <c r="G2542" s="2">
        <v>38877</v>
      </c>
      <c r="H2542" s="3">
        <v>8.3999999999999995E-3</v>
      </c>
      <c r="I2542" s="3">
        <v>0</v>
      </c>
      <c r="J2542" s="3">
        <v>0</v>
      </c>
      <c r="K2542" s="3">
        <f t="shared" si="75"/>
        <v>2006</v>
      </c>
      <c r="L2542" s="3">
        <f t="shared" si="76"/>
        <v>0</v>
      </c>
      <c r="M2542" s="20" t="str">
        <f>A2542&amp;L2542</f>
        <v>ADM0</v>
      </c>
      <c r="N2542" s="3">
        <f>F2542</f>
        <v>0.1</v>
      </c>
      <c r="O2542" s="9">
        <f>H2542</f>
        <v>8.3999999999999995E-3</v>
      </c>
      <c r="P2542" s="10">
        <f t="shared" si="77"/>
        <v>0</v>
      </c>
      <c r="Q2542" s="10">
        <f>IF(K2542=0,IF(A2539=A2542,AVERAGE(O2539:O2542),"x"),0)</f>
        <v>0</v>
      </c>
      <c r="R2542" s="9">
        <f>IF(L2542&gt;2005,AVERAGE(O2539:O2558),0)</f>
        <v>0</v>
      </c>
      <c r="S2542" s="10">
        <f>IF(A2542=A2543,(N2542-N2543)/N2543,0)</f>
        <v>0</v>
      </c>
      <c r="T2542" s="10">
        <f>IF(L2542&gt;2005,(((N2542-N2562)/N2562)+1)^(1/5)-1,0)</f>
        <v>0</v>
      </c>
      <c r="U2542" s="10">
        <f t="shared" si="78"/>
        <v>0</v>
      </c>
      <c r="V2542" s="26">
        <f t="shared" si="79"/>
        <v>0</v>
      </c>
      <c r="W2542" s="3">
        <f>IF(A2542=A2543,N2542-N2543,0)</f>
        <v>0</v>
      </c>
      <c r="X2542" s="10">
        <f>IF(A2542=A2543,(N2542-N2543)/N2543,0)</f>
        <v>0</v>
      </c>
    </row>
    <row r="2543" spans="1:24" ht="16.5" customHeight="1">
      <c r="A2543" s="3" t="s">
        <v>51</v>
      </c>
      <c r="B2543" s="3">
        <f t="shared" si="72"/>
        <v>2006</v>
      </c>
      <c r="C2543" s="3">
        <f t="shared" si="73"/>
        <v>2</v>
      </c>
      <c r="D2543" s="20" t="str">
        <f t="shared" si="74"/>
        <v>ADM20062</v>
      </c>
      <c r="E2543" s="2">
        <v>38763</v>
      </c>
      <c r="F2543" s="3">
        <v>0.1</v>
      </c>
      <c r="G2543" s="2">
        <v>38786</v>
      </c>
      <c r="H2543" s="3">
        <v>1.15E-2</v>
      </c>
      <c r="I2543" s="3">
        <v>0.17647058800000001</v>
      </c>
      <c r="J2543" s="3">
        <v>1.4999999999999999E-2</v>
      </c>
      <c r="K2543" s="3">
        <f t="shared" si="75"/>
        <v>0</v>
      </c>
      <c r="L2543" s="3">
        <f t="shared" si="76"/>
        <v>2006</v>
      </c>
      <c r="M2543" s="20" t="str">
        <f>A2543&amp;L2543</f>
        <v>ADM2006</v>
      </c>
      <c r="N2543" s="3">
        <f>F2543</f>
        <v>0.1</v>
      </c>
      <c r="O2543" s="9">
        <f>H2543</f>
        <v>1.15E-2</v>
      </c>
      <c r="P2543" s="10">
        <f t="shared" si="77"/>
        <v>1.4525E-2</v>
      </c>
      <c r="Q2543" s="10">
        <f>IF(K2543=0,IF(A2540=A2543,AVERAGE(O2540:O2543),"x"),0)</f>
        <v>1.0100000000000001E-2</v>
      </c>
      <c r="R2543" s="9">
        <f>IF(L2543&gt;2005,AVERAGE(O2540:O2559),0)</f>
        <v>1.5055000000000002E-2</v>
      </c>
      <c r="S2543" s="10">
        <f>IF(A2543=A2544,(N2543-N2544)/N2544,0)</f>
        <v>0.1764705882352941</v>
      </c>
      <c r="T2543" s="10">
        <f>IF(L2543&gt;2005,(((N2543-N2563)/N2563)+1)^(1/5)-1,0)</f>
        <v>0.1486983549970351</v>
      </c>
      <c r="U2543" s="10">
        <f t="shared" si="78"/>
        <v>0.16375335499703511</v>
      </c>
      <c r="V2543" s="26">
        <f t="shared" si="79"/>
        <v>4.8092659499691246</v>
      </c>
      <c r="W2543" s="3">
        <f>IF(A2543=A2544,N2543-N2544,0)</f>
        <v>1.4999999999999999E-2</v>
      </c>
      <c r="X2543" s="10">
        <f>IF(A2543=A2544,(N2543-N2544)/N2544,0)</f>
        <v>0.1764705882352941</v>
      </c>
    </row>
    <row r="2544" spans="1:24" ht="16.5" customHeight="1">
      <c r="A2544" s="3" t="s">
        <v>51</v>
      </c>
      <c r="B2544" s="3">
        <f t="shared" si="72"/>
        <v>2005</v>
      </c>
      <c r="C2544" s="3">
        <f t="shared" si="73"/>
        <v>11</v>
      </c>
      <c r="D2544" s="20" t="str">
        <f t="shared" si="74"/>
        <v>ADM200511</v>
      </c>
      <c r="E2544" s="2">
        <v>38672</v>
      </c>
      <c r="F2544" s="3">
        <v>8.5000000000000006E-2</v>
      </c>
      <c r="G2544" s="2">
        <v>38696</v>
      </c>
      <c r="H2544" s="3">
        <v>1.4200000000000001E-2</v>
      </c>
      <c r="I2544" s="3">
        <v>0</v>
      </c>
      <c r="J2544" s="3">
        <v>0</v>
      </c>
      <c r="K2544" s="3">
        <f t="shared" si="75"/>
        <v>2005</v>
      </c>
      <c r="L2544" s="3">
        <f t="shared" si="76"/>
        <v>0</v>
      </c>
      <c r="M2544" s="20" t="str">
        <f>A2544&amp;L2544</f>
        <v>ADM0</v>
      </c>
      <c r="N2544" s="3">
        <f>F2544</f>
        <v>8.5000000000000006E-2</v>
      </c>
      <c r="O2544" s="9">
        <f>H2544</f>
        <v>1.4200000000000001E-2</v>
      </c>
      <c r="P2544" s="10">
        <f t="shared" si="77"/>
        <v>0</v>
      </c>
      <c r="Q2544" s="10">
        <f>IF(K2544=0,IF(A2541=A2544,AVERAGE(O2541:O2544),"x"),0)</f>
        <v>0</v>
      </c>
      <c r="R2544" s="9">
        <f>IF(L2544&gt;2005,AVERAGE(O2541:O2560),0)</f>
        <v>0</v>
      </c>
      <c r="S2544" s="10">
        <f>IF(A2544=A2545,(N2544-N2545)/N2545,0)</f>
        <v>0</v>
      </c>
      <c r="T2544" s="10">
        <f>IF(L2544&gt;2005,(((N2544-N2564)/N2564)+1)^(1/5)-1,0)</f>
        <v>0</v>
      </c>
      <c r="U2544" s="10">
        <f t="shared" si="78"/>
        <v>0</v>
      </c>
      <c r="V2544" s="26">
        <f t="shared" si="79"/>
        <v>0</v>
      </c>
      <c r="W2544" s="3">
        <f>IF(A2544=A2545,N2544-N2545,0)</f>
        <v>0</v>
      </c>
      <c r="X2544" s="10">
        <f>IF(A2544=A2545,(N2544-N2545)/N2545,0)</f>
        <v>0</v>
      </c>
    </row>
    <row r="2545" spans="1:24" ht="16.5" customHeight="1">
      <c r="A2545" s="3" t="s">
        <v>51</v>
      </c>
      <c r="B2545" s="3">
        <f t="shared" si="72"/>
        <v>2005</v>
      </c>
      <c r="C2545" s="3">
        <f t="shared" si="73"/>
        <v>8</v>
      </c>
      <c r="D2545" s="20" t="str">
        <f t="shared" si="74"/>
        <v>ADM20058</v>
      </c>
      <c r="E2545" s="2">
        <v>38581</v>
      </c>
      <c r="F2545" s="3">
        <v>8.5000000000000006E-2</v>
      </c>
      <c r="G2545" s="2">
        <v>38604</v>
      </c>
      <c r="H2545" s="3">
        <v>1.6E-2</v>
      </c>
      <c r="I2545" s="3">
        <v>0</v>
      </c>
      <c r="J2545" s="3">
        <v>0</v>
      </c>
      <c r="K2545" s="3">
        <f t="shared" si="75"/>
        <v>2005</v>
      </c>
      <c r="L2545" s="3">
        <f t="shared" si="76"/>
        <v>0</v>
      </c>
      <c r="M2545" s="20" t="str">
        <f>A2545&amp;L2545</f>
        <v>ADM0</v>
      </c>
      <c r="N2545" s="3">
        <f>F2545</f>
        <v>8.5000000000000006E-2</v>
      </c>
      <c r="O2545" s="9">
        <f>H2545</f>
        <v>1.6E-2</v>
      </c>
      <c r="P2545" s="10">
        <f t="shared" si="77"/>
        <v>0</v>
      </c>
      <c r="Q2545" s="10">
        <f>IF(K2545=0,IF(A2542=A2545,AVERAGE(O2542:O2545),"x"),0)</f>
        <v>0</v>
      </c>
      <c r="R2545" s="9">
        <f>IF(L2545&gt;2005,AVERAGE(O2542:O2561),0)</f>
        <v>0</v>
      </c>
      <c r="S2545" s="10">
        <f>IF(A2545=A2546,(N2545-N2546)/N2546,0)</f>
        <v>0</v>
      </c>
      <c r="T2545" s="10">
        <f>IF(L2545&gt;2005,(((N2545-N2565)/N2565)+1)^(1/5)-1,0)</f>
        <v>0</v>
      </c>
      <c r="U2545" s="10">
        <f t="shared" si="78"/>
        <v>0</v>
      </c>
      <c r="V2545" s="26">
        <f t="shared" si="79"/>
        <v>0</v>
      </c>
      <c r="W2545" s="3">
        <f>IF(A2545=A2546,N2545-N2546,0)</f>
        <v>0</v>
      </c>
      <c r="X2545" s="10">
        <f>IF(A2545=A2546,(N2545-N2546)/N2546,0)</f>
        <v>0</v>
      </c>
    </row>
    <row r="2546" spans="1:24" ht="16.5" customHeight="1">
      <c r="A2546" s="3" t="s">
        <v>51</v>
      </c>
      <c r="B2546" s="3">
        <f t="shared" si="72"/>
        <v>2005</v>
      </c>
      <c r="C2546" s="3">
        <f t="shared" si="73"/>
        <v>5</v>
      </c>
      <c r="D2546" s="20" t="str">
        <f t="shared" si="74"/>
        <v>ADM20055</v>
      </c>
      <c r="E2546" s="2">
        <v>38489</v>
      </c>
      <c r="F2546" s="3">
        <v>8.5000000000000006E-2</v>
      </c>
      <c r="G2546" s="2">
        <v>38512</v>
      </c>
      <c r="H2546" s="3">
        <v>1.6400000000000001E-2</v>
      </c>
      <c r="I2546" s="3">
        <v>0</v>
      </c>
      <c r="J2546" s="3">
        <v>0</v>
      </c>
      <c r="K2546" s="3">
        <f t="shared" si="75"/>
        <v>2005</v>
      </c>
      <c r="L2546" s="3">
        <f t="shared" si="76"/>
        <v>0</v>
      </c>
      <c r="M2546" s="20" t="str">
        <f>A2546&amp;L2546</f>
        <v>ADM0</v>
      </c>
      <c r="N2546" s="3">
        <f>F2546</f>
        <v>8.5000000000000006E-2</v>
      </c>
      <c r="O2546" s="9">
        <f>H2546</f>
        <v>1.6400000000000001E-2</v>
      </c>
      <c r="P2546" s="10">
        <f t="shared" si="77"/>
        <v>0</v>
      </c>
      <c r="Q2546" s="10">
        <f>IF(K2546=0,IF(A2543=A2546,AVERAGE(O2543:O2546),"x"),0)</f>
        <v>0</v>
      </c>
      <c r="R2546" s="9">
        <f>IF(L2546&gt;2005,AVERAGE(O2543:O2562),0)</f>
        <v>0</v>
      </c>
      <c r="S2546" s="10">
        <f>IF(A2546=A2547,(N2546-N2547)/N2547,0)</f>
        <v>0</v>
      </c>
      <c r="T2546" s="10">
        <f>IF(L2546&gt;2005,(((N2546-N2566)/N2566)+1)^(1/5)-1,0)</f>
        <v>0</v>
      </c>
      <c r="U2546" s="10">
        <f t="shared" si="78"/>
        <v>0</v>
      </c>
      <c r="V2546" s="26">
        <f t="shared" si="79"/>
        <v>0</v>
      </c>
      <c r="W2546" s="3">
        <f>IF(A2546=A2547,N2546-N2547,0)</f>
        <v>0</v>
      </c>
      <c r="X2546" s="10">
        <f>IF(A2546=A2547,(N2546-N2547)/N2547,0)</f>
        <v>0</v>
      </c>
    </row>
    <row r="2547" spans="1:24" ht="16.5" customHeight="1">
      <c r="A2547" s="3" t="s">
        <v>51</v>
      </c>
      <c r="B2547" s="3">
        <f t="shared" si="72"/>
        <v>2005</v>
      </c>
      <c r="C2547" s="3">
        <f t="shared" si="73"/>
        <v>2</v>
      </c>
      <c r="D2547" s="20" t="str">
        <f t="shared" si="74"/>
        <v>ADM20052</v>
      </c>
      <c r="E2547" s="2">
        <v>38398</v>
      </c>
      <c r="F2547" s="3">
        <v>8.5000000000000006E-2</v>
      </c>
      <c r="G2547" s="2">
        <v>38421</v>
      </c>
      <c r="H2547" s="3">
        <v>1.26E-2</v>
      </c>
      <c r="I2547" s="3">
        <v>0.133333333</v>
      </c>
      <c r="J2547" s="3">
        <v>0.01</v>
      </c>
      <c r="K2547" s="3">
        <f t="shared" si="75"/>
        <v>0</v>
      </c>
      <c r="L2547" s="3">
        <f t="shared" si="76"/>
        <v>2005</v>
      </c>
      <c r="M2547" s="20" t="str">
        <f>A2547&amp;L2547</f>
        <v>ADM2005</v>
      </c>
      <c r="N2547" s="3">
        <f>F2547</f>
        <v>8.5000000000000006E-2</v>
      </c>
      <c r="O2547" s="9">
        <f>H2547</f>
        <v>1.26E-2</v>
      </c>
      <c r="P2547" s="10">
        <f t="shared" si="77"/>
        <v>1.525E-2</v>
      </c>
      <c r="Q2547" s="10">
        <f>IF(K2547=0,IF(A2544=A2547,AVERAGE(O2544:O2547),"x"),0)</f>
        <v>1.4800000000000001E-2</v>
      </c>
      <c r="R2547" s="9">
        <f>IF(L2547&gt;2005,AVERAGE(O2544:O2563),0)</f>
        <v>0</v>
      </c>
      <c r="S2547" s="10">
        <f>IF(A2547=A2548,(N2547-N2548)/N2548,0)</f>
        <v>0.13333333333333347</v>
      </c>
      <c r="T2547" s="10">
        <f>IF(L2547&gt;2005,(((N2547-N2567)/N2567)+1)^(1/5)-1,0)</f>
        <v>0</v>
      </c>
      <c r="U2547" s="10">
        <f t="shared" si="78"/>
        <v>0</v>
      </c>
      <c r="V2547" s="26">
        <f t="shared" si="79"/>
        <v>0</v>
      </c>
      <c r="W2547" s="3">
        <f>IF(A2547=A2548,N2547-N2548,0)</f>
        <v>1.0000000000000009E-2</v>
      </c>
      <c r="X2547" s="10">
        <f>IF(A2547=A2548,(N2547-N2548)/N2548,0)</f>
        <v>0.13333333333333347</v>
      </c>
    </row>
    <row r="2548" spans="1:24" ht="16.5" customHeight="1">
      <c r="A2548" s="3" t="s">
        <v>51</v>
      </c>
      <c r="B2548" s="3">
        <f t="shared" si="72"/>
        <v>2004</v>
      </c>
      <c r="C2548" s="3">
        <f t="shared" si="73"/>
        <v>11</v>
      </c>
      <c r="D2548" s="20" t="str">
        <f t="shared" si="74"/>
        <v>ADM200411</v>
      </c>
      <c r="E2548" s="2">
        <v>38308</v>
      </c>
      <c r="F2548" s="3">
        <v>7.4999999999999997E-2</v>
      </c>
      <c r="G2548" s="2">
        <v>38331</v>
      </c>
      <c r="H2548" s="3">
        <v>1.46E-2</v>
      </c>
      <c r="I2548" s="3">
        <v>0</v>
      </c>
      <c r="J2548" s="3">
        <v>0</v>
      </c>
      <c r="K2548" s="3">
        <f t="shared" si="75"/>
        <v>2004</v>
      </c>
      <c r="L2548" s="3">
        <f t="shared" si="76"/>
        <v>0</v>
      </c>
      <c r="M2548" s="20" t="str">
        <f>A2548&amp;L2548</f>
        <v>ADM0</v>
      </c>
      <c r="N2548" s="3">
        <f>F2548</f>
        <v>7.4999999999999997E-2</v>
      </c>
      <c r="O2548" s="9">
        <f>H2548</f>
        <v>1.46E-2</v>
      </c>
      <c r="P2548" s="10">
        <f t="shared" si="77"/>
        <v>0</v>
      </c>
      <c r="Q2548" s="10">
        <f>IF(K2548=0,IF(A2545=A2548,AVERAGE(O2545:O2548),"x"),0)</f>
        <v>0</v>
      </c>
      <c r="R2548" s="9">
        <f>IF(L2548&gt;2005,AVERAGE(O2545:O2564),0)</f>
        <v>0</v>
      </c>
      <c r="S2548" s="10">
        <f>IF(A2548=A2549,(N2548-N2549)/N2549,0)</f>
        <v>0</v>
      </c>
      <c r="T2548" s="10">
        <f>IF(L2548&gt;2005,(((N2548-N2568)/N2568)+1)^(1/5)-1,0)</f>
        <v>0</v>
      </c>
      <c r="U2548" s="10">
        <f t="shared" si="78"/>
        <v>0</v>
      </c>
      <c r="V2548" s="26">
        <f t="shared" si="79"/>
        <v>0</v>
      </c>
      <c r="W2548" s="3">
        <f>IF(A2548=A2549,N2548-N2549,0)</f>
        <v>0</v>
      </c>
      <c r="X2548" s="10">
        <f>IF(A2548=A2549,(N2548-N2549)/N2549,0)</f>
        <v>0</v>
      </c>
    </row>
    <row r="2549" spans="1:24" ht="16.5" customHeight="1">
      <c r="A2549" s="3" t="s">
        <v>51</v>
      </c>
      <c r="B2549" s="3">
        <f t="shared" si="72"/>
        <v>2004</v>
      </c>
      <c r="C2549" s="3">
        <f t="shared" si="73"/>
        <v>8</v>
      </c>
      <c r="D2549" s="20" t="str">
        <f t="shared" si="74"/>
        <v>ADM20048</v>
      </c>
      <c r="E2549" s="2">
        <v>38217</v>
      </c>
      <c r="F2549" s="3">
        <v>7.4999999999999997E-2</v>
      </c>
      <c r="G2549" s="2">
        <v>38240</v>
      </c>
      <c r="H2549" s="3">
        <v>1.78E-2</v>
      </c>
      <c r="I2549" s="3">
        <v>0</v>
      </c>
      <c r="J2549" s="3">
        <v>0</v>
      </c>
      <c r="K2549" s="3">
        <f t="shared" si="75"/>
        <v>2004</v>
      </c>
      <c r="L2549" s="3">
        <f t="shared" si="76"/>
        <v>0</v>
      </c>
      <c r="M2549" s="20" t="str">
        <f>A2549&amp;L2549</f>
        <v>ADM0</v>
      </c>
      <c r="N2549" s="3">
        <f>F2549</f>
        <v>7.4999999999999997E-2</v>
      </c>
      <c r="O2549" s="9">
        <f>H2549</f>
        <v>1.78E-2</v>
      </c>
      <c r="P2549" s="10">
        <f t="shared" si="77"/>
        <v>0</v>
      </c>
      <c r="Q2549" s="10">
        <f>IF(K2549=0,IF(A2546=A2549,AVERAGE(O2546:O2549),"x"),0)</f>
        <v>0</v>
      </c>
      <c r="R2549" s="9">
        <f>IF(L2549&gt;2005,AVERAGE(O2546:O2565),0)</f>
        <v>0</v>
      </c>
      <c r="S2549" s="10">
        <f>IF(A2549=A2550,(N2549-N2550)/N2550,0)</f>
        <v>0</v>
      </c>
      <c r="T2549" s="10">
        <f>IF(L2549&gt;2005,(((N2549-N2569)/N2569)+1)^(1/5)-1,0)</f>
        <v>0</v>
      </c>
      <c r="U2549" s="10">
        <f t="shared" si="78"/>
        <v>0</v>
      </c>
      <c r="V2549" s="26">
        <f t="shared" si="79"/>
        <v>0</v>
      </c>
      <c r="W2549" s="3">
        <f>IF(A2549=A2550,N2549-N2550,0)</f>
        <v>0</v>
      </c>
      <c r="X2549" s="10">
        <f>IF(A2549=A2550,(N2549-N2550)/N2550,0)</f>
        <v>0</v>
      </c>
    </row>
    <row r="2550" spans="1:24" ht="16.5" customHeight="1">
      <c r="A2550" s="3" t="s">
        <v>51</v>
      </c>
      <c r="B2550" s="3">
        <f t="shared" si="72"/>
        <v>2004</v>
      </c>
      <c r="C2550" s="3">
        <f t="shared" si="73"/>
        <v>5</v>
      </c>
      <c r="D2550" s="20" t="str">
        <f t="shared" si="74"/>
        <v>ADM20045</v>
      </c>
      <c r="E2550" s="2">
        <v>38121</v>
      </c>
      <c r="F2550" s="3">
        <v>7.4999999999999997E-2</v>
      </c>
      <c r="G2550" s="2">
        <v>38148</v>
      </c>
      <c r="H2550" s="3">
        <v>1.6E-2</v>
      </c>
      <c r="I2550" s="3">
        <v>0</v>
      </c>
      <c r="J2550" s="3">
        <v>0</v>
      </c>
      <c r="K2550" s="3">
        <f t="shared" si="75"/>
        <v>2004</v>
      </c>
      <c r="L2550" s="3">
        <f t="shared" si="76"/>
        <v>0</v>
      </c>
      <c r="M2550" s="20" t="str">
        <f>A2550&amp;L2550</f>
        <v>ADM0</v>
      </c>
      <c r="N2550" s="3">
        <f>F2550</f>
        <v>7.4999999999999997E-2</v>
      </c>
      <c r="O2550" s="9">
        <f>H2550</f>
        <v>1.6E-2</v>
      </c>
      <c r="P2550" s="10">
        <f t="shared" si="77"/>
        <v>0</v>
      </c>
      <c r="Q2550" s="10">
        <f>IF(K2550=0,IF(A2547=A2550,AVERAGE(O2547:O2550),"x"),0)</f>
        <v>0</v>
      </c>
      <c r="R2550" s="9">
        <f>IF(L2550&gt;2005,AVERAGE(O2547:O2566),0)</f>
        <v>0</v>
      </c>
      <c r="S2550" s="10">
        <f>IF(A2550=A2551,(N2550-N2551)/N2551,0)</f>
        <v>0</v>
      </c>
      <c r="T2550" s="10">
        <f>IF(L2550&gt;2005,(((N2550-N2570)/N2570)+1)^(1/5)-1,0)</f>
        <v>0</v>
      </c>
      <c r="U2550" s="10">
        <f t="shared" si="78"/>
        <v>0</v>
      </c>
      <c r="V2550" s="26">
        <f t="shared" si="79"/>
        <v>0</v>
      </c>
      <c r="W2550" s="3">
        <f>IF(A2550=A2551,N2550-N2551,0)</f>
        <v>0</v>
      </c>
      <c r="X2550" s="10">
        <f>IF(A2550=A2551,(N2550-N2551)/N2551,0)</f>
        <v>0</v>
      </c>
    </row>
    <row r="2551" spans="1:24" ht="16.5" customHeight="1">
      <c r="A2551" s="3" t="s">
        <v>51</v>
      </c>
      <c r="B2551" s="3">
        <f t="shared" si="72"/>
        <v>2004</v>
      </c>
      <c r="C2551" s="3">
        <f t="shared" si="73"/>
        <v>2</v>
      </c>
      <c r="D2551" s="20" t="str">
        <f t="shared" si="74"/>
        <v>ADM20042</v>
      </c>
      <c r="E2551" s="2">
        <v>38028</v>
      </c>
      <c r="F2551" s="3">
        <v>7.4999999999999997E-2</v>
      </c>
      <c r="G2551" s="2">
        <v>38055</v>
      </c>
      <c r="H2551" s="3">
        <v>1.5100000000000001E-2</v>
      </c>
      <c r="I2551" s="3">
        <v>0.25</v>
      </c>
      <c r="J2551" s="3">
        <v>1.4999999999999999E-2</v>
      </c>
      <c r="K2551" s="3">
        <f t="shared" si="75"/>
        <v>0</v>
      </c>
      <c r="L2551" s="3">
        <f t="shared" si="76"/>
        <v>2004</v>
      </c>
      <c r="M2551" s="20" t="str">
        <f>A2551&amp;L2551</f>
        <v>ADM2004</v>
      </c>
      <c r="N2551" s="3">
        <f>F2551</f>
        <v>7.4999999999999997E-2</v>
      </c>
      <c r="O2551" s="9">
        <f>H2551</f>
        <v>1.5100000000000001E-2</v>
      </c>
      <c r="P2551" s="10">
        <f t="shared" si="77"/>
        <v>1.7875000000000002E-2</v>
      </c>
      <c r="Q2551" s="10">
        <f>IF(K2551=0,IF(A2548=A2551,AVERAGE(O2548:O2551),"x"),0)</f>
        <v>1.5875E-2</v>
      </c>
      <c r="R2551" s="9">
        <f>IF(L2551&gt;2005,AVERAGE(O2548:O2567),0)</f>
        <v>0</v>
      </c>
      <c r="S2551" s="10">
        <f>IF(A2551=A2552,(N2551-N2552)/N2552,0)</f>
        <v>0.25</v>
      </c>
      <c r="T2551" s="10">
        <f>IF(L2551&gt;2005,(((N2551-N2571)/N2571)+1)^(1/5)-1,0)</f>
        <v>0</v>
      </c>
      <c r="U2551" s="10">
        <f t="shared" si="78"/>
        <v>0</v>
      </c>
      <c r="V2551" s="26">
        <f t="shared" si="79"/>
        <v>0</v>
      </c>
      <c r="W2551" s="3">
        <f>IF(A2551=A2552,N2551-N2552,0)</f>
        <v>1.4999999999999999E-2</v>
      </c>
      <c r="X2551" s="10">
        <f>IF(A2551=A2552,(N2551-N2552)/N2552,0)</f>
        <v>0.25</v>
      </c>
    </row>
    <row r="2552" spans="1:24" ht="16.5" customHeight="1">
      <c r="A2552" s="3" t="s">
        <v>51</v>
      </c>
      <c r="B2552" s="3">
        <f t="shared" ref="B2552:B2710" si="80">YEAR(E2552)</f>
        <v>2003</v>
      </c>
      <c r="C2552" s="3">
        <f t="shared" ref="C2552:C2710" si="81">MONTH(E2552)</f>
        <v>11</v>
      </c>
      <c r="D2552" s="20" t="str">
        <f t="shared" ref="D2552:D2710" si="82">A2552&amp;B2552&amp;C2552</f>
        <v>ADM200311</v>
      </c>
      <c r="E2552" s="2">
        <v>37939</v>
      </c>
      <c r="F2552" s="3">
        <v>0.06</v>
      </c>
      <c r="G2552" s="2">
        <v>37966</v>
      </c>
      <c r="H2552" s="3">
        <v>1.6799999999999999E-2</v>
      </c>
      <c r="I2552" s="3">
        <v>0</v>
      </c>
      <c r="J2552" s="3">
        <v>0</v>
      </c>
      <c r="K2552" s="3">
        <f t="shared" ref="K2552:K2710" si="83">IF(YEAR(E2552)=YEAR(E2553),YEAR(E2552),0)</f>
        <v>2003</v>
      </c>
      <c r="L2552" s="3">
        <f t="shared" ref="L2552:L2710" si="84">IF(K2552=0,K2551,0)</f>
        <v>0</v>
      </c>
      <c r="M2552" s="20" t="str">
        <f>A2552&amp;L2552</f>
        <v>ADM0</v>
      </c>
      <c r="N2552" s="3">
        <f>F2552</f>
        <v>0.06</v>
      </c>
      <c r="O2552" s="9">
        <f>H2552</f>
        <v>1.6799999999999999E-2</v>
      </c>
      <c r="P2552" s="10">
        <f t="shared" ref="P2552:P2710" si="85">IF(S2552&gt;0,SUM(O2552:O2555)/4,0)</f>
        <v>0</v>
      </c>
      <c r="Q2552" s="10">
        <f>IF(K2552=0,IF(A2549=A2552,AVERAGE(O2549:O2552),"x"),0)</f>
        <v>0</v>
      </c>
      <c r="R2552" s="9">
        <f>IF(L2552&gt;2005,AVERAGE(O2549:O2568),0)</f>
        <v>0</v>
      </c>
      <c r="S2552" s="10">
        <f>IF(A2552=A2553,(N2552-N2553)/N2553,0)</f>
        <v>0</v>
      </c>
      <c r="T2552" s="10">
        <f>IF(L2552&gt;2005,(((N2552-N2572)/N2572)+1)^(1/5)-1,0)</f>
        <v>0</v>
      </c>
      <c r="U2552" s="10">
        <f t="shared" si="78"/>
        <v>0</v>
      </c>
      <c r="V2552" s="26">
        <f t="shared" si="79"/>
        <v>0</v>
      </c>
      <c r="W2552" s="3">
        <f>IF(A2552=A2553,N2552-N2553,0)</f>
        <v>0</v>
      </c>
      <c r="X2552" s="10">
        <f>IF(A2552=A2553,(N2552-N2553)/N2553,0)</f>
        <v>0</v>
      </c>
    </row>
    <row r="2553" spans="1:24" ht="16.5" customHeight="1">
      <c r="A2553" s="3" t="s">
        <v>51</v>
      </c>
      <c r="B2553" s="3">
        <f t="shared" si="80"/>
        <v>2003</v>
      </c>
      <c r="C2553" s="3">
        <f t="shared" si="81"/>
        <v>8</v>
      </c>
      <c r="D2553" s="20" t="str">
        <f t="shared" si="82"/>
        <v>ADM20038</v>
      </c>
      <c r="E2553" s="2">
        <v>37853</v>
      </c>
      <c r="F2553" s="3">
        <v>0.06</v>
      </c>
      <c r="G2553" s="2">
        <v>37874</v>
      </c>
      <c r="H2553" s="3">
        <v>1.7600000000000001E-2</v>
      </c>
      <c r="I2553" s="3">
        <v>0</v>
      </c>
      <c r="J2553" s="3">
        <v>0</v>
      </c>
      <c r="K2553" s="3">
        <f t="shared" si="83"/>
        <v>2003</v>
      </c>
      <c r="L2553" s="3">
        <f t="shared" si="84"/>
        <v>0</v>
      </c>
      <c r="M2553" s="20" t="str">
        <f>A2553&amp;L2553</f>
        <v>ADM0</v>
      </c>
      <c r="N2553" s="3">
        <f>F2553</f>
        <v>0.06</v>
      </c>
      <c r="O2553" s="9">
        <f>H2553</f>
        <v>1.7600000000000001E-2</v>
      </c>
      <c r="P2553" s="10">
        <f t="shared" si="85"/>
        <v>0</v>
      </c>
      <c r="Q2553" s="10">
        <f>IF(K2553=0,IF(A2550=A2553,AVERAGE(O2550:O2553),"x"),0)</f>
        <v>0</v>
      </c>
      <c r="R2553" s="9">
        <f>IF(L2553&gt;2005,AVERAGE(O2550:O2569),0)</f>
        <v>0</v>
      </c>
      <c r="S2553" s="10">
        <f>IF(A2553=A2554,(N2553-N2554)/N2554,0)</f>
        <v>0</v>
      </c>
      <c r="T2553" s="10">
        <f>IF(L2553&gt;2005,(((N2553-N2573)/N2573)+1)^(1/5)-1,0)</f>
        <v>0</v>
      </c>
      <c r="U2553" s="10">
        <f t="shared" si="78"/>
        <v>0</v>
      </c>
      <c r="V2553" s="26">
        <f t="shared" si="79"/>
        <v>0</v>
      </c>
      <c r="W2553" s="3">
        <f>IF(A2553=A2554,N2553-N2554,0)</f>
        <v>0</v>
      </c>
      <c r="X2553" s="10">
        <f>IF(A2553=A2554,(N2553-N2554)/N2554,0)</f>
        <v>0</v>
      </c>
    </row>
    <row r="2554" spans="1:24" ht="16.5" customHeight="1">
      <c r="A2554" s="3" t="s">
        <v>51</v>
      </c>
      <c r="B2554" s="3">
        <f t="shared" si="80"/>
        <v>2003</v>
      </c>
      <c r="C2554" s="3">
        <f t="shared" si="81"/>
        <v>5</v>
      </c>
      <c r="D2554" s="20" t="str">
        <f t="shared" si="82"/>
        <v>ADM20035</v>
      </c>
      <c r="E2554" s="2">
        <v>37748</v>
      </c>
      <c r="F2554" s="3">
        <v>0.06</v>
      </c>
      <c r="G2554" s="2">
        <v>37774</v>
      </c>
      <c r="H2554" s="3">
        <v>2.1999999999999999E-2</v>
      </c>
      <c r="I2554" s="3">
        <v>0</v>
      </c>
      <c r="J2554" s="3">
        <v>0</v>
      </c>
      <c r="K2554" s="3">
        <f t="shared" si="83"/>
        <v>2003</v>
      </c>
      <c r="L2554" s="3">
        <f t="shared" si="84"/>
        <v>0</v>
      </c>
      <c r="M2554" s="20" t="str">
        <f>A2554&amp;L2554</f>
        <v>ADM0</v>
      </c>
      <c r="N2554" s="3">
        <f>F2554</f>
        <v>0.06</v>
      </c>
      <c r="O2554" s="9">
        <f>H2554</f>
        <v>2.1999999999999999E-2</v>
      </c>
      <c r="P2554" s="10">
        <f t="shared" si="85"/>
        <v>0</v>
      </c>
      <c r="Q2554" s="10">
        <f>IF(K2554=0,IF(A2551=A2554,AVERAGE(O2551:O2554),"x"),0)</f>
        <v>0</v>
      </c>
      <c r="R2554" s="9">
        <f>IF(L2554&gt;2005,AVERAGE(O2551:O2570),0)</f>
        <v>0</v>
      </c>
      <c r="S2554" s="10">
        <f>IF(A2554=A2555,(N2554-N2555)/N2555,0)</f>
        <v>0</v>
      </c>
      <c r="T2554" s="10">
        <f>IF(L2554&gt;2005,(((N2554-N2574)/N2574)+1)^(1/5)-1,0)</f>
        <v>0</v>
      </c>
      <c r="U2554" s="10">
        <f t="shared" si="78"/>
        <v>0</v>
      </c>
      <c r="V2554" s="26">
        <f t="shared" si="79"/>
        <v>0</v>
      </c>
      <c r="W2554" s="3">
        <f>IF(A2554=A2555,N2554-N2555,0)</f>
        <v>0</v>
      </c>
      <c r="X2554" s="10">
        <f>IF(A2554=A2555,(N2554-N2555)/N2555,0)</f>
        <v>0</v>
      </c>
    </row>
    <row r="2555" spans="1:24" ht="16.5" customHeight="1">
      <c r="A2555" s="3" t="s">
        <v>51</v>
      </c>
      <c r="B2555" s="3">
        <f t="shared" si="80"/>
        <v>2003</v>
      </c>
      <c r="C2555" s="3">
        <f t="shared" si="81"/>
        <v>2</v>
      </c>
      <c r="D2555" s="20" t="str">
        <f t="shared" si="82"/>
        <v>ADM20032</v>
      </c>
      <c r="E2555" s="2">
        <v>37657</v>
      </c>
      <c r="F2555" s="3">
        <v>0.06</v>
      </c>
      <c r="G2555" s="2">
        <v>37684</v>
      </c>
      <c r="H2555" s="3">
        <v>1.9E-2</v>
      </c>
      <c r="I2555" s="3">
        <v>0</v>
      </c>
      <c r="J2555" s="3">
        <v>0</v>
      </c>
      <c r="K2555" s="3">
        <f t="shared" si="83"/>
        <v>0</v>
      </c>
      <c r="L2555" s="3">
        <f t="shared" si="84"/>
        <v>2003</v>
      </c>
      <c r="M2555" s="20" t="str">
        <f>A2555&amp;L2555</f>
        <v>ADM2003</v>
      </c>
      <c r="N2555" s="3">
        <f>F2555</f>
        <v>0.06</v>
      </c>
      <c r="O2555" s="9">
        <f>H2555</f>
        <v>1.9E-2</v>
      </c>
      <c r="P2555" s="10">
        <f t="shared" si="85"/>
        <v>0</v>
      </c>
      <c r="Q2555" s="10">
        <f>IF(K2555=0,IF(A2552=A2555,AVERAGE(O2552:O2555),"x"),0)</f>
        <v>1.8849999999999999E-2</v>
      </c>
      <c r="R2555" s="9">
        <f>IF(L2555&gt;2005,AVERAGE(O2552:O2571),0)</f>
        <v>0</v>
      </c>
      <c r="S2555" s="10">
        <f>IF(A2555=A2556,(N2555-N2556)/N2556,0)</f>
        <v>0</v>
      </c>
      <c r="T2555" s="10">
        <f>IF(L2555&gt;2005,(((N2555-N2575)/N2575)+1)^(1/5)-1,0)</f>
        <v>0</v>
      </c>
      <c r="U2555" s="10">
        <f t="shared" ref="U2555:U2710" si="86">IF(T2555&gt;0,R2555+T2555,0)</f>
        <v>0</v>
      </c>
      <c r="V2555" s="26">
        <f t="shared" ref="V2555:V2710" si="87">IF(U2555&gt;0,(1+T2555)*(1-((1+T2555)/(1+U2555))^5)/(U2555-T2555),0)</f>
        <v>0</v>
      </c>
      <c r="W2555" s="3">
        <f>IF(A2555=A2556,N2555-N2556,0)</f>
        <v>0</v>
      </c>
      <c r="X2555" s="10">
        <f>IF(A2555=A2556,(N2555-N2556)/N2556,0)</f>
        <v>0</v>
      </c>
    </row>
    <row r="2556" spans="1:24" ht="16.5" customHeight="1">
      <c r="A2556" s="3" t="s">
        <v>51</v>
      </c>
      <c r="B2556" s="3">
        <f t="shared" si="80"/>
        <v>2002</v>
      </c>
      <c r="C2556" s="3">
        <f t="shared" si="81"/>
        <v>11</v>
      </c>
      <c r="D2556" s="20" t="str">
        <f t="shared" si="82"/>
        <v>ADM200211</v>
      </c>
      <c r="E2556" s="2">
        <v>37575</v>
      </c>
      <c r="F2556" s="3">
        <v>0.06</v>
      </c>
      <c r="G2556" s="2">
        <v>37602</v>
      </c>
      <c r="H2556" s="3">
        <v>1.6E-2</v>
      </c>
      <c r="I2556" s="3">
        <v>0</v>
      </c>
      <c r="J2556" s="3">
        <v>0</v>
      </c>
      <c r="K2556" s="3">
        <f t="shared" si="83"/>
        <v>2002</v>
      </c>
      <c r="L2556" s="3">
        <f t="shared" si="84"/>
        <v>0</v>
      </c>
      <c r="M2556" s="20" t="str">
        <f>A2556&amp;L2556</f>
        <v>ADM0</v>
      </c>
      <c r="N2556" s="3">
        <f>F2556</f>
        <v>0.06</v>
      </c>
      <c r="O2556" s="9">
        <f>H2556</f>
        <v>1.6E-2</v>
      </c>
      <c r="P2556" s="10">
        <f t="shared" si="85"/>
        <v>0</v>
      </c>
      <c r="Q2556" s="10">
        <f>IF(K2556=0,IF(A2553=A2556,AVERAGE(O2553:O2556),"x"),0)</f>
        <v>0</v>
      </c>
      <c r="R2556" s="9">
        <f>IF(L2556&gt;2005,AVERAGE(O2553:O2572),0)</f>
        <v>0</v>
      </c>
      <c r="S2556" s="10">
        <f>IF(A2556=A2557,(N2556-N2557)/N2557,0)</f>
        <v>0</v>
      </c>
      <c r="T2556" s="10">
        <f>IF(L2556&gt;2005,(((N2556-N2576)/N2576)+1)^(1/5)-1,0)</f>
        <v>0</v>
      </c>
      <c r="U2556" s="10">
        <f t="shared" si="86"/>
        <v>0</v>
      </c>
      <c r="V2556" s="26">
        <f t="shared" si="87"/>
        <v>0</v>
      </c>
      <c r="W2556" s="3">
        <f>IF(A2556=A2557,N2556-N2557,0)</f>
        <v>0</v>
      </c>
      <c r="X2556" s="10">
        <f>IF(A2556=A2557,(N2556-N2557)/N2557,0)</f>
        <v>0</v>
      </c>
    </row>
    <row r="2557" spans="1:24" ht="16.5" customHeight="1">
      <c r="A2557" s="3" t="s">
        <v>51</v>
      </c>
      <c r="B2557" s="3">
        <f t="shared" si="80"/>
        <v>2002</v>
      </c>
      <c r="C2557" s="3">
        <f t="shared" si="81"/>
        <v>8</v>
      </c>
      <c r="D2557" s="20" t="str">
        <f t="shared" si="82"/>
        <v>ADM20028</v>
      </c>
      <c r="E2557" s="2">
        <v>37483</v>
      </c>
      <c r="F2557" s="3">
        <v>0.06</v>
      </c>
      <c r="G2557" s="2">
        <v>37508</v>
      </c>
      <c r="H2557" s="3">
        <v>1.7500000000000002E-2</v>
      </c>
      <c r="I2557" s="3">
        <v>0.2</v>
      </c>
      <c r="J2557" s="3">
        <v>0.01</v>
      </c>
      <c r="K2557" s="3">
        <f t="shared" si="83"/>
        <v>2002</v>
      </c>
      <c r="L2557" s="3">
        <f t="shared" si="84"/>
        <v>0</v>
      </c>
      <c r="M2557" s="20" t="str">
        <f>A2557&amp;L2557</f>
        <v>ADM0</v>
      </c>
      <c r="N2557" s="3">
        <f>F2557</f>
        <v>0.06</v>
      </c>
      <c r="O2557" s="9">
        <f>H2557</f>
        <v>1.7500000000000002E-2</v>
      </c>
      <c r="P2557" s="10">
        <f t="shared" si="85"/>
        <v>1.4875000000000001E-2</v>
      </c>
      <c r="Q2557" s="10">
        <f>IF(K2557=0,IF(A2554=A2557,AVERAGE(O2554:O2557),"x"),0)</f>
        <v>0</v>
      </c>
      <c r="R2557" s="9">
        <f>IF(L2557&gt;2005,AVERAGE(O2554:O2573),0)</f>
        <v>0</v>
      </c>
      <c r="S2557" s="10">
        <f>IF(A2557=A2558,(N2557-N2558)/N2558,0)</f>
        <v>0.1999999999999999</v>
      </c>
      <c r="T2557" s="10">
        <f>IF(L2557&gt;2005,(((N2557-N2577)/N2577)+1)^(1/5)-1,0)</f>
        <v>0</v>
      </c>
      <c r="U2557" s="10">
        <f t="shared" si="86"/>
        <v>0</v>
      </c>
      <c r="V2557" s="26">
        <f t="shared" si="87"/>
        <v>0</v>
      </c>
      <c r="W2557" s="3">
        <f>IF(A2557=A2558,N2557-N2558,0)</f>
        <v>9.999999999999995E-3</v>
      </c>
      <c r="X2557" s="10">
        <f>IF(A2557=A2558,(N2557-N2558)/N2558,0)</f>
        <v>0.1999999999999999</v>
      </c>
    </row>
    <row r="2558" spans="1:24" ht="16.5" customHeight="1">
      <c r="A2558" s="3" t="s">
        <v>51</v>
      </c>
      <c r="B2558" s="3">
        <f t="shared" si="80"/>
        <v>2002</v>
      </c>
      <c r="C2558" s="3">
        <f t="shared" si="81"/>
        <v>5</v>
      </c>
      <c r="D2558" s="20" t="str">
        <f t="shared" si="82"/>
        <v>ADM20025</v>
      </c>
      <c r="E2558" s="2">
        <v>37384</v>
      </c>
      <c r="F2558" s="3">
        <v>0.05</v>
      </c>
      <c r="G2558" s="2">
        <v>37410</v>
      </c>
      <c r="H2558" s="3">
        <v>1.46E-2</v>
      </c>
      <c r="I2558" s="3">
        <v>0</v>
      </c>
      <c r="J2558" s="3">
        <v>0</v>
      </c>
      <c r="K2558" s="3">
        <f t="shared" si="83"/>
        <v>2002</v>
      </c>
      <c r="L2558" s="3">
        <f t="shared" si="84"/>
        <v>0</v>
      </c>
      <c r="M2558" s="20" t="str">
        <f>A2558&amp;L2558</f>
        <v>ADM0</v>
      </c>
      <c r="N2558" s="3">
        <f>F2558</f>
        <v>0.05</v>
      </c>
      <c r="O2558" s="9">
        <f>H2558</f>
        <v>1.46E-2</v>
      </c>
      <c r="P2558" s="10">
        <f t="shared" si="85"/>
        <v>0</v>
      </c>
      <c r="Q2558" s="10">
        <f>IF(K2558=0,IF(A2555=A2558,AVERAGE(O2555:O2558),"x"),0)</f>
        <v>0</v>
      </c>
      <c r="R2558" s="9">
        <f>IF(L2558&gt;2005,AVERAGE(O2555:O2574),0)</f>
        <v>0</v>
      </c>
      <c r="S2558" s="10">
        <f>IF(A2558=A2559,(N2558-N2559)/N2559,0)</f>
        <v>0</v>
      </c>
      <c r="T2558" s="10">
        <f>IF(L2558&gt;2005,(((N2558-N2578)/N2578)+1)^(1/5)-1,0)</f>
        <v>0</v>
      </c>
      <c r="U2558" s="10">
        <f t="shared" si="86"/>
        <v>0</v>
      </c>
      <c r="V2558" s="26">
        <f t="shared" si="87"/>
        <v>0</v>
      </c>
      <c r="W2558" s="3">
        <f>IF(A2558=A2559,N2558-N2559,0)</f>
        <v>0</v>
      </c>
      <c r="X2558" s="10">
        <f>IF(A2558=A2559,(N2558-N2559)/N2559,0)</f>
        <v>0</v>
      </c>
    </row>
    <row r="2559" spans="1:24" ht="16.5" customHeight="1">
      <c r="A2559" s="3" t="s">
        <v>51</v>
      </c>
      <c r="B2559" s="3">
        <f t="shared" si="80"/>
        <v>2002</v>
      </c>
      <c r="C2559" s="3">
        <f t="shared" si="81"/>
        <v>2</v>
      </c>
      <c r="D2559" s="20" t="str">
        <f t="shared" si="82"/>
        <v>ADM20022</v>
      </c>
      <c r="E2559" s="2">
        <v>37293</v>
      </c>
      <c r="F2559" s="3">
        <v>0.05</v>
      </c>
      <c r="G2559" s="2">
        <v>37320</v>
      </c>
      <c r="H2559" s="3">
        <v>1.4500000000000001E-2</v>
      </c>
      <c r="I2559" s="3">
        <v>0</v>
      </c>
      <c r="J2559" s="3">
        <v>0</v>
      </c>
      <c r="K2559" s="3">
        <f t="shared" si="83"/>
        <v>0</v>
      </c>
      <c r="L2559" s="3">
        <f t="shared" si="84"/>
        <v>2002</v>
      </c>
      <c r="M2559" s="20" t="str">
        <f>A2559&amp;L2559</f>
        <v>ADM2002</v>
      </c>
      <c r="N2559" s="3">
        <f>F2559</f>
        <v>0.05</v>
      </c>
      <c r="O2559" s="9">
        <f>H2559</f>
        <v>1.4500000000000001E-2</v>
      </c>
      <c r="P2559" s="10">
        <f t="shared" si="85"/>
        <v>0</v>
      </c>
      <c r="Q2559" s="10">
        <f>IF(K2559=0,IF(A2556=A2559,AVERAGE(O2556:O2559),"x"),0)</f>
        <v>1.5650000000000001E-2</v>
      </c>
      <c r="R2559" s="9">
        <f>IF(L2559&gt;2005,AVERAGE(O2556:O2575),0)</f>
        <v>0</v>
      </c>
      <c r="S2559" s="10">
        <f>IF(A2559=A2560,(N2559-N2560)/N2560,0)</f>
        <v>0</v>
      </c>
      <c r="T2559" s="10">
        <f>IF(L2559&gt;2005,(((N2559-N2579)/N2579)+1)^(1/5)-1,0)</f>
        <v>0</v>
      </c>
      <c r="U2559" s="10">
        <f t="shared" si="86"/>
        <v>0</v>
      </c>
      <c r="V2559" s="26">
        <f t="shared" si="87"/>
        <v>0</v>
      </c>
      <c r="W2559" s="3">
        <f>IF(A2559=A2560,N2559-N2560,0)</f>
        <v>0</v>
      </c>
      <c r="X2559" s="10">
        <f>IF(A2559=A2560,(N2559-N2560)/N2560,0)</f>
        <v>0</v>
      </c>
    </row>
    <row r="2560" spans="1:24" ht="16.5" customHeight="1">
      <c r="A2560" s="3" t="s">
        <v>51</v>
      </c>
      <c r="B2560" s="3">
        <f t="shared" si="80"/>
        <v>2001</v>
      </c>
      <c r="C2560" s="3">
        <f t="shared" si="81"/>
        <v>11</v>
      </c>
      <c r="D2560" s="20" t="str">
        <f t="shared" si="82"/>
        <v>ADM200111</v>
      </c>
      <c r="E2560" s="2">
        <v>37202</v>
      </c>
      <c r="F2560" s="3">
        <v>0.05</v>
      </c>
      <c r="G2560" s="2">
        <v>37229</v>
      </c>
      <c r="H2560" s="3">
        <v>1.29E-2</v>
      </c>
      <c r="I2560" s="3">
        <v>0</v>
      </c>
      <c r="J2560" s="3">
        <v>0</v>
      </c>
      <c r="K2560" s="3">
        <f t="shared" si="83"/>
        <v>2001</v>
      </c>
      <c r="L2560" s="3">
        <f t="shared" si="84"/>
        <v>0</v>
      </c>
      <c r="M2560" s="20" t="str">
        <f>A2560&amp;L2560</f>
        <v>ADM0</v>
      </c>
      <c r="N2560" s="3">
        <f>F2560</f>
        <v>0.05</v>
      </c>
      <c r="O2560" s="9">
        <f>H2560</f>
        <v>1.29E-2</v>
      </c>
      <c r="P2560" s="10">
        <f t="shared" si="85"/>
        <v>0</v>
      </c>
      <c r="Q2560" s="10">
        <f>IF(K2560=0,IF(A2557=A2560,AVERAGE(O2557:O2560),"x"),0)</f>
        <v>0</v>
      </c>
      <c r="R2560" s="9">
        <f>IF(L2560&gt;2005,AVERAGE(O2557:O2576),0)</f>
        <v>0</v>
      </c>
      <c r="S2560" s="10">
        <f>IF(A2560=A2561,(N2560-N2561)/N2561,0)</f>
        <v>0</v>
      </c>
      <c r="T2560" s="10">
        <f>IF(L2560&gt;2005,(((N2560-N2580)/N2580)+1)^(1/5)-1,0)</f>
        <v>0</v>
      </c>
      <c r="U2560" s="10">
        <f t="shared" si="86"/>
        <v>0</v>
      </c>
      <c r="V2560" s="26">
        <f t="shared" si="87"/>
        <v>0</v>
      </c>
      <c r="W2560" s="3">
        <f>IF(A2560=A2561,N2560-N2561,0)</f>
        <v>0</v>
      </c>
      <c r="X2560" s="10">
        <f>IF(A2560=A2561,(N2560-N2561)/N2561,0)</f>
        <v>0</v>
      </c>
    </row>
    <row r="2561" spans="1:24" ht="16.5" customHeight="1">
      <c r="A2561" s="3" t="s">
        <v>51</v>
      </c>
      <c r="B2561" s="3">
        <f t="shared" si="80"/>
        <v>2001</v>
      </c>
      <c r="C2561" s="3">
        <f t="shared" si="81"/>
        <v>8</v>
      </c>
      <c r="D2561" s="20" t="str">
        <f t="shared" si="82"/>
        <v>ADM20018</v>
      </c>
      <c r="E2561" s="2">
        <v>37112</v>
      </c>
      <c r="F2561" s="3">
        <v>0.05</v>
      </c>
      <c r="G2561" s="2">
        <v>37138</v>
      </c>
      <c r="H2561" s="3">
        <v>1.52E-2</v>
      </c>
      <c r="I2561" s="3">
        <v>0</v>
      </c>
      <c r="J2561" s="3">
        <v>0</v>
      </c>
      <c r="K2561" s="3">
        <f t="shared" si="83"/>
        <v>2001</v>
      </c>
      <c r="L2561" s="3">
        <f t="shared" si="84"/>
        <v>0</v>
      </c>
      <c r="M2561" s="20" t="str">
        <f>A2561&amp;L2561</f>
        <v>ADM0</v>
      </c>
      <c r="N2561" s="3">
        <f>F2561</f>
        <v>0.05</v>
      </c>
      <c r="O2561" s="9">
        <f>H2561</f>
        <v>1.52E-2</v>
      </c>
      <c r="P2561" s="10">
        <f t="shared" si="85"/>
        <v>0</v>
      </c>
      <c r="Q2561" s="10">
        <f>IF(K2561=0,IF(A2558=A2561,AVERAGE(O2558:O2561),"x"),0)</f>
        <v>0</v>
      </c>
      <c r="R2561" s="9">
        <f>IF(L2561&gt;2005,AVERAGE(O2558:O2577),0)</f>
        <v>0</v>
      </c>
      <c r="S2561" s="10">
        <f>IF(A2561=A2562,(N2561-N2562)/N2562,0)</f>
        <v>0</v>
      </c>
      <c r="T2561" s="10">
        <f>IF(L2561&gt;2005,(((N2561-N2581)/N2581)+1)^(1/5)-1,0)</f>
        <v>0</v>
      </c>
      <c r="U2561" s="10">
        <f t="shared" si="86"/>
        <v>0</v>
      </c>
      <c r="V2561" s="26">
        <f t="shared" si="87"/>
        <v>0</v>
      </c>
      <c r="W2561" s="3">
        <f>IF(A2561=A2562,N2561-N2562,0)</f>
        <v>0</v>
      </c>
      <c r="X2561" s="10">
        <f>IF(A2561=A2562,(N2561-N2562)/N2562,0)</f>
        <v>0</v>
      </c>
    </row>
    <row r="2562" spans="1:24" ht="16.5" customHeight="1">
      <c r="A2562" s="3" t="s">
        <v>51</v>
      </c>
      <c r="B2562" s="3">
        <f t="shared" si="80"/>
        <v>2001</v>
      </c>
      <c r="C2562" s="3">
        <f t="shared" si="81"/>
        <v>5</v>
      </c>
      <c r="D2562" s="20" t="str">
        <f t="shared" si="82"/>
        <v>ADM20015</v>
      </c>
      <c r="E2562" s="2">
        <v>37020</v>
      </c>
      <c r="F2562" s="3">
        <v>0.05</v>
      </c>
      <c r="G2562" s="2">
        <v>37046</v>
      </c>
      <c r="H2562" s="3">
        <v>1.52E-2</v>
      </c>
      <c r="I2562" s="3">
        <v>0</v>
      </c>
      <c r="J2562" s="3">
        <v>0</v>
      </c>
      <c r="K2562" s="3">
        <f t="shared" si="83"/>
        <v>2001</v>
      </c>
      <c r="L2562" s="3">
        <f t="shared" si="84"/>
        <v>0</v>
      </c>
      <c r="M2562" s="20" t="str">
        <f>A2562&amp;L2562</f>
        <v>ADM0</v>
      </c>
      <c r="N2562" s="3">
        <f>F2562</f>
        <v>0.05</v>
      </c>
      <c r="O2562" s="9">
        <f>H2562</f>
        <v>1.52E-2</v>
      </c>
      <c r="P2562" s="10">
        <f t="shared" si="85"/>
        <v>0</v>
      </c>
      <c r="Q2562" s="10">
        <f>IF(K2562=0,IF(A2559=A2562,AVERAGE(O2559:O2562),"x"),0)</f>
        <v>0</v>
      </c>
      <c r="R2562" s="9">
        <f>IF(L2562&gt;2005,AVERAGE(O2559:O2578),0)</f>
        <v>0</v>
      </c>
      <c r="S2562" s="10">
        <f>IF(A2562=A2563,(N2562-N2563)/N2563,0)</f>
        <v>0</v>
      </c>
      <c r="T2562" s="10">
        <f>IF(L2562&gt;2005,(((N2562-N2582)/N2582)+1)^(1/5)-1,0)</f>
        <v>0</v>
      </c>
      <c r="U2562" s="10">
        <f t="shared" si="86"/>
        <v>0</v>
      </c>
      <c r="V2562" s="26">
        <f t="shared" si="87"/>
        <v>0</v>
      </c>
      <c r="W2562" s="3">
        <f>IF(A2562=A2563,N2562-N2563,0)</f>
        <v>0</v>
      </c>
      <c r="X2562" s="10">
        <f>IF(A2562=A2563,(N2562-N2563)/N2563,0)</f>
        <v>0</v>
      </c>
    </row>
    <row r="2563" spans="1:24" ht="16.5" customHeight="1">
      <c r="A2563" s="3" t="s">
        <v>51</v>
      </c>
      <c r="B2563" s="3">
        <f t="shared" si="80"/>
        <v>2001</v>
      </c>
      <c r="C2563" s="3">
        <f t="shared" si="81"/>
        <v>1</v>
      </c>
      <c r="D2563" s="20" t="str">
        <f t="shared" si="82"/>
        <v>ADM20011</v>
      </c>
      <c r="E2563" s="2">
        <v>36922</v>
      </c>
      <c r="F2563" s="3">
        <v>0.05</v>
      </c>
      <c r="G2563" s="2">
        <v>36955</v>
      </c>
      <c r="H2563" s="3">
        <v>1.3100000000000001E-2</v>
      </c>
      <c r="I2563" s="3">
        <v>0</v>
      </c>
      <c r="J2563" s="3">
        <v>0</v>
      </c>
      <c r="K2563" s="3">
        <f t="shared" si="83"/>
        <v>0</v>
      </c>
      <c r="L2563" s="3">
        <f t="shared" si="84"/>
        <v>2001</v>
      </c>
      <c r="M2563" s="20" t="str">
        <f>A2563&amp;L2563</f>
        <v>ADM2001</v>
      </c>
      <c r="N2563" s="3">
        <f>F2563</f>
        <v>0.05</v>
      </c>
      <c r="O2563" s="9">
        <f>H2563</f>
        <v>1.3100000000000001E-2</v>
      </c>
      <c r="P2563" s="10">
        <f t="shared" si="85"/>
        <v>0</v>
      </c>
      <c r="Q2563" s="10">
        <f>IF(K2563=0,IF(A2560=A2563,AVERAGE(O2560:O2563),"x"),0)</f>
        <v>1.41E-2</v>
      </c>
      <c r="R2563" s="9">
        <f>IF(L2563&gt;2005,AVERAGE(O2560:O2579),0)</f>
        <v>0</v>
      </c>
      <c r="S2563" s="10">
        <f>IF(A2563=A2564,(N2563-N2564)/N2564,0)</f>
        <v>0</v>
      </c>
      <c r="T2563" s="10">
        <f>IF(L2563&gt;2005,(((N2563-N2583)/N2583)+1)^(1/5)-1,0)</f>
        <v>0</v>
      </c>
      <c r="U2563" s="10">
        <f t="shared" si="86"/>
        <v>0</v>
      </c>
      <c r="V2563" s="26">
        <f t="shared" si="87"/>
        <v>0</v>
      </c>
      <c r="W2563" s="3">
        <f>IF(A2563=A2564,N2563-N2564,0)</f>
        <v>0</v>
      </c>
      <c r="X2563" s="10">
        <f>IF(A2563=A2564,(N2563-N2564)/N2564,0)</f>
        <v>0</v>
      </c>
    </row>
    <row r="2564" spans="1:24" ht="16.5" customHeight="1">
      <c r="A2564" s="3" t="s">
        <v>51</v>
      </c>
      <c r="B2564" s="3">
        <f t="shared" si="80"/>
        <v>2000</v>
      </c>
      <c r="C2564" s="3">
        <f t="shared" si="81"/>
        <v>11</v>
      </c>
      <c r="D2564" s="20" t="str">
        <f t="shared" si="82"/>
        <v>ADM200011</v>
      </c>
      <c r="E2564" s="2">
        <v>36838</v>
      </c>
      <c r="F2564" s="3">
        <v>0.05</v>
      </c>
      <c r="G2564" s="2">
        <v>36864</v>
      </c>
      <c r="H2564" s="3">
        <v>1.7600000000000001E-2</v>
      </c>
      <c r="I2564" s="3">
        <v>0</v>
      </c>
      <c r="J2564" s="3">
        <v>0</v>
      </c>
      <c r="K2564" s="3">
        <f t="shared" si="83"/>
        <v>2000</v>
      </c>
      <c r="L2564" s="3">
        <f t="shared" si="84"/>
        <v>0</v>
      </c>
      <c r="M2564" s="20" t="str">
        <f>A2564&amp;L2564</f>
        <v>ADM0</v>
      </c>
      <c r="N2564" s="3">
        <f>F2564</f>
        <v>0.05</v>
      </c>
      <c r="O2564" s="9">
        <f>H2564</f>
        <v>1.7600000000000001E-2</v>
      </c>
      <c r="P2564" s="10">
        <f t="shared" si="85"/>
        <v>0</v>
      </c>
      <c r="Q2564" s="10">
        <f>IF(K2564=0,IF(A2561=A2564,AVERAGE(O2561:O2564),"x"),0)</f>
        <v>0</v>
      </c>
      <c r="R2564" s="9">
        <f>IF(L2564&gt;2005,AVERAGE(O2561:O2580),0)</f>
        <v>0</v>
      </c>
      <c r="S2564" s="10">
        <f>IF(A2564=A2565,(N2564-N2565)/N2565,0)</f>
        <v>0</v>
      </c>
      <c r="T2564" s="10">
        <f>IF(L2564&gt;2005,(((N2564-N2584)/N2584)+1)^(1/5)-1,0)</f>
        <v>0</v>
      </c>
      <c r="U2564" s="10">
        <f t="shared" si="86"/>
        <v>0</v>
      </c>
      <c r="V2564" s="26">
        <f t="shared" si="87"/>
        <v>0</v>
      </c>
      <c r="W2564" s="3">
        <f>IF(A2564=A2565,N2564-N2565,0)</f>
        <v>0</v>
      </c>
      <c r="X2564" s="10">
        <f>IF(A2564=A2565,(N2564-N2565)/N2565,0)</f>
        <v>0</v>
      </c>
    </row>
    <row r="2565" spans="1:24" ht="16.5" customHeight="1">
      <c r="A2565" s="3" t="s">
        <v>51</v>
      </c>
      <c r="B2565" s="3">
        <f t="shared" si="80"/>
        <v>2000</v>
      </c>
      <c r="C2565" s="3">
        <f t="shared" si="81"/>
        <v>8</v>
      </c>
      <c r="D2565" s="20" t="str">
        <f t="shared" si="82"/>
        <v>ADM20008</v>
      </c>
      <c r="E2565" s="2">
        <v>36747</v>
      </c>
      <c r="F2565" s="3">
        <v>0.05</v>
      </c>
      <c r="G2565" s="2">
        <v>36773</v>
      </c>
      <c r="H2565" s="3">
        <v>2.0400000000000001E-2</v>
      </c>
      <c r="I2565" s="3">
        <v>0</v>
      </c>
      <c r="J2565" s="3">
        <v>0</v>
      </c>
      <c r="K2565" s="3">
        <f t="shared" si="83"/>
        <v>2000</v>
      </c>
      <c r="L2565" s="3">
        <f t="shared" si="84"/>
        <v>0</v>
      </c>
      <c r="M2565" s="20" t="str">
        <f>A2565&amp;L2565</f>
        <v>ADM0</v>
      </c>
      <c r="N2565" s="3">
        <f>F2565</f>
        <v>0.05</v>
      </c>
      <c r="O2565" s="9">
        <f>H2565</f>
        <v>2.0400000000000001E-2</v>
      </c>
      <c r="P2565" s="10">
        <f t="shared" si="85"/>
        <v>0</v>
      </c>
      <c r="Q2565" s="10">
        <f>IF(K2565=0,IF(A2562=A2565,AVERAGE(O2562:O2565),"x"),0)</f>
        <v>0</v>
      </c>
      <c r="R2565" s="9">
        <f>IF(L2565&gt;2005,AVERAGE(O2562:O2581),0)</f>
        <v>0</v>
      </c>
      <c r="S2565" s="10">
        <f>IF(A2565=A2566,(N2565-N2566)/N2566,0)</f>
        <v>0</v>
      </c>
      <c r="T2565" s="10">
        <f>IF(L2565&gt;2005,(((N2565-N2585)/N2585)+1)^(1/5)-1,0)</f>
        <v>0</v>
      </c>
      <c r="U2565" s="10">
        <f t="shared" si="86"/>
        <v>0</v>
      </c>
      <c r="V2565" s="26">
        <f t="shared" si="87"/>
        <v>0</v>
      </c>
      <c r="W2565" s="3">
        <f>IF(A2565=A2566,N2565-N2566,0)</f>
        <v>0</v>
      </c>
      <c r="X2565" s="10">
        <f>IF(A2565=A2566,(N2565-N2566)/N2566,0)</f>
        <v>0</v>
      </c>
    </row>
    <row r="2566" spans="1:24" ht="16.5" customHeight="1">
      <c r="A2566" s="3" t="s">
        <v>51</v>
      </c>
      <c r="B2566" s="3">
        <f t="shared" si="80"/>
        <v>2000</v>
      </c>
      <c r="C2566" s="3">
        <f t="shared" si="81"/>
        <v>5</v>
      </c>
      <c r="D2566" s="20" t="str">
        <f t="shared" si="82"/>
        <v>ADM20005</v>
      </c>
      <c r="E2566" s="2">
        <v>36649</v>
      </c>
      <c r="F2566" s="3">
        <v>0.05</v>
      </c>
      <c r="G2566" s="2">
        <v>36682</v>
      </c>
      <c r="H2566" s="3">
        <v>1.9199999999999998E-2</v>
      </c>
      <c r="I2566" s="3">
        <v>0</v>
      </c>
      <c r="J2566" s="3">
        <v>0</v>
      </c>
      <c r="K2566" s="3">
        <f t="shared" si="83"/>
        <v>2000</v>
      </c>
      <c r="L2566" s="3">
        <f t="shared" si="84"/>
        <v>0</v>
      </c>
      <c r="M2566" s="20" t="str">
        <f>A2566&amp;L2566</f>
        <v>ADM0</v>
      </c>
      <c r="N2566" s="3">
        <f>F2566</f>
        <v>0.05</v>
      </c>
      <c r="O2566" s="9">
        <f>H2566</f>
        <v>1.9199999999999998E-2</v>
      </c>
      <c r="P2566" s="10">
        <f t="shared" si="85"/>
        <v>0</v>
      </c>
      <c r="Q2566" s="10">
        <f>IF(K2566=0,IF(A2563=A2566,AVERAGE(O2563:O2566),"x"),0)</f>
        <v>0</v>
      </c>
      <c r="R2566" s="9">
        <f>IF(L2566&gt;2005,AVERAGE(O2563:O2582),0)</f>
        <v>0</v>
      </c>
      <c r="S2566" s="10">
        <f>IF(A2566=A2567,(N2566-N2567)/N2567,0)</f>
        <v>0</v>
      </c>
      <c r="T2566" s="10">
        <f>IF(L2566&gt;2005,(((N2566-N2586)/N2586)+1)^(1/5)-1,0)</f>
        <v>0</v>
      </c>
      <c r="U2566" s="10">
        <f t="shared" si="86"/>
        <v>0</v>
      </c>
      <c r="V2566" s="26">
        <f t="shared" si="87"/>
        <v>0</v>
      </c>
      <c r="W2566" s="3">
        <f>IF(A2566=A2567,N2566-N2567,0)</f>
        <v>0</v>
      </c>
      <c r="X2566" s="10">
        <f>IF(A2566=A2567,(N2566-N2567)/N2567,0)</f>
        <v>0</v>
      </c>
    </row>
    <row r="2567" spans="1:24" ht="16.5" customHeight="1">
      <c r="A2567" s="14" t="s">
        <v>51</v>
      </c>
      <c r="B2567" s="3">
        <f t="shared" si="80"/>
        <v>2000</v>
      </c>
      <c r="C2567" s="3">
        <f t="shared" si="81"/>
        <v>2</v>
      </c>
      <c r="D2567" s="20" t="str">
        <f t="shared" si="82"/>
        <v>ADM20002</v>
      </c>
      <c r="E2567" s="15">
        <v>36558</v>
      </c>
      <c r="F2567" s="14">
        <v>0.05</v>
      </c>
      <c r="G2567" s="15">
        <v>36584</v>
      </c>
      <c r="H2567" s="14">
        <v>1.6299999999999999E-2</v>
      </c>
      <c r="I2567" s="14">
        <v>0</v>
      </c>
      <c r="J2567" s="14">
        <v>0</v>
      </c>
      <c r="K2567" s="3">
        <f t="shared" si="83"/>
        <v>0</v>
      </c>
      <c r="L2567" s="3">
        <f t="shared" si="84"/>
        <v>2000</v>
      </c>
      <c r="M2567" s="20" t="str">
        <f>A2567&amp;L2567</f>
        <v>ADM2000</v>
      </c>
      <c r="N2567" s="14">
        <f>F2567</f>
        <v>0.05</v>
      </c>
      <c r="O2567" s="9">
        <f>H2567</f>
        <v>1.6299999999999999E-2</v>
      </c>
      <c r="P2567" s="10">
        <f t="shared" si="85"/>
        <v>0</v>
      </c>
      <c r="Q2567" s="10">
        <f>IF(K2567=0,IF(A2564=A2567,AVERAGE(O2564:O2567),"x"),0)</f>
        <v>1.8374999999999999E-2</v>
      </c>
      <c r="R2567" s="9">
        <f>IF(L2567&gt;2005,AVERAGE(O2564:O2583),0)</f>
        <v>0</v>
      </c>
      <c r="S2567" s="10">
        <f>IF(A2567=A2568,(N2567-N2568)/N2568,0)</f>
        <v>0</v>
      </c>
      <c r="T2567" s="10">
        <f>IF(L2567&gt;2005,(((N2567-N2587)/N2587)+1)^(1/5)-1,0)</f>
        <v>0</v>
      </c>
      <c r="U2567" s="10">
        <f t="shared" si="86"/>
        <v>0</v>
      </c>
      <c r="V2567" s="26">
        <f t="shared" si="87"/>
        <v>0</v>
      </c>
      <c r="W2567" s="3">
        <f>IF(A2567=A2568,N2567-N2568,0)</f>
        <v>0</v>
      </c>
      <c r="X2567" s="10">
        <f>IF(A2567=A2568,(N2567-N2568)/N2568,0)</f>
        <v>0</v>
      </c>
    </row>
    <row r="2568" spans="1:24" ht="16.5" customHeight="1">
      <c r="A2568" s="3" t="s">
        <v>52</v>
      </c>
      <c r="B2568" s="3">
        <f t="shared" si="80"/>
        <v>2022</v>
      </c>
      <c r="C2568" s="3">
        <f t="shared" si="81"/>
        <v>10</v>
      </c>
      <c r="D2568" s="20" t="str">
        <f t="shared" si="82"/>
        <v>AOS202210</v>
      </c>
      <c r="E2568" s="2">
        <v>44862</v>
      </c>
      <c r="F2568" s="3">
        <v>0.3</v>
      </c>
      <c r="G2568" s="2">
        <v>44880</v>
      </c>
      <c r="H2568" s="3">
        <v>2.3E-2</v>
      </c>
      <c r="I2568" s="3">
        <v>7.1428570999999996E-2</v>
      </c>
      <c r="J2568" s="3">
        <v>0.02</v>
      </c>
      <c r="K2568" s="3">
        <f t="shared" si="83"/>
        <v>2022</v>
      </c>
      <c r="L2568" s="3">
        <f t="shared" si="84"/>
        <v>0</v>
      </c>
      <c r="M2568" s="20" t="str">
        <f>A2568&amp;L2568</f>
        <v>AOS0</v>
      </c>
      <c r="N2568" s="3">
        <f>F2568</f>
        <v>0.3</v>
      </c>
      <c r="O2568" s="9">
        <f>H2568</f>
        <v>2.3E-2</v>
      </c>
      <c r="P2568" s="10">
        <f t="shared" si="85"/>
        <v>1.8525E-2</v>
      </c>
      <c r="Q2568" s="10">
        <f>IF(K2568=0,IF(A2565=A2568,AVERAGE(O2565:O2568),"x"),0)</f>
        <v>0</v>
      </c>
      <c r="R2568" s="9">
        <f>IF(L2568&gt;2005,AVERAGE(O2565:O2584),0)</f>
        <v>0</v>
      </c>
      <c r="S2568" s="10">
        <f>IF(A2568=A2569,(N2568-N2569)/N2569,0)</f>
        <v>7.1428571428571286E-2</v>
      </c>
      <c r="T2568" s="10">
        <f>IF(L2568&gt;2005,(((N2568-N2588)/N2588)+1)^(1/5)-1,0)</f>
        <v>0</v>
      </c>
      <c r="U2568" s="10">
        <f t="shared" si="86"/>
        <v>0</v>
      </c>
      <c r="V2568" s="26">
        <f t="shared" si="87"/>
        <v>0</v>
      </c>
      <c r="W2568" s="3">
        <f>IF(A2568=A2569,N2568-N2569,0)</f>
        <v>1.9999999999999962E-2</v>
      </c>
      <c r="X2568" s="10">
        <f>IF(A2568=A2569,(N2568-N2569)/N2569,0)</f>
        <v>7.1428571428571286E-2</v>
      </c>
    </row>
    <row r="2569" spans="1:24" ht="16.5" customHeight="1">
      <c r="A2569" s="3" t="s">
        <v>52</v>
      </c>
      <c r="B2569" s="3">
        <f t="shared" si="80"/>
        <v>2022</v>
      </c>
      <c r="C2569" s="3">
        <f t="shared" si="81"/>
        <v>7</v>
      </c>
      <c r="D2569" s="20" t="str">
        <f t="shared" si="82"/>
        <v>AOS20227</v>
      </c>
      <c r="E2569" s="2">
        <v>44770</v>
      </c>
      <c r="F2569" s="3">
        <v>0.28000000000000003</v>
      </c>
      <c r="G2569" s="2">
        <v>44788</v>
      </c>
      <c r="H2569" s="3">
        <v>1.8499999999999999E-2</v>
      </c>
      <c r="I2569" s="3">
        <v>0</v>
      </c>
      <c r="J2569" s="3">
        <v>0</v>
      </c>
      <c r="K2569" s="3">
        <f t="shared" si="83"/>
        <v>2022</v>
      </c>
      <c r="L2569" s="3">
        <f t="shared" si="84"/>
        <v>0</v>
      </c>
      <c r="M2569" s="20" t="str">
        <f>A2569&amp;L2569</f>
        <v>AOS0</v>
      </c>
      <c r="N2569" s="3">
        <f>F2569</f>
        <v>0.28000000000000003</v>
      </c>
      <c r="O2569" s="9">
        <f>H2569</f>
        <v>1.8499999999999999E-2</v>
      </c>
      <c r="P2569" s="10">
        <f t="shared" si="85"/>
        <v>0</v>
      </c>
      <c r="Q2569" s="10">
        <f>IF(K2569=0,IF(A2566=A2569,AVERAGE(O2566:O2569),"x"),0)</f>
        <v>0</v>
      </c>
      <c r="R2569" s="9">
        <f>IF(L2569&gt;2005,AVERAGE(O2566:O2585),0)</f>
        <v>0</v>
      </c>
      <c r="S2569" s="10">
        <f>IF(A2569=A2570,(N2569-N2570)/N2570,0)</f>
        <v>0</v>
      </c>
      <c r="T2569" s="10">
        <f>IF(L2569&gt;2005,(((N2569-N2589)/N2589)+1)^(1/5)-1,0)</f>
        <v>0</v>
      </c>
      <c r="U2569" s="10">
        <f t="shared" si="86"/>
        <v>0</v>
      </c>
      <c r="V2569" s="26">
        <f t="shared" si="87"/>
        <v>0</v>
      </c>
      <c r="W2569" s="3">
        <f>IF(A2569=A2570,N2569-N2570,0)</f>
        <v>0</v>
      </c>
      <c r="X2569" s="10">
        <f>IF(A2569=A2570,(N2569-N2570)/N2570,0)</f>
        <v>0</v>
      </c>
    </row>
    <row r="2570" spans="1:24" ht="16.5" customHeight="1">
      <c r="A2570" s="3" t="s">
        <v>52</v>
      </c>
      <c r="B2570" s="3">
        <f t="shared" si="80"/>
        <v>2022</v>
      </c>
      <c r="C2570" s="3">
        <f t="shared" si="81"/>
        <v>4</v>
      </c>
      <c r="D2570" s="20" t="str">
        <f t="shared" si="82"/>
        <v>AOS20224</v>
      </c>
      <c r="E2570" s="2">
        <v>44679</v>
      </c>
      <c r="F2570" s="3">
        <v>0.28000000000000003</v>
      </c>
      <c r="G2570" s="2">
        <v>44697</v>
      </c>
      <c r="H2570" s="3">
        <v>1.78E-2</v>
      </c>
      <c r="I2570" s="3">
        <v>0</v>
      </c>
      <c r="J2570" s="3">
        <v>0</v>
      </c>
      <c r="K2570" s="3">
        <f t="shared" si="83"/>
        <v>2022</v>
      </c>
      <c r="L2570" s="3">
        <f t="shared" si="84"/>
        <v>0</v>
      </c>
      <c r="M2570" s="20" t="str">
        <f>A2570&amp;L2570</f>
        <v>AOS0</v>
      </c>
      <c r="N2570" s="3">
        <f>F2570</f>
        <v>0.28000000000000003</v>
      </c>
      <c r="O2570" s="9">
        <f>H2570</f>
        <v>1.78E-2</v>
      </c>
      <c r="P2570" s="10">
        <f t="shared" si="85"/>
        <v>0</v>
      </c>
      <c r="Q2570" s="10">
        <f>IF(K2570=0,IF(A2567=A2570,AVERAGE(O2567:O2570),"x"),0)</f>
        <v>0</v>
      </c>
      <c r="R2570" s="9">
        <f>IF(L2570&gt;2005,AVERAGE(O2567:O2586),0)</f>
        <v>0</v>
      </c>
      <c r="S2570" s="10">
        <f>IF(A2570=A2571,(N2570-N2571)/N2571,0)</f>
        <v>0</v>
      </c>
      <c r="T2570" s="10">
        <f>IF(L2570&gt;2005,(((N2570-N2590)/N2590)+1)^(1/5)-1,0)</f>
        <v>0</v>
      </c>
      <c r="U2570" s="10">
        <f t="shared" si="86"/>
        <v>0</v>
      </c>
      <c r="V2570" s="26">
        <f t="shared" si="87"/>
        <v>0</v>
      </c>
      <c r="W2570" s="3">
        <f>IF(A2570=A2571,N2570-N2571,0)</f>
        <v>0</v>
      </c>
      <c r="X2570" s="10">
        <f>IF(A2570=A2571,(N2570-N2571)/N2571,0)</f>
        <v>0</v>
      </c>
    </row>
    <row r="2571" spans="1:24" ht="16.5" customHeight="1">
      <c r="A2571" s="3" t="s">
        <v>52</v>
      </c>
      <c r="B2571" s="3">
        <f t="shared" si="80"/>
        <v>2022</v>
      </c>
      <c r="C2571" s="3">
        <f t="shared" si="81"/>
        <v>1</v>
      </c>
      <c r="D2571" s="20" t="str">
        <f t="shared" si="82"/>
        <v>AOS20221</v>
      </c>
      <c r="E2571" s="2">
        <v>44589</v>
      </c>
      <c r="F2571" s="3">
        <v>0.28000000000000003</v>
      </c>
      <c r="G2571" s="2">
        <v>44607</v>
      </c>
      <c r="H2571" s="3">
        <v>1.4800000000000001E-2</v>
      </c>
      <c r="I2571" s="3">
        <v>0</v>
      </c>
      <c r="J2571" s="3">
        <v>0</v>
      </c>
      <c r="K2571" s="3">
        <f t="shared" si="83"/>
        <v>0</v>
      </c>
      <c r="L2571" s="3">
        <f t="shared" si="84"/>
        <v>2022</v>
      </c>
      <c r="M2571" s="20" t="str">
        <f>A2571&amp;L2571</f>
        <v>AOS2022</v>
      </c>
      <c r="N2571" s="3">
        <f>F2571</f>
        <v>0.28000000000000003</v>
      </c>
      <c r="O2571" s="9">
        <f>H2571</f>
        <v>1.4800000000000001E-2</v>
      </c>
      <c r="P2571" s="10">
        <f t="shared" si="85"/>
        <v>0</v>
      </c>
      <c r="Q2571" s="10">
        <f>IF(K2571=0,IF(A2568=A2571,AVERAGE(O2568:O2571),"x"),0)</f>
        <v>1.8525E-2</v>
      </c>
      <c r="R2571" s="9">
        <f>IF(L2571&gt;2005,AVERAGE(O2568:O2587),0)</f>
        <v>1.7634999999999998E-2</v>
      </c>
      <c r="S2571" s="10">
        <f>IF(A2571=A2572,(N2571-N2572)/N2572,0)</f>
        <v>0</v>
      </c>
      <c r="T2571" s="10">
        <f>IF(L2571&gt;2005,(((N2571-N2591)/N2591)+1)^(1/5)-1,0)</f>
        <v>0.1486983549970351</v>
      </c>
      <c r="U2571" s="10">
        <f t="shared" si="86"/>
        <v>0.16633335499703511</v>
      </c>
      <c r="V2571" s="26">
        <f t="shared" si="87"/>
        <v>4.7777202610560581</v>
      </c>
      <c r="W2571" s="3">
        <f>IF(A2571=A2572,N2571-N2572,0)</f>
        <v>0</v>
      </c>
      <c r="X2571" s="10">
        <f>IF(A2571=A2572,(N2571-N2572)/N2572,0)</f>
        <v>0</v>
      </c>
    </row>
    <row r="2572" spans="1:24" ht="16.5" customHeight="1">
      <c r="A2572" s="3" t="s">
        <v>52</v>
      </c>
      <c r="B2572" s="3">
        <f t="shared" si="80"/>
        <v>2021</v>
      </c>
      <c r="C2572" s="3">
        <f t="shared" si="81"/>
        <v>10</v>
      </c>
      <c r="D2572" s="20" t="str">
        <f t="shared" si="82"/>
        <v>AOS202110</v>
      </c>
      <c r="E2572" s="2">
        <v>44497</v>
      </c>
      <c r="F2572" s="3">
        <v>0.28000000000000003</v>
      </c>
      <c r="G2572" s="2">
        <v>44515</v>
      </c>
      <c r="H2572" s="3">
        <v>1.7399999999999999E-2</v>
      </c>
      <c r="I2572" s="3">
        <v>7.6923077000000006E-2</v>
      </c>
      <c r="J2572" s="3">
        <v>0.02</v>
      </c>
      <c r="K2572" s="3">
        <f t="shared" si="83"/>
        <v>2021</v>
      </c>
      <c r="L2572" s="3">
        <f t="shared" si="84"/>
        <v>0</v>
      </c>
      <c r="M2572" s="20" t="str">
        <f>A2572&amp;L2572</f>
        <v>AOS0</v>
      </c>
      <c r="N2572" s="3">
        <f>F2572</f>
        <v>0.28000000000000003</v>
      </c>
      <c r="O2572" s="9">
        <f>H2572</f>
        <v>1.7399999999999999E-2</v>
      </c>
      <c r="P2572" s="10">
        <f t="shared" si="85"/>
        <v>1.6899999999999998E-2</v>
      </c>
      <c r="Q2572" s="10">
        <f>IF(K2572=0,IF(A2569=A2572,AVERAGE(O2569:O2572),"x"),0)</f>
        <v>0</v>
      </c>
      <c r="R2572" s="9">
        <f>IF(L2572&gt;2005,AVERAGE(O2569:O2588),0)</f>
        <v>0</v>
      </c>
      <c r="S2572" s="10">
        <f>IF(A2572=A2573,(N2572-N2573)/N2573,0)</f>
        <v>7.6923076923076983E-2</v>
      </c>
      <c r="T2572" s="10">
        <f>IF(L2572&gt;2005,(((N2572-N2592)/N2592)+1)^(1/5)-1,0)</f>
        <v>0</v>
      </c>
      <c r="U2572" s="10">
        <f t="shared" si="86"/>
        <v>0</v>
      </c>
      <c r="V2572" s="26">
        <f t="shared" si="87"/>
        <v>0</v>
      </c>
      <c r="W2572" s="3">
        <f>IF(A2572=A2573,N2572-N2573,0)</f>
        <v>2.0000000000000018E-2</v>
      </c>
      <c r="X2572" s="10">
        <f>IF(A2572=A2573,(N2572-N2573)/N2573,0)</f>
        <v>7.6923076923076983E-2</v>
      </c>
    </row>
    <row r="2573" spans="1:24" ht="16.5" customHeight="1">
      <c r="A2573" s="3" t="s">
        <v>52</v>
      </c>
      <c r="B2573" s="3">
        <f t="shared" si="80"/>
        <v>2021</v>
      </c>
      <c r="C2573" s="3">
        <f t="shared" si="81"/>
        <v>7</v>
      </c>
      <c r="D2573" s="20" t="str">
        <f t="shared" si="82"/>
        <v>AOS20217</v>
      </c>
      <c r="E2573" s="2">
        <v>44406</v>
      </c>
      <c r="F2573" s="3">
        <v>0.26</v>
      </c>
      <c r="G2573" s="2">
        <v>44424</v>
      </c>
      <c r="H2573" s="3">
        <v>1.4999999999999999E-2</v>
      </c>
      <c r="I2573" s="3">
        <v>0</v>
      </c>
      <c r="J2573" s="3">
        <v>0</v>
      </c>
      <c r="K2573" s="3">
        <f t="shared" si="83"/>
        <v>2021</v>
      </c>
      <c r="L2573" s="3">
        <f t="shared" si="84"/>
        <v>0</v>
      </c>
      <c r="M2573" s="20" t="str">
        <f>A2573&amp;L2573</f>
        <v>AOS0</v>
      </c>
      <c r="N2573" s="3">
        <f>F2573</f>
        <v>0.26</v>
      </c>
      <c r="O2573" s="9">
        <f>H2573</f>
        <v>1.4999999999999999E-2</v>
      </c>
      <c r="P2573" s="10">
        <f t="shared" si="85"/>
        <v>0</v>
      </c>
      <c r="Q2573" s="10">
        <f>IF(K2573=0,IF(A2570=A2573,AVERAGE(O2570:O2573),"x"),0)</f>
        <v>0</v>
      </c>
      <c r="R2573" s="9">
        <f>IF(L2573&gt;2005,AVERAGE(O2570:O2589),0)</f>
        <v>0</v>
      </c>
      <c r="S2573" s="10">
        <f>IF(A2573=A2574,(N2573-N2574)/N2574,0)</f>
        <v>0</v>
      </c>
      <c r="T2573" s="10">
        <f>IF(L2573&gt;2005,(((N2573-N2593)/N2593)+1)^(1/5)-1,0)</f>
        <v>0</v>
      </c>
      <c r="U2573" s="10">
        <f t="shared" si="86"/>
        <v>0</v>
      </c>
      <c r="V2573" s="26">
        <f t="shared" si="87"/>
        <v>0</v>
      </c>
      <c r="W2573" s="3">
        <f>IF(A2573=A2574,N2573-N2574,0)</f>
        <v>0</v>
      </c>
      <c r="X2573" s="10">
        <f>IF(A2573=A2574,(N2573-N2574)/N2574,0)</f>
        <v>0</v>
      </c>
    </row>
    <row r="2574" spans="1:24" ht="16.5" customHeight="1">
      <c r="A2574" s="3" t="s">
        <v>52</v>
      </c>
      <c r="B2574" s="3">
        <f t="shared" si="80"/>
        <v>2021</v>
      </c>
      <c r="C2574" s="3">
        <f t="shared" si="81"/>
        <v>4</v>
      </c>
      <c r="D2574" s="20" t="str">
        <f t="shared" si="82"/>
        <v>AOS20214</v>
      </c>
      <c r="E2574" s="2">
        <v>44315</v>
      </c>
      <c r="F2574" s="3">
        <v>0.26</v>
      </c>
      <c r="G2574" s="2">
        <v>44333</v>
      </c>
      <c r="H2574" s="3">
        <v>1.5599999999999999E-2</v>
      </c>
      <c r="I2574" s="3">
        <v>0</v>
      </c>
      <c r="J2574" s="3">
        <v>0</v>
      </c>
      <c r="K2574" s="3">
        <f t="shared" si="83"/>
        <v>2021</v>
      </c>
      <c r="L2574" s="3">
        <f t="shared" si="84"/>
        <v>0</v>
      </c>
      <c r="M2574" s="20" t="str">
        <f>A2574&amp;L2574</f>
        <v>AOS0</v>
      </c>
      <c r="N2574" s="3">
        <f>F2574</f>
        <v>0.26</v>
      </c>
      <c r="O2574" s="9">
        <f>H2574</f>
        <v>1.5599999999999999E-2</v>
      </c>
      <c r="P2574" s="10">
        <f t="shared" si="85"/>
        <v>0</v>
      </c>
      <c r="Q2574" s="10">
        <f>IF(K2574=0,IF(A2571=A2574,AVERAGE(O2571:O2574),"x"),0)</f>
        <v>0</v>
      </c>
      <c r="R2574" s="9">
        <f>IF(L2574&gt;2005,AVERAGE(O2571:O2590),0)</f>
        <v>0</v>
      </c>
      <c r="S2574" s="10">
        <f>IF(A2574=A2575,(N2574-N2575)/N2575,0)</f>
        <v>0</v>
      </c>
      <c r="T2574" s="10">
        <f>IF(L2574&gt;2005,(((N2574-N2594)/N2594)+1)^(1/5)-1,0)</f>
        <v>0</v>
      </c>
      <c r="U2574" s="10">
        <f t="shared" si="86"/>
        <v>0</v>
      </c>
      <c r="V2574" s="26">
        <f t="shared" si="87"/>
        <v>0</v>
      </c>
      <c r="W2574" s="3">
        <f>IF(A2574=A2575,N2574-N2575,0)</f>
        <v>0</v>
      </c>
      <c r="X2574" s="10">
        <f>IF(A2574=A2575,(N2574-N2575)/N2575,0)</f>
        <v>0</v>
      </c>
    </row>
    <row r="2575" spans="1:24" ht="16.5" customHeight="1">
      <c r="A2575" s="3" t="s">
        <v>52</v>
      </c>
      <c r="B2575" s="3">
        <f t="shared" si="80"/>
        <v>2021</v>
      </c>
      <c r="C2575" s="3">
        <f t="shared" si="81"/>
        <v>1</v>
      </c>
      <c r="D2575" s="20" t="str">
        <f t="shared" si="82"/>
        <v>AOS20211</v>
      </c>
      <c r="E2575" s="2">
        <v>44224</v>
      </c>
      <c r="F2575" s="3">
        <v>0.26</v>
      </c>
      <c r="G2575" s="2">
        <v>44243</v>
      </c>
      <c r="H2575" s="3">
        <v>1.9599999999999999E-2</v>
      </c>
      <c r="I2575" s="3">
        <v>0</v>
      </c>
      <c r="J2575" s="3">
        <v>0</v>
      </c>
      <c r="K2575" s="3">
        <f t="shared" si="83"/>
        <v>0</v>
      </c>
      <c r="L2575" s="3">
        <f t="shared" si="84"/>
        <v>2021</v>
      </c>
      <c r="M2575" s="20" t="str">
        <f>A2575&amp;L2575</f>
        <v>AOS2021</v>
      </c>
      <c r="N2575" s="3">
        <f>F2575</f>
        <v>0.26</v>
      </c>
      <c r="O2575" s="9">
        <f>H2575</f>
        <v>1.9599999999999999E-2</v>
      </c>
      <c r="P2575" s="10">
        <f t="shared" si="85"/>
        <v>0</v>
      </c>
      <c r="Q2575" s="10">
        <f>IF(K2575=0,IF(A2572=A2575,AVERAGE(O2572:O2575),"x"),0)</f>
        <v>1.6899999999999998E-2</v>
      </c>
      <c r="R2575" s="9">
        <f>IF(L2575&gt;2005,AVERAGE(O2572:O2591),0)</f>
        <v>1.602E-2</v>
      </c>
      <c r="S2575" s="10">
        <f>IF(A2575=A2576,(N2575-N2576)/N2576,0)</f>
        <v>0</v>
      </c>
      <c r="T2575" s="10">
        <f>IF(L2575&gt;2005,(((N2575-N2595)/N2595)+1)^(1/5)-1,0)</f>
        <v>0.16723531932969316</v>
      </c>
      <c r="U2575" s="10">
        <f t="shared" si="86"/>
        <v>0.18325531932969316</v>
      </c>
      <c r="V2575" s="26">
        <f t="shared" si="87"/>
        <v>4.8005452115942058</v>
      </c>
      <c r="W2575" s="3">
        <f>IF(A2575=A2576,N2575-N2576,0)</f>
        <v>0</v>
      </c>
      <c r="X2575" s="10">
        <f>IF(A2575=A2576,(N2575-N2576)/N2576,0)</f>
        <v>0</v>
      </c>
    </row>
    <row r="2576" spans="1:24" ht="16.5" customHeight="1">
      <c r="A2576" s="3" t="s">
        <v>52</v>
      </c>
      <c r="B2576" s="3">
        <f t="shared" si="80"/>
        <v>2020</v>
      </c>
      <c r="C2576" s="3">
        <f t="shared" si="81"/>
        <v>10</v>
      </c>
      <c r="D2576" s="20" t="str">
        <f t="shared" si="82"/>
        <v>AOS202010</v>
      </c>
      <c r="E2576" s="2">
        <v>44133</v>
      </c>
      <c r="F2576" s="3">
        <v>0.26</v>
      </c>
      <c r="G2576" s="2">
        <v>44151</v>
      </c>
      <c r="H2576" s="3">
        <v>2.0199999999999999E-2</v>
      </c>
      <c r="I2576" s="3">
        <v>8.3333332999999996E-2</v>
      </c>
      <c r="J2576" s="3">
        <v>0.02</v>
      </c>
      <c r="K2576" s="3">
        <f t="shared" si="83"/>
        <v>2020</v>
      </c>
      <c r="L2576" s="3">
        <f t="shared" si="84"/>
        <v>0</v>
      </c>
      <c r="M2576" s="20" t="str">
        <f>A2576&amp;L2576</f>
        <v>AOS0</v>
      </c>
      <c r="N2576" s="3">
        <f>F2576</f>
        <v>0.26</v>
      </c>
      <c r="O2576" s="9">
        <f>H2576</f>
        <v>2.0199999999999999E-2</v>
      </c>
      <c r="P2576" s="10">
        <f t="shared" si="85"/>
        <v>2.0500000000000001E-2</v>
      </c>
      <c r="Q2576" s="10">
        <f>IF(K2576=0,IF(A2573=A2576,AVERAGE(O2573:O2576),"x"),0)</f>
        <v>0</v>
      </c>
      <c r="R2576" s="9">
        <f>IF(L2576&gt;2005,AVERAGE(O2573:O2592),0)</f>
        <v>0</v>
      </c>
      <c r="S2576" s="10">
        <f>IF(A2576=A2577,(N2576-N2577)/N2577,0)</f>
        <v>8.3333333333333412E-2</v>
      </c>
      <c r="T2576" s="10">
        <f>IF(L2576&gt;2005,(((N2576-N2596)/N2596)+1)^(1/5)-1,0)</f>
        <v>0</v>
      </c>
      <c r="U2576" s="10">
        <f t="shared" si="86"/>
        <v>0</v>
      </c>
      <c r="V2576" s="26">
        <f t="shared" si="87"/>
        <v>0</v>
      </c>
      <c r="W2576" s="3">
        <f>IF(A2576=A2577,N2576-N2577,0)</f>
        <v>2.0000000000000018E-2</v>
      </c>
      <c r="X2576" s="10">
        <f>IF(A2576=A2577,(N2576-N2577)/N2577,0)</f>
        <v>8.3333333333333412E-2</v>
      </c>
    </row>
    <row r="2577" spans="1:24" ht="16.5" customHeight="1">
      <c r="A2577" s="3" t="s">
        <v>52</v>
      </c>
      <c r="B2577" s="3">
        <f t="shared" si="80"/>
        <v>2020</v>
      </c>
      <c r="C2577" s="3">
        <f t="shared" si="81"/>
        <v>7</v>
      </c>
      <c r="D2577" s="20" t="str">
        <f t="shared" si="82"/>
        <v>AOS20207</v>
      </c>
      <c r="E2577" s="2">
        <v>44042</v>
      </c>
      <c r="F2577" s="3">
        <v>0.24</v>
      </c>
      <c r="G2577" s="2">
        <v>44060</v>
      </c>
      <c r="H2577" s="3">
        <v>1.7999999999999999E-2</v>
      </c>
      <c r="I2577" s="3">
        <v>0</v>
      </c>
      <c r="J2577" s="3">
        <v>0</v>
      </c>
      <c r="K2577" s="3">
        <f t="shared" si="83"/>
        <v>2020</v>
      </c>
      <c r="L2577" s="3">
        <f t="shared" si="84"/>
        <v>0</v>
      </c>
      <c r="M2577" s="20" t="str">
        <f>A2577&amp;L2577</f>
        <v>AOS0</v>
      </c>
      <c r="N2577" s="3">
        <f>F2577</f>
        <v>0.24</v>
      </c>
      <c r="O2577" s="9">
        <f>H2577</f>
        <v>1.7999999999999999E-2</v>
      </c>
      <c r="P2577" s="10">
        <f t="shared" si="85"/>
        <v>0</v>
      </c>
      <c r="Q2577" s="10">
        <f>IF(K2577=0,IF(A2574=A2577,AVERAGE(O2574:O2577),"x"),0)</f>
        <v>0</v>
      </c>
      <c r="R2577" s="9">
        <f>IF(L2577&gt;2005,AVERAGE(O2574:O2593),0)</f>
        <v>0</v>
      </c>
      <c r="S2577" s="10">
        <f>IF(A2577=A2578,(N2577-N2578)/N2578,0)</f>
        <v>0</v>
      </c>
      <c r="T2577" s="10">
        <f>IF(L2577&gt;2005,(((N2577-N2597)/N2597)+1)^(1/5)-1,0)</f>
        <v>0</v>
      </c>
      <c r="U2577" s="10">
        <f t="shared" si="86"/>
        <v>0</v>
      </c>
      <c r="V2577" s="26">
        <f t="shared" si="87"/>
        <v>0</v>
      </c>
      <c r="W2577" s="3">
        <f>IF(A2577=A2578,N2577-N2578,0)</f>
        <v>0</v>
      </c>
      <c r="X2577" s="10">
        <f>IF(A2577=A2578,(N2577-N2578)/N2578,0)</f>
        <v>0</v>
      </c>
    </row>
    <row r="2578" spans="1:24" ht="16.5" customHeight="1">
      <c r="A2578" s="3" t="s">
        <v>52</v>
      </c>
      <c r="B2578" s="3">
        <f t="shared" si="80"/>
        <v>2020</v>
      </c>
      <c r="C2578" s="3">
        <f t="shared" si="81"/>
        <v>4</v>
      </c>
      <c r="D2578" s="20" t="str">
        <f t="shared" si="82"/>
        <v>AOS20204</v>
      </c>
      <c r="E2578" s="2">
        <v>43950</v>
      </c>
      <c r="F2578" s="3">
        <v>0.24</v>
      </c>
      <c r="G2578" s="2">
        <v>43966</v>
      </c>
      <c r="H2578" s="3">
        <v>2.2100000000000002E-2</v>
      </c>
      <c r="I2578" s="3">
        <v>0</v>
      </c>
      <c r="J2578" s="3">
        <v>0</v>
      </c>
      <c r="K2578" s="3">
        <f t="shared" si="83"/>
        <v>2020</v>
      </c>
      <c r="L2578" s="3">
        <f t="shared" si="84"/>
        <v>0</v>
      </c>
      <c r="M2578" s="20" t="str">
        <f>A2578&amp;L2578</f>
        <v>AOS0</v>
      </c>
      <c r="N2578" s="3">
        <f>F2578</f>
        <v>0.24</v>
      </c>
      <c r="O2578" s="9">
        <f>H2578</f>
        <v>2.2100000000000002E-2</v>
      </c>
      <c r="P2578" s="10">
        <f t="shared" si="85"/>
        <v>0</v>
      </c>
      <c r="Q2578" s="10">
        <f>IF(K2578=0,IF(A2575=A2578,AVERAGE(O2575:O2578),"x"),0)</f>
        <v>0</v>
      </c>
      <c r="R2578" s="9">
        <f>IF(L2578&gt;2005,AVERAGE(O2575:O2594),0)</f>
        <v>0</v>
      </c>
      <c r="S2578" s="10">
        <f>IF(A2578=A2579,(N2578-N2579)/N2579,0)</f>
        <v>0</v>
      </c>
      <c r="T2578" s="10">
        <f>IF(L2578&gt;2005,(((N2578-N2598)/N2598)+1)^(1/5)-1,0)</f>
        <v>0</v>
      </c>
      <c r="U2578" s="10">
        <f t="shared" si="86"/>
        <v>0</v>
      </c>
      <c r="V2578" s="26">
        <f t="shared" si="87"/>
        <v>0</v>
      </c>
      <c r="W2578" s="3">
        <f>IF(A2578=A2579,N2578-N2579,0)</f>
        <v>0</v>
      </c>
      <c r="X2578" s="10">
        <f>IF(A2578=A2579,(N2578-N2579)/N2579,0)</f>
        <v>0</v>
      </c>
    </row>
    <row r="2579" spans="1:24" ht="16.5" customHeight="1">
      <c r="A2579" s="3" t="s">
        <v>52</v>
      </c>
      <c r="B2579" s="3">
        <f t="shared" si="80"/>
        <v>2020</v>
      </c>
      <c r="C2579" s="3">
        <f t="shared" si="81"/>
        <v>1</v>
      </c>
      <c r="D2579" s="20" t="str">
        <f t="shared" si="82"/>
        <v>AOS20201</v>
      </c>
      <c r="E2579" s="2">
        <v>43860</v>
      </c>
      <c r="F2579" s="3">
        <v>0.24</v>
      </c>
      <c r="G2579" s="2">
        <v>43879</v>
      </c>
      <c r="H2579" s="3">
        <v>2.1700000000000001E-2</v>
      </c>
      <c r="I2579" s="3">
        <v>0</v>
      </c>
      <c r="J2579" s="3">
        <v>0</v>
      </c>
      <c r="K2579" s="3">
        <f t="shared" si="83"/>
        <v>0</v>
      </c>
      <c r="L2579" s="3">
        <f t="shared" si="84"/>
        <v>2020</v>
      </c>
      <c r="M2579" s="20" t="str">
        <f>A2579&amp;L2579</f>
        <v>AOS2020</v>
      </c>
      <c r="N2579" s="3">
        <f>F2579</f>
        <v>0.24</v>
      </c>
      <c r="O2579" s="9">
        <f>H2579</f>
        <v>2.1700000000000001E-2</v>
      </c>
      <c r="P2579" s="10">
        <f t="shared" si="85"/>
        <v>0</v>
      </c>
      <c r="Q2579" s="10">
        <f>IF(K2579=0,IF(A2576=A2579,AVERAGE(O2576:O2579),"x"),0)</f>
        <v>2.0500000000000001E-2</v>
      </c>
      <c r="R2579" s="9">
        <f>IF(L2579&gt;2005,AVERAGE(O2576:O2595),0)</f>
        <v>1.4984999999999998E-2</v>
      </c>
      <c r="S2579" s="10">
        <f>IF(A2579=A2580,(N2579-N2580)/N2580,0)</f>
        <v>0</v>
      </c>
      <c r="T2579" s="10">
        <f>IF(L2579&gt;2005,(((N2579-N2599)/N2599)+1)^(1/5)-1,0)</f>
        <v>0.20364253666714349</v>
      </c>
      <c r="U2579" s="10">
        <f t="shared" si="86"/>
        <v>0.21862753666714349</v>
      </c>
      <c r="V2579" s="26">
        <f t="shared" si="87"/>
        <v>4.8185470810706734</v>
      </c>
      <c r="W2579" s="3">
        <f>IF(A2579=A2580,N2579-N2580,0)</f>
        <v>0</v>
      </c>
      <c r="X2579" s="10">
        <f>IF(A2579=A2580,(N2579-N2580)/N2580,0)</f>
        <v>0</v>
      </c>
    </row>
    <row r="2580" spans="1:24" ht="16.5" customHeight="1">
      <c r="A2580" s="3" t="s">
        <v>52</v>
      </c>
      <c r="B2580" s="3">
        <f t="shared" si="80"/>
        <v>2019</v>
      </c>
      <c r="C2580" s="3">
        <f t="shared" si="81"/>
        <v>10</v>
      </c>
      <c r="D2580" s="20" t="str">
        <f t="shared" si="82"/>
        <v>AOS201910</v>
      </c>
      <c r="E2580" s="2">
        <v>43768</v>
      </c>
      <c r="F2580" s="3">
        <v>0.24</v>
      </c>
      <c r="G2580" s="2">
        <v>43784</v>
      </c>
      <c r="H2580" s="3">
        <v>1.95E-2</v>
      </c>
      <c r="I2580" s="3">
        <v>9.0909090999999997E-2</v>
      </c>
      <c r="J2580" s="3">
        <v>0.02</v>
      </c>
      <c r="K2580" s="3">
        <f t="shared" si="83"/>
        <v>2019</v>
      </c>
      <c r="L2580" s="3">
        <f t="shared" si="84"/>
        <v>0</v>
      </c>
      <c r="M2580" s="20" t="str">
        <f>A2580&amp;L2580</f>
        <v>AOS0</v>
      </c>
      <c r="N2580" s="3">
        <f>F2580</f>
        <v>0.24</v>
      </c>
      <c r="O2580" s="9">
        <f>H2580</f>
        <v>1.95E-2</v>
      </c>
      <c r="P2580" s="10">
        <f t="shared" si="85"/>
        <v>1.8424999999999997E-2</v>
      </c>
      <c r="Q2580" s="10">
        <f>IF(K2580=0,IF(A2577=A2580,AVERAGE(O2577:O2580),"x"),0)</f>
        <v>0</v>
      </c>
      <c r="R2580" s="9">
        <f>IF(L2580&gt;2005,AVERAGE(O2577:O2596),0)</f>
        <v>0</v>
      </c>
      <c r="S2580" s="10">
        <f>IF(A2580=A2581,(N2580-N2581)/N2581,0)</f>
        <v>9.090909090909087E-2</v>
      </c>
      <c r="T2580" s="10">
        <f>IF(L2580&gt;2005,(((N2580-N2600)/N2600)+1)^(1/5)-1,0)</f>
        <v>0</v>
      </c>
      <c r="U2580" s="10">
        <f t="shared" si="86"/>
        <v>0</v>
      </c>
      <c r="V2580" s="26">
        <f t="shared" si="87"/>
        <v>0</v>
      </c>
      <c r="W2580" s="3">
        <f>IF(A2580=A2581,N2580-N2581,0)</f>
        <v>1.999999999999999E-2</v>
      </c>
      <c r="X2580" s="10">
        <f>IF(A2580=A2581,(N2580-N2581)/N2581,0)</f>
        <v>9.090909090909087E-2</v>
      </c>
    </row>
    <row r="2581" spans="1:24" ht="16.5" customHeight="1">
      <c r="A2581" s="3" t="s">
        <v>52</v>
      </c>
      <c r="B2581" s="3">
        <f t="shared" si="80"/>
        <v>2019</v>
      </c>
      <c r="C2581" s="3">
        <f t="shared" si="81"/>
        <v>7</v>
      </c>
      <c r="D2581" s="20" t="str">
        <f t="shared" si="82"/>
        <v>AOS20197</v>
      </c>
      <c r="E2581" s="2">
        <v>43676</v>
      </c>
      <c r="F2581" s="3">
        <v>0.22</v>
      </c>
      <c r="G2581" s="2">
        <v>43692</v>
      </c>
      <c r="H2581" s="3">
        <v>2.01E-2</v>
      </c>
      <c r="I2581" s="3">
        <v>0</v>
      </c>
      <c r="J2581" s="3">
        <v>0</v>
      </c>
      <c r="K2581" s="3">
        <f t="shared" si="83"/>
        <v>2019</v>
      </c>
      <c r="L2581" s="3">
        <f t="shared" si="84"/>
        <v>0</v>
      </c>
      <c r="M2581" s="20" t="str">
        <f>A2581&amp;L2581</f>
        <v>AOS0</v>
      </c>
      <c r="N2581" s="3">
        <f>F2581</f>
        <v>0.22</v>
      </c>
      <c r="O2581" s="9">
        <f>H2581</f>
        <v>2.01E-2</v>
      </c>
      <c r="P2581" s="10">
        <f t="shared" si="85"/>
        <v>0</v>
      </c>
      <c r="Q2581" s="10">
        <f>IF(K2581=0,IF(A2578=A2581,AVERAGE(O2578:O2581),"x"),0)</f>
        <v>0</v>
      </c>
      <c r="R2581" s="9">
        <f>IF(L2581&gt;2005,AVERAGE(O2578:O2597),0)</f>
        <v>0</v>
      </c>
      <c r="S2581" s="10">
        <f>IF(A2581=A2582,(N2581-N2582)/N2582,0)</f>
        <v>0</v>
      </c>
      <c r="T2581" s="10">
        <f>IF(L2581&gt;2005,(((N2581-N2601)/N2601)+1)^(1/5)-1,0)</f>
        <v>0</v>
      </c>
      <c r="U2581" s="10">
        <f t="shared" si="86"/>
        <v>0</v>
      </c>
      <c r="V2581" s="26">
        <f t="shared" si="87"/>
        <v>0</v>
      </c>
      <c r="W2581" s="3">
        <f>IF(A2581=A2582,N2581-N2582,0)</f>
        <v>0</v>
      </c>
      <c r="X2581" s="10">
        <f>IF(A2581=A2582,(N2581-N2582)/N2582,0)</f>
        <v>0</v>
      </c>
    </row>
    <row r="2582" spans="1:24" ht="16.5" customHeight="1">
      <c r="A2582" s="3" t="s">
        <v>52</v>
      </c>
      <c r="B2582" s="3">
        <f t="shared" si="80"/>
        <v>2019</v>
      </c>
      <c r="C2582" s="3">
        <f t="shared" si="81"/>
        <v>4</v>
      </c>
      <c r="D2582" s="20" t="str">
        <f t="shared" si="82"/>
        <v>AOS20194</v>
      </c>
      <c r="E2582" s="2">
        <v>43584</v>
      </c>
      <c r="F2582" s="3">
        <v>0.22</v>
      </c>
      <c r="G2582" s="2">
        <v>43600</v>
      </c>
      <c r="H2582" s="3">
        <v>1.5699999999999999E-2</v>
      </c>
      <c r="I2582" s="3">
        <v>0</v>
      </c>
      <c r="J2582" s="3">
        <v>0</v>
      </c>
      <c r="K2582" s="3">
        <f t="shared" si="83"/>
        <v>2019</v>
      </c>
      <c r="L2582" s="3">
        <f t="shared" si="84"/>
        <v>0</v>
      </c>
      <c r="M2582" s="20" t="str">
        <f>A2582&amp;L2582</f>
        <v>AOS0</v>
      </c>
      <c r="N2582" s="3">
        <f>F2582</f>
        <v>0.22</v>
      </c>
      <c r="O2582" s="9">
        <f>H2582</f>
        <v>1.5699999999999999E-2</v>
      </c>
      <c r="P2582" s="10">
        <f t="shared" si="85"/>
        <v>0</v>
      </c>
      <c r="Q2582" s="10">
        <f>IF(K2582=0,IF(A2579=A2582,AVERAGE(O2579:O2582),"x"),0)</f>
        <v>0</v>
      </c>
      <c r="R2582" s="9">
        <f>IF(L2582&gt;2005,AVERAGE(O2579:O2598),0)</f>
        <v>0</v>
      </c>
      <c r="S2582" s="10">
        <f>IF(A2582=A2583,(N2582-N2583)/N2583,0)</f>
        <v>0</v>
      </c>
      <c r="T2582" s="10">
        <f>IF(L2582&gt;2005,(((N2582-N2602)/N2602)+1)^(1/5)-1,0)</f>
        <v>0</v>
      </c>
      <c r="U2582" s="10">
        <f t="shared" si="86"/>
        <v>0</v>
      </c>
      <c r="V2582" s="26">
        <f t="shared" si="87"/>
        <v>0</v>
      </c>
      <c r="W2582" s="3">
        <f>IF(A2582=A2583,N2582-N2583,0)</f>
        <v>0</v>
      </c>
      <c r="X2582" s="10">
        <f>IF(A2582=A2583,(N2582-N2583)/N2583,0)</f>
        <v>0</v>
      </c>
    </row>
    <row r="2583" spans="1:24" ht="16.5" customHeight="1">
      <c r="A2583" s="3" t="s">
        <v>52</v>
      </c>
      <c r="B2583" s="3">
        <f t="shared" si="80"/>
        <v>2019</v>
      </c>
      <c r="C2583" s="3">
        <f t="shared" si="81"/>
        <v>1</v>
      </c>
      <c r="D2583" s="20" t="str">
        <f t="shared" si="82"/>
        <v>AOS20191</v>
      </c>
      <c r="E2583" s="2">
        <v>43495</v>
      </c>
      <c r="F2583" s="3">
        <v>0.22</v>
      </c>
      <c r="G2583" s="2">
        <v>43511</v>
      </c>
      <c r="H2583" s="3">
        <v>1.84E-2</v>
      </c>
      <c r="I2583" s="3">
        <v>0</v>
      </c>
      <c r="J2583" s="3">
        <v>0</v>
      </c>
      <c r="K2583" s="3">
        <f t="shared" si="83"/>
        <v>0</v>
      </c>
      <c r="L2583" s="3">
        <f t="shared" si="84"/>
        <v>2019</v>
      </c>
      <c r="M2583" s="20" t="str">
        <f>A2583&amp;L2583</f>
        <v>AOS2019</v>
      </c>
      <c r="N2583" s="3">
        <f>F2583</f>
        <v>0.22</v>
      </c>
      <c r="O2583" s="9">
        <f>H2583</f>
        <v>1.84E-2</v>
      </c>
      <c r="P2583" s="10">
        <f t="shared" si="85"/>
        <v>0</v>
      </c>
      <c r="Q2583" s="10">
        <f>IF(K2583=0,IF(A2580=A2583,AVERAGE(O2580:O2583),"x"),0)</f>
        <v>1.8424999999999997E-2</v>
      </c>
      <c r="R2583" s="9">
        <f>IF(L2583&gt;2005,AVERAGE(O2580:O2599),0)</f>
        <v>1.295E-2</v>
      </c>
      <c r="S2583" s="10">
        <f>IF(A2583=A2584,(N2583-N2584)/N2584,0)</f>
        <v>0</v>
      </c>
      <c r="T2583" s="10">
        <f>IF(L2583&gt;2005,(((N2583-N2603)/N2603)+1)^(1/5)-1,0)</f>
        <v>0.2401444770294936</v>
      </c>
      <c r="U2583" s="10">
        <f t="shared" si="86"/>
        <v>0.25309447702949361</v>
      </c>
      <c r="V2583" s="26">
        <f t="shared" si="87"/>
        <v>4.8471032711354445</v>
      </c>
      <c r="W2583" s="3">
        <f>IF(A2583=A2584,N2583-N2584,0)</f>
        <v>0</v>
      </c>
      <c r="X2583" s="10">
        <f>IF(A2583=A2584,(N2583-N2584)/N2584,0)</f>
        <v>0</v>
      </c>
    </row>
    <row r="2584" spans="1:24" ht="16.5" customHeight="1">
      <c r="A2584" s="3" t="s">
        <v>52</v>
      </c>
      <c r="B2584" s="3">
        <f t="shared" si="80"/>
        <v>2018</v>
      </c>
      <c r="C2584" s="3">
        <f t="shared" si="81"/>
        <v>10</v>
      </c>
      <c r="D2584" s="20" t="str">
        <f t="shared" si="82"/>
        <v>AOS201810</v>
      </c>
      <c r="E2584" s="2">
        <v>43403</v>
      </c>
      <c r="F2584" s="3">
        <v>0.22</v>
      </c>
      <c r="G2584" s="2">
        <v>43419</v>
      </c>
      <c r="H2584" s="3">
        <v>2.0799999999999999E-2</v>
      </c>
      <c r="I2584" s="3">
        <v>0.222222222</v>
      </c>
      <c r="J2584" s="3">
        <v>0.04</v>
      </c>
      <c r="K2584" s="3">
        <f t="shared" si="83"/>
        <v>2018</v>
      </c>
      <c r="L2584" s="3">
        <f t="shared" si="84"/>
        <v>0</v>
      </c>
      <c r="M2584" s="20" t="str">
        <f>A2584&amp;L2584</f>
        <v>AOS0</v>
      </c>
      <c r="N2584" s="3">
        <f>F2584</f>
        <v>0.22</v>
      </c>
      <c r="O2584" s="9">
        <f>H2584</f>
        <v>2.0799999999999999E-2</v>
      </c>
      <c r="P2584" s="10">
        <f t="shared" si="85"/>
        <v>1.3825E-2</v>
      </c>
      <c r="Q2584" s="10">
        <f>IF(K2584=0,IF(A2581=A2584,AVERAGE(O2581:O2584),"x"),0)</f>
        <v>0</v>
      </c>
      <c r="R2584" s="9">
        <f>IF(L2584&gt;2005,AVERAGE(O2581:O2600),0)</f>
        <v>0</v>
      </c>
      <c r="S2584" s="10">
        <f>IF(A2584=A2585,(N2584-N2585)/N2585,0)</f>
        <v>0.22222222222222227</v>
      </c>
      <c r="T2584" s="10">
        <f>IF(L2584&gt;2005,(((N2584-N2604)/N2604)+1)^(1/5)-1,0)</f>
        <v>0</v>
      </c>
      <c r="U2584" s="10">
        <f t="shared" si="86"/>
        <v>0</v>
      </c>
      <c r="V2584" s="26">
        <f t="shared" si="87"/>
        <v>0</v>
      </c>
      <c r="W2584" s="3">
        <f>IF(A2584=A2585,N2584-N2585,0)</f>
        <v>4.0000000000000008E-2</v>
      </c>
      <c r="X2584" s="10">
        <f>IF(A2584=A2585,(N2584-N2585)/N2585,0)</f>
        <v>0.22222222222222227</v>
      </c>
    </row>
    <row r="2585" spans="1:24" ht="16.5" customHeight="1">
      <c r="A2585" s="3" t="s">
        <v>52</v>
      </c>
      <c r="B2585" s="3">
        <f t="shared" si="80"/>
        <v>2018</v>
      </c>
      <c r="C2585" s="3">
        <f t="shared" si="81"/>
        <v>7</v>
      </c>
      <c r="D2585" s="20" t="str">
        <f t="shared" si="82"/>
        <v>AOS20187</v>
      </c>
      <c r="E2585" s="2">
        <v>43311</v>
      </c>
      <c r="F2585" s="3">
        <v>0.18</v>
      </c>
      <c r="G2585" s="2">
        <v>43327</v>
      </c>
      <c r="H2585" s="3">
        <v>1.2200000000000001E-2</v>
      </c>
      <c r="I2585" s="3">
        <v>0</v>
      </c>
      <c r="J2585" s="3">
        <v>0</v>
      </c>
      <c r="K2585" s="3">
        <f t="shared" si="83"/>
        <v>2018</v>
      </c>
      <c r="L2585" s="3">
        <f t="shared" si="84"/>
        <v>0</v>
      </c>
      <c r="M2585" s="20" t="str">
        <f>A2585&amp;L2585</f>
        <v>AOS0</v>
      </c>
      <c r="N2585" s="3">
        <f>F2585</f>
        <v>0.18</v>
      </c>
      <c r="O2585" s="9">
        <f>H2585</f>
        <v>1.2200000000000001E-2</v>
      </c>
      <c r="P2585" s="10">
        <f t="shared" si="85"/>
        <v>0</v>
      </c>
      <c r="Q2585" s="10">
        <f>IF(K2585=0,IF(A2582=A2585,AVERAGE(O2582:O2585),"x"),0)</f>
        <v>0</v>
      </c>
      <c r="R2585" s="9">
        <f>IF(L2585&gt;2005,AVERAGE(O2582:O2601),0)</f>
        <v>0</v>
      </c>
      <c r="S2585" s="10">
        <f>IF(A2585=A2586,(N2585-N2586)/N2586,0)</f>
        <v>0</v>
      </c>
      <c r="T2585" s="10">
        <f>IF(L2585&gt;2005,(((N2585-N2605)/N2605)+1)^(1/5)-1,0)</f>
        <v>0</v>
      </c>
      <c r="U2585" s="10">
        <f t="shared" si="86"/>
        <v>0</v>
      </c>
      <c r="V2585" s="26">
        <f t="shared" si="87"/>
        <v>0</v>
      </c>
      <c r="W2585" s="3">
        <f>IF(A2585=A2586,N2585-N2586,0)</f>
        <v>0</v>
      </c>
      <c r="X2585" s="10">
        <f>IF(A2585=A2586,(N2585-N2586)/N2586,0)</f>
        <v>0</v>
      </c>
    </row>
    <row r="2586" spans="1:24" ht="16.5" customHeight="1">
      <c r="A2586" s="3" t="s">
        <v>52</v>
      </c>
      <c r="B2586" s="3">
        <f t="shared" si="80"/>
        <v>2018</v>
      </c>
      <c r="C2586" s="3">
        <f t="shared" si="81"/>
        <v>4</v>
      </c>
      <c r="D2586" s="20" t="str">
        <f t="shared" si="82"/>
        <v>AOS20184</v>
      </c>
      <c r="E2586" s="2">
        <v>43217</v>
      </c>
      <c r="F2586" s="3">
        <v>0.18</v>
      </c>
      <c r="G2586" s="2">
        <v>43235</v>
      </c>
      <c r="H2586" s="3">
        <v>1.15E-2</v>
      </c>
      <c r="I2586" s="3">
        <v>0</v>
      </c>
      <c r="J2586" s="3">
        <v>0</v>
      </c>
      <c r="K2586" s="3">
        <f t="shared" si="83"/>
        <v>2018</v>
      </c>
      <c r="L2586" s="3">
        <f t="shared" si="84"/>
        <v>0</v>
      </c>
      <c r="M2586" s="20" t="str">
        <f>A2586&amp;L2586</f>
        <v>AOS0</v>
      </c>
      <c r="N2586" s="3">
        <f>F2586</f>
        <v>0.18</v>
      </c>
      <c r="O2586" s="9">
        <f>H2586</f>
        <v>1.15E-2</v>
      </c>
      <c r="P2586" s="10">
        <f t="shared" si="85"/>
        <v>0</v>
      </c>
      <c r="Q2586" s="10">
        <f>IF(K2586=0,IF(A2583=A2586,AVERAGE(O2583:O2586),"x"),0)</f>
        <v>0</v>
      </c>
      <c r="R2586" s="9">
        <f>IF(L2586&gt;2005,AVERAGE(O2583:O2602),0)</f>
        <v>0</v>
      </c>
      <c r="S2586" s="10">
        <f>IF(A2586=A2587,(N2586-N2587)/N2587,0)</f>
        <v>0</v>
      </c>
      <c r="T2586" s="10">
        <f>IF(L2586&gt;2005,(((N2586-N2606)/N2606)+1)^(1/5)-1,0)</f>
        <v>0</v>
      </c>
      <c r="U2586" s="10">
        <f t="shared" si="86"/>
        <v>0</v>
      </c>
      <c r="V2586" s="26">
        <f t="shared" si="87"/>
        <v>0</v>
      </c>
      <c r="W2586" s="3">
        <f>IF(A2586=A2587,N2586-N2587,0)</f>
        <v>0</v>
      </c>
      <c r="X2586" s="10">
        <f>IF(A2586=A2587,(N2586-N2587)/N2587,0)</f>
        <v>0</v>
      </c>
    </row>
    <row r="2587" spans="1:24" ht="16.5" customHeight="1">
      <c r="A2587" s="3" t="s">
        <v>52</v>
      </c>
      <c r="B2587" s="3">
        <f t="shared" si="80"/>
        <v>2018</v>
      </c>
      <c r="C2587" s="3">
        <f t="shared" si="81"/>
        <v>1</v>
      </c>
      <c r="D2587" s="20" t="str">
        <f t="shared" si="82"/>
        <v>AOS20181</v>
      </c>
      <c r="E2587" s="2">
        <v>43130</v>
      </c>
      <c r="F2587" s="3">
        <v>0.18</v>
      </c>
      <c r="G2587" s="2">
        <v>43146</v>
      </c>
      <c r="H2587" s="3">
        <v>1.0800000000000001E-2</v>
      </c>
      <c r="I2587" s="3">
        <v>0.28571428599999998</v>
      </c>
      <c r="J2587" s="3">
        <v>0.04</v>
      </c>
      <c r="K2587" s="3">
        <f t="shared" si="83"/>
        <v>0</v>
      </c>
      <c r="L2587" s="3">
        <f t="shared" si="84"/>
        <v>2018</v>
      </c>
      <c r="M2587" s="20" t="str">
        <f>A2587&amp;L2587</f>
        <v>AOS2018</v>
      </c>
      <c r="N2587" s="3">
        <f>F2587</f>
        <v>0.18</v>
      </c>
      <c r="O2587" s="9">
        <f>H2587</f>
        <v>1.0800000000000001E-2</v>
      </c>
      <c r="P2587" s="10">
        <f t="shared" si="85"/>
        <v>1.0275000000000001E-2</v>
      </c>
      <c r="Q2587" s="10">
        <f>IF(K2587=0,IF(A2584=A2587,AVERAGE(O2584:O2587),"x"),0)</f>
        <v>1.3825E-2</v>
      </c>
      <c r="R2587" s="9">
        <f>IF(L2587&gt;2005,AVERAGE(O2584:O2603),0)</f>
        <v>1.1550000000000001E-2</v>
      </c>
      <c r="S2587" s="10">
        <f>IF(A2587=A2588,(N2587-N2588)/N2588,0)</f>
        <v>0.28571428571428553</v>
      </c>
      <c r="T2587" s="10">
        <f>IF(L2587&gt;2005,(((N2587-N2607)/N2607)+1)^(1/5)-1,0)</f>
        <v>0.29199400995563329</v>
      </c>
      <c r="U2587" s="10">
        <f t="shared" si="86"/>
        <v>0.3035440099556333</v>
      </c>
      <c r="V2587" s="26">
        <f t="shared" si="87"/>
        <v>4.8686528527704418</v>
      </c>
      <c r="W2587" s="3">
        <f>IF(A2587=A2588,N2587-N2588,0)</f>
        <v>3.999999999999998E-2</v>
      </c>
      <c r="X2587" s="10">
        <f>IF(A2587=A2588,(N2587-N2588)/N2588,0)</f>
        <v>0.28571428571428553</v>
      </c>
    </row>
    <row r="2588" spans="1:24" ht="16.5" customHeight="1">
      <c r="A2588" s="3" t="s">
        <v>52</v>
      </c>
      <c r="B2588" s="3">
        <f t="shared" si="80"/>
        <v>2017</v>
      </c>
      <c r="C2588" s="3">
        <f t="shared" si="81"/>
        <v>10</v>
      </c>
      <c r="D2588" s="20" t="str">
        <f t="shared" si="82"/>
        <v>AOS201710</v>
      </c>
      <c r="E2588" s="2">
        <v>43038</v>
      </c>
      <c r="F2588" s="3">
        <v>0.14000000000000001</v>
      </c>
      <c r="G2588" s="2">
        <v>43054</v>
      </c>
      <c r="H2588" s="3">
        <v>9.4000000000000004E-3</v>
      </c>
      <c r="I2588" s="3">
        <v>0</v>
      </c>
      <c r="J2588" s="3">
        <v>0</v>
      </c>
      <c r="K2588" s="3">
        <f t="shared" si="83"/>
        <v>2017</v>
      </c>
      <c r="L2588" s="3">
        <f t="shared" si="84"/>
        <v>0</v>
      </c>
      <c r="M2588" s="20" t="str">
        <f>A2588&amp;L2588</f>
        <v>AOS0</v>
      </c>
      <c r="N2588" s="3">
        <f>F2588</f>
        <v>0.14000000000000001</v>
      </c>
      <c r="O2588" s="9">
        <f>H2588</f>
        <v>9.4000000000000004E-3</v>
      </c>
      <c r="P2588" s="10">
        <f t="shared" si="85"/>
        <v>0</v>
      </c>
      <c r="Q2588" s="10">
        <f>IF(K2588=0,IF(A2585=A2588,AVERAGE(O2585:O2588),"x"),0)</f>
        <v>0</v>
      </c>
      <c r="R2588" s="9">
        <f>IF(L2588&gt;2005,AVERAGE(O2585:O2604),0)</f>
        <v>0</v>
      </c>
      <c r="S2588" s="10">
        <f>IF(A2588=A2589,(N2588-N2589)/N2589,0)</f>
        <v>0</v>
      </c>
      <c r="T2588" s="10">
        <f>IF(L2588&gt;2005,(((N2588-N2608)/N2608)+1)^(1/5)-1,0)</f>
        <v>0</v>
      </c>
      <c r="U2588" s="10">
        <f t="shared" si="86"/>
        <v>0</v>
      </c>
      <c r="V2588" s="26">
        <f t="shared" si="87"/>
        <v>0</v>
      </c>
      <c r="W2588" s="3">
        <f>IF(A2588=A2589,N2588-N2589,0)</f>
        <v>0</v>
      </c>
      <c r="X2588" s="10">
        <f>IF(A2588=A2589,(N2588-N2589)/N2589,0)</f>
        <v>0</v>
      </c>
    </row>
    <row r="2589" spans="1:24" ht="16.5" customHeight="1">
      <c r="A2589" s="3" t="s">
        <v>52</v>
      </c>
      <c r="B2589" s="3">
        <f t="shared" si="80"/>
        <v>2017</v>
      </c>
      <c r="C2589" s="3">
        <f t="shared" si="81"/>
        <v>7</v>
      </c>
      <c r="D2589" s="20" t="str">
        <f t="shared" si="82"/>
        <v>AOS20177</v>
      </c>
      <c r="E2589" s="2">
        <v>42943</v>
      </c>
      <c r="F2589" s="3">
        <v>0.14000000000000001</v>
      </c>
      <c r="G2589" s="2">
        <v>42962</v>
      </c>
      <c r="H2589" s="3">
        <v>1.03E-2</v>
      </c>
      <c r="I2589" s="3">
        <v>0</v>
      </c>
      <c r="J2589" s="3">
        <v>0</v>
      </c>
      <c r="K2589" s="3">
        <f t="shared" si="83"/>
        <v>2017</v>
      </c>
      <c r="L2589" s="3">
        <f t="shared" si="84"/>
        <v>0</v>
      </c>
      <c r="M2589" s="20" t="str">
        <f>A2589&amp;L2589</f>
        <v>AOS0</v>
      </c>
      <c r="N2589" s="3">
        <f>F2589</f>
        <v>0.14000000000000001</v>
      </c>
      <c r="O2589" s="9">
        <f>H2589</f>
        <v>1.03E-2</v>
      </c>
      <c r="P2589" s="10">
        <f t="shared" si="85"/>
        <v>0</v>
      </c>
      <c r="Q2589" s="10">
        <f>IF(K2589=0,IF(A2586=A2589,AVERAGE(O2586:O2589),"x"),0)</f>
        <v>0</v>
      </c>
      <c r="R2589" s="9">
        <f>IF(L2589&gt;2005,AVERAGE(O2586:O2605),0)</f>
        <v>0</v>
      </c>
      <c r="S2589" s="10">
        <f>IF(A2589=A2590,(N2589-N2590)/N2590,0)</f>
        <v>0</v>
      </c>
      <c r="T2589" s="10">
        <f>IF(L2589&gt;2005,(((N2589-N2609)/N2609)+1)^(1/5)-1,0)</f>
        <v>0</v>
      </c>
      <c r="U2589" s="10">
        <f t="shared" si="86"/>
        <v>0</v>
      </c>
      <c r="V2589" s="26">
        <f t="shared" si="87"/>
        <v>0</v>
      </c>
      <c r="W2589" s="3">
        <f>IF(A2589=A2590,N2589-N2590,0)</f>
        <v>0</v>
      </c>
      <c r="X2589" s="10">
        <f>IF(A2589=A2590,(N2589-N2590)/N2590,0)</f>
        <v>0</v>
      </c>
    </row>
    <row r="2590" spans="1:24" ht="16.5" customHeight="1">
      <c r="A2590" s="3" t="s">
        <v>52</v>
      </c>
      <c r="B2590" s="3">
        <f t="shared" si="80"/>
        <v>2017</v>
      </c>
      <c r="C2590" s="3">
        <f t="shared" si="81"/>
        <v>4</v>
      </c>
      <c r="D2590" s="20" t="str">
        <f t="shared" si="82"/>
        <v>AOS20174</v>
      </c>
      <c r="E2590" s="2">
        <v>42851</v>
      </c>
      <c r="F2590" s="3">
        <v>0.14000000000000001</v>
      </c>
      <c r="G2590" s="2">
        <v>42870</v>
      </c>
      <c r="H2590" s="3">
        <v>1.06E-2</v>
      </c>
      <c r="I2590" s="3">
        <v>0</v>
      </c>
      <c r="J2590" s="3">
        <v>0</v>
      </c>
      <c r="K2590" s="3">
        <f t="shared" si="83"/>
        <v>2017</v>
      </c>
      <c r="L2590" s="3">
        <f t="shared" si="84"/>
        <v>0</v>
      </c>
      <c r="M2590" s="20" t="str">
        <f>A2590&amp;L2590</f>
        <v>AOS0</v>
      </c>
      <c r="N2590" s="3">
        <f>F2590</f>
        <v>0.14000000000000001</v>
      </c>
      <c r="O2590" s="9">
        <f>H2590</f>
        <v>1.06E-2</v>
      </c>
      <c r="P2590" s="10">
        <f t="shared" si="85"/>
        <v>0</v>
      </c>
      <c r="Q2590" s="10">
        <f>IF(K2590=0,IF(A2587=A2590,AVERAGE(O2587:O2590),"x"),0)</f>
        <v>0</v>
      </c>
      <c r="R2590" s="9">
        <f>IF(L2590&gt;2005,AVERAGE(O2587:O2606),0)</f>
        <v>0</v>
      </c>
      <c r="S2590" s="10">
        <f>IF(A2590=A2591,(N2590-N2591)/N2591,0)</f>
        <v>0</v>
      </c>
      <c r="T2590" s="10">
        <f>IF(L2590&gt;2005,(((N2590-N2610)/N2610)+1)^(1/5)-1,0)</f>
        <v>0</v>
      </c>
      <c r="U2590" s="10">
        <f t="shared" si="86"/>
        <v>0</v>
      </c>
      <c r="V2590" s="26">
        <f t="shared" si="87"/>
        <v>0</v>
      </c>
      <c r="W2590" s="3">
        <f>IF(A2590=A2591,N2590-N2591,0)</f>
        <v>0</v>
      </c>
      <c r="X2590" s="10">
        <f>IF(A2590=A2591,(N2590-N2591)/N2591,0)</f>
        <v>0</v>
      </c>
    </row>
    <row r="2591" spans="1:24" ht="16.5" customHeight="1">
      <c r="A2591" s="3" t="s">
        <v>52</v>
      </c>
      <c r="B2591" s="3">
        <f t="shared" si="80"/>
        <v>2017</v>
      </c>
      <c r="C2591" s="3">
        <f t="shared" si="81"/>
        <v>1</v>
      </c>
      <c r="D2591" s="20" t="str">
        <f t="shared" si="82"/>
        <v>AOS20171</v>
      </c>
      <c r="E2591" s="2">
        <v>42762</v>
      </c>
      <c r="F2591" s="3">
        <v>0.14000000000000001</v>
      </c>
      <c r="G2591" s="2">
        <v>42781</v>
      </c>
      <c r="H2591" s="3">
        <v>1.15E-2</v>
      </c>
      <c r="I2591" s="3">
        <v>0.16666666699999999</v>
      </c>
      <c r="J2591" s="3">
        <v>0.02</v>
      </c>
      <c r="K2591" s="3">
        <f t="shared" si="83"/>
        <v>0</v>
      </c>
      <c r="L2591" s="3">
        <f t="shared" si="84"/>
        <v>2017</v>
      </c>
      <c r="M2591" s="20" t="str">
        <f>A2591&amp;L2591</f>
        <v>AOS2017</v>
      </c>
      <c r="N2591" s="3">
        <f>F2591</f>
        <v>0.14000000000000001</v>
      </c>
      <c r="O2591" s="9">
        <f>H2591</f>
        <v>1.15E-2</v>
      </c>
      <c r="P2591" s="10">
        <f t="shared" si="85"/>
        <v>1.1075000000000002E-2</v>
      </c>
      <c r="Q2591" s="10">
        <f>IF(K2591=0,IF(A2588=A2591,AVERAGE(O2588:O2591),"x"),0)</f>
        <v>1.0450000000000001E-2</v>
      </c>
      <c r="R2591" s="9">
        <f>IF(L2591&gt;2005,AVERAGE(O2588:O2607),0)</f>
        <v>1.0879999999999999E-2</v>
      </c>
      <c r="S2591" s="10">
        <f>IF(A2591=A2592,(N2591-N2592)/N2592,0)</f>
        <v>0.16666666666666682</v>
      </c>
      <c r="T2591" s="10">
        <f>IF(L2591&gt;2005,(((N2591-N2611)/N2611)+1)^(1/5)-1,0)</f>
        <v>0.28473515712343933</v>
      </c>
      <c r="U2591" s="10">
        <f t="shared" si="86"/>
        <v>0.29561515712343933</v>
      </c>
      <c r="V2591" s="26">
        <f t="shared" si="87"/>
        <v>4.8754381953977175</v>
      </c>
      <c r="W2591" s="3">
        <f>IF(A2591=A2592,N2591-N2592,0)</f>
        <v>2.0000000000000018E-2</v>
      </c>
      <c r="X2591" s="10">
        <f>IF(A2591=A2592,(N2591-N2592)/N2592,0)</f>
        <v>0.16666666666666682</v>
      </c>
    </row>
    <row r="2592" spans="1:24" ht="16.5" customHeight="1">
      <c r="A2592" s="3" t="s">
        <v>52</v>
      </c>
      <c r="B2592" s="3">
        <f t="shared" si="80"/>
        <v>2016</v>
      </c>
      <c r="C2592" s="3">
        <f t="shared" si="81"/>
        <v>10</v>
      </c>
      <c r="D2592" s="20" t="str">
        <f t="shared" si="82"/>
        <v>AOS201610</v>
      </c>
      <c r="E2592" s="2">
        <v>42670</v>
      </c>
      <c r="F2592" s="3">
        <v>0.12</v>
      </c>
      <c r="G2592" s="2">
        <v>42689</v>
      </c>
      <c r="H2592" s="3">
        <v>1.06E-2</v>
      </c>
      <c r="I2592" s="3">
        <v>-0.5</v>
      </c>
      <c r="J2592" s="3">
        <v>-0.12</v>
      </c>
      <c r="K2592" s="3">
        <f t="shared" si="83"/>
        <v>2016</v>
      </c>
      <c r="L2592" s="3">
        <f t="shared" si="84"/>
        <v>0</v>
      </c>
      <c r="M2592" s="20" t="str">
        <f>A2592&amp;L2592</f>
        <v>AOS0</v>
      </c>
      <c r="N2592" s="3">
        <f>F2592</f>
        <v>0.12</v>
      </c>
      <c r="O2592" s="9">
        <f>H2592</f>
        <v>1.06E-2</v>
      </c>
      <c r="P2592" s="10">
        <f t="shared" si="85"/>
        <v>0</v>
      </c>
      <c r="Q2592" s="10">
        <f>IF(K2592=0,IF(A2589=A2592,AVERAGE(O2589:O2592),"x"),0)</f>
        <v>0</v>
      </c>
      <c r="R2592" s="9">
        <f>IF(L2592&gt;2005,AVERAGE(O2589:O2608),0)</f>
        <v>0</v>
      </c>
      <c r="S2592" s="10">
        <f>IF(A2592=A2593,(N2592-N2593)/N2593,0)</f>
        <v>0</v>
      </c>
      <c r="T2592" s="10">
        <f>IF(L2592&gt;2005,(((N2592-N2612)/N2612)+1)^(1/5)-1,0)</f>
        <v>0</v>
      </c>
      <c r="U2592" s="10">
        <f t="shared" si="86"/>
        <v>0</v>
      </c>
      <c r="V2592" s="26">
        <f t="shared" si="87"/>
        <v>0</v>
      </c>
      <c r="W2592" s="3">
        <f>IF(A2592=A2593,N2592-N2593,0)</f>
        <v>0</v>
      </c>
      <c r="X2592" s="10">
        <f>IF(A2592=A2593,(N2592-N2593)/N2593,0)</f>
        <v>0</v>
      </c>
    </row>
    <row r="2593" spans="1:24" ht="16.5" customHeight="1">
      <c r="A2593" s="3" t="s">
        <v>52</v>
      </c>
      <c r="B2593" s="3">
        <f t="shared" si="80"/>
        <v>2016</v>
      </c>
      <c r="C2593" s="3">
        <f t="shared" si="81"/>
        <v>7</v>
      </c>
      <c r="D2593" s="20" t="str">
        <f t="shared" si="82"/>
        <v>AOS20167</v>
      </c>
      <c r="E2593" s="2">
        <v>42578</v>
      </c>
      <c r="F2593" s="3">
        <v>0.24</v>
      </c>
      <c r="G2593" s="2">
        <v>42597</v>
      </c>
      <c r="H2593" s="3">
        <v>1.0200000000000001E-2</v>
      </c>
      <c r="I2593" s="3">
        <v>0</v>
      </c>
      <c r="J2593" s="3">
        <v>0</v>
      </c>
      <c r="K2593" s="3">
        <f t="shared" si="83"/>
        <v>2016</v>
      </c>
      <c r="L2593" s="3">
        <f t="shared" si="84"/>
        <v>0</v>
      </c>
      <c r="M2593" s="20" t="str">
        <f>A2593&amp;L2593</f>
        <v>AOS0</v>
      </c>
      <c r="N2593" s="3">
        <f>F2593/2</f>
        <v>0.12</v>
      </c>
      <c r="O2593" s="9">
        <f>H2593</f>
        <v>1.0200000000000001E-2</v>
      </c>
      <c r="P2593" s="10">
        <f t="shared" si="85"/>
        <v>0</v>
      </c>
      <c r="Q2593" s="10">
        <f>IF(K2593=0,IF(A2590=A2593,AVERAGE(O2590:O2593),"x"),0)</f>
        <v>0</v>
      </c>
      <c r="R2593" s="9">
        <f>IF(L2593&gt;2005,AVERAGE(O2590:O2609),0)</f>
        <v>0</v>
      </c>
      <c r="S2593" s="10">
        <f>IF(A2593=A2594,(N2593-N2594)/N2594,0)</f>
        <v>0</v>
      </c>
      <c r="T2593" s="10">
        <f>IF(L2593&gt;2005,(((N2593-N2613)/N2613)+1)^(1/5)-1,0)</f>
        <v>0</v>
      </c>
      <c r="U2593" s="10">
        <f t="shared" si="86"/>
        <v>0</v>
      </c>
      <c r="V2593" s="26">
        <f t="shared" si="87"/>
        <v>0</v>
      </c>
      <c r="W2593" s="3">
        <f>IF(A2593=A2594,N2593-N2594,0)</f>
        <v>0</v>
      </c>
      <c r="X2593" s="10">
        <f>IF(A2593=A2594,(N2593-N2594)/N2594,0)</f>
        <v>0</v>
      </c>
    </row>
    <row r="2594" spans="1:24" ht="16.5" customHeight="1">
      <c r="A2594" s="3" t="s">
        <v>52</v>
      </c>
      <c r="B2594" s="3">
        <f t="shared" si="80"/>
        <v>2016</v>
      </c>
      <c r="C2594" s="3">
        <f t="shared" si="81"/>
        <v>4</v>
      </c>
      <c r="D2594" s="20" t="str">
        <f t="shared" si="82"/>
        <v>AOS20164</v>
      </c>
      <c r="E2594" s="2">
        <v>42487</v>
      </c>
      <c r="F2594" s="3">
        <v>0.24</v>
      </c>
      <c r="G2594" s="2">
        <v>42506</v>
      </c>
      <c r="H2594" s="3">
        <v>1.2E-2</v>
      </c>
      <c r="I2594" s="3">
        <v>0</v>
      </c>
      <c r="J2594" s="3">
        <v>0</v>
      </c>
      <c r="K2594" s="3">
        <f t="shared" si="83"/>
        <v>2016</v>
      </c>
      <c r="L2594" s="3">
        <f t="shared" si="84"/>
        <v>0</v>
      </c>
      <c r="M2594" s="20" t="str">
        <f>A2594&amp;L2594</f>
        <v>AOS0</v>
      </c>
      <c r="N2594" s="3">
        <f>F2594/2</f>
        <v>0.12</v>
      </c>
      <c r="O2594" s="9">
        <f>H2594</f>
        <v>1.2E-2</v>
      </c>
      <c r="P2594" s="10">
        <f t="shared" si="85"/>
        <v>0</v>
      </c>
      <c r="Q2594" s="10">
        <f>IF(K2594=0,IF(A2591=A2594,AVERAGE(O2591:O2594),"x"),0)</f>
        <v>0</v>
      </c>
      <c r="R2594" s="9">
        <f>IF(L2594&gt;2005,AVERAGE(O2591:O2610),0)</f>
        <v>0</v>
      </c>
      <c r="S2594" s="10">
        <f>IF(A2594=A2595,(N2594-N2595)/N2595,0)</f>
        <v>0</v>
      </c>
      <c r="T2594" s="10">
        <f>IF(L2594&gt;2005,(((N2594-N2614)/N2614)+1)^(1/5)-1,0)</f>
        <v>0</v>
      </c>
      <c r="U2594" s="10">
        <f t="shared" si="86"/>
        <v>0</v>
      </c>
      <c r="V2594" s="26">
        <f t="shared" si="87"/>
        <v>0</v>
      </c>
      <c r="W2594" s="3">
        <f>IF(A2594=A2595,N2594-N2595,0)</f>
        <v>0</v>
      </c>
      <c r="X2594" s="10">
        <f>IF(A2594=A2595,(N2594-N2595)/N2595,0)</f>
        <v>0</v>
      </c>
    </row>
    <row r="2595" spans="1:24" ht="16.5" customHeight="1">
      <c r="A2595" s="3" t="s">
        <v>52</v>
      </c>
      <c r="B2595" s="3">
        <f t="shared" si="80"/>
        <v>2016</v>
      </c>
      <c r="C2595" s="3">
        <f t="shared" si="81"/>
        <v>2</v>
      </c>
      <c r="D2595" s="20" t="str">
        <f t="shared" si="82"/>
        <v>AOS20162</v>
      </c>
      <c r="E2595" s="2">
        <v>42403</v>
      </c>
      <c r="F2595" s="3">
        <v>0.24</v>
      </c>
      <c r="G2595" s="2">
        <v>42416</v>
      </c>
      <c r="H2595" s="3">
        <v>1.41E-2</v>
      </c>
      <c r="I2595" s="3">
        <v>0.26315789499999998</v>
      </c>
      <c r="J2595" s="3">
        <v>0.05</v>
      </c>
      <c r="K2595" s="3">
        <f t="shared" si="83"/>
        <v>0</v>
      </c>
      <c r="L2595" s="3">
        <f t="shared" si="84"/>
        <v>2016</v>
      </c>
      <c r="M2595" s="20" t="str">
        <f>A2595&amp;L2595</f>
        <v>AOS2016</v>
      </c>
      <c r="N2595" s="3">
        <f>F2595/2</f>
        <v>0.12</v>
      </c>
      <c r="O2595" s="9">
        <f>H2595</f>
        <v>1.41E-2</v>
      </c>
      <c r="P2595" s="10">
        <f t="shared" si="85"/>
        <v>1.1224999999999999E-2</v>
      </c>
      <c r="Q2595" s="10">
        <f>IF(K2595=0,IF(A2592=A2595,AVERAGE(O2592:O2595),"x"),0)</f>
        <v>1.1724999999999999E-2</v>
      </c>
      <c r="R2595" s="9">
        <f>IF(L2595&gt;2005,AVERAGE(O2592:O2611),0)</f>
        <v>1.1495E-2</v>
      </c>
      <c r="S2595" s="10">
        <f>IF(A2595=A2596,(N2595-N2596)/N2596,0)</f>
        <v>0.26315789473684204</v>
      </c>
      <c r="T2595" s="10">
        <f>IF(L2595&gt;2005,(((N2595-N2615)/N2615)+1)^(1/5)-1,0)</f>
        <v>0.27944800171705086</v>
      </c>
      <c r="U2595" s="10">
        <f t="shared" si="86"/>
        <v>0.29094300171705084</v>
      </c>
      <c r="V2595" s="26">
        <f t="shared" si="87"/>
        <v>4.8680100409642391</v>
      </c>
      <c r="W2595" s="3">
        <f>IF(A2595=A2596,N2595-N2596,0)</f>
        <v>2.4999999999999994E-2</v>
      </c>
      <c r="X2595" s="10">
        <f>IF(A2595=A2596,(N2595-N2596)/N2596,0)</f>
        <v>0.26315789473684204</v>
      </c>
    </row>
    <row r="2596" spans="1:24" ht="16.5" customHeight="1">
      <c r="A2596" s="3" t="s">
        <v>52</v>
      </c>
      <c r="B2596" s="3">
        <f t="shared" si="80"/>
        <v>2015</v>
      </c>
      <c r="C2596" s="3">
        <f t="shared" si="81"/>
        <v>10</v>
      </c>
      <c r="D2596" s="20" t="str">
        <f t="shared" si="82"/>
        <v>AOS201510</v>
      </c>
      <c r="E2596" s="2">
        <v>42305</v>
      </c>
      <c r="F2596" s="3">
        <v>0.19</v>
      </c>
      <c r="G2596" s="2">
        <v>42324</v>
      </c>
      <c r="H2596" s="3">
        <v>1.03E-2</v>
      </c>
      <c r="I2596" s="3">
        <v>0</v>
      </c>
      <c r="J2596" s="3">
        <v>0</v>
      </c>
      <c r="K2596" s="3">
        <f t="shared" si="83"/>
        <v>2015</v>
      </c>
      <c r="L2596" s="3">
        <f t="shared" si="84"/>
        <v>0</v>
      </c>
      <c r="M2596" s="20" t="str">
        <f>A2596&amp;L2596</f>
        <v>AOS0</v>
      </c>
      <c r="N2596" s="3">
        <f>F2596/2</f>
        <v>9.5000000000000001E-2</v>
      </c>
      <c r="O2596" s="9">
        <f>H2596</f>
        <v>1.03E-2</v>
      </c>
      <c r="P2596" s="10">
        <f t="shared" si="85"/>
        <v>0</v>
      </c>
      <c r="Q2596" s="10">
        <f>IF(K2596=0,IF(A2593=A2596,AVERAGE(O2593:O2596),"x"),0)</f>
        <v>0</v>
      </c>
      <c r="R2596" s="9">
        <f>IF(L2596&gt;2005,AVERAGE(O2593:O2612),0)</f>
        <v>0</v>
      </c>
      <c r="S2596" s="10">
        <f>IF(A2596=A2597,(N2596-N2597)/N2597,0)</f>
        <v>0</v>
      </c>
      <c r="T2596" s="10">
        <f>IF(L2596&gt;2005,(((N2596-N2616)/N2616)+1)^(1/5)-1,0)</f>
        <v>0</v>
      </c>
      <c r="U2596" s="10">
        <f t="shared" si="86"/>
        <v>0</v>
      </c>
      <c r="V2596" s="26">
        <f t="shared" si="87"/>
        <v>0</v>
      </c>
      <c r="W2596" s="3">
        <f>IF(A2596=A2597,N2596-N2597,0)</f>
        <v>0</v>
      </c>
      <c r="X2596" s="10">
        <f>IF(A2596=A2597,(N2596-N2597)/N2597,0)</f>
        <v>0</v>
      </c>
    </row>
    <row r="2597" spans="1:24" ht="16.5" customHeight="1">
      <c r="A2597" s="3" t="s">
        <v>52</v>
      </c>
      <c r="B2597" s="3">
        <f t="shared" si="80"/>
        <v>2015</v>
      </c>
      <c r="C2597" s="3">
        <f t="shared" si="81"/>
        <v>7</v>
      </c>
      <c r="D2597" s="20" t="str">
        <f t="shared" si="82"/>
        <v>AOS20157</v>
      </c>
      <c r="E2597" s="2">
        <v>42214</v>
      </c>
      <c r="F2597" s="3">
        <v>0.19</v>
      </c>
      <c r="G2597" s="2">
        <v>42233</v>
      </c>
      <c r="H2597" s="3">
        <v>1.0200000000000001E-2</v>
      </c>
      <c r="I2597" s="3">
        <v>0</v>
      </c>
      <c r="J2597" s="3">
        <v>0</v>
      </c>
      <c r="K2597" s="3">
        <f t="shared" si="83"/>
        <v>2015</v>
      </c>
      <c r="L2597" s="3">
        <f t="shared" si="84"/>
        <v>0</v>
      </c>
      <c r="M2597" s="20" t="str">
        <f>A2597&amp;L2597</f>
        <v>AOS0</v>
      </c>
      <c r="N2597" s="3">
        <f>F2597/2</f>
        <v>9.5000000000000001E-2</v>
      </c>
      <c r="O2597" s="9">
        <f>H2597</f>
        <v>1.0200000000000001E-2</v>
      </c>
      <c r="P2597" s="10">
        <f t="shared" si="85"/>
        <v>0</v>
      </c>
      <c r="Q2597" s="10">
        <f>IF(K2597=0,IF(A2594=A2597,AVERAGE(O2594:O2597),"x"),0)</f>
        <v>0</v>
      </c>
      <c r="R2597" s="9">
        <f>IF(L2597&gt;2005,AVERAGE(O2594:O2613),0)</f>
        <v>0</v>
      </c>
      <c r="S2597" s="10">
        <f>IF(A2597=A2598,(N2597-N2598)/N2598,0)</f>
        <v>0</v>
      </c>
      <c r="T2597" s="10">
        <f>IF(L2597&gt;2005,(((N2597-N2617)/N2617)+1)^(1/5)-1,0)</f>
        <v>0</v>
      </c>
      <c r="U2597" s="10">
        <f t="shared" si="86"/>
        <v>0</v>
      </c>
      <c r="V2597" s="26">
        <f t="shared" si="87"/>
        <v>0</v>
      </c>
      <c r="W2597" s="3">
        <f>IF(A2597=A2598,N2597-N2598,0)</f>
        <v>0</v>
      </c>
      <c r="X2597" s="10">
        <f>IF(A2597=A2598,(N2597-N2598)/N2598,0)</f>
        <v>0</v>
      </c>
    </row>
    <row r="2598" spans="1:24" ht="16.5" customHeight="1">
      <c r="A2598" s="3" t="s">
        <v>52</v>
      </c>
      <c r="B2598" s="3">
        <f t="shared" si="80"/>
        <v>2015</v>
      </c>
      <c r="C2598" s="3">
        <f t="shared" si="81"/>
        <v>4</v>
      </c>
      <c r="D2598" s="20" t="str">
        <f t="shared" si="82"/>
        <v>AOS20154</v>
      </c>
      <c r="E2598" s="2">
        <v>42122</v>
      </c>
      <c r="F2598" s="3">
        <v>0.19</v>
      </c>
      <c r="G2598" s="2">
        <v>42139</v>
      </c>
      <c r="H2598" s="3">
        <v>1.03E-2</v>
      </c>
      <c r="I2598" s="3">
        <v>0</v>
      </c>
      <c r="J2598" s="3">
        <v>0</v>
      </c>
      <c r="K2598" s="3">
        <f t="shared" si="83"/>
        <v>2015</v>
      </c>
      <c r="L2598" s="3">
        <f t="shared" si="84"/>
        <v>0</v>
      </c>
      <c r="M2598" s="20" t="str">
        <f>A2598&amp;L2598</f>
        <v>AOS0</v>
      </c>
      <c r="N2598" s="3">
        <f>F2598/2</f>
        <v>9.5000000000000001E-2</v>
      </c>
      <c r="O2598" s="9">
        <f>H2598</f>
        <v>1.03E-2</v>
      </c>
      <c r="P2598" s="10">
        <f t="shared" si="85"/>
        <v>0</v>
      </c>
      <c r="Q2598" s="10">
        <f>IF(K2598=0,IF(A2595=A2598,AVERAGE(O2595:O2598),"x"),0)</f>
        <v>0</v>
      </c>
      <c r="R2598" s="9">
        <f>IF(L2598&gt;2005,AVERAGE(O2595:O2614),0)</f>
        <v>0</v>
      </c>
      <c r="S2598" s="10">
        <f>IF(A2598=A2599,(N2598-N2599)/N2599,0)</f>
        <v>0</v>
      </c>
      <c r="T2598" s="10">
        <f>IF(L2598&gt;2005,(((N2598-N2618)/N2618)+1)^(1/5)-1,0)</f>
        <v>0</v>
      </c>
      <c r="U2598" s="10">
        <f t="shared" si="86"/>
        <v>0</v>
      </c>
      <c r="V2598" s="26">
        <f t="shared" si="87"/>
        <v>0</v>
      </c>
      <c r="W2598" s="3">
        <f>IF(A2598=A2599,N2598-N2599,0)</f>
        <v>0</v>
      </c>
      <c r="X2598" s="10">
        <f>IF(A2598=A2599,(N2598-N2599)/N2599,0)</f>
        <v>0</v>
      </c>
    </row>
    <row r="2599" spans="1:24" ht="16.5" customHeight="1">
      <c r="A2599" s="3" t="s">
        <v>52</v>
      </c>
      <c r="B2599" s="3">
        <f t="shared" si="80"/>
        <v>2015</v>
      </c>
      <c r="C2599" s="3">
        <f t="shared" si="81"/>
        <v>2</v>
      </c>
      <c r="D2599" s="20" t="str">
        <f t="shared" si="82"/>
        <v>AOS20152</v>
      </c>
      <c r="E2599" s="2">
        <v>42039</v>
      </c>
      <c r="F2599" s="3">
        <v>0.19</v>
      </c>
      <c r="G2599" s="2">
        <v>42052</v>
      </c>
      <c r="H2599" s="3">
        <v>1.0500000000000001E-2</v>
      </c>
      <c r="I2599" s="3">
        <v>0.26666666700000002</v>
      </c>
      <c r="J2599" s="3">
        <v>0.04</v>
      </c>
      <c r="K2599" s="3">
        <f t="shared" si="83"/>
        <v>0</v>
      </c>
      <c r="L2599" s="3">
        <f t="shared" si="84"/>
        <v>2015</v>
      </c>
      <c r="M2599" s="20" t="str">
        <f>A2599&amp;L2599</f>
        <v>AOS2015</v>
      </c>
      <c r="N2599" s="3">
        <f>F2599/2</f>
        <v>9.5000000000000001E-2</v>
      </c>
      <c r="O2599" s="9">
        <f>H2599</f>
        <v>1.0500000000000001E-2</v>
      </c>
      <c r="P2599" s="10">
        <f t="shared" si="85"/>
        <v>1.1275E-2</v>
      </c>
      <c r="Q2599" s="10">
        <f>IF(K2599=0,IF(A2596=A2599,AVERAGE(O2596:O2599),"x"),0)</f>
        <v>1.0325000000000001E-2</v>
      </c>
      <c r="R2599" s="9">
        <f>IF(L2599&gt;2005,AVERAGE(O2596:O2615),0)</f>
        <v>1.1914999999999999E-2</v>
      </c>
      <c r="S2599" s="10">
        <f>IF(A2599=A2600,(N2599-N2600)/N2600,0)</f>
        <v>0.26666666666666672</v>
      </c>
      <c r="T2599" s="10">
        <f>IF(L2599&gt;2005,(((N2599-N2619)/N2619)+1)^(1/5)-1,0)</f>
        <v>0.42355433436501966</v>
      </c>
      <c r="U2599" s="10">
        <f t="shared" si="86"/>
        <v>0.43546933436501967</v>
      </c>
      <c r="V2599" s="26">
        <f t="shared" si="87"/>
        <v>4.8768630731424993</v>
      </c>
      <c r="W2599" s="3">
        <f>IF(A2599=A2600,N2599-N2600,0)</f>
        <v>2.0000000000000004E-2</v>
      </c>
      <c r="X2599" s="10">
        <f>IF(A2599=A2600,(N2599-N2600)/N2600,0)</f>
        <v>0.26666666666666672</v>
      </c>
    </row>
    <row r="2600" spans="1:24" ht="16.5" customHeight="1">
      <c r="A2600" s="3" t="s">
        <v>52</v>
      </c>
      <c r="B2600" s="3">
        <f t="shared" si="80"/>
        <v>2014</v>
      </c>
      <c r="C2600" s="3">
        <f t="shared" si="81"/>
        <v>10</v>
      </c>
      <c r="D2600" s="20" t="str">
        <f t="shared" si="82"/>
        <v>AOS201410</v>
      </c>
      <c r="E2600" s="2">
        <v>41941</v>
      </c>
      <c r="F2600" s="3">
        <v>0.15</v>
      </c>
      <c r="G2600" s="2">
        <v>41960</v>
      </c>
      <c r="H2600" s="3">
        <v>1.14E-2</v>
      </c>
      <c r="I2600" s="3">
        <v>0</v>
      </c>
      <c r="J2600" s="3">
        <v>0</v>
      </c>
      <c r="K2600" s="3">
        <f t="shared" si="83"/>
        <v>2014</v>
      </c>
      <c r="L2600" s="3">
        <f t="shared" si="84"/>
        <v>0</v>
      </c>
      <c r="M2600" s="20" t="str">
        <f>A2600&amp;L2600</f>
        <v>AOS0</v>
      </c>
      <c r="N2600" s="3">
        <f>F2600/2</f>
        <v>7.4999999999999997E-2</v>
      </c>
      <c r="O2600" s="9">
        <f>H2600</f>
        <v>1.14E-2</v>
      </c>
      <c r="P2600" s="10">
        <f t="shared" si="85"/>
        <v>0</v>
      </c>
      <c r="Q2600" s="10">
        <f>IF(K2600=0,IF(A2597=A2600,AVERAGE(O2597:O2600),"x"),0)</f>
        <v>0</v>
      </c>
      <c r="R2600" s="9">
        <f>IF(L2600&gt;2005,AVERAGE(O2597:O2616),0)</f>
        <v>0</v>
      </c>
      <c r="S2600" s="10">
        <f>IF(A2600=A2601,(N2600-N2601)/N2601,0)</f>
        <v>0</v>
      </c>
      <c r="T2600" s="10">
        <f>IF(L2600&gt;2005,(((N2600-N2620)/N2620)+1)^(1/5)-1,0)</f>
        <v>0</v>
      </c>
      <c r="U2600" s="10">
        <f t="shared" si="86"/>
        <v>0</v>
      </c>
      <c r="V2600" s="26">
        <f t="shared" si="87"/>
        <v>0</v>
      </c>
      <c r="W2600" s="3">
        <f>IF(A2600=A2601,N2600-N2601,0)</f>
        <v>0</v>
      </c>
      <c r="X2600" s="10">
        <f>IF(A2600=A2601,(N2600-N2601)/N2601,0)</f>
        <v>0</v>
      </c>
    </row>
    <row r="2601" spans="1:24" ht="16.5" customHeight="1">
      <c r="A2601" s="3" t="s">
        <v>52</v>
      </c>
      <c r="B2601" s="3">
        <f t="shared" si="80"/>
        <v>2014</v>
      </c>
      <c r="C2601" s="3">
        <f t="shared" si="81"/>
        <v>7</v>
      </c>
      <c r="D2601" s="20" t="str">
        <f t="shared" si="82"/>
        <v>AOS20147</v>
      </c>
      <c r="E2601" s="2">
        <v>41849</v>
      </c>
      <c r="F2601" s="3">
        <v>0.15</v>
      </c>
      <c r="G2601" s="2">
        <v>41866</v>
      </c>
      <c r="H2601" s="3">
        <v>1.17E-2</v>
      </c>
      <c r="I2601" s="3">
        <v>0</v>
      </c>
      <c r="J2601" s="3">
        <v>0</v>
      </c>
      <c r="K2601" s="3">
        <f t="shared" si="83"/>
        <v>2014</v>
      </c>
      <c r="L2601" s="3">
        <f t="shared" si="84"/>
        <v>0</v>
      </c>
      <c r="M2601" s="20" t="str">
        <f>A2601&amp;L2601</f>
        <v>AOS0</v>
      </c>
      <c r="N2601" s="3">
        <f>F2601/2</f>
        <v>7.4999999999999997E-2</v>
      </c>
      <c r="O2601" s="9">
        <f>H2601</f>
        <v>1.17E-2</v>
      </c>
      <c r="P2601" s="10">
        <f t="shared" si="85"/>
        <v>0</v>
      </c>
      <c r="Q2601" s="10">
        <f>IF(K2601=0,IF(A2598=A2601,AVERAGE(O2598:O2601),"x"),0)</f>
        <v>0</v>
      </c>
      <c r="R2601" s="9">
        <f>IF(L2601&gt;2005,AVERAGE(O2598:O2617),0)</f>
        <v>0</v>
      </c>
      <c r="S2601" s="10">
        <f>IF(A2601=A2602,(N2601-N2602)/N2602,0)</f>
        <v>0</v>
      </c>
      <c r="T2601" s="10">
        <f>IF(L2601&gt;2005,(((N2601-N2621)/N2621)+1)^(1/5)-1,0)</f>
        <v>0</v>
      </c>
      <c r="U2601" s="10">
        <f t="shared" si="86"/>
        <v>0</v>
      </c>
      <c r="V2601" s="26">
        <f t="shared" si="87"/>
        <v>0</v>
      </c>
      <c r="W2601" s="3">
        <f>IF(A2601=A2602,N2601-N2602,0)</f>
        <v>0</v>
      </c>
      <c r="X2601" s="10">
        <f>IF(A2601=A2602,(N2601-N2602)/N2602,0)</f>
        <v>0</v>
      </c>
    </row>
    <row r="2602" spans="1:24" ht="16.5" customHeight="1">
      <c r="A2602" s="3" t="s">
        <v>52</v>
      </c>
      <c r="B2602" s="3">
        <f t="shared" si="80"/>
        <v>2014</v>
      </c>
      <c r="C2602" s="3">
        <f t="shared" si="81"/>
        <v>4</v>
      </c>
      <c r="D2602" s="20" t="str">
        <f t="shared" si="82"/>
        <v>AOS20144</v>
      </c>
      <c r="E2602" s="2">
        <v>41757</v>
      </c>
      <c r="F2602" s="3">
        <v>0.15</v>
      </c>
      <c r="G2602" s="2">
        <v>41774</v>
      </c>
      <c r="H2602" s="3">
        <v>1.15E-2</v>
      </c>
      <c r="I2602" s="3">
        <v>0</v>
      </c>
      <c r="J2602" s="3">
        <v>0</v>
      </c>
      <c r="K2602" s="3">
        <f t="shared" si="83"/>
        <v>2014</v>
      </c>
      <c r="L2602" s="3">
        <f t="shared" si="84"/>
        <v>0</v>
      </c>
      <c r="M2602" s="20" t="str">
        <f>A2602&amp;L2602</f>
        <v>AOS0</v>
      </c>
      <c r="N2602" s="3">
        <f>F2602/2</f>
        <v>7.4999999999999997E-2</v>
      </c>
      <c r="O2602" s="9">
        <f>H2602</f>
        <v>1.15E-2</v>
      </c>
      <c r="P2602" s="10">
        <f t="shared" si="85"/>
        <v>0</v>
      </c>
      <c r="Q2602" s="10">
        <f>IF(K2602=0,IF(A2599=A2602,AVERAGE(O2599:O2602),"x"),0)</f>
        <v>0</v>
      </c>
      <c r="R2602" s="9">
        <f>IF(L2602&gt;2005,AVERAGE(O2599:O2618),0)</f>
        <v>0</v>
      </c>
      <c r="S2602" s="10">
        <f>IF(A2602=A2603,(N2602-N2603)/N2603,0)</f>
        <v>0</v>
      </c>
      <c r="T2602" s="10">
        <f>IF(L2602&gt;2005,(((N2602-N2622)/N2622)+1)^(1/5)-1,0)</f>
        <v>0</v>
      </c>
      <c r="U2602" s="10">
        <f t="shared" si="86"/>
        <v>0</v>
      </c>
      <c r="V2602" s="26">
        <f t="shared" si="87"/>
        <v>0</v>
      </c>
      <c r="W2602" s="3">
        <f>IF(A2602=A2603,N2602-N2603,0)</f>
        <v>0</v>
      </c>
      <c r="X2602" s="10">
        <f>IF(A2602=A2603,(N2602-N2603)/N2603,0)</f>
        <v>0</v>
      </c>
    </row>
    <row r="2603" spans="1:24" ht="16.5" customHeight="1">
      <c r="A2603" s="3" t="s">
        <v>52</v>
      </c>
      <c r="B2603" s="3">
        <f t="shared" si="80"/>
        <v>2014</v>
      </c>
      <c r="C2603" s="3">
        <f t="shared" si="81"/>
        <v>2</v>
      </c>
      <c r="D2603" s="20" t="str">
        <f t="shared" si="82"/>
        <v>AOS20142</v>
      </c>
      <c r="E2603" s="2">
        <v>41675</v>
      </c>
      <c r="F2603" s="3">
        <v>0.15</v>
      </c>
      <c r="G2603" s="2">
        <v>41688</v>
      </c>
      <c r="H2603" s="3">
        <v>1.11E-2</v>
      </c>
      <c r="I2603" s="3">
        <v>0.25</v>
      </c>
      <c r="J2603" s="3">
        <v>0.03</v>
      </c>
      <c r="K2603" s="3">
        <f t="shared" si="83"/>
        <v>0</v>
      </c>
      <c r="L2603" s="3">
        <f t="shared" si="84"/>
        <v>2014</v>
      </c>
      <c r="M2603" s="20" t="str">
        <f>A2603&amp;L2603</f>
        <v>AOS2014</v>
      </c>
      <c r="N2603" s="3">
        <f>F2603/2</f>
        <v>7.4999999999999997E-2</v>
      </c>
      <c r="O2603" s="9">
        <f>H2603</f>
        <v>1.11E-2</v>
      </c>
      <c r="P2603" s="10">
        <f t="shared" si="85"/>
        <v>1.055E-2</v>
      </c>
      <c r="Q2603" s="10">
        <f>IF(K2603=0,IF(A2600=A2603,AVERAGE(O2600:O2603),"x"),0)</f>
        <v>1.1425000000000001E-2</v>
      </c>
      <c r="R2603" s="9">
        <f>IF(L2603&gt;2005,AVERAGE(O2600:O2619),0)</f>
        <v>1.2945000000000002E-2</v>
      </c>
      <c r="S2603" s="10">
        <f>IF(A2603=A2604,(N2603-N2604)/N2604,0)</f>
        <v>0.25</v>
      </c>
      <c r="T2603" s="10">
        <f>IF(L2603&gt;2005,(((N2603-N2623)/N2623)+1)^(1/5)-1,0)</f>
        <v>-0.23698574259465133</v>
      </c>
      <c r="U2603" s="10">
        <f t="shared" si="86"/>
        <v>0</v>
      </c>
      <c r="V2603" s="26">
        <f t="shared" si="87"/>
        <v>0</v>
      </c>
      <c r="W2603" s="3">
        <f>IF(A2603=A2604,N2603-N2604,0)</f>
        <v>1.4999999999999999E-2</v>
      </c>
      <c r="X2603" s="10">
        <f>IF(A2603=A2604,(N2603-N2604)/N2604,0)</f>
        <v>0.25</v>
      </c>
    </row>
    <row r="2604" spans="1:24" ht="16.5" customHeight="1">
      <c r="A2604" s="3" t="s">
        <v>52</v>
      </c>
      <c r="B2604" s="3">
        <f t="shared" si="80"/>
        <v>2013</v>
      </c>
      <c r="C2604" s="3">
        <f t="shared" si="81"/>
        <v>10</v>
      </c>
      <c r="D2604" s="20" t="str">
        <f t="shared" si="82"/>
        <v>AOS201310</v>
      </c>
      <c r="E2604" s="2">
        <v>41576</v>
      </c>
      <c r="F2604" s="3">
        <v>0.12</v>
      </c>
      <c r="G2604" s="2">
        <v>41593</v>
      </c>
      <c r="H2604" s="3">
        <v>9.1000000000000004E-3</v>
      </c>
      <c r="I2604" s="3">
        <v>0</v>
      </c>
      <c r="J2604" s="3">
        <v>0</v>
      </c>
      <c r="K2604" s="3">
        <f t="shared" si="83"/>
        <v>2013</v>
      </c>
      <c r="L2604" s="3">
        <f t="shared" si="84"/>
        <v>0</v>
      </c>
      <c r="M2604" s="20" t="str">
        <f>A2604&amp;L2604</f>
        <v>AOS0</v>
      </c>
      <c r="N2604" s="3">
        <f>F2604/2</f>
        <v>0.06</v>
      </c>
      <c r="O2604" s="9">
        <f>H2604</f>
        <v>9.1000000000000004E-3</v>
      </c>
      <c r="P2604" s="10">
        <f t="shared" si="85"/>
        <v>0</v>
      </c>
      <c r="Q2604" s="10">
        <f>IF(K2604=0,IF(A2601=A2604,AVERAGE(O2601:O2604),"x"),0)</f>
        <v>0</v>
      </c>
      <c r="R2604" s="9">
        <f>IF(L2604&gt;2005,AVERAGE(O2601:O2620),0)</f>
        <v>0</v>
      </c>
      <c r="S2604" s="10">
        <f>IF(A2604=A2605,(N2604-N2605)/N2605,0)</f>
        <v>0</v>
      </c>
      <c r="T2604" s="10">
        <f>IF(L2604&gt;2005,(((N2604-N2624)/N2624)+1)^(1/5)-1,0)</f>
        <v>0</v>
      </c>
      <c r="U2604" s="10">
        <f t="shared" si="86"/>
        <v>0</v>
      </c>
      <c r="V2604" s="26">
        <f t="shared" si="87"/>
        <v>0</v>
      </c>
      <c r="W2604" s="3">
        <f>IF(A2604=A2605,N2604-N2605,0)</f>
        <v>0</v>
      </c>
      <c r="X2604" s="10">
        <f>IF(A2604=A2605,(N2604-N2605)/N2605,0)</f>
        <v>0</v>
      </c>
    </row>
    <row r="2605" spans="1:24" ht="16.5" customHeight="1">
      <c r="A2605" s="3" t="s">
        <v>52</v>
      </c>
      <c r="B2605" s="3">
        <f t="shared" si="80"/>
        <v>2013</v>
      </c>
      <c r="C2605" s="3">
        <f t="shared" si="81"/>
        <v>7</v>
      </c>
      <c r="D2605" s="20" t="str">
        <f t="shared" si="82"/>
        <v>AOS20137</v>
      </c>
      <c r="E2605" s="2">
        <v>41484</v>
      </c>
      <c r="F2605" s="3">
        <v>0.12</v>
      </c>
      <c r="G2605" s="2">
        <v>41501</v>
      </c>
      <c r="H2605" s="3">
        <v>1.0699999999999999E-2</v>
      </c>
      <c r="I2605" s="3">
        <v>-0.5</v>
      </c>
      <c r="J2605" s="3">
        <v>-0.12</v>
      </c>
      <c r="K2605" s="3">
        <f t="shared" si="83"/>
        <v>2013</v>
      </c>
      <c r="L2605" s="3">
        <f t="shared" si="84"/>
        <v>0</v>
      </c>
      <c r="M2605" s="20" t="str">
        <f>A2605&amp;L2605</f>
        <v>AOS0</v>
      </c>
      <c r="N2605" s="3">
        <f>F2605/2</f>
        <v>0.06</v>
      </c>
      <c r="O2605" s="9">
        <f>H2605</f>
        <v>1.0699999999999999E-2</v>
      </c>
      <c r="P2605" s="10">
        <f t="shared" si="85"/>
        <v>0</v>
      </c>
      <c r="Q2605" s="10">
        <f>IF(K2605=0,IF(A2602=A2605,AVERAGE(O2602:O2605),"x"),0)</f>
        <v>0</v>
      </c>
      <c r="R2605" s="9">
        <f>IF(L2605&gt;2005,AVERAGE(O2602:O2621),0)</f>
        <v>0</v>
      </c>
      <c r="S2605" s="10">
        <f>IF(A2605=A2606,(N2605-N2606)/N2606,0)</f>
        <v>0</v>
      </c>
      <c r="T2605" s="10">
        <f>IF(L2605&gt;2005,(((N2605-N2625)/N2625)+1)^(1/5)-1,0)</f>
        <v>0</v>
      </c>
      <c r="U2605" s="10">
        <f t="shared" si="86"/>
        <v>0</v>
      </c>
      <c r="V2605" s="26">
        <f t="shared" si="87"/>
        <v>0</v>
      </c>
      <c r="W2605" s="3">
        <f>IF(A2605=A2606,N2605-N2606,0)</f>
        <v>0</v>
      </c>
      <c r="X2605" s="10">
        <f>IF(A2605=A2606,(N2605-N2606)/N2606,0)</f>
        <v>0</v>
      </c>
    </row>
    <row r="2606" spans="1:24" ht="16.5" customHeight="1">
      <c r="A2606" s="3" t="s">
        <v>52</v>
      </c>
      <c r="B2606" s="3">
        <f t="shared" si="80"/>
        <v>2013</v>
      </c>
      <c r="C2606" s="3">
        <f t="shared" si="81"/>
        <v>4</v>
      </c>
      <c r="D2606" s="20" t="str">
        <f t="shared" si="82"/>
        <v>AOS20134</v>
      </c>
      <c r="E2606" s="2">
        <v>41389</v>
      </c>
      <c r="F2606" s="3">
        <v>0.24</v>
      </c>
      <c r="G2606" s="2">
        <v>41408</v>
      </c>
      <c r="H2606" s="3">
        <v>1.1299999999999999E-2</v>
      </c>
      <c r="I2606" s="3">
        <v>0.2</v>
      </c>
      <c r="J2606" s="3">
        <v>0.04</v>
      </c>
      <c r="K2606" s="3">
        <f t="shared" si="83"/>
        <v>2013</v>
      </c>
      <c r="L2606" s="3">
        <f t="shared" si="84"/>
        <v>0</v>
      </c>
      <c r="M2606" s="20" t="str">
        <f>A2606&amp;L2606</f>
        <v>AOS0</v>
      </c>
      <c r="N2606" s="3">
        <f>F2606/4</f>
        <v>0.06</v>
      </c>
      <c r="O2606" s="9">
        <f>H2606</f>
        <v>1.1299999999999999E-2</v>
      </c>
      <c r="P2606" s="10">
        <f t="shared" si="85"/>
        <v>1.1950000000000002E-2</v>
      </c>
      <c r="Q2606" s="10">
        <f>IF(K2606=0,IF(A2603=A2606,AVERAGE(O2603:O2606),"x"),0)</f>
        <v>0</v>
      </c>
      <c r="R2606" s="9">
        <f>IF(L2606&gt;2005,AVERAGE(O2603:O2622),0)</f>
        <v>0</v>
      </c>
      <c r="S2606" s="10">
        <f>IF(A2606=A2607,(N2606-N2607)/N2607,0)</f>
        <v>0.1999999999999999</v>
      </c>
      <c r="T2606" s="10">
        <f>IF(L2606&gt;2005,(((N2606-N2626)/N2626)+1)^(1/5)-1,0)</f>
        <v>0</v>
      </c>
      <c r="U2606" s="10">
        <f t="shared" si="86"/>
        <v>0</v>
      </c>
      <c r="V2606" s="26">
        <f t="shared" si="87"/>
        <v>0</v>
      </c>
      <c r="W2606" s="3">
        <f>IF(A2606=A2607,N2606-N2607,0)</f>
        <v>9.999999999999995E-3</v>
      </c>
      <c r="X2606" s="10">
        <f>IF(A2606=A2607,(N2606-N2607)/N2607,0)</f>
        <v>0.1999999999999999</v>
      </c>
    </row>
    <row r="2607" spans="1:24" ht="16.5" customHeight="1">
      <c r="A2607" s="3" t="s">
        <v>52</v>
      </c>
      <c r="B2607" s="3">
        <f t="shared" si="80"/>
        <v>2013</v>
      </c>
      <c r="C2607" s="3">
        <f t="shared" si="81"/>
        <v>1</v>
      </c>
      <c r="D2607" s="20" t="str">
        <f t="shared" si="82"/>
        <v>AOS20131</v>
      </c>
      <c r="E2607" s="2">
        <v>41303</v>
      </c>
      <c r="F2607" s="3">
        <v>0.2</v>
      </c>
      <c r="G2607" s="2">
        <v>41320</v>
      </c>
      <c r="H2607" s="3">
        <v>1.0800000000000001E-2</v>
      </c>
      <c r="I2607" s="3">
        <v>0</v>
      </c>
      <c r="J2607" s="3">
        <v>0</v>
      </c>
      <c r="K2607" s="3">
        <f t="shared" si="83"/>
        <v>0</v>
      </c>
      <c r="L2607" s="3">
        <f t="shared" si="84"/>
        <v>2013</v>
      </c>
      <c r="M2607" s="20" t="str">
        <f>A2607&amp;L2607</f>
        <v>AOS2013</v>
      </c>
      <c r="N2607" s="3">
        <f>F2607/4</f>
        <v>0.05</v>
      </c>
      <c r="O2607" s="9">
        <f>H2607</f>
        <v>1.0800000000000001E-2</v>
      </c>
      <c r="P2607" s="10">
        <f t="shared" si="85"/>
        <v>0</v>
      </c>
      <c r="Q2607" s="10">
        <f>IF(K2607=0,IF(A2604=A2607,AVERAGE(O2604:O2607),"x"),0)</f>
        <v>1.0474999999999998E-2</v>
      </c>
      <c r="R2607" s="9">
        <f>IF(L2607&gt;2005,AVERAGE(O2604:O2623),0)</f>
        <v>1.4680000000000002E-2</v>
      </c>
      <c r="S2607" s="10">
        <f>IF(A2607=A2608,(N2607-N2608)/N2608,0)</f>
        <v>0</v>
      </c>
      <c r="T2607" s="10">
        <f>IF(L2607&gt;2005,(((N2607-N2627)/N2627)+1)^(1/5)-1,0)</f>
        <v>-0.29146322768095723</v>
      </c>
      <c r="U2607" s="10">
        <f t="shared" si="86"/>
        <v>0</v>
      </c>
      <c r="V2607" s="26">
        <f t="shared" si="87"/>
        <v>0</v>
      </c>
      <c r="W2607" s="3">
        <f>IF(A2607=A2608,N2607-N2608,0)</f>
        <v>0</v>
      </c>
      <c r="X2607" s="10">
        <f>IF(A2607=A2608,(N2607-N2608)/N2608,0)</f>
        <v>0</v>
      </c>
    </row>
    <row r="2608" spans="1:24" ht="16.5" customHeight="1">
      <c r="A2608" s="3" t="s">
        <v>52</v>
      </c>
      <c r="B2608" s="3">
        <f t="shared" si="80"/>
        <v>2012</v>
      </c>
      <c r="C2608" s="3">
        <f t="shared" si="81"/>
        <v>10</v>
      </c>
      <c r="D2608" s="20" t="str">
        <f t="shared" si="82"/>
        <v>AOS201210</v>
      </c>
      <c r="E2608" s="2">
        <v>41211</v>
      </c>
      <c r="F2608" s="3">
        <v>0.2</v>
      </c>
      <c r="G2608" s="2">
        <v>41228</v>
      </c>
      <c r="H2608" s="3">
        <v>1.2E-2</v>
      </c>
      <c r="I2608" s="3">
        <v>0</v>
      </c>
      <c r="J2608" s="3">
        <v>0</v>
      </c>
      <c r="K2608" s="3">
        <f t="shared" si="83"/>
        <v>2012</v>
      </c>
      <c r="L2608" s="3">
        <f t="shared" si="84"/>
        <v>0</v>
      </c>
      <c r="M2608" s="20" t="str">
        <f>A2608&amp;L2608</f>
        <v>AOS0</v>
      </c>
      <c r="N2608" s="3">
        <f>F2608/4</f>
        <v>0.05</v>
      </c>
      <c r="O2608" s="9">
        <f>H2608</f>
        <v>1.2E-2</v>
      </c>
      <c r="P2608" s="10">
        <f t="shared" si="85"/>
        <v>0</v>
      </c>
      <c r="Q2608" s="10">
        <f>IF(K2608=0,IF(A2605=A2608,AVERAGE(O2605:O2608),"x"),0)</f>
        <v>0</v>
      </c>
      <c r="R2608" s="9">
        <f>IF(L2608&gt;2005,AVERAGE(O2605:O2624),0)</f>
        <v>0</v>
      </c>
      <c r="S2608" s="10">
        <f>IF(A2608=A2609,(N2608-N2609)/N2609,0)</f>
        <v>0</v>
      </c>
      <c r="T2608" s="10">
        <f>IF(L2608&gt;2005,(((N2608-N2628)/N2628)+1)^(1/5)-1,0)</f>
        <v>0</v>
      </c>
      <c r="U2608" s="10">
        <f t="shared" si="86"/>
        <v>0</v>
      </c>
      <c r="V2608" s="26">
        <f t="shared" si="87"/>
        <v>0</v>
      </c>
      <c r="W2608" s="3">
        <f>IF(A2608=A2609,N2608-N2609,0)</f>
        <v>0</v>
      </c>
      <c r="X2608" s="10">
        <f>IF(A2608=A2609,(N2608-N2609)/N2609,0)</f>
        <v>0</v>
      </c>
    </row>
    <row r="2609" spans="1:24" ht="16.5" customHeight="1">
      <c r="A2609" s="3" t="s">
        <v>52</v>
      </c>
      <c r="B2609" s="3">
        <f t="shared" si="80"/>
        <v>2012</v>
      </c>
      <c r="C2609" s="3">
        <f t="shared" si="81"/>
        <v>7</v>
      </c>
      <c r="D2609" s="20" t="str">
        <f t="shared" si="82"/>
        <v>AOS20127</v>
      </c>
      <c r="E2609" s="2">
        <v>41117</v>
      </c>
      <c r="F2609" s="3">
        <v>0.2</v>
      </c>
      <c r="G2609" s="2">
        <v>41136</v>
      </c>
      <c r="H2609" s="3">
        <v>1.37E-2</v>
      </c>
      <c r="I2609" s="3">
        <v>0.25</v>
      </c>
      <c r="J2609" s="3">
        <v>0.04</v>
      </c>
      <c r="K2609" s="3">
        <f t="shared" si="83"/>
        <v>2012</v>
      </c>
      <c r="L2609" s="3">
        <f t="shared" si="84"/>
        <v>0</v>
      </c>
      <c r="M2609" s="20" t="str">
        <f>A2609&amp;L2609</f>
        <v>AOS0</v>
      </c>
      <c r="N2609" s="3">
        <f>F2609/4</f>
        <v>0.05</v>
      </c>
      <c r="O2609" s="9">
        <f>H2609</f>
        <v>1.37E-2</v>
      </c>
      <c r="P2609" s="10">
        <f t="shared" si="85"/>
        <v>1.4574999999999999E-2</v>
      </c>
      <c r="Q2609" s="10">
        <f>IF(K2609=0,IF(A2606=A2609,AVERAGE(O2606:O2609),"x"),0)</f>
        <v>0</v>
      </c>
      <c r="R2609" s="9">
        <f>IF(L2609&gt;2005,AVERAGE(O2606:O2625),0)</f>
        <v>0</v>
      </c>
      <c r="S2609" s="10">
        <f>IF(A2609=A2610,(N2609-N2610)/N2610,0)</f>
        <v>0.25000000000000006</v>
      </c>
      <c r="T2609" s="10">
        <f>IF(L2609&gt;2005,(((N2609-N2629)/N2629)+1)^(1/5)-1,0)</f>
        <v>0</v>
      </c>
      <c r="U2609" s="10">
        <f t="shared" si="86"/>
        <v>0</v>
      </c>
      <c r="V2609" s="26">
        <f t="shared" si="87"/>
        <v>0</v>
      </c>
      <c r="W2609" s="3">
        <f>IF(A2609=A2610,N2609-N2610,0)</f>
        <v>1.0000000000000002E-2</v>
      </c>
      <c r="X2609" s="10">
        <f>IF(A2609=A2610,(N2609-N2610)/N2610,0)</f>
        <v>0.25000000000000006</v>
      </c>
    </row>
    <row r="2610" spans="1:24" ht="16.5" customHeight="1">
      <c r="A2610" s="3" t="s">
        <v>52</v>
      </c>
      <c r="B2610" s="3">
        <f t="shared" si="80"/>
        <v>2012</v>
      </c>
      <c r="C2610" s="3">
        <f t="shared" si="81"/>
        <v>4</v>
      </c>
      <c r="D2610" s="20" t="str">
        <f t="shared" si="82"/>
        <v>AOS20124</v>
      </c>
      <c r="E2610" s="2">
        <v>41025</v>
      </c>
      <c r="F2610" s="3">
        <v>0.16</v>
      </c>
      <c r="G2610" s="2">
        <v>41044</v>
      </c>
      <c r="H2610" s="3">
        <v>1.35E-2</v>
      </c>
      <c r="I2610" s="3">
        <v>0</v>
      </c>
      <c r="J2610" s="3">
        <v>0</v>
      </c>
      <c r="K2610" s="3">
        <f t="shared" si="83"/>
        <v>2012</v>
      </c>
      <c r="L2610" s="3">
        <f t="shared" si="84"/>
        <v>0</v>
      </c>
      <c r="M2610" s="20" t="str">
        <f>A2610&amp;L2610</f>
        <v>AOS0</v>
      </c>
      <c r="N2610" s="3">
        <f>F2610/4</f>
        <v>0.04</v>
      </c>
      <c r="O2610" s="9">
        <f>H2610</f>
        <v>1.35E-2</v>
      </c>
      <c r="P2610" s="10">
        <f t="shared" si="85"/>
        <v>0</v>
      </c>
      <c r="Q2610" s="10">
        <f>IF(K2610=0,IF(A2607=A2610,AVERAGE(O2607:O2610),"x"),0)</f>
        <v>0</v>
      </c>
      <c r="R2610" s="9">
        <f>IF(L2610&gt;2005,AVERAGE(O2607:O2626),0)</f>
        <v>0</v>
      </c>
      <c r="S2610" s="10">
        <f>IF(A2610=A2611,(N2610-N2611)/N2611,0)</f>
        <v>0</v>
      </c>
      <c r="T2610" s="10">
        <f>IF(L2610&gt;2005,(((N2610-N2630)/N2630)+1)^(1/5)-1,0)</f>
        <v>0</v>
      </c>
      <c r="U2610" s="10">
        <f t="shared" si="86"/>
        <v>0</v>
      </c>
      <c r="V2610" s="26">
        <f t="shared" si="87"/>
        <v>0</v>
      </c>
      <c r="W2610" s="3">
        <f>IF(A2610=A2611,N2610-N2611,0)</f>
        <v>0</v>
      </c>
      <c r="X2610" s="10">
        <f>IF(A2610=A2611,(N2610-N2611)/N2611,0)</f>
        <v>0</v>
      </c>
    </row>
    <row r="2611" spans="1:24" ht="16.5" customHeight="1">
      <c r="A2611" s="3" t="s">
        <v>52</v>
      </c>
      <c r="B2611" s="3">
        <f t="shared" si="80"/>
        <v>2012</v>
      </c>
      <c r="C2611" s="3">
        <f t="shared" si="81"/>
        <v>1</v>
      </c>
      <c r="D2611" s="20" t="str">
        <f t="shared" si="82"/>
        <v>AOS20121</v>
      </c>
      <c r="E2611" s="2">
        <v>40935</v>
      </c>
      <c r="F2611" s="3">
        <v>0.16</v>
      </c>
      <c r="G2611" s="2">
        <v>40954</v>
      </c>
      <c r="H2611" s="3">
        <v>1.49E-2</v>
      </c>
      <c r="I2611" s="3">
        <v>0</v>
      </c>
      <c r="J2611" s="3">
        <v>0</v>
      </c>
      <c r="K2611" s="3">
        <f t="shared" si="83"/>
        <v>0</v>
      </c>
      <c r="L2611" s="3">
        <f t="shared" si="84"/>
        <v>2012</v>
      </c>
      <c r="M2611" s="20" t="str">
        <f>A2611&amp;L2611</f>
        <v>AOS2012</v>
      </c>
      <c r="N2611" s="3">
        <f>F2611/4</f>
        <v>0.04</v>
      </c>
      <c r="O2611" s="9">
        <f>H2611</f>
        <v>1.49E-2</v>
      </c>
      <c r="P2611" s="10">
        <f t="shared" si="85"/>
        <v>0</v>
      </c>
      <c r="Q2611" s="10">
        <f>IF(K2611=0,IF(A2608=A2611,AVERAGE(O2608:O2611),"x"),0)</f>
        <v>1.3524999999999999E-2</v>
      </c>
      <c r="R2611" s="9">
        <f>IF(L2611&gt;2005,AVERAGE(O2608:O2627),0)</f>
        <v>2.0459999999999999E-2</v>
      </c>
      <c r="S2611" s="10">
        <f>IF(A2611=A2612,(N2611-N2612)/N2612,0)</f>
        <v>0</v>
      </c>
      <c r="T2611" s="10">
        <f>IF(L2611&gt;2005,(((N2611-N2631)/N2631)+1)^(1/5)-1,0)</f>
        <v>-0.31744249630692689</v>
      </c>
      <c r="U2611" s="10">
        <f t="shared" si="86"/>
        <v>0</v>
      </c>
      <c r="V2611" s="26">
        <f t="shared" si="87"/>
        <v>0</v>
      </c>
      <c r="W2611" s="3">
        <f>IF(A2611=A2612,N2611-N2612,0)</f>
        <v>0</v>
      </c>
      <c r="X2611" s="10">
        <f>IF(A2611=A2612,(N2611-N2612)/N2612,0)</f>
        <v>0</v>
      </c>
    </row>
    <row r="2612" spans="1:24" ht="16.5" customHeight="1">
      <c r="A2612" s="3" t="s">
        <v>52</v>
      </c>
      <c r="B2612" s="3">
        <f t="shared" si="80"/>
        <v>2011</v>
      </c>
      <c r="C2612" s="3">
        <f t="shared" si="81"/>
        <v>10</v>
      </c>
      <c r="D2612" s="20" t="str">
        <f t="shared" si="82"/>
        <v>AOS201110</v>
      </c>
      <c r="E2612" s="2">
        <v>40843</v>
      </c>
      <c r="F2612" s="3">
        <v>0.16</v>
      </c>
      <c r="G2612" s="2">
        <v>40862</v>
      </c>
      <c r="H2612" s="3">
        <v>1.6199999999999999E-2</v>
      </c>
      <c r="I2612" s="3">
        <v>0</v>
      </c>
      <c r="J2612" s="3">
        <v>0</v>
      </c>
      <c r="K2612" s="3">
        <f t="shared" si="83"/>
        <v>2011</v>
      </c>
      <c r="L2612" s="3">
        <f t="shared" si="84"/>
        <v>0</v>
      </c>
      <c r="M2612" s="20" t="str">
        <f>A2612&amp;L2612</f>
        <v>AOS0</v>
      </c>
      <c r="N2612" s="3">
        <f>F2612/4</f>
        <v>0.04</v>
      </c>
      <c r="O2612" s="9">
        <f>H2612</f>
        <v>1.6199999999999999E-2</v>
      </c>
      <c r="P2612" s="10">
        <f t="shared" si="85"/>
        <v>0</v>
      </c>
      <c r="Q2612" s="10">
        <f>IF(K2612=0,IF(A2609=A2612,AVERAGE(O2609:O2612),"x"),0)</f>
        <v>0</v>
      </c>
      <c r="R2612" s="9">
        <f>IF(L2612&gt;2005,AVERAGE(O2609:O2628),0)</f>
        <v>0</v>
      </c>
      <c r="S2612" s="10">
        <f>IF(A2612=A2613,(N2612-N2613)/N2613,0)</f>
        <v>0</v>
      </c>
      <c r="T2612" s="10">
        <f>IF(L2612&gt;2005,(((N2612-N2632)/N2632)+1)^(1/5)-1,0)</f>
        <v>0</v>
      </c>
      <c r="U2612" s="10">
        <f t="shared" si="86"/>
        <v>0</v>
      </c>
      <c r="V2612" s="26">
        <f t="shared" si="87"/>
        <v>0</v>
      </c>
      <c r="W2612" s="3">
        <f>IF(A2612=A2613,N2612-N2613,0)</f>
        <v>0</v>
      </c>
      <c r="X2612" s="10">
        <f>IF(A2612=A2613,(N2612-N2613)/N2613,0)</f>
        <v>0</v>
      </c>
    </row>
    <row r="2613" spans="1:24" ht="16.5" customHeight="1">
      <c r="A2613" s="3" t="s">
        <v>52</v>
      </c>
      <c r="B2613" s="3">
        <f t="shared" si="80"/>
        <v>2011</v>
      </c>
      <c r="C2613" s="3">
        <f t="shared" si="81"/>
        <v>7</v>
      </c>
      <c r="D2613" s="20" t="str">
        <f t="shared" si="82"/>
        <v>AOS20117</v>
      </c>
      <c r="E2613" s="2">
        <v>40751</v>
      </c>
      <c r="F2613" s="3">
        <v>0.16</v>
      </c>
      <c r="G2613" s="2">
        <v>40770</v>
      </c>
      <c r="H2613" s="3">
        <v>1.34E-2</v>
      </c>
      <c r="I2613" s="3">
        <v>0.14285714299999999</v>
      </c>
      <c r="J2613" s="3">
        <v>0.02</v>
      </c>
      <c r="K2613" s="3">
        <f t="shared" si="83"/>
        <v>2011</v>
      </c>
      <c r="L2613" s="3">
        <f t="shared" si="84"/>
        <v>0</v>
      </c>
      <c r="M2613" s="20" t="str">
        <f>A2613&amp;L2613</f>
        <v>AOS0</v>
      </c>
      <c r="N2613" s="3">
        <f>F2613/4</f>
        <v>0.04</v>
      </c>
      <c r="O2613" s="9">
        <f>H2613</f>
        <v>1.34E-2</v>
      </c>
      <c r="P2613" s="10">
        <f t="shared" si="85"/>
        <v>1.3349999999999999E-2</v>
      </c>
      <c r="Q2613" s="10">
        <f>IF(K2613=0,IF(A2610=A2613,AVERAGE(O2610:O2613),"x"),0)</f>
        <v>0</v>
      </c>
      <c r="R2613" s="9">
        <f>IF(L2613&gt;2005,AVERAGE(O2610:O2629),0)</f>
        <v>0</v>
      </c>
      <c r="S2613" s="10">
        <f>IF(A2613=A2614,(N2613-N2614)/N2614,0)</f>
        <v>0.14285714285714277</v>
      </c>
      <c r="T2613" s="10">
        <f>IF(L2613&gt;2005,(((N2613-N2633)/N2633)+1)^(1/5)-1,0)</f>
        <v>0</v>
      </c>
      <c r="U2613" s="10">
        <f t="shared" si="86"/>
        <v>0</v>
      </c>
      <c r="V2613" s="26">
        <f t="shared" si="87"/>
        <v>0</v>
      </c>
      <c r="W2613" s="3">
        <f>IF(A2613=A2614,N2613-N2614,0)</f>
        <v>4.9999999999999975E-3</v>
      </c>
      <c r="X2613" s="10">
        <f>IF(A2613=A2614,(N2613-N2614)/N2614,0)</f>
        <v>0.14285714285714277</v>
      </c>
    </row>
    <row r="2614" spans="1:24" ht="16.5" customHeight="1">
      <c r="A2614" s="3" t="s">
        <v>52</v>
      </c>
      <c r="B2614" s="3">
        <f t="shared" si="80"/>
        <v>2011</v>
      </c>
      <c r="C2614" s="3">
        <f t="shared" si="81"/>
        <v>4</v>
      </c>
      <c r="D2614" s="20" t="str">
        <f t="shared" si="82"/>
        <v>AOS20114</v>
      </c>
      <c r="E2614" s="2">
        <v>40660</v>
      </c>
      <c r="F2614" s="3">
        <v>0.14000000000000001</v>
      </c>
      <c r="G2614" s="2">
        <v>40679</v>
      </c>
      <c r="H2614" s="3">
        <v>1.2999999999999999E-2</v>
      </c>
      <c r="I2614" s="3">
        <v>0</v>
      </c>
      <c r="J2614" s="3">
        <v>0</v>
      </c>
      <c r="K2614" s="3">
        <f t="shared" si="83"/>
        <v>2011</v>
      </c>
      <c r="L2614" s="3">
        <f t="shared" si="84"/>
        <v>0</v>
      </c>
      <c r="M2614" s="20" t="str">
        <f>A2614&amp;L2614</f>
        <v>AOS0</v>
      </c>
      <c r="N2614" s="3">
        <f>F2614/4</f>
        <v>3.5000000000000003E-2</v>
      </c>
      <c r="O2614" s="9">
        <f>H2614</f>
        <v>1.2999999999999999E-2</v>
      </c>
      <c r="P2614" s="10">
        <f t="shared" si="85"/>
        <v>0</v>
      </c>
      <c r="Q2614" s="10">
        <f>IF(K2614=0,IF(A2611=A2614,AVERAGE(O2611:O2614),"x"),0)</f>
        <v>0</v>
      </c>
      <c r="R2614" s="9">
        <f>IF(L2614&gt;2005,AVERAGE(O2611:O2630),0)</f>
        <v>0</v>
      </c>
      <c r="S2614" s="10">
        <f>IF(A2614=A2615,(N2614-N2615)/N2615,0)</f>
        <v>0</v>
      </c>
      <c r="T2614" s="10">
        <f>IF(L2614&gt;2005,(((N2614-N2634)/N2634)+1)^(1/5)-1,0)</f>
        <v>0</v>
      </c>
      <c r="U2614" s="10">
        <f t="shared" si="86"/>
        <v>0</v>
      </c>
      <c r="V2614" s="26">
        <f t="shared" si="87"/>
        <v>0</v>
      </c>
      <c r="W2614" s="3">
        <f>IF(A2614=A2615,N2614-N2615,0)</f>
        <v>0</v>
      </c>
      <c r="X2614" s="10">
        <f>IF(A2614=A2615,(N2614-N2615)/N2615,0)</f>
        <v>0</v>
      </c>
    </row>
    <row r="2615" spans="1:24" ht="16.5" customHeight="1">
      <c r="A2615" s="3" t="s">
        <v>52</v>
      </c>
      <c r="B2615" s="3">
        <f t="shared" si="80"/>
        <v>2011</v>
      </c>
      <c r="C2615" s="3">
        <f t="shared" si="81"/>
        <v>1</v>
      </c>
      <c r="D2615" s="20" t="str">
        <f t="shared" si="82"/>
        <v>AOS20111</v>
      </c>
      <c r="E2615" s="2">
        <v>40570</v>
      </c>
      <c r="F2615" s="3">
        <v>0.14000000000000001</v>
      </c>
      <c r="G2615" s="2">
        <v>40589</v>
      </c>
      <c r="H2615" s="3">
        <v>1.2699999999999999E-2</v>
      </c>
      <c r="I2615" s="3">
        <v>-0.33333333300000001</v>
      </c>
      <c r="J2615" s="3">
        <v>-7.0000000000000007E-2</v>
      </c>
      <c r="K2615" s="3">
        <f t="shared" si="83"/>
        <v>0</v>
      </c>
      <c r="L2615" s="3">
        <f t="shared" si="84"/>
        <v>2011</v>
      </c>
      <c r="M2615" s="20" t="str">
        <f>A2615&amp;L2615</f>
        <v>AOS2011</v>
      </c>
      <c r="N2615" s="3">
        <f>F2615/4</f>
        <v>3.5000000000000003E-2</v>
      </c>
      <c r="O2615" s="9">
        <f>H2615</f>
        <v>1.2699999999999999E-2</v>
      </c>
      <c r="P2615" s="10">
        <f t="shared" si="85"/>
        <v>1.4075000000000001E-2</v>
      </c>
      <c r="Q2615" s="10">
        <f>IF(K2615=0,IF(A2612=A2615,AVERAGE(O2612:O2615),"x"),0)</f>
        <v>1.3825E-2</v>
      </c>
      <c r="R2615" s="9">
        <f>IF(L2615&gt;2005,AVERAGE(O2612:O2631),0)</f>
        <v>2.6234999999999998E-2</v>
      </c>
      <c r="S2615" s="10">
        <f>IF(A2615=A2616,(N2615-N2616)/N2616,0)</f>
        <v>1.0000000000000004</v>
      </c>
      <c r="T2615" s="10">
        <f>IF(L2615&gt;2005,(((N2615-N2635)/N2635)+1)^(1/5)-1,0)</f>
        <v>-0.33039461244258228</v>
      </c>
      <c r="U2615" s="10">
        <f t="shared" si="86"/>
        <v>0</v>
      </c>
      <c r="V2615" s="26">
        <f t="shared" si="87"/>
        <v>0</v>
      </c>
      <c r="W2615" s="3">
        <f>IF(A2615=A2616,N2615-N2616,0)</f>
        <v>1.7500000000000005E-2</v>
      </c>
      <c r="X2615" s="10">
        <f>IF(A2615=A2616,(N2615-N2616)/N2616,0)</f>
        <v>1.0000000000000004</v>
      </c>
    </row>
    <row r="2616" spans="1:24" ht="16.5" customHeight="1">
      <c r="A2616" s="3" t="s">
        <v>52</v>
      </c>
      <c r="B2616" s="3">
        <f t="shared" si="80"/>
        <v>2010</v>
      </c>
      <c r="C2616" s="3">
        <f t="shared" si="81"/>
        <v>10</v>
      </c>
      <c r="D2616" s="20" t="str">
        <f t="shared" si="82"/>
        <v>AOS201010</v>
      </c>
      <c r="E2616" s="2">
        <v>40478</v>
      </c>
      <c r="F2616" s="3">
        <v>0.21</v>
      </c>
      <c r="G2616" s="2">
        <v>40497</v>
      </c>
      <c r="H2616" s="3">
        <v>1.43E-2</v>
      </c>
      <c r="I2616" s="3">
        <v>0</v>
      </c>
      <c r="J2616" s="3">
        <v>0</v>
      </c>
      <c r="K2616" s="3">
        <f t="shared" si="83"/>
        <v>2010</v>
      </c>
      <c r="L2616" s="3">
        <f t="shared" si="84"/>
        <v>0</v>
      </c>
      <c r="M2616" s="20" t="str">
        <f>A2616&amp;L2616</f>
        <v>AOS0</v>
      </c>
      <c r="N2616" s="3">
        <f>F2616/12</f>
        <v>1.7499999999999998E-2</v>
      </c>
      <c r="O2616" s="9">
        <f>H2616</f>
        <v>1.43E-2</v>
      </c>
      <c r="P2616" s="10">
        <f t="shared" si="85"/>
        <v>0</v>
      </c>
      <c r="Q2616" s="10">
        <f>IF(K2616=0,IF(A2613=A2616,AVERAGE(O2613:O2616),"x"),0)</f>
        <v>0</v>
      </c>
      <c r="R2616" s="9">
        <f>IF(L2616&gt;2005,AVERAGE(O2613:O2632),0)</f>
        <v>0</v>
      </c>
      <c r="S2616" s="10">
        <f>IF(A2616=A2617,(N2616-N2617)/N2617,0)</f>
        <v>0</v>
      </c>
      <c r="T2616" s="10">
        <f>IF(L2616&gt;2005,(((N2616-N2636)/N2636)+1)^(1/5)-1,0)</f>
        <v>0</v>
      </c>
      <c r="U2616" s="10">
        <f t="shared" si="86"/>
        <v>0</v>
      </c>
      <c r="V2616" s="26">
        <f t="shared" si="87"/>
        <v>0</v>
      </c>
      <c r="W2616" s="3">
        <f>IF(A2616=A2617,N2616-N2617,0)</f>
        <v>0</v>
      </c>
      <c r="X2616" s="10">
        <f>IF(A2616=A2617,(N2616-N2617)/N2617,0)</f>
        <v>0</v>
      </c>
    </row>
    <row r="2617" spans="1:24" ht="16.5" customHeight="1">
      <c r="A2617" s="3" t="s">
        <v>52</v>
      </c>
      <c r="B2617" s="3">
        <f t="shared" si="80"/>
        <v>2010</v>
      </c>
      <c r="C2617" s="3">
        <f t="shared" si="81"/>
        <v>7</v>
      </c>
      <c r="D2617" s="20" t="str">
        <f t="shared" si="82"/>
        <v>AOS20107</v>
      </c>
      <c r="E2617" s="2">
        <v>40387</v>
      </c>
      <c r="F2617" s="3">
        <v>0.21</v>
      </c>
      <c r="G2617" s="2">
        <v>40406</v>
      </c>
      <c r="H2617" s="3">
        <v>1.4500000000000001E-2</v>
      </c>
      <c r="I2617" s="3">
        <v>7.6923077000000006E-2</v>
      </c>
      <c r="J2617" s="3">
        <v>1.4999999999999999E-2</v>
      </c>
      <c r="K2617" s="3">
        <f t="shared" si="83"/>
        <v>2010</v>
      </c>
      <c r="L2617" s="3">
        <f t="shared" si="84"/>
        <v>0</v>
      </c>
      <c r="M2617" s="20" t="str">
        <f>A2617&amp;L2617</f>
        <v>AOS0</v>
      </c>
      <c r="N2617" s="3">
        <f>F2617/12</f>
        <v>1.7499999999999998E-2</v>
      </c>
      <c r="O2617" s="9">
        <f>H2617</f>
        <v>1.4500000000000001E-2</v>
      </c>
      <c r="P2617" s="10">
        <f t="shared" si="85"/>
        <v>1.54E-2</v>
      </c>
      <c r="Q2617" s="10">
        <f>IF(K2617=0,IF(A2614=A2617,AVERAGE(O2614:O2617),"x"),0)</f>
        <v>0</v>
      </c>
      <c r="R2617" s="9">
        <f>IF(L2617&gt;2005,AVERAGE(O2614:O2633),0)</f>
        <v>0</v>
      </c>
      <c r="S2617" s="10">
        <f>IF(A2617=A2618,(N2617-N2618)/N2618,0)</f>
        <v>7.6923076923076775E-2</v>
      </c>
      <c r="T2617" s="10">
        <f>IF(L2617&gt;2005,(((N2617-N2637)/N2637)+1)^(1/5)-1,0)</f>
        <v>0</v>
      </c>
      <c r="U2617" s="10">
        <f t="shared" si="86"/>
        <v>0</v>
      </c>
      <c r="V2617" s="26">
        <f t="shared" si="87"/>
        <v>0</v>
      </c>
      <c r="W2617" s="3">
        <f>IF(A2617=A2618,N2617-N2618,0)</f>
        <v>1.2499999999999976E-3</v>
      </c>
      <c r="X2617" s="10">
        <f>IF(A2617=A2618,(N2617-N2618)/N2618,0)</f>
        <v>7.6923076923076775E-2</v>
      </c>
    </row>
    <row r="2618" spans="1:24" ht="16.5" customHeight="1">
      <c r="A2618" s="3" t="s">
        <v>52</v>
      </c>
      <c r="B2618" s="3">
        <f t="shared" si="80"/>
        <v>2010</v>
      </c>
      <c r="C2618" s="3">
        <f t="shared" si="81"/>
        <v>4</v>
      </c>
      <c r="D2618" s="20" t="str">
        <f t="shared" si="82"/>
        <v>AOS20104</v>
      </c>
      <c r="E2618" s="2">
        <v>40296</v>
      </c>
      <c r="F2618" s="3">
        <v>0.19500000000000001</v>
      </c>
      <c r="G2618" s="2">
        <v>40315</v>
      </c>
      <c r="H2618" s="3">
        <v>1.4800000000000001E-2</v>
      </c>
      <c r="I2618" s="3">
        <v>0</v>
      </c>
      <c r="J2618" s="3">
        <v>0</v>
      </c>
      <c r="K2618" s="3">
        <f t="shared" si="83"/>
        <v>2010</v>
      </c>
      <c r="L2618" s="3">
        <f t="shared" si="84"/>
        <v>0</v>
      </c>
      <c r="M2618" s="20" t="str">
        <f>A2618&amp;L2618</f>
        <v>AOS0</v>
      </c>
      <c r="N2618" s="3">
        <f>F2618/12</f>
        <v>1.6250000000000001E-2</v>
      </c>
      <c r="O2618" s="9">
        <f>H2618</f>
        <v>1.4800000000000001E-2</v>
      </c>
      <c r="P2618" s="10">
        <f t="shared" si="85"/>
        <v>0</v>
      </c>
      <c r="Q2618" s="10">
        <f>IF(K2618=0,IF(A2615=A2618,AVERAGE(O2615:O2618),"x"),0)</f>
        <v>0</v>
      </c>
      <c r="R2618" s="9">
        <f>IF(L2618&gt;2005,AVERAGE(O2615:O2634),0)</f>
        <v>0</v>
      </c>
      <c r="S2618" s="10">
        <f>IF(A2618=A2619,(N2618-N2619)/N2619,0)</f>
        <v>0</v>
      </c>
      <c r="T2618" s="10">
        <f>IF(L2618&gt;2005,(((N2618-N2638)/N2638)+1)^(1/5)-1,0)</f>
        <v>0</v>
      </c>
      <c r="U2618" s="10">
        <f t="shared" si="86"/>
        <v>0</v>
      </c>
      <c r="V2618" s="26">
        <f t="shared" si="87"/>
        <v>0</v>
      </c>
      <c r="W2618" s="3">
        <f>IF(A2618=A2619,N2618-N2619,0)</f>
        <v>0</v>
      </c>
      <c r="X2618" s="10">
        <f>IF(A2618=A2619,(N2618-N2619)/N2619,0)</f>
        <v>0</v>
      </c>
    </row>
    <row r="2619" spans="1:24" ht="16.5" customHeight="1">
      <c r="A2619" s="3" t="s">
        <v>52</v>
      </c>
      <c r="B2619" s="3">
        <f t="shared" si="80"/>
        <v>2010</v>
      </c>
      <c r="C2619" s="3">
        <f t="shared" si="81"/>
        <v>1</v>
      </c>
      <c r="D2619" s="20" t="str">
        <f t="shared" si="82"/>
        <v>AOS20101</v>
      </c>
      <c r="E2619" s="2">
        <v>40205</v>
      </c>
      <c r="F2619" s="3">
        <v>0.19500000000000001</v>
      </c>
      <c r="G2619" s="2">
        <v>40225</v>
      </c>
      <c r="H2619" s="3">
        <v>1.83E-2</v>
      </c>
      <c r="I2619" s="3">
        <v>0</v>
      </c>
      <c r="J2619" s="3">
        <v>0</v>
      </c>
      <c r="K2619" s="3">
        <f t="shared" si="83"/>
        <v>0</v>
      </c>
      <c r="L2619" s="3">
        <f t="shared" si="84"/>
        <v>2010</v>
      </c>
      <c r="M2619" s="20" t="str">
        <f>A2619&amp;L2619</f>
        <v>AOS2010</v>
      </c>
      <c r="N2619" s="3">
        <f>F2619/12</f>
        <v>1.6250000000000001E-2</v>
      </c>
      <c r="O2619" s="9">
        <f>H2619</f>
        <v>1.83E-2</v>
      </c>
      <c r="P2619" s="10">
        <f t="shared" si="85"/>
        <v>0</v>
      </c>
      <c r="Q2619" s="10">
        <f>IF(K2619=0,IF(A2616=A2619,AVERAGE(O2616:O2619),"x"),0)</f>
        <v>1.5474999999999999E-2</v>
      </c>
      <c r="R2619" s="9">
        <f>IF(L2619&gt;2005,AVERAGE(O2616:O2635),0)</f>
        <v>3.304E-2</v>
      </c>
      <c r="S2619" s="10">
        <f>IF(A2619=A2620,(N2619-N2620)/N2620,0)</f>
        <v>0</v>
      </c>
      <c r="T2619" s="10">
        <f>IF(L2619&gt;2005,(((N2619-N2639)/N2639)+1)^(1/5)-1,0)</f>
        <v>-0.41139342933130763</v>
      </c>
      <c r="U2619" s="10">
        <f t="shared" si="86"/>
        <v>0</v>
      </c>
      <c r="V2619" s="26">
        <f t="shared" si="87"/>
        <v>0</v>
      </c>
      <c r="W2619" s="3">
        <f>IF(A2619=A2620,N2619-N2620,0)</f>
        <v>0</v>
      </c>
      <c r="X2619" s="10">
        <f>IF(A2619=A2620,(N2619-N2620)/N2620,0)</f>
        <v>0</v>
      </c>
    </row>
    <row r="2620" spans="1:24" ht="16.5" customHeight="1">
      <c r="A2620" s="3" t="s">
        <v>52</v>
      </c>
      <c r="B2620" s="3">
        <f t="shared" si="80"/>
        <v>2009</v>
      </c>
      <c r="C2620" s="3">
        <f t="shared" si="81"/>
        <v>10</v>
      </c>
      <c r="D2620" s="20" t="str">
        <f t="shared" si="82"/>
        <v>AOS200910</v>
      </c>
      <c r="E2620" s="2">
        <v>40114</v>
      </c>
      <c r="F2620" s="3">
        <v>0.19500000000000001</v>
      </c>
      <c r="G2620" s="2">
        <v>40133</v>
      </c>
      <c r="H2620" s="3">
        <v>1.4E-2</v>
      </c>
      <c r="I2620" s="3">
        <v>0</v>
      </c>
      <c r="J2620" s="3">
        <v>0</v>
      </c>
      <c r="K2620" s="3">
        <f t="shared" si="83"/>
        <v>2009</v>
      </c>
      <c r="L2620" s="3">
        <f t="shared" si="84"/>
        <v>0</v>
      </c>
      <c r="M2620" s="20" t="str">
        <f>A2620&amp;L2620</f>
        <v>AOS0</v>
      </c>
      <c r="N2620" s="3">
        <f>F2620/12</f>
        <v>1.6250000000000001E-2</v>
      </c>
      <c r="O2620" s="9">
        <f>H2620</f>
        <v>1.4E-2</v>
      </c>
      <c r="P2620" s="10">
        <f t="shared" si="85"/>
        <v>0</v>
      </c>
      <c r="Q2620" s="10">
        <f>IF(K2620=0,IF(A2617=A2620,AVERAGE(O2617:O2620),"x"),0)</f>
        <v>0</v>
      </c>
      <c r="R2620" s="9">
        <f>IF(L2620&gt;2005,AVERAGE(O2617:O2636),0)</f>
        <v>0</v>
      </c>
      <c r="S2620" s="10">
        <f>IF(A2620=A2621,(N2620-N2621)/N2621,0)</f>
        <v>0</v>
      </c>
      <c r="T2620" s="10">
        <f>IF(L2620&gt;2005,(((N2620-N2640)/N2640)+1)^(1/5)-1,0)</f>
        <v>0</v>
      </c>
      <c r="U2620" s="10">
        <f t="shared" si="86"/>
        <v>0</v>
      </c>
      <c r="V2620" s="26">
        <f t="shared" si="87"/>
        <v>0</v>
      </c>
      <c r="W2620" s="3">
        <f>IF(A2620=A2621,N2620-N2621,0)</f>
        <v>0</v>
      </c>
      <c r="X2620" s="10">
        <f>IF(A2620=A2621,(N2620-N2621)/N2621,0)</f>
        <v>0</v>
      </c>
    </row>
    <row r="2621" spans="1:24" ht="16.5" customHeight="1">
      <c r="A2621" s="3" t="s">
        <v>52</v>
      </c>
      <c r="B2621" s="3">
        <f t="shared" si="80"/>
        <v>2009</v>
      </c>
      <c r="C2621" s="3">
        <f t="shared" si="81"/>
        <v>7</v>
      </c>
      <c r="D2621" s="20" t="str">
        <f t="shared" si="82"/>
        <v>AOS20097</v>
      </c>
      <c r="E2621" s="2">
        <v>40023</v>
      </c>
      <c r="F2621" s="3">
        <v>0.19500000000000001</v>
      </c>
      <c r="G2621" s="2">
        <v>40042</v>
      </c>
      <c r="H2621" s="3">
        <v>9.7999999999999997E-3</v>
      </c>
      <c r="I2621" s="3">
        <v>2.6315788999999999E-2</v>
      </c>
      <c r="J2621" s="3">
        <v>5.0000000000000001E-3</v>
      </c>
      <c r="K2621" s="3">
        <f t="shared" si="83"/>
        <v>2009</v>
      </c>
      <c r="L2621" s="3">
        <f t="shared" si="84"/>
        <v>0</v>
      </c>
      <c r="M2621" s="20" t="str">
        <f>A2621&amp;L2621</f>
        <v>AOS0</v>
      </c>
      <c r="N2621" s="3">
        <f>F2621/12</f>
        <v>1.6250000000000001E-2</v>
      </c>
      <c r="O2621" s="9">
        <f>H2621</f>
        <v>9.7999999999999997E-3</v>
      </c>
      <c r="P2621" s="10">
        <f t="shared" si="85"/>
        <v>2.835E-2</v>
      </c>
      <c r="Q2621" s="10">
        <f>IF(K2621=0,IF(A2618=A2621,AVERAGE(O2618:O2621),"x"),0)</f>
        <v>0</v>
      </c>
      <c r="R2621" s="9">
        <f>IF(L2621&gt;2005,AVERAGE(O2618:O2637),0)</f>
        <v>0</v>
      </c>
      <c r="S2621" s="10">
        <f>IF(A2621=A2622,(N2621-N2622)/N2622,0)</f>
        <v>2.6315789473684157E-2</v>
      </c>
      <c r="T2621" s="10">
        <f>IF(L2621&gt;2005,(((N2621-N2641)/N2641)+1)^(1/5)-1,0)</f>
        <v>0</v>
      </c>
      <c r="U2621" s="10">
        <f t="shared" si="86"/>
        <v>0</v>
      </c>
      <c r="V2621" s="26">
        <f t="shared" si="87"/>
        <v>0</v>
      </c>
      <c r="W2621" s="3">
        <f>IF(A2621=A2622,N2621-N2622,0)</f>
        <v>4.1666666666666588E-4</v>
      </c>
      <c r="X2621" s="10">
        <f>IF(A2621=A2622,(N2621-N2622)/N2622,0)</f>
        <v>2.6315789473684157E-2</v>
      </c>
    </row>
    <row r="2622" spans="1:24" ht="16.5" customHeight="1">
      <c r="A2622" s="14" t="s">
        <v>52</v>
      </c>
      <c r="B2622" s="3">
        <f t="shared" si="80"/>
        <v>2009</v>
      </c>
      <c r="C2622" s="3">
        <f t="shared" si="81"/>
        <v>4</v>
      </c>
      <c r="D2622" s="20" t="str">
        <f t="shared" si="82"/>
        <v>AOS20094</v>
      </c>
      <c r="E2622" s="15">
        <v>39931</v>
      </c>
      <c r="F2622" s="14">
        <v>0.19</v>
      </c>
      <c r="G2622" s="15">
        <v>39948</v>
      </c>
      <c r="H2622" s="14">
        <v>6.3E-3</v>
      </c>
      <c r="I2622" s="14">
        <v>0</v>
      </c>
      <c r="J2622" s="14">
        <v>0</v>
      </c>
      <c r="K2622" s="3">
        <f t="shared" si="83"/>
        <v>0</v>
      </c>
      <c r="L2622" s="3">
        <f t="shared" si="84"/>
        <v>2009</v>
      </c>
      <c r="M2622" s="20" t="str">
        <f>A2622&amp;L2622</f>
        <v>AOS2009</v>
      </c>
      <c r="N2622" s="14">
        <f>F2622/12</f>
        <v>1.5833333333333335E-2</v>
      </c>
      <c r="O2622" s="9">
        <f>H2622</f>
        <v>6.3E-3</v>
      </c>
      <c r="P2622" s="10">
        <f t="shared" si="85"/>
        <v>0</v>
      </c>
      <c r="Q2622" s="10">
        <f>IF(K2622=0,IF(A2619=A2622,AVERAGE(O2619:O2622),"x"),0)</f>
        <v>1.21E-2</v>
      </c>
      <c r="R2622" s="9">
        <f>IF(L2622&gt;2005,AVERAGE(O2619:O2638),0)</f>
        <v>3.5740000000000001E-2</v>
      </c>
      <c r="S2622" s="10">
        <f>IF(A2622=A2623,(N2622-N2623)/N2623,0)</f>
        <v>0</v>
      </c>
      <c r="T2622" s="10">
        <f>IF(L2622&gt;2005,(((N2622-N2642)/N2642)+1)^(1/5)-1,0)</f>
        <v>-0.41444336850104602</v>
      </c>
      <c r="U2622" s="10">
        <f t="shared" si="86"/>
        <v>0</v>
      </c>
      <c r="V2622" s="26">
        <f t="shared" si="87"/>
        <v>0</v>
      </c>
      <c r="W2622" s="3">
        <f>IF(A2622=A2623,N2622-N2623,0)</f>
        <v>0</v>
      </c>
      <c r="X2622" s="10">
        <f>IF(A2622=A2623,(N2622-N2623)/N2623,0)</f>
        <v>0</v>
      </c>
    </row>
    <row r="2623" spans="1:24" ht="16.5" customHeight="1">
      <c r="A2623" s="3" t="s">
        <v>53</v>
      </c>
      <c r="B2623" s="3">
        <f t="shared" si="80"/>
        <v>2022</v>
      </c>
      <c r="C2623" s="3">
        <f t="shared" si="81"/>
        <v>9</v>
      </c>
      <c r="D2623" s="20" t="str">
        <f t="shared" si="82"/>
        <v>BEN20229</v>
      </c>
      <c r="E2623" s="2">
        <v>44833</v>
      </c>
      <c r="F2623" s="3">
        <v>0.28999999999999998</v>
      </c>
      <c r="G2623" s="2">
        <v>44848</v>
      </c>
      <c r="H2623" s="3">
        <v>5.0299999999999997E-2</v>
      </c>
      <c r="I2623" s="3">
        <v>0</v>
      </c>
      <c r="J2623" s="3">
        <v>0</v>
      </c>
      <c r="K2623" s="3">
        <f t="shared" si="83"/>
        <v>2022</v>
      </c>
      <c r="L2623" s="3">
        <f t="shared" si="84"/>
        <v>0</v>
      </c>
      <c r="M2623" s="20" t="str">
        <f>A2623&amp;L2623</f>
        <v>BEN0</v>
      </c>
      <c r="N2623" s="3">
        <f>F2623</f>
        <v>0.28999999999999998</v>
      </c>
      <c r="O2623" s="9">
        <f>H2623</f>
        <v>5.0299999999999997E-2</v>
      </c>
      <c r="P2623" s="10">
        <f t="shared" si="85"/>
        <v>0</v>
      </c>
      <c r="Q2623" s="10">
        <f>IF(K2623=0,IF(A2620=A2623,AVERAGE(O2620:O2623),"x"),0)</f>
        <v>0</v>
      </c>
      <c r="R2623" s="9">
        <f>IF(L2623&gt;2005,AVERAGE(O2620:O2639),0)</f>
        <v>0</v>
      </c>
      <c r="S2623" s="10">
        <f>IF(A2623=A2624,(N2623-N2624)/N2624,0)</f>
        <v>0</v>
      </c>
      <c r="T2623" s="10">
        <f>IF(L2623&gt;2005,(((N2623-N2643)/N2643)+1)^(1/5)-1,0)</f>
        <v>0</v>
      </c>
      <c r="U2623" s="10">
        <f t="shared" si="86"/>
        <v>0</v>
      </c>
      <c r="V2623" s="26">
        <f t="shared" si="87"/>
        <v>0</v>
      </c>
      <c r="W2623" s="3">
        <f>IF(A2623=A2624,N2623-N2624,0)</f>
        <v>0</v>
      </c>
      <c r="X2623" s="10">
        <f>IF(A2623=A2624,(N2623-N2624)/N2624,0)</f>
        <v>0</v>
      </c>
    </row>
    <row r="2624" spans="1:24" ht="16.5" customHeight="1">
      <c r="A2624" s="3" t="s">
        <v>53</v>
      </c>
      <c r="B2624" s="3">
        <f t="shared" si="80"/>
        <v>2022</v>
      </c>
      <c r="C2624" s="3">
        <f t="shared" si="81"/>
        <v>6</v>
      </c>
      <c r="D2624" s="20" t="str">
        <f t="shared" si="82"/>
        <v>BEN20226</v>
      </c>
      <c r="E2624" s="2">
        <v>44741</v>
      </c>
      <c r="F2624" s="3">
        <v>0.28999999999999998</v>
      </c>
      <c r="G2624" s="2">
        <v>44757</v>
      </c>
      <c r="H2624" s="3">
        <v>4.7E-2</v>
      </c>
      <c r="I2624" s="3">
        <v>0</v>
      </c>
      <c r="J2624" s="3">
        <v>0</v>
      </c>
      <c r="K2624" s="3">
        <f t="shared" si="83"/>
        <v>2022</v>
      </c>
      <c r="L2624" s="3">
        <f t="shared" si="84"/>
        <v>0</v>
      </c>
      <c r="M2624" s="20" t="str">
        <f>A2624&amp;L2624</f>
        <v>BEN0</v>
      </c>
      <c r="N2624" s="3">
        <f>F2624</f>
        <v>0.28999999999999998</v>
      </c>
      <c r="O2624" s="9">
        <f>H2624</f>
        <v>4.7E-2</v>
      </c>
      <c r="P2624" s="10">
        <f t="shared" si="85"/>
        <v>0</v>
      </c>
      <c r="Q2624" s="10">
        <f>IF(K2624=0,IF(A2621=A2624,AVERAGE(O2621:O2624),"x"),0)</f>
        <v>0</v>
      </c>
      <c r="R2624" s="9">
        <f>IF(L2624&gt;2005,AVERAGE(O2621:O2640),0)</f>
        <v>0</v>
      </c>
      <c r="S2624" s="10">
        <f>IF(A2624=A2625,(N2624-N2625)/N2625,0)</f>
        <v>0</v>
      </c>
      <c r="T2624" s="10">
        <f>IF(L2624&gt;2005,(((N2624-N2644)/N2644)+1)^(1/5)-1,0)</f>
        <v>0</v>
      </c>
      <c r="U2624" s="10">
        <f t="shared" si="86"/>
        <v>0</v>
      </c>
      <c r="V2624" s="26">
        <f t="shared" si="87"/>
        <v>0</v>
      </c>
      <c r="W2624" s="3">
        <f>IF(A2624=A2625,N2624-N2625,0)</f>
        <v>0</v>
      </c>
      <c r="X2624" s="10">
        <f>IF(A2624=A2625,(N2624-N2625)/N2625,0)</f>
        <v>0</v>
      </c>
    </row>
    <row r="2625" spans="1:24" ht="16.5" customHeight="1">
      <c r="A2625" s="3" t="s">
        <v>53</v>
      </c>
      <c r="B2625" s="3">
        <f t="shared" si="80"/>
        <v>2022</v>
      </c>
      <c r="C2625" s="3">
        <f t="shared" si="81"/>
        <v>3</v>
      </c>
      <c r="D2625" s="20" t="str">
        <f t="shared" si="82"/>
        <v>BEN20223</v>
      </c>
      <c r="E2625" s="2">
        <v>44650</v>
      </c>
      <c r="F2625" s="3">
        <v>0.28999999999999998</v>
      </c>
      <c r="G2625" s="2">
        <v>44665</v>
      </c>
      <c r="H2625" s="3">
        <v>0.04</v>
      </c>
      <c r="I2625" s="3">
        <v>0</v>
      </c>
      <c r="J2625" s="3">
        <v>0</v>
      </c>
      <c r="K2625" s="3">
        <f t="shared" si="83"/>
        <v>0</v>
      </c>
      <c r="L2625" s="3">
        <f t="shared" si="84"/>
        <v>2022</v>
      </c>
      <c r="M2625" s="20" t="str">
        <f>A2625&amp;L2625</f>
        <v>BEN2022</v>
      </c>
      <c r="N2625" s="3">
        <f>F2625</f>
        <v>0.28999999999999998</v>
      </c>
      <c r="O2625" s="9">
        <f>H2625</f>
        <v>0.04</v>
      </c>
      <c r="P2625" s="10">
        <f t="shared" si="85"/>
        <v>0</v>
      </c>
      <c r="Q2625" s="10" t="str">
        <f>IF(K2625=0,IF(A2622=A2625,AVERAGE(O2622:O2625),"x"),0)</f>
        <v>x</v>
      </c>
      <c r="R2625" s="9">
        <f>IF(L2625&gt;2005,AVERAGE(O2622:O2641),0)</f>
        <v>3.7759999999999995E-2</v>
      </c>
      <c r="S2625" s="10">
        <f>IF(A2625=A2626,(N2625-N2626)/N2626,0)</f>
        <v>0</v>
      </c>
      <c r="T2625" s="10">
        <f>IF(L2625&gt;2005,(((N2625-N2645)/N2645)+1)^(1/5)-1,0)</f>
        <v>7.7143587792743107E-2</v>
      </c>
      <c r="U2625" s="10">
        <f t="shared" si="86"/>
        <v>0.11490358779274309</v>
      </c>
      <c r="V2625" s="26">
        <f t="shared" si="87"/>
        <v>4.514340488039176</v>
      </c>
      <c r="W2625" s="3">
        <f>IF(A2625=A2626,N2625-N2626,0)</f>
        <v>0</v>
      </c>
      <c r="X2625" s="10">
        <f>IF(A2625=A2626,(N2625-N2626)/N2626,0)</f>
        <v>0</v>
      </c>
    </row>
    <row r="2626" spans="1:24" ht="16.5" customHeight="1">
      <c r="A2626" s="3" t="s">
        <v>53</v>
      </c>
      <c r="B2626" s="3">
        <f t="shared" si="80"/>
        <v>2021</v>
      </c>
      <c r="C2626" s="3">
        <f t="shared" si="81"/>
        <v>12</v>
      </c>
      <c r="D2626" s="20" t="str">
        <f t="shared" si="82"/>
        <v>BEN202112</v>
      </c>
      <c r="E2626" s="2">
        <v>44560</v>
      </c>
      <c r="F2626" s="3">
        <v>0.28999999999999998</v>
      </c>
      <c r="G2626" s="2">
        <v>44575</v>
      </c>
      <c r="H2626" s="3">
        <v>3.4299999999999997E-2</v>
      </c>
      <c r="I2626" s="3">
        <v>3.5714285999999998E-2</v>
      </c>
      <c r="J2626" s="3">
        <v>0.01</v>
      </c>
      <c r="K2626" s="3">
        <f t="shared" si="83"/>
        <v>2021</v>
      </c>
      <c r="L2626" s="3">
        <f t="shared" si="84"/>
        <v>0</v>
      </c>
      <c r="M2626" s="20" t="str">
        <f>A2626&amp;L2626</f>
        <v>BEN0</v>
      </c>
      <c r="N2626" s="3">
        <f>F2626</f>
        <v>0.28999999999999998</v>
      </c>
      <c r="O2626" s="9">
        <f>H2626</f>
        <v>3.4299999999999997E-2</v>
      </c>
      <c r="P2626" s="10">
        <f t="shared" si="85"/>
        <v>3.5525000000000001E-2</v>
      </c>
      <c r="Q2626" s="10">
        <f>IF(K2626=0,IF(A2623=A2626,AVERAGE(O2623:O2626),"x"),0)</f>
        <v>0</v>
      </c>
      <c r="R2626" s="9">
        <f>IF(L2626&gt;2005,AVERAGE(O2623:O2642),0)</f>
        <v>0</v>
      </c>
      <c r="S2626" s="10">
        <f>IF(A2626=A2627,(N2626-N2627)/N2627,0)</f>
        <v>3.5714285714285546E-2</v>
      </c>
      <c r="T2626" s="10">
        <f>IF(L2626&gt;2005,(((N2626-N2646)/N2646)+1)^(1/5)-1,0)</f>
        <v>0</v>
      </c>
      <c r="U2626" s="10">
        <f t="shared" si="86"/>
        <v>0</v>
      </c>
      <c r="V2626" s="26">
        <f t="shared" si="87"/>
        <v>0</v>
      </c>
      <c r="W2626" s="3">
        <f>IF(A2626=A2627,N2626-N2627,0)</f>
        <v>9.9999999999999534E-3</v>
      </c>
      <c r="X2626" s="10">
        <f>IF(A2626=A2627,(N2626-N2627)/N2627,0)</f>
        <v>3.5714285714285546E-2</v>
      </c>
    </row>
    <row r="2627" spans="1:24" ht="16.5" customHeight="1">
      <c r="A2627" s="3" t="s">
        <v>53</v>
      </c>
      <c r="B2627" s="3">
        <f t="shared" si="80"/>
        <v>2021</v>
      </c>
      <c r="C2627" s="3">
        <f t="shared" si="81"/>
        <v>9</v>
      </c>
      <c r="D2627" s="20" t="str">
        <f t="shared" si="82"/>
        <v>BEN20219</v>
      </c>
      <c r="E2627" s="2">
        <v>44468</v>
      </c>
      <c r="F2627" s="3">
        <v>0.28000000000000003</v>
      </c>
      <c r="G2627" s="2">
        <v>44484</v>
      </c>
      <c r="H2627" s="3">
        <v>3.6200000000000003E-2</v>
      </c>
      <c r="I2627" s="3">
        <v>0</v>
      </c>
      <c r="J2627" s="3">
        <v>0</v>
      </c>
      <c r="K2627" s="3">
        <f t="shared" si="83"/>
        <v>2021</v>
      </c>
      <c r="L2627" s="3">
        <f t="shared" si="84"/>
        <v>0</v>
      </c>
      <c r="M2627" s="20" t="str">
        <f>A2627&amp;L2627</f>
        <v>BEN0</v>
      </c>
      <c r="N2627" s="3">
        <f>F2627</f>
        <v>0.28000000000000003</v>
      </c>
      <c r="O2627" s="9">
        <f>H2627</f>
        <v>3.6200000000000003E-2</v>
      </c>
      <c r="P2627" s="10">
        <f t="shared" si="85"/>
        <v>0</v>
      </c>
      <c r="Q2627" s="10">
        <f>IF(K2627=0,IF(A2624=A2627,AVERAGE(O2624:O2627),"x"),0)</f>
        <v>0</v>
      </c>
      <c r="R2627" s="9">
        <f>IF(L2627&gt;2005,AVERAGE(O2624:O2643),0)</f>
        <v>0</v>
      </c>
      <c r="S2627" s="10">
        <f>IF(A2627=A2628,(N2627-N2628)/N2628,0)</f>
        <v>0</v>
      </c>
      <c r="T2627" s="10">
        <f>IF(L2627&gt;2005,(((N2627-N2647)/N2647)+1)^(1/5)-1,0)</f>
        <v>0</v>
      </c>
      <c r="U2627" s="10">
        <f t="shared" si="86"/>
        <v>0</v>
      </c>
      <c r="V2627" s="26">
        <f t="shared" si="87"/>
        <v>0</v>
      </c>
      <c r="W2627" s="3">
        <f>IF(A2627=A2628,N2627-N2628,0)</f>
        <v>0</v>
      </c>
      <c r="X2627" s="10">
        <f>IF(A2627=A2628,(N2627-N2628)/N2628,0)</f>
        <v>0</v>
      </c>
    </row>
    <row r="2628" spans="1:24" ht="16.5" customHeight="1">
      <c r="A2628" s="3" t="s">
        <v>53</v>
      </c>
      <c r="B2628" s="3">
        <f t="shared" si="80"/>
        <v>2021</v>
      </c>
      <c r="C2628" s="3">
        <f t="shared" si="81"/>
        <v>6</v>
      </c>
      <c r="D2628" s="20" t="str">
        <f t="shared" si="82"/>
        <v>BEN20216</v>
      </c>
      <c r="E2628" s="2">
        <v>44376</v>
      </c>
      <c r="F2628" s="3">
        <v>0.28000000000000003</v>
      </c>
      <c r="G2628" s="2">
        <v>44392</v>
      </c>
      <c r="H2628" s="3">
        <v>3.44E-2</v>
      </c>
      <c r="I2628" s="3">
        <v>0</v>
      </c>
      <c r="J2628" s="3">
        <v>0</v>
      </c>
      <c r="K2628" s="3">
        <f t="shared" si="83"/>
        <v>2021</v>
      </c>
      <c r="L2628" s="3">
        <f t="shared" si="84"/>
        <v>0</v>
      </c>
      <c r="M2628" s="20" t="str">
        <f>A2628&amp;L2628</f>
        <v>BEN0</v>
      </c>
      <c r="N2628" s="3">
        <f>F2628</f>
        <v>0.28000000000000003</v>
      </c>
      <c r="O2628" s="9">
        <f>H2628</f>
        <v>3.44E-2</v>
      </c>
      <c r="P2628" s="10">
        <f t="shared" si="85"/>
        <v>0</v>
      </c>
      <c r="Q2628" s="10">
        <f>IF(K2628=0,IF(A2625=A2628,AVERAGE(O2625:O2628),"x"),0)</f>
        <v>0</v>
      </c>
      <c r="R2628" s="9">
        <f>IF(L2628&gt;2005,AVERAGE(O2625:O2644),0)</f>
        <v>0</v>
      </c>
      <c r="S2628" s="10">
        <f>IF(A2628=A2629,(N2628-N2629)/N2629,0)</f>
        <v>0</v>
      </c>
      <c r="T2628" s="10">
        <f>IF(L2628&gt;2005,(((N2628-N2648)/N2648)+1)^(1/5)-1,0)</f>
        <v>0</v>
      </c>
      <c r="U2628" s="10">
        <f t="shared" si="86"/>
        <v>0</v>
      </c>
      <c r="V2628" s="26">
        <f t="shared" si="87"/>
        <v>0</v>
      </c>
      <c r="W2628" s="3">
        <f>IF(A2628=A2629,N2628-N2629,0)</f>
        <v>0</v>
      </c>
      <c r="X2628" s="10">
        <f>IF(A2628=A2629,(N2628-N2629)/N2629,0)</f>
        <v>0</v>
      </c>
    </row>
    <row r="2629" spans="1:24" ht="16.5" customHeight="1">
      <c r="A2629" s="3" t="s">
        <v>53</v>
      </c>
      <c r="B2629" s="3">
        <f t="shared" si="80"/>
        <v>2021</v>
      </c>
      <c r="C2629" s="3">
        <f t="shared" si="81"/>
        <v>3</v>
      </c>
      <c r="D2629" s="20" t="str">
        <f t="shared" si="82"/>
        <v>BEN20213</v>
      </c>
      <c r="E2629" s="2">
        <v>44285</v>
      </c>
      <c r="F2629" s="3">
        <v>0.28000000000000003</v>
      </c>
      <c r="G2629" s="2">
        <v>44301</v>
      </c>
      <c r="H2629" s="3">
        <v>3.7199999999999997E-2</v>
      </c>
      <c r="I2629" s="3">
        <v>0</v>
      </c>
      <c r="J2629" s="3">
        <v>0</v>
      </c>
      <c r="K2629" s="3">
        <f t="shared" si="83"/>
        <v>0</v>
      </c>
      <c r="L2629" s="3">
        <f t="shared" si="84"/>
        <v>2021</v>
      </c>
      <c r="M2629" s="20" t="str">
        <f>A2629&amp;L2629</f>
        <v>BEN2021</v>
      </c>
      <c r="N2629" s="3">
        <f>F2629</f>
        <v>0.28000000000000003</v>
      </c>
      <c r="O2629" s="9">
        <f>H2629</f>
        <v>3.7199999999999997E-2</v>
      </c>
      <c r="P2629" s="10">
        <f t="shared" si="85"/>
        <v>0</v>
      </c>
      <c r="Q2629" s="10">
        <f>IF(K2629=0,IF(A2626=A2629,AVERAGE(O2626:O2629),"x"),0)</f>
        <v>3.5525000000000001E-2</v>
      </c>
      <c r="R2629" s="9">
        <f>IF(L2629&gt;2005,AVERAGE(O2626:O2645),0)</f>
        <v>3.4384999999999999E-2</v>
      </c>
      <c r="S2629" s="10">
        <f>IF(A2629=A2630,(N2629-N2630)/N2630,0)</f>
        <v>0</v>
      </c>
      <c r="T2629" s="10">
        <f>IF(L2629&gt;2005,(((N2629-N2649)/N2649)+1)^(1/5)-1,0)</f>
        <v>9.2388464140373161E-2</v>
      </c>
      <c r="U2629" s="10">
        <f t="shared" si="86"/>
        <v>0.12677346414037316</v>
      </c>
      <c r="V2629" s="26">
        <f t="shared" si="87"/>
        <v>4.5604587694303458</v>
      </c>
      <c r="W2629" s="3">
        <f>IF(A2629=A2630,N2629-N2630,0)</f>
        <v>0</v>
      </c>
      <c r="X2629" s="10">
        <f>IF(A2629=A2630,(N2629-N2630)/N2630,0)</f>
        <v>0</v>
      </c>
    </row>
    <row r="2630" spans="1:24" ht="16.5" customHeight="1">
      <c r="A2630" s="3" t="s">
        <v>53</v>
      </c>
      <c r="B2630" s="3">
        <f t="shared" si="80"/>
        <v>2020</v>
      </c>
      <c r="C2630" s="3">
        <f t="shared" si="81"/>
        <v>12</v>
      </c>
      <c r="D2630" s="20" t="str">
        <f t="shared" si="82"/>
        <v>BEN202012</v>
      </c>
      <c r="E2630" s="2">
        <v>44195</v>
      </c>
      <c r="F2630" s="3">
        <v>0.28000000000000003</v>
      </c>
      <c r="G2630" s="2">
        <v>44211</v>
      </c>
      <c r="H2630" s="3">
        <v>4.5199999999999997E-2</v>
      </c>
      <c r="I2630" s="3">
        <v>3.7037037000000002E-2</v>
      </c>
      <c r="J2630" s="3">
        <v>0.01</v>
      </c>
      <c r="K2630" s="3">
        <f t="shared" si="83"/>
        <v>2020</v>
      </c>
      <c r="L2630" s="3">
        <f t="shared" si="84"/>
        <v>0</v>
      </c>
      <c r="M2630" s="20" t="str">
        <f>A2630&amp;L2630</f>
        <v>BEN0</v>
      </c>
      <c r="N2630" s="3">
        <f>F2630</f>
        <v>0.28000000000000003</v>
      </c>
      <c r="O2630" s="9">
        <f>H2630</f>
        <v>4.5199999999999997E-2</v>
      </c>
      <c r="P2630" s="10">
        <f t="shared" si="85"/>
        <v>5.2999999999999999E-2</v>
      </c>
      <c r="Q2630" s="10">
        <f>IF(K2630=0,IF(A2627=A2630,AVERAGE(O2627:O2630),"x"),0)</f>
        <v>0</v>
      </c>
      <c r="R2630" s="9">
        <f>IF(L2630&gt;2005,AVERAGE(O2627:O2646),0)</f>
        <v>0</v>
      </c>
      <c r="S2630" s="10">
        <f>IF(A2630=A2631,(N2630-N2631)/N2631,0)</f>
        <v>3.703703703703707E-2</v>
      </c>
      <c r="T2630" s="10">
        <f>IF(L2630&gt;2005,(((N2630-N2650)/N2650)+1)^(1/5)-1,0)</f>
        <v>0</v>
      </c>
      <c r="U2630" s="10">
        <f t="shared" si="86"/>
        <v>0</v>
      </c>
      <c r="V2630" s="26">
        <f t="shared" si="87"/>
        <v>0</v>
      </c>
      <c r="W2630" s="3">
        <f>IF(A2630=A2631,N2630-N2631,0)</f>
        <v>1.0000000000000009E-2</v>
      </c>
      <c r="X2630" s="10">
        <f>IF(A2630=A2631,(N2630-N2631)/N2631,0)</f>
        <v>3.703703703703707E-2</v>
      </c>
    </row>
    <row r="2631" spans="1:24" ht="16.5" customHeight="1">
      <c r="A2631" s="3" t="s">
        <v>53</v>
      </c>
      <c r="B2631" s="3">
        <f t="shared" si="80"/>
        <v>2020</v>
      </c>
      <c r="C2631" s="3">
        <f t="shared" si="81"/>
        <v>9</v>
      </c>
      <c r="D2631" s="20" t="str">
        <f t="shared" si="82"/>
        <v>BEN20209</v>
      </c>
      <c r="E2631" s="2">
        <v>44103</v>
      </c>
      <c r="F2631" s="3">
        <v>0.27</v>
      </c>
      <c r="G2631" s="2">
        <v>44119</v>
      </c>
      <c r="H2631" s="3">
        <v>5.28E-2</v>
      </c>
      <c r="I2631" s="3">
        <v>0</v>
      </c>
      <c r="J2631" s="3">
        <v>0</v>
      </c>
      <c r="K2631" s="3">
        <f t="shared" si="83"/>
        <v>2020</v>
      </c>
      <c r="L2631" s="3">
        <f t="shared" si="84"/>
        <v>0</v>
      </c>
      <c r="M2631" s="20" t="str">
        <f>A2631&amp;L2631</f>
        <v>BEN0</v>
      </c>
      <c r="N2631" s="3">
        <f>F2631</f>
        <v>0.27</v>
      </c>
      <c r="O2631" s="9">
        <f>H2631</f>
        <v>5.28E-2</v>
      </c>
      <c r="P2631" s="10">
        <f t="shared" si="85"/>
        <v>0</v>
      </c>
      <c r="Q2631" s="10">
        <f>IF(K2631=0,IF(A2628=A2631,AVERAGE(O2628:O2631),"x"),0)</f>
        <v>0</v>
      </c>
      <c r="R2631" s="9">
        <f>IF(L2631&gt;2005,AVERAGE(O2628:O2647),0)</f>
        <v>0</v>
      </c>
      <c r="S2631" s="10">
        <f>IF(A2631=A2632,(N2631-N2632)/N2632,0)</f>
        <v>0</v>
      </c>
      <c r="T2631" s="10">
        <f>IF(L2631&gt;2005,(((N2631-N2651)/N2651)+1)^(1/5)-1,0)</f>
        <v>0</v>
      </c>
      <c r="U2631" s="10">
        <f t="shared" si="86"/>
        <v>0</v>
      </c>
      <c r="V2631" s="26">
        <f t="shared" si="87"/>
        <v>0</v>
      </c>
      <c r="W2631" s="3">
        <f>IF(A2631=A2632,N2631-N2632,0)</f>
        <v>0</v>
      </c>
      <c r="X2631" s="10">
        <f>IF(A2631=A2632,(N2631-N2632)/N2632,0)</f>
        <v>0</v>
      </c>
    </row>
    <row r="2632" spans="1:24" ht="16.5" customHeight="1">
      <c r="A2632" s="3" t="s">
        <v>53</v>
      </c>
      <c r="B2632" s="3">
        <f t="shared" si="80"/>
        <v>2020</v>
      </c>
      <c r="C2632" s="3">
        <f t="shared" si="81"/>
        <v>7</v>
      </c>
      <c r="D2632" s="20" t="str">
        <f t="shared" si="82"/>
        <v>BEN20207</v>
      </c>
      <c r="E2632" s="2">
        <v>44026</v>
      </c>
      <c r="F2632" s="3">
        <v>0.27</v>
      </c>
      <c r="G2632" s="2">
        <v>44039</v>
      </c>
      <c r="H2632" s="3">
        <v>5.1799999999999999E-2</v>
      </c>
      <c r="I2632" s="3">
        <v>0</v>
      </c>
      <c r="J2632" s="3">
        <v>0</v>
      </c>
      <c r="K2632" s="3">
        <f t="shared" si="83"/>
        <v>2020</v>
      </c>
      <c r="L2632" s="3">
        <f t="shared" si="84"/>
        <v>0</v>
      </c>
      <c r="M2632" s="20" t="str">
        <f>A2632&amp;L2632</f>
        <v>BEN0</v>
      </c>
      <c r="N2632" s="3">
        <f>F2632</f>
        <v>0.27</v>
      </c>
      <c r="O2632" s="9">
        <f>H2632</f>
        <v>5.1799999999999999E-2</v>
      </c>
      <c r="P2632" s="10">
        <f t="shared" si="85"/>
        <v>0</v>
      </c>
      <c r="Q2632" s="10">
        <f>IF(K2632=0,IF(A2629=A2632,AVERAGE(O2629:O2632),"x"),0)</f>
        <v>0</v>
      </c>
      <c r="R2632" s="9">
        <f>IF(L2632&gt;2005,AVERAGE(O2629:O2648),0)</f>
        <v>0</v>
      </c>
      <c r="S2632" s="10">
        <f>IF(A2632=A2633,(N2632-N2633)/N2633,0)</f>
        <v>0</v>
      </c>
      <c r="T2632" s="10">
        <f>IF(L2632&gt;2005,(((N2632-N2652)/N2652)+1)^(1/5)-1,0)</f>
        <v>0</v>
      </c>
      <c r="U2632" s="10">
        <f t="shared" si="86"/>
        <v>0</v>
      </c>
      <c r="V2632" s="26">
        <f t="shared" si="87"/>
        <v>0</v>
      </c>
      <c r="W2632" s="3">
        <f>IF(A2632=A2633,N2632-N2633,0)</f>
        <v>0</v>
      </c>
      <c r="X2632" s="10">
        <f>IF(A2632=A2633,(N2632-N2633)/N2633,0)</f>
        <v>0</v>
      </c>
    </row>
    <row r="2633" spans="1:24" ht="16.5" customHeight="1">
      <c r="A2633" s="3" t="s">
        <v>53</v>
      </c>
      <c r="B2633" s="3">
        <f t="shared" si="80"/>
        <v>2020</v>
      </c>
      <c r="C2633" s="3">
        <f t="shared" si="81"/>
        <v>3</v>
      </c>
      <c r="D2633" s="20" t="str">
        <f t="shared" si="82"/>
        <v>BEN20203</v>
      </c>
      <c r="E2633" s="2">
        <v>43920</v>
      </c>
      <c r="F2633" s="3">
        <v>0.27</v>
      </c>
      <c r="G2633" s="2">
        <v>43934</v>
      </c>
      <c r="H2633" s="3">
        <v>6.2199999999999998E-2</v>
      </c>
      <c r="I2633" s="3">
        <v>0</v>
      </c>
      <c r="J2633" s="3">
        <v>0</v>
      </c>
      <c r="K2633" s="3">
        <f t="shared" si="83"/>
        <v>0</v>
      </c>
      <c r="L2633" s="3">
        <f t="shared" si="84"/>
        <v>2020</v>
      </c>
      <c r="M2633" s="20" t="str">
        <f>A2633&amp;L2633</f>
        <v>BEN2020</v>
      </c>
      <c r="N2633" s="3">
        <f>F2633</f>
        <v>0.27</v>
      </c>
      <c r="O2633" s="9">
        <f>H2633</f>
        <v>6.2199999999999998E-2</v>
      </c>
      <c r="P2633" s="10">
        <f t="shared" si="85"/>
        <v>0</v>
      </c>
      <c r="Q2633" s="10">
        <f>IF(K2633=0,IF(A2630=A2633,AVERAGE(O2630:O2633),"x"),0)</f>
        <v>5.2999999999999999E-2</v>
      </c>
      <c r="R2633" s="9">
        <f>IF(L2633&gt;2005,AVERAGE(O2630:O2649),0)</f>
        <v>2.905000000000001E-2</v>
      </c>
      <c r="S2633" s="10">
        <f>IF(A2633=A2634,(N2633-N2634)/N2634,0)</f>
        <v>0</v>
      </c>
      <c r="T2633" s="10">
        <f>IF(L2633&gt;2005,(((N2633-N2653)/N2653)+1)^(1/5)-1,0)</f>
        <v>0.12474611314209483</v>
      </c>
      <c r="U2633" s="10">
        <f t="shared" si="86"/>
        <v>0.15379611314209485</v>
      </c>
      <c r="V2633" s="26">
        <f t="shared" si="87"/>
        <v>4.6347750026009411</v>
      </c>
      <c r="W2633" s="3">
        <f>IF(A2633=A2634,N2633-N2634,0)</f>
        <v>0</v>
      </c>
      <c r="X2633" s="10">
        <f>IF(A2633=A2634,(N2633-N2634)/N2634,0)</f>
        <v>0</v>
      </c>
    </row>
    <row r="2634" spans="1:24" ht="16.5" customHeight="1">
      <c r="A2634" s="3" t="s">
        <v>53</v>
      </c>
      <c r="B2634" s="3">
        <f t="shared" si="80"/>
        <v>2019</v>
      </c>
      <c r="C2634" s="3">
        <f t="shared" si="81"/>
        <v>12</v>
      </c>
      <c r="D2634" s="20" t="str">
        <f t="shared" si="82"/>
        <v>BEN201912</v>
      </c>
      <c r="E2634" s="2">
        <v>43829</v>
      </c>
      <c r="F2634" s="3">
        <v>0.27</v>
      </c>
      <c r="G2634" s="2">
        <v>43840</v>
      </c>
      <c r="H2634" s="3">
        <v>4.1099999999999998E-2</v>
      </c>
      <c r="I2634" s="3">
        <v>3.8461538000000003E-2</v>
      </c>
      <c r="J2634" s="3">
        <v>0.01</v>
      </c>
      <c r="K2634" s="3">
        <f t="shared" si="83"/>
        <v>2019</v>
      </c>
      <c r="L2634" s="3">
        <f t="shared" si="84"/>
        <v>0</v>
      </c>
      <c r="M2634" s="20" t="str">
        <f>A2634&amp;L2634</f>
        <v>BEN0</v>
      </c>
      <c r="N2634" s="3">
        <f>F2634</f>
        <v>0.27</v>
      </c>
      <c r="O2634" s="9">
        <f>H2634</f>
        <v>4.1099999999999998E-2</v>
      </c>
      <c r="P2634" s="10">
        <f t="shared" si="85"/>
        <v>3.4849999999999999E-2</v>
      </c>
      <c r="Q2634" s="10">
        <f>IF(K2634=0,IF(A2631=A2634,AVERAGE(O2631:O2634),"x"),0)</f>
        <v>0</v>
      </c>
      <c r="R2634" s="9">
        <f>IF(L2634&gt;2005,AVERAGE(O2631:O2650),0)</f>
        <v>0</v>
      </c>
      <c r="S2634" s="10">
        <f>IF(A2634=A2635,(N2634-N2635)/N2635,0)</f>
        <v>3.8461538461538491E-2</v>
      </c>
      <c r="T2634" s="10">
        <f>IF(L2634&gt;2005,(((N2634-N2654)/N2654)+1)^(1/5)-1,0)</f>
        <v>0</v>
      </c>
      <c r="U2634" s="10">
        <f t="shared" si="86"/>
        <v>0</v>
      </c>
      <c r="V2634" s="26">
        <f t="shared" si="87"/>
        <v>0</v>
      </c>
      <c r="W2634" s="3">
        <f>IF(A2634=A2635,N2634-N2635,0)</f>
        <v>1.0000000000000009E-2</v>
      </c>
      <c r="X2634" s="10">
        <f>IF(A2634=A2635,(N2634-N2635)/N2635,0)</f>
        <v>3.8461538461538491E-2</v>
      </c>
    </row>
    <row r="2635" spans="1:24" ht="16.5" customHeight="1">
      <c r="A2635" s="3" t="s">
        <v>53</v>
      </c>
      <c r="B2635" s="3">
        <f t="shared" si="80"/>
        <v>2019</v>
      </c>
      <c r="C2635" s="3">
        <f t="shared" si="81"/>
        <v>9</v>
      </c>
      <c r="D2635" s="20" t="str">
        <f t="shared" si="82"/>
        <v>BEN20199</v>
      </c>
      <c r="E2635" s="2">
        <v>43735</v>
      </c>
      <c r="F2635" s="3">
        <v>0.26</v>
      </c>
      <c r="G2635" s="2">
        <v>43749</v>
      </c>
      <c r="H2635" s="3">
        <v>3.6299999999999999E-2</v>
      </c>
      <c r="I2635" s="3">
        <v>0</v>
      </c>
      <c r="J2635" s="3">
        <v>0</v>
      </c>
      <c r="K2635" s="3">
        <f t="shared" si="83"/>
        <v>2019</v>
      </c>
      <c r="L2635" s="3">
        <f t="shared" si="84"/>
        <v>0</v>
      </c>
      <c r="M2635" s="20" t="str">
        <f>A2635&amp;L2635</f>
        <v>BEN0</v>
      </c>
      <c r="N2635" s="3">
        <f>F2635</f>
        <v>0.26</v>
      </c>
      <c r="O2635" s="9">
        <f>H2635</f>
        <v>3.6299999999999999E-2</v>
      </c>
      <c r="P2635" s="10">
        <f t="shared" si="85"/>
        <v>0</v>
      </c>
      <c r="Q2635" s="10">
        <f>IF(K2635=0,IF(A2632=A2635,AVERAGE(O2632:O2635),"x"),0)</f>
        <v>0</v>
      </c>
      <c r="R2635" s="9">
        <f>IF(L2635&gt;2005,AVERAGE(O2632:O2651),0)</f>
        <v>0</v>
      </c>
      <c r="S2635" s="10">
        <f>IF(A2635=A2636,(N2635-N2636)/N2636,0)</f>
        <v>0</v>
      </c>
      <c r="T2635" s="10">
        <f>IF(L2635&gt;2005,(((N2635-N2655)/N2655)+1)^(1/5)-1,0)</f>
        <v>0</v>
      </c>
      <c r="U2635" s="10">
        <f t="shared" si="86"/>
        <v>0</v>
      </c>
      <c r="V2635" s="26">
        <f t="shared" si="87"/>
        <v>0</v>
      </c>
      <c r="W2635" s="3">
        <f>IF(A2635=A2636,N2635-N2636,0)</f>
        <v>0</v>
      </c>
      <c r="X2635" s="10">
        <f>IF(A2635=A2636,(N2635-N2636)/N2636,0)</f>
        <v>0</v>
      </c>
    </row>
    <row r="2636" spans="1:24" ht="16.5" customHeight="1">
      <c r="A2636" s="3" t="s">
        <v>53</v>
      </c>
      <c r="B2636" s="3">
        <f t="shared" si="80"/>
        <v>2019</v>
      </c>
      <c r="C2636" s="3">
        <f t="shared" si="81"/>
        <v>6</v>
      </c>
      <c r="D2636" s="20" t="str">
        <f t="shared" si="82"/>
        <v>BEN20196</v>
      </c>
      <c r="E2636" s="2">
        <v>43643</v>
      </c>
      <c r="F2636" s="3">
        <v>0.26</v>
      </c>
      <c r="G2636" s="2">
        <v>43658</v>
      </c>
      <c r="H2636" s="3">
        <v>3.0300000000000001E-2</v>
      </c>
      <c r="I2636" s="3">
        <v>0</v>
      </c>
      <c r="J2636" s="3">
        <v>0</v>
      </c>
      <c r="K2636" s="3">
        <f t="shared" si="83"/>
        <v>2019</v>
      </c>
      <c r="L2636" s="3">
        <f t="shared" si="84"/>
        <v>0</v>
      </c>
      <c r="M2636" s="20" t="str">
        <f>A2636&amp;L2636</f>
        <v>BEN0</v>
      </c>
      <c r="N2636" s="3">
        <f>F2636</f>
        <v>0.26</v>
      </c>
      <c r="O2636" s="9">
        <f>H2636</f>
        <v>3.0300000000000001E-2</v>
      </c>
      <c r="P2636" s="10">
        <f t="shared" si="85"/>
        <v>0</v>
      </c>
      <c r="Q2636" s="10">
        <f>IF(K2636=0,IF(A2633=A2636,AVERAGE(O2633:O2636),"x"),0)</f>
        <v>0</v>
      </c>
      <c r="R2636" s="9">
        <f>IF(L2636&gt;2005,AVERAGE(O2633:O2652),0)</f>
        <v>0</v>
      </c>
      <c r="S2636" s="10">
        <f>IF(A2636=A2637,(N2636-N2637)/N2637,0)</f>
        <v>0</v>
      </c>
      <c r="T2636" s="10">
        <f>IF(L2636&gt;2005,(((N2636-N2656)/N2656)+1)^(1/5)-1,0)</f>
        <v>0</v>
      </c>
      <c r="U2636" s="10">
        <f t="shared" si="86"/>
        <v>0</v>
      </c>
      <c r="V2636" s="26">
        <f t="shared" si="87"/>
        <v>0</v>
      </c>
      <c r="W2636" s="3">
        <f>IF(A2636=A2637,N2636-N2637,0)</f>
        <v>0</v>
      </c>
      <c r="X2636" s="10">
        <f>IF(A2636=A2637,(N2636-N2637)/N2637,0)</f>
        <v>0</v>
      </c>
    </row>
    <row r="2637" spans="1:24" ht="16.5" customHeight="1">
      <c r="A2637" s="3" t="s">
        <v>53</v>
      </c>
      <c r="B2637" s="3">
        <f t="shared" si="80"/>
        <v>2019</v>
      </c>
      <c r="C2637" s="3">
        <f t="shared" si="81"/>
        <v>3</v>
      </c>
      <c r="D2637" s="20" t="str">
        <f t="shared" si="82"/>
        <v>BEN20193</v>
      </c>
      <c r="E2637" s="2">
        <v>43552</v>
      </c>
      <c r="F2637" s="3">
        <v>0.26</v>
      </c>
      <c r="G2637" s="2">
        <v>43567</v>
      </c>
      <c r="H2637" s="3">
        <v>3.1699999999999999E-2</v>
      </c>
      <c r="I2637" s="3">
        <v>0</v>
      </c>
      <c r="J2637" s="3">
        <v>0</v>
      </c>
      <c r="K2637" s="3">
        <f t="shared" si="83"/>
        <v>0</v>
      </c>
      <c r="L2637" s="3">
        <f t="shared" si="84"/>
        <v>2019</v>
      </c>
      <c r="M2637" s="20" t="str">
        <f>A2637&amp;L2637</f>
        <v>BEN2019</v>
      </c>
      <c r="N2637" s="3">
        <f>F2637</f>
        <v>0.26</v>
      </c>
      <c r="O2637" s="9">
        <f>H2637</f>
        <v>3.1699999999999999E-2</v>
      </c>
      <c r="P2637" s="10">
        <f t="shared" si="85"/>
        <v>0</v>
      </c>
      <c r="Q2637" s="10">
        <f>IF(K2637=0,IF(A2634=A2637,AVERAGE(O2634:O2637),"x"),0)</f>
        <v>3.4849999999999999E-2</v>
      </c>
      <c r="R2637" s="9">
        <f>IF(L2637&gt;2005,AVERAGE(O2634:O2653),0)</f>
        <v>1.9195000000000004E-2</v>
      </c>
      <c r="S2637" s="10">
        <f>IF(A2637=A2638,(N2637-N2638)/N2638,0)</f>
        <v>0</v>
      </c>
      <c r="T2637" s="10">
        <f>IF(L2637&gt;2005,(((N2637-N2657)/N2657)+1)^(1/5)-1,0)</f>
        <v>0.16723531932969316</v>
      </c>
      <c r="U2637" s="10">
        <f t="shared" si="86"/>
        <v>0.18643031932969317</v>
      </c>
      <c r="V2637" s="26">
        <f t="shared" si="87"/>
        <v>4.7624901867181837</v>
      </c>
      <c r="W2637" s="3">
        <f>IF(A2637=A2638,N2637-N2638,0)</f>
        <v>0</v>
      </c>
      <c r="X2637" s="10">
        <f>IF(A2637=A2638,(N2637-N2638)/N2638,0)</f>
        <v>0</v>
      </c>
    </row>
    <row r="2638" spans="1:24" ht="16.5" customHeight="1">
      <c r="A2638" s="3" t="s">
        <v>53</v>
      </c>
      <c r="B2638" s="3">
        <f t="shared" si="80"/>
        <v>2018</v>
      </c>
      <c r="C2638" s="3">
        <f t="shared" si="81"/>
        <v>12</v>
      </c>
      <c r="D2638" s="20" t="str">
        <f t="shared" si="82"/>
        <v>BEN201812</v>
      </c>
      <c r="E2638" s="2">
        <v>43462</v>
      </c>
      <c r="F2638" s="3">
        <v>0.26</v>
      </c>
      <c r="G2638" s="2">
        <v>43476</v>
      </c>
      <c r="H2638" s="3">
        <v>3.56E-2</v>
      </c>
      <c r="I2638" s="3">
        <v>0.130434783</v>
      </c>
      <c r="J2638" s="3">
        <v>0.03</v>
      </c>
      <c r="K2638" s="3">
        <f t="shared" si="83"/>
        <v>2018</v>
      </c>
      <c r="L2638" s="3">
        <f t="shared" si="84"/>
        <v>0</v>
      </c>
      <c r="M2638" s="20" t="str">
        <f>A2638&amp;L2638</f>
        <v>BEN0</v>
      </c>
      <c r="N2638" s="3">
        <f>F2638</f>
        <v>0.26</v>
      </c>
      <c r="O2638" s="9">
        <f>H2638</f>
        <v>3.56E-2</v>
      </c>
      <c r="P2638" s="10">
        <f t="shared" si="85"/>
        <v>2.9525000000000003E-2</v>
      </c>
      <c r="Q2638" s="10">
        <f>IF(K2638=0,IF(A2635=A2638,AVERAGE(O2635:O2638),"x"),0)</f>
        <v>0</v>
      </c>
      <c r="R2638" s="9">
        <f>IF(L2638&gt;2005,AVERAGE(O2635:O2654),0)</f>
        <v>0</v>
      </c>
      <c r="S2638" s="10">
        <f>IF(A2638=A2639,(N2638-N2639)/N2639,0)</f>
        <v>0.13043478260869565</v>
      </c>
      <c r="T2638" s="10">
        <f>IF(L2638&gt;2005,(((N2638-N2658)/N2658)+1)^(1/5)-1,0)</f>
        <v>0</v>
      </c>
      <c r="U2638" s="10">
        <f t="shared" si="86"/>
        <v>0</v>
      </c>
      <c r="V2638" s="26">
        <f t="shared" si="87"/>
        <v>0</v>
      </c>
      <c r="W2638" s="3">
        <f>IF(A2638=A2639,N2638-N2639,0)</f>
        <v>0.03</v>
      </c>
      <c r="X2638" s="10">
        <f>IF(A2638=A2639,(N2638-N2639)/N2639,0)</f>
        <v>0.13043478260869565</v>
      </c>
    </row>
    <row r="2639" spans="1:24" ht="16.5" customHeight="1">
      <c r="A2639" s="3" t="s">
        <v>53</v>
      </c>
      <c r="B2639" s="3">
        <f t="shared" si="80"/>
        <v>2018</v>
      </c>
      <c r="C2639" s="3">
        <f t="shared" si="81"/>
        <v>9</v>
      </c>
      <c r="D2639" s="20" t="str">
        <f t="shared" si="82"/>
        <v>BEN20189</v>
      </c>
      <c r="E2639" s="2">
        <v>43370</v>
      </c>
      <c r="F2639" s="3">
        <v>0.23</v>
      </c>
      <c r="G2639" s="2">
        <v>43385</v>
      </c>
      <c r="H2639" s="3">
        <v>2.93E-2</v>
      </c>
      <c r="I2639" s="3">
        <v>0</v>
      </c>
      <c r="J2639" s="3">
        <v>0</v>
      </c>
      <c r="K2639" s="3">
        <f t="shared" si="83"/>
        <v>2018</v>
      </c>
      <c r="L2639" s="3">
        <f t="shared" si="84"/>
        <v>0</v>
      </c>
      <c r="M2639" s="20" t="str">
        <f>A2639&amp;L2639</f>
        <v>BEN0</v>
      </c>
      <c r="N2639" s="3">
        <f>F2639</f>
        <v>0.23</v>
      </c>
      <c r="O2639" s="9">
        <f>H2639</f>
        <v>2.93E-2</v>
      </c>
      <c r="P2639" s="10">
        <f t="shared" si="85"/>
        <v>0</v>
      </c>
      <c r="Q2639" s="10">
        <f>IF(K2639=0,IF(A2636=A2639,AVERAGE(O2636:O2639),"x"),0)</f>
        <v>0</v>
      </c>
      <c r="R2639" s="9">
        <f>IF(L2639&gt;2005,AVERAGE(O2636:O2655),0)</f>
        <v>0</v>
      </c>
      <c r="S2639" s="10">
        <f>IF(A2639=A2640,(N2639-N2640)/N2640,0)</f>
        <v>0</v>
      </c>
      <c r="T2639" s="10">
        <f>IF(L2639&gt;2005,(((N2639-N2659)/N2659)+1)^(1/5)-1,0)</f>
        <v>0</v>
      </c>
      <c r="U2639" s="10">
        <f t="shared" si="86"/>
        <v>0</v>
      </c>
      <c r="V2639" s="26">
        <f t="shared" si="87"/>
        <v>0</v>
      </c>
      <c r="W2639" s="3">
        <f>IF(A2639=A2640,N2639-N2640,0)</f>
        <v>0</v>
      </c>
      <c r="X2639" s="10">
        <f>IF(A2639=A2640,(N2639-N2640)/N2640,0)</f>
        <v>0</v>
      </c>
    </row>
    <row r="2640" spans="1:24" ht="16.5" customHeight="1">
      <c r="A2640" s="3" t="s">
        <v>53</v>
      </c>
      <c r="B2640" s="3">
        <f t="shared" si="80"/>
        <v>2018</v>
      </c>
      <c r="C2640" s="3">
        <f t="shared" si="81"/>
        <v>6</v>
      </c>
      <c r="D2640" s="20" t="str">
        <f t="shared" si="82"/>
        <v>BEN20186</v>
      </c>
      <c r="E2640" s="2">
        <v>43279</v>
      </c>
      <c r="F2640" s="3">
        <v>0.23</v>
      </c>
      <c r="G2640" s="2">
        <v>43294</v>
      </c>
      <c r="H2640" s="3">
        <v>2.87E-2</v>
      </c>
      <c r="I2640" s="16">
        <v>0</v>
      </c>
      <c r="J2640" s="3">
        <v>0</v>
      </c>
      <c r="K2640" s="3">
        <f t="shared" si="83"/>
        <v>2018</v>
      </c>
      <c r="L2640" s="3">
        <f t="shared" si="84"/>
        <v>0</v>
      </c>
      <c r="M2640" s="20" t="str">
        <f>A2640&amp;L2640</f>
        <v>BEN0</v>
      </c>
      <c r="N2640" s="3">
        <f>F2640</f>
        <v>0.23</v>
      </c>
      <c r="O2640" s="9">
        <f>H2640</f>
        <v>2.87E-2</v>
      </c>
      <c r="P2640" s="10">
        <f t="shared" si="85"/>
        <v>0</v>
      </c>
      <c r="Q2640" s="10">
        <f>IF(K2640=0,IF(A2637=A2640,AVERAGE(O2637:O2640),"x"),0)</f>
        <v>0</v>
      </c>
      <c r="R2640" s="9">
        <f>IF(L2640&gt;2005,AVERAGE(O2637:O2656),0)</f>
        <v>0</v>
      </c>
      <c r="S2640" s="10">
        <f>IF(A2640=A2641,(N2640-N2641)/N2641,0)</f>
        <v>0</v>
      </c>
      <c r="T2640" s="10">
        <f>IF(L2640&gt;2005,(((N2640-N2660)/N2660)+1)^(1/5)-1,0)</f>
        <v>0</v>
      </c>
      <c r="U2640" s="10">
        <f t="shared" si="86"/>
        <v>0</v>
      </c>
      <c r="V2640" s="26">
        <f t="shared" si="87"/>
        <v>0</v>
      </c>
      <c r="W2640" s="3">
        <f>IF(A2640=A2641,N2640-N2641,0)</f>
        <v>0</v>
      </c>
      <c r="X2640" s="10">
        <f>IF(A2640=A2641,(N2640-N2641)/N2641,0)</f>
        <v>0</v>
      </c>
    </row>
    <row r="2641" spans="1:24" ht="16.5" customHeight="1">
      <c r="A2641" s="3" t="s">
        <v>53</v>
      </c>
      <c r="B2641" s="3">
        <f t="shared" si="80"/>
        <v>2018</v>
      </c>
      <c r="C2641" s="3">
        <f t="shared" si="81"/>
        <v>3</v>
      </c>
      <c r="D2641" s="20" t="str">
        <f t="shared" si="82"/>
        <v>BEN20183</v>
      </c>
      <c r="E2641" s="2">
        <v>43187</v>
      </c>
      <c r="F2641" s="3">
        <v>0.23</v>
      </c>
      <c r="G2641" s="2">
        <v>43202</v>
      </c>
      <c r="H2641" s="3">
        <v>2.4500000000000001E-2</v>
      </c>
      <c r="I2641" s="3">
        <v>0</v>
      </c>
      <c r="J2641" s="3">
        <v>0</v>
      </c>
      <c r="K2641" s="3">
        <f t="shared" si="83"/>
        <v>0</v>
      </c>
      <c r="L2641" s="3">
        <f t="shared" si="84"/>
        <v>2018</v>
      </c>
      <c r="M2641" s="20" t="str">
        <f>A2641&amp;L2641</f>
        <v>BEN2018</v>
      </c>
      <c r="N2641" s="3">
        <f>F2641</f>
        <v>0.23</v>
      </c>
      <c r="O2641" s="9">
        <f>H2641</f>
        <v>2.4500000000000001E-2</v>
      </c>
      <c r="P2641" s="10">
        <f t="shared" si="85"/>
        <v>0</v>
      </c>
      <c r="Q2641" s="10">
        <f>IF(K2641=0,IF(A2638=A2641,AVERAGE(O2638:O2641),"x"),0)</f>
        <v>2.9525000000000003E-2</v>
      </c>
      <c r="R2641" s="9">
        <f>IF(L2641&gt;2005,AVERAGE(O2638:O2657),0)</f>
        <v>1.2659999999999999E-2</v>
      </c>
      <c r="S2641" s="10">
        <f>IF(A2641=A2642,(N2641-N2642)/N2642,0)</f>
        <v>0</v>
      </c>
      <c r="T2641" s="10">
        <f>IF(L2641&gt;2005,(((N2641-N2661)/N2661)+1)^(1/5)-1,0)</f>
        <v>0.18126018804310839</v>
      </c>
      <c r="U2641" s="10">
        <f t="shared" si="86"/>
        <v>0.1939201880431084</v>
      </c>
      <c r="V2641" s="26">
        <f t="shared" si="87"/>
        <v>4.843175112755306</v>
      </c>
      <c r="W2641" s="3">
        <f>IF(A2641=A2642,N2641-N2642,0)</f>
        <v>0</v>
      </c>
      <c r="X2641" s="10">
        <f>IF(A2641=A2642,(N2641-N2642)/N2642,0)</f>
        <v>0</v>
      </c>
    </row>
    <row r="2642" spans="1:24" ht="16.5" customHeight="1">
      <c r="A2642" s="3" t="s">
        <v>53</v>
      </c>
      <c r="B2642" s="3">
        <f t="shared" si="80"/>
        <v>2017</v>
      </c>
      <c r="C2642" s="3">
        <f t="shared" si="81"/>
        <v>12</v>
      </c>
      <c r="D2642" s="20" t="str">
        <f t="shared" si="82"/>
        <v>BEN201712</v>
      </c>
      <c r="E2642" s="2">
        <v>43091</v>
      </c>
      <c r="F2642" s="3">
        <v>0.23</v>
      </c>
      <c r="G2642" s="2">
        <v>43110</v>
      </c>
      <c r="H2642" s="3">
        <v>2.1000000000000001E-2</v>
      </c>
      <c r="I2642" s="3">
        <v>0.15</v>
      </c>
      <c r="J2642" s="3">
        <v>0.03</v>
      </c>
      <c r="K2642" s="3">
        <f t="shared" si="83"/>
        <v>2017</v>
      </c>
      <c r="L2642" s="3">
        <f t="shared" si="84"/>
        <v>0</v>
      </c>
      <c r="M2642" s="20" t="str">
        <f>A2642&amp;L2642</f>
        <v>BEN0</v>
      </c>
      <c r="N2642" s="3">
        <f>F2642</f>
        <v>0.23</v>
      </c>
      <c r="O2642" s="9">
        <f>H2642</f>
        <v>2.1000000000000001E-2</v>
      </c>
      <c r="P2642" s="10">
        <f t="shared" si="85"/>
        <v>1.9025E-2</v>
      </c>
      <c r="Q2642" s="10">
        <f>IF(K2642=0,IF(A2639=A2642,AVERAGE(O2639:O2642),"x"),0)</f>
        <v>0</v>
      </c>
      <c r="R2642" s="9">
        <f>IF(L2642&gt;2005,AVERAGE(O2639:O2658),0)</f>
        <v>0</v>
      </c>
      <c r="S2642" s="10">
        <f>IF(A2642=A2643,(N2642-N2643)/N2643,0)</f>
        <v>0.15</v>
      </c>
      <c r="T2642" s="10">
        <f>IF(L2642&gt;2005,(((N2642-N2662)/N2662)+1)^(1/5)-1,0)</f>
        <v>0</v>
      </c>
      <c r="U2642" s="10">
        <f t="shared" si="86"/>
        <v>0</v>
      </c>
      <c r="V2642" s="26">
        <f t="shared" si="87"/>
        <v>0</v>
      </c>
      <c r="W2642" s="3">
        <f>IF(A2642=A2643,N2642-N2643,0)</f>
        <v>0.03</v>
      </c>
      <c r="X2642" s="10">
        <f>IF(A2642=A2643,(N2642-N2643)/N2643,0)</f>
        <v>0.15</v>
      </c>
    </row>
    <row r="2643" spans="1:24" ht="16.5" customHeight="1">
      <c r="A2643" s="3" t="s">
        <v>53</v>
      </c>
      <c r="B2643" s="3">
        <f t="shared" si="80"/>
        <v>2017</v>
      </c>
      <c r="C2643" s="3">
        <f t="shared" si="81"/>
        <v>9</v>
      </c>
      <c r="D2643" s="20" t="str">
        <f t="shared" si="82"/>
        <v>BEN20179</v>
      </c>
      <c r="E2643" s="2">
        <v>43006</v>
      </c>
      <c r="F2643" s="3">
        <v>0.2</v>
      </c>
      <c r="G2643" s="2">
        <v>43021</v>
      </c>
      <c r="H2643" s="3">
        <v>1.7999999999999999E-2</v>
      </c>
      <c r="I2643" s="3">
        <v>0</v>
      </c>
      <c r="J2643" s="3">
        <v>0</v>
      </c>
      <c r="K2643" s="3">
        <f t="shared" si="83"/>
        <v>2017</v>
      </c>
      <c r="L2643" s="3">
        <f t="shared" si="84"/>
        <v>0</v>
      </c>
      <c r="M2643" s="20" t="str">
        <f>A2643&amp;L2643</f>
        <v>BEN0</v>
      </c>
      <c r="N2643" s="3">
        <f>F2643</f>
        <v>0.2</v>
      </c>
      <c r="O2643" s="9">
        <f>H2643</f>
        <v>1.7999999999999999E-2</v>
      </c>
      <c r="P2643" s="10">
        <f t="shared" si="85"/>
        <v>0</v>
      </c>
      <c r="Q2643" s="10">
        <f>IF(K2643=0,IF(A2640=A2643,AVERAGE(O2640:O2643),"x"),0)</f>
        <v>0</v>
      </c>
      <c r="R2643" s="9">
        <f>IF(L2643&gt;2005,AVERAGE(O2640:O2659),0)</f>
        <v>0</v>
      </c>
      <c r="S2643" s="10">
        <f>IF(A2643=A2644,(N2643-N2644)/N2644,0)</f>
        <v>0</v>
      </c>
      <c r="T2643" s="10">
        <f>IF(L2643&gt;2005,(((N2643-N2663)/N2663)+1)^(1/5)-1,0)</f>
        <v>0</v>
      </c>
      <c r="U2643" s="10">
        <f t="shared" si="86"/>
        <v>0</v>
      </c>
      <c r="V2643" s="26">
        <f t="shared" si="87"/>
        <v>0</v>
      </c>
      <c r="W2643" s="3">
        <f>IF(A2643=A2644,N2643-N2644,0)</f>
        <v>0</v>
      </c>
      <c r="X2643" s="10">
        <f>IF(A2643=A2644,(N2643-N2644)/N2644,0)</f>
        <v>0</v>
      </c>
    </row>
    <row r="2644" spans="1:24" ht="16.5" customHeight="1">
      <c r="A2644" s="3" t="s">
        <v>53</v>
      </c>
      <c r="B2644" s="3">
        <f t="shared" si="80"/>
        <v>2017</v>
      </c>
      <c r="C2644" s="3">
        <f t="shared" si="81"/>
        <v>6</v>
      </c>
      <c r="D2644" s="20" t="str">
        <f t="shared" si="82"/>
        <v>BEN20176</v>
      </c>
      <c r="E2644" s="2">
        <v>42914</v>
      </c>
      <c r="F2644" s="3">
        <v>0.2</v>
      </c>
      <c r="G2644" s="2">
        <v>42930</v>
      </c>
      <c r="H2644" s="3">
        <v>1.7999999999999999E-2</v>
      </c>
      <c r="I2644" s="3">
        <v>0</v>
      </c>
      <c r="J2644" s="3">
        <v>0</v>
      </c>
      <c r="K2644" s="3">
        <f t="shared" si="83"/>
        <v>2017</v>
      </c>
      <c r="L2644" s="3">
        <f t="shared" si="84"/>
        <v>0</v>
      </c>
      <c r="M2644" s="20" t="str">
        <f>A2644&amp;L2644</f>
        <v>BEN0</v>
      </c>
      <c r="N2644" s="3">
        <f>F2644</f>
        <v>0.2</v>
      </c>
      <c r="O2644" s="9">
        <f>H2644</f>
        <v>1.7999999999999999E-2</v>
      </c>
      <c r="P2644" s="10">
        <f t="shared" si="85"/>
        <v>0</v>
      </c>
      <c r="Q2644" s="10">
        <f>IF(K2644=0,IF(A2641=A2644,AVERAGE(O2641:O2644),"x"),0)</f>
        <v>0</v>
      </c>
      <c r="R2644" s="9">
        <f>IF(L2644&gt;2005,AVERAGE(O2641:O2660),0)</f>
        <v>0</v>
      </c>
      <c r="S2644" s="10">
        <f>IF(A2644=A2645,(N2644-N2645)/N2645,0)</f>
        <v>0</v>
      </c>
      <c r="T2644" s="10">
        <f>IF(L2644&gt;2005,(((N2644-N2664)/N2664)+1)^(1/5)-1,0)</f>
        <v>0</v>
      </c>
      <c r="U2644" s="10">
        <f t="shared" si="86"/>
        <v>0</v>
      </c>
      <c r="V2644" s="26">
        <f t="shared" si="87"/>
        <v>0</v>
      </c>
      <c r="W2644" s="3">
        <f>IF(A2644=A2645,N2644-N2645,0)</f>
        <v>0</v>
      </c>
      <c r="X2644" s="10">
        <f>IF(A2644=A2645,(N2644-N2645)/N2645,0)</f>
        <v>0</v>
      </c>
    </row>
    <row r="2645" spans="1:24" ht="16.5" customHeight="1">
      <c r="A2645" s="3" t="s">
        <v>53</v>
      </c>
      <c r="B2645" s="3">
        <f t="shared" si="80"/>
        <v>2017</v>
      </c>
      <c r="C2645" s="3">
        <f t="shared" si="81"/>
        <v>3</v>
      </c>
      <c r="D2645" s="20" t="str">
        <f t="shared" si="82"/>
        <v>BEN20173</v>
      </c>
      <c r="E2645" s="2">
        <v>42823</v>
      </c>
      <c r="F2645" s="3">
        <v>0.2</v>
      </c>
      <c r="G2645" s="2">
        <v>42838</v>
      </c>
      <c r="H2645" s="3">
        <v>1.9099999999999999E-2</v>
      </c>
      <c r="I2645" s="3">
        <v>0</v>
      </c>
      <c r="J2645" s="3">
        <v>0</v>
      </c>
      <c r="K2645" s="3">
        <f t="shared" si="83"/>
        <v>0</v>
      </c>
      <c r="L2645" s="3">
        <f t="shared" si="84"/>
        <v>2017</v>
      </c>
      <c r="M2645" s="20" t="str">
        <f>A2645&amp;L2645</f>
        <v>BEN2017</v>
      </c>
      <c r="N2645" s="3">
        <f>F2645</f>
        <v>0.2</v>
      </c>
      <c r="O2645" s="9">
        <f>H2645</f>
        <v>1.9099999999999999E-2</v>
      </c>
      <c r="P2645" s="10">
        <f t="shared" si="85"/>
        <v>0</v>
      </c>
      <c r="Q2645" s="10">
        <f>IF(K2645=0,IF(A2642=A2645,AVERAGE(O2642:O2645),"x"),0)</f>
        <v>1.9025E-2</v>
      </c>
      <c r="R2645" s="9">
        <f>IF(L2645&gt;2005,AVERAGE(O2642:O2661),0)</f>
        <v>7.1700000000000002E-3</v>
      </c>
      <c r="S2645" s="10">
        <f>IF(A2645=A2646,(N2645-N2646)/N2646,0)</f>
        <v>0</v>
      </c>
      <c r="T2645" s="10">
        <f>IF(L2645&gt;2005,(((N2645-N2665)/N2665)+1)^(1/5)-1,0)</f>
        <v>0.20112443398143132</v>
      </c>
      <c r="U2645" s="10">
        <f t="shared" si="86"/>
        <v>0.20829443398143133</v>
      </c>
      <c r="V2645" s="26">
        <f t="shared" si="87"/>
        <v>4.9116913545547991</v>
      </c>
      <c r="W2645" s="3">
        <f>IF(A2645=A2646,N2645-N2646,0)</f>
        <v>0</v>
      </c>
      <c r="X2645" s="10">
        <f>IF(A2645=A2646,(N2645-N2646)/N2646,0)</f>
        <v>0</v>
      </c>
    </row>
    <row r="2646" spans="1:24" ht="16.5" customHeight="1">
      <c r="A2646" s="3" t="s">
        <v>53</v>
      </c>
      <c r="B2646" s="3">
        <f t="shared" si="80"/>
        <v>2016</v>
      </c>
      <c r="C2646" s="3">
        <f t="shared" si="81"/>
        <v>12</v>
      </c>
      <c r="D2646" s="20" t="str">
        <f t="shared" si="82"/>
        <v>BEN201612</v>
      </c>
      <c r="E2646" s="2">
        <v>42732</v>
      </c>
      <c r="F2646" s="3">
        <v>0.2</v>
      </c>
      <c r="G2646" s="2">
        <v>42748</v>
      </c>
      <c r="H2646" s="3">
        <v>1.9800000000000002E-2</v>
      </c>
      <c r="I2646" s="3">
        <v>0.111111111</v>
      </c>
      <c r="J2646" s="3">
        <v>0.02</v>
      </c>
      <c r="K2646" s="3">
        <f t="shared" si="83"/>
        <v>2016</v>
      </c>
      <c r="L2646" s="3">
        <f t="shared" si="84"/>
        <v>0</v>
      </c>
      <c r="M2646" s="20" t="str">
        <f>A2646&amp;L2646</f>
        <v>BEN0</v>
      </c>
      <c r="N2646" s="3">
        <f>F2646</f>
        <v>0.2</v>
      </c>
      <c r="O2646" s="9">
        <f>H2646</f>
        <v>1.9800000000000002E-2</v>
      </c>
      <c r="P2646" s="10">
        <f t="shared" si="85"/>
        <v>8.8500000000000002E-3</v>
      </c>
      <c r="Q2646" s="10">
        <f>IF(K2646=0,IF(A2643=A2646,AVERAGE(O2643:O2646),"x"),0)</f>
        <v>0</v>
      </c>
      <c r="R2646" s="9">
        <f>IF(L2646&gt;2005,AVERAGE(O2643:O2662),0)</f>
        <v>0</v>
      </c>
      <c r="S2646" s="10">
        <f>IF(A2646=A2647,(N2646-N2647)/N2647,0)</f>
        <v>0.11111111111111122</v>
      </c>
      <c r="T2646" s="10">
        <f>IF(L2646&gt;2005,(((N2646-N2666)/N2666)+1)^(1/5)-1,0)</f>
        <v>0</v>
      </c>
      <c r="U2646" s="10">
        <f t="shared" si="86"/>
        <v>0</v>
      </c>
      <c r="V2646" s="26">
        <f t="shared" si="87"/>
        <v>0</v>
      </c>
      <c r="W2646" s="3">
        <f>IF(A2646=A2647,N2646-N2647,0)</f>
        <v>2.0000000000000018E-2</v>
      </c>
      <c r="X2646" s="10">
        <f>IF(A2646=A2647,(N2646-N2647)/N2647,0)</f>
        <v>0.11111111111111122</v>
      </c>
    </row>
    <row r="2647" spans="1:24" ht="16.5" customHeight="1">
      <c r="A2647" s="3" t="s">
        <v>53</v>
      </c>
      <c r="B2647" s="3">
        <f t="shared" si="80"/>
        <v>2016</v>
      </c>
      <c r="C2647" s="3">
        <f t="shared" si="81"/>
        <v>9</v>
      </c>
      <c r="D2647" s="20" t="str">
        <f t="shared" si="82"/>
        <v>BEN20169</v>
      </c>
      <c r="E2647" s="2">
        <v>42641</v>
      </c>
      <c r="F2647" s="3">
        <v>0.18</v>
      </c>
      <c r="H2647" s="3">
        <v>5.1999999999999998E-3</v>
      </c>
      <c r="I2647" s="3">
        <v>0</v>
      </c>
      <c r="J2647" s="3">
        <v>0</v>
      </c>
      <c r="K2647" s="3">
        <f t="shared" si="83"/>
        <v>2016</v>
      </c>
      <c r="L2647" s="3">
        <f t="shared" si="84"/>
        <v>0</v>
      </c>
      <c r="M2647" s="20" t="str">
        <f>A2647&amp;L2647</f>
        <v>BEN0</v>
      </c>
      <c r="N2647" s="3">
        <f>F2647</f>
        <v>0.18</v>
      </c>
      <c r="O2647" s="9">
        <f>H2647</f>
        <v>5.1999999999999998E-3</v>
      </c>
      <c r="P2647" s="10">
        <f t="shared" si="85"/>
        <v>0</v>
      </c>
      <c r="Q2647" s="10">
        <f>IF(K2647=0,IF(A2644=A2647,AVERAGE(O2644:O2647),"x"),0)</f>
        <v>0</v>
      </c>
      <c r="R2647" s="9">
        <f>IF(L2647&gt;2005,AVERAGE(O2644:O2663),0)</f>
        <v>0</v>
      </c>
      <c r="S2647" s="10">
        <f>IF(A2647=A2648,(N2647-N2648)/N2648,0)</f>
        <v>0</v>
      </c>
      <c r="T2647" s="10">
        <f>IF(L2647&gt;2005,(((N2647-N2667)/N2667)+1)^(1/5)-1,0)</f>
        <v>0</v>
      </c>
      <c r="U2647" s="10">
        <f t="shared" si="86"/>
        <v>0</v>
      </c>
      <c r="V2647" s="26">
        <f t="shared" si="87"/>
        <v>0</v>
      </c>
      <c r="W2647" s="3">
        <f>IF(A2647=A2648,N2647-N2648,0)</f>
        <v>0</v>
      </c>
      <c r="X2647" s="10">
        <f>IF(A2647=A2648,(N2647-N2648)/N2648,0)</f>
        <v>0</v>
      </c>
    </row>
    <row r="2648" spans="1:24" ht="16.5" customHeight="1">
      <c r="A2648" s="3" t="s">
        <v>53</v>
      </c>
      <c r="B2648" s="3">
        <f t="shared" si="80"/>
        <v>2016</v>
      </c>
      <c r="C2648" s="3">
        <f t="shared" si="81"/>
        <v>6</v>
      </c>
      <c r="D2648" s="20" t="str">
        <f t="shared" si="82"/>
        <v>BEN20166</v>
      </c>
      <c r="E2648" s="2">
        <v>42549</v>
      </c>
      <c r="F2648" s="3">
        <v>0.18</v>
      </c>
      <c r="H2648" s="3">
        <v>5.7999999999999996E-3</v>
      </c>
      <c r="I2648" s="3">
        <v>0</v>
      </c>
      <c r="J2648" s="3">
        <v>0</v>
      </c>
      <c r="K2648" s="3">
        <f t="shared" si="83"/>
        <v>2016</v>
      </c>
      <c r="L2648" s="3">
        <f t="shared" si="84"/>
        <v>0</v>
      </c>
      <c r="M2648" s="20" t="str">
        <f>A2648&amp;L2648</f>
        <v>BEN0</v>
      </c>
      <c r="N2648" s="3">
        <f>F2648</f>
        <v>0.18</v>
      </c>
      <c r="O2648" s="9">
        <f>H2648</f>
        <v>5.7999999999999996E-3</v>
      </c>
      <c r="P2648" s="10">
        <f t="shared" si="85"/>
        <v>0</v>
      </c>
      <c r="Q2648" s="10">
        <f>IF(K2648=0,IF(A2645=A2648,AVERAGE(O2645:O2648),"x"),0)</f>
        <v>0</v>
      </c>
      <c r="R2648" s="9">
        <f>IF(L2648&gt;2005,AVERAGE(O2645:O2664),0)</f>
        <v>0</v>
      </c>
      <c r="S2648" s="10">
        <f>IF(A2648=A2649,(N2648-N2649)/N2649,0)</f>
        <v>0</v>
      </c>
      <c r="T2648" s="10">
        <f>IF(L2648&gt;2005,(((N2648-N2668)/N2668)+1)^(1/5)-1,0)</f>
        <v>0</v>
      </c>
      <c r="U2648" s="10">
        <f t="shared" si="86"/>
        <v>0</v>
      </c>
      <c r="V2648" s="26">
        <f t="shared" si="87"/>
        <v>0</v>
      </c>
      <c r="W2648" s="3">
        <f>IF(A2648=A2649,N2648-N2649,0)</f>
        <v>0</v>
      </c>
      <c r="X2648" s="10">
        <f>IF(A2648=A2649,(N2648-N2649)/N2649,0)</f>
        <v>0</v>
      </c>
    </row>
    <row r="2649" spans="1:24" ht="16.5" customHeight="1">
      <c r="A2649" s="3" t="s">
        <v>53</v>
      </c>
      <c r="B2649" s="3">
        <f t="shared" si="80"/>
        <v>2016</v>
      </c>
      <c r="C2649" s="3">
        <f t="shared" si="81"/>
        <v>3</v>
      </c>
      <c r="D2649" s="20" t="str">
        <f t="shared" si="82"/>
        <v>BEN20163</v>
      </c>
      <c r="E2649" s="2">
        <v>42458</v>
      </c>
      <c r="F2649" s="3">
        <v>0.18</v>
      </c>
      <c r="H2649" s="3">
        <v>4.5999999999999999E-3</v>
      </c>
      <c r="I2649" s="3">
        <v>0</v>
      </c>
      <c r="J2649" s="3">
        <v>0</v>
      </c>
      <c r="K2649" s="3">
        <f t="shared" si="83"/>
        <v>0</v>
      </c>
      <c r="L2649" s="3">
        <f t="shared" si="84"/>
        <v>2016</v>
      </c>
      <c r="M2649" s="20" t="str">
        <f>A2649&amp;L2649</f>
        <v>BEN2016</v>
      </c>
      <c r="N2649" s="3">
        <f>F2649</f>
        <v>0.18</v>
      </c>
      <c r="O2649" s="9">
        <f>H2649</f>
        <v>4.5999999999999999E-3</v>
      </c>
      <c r="P2649" s="10">
        <f t="shared" si="85"/>
        <v>0</v>
      </c>
      <c r="Q2649" s="10">
        <f>IF(K2649=0,IF(A2646=A2649,AVERAGE(O2646:O2649),"x"),0)</f>
        <v>8.8500000000000002E-3</v>
      </c>
      <c r="R2649" s="9">
        <f>IF(L2649&gt;2005,AVERAGE(O2646:O2665),0)</f>
        <v>3.8449999999999999E-3</v>
      </c>
      <c r="S2649" s="10">
        <f>IF(A2649=A2650,(N2649-N2650)/N2650,0)</f>
        <v>0</v>
      </c>
      <c r="T2649" s="10">
        <f>IF(L2649&gt;2005,(((N2649-N2669)/N2669)+1)^(1/5)-1,0)</f>
        <v>0.20791087977228595</v>
      </c>
      <c r="U2649" s="10">
        <f t="shared" si="86"/>
        <v>0.21175587977228594</v>
      </c>
      <c r="V2649" s="26">
        <f t="shared" si="87"/>
        <v>4.9526046698325308</v>
      </c>
      <c r="W2649" s="3">
        <f>IF(A2649=A2650,N2649-N2650,0)</f>
        <v>0</v>
      </c>
      <c r="X2649" s="10">
        <f>IF(A2649=A2650,(N2649-N2650)/N2650,0)</f>
        <v>0</v>
      </c>
    </row>
    <row r="2650" spans="1:24" ht="16.5" customHeight="1">
      <c r="A2650" s="3" t="s">
        <v>53</v>
      </c>
      <c r="B2650" s="3">
        <f t="shared" si="80"/>
        <v>2015</v>
      </c>
      <c r="C2650" s="3">
        <f t="shared" si="81"/>
        <v>12</v>
      </c>
      <c r="D2650" s="20" t="str">
        <f t="shared" si="82"/>
        <v>BEN201512</v>
      </c>
      <c r="E2650" s="2">
        <v>42362</v>
      </c>
      <c r="F2650" s="3">
        <v>0.18</v>
      </c>
      <c r="H2650" s="3">
        <v>4.8999999999999998E-3</v>
      </c>
      <c r="I2650" s="3">
        <v>0.2</v>
      </c>
      <c r="J2650" s="3">
        <v>0.03</v>
      </c>
      <c r="K2650" s="3">
        <f t="shared" si="83"/>
        <v>2015</v>
      </c>
      <c r="L2650" s="3">
        <f t="shared" si="84"/>
        <v>0</v>
      </c>
      <c r="M2650" s="20" t="str">
        <f>A2650&amp;L2650</f>
        <v>BEN0</v>
      </c>
      <c r="N2650" s="3">
        <f>F2650</f>
        <v>0.18</v>
      </c>
      <c r="O2650" s="9">
        <f>H2650</f>
        <v>4.8999999999999998E-3</v>
      </c>
      <c r="P2650" s="10">
        <f t="shared" si="85"/>
        <v>3.725E-3</v>
      </c>
      <c r="Q2650" s="10">
        <f>IF(K2650=0,IF(A2647=A2650,AVERAGE(O2647:O2650),"x"),0)</f>
        <v>0</v>
      </c>
      <c r="R2650" s="9">
        <f>IF(L2650&gt;2005,AVERAGE(O2647:O2666),0)</f>
        <v>0</v>
      </c>
      <c r="S2650" s="10">
        <f>IF(A2650=A2651,(N2650-N2651)/N2651,0)</f>
        <v>0.2</v>
      </c>
      <c r="T2650" s="10">
        <f>IF(L2650&gt;2005,(((N2650-N2670)/N2670)+1)^(1/5)-1,0)</f>
        <v>0</v>
      </c>
      <c r="U2650" s="10">
        <f t="shared" si="86"/>
        <v>0</v>
      </c>
      <c r="V2650" s="26">
        <f t="shared" si="87"/>
        <v>0</v>
      </c>
      <c r="W2650" s="3">
        <f>IF(A2650=A2651,N2650-N2651,0)</f>
        <v>0.03</v>
      </c>
      <c r="X2650" s="10">
        <f>IF(A2650=A2651,(N2650-N2651)/N2651,0)</f>
        <v>0.2</v>
      </c>
    </row>
    <row r="2651" spans="1:24" ht="16.5" customHeight="1">
      <c r="A2651" s="3" t="s">
        <v>53</v>
      </c>
      <c r="B2651" s="3">
        <f t="shared" si="80"/>
        <v>2015</v>
      </c>
      <c r="C2651" s="3">
        <f t="shared" si="81"/>
        <v>9</v>
      </c>
      <c r="D2651" s="20" t="str">
        <f t="shared" si="82"/>
        <v>BEN20159</v>
      </c>
      <c r="E2651" s="2">
        <v>42275</v>
      </c>
      <c r="F2651" s="3">
        <v>0.15</v>
      </c>
      <c r="H2651" s="3">
        <v>4.1000000000000003E-3</v>
      </c>
      <c r="I2651" s="3">
        <v>0</v>
      </c>
      <c r="J2651" s="3">
        <v>0</v>
      </c>
      <c r="K2651" s="3">
        <f t="shared" si="83"/>
        <v>2015</v>
      </c>
      <c r="L2651" s="3">
        <f t="shared" si="84"/>
        <v>0</v>
      </c>
      <c r="M2651" s="20" t="str">
        <f>A2651&amp;L2651</f>
        <v>BEN0</v>
      </c>
      <c r="N2651" s="3">
        <f>F2651</f>
        <v>0.15</v>
      </c>
      <c r="O2651" s="9">
        <f>H2651</f>
        <v>4.1000000000000003E-3</v>
      </c>
      <c r="P2651" s="10">
        <f t="shared" si="85"/>
        <v>0</v>
      </c>
      <c r="Q2651" s="10">
        <f>IF(K2651=0,IF(A2648=A2651,AVERAGE(O2648:O2651),"x"),0)</f>
        <v>0</v>
      </c>
      <c r="R2651" s="9">
        <f>IF(L2651&gt;2005,AVERAGE(O2648:O2667),0)</f>
        <v>0</v>
      </c>
      <c r="S2651" s="10">
        <f>IF(A2651=A2652,(N2651-N2652)/N2652,0)</f>
        <v>0</v>
      </c>
      <c r="T2651" s="10">
        <f>IF(L2651&gt;2005,(((N2651-N2671)/N2671)+1)^(1/5)-1,0)</f>
        <v>0</v>
      </c>
      <c r="U2651" s="10">
        <f t="shared" si="86"/>
        <v>0</v>
      </c>
      <c r="V2651" s="26">
        <f t="shared" si="87"/>
        <v>0</v>
      </c>
      <c r="W2651" s="3">
        <f>IF(A2651=A2652,N2651-N2652,0)</f>
        <v>0</v>
      </c>
      <c r="X2651" s="10">
        <f>IF(A2651=A2652,(N2651-N2652)/N2652,0)</f>
        <v>0</v>
      </c>
    </row>
    <row r="2652" spans="1:24" ht="16.5" customHeight="1">
      <c r="A2652" s="3" t="s">
        <v>53</v>
      </c>
      <c r="B2652" s="3">
        <f t="shared" si="80"/>
        <v>2015</v>
      </c>
      <c r="C2652" s="3">
        <f t="shared" si="81"/>
        <v>6</v>
      </c>
      <c r="D2652" s="20" t="str">
        <f t="shared" si="82"/>
        <v>BEN20156</v>
      </c>
      <c r="E2652" s="2">
        <v>42181</v>
      </c>
      <c r="F2652" s="3">
        <v>0.15</v>
      </c>
      <c r="H2652" s="3">
        <v>3.0000000000000001E-3</v>
      </c>
      <c r="I2652" s="3">
        <v>0</v>
      </c>
      <c r="J2652" s="3">
        <v>0</v>
      </c>
      <c r="K2652" s="3">
        <f t="shared" si="83"/>
        <v>2015</v>
      </c>
      <c r="L2652" s="3">
        <f t="shared" si="84"/>
        <v>0</v>
      </c>
      <c r="M2652" s="20" t="str">
        <f>A2652&amp;L2652</f>
        <v>BEN0</v>
      </c>
      <c r="N2652" s="3">
        <f>F2652</f>
        <v>0.15</v>
      </c>
      <c r="O2652" s="9">
        <f>H2652</f>
        <v>3.0000000000000001E-3</v>
      </c>
      <c r="P2652" s="10">
        <f t="shared" si="85"/>
        <v>0</v>
      </c>
      <c r="Q2652" s="10">
        <f>IF(K2652=0,IF(A2649=A2652,AVERAGE(O2649:O2652),"x"),0)</f>
        <v>0</v>
      </c>
      <c r="R2652" s="9">
        <f>IF(L2652&gt;2005,AVERAGE(O2649:O2668),0)</f>
        <v>0</v>
      </c>
      <c r="S2652" s="10">
        <f>IF(A2652=A2653,(N2652-N2653)/N2653,0)</f>
        <v>0</v>
      </c>
      <c r="T2652" s="10">
        <f>IF(L2652&gt;2005,(((N2652-N2672)/N2672)+1)^(1/5)-1,0)</f>
        <v>0</v>
      </c>
      <c r="U2652" s="10">
        <f t="shared" si="86"/>
        <v>0</v>
      </c>
      <c r="V2652" s="26">
        <f t="shared" si="87"/>
        <v>0</v>
      </c>
      <c r="W2652" s="3">
        <f>IF(A2652=A2653,N2652-N2653,0)</f>
        <v>0</v>
      </c>
      <c r="X2652" s="10">
        <f>IF(A2652=A2653,(N2652-N2653)/N2653,0)</f>
        <v>0</v>
      </c>
    </row>
    <row r="2653" spans="1:24" ht="16.5" customHeight="1">
      <c r="A2653" s="3" t="s">
        <v>53</v>
      </c>
      <c r="B2653" s="3">
        <f t="shared" si="80"/>
        <v>2015</v>
      </c>
      <c r="C2653" s="3">
        <f t="shared" si="81"/>
        <v>3</v>
      </c>
      <c r="D2653" s="20" t="str">
        <f t="shared" si="82"/>
        <v>BEN20153</v>
      </c>
      <c r="E2653" s="2">
        <v>42090</v>
      </c>
      <c r="F2653" s="3">
        <v>0.15</v>
      </c>
      <c r="H2653" s="3">
        <v>2.8999999999999998E-3</v>
      </c>
      <c r="I2653" s="3">
        <v>-0.76923076899999998</v>
      </c>
      <c r="J2653" s="3">
        <v>-0.5</v>
      </c>
      <c r="K2653" s="3">
        <f t="shared" si="83"/>
        <v>0</v>
      </c>
      <c r="L2653" s="3">
        <f t="shared" si="84"/>
        <v>2015</v>
      </c>
      <c r="M2653" s="20" t="str">
        <f>A2653&amp;L2653</f>
        <v>BEN2015</v>
      </c>
      <c r="N2653" s="3">
        <f>F2653</f>
        <v>0.15</v>
      </c>
      <c r="O2653" s="9">
        <f>H2653</f>
        <v>2.8999999999999998E-3</v>
      </c>
      <c r="P2653" s="10">
        <f t="shared" si="85"/>
        <v>2.3749999999999999E-3</v>
      </c>
      <c r="Q2653" s="10">
        <f>IF(K2653=0,IF(A2650=A2653,AVERAGE(O2650:O2653),"x"),0)</f>
        <v>3.725E-3</v>
      </c>
      <c r="R2653" s="9">
        <f>IF(L2653&gt;2005,AVERAGE(O2650:O2669),0)</f>
        <v>2.4949999999999998E-3</v>
      </c>
      <c r="S2653" s="10">
        <f>IF(A2653=A2654,(N2653-N2654)/N2654,0)</f>
        <v>0.25</v>
      </c>
      <c r="T2653" s="10">
        <f>IF(L2653&gt;2005,(((N2653-N2673)/N2673)+1)^(1/5)-1,0)</f>
        <v>0.16465861577965679</v>
      </c>
      <c r="U2653" s="10">
        <f t="shared" si="86"/>
        <v>0.16715361577965679</v>
      </c>
      <c r="V2653" s="26">
        <f t="shared" si="87"/>
        <v>4.9680260591427672</v>
      </c>
      <c r="W2653" s="3">
        <f>IF(A2653=A2654,N2653-N2654,0)</f>
        <v>0.03</v>
      </c>
      <c r="X2653" s="10">
        <f>IF(A2653=A2654,(N2653-N2654)/N2654,0)</f>
        <v>0.25</v>
      </c>
    </row>
    <row r="2654" spans="1:24" ht="16.5" customHeight="1">
      <c r="A2654" s="3" t="s">
        <v>53</v>
      </c>
      <c r="B2654" s="3">
        <f t="shared" si="80"/>
        <v>2014</v>
      </c>
      <c r="C2654" s="3">
        <f t="shared" si="81"/>
        <v>9</v>
      </c>
      <c r="D2654" s="20" t="str">
        <f t="shared" si="82"/>
        <v>BEN20149</v>
      </c>
      <c r="E2654" s="2">
        <v>41908</v>
      </c>
      <c r="F2654" s="3">
        <v>0.12</v>
      </c>
      <c r="H2654" s="3">
        <v>2.2000000000000001E-3</v>
      </c>
      <c r="I2654" s="3">
        <v>0</v>
      </c>
      <c r="J2654" s="3">
        <v>0</v>
      </c>
      <c r="K2654" s="3">
        <f t="shared" si="83"/>
        <v>2014</v>
      </c>
      <c r="L2654" s="3">
        <f t="shared" si="84"/>
        <v>0</v>
      </c>
      <c r="M2654" s="20" t="str">
        <f>A2654&amp;L2654</f>
        <v>BEN0</v>
      </c>
      <c r="N2654" s="3">
        <f>F2654</f>
        <v>0.12</v>
      </c>
      <c r="O2654" s="9">
        <f>H2654</f>
        <v>2.2000000000000001E-3</v>
      </c>
      <c r="P2654" s="10">
        <f t="shared" si="85"/>
        <v>0</v>
      </c>
      <c r="Q2654" s="10">
        <f>IF(K2654=0,IF(A2651=A2654,AVERAGE(O2651:O2654),"x"),0)</f>
        <v>0</v>
      </c>
      <c r="R2654" s="9">
        <f>IF(L2654&gt;2005,AVERAGE(O2651:O2670),0)</f>
        <v>0</v>
      </c>
      <c r="S2654" s="10">
        <f>IF(A2654=A2655,(N2654-N2655)/N2655,0)</f>
        <v>0</v>
      </c>
      <c r="T2654" s="10">
        <f>IF(L2654&gt;2005,(((N2654-N2674)/N2674)+1)^(1/5)-1,0)</f>
        <v>0</v>
      </c>
      <c r="U2654" s="10">
        <f t="shared" si="86"/>
        <v>0</v>
      </c>
      <c r="V2654" s="26">
        <f t="shared" si="87"/>
        <v>0</v>
      </c>
      <c r="W2654" s="3">
        <f>IF(A2654=A2655,N2654-N2655,0)</f>
        <v>0</v>
      </c>
      <c r="X2654" s="10">
        <f>IF(A2654=A2655,(N2654-N2655)/N2655,0)</f>
        <v>0</v>
      </c>
    </row>
    <row r="2655" spans="1:24" ht="16.5" customHeight="1">
      <c r="A2655" s="3" t="s">
        <v>53</v>
      </c>
      <c r="B2655" s="3">
        <f t="shared" si="80"/>
        <v>2014</v>
      </c>
      <c r="C2655" s="3">
        <f t="shared" si="81"/>
        <v>6</v>
      </c>
      <c r="D2655" s="20" t="str">
        <f t="shared" si="82"/>
        <v>BEN20146</v>
      </c>
      <c r="E2655" s="2">
        <v>41816</v>
      </c>
      <c r="F2655" s="3">
        <v>0.12</v>
      </c>
      <c r="H2655" s="3">
        <v>2.0999999999999999E-3</v>
      </c>
      <c r="I2655" s="3">
        <v>0</v>
      </c>
      <c r="J2655" s="3">
        <v>0</v>
      </c>
      <c r="K2655" s="3">
        <f t="shared" si="83"/>
        <v>2014</v>
      </c>
      <c r="L2655" s="3">
        <f t="shared" si="84"/>
        <v>0</v>
      </c>
      <c r="M2655" s="20" t="str">
        <f>A2655&amp;L2655</f>
        <v>BEN0</v>
      </c>
      <c r="N2655" s="3">
        <f>F2655</f>
        <v>0.12</v>
      </c>
      <c r="O2655" s="9">
        <f>H2655</f>
        <v>2.0999999999999999E-3</v>
      </c>
      <c r="P2655" s="10">
        <f t="shared" si="85"/>
        <v>0</v>
      </c>
      <c r="Q2655" s="10">
        <f>IF(K2655=0,IF(A2652=A2655,AVERAGE(O2652:O2655),"x"),0)</f>
        <v>0</v>
      </c>
      <c r="R2655" s="9">
        <f>IF(L2655&gt;2005,AVERAGE(O2652:O2671),0)</f>
        <v>0</v>
      </c>
      <c r="S2655" s="10">
        <f>IF(A2655=A2656,(N2655-N2656)/N2656,0)</f>
        <v>0</v>
      </c>
      <c r="T2655" s="10">
        <f>IF(L2655&gt;2005,(((N2655-N2675)/N2675)+1)^(1/5)-1,0)</f>
        <v>0</v>
      </c>
      <c r="U2655" s="10">
        <f t="shared" si="86"/>
        <v>0</v>
      </c>
      <c r="V2655" s="26">
        <f t="shared" si="87"/>
        <v>0</v>
      </c>
      <c r="W2655" s="3">
        <f>IF(A2655=A2656,N2655-N2656,0)</f>
        <v>0</v>
      </c>
      <c r="X2655" s="10">
        <f>IF(A2655=A2656,(N2655-N2656)/N2656,0)</f>
        <v>0</v>
      </c>
    </row>
    <row r="2656" spans="1:24" ht="16.5" customHeight="1">
      <c r="A2656" s="3" t="s">
        <v>53</v>
      </c>
      <c r="B2656" s="3">
        <f t="shared" si="80"/>
        <v>2014</v>
      </c>
      <c r="C2656" s="3">
        <f t="shared" si="81"/>
        <v>3</v>
      </c>
      <c r="D2656" s="20" t="str">
        <f t="shared" si="82"/>
        <v>BEN20143</v>
      </c>
      <c r="E2656" s="2">
        <v>41725</v>
      </c>
      <c r="F2656" s="3">
        <v>0.12</v>
      </c>
      <c r="H2656" s="3">
        <v>2.3E-3</v>
      </c>
      <c r="I2656" s="3">
        <v>0</v>
      </c>
      <c r="J2656" s="3">
        <v>0</v>
      </c>
      <c r="K2656" s="3">
        <f t="shared" si="83"/>
        <v>0</v>
      </c>
      <c r="L2656" s="3">
        <f t="shared" si="84"/>
        <v>2014</v>
      </c>
      <c r="M2656" s="20" t="str">
        <f>A2656&amp;L2656</f>
        <v>BEN2014</v>
      </c>
      <c r="N2656" s="3">
        <f>F2656</f>
        <v>0.12</v>
      </c>
      <c r="O2656" s="9">
        <f>H2656</f>
        <v>2.3E-3</v>
      </c>
      <c r="P2656" s="10">
        <f t="shared" si="85"/>
        <v>0</v>
      </c>
      <c r="Q2656" s="10">
        <f>IF(K2656=0,IF(A2653=A2656,AVERAGE(O2653:O2656),"x"),0)</f>
        <v>2.3749999999999999E-3</v>
      </c>
      <c r="R2656" s="9">
        <f>IF(L2656&gt;2005,AVERAGE(O2653:O2672),0)</f>
        <v>2.2200000000000002E-3</v>
      </c>
      <c r="S2656" s="10">
        <f>IF(A2656=A2657,(N2656-N2657)/N2657,0)</f>
        <v>0</v>
      </c>
      <c r="T2656" s="10">
        <f>IF(L2656&gt;2005,(((N2656-N2676)/N2676)+1)^(1/5)-1,0)</f>
        <v>0.11382417860287886</v>
      </c>
      <c r="U2656" s="10">
        <f t="shared" si="86"/>
        <v>0.11604417860287886</v>
      </c>
      <c r="V2656" s="26">
        <f t="shared" si="87"/>
        <v>4.9702414893522704</v>
      </c>
      <c r="W2656" s="3">
        <f>IF(A2656=A2657,N2656-N2657,0)</f>
        <v>0</v>
      </c>
      <c r="X2656" s="10">
        <f>IF(A2656=A2657,(N2656-N2657)/N2657,0)</f>
        <v>0</v>
      </c>
    </row>
    <row r="2657" spans="1:24" ht="16.5" customHeight="1">
      <c r="A2657" s="3" t="s">
        <v>53</v>
      </c>
      <c r="B2657" s="3">
        <f t="shared" si="80"/>
        <v>2013</v>
      </c>
      <c r="C2657" s="3">
        <f t="shared" si="81"/>
        <v>12</v>
      </c>
      <c r="D2657" s="20" t="str">
        <f t="shared" si="82"/>
        <v>BEN201312</v>
      </c>
      <c r="E2657" s="2">
        <v>41635</v>
      </c>
      <c r="F2657" s="3">
        <v>0.12</v>
      </c>
      <c r="H2657" s="3">
        <v>2.0999999999999999E-3</v>
      </c>
      <c r="I2657" s="3">
        <v>0.2</v>
      </c>
      <c r="J2657" s="3">
        <v>0.02</v>
      </c>
      <c r="K2657" s="3">
        <f t="shared" si="83"/>
        <v>2013</v>
      </c>
      <c r="L2657" s="3">
        <f t="shared" si="84"/>
        <v>0</v>
      </c>
      <c r="M2657" s="20" t="str">
        <f>A2657&amp;L2657</f>
        <v>BEN0</v>
      </c>
      <c r="N2657" s="3">
        <f>F2657</f>
        <v>0.12</v>
      </c>
      <c r="O2657" s="9">
        <f>H2657</f>
        <v>2.0999999999999999E-3</v>
      </c>
      <c r="P2657" s="10">
        <f t="shared" si="85"/>
        <v>2.0249999999999999E-3</v>
      </c>
      <c r="Q2657" s="10">
        <f>IF(K2657=0,IF(A2654=A2657,AVERAGE(O2654:O2657),"x"),0)</f>
        <v>0</v>
      </c>
      <c r="R2657" s="9">
        <f>IF(L2657&gt;2005,AVERAGE(O2654:O2673),0)</f>
        <v>0</v>
      </c>
      <c r="S2657" s="10">
        <f>IF(A2657=A2658,(N2657-N2658)/N2658,0)</f>
        <v>0.1999999999999999</v>
      </c>
      <c r="T2657" s="10">
        <f>IF(L2657&gt;2005,(((N2657-N2677)/N2677)+1)^(1/5)-1,0)</f>
        <v>0</v>
      </c>
      <c r="U2657" s="10">
        <f t="shared" si="86"/>
        <v>0</v>
      </c>
      <c r="V2657" s="26">
        <f t="shared" si="87"/>
        <v>0</v>
      </c>
      <c r="W2657" s="3">
        <f>IF(A2657=A2658,N2657-N2658,0)</f>
        <v>1.999999999999999E-2</v>
      </c>
      <c r="X2657" s="10">
        <f>IF(A2657=A2658,(N2657-N2658)/N2658,0)</f>
        <v>0.1999999999999999</v>
      </c>
    </row>
    <row r="2658" spans="1:24" ht="16.5" customHeight="1">
      <c r="A2658" s="3" t="s">
        <v>53</v>
      </c>
      <c r="B2658" s="3">
        <f t="shared" si="80"/>
        <v>2013</v>
      </c>
      <c r="C2658" s="3">
        <f t="shared" si="81"/>
        <v>9</v>
      </c>
      <c r="D2658" s="20" t="str">
        <f t="shared" si="82"/>
        <v>BEN20139</v>
      </c>
      <c r="E2658" s="2">
        <v>41543</v>
      </c>
      <c r="F2658" s="3">
        <v>0.1</v>
      </c>
      <c r="H2658" s="3">
        <v>2E-3</v>
      </c>
      <c r="I2658" s="3">
        <v>0</v>
      </c>
      <c r="J2658" s="3">
        <v>0</v>
      </c>
      <c r="K2658" s="3">
        <f t="shared" si="83"/>
        <v>2013</v>
      </c>
      <c r="L2658" s="3">
        <f t="shared" si="84"/>
        <v>0</v>
      </c>
      <c r="M2658" s="20" t="str">
        <f>A2658&amp;L2658</f>
        <v>BEN0</v>
      </c>
      <c r="N2658" s="3">
        <f>F2658</f>
        <v>0.1</v>
      </c>
      <c r="O2658" s="9">
        <f>H2658</f>
        <v>2E-3</v>
      </c>
      <c r="P2658" s="10">
        <f t="shared" si="85"/>
        <v>0</v>
      </c>
      <c r="Q2658" s="10">
        <f>IF(K2658=0,IF(A2655=A2658,AVERAGE(O2655:O2658),"x"),0)</f>
        <v>0</v>
      </c>
      <c r="R2658" s="9">
        <f>IF(L2658&gt;2005,AVERAGE(O2655:O2674),0)</f>
        <v>0</v>
      </c>
      <c r="S2658" s="10">
        <f>IF(A2658=A2659,(N2658-N2659)/N2659,0)</f>
        <v>0</v>
      </c>
      <c r="T2658" s="10">
        <f>IF(L2658&gt;2005,(((N2658-N2678)/N2678)+1)^(1/5)-1,0)</f>
        <v>0</v>
      </c>
      <c r="U2658" s="10">
        <f t="shared" si="86"/>
        <v>0</v>
      </c>
      <c r="V2658" s="26">
        <f t="shared" si="87"/>
        <v>0</v>
      </c>
      <c r="W2658" s="3">
        <f>IF(A2658=A2659,N2658-N2659,0)</f>
        <v>0</v>
      </c>
      <c r="X2658" s="10">
        <f>IF(A2658=A2659,(N2658-N2659)/N2659,0)</f>
        <v>0</v>
      </c>
    </row>
    <row r="2659" spans="1:24" ht="16.5" customHeight="1">
      <c r="A2659" s="3" t="s">
        <v>53</v>
      </c>
      <c r="B2659" s="3">
        <f t="shared" si="80"/>
        <v>2013</v>
      </c>
      <c r="C2659" s="3">
        <f t="shared" si="81"/>
        <v>6</v>
      </c>
      <c r="D2659" s="20" t="str">
        <f t="shared" si="82"/>
        <v>BEN20136</v>
      </c>
      <c r="E2659" s="2">
        <v>41445</v>
      </c>
      <c r="F2659" s="3">
        <v>0.1</v>
      </c>
      <c r="H2659" s="3">
        <v>2.0999999999999999E-3</v>
      </c>
      <c r="I2659" s="3">
        <v>0</v>
      </c>
      <c r="J2659" s="3">
        <v>0</v>
      </c>
      <c r="K2659" s="3">
        <f t="shared" si="83"/>
        <v>2013</v>
      </c>
      <c r="L2659" s="3">
        <f t="shared" si="84"/>
        <v>0</v>
      </c>
      <c r="M2659" s="20" t="str">
        <f>A2659&amp;L2659</f>
        <v>BEN0</v>
      </c>
      <c r="N2659" s="3">
        <f>F2659</f>
        <v>0.1</v>
      </c>
      <c r="O2659" s="9">
        <f>H2659</f>
        <v>2.0999999999999999E-3</v>
      </c>
      <c r="P2659" s="10">
        <f t="shared" si="85"/>
        <v>0</v>
      </c>
      <c r="Q2659" s="10">
        <f>IF(K2659=0,IF(A2656=A2659,AVERAGE(O2656:O2659),"x"),0)</f>
        <v>0</v>
      </c>
      <c r="R2659" s="9">
        <f>IF(L2659&gt;2005,AVERAGE(O2656:O2675),0)</f>
        <v>0</v>
      </c>
      <c r="S2659" s="10">
        <f>IF(A2659=A2660,(N2659-N2660)/N2660,0)</f>
        <v>0</v>
      </c>
      <c r="T2659" s="10">
        <f>IF(L2659&gt;2005,(((N2659-N2679)/N2679)+1)^(1/5)-1,0)</f>
        <v>0</v>
      </c>
      <c r="U2659" s="10">
        <f t="shared" si="86"/>
        <v>0</v>
      </c>
      <c r="V2659" s="26">
        <f t="shared" si="87"/>
        <v>0</v>
      </c>
      <c r="W2659" s="3">
        <f>IF(A2659=A2660,N2659-N2660,0)</f>
        <v>0</v>
      </c>
      <c r="X2659" s="10">
        <f>IF(A2659=A2660,(N2659-N2660)/N2660,0)</f>
        <v>0</v>
      </c>
    </row>
    <row r="2660" spans="1:24" ht="16.5" customHeight="1">
      <c r="A2660" s="3" t="s">
        <v>53</v>
      </c>
      <c r="B2660" s="3">
        <f t="shared" si="80"/>
        <v>2013</v>
      </c>
      <c r="C2660" s="3">
        <f t="shared" si="81"/>
        <v>3</v>
      </c>
      <c r="D2660" s="20" t="str">
        <f t="shared" si="82"/>
        <v>BEN20133</v>
      </c>
      <c r="E2660" s="2">
        <v>41359</v>
      </c>
      <c r="F2660" s="3">
        <v>0.1</v>
      </c>
      <c r="H2660" s="3">
        <v>1.9E-3</v>
      </c>
      <c r="I2660" s="3">
        <v>0</v>
      </c>
      <c r="J2660" s="3">
        <v>0</v>
      </c>
      <c r="K2660" s="3">
        <f t="shared" si="83"/>
        <v>0</v>
      </c>
      <c r="L2660" s="3">
        <f t="shared" si="84"/>
        <v>2013</v>
      </c>
      <c r="M2660" s="20" t="str">
        <f>A2660&amp;L2660</f>
        <v>BEN2013</v>
      </c>
      <c r="N2660" s="3">
        <f>F2660</f>
        <v>0.1</v>
      </c>
      <c r="O2660" s="9">
        <f>H2660</f>
        <v>1.9E-3</v>
      </c>
      <c r="P2660" s="10">
        <f t="shared" si="85"/>
        <v>0</v>
      </c>
      <c r="Q2660" s="10">
        <f>IF(K2660=0,IF(A2657=A2660,AVERAGE(O2657:O2660),"x"),0)</f>
        <v>2.0249999999999999E-3</v>
      </c>
      <c r="R2660" s="9">
        <f>IF(L2660&gt;2005,AVERAGE(O2657:O2676),0)</f>
        <v>2.3700000000000001E-3</v>
      </c>
      <c r="S2660" s="10">
        <f>IF(A2660=A2661,(N2660-N2661)/N2661,0)</f>
        <v>0</v>
      </c>
      <c r="T2660" s="10">
        <f>IF(L2660&gt;2005,(((N2660-N2680)/N2680)+1)^(1/5)-1,0)</f>
        <v>7.3940923785779322E-2</v>
      </c>
      <c r="U2660" s="10">
        <f t="shared" si="86"/>
        <v>7.6310923785779319E-2</v>
      </c>
      <c r="V2660" s="26">
        <f t="shared" si="87"/>
        <v>4.9670673239034464</v>
      </c>
      <c r="W2660" s="3">
        <f>IF(A2660=A2661,N2660-N2661,0)</f>
        <v>0</v>
      </c>
      <c r="X2660" s="10">
        <f>IF(A2660=A2661,(N2660-N2661)/N2661,0)</f>
        <v>0</v>
      </c>
    </row>
    <row r="2661" spans="1:24" ht="16.5" customHeight="1">
      <c r="A2661" s="3" t="s">
        <v>53</v>
      </c>
      <c r="B2661" s="3">
        <f t="shared" si="80"/>
        <v>2012</v>
      </c>
      <c r="C2661" s="3">
        <f t="shared" si="81"/>
        <v>12</v>
      </c>
      <c r="D2661" s="20" t="str">
        <f t="shared" si="82"/>
        <v>BEN201212</v>
      </c>
      <c r="E2661" s="2">
        <v>41255</v>
      </c>
      <c r="F2661" s="3">
        <v>0.1</v>
      </c>
      <c r="H2661" s="3">
        <v>2.3E-3</v>
      </c>
      <c r="I2661" s="3">
        <v>-0.9</v>
      </c>
      <c r="J2661" s="3">
        <v>-0.9</v>
      </c>
      <c r="K2661" s="3">
        <f t="shared" si="83"/>
        <v>2012</v>
      </c>
      <c r="L2661" s="3">
        <f t="shared" si="84"/>
        <v>0</v>
      </c>
      <c r="M2661" s="20" t="str">
        <f>A2661&amp;L2661</f>
        <v>BEN0</v>
      </c>
      <c r="N2661" s="3">
        <f>F2661</f>
        <v>0.1</v>
      </c>
      <c r="O2661" s="9">
        <f>H2661</f>
        <v>2.3E-3</v>
      </c>
      <c r="P2661" s="10">
        <f t="shared" si="85"/>
        <v>2.3250000000000002E-3</v>
      </c>
      <c r="Q2661" s="10">
        <f>IF(K2661=0,IF(A2658=A2661,AVERAGE(O2658:O2661),"x"),0)</f>
        <v>0</v>
      </c>
      <c r="R2661" s="9">
        <f>IF(L2661&gt;2005,AVERAGE(O2658:O2677),0)</f>
        <v>0</v>
      </c>
      <c r="S2661" s="10">
        <f>IF(A2661=A2662,(N2661-N2662)/N2662,0)</f>
        <v>0.11111111111111122</v>
      </c>
      <c r="T2661" s="10">
        <f>IF(L2661&gt;2005,(((N2661-N2681)/N2681)+1)^(1/5)-1,0)</f>
        <v>0</v>
      </c>
      <c r="U2661" s="10">
        <f t="shared" si="86"/>
        <v>0</v>
      </c>
      <c r="V2661" s="26">
        <f t="shared" si="87"/>
        <v>0</v>
      </c>
      <c r="W2661" s="3">
        <f>IF(A2661=A2662,N2661-N2662,0)</f>
        <v>1.0000000000000009E-2</v>
      </c>
      <c r="X2661" s="10">
        <f>IF(A2661=A2662,(N2661-N2662)/N2662,0)</f>
        <v>0.11111111111111122</v>
      </c>
    </row>
    <row r="2662" spans="1:24" ht="16.5" customHeight="1">
      <c r="A2662" s="3" t="s">
        <v>53</v>
      </c>
      <c r="B2662" s="3">
        <f t="shared" si="80"/>
        <v>2012</v>
      </c>
      <c r="C2662" s="3">
        <f t="shared" si="81"/>
        <v>9</v>
      </c>
      <c r="D2662" s="20" t="str">
        <f t="shared" si="82"/>
        <v>BEN20129</v>
      </c>
      <c r="E2662" s="2">
        <v>41178</v>
      </c>
      <c r="F2662" s="3">
        <v>0.09</v>
      </c>
      <c r="H2662" s="3">
        <v>2.2000000000000001E-3</v>
      </c>
      <c r="I2662" s="3">
        <v>0</v>
      </c>
      <c r="J2662" s="3">
        <v>0</v>
      </c>
      <c r="K2662" s="3">
        <f t="shared" si="83"/>
        <v>2012</v>
      </c>
      <c r="L2662" s="3">
        <f t="shared" si="84"/>
        <v>0</v>
      </c>
      <c r="M2662" s="20" t="str">
        <f>A2662&amp;L2662</f>
        <v>BEN0</v>
      </c>
      <c r="N2662" s="3">
        <f>F2662</f>
        <v>0.09</v>
      </c>
      <c r="O2662" s="9">
        <f>H2662</f>
        <v>2.2000000000000001E-3</v>
      </c>
      <c r="P2662" s="10">
        <f t="shared" si="85"/>
        <v>0</v>
      </c>
      <c r="Q2662" s="10">
        <f>IF(K2662=0,IF(A2659=A2662,AVERAGE(O2659:O2662),"x"),0)</f>
        <v>0</v>
      </c>
      <c r="R2662" s="9">
        <f>IF(L2662&gt;2005,AVERAGE(O2659:O2678),0)</f>
        <v>0</v>
      </c>
      <c r="S2662" s="10">
        <f>IF(A2662=A2663,(N2662-N2663)/N2663,0)</f>
        <v>0</v>
      </c>
      <c r="T2662" s="10">
        <f>IF(L2662&gt;2005,(((N2662-N2682)/N2682)+1)^(1/5)-1,0)</f>
        <v>0</v>
      </c>
      <c r="U2662" s="10">
        <f t="shared" si="86"/>
        <v>0</v>
      </c>
      <c r="V2662" s="26">
        <f t="shared" si="87"/>
        <v>0</v>
      </c>
      <c r="W2662" s="3">
        <f>IF(A2662=A2663,N2662-N2663,0)</f>
        <v>0</v>
      </c>
      <c r="X2662" s="10">
        <f>IF(A2662=A2663,(N2662-N2663)/N2663,0)</f>
        <v>0</v>
      </c>
    </row>
    <row r="2663" spans="1:24" ht="16.5" customHeight="1">
      <c r="A2663" s="3" t="s">
        <v>53</v>
      </c>
      <c r="B2663" s="3">
        <f t="shared" si="80"/>
        <v>2012</v>
      </c>
      <c r="C2663" s="3">
        <f t="shared" si="81"/>
        <v>6</v>
      </c>
      <c r="D2663" s="20" t="str">
        <f t="shared" si="82"/>
        <v>BEN20126</v>
      </c>
      <c r="E2663" s="2">
        <v>41087</v>
      </c>
      <c r="F2663" s="3">
        <v>0.09</v>
      </c>
      <c r="H2663" s="3">
        <v>2.5999999999999999E-3</v>
      </c>
      <c r="I2663" s="3">
        <v>0</v>
      </c>
      <c r="J2663" s="3">
        <v>0</v>
      </c>
      <c r="K2663" s="3">
        <f t="shared" si="83"/>
        <v>2012</v>
      </c>
      <c r="L2663" s="3">
        <f t="shared" si="84"/>
        <v>0</v>
      </c>
      <c r="M2663" s="20" t="str">
        <f>A2663&amp;L2663</f>
        <v>BEN0</v>
      </c>
      <c r="N2663" s="3">
        <f>F2663</f>
        <v>0.09</v>
      </c>
      <c r="O2663" s="9">
        <f>H2663</f>
        <v>2.5999999999999999E-3</v>
      </c>
      <c r="P2663" s="10">
        <f t="shared" si="85"/>
        <v>0</v>
      </c>
      <c r="Q2663" s="10">
        <f>IF(K2663=0,IF(A2660=A2663,AVERAGE(O2660:O2663),"x"),0)</f>
        <v>0</v>
      </c>
      <c r="R2663" s="9">
        <f>IF(L2663&gt;2005,AVERAGE(O2660:O2679),0)</f>
        <v>0</v>
      </c>
      <c r="S2663" s="10">
        <f>IF(A2663=A2664,(N2663-N2664)/N2664,0)</f>
        <v>0</v>
      </c>
      <c r="T2663" s="10">
        <f>IF(L2663&gt;2005,(((N2663-N2683)/N2683)+1)^(1/5)-1,0)</f>
        <v>0</v>
      </c>
      <c r="U2663" s="10">
        <f t="shared" si="86"/>
        <v>0</v>
      </c>
      <c r="V2663" s="26">
        <f t="shared" si="87"/>
        <v>0</v>
      </c>
      <c r="W2663" s="3">
        <f>IF(A2663=A2664,N2663-N2664,0)</f>
        <v>0</v>
      </c>
      <c r="X2663" s="10">
        <f>IF(A2663=A2664,(N2663-N2664)/N2664,0)</f>
        <v>0</v>
      </c>
    </row>
    <row r="2664" spans="1:24" ht="16.5" customHeight="1">
      <c r="A2664" s="3" t="s">
        <v>53</v>
      </c>
      <c r="B2664" s="3">
        <f t="shared" si="80"/>
        <v>2012</v>
      </c>
      <c r="C2664" s="3">
        <f t="shared" si="81"/>
        <v>3</v>
      </c>
      <c r="D2664" s="20" t="str">
        <f t="shared" si="82"/>
        <v>BEN20123</v>
      </c>
      <c r="E2664" s="2">
        <v>40996</v>
      </c>
      <c r="F2664" s="3">
        <v>0.09</v>
      </c>
      <c r="H2664" s="3">
        <v>2.2000000000000001E-3</v>
      </c>
      <c r="I2664" s="3">
        <v>-0.88157894699999995</v>
      </c>
      <c r="J2664" s="3">
        <v>-0.67</v>
      </c>
      <c r="K2664" s="3">
        <f t="shared" si="83"/>
        <v>0</v>
      </c>
      <c r="L2664" s="3">
        <f t="shared" si="84"/>
        <v>2012</v>
      </c>
      <c r="M2664" s="20" t="str">
        <f>A2664&amp;L2664</f>
        <v>BEN2012</v>
      </c>
      <c r="N2664" s="3">
        <f>F2664</f>
        <v>0.09</v>
      </c>
      <c r="O2664" s="9">
        <f>H2664</f>
        <v>2.2000000000000001E-3</v>
      </c>
      <c r="P2664" s="10">
        <f t="shared" si="85"/>
        <v>2.225E-3</v>
      </c>
      <c r="Q2664" s="10">
        <f>IF(K2664=0,IF(A2661=A2664,AVERAGE(O2661:O2664),"x"),0)</f>
        <v>2.3250000000000002E-3</v>
      </c>
      <c r="R2664" s="9">
        <f>IF(L2664&gt;2005,AVERAGE(O2661:O2680),0)</f>
        <v>2.3699999999999997E-3</v>
      </c>
      <c r="S2664" s="10">
        <f>IF(A2664=A2665,(N2664-N2665)/N2665,0)</f>
        <v>0.12499999999999993</v>
      </c>
      <c r="T2664" s="10">
        <f>IF(L2664&gt;2005,(((N2664-N2684)/N2684)+1)^(1/5)-1,0)</f>
        <v>0.12474611314209483</v>
      </c>
      <c r="U2664" s="10">
        <f t="shared" si="86"/>
        <v>0.12711611314209484</v>
      </c>
      <c r="V2664" s="26">
        <f t="shared" si="87"/>
        <v>4.9685476162475988</v>
      </c>
      <c r="W2664" s="3">
        <f>IF(A2664=A2665,N2664-N2665,0)</f>
        <v>9.999999999999995E-3</v>
      </c>
      <c r="X2664" s="10">
        <f>IF(A2664=A2665,(N2664-N2665)/N2665,0)</f>
        <v>0.12499999999999993</v>
      </c>
    </row>
    <row r="2665" spans="1:24" ht="16.5" customHeight="1">
      <c r="A2665" s="3" t="s">
        <v>53</v>
      </c>
      <c r="B2665" s="3">
        <f t="shared" si="80"/>
        <v>2011</v>
      </c>
      <c r="C2665" s="3">
        <f t="shared" si="81"/>
        <v>9</v>
      </c>
      <c r="D2665" s="20" t="str">
        <f t="shared" si="82"/>
        <v>BEN20119</v>
      </c>
      <c r="E2665" s="2">
        <v>40814</v>
      </c>
      <c r="F2665" s="3">
        <v>0.08</v>
      </c>
      <c r="H2665" s="3">
        <v>2.5999999999999999E-3</v>
      </c>
      <c r="I2665" s="3">
        <v>0</v>
      </c>
      <c r="J2665" s="3">
        <v>0</v>
      </c>
      <c r="K2665" s="3">
        <f t="shared" si="83"/>
        <v>2011</v>
      </c>
      <c r="L2665" s="3">
        <f t="shared" si="84"/>
        <v>0</v>
      </c>
      <c r="M2665" s="20" t="str">
        <f>A2665&amp;L2665</f>
        <v>BEN0</v>
      </c>
      <c r="N2665" s="3">
        <f>F2665</f>
        <v>0.08</v>
      </c>
      <c r="O2665" s="9">
        <f>H2665</f>
        <v>2.5999999999999999E-3</v>
      </c>
      <c r="P2665" s="10">
        <f t="shared" si="85"/>
        <v>0</v>
      </c>
      <c r="Q2665" s="10">
        <f>IF(K2665=0,IF(A2662=A2665,AVERAGE(O2662:O2665),"x"),0)</f>
        <v>0</v>
      </c>
      <c r="R2665" s="9">
        <f>IF(L2665&gt;2005,AVERAGE(O2662:O2681),0)</f>
        <v>0</v>
      </c>
      <c r="S2665" s="10">
        <f>IF(A2665=A2666,(N2665-N2666)/N2666,0)</f>
        <v>0</v>
      </c>
      <c r="T2665" s="10">
        <f>IF(L2665&gt;2005,(((N2665-N2685)/N2685)+1)^(1/5)-1,0)</f>
        <v>0</v>
      </c>
      <c r="U2665" s="10">
        <f t="shared" si="86"/>
        <v>0</v>
      </c>
      <c r="V2665" s="26">
        <f t="shared" si="87"/>
        <v>0</v>
      </c>
      <c r="W2665" s="3">
        <f>IF(A2665=A2666,N2665-N2666,0)</f>
        <v>0</v>
      </c>
      <c r="X2665" s="10">
        <f>IF(A2665=A2666,(N2665-N2666)/N2666,0)</f>
        <v>0</v>
      </c>
    </row>
    <row r="2666" spans="1:24" ht="16.5" customHeight="1">
      <c r="A2666" s="3" t="s">
        <v>53</v>
      </c>
      <c r="B2666" s="3">
        <f t="shared" si="80"/>
        <v>2011</v>
      </c>
      <c r="C2666" s="3">
        <f t="shared" si="81"/>
        <v>6</v>
      </c>
      <c r="D2666" s="20" t="str">
        <f t="shared" si="82"/>
        <v>BEN20116</v>
      </c>
      <c r="E2666" s="2">
        <v>40722</v>
      </c>
      <c r="F2666" s="3">
        <v>0.08</v>
      </c>
      <c r="H2666" s="3">
        <v>2E-3</v>
      </c>
      <c r="I2666" s="3">
        <v>0</v>
      </c>
      <c r="J2666" s="3">
        <v>0</v>
      </c>
      <c r="K2666" s="3">
        <f t="shared" si="83"/>
        <v>2011</v>
      </c>
      <c r="L2666" s="3">
        <f t="shared" si="84"/>
        <v>0</v>
      </c>
      <c r="M2666" s="20" t="str">
        <f>A2666&amp;L2666</f>
        <v>BEN0</v>
      </c>
      <c r="N2666" s="3">
        <f>F2666</f>
        <v>0.08</v>
      </c>
      <c r="O2666" s="9">
        <f>H2666</f>
        <v>2E-3</v>
      </c>
      <c r="P2666" s="10">
        <f t="shared" si="85"/>
        <v>0</v>
      </c>
      <c r="Q2666" s="10">
        <f>IF(K2666=0,IF(A2663=A2666,AVERAGE(O2663:O2666),"x"),0)</f>
        <v>0</v>
      </c>
      <c r="R2666" s="9">
        <f>IF(L2666&gt;2005,AVERAGE(O2663:O2682),0)</f>
        <v>0</v>
      </c>
      <c r="S2666" s="10">
        <f>IF(A2666=A2667,(N2666-N2667)/N2667,0)</f>
        <v>0</v>
      </c>
      <c r="T2666" s="10">
        <f>IF(L2666&gt;2005,(((N2666-N2686)/N2686)+1)^(1/5)-1,0)</f>
        <v>0</v>
      </c>
      <c r="U2666" s="10">
        <f t="shared" si="86"/>
        <v>0</v>
      </c>
      <c r="V2666" s="26">
        <f t="shared" si="87"/>
        <v>0</v>
      </c>
      <c r="W2666" s="3">
        <f>IF(A2666=A2667,N2666-N2667,0)</f>
        <v>0</v>
      </c>
      <c r="X2666" s="10">
        <f>IF(A2666=A2667,(N2666-N2667)/N2667,0)</f>
        <v>0</v>
      </c>
    </row>
    <row r="2667" spans="1:24" ht="16.5" customHeight="1">
      <c r="A2667" s="3" t="s">
        <v>53</v>
      </c>
      <c r="B2667" s="3">
        <f t="shared" si="80"/>
        <v>2011</v>
      </c>
      <c r="C2667" s="3">
        <f t="shared" si="81"/>
        <v>3</v>
      </c>
      <c r="D2667" s="20" t="str">
        <f t="shared" si="82"/>
        <v>BEN20113</v>
      </c>
      <c r="E2667" s="2">
        <v>40631</v>
      </c>
      <c r="F2667" s="3">
        <v>0.08</v>
      </c>
      <c r="H2667" s="3">
        <v>2.0999999999999999E-3</v>
      </c>
      <c r="I2667" s="3">
        <v>0</v>
      </c>
      <c r="J2667" s="3">
        <v>0</v>
      </c>
      <c r="K2667" s="3">
        <f t="shared" si="83"/>
        <v>0</v>
      </c>
      <c r="L2667" s="3">
        <f t="shared" si="84"/>
        <v>2011</v>
      </c>
      <c r="M2667" s="20" t="str">
        <f>A2667&amp;L2667</f>
        <v>BEN2011</v>
      </c>
      <c r="N2667" s="3">
        <f>F2667</f>
        <v>0.08</v>
      </c>
      <c r="O2667" s="9">
        <f>H2667</f>
        <v>2.0999999999999999E-3</v>
      </c>
      <c r="P2667" s="10">
        <f t="shared" si="85"/>
        <v>0</v>
      </c>
      <c r="Q2667" s="10">
        <f>IF(K2667=0,IF(A2664=A2667,AVERAGE(O2664:O2667),"x"),0)</f>
        <v>2.225E-3</v>
      </c>
      <c r="R2667" s="9">
        <f>IF(L2667&gt;2005,AVERAGE(O2664:O2683),0)</f>
        <v>2.1900000000000001E-3</v>
      </c>
      <c r="S2667" s="10">
        <f>IF(A2667=A2668,(N2667-N2668)/N2668,0)</f>
        <v>0</v>
      </c>
      <c r="T2667" s="10">
        <f>IF(L2667&gt;2005,(((N2667-N2687)/N2687)+1)^(1/5)-1,0)</f>
        <v>0.1486983549970351</v>
      </c>
      <c r="U2667" s="10">
        <f t="shared" si="86"/>
        <v>0.1508883549970351</v>
      </c>
      <c r="V2667" s="26">
        <f t="shared" si="87"/>
        <v>4.971529147319993</v>
      </c>
      <c r="W2667" s="3">
        <f>IF(A2667=A2668,N2667-N2668,0)</f>
        <v>0</v>
      </c>
      <c r="X2667" s="10">
        <f>IF(A2667=A2668,(N2667-N2668)/N2668,0)</f>
        <v>0</v>
      </c>
    </row>
    <row r="2668" spans="1:24" ht="16.5" customHeight="1">
      <c r="A2668" s="3" t="s">
        <v>53</v>
      </c>
      <c r="B2668" s="3">
        <f t="shared" si="80"/>
        <v>2010</v>
      </c>
      <c r="C2668" s="3">
        <f t="shared" si="81"/>
        <v>12</v>
      </c>
      <c r="D2668" s="20" t="str">
        <f t="shared" si="82"/>
        <v>BEN201012</v>
      </c>
      <c r="E2668" s="2">
        <v>40541</v>
      </c>
      <c r="F2668" s="3">
        <v>0.08</v>
      </c>
      <c r="H2668" s="3">
        <v>2.3E-3</v>
      </c>
      <c r="I2668" s="3">
        <v>0.14285714299999999</v>
      </c>
      <c r="J2668" s="3">
        <v>0.01</v>
      </c>
      <c r="K2668" s="3">
        <f t="shared" si="83"/>
        <v>2010</v>
      </c>
      <c r="L2668" s="3">
        <f t="shared" si="84"/>
        <v>0</v>
      </c>
      <c r="M2668" s="20" t="str">
        <f>A2668&amp;L2668</f>
        <v>BEN0</v>
      </c>
      <c r="N2668" s="3">
        <f>F2668</f>
        <v>0.08</v>
      </c>
      <c r="O2668" s="9">
        <f>H2668</f>
        <v>2.3E-3</v>
      </c>
      <c r="P2668" s="10">
        <f t="shared" si="85"/>
        <v>2.1749999999999999E-3</v>
      </c>
      <c r="Q2668" s="10">
        <f>IF(K2668=0,IF(A2665=A2668,AVERAGE(O2665:O2668),"x"),0)</f>
        <v>0</v>
      </c>
      <c r="R2668" s="9">
        <f>IF(L2668&gt;2005,AVERAGE(O2665:O2684),0)</f>
        <v>0</v>
      </c>
      <c r="S2668" s="10">
        <f>IF(A2668=A2669,(N2668-N2669)/N2669,0)</f>
        <v>0.14285714285714277</v>
      </c>
      <c r="T2668" s="10">
        <f>IF(L2668&gt;2005,(((N2668-N2688)/N2688)+1)^(1/5)-1,0)</f>
        <v>0</v>
      </c>
      <c r="U2668" s="10">
        <f t="shared" si="86"/>
        <v>0</v>
      </c>
      <c r="V2668" s="26">
        <f t="shared" si="87"/>
        <v>0</v>
      </c>
      <c r="W2668" s="3">
        <f>IF(A2668=A2669,N2668-N2669,0)</f>
        <v>9.999999999999995E-3</v>
      </c>
      <c r="X2668" s="10">
        <f>IF(A2668=A2669,(N2668-N2669)/N2669,0)</f>
        <v>0.14285714285714277</v>
      </c>
    </row>
    <row r="2669" spans="1:24" ht="16.5" customHeight="1">
      <c r="A2669" s="3" t="s">
        <v>53</v>
      </c>
      <c r="B2669" s="3">
        <f t="shared" si="80"/>
        <v>2010</v>
      </c>
      <c r="C2669" s="3">
        <f t="shared" si="81"/>
        <v>9</v>
      </c>
      <c r="D2669" s="20" t="str">
        <f t="shared" si="82"/>
        <v>BEN20109</v>
      </c>
      <c r="E2669" s="2">
        <v>40449</v>
      </c>
      <c r="F2669" s="3">
        <v>7.0000000000000007E-2</v>
      </c>
      <c r="H2669" s="3">
        <v>2E-3</v>
      </c>
      <c r="I2669" s="3">
        <v>0</v>
      </c>
      <c r="J2669" s="3">
        <v>0</v>
      </c>
      <c r="K2669" s="3">
        <f t="shared" si="83"/>
        <v>2010</v>
      </c>
      <c r="L2669" s="3">
        <f t="shared" si="84"/>
        <v>0</v>
      </c>
      <c r="M2669" s="20" t="str">
        <f>A2669&amp;L2669</f>
        <v>BEN0</v>
      </c>
      <c r="N2669" s="3">
        <f>F2669</f>
        <v>7.0000000000000007E-2</v>
      </c>
      <c r="O2669" s="9">
        <f>H2669</f>
        <v>2E-3</v>
      </c>
      <c r="P2669" s="10">
        <f t="shared" si="85"/>
        <v>0</v>
      </c>
      <c r="Q2669" s="10">
        <f>IF(K2669=0,IF(A2666=A2669,AVERAGE(O2666:O2669),"x"),0)</f>
        <v>0</v>
      </c>
      <c r="R2669" s="9">
        <f>IF(L2669&gt;2005,AVERAGE(O2666:O2685),0)</f>
        <v>0</v>
      </c>
      <c r="S2669" s="10">
        <f>IF(A2669=A2670,(N2669-N2670)/N2670,0)</f>
        <v>0</v>
      </c>
      <c r="T2669" s="10">
        <f>IF(L2669&gt;2005,(((N2669-N2689)/N2689)+1)^(1/5)-1,0)</f>
        <v>0</v>
      </c>
      <c r="U2669" s="10">
        <f t="shared" si="86"/>
        <v>0</v>
      </c>
      <c r="V2669" s="26">
        <f t="shared" si="87"/>
        <v>0</v>
      </c>
      <c r="W2669" s="3">
        <f>IF(A2669=A2670,N2669-N2670,0)</f>
        <v>0</v>
      </c>
      <c r="X2669" s="10">
        <f>IF(A2669=A2670,(N2669-N2670)/N2670,0)</f>
        <v>0</v>
      </c>
    </row>
    <row r="2670" spans="1:24" ht="16.5" customHeight="1">
      <c r="A2670" s="3" t="s">
        <v>53</v>
      </c>
      <c r="B2670" s="3">
        <f t="shared" si="80"/>
        <v>2010</v>
      </c>
      <c r="C2670" s="3">
        <f t="shared" si="81"/>
        <v>6</v>
      </c>
      <c r="D2670" s="20" t="str">
        <f t="shared" si="82"/>
        <v>BEN20106</v>
      </c>
      <c r="E2670" s="2">
        <v>40357</v>
      </c>
      <c r="F2670" s="3">
        <v>7.0000000000000007E-2</v>
      </c>
      <c r="H2670" s="3">
        <v>2.3999999999999998E-3</v>
      </c>
      <c r="I2670" s="3">
        <v>0</v>
      </c>
      <c r="J2670" s="3">
        <v>0</v>
      </c>
      <c r="K2670" s="3">
        <f t="shared" si="83"/>
        <v>2010</v>
      </c>
      <c r="L2670" s="3">
        <f t="shared" si="84"/>
        <v>0</v>
      </c>
      <c r="M2670" s="20" t="str">
        <f>A2670&amp;L2670</f>
        <v>BEN0</v>
      </c>
      <c r="N2670" s="3">
        <f>F2670</f>
        <v>7.0000000000000007E-2</v>
      </c>
      <c r="O2670" s="9">
        <f>H2670</f>
        <v>2.3999999999999998E-3</v>
      </c>
      <c r="P2670" s="10">
        <f t="shared" si="85"/>
        <v>0</v>
      </c>
      <c r="Q2670" s="10">
        <f>IF(K2670=0,IF(A2667=A2670,AVERAGE(O2667:O2670),"x"),0)</f>
        <v>0</v>
      </c>
      <c r="R2670" s="9">
        <f>IF(L2670&gt;2005,AVERAGE(O2667:O2686),0)</f>
        <v>0</v>
      </c>
      <c r="S2670" s="10">
        <f>IF(A2670=A2671,(N2670-N2671)/N2671,0)</f>
        <v>0</v>
      </c>
      <c r="T2670" s="10">
        <f>IF(L2670&gt;2005,(((N2670-N2690)/N2690)+1)^(1/5)-1,0)</f>
        <v>0</v>
      </c>
      <c r="U2670" s="10">
        <f t="shared" si="86"/>
        <v>0</v>
      </c>
      <c r="V2670" s="26">
        <f t="shared" si="87"/>
        <v>0</v>
      </c>
      <c r="W2670" s="3">
        <f>IF(A2670=A2671,N2670-N2671,0)</f>
        <v>0</v>
      </c>
      <c r="X2670" s="10">
        <f>IF(A2670=A2671,(N2670-N2671)/N2671,0)</f>
        <v>0</v>
      </c>
    </row>
    <row r="2671" spans="1:24" ht="16.5" customHeight="1">
      <c r="A2671" s="3" t="s">
        <v>53</v>
      </c>
      <c r="B2671" s="3">
        <f t="shared" si="80"/>
        <v>2010</v>
      </c>
      <c r="C2671" s="3">
        <f t="shared" si="81"/>
        <v>3</v>
      </c>
      <c r="D2671" s="20" t="str">
        <f t="shared" si="82"/>
        <v>BEN20103</v>
      </c>
      <c r="E2671" s="2">
        <v>40266</v>
      </c>
      <c r="F2671" s="3">
        <v>7.0000000000000007E-2</v>
      </c>
      <c r="H2671" s="3">
        <v>2E-3</v>
      </c>
      <c r="I2671" s="3">
        <v>0</v>
      </c>
      <c r="J2671" s="3">
        <v>0</v>
      </c>
      <c r="K2671" s="3">
        <f t="shared" si="83"/>
        <v>0</v>
      </c>
      <c r="L2671" s="3">
        <f t="shared" si="84"/>
        <v>2010</v>
      </c>
      <c r="M2671" s="20" t="str">
        <f>A2671&amp;L2671</f>
        <v>BEN2010</v>
      </c>
      <c r="N2671" s="3">
        <f>F2671</f>
        <v>7.0000000000000007E-2</v>
      </c>
      <c r="O2671" s="9">
        <f>H2671</f>
        <v>2E-3</v>
      </c>
      <c r="P2671" s="10">
        <f t="shared" si="85"/>
        <v>0</v>
      </c>
      <c r="Q2671" s="10">
        <f>IF(K2671=0,IF(A2668=A2671,AVERAGE(O2668:O2671),"x"),0)</f>
        <v>2.1749999999999999E-3</v>
      </c>
      <c r="R2671" s="9">
        <f>IF(L2671&gt;2005,AVERAGE(O2668:O2687),0)</f>
        <v>2.0049999999999994E-3</v>
      </c>
      <c r="S2671" s="10">
        <f>IF(A2671=A2672,(N2671-N2672)/N2672,0)</f>
        <v>0</v>
      </c>
      <c r="T2671" s="10">
        <f>IF(L2671&gt;2005,(((N2671-N2691)/N2691)+1)^(1/5)-1,0)</f>
        <v>0.18466445254224406</v>
      </c>
      <c r="U2671" s="10">
        <f t="shared" si="86"/>
        <v>0.18666945254224407</v>
      </c>
      <c r="V2671" s="26">
        <f t="shared" si="87"/>
        <v>4.9747129812238375</v>
      </c>
      <c r="W2671" s="3">
        <f>IF(A2671=A2672,N2671-N2672,0)</f>
        <v>0</v>
      </c>
      <c r="X2671" s="10">
        <f>IF(A2671=A2672,(N2671-N2672)/N2672,0)</f>
        <v>0</v>
      </c>
    </row>
    <row r="2672" spans="1:24" ht="16.5" customHeight="1">
      <c r="A2672" s="3" t="s">
        <v>53</v>
      </c>
      <c r="B2672" s="3">
        <f t="shared" si="80"/>
        <v>2009</v>
      </c>
      <c r="C2672" s="3">
        <f t="shared" si="81"/>
        <v>12</v>
      </c>
      <c r="D2672" s="20" t="str">
        <f t="shared" si="82"/>
        <v>BEN200912</v>
      </c>
      <c r="E2672" s="2">
        <v>40176</v>
      </c>
      <c r="F2672" s="3">
        <v>7.0000000000000007E-2</v>
      </c>
      <c r="H2672" s="3">
        <v>2.0999999999999999E-3</v>
      </c>
      <c r="I2672" s="3">
        <v>-0.93</v>
      </c>
      <c r="J2672" s="3">
        <v>-0.93</v>
      </c>
      <c r="K2672" s="3">
        <f t="shared" si="83"/>
        <v>2009</v>
      </c>
      <c r="L2672" s="3">
        <f t="shared" si="84"/>
        <v>0</v>
      </c>
      <c r="M2672" s="20" t="str">
        <f>A2672&amp;L2672</f>
        <v>BEN0</v>
      </c>
      <c r="N2672" s="3">
        <f>F2672</f>
        <v>7.0000000000000007E-2</v>
      </c>
      <c r="O2672" s="9">
        <f>H2672</f>
        <v>2.0999999999999999E-3</v>
      </c>
      <c r="P2672" s="10">
        <f t="shared" si="85"/>
        <v>0</v>
      </c>
      <c r="Q2672" s="10">
        <f>IF(K2672=0,IF(A2669=A2672,AVERAGE(O2669:O2672),"x"),0)</f>
        <v>0</v>
      </c>
      <c r="R2672" s="9">
        <f>IF(L2672&gt;2005,AVERAGE(O2669:O2688),0)</f>
        <v>0</v>
      </c>
      <c r="S2672" s="10">
        <f>IF(A2672=A2673,(N2672-N2673)/N2673,0)</f>
        <v>0</v>
      </c>
      <c r="T2672" s="10">
        <f>IF(L2672&gt;2005,(((N2672-N2692)/N2692)+1)^(1/5)-1,0)</f>
        <v>0</v>
      </c>
      <c r="U2672" s="10">
        <f t="shared" si="86"/>
        <v>0</v>
      </c>
      <c r="V2672" s="26">
        <f t="shared" si="87"/>
        <v>0</v>
      </c>
      <c r="W2672" s="3">
        <f>IF(A2672=A2673,N2672-N2673,0)</f>
        <v>0</v>
      </c>
      <c r="X2672" s="10">
        <f>IF(A2672=A2673,(N2672-N2673)/N2673,0)</f>
        <v>0</v>
      </c>
    </row>
    <row r="2673" spans="1:24" ht="16.5" customHeight="1">
      <c r="A2673" s="3" t="s">
        <v>53</v>
      </c>
      <c r="B2673" s="3">
        <f t="shared" si="80"/>
        <v>2009</v>
      </c>
      <c r="C2673" s="3">
        <f t="shared" si="81"/>
        <v>10</v>
      </c>
      <c r="D2673" s="20" t="str">
        <f t="shared" si="82"/>
        <v>BEN200910</v>
      </c>
      <c r="E2673" s="2">
        <v>40087</v>
      </c>
      <c r="F2673" s="3">
        <v>7.0000000000000007E-2</v>
      </c>
      <c r="H2673" s="3">
        <v>2.2000000000000001E-3</v>
      </c>
      <c r="I2673" s="3">
        <v>0</v>
      </c>
      <c r="J2673" s="3">
        <v>0</v>
      </c>
      <c r="K2673" s="3">
        <f t="shared" si="83"/>
        <v>2009</v>
      </c>
      <c r="L2673" s="3">
        <f t="shared" si="84"/>
        <v>0</v>
      </c>
      <c r="M2673" s="20" t="str">
        <f>A2673&amp;L2673</f>
        <v>BEN0</v>
      </c>
      <c r="N2673" s="3">
        <f>F2673</f>
        <v>7.0000000000000007E-2</v>
      </c>
      <c r="O2673" s="9">
        <f>H2673</f>
        <v>2.2000000000000001E-3</v>
      </c>
      <c r="P2673" s="10">
        <f t="shared" si="85"/>
        <v>0</v>
      </c>
      <c r="Q2673" s="10">
        <f>IF(K2673=0,IF(A2670=A2673,AVERAGE(O2670:O2673),"x"),0)</f>
        <v>0</v>
      </c>
      <c r="R2673" s="9">
        <f>IF(L2673&gt;2005,AVERAGE(O2670:O2689),0)</f>
        <v>0</v>
      </c>
      <c r="S2673" s="10">
        <f>IF(A2673=A2674,(N2673-N2674)/N2674,0)</f>
        <v>0</v>
      </c>
      <c r="T2673" s="10">
        <f>IF(L2673&gt;2005,(((N2673-N2693)/N2693)+1)^(1/5)-1,0)</f>
        <v>0</v>
      </c>
      <c r="U2673" s="10">
        <f t="shared" si="86"/>
        <v>0</v>
      </c>
      <c r="V2673" s="26">
        <f t="shared" si="87"/>
        <v>0</v>
      </c>
      <c r="W2673" s="3">
        <f>IF(A2673=A2674,N2673-N2674,0)</f>
        <v>0</v>
      </c>
      <c r="X2673" s="10">
        <f>IF(A2673=A2674,(N2673-N2674)/N2674,0)</f>
        <v>0</v>
      </c>
    </row>
    <row r="2674" spans="1:24" ht="16.5" customHeight="1">
      <c r="A2674" s="3" t="s">
        <v>53</v>
      </c>
      <c r="B2674" s="3">
        <f t="shared" si="80"/>
        <v>2009</v>
      </c>
      <c r="C2674" s="3">
        <f t="shared" si="81"/>
        <v>6</v>
      </c>
      <c r="D2674" s="20" t="str">
        <f t="shared" si="82"/>
        <v>BEN20096</v>
      </c>
      <c r="E2674" s="2">
        <v>39990</v>
      </c>
      <c r="F2674" s="3">
        <v>7.0000000000000007E-2</v>
      </c>
      <c r="H2674" s="3">
        <v>2.8999999999999998E-3</v>
      </c>
      <c r="I2674" s="3">
        <v>0</v>
      </c>
      <c r="J2674" s="3">
        <v>0</v>
      </c>
      <c r="K2674" s="3">
        <f t="shared" si="83"/>
        <v>2009</v>
      </c>
      <c r="L2674" s="3">
        <f t="shared" si="84"/>
        <v>0</v>
      </c>
      <c r="M2674" s="20" t="str">
        <f>A2674&amp;L2674</f>
        <v>BEN0</v>
      </c>
      <c r="N2674" s="3">
        <f>F2674</f>
        <v>7.0000000000000007E-2</v>
      </c>
      <c r="O2674" s="9">
        <f>H2674</f>
        <v>2.8999999999999998E-3</v>
      </c>
      <c r="P2674" s="10">
        <f t="shared" si="85"/>
        <v>0</v>
      </c>
      <c r="Q2674" s="10">
        <f>IF(K2674=0,IF(A2671=A2674,AVERAGE(O2671:O2674),"x"),0)</f>
        <v>0</v>
      </c>
      <c r="R2674" s="9">
        <f>IF(L2674&gt;2005,AVERAGE(O2671:O2690),0)</f>
        <v>0</v>
      </c>
      <c r="S2674" s="10">
        <f>IF(A2674=A2675,(N2674-N2675)/N2675,0)</f>
        <v>0</v>
      </c>
      <c r="T2674" s="10">
        <f>IF(L2674&gt;2005,(((N2674-N2694)/N2694)+1)^(1/5)-1,0)</f>
        <v>0</v>
      </c>
      <c r="U2674" s="10">
        <f t="shared" si="86"/>
        <v>0</v>
      </c>
      <c r="V2674" s="26">
        <f t="shared" si="87"/>
        <v>0</v>
      </c>
      <c r="W2674" s="3">
        <f>IF(A2674=A2675,N2674-N2675,0)</f>
        <v>0</v>
      </c>
      <c r="X2674" s="10">
        <f>IF(A2674=A2675,(N2674-N2675)/N2675,0)</f>
        <v>0</v>
      </c>
    </row>
    <row r="2675" spans="1:24" ht="16.5" customHeight="1">
      <c r="A2675" s="3" t="s">
        <v>53</v>
      </c>
      <c r="B2675" s="3">
        <f t="shared" si="80"/>
        <v>2009</v>
      </c>
      <c r="C2675" s="3">
        <f t="shared" si="81"/>
        <v>3</v>
      </c>
      <c r="D2675" s="20" t="str">
        <f t="shared" si="82"/>
        <v>BEN20093</v>
      </c>
      <c r="E2675" s="2">
        <v>39899</v>
      </c>
      <c r="F2675" s="3">
        <v>7.0000000000000007E-2</v>
      </c>
      <c r="H2675" s="3">
        <v>3.8999999999999998E-3</v>
      </c>
      <c r="I2675" s="3">
        <v>0</v>
      </c>
      <c r="J2675" s="3">
        <v>0</v>
      </c>
      <c r="K2675" s="3">
        <f t="shared" si="83"/>
        <v>0</v>
      </c>
      <c r="L2675" s="3">
        <f t="shared" si="84"/>
        <v>2009</v>
      </c>
      <c r="M2675" s="20" t="str">
        <f>A2675&amp;L2675</f>
        <v>BEN2009</v>
      </c>
      <c r="N2675" s="3">
        <f>F2675</f>
        <v>7.0000000000000007E-2</v>
      </c>
      <c r="O2675" s="9">
        <f>H2675</f>
        <v>3.8999999999999998E-3</v>
      </c>
      <c r="P2675" s="10">
        <f t="shared" si="85"/>
        <v>0</v>
      </c>
      <c r="Q2675" s="10">
        <f>IF(K2675=0,IF(A2672=A2675,AVERAGE(O2672:O2675),"x"),0)</f>
        <v>2.7749999999999997E-3</v>
      </c>
      <c r="R2675" s="9">
        <f>IF(L2675&gt;2005,AVERAGE(O2672:O2691),0)</f>
        <v>1.83E-3</v>
      </c>
      <c r="S2675" s="10">
        <f>IF(A2675=A2676,(N2675-N2676)/N2676,0)</f>
        <v>0</v>
      </c>
      <c r="T2675" s="10">
        <f>IF(L2675&gt;2005,(((N2675-N2695)/N2695)+1)^(1/5)-1,0)</f>
        <v>0.18466445254224406</v>
      </c>
      <c r="U2675" s="10">
        <f t="shared" si="86"/>
        <v>0.18649445254224406</v>
      </c>
      <c r="V2675" s="26">
        <f t="shared" si="87"/>
        <v>4.9769121424262295</v>
      </c>
      <c r="W2675" s="3">
        <f>IF(A2675=A2676,N2675-N2676,0)</f>
        <v>0</v>
      </c>
      <c r="X2675" s="10">
        <f>IF(A2675=A2676,(N2675-N2676)/N2676,0)</f>
        <v>0</v>
      </c>
    </row>
    <row r="2676" spans="1:24" ht="16.5" customHeight="1">
      <c r="A2676" s="3" t="s">
        <v>53</v>
      </c>
      <c r="B2676" s="3">
        <f t="shared" si="80"/>
        <v>2008</v>
      </c>
      <c r="C2676" s="3">
        <f t="shared" si="81"/>
        <v>12</v>
      </c>
      <c r="D2676" s="20" t="str">
        <f t="shared" si="82"/>
        <v>BEN200812</v>
      </c>
      <c r="E2676" s="2">
        <v>39811</v>
      </c>
      <c r="F2676" s="3">
        <v>7.0000000000000007E-2</v>
      </c>
      <c r="H2676" s="3">
        <v>3.5000000000000001E-3</v>
      </c>
      <c r="I2676" s="3">
        <v>0</v>
      </c>
      <c r="J2676" s="3">
        <v>0</v>
      </c>
      <c r="K2676" s="3">
        <f t="shared" si="83"/>
        <v>2008</v>
      </c>
      <c r="L2676" s="3">
        <f t="shared" si="84"/>
        <v>0</v>
      </c>
      <c r="M2676" s="20" t="str">
        <f>A2676&amp;L2676</f>
        <v>BEN0</v>
      </c>
      <c r="N2676" s="3">
        <f>F2676</f>
        <v>7.0000000000000007E-2</v>
      </c>
      <c r="O2676" s="9">
        <f>H2676</f>
        <v>3.5000000000000001E-3</v>
      </c>
      <c r="P2676" s="10">
        <f t="shared" si="85"/>
        <v>0</v>
      </c>
      <c r="Q2676" s="10">
        <f>IF(K2676=0,IF(A2673=A2676,AVERAGE(O2673:O2676),"x"),0)</f>
        <v>0</v>
      </c>
      <c r="R2676" s="9">
        <f>IF(L2676&gt;2005,AVERAGE(O2673:O2692),0)</f>
        <v>0</v>
      </c>
      <c r="S2676" s="10">
        <f>IF(A2676=A2677,(N2676-N2677)/N2677,0)</f>
        <v>0</v>
      </c>
      <c r="T2676" s="10">
        <f>IF(L2676&gt;2005,(((N2676-N2696)/N2696)+1)^(1/5)-1,0)</f>
        <v>0</v>
      </c>
      <c r="U2676" s="10">
        <f t="shared" si="86"/>
        <v>0</v>
      </c>
      <c r="V2676" s="26">
        <f t="shared" si="87"/>
        <v>0</v>
      </c>
      <c r="W2676" s="3">
        <f>IF(A2676=A2677,N2676-N2677,0)</f>
        <v>0</v>
      </c>
      <c r="X2676" s="10">
        <f>IF(A2676=A2677,(N2676-N2677)/N2677,0)</f>
        <v>0</v>
      </c>
    </row>
    <row r="2677" spans="1:24" ht="16.5" customHeight="1">
      <c r="A2677" s="3" t="s">
        <v>53</v>
      </c>
      <c r="B2677" s="3">
        <f t="shared" si="80"/>
        <v>2008</v>
      </c>
      <c r="C2677" s="3">
        <f t="shared" si="81"/>
        <v>10</v>
      </c>
      <c r="D2677" s="20" t="str">
        <f t="shared" si="82"/>
        <v>BEN200810</v>
      </c>
      <c r="E2677" s="2">
        <v>39723</v>
      </c>
      <c r="F2677" s="3">
        <v>7.0000000000000007E-2</v>
      </c>
      <c r="H2677" s="3">
        <v>2.3E-3</v>
      </c>
      <c r="I2677" s="3">
        <v>0</v>
      </c>
      <c r="J2677" s="3">
        <v>0</v>
      </c>
      <c r="K2677" s="3">
        <f t="shared" si="83"/>
        <v>2008</v>
      </c>
      <c r="L2677" s="3">
        <f t="shared" si="84"/>
        <v>0</v>
      </c>
      <c r="M2677" s="20" t="str">
        <f>A2677&amp;L2677</f>
        <v>BEN0</v>
      </c>
      <c r="N2677" s="3">
        <f>F2677</f>
        <v>7.0000000000000007E-2</v>
      </c>
      <c r="O2677" s="9">
        <f>H2677</f>
        <v>2.3E-3</v>
      </c>
      <c r="P2677" s="10">
        <f t="shared" si="85"/>
        <v>0</v>
      </c>
      <c r="Q2677" s="10">
        <f>IF(K2677=0,IF(A2674=A2677,AVERAGE(O2674:O2677),"x"),0)</f>
        <v>0</v>
      </c>
      <c r="R2677" s="9">
        <f>IF(L2677&gt;2005,AVERAGE(O2674:O2693),0)</f>
        <v>0</v>
      </c>
      <c r="S2677" s="10">
        <f>IF(A2677=A2678,(N2677-N2678)/N2678,0)</f>
        <v>0</v>
      </c>
      <c r="T2677" s="10">
        <f>IF(L2677&gt;2005,(((N2677-N2697)/N2697)+1)^(1/5)-1,0)</f>
        <v>0</v>
      </c>
      <c r="U2677" s="10">
        <f t="shared" si="86"/>
        <v>0</v>
      </c>
      <c r="V2677" s="26">
        <f t="shared" si="87"/>
        <v>0</v>
      </c>
      <c r="W2677" s="3">
        <f>IF(A2677=A2678,N2677-N2678,0)</f>
        <v>0</v>
      </c>
      <c r="X2677" s="10">
        <f>IF(A2677=A2678,(N2677-N2678)/N2678,0)</f>
        <v>0</v>
      </c>
    </row>
    <row r="2678" spans="1:24" ht="16.5" customHeight="1">
      <c r="A2678" s="3" t="s">
        <v>53</v>
      </c>
      <c r="B2678" s="3">
        <f t="shared" si="80"/>
        <v>2008</v>
      </c>
      <c r="C2678" s="3">
        <f t="shared" si="81"/>
        <v>6</v>
      </c>
      <c r="D2678" s="20" t="str">
        <f t="shared" si="82"/>
        <v>BEN20086</v>
      </c>
      <c r="E2678" s="2">
        <v>39625</v>
      </c>
      <c r="F2678" s="3">
        <v>7.0000000000000007E-2</v>
      </c>
      <c r="H2678" s="3">
        <v>2.0999999999999999E-3</v>
      </c>
      <c r="I2678" s="3">
        <v>0</v>
      </c>
      <c r="J2678" s="3">
        <v>0</v>
      </c>
      <c r="K2678" s="3">
        <f t="shared" si="83"/>
        <v>2008</v>
      </c>
      <c r="L2678" s="3">
        <f t="shared" si="84"/>
        <v>0</v>
      </c>
      <c r="M2678" s="20" t="str">
        <f>A2678&amp;L2678</f>
        <v>BEN0</v>
      </c>
      <c r="N2678" s="3">
        <f>F2678</f>
        <v>7.0000000000000007E-2</v>
      </c>
      <c r="O2678" s="9">
        <f>H2678</f>
        <v>2.0999999999999999E-3</v>
      </c>
      <c r="P2678" s="10">
        <f t="shared" si="85"/>
        <v>0</v>
      </c>
      <c r="Q2678" s="10">
        <f>IF(K2678=0,IF(A2675=A2678,AVERAGE(O2675:O2678),"x"),0)</f>
        <v>0</v>
      </c>
      <c r="R2678" s="9">
        <f>IF(L2678&gt;2005,AVERAGE(O2675:O2694),0)</f>
        <v>0</v>
      </c>
      <c r="S2678" s="10">
        <f>IF(A2678=A2679,(N2678-N2679)/N2679,0)</f>
        <v>0</v>
      </c>
      <c r="T2678" s="10">
        <f>IF(L2678&gt;2005,(((N2678-N2698)/N2698)+1)^(1/5)-1,0)</f>
        <v>0</v>
      </c>
      <c r="U2678" s="10">
        <f t="shared" si="86"/>
        <v>0</v>
      </c>
      <c r="V2678" s="26">
        <f t="shared" si="87"/>
        <v>0</v>
      </c>
      <c r="W2678" s="3">
        <f>IF(A2678=A2679,N2678-N2679,0)</f>
        <v>0</v>
      </c>
      <c r="X2678" s="10">
        <f>IF(A2678=A2679,(N2678-N2679)/N2679,0)</f>
        <v>0</v>
      </c>
    </row>
    <row r="2679" spans="1:24" ht="16.5" customHeight="1">
      <c r="A2679" s="3" t="s">
        <v>53</v>
      </c>
      <c r="B2679" s="3">
        <f t="shared" si="80"/>
        <v>2008</v>
      </c>
      <c r="C2679" s="3">
        <f t="shared" si="81"/>
        <v>3</v>
      </c>
      <c r="D2679" s="20" t="str">
        <f t="shared" si="82"/>
        <v>BEN20083</v>
      </c>
      <c r="E2679" s="2">
        <v>39533</v>
      </c>
      <c r="F2679" s="3">
        <v>7.0000000000000007E-2</v>
      </c>
      <c r="H2679" s="3">
        <v>2E-3</v>
      </c>
      <c r="I2679" s="3">
        <v>0</v>
      </c>
      <c r="J2679" s="3">
        <v>0</v>
      </c>
      <c r="K2679" s="3">
        <f t="shared" si="83"/>
        <v>0</v>
      </c>
      <c r="L2679" s="3">
        <f t="shared" si="84"/>
        <v>2008</v>
      </c>
      <c r="M2679" s="20" t="str">
        <f>A2679&amp;L2679</f>
        <v>BEN2008</v>
      </c>
      <c r="N2679" s="3">
        <f>F2679</f>
        <v>7.0000000000000007E-2</v>
      </c>
      <c r="O2679" s="9">
        <f>H2679</f>
        <v>2E-3</v>
      </c>
      <c r="P2679" s="10">
        <f t="shared" si="85"/>
        <v>0</v>
      </c>
      <c r="Q2679" s="10">
        <f>IF(K2679=0,IF(A2676=A2679,AVERAGE(O2676:O2679),"x"),0)</f>
        <v>2.4749999999999998E-3</v>
      </c>
      <c r="R2679" s="9">
        <f>IF(L2679&gt;2005,AVERAGE(O2676:O2695),0)</f>
        <v>1.5899999999999998E-3</v>
      </c>
      <c r="S2679" s="10">
        <f>IF(A2679=A2680,(N2679-N2680)/N2680,0)</f>
        <v>0</v>
      </c>
      <c r="T2679" s="10">
        <f>IF(L2679&gt;2005,(((N2679-N2699)/N2699)+1)^(1/5)-1,0)</f>
        <v>0.18466445254224406</v>
      </c>
      <c r="U2679" s="10">
        <f t="shared" si="86"/>
        <v>0.18625445254224407</v>
      </c>
      <c r="V2679" s="26">
        <f t="shared" si="87"/>
        <v>4.9799305962216245</v>
      </c>
      <c r="W2679" s="3">
        <f>IF(A2679=A2680,N2679-N2680,0)</f>
        <v>0</v>
      </c>
      <c r="X2679" s="10">
        <f>IF(A2679=A2680,(N2679-N2680)/N2680,0)</f>
        <v>0</v>
      </c>
    </row>
    <row r="2680" spans="1:24" ht="16.5" customHeight="1">
      <c r="A2680" s="3" t="s">
        <v>53</v>
      </c>
      <c r="B2680" s="3">
        <f t="shared" si="80"/>
        <v>2007</v>
      </c>
      <c r="C2680" s="3">
        <f t="shared" si="81"/>
        <v>12</v>
      </c>
      <c r="D2680" s="20" t="str">
        <f t="shared" si="82"/>
        <v>BEN200712</v>
      </c>
      <c r="E2680" s="2">
        <v>39442</v>
      </c>
      <c r="F2680" s="3">
        <v>7.0000000000000007E-2</v>
      </c>
      <c r="H2680" s="3">
        <v>1.6999999999999999E-3</v>
      </c>
      <c r="I2680" s="3">
        <v>0.4</v>
      </c>
      <c r="J2680" s="3">
        <v>0.02</v>
      </c>
      <c r="K2680" s="3">
        <f t="shared" si="83"/>
        <v>2007</v>
      </c>
      <c r="L2680" s="3">
        <f t="shared" si="84"/>
        <v>0</v>
      </c>
      <c r="M2680" s="20" t="str">
        <f>A2680&amp;L2680</f>
        <v>BEN0</v>
      </c>
      <c r="N2680" s="3">
        <f>F2680</f>
        <v>7.0000000000000007E-2</v>
      </c>
      <c r="O2680" s="9">
        <f>H2680</f>
        <v>1.6999999999999999E-3</v>
      </c>
      <c r="P2680" s="10">
        <f t="shared" si="85"/>
        <v>1.2999999999999999E-3</v>
      </c>
      <c r="Q2680" s="10">
        <f>IF(K2680=0,IF(A2677=A2680,AVERAGE(O2677:O2680),"x"),0)</f>
        <v>0</v>
      </c>
      <c r="R2680" s="9">
        <f>IF(L2680&gt;2005,AVERAGE(O2677:O2696),0)</f>
        <v>0</v>
      </c>
      <c r="S2680" s="10">
        <f>IF(A2680=A2681,(N2680-N2681)/N2681,0)</f>
        <v>0.40000000000000008</v>
      </c>
      <c r="T2680" s="10">
        <f>IF(L2680&gt;2005,(((N2680-N2700)/N2700)+1)^(1/5)-1,0)</f>
        <v>0</v>
      </c>
      <c r="U2680" s="10">
        <f t="shared" si="86"/>
        <v>0</v>
      </c>
      <c r="V2680" s="26">
        <f t="shared" si="87"/>
        <v>0</v>
      </c>
      <c r="W2680" s="3">
        <f>IF(A2680=A2681,N2680-N2681,0)</f>
        <v>2.0000000000000004E-2</v>
      </c>
      <c r="X2680" s="10">
        <f>IF(A2680=A2681,(N2680-N2681)/N2681,0)</f>
        <v>0.40000000000000008</v>
      </c>
    </row>
    <row r="2681" spans="1:24" ht="16.5" customHeight="1">
      <c r="A2681" s="3" t="s">
        <v>53</v>
      </c>
      <c r="B2681" s="3">
        <f t="shared" si="80"/>
        <v>2007</v>
      </c>
      <c r="C2681" s="3">
        <f t="shared" si="81"/>
        <v>10</v>
      </c>
      <c r="D2681" s="20" t="str">
        <f t="shared" si="82"/>
        <v>BEN200710</v>
      </c>
      <c r="E2681" s="2">
        <v>39357</v>
      </c>
      <c r="F2681" s="3">
        <v>0.05</v>
      </c>
      <c r="H2681" s="3">
        <v>1.1000000000000001E-3</v>
      </c>
      <c r="I2681" s="3">
        <v>0</v>
      </c>
      <c r="J2681" s="3">
        <v>0</v>
      </c>
      <c r="K2681" s="3">
        <f t="shared" si="83"/>
        <v>2007</v>
      </c>
      <c r="L2681" s="3">
        <f t="shared" si="84"/>
        <v>0</v>
      </c>
      <c r="M2681" s="20" t="str">
        <f>A2681&amp;L2681</f>
        <v>BEN0</v>
      </c>
      <c r="N2681" s="3">
        <f>F2681</f>
        <v>0.05</v>
      </c>
      <c r="O2681" s="9">
        <f>H2681</f>
        <v>1.1000000000000001E-3</v>
      </c>
      <c r="P2681" s="10">
        <f t="shared" si="85"/>
        <v>0</v>
      </c>
      <c r="Q2681" s="10">
        <f>IF(K2681=0,IF(A2678=A2681,AVERAGE(O2678:O2681),"x"),0)</f>
        <v>0</v>
      </c>
      <c r="R2681" s="9">
        <f>IF(L2681&gt;2005,AVERAGE(O2678:O2697),0)</f>
        <v>0</v>
      </c>
      <c r="S2681" s="10">
        <f>IF(A2681=A2682,(N2681-N2682)/N2682,0)</f>
        <v>0</v>
      </c>
      <c r="T2681" s="10">
        <f>IF(L2681&gt;2005,(((N2681-N2701)/N2701)+1)^(1/5)-1,0)</f>
        <v>0</v>
      </c>
      <c r="U2681" s="10">
        <f t="shared" si="86"/>
        <v>0</v>
      </c>
      <c r="V2681" s="26">
        <f t="shared" si="87"/>
        <v>0</v>
      </c>
      <c r="W2681" s="3">
        <f>IF(A2681=A2682,N2681-N2682,0)</f>
        <v>0</v>
      </c>
      <c r="X2681" s="10">
        <f>IF(A2681=A2682,(N2681-N2682)/N2682,0)</f>
        <v>0</v>
      </c>
    </row>
    <row r="2682" spans="1:24" ht="16.5" customHeight="1">
      <c r="A2682" s="3" t="s">
        <v>53</v>
      </c>
      <c r="B2682" s="3">
        <f t="shared" si="80"/>
        <v>2007</v>
      </c>
      <c r="C2682" s="3">
        <f t="shared" si="81"/>
        <v>6</v>
      </c>
      <c r="D2682" s="20" t="str">
        <f t="shared" si="82"/>
        <v>BEN20076</v>
      </c>
      <c r="E2682" s="2">
        <v>39260</v>
      </c>
      <c r="F2682" s="3">
        <v>0.05</v>
      </c>
      <c r="H2682" s="3">
        <v>1.1000000000000001E-3</v>
      </c>
      <c r="I2682" s="3">
        <v>0</v>
      </c>
      <c r="J2682" s="3">
        <v>0</v>
      </c>
      <c r="K2682" s="3">
        <f t="shared" si="83"/>
        <v>2007</v>
      </c>
      <c r="L2682" s="3">
        <f t="shared" si="84"/>
        <v>0</v>
      </c>
      <c r="M2682" s="20" t="str">
        <f>A2682&amp;L2682</f>
        <v>BEN0</v>
      </c>
      <c r="N2682" s="3">
        <f>F2682</f>
        <v>0.05</v>
      </c>
      <c r="O2682" s="9">
        <f>H2682</f>
        <v>1.1000000000000001E-3</v>
      </c>
      <c r="P2682" s="10">
        <f t="shared" si="85"/>
        <v>0</v>
      </c>
      <c r="Q2682" s="10">
        <f>IF(K2682=0,IF(A2679=A2682,AVERAGE(O2679:O2682),"x"),0)</f>
        <v>0</v>
      </c>
      <c r="R2682" s="9">
        <f>IF(L2682&gt;2005,AVERAGE(O2679:O2698),0)</f>
        <v>0</v>
      </c>
      <c r="S2682" s="10">
        <f>IF(A2682=A2683,(N2682-N2683)/N2683,0)</f>
        <v>0</v>
      </c>
      <c r="T2682" s="10">
        <f>IF(L2682&gt;2005,(((N2682-N2702)/N2702)+1)^(1/5)-1,0)</f>
        <v>0</v>
      </c>
      <c r="U2682" s="10">
        <f t="shared" si="86"/>
        <v>0</v>
      </c>
      <c r="V2682" s="26">
        <f t="shared" si="87"/>
        <v>0</v>
      </c>
      <c r="W2682" s="3">
        <f>IF(A2682=A2683,N2682-N2683,0)</f>
        <v>0</v>
      </c>
      <c r="X2682" s="10">
        <f>IF(A2682=A2683,(N2682-N2683)/N2683,0)</f>
        <v>0</v>
      </c>
    </row>
    <row r="2683" spans="1:24" ht="16.5" customHeight="1">
      <c r="A2683" s="3" t="s">
        <v>53</v>
      </c>
      <c r="B2683" s="3">
        <f t="shared" si="80"/>
        <v>2007</v>
      </c>
      <c r="C2683" s="3">
        <f t="shared" si="81"/>
        <v>3</v>
      </c>
      <c r="D2683" s="20" t="str">
        <f t="shared" si="82"/>
        <v>BEN20073</v>
      </c>
      <c r="E2683" s="2">
        <v>39169</v>
      </c>
      <c r="F2683" s="3">
        <v>0.05</v>
      </c>
      <c r="H2683" s="3">
        <v>1.2999999999999999E-3</v>
      </c>
      <c r="I2683" s="3">
        <v>0</v>
      </c>
      <c r="J2683" s="3">
        <v>0</v>
      </c>
      <c r="K2683" s="3">
        <f t="shared" si="83"/>
        <v>0</v>
      </c>
      <c r="L2683" s="3">
        <f t="shared" si="84"/>
        <v>2007</v>
      </c>
      <c r="M2683" s="20" t="str">
        <f>A2683&amp;L2683</f>
        <v>BEN2007</v>
      </c>
      <c r="N2683" s="3">
        <f>F2683</f>
        <v>0.05</v>
      </c>
      <c r="O2683" s="9">
        <f>H2683</f>
        <v>1.2999999999999999E-3</v>
      </c>
      <c r="P2683" s="10">
        <f t="shared" si="85"/>
        <v>0</v>
      </c>
      <c r="Q2683" s="10">
        <f>IF(K2683=0,IF(A2680=A2683,AVERAGE(O2680:O2683),"x"),0)</f>
        <v>1.2999999999999999E-3</v>
      </c>
      <c r="R2683" s="9">
        <f>IF(L2683&gt;2005,AVERAGE(O2680:O2699),0)</f>
        <v>1.49E-3</v>
      </c>
      <c r="S2683" s="10">
        <f>IF(A2683=A2684,(N2683-N2684)/N2684,0)</f>
        <v>0</v>
      </c>
      <c r="T2683" s="10">
        <f>IF(L2683&gt;2005,(((N2683-N2703)/N2703)+1)^(1/5)-1,0)</f>
        <v>0.20112443398143132</v>
      </c>
      <c r="U2683" s="10">
        <f t="shared" si="86"/>
        <v>0.20261443398143131</v>
      </c>
      <c r="V2683" s="26">
        <f t="shared" si="87"/>
        <v>4.9814461622661161</v>
      </c>
      <c r="W2683" s="3">
        <f>IF(A2683=A2684,N2683-N2684,0)</f>
        <v>0</v>
      </c>
      <c r="X2683" s="10">
        <f>IF(A2683=A2684,(N2683-N2684)/N2684,0)</f>
        <v>0</v>
      </c>
    </row>
    <row r="2684" spans="1:24" ht="16.5" customHeight="1">
      <c r="A2684" s="3" t="s">
        <v>53</v>
      </c>
      <c r="B2684" s="3">
        <f t="shared" si="80"/>
        <v>2006</v>
      </c>
      <c r="C2684" s="3">
        <f t="shared" si="81"/>
        <v>12</v>
      </c>
      <c r="D2684" s="20" t="str">
        <f t="shared" si="82"/>
        <v>BEN200612</v>
      </c>
      <c r="E2684" s="2">
        <v>39077</v>
      </c>
      <c r="F2684" s="3">
        <v>0.05</v>
      </c>
      <c r="H2684" s="3">
        <v>1.4E-3</v>
      </c>
      <c r="I2684" s="3">
        <v>0.25</v>
      </c>
      <c r="J2684" s="3">
        <v>0.01</v>
      </c>
      <c r="K2684" s="3">
        <f t="shared" si="83"/>
        <v>2006</v>
      </c>
      <c r="L2684" s="3">
        <f t="shared" si="84"/>
        <v>0</v>
      </c>
      <c r="M2684" s="20" t="str">
        <f>A2684&amp;L2684</f>
        <v>BEN0</v>
      </c>
      <c r="N2684" s="3">
        <f>F2684</f>
        <v>0.05</v>
      </c>
      <c r="O2684" s="9">
        <f>H2684</f>
        <v>1.4E-3</v>
      </c>
      <c r="P2684" s="10">
        <f t="shared" si="85"/>
        <v>1.2999999999999999E-3</v>
      </c>
      <c r="Q2684" s="10">
        <f>IF(K2684=0,IF(A2681=A2684,AVERAGE(O2681:O2684),"x"),0)</f>
        <v>0</v>
      </c>
      <c r="R2684" s="9">
        <f>IF(L2684&gt;2005,AVERAGE(O2681:O2700),0)</f>
        <v>0</v>
      </c>
      <c r="S2684" s="10">
        <f>IF(A2684=A2685,(N2684-N2685)/N2685,0)</f>
        <v>0.25000000000000006</v>
      </c>
      <c r="T2684" s="10">
        <f>IF(L2684&gt;2005,(((N2684-N2704)/N2704)+1)^(1/5)-1,0)</f>
        <v>0</v>
      </c>
      <c r="U2684" s="10">
        <f t="shared" si="86"/>
        <v>0</v>
      </c>
      <c r="V2684" s="26">
        <f t="shared" si="87"/>
        <v>0</v>
      </c>
      <c r="W2684" s="3">
        <f>IF(A2684=A2685,N2684-N2685,0)</f>
        <v>1.0000000000000002E-2</v>
      </c>
      <c r="X2684" s="10">
        <f>IF(A2684=A2685,(N2684-N2685)/N2685,0)</f>
        <v>0.25000000000000006</v>
      </c>
    </row>
    <row r="2685" spans="1:24" ht="16.5" customHeight="1">
      <c r="A2685" s="3" t="s">
        <v>53</v>
      </c>
      <c r="B2685" s="3">
        <f t="shared" si="80"/>
        <v>2006</v>
      </c>
      <c r="C2685" s="3">
        <f t="shared" si="81"/>
        <v>10</v>
      </c>
      <c r="D2685" s="20" t="str">
        <f t="shared" si="82"/>
        <v>BEN200610</v>
      </c>
      <c r="E2685" s="2">
        <v>38992</v>
      </c>
      <c r="F2685" s="3">
        <v>0.04</v>
      </c>
      <c r="H2685" s="3">
        <v>1.1000000000000001E-3</v>
      </c>
      <c r="I2685" s="3">
        <v>0</v>
      </c>
      <c r="J2685" s="3">
        <v>0</v>
      </c>
      <c r="K2685" s="3">
        <f t="shared" si="83"/>
        <v>2006</v>
      </c>
      <c r="L2685" s="3">
        <f t="shared" si="84"/>
        <v>0</v>
      </c>
      <c r="M2685" s="20" t="str">
        <f>A2685&amp;L2685</f>
        <v>BEN0</v>
      </c>
      <c r="N2685" s="3">
        <f>F2685</f>
        <v>0.04</v>
      </c>
      <c r="O2685" s="9">
        <f>H2685</f>
        <v>1.1000000000000001E-3</v>
      </c>
      <c r="P2685" s="10">
        <f t="shared" si="85"/>
        <v>0</v>
      </c>
      <c r="Q2685" s="10">
        <f>IF(K2685=0,IF(A2682=A2685,AVERAGE(O2682:O2685),"x"),0)</f>
        <v>0</v>
      </c>
      <c r="R2685" s="9">
        <f>IF(L2685&gt;2005,AVERAGE(O2682:O2701),0)</f>
        <v>0</v>
      </c>
      <c r="S2685" s="10">
        <f>IF(A2685=A2686,(N2685-N2686)/N2686,0)</f>
        <v>0</v>
      </c>
      <c r="T2685" s="10">
        <f>IF(L2685&gt;2005,(((N2685-N2705)/N2705)+1)^(1/5)-1,0)</f>
        <v>0</v>
      </c>
      <c r="U2685" s="10">
        <f t="shared" si="86"/>
        <v>0</v>
      </c>
      <c r="V2685" s="26">
        <f t="shared" si="87"/>
        <v>0</v>
      </c>
      <c r="W2685" s="3">
        <f>IF(A2685=A2686,N2685-N2686,0)</f>
        <v>0</v>
      </c>
      <c r="X2685" s="10">
        <f>IF(A2685=A2686,(N2685-N2686)/N2686,0)</f>
        <v>0</v>
      </c>
    </row>
    <row r="2686" spans="1:24" ht="16.5" customHeight="1">
      <c r="A2686" s="3" t="s">
        <v>53</v>
      </c>
      <c r="B2686" s="3">
        <f t="shared" si="80"/>
        <v>2006</v>
      </c>
      <c r="C2686" s="3">
        <f t="shared" si="81"/>
        <v>6</v>
      </c>
      <c r="D2686" s="20" t="str">
        <f t="shared" si="82"/>
        <v>BEN20066</v>
      </c>
      <c r="E2686" s="2">
        <v>38898</v>
      </c>
      <c r="F2686" s="3">
        <v>0.04</v>
      </c>
      <c r="H2686" s="3">
        <v>1.4E-3</v>
      </c>
      <c r="I2686" s="3">
        <v>0</v>
      </c>
      <c r="J2686" s="3">
        <v>0</v>
      </c>
      <c r="K2686" s="3">
        <f t="shared" si="83"/>
        <v>2006</v>
      </c>
      <c r="L2686" s="3">
        <f t="shared" si="84"/>
        <v>0</v>
      </c>
      <c r="M2686" s="20" t="str">
        <f>A2686&amp;L2686</f>
        <v>BEN0</v>
      </c>
      <c r="N2686" s="3">
        <f>F2686</f>
        <v>0.04</v>
      </c>
      <c r="O2686" s="9">
        <f>H2686</f>
        <v>1.4E-3</v>
      </c>
      <c r="P2686" s="10">
        <f t="shared" si="85"/>
        <v>0</v>
      </c>
      <c r="Q2686" s="10">
        <f>IF(K2686=0,IF(A2683=A2686,AVERAGE(O2683:O2686),"x"),0)</f>
        <v>0</v>
      </c>
      <c r="R2686" s="9">
        <f>IF(L2686&gt;2005,AVERAGE(O2683:O2702),0)</f>
        <v>0</v>
      </c>
      <c r="S2686" s="10">
        <f>IF(A2686=A2687,(N2686-N2687)/N2687,0)</f>
        <v>0</v>
      </c>
      <c r="T2686" s="10">
        <f>IF(L2686&gt;2005,(((N2686-N2706)/N2706)+1)^(1/5)-1,0)</f>
        <v>0</v>
      </c>
      <c r="U2686" s="10">
        <f t="shared" si="86"/>
        <v>0</v>
      </c>
      <c r="V2686" s="26">
        <f t="shared" si="87"/>
        <v>0</v>
      </c>
      <c r="W2686" s="3">
        <f>IF(A2686=A2687,N2686-N2687,0)</f>
        <v>0</v>
      </c>
      <c r="X2686" s="10">
        <f>IF(A2686=A2687,(N2686-N2687)/N2687,0)</f>
        <v>0</v>
      </c>
    </row>
    <row r="2687" spans="1:24" ht="16.5" customHeight="1">
      <c r="A2687" s="3" t="s">
        <v>53</v>
      </c>
      <c r="B2687" s="3">
        <f t="shared" si="80"/>
        <v>2006</v>
      </c>
      <c r="C2687" s="3">
        <f t="shared" si="81"/>
        <v>3</v>
      </c>
      <c r="D2687" s="20" t="str">
        <f t="shared" si="82"/>
        <v>BEN20063</v>
      </c>
      <c r="E2687" s="2">
        <v>38805</v>
      </c>
      <c r="F2687" s="3">
        <v>0.04</v>
      </c>
      <c r="H2687" s="3">
        <v>1.2999999999999999E-3</v>
      </c>
      <c r="I2687" s="3">
        <v>0</v>
      </c>
      <c r="J2687" s="3">
        <v>0</v>
      </c>
      <c r="K2687" s="3">
        <f t="shared" si="83"/>
        <v>0</v>
      </c>
      <c r="L2687" s="3">
        <f t="shared" si="84"/>
        <v>2006</v>
      </c>
      <c r="M2687" s="20" t="str">
        <f>A2687&amp;L2687</f>
        <v>BEN2006</v>
      </c>
      <c r="N2687" s="3">
        <f>F2687</f>
        <v>0.04</v>
      </c>
      <c r="O2687" s="9">
        <f>H2687</f>
        <v>1.2999999999999999E-3</v>
      </c>
      <c r="P2687" s="10">
        <f t="shared" si="85"/>
        <v>0</v>
      </c>
      <c r="Q2687" s="10">
        <f>IF(K2687=0,IF(A2684=A2687,AVERAGE(O2684:O2687),"x"),0)</f>
        <v>1.2999999999999999E-3</v>
      </c>
      <c r="R2687" s="9">
        <f>IF(L2687&gt;2005,AVERAGE(O2684:O2703),0)</f>
        <v>1.6199999999999999E-3</v>
      </c>
      <c r="S2687" s="10">
        <f>IF(A2687=A2688,(N2687-N2688)/N2688,0)</f>
        <v>0</v>
      </c>
      <c r="T2687" s="10">
        <f>IF(L2687&gt;2005,(((N2687-N2707)/N2707)+1)^(1/5)-1,0)</f>
        <v>0.3195079107728942</v>
      </c>
      <c r="U2687" s="10">
        <f t="shared" si="86"/>
        <v>0.32112791077289421</v>
      </c>
      <c r="V2687" s="26">
        <f t="shared" si="87"/>
        <v>4.9816366707307402</v>
      </c>
      <c r="W2687" s="3">
        <f>IF(A2687=A2688,N2687-N2688,0)</f>
        <v>0</v>
      </c>
      <c r="X2687" s="10">
        <f>IF(A2687=A2688,(N2687-N2688)/N2688,0)</f>
        <v>0</v>
      </c>
    </row>
    <row r="2688" spans="1:24" ht="16.5" customHeight="1">
      <c r="A2688" s="3" t="s">
        <v>53</v>
      </c>
      <c r="B2688" s="3">
        <f t="shared" si="80"/>
        <v>2005</v>
      </c>
      <c r="C2688" s="3">
        <f t="shared" si="81"/>
        <v>12</v>
      </c>
      <c r="D2688" s="20" t="str">
        <f t="shared" si="82"/>
        <v>BEN200512</v>
      </c>
      <c r="E2688" s="2">
        <v>38714</v>
      </c>
      <c r="F2688" s="3">
        <v>0.04</v>
      </c>
      <c r="H2688" s="3">
        <v>1.2999999999999999E-3</v>
      </c>
      <c r="I2688" s="3">
        <v>0.33333333300000001</v>
      </c>
      <c r="J2688" s="3">
        <v>0.01</v>
      </c>
      <c r="K2688" s="3">
        <f t="shared" si="83"/>
        <v>2005</v>
      </c>
      <c r="L2688" s="3">
        <f t="shared" si="84"/>
        <v>0</v>
      </c>
      <c r="M2688" s="20" t="str">
        <f>A2688&amp;L2688</f>
        <v>BEN0</v>
      </c>
      <c r="N2688" s="3">
        <f>F2688</f>
        <v>0.04</v>
      </c>
      <c r="O2688" s="9">
        <f>H2688</f>
        <v>1.2999999999999999E-3</v>
      </c>
      <c r="P2688" s="10">
        <f t="shared" si="85"/>
        <v>1.2999999999999999E-3</v>
      </c>
      <c r="Q2688" s="10">
        <f>IF(K2688=0,IF(A2685=A2688,AVERAGE(O2685:O2688),"x"),0)</f>
        <v>0</v>
      </c>
      <c r="R2688" s="9">
        <f>IF(L2688&gt;2005,AVERAGE(O2685:O2704),0)</f>
        <v>0</v>
      </c>
      <c r="S2688" s="10">
        <f>IF(A2688=A2689,(N2688-N2689)/N2689,0)</f>
        <v>0.33333333333333343</v>
      </c>
      <c r="T2688" s="10">
        <f>IF(L2688&gt;2005,(((N2688-N2708)/N2708)+1)^(1/5)-1,0)</f>
        <v>0</v>
      </c>
      <c r="U2688" s="10">
        <f t="shared" si="86"/>
        <v>0</v>
      </c>
      <c r="V2688" s="26">
        <f t="shared" si="87"/>
        <v>0</v>
      </c>
      <c r="W2688" s="3">
        <f>IF(A2688=A2689,N2688-N2689,0)</f>
        <v>1.0000000000000002E-2</v>
      </c>
      <c r="X2688" s="10">
        <f>IF(A2688=A2689,(N2688-N2689)/N2689,0)</f>
        <v>0.33333333333333343</v>
      </c>
    </row>
    <row r="2689" spans="1:24" ht="16.5" customHeight="1">
      <c r="A2689" s="3" t="s">
        <v>53</v>
      </c>
      <c r="B2689" s="3">
        <f t="shared" si="80"/>
        <v>2005</v>
      </c>
      <c r="C2689" s="3">
        <f t="shared" si="81"/>
        <v>9</v>
      </c>
      <c r="D2689" s="20" t="str">
        <f t="shared" si="82"/>
        <v>BEN20059</v>
      </c>
      <c r="E2689" s="2">
        <v>38624</v>
      </c>
      <c r="F2689" s="3">
        <v>0.03</v>
      </c>
      <c r="H2689" s="3">
        <v>1.1999999999999999E-3</v>
      </c>
      <c r="I2689" s="3">
        <v>0</v>
      </c>
      <c r="J2689" s="3">
        <v>0</v>
      </c>
      <c r="K2689" s="3">
        <f t="shared" si="83"/>
        <v>2005</v>
      </c>
      <c r="L2689" s="3">
        <f t="shared" si="84"/>
        <v>0</v>
      </c>
      <c r="M2689" s="20" t="str">
        <f>A2689&amp;L2689</f>
        <v>BEN0</v>
      </c>
      <c r="N2689" s="3">
        <f>F2689</f>
        <v>0.03</v>
      </c>
      <c r="O2689" s="9">
        <f>H2689</f>
        <v>1.1999999999999999E-3</v>
      </c>
      <c r="P2689" s="10">
        <f t="shared" si="85"/>
        <v>0</v>
      </c>
      <c r="Q2689" s="10">
        <f>IF(K2689=0,IF(A2686=A2689,AVERAGE(O2686:O2689),"x"),0)</f>
        <v>0</v>
      </c>
      <c r="R2689" s="9">
        <f>IF(L2689&gt;2005,AVERAGE(O2686:O2705),0)</f>
        <v>0</v>
      </c>
      <c r="S2689" s="10">
        <f>IF(A2689=A2690,(N2689-N2690)/N2690,0)</f>
        <v>0</v>
      </c>
      <c r="T2689" s="10">
        <f>IF(L2689&gt;2005,(((N2689-N2709)/N2709)+1)^(1/5)-1,0)</f>
        <v>0</v>
      </c>
      <c r="U2689" s="10">
        <f t="shared" si="86"/>
        <v>0</v>
      </c>
      <c r="V2689" s="26">
        <f t="shared" si="87"/>
        <v>0</v>
      </c>
      <c r="W2689" s="3">
        <f>IF(A2689=A2690,N2689-N2690,0)</f>
        <v>0</v>
      </c>
      <c r="X2689" s="10">
        <f>IF(A2689=A2690,(N2689-N2690)/N2690,0)</f>
        <v>0</v>
      </c>
    </row>
    <row r="2690" spans="1:24" ht="16.5" customHeight="1">
      <c r="A2690" s="3" t="s">
        <v>53</v>
      </c>
      <c r="B2690" s="3">
        <f t="shared" si="80"/>
        <v>2005</v>
      </c>
      <c r="C2690" s="3">
        <f t="shared" si="81"/>
        <v>6</v>
      </c>
      <c r="D2690" s="20" t="str">
        <f t="shared" si="82"/>
        <v>BEN20056</v>
      </c>
      <c r="E2690" s="2">
        <v>38533</v>
      </c>
      <c r="F2690" s="3">
        <v>0.03</v>
      </c>
      <c r="H2690" s="3">
        <v>1.2999999999999999E-3</v>
      </c>
      <c r="I2690" s="3">
        <v>-0.95714285700000001</v>
      </c>
      <c r="J2690" s="3">
        <v>-0.67</v>
      </c>
      <c r="K2690" s="3">
        <f t="shared" si="83"/>
        <v>0</v>
      </c>
      <c r="L2690" s="3">
        <f t="shared" si="84"/>
        <v>2005</v>
      </c>
      <c r="M2690" s="20" t="str">
        <f>A2690&amp;L2690</f>
        <v>BEN2005</v>
      </c>
      <c r="N2690" s="3">
        <f>F2690</f>
        <v>0.03</v>
      </c>
      <c r="O2690" s="9">
        <f>H2690</f>
        <v>1.2999999999999999E-3</v>
      </c>
      <c r="P2690" s="10">
        <f t="shared" si="85"/>
        <v>0</v>
      </c>
      <c r="Q2690" s="10">
        <f>IF(K2690=0,IF(A2687=A2690,AVERAGE(O2687:O2690),"x"),0)</f>
        <v>1.2749999999999999E-3</v>
      </c>
      <c r="R2690" s="9">
        <f>IF(L2690&gt;2005,AVERAGE(O2687:O2706),0)</f>
        <v>0</v>
      </c>
      <c r="S2690" s="10">
        <f>IF(A2690=A2691,(N2690-N2691)/N2691,0)</f>
        <v>0</v>
      </c>
      <c r="T2690" s="10">
        <f>IF(L2690&gt;2005,(((N2690-N2710)/N2710)+1)^(1/5)-1,0)</f>
        <v>0</v>
      </c>
      <c r="U2690" s="10">
        <f t="shared" si="86"/>
        <v>0</v>
      </c>
      <c r="V2690" s="26">
        <f t="shared" si="87"/>
        <v>0</v>
      </c>
      <c r="W2690" s="3">
        <f>IF(A2690=A2691,N2690-N2691,0)</f>
        <v>0</v>
      </c>
      <c r="X2690" s="10">
        <f>IF(A2690=A2691,(N2690-N2691)/N2691,0)</f>
        <v>0</v>
      </c>
    </row>
    <row r="2691" spans="1:24" ht="16.5" customHeight="1">
      <c r="A2691" s="3" t="s">
        <v>53</v>
      </c>
      <c r="B2691" s="3">
        <f t="shared" si="80"/>
        <v>2004</v>
      </c>
      <c r="C2691" s="3">
        <f t="shared" si="81"/>
        <v>12</v>
      </c>
      <c r="D2691" s="20" t="str">
        <f t="shared" si="82"/>
        <v>BEN200412</v>
      </c>
      <c r="E2691" s="2">
        <v>38350</v>
      </c>
      <c r="F2691" s="3">
        <v>0.03</v>
      </c>
      <c r="H2691" s="3">
        <v>1.4E-3</v>
      </c>
      <c r="I2691" s="3">
        <v>0</v>
      </c>
      <c r="J2691" s="3">
        <v>0</v>
      </c>
      <c r="K2691" s="3">
        <f t="shared" si="83"/>
        <v>2004</v>
      </c>
      <c r="L2691" s="3">
        <f t="shared" si="84"/>
        <v>0</v>
      </c>
      <c r="M2691" s="20" t="str">
        <f>A2691&amp;L2691</f>
        <v>BEN0</v>
      </c>
      <c r="N2691" s="3">
        <f>F2691</f>
        <v>0.03</v>
      </c>
      <c r="O2691" s="9">
        <f>H2691</f>
        <v>1.4E-3</v>
      </c>
      <c r="P2691" s="10">
        <f t="shared" si="85"/>
        <v>0</v>
      </c>
      <c r="Q2691" s="10">
        <f>IF(K2691=0,IF(A2688=A2691,AVERAGE(O2688:O2691),"x"),0)</f>
        <v>0</v>
      </c>
      <c r="R2691" s="9">
        <f>IF(L2691&gt;2005,AVERAGE(O2688:O2707),0)</f>
        <v>0</v>
      </c>
      <c r="S2691" s="10">
        <f>IF(A2691=A2692,(N2691-N2692)/N2692,0)</f>
        <v>0</v>
      </c>
      <c r="T2691" s="10">
        <f>IF(L2691&gt;2005,(((N2691-N2711)/N2711)+1)^(1/5)-1,0)</f>
        <v>0</v>
      </c>
      <c r="U2691" s="10">
        <f t="shared" si="86"/>
        <v>0</v>
      </c>
      <c r="V2691" s="26">
        <f t="shared" si="87"/>
        <v>0</v>
      </c>
      <c r="W2691" s="3">
        <f>IF(A2691=A2692,N2691-N2692,0)</f>
        <v>0</v>
      </c>
      <c r="X2691" s="10">
        <f>IF(A2691=A2692,(N2691-N2692)/N2692,0)</f>
        <v>0</v>
      </c>
    </row>
    <row r="2692" spans="1:24" ht="16.5" customHeight="1">
      <c r="A2692" s="3" t="s">
        <v>53</v>
      </c>
      <c r="B2692" s="3">
        <f t="shared" si="80"/>
        <v>2004</v>
      </c>
      <c r="C2692" s="3">
        <f t="shared" si="81"/>
        <v>9</v>
      </c>
      <c r="D2692" s="20" t="str">
        <f t="shared" si="82"/>
        <v>BEN20049</v>
      </c>
      <c r="E2692" s="2">
        <v>38260</v>
      </c>
      <c r="F2692" s="3">
        <v>0.03</v>
      </c>
      <c r="H2692" s="3">
        <v>1.5E-3</v>
      </c>
      <c r="I2692" s="3">
        <v>0</v>
      </c>
      <c r="J2692" s="3">
        <v>0</v>
      </c>
      <c r="K2692" s="3">
        <f t="shared" si="83"/>
        <v>2004</v>
      </c>
      <c r="L2692" s="3">
        <f t="shared" si="84"/>
        <v>0</v>
      </c>
      <c r="M2692" s="20" t="str">
        <f>A2692&amp;L2692</f>
        <v>BEN0</v>
      </c>
      <c r="N2692" s="3">
        <f>F2692</f>
        <v>0.03</v>
      </c>
      <c r="O2692" s="9">
        <f>H2692</f>
        <v>1.5E-3</v>
      </c>
      <c r="P2692" s="10">
        <f t="shared" si="85"/>
        <v>0</v>
      </c>
      <c r="Q2692" s="10">
        <f>IF(K2692=0,IF(A2689=A2692,AVERAGE(O2689:O2692),"x"),0)</f>
        <v>0</v>
      </c>
      <c r="R2692" s="9">
        <f>IF(L2692&gt;2005,AVERAGE(O2689:O2708),0)</f>
        <v>0</v>
      </c>
      <c r="S2692" s="10">
        <f>IF(A2692=A2693,(N2692-N2693)/N2693,0)</f>
        <v>0</v>
      </c>
      <c r="T2692" s="10">
        <f>IF(L2692&gt;2005,(((N2692-N2712)/N2712)+1)^(1/5)-1,0)</f>
        <v>0</v>
      </c>
      <c r="U2692" s="10">
        <f t="shared" si="86"/>
        <v>0</v>
      </c>
      <c r="V2692" s="26">
        <f t="shared" si="87"/>
        <v>0</v>
      </c>
      <c r="W2692" s="3">
        <f>IF(A2692=A2693,N2692-N2693,0)</f>
        <v>0</v>
      </c>
      <c r="X2692" s="10">
        <f>IF(A2692=A2693,(N2692-N2693)/N2693,0)</f>
        <v>0</v>
      </c>
    </row>
    <row r="2693" spans="1:24" ht="16.5" customHeight="1">
      <c r="A2693" s="3" t="s">
        <v>53</v>
      </c>
      <c r="B2693" s="3">
        <f t="shared" si="80"/>
        <v>2004</v>
      </c>
      <c r="C2693" s="3">
        <f t="shared" si="81"/>
        <v>7</v>
      </c>
      <c r="D2693" s="20" t="str">
        <f t="shared" si="82"/>
        <v>BEN20047</v>
      </c>
      <c r="E2693" s="2">
        <v>38169</v>
      </c>
      <c r="F2693" s="3">
        <v>0.03</v>
      </c>
      <c r="H2693" s="3">
        <v>1.6999999999999999E-3</v>
      </c>
      <c r="I2693" s="3">
        <v>0</v>
      </c>
      <c r="J2693" s="3">
        <v>0</v>
      </c>
      <c r="K2693" s="3">
        <f t="shared" si="83"/>
        <v>2004</v>
      </c>
      <c r="L2693" s="3">
        <f t="shared" si="84"/>
        <v>0</v>
      </c>
      <c r="M2693" s="20" t="str">
        <f>A2693&amp;L2693</f>
        <v>BEN0</v>
      </c>
      <c r="N2693" s="3">
        <f>F2693</f>
        <v>0.03</v>
      </c>
      <c r="O2693" s="9">
        <f>H2693</f>
        <v>1.6999999999999999E-3</v>
      </c>
      <c r="P2693" s="10">
        <f t="shared" si="85"/>
        <v>0</v>
      </c>
      <c r="Q2693" s="10">
        <f>IF(K2693=0,IF(A2690=A2693,AVERAGE(O2690:O2693),"x"),0)</f>
        <v>0</v>
      </c>
      <c r="R2693" s="9">
        <f>IF(L2693&gt;2005,AVERAGE(O2690:O2709),0)</f>
        <v>0</v>
      </c>
      <c r="S2693" s="10">
        <f>IF(A2693=A2694,(N2693-N2694)/N2694,0)</f>
        <v>0</v>
      </c>
      <c r="T2693" s="10">
        <f>IF(L2693&gt;2005,(((N2693-N2713)/N2713)+1)^(1/5)-1,0)</f>
        <v>0</v>
      </c>
      <c r="U2693" s="10">
        <f t="shared" si="86"/>
        <v>0</v>
      </c>
      <c r="V2693" s="26">
        <f t="shared" si="87"/>
        <v>0</v>
      </c>
      <c r="W2693" s="3">
        <f>IF(A2693=A2694,N2693-N2694,0)</f>
        <v>0</v>
      </c>
      <c r="X2693" s="10">
        <f>IF(A2693=A2694,(N2693-N2694)/N2694,0)</f>
        <v>0</v>
      </c>
    </row>
    <row r="2694" spans="1:24" ht="16.5" customHeight="1">
      <c r="A2694" s="3" t="s">
        <v>53</v>
      </c>
      <c r="B2694" s="3">
        <f t="shared" si="80"/>
        <v>2004</v>
      </c>
      <c r="C2694" s="3">
        <f t="shared" si="81"/>
        <v>3</v>
      </c>
      <c r="D2694" s="20" t="str">
        <f t="shared" si="82"/>
        <v>BEN20043</v>
      </c>
      <c r="E2694" s="2">
        <v>38075</v>
      </c>
      <c r="F2694" s="3">
        <v>0.03</v>
      </c>
      <c r="H2694" s="3">
        <v>1.5E-3</v>
      </c>
      <c r="I2694" s="3">
        <v>0</v>
      </c>
      <c r="J2694" s="3">
        <v>0</v>
      </c>
      <c r="K2694" s="3">
        <f t="shared" si="83"/>
        <v>0</v>
      </c>
      <c r="L2694" s="3">
        <f t="shared" si="84"/>
        <v>2004</v>
      </c>
      <c r="M2694" s="20" t="str">
        <f>A2694&amp;L2694</f>
        <v>BEN2004</v>
      </c>
      <c r="N2694" s="3">
        <f>F2694</f>
        <v>0.03</v>
      </c>
      <c r="O2694" s="9">
        <f>H2694</f>
        <v>1.5E-3</v>
      </c>
      <c r="P2694" s="10">
        <f t="shared" si="85"/>
        <v>0</v>
      </c>
      <c r="Q2694" s="10">
        <f>IF(K2694=0,IF(A2691=A2694,AVERAGE(O2691:O2694),"x"),0)</f>
        <v>1.5249999999999999E-3</v>
      </c>
      <c r="R2694" s="9">
        <f>IF(L2694&gt;2005,AVERAGE(O2691:O2710),0)</f>
        <v>0</v>
      </c>
      <c r="S2694" s="10">
        <f>IF(A2694=A2695,(N2694-N2695)/N2695,0)</f>
        <v>0</v>
      </c>
      <c r="T2694" s="10">
        <f>IF(L2694&gt;2005,(((N2694-N2714)/N2714)+1)^(1/5)-1,0)</f>
        <v>0</v>
      </c>
      <c r="U2694" s="10">
        <f t="shared" si="86"/>
        <v>0</v>
      </c>
      <c r="V2694" s="26">
        <f t="shared" si="87"/>
        <v>0</v>
      </c>
      <c r="W2694" s="3">
        <f>IF(A2694=A2695,N2694-N2695,0)</f>
        <v>0</v>
      </c>
      <c r="X2694" s="10">
        <f>IF(A2694=A2695,(N2694-N2695)/N2695,0)</f>
        <v>0</v>
      </c>
    </row>
    <row r="2695" spans="1:24" ht="16.5" customHeight="1">
      <c r="A2695" s="3" t="s">
        <v>53</v>
      </c>
      <c r="B2695" s="3">
        <f t="shared" si="80"/>
        <v>2003</v>
      </c>
      <c r="C2695" s="3">
        <f t="shared" si="81"/>
        <v>12</v>
      </c>
      <c r="D2695" s="20" t="str">
        <f t="shared" si="82"/>
        <v>BEN200312</v>
      </c>
      <c r="E2695" s="2">
        <v>37984</v>
      </c>
      <c r="F2695" s="3">
        <v>0.03</v>
      </c>
      <c r="H2695" s="3">
        <v>1.6000000000000001E-3</v>
      </c>
      <c r="I2695" s="3">
        <v>0</v>
      </c>
      <c r="J2695" s="3">
        <v>0</v>
      </c>
      <c r="K2695" s="3">
        <f t="shared" si="83"/>
        <v>2003</v>
      </c>
      <c r="L2695" s="3">
        <f t="shared" si="84"/>
        <v>0</v>
      </c>
      <c r="M2695" s="20" t="str">
        <f>A2695&amp;L2695</f>
        <v>BEN0</v>
      </c>
      <c r="N2695" s="3">
        <f>F2695</f>
        <v>0.03</v>
      </c>
      <c r="O2695" s="9">
        <f>H2695</f>
        <v>1.6000000000000001E-3</v>
      </c>
      <c r="P2695" s="10">
        <f t="shared" si="85"/>
        <v>0</v>
      </c>
      <c r="Q2695" s="10">
        <f>IF(K2695=0,IF(A2692=A2695,AVERAGE(O2692:O2695),"x"),0)</f>
        <v>0</v>
      </c>
      <c r="R2695" s="9">
        <f>IF(L2695&gt;2005,AVERAGE(O2692:O2711),0)</f>
        <v>0</v>
      </c>
      <c r="S2695" s="10">
        <f>IF(A2695=A2696,(N2695-N2696)/N2696,0)</f>
        <v>0</v>
      </c>
      <c r="T2695" s="10">
        <f>IF(L2695&gt;2005,(((N2695-N2715)/N2715)+1)^(1/5)-1,0)</f>
        <v>0</v>
      </c>
      <c r="U2695" s="10">
        <f t="shared" si="86"/>
        <v>0</v>
      </c>
      <c r="V2695" s="26">
        <f t="shared" si="87"/>
        <v>0</v>
      </c>
      <c r="W2695" s="3">
        <f>IF(A2695=A2696,N2695-N2696,0)</f>
        <v>0</v>
      </c>
      <c r="X2695" s="10">
        <f>IF(A2695=A2696,(N2695-N2696)/N2696,0)</f>
        <v>0</v>
      </c>
    </row>
    <row r="2696" spans="1:24" ht="16.5" customHeight="1">
      <c r="A2696" s="3" t="s">
        <v>53</v>
      </c>
      <c r="B2696" s="3">
        <f t="shared" si="80"/>
        <v>2003</v>
      </c>
      <c r="C2696" s="3">
        <f t="shared" si="81"/>
        <v>10</v>
      </c>
      <c r="D2696" s="20" t="str">
        <f t="shared" si="82"/>
        <v>BEN200310</v>
      </c>
      <c r="E2696" s="2">
        <v>37896</v>
      </c>
      <c r="F2696" s="3">
        <v>0.03</v>
      </c>
      <c r="H2696" s="3">
        <v>1.6000000000000001E-3</v>
      </c>
      <c r="I2696" s="3">
        <v>0</v>
      </c>
      <c r="J2696" s="3">
        <v>0</v>
      </c>
      <c r="K2696" s="3">
        <f t="shared" si="83"/>
        <v>2003</v>
      </c>
      <c r="L2696" s="3">
        <f t="shared" si="84"/>
        <v>0</v>
      </c>
      <c r="M2696" s="20" t="str">
        <f>A2696&amp;L2696</f>
        <v>BEN0</v>
      </c>
      <c r="N2696" s="3">
        <f>F2696</f>
        <v>0.03</v>
      </c>
      <c r="O2696" s="9">
        <f>H2696</f>
        <v>1.6000000000000001E-3</v>
      </c>
      <c r="P2696" s="10">
        <f t="shared" si="85"/>
        <v>0</v>
      </c>
      <c r="Q2696" s="10">
        <f>IF(K2696=0,IF(A2693=A2696,AVERAGE(O2693:O2696),"x"),0)</f>
        <v>0</v>
      </c>
      <c r="R2696" s="9">
        <f>IF(L2696&gt;2005,AVERAGE(O2693:O2712),0)</f>
        <v>0</v>
      </c>
      <c r="S2696" s="10">
        <f>IF(A2696=A2697,(N2696-N2697)/N2697,0)</f>
        <v>0</v>
      </c>
      <c r="T2696" s="10">
        <f>IF(L2696&gt;2005,(((N2696-N2716)/N2716)+1)^(1/5)-1,0)</f>
        <v>0</v>
      </c>
      <c r="U2696" s="10">
        <f t="shared" si="86"/>
        <v>0</v>
      </c>
      <c r="V2696" s="26">
        <f t="shared" si="87"/>
        <v>0</v>
      </c>
      <c r="W2696" s="3">
        <f>IF(A2696=A2697,N2696-N2697,0)</f>
        <v>0</v>
      </c>
      <c r="X2696" s="10">
        <f>IF(A2696=A2697,(N2696-N2697)/N2697,0)</f>
        <v>0</v>
      </c>
    </row>
    <row r="2697" spans="1:24" ht="16.5" customHeight="1">
      <c r="A2697" s="3" t="s">
        <v>53</v>
      </c>
      <c r="B2697" s="3">
        <f t="shared" si="80"/>
        <v>2003</v>
      </c>
      <c r="C2697" s="3">
        <f t="shared" si="81"/>
        <v>6</v>
      </c>
      <c r="D2697" s="20" t="str">
        <f t="shared" si="82"/>
        <v>BEN20036</v>
      </c>
      <c r="E2697" s="2">
        <v>37798</v>
      </c>
      <c r="F2697" s="3">
        <v>0.03</v>
      </c>
      <c r="H2697" s="3">
        <v>1.9E-3</v>
      </c>
      <c r="I2697" s="3">
        <v>0</v>
      </c>
      <c r="J2697" s="3">
        <v>0</v>
      </c>
      <c r="K2697" s="3">
        <f t="shared" si="83"/>
        <v>2003</v>
      </c>
      <c r="L2697" s="3">
        <f t="shared" si="84"/>
        <v>0</v>
      </c>
      <c r="M2697" s="20" t="str">
        <f>A2697&amp;L2697</f>
        <v>BEN0</v>
      </c>
      <c r="N2697" s="3">
        <f>F2697</f>
        <v>0.03</v>
      </c>
      <c r="O2697" s="9">
        <f>H2697</f>
        <v>1.9E-3</v>
      </c>
      <c r="P2697" s="10">
        <f t="shared" si="85"/>
        <v>0</v>
      </c>
      <c r="Q2697" s="10">
        <f>IF(K2697=0,IF(A2694=A2697,AVERAGE(O2694:O2697),"x"),0)</f>
        <v>0</v>
      </c>
      <c r="R2697" s="9">
        <f>IF(L2697&gt;2005,AVERAGE(O2694:O2713),0)</f>
        <v>0</v>
      </c>
      <c r="S2697" s="10">
        <f>IF(A2697=A2698,(N2697-N2698)/N2698,0)</f>
        <v>0</v>
      </c>
      <c r="T2697" s="10">
        <f>IF(L2697&gt;2005,(((N2697-N2717)/N2717)+1)^(1/5)-1,0)</f>
        <v>0</v>
      </c>
      <c r="U2697" s="10">
        <f t="shared" si="86"/>
        <v>0</v>
      </c>
      <c r="V2697" s="26">
        <f t="shared" si="87"/>
        <v>0</v>
      </c>
      <c r="W2697" s="3">
        <f>IF(A2697=A2698,N2697-N2698,0)</f>
        <v>0</v>
      </c>
      <c r="X2697" s="10">
        <f>IF(A2697=A2698,(N2697-N2698)/N2698,0)</f>
        <v>0</v>
      </c>
    </row>
    <row r="2698" spans="1:24" ht="16.5" customHeight="1">
      <c r="A2698" s="3" t="s">
        <v>53</v>
      </c>
      <c r="B2698" s="3">
        <f t="shared" si="80"/>
        <v>2003</v>
      </c>
      <c r="C2698" s="3">
        <f t="shared" si="81"/>
        <v>3</v>
      </c>
      <c r="D2698" s="20" t="str">
        <f t="shared" si="82"/>
        <v>BEN20033</v>
      </c>
      <c r="E2698" s="2">
        <v>37707</v>
      </c>
      <c r="F2698" s="3">
        <v>0.03</v>
      </c>
      <c r="H2698" s="3">
        <v>2.2000000000000001E-3</v>
      </c>
      <c r="I2698" s="3">
        <v>0</v>
      </c>
      <c r="J2698" s="3">
        <v>0</v>
      </c>
      <c r="K2698" s="3">
        <f t="shared" si="83"/>
        <v>0</v>
      </c>
      <c r="L2698" s="3">
        <f t="shared" si="84"/>
        <v>2003</v>
      </c>
      <c r="M2698" s="20" t="str">
        <f>A2698&amp;L2698</f>
        <v>BEN2003</v>
      </c>
      <c r="N2698" s="3">
        <f>F2698</f>
        <v>0.03</v>
      </c>
      <c r="O2698" s="9">
        <f>H2698</f>
        <v>2.2000000000000001E-3</v>
      </c>
      <c r="P2698" s="10">
        <f t="shared" si="85"/>
        <v>0</v>
      </c>
      <c r="Q2698" s="10">
        <f>IF(K2698=0,IF(A2695=A2698,AVERAGE(O2695:O2698),"x"),0)</f>
        <v>1.8250000000000002E-3</v>
      </c>
      <c r="R2698" s="9">
        <f>IF(L2698&gt;2005,AVERAGE(O2695:O2714),0)</f>
        <v>0</v>
      </c>
      <c r="S2698" s="10">
        <f>IF(A2698=A2699,(N2698-N2699)/N2699,0)</f>
        <v>0</v>
      </c>
      <c r="T2698" s="10">
        <f>IF(L2698&gt;2005,(((N2698-N2718)/N2718)+1)^(1/5)-1,0)</f>
        <v>0</v>
      </c>
      <c r="U2698" s="10">
        <f t="shared" si="86"/>
        <v>0</v>
      </c>
      <c r="V2698" s="26">
        <f t="shared" si="87"/>
        <v>0</v>
      </c>
      <c r="W2698" s="3">
        <f>IF(A2698=A2699,N2698-N2699,0)</f>
        <v>0</v>
      </c>
      <c r="X2698" s="10">
        <f>IF(A2698=A2699,(N2698-N2699)/N2699,0)</f>
        <v>0</v>
      </c>
    </row>
    <row r="2699" spans="1:24" ht="16.5" customHeight="1">
      <c r="A2699" s="3" t="s">
        <v>53</v>
      </c>
      <c r="B2699" s="3">
        <f t="shared" si="80"/>
        <v>2002</v>
      </c>
      <c r="C2699" s="3">
        <f t="shared" si="81"/>
        <v>12</v>
      </c>
      <c r="D2699" s="20" t="str">
        <f t="shared" si="82"/>
        <v>BEN200212</v>
      </c>
      <c r="E2699" s="2">
        <v>37617</v>
      </c>
      <c r="F2699" s="3">
        <v>0.03</v>
      </c>
      <c r="H2699" s="3">
        <v>2.2000000000000001E-3</v>
      </c>
      <c r="I2699" s="3">
        <v>0.5</v>
      </c>
      <c r="J2699" s="3">
        <v>0.01</v>
      </c>
      <c r="K2699" s="3">
        <f t="shared" si="83"/>
        <v>2002</v>
      </c>
      <c r="L2699" s="3">
        <f t="shared" si="84"/>
        <v>0</v>
      </c>
      <c r="M2699" s="20" t="str">
        <f>A2699&amp;L2699</f>
        <v>BEN0</v>
      </c>
      <c r="N2699" s="3">
        <f>F2699</f>
        <v>0.03</v>
      </c>
      <c r="O2699" s="9">
        <f>H2699</f>
        <v>2.2000000000000001E-3</v>
      </c>
      <c r="P2699" s="10">
        <f t="shared" si="85"/>
        <v>2E-3</v>
      </c>
      <c r="Q2699" s="10">
        <f>IF(K2699=0,IF(A2696=A2699,AVERAGE(O2696:O2699),"x"),0)</f>
        <v>0</v>
      </c>
      <c r="R2699" s="9">
        <f>IF(L2699&gt;2005,AVERAGE(O2696:O2715),0)</f>
        <v>0</v>
      </c>
      <c r="S2699" s="10">
        <f>IF(A2699=A2700,(N2699-N2700)/N2700,0)</f>
        <v>0.49999999999999989</v>
      </c>
      <c r="T2699" s="10">
        <f>IF(L2699&gt;2005,(((N2699-N2719)/N2719)+1)^(1/5)-1,0)</f>
        <v>0</v>
      </c>
      <c r="U2699" s="10">
        <f t="shared" si="86"/>
        <v>0</v>
      </c>
      <c r="V2699" s="26">
        <f t="shared" si="87"/>
        <v>0</v>
      </c>
      <c r="W2699" s="3">
        <f>IF(A2699=A2700,N2699-N2700,0)</f>
        <v>9.9999999999999985E-3</v>
      </c>
      <c r="X2699" s="10">
        <f>IF(A2699=A2700,(N2699-N2700)/N2700,0)</f>
        <v>0.49999999999999989</v>
      </c>
    </row>
    <row r="2700" spans="1:24" ht="16.5" customHeight="1">
      <c r="A2700" s="3" t="s">
        <v>53</v>
      </c>
      <c r="B2700" s="3">
        <f t="shared" si="80"/>
        <v>2002</v>
      </c>
      <c r="C2700" s="3">
        <f t="shared" si="81"/>
        <v>10</v>
      </c>
      <c r="D2700" s="20" t="str">
        <f t="shared" si="82"/>
        <v>BEN200210</v>
      </c>
      <c r="E2700" s="2">
        <v>37532</v>
      </c>
      <c r="F2700" s="3">
        <v>0.02</v>
      </c>
      <c r="H2700" s="3">
        <v>2.3E-3</v>
      </c>
      <c r="I2700" s="3">
        <v>0</v>
      </c>
      <c r="J2700" s="3">
        <v>0</v>
      </c>
      <c r="K2700" s="3">
        <f t="shared" si="83"/>
        <v>2002</v>
      </c>
      <c r="L2700" s="3">
        <f t="shared" si="84"/>
        <v>0</v>
      </c>
      <c r="M2700" s="20" t="str">
        <f>A2700&amp;L2700</f>
        <v>BEN0</v>
      </c>
      <c r="N2700" s="3">
        <f>F2700</f>
        <v>0.02</v>
      </c>
      <c r="O2700" s="9">
        <f>H2700</f>
        <v>2.3E-3</v>
      </c>
      <c r="P2700" s="10">
        <f t="shared" si="85"/>
        <v>0</v>
      </c>
      <c r="Q2700" s="10">
        <f>IF(K2700=0,IF(A2697=A2700,AVERAGE(O2697:O2700),"x"),0)</f>
        <v>0</v>
      </c>
      <c r="R2700" s="9">
        <f>IF(L2700&gt;2005,AVERAGE(O2697:O2716),0)</f>
        <v>0</v>
      </c>
      <c r="S2700" s="10">
        <f>IF(A2700=A2701,(N2700-N2701)/N2701,0)</f>
        <v>0</v>
      </c>
      <c r="T2700" s="10">
        <f>IF(L2700&gt;2005,(((N2700-N2720)/N2720)+1)^(1/5)-1,0)</f>
        <v>0</v>
      </c>
      <c r="U2700" s="10">
        <f t="shared" si="86"/>
        <v>0</v>
      </c>
      <c r="V2700" s="26">
        <f t="shared" si="87"/>
        <v>0</v>
      </c>
      <c r="W2700" s="3">
        <f>IF(A2700=A2701,N2700-N2701,0)</f>
        <v>0</v>
      </c>
      <c r="X2700" s="10">
        <f>IF(A2700=A2701,(N2700-N2701)/N2701,0)</f>
        <v>0</v>
      </c>
    </row>
    <row r="2701" spans="1:24" ht="16.5" customHeight="1">
      <c r="A2701" s="3" t="s">
        <v>53</v>
      </c>
      <c r="B2701" s="3">
        <f t="shared" si="80"/>
        <v>2002</v>
      </c>
      <c r="C2701" s="3">
        <f t="shared" si="81"/>
        <v>7</v>
      </c>
      <c r="D2701" s="20" t="str">
        <f t="shared" si="82"/>
        <v>BEN20027</v>
      </c>
      <c r="E2701" s="2">
        <v>37440</v>
      </c>
      <c r="F2701" s="3">
        <v>0.02</v>
      </c>
      <c r="H2701" s="3">
        <v>1.8E-3</v>
      </c>
      <c r="I2701" s="3">
        <v>0</v>
      </c>
      <c r="J2701" s="3">
        <v>0</v>
      </c>
      <c r="K2701" s="3">
        <f t="shared" si="83"/>
        <v>2002</v>
      </c>
      <c r="L2701" s="3">
        <f t="shared" si="84"/>
        <v>0</v>
      </c>
      <c r="M2701" s="20" t="str">
        <f>A2701&amp;L2701</f>
        <v>BEN0</v>
      </c>
      <c r="N2701" s="3">
        <f>F2701</f>
        <v>0.02</v>
      </c>
      <c r="O2701" s="9">
        <f>H2701</f>
        <v>1.8E-3</v>
      </c>
      <c r="P2701" s="10">
        <f t="shared" si="85"/>
        <v>0</v>
      </c>
      <c r="Q2701" s="10">
        <f>IF(K2701=0,IF(A2698=A2701,AVERAGE(O2698:O2701),"x"),0)</f>
        <v>0</v>
      </c>
      <c r="R2701" s="9">
        <f>IF(L2701&gt;2005,AVERAGE(O2698:O2717),0)</f>
        <v>0</v>
      </c>
      <c r="S2701" s="10">
        <f>IF(A2701=A2702,(N2701-N2702)/N2702,0)</f>
        <v>0</v>
      </c>
      <c r="T2701" s="10">
        <f>IF(L2701&gt;2005,(((N2701-N2721)/N2721)+1)^(1/5)-1,0)</f>
        <v>0</v>
      </c>
      <c r="U2701" s="10">
        <f t="shared" si="86"/>
        <v>0</v>
      </c>
      <c r="V2701" s="26">
        <f t="shared" si="87"/>
        <v>0</v>
      </c>
      <c r="W2701" s="3">
        <f>IF(A2701=A2702,N2701-N2702,0)</f>
        <v>0</v>
      </c>
      <c r="X2701" s="10">
        <f>IF(A2701=A2702,(N2701-N2702)/N2702,0)</f>
        <v>0</v>
      </c>
    </row>
    <row r="2702" spans="1:24" ht="16.5" customHeight="1">
      <c r="A2702" s="3" t="s">
        <v>53</v>
      </c>
      <c r="B2702" s="3">
        <f t="shared" si="80"/>
        <v>2002</v>
      </c>
      <c r="C2702" s="3">
        <f t="shared" si="81"/>
        <v>3</v>
      </c>
      <c r="D2702" s="20" t="str">
        <f t="shared" si="82"/>
        <v>BEN20023</v>
      </c>
      <c r="E2702" s="2">
        <v>37341</v>
      </c>
      <c r="F2702" s="3">
        <v>0.02</v>
      </c>
      <c r="H2702" s="3">
        <v>1.6999999999999999E-3</v>
      </c>
      <c r="I2702" s="3">
        <v>0</v>
      </c>
      <c r="J2702" s="3">
        <v>0</v>
      </c>
      <c r="K2702" s="3">
        <f t="shared" si="83"/>
        <v>0</v>
      </c>
      <c r="L2702" s="3">
        <f t="shared" si="84"/>
        <v>2002</v>
      </c>
      <c r="M2702" s="20" t="str">
        <f>A2702&amp;L2702</f>
        <v>BEN2002</v>
      </c>
      <c r="N2702" s="3">
        <f>F2702</f>
        <v>0.02</v>
      </c>
      <c r="O2702" s="9">
        <f>H2702</f>
        <v>1.6999999999999999E-3</v>
      </c>
      <c r="P2702" s="10">
        <f t="shared" si="85"/>
        <v>0</v>
      </c>
      <c r="Q2702" s="10">
        <f>IF(K2702=0,IF(A2699=A2702,AVERAGE(O2699:O2702),"x"),0)</f>
        <v>2E-3</v>
      </c>
      <c r="R2702" s="9">
        <f>IF(L2702&gt;2005,AVERAGE(O2699:O2718),0)</f>
        <v>0</v>
      </c>
      <c r="S2702" s="10">
        <f>IF(A2702=A2703,(N2702-N2703)/N2703,0)</f>
        <v>0</v>
      </c>
      <c r="T2702" s="10">
        <f>IF(L2702&gt;2005,(((N2702-N2722)/N2722)+1)^(1/5)-1,0)</f>
        <v>0</v>
      </c>
      <c r="U2702" s="10">
        <f t="shared" si="86"/>
        <v>0</v>
      </c>
      <c r="V2702" s="26">
        <f t="shared" si="87"/>
        <v>0</v>
      </c>
      <c r="W2702" s="3">
        <f>IF(A2702=A2703,N2702-N2703,0)</f>
        <v>0</v>
      </c>
      <c r="X2702" s="10">
        <f>IF(A2702=A2703,(N2702-N2703)/N2703,0)</f>
        <v>0</v>
      </c>
    </row>
    <row r="2703" spans="1:24" ht="16.5" customHeight="1">
      <c r="A2703" s="3" t="s">
        <v>53</v>
      </c>
      <c r="B2703" s="3">
        <f t="shared" si="80"/>
        <v>2001</v>
      </c>
      <c r="C2703" s="3">
        <f t="shared" si="81"/>
        <v>12</v>
      </c>
      <c r="D2703" s="20" t="str">
        <f t="shared" si="82"/>
        <v>BEN200112</v>
      </c>
      <c r="E2703" s="2">
        <v>37252</v>
      </c>
      <c r="F2703" s="3">
        <v>0.02</v>
      </c>
      <c r="H2703" s="3">
        <v>2E-3</v>
      </c>
      <c r="I2703" s="3">
        <v>1</v>
      </c>
      <c r="J2703" s="3">
        <v>0.01</v>
      </c>
      <c r="K2703" s="3">
        <f t="shared" si="83"/>
        <v>2001</v>
      </c>
      <c r="L2703" s="3">
        <f t="shared" si="84"/>
        <v>0</v>
      </c>
      <c r="M2703" s="20" t="str">
        <f>A2703&amp;L2703</f>
        <v>BEN0</v>
      </c>
      <c r="N2703" s="3">
        <f>F2703</f>
        <v>0.02</v>
      </c>
      <c r="O2703" s="9">
        <f>H2703</f>
        <v>2E-3</v>
      </c>
      <c r="P2703" s="10">
        <f t="shared" si="85"/>
        <v>1.4250000000000001E-3</v>
      </c>
      <c r="Q2703" s="10">
        <f>IF(K2703=0,IF(A2700=A2703,AVERAGE(O2700:O2703),"x"),0)</f>
        <v>0</v>
      </c>
      <c r="R2703" s="9">
        <f>IF(L2703&gt;2005,AVERAGE(O2700:O2719),0)</f>
        <v>0</v>
      </c>
      <c r="S2703" s="10">
        <f>IF(A2703=A2704,(N2703-N2704)/N2704,0)</f>
        <v>1</v>
      </c>
      <c r="T2703" s="10">
        <f>IF(L2703&gt;2005,(((N2703-N2723)/N2723)+1)^(1/5)-1,0)</f>
        <v>0</v>
      </c>
      <c r="U2703" s="10">
        <f t="shared" si="86"/>
        <v>0</v>
      </c>
      <c r="V2703" s="26">
        <f t="shared" si="87"/>
        <v>0</v>
      </c>
      <c r="W2703" s="3">
        <f>IF(A2703=A2704,N2703-N2704,0)</f>
        <v>0.01</v>
      </c>
      <c r="X2703" s="10">
        <f>IF(A2703=A2704,(N2703-N2704)/N2704,0)</f>
        <v>1</v>
      </c>
    </row>
    <row r="2704" spans="1:24" ht="16.5" customHeight="1">
      <c r="A2704" s="3" t="s">
        <v>53</v>
      </c>
      <c r="B2704" s="3">
        <f t="shared" si="80"/>
        <v>2001</v>
      </c>
      <c r="C2704" s="3">
        <f t="shared" si="81"/>
        <v>10</v>
      </c>
      <c r="D2704" s="20" t="str">
        <f t="shared" si="82"/>
        <v>BEN200110</v>
      </c>
      <c r="E2704" s="2">
        <v>37167</v>
      </c>
      <c r="F2704" s="14">
        <v>0.01</v>
      </c>
      <c r="H2704" s="3">
        <v>5.9999999999999995E-4</v>
      </c>
      <c r="I2704" s="3">
        <v>-0.5</v>
      </c>
      <c r="J2704" s="3">
        <v>-0.01</v>
      </c>
      <c r="K2704" s="3">
        <f t="shared" si="83"/>
        <v>2001</v>
      </c>
      <c r="L2704" s="3">
        <f t="shared" si="84"/>
        <v>0</v>
      </c>
      <c r="M2704" s="20" t="str">
        <f>A2704&amp;L2704</f>
        <v>BEN0</v>
      </c>
      <c r="N2704" s="3">
        <f>F2704</f>
        <v>0.01</v>
      </c>
      <c r="O2704" s="9">
        <f>H2704</f>
        <v>5.9999999999999995E-4</v>
      </c>
      <c r="P2704" s="10">
        <f t="shared" si="85"/>
        <v>0</v>
      </c>
      <c r="Q2704" s="10">
        <f>IF(K2704=0,IF(A2701=A2704,AVERAGE(O2701:O2704),"x"),0)</f>
        <v>0</v>
      </c>
      <c r="R2704" s="9">
        <f>IF(L2704&gt;2005,AVERAGE(O2701:O2720),0)</f>
        <v>0</v>
      </c>
      <c r="S2704" s="10">
        <f>IF(A2704=A2705,(N2704-N2705)/N2705,0)</f>
        <v>0</v>
      </c>
      <c r="T2704" s="10">
        <f>IF(L2704&gt;2005,(((N2704-N2724)/N2724)+1)^(1/5)-1,0)</f>
        <v>0</v>
      </c>
      <c r="U2704" s="10">
        <f t="shared" si="86"/>
        <v>0</v>
      </c>
      <c r="V2704" s="26">
        <f t="shared" si="87"/>
        <v>0</v>
      </c>
      <c r="W2704" s="3">
        <f>IF(A2704=A2705,N2704-N2705,0)</f>
        <v>0</v>
      </c>
      <c r="X2704" s="10">
        <f>IF(A2704=A2705,(N2704-N2705)/N2705,0)</f>
        <v>0</v>
      </c>
    </row>
    <row r="2705" spans="1:24" ht="16.5" customHeight="1">
      <c r="A2705" s="3" t="s">
        <v>53</v>
      </c>
      <c r="B2705" s="3">
        <f t="shared" si="80"/>
        <v>2001</v>
      </c>
      <c r="C2705" s="3">
        <f t="shared" si="81"/>
        <v>7</v>
      </c>
      <c r="D2705" s="20" t="str">
        <f t="shared" si="82"/>
        <v>BEN20017</v>
      </c>
      <c r="E2705" s="2">
        <v>37074</v>
      </c>
      <c r="F2705" s="3">
        <v>0.02</v>
      </c>
      <c r="H2705" s="3">
        <v>1.4E-3</v>
      </c>
      <c r="I2705" s="3">
        <v>0</v>
      </c>
      <c r="J2705" s="3">
        <v>0</v>
      </c>
      <c r="K2705" s="3">
        <f t="shared" si="83"/>
        <v>2001</v>
      </c>
      <c r="L2705" s="3">
        <f t="shared" si="84"/>
        <v>0</v>
      </c>
      <c r="M2705" s="20" t="str">
        <f>A2705&amp;L2705</f>
        <v>BEN0</v>
      </c>
      <c r="N2705" s="3">
        <f t="shared" ref="N2705:N2710" si="88">F2705/2</f>
        <v>0.01</v>
      </c>
      <c r="O2705" s="9">
        <f>H2705</f>
        <v>1.4E-3</v>
      </c>
      <c r="P2705" s="10">
        <f t="shared" si="85"/>
        <v>0</v>
      </c>
      <c r="Q2705" s="10">
        <f>IF(K2705=0,IF(A2702=A2705,AVERAGE(O2702:O2705),"x"),0)</f>
        <v>0</v>
      </c>
      <c r="R2705" s="9">
        <f>IF(L2705&gt;2005,AVERAGE(O2702:O2721),0)</f>
        <v>0</v>
      </c>
      <c r="S2705" s="10">
        <f>IF(A2705=A2706,(N2705-N2706)/N2706,0)</f>
        <v>0</v>
      </c>
      <c r="T2705" s="10">
        <f>IF(L2705&gt;2005,(((N2705-N2725)/N2725)+1)^(1/5)-1,0)</f>
        <v>0</v>
      </c>
      <c r="U2705" s="10">
        <f t="shared" si="86"/>
        <v>0</v>
      </c>
      <c r="V2705" s="26">
        <f t="shared" si="87"/>
        <v>0</v>
      </c>
      <c r="W2705" s="3">
        <f>IF(A2705=A2706,N2705-N2706,0)</f>
        <v>0</v>
      </c>
      <c r="X2705" s="10">
        <f>IF(A2705=A2706,(N2705-N2706)/N2706,0)</f>
        <v>0</v>
      </c>
    </row>
    <row r="2706" spans="1:24" ht="16.5" customHeight="1">
      <c r="A2706" s="3" t="s">
        <v>53</v>
      </c>
      <c r="B2706" s="3">
        <f t="shared" si="80"/>
        <v>2001</v>
      </c>
      <c r="C2706" s="3">
        <f t="shared" si="81"/>
        <v>3</v>
      </c>
      <c r="D2706" s="20" t="str">
        <f t="shared" si="82"/>
        <v>BEN20013</v>
      </c>
      <c r="E2706" s="2">
        <v>36979</v>
      </c>
      <c r="F2706" s="3">
        <v>0.02</v>
      </c>
      <c r="H2706" s="3">
        <v>1.6999999999999999E-3</v>
      </c>
      <c r="I2706" s="3">
        <v>0</v>
      </c>
      <c r="J2706" s="3">
        <v>0</v>
      </c>
      <c r="K2706" s="3">
        <f t="shared" si="83"/>
        <v>0</v>
      </c>
      <c r="L2706" s="3">
        <f t="shared" si="84"/>
        <v>2001</v>
      </c>
      <c r="M2706" s="20" t="str">
        <f>A2706&amp;L2706</f>
        <v>BEN2001</v>
      </c>
      <c r="N2706" s="3">
        <f t="shared" si="88"/>
        <v>0.01</v>
      </c>
      <c r="O2706" s="9">
        <f>H2706</f>
        <v>1.6999999999999999E-3</v>
      </c>
      <c r="P2706" s="10">
        <f t="shared" si="85"/>
        <v>0</v>
      </c>
      <c r="Q2706" s="10">
        <f>IF(K2706=0,IF(A2703=A2706,AVERAGE(O2703:O2706),"x"),0)</f>
        <v>1.4250000000000001E-3</v>
      </c>
      <c r="R2706" s="9">
        <f>IF(L2706&gt;2005,AVERAGE(O2703:O2722),0)</f>
        <v>0</v>
      </c>
      <c r="S2706" s="10">
        <f>IF(A2706=A2707,(N2706-N2707)/N2707,0)</f>
        <v>0</v>
      </c>
      <c r="T2706" s="10">
        <f>IF(L2706&gt;2005,(((N2706-N2726)/N2726)+1)^(1/5)-1,0)</f>
        <v>0</v>
      </c>
      <c r="U2706" s="10">
        <f t="shared" si="86"/>
        <v>0</v>
      </c>
      <c r="V2706" s="26">
        <f t="shared" si="87"/>
        <v>0</v>
      </c>
      <c r="W2706" s="3">
        <f>IF(A2706=A2707,N2706-N2707,0)</f>
        <v>0</v>
      </c>
      <c r="X2706" s="10">
        <f>IF(A2706=A2707,(N2706-N2707)/N2707,0)</f>
        <v>0</v>
      </c>
    </row>
    <row r="2707" spans="1:24" ht="16.5" customHeight="1">
      <c r="A2707" s="3" t="s">
        <v>53</v>
      </c>
      <c r="B2707" s="3">
        <f t="shared" si="80"/>
        <v>2000</v>
      </c>
      <c r="C2707" s="3">
        <f t="shared" si="81"/>
        <v>12</v>
      </c>
      <c r="D2707" s="20" t="str">
        <f t="shared" si="82"/>
        <v>BEN200012</v>
      </c>
      <c r="E2707" s="2">
        <v>36887</v>
      </c>
      <c r="F2707" s="3">
        <v>0.02</v>
      </c>
      <c r="H2707" s="3">
        <v>1.6999999999999999E-3</v>
      </c>
      <c r="I2707" s="3">
        <v>0</v>
      </c>
      <c r="J2707" s="3">
        <v>0</v>
      </c>
      <c r="K2707" s="3">
        <f t="shared" si="83"/>
        <v>2000</v>
      </c>
      <c r="L2707" s="3">
        <f t="shared" si="84"/>
        <v>0</v>
      </c>
      <c r="M2707" s="20" t="str">
        <f>A2707&amp;L2707</f>
        <v>BEN0</v>
      </c>
      <c r="N2707" s="3">
        <f t="shared" si="88"/>
        <v>0.01</v>
      </c>
      <c r="O2707" s="9">
        <f>H2707</f>
        <v>1.6999999999999999E-3</v>
      </c>
      <c r="P2707" s="10">
        <f t="shared" si="85"/>
        <v>0</v>
      </c>
      <c r="Q2707" s="10">
        <f>IF(K2707=0,IF(A2704=A2707,AVERAGE(O2704:O2707),"x"),0)</f>
        <v>0</v>
      </c>
      <c r="R2707" s="9">
        <f>IF(L2707&gt;2005,AVERAGE(O2704:O2723),0)</f>
        <v>0</v>
      </c>
      <c r="S2707" s="10">
        <f>IF(A2707=A2708,(N2707-N2708)/N2708,0)</f>
        <v>0</v>
      </c>
      <c r="T2707" s="10">
        <f>IF(L2707&gt;2005,(((N2707-N2727)/N2727)+1)^(1/5)-1,0)</f>
        <v>0</v>
      </c>
      <c r="U2707" s="10">
        <f t="shared" si="86"/>
        <v>0</v>
      </c>
      <c r="V2707" s="26">
        <f t="shared" si="87"/>
        <v>0</v>
      </c>
      <c r="W2707" s="3">
        <f>IF(A2707=A2708,N2707-N2708,0)</f>
        <v>0</v>
      </c>
      <c r="X2707" s="10">
        <f>IF(A2707=A2708,(N2707-N2708)/N2708,0)</f>
        <v>0</v>
      </c>
    </row>
    <row r="2708" spans="1:24" ht="16.5" customHeight="1">
      <c r="A2708" s="3" t="s">
        <v>53</v>
      </c>
      <c r="B2708" s="3">
        <f t="shared" si="80"/>
        <v>2000</v>
      </c>
      <c r="C2708" s="3">
        <f t="shared" si="81"/>
        <v>9</v>
      </c>
      <c r="D2708" s="20" t="str">
        <f t="shared" si="82"/>
        <v>BEN20009</v>
      </c>
      <c r="E2708" s="2">
        <v>36798</v>
      </c>
      <c r="F2708" s="3">
        <v>0.02</v>
      </c>
      <c r="H2708" s="3">
        <v>1.4E-3</v>
      </c>
      <c r="I2708" s="3">
        <v>0</v>
      </c>
      <c r="J2708" s="3">
        <v>0</v>
      </c>
      <c r="K2708" s="3">
        <f t="shared" si="83"/>
        <v>2000</v>
      </c>
      <c r="L2708" s="3">
        <f t="shared" si="84"/>
        <v>0</v>
      </c>
      <c r="M2708" s="20" t="str">
        <f>A2708&amp;L2708</f>
        <v>BEN0</v>
      </c>
      <c r="N2708" s="3">
        <f t="shared" si="88"/>
        <v>0.01</v>
      </c>
      <c r="O2708" s="9">
        <f>H2708</f>
        <v>1.4E-3</v>
      </c>
      <c r="P2708" s="10">
        <f t="shared" si="85"/>
        <v>0</v>
      </c>
      <c r="Q2708" s="10">
        <f>IF(K2708=0,IF(A2705=A2708,AVERAGE(O2705:O2708),"x"),0)</f>
        <v>0</v>
      </c>
      <c r="R2708" s="9">
        <f>IF(L2708&gt;2005,AVERAGE(O2705:O2724),0)</f>
        <v>0</v>
      </c>
      <c r="S2708" s="10">
        <f>IF(A2708=A2709,(N2708-N2709)/N2709,0)</f>
        <v>0</v>
      </c>
      <c r="T2708" s="10">
        <f>IF(L2708&gt;2005,(((N2708-N2728)/N2728)+1)^(1/5)-1,0)</f>
        <v>0</v>
      </c>
      <c r="U2708" s="10">
        <f t="shared" si="86"/>
        <v>0</v>
      </c>
      <c r="V2708" s="26">
        <f t="shared" si="87"/>
        <v>0</v>
      </c>
      <c r="W2708" s="3">
        <f>IF(A2708=A2709,N2708-N2709,0)</f>
        <v>0</v>
      </c>
      <c r="X2708" s="10">
        <f>IF(A2708=A2709,(N2708-N2709)/N2709,0)</f>
        <v>0</v>
      </c>
    </row>
    <row r="2709" spans="1:24" ht="16.5" customHeight="1">
      <c r="A2709" s="3" t="s">
        <v>53</v>
      </c>
      <c r="B2709" s="3">
        <f t="shared" si="80"/>
        <v>2000</v>
      </c>
      <c r="C2709" s="3">
        <f t="shared" si="81"/>
        <v>6</v>
      </c>
      <c r="D2709" s="20" t="str">
        <f t="shared" si="82"/>
        <v>BEN20006</v>
      </c>
      <c r="E2709" s="2">
        <v>36706</v>
      </c>
      <c r="F2709" s="3">
        <v>0.02</v>
      </c>
      <c r="H2709" s="3">
        <v>1.9E-3</v>
      </c>
      <c r="I2709" s="3">
        <v>0</v>
      </c>
      <c r="J2709" s="3">
        <v>0</v>
      </c>
      <c r="K2709" s="3">
        <f t="shared" si="83"/>
        <v>2000</v>
      </c>
      <c r="L2709" s="3">
        <f t="shared" si="84"/>
        <v>0</v>
      </c>
      <c r="M2709" s="20" t="str">
        <f>A2709&amp;L2709</f>
        <v>BEN0</v>
      </c>
      <c r="N2709" s="3">
        <f t="shared" si="88"/>
        <v>0.01</v>
      </c>
      <c r="O2709" s="9">
        <f>H2709</f>
        <v>1.9E-3</v>
      </c>
      <c r="P2709" s="10">
        <f t="shared" si="85"/>
        <v>0</v>
      </c>
      <c r="Q2709" s="10">
        <f>IF(K2709=0,IF(A2706=A2709,AVERAGE(O2706:O2709),"x"),0)</f>
        <v>0</v>
      </c>
      <c r="R2709" s="9">
        <f>IF(L2709&gt;2005,AVERAGE(O2706:O2725),0)</f>
        <v>0</v>
      </c>
      <c r="S2709" s="10">
        <f>IF(A2709=A2710,(N2709-N2710)/N2710,0)</f>
        <v>0</v>
      </c>
      <c r="T2709" s="10">
        <f>IF(L2709&gt;2005,(((N2709-N2729)/N2729)+1)^(1/5)-1,0)</f>
        <v>0</v>
      </c>
      <c r="U2709" s="10">
        <f t="shared" si="86"/>
        <v>0</v>
      </c>
      <c r="V2709" s="26">
        <f t="shared" si="87"/>
        <v>0</v>
      </c>
      <c r="W2709" s="3">
        <f>IF(A2709=A2710,N2709-N2710,0)</f>
        <v>0</v>
      </c>
      <c r="X2709" s="10">
        <f>IF(A2709=A2710,(N2709-N2710)/N2710,0)</f>
        <v>0</v>
      </c>
    </row>
    <row r="2710" spans="1:24" ht="16.5" customHeight="1">
      <c r="A2710" s="14" t="s">
        <v>53</v>
      </c>
      <c r="B2710" s="3">
        <f t="shared" si="80"/>
        <v>2000</v>
      </c>
      <c r="C2710" s="3">
        <f t="shared" si="81"/>
        <v>3</v>
      </c>
      <c r="D2710" s="20" t="str">
        <f t="shared" si="82"/>
        <v>BEN20003</v>
      </c>
      <c r="E2710" s="15">
        <v>36614</v>
      </c>
      <c r="F2710" s="14">
        <v>0.02</v>
      </c>
      <c r="G2710" s="15"/>
      <c r="H2710" s="14">
        <v>1.9E-3</v>
      </c>
      <c r="I2710" s="14">
        <v>0</v>
      </c>
      <c r="J2710" s="14">
        <v>0</v>
      </c>
      <c r="K2710" s="3">
        <f t="shared" si="83"/>
        <v>0</v>
      </c>
      <c r="L2710" s="3">
        <f t="shared" si="84"/>
        <v>2000</v>
      </c>
      <c r="M2710" s="20" t="str">
        <f>A2710&amp;L2710</f>
        <v>BEN2000</v>
      </c>
      <c r="N2710" s="14">
        <f t="shared" si="88"/>
        <v>0.01</v>
      </c>
      <c r="O2710" s="9">
        <f>H2710</f>
        <v>1.9E-3</v>
      </c>
      <c r="P2710" s="10">
        <f t="shared" si="85"/>
        <v>0</v>
      </c>
      <c r="Q2710" s="10">
        <f>IF(K2710=0,IF(A2707=A2710,AVERAGE(O2707:O2710),"x"),0)</f>
        <v>1.725E-3</v>
      </c>
      <c r="R2710" s="9">
        <f>IF(L2710&gt;2005,AVERAGE(O2707:O2726),0)</f>
        <v>0</v>
      </c>
      <c r="S2710" s="10">
        <f>IF(A2710=A2711,(N2710-N2711)/N2711,0)</f>
        <v>0</v>
      </c>
      <c r="T2710" s="10">
        <f>IF(L2710&gt;2005,(((N2710-N2730)/N2730)+1)^(1/5)-1,0)</f>
        <v>0</v>
      </c>
      <c r="U2710" s="10">
        <f t="shared" si="86"/>
        <v>0</v>
      </c>
      <c r="V2710" s="26">
        <f t="shared" si="87"/>
        <v>0</v>
      </c>
      <c r="W2710" s="3">
        <f>IF(A2710=A2711,N2710-N2711,0)</f>
        <v>0</v>
      </c>
      <c r="X2710" s="10">
        <f>IF(A2710=A2711,(N2710-N2711)/N2711,0)</f>
        <v>0</v>
      </c>
    </row>
  </sheetData>
  <phoneticPr fontId="3" type="noConversion"/>
  <conditionalFormatting sqref="I1:J2710 O1:O2710 T1 X1:X2710">
    <cfRule type="cellIs" dxfId="4" priority="1" operator="lessThan">
      <formula>0</formula>
    </cfRule>
  </conditionalFormatting>
  <conditionalFormatting sqref="T1">
    <cfRule type="cellIs" dxfId="3" priority="2" operator="greaterThan">
      <formula>0</formula>
    </cfRule>
  </conditionalFormatting>
  <conditionalFormatting sqref="Q5:Q2710">
    <cfRule type="containsText" dxfId="2" priority="3" operator="containsText" text="x">
      <formula>NOT(ISERROR(SEARCH(("x"),(Q5))))</formula>
    </cfRule>
  </conditionalFormatting>
  <conditionalFormatting sqref="R5:R2710">
    <cfRule type="cellIs" dxfId="1" priority="4" operator="greaterThan">
      <formula>0</formula>
    </cfRule>
  </conditionalFormatting>
  <conditionalFormatting sqref="T1:T2710">
    <cfRule type="cellIs" dxfId="0" priority="5" operator="greaterThan">
      <formula>20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00"/>
  <sheetViews>
    <sheetView zoomScale="73" zoomScaleNormal="73" workbookViewId="0">
      <selection activeCell="N205" sqref="N205"/>
    </sheetView>
  </sheetViews>
  <sheetFormatPr defaultColWidth="14.44140625" defaultRowHeight="15" customHeight="1"/>
  <cols>
    <col min="1" max="2" width="8.77734375" style="4" customWidth="1"/>
    <col min="3" max="32" width="8.77734375" customWidth="1"/>
  </cols>
  <sheetData>
    <row r="1" spans="1:32" s="6" customFormat="1" ht="16.5" customHeight="1">
      <c r="A1" s="7" t="s">
        <v>55</v>
      </c>
      <c r="B1" s="8" t="s">
        <v>2</v>
      </c>
      <c r="C1" s="8" t="s">
        <v>44</v>
      </c>
      <c r="D1" s="8" t="s">
        <v>38</v>
      </c>
      <c r="E1" s="8" t="s">
        <v>53</v>
      </c>
      <c r="F1" s="8" t="s">
        <v>29</v>
      </c>
      <c r="G1" s="8" t="s">
        <v>42</v>
      </c>
      <c r="H1" s="8" t="s">
        <v>36</v>
      </c>
      <c r="I1" s="8" t="s">
        <v>32</v>
      </c>
      <c r="J1" s="8" t="s">
        <v>33</v>
      </c>
      <c r="K1" s="8" t="s">
        <v>27</v>
      </c>
      <c r="L1" s="8" t="s">
        <v>41</v>
      </c>
      <c r="M1" s="8" t="s">
        <v>39</v>
      </c>
      <c r="N1" s="8" t="s">
        <v>26</v>
      </c>
      <c r="O1" s="8" t="s">
        <v>46</v>
      </c>
      <c r="P1" s="8" t="s">
        <v>28</v>
      </c>
      <c r="Q1" s="8" t="s">
        <v>19</v>
      </c>
      <c r="R1" s="8" t="s">
        <v>35</v>
      </c>
      <c r="S1" s="8" t="s">
        <v>47</v>
      </c>
      <c r="T1" s="8" t="s">
        <v>49</v>
      </c>
      <c r="U1" s="8" t="s">
        <v>52</v>
      </c>
      <c r="V1" s="8" t="s">
        <v>25</v>
      </c>
      <c r="W1" s="8" t="s">
        <v>34</v>
      </c>
      <c r="X1" s="8" t="s">
        <v>43</v>
      </c>
      <c r="Y1" s="8" t="s">
        <v>31</v>
      </c>
      <c r="Z1" s="8" t="s">
        <v>48</v>
      </c>
      <c r="AA1" s="8" t="s">
        <v>51</v>
      </c>
      <c r="AB1" s="8" t="s">
        <v>45</v>
      </c>
      <c r="AC1" s="8" t="s">
        <v>37</v>
      </c>
      <c r="AD1" s="8" t="s">
        <v>30</v>
      </c>
      <c r="AE1" s="8" t="s">
        <v>50</v>
      </c>
      <c r="AF1" s="8" t="s">
        <v>40</v>
      </c>
    </row>
    <row r="2" spans="1:32" ht="16.5" customHeight="1">
      <c r="A2" s="3">
        <v>2022</v>
      </c>
      <c r="B2" s="3">
        <v>1</v>
      </c>
      <c r="C2" s="5">
        <f>VLOOKUP(C$1&amp;$A2,배당편집!$M$2:$T$2710,8,FALSE)</f>
        <v>4.951444805329408E-2</v>
      </c>
      <c r="D2" s="5">
        <f>VLOOKUP(D$1&amp;$A2,배당편집!$M$2:$T$2710,8,FALSE)</f>
        <v>4.3167563810134979E-2</v>
      </c>
      <c r="E2" s="5">
        <f>VLOOKUP(E$1&amp;$A2,배당편집!$M$2:$T$2710,8,FALSE)</f>
        <v>7.7143587792743107E-2</v>
      </c>
      <c r="F2" s="5">
        <f>VLOOKUP(F$1&amp;$A2,배당편집!$M$2:$T$2710,8,FALSE)</f>
        <v>6.3750603655610361E-2</v>
      </c>
      <c r="G2" s="5">
        <f>VLOOKUP(G$1&amp;$A2,배당편집!$M$2:$T$2710,8,FALSE)</f>
        <v>3.2486261992623389E-2</v>
      </c>
      <c r="H2" s="5">
        <f>VLOOKUP(H$1&amp;$A2,배당편집!$M$2:$T$2710,8,FALSE)</f>
        <v>5.6265068998998302E-2</v>
      </c>
      <c r="I2" s="5">
        <f>VLOOKUP(I$1&amp;$A2,배당편집!$M$2:$T$2710,8,FALSE)</f>
        <v>5.9818243129609039E-2</v>
      </c>
      <c r="J2" s="5">
        <f>VLOOKUP(J$1&amp;$A2,배당편집!$M$2:$T$2710,8,FALSE)</f>
        <v>2.3555213428752442E-2</v>
      </c>
      <c r="K2" s="5">
        <f>VLOOKUP(K$1&amp;$A2,배당편집!$M$2:$T$2710,8,FALSE)</f>
        <v>7.5886481696227692E-2</v>
      </c>
      <c r="L2" s="5">
        <f>VLOOKUP(L$1&amp;$A2,배당편집!$M$2:$T$2710,8,FALSE)</f>
        <v>8.4471771197698553E-2</v>
      </c>
      <c r="M2" s="5">
        <f>VLOOKUP(M$1&amp;$A2,배당편집!$M$2:$T$2710,8,FALSE)</f>
        <v>0.13419909079131598</v>
      </c>
      <c r="N2" s="5">
        <f>VLOOKUP(N$1&amp;$A2,배당편집!$M$2:$T$2710,8,FALSE)</f>
        <v>1.4175694961439778E-2</v>
      </c>
      <c r="O2" s="5">
        <f>VLOOKUP(O$1&amp;$A2,배당편집!$M$2:$T$2710,8,FALSE)</f>
        <v>0.11264925596716679</v>
      </c>
      <c r="P2" s="5">
        <f>VLOOKUP(P$1&amp;$A2,배당편집!$M$2:$T$2710,8,FALSE)</f>
        <v>5.3740723534514645E-2</v>
      </c>
      <c r="Q2" s="5">
        <f>VLOOKUP(Q$1&amp;$A2,배당편집!$M$2:$T$2710,8,FALSE)</f>
        <v>5.7896488705653448E-2</v>
      </c>
      <c r="R2" s="5">
        <f>VLOOKUP(R$1&amp;$A2,배당편집!$M$2:$T$2710,8,FALSE)</f>
        <v>8.6073656722112313E-2</v>
      </c>
      <c r="S2" s="5">
        <f>VLOOKUP(S$1&amp;$A2,배당편집!$M$2:$T$2710,8,FALSE)</f>
        <v>5.8044301550421951E-2</v>
      </c>
      <c r="T2" s="5">
        <f>VLOOKUP(T$1&amp;$A2,배당편집!$M$2:$T$2710,8,FALSE)</f>
        <v>9.3822049736666413E-2</v>
      </c>
      <c r="U2" s="5">
        <f>VLOOKUP(U$1&amp;$A2,배당편집!$M$2:$T$2710,8,FALSE)</f>
        <v>0.1486983549970351</v>
      </c>
      <c r="V2" s="5">
        <f>VLOOKUP(V$1&amp;$A2,배당편집!$M$2:$T$2710,8,FALSE)</f>
        <v>8.8691633250776114E-2</v>
      </c>
      <c r="W2" s="5">
        <f>VLOOKUP(W$1&amp;$A2,배당편집!$M$2:$T$2710,8,FALSE)</f>
        <v>0.17978912471277986</v>
      </c>
      <c r="X2" s="5">
        <f>VLOOKUP(X$1&amp;$A2,배당편집!$M$2:$T$2710,8,FALSE)</f>
        <v>8.0832522079597569E-2</v>
      </c>
      <c r="Y2" s="5">
        <f>VLOOKUP(Y$1&amp;$A2,배당편집!$M$2:$T$2710,8,FALSE)</f>
        <v>9.3096887864549949E-2</v>
      </c>
      <c r="Z2" s="5">
        <f>VLOOKUP(Z$1&amp;$A2,배당편집!$M$2:$T$2710,8,FALSE)</f>
        <v>2.7820174603307546E-2</v>
      </c>
      <c r="AA2" s="5">
        <f>VLOOKUP(AA$1&amp;$A2,배당편집!$M$2:$T$2710,8,FALSE)</f>
        <v>4.5639552591273169E-2</v>
      </c>
      <c r="AB2" s="5">
        <f>VLOOKUP(AB$1&amp;$A2,배당편집!$M$2:$T$2710,8,FALSE)</f>
        <v>0.12142542134526657</v>
      </c>
      <c r="AC2" s="5">
        <f>VLOOKUP(AC$1&amp;$A2,배당편집!$M$2:$T$2710,8,FALSE)</f>
        <v>6.790716584560208E-2</v>
      </c>
      <c r="AD2" s="5">
        <f>VLOOKUP(AD$1&amp;$A2,배당편집!$M$2:$T$2710,8,FALSE)</f>
        <v>0.12779897806752261</v>
      </c>
      <c r="AE2" s="5">
        <f>VLOOKUP(AE$1&amp;$A2,배당편집!$M$2:$T$2710,8,FALSE)</f>
        <v>3.5485788455905221E-2</v>
      </c>
      <c r="AF2" s="5">
        <f>VLOOKUP(AF$1&amp;$A2,배당편집!$M$2:$T$2710,8,FALSE)</f>
        <v>2.5896304910234091E-2</v>
      </c>
    </row>
    <row r="3" spans="1:32" ht="16.5" customHeight="1">
      <c r="A3" s="3">
        <v>2022</v>
      </c>
      <c r="B3" s="3">
        <v>2</v>
      </c>
      <c r="C3" s="5">
        <f>VLOOKUP(C$1&amp;$A3,배당편집!$M$2:$T$2710,8,FALSE)</f>
        <v>4.951444805329408E-2</v>
      </c>
      <c r="D3" s="5">
        <f>VLOOKUP(D$1&amp;$A3,배당편집!$M$2:$T$2710,8,FALSE)</f>
        <v>4.3167563810134979E-2</v>
      </c>
      <c r="E3" s="5">
        <f>VLOOKUP(E$1&amp;$A3,배당편집!$M$2:$T$2710,8,FALSE)</f>
        <v>7.7143587792743107E-2</v>
      </c>
      <c r="F3" s="5">
        <f>VLOOKUP(F$1&amp;$A3,배당편집!$M$2:$T$2710,8,FALSE)</f>
        <v>6.3750603655610361E-2</v>
      </c>
      <c r="G3" s="5">
        <f>VLOOKUP(G$1&amp;$A3,배당편집!$M$2:$T$2710,8,FALSE)</f>
        <v>3.2486261992623389E-2</v>
      </c>
      <c r="H3" s="5">
        <f>VLOOKUP(H$1&amp;$A3,배당편집!$M$2:$T$2710,8,FALSE)</f>
        <v>5.6265068998998302E-2</v>
      </c>
      <c r="I3" s="5">
        <f>VLOOKUP(I$1&amp;$A3,배당편집!$M$2:$T$2710,8,FALSE)</f>
        <v>5.9818243129609039E-2</v>
      </c>
      <c r="J3" s="5">
        <f>VLOOKUP(J$1&amp;$A3,배당편집!$M$2:$T$2710,8,FALSE)</f>
        <v>2.3555213428752442E-2</v>
      </c>
      <c r="K3" s="5">
        <f>VLOOKUP(K$1&amp;$A3,배당편집!$M$2:$T$2710,8,FALSE)</f>
        <v>7.5886481696227692E-2</v>
      </c>
      <c r="L3" s="5">
        <f>VLOOKUP(L$1&amp;$A3,배당편집!$M$2:$T$2710,8,FALSE)</f>
        <v>8.4471771197698553E-2</v>
      </c>
      <c r="M3" s="5">
        <f>VLOOKUP(M$1&amp;$A3,배당편집!$M$2:$T$2710,8,FALSE)</f>
        <v>0.13419909079131598</v>
      </c>
      <c r="N3" s="5">
        <f>VLOOKUP(N$1&amp;$A3,배당편집!$M$2:$T$2710,8,FALSE)</f>
        <v>1.4175694961439778E-2</v>
      </c>
      <c r="O3" s="5">
        <f>VLOOKUP(O$1&amp;$A3,배당편집!$M$2:$T$2710,8,FALSE)</f>
        <v>0.11264925596716679</v>
      </c>
      <c r="P3" s="5">
        <f>VLOOKUP(P$1&amp;$A3,배당편집!$M$2:$T$2710,8,FALSE)</f>
        <v>5.3740723534514645E-2</v>
      </c>
      <c r="Q3" s="5">
        <f>VLOOKUP(Q$1&amp;$A3,배당편집!$M$2:$T$2710,8,FALSE)</f>
        <v>5.7896488705653448E-2</v>
      </c>
      <c r="R3" s="5">
        <f>VLOOKUP(R$1&amp;$A3,배당편집!$M$2:$T$2710,8,FALSE)</f>
        <v>8.6073656722112313E-2</v>
      </c>
      <c r="S3" s="5">
        <f>VLOOKUP(S$1&amp;$A3,배당편집!$M$2:$T$2710,8,FALSE)</f>
        <v>5.8044301550421951E-2</v>
      </c>
      <c r="T3" s="5">
        <f>VLOOKUP(T$1&amp;$A3,배당편집!$M$2:$T$2710,8,FALSE)</f>
        <v>9.3822049736666413E-2</v>
      </c>
      <c r="U3" s="5">
        <f>VLOOKUP(U$1&amp;$A3,배당편집!$M$2:$T$2710,8,FALSE)</f>
        <v>0.1486983549970351</v>
      </c>
      <c r="V3" s="5">
        <f>VLOOKUP(V$1&amp;$A3,배당편집!$M$2:$T$2710,8,FALSE)</f>
        <v>8.8691633250776114E-2</v>
      </c>
      <c r="W3" s="5">
        <f>VLOOKUP(W$1&amp;$A3,배당편집!$M$2:$T$2710,8,FALSE)</f>
        <v>0.17978912471277986</v>
      </c>
      <c r="X3" s="5">
        <f>VLOOKUP(X$1&amp;$A3,배당편집!$M$2:$T$2710,8,FALSE)</f>
        <v>8.0832522079597569E-2</v>
      </c>
      <c r="Y3" s="5">
        <f>VLOOKUP(Y$1&amp;$A3,배당편집!$M$2:$T$2710,8,FALSE)</f>
        <v>9.3096887864549949E-2</v>
      </c>
      <c r="Z3" s="5">
        <f>VLOOKUP(Z$1&amp;$A3,배당편집!$M$2:$T$2710,8,FALSE)</f>
        <v>2.7820174603307546E-2</v>
      </c>
      <c r="AA3" s="5">
        <f>VLOOKUP(AA$1&amp;$A3,배당편집!$M$2:$T$2710,8,FALSE)</f>
        <v>4.5639552591273169E-2</v>
      </c>
      <c r="AB3" s="5">
        <f>VLOOKUP(AB$1&amp;$A3,배당편집!$M$2:$T$2710,8,FALSE)</f>
        <v>0.12142542134526657</v>
      </c>
      <c r="AC3" s="5">
        <f>VLOOKUP(AC$1&amp;$A3,배당편집!$M$2:$T$2710,8,FALSE)</f>
        <v>6.790716584560208E-2</v>
      </c>
      <c r="AD3" s="5">
        <f>VLOOKUP(AD$1&amp;$A3,배당편집!$M$2:$T$2710,8,FALSE)</f>
        <v>0.12779897806752261</v>
      </c>
      <c r="AE3" s="5">
        <f>VLOOKUP(AE$1&amp;$A3,배당편집!$M$2:$T$2710,8,FALSE)</f>
        <v>3.5485788455905221E-2</v>
      </c>
      <c r="AF3" s="5">
        <f>VLOOKUP(AF$1&amp;$A3,배당편집!$M$2:$T$2710,8,FALSE)</f>
        <v>2.5896304910234091E-2</v>
      </c>
    </row>
    <row r="4" spans="1:32" ht="16.5" customHeight="1">
      <c r="A4" s="3">
        <v>2022</v>
      </c>
      <c r="B4" s="3">
        <v>3</v>
      </c>
      <c r="C4" s="5">
        <f>VLOOKUP(C$1&amp;$A4,배당편집!$M$2:$T$2710,8,FALSE)</f>
        <v>4.951444805329408E-2</v>
      </c>
      <c r="D4" s="5">
        <f>VLOOKUP(D$1&amp;$A4,배당편집!$M$2:$T$2710,8,FALSE)</f>
        <v>4.3167563810134979E-2</v>
      </c>
      <c r="E4" s="5">
        <f>VLOOKUP(E$1&amp;$A4,배당편집!$M$2:$T$2710,8,FALSE)</f>
        <v>7.7143587792743107E-2</v>
      </c>
      <c r="F4" s="5">
        <f>VLOOKUP(F$1&amp;$A4,배당편집!$M$2:$T$2710,8,FALSE)</f>
        <v>6.3750603655610361E-2</v>
      </c>
      <c r="G4" s="5">
        <f>VLOOKUP(G$1&amp;$A4,배당편집!$M$2:$T$2710,8,FALSE)</f>
        <v>3.2486261992623389E-2</v>
      </c>
      <c r="H4" s="5">
        <f>VLOOKUP(H$1&amp;$A4,배당편집!$M$2:$T$2710,8,FALSE)</f>
        <v>5.6265068998998302E-2</v>
      </c>
      <c r="I4" s="5">
        <f>VLOOKUP(I$1&amp;$A4,배당편집!$M$2:$T$2710,8,FALSE)</f>
        <v>5.9818243129609039E-2</v>
      </c>
      <c r="J4" s="5">
        <f>VLOOKUP(J$1&amp;$A4,배당편집!$M$2:$T$2710,8,FALSE)</f>
        <v>2.3555213428752442E-2</v>
      </c>
      <c r="K4" s="5">
        <f>VLOOKUP(K$1&amp;$A4,배당편집!$M$2:$T$2710,8,FALSE)</f>
        <v>7.5886481696227692E-2</v>
      </c>
      <c r="L4" s="5">
        <f>VLOOKUP(L$1&amp;$A4,배당편집!$M$2:$T$2710,8,FALSE)</f>
        <v>8.4471771197698553E-2</v>
      </c>
      <c r="M4" s="5">
        <f>VLOOKUP(M$1&amp;$A4,배당편집!$M$2:$T$2710,8,FALSE)</f>
        <v>0.13419909079131598</v>
      </c>
      <c r="N4" s="5">
        <f>VLOOKUP(N$1&amp;$A4,배당편집!$M$2:$T$2710,8,FALSE)</f>
        <v>1.4175694961439778E-2</v>
      </c>
      <c r="O4" s="5">
        <f>VLOOKUP(O$1&amp;$A4,배당편집!$M$2:$T$2710,8,FALSE)</f>
        <v>0.11264925596716679</v>
      </c>
      <c r="P4" s="5">
        <f>VLOOKUP(P$1&amp;$A4,배당편집!$M$2:$T$2710,8,FALSE)</f>
        <v>5.3740723534514645E-2</v>
      </c>
      <c r="Q4" s="5">
        <f>VLOOKUP(Q$1&amp;$A4,배당편집!$M$2:$T$2710,8,FALSE)</f>
        <v>5.7896488705653448E-2</v>
      </c>
      <c r="R4" s="5">
        <f>VLOOKUP(R$1&amp;$A4,배당편집!$M$2:$T$2710,8,FALSE)</f>
        <v>8.6073656722112313E-2</v>
      </c>
      <c r="S4" s="5">
        <f>VLOOKUP(S$1&amp;$A4,배당편집!$M$2:$T$2710,8,FALSE)</f>
        <v>5.8044301550421951E-2</v>
      </c>
      <c r="T4" s="5">
        <f>VLOOKUP(T$1&amp;$A4,배당편집!$M$2:$T$2710,8,FALSE)</f>
        <v>9.3822049736666413E-2</v>
      </c>
      <c r="U4" s="5">
        <f>VLOOKUP(U$1&amp;$A4,배당편집!$M$2:$T$2710,8,FALSE)</f>
        <v>0.1486983549970351</v>
      </c>
      <c r="V4" s="5">
        <f>VLOOKUP(V$1&amp;$A4,배당편집!$M$2:$T$2710,8,FALSE)</f>
        <v>8.8691633250776114E-2</v>
      </c>
      <c r="W4" s="5">
        <f>VLOOKUP(W$1&amp;$A4,배당편집!$M$2:$T$2710,8,FALSE)</f>
        <v>0.17978912471277986</v>
      </c>
      <c r="X4" s="5">
        <f>VLOOKUP(X$1&amp;$A4,배당편집!$M$2:$T$2710,8,FALSE)</f>
        <v>8.0832522079597569E-2</v>
      </c>
      <c r="Y4" s="5">
        <f>VLOOKUP(Y$1&amp;$A4,배당편집!$M$2:$T$2710,8,FALSE)</f>
        <v>9.3096887864549949E-2</v>
      </c>
      <c r="Z4" s="5">
        <f>VLOOKUP(Z$1&amp;$A4,배당편집!$M$2:$T$2710,8,FALSE)</f>
        <v>2.7820174603307546E-2</v>
      </c>
      <c r="AA4" s="5">
        <f>VLOOKUP(AA$1&amp;$A4,배당편집!$M$2:$T$2710,8,FALSE)</f>
        <v>4.5639552591273169E-2</v>
      </c>
      <c r="AB4" s="5">
        <f>VLOOKUP(AB$1&amp;$A4,배당편집!$M$2:$T$2710,8,FALSE)</f>
        <v>0.12142542134526657</v>
      </c>
      <c r="AC4" s="5">
        <f>VLOOKUP(AC$1&amp;$A4,배당편집!$M$2:$T$2710,8,FALSE)</f>
        <v>6.790716584560208E-2</v>
      </c>
      <c r="AD4" s="5">
        <f>VLOOKUP(AD$1&amp;$A4,배당편집!$M$2:$T$2710,8,FALSE)</f>
        <v>0.12779897806752261</v>
      </c>
      <c r="AE4" s="5">
        <f>VLOOKUP(AE$1&amp;$A4,배당편집!$M$2:$T$2710,8,FALSE)</f>
        <v>3.5485788455905221E-2</v>
      </c>
      <c r="AF4" s="5">
        <f>VLOOKUP(AF$1&amp;$A4,배당편집!$M$2:$T$2710,8,FALSE)</f>
        <v>2.5896304910234091E-2</v>
      </c>
    </row>
    <row r="5" spans="1:32" ht="16.5" customHeight="1">
      <c r="A5" s="3">
        <v>2022</v>
      </c>
      <c r="B5" s="3">
        <v>4</v>
      </c>
      <c r="C5" s="5">
        <f>VLOOKUP(C$1&amp;$A5,배당편집!$M$2:$T$2710,8,FALSE)</f>
        <v>4.951444805329408E-2</v>
      </c>
      <c r="D5" s="5">
        <f>VLOOKUP(D$1&amp;$A5,배당편집!$M$2:$T$2710,8,FALSE)</f>
        <v>4.3167563810134979E-2</v>
      </c>
      <c r="E5" s="5">
        <f>VLOOKUP(E$1&amp;$A5,배당편집!$M$2:$T$2710,8,FALSE)</f>
        <v>7.7143587792743107E-2</v>
      </c>
      <c r="F5" s="5">
        <f>VLOOKUP(F$1&amp;$A5,배당편집!$M$2:$T$2710,8,FALSE)</f>
        <v>6.3750603655610361E-2</v>
      </c>
      <c r="G5" s="5">
        <f>VLOOKUP(G$1&amp;$A5,배당편집!$M$2:$T$2710,8,FALSE)</f>
        <v>3.2486261992623389E-2</v>
      </c>
      <c r="H5" s="5">
        <f>VLOOKUP(H$1&amp;$A5,배당편집!$M$2:$T$2710,8,FALSE)</f>
        <v>5.6265068998998302E-2</v>
      </c>
      <c r="I5" s="5">
        <f>VLOOKUP(I$1&amp;$A5,배당편집!$M$2:$T$2710,8,FALSE)</f>
        <v>5.9818243129609039E-2</v>
      </c>
      <c r="J5" s="5">
        <f>VLOOKUP(J$1&amp;$A5,배당편집!$M$2:$T$2710,8,FALSE)</f>
        <v>2.3555213428752442E-2</v>
      </c>
      <c r="K5" s="5">
        <f>VLOOKUP(K$1&amp;$A5,배당편집!$M$2:$T$2710,8,FALSE)</f>
        <v>7.5886481696227692E-2</v>
      </c>
      <c r="L5" s="5">
        <f>VLOOKUP(L$1&amp;$A5,배당편집!$M$2:$T$2710,8,FALSE)</f>
        <v>8.4471771197698553E-2</v>
      </c>
      <c r="M5" s="5">
        <f>VLOOKUP(M$1&amp;$A5,배당편집!$M$2:$T$2710,8,FALSE)</f>
        <v>0.13419909079131598</v>
      </c>
      <c r="N5" s="5">
        <f>VLOOKUP(N$1&amp;$A5,배당편집!$M$2:$T$2710,8,FALSE)</f>
        <v>1.4175694961439778E-2</v>
      </c>
      <c r="O5" s="5">
        <f>VLOOKUP(O$1&amp;$A5,배당편집!$M$2:$T$2710,8,FALSE)</f>
        <v>0.11264925596716679</v>
      </c>
      <c r="P5" s="5">
        <f>VLOOKUP(P$1&amp;$A5,배당편집!$M$2:$T$2710,8,FALSE)</f>
        <v>5.3740723534514645E-2</v>
      </c>
      <c r="Q5" s="5">
        <f>VLOOKUP(Q$1&amp;$A5,배당편집!$M$2:$T$2710,8,FALSE)</f>
        <v>5.7896488705653448E-2</v>
      </c>
      <c r="R5" s="5">
        <f>VLOOKUP(R$1&amp;$A5,배당편집!$M$2:$T$2710,8,FALSE)</f>
        <v>8.6073656722112313E-2</v>
      </c>
      <c r="S5" s="5">
        <f>VLOOKUP(S$1&amp;$A5,배당편집!$M$2:$T$2710,8,FALSE)</f>
        <v>5.8044301550421951E-2</v>
      </c>
      <c r="T5" s="5">
        <f>VLOOKUP(T$1&amp;$A5,배당편집!$M$2:$T$2710,8,FALSE)</f>
        <v>9.3822049736666413E-2</v>
      </c>
      <c r="U5" s="5">
        <f>VLOOKUP(U$1&amp;$A5,배당편집!$M$2:$T$2710,8,FALSE)</f>
        <v>0.1486983549970351</v>
      </c>
      <c r="V5" s="5">
        <f>VLOOKUP(V$1&amp;$A5,배당편집!$M$2:$T$2710,8,FALSE)</f>
        <v>8.8691633250776114E-2</v>
      </c>
      <c r="W5" s="5">
        <f>VLOOKUP(W$1&amp;$A5,배당편집!$M$2:$T$2710,8,FALSE)</f>
        <v>0.17978912471277986</v>
      </c>
      <c r="X5" s="5">
        <f>VLOOKUP(X$1&amp;$A5,배당편집!$M$2:$T$2710,8,FALSE)</f>
        <v>8.0832522079597569E-2</v>
      </c>
      <c r="Y5" s="5">
        <f>VLOOKUP(Y$1&amp;$A5,배당편집!$M$2:$T$2710,8,FALSE)</f>
        <v>9.3096887864549949E-2</v>
      </c>
      <c r="Z5" s="5">
        <f>VLOOKUP(Z$1&amp;$A5,배당편집!$M$2:$T$2710,8,FALSE)</f>
        <v>2.7820174603307546E-2</v>
      </c>
      <c r="AA5" s="5">
        <f>VLOOKUP(AA$1&amp;$A5,배당편집!$M$2:$T$2710,8,FALSE)</f>
        <v>4.5639552591273169E-2</v>
      </c>
      <c r="AB5" s="5">
        <f>VLOOKUP(AB$1&amp;$A5,배당편집!$M$2:$T$2710,8,FALSE)</f>
        <v>0.12142542134526657</v>
      </c>
      <c r="AC5" s="5">
        <f>VLOOKUP(AC$1&amp;$A5,배당편집!$M$2:$T$2710,8,FALSE)</f>
        <v>6.790716584560208E-2</v>
      </c>
      <c r="AD5" s="5">
        <f>VLOOKUP(AD$1&amp;$A5,배당편집!$M$2:$T$2710,8,FALSE)</f>
        <v>0.12779897806752261</v>
      </c>
      <c r="AE5" s="5">
        <f>VLOOKUP(AE$1&amp;$A5,배당편집!$M$2:$T$2710,8,FALSE)</f>
        <v>3.5485788455905221E-2</v>
      </c>
      <c r="AF5" s="5">
        <f>VLOOKUP(AF$1&amp;$A5,배당편집!$M$2:$T$2710,8,FALSE)</f>
        <v>2.5896304910234091E-2</v>
      </c>
    </row>
    <row r="6" spans="1:32" ht="16.5" customHeight="1">
      <c r="A6" s="3">
        <v>2022</v>
      </c>
      <c r="B6" s="3">
        <v>5</v>
      </c>
      <c r="C6" s="5">
        <f>VLOOKUP(C$1&amp;$A6,배당편집!$M$2:$T$2710,8,FALSE)</f>
        <v>4.951444805329408E-2</v>
      </c>
      <c r="D6" s="5">
        <f>VLOOKUP(D$1&amp;$A6,배당편집!$M$2:$T$2710,8,FALSE)</f>
        <v>4.3167563810134979E-2</v>
      </c>
      <c r="E6" s="5">
        <f>VLOOKUP(E$1&amp;$A6,배당편집!$M$2:$T$2710,8,FALSE)</f>
        <v>7.7143587792743107E-2</v>
      </c>
      <c r="F6" s="5">
        <f>VLOOKUP(F$1&amp;$A6,배당편집!$M$2:$T$2710,8,FALSE)</f>
        <v>6.3750603655610361E-2</v>
      </c>
      <c r="G6" s="5">
        <f>VLOOKUP(G$1&amp;$A6,배당편집!$M$2:$T$2710,8,FALSE)</f>
        <v>3.2486261992623389E-2</v>
      </c>
      <c r="H6" s="5">
        <f>VLOOKUP(H$1&amp;$A6,배당편집!$M$2:$T$2710,8,FALSE)</f>
        <v>5.6265068998998302E-2</v>
      </c>
      <c r="I6" s="5">
        <f>VLOOKUP(I$1&amp;$A6,배당편집!$M$2:$T$2710,8,FALSE)</f>
        <v>5.9818243129609039E-2</v>
      </c>
      <c r="J6" s="5">
        <f>VLOOKUP(J$1&amp;$A6,배당편집!$M$2:$T$2710,8,FALSE)</f>
        <v>2.3555213428752442E-2</v>
      </c>
      <c r="K6" s="5">
        <f>VLOOKUP(K$1&amp;$A6,배당편집!$M$2:$T$2710,8,FALSE)</f>
        <v>7.5886481696227692E-2</v>
      </c>
      <c r="L6" s="5">
        <f>VLOOKUP(L$1&amp;$A6,배당편집!$M$2:$T$2710,8,FALSE)</f>
        <v>8.4471771197698553E-2</v>
      </c>
      <c r="M6" s="5">
        <f>VLOOKUP(M$1&amp;$A6,배당편집!$M$2:$T$2710,8,FALSE)</f>
        <v>0.13419909079131598</v>
      </c>
      <c r="N6" s="5">
        <f>VLOOKUP(N$1&amp;$A6,배당편집!$M$2:$T$2710,8,FALSE)</f>
        <v>1.4175694961439778E-2</v>
      </c>
      <c r="O6" s="5">
        <f>VLOOKUP(O$1&amp;$A6,배당편집!$M$2:$T$2710,8,FALSE)</f>
        <v>0.11264925596716679</v>
      </c>
      <c r="P6" s="5">
        <f>VLOOKUP(P$1&amp;$A6,배당편집!$M$2:$T$2710,8,FALSE)</f>
        <v>5.3740723534514645E-2</v>
      </c>
      <c r="Q6" s="5">
        <f>VLOOKUP(Q$1&amp;$A6,배당편집!$M$2:$T$2710,8,FALSE)</f>
        <v>5.7896488705653448E-2</v>
      </c>
      <c r="R6" s="5">
        <f>VLOOKUP(R$1&amp;$A6,배당편집!$M$2:$T$2710,8,FALSE)</f>
        <v>8.6073656722112313E-2</v>
      </c>
      <c r="S6" s="5">
        <f>VLOOKUP(S$1&amp;$A6,배당편집!$M$2:$T$2710,8,FALSE)</f>
        <v>5.8044301550421951E-2</v>
      </c>
      <c r="T6" s="5">
        <f>VLOOKUP(T$1&amp;$A6,배당편집!$M$2:$T$2710,8,FALSE)</f>
        <v>9.3822049736666413E-2</v>
      </c>
      <c r="U6" s="5">
        <f>VLOOKUP(U$1&amp;$A6,배당편집!$M$2:$T$2710,8,FALSE)</f>
        <v>0.1486983549970351</v>
      </c>
      <c r="V6" s="5">
        <f>VLOOKUP(V$1&amp;$A6,배당편집!$M$2:$T$2710,8,FALSE)</f>
        <v>8.8691633250776114E-2</v>
      </c>
      <c r="W6" s="5">
        <f>VLOOKUP(W$1&amp;$A6,배당편집!$M$2:$T$2710,8,FALSE)</f>
        <v>0.17978912471277986</v>
      </c>
      <c r="X6" s="5">
        <f>VLOOKUP(X$1&amp;$A6,배당편집!$M$2:$T$2710,8,FALSE)</f>
        <v>8.0832522079597569E-2</v>
      </c>
      <c r="Y6" s="5">
        <f>VLOOKUP(Y$1&amp;$A6,배당편집!$M$2:$T$2710,8,FALSE)</f>
        <v>9.3096887864549949E-2</v>
      </c>
      <c r="Z6" s="5">
        <f>VLOOKUP(Z$1&amp;$A6,배당편집!$M$2:$T$2710,8,FALSE)</f>
        <v>2.7820174603307546E-2</v>
      </c>
      <c r="AA6" s="5">
        <f>VLOOKUP(AA$1&amp;$A6,배당편집!$M$2:$T$2710,8,FALSE)</f>
        <v>4.5639552591273169E-2</v>
      </c>
      <c r="AB6" s="5">
        <f>VLOOKUP(AB$1&amp;$A6,배당편집!$M$2:$T$2710,8,FALSE)</f>
        <v>0.12142542134526657</v>
      </c>
      <c r="AC6" s="5">
        <f>VLOOKUP(AC$1&amp;$A6,배당편집!$M$2:$T$2710,8,FALSE)</f>
        <v>6.790716584560208E-2</v>
      </c>
      <c r="AD6" s="5">
        <f>VLOOKUP(AD$1&amp;$A6,배당편집!$M$2:$T$2710,8,FALSE)</f>
        <v>0.12779897806752261</v>
      </c>
      <c r="AE6" s="5">
        <f>VLOOKUP(AE$1&amp;$A6,배당편집!$M$2:$T$2710,8,FALSE)</f>
        <v>3.5485788455905221E-2</v>
      </c>
      <c r="AF6" s="5">
        <f>VLOOKUP(AF$1&amp;$A6,배당편집!$M$2:$T$2710,8,FALSE)</f>
        <v>2.5896304910234091E-2</v>
      </c>
    </row>
    <row r="7" spans="1:32" ht="16.5" customHeight="1">
      <c r="A7" s="3">
        <v>2022</v>
      </c>
      <c r="B7" s="3">
        <v>6</v>
      </c>
      <c r="C7" s="5">
        <f>VLOOKUP(C$1&amp;$A7,배당편집!$M$2:$T$2710,8,FALSE)</f>
        <v>4.951444805329408E-2</v>
      </c>
      <c r="D7" s="5">
        <f>VLOOKUP(D$1&amp;$A7,배당편집!$M$2:$T$2710,8,FALSE)</f>
        <v>4.3167563810134979E-2</v>
      </c>
      <c r="E7" s="5">
        <f>VLOOKUP(E$1&amp;$A7,배당편집!$M$2:$T$2710,8,FALSE)</f>
        <v>7.7143587792743107E-2</v>
      </c>
      <c r="F7" s="5">
        <f>VLOOKUP(F$1&amp;$A7,배당편집!$M$2:$T$2710,8,FALSE)</f>
        <v>6.3750603655610361E-2</v>
      </c>
      <c r="G7" s="5">
        <f>VLOOKUP(G$1&amp;$A7,배당편집!$M$2:$T$2710,8,FALSE)</f>
        <v>3.2486261992623389E-2</v>
      </c>
      <c r="H7" s="5">
        <f>VLOOKUP(H$1&amp;$A7,배당편집!$M$2:$T$2710,8,FALSE)</f>
        <v>5.6265068998998302E-2</v>
      </c>
      <c r="I7" s="5">
        <f>VLOOKUP(I$1&amp;$A7,배당편집!$M$2:$T$2710,8,FALSE)</f>
        <v>5.9818243129609039E-2</v>
      </c>
      <c r="J7" s="5">
        <f>VLOOKUP(J$1&amp;$A7,배당편집!$M$2:$T$2710,8,FALSE)</f>
        <v>2.3555213428752442E-2</v>
      </c>
      <c r="K7" s="5">
        <f>VLOOKUP(K$1&amp;$A7,배당편집!$M$2:$T$2710,8,FALSE)</f>
        <v>7.5886481696227692E-2</v>
      </c>
      <c r="L7" s="5">
        <f>VLOOKUP(L$1&amp;$A7,배당편집!$M$2:$T$2710,8,FALSE)</f>
        <v>8.4471771197698553E-2</v>
      </c>
      <c r="M7" s="5">
        <f>VLOOKUP(M$1&amp;$A7,배당편집!$M$2:$T$2710,8,FALSE)</f>
        <v>0.13419909079131598</v>
      </c>
      <c r="N7" s="5">
        <f>VLOOKUP(N$1&amp;$A7,배당편집!$M$2:$T$2710,8,FALSE)</f>
        <v>1.4175694961439778E-2</v>
      </c>
      <c r="O7" s="5">
        <f>VLOOKUP(O$1&amp;$A7,배당편집!$M$2:$T$2710,8,FALSE)</f>
        <v>0.11264925596716679</v>
      </c>
      <c r="P7" s="5">
        <f>VLOOKUP(P$1&amp;$A7,배당편집!$M$2:$T$2710,8,FALSE)</f>
        <v>5.3740723534514645E-2</v>
      </c>
      <c r="Q7" s="5">
        <f>VLOOKUP(Q$1&amp;$A7,배당편집!$M$2:$T$2710,8,FALSE)</f>
        <v>5.7896488705653448E-2</v>
      </c>
      <c r="R7" s="5">
        <f>VLOOKUP(R$1&amp;$A7,배당편집!$M$2:$T$2710,8,FALSE)</f>
        <v>8.6073656722112313E-2</v>
      </c>
      <c r="S7" s="5">
        <f>VLOOKUP(S$1&amp;$A7,배당편집!$M$2:$T$2710,8,FALSE)</f>
        <v>5.8044301550421951E-2</v>
      </c>
      <c r="T7" s="5">
        <f>VLOOKUP(T$1&amp;$A7,배당편집!$M$2:$T$2710,8,FALSE)</f>
        <v>9.3822049736666413E-2</v>
      </c>
      <c r="U7" s="5">
        <f>VLOOKUP(U$1&amp;$A7,배당편집!$M$2:$T$2710,8,FALSE)</f>
        <v>0.1486983549970351</v>
      </c>
      <c r="V7" s="5">
        <f>VLOOKUP(V$1&amp;$A7,배당편집!$M$2:$T$2710,8,FALSE)</f>
        <v>8.8691633250776114E-2</v>
      </c>
      <c r="W7" s="5">
        <f>VLOOKUP(W$1&amp;$A7,배당편집!$M$2:$T$2710,8,FALSE)</f>
        <v>0.17978912471277986</v>
      </c>
      <c r="X7" s="5">
        <f>VLOOKUP(X$1&amp;$A7,배당편집!$M$2:$T$2710,8,FALSE)</f>
        <v>8.0832522079597569E-2</v>
      </c>
      <c r="Y7" s="5">
        <f>VLOOKUP(Y$1&amp;$A7,배당편집!$M$2:$T$2710,8,FALSE)</f>
        <v>9.3096887864549949E-2</v>
      </c>
      <c r="Z7" s="5">
        <f>VLOOKUP(Z$1&amp;$A7,배당편집!$M$2:$T$2710,8,FALSE)</f>
        <v>2.7820174603307546E-2</v>
      </c>
      <c r="AA7" s="5">
        <f>VLOOKUP(AA$1&amp;$A7,배당편집!$M$2:$T$2710,8,FALSE)</f>
        <v>4.5639552591273169E-2</v>
      </c>
      <c r="AB7" s="5">
        <f>VLOOKUP(AB$1&amp;$A7,배당편집!$M$2:$T$2710,8,FALSE)</f>
        <v>0.12142542134526657</v>
      </c>
      <c r="AC7" s="5">
        <f>VLOOKUP(AC$1&amp;$A7,배당편집!$M$2:$T$2710,8,FALSE)</f>
        <v>6.790716584560208E-2</v>
      </c>
      <c r="AD7" s="5">
        <f>VLOOKUP(AD$1&amp;$A7,배당편집!$M$2:$T$2710,8,FALSE)</f>
        <v>0.12779897806752261</v>
      </c>
      <c r="AE7" s="5">
        <f>VLOOKUP(AE$1&amp;$A7,배당편집!$M$2:$T$2710,8,FALSE)</f>
        <v>3.5485788455905221E-2</v>
      </c>
      <c r="AF7" s="5">
        <f>VLOOKUP(AF$1&amp;$A7,배당편집!$M$2:$T$2710,8,FALSE)</f>
        <v>2.5896304910234091E-2</v>
      </c>
    </row>
    <row r="8" spans="1:32" ht="16.5" customHeight="1">
      <c r="A8" s="3">
        <v>2022</v>
      </c>
      <c r="B8" s="3">
        <v>7</v>
      </c>
      <c r="C8" s="5">
        <f>VLOOKUP(C$1&amp;$A8,배당편집!$M$2:$T$2710,8,FALSE)</f>
        <v>4.951444805329408E-2</v>
      </c>
      <c r="D8" s="5">
        <f>VLOOKUP(D$1&amp;$A8,배당편집!$M$2:$T$2710,8,FALSE)</f>
        <v>4.3167563810134979E-2</v>
      </c>
      <c r="E8" s="5">
        <f>VLOOKUP(E$1&amp;$A8,배당편집!$M$2:$T$2710,8,FALSE)</f>
        <v>7.7143587792743107E-2</v>
      </c>
      <c r="F8" s="5">
        <f>VLOOKUP(F$1&amp;$A8,배당편집!$M$2:$T$2710,8,FALSE)</f>
        <v>6.3750603655610361E-2</v>
      </c>
      <c r="G8" s="5">
        <f>VLOOKUP(G$1&amp;$A8,배당편집!$M$2:$T$2710,8,FALSE)</f>
        <v>3.2486261992623389E-2</v>
      </c>
      <c r="H8" s="5">
        <f>VLOOKUP(H$1&amp;$A8,배당편집!$M$2:$T$2710,8,FALSE)</f>
        <v>5.6265068998998302E-2</v>
      </c>
      <c r="I8" s="5">
        <f>VLOOKUP(I$1&amp;$A8,배당편집!$M$2:$T$2710,8,FALSE)</f>
        <v>5.9818243129609039E-2</v>
      </c>
      <c r="J8" s="5">
        <f>VLOOKUP(J$1&amp;$A8,배당편집!$M$2:$T$2710,8,FALSE)</f>
        <v>2.3555213428752442E-2</v>
      </c>
      <c r="K8" s="5">
        <f>VLOOKUP(K$1&amp;$A8,배당편집!$M$2:$T$2710,8,FALSE)</f>
        <v>7.5886481696227692E-2</v>
      </c>
      <c r="L8" s="5">
        <f>VLOOKUP(L$1&amp;$A8,배당편집!$M$2:$T$2710,8,FALSE)</f>
        <v>8.4471771197698553E-2</v>
      </c>
      <c r="M8" s="5">
        <f>VLOOKUP(M$1&amp;$A8,배당편집!$M$2:$T$2710,8,FALSE)</f>
        <v>0.13419909079131598</v>
      </c>
      <c r="N8" s="5">
        <f>VLOOKUP(N$1&amp;$A8,배당편집!$M$2:$T$2710,8,FALSE)</f>
        <v>1.4175694961439778E-2</v>
      </c>
      <c r="O8" s="5">
        <f>VLOOKUP(O$1&amp;$A8,배당편집!$M$2:$T$2710,8,FALSE)</f>
        <v>0.11264925596716679</v>
      </c>
      <c r="P8" s="5">
        <f>VLOOKUP(P$1&amp;$A8,배당편집!$M$2:$T$2710,8,FALSE)</f>
        <v>5.3740723534514645E-2</v>
      </c>
      <c r="Q8" s="5">
        <f>VLOOKUP(Q$1&amp;$A8,배당편집!$M$2:$T$2710,8,FALSE)</f>
        <v>5.7896488705653448E-2</v>
      </c>
      <c r="R8" s="5">
        <f>VLOOKUP(R$1&amp;$A8,배당편집!$M$2:$T$2710,8,FALSE)</f>
        <v>8.6073656722112313E-2</v>
      </c>
      <c r="S8" s="5">
        <f>VLOOKUP(S$1&amp;$A8,배당편집!$M$2:$T$2710,8,FALSE)</f>
        <v>5.8044301550421951E-2</v>
      </c>
      <c r="T8" s="5">
        <f>VLOOKUP(T$1&amp;$A8,배당편집!$M$2:$T$2710,8,FALSE)</f>
        <v>9.3822049736666413E-2</v>
      </c>
      <c r="U8" s="5">
        <f>VLOOKUP(U$1&amp;$A8,배당편집!$M$2:$T$2710,8,FALSE)</f>
        <v>0.1486983549970351</v>
      </c>
      <c r="V8" s="5">
        <f>VLOOKUP(V$1&amp;$A8,배당편집!$M$2:$T$2710,8,FALSE)</f>
        <v>8.8691633250776114E-2</v>
      </c>
      <c r="W8" s="5">
        <f>VLOOKUP(W$1&amp;$A8,배당편집!$M$2:$T$2710,8,FALSE)</f>
        <v>0.17978912471277986</v>
      </c>
      <c r="X8" s="5">
        <f>VLOOKUP(X$1&amp;$A8,배당편집!$M$2:$T$2710,8,FALSE)</f>
        <v>8.0832522079597569E-2</v>
      </c>
      <c r="Y8" s="5">
        <f>VLOOKUP(Y$1&amp;$A8,배당편집!$M$2:$T$2710,8,FALSE)</f>
        <v>9.3096887864549949E-2</v>
      </c>
      <c r="Z8" s="5">
        <f>VLOOKUP(Z$1&amp;$A8,배당편집!$M$2:$T$2710,8,FALSE)</f>
        <v>2.7820174603307546E-2</v>
      </c>
      <c r="AA8" s="5">
        <f>VLOOKUP(AA$1&amp;$A8,배당편집!$M$2:$T$2710,8,FALSE)</f>
        <v>4.5639552591273169E-2</v>
      </c>
      <c r="AB8" s="5">
        <f>VLOOKUP(AB$1&amp;$A8,배당편집!$M$2:$T$2710,8,FALSE)</f>
        <v>0.12142542134526657</v>
      </c>
      <c r="AC8" s="5">
        <f>VLOOKUP(AC$1&amp;$A8,배당편집!$M$2:$T$2710,8,FALSE)</f>
        <v>6.790716584560208E-2</v>
      </c>
      <c r="AD8" s="5">
        <f>VLOOKUP(AD$1&amp;$A8,배당편집!$M$2:$T$2710,8,FALSE)</f>
        <v>0.12779897806752261</v>
      </c>
      <c r="AE8" s="5">
        <f>VLOOKUP(AE$1&amp;$A8,배당편집!$M$2:$T$2710,8,FALSE)</f>
        <v>3.5485788455905221E-2</v>
      </c>
      <c r="AF8" s="5">
        <f>VLOOKUP(AF$1&amp;$A8,배당편집!$M$2:$T$2710,8,FALSE)</f>
        <v>2.5896304910234091E-2</v>
      </c>
    </row>
    <row r="9" spans="1:32" ht="16.5" customHeight="1">
      <c r="A9" s="3">
        <v>2022</v>
      </c>
      <c r="B9" s="3">
        <v>8</v>
      </c>
      <c r="C9" s="5">
        <f>VLOOKUP(C$1&amp;$A9,배당편집!$M$2:$T$2710,8,FALSE)</f>
        <v>4.951444805329408E-2</v>
      </c>
      <c r="D9" s="5">
        <f>VLOOKUP(D$1&amp;$A9,배당편집!$M$2:$T$2710,8,FALSE)</f>
        <v>4.3167563810134979E-2</v>
      </c>
      <c r="E9" s="5">
        <f>VLOOKUP(E$1&amp;$A9,배당편집!$M$2:$T$2710,8,FALSE)</f>
        <v>7.7143587792743107E-2</v>
      </c>
      <c r="F9" s="5">
        <f>VLOOKUP(F$1&amp;$A9,배당편집!$M$2:$T$2710,8,FALSE)</f>
        <v>6.3750603655610361E-2</v>
      </c>
      <c r="G9" s="5">
        <f>VLOOKUP(G$1&amp;$A9,배당편집!$M$2:$T$2710,8,FALSE)</f>
        <v>3.2486261992623389E-2</v>
      </c>
      <c r="H9" s="5">
        <f>VLOOKUP(H$1&amp;$A9,배당편집!$M$2:$T$2710,8,FALSE)</f>
        <v>5.6265068998998302E-2</v>
      </c>
      <c r="I9" s="5">
        <f>VLOOKUP(I$1&amp;$A9,배당편집!$M$2:$T$2710,8,FALSE)</f>
        <v>5.9818243129609039E-2</v>
      </c>
      <c r="J9" s="5">
        <f>VLOOKUP(J$1&amp;$A9,배당편집!$M$2:$T$2710,8,FALSE)</f>
        <v>2.3555213428752442E-2</v>
      </c>
      <c r="K9" s="5">
        <f>VLOOKUP(K$1&amp;$A9,배당편집!$M$2:$T$2710,8,FALSE)</f>
        <v>7.5886481696227692E-2</v>
      </c>
      <c r="L9" s="5">
        <f>VLOOKUP(L$1&amp;$A9,배당편집!$M$2:$T$2710,8,FALSE)</f>
        <v>8.4471771197698553E-2</v>
      </c>
      <c r="M9" s="5">
        <f>VLOOKUP(M$1&amp;$A9,배당편집!$M$2:$T$2710,8,FALSE)</f>
        <v>0.13419909079131598</v>
      </c>
      <c r="N9" s="5">
        <f>VLOOKUP(N$1&amp;$A9,배당편집!$M$2:$T$2710,8,FALSE)</f>
        <v>1.4175694961439778E-2</v>
      </c>
      <c r="O9" s="5">
        <f>VLOOKUP(O$1&amp;$A9,배당편집!$M$2:$T$2710,8,FALSE)</f>
        <v>0.11264925596716679</v>
      </c>
      <c r="P9" s="5">
        <f>VLOOKUP(P$1&amp;$A9,배당편집!$M$2:$T$2710,8,FALSE)</f>
        <v>5.3740723534514645E-2</v>
      </c>
      <c r="Q9" s="5">
        <f>VLOOKUP(Q$1&amp;$A9,배당편집!$M$2:$T$2710,8,FALSE)</f>
        <v>5.7896488705653448E-2</v>
      </c>
      <c r="R9" s="5">
        <f>VLOOKUP(R$1&amp;$A9,배당편집!$M$2:$T$2710,8,FALSE)</f>
        <v>8.6073656722112313E-2</v>
      </c>
      <c r="S9" s="5">
        <f>VLOOKUP(S$1&amp;$A9,배당편집!$M$2:$T$2710,8,FALSE)</f>
        <v>5.8044301550421951E-2</v>
      </c>
      <c r="T9" s="5">
        <f>VLOOKUP(T$1&amp;$A9,배당편집!$M$2:$T$2710,8,FALSE)</f>
        <v>9.3822049736666413E-2</v>
      </c>
      <c r="U9" s="5">
        <f>VLOOKUP(U$1&amp;$A9,배당편집!$M$2:$T$2710,8,FALSE)</f>
        <v>0.1486983549970351</v>
      </c>
      <c r="V9" s="5">
        <f>VLOOKUP(V$1&amp;$A9,배당편집!$M$2:$T$2710,8,FALSE)</f>
        <v>8.8691633250776114E-2</v>
      </c>
      <c r="W9" s="5">
        <f>VLOOKUP(W$1&amp;$A9,배당편집!$M$2:$T$2710,8,FALSE)</f>
        <v>0.17978912471277986</v>
      </c>
      <c r="X9" s="5">
        <f>VLOOKUP(X$1&amp;$A9,배당편집!$M$2:$T$2710,8,FALSE)</f>
        <v>8.0832522079597569E-2</v>
      </c>
      <c r="Y9" s="5">
        <f>VLOOKUP(Y$1&amp;$A9,배당편집!$M$2:$T$2710,8,FALSE)</f>
        <v>9.3096887864549949E-2</v>
      </c>
      <c r="Z9" s="5">
        <f>VLOOKUP(Z$1&amp;$A9,배당편집!$M$2:$T$2710,8,FALSE)</f>
        <v>2.7820174603307546E-2</v>
      </c>
      <c r="AA9" s="5">
        <f>VLOOKUP(AA$1&amp;$A9,배당편집!$M$2:$T$2710,8,FALSE)</f>
        <v>4.5639552591273169E-2</v>
      </c>
      <c r="AB9" s="5">
        <f>VLOOKUP(AB$1&amp;$A9,배당편집!$M$2:$T$2710,8,FALSE)</f>
        <v>0.12142542134526657</v>
      </c>
      <c r="AC9" s="5">
        <f>VLOOKUP(AC$1&amp;$A9,배당편집!$M$2:$T$2710,8,FALSE)</f>
        <v>6.790716584560208E-2</v>
      </c>
      <c r="AD9" s="5">
        <f>VLOOKUP(AD$1&amp;$A9,배당편집!$M$2:$T$2710,8,FALSE)</f>
        <v>0.12779897806752261</v>
      </c>
      <c r="AE9" s="5">
        <f>VLOOKUP(AE$1&amp;$A9,배당편집!$M$2:$T$2710,8,FALSE)</f>
        <v>3.5485788455905221E-2</v>
      </c>
      <c r="AF9" s="5">
        <f>VLOOKUP(AF$1&amp;$A9,배당편집!$M$2:$T$2710,8,FALSE)</f>
        <v>2.5896304910234091E-2</v>
      </c>
    </row>
    <row r="10" spans="1:32" ht="16.5" customHeight="1">
      <c r="A10" s="3">
        <v>2022</v>
      </c>
      <c r="B10" s="3">
        <v>9</v>
      </c>
      <c r="C10" s="5">
        <f>VLOOKUP(C$1&amp;$A10,배당편집!$M$2:$T$2710,8,FALSE)</f>
        <v>4.951444805329408E-2</v>
      </c>
      <c r="D10" s="5">
        <f>VLOOKUP(D$1&amp;$A10,배당편집!$M$2:$T$2710,8,FALSE)</f>
        <v>4.3167563810134979E-2</v>
      </c>
      <c r="E10" s="5">
        <f>VLOOKUP(E$1&amp;$A10,배당편집!$M$2:$T$2710,8,FALSE)</f>
        <v>7.7143587792743107E-2</v>
      </c>
      <c r="F10" s="5">
        <f>VLOOKUP(F$1&amp;$A10,배당편집!$M$2:$T$2710,8,FALSE)</f>
        <v>6.3750603655610361E-2</v>
      </c>
      <c r="G10" s="5">
        <f>VLOOKUP(G$1&amp;$A10,배당편집!$M$2:$T$2710,8,FALSE)</f>
        <v>3.2486261992623389E-2</v>
      </c>
      <c r="H10" s="5">
        <f>VLOOKUP(H$1&amp;$A10,배당편집!$M$2:$T$2710,8,FALSE)</f>
        <v>5.6265068998998302E-2</v>
      </c>
      <c r="I10" s="5">
        <f>VLOOKUP(I$1&amp;$A10,배당편집!$M$2:$T$2710,8,FALSE)</f>
        <v>5.9818243129609039E-2</v>
      </c>
      <c r="J10" s="5">
        <f>VLOOKUP(J$1&amp;$A10,배당편집!$M$2:$T$2710,8,FALSE)</f>
        <v>2.3555213428752442E-2</v>
      </c>
      <c r="K10" s="5">
        <f>VLOOKUP(K$1&amp;$A10,배당편집!$M$2:$T$2710,8,FALSE)</f>
        <v>7.5886481696227692E-2</v>
      </c>
      <c r="L10" s="5">
        <f>VLOOKUP(L$1&amp;$A10,배당편집!$M$2:$T$2710,8,FALSE)</f>
        <v>8.4471771197698553E-2</v>
      </c>
      <c r="M10" s="5">
        <f>VLOOKUP(M$1&amp;$A10,배당편집!$M$2:$T$2710,8,FALSE)</f>
        <v>0.13419909079131598</v>
      </c>
      <c r="N10" s="5">
        <f>VLOOKUP(N$1&amp;$A10,배당편집!$M$2:$T$2710,8,FALSE)</f>
        <v>1.4175694961439778E-2</v>
      </c>
      <c r="O10" s="5">
        <f>VLOOKUP(O$1&amp;$A10,배당편집!$M$2:$T$2710,8,FALSE)</f>
        <v>0.11264925596716679</v>
      </c>
      <c r="P10" s="5">
        <f>VLOOKUP(P$1&amp;$A10,배당편집!$M$2:$T$2710,8,FALSE)</f>
        <v>5.3740723534514645E-2</v>
      </c>
      <c r="Q10" s="5">
        <f>VLOOKUP(Q$1&amp;$A10,배당편집!$M$2:$T$2710,8,FALSE)</f>
        <v>5.7896488705653448E-2</v>
      </c>
      <c r="R10" s="5">
        <f>VLOOKUP(R$1&amp;$A10,배당편집!$M$2:$T$2710,8,FALSE)</f>
        <v>8.6073656722112313E-2</v>
      </c>
      <c r="S10" s="5">
        <f>VLOOKUP(S$1&amp;$A10,배당편집!$M$2:$T$2710,8,FALSE)</f>
        <v>5.8044301550421951E-2</v>
      </c>
      <c r="T10" s="5">
        <f>VLOOKUP(T$1&amp;$A10,배당편집!$M$2:$T$2710,8,FALSE)</f>
        <v>9.3822049736666413E-2</v>
      </c>
      <c r="U10" s="5">
        <f>VLOOKUP(U$1&amp;$A10,배당편집!$M$2:$T$2710,8,FALSE)</f>
        <v>0.1486983549970351</v>
      </c>
      <c r="V10" s="5">
        <f>VLOOKUP(V$1&amp;$A10,배당편집!$M$2:$T$2710,8,FALSE)</f>
        <v>8.8691633250776114E-2</v>
      </c>
      <c r="W10" s="5">
        <f>VLOOKUP(W$1&amp;$A10,배당편집!$M$2:$T$2710,8,FALSE)</f>
        <v>0.17978912471277986</v>
      </c>
      <c r="X10" s="5">
        <f>VLOOKUP(X$1&amp;$A10,배당편집!$M$2:$T$2710,8,FALSE)</f>
        <v>8.0832522079597569E-2</v>
      </c>
      <c r="Y10" s="5">
        <f>VLOOKUP(Y$1&amp;$A10,배당편집!$M$2:$T$2710,8,FALSE)</f>
        <v>9.3096887864549949E-2</v>
      </c>
      <c r="Z10" s="5">
        <f>VLOOKUP(Z$1&amp;$A10,배당편집!$M$2:$T$2710,8,FALSE)</f>
        <v>2.7820174603307546E-2</v>
      </c>
      <c r="AA10" s="5">
        <f>VLOOKUP(AA$1&amp;$A10,배당편집!$M$2:$T$2710,8,FALSE)</f>
        <v>4.5639552591273169E-2</v>
      </c>
      <c r="AB10" s="5">
        <f>VLOOKUP(AB$1&amp;$A10,배당편집!$M$2:$T$2710,8,FALSE)</f>
        <v>0.12142542134526657</v>
      </c>
      <c r="AC10" s="5">
        <f>VLOOKUP(AC$1&amp;$A10,배당편집!$M$2:$T$2710,8,FALSE)</f>
        <v>6.790716584560208E-2</v>
      </c>
      <c r="AD10" s="5">
        <f>VLOOKUP(AD$1&amp;$A10,배당편집!$M$2:$T$2710,8,FALSE)</f>
        <v>0.12779897806752261</v>
      </c>
      <c r="AE10" s="5">
        <f>VLOOKUP(AE$1&amp;$A10,배당편집!$M$2:$T$2710,8,FALSE)</f>
        <v>3.5485788455905221E-2</v>
      </c>
      <c r="AF10" s="5">
        <f>VLOOKUP(AF$1&amp;$A10,배당편집!$M$2:$T$2710,8,FALSE)</f>
        <v>2.5896304910234091E-2</v>
      </c>
    </row>
    <row r="11" spans="1:32" ht="16.5" customHeight="1">
      <c r="A11" s="3">
        <v>2022</v>
      </c>
      <c r="B11" s="3">
        <v>10</v>
      </c>
      <c r="C11" s="5">
        <f>VLOOKUP(C$1&amp;$A11,배당편집!$M$2:$T$2710,8,FALSE)</f>
        <v>4.951444805329408E-2</v>
      </c>
      <c r="D11" s="5">
        <f>VLOOKUP(D$1&amp;$A11,배당편집!$M$2:$T$2710,8,FALSE)</f>
        <v>4.3167563810134979E-2</v>
      </c>
      <c r="E11" s="5">
        <f>VLOOKUP(E$1&amp;$A11,배당편집!$M$2:$T$2710,8,FALSE)</f>
        <v>7.7143587792743107E-2</v>
      </c>
      <c r="F11" s="5">
        <f>VLOOKUP(F$1&amp;$A11,배당편집!$M$2:$T$2710,8,FALSE)</f>
        <v>6.3750603655610361E-2</v>
      </c>
      <c r="G11" s="5">
        <f>VLOOKUP(G$1&amp;$A11,배당편집!$M$2:$T$2710,8,FALSE)</f>
        <v>3.2486261992623389E-2</v>
      </c>
      <c r="H11" s="5">
        <f>VLOOKUP(H$1&amp;$A11,배당편집!$M$2:$T$2710,8,FALSE)</f>
        <v>5.6265068998998302E-2</v>
      </c>
      <c r="I11" s="5">
        <f>VLOOKUP(I$1&amp;$A11,배당편집!$M$2:$T$2710,8,FALSE)</f>
        <v>5.9818243129609039E-2</v>
      </c>
      <c r="J11" s="5">
        <f>VLOOKUP(J$1&amp;$A11,배당편집!$M$2:$T$2710,8,FALSE)</f>
        <v>2.3555213428752442E-2</v>
      </c>
      <c r="K11" s="5">
        <f>VLOOKUP(K$1&amp;$A11,배당편집!$M$2:$T$2710,8,FALSE)</f>
        <v>7.5886481696227692E-2</v>
      </c>
      <c r="L11" s="5">
        <f>VLOOKUP(L$1&amp;$A11,배당편집!$M$2:$T$2710,8,FALSE)</f>
        <v>8.4471771197698553E-2</v>
      </c>
      <c r="M11" s="5">
        <f>VLOOKUP(M$1&amp;$A11,배당편집!$M$2:$T$2710,8,FALSE)</f>
        <v>0.13419909079131598</v>
      </c>
      <c r="N11" s="5">
        <f>VLOOKUP(N$1&amp;$A11,배당편집!$M$2:$T$2710,8,FALSE)</f>
        <v>1.4175694961439778E-2</v>
      </c>
      <c r="O11" s="5">
        <f>VLOOKUP(O$1&amp;$A11,배당편집!$M$2:$T$2710,8,FALSE)</f>
        <v>0.11264925596716679</v>
      </c>
      <c r="P11" s="5">
        <f>VLOOKUP(P$1&amp;$A11,배당편집!$M$2:$T$2710,8,FALSE)</f>
        <v>5.3740723534514645E-2</v>
      </c>
      <c r="Q11" s="5">
        <f>VLOOKUP(Q$1&amp;$A11,배당편집!$M$2:$T$2710,8,FALSE)</f>
        <v>5.7896488705653448E-2</v>
      </c>
      <c r="R11" s="5">
        <f>VLOOKUP(R$1&amp;$A11,배당편집!$M$2:$T$2710,8,FALSE)</f>
        <v>8.6073656722112313E-2</v>
      </c>
      <c r="S11" s="5">
        <f>VLOOKUP(S$1&amp;$A11,배당편집!$M$2:$T$2710,8,FALSE)</f>
        <v>5.8044301550421951E-2</v>
      </c>
      <c r="T11" s="5">
        <f>VLOOKUP(T$1&amp;$A11,배당편집!$M$2:$T$2710,8,FALSE)</f>
        <v>9.3822049736666413E-2</v>
      </c>
      <c r="U11" s="5">
        <f>VLOOKUP(U$1&amp;$A11,배당편집!$M$2:$T$2710,8,FALSE)</f>
        <v>0.1486983549970351</v>
      </c>
      <c r="V11" s="5">
        <f>VLOOKUP(V$1&amp;$A11,배당편집!$M$2:$T$2710,8,FALSE)</f>
        <v>8.8691633250776114E-2</v>
      </c>
      <c r="W11" s="5">
        <f>VLOOKUP(W$1&amp;$A11,배당편집!$M$2:$T$2710,8,FALSE)</f>
        <v>0.17978912471277986</v>
      </c>
      <c r="X11" s="5">
        <f>VLOOKUP(X$1&amp;$A11,배당편집!$M$2:$T$2710,8,FALSE)</f>
        <v>8.0832522079597569E-2</v>
      </c>
      <c r="Y11" s="5">
        <f>VLOOKUP(Y$1&amp;$A11,배당편집!$M$2:$T$2710,8,FALSE)</f>
        <v>9.3096887864549949E-2</v>
      </c>
      <c r="Z11" s="5">
        <f>VLOOKUP(Z$1&amp;$A11,배당편집!$M$2:$T$2710,8,FALSE)</f>
        <v>2.7820174603307546E-2</v>
      </c>
      <c r="AA11" s="5">
        <f>VLOOKUP(AA$1&amp;$A11,배당편집!$M$2:$T$2710,8,FALSE)</f>
        <v>4.5639552591273169E-2</v>
      </c>
      <c r="AB11" s="5">
        <f>VLOOKUP(AB$1&amp;$A11,배당편집!$M$2:$T$2710,8,FALSE)</f>
        <v>0.12142542134526657</v>
      </c>
      <c r="AC11" s="5">
        <f>VLOOKUP(AC$1&amp;$A11,배당편집!$M$2:$T$2710,8,FALSE)</f>
        <v>6.790716584560208E-2</v>
      </c>
      <c r="AD11" s="5">
        <f>VLOOKUP(AD$1&amp;$A11,배당편집!$M$2:$T$2710,8,FALSE)</f>
        <v>0.12779897806752261</v>
      </c>
      <c r="AE11" s="5">
        <f>VLOOKUP(AE$1&amp;$A11,배당편집!$M$2:$T$2710,8,FALSE)</f>
        <v>3.5485788455905221E-2</v>
      </c>
      <c r="AF11" s="5">
        <f>VLOOKUP(AF$1&amp;$A11,배당편집!$M$2:$T$2710,8,FALSE)</f>
        <v>2.5896304910234091E-2</v>
      </c>
    </row>
    <row r="12" spans="1:32" ht="16.5" customHeight="1">
      <c r="A12" s="3">
        <v>2022</v>
      </c>
      <c r="B12" s="3">
        <v>11</v>
      </c>
      <c r="C12" s="5">
        <f>VLOOKUP(C$1&amp;$A12,배당편집!$M$2:$T$2710,8,FALSE)</f>
        <v>4.951444805329408E-2</v>
      </c>
      <c r="D12" s="5">
        <f>VLOOKUP(D$1&amp;$A12,배당편집!$M$2:$T$2710,8,FALSE)</f>
        <v>4.3167563810134979E-2</v>
      </c>
      <c r="E12" s="5">
        <f>VLOOKUP(E$1&amp;$A12,배당편집!$M$2:$T$2710,8,FALSE)</f>
        <v>7.7143587792743107E-2</v>
      </c>
      <c r="F12" s="5">
        <f>VLOOKUP(F$1&amp;$A12,배당편집!$M$2:$T$2710,8,FALSE)</f>
        <v>6.3750603655610361E-2</v>
      </c>
      <c r="G12" s="5">
        <f>VLOOKUP(G$1&amp;$A12,배당편집!$M$2:$T$2710,8,FALSE)</f>
        <v>3.2486261992623389E-2</v>
      </c>
      <c r="H12" s="5">
        <f>VLOOKUP(H$1&amp;$A12,배당편집!$M$2:$T$2710,8,FALSE)</f>
        <v>5.6265068998998302E-2</v>
      </c>
      <c r="I12" s="5">
        <f>VLOOKUP(I$1&amp;$A12,배당편집!$M$2:$T$2710,8,FALSE)</f>
        <v>5.9818243129609039E-2</v>
      </c>
      <c r="J12" s="5">
        <f>VLOOKUP(J$1&amp;$A12,배당편집!$M$2:$T$2710,8,FALSE)</f>
        <v>2.3555213428752442E-2</v>
      </c>
      <c r="K12" s="5">
        <f>VLOOKUP(K$1&amp;$A12,배당편집!$M$2:$T$2710,8,FALSE)</f>
        <v>7.5886481696227692E-2</v>
      </c>
      <c r="L12" s="5">
        <f>VLOOKUP(L$1&amp;$A12,배당편집!$M$2:$T$2710,8,FALSE)</f>
        <v>8.4471771197698553E-2</v>
      </c>
      <c r="M12" s="5">
        <f>VLOOKUP(M$1&amp;$A12,배당편집!$M$2:$T$2710,8,FALSE)</f>
        <v>0.13419909079131598</v>
      </c>
      <c r="N12" s="5">
        <f>VLOOKUP(N$1&amp;$A12,배당편집!$M$2:$T$2710,8,FALSE)</f>
        <v>1.4175694961439778E-2</v>
      </c>
      <c r="O12" s="5">
        <f>VLOOKUP(O$1&amp;$A12,배당편집!$M$2:$T$2710,8,FALSE)</f>
        <v>0.11264925596716679</v>
      </c>
      <c r="P12" s="5">
        <f>VLOOKUP(P$1&amp;$A12,배당편집!$M$2:$T$2710,8,FALSE)</f>
        <v>5.3740723534514645E-2</v>
      </c>
      <c r="Q12" s="5">
        <f>VLOOKUP(Q$1&amp;$A12,배당편집!$M$2:$T$2710,8,FALSE)</f>
        <v>5.7896488705653448E-2</v>
      </c>
      <c r="R12" s="5">
        <f>VLOOKUP(R$1&amp;$A12,배당편집!$M$2:$T$2710,8,FALSE)</f>
        <v>8.6073656722112313E-2</v>
      </c>
      <c r="S12" s="5">
        <f>VLOOKUP(S$1&amp;$A12,배당편집!$M$2:$T$2710,8,FALSE)</f>
        <v>5.8044301550421951E-2</v>
      </c>
      <c r="T12" s="5">
        <f>VLOOKUP(T$1&amp;$A12,배당편집!$M$2:$T$2710,8,FALSE)</f>
        <v>9.3822049736666413E-2</v>
      </c>
      <c r="U12" s="5">
        <f>VLOOKUP(U$1&amp;$A12,배당편집!$M$2:$T$2710,8,FALSE)</f>
        <v>0.1486983549970351</v>
      </c>
      <c r="V12" s="5">
        <f>VLOOKUP(V$1&amp;$A12,배당편집!$M$2:$T$2710,8,FALSE)</f>
        <v>8.8691633250776114E-2</v>
      </c>
      <c r="W12" s="5">
        <f>VLOOKUP(W$1&amp;$A12,배당편집!$M$2:$T$2710,8,FALSE)</f>
        <v>0.17978912471277986</v>
      </c>
      <c r="X12" s="5">
        <f>VLOOKUP(X$1&amp;$A12,배당편집!$M$2:$T$2710,8,FALSE)</f>
        <v>8.0832522079597569E-2</v>
      </c>
      <c r="Y12" s="5">
        <f>VLOOKUP(Y$1&amp;$A12,배당편집!$M$2:$T$2710,8,FALSE)</f>
        <v>9.3096887864549949E-2</v>
      </c>
      <c r="Z12" s="5">
        <f>VLOOKUP(Z$1&amp;$A12,배당편집!$M$2:$T$2710,8,FALSE)</f>
        <v>2.7820174603307546E-2</v>
      </c>
      <c r="AA12" s="5">
        <f>VLOOKUP(AA$1&amp;$A12,배당편집!$M$2:$T$2710,8,FALSE)</f>
        <v>4.5639552591273169E-2</v>
      </c>
      <c r="AB12" s="5">
        <f>VLOOKUP(AB$1&amp;$A12,배당편집!$M$2:$T$2710,8,FALSE)</f>
        <v>0.12142542134526657</v>
      </c>
      <c r="AC12" s="5">
        <f>VLOOKUP(AC$1&amp;$A12,배당편집!$M$2:$T$2710,8,FALSE)</f>
        <v>6.790716584560208E-2</v>
      </c>
      <c r="AD12" s="5">
        <f>VLOOKUP(AD$1&amp;$A12,배당편집!$M$2:$T$2710,8,FALSE)</f>
        <v>0.12779897806752261</v>
      </c>
      <c r="AE12" s="5">
        <f>VLOOKUP(AE$1&amp;$A12,배당편집!$M$2:$T$2710,8,FALSE)</f>
        <v>3.5485788455905221E-2</v>
      </c>
      <c r="AF12" s="5">
        <f>VLOOKUP(AF$1&amp;$A12,배당편집!$M$2:$T$2710,8,FALSE)</f>
        <v>2.5896304910234091E-2</v>
      </c>
    </row>
    <row r="13" spans="1:32" ht="16.5" customHeight="1">
      <c r="A13" s="3">
        <v>2022</v>
      </c>
      <c r="B13" s="3">
        <v>12</v>
      </c>
      <c r="C13" s="5">
        <f>VLOOKUP(C$1&amp;$A13,배당편집!$M$2:$T$2710,8,FALSE)</f>
        <v>4.951444805329408E-2</v>
      </c>
      <c r="D13" s="5">
        <f>VLOOKUP(D$1&amp;$A13,배당편집!$M$2:$T$2710,8,FALSE)</f>
        <v>4.3167563810134979E-2</v>
      </c>
      <c r="E13" s="5">
        <f>VLOOKUP(E$1&amp;$A13,배당편집!$M$2:$T$2710,8,FALSE)</f>
        <v>7.7143587792743107E-2</v>
      </c>
      <c r="F13" s="5">
        <f>VLOOKUP(F$1&amp;$A13,배당편집!$M$2:$T$2710,8,FALSE)</f>
        <v>6.3750603655610361E-2</v>
      </c>
      <c r="G13" s="5">
        <f>VLOOKUP(G$1&amp;$A13,배당편집!$M$2:$T$2710,8,FALSE)</f>
        <v>3.2486261992623389E-2</v>
      </c>
      <c r="H13" s="5">
        <f>VLOOKUP(H$1&amp;$A13,배당편집!$M$2:$T$2710,8,FALSE)</f>
        <v>5.6265068998998302E-2</v>
      </c>
      <c r="I13" s="5">
        <f>VLOOKUP(I$1&amp;$A13,배당편집!$M$2:$T$2710,8,FALSE)</f>
        <v>5.9818243129609039E-2</v>
      </c>
      <c r="J13" s="5">
        <f>VLOOKUP(J$1&amp;$A13,배당편집!$M$2:$T$2710,8,FALSE)</f>
        <v>2.3555213428752442E-2</v>
      </c>
      <c r="K13" s="5">
        <f>VLOOKUP(K$1&amp;$A13,배당편집!$M$2:$T$2710,8,FALSE)</f>
        <v>7.5886481696227692E-2</v>
      </c>
      <c r="L13" s="5">
        <f>VLOOKUP(L$1&amp;$A13,배당편집!$M$2:$T$2710,8,FALSE)</f>
        <v>8.4471771197698553E-2</v>
      </c>
      <c r="M13" s="5">
        <f>VLOOKUP(M$1&amp;$A13,배당편집!$M$2:$T$2710,8,FALSE)</f>
        <v>0.13419909079131598</v>
      </c>
      <c r="N13" s="5">
        <f>VLOOKUP(N$1&amp;$A13,배당편집!$M$2:$T$2710,8,FALSE)</f>
        <v>1.4175694961439778E-2</v>
      </c>
      <c r="O13" s="5">
        <f>VLOOKUP(O$1&amp;$A13,배당편집!$M$2:$T$2710,8,FALSE)</f>
        <v>0.11264925596716679</v>
      </c>
      <c r="P13" s="5">
        <f>VLOOKUP(P$1&amp;$A13,배당편집!$M$2:$T$2710,8,FALSE)</f>
        <v>5.3740723534514645E-2</v>
      </c>
      <c r="Q13" s="5">
        <f>VLOOKUP(Q$1&amp;$A13,배당편집!$M$2:$T$2710,8,FALSE)</f>
        <v>5.7896488705653448E-2</v>
      </c>
      <c r="R13" s="5">
        <f>VLOOKUP(R$1&amp;$A13,배당편집!$M$2:$T$2710,8,FALSE)</f>
        <v>8.6073656722112313E-2</v>
      </c>
      <c r="S13" s="5">
        <f>VLOOKUP(S$1&amp;$A13,배당편집!$M$2:$T$2710,8,FALSE)</f>
        <v>5.8044301550421951E-2</v>
      </c>
      <c r="T13" s="5">
        <f>VLOOKUP(T$1&amp;$A13,배당편집!$M$2:$T$2710,8,FALSE)</f>
        <v>9.3822049736666413E-2</v>
      </c>
      <c r="U13" s="5">
        <f>VLOOKUP(U$1&amp;$A13,배당편집!$M$2:$T$2710,8,FALSE)</f>
        <v>0.1486983549970351</v>
      </c>
      <c r="V13" s="5">
        <f>VLOOKUP(V$1&amp;$A13,배당편집!$M$2:$T$2710,8,FALSE)</f>
        <v>8.8691633250776114E-2</v>
      </c>
      <c r="W13" s="5">
        <f>VLOOKUP(W$1&amp;$A13,배당편집!$M$2:$T$2710,8,FALSE)</f>
        <v>0.17978912471277986</v>
      </c>
      <c r="X13" s="5">
        <f>VLOOKUP(X$1&amp;$A13,배당편집!$M$2:$T$2710,8,FALSE)</f>
        <v>8.0832522079597569E-2</v>
      </c>
      <c r="Y13" s="5">
        <f>VLOOKUP(Y$1&amp;$A13,배당편집!$M$2:$T$2710,8,FALSE)</f>
        <v>9.3096887864549949E-2</v>
      </c>
      <c r="Z13" s="5">
        <f>VLOOKUP(Z$1&amp;$A13,배당편집!$M$2:$T$2710,8,FALSE)</f>
        <v>2.7820174603307546E-2</v>
      </c>
      <c r="AA13" s="5">
        <f>VLOOKUP(AA$1&amp;$A13,배당편집!$M$2:$T$2710,8,FALSE)</f>
        <v>4.5639552591273169E-2</v>
      </c>
      <c r="AB13" s="5">
        <f>VLOOKUP(AB$1&amp;$A13,배당편집!$M$2:$T$2710,8,FALSE)</f>
        <v>0.12142542134526657</v>
      </c>
      <c r="AC13" s="5">
        <f>VLOOKUP(AC$1&amp;$A13,배당편집!$M$2:$T$2710,8,FALSE)</f>
        <v>6.790716584560208E-2</v>
      </c>
      <c r="AD13" s="5">
        <f>VLOOKUP(AD$1&amp;$A13,배당편집!$M$2:$T$2710,8,FALSE)</f>
        <v>0.12779897806752261</v>
      </c>
      <c r="AE13" s="5">
        <f>VLOOKUP(AE$1&amp;$A13,배당편집!$M$2:$T$2710,8,FALSE)</f>
        <v>3.5485788455905221E-2</v>
      </c>
      <c r="AF13" s="5">
        <f>VLOOKUP(AF$1&amp;$A13,배당편집!$M$2:$T$2710,8,FALSE)</f>
        <v>2.5896304910234091E-2</v>
      </c>
    </row>
    <row r="14" spans="1:32" ht="16.5" customHeight="1">
      <c r="A14" s="3">
        <v>2021</v>
      </c>
      <c r="B14" s="3">
        <v>1</v>
      </c>
      <c r="C14" s="5">
        <f>VLOOKUP(C$1&amp;$A14,배당편집!$M$2:$T$2710,8,FALSE)</f>
        <v>5.3648669024505047E-2</v>
      </c>
      <c r="D14" s="5">
        <f>VLOOKUP(D$1&amp;$A14,배당편집!$M$2:$T$2710,8,FALSE)</f>
        <v>4.5639552591273169E-2</v>
      </c>
      <c r="E14" s="5">
        <f>VLOOKUP(E$1&amp;$A14,배당편집!$M$2:$T$2710,8,FALSE)</f>
        <v>9.2388464140373161E-2</v>
      </c>
      <c r="F14" s="5">
        <f>VLOOKUP(F$1&amp;$A14,배당편집!$M$2:$T$2710,8,FALSE)</f>
        <v>4.9414522844583919E-2</v>
      </c>
      <c r="G14" s="5">
        <f>VLOOKUP(G$1&amp;$A14,배당편집!$M$2:$T$2710,8,FALSE)</f>
        <v>3.5712644823052919E-2</v>
      </c>
      <c r="H14" s="5">
        <f>VLOOKUP(H$1&amp;$A14,배당편집!$M$2:$T$2710,8,FALSE)</f>
        <v>3.8104769834314878E-2</v>
      </c>
      <c r="I14" s="5">
        <f>VLOOKUP(I$1&amp;$A14,배당편집!$M$2:$T$2710,8,FALSE)</f>
        <v>6.1108592903658554E-2</v>
      </c>
      <c r="J14" s="5">
        <f>VLOOKUP(J$1&amp;$A14,배당편집!$M$2:$T$2710,8,FALSE)</f>
        <v>2.412409259818693E-2</v>
      </c>
      <c r="K14" s="5">
        <f>VLOOKUP(K$1&amp;$A14,배당편집!$M$2:$T$2710,8,FALSE)</f>
        <v>5.9910757217231492E-2</v>
      </c>
      <c r="L14" s="5">
        <f>VLOOKUP(L$1&amp;$A14,배당편집!$M$2:$T$2710,8,FALSE)</f>
        <v>3.9594988207552584E-2</v>
      </c>
      <c r="M14" s="5">
        <f>VLOOKUP(M$1&amp;$A14,배당편집!$M$2:$T$2710,8,FALSE)</f>
        <v>0.15693359522062988</v>
      </c>
      <c r="N14" s="5">
        <f>VLOOKUP(N$1&amp;$A14,배당편집!$M$2:$T$2710,8,FALSE)</f>
        <v>1.2324047902942281E-2</v>
      </c>
      <c r="O14" s="5">
        <f>VLOOKUP(O$1&amp;$A14,배당편집!$M$2:$T$2710,8,FALSE)</f>
        <v>0.11768278437733448</v>
      </c>
      <c r="P14" s="5">
        <f>VLOOKUP(P$1&amp;$A14,배당편집!$M$2:$T$2710,8,FALSE)</f>
        <v>3.5887861274744637E-2</v>
      </c>
      <c r="Q14" s="5">
        <f>VLOOKUP(Q$1&amp;$A14,배당편집!$M$2:$T$2710,8,FALSE)</f>
        <v>6.1333865429709977E-2</v>
      </c>
      <c r="R14" s="5">
        <f>VLOOKUP(R$1&amp;$A14,배당편집!$M$2:$T$2710,8,FALSE)</f>
        <v>8.2744896555654535E-2</v>
      </c>
      <c r="S14" s="5">
        <f>VLOOKUP(S$1&amp;$A14,배당편집!$M$2:$T$2710,8,FALSE)</f>
        <v>4.3884310724384035E-2</v>
      </c>
      <c r="T14" s="5">
        <f>VLOOKUP(T$1&amp;$A14,배당편집!$M$2:$T$2710,8,FALSE)</f>
        <v>9.7763328719189246E-2</v>
      </c>
      <c r="U14" s="5">
        <f>VLOOKUP(U$1&amp;$A14,배당편집!$M$2:$T$2710,8,FALSE)</f>
        <v>0.16723531932969316</v>
      </c>
      <c r="V14" s="5">
        <f>VLOOKUP(V$1&amp;$A14,배당편집!$M$2:$T$2710,8,FALSE)</f>
        <v>0.11060497971884509</v>
      </c>
      <c r="W14" s="5">
        <f>VLOOKUP(W$1&amp;$A14,배당편집!$M$2:$T$2710,8,FALSE)</f>
        <v>0.16465861577965679</v>
      </c>
      <c r="X14" s="5">
        <f>VLOOKUP(X$1&amp;$A14,배당편집!$M$2:$T$2710,8,FALSE)</f>
        <v>8.4471771197698553E-2</v>
      </c>
      <c r="Y14" s="5">
        <f>VLOOKUP(Y$1&amp;$A14,배당편집!$M$2:$T$2710,8,FALSE)</f>
        <v>6.9124851069322091E-2</v>
      </c>
      <c r="Z14" s="5">
        <f>VLOOKUP(Z$1&amp;$A14,배당편집!$M$2:$T$2710,8,FALSE)</f>
        <v>2.8617553510468241E-2</v>
      </c>
      <c r="AA14" s="5">
        <f>VLOOKUP(AA$1&amp;$A14,배당편집!$M$2:$T$2710,8,FALSE)</f>
        <v>4.2836189040638795E-2</v>
      </c>
      <c r="AB14" s="5">
        <f>VLOOKUP(AB$1&amp;$A14,배당편집!$M$2:$T$2710,8,FALSE)</f>
        <v>0.11595795704392353</v>
      </c>
      <c r="AC14" s="5">
        <f>VLOOKUP(AC$1&amp;$A14,배당편집!$M$2:$T$2710,8,FALSE)</f>
        <v>5.9223841048812176E-2</v>
      </c>
      <c r="AD14" s="5">
        <f>VLOOKUP(AD$1&amp;$A14,배당편집!$M$2:$T$2710,8,FALSE)</f>
        <v>0.11902919127544953</v>
      </c>
      <c r="AE14" s="5">
        <f>VLOOKUP(AE$1&amp;$A14,배당편집!$M$2:$T$2710,8,FALSE)</f>
        <v>2.8346722100213606E-2</v>
      </c>
      <c r="AF14" s="5">
        <f>VLOOKUP(AF$1&amp;$A14,배당편집!$M$2:$T$2710,8,FALSE)</f>
        <v>3.3406482938779236E-2</v>
      </c>
    </row>
    <row r="15" spans="1:32" ht="16.5" customHeight="1">
      <c r="A15" s="3">
        <v>2021</v>
      </c>
      <c r="B15" s="3">
        <v>2</v>
      </c>
      <c r="C15" s="5">
        <f>VLOOKUP(C$1&amp;$A15,배당편집!$M$2:$T$2710,8,FALSE)</f>
        <v>5.3648669024505047E-2</v>
      </c>
      <c r="D15" s="5">
        <f>VLOOKUP(D$1&amp;$A15,배당편집!$M$2:$T$2710,8,FALSE)</f>
        <v>4.5639552591273169E-2</v>
      </c>
      <c r="E15" s="5">
        <f>VLOOKUP(E$1&amp;$A15,배당편집!$M$2:$T$2710,8,FALSE)</f>
        <v>9.2388464140373161E-2</v>
      </c>
      <c r="F15" s="5">
        <f>VLOOKUP(F$1&amp;$A15,배당편집!$M$2:$T$2710,8,FALSE)</f>
        <v>4.9414522844583919E-2</v>
      </c>
      <c r="G15" s="5">
        <f>VLOOKUP(G$1&amp;$A15,배당편집!$M$2:$T$2710,8,FALSE)</f>
        <v>3.5712644823052919E-2</v>
      </c>
      <c r="H15" s="5">
        <f>VLOOKUP(H$1&amp;$A15,배당편집!$M$2:$T$2710,8,FALSE)</f>
        <v>3.8104769834314878E-2</v>
      </c>
      <c r="I15" s="5">
        <f>VLOOKUP(I$1&amp;$A15,배당편집!$M$2:$T$2710,8,FALSE)</f>
        <v>6.1108592903658554E-2</v>
      </c>
      <c r="J15" s="5">
        <f>VLOOKUP(J$1&amp;$A15,배당편집!$M$2:$T$2710,8,FALSE)</f>
        <v>2.412409259818693E-2</v>
      </c>
      <c r="K15" s="5">
        <f>VLOOKUP(K$1&amp;$A15,배당편집!$M$2:$T$2710,8,FALSE)</f>
        <v>5.9910757217231492E-2</v>
      </c>
      <c r="L15" s="5">
        <f>VLOOKUP(L$1&amp;$A15,배당편집!$M$2:$T$2710,8,FALSE)</f>
        <v>3.9594988207552584E-2</v>
      </c>
      <c r="M15" s="5">
        <f>VLOOKUP(M$1&amp;$A15,배당편집!$M$2:$T$2710,8,FALSE)</f>
        <v>0.15693359522062988</v>
      </c>
      <c r="N15" s="5">
        <f>VLOOKUP(N$1&amp;$A15,배당편집!$M$2:$T$2710,8,FALSE)</f>
        <v>1.2324047902942281E-2</v>
      </c>
      <c r="O15" s="5">
        <f>VLOOKUP(O$1&amp;$A15,배당편집!$M$2:$T$2710,8,FALSE)</f>
        <v>0.11768278437733448</v>
      </c>
      <c r="P15" s="5">
        <f>VLOOKUP(P$1&amp;$A15,배당편집!$M$2:$T$2710,8,FALSE)</f>
        <v>3.5887861274744637E-2</v>
      </c>
      <c r="Q15" s="5">
        <f>VLOOKUP(Q$1&amp;$A15,배당편집!$M$2:$T$2710,8,FALSE)</f>
        <v>6.1333865429709977E-2</v>
      </c>
      <c r="R15" s="5">
        <f>VLOOKUP(R$1&amp;$A15,배당편집!$M$2:$T$2710,8,FALSE)</f>
        <v>8.2744896555654535E-2</v>
      </c>
      <c r="S15" s="5">
        <f>VLOOKUP(S$1&amp;$A15,배당편집!$M$2:$T$2710,8,FALSE)</f>
        <v>4.3884310724384035E-2</v>
      </c>
      <c r="T15" s="5">
        <f>VLOOKUP(T$1&amp;$A15,배당편집!$M$2:$T$2710,8,FALSE)</f>
        <v>9.7763328719189246E-2</v>
      </c>
      <c r="U15" s="5">
        <f>VLOOKUP(U$1&amp;$A15,배당편집!$M$2:$T$2710,8,FALSE)</f>
        <v>0.16723531932969316</v>
      </c>
      <c r="V15" s="5">
        <f>VLOOKUP(V$1&amp;$A15,배당편집!$M$2:$T$2710,8,FALSE)</f>
        <v>0.11060497971884509</v>
      </c>
      <c r="W15" s="5">
        <f>VLOOKUP(W$1&amp;$A15,배당편집!$M$2:$T$2710,8,FALSE)</f>
        <v>0.16465861577965679</v>
      </c>
      <c r="X15" s="5">
        <f>VLOOKUP(X$1&amp;$A15,배당편집!$M$2:$T$2710,8,FALSE)</f>
        <v>8.4471771197698553E-2</v>
      </c>
      <c r="Y15" s="5">
        <f>VLOOKUP(Y$1&amp;$A15,배당편집!$M$2:$T$2710,8,FALSE)</f>
        <v>6.9124851069322091E-2</v>
      </c>
      <c r="Z15" s="5">
        <f>VLOOKUP(Z$1&amp;$A15,배당편집!$M$2:$T$2710,8,FALSE)</f>
        <v>2.8617553510468241E-2</v>
      </c>
      <c r="AA15" s="5">
        <f>VLOOKUP(AA$1&amp;$A15,배당편집!$M$2:$T$2710,8,FALSE)</f>
        <v>4.2836189040638795E-2</v>
      </c>
      <c r="AB15" s="5">
        <f>VLOOKUP(AB$1&amp;$A15,배당편집!$M$2:$T$2710,8,FALSE)</f>
        <v>0.11595795704392353</v>
      </c>
      <c r="AC15" s="5">
        <f>VLOOKUP(AC$1&amp;$A15,배당편집!$M$2:$T$2710,8,FALSE)</f>
        <v>5.9223841048812176E-2</v>
      </c>
      <c r="AD15" s="5">
        <f>VLOOKUP(AD$1&amp;$A15,배당편집!$M$2:$T$2710,8,FALSE)</f>
        <v>0.11902919127544953</v>
      </c>
      <c r="AE15" s="5">
        <f>VLOOKUP(AE$1&amp;$A15,배당편집!$M$2:$T$2710,8,FALSE)</f>
        <v>2.8346722100213606E-2</v>
      </c>
      <c r="AF15" s="5">
        <f>VLOOKUP(AF$1&amp;$A15,배당편집!$M$2:$T$2710,8,FALSE)</f>
        <v>3.3406482938779236E-2</v>
      </c>
    </row>
    <row r="16" spans="1:32" ht="16.5" customHeight="1">
      <c r="A16" s="3">
        <v>2021</v>
      </c>
      <c r="B16" s="3">
        <v>3</v>
      </c>
      <c r="C16" s="5">
        <f>VLOOKUP(C$1&amp;$A16,배당편집!$M$2:$T$2710,8,FALSE)</f>
        <v>5.3648669024505047E-2</v>
      </c>
      <c r="D16" s="5">
        <f>VLOOKUP(D$1&amp;$A16,배당편집!$M$2:$T$2710,8,FALSE)</f>
        <v>4.5639552591273169E-2</v>
      </c>
      <c r="E16" s="5">
        <f>VLOOKUP(E$1&amp;$A16,배당편집!$M$2:$T$2710,8,FALSE)</f>
        <v>9.2388464140373161E-2</v>
      </c>
      <c r="F16" s="5">
        <f>VLOOKUP(F$1&amp;$A16,배당편집!$M$2:$T$2710,8,FALSE)</f>
        <v>4.9414522844583919E-2</v>
      </c>
      <c r="G16" s="5">
        <f>VLOOKUP(G$1&amp;$A16,배당편집!$M$2:$T$2710,8,FALSE)</f>
        <v>3.5712644823052919E-2</v>
      </c>
      <c r="H16" s="5">
        <f>VLOOKUP(H$1&amp;$A16,배당편집!$M$2:$T$2710,8,FALSE)</f>
        <v>3.8104769834314878E-2</v>
      </c>
      <c r="I16" s="5">
        <f>VLOOKUP(I$1&amp;$A16,배당편집!$M$2:$T$2710,8,FALSE)</f>
        <v>6.1108592903658554E-2</v>
      </c>
      <c r="J16" s="5">
        <f>VLOOKUP(J$1&amp;$A16,배당편집!$M$2:$T$2710,8,FALSE)</f>
        <v>2.412409259818693E-2</v>
      </c>
      <c r="K16" s="5">
        <f>VLOOKUP(K$1&amp;$A16,배당편집!$M$2:$T$2710,8,FALSE)</f>
        <v>5.9910757217231492E-2</v>
      </c>
      <c r="L16" s="5">
        <f>VLOOKUP(L$1&amp;$A16,배당편집!$M$2:$T$2710,8,FALSE)</f>
        <v>3.9594988207552584E-2</v>
      </c>
      <c r="M16" s="5">
        <f>VLOOKUP(M$1&amp;$A16,배당편집!$M$2:$T$2710,8,FALSE)</f>
        <v>0.15693359522062988</v>
      </c>
      <c r="N16" s="5">
        <f>VLOOKUP(N$1&amp;$A16,배당편집!$M$2:$T$2710,8,FALSE)</f>
        <v>1.2324047902942281E-2</v>
      </c>
      <c r="O16" s="5">
        <f>VLOOKUP(O$1&amp;$A16,배당편집!$M$2:$T$2710,8,FALSE)</f>
        <v>0.11768278437733448</v>
      </c>
      <c r="P16" s="5">
        <f>VLOOKUP(P$1&amp;$A16,배당편집!$M$2:$T$2710,8,FALSE)</f>
        <v>3.5887861274744637E-2</v>
      </c>
      <c r="Q16" s="5">
        <f>VLOOKUP(Q$1&amp;$A16,배당편집!$M$2:$T$2710,8,FALSE)</f>
        <v>6.1333865429709977E-2</v>
      </c>
      <c r="R16" s="5">
        <f>VLOOKUP(R$1&amp;$A16,배당편집!$M$2:$T$2710,8,FALSE)</f>
        <v>8.2744896555654535E-2</v>
      </c>
      <c r="S16" s="5">
        <f>VLOOKUP(S$1&amp;$A16,배당편집!$M$2:$T$2710,8,FALSE)</f>
        <v>4.3884310724384035E-2</v>
      </c>
      <c r="T16" s="5">
        <f>VLOOKUP(T$1&amp;$A16,배당편집!$M$2:$T$2710,8,FALSE)</f>
        <v>9.7763328719189246E-2</v>
      </c>
      <c r="U16" s="5">
        <f>VLOOKUP(U$1&amp;$A16,배당편집!$M$2:$T$2710,8,FALSE)</f>
        <v>0.16723531932969316</v>
      </c>
      <c r="V16" s="5">
        <f>VLOOKUP(V$1&amp;$A16,배당편집!$M$2:$T$2710,8,FALSE)</f>
        <v>0.11060497971884509</v>
      </c>
      <c r="W16" s="5">
        <f>VLOOKUP(W$1&amp;$A16,배당편집!$M$2:$T$2710,8,FALSE)</f>
        <v>0.16465861577965679</v>
      </c>
      <c r="X16" s="5">
        <f>VLOOKUP(X$1&amp;$A16,배당편집!$M$2:$T$2710,8,FALSE)</f>
        <v>8.4471771197698553E-2</v>
      </c>
      <c r="Y16" s="5">
        <f>VLOOKUP(Y$1&amp;$A16,배당편집!$M$2:$T$2710,8,FALSE)</f>
        <v>6.9124851069322091E-2</v>
      </c>
      <c r="Z16" s="5">
        <f>VLOOKUP(Z$1&amp;$A16,배당편집!$M$2:$T$2710,8,FALSE)</f>
        <v>2.8617553510468241E-2</v>
      </c>
      <c r="AA16" s="5">
        <f>VLOOKUP(AA$1&amp;$A16,배당편집!$M$2:$T$2710,8,FALSE)</f>
        <v>4.2836189040638795E-2</v>
      </c>
      <c r="AB16" s="5">
        <f>VLOOKUP(AB$1&amp;$A16,배당편집!$M$2:$T$2710,8,FALSE)</f>
        <v>0.11595795704392353</v>
      </c>
      <c r="AC16" s="5">
        <f>VLOOKUP(AC$1&amp;$A16,배당편집!$M$2:$T$2710,8,FALSE)</f>
        <v>5.9223841048812176E-2</v>
      </c>
      <c r="AD16" s="5">
        <f>VLOOKUP(AD$1&amp;$A16,배당편집!$M$2:$T$2710,8,FALSE)</f>
        <v>0.11902919127544953</v>
      </c>
      <c r="AE16" s="5">
        <f>VLOOKUP(AE$1&amp;$A16,배당편집!$M$2:$T$2710,8,FALSE)</f>
        <v>2.8346722100213606E-2</v>
      </c>
      <c r="AF16" s="5">
        <f>VLOOKUP(AF$1&amp;$A16,배당편집!$M$2:$T$2710,8,FALSE)</f>
        <v>3.3406482938779236E-2</v>
      </c>
    </row>
    <row r="17" spans="1:32" ht="16.5" customHeight="1">
      <c r="A17" s="3">
        <v>2021</v>
      </c>
      <c r="B17" s="3">
        <v>4</v>
      </c>
      <c r="C17" s="5">
        <f>VLOOKUP(C$1&amp;$A17,배당편집!$M$2:$T$2710,8,FALSE)</f>
        <v>5.3648669024505047E-2</v>
      </c>
      <c r="D17" s="5">
        <f>VLOOKUP(D$1&amp;$A17,배당편집!$M$2:$T$2710,8,FALSE)</f>
        <v>4.5639552591273169E-2</v>
      </c>
      <c r="E17" s="5">
        <f>VLOOKUP(E$1&amp;$A17,배당편집!$M$2:$T$2710,8,FALSE)</f>
        <v>9.2388464140373161E-2</v>
      </c>
      <c r="F17" s="5">
        <f>VLOOKUP(F$1&amp;$A17,배당편집!$M$2:$T$2710,8,FALSE)</f>
        <v>4.9414522844583919E-2</v>
      </c>
      <c r="G17" s="5">
        <f>VLOOKUP(G$1&amp;$A17,배당편집!$M$2:$T$2710,8,FALSE)</f>
        <v>3.5712644823052919E-2</v>
      </c>
      <c r="H17" s="5">
        <f>VLOOKUP(H$1&amp;$A17,배당편집!$M$2:$T$2710,8,FALSE)</f>
        <v>3.8104769834314878E-2</v>
      </c>
      <c r="I17" s="5">
        <f>VLOOKUP(I$1&amp;$A17,배당편집!$M$2:$T$2710,8,FALSE)</f>
        <v>6.1108592903658554E-2</v>
      </c>
      <c r="J17" s="5">
        <f>VLOOKUP(J$1&amp;$A17,배당편집!$M$2:$T$2710,8,FALSE)</f>
        <v>2.412409259818693E-2</v>
      </c>
      <c r="K17" s="5">
        <f>VLOOKUP(K$1&amp;$A17,배당편집!$M$2:$T$2710,8,FALSE)</f>
        <v>5.9910757217231492E-2</v>
      </c>
      <c r="L17" s="5">
        <f>VLOOKUP(L$1&amp;$A17,배당편집!$M$2:$T$2710,8,FALSE)</f>
        <v>3.9594988207552584E-2</v>
      </c>
      <c r="M17" s="5">
        <f>VLOOKUP(M$1&amp;$A17,배당편집!$M$2:$T$2710,8,FALSE)</f>
        <v>0.15693359522062988</v>
      </c>
      <c r="N17" s="5">
        <f>VLOOKUP(N$1&amp;$A17,배당편집!$M$2:$T$2710,8,FALSE)</f>
        <v>1.2324047902942281E-2</v>
      </c>
      <c r="O17" s="5">
        <f>VLOOKUP(O$1&amp;$A17,배당편집!$M$2:$T$2710,8,FALSE)</f>
        <v>0.11768278437733448</v>
      </c>
      <c r="P17" s="5">
        <f>VLOOKUP(P$1&amp;$A17,배당편집!$M$2:$T$2710,8,FALSE)</f>
        <v>3.5887861274744637E-2</v>
      </c>
      <c r="Q17" s="5">
        <f>VLOOKUP(Q$1&amp;$A17,배당편집!$M$2:$T$2710,8,FALSE)</f>
        <v>6.1333865429709977E-2</v>
      </c>
      <c r="R17" s="5">
        <f>VLOOKUP(R$1&amp;$A17,배당편집!$M$2:$T$2710,8,FALSE)</f>
        <v>8.2744896555654535E-2</v>
      </c>
      <c r="S17" s="5">
        <f>VLOOKUP(S$1&amp;$A17,배당편집!$M$2:$T$2710,8,FALSE)</f>
        <v>4.3884310724384035E-2</v>
      </c>
      <c r="T17" s="5">
        <f>VLOOKUP(T$1&amp;$A17,배당편집!$M$2:$T$2710,8,FALSE)</f>
        <v>9.7763328719189246E-2</v>
      </c>
      <c r="U17" s="5">
        <f>VLOOKUP(U$1&amp;$A17,배당편집!$M$2:$T$2710,8,FALSE)</f>
        <v>0.16723531932969316</v>
      </c>
      <c r="V17" s="5">
        <f>VLOOKUP(V$1&amp;$A17,배당편집!$M$2:$T$2710,8,FALSE)</f>
        <v>0.11060497971884509</v>
      </c>
      <c r="W17" s="5">
        <f>VLOOKUP(W$1&amp;$A17,배당편집!$M$2:$T$2710,8,FALSE)</f>
        <v>0.16465861577965679</v>
      </c>
      <c r="X17" s="5">
        <f>VLOOKUP(X$1&amp;$A17,배당편집!$M$2:$T$2710,8,FALSE)</f>
        <v>8.4471771197698553E-2</v>
      </c>
      <c r="Y17" s="5">
        <f>VLOOKUP(Y$1&amp;$A17,배당편집!$M$2:$T$2710,8,FALSE)</f>
        <v>6.9124851069322091E-2</v>
      </c>
      <c r="Z17" s="5">
        <f>VLOOKUP(Z$1&amp;$A17,배당편집!$M$2:$T$2710,8,FALSE)</f>
        <v>2.8617553510468241E-2</v>
      </c>
      <c r="AA17" s="5">
        <f>VLOOKUP(AA$1&amp;$A17,배당편집!$M$2:$T$2710,8,FALSE)</f>
        <v>4.2836189040638795E-2</v>
      </c>
      <c r="AB17" s="5">
        <f>VLOOKUP(AB$1&amp;$A17,배당편집!$M$2:$T$2710,8,FALSE)</f>
        <v>0.11595795704392353</v>
      </c>
      <c r="AC17" s="5">
        <f>VLOOKUP(AC$1&amp;$A17,배당편집!$M$2:$T$2710,8,FALSE)</f>
        <v>5.9223841048812176E-2</v>
      </c>
      <c r="AD17" s="5">
        <f>VLOOKUP(AD$1&amp;$A17,배당편집!$M$2:$T$2710,8,FALSE)</f>
        <v>0.11902919127544953</v>
      </c>
      <c r="AE17" s="5">
        <f>VLOOKUP(AE$1&amp;$A17,배당편집!$M$2:$T$2710,8,FALSE)</f>
        <v>2.8346722100213606E-2</v>
      </c>
      <c r="AF17" s="5">
        <f>VLOOKUP(AF$1&amp;$A17,배당편집!$M$2:$T$2710,8,FALSE)</f>
        <v>3.3406482938779236E-2</v>
      </c>
    </row>
    <row r="18" spans="1:32" ht="16.5" customHeight="1">
      <c r="A18" s="3">
        <v>2021</v>
      </c>
      <c r="B18" s="3">
        <v>5</v>
      </c>
      <c r="C18" s="5">
        <f>VLOOKUP(C$1&amp;$A18,배당편집!$M$2:$T$2710,8,FALSE)</f>
        <v>5.3648669024505047E-2</v>
      </c>
      <c r="D18" s="5">
        <f>VLOOKUP(D$1&amp;$A18,배당편집!$M$2:$T$2710,8,FALSE)</f>
        <v>4.5639552591273169E-2</v>
      </c>
      <c r="E18" s="5">
        <f>VLOOKUP(E$1&amp;$A18,배당편집!$M$2:$T$2710,8,FALSE)</f>
        <v>9.2388464140373161E-2</v>
      </c>
      <c r="F18" s="5">
        <f>VLOOKUP(F$1&amp;$A18,배당편집!$M$2:$T$2710,8,FALSE)</f>
        <v>4.9414522844583919E-2</v>
      </c>
      <c r="G18" s="5">
        <f>VLOOKUP(G$1&amp;$A18,배당편집!$M$2:$T$2710,8,FALSE)</f>
        <v>3.5712644823052919E-2</v>
      </c>
      <c r="H18" s="5">
        <f>VLOOKUP(H$1&amp;$A18,배당편집!$M$2:$T$2710,8,FALSE)</f>
        <v>3.8104769834314878E-2</v>
      </c>
      <c r="I18" s="5">
        <f>VLOOKUP(I$1&amp;$A18,배당편집!$M$2:$T$2710,8,FALSE)</f>
        <v>6.1108592903658554E-2</v>
      </c>
      <c r="J18" s="5">
        <f>VLOOKUP(J$1&amp;$A18,배당편집!$M$2:$T$2710,8,FALSE)</f>
        <v>2.412409259818693E-2</v>
      </c>
      <c r="K18" s="5">
        <f>VLOOKUP(K$1&amp;$A18,배당편집!$M$2:$T$2710,8,FALSE)</f>
        <v>5.9910757217231492E-2</v>
      </c>
      <c r="L18" s="5">
        <f>VLOOKUP(L$1&amp;$A18,배당편집!$M$2:$T$2710,8,FALSE)</f>
        <v>3.9594988207552584E-2</v>
      </c>
      <c r="M18" s="5">
        <f>VLOOKUP(M$1&amp;$A18,배당편집!$M$2:$T$2710,8,FALSE)</f>
        <v>0.15693359522062988</v>
      </c>
      <c r="N18" s="5">
        <f>VLOOKUP(N$1&amp;$A18,배당편집!$M$2:$T$2710,8,FALSE)</f>
        <v>1.2324047902942281E-2</v>
      </c>
      <c r="O18" s="5">
        <f>VLOOKUP(O$1&amp;$A18,배당편집!$M$2:$T$2710,8,FALSE)</f>
        <v>0.11768278437733448</v>
      </c>
      <c r="P18" s="5">
        <f>VLOOKUP(P$1&amp;$A18,배당편집!$M$2:$T$2710,8,FALSE)</f>
        <v>3.5887861274744637E-2</v>
      </c>
      <c r="Q18" s="5">
        <f>VLOOKUP(Q$1&amp;$A18,배당편집!$M$2:$T$2710,8,FALSE)</f>
        <v>6.1333865429709977E-2</v>
      </c>
      <c r="R18" s="5">
        <f>VLOOKUP(R$1&amp;$A18,배당편집!$M$2:$T$2710,8,FALSE)</f>
        <v>8.2744896555654535E-2</v>
      </c>
      <c r="S18" s="5">
        <f>VLOOKUP(S$1&amp;$A18,배당편집!$M$2:$T$2710,8,FALSE)</f>
        <v>4.3884310724384035E-2</v>
      </c>
      <c r="T18" s="5">
        <f>VLOOKUP(T$1&amp;$A18,배당편집!$M$2:$T$2710,8,FALSE)</f>
        <v>9.7763328719189246E-2</v>
      </c>
      <c r="U18" s="5">
        <f>VLOOKUP(U$1&amp;$A18,배당편집!$M$2:$T$2710,8,FALSE)</f>
        <v>0.16723531932969316</v>
      </c>
      <c r="V18" s="5">
        <f>VLOOKUP(V$1&amp;$A18,배당편집!$M$2:$T$2710,8,FALSE)</f>
        <v>0.11060497971884509</v>
      </c>
      <c r="W18" s="5">
        <f>VLOOKUP(W$1&amp;$A18,배당편집!$M$2:$T$2710,8,FALSE)</f>
        <v>0.16465861577965679</v>
      </c>
      <c r="X18" s="5">
        <f>VLOOKUP(X$1&amp;$A18,배당편집!$M$2:$T$2710,8,FALSE)</f>
        <v>8.4471771197698553E-2</v>
      </c>
      <c r="Y18" s="5">
        <f>VLOOKUP(Y$1&amp;$A18,배당편집!$M$2:$T$2710,8,FALSE)</f>
        <v>6.9124851069322091E-2</v>
      </c>
      <c r="Z18" s="5">
        <f>VLOOKUP(Z$1&amp;$A18,배당편집!$M$2:$T$2710,8,FALSE)</f>
        <v>2.8617553510468241E-2</v>
      </c>
      <c r="AA18" s="5">
        <f>VLOOKUP(AA$1&amp;$A18,배당편집!$M$2:$T$2710,8,FALSE)</f>
        <v>4.2836189040638795E-2</v>
      </c>
      <c r="AB18" s="5">
        <f>VLOOKUP(AB$1&amp;$A18,배당편집!$M$2:$T$2710,8,FALSE)</f>
        <v>0.11595795704392353</v>
      </c>
      <c r="AC18" s="5">
        <f>VLOOKUP(AC$1&amp;$A18,배당편집!$M$2:$T$2710,8,FALSE)</f>
        <v>5.9223841048812176E-2</v>
      </c>
      <c r="AD18" s="5">
        <f>VLOOKUP(AD$1&amp;$A18,배당편집!$M$2:$T$2710,8,FALSE)</f>
        <v>0.11902919127544953</v>
      </c>
      <c r="AE18" s="5">
        <f>VLOOKUP(AE$1&amp;$A18,배당편집!$M$2:$T$2710,8,FALSE)</f>
        <v>2.8346722100213606E-2</v>
      </c>
      <c r="AF18" s="5">
        <f>VLOOKUP(AF$1&amp;$A18,배당편집!$M$2:$T$2710,8,FALSE)</f>
        <v>3.3406482938779236E-2</v>
      </c>
    </row>
    <row r="19" spans="1:32" ht="16.5" customHeight="1">
      <c r="A19" s="3">
        <v>2021</v>
      </c>
      <c r="B19" s="3">
        <v>6</v>
      </c>
      <c r="C19" s="5">
        <f>VLOOKUP(C$1&amp;$A19,배당편집!$M$2:$T$2710,8,FALSE)</f>
        <v>5.3648669024505047E-2</v>
      </c>
      <c r="D19" s="5">
        <f>VLOOKUP(D$1&amp;$A19,배당편집!$M$2:$T$2710,8,FALSE)</f>
        <v>4.5639552591273169E-2</v>
      </c>
      <c r="E19" s="5">
        <f>VLOOKUP(E$1&amp;$A19,배당편집!$M$2:$T$2710,8,FALSE)</f>
        <v>9.2388464140373161E-2</v>
      </c>
      <c r="F19" s="5">
        <f>VLOOKUP(F$1&amp;$A19,배당편집!$M$2:$T$2710,8,FALSE)</f>
        <v>4.9414522844583919E-2</v>
      </c>
      <c r="G19" s="5">
        <f>VLOOKUP(G$1&amp;$A19,배당편집!$M$2:$T$2710,8,FALSE)</f>
        <v>3.5712644823052919E-2</v>
      </c>
      <c r="H19" s="5">
        <f>VLOOKUP(H$1&amp;$A19,배당편집!$M$2:$T$2710,8,FALSE)</f>
        <v>3.8104769834314878E-2</v>
      </c>
      <c r="I19" s="5">
        <f>VLOOKUP(I$1&amp;$A19,배당편집!$M$2:$T$2710,8,FALSE)</f>
        <v>6.1108592903658554E-2</v>
      </c>
      <c r="J19" s="5">
        <f>VLOOKUP(J$1&amp;$A19,배당편집!$M$2:$T$2710,8,FALSE)</f>
        <v>2.412409259818693E-2</v>
      </c>
      <c r="K19" s="5">
        <f>VLOOKUP(K$1&amp;$A19,배당편집!$M$2:$T$2710,8,FALSE)</f>
        <v>5.9910757217231492E-2</v>
      </c>
      <c r="L19" s="5">
        <f>VLOOKUP(L$1&amp;$A19,배당편집!$M$2:$T$2710,8,FALSE)</f>
        <v>3.9594988207552584E-2</v>
      </c>
      <c r="M19" s="5">
        <f>VLOOKUP(M$1&amp;$A19,배당편집!$M$2:$T$2710,8,FALSE)</f>
        <v>0.15693359522062988</v>
      </c>
      <c r="N19" s="5">
        <f>VLOOKUP(N$1&amp;$A19,배당편집!$M$2:$T$2710,8,FALSE)</f>
        <v>1.2324047902942281E-2</v>
      </c>
      <c r="O19" s="5">
        <f>VLOOKUP(O$1&amp;$A19,배당편집!$M$2:$T$2710,8,FALSE)</f>
        <v>0.11768278437733448</v>
      </c>
      <c r="P19" s="5">
        <f>VLOOKUP(P$1&amp;$A19,배당편집!$M$2:$T$2710,8,FALSE)</f>
        <v>3.5887861274744637E-2</v>
      </c>
      <c r="Q19" s="5">
        <f>VLOOKUP(Q$1&amp;$A19,배당편집!$M$2:$T$2710,8,FALSE)</f>
        <v>6.1333865429709977E-2</v>
      </c>
      <c r="R19" s="5">
        <f>VLOOKUP(R$1&amp;$A19,배당편집!$M$2:$T$2710,8,FALSE)</f>
        <v>8.2744896555654535E-2</v>
      </c>
      <c r="S19" s="5">
        <f>VLOOKUP(S$1&amp;$A19,배당편집!$M$2:$T$2710,8,FALSE)</f>
        <v>4.3884310724384035E-2</v>
      </c>
      <c r="T19" s="5">
        <f>VLOOKUP(T$1&amp;$A19,배당편집!$M$2:$T$2710,8,FALSE)</f>
        <v>9.7763328719189246E-2</v>
      </c>
      <c r="U19" s="5">
        <f>VLOOKUP(U$1&amp;$A19,배당편집!$M$2:$T$2710,8,FALSE)</f>
        <v>0.16723531932969316</v>
      </c>
      <c r="V19" s="5">
        <f>VLOOKUP(V$1&amp;$A19,배당편집!$M$2:$T$2710,8,FALSE)</f>
        <v>0.11060497971884509</v>
      </c>
      <c r="W19" s="5">
        <f>VLOOKUP(W$1&amp;$A19,배당편집!$M$2:$T$2710,8,FALSE)</f>
        <v>0.16465861577965679</v>
      </c>
      <c r="X19" s="5">
        <f>VLOOKUP(X$1&amp;$A19,배당편집!$M$2:$T$2710,8,FALSE)</f>
        <v>8.4471771197698553E-2</v>
      </c>
      <c r="Y19" s="5">
        <f>VLOOKUP(Y$1&amp;$A19,배당편집!$M$2:$T$2710,8,FALSE)</f>
        <v>6.9124851069322091E-2</v>
      </c>
      <c r="Z19" s="5">
        <f>VLOOKUP(Z$1&amp;$A19,배당편집!$M$2:$T$2710,8,FALSE)</f>
        <v>2.8617553510468241E-2</v>
      </c>
      <c r="AA19" s="5">
        <f>VLOOKUP(AA$1&amp;$A19,배당편집!$M$2:$T$2710,8,FALSE)</f>
        <v>4.2836189040638795E-2</v>
      </c>
      <c r="AB19" s="5">
        <f>VLOOKUP(AB$1&amp;$A19,배당편집!$M$2:$T$2710,8,FALSE)</f>
        <v>0.11595795704392353</v>
      </c>
      <c r="AC19" s="5">
        <f>VLOOKUP(AC$1&amp;$A19,배당편집!$M$2:$T$2710,8,FALSE)</f>
        <v>5.9223841048812176E-2</v>
      </c>
      <c r="AD19" s="5">
        <f>VLOOKUP(AD$1&amp;$A19,배당편집!$M$2:$T$2710,8,FALSE)</f>
        <v>0.11902919127544953</v>
      </c>
      <c r="AE19" s="5">
        <f>VLOOKUP(AE$1&amp;$A19,배당편집!$M$2:$T$2710,8,FALSE)</f>
        <v>2.8346722100213606E-2</v>
      </c>
      <c r="AF19" s="5">
        <f>VLOOKUP(AF$1&amp;$A19,배당편집!$M$2:$T$2710,8,FALSE)</f>
        <v>3.3406482938779236E-2</v>
      </c>
    </row>
    <row r="20" spans="1:32" ht="16.5" customHeight="1">
      <c r="A20" s="3">
        <v>2021</v>
      </c>
      <c r="B20" s="3">
        <v>7</v>
      </c>
      <c r="C20" s="5">
        <f>VLOOKUP(C$1&amp;$A20,배당편집!$M$2:$T$2710,8,FALSE)</f>
        <v>5.3648669024505047E-2</v>
      </c>
      <c r="D20" s="5">
        <f>VLOOKUP(D$1&amp;$A20,배당편집!$M$2:$T$2710,8,FALSE)</f>
        <v>4.5639552591273169E-2</v>
      </c>
      <c r="E20" s="5">
        <f>VLOOKUP(E$1&amp;$A20,배당편집!$M$2:$T$2710,8,FALSE)</f>
        <v>9.2388464140373161E-2</v>
      </c>
      <c r="F20" s="5">
        <f>VLOOKUP(F$1&amp;$A20,배당편집!$M$2:$T$2710,8,FALSE)</f>
        <v>4.9414522844583919E-2</v>
      </c>
      <c r="G20" s="5">
        <f>VLOOKUP(G$1&amp;$A20,배당편집!$M$2:$T$2710,8,FALSE)</f>
        <v>3.5712644823052919E-2</v>
      </c>
      <c r="H20" s="5">
        <f>VLOOKUP(H$1&amp;$A20,배당편집!$M$2:$T$2710,8,FALSE)</f>
        <v>3.8104769834314878E-2</v>
      </c>
      <c r="I20" s="5">
        <f>VLOOKUP(I$1&amp;$A20,배당편집!$M$2:$T$2710,8,FALSE)</f>
        <v>6.1108592903658554E-2</v>
      </c>
      <c r="J20" s="5">
        <f>VLOOKUP(J$1&amp;$A20,배당편집!$M$2:$T$2710,8,FALSE)</f>
        <v>2.412409259818693E-2</v>
      </c>
      <c r="K20" s="5">
        <f>VLOOKUP(K$1&amp;$A20,배당편집!$M$2:$T$2710,8,FALSE)</f>
        <v>5.9910757217231492E-2</v>
      </c>
      <c r="L20" s="5">
        <f>VLOOKUP(L$1&amp;$A20,배당편집!$M$2:$T$2710,8,FALSE)</f>
        <v>3.9594988207552584E-2</v>
      </c>
      <c r="M20" s="5">
        <f>VLOOKUP(M$1&amp;$A20,배당편집!$M$2:$T$2710,8,FALSE)</f>
        <v>0.15693359522062988</v>
      </c>
      <c r="N20" s="5">
        <f>VLOOKUP(N$1&amp;$A20,배당편집!$M$2:$T$2710,8,FALSE)</f>
        <v>1.2324047902942281E-2</v>
      </c>
      <c r="O20" s="5">
        <f>VLOOKUP(O$1&amp;$A20,배당편집!$M$2:$T$2710,8,FALSE)</f>
        <v>0.11768278437733448</v>
      </c>
      <c r="P20" s="5">
        <f>VLOOKUP(P$1&amp;$A20,배당편집!$M$2:$T$2710,8,FALSE)</f>
        <v>3.5887861274744637E-2</v>
      </c>
      <c r="Q20" s="5">
        <f>VLOOKUP(Q$1&amp;$A20,배당편집!$M$2:$T$2710,8,FALSE)</f>
        <v>6.1333865429709977E-2</v>
      </c>
      <c r="R20" s="5">
        <f>VLOOKUP(R$1&amp;$A20,배당편집!$M$2:$T$2710,8,FALSE)</f>
        <v>8.2744896555654535E-2</v>
      </c>
      <c r="S20" s="5">
        <f>VLOOKUP(S$1&amp;$A20,배당편집!$M$2:$T$2710,8,FALSE)</f>
        <v>4.3884310724384035E-2</v>
      </c>
      <c r="T20" s="5">
        <f>VLOOKUP(T$1&amp;$A20,배당편집!$M$2:$T$2710,8,FALSE)</f>
        <v>9.7763328719189246E-2</v>
      </c>
      <c r="U20" s="5">
        <f>VLOOKUP(U$1&amp;$A20,배당편집!$M$2:$T$2710,8,FALSE)</f>
        <v>0.16723531932969316</v>
      </c>
      <c r="V20" s="5">
        <f>VLOOKUP(V$1&amp;$A20,배당편집!$M$2:$T$2710,8,FALSE)</f>
        <v>0.11060497971884509</v>
      </c>
      <c r="W20" s="5">
        <f>VLOOKUP(W$1&amp;$A20,배당편집!$M$2:$T$2710,8,FALSE)</f>
        <v>0.16465861577965679</v>
      </c>
      <c r="X20" s="5">
        <f>VLOOKUP(X$1&amp;$A20,배당편집!$M$2:$T$2710,8,FALSE)</f>
        <v>8.4471771197698553E-2</v>
      </c>
      <c r="Y20" s="5">
        <f>VLOOKUP(Y$1&amp;$A20,배당편집!$M$2:$T$2710,8,FALSE)</f>
        <v>6.9124851069322091E-2</v>
      </c>
      <c r="Z20" s="5">
        <f>VLOOKUP(Z$1&amp;$A20,배당편집!$M$2:$T$2710,8,FALSE)</f>
        <v>2.8617553510468241E-2</v>
      </c>
      <c r="AA20" s="5">
        <f>VLOOKUP(AA$1&amp;$A20,배당편집!$M$2:$T$2710,8,FALSE)</f>
        <v>4.2836189040638795E-2</v>
      </c>
      <c r="AB20" s="5">
        <f>VLOOKUP(AB$1&amp;$A20,배당편집!$M$2:$T$2710,8,FALSE)</f>
        <v>0.11595795704392353</v>
      </c>
      <c r="AC20" s="5">
        <f>VLOOKUP(AC$1&amp;$A20,배당편집!$M$2:$T$2710,8,FALSE)</f>
        <v>5.9223841048812176E-2</v>
      </c>
      <c r="AD20" s="5">
        <f>VLOOKUP(AD$1&amp;$A20,배당편집!$M$2:$T$2710,8,FALSE)</f>
        <v>0.11902919127544953</v>
      </c>
      <c r="AE20" s="5">
        <f>VLOOKUP(AE$1&amp;$A20,배당편집!$M$2:$T$2710,8,FALSE)</f>
        <v>2.8346722100213606E-2</v>
      </c>
      <c r="AF20" s="5">
        <f>VLOOKUP(AF$1&amp;$A20,배당편집!$M$2:$T$2710,8,FALSE)</f>
        <v>3.3406482938779236E-2</v>
      </c>
    </row>
    <row r="21" spans="1:32" ht="16.5" customHeight="1">
      <c r="A21" s="3">
        <v>2021</v>
      </c>
      <c r="B21" s="3">
        <v>8</v>
      </c>
      <c r="C21" s="5">
        <f>VLOOKUP(C$1&amp;$A21,배당편집!$M$2:$T$2710,8,FALSE)</f>
        <v>5.3648669024505047E-2</v>
      </c>
      <c r="D21" s="5">
        <f>VLOOKUP(D$1&amp;$A21,배당편집!$M$2:$T$2710,8,FALSE)</f>
        <v>4.5639552591273169E-2</v>
      </c>
      <c r="E21" s="5">
        <f>VLOOKUP(E$1&amp;$A21,배당편집!$M$2:$T$2710,8,FALSE)</f>
        <v>9.2388464140373161E-2</v>
      </c>
      <c r="F21" s="5">
        <f>VLOOKUP(F$1&amp;$A21,배당편집!$M$2:$T$2710,8,FALSE)</f>
        <v>4.9414522844583919E-2</v>
      </c>
      <c r="G21" s="5">
        <f>VLOOKUP(G$1&amp;$A21,배당편집!$M$2:$T$2710,8,FALSE)</f>
        <v>3.5712644823052919E-2</v>
      </c>
      <c r="H21" s="5">
        <f>VLOOKUP(H$1&amp;$A21,배당편집!$M$2:$T$2710,8,FALSE)</f>
        <v>3.8104769834314878E-2</v>
      </c>
      <c r="I21" s="5">
        <f>VLOOKUP(I$1&amp;$A21,배당편집!$M$2:$T$2710,8,FALSE)</f>
        <v>6.1108592903658554E-2</v>
      </c>
      <c r="J21" s="5">
        <f>VLOOKUP(J$1&amp;$A21,배당편집!$M$2:$T$2710,8,FALSE)</f>
        <v>2.412409259818693E-2</v>
      </c>
      <c r="K21" s="5">
        <f>VLOOKUP(K$1&amp;$A21,배당편집!$M$2:$T$2710,8,FALSE)</f>
        <v>5.9910757217231492E-2</v>
      </c>
      <c r="L21" s="5">
        <f>VLOOKUP(L$1&amp;$A21,배당편집!$M$2:$T$2710,8,FALSE)</f>
        <v>3.9594988207552584E-2</v>
      </c>
      <c r="M21" s="5">
        <f>VLOOKUP(M$1&amp;$A21,배당편집!$M$2:$T$2710,8,FALSE)</f>
        <v>0.15693359522062988</v>
      </c>
      <c r="N21" s="5">
        <f>VLOOKUP(N$1&amp;$A21,배당편집!$M$2:$T$2710,8,FALSE)</f>
        <v>1.2324047902942281E-2</v>
      </c>
      <c r="O21" s="5">
        <f>VLOOKUP(O$1&amp;$A21,배당편집!$M$2:$T$2710,8,FALSE)</f>
        <v>0.11768278437733448</v>
      </c>
      <c r="P21" s="5">
        <f>VLOOKUP(P$1&amp;$A21,배당편집!$M$2:$T$2710,8,FALSE)</f>
        <v>3.5887861274744637E-2</v>
      </c>
      <c r="Q21" s="5">
        <f>VLOOKUP(Q$1&amp;$A21,배당편집!$M$2:$T$2710,8,FALSE)</f>
        <v>6.1333865429709977E-2</v>
      </c>
      <c r="R21" s="5">
        <f>VLOOKUP(R$1&amp;$A21,배당편집!$M$2:$T$2710,8,FALSE)</f>
        <v>8.2744896555654535E-2</v>
      </c>
      <c r="S21" s="5">
        <f>VLOOKUP(S$1&amp;$A21,배당편집!$M$2:$T$2710,8,FALSE)</f>
        <v>4.3884310724384035E-2</v>
      </c>
      <c r="T21" s="5">
        <f>VLOOKUP(T$1&amp;$A21,배당편집!$M$2:$T$2710,8,FALSE)</f>
        <v>9.7763328719189246E-2</v>
      </c>
      <c r="U21" s="5">
        <f>VLOOKUP(U$1&amp;$A21,배당편집!$M$2:$T$2710,8,FALSE)</f>
        <v>0.16723531932969316</v>
      </c>
      <c r="V21" s="5">
        <f>VLOOKUP(V$1&amp;$A21,배당편집!$M$2:$T$2710,8,FALSE)</f>
        <v>0.11060497971884509</v>
      </c>
      <c r="W21" s="5">
        <f>VLOOKUP(W$1&amp;$A21,배당편집!$M$2:$T$2710,8,FALSE)</f>
        <v>0.16465861577965679</v>
      </c>
      <c r="X21" s="5">
        <f>VLOOKUP(X$1&amp;$A21,배당편집!$M$2:$T$2710,8,FALSE)</f>
        <v>8.4471771197698553E-2</v>
      </c>
      <c r="Y21" s="5">
        <f>VLOOKUP(Y$1&amp;$A21,배당편집!$M$2:$T$2710,8,FALSE)</f>
        <v>6.9124851069322091E-2</v>
      </c>
      <c r="Z21" s="5">
        <f>VLOOKUP(Z$1&amp;$A21,배당편집!$M$2:$T$2710,8,FALSE)</f>
        <v>2.8617553510468241E-2</v>
      </c>
      <c r="AA21" s="5">
        <f>VLOOKUP(AA$1&amp;$A21,배당편집!$M$2:$T$2710,8,FALSE)</f>
        <v>4.2836189040638795E-2</v>
      </c>
      <c r="AB21" s="5">
        <f>VLOOKUP(AB$1&amp;$A21,배당편집!$M$2:$T$2710,8,FALSE)</f>
        <v>0.11595795704392353</v>
      </c>
      <c r="AC21" s="5">
        <f>VLOOKUP(AC$1&amp;$A21,배당편집!$M$2:$T$2710,8,FALSE)</f>
        <v>5.9223841048812176E-2</v>
      </c>
      <c r="AD21" s="5">
        <f>VLOOKUP(AD$1&amp;$A21,배당편집!$M$2:$T$2710,8,FALSE)</f>
        <v>0.11902919127544953</v>
      </c>
      <c r="AE21" s="5">
        <f>VLOOKUP(AE$1&amp;$A21,배당편집!$M$2:$T$2710,8,FALSE)</f>
        <v>2.8346722100213606E-2</v>
      </c>
      <c r="AF21" s="5">
        <f>VLOOKUP(AF$1&amp;$A21,배당편집!$M$2:$T$2710,8,FALSE)</f>
        <v>3.3406482938779236E-2</v>
      </c>
    </row>
    <row r="22" spans="1:32" ht="16.5" customHeight="1">
      <c r="A22" s="3">
        <v>2021</v>
      </c>
      <c r="B22" s="3">
        <v>9</v>
      </c>
      <c r="C22" s="5">
        <f>VLOOKUP(C$1&amp;$A22,배당편집!$M$2:$T$2710,8,FALSE)</f>
        <v>5.3648669024505047E-2</v>
      </c>
      <c r="D22" s="5">
        <f>VLOOKUP(D$1&amp;$A22,배당편집!$M$2:$T$2710,8,FALSE)</f>
        <v>4.5639552591273169E-2</v>
      </c>
      <c r="E22" s="5">
        <f>VLOOKUP(E$1&amp;$A22,배당편집!$M$2:$T$2710,8,FALSE)</f>
        <v>9.2388464140373161E-2</v>
      </c>
      <c r="F22" s="5">
        <f>VLOOKUP(F$1&amp;$A22,배당편집!$M$2:$T$2710,8,FALSE)</f>
        <v>4.9414522844583919E-2</v>
      </c>
      <c r="G22" s="5">
        <f>VLOOKUP(G$1&amp;$A22,배당편집!$M$2:$T$2710,8,FALSE)</f>
        <v>3.5712644823052919E-2</v>
      </c>
      <c r="H22" s="5">
        <f>VLOOKUP(H$1&amp;$A22,배당편집!$M$2:$T$2710,8,FALSE)</f>
        <v>3.8104769834314878E-2</v>
      </c>
      <c r="I22" s="5">
        <f>VLOOKUP(I$1&amp;$A22,배당편집!$M$2:$T$2710,8,FALSE)</f>
        <v>6.1108592903658554E-2</v>
      </c>
      <c r="J22" s="5">
        <f>VLOOKUP(J$1&amp;$A22,배당편집!$M$2:$T$2710,8,FALSE)</f>
        <v>2.412409259818693E-2</v>
      </c>
      <c r="K22" s="5">
        <f>VLOOKUP(K$1&amp;$A22,배당편집!$M$2:$T$2710,8,FALSE)</f>
        <v>5.9910757217231492E-2</v>
      </c>
      <c r="L22" s="5">
        <f>VLOOKUP(L$1&amp;$A22,배당편집!$M$2:$T$2710,8,FALSE)</f>
        <v>3.9594988207552584E-2</v>
      </c>
      <c r="M22" s="5">
        <f>VLOOKUP(M$1&amp;$A22,배당편집!$M$2:$T$2710,8,FALSE)</f>
        <v>0.15693359522062988</v>
      </c>
      <c r="N22" s="5">
        <f>VLOOKUP(N$1&amp;$A22,배당편집!$M$2:$T$2710,8,FALSE)</f>
        <v>1.2324047902942281E-2</v>
      </c>
      <c r="O22" s="5">
        <f>VLOOKUP(O$1&amp;$A22,배당편집!$M$2:$T$2710,8,FALSE)</f>
        <v>0.11768278437733448</v>
      </c>
      <c r="P22" s="5">
        <f>VLOOKUP(P$1&amp;$A22,배당편집!$M$2:$T$2710,8,FALSE)</f>
        <v>3.5887861274744637E-2</v>
      </c>
      <c r="Q22" s="5">
        <f>VLOOKUP(Q$1&amp;$A22,배당편집!$M$2:$T$2710,8,FALSE)</f>
        <v>6.1333865429709977E-2</v>
      </c>
      <c r="R22" s="5">
        <f>VLOOKUP(R$1&amp;$A22,배당편집!$M$2:$T$2710,8,FALSE)</f>
        <v>8.2744896555654535E-2</v>
      </c>
      <c r="S22" s="5">
        <f>VLOOKUP(S$1&amp;$A22,배당편집!$M$2:$T$2710,8,FALSE)</f>
        <v>4.3884310724384035E-2</v>
      </c>
      <c r="T22" s="5">
        <f>VLOOKUP(T$1&amp;$A22,배당편집!$M$2:$T$2710,8,FALSE)</f>
        <v>9.7763328719189246E-2</v>
      </c>
      <c r="U22" s="5">
        <f>VLOOKUP(U$1&amp;$A22,배당편집!$M$2:$T$2710,8,FALSE)</f>
        <v>0.16723531932969316</v>
      </c>
      <c r="V22" s="5">
        <f>VLOOKUP(V$1&amp;$A22,배당편집!$M$2:$T$2710,8,FALSE)</f>
        <v>0.11060497971884509</v>
      </c>
      <c r="W22" s="5">
        <f>VLOOKUP(W$1&amp;$A22,배당편집!$M$2:$T$2710,8,FALSE)</f>
        <v>0.16465861577965679</v>
      </c>
      <c r="X22" s="5">
        <f>VLOOKUP(X$1&amp;$A22,배당편집!$M$2:$T$2710,8,FALSE)</f>
        <v>8.4471771197698553E-2</v>
      </c>
      <c r="Y22" s="5">
        <f>VLOOKUP(Y$1&amp;$A22,배당편집!$M$2:$T$2710,8,FALSE)</f>
        <v>6.9124851069322091E-2</v>
      </c>
      <c r="Z22" s="5">
        <f>VLOOKUP(Z$1&amp;$A22,배당편집!$M$2:$T$2710,8,FALSE)</f>
        <v>2.8617553510468241E-2</v>
      </c>
      <c r="AA22" s="5">
        <f>VLOOKUP(AA$1&amp;$A22,배당편집!$M$2:$T$2710,8,FALSE)</f>
        <v>4.2836189040638795E-2</v>
      </c>
      <c r="AB22" s="5">
        <f>VLOOKUP(AB$1&amp;$A22,배당편집!$M$2:$T$2710,8,FALSE)</f>
        <v>0.11595795704392353</v>
      </c>
      <c r="AC22" s="5">
        <f>VLOOKUP(AC$1&amp;$A22,배당편집!$M$2:$T$2710,8,FALSE)</f>
        <v>5.9223841048812176E-2</v>
      </c>
      <c r="AD22" s="5">
        <f>VLOOKUP(AD$1&amp;$A22,배당편집!$M$2:$T$2710,8,FALSE)</f>
        <v>0.11902919127544953</v>
      </c>
      <c r="AE22" s="5">
        <f>VLOOKUP(AE$1&amp;$A22,배당편집!$M$2:$T$2710,8,FALSE)</f>
        <v>2.8346722100213606E-2</v>
      </c>
      <c r="AF22" s="5">
        <f>VLOOKUP(AF$1&amp;$A22,배당편집!$M$2:$T$2710,8,FALSE)</f>
        <v>3.3406482938779236E-2</v>
      </c>
    </row>
    <row r="23" spans="1:32" ht="16.5" customHeight="1">
      <c r="A23" s="3">
        <v>2021</v>
      </c>
      <c r="B23" s="3">
        <v>10</v>
      </c>
      <c r="C23" s="5">
        <f>VLOOKUP(C$1&amp;$A23,배당편집!$M$2:$T$2710,8,FALSE)</f>
        <v>5.3648669024505047E-2</v>
      </c>
      <c r="D23" s="5">
        <f>VLOOKUP(D$1&amp;$A23,배당편집!$M$2:$T$2710,8,FALSE)</f>
        <v>4.5639552591273169E-2</v>
      </c>
      <c r="E23" s="5">
        <f>VLOOKUP(E$1&amp;$A23,배당편집!$M$2:$T$2710,8,FALSE)</f>
        <v>9.2388464140373161E-2</v>
      </c>
      <c r="F23" s="5">
        <f>VLOOKUP(F$1&amp;$A23,배당편집!$M$2:$T$2710,8,FALSE)</f>
        <v>4.9414522844583919E-2</v>
      </c>
      <c r="G23" s="5">
        <f>VLOOKUP(G$1&amp;$A23,배당편집!$M$2:$T$2710,8,FALSE)</f>
        <v>3.5712644823052919E-2</v>
      </c>
      <c r="H23" s="5">
        <f>VLOOKUP(H$1&amp;$A23,배당편집!$M$2:$T$2710,8,FALSE)</f>
        <v>3.8104769834314878E-2</v>
      </c>
      <c r="I23" s="5">
        <f>VLOOKUP(I$1&amp;$A23,배당편집!$M$2:$T$2710,8,FALSE)</f>
        <v>6.1108592903658554E-2</v>
      </c>
      <c r="J23" s="5">
        <f>VLOOKUP(J$1&amp;$A23,배당편집!$M$2:$T$2710,8,FALSE)</f>
        <v>2.412409259818693E-2</v>
      </c>
      <c r="K23" s="5">
        <f>VLOOKUP(K$1&amp;$A23,배당편집!$M$2:$T$2710,8,FALSE)</f>
        <v>5.9910757217231492E-2</v>
      </c>
      <c r="L23" s="5">
        <f>VLOOKUP(L$1&amp;$A23,배당편집!$M$2:$T$2710,8,FALSE)</f>
        <v>3.9594988207552584E-2</v>
      </c>
      <c r="M23" s="5">
        <f>VLOOKUP(M$1&amp;$A23,배당편집!$M$2:$T$2710,8,FALSE)</f>
        <v>0.15693359522062988</v>
      </c>
      <c r="N23" s="5">
        <f>VLOOKUP(N$1&amp;$A23,배당편집!$M$2:$T$2710,8,FALSE)</f>
        <v>1.2324047902942281E-2</v>
      </c>
      <c r="O23" s="5">
        <f>VLOOKUP(O$1&amp;$A23,배당편집!$M$2:$T$2710,8,FALSE)</f>
        <v>0.11768278437733448</v>
      </c>
      <c r="P23" s="5">
        <f>VLOOKUP(P$1&amp;$A23,배당편집!$M$2:$T$2710,8,FALSE)</f>
        <v>3.5887861274744637E-2</v>
      </c>
      <c r="Q23" s="5">
        <f>VLOOKUP(Q$1&amp;$A23,배당편집!$M$2:$T$2710,8,FALSE)</f>
        <v>6.1333865429709977E-2</v>
      </c>
      <c r="R23" s="5">
        <f>VLOOKUP(R$1&amp;$A23,배당편집!$M$2:$T$2710,8,FALSE)</f>
        <v>8.2744896555654535E-2</v>
      </c>
      <c r="S23" s="5">
        <f>VLOOKUP(S$1&amp;$A23,배당편집!$M$2:$T$2710,8,FALSE)</f>
        <v>4.3884310724384035E-2</v>
      </c>
      <c r="T23" s="5">
        <f>VLOOKUP(T$1&amp;$A23,배당편집!$M$2:$T$2710,8,FALSE)</f>
        <v>9.7763328719189246E-2</v>
      </c>
      <c r="U23" s="5">
        <f>VLOOKUP(U$1&amp;$A23,배당편집!$M$2:$T$2710,8,FALSE)</f>
        <v>0.16723531932969316</v>
      </c>
      <c r="V23" s="5">
        <f>VLOOKUP(V$1&amp;$A23,배당편집!$M$2:$T$2710,8,FALSE)</f>
        <v>0.11060497971884509</v>
      </c>
      <c r="W23" s="5">
        <f>VLOOKUP(W$1&amp;$A23,배당편집!$M$2:$T$2710,8,FALSE)</f>
        <v>0.16465861577965679</v>
      </c>
      <c r="X23" s="5">
        <f>VLOOKUP(X$1&amp;$A23,배당편집!$M$2:$T$2710,8,FALSE)</f>
        <v>8.4471771197698553E-2</v>
      </c>
      <c r="Y23" s="5">
        <f>VLOOKUP(Y$1&amp;$A23,배당편집!$M$2:$T$2710,8,FALSE)</f>
        <v>6.9124851069322091E-2</v>
      </c>
      <c r="Z23" s="5">
        <f>VLOOKUP(Z$1&amp;$A23,배당편집!$M$2:$T$2710,8,FALSE)</f>
        <v>2.8617553510468241E-2</v>
      </c>
      <c r="AA23" s="5">
        <f>VLOOKUP(AA$1&amp;$A23,배당편집!$M$2:$T$2710,8,FALSE)</f>
        <v>4.2836189040638795E-2</v>
      </c>
      <c r="AB23" s="5">
        <f>VLOOKUP(AB$1&amp;$A23,배당편집!$M$2:$T$2710,8,FALSE)</f>
        <v>0.11595795704392353</v>
      </c>
      <c r="AC23" s="5">
        <f>VLOOKUP(AC$1&amp;$A23,배당편집!$M$2:$T$2710,8,FALSE)</f>
        <v>5.9223841048812176E-2</v>
      </c>
      <c r="AD23" s="5">
        <f>VLOOKUP(AD$1&amp;$A23,배당편집!$M$2:$T$2710,8,FALSE)</f>
        <v>0.11902919127544953</v>
      </c>
      <c r="AE23" s="5">
        <f>VLOOKUP(AE$1&amp;$A23,배당편집!$M$2:$T$2710,8,FALSE)</f>
        <v>2.8346722100213606E-2</v>
      </c>
      <c r="AF23" s="5">
        <f>VLOOKUP(AF$1&amp;$A23,배당편집!$M$2:$T$2710,8,FALSE)</f>
        <v>3.3406482938779236E-2</v>
      </c>
    </row>
    <row r="24" spans="1:32" ht="16.5" customHeight="1">
      <c r="A24" s="3">
        <v>2021</v>
      </c>
      <c r="B24" s="3">
        <v>11</v>
      </c>
      <c r="C24" s="5">
        <f>VLOOKUP(C$1&amp;$A24,배당편집!$M$2:$T$2710,8,FALSE)</f>
        <v>5.3648669024505047E-2</v>
      </c>
      <c r="D24" s="5">
        <f>VLOOKUP(D$1&amp;$A24,배당편집!$M$2:$T$2710,8,FALSE)</f>
        <v>4.5639552591273169E-2</v>
      </c>
      <c r="E24" s="5">
        <f>VLOOKUP(E$1&amp;$A24,배당편집!$M$2:$T$2710,8,FALSE)</f>
        <v>9.2388464140373161E-2</v>
      </c>
      <c r="F24" s="5">
        <f>VLOOKUP(F$1&amp;$A24,배당편집!$M$2:$T$2710,8,FALSE)</f>
        <v>4.9414522844583919E-2</v>
      </c>
      <c r="G24" s="5">
        <f>VLOOKUP(G$1&amp;$A24,배당편집!$M$2:$T$2710,8,FALSE)</f>
        <v>3.5712644823052919E-2</v>
      </c>
      <c r="H24" s="5">
        <f>VLOOKUP(H$1&amp;$A24,배당편집!$M$2:$T$2710,8,FALSE)</f>
        <v>3.8104769834314878E-2</v>
      </c>
      <c r="I24" s="5">
        <f>VLOOKUP(I$1&amp;$A24,배당편집!$M$2:$T$2710,8,FALSE)</f>
        <v>6.1108592903658554E-2</v>
      </c>
      <c r="J24" s="5">
        <f>VLOOKUP(J$1&amp;$A24,배당편집!$M$2:$T$2710,8,FALSE)</f>
        <v>2.412409259818693E-2</v>
      </c>
      <c r="K24" s="5">
        <f>VLOOKUP(K$1&amp;$A24,배당편집!$M$2:$T$2710,8,FALSE)</f>
        <v>5.9910757217231492E-2</v>
      </c>
      <c r="L24" s="5">
        <f>VLOOKUP(L$1&amp;$A24,배당편집!$M$2:$T$2710,8,FALSE)</f>
        <v>3.9594988207552584E-2</v>
      </c>
      <c r="M24" s="5">
        <f>VLOOKUP(M$1&amp;$A24,배당편집!$M$2:$T$2710,8,FALSE)</f>
        <v>0.15693359522062988</v>
      </c>
      <c r="N24" s="5">
        <f>VLOOKUP(N$1&amp;$A24,배당편집!$M$2:$T$2710,8,FALSE)</f>
        <v>1.2324047902942281E-2</v>
      </c>
      <c r="O24" s="5">
        <f>VLOOKUP(O$1&amp;$A24,배당편집!$M$2:$T$2710,8,FALSE)</f>
        <v>0.11768278437733448</v>
      </c>
      <c r="P24" s="5">
        <f>VLOOKUP(P$1&amp;$A24,배당편집!$M$2:$T$2710,8,FALSE)</f>
        <v>3.5887861274744637E-2</v>
      </c>
      <c r="Q24" s="5">
        <f>VLOOKUP(Q$1&amp;$A24,배당편집!$M$2:$T$2710,8,FALSE)</f>
        <v>6.1333865429709977E-2</v>
      </c>
      <c r="R24" s="5">
        <f>VLOOKUP(R$1&amp;$A24,배당편집!$M$2:$T$2710,8,FALSE)</f>
        <v>8.2744896555654535E-2</v>
      </c>
      <c r="S24" s="5">
        <f>VLOOKUP(S$1&amp;$A24,배당편집!$M$2:$T$2710,8,FALSE)</f>
        <v>4.3884310724384035E-2</v>
      </c>
      <c r="T24" s="5">
        <f>VLOOKUP(T$1&amp;$A24,배당편집!$M$2:$T$2710,8,FALSE)</f>
        <v>9.7763328719189246E-2</v>
      </c>
      <c r="U24" s="5">
        <f>VLOOKUP(U$1&amp;$A24,배당편집!$M$2:$T$2710,8,FALSE)</f>
        <v>0.16723531932969316</v>
      </c>
      <c r="V24" s="5">
        <f>VLOOKUP(V$1&amp;$A24,배당편집!$M$2:$T$2710,8,FALSE)</f>
        <v>0.11060497971884509</v>
      </c>
      <c r="W24" s="5">
        <f>VLOOKUP(W$1&amp;$A24,배당편집!$M$2:$T$2710,8,FALSE)</f>
        <v>0.16465861577965679</v>
      </c>
      <c r="X24" s="5">
        <f>VLOOKUP(X$1&amp;$A24,배당편집!$M$2:$T$2710,8,FALSE)</f>
        <v>8.4471771197698553E-2</v>
      </c>
      <c r="Y24" s="5">
        <f>VLOOKUP(Y$1&amp;$A24,배당편집!$M$2:$T$2710,8,FALSE)</f>
        <v>6.9124851069322091E-2</v>
      </c>
      <c r="Z24" s="5">
        <f>VLOOKUP(Z$1&amp;$A24,배당편집!$M$2:$T$2710,8,FALSE)</f>
        <v>2.8617553510468241E-2</v>
      </c>
      <c r="AA24" s="5">
        <f>VLOOKUP(AA$1&amp;$A24,배당편집!$M$2:$T$2710,8,FALSE)</f>
        <v>4.2836189040638795E-2</v>
      </c>
      <c r="AB24" s="5">
        <f>VLOOKUP(AB$1&amp;$A24,배당편집!$M$2:$T$2710,8,FALSE)</f>
        <v>0.11595795704392353</v>
      </c>
      <c r="AC24" s="5">
        <f>VLOOKUP(AC$1&amp;$A24,배당편집!$M$2:$T$2710,8,FALSE)</f>
        <v>5.9223841048812176E-2</v>
      </c>
      <c r="AD24" s="5">
        <f>VLOOKUP(AD$1&amp;$A24,배당편집!$M$2:$T$2710,8,FALSE)</f>
        <v>0.11902919127544953</v>
      </c>
      <c r="AE24" s="5">
        <f>VLOOKUP(AE$1&amp;$A24,배당편집!$M$2:$T$2710,8,FALSE)</f>
        <v>2.8346722100213606E-2</v>
      </c>
      <c r="AF24" s="5">
        <f>VLOOKUP(AF$1&amp;$A24,배당편집!$M$2:$T$2710,8,FALSE)</f>
        <v>3.3406482938779236E-2</v>
      </c>
    </row>
    <row r="25" spans="1:32" ht="16.5" customHeight="1">
      <c r="A25" s="3">
        <v>2021</v>
      </c>
      <c r="B25" s="3">
        <v>12</v>
      </c>
      <c r="C25" s="5">
        <f>VLOOKUP(C$1&amp;$A25,배당편집!$M$2:$T$2710,8,FALSE)</f>
        <v>5.3648669024505047E-2</v>
      </c>
      <c r="D25" s="5">
        <f>VLOOKUP(D$1&amp;$A25,배당편집!$M$2:$T$2710,8,FALSE)</f>
        <v>4.5639552591273169E-2</v>
      </c>
      <c r="E25" s="5">
        <f>VLOOKUP(E$1&amp;$A25,배당편집!$M$2:$T$2710,8,FALSE)</f>
        <v>9.2388464140373161E-2</v>
      </c>
      <c r="F25" s="5">
        <f>VLOOKUP(F$1&amp;$A25,배당편집!$M$2:$T$2710,8,FALSE)</f>
        <v>4.9414522844583919E-2</v>
      </c>
      <c r="G25" s="5">
        <f>VLOOKUP(G$1&amp;$A25,배당편집!$M$2:$T$2710,8,FALSE)</f>
        <v>3.5712644823052919E-2</v>
      </c>
      <c r="H25" s="5">
        <f>VLOOKUP(H$1&amp;$A25,배당편집!$M$2:$T$2710,8,FALSE)</f>
        <v>3.8104769834314878E-2</v>
      </c>
      <c r="I25" s="5">
        <f>VLOOKUP(I$1&amp;$A25,배당편집!$M$2:$T$2710,8,FALSE)</f>
        <v>6.1108592903658554E-2</v>
      </c>
      <c r="J25" s="5">
        <f>VLOOKUP(J$1&amp;$A25,배당편집!$M$2:$T$2710,8,FALSE)</f>
        <v>2.412409259818693E-2</v>
      </c>
      <c r="K25" s="5">
        <f>VLOOKUP(K$1&amp;$A25,배당편집!$M$2:$T$2710,8,FALSE)</f>
        <v>5.9910757217231492E-2</v>
      </c>
      <c r="L25" s="5">
        <f>VLOOKUP(L$1&amp;$A25,배당편집!$M$2:$T$2710,8,FALSE)</f>
        <v>3.9594988207552584E-2</v>
      </c>
      <c r="M25" s="5">
        <f>VLOOKUP(M$1&amp;$A25,배당편집!$M$2:$T$2710,8,FALSE)</f>
        <v>0.15693359522062988</v>
      </c>
      <c r="N25" s="5">
        <f>VLOOKUP(N$1&amp;$A25,배당편집!$M$2:$T$2710,8,FALSE)</f>
        <v>1.2324047902942281E-2</v>
      </c>
      <c r="O25" s="5">
        <f>VLOOKUP(O$1&amp;$A25,배당편집!$M$2:$T$2710,8,FALSE)</f>
        <v>0.11768278437733448</v>
      </c>
      <c r="P25" s="5">
        <f>VLOOKUP(P$1&amp;$A25,배당편집!$M$2:$T$2710,8,FALSE)</f>
        <v>3.5887861274744637E-2</v>
      </c>
      <c r="Q25" s="5">
        <f>VLOOKUP(Q$1&amp;$A25,배당편집!$M$2:$T$2710,8,FALSE)</f>
        <v>6.1333865429709977E-2</v>
      </c>
      <c r="R25" s="5">
        <f>VLOOKUP(R$1&amp;$A25,배당편집!$M$2:$T$2710,8,FALSE)</f>
        <v>8.2744896555654535E-2</v>
      </c>
      <c r="S25" s="5">
        <f>VLOOKUP(S$1&amp;$A25,배당편집!$M$2:$T$2710,8,FALSE)</f>
        <v>4.3884310724384035E-2</v>
      </c>
      <c r="T25" s="5">
        <f>VLOOKUP(T$1&amp;$A25,배당편집!$M$2:$T$2710,8,FALSE)</f>
        <v>9.7763328719189246E-2</v>
      </c>
      <c r="U25" s="5">
        <f>VLOOKUP(U$1&amp;$A25,배당편집!$M$2:$T$2710,8,FALSE)</f>
        <v>0.16723531932969316</v>
      </c>
      <c r="V25" s="5">
        <f>VLOOKUP(V$1&amp;$A25,배당편집!$M$2:$T$2710,8,FALSE)</f>
        <v>0.11060497971884509</v>
      </c>
      <c r="W25" s="5">
        <f>VLOOKUP(W$1&amp;$A25,배당편집!$M$2:$T$2710,8,FALSE)</f>
        <v>0.16465861577965679</v>
      </c>
      <c r="X25" s="5">
        <f>VLOOKUP(X$1&amp;$A25,배당편집!$M$2:$T$2710,8,FALSE)</f>
        <v>8.4471771197698553E-2</v>
      </c>
      <c r="Y25" s="5">
        <f>VLOOKUP(Y$1&amp;$A25,배당편집!$M$2:$T$2710,8,FALSE)</f>
        <v>6.9124851069322091E-2</v>
      </c>
      <c r="Z25" s="5">
        <f>VLOOKUP(Z$1&amp;$A25,배당편집!$M$2:$T$2710,8,FALSE)</f>
        <v>2.8617553510468241E-2</v>
      </c>
      <c r="AA25" s="5">
        <f>VLOOKUP(AA$1&amp;$A25,배당편집!$M$2:$T$2710,8,FALSE)</f>
        <v>4.2836189040638795E-2</v>
      </c>
      <c r="AB25" s="5">
        <f>VLOOKUP(AB$1&amp;$A25,배당편집!$M$2:$T$2710,8,FALSE)</f>
        <v>0.11595795704392353</v>
      </c>
      <c r="AC25" s="5">
        <f>VLOOKUP(AC$1&amp;$A25,배당편집!$M$2:$T$2710,8,FALSE)</f>
        <v>5.9223841048812176E-2</v>
      </c>
      <c r="AD25" s="5">
        <f>VLOOKUP(AD$1&amp;$A25,배당편집!$M$2:$T$2710,8,FALSE)</f>
        <v>0.11902919127544953</v>
      </c>
      <c r="AE25" s="5">
        <f>VLOOKUP(AE$1&amp;$A25,배당편집!$M$2:$T$2710,8,FALSE)</f>
        <v>2.8346722100213606E-2</v>
      </c>
      <c r="AF25" s="5">
        <f>VLOOKUP(AF$1&amp;$A25,배당편집!$M$2:$T$2710,8,FALSE)</f>
        <v>3.3406482938779236E-2</v>
      </c>
    </row>
    <row r="26" spans="1:32" ht="16.5" customHeight="1">
      <c r="A26" s="3">
        <v>2020</v>
      </c>
      <c r="B26" s="3">
        <v>1</v>
      </c>
      <c r="C26" s="5">
        <f>VLOOKUP(C$1&amp;$A26,배당편집!$M$2:$T$2710,8,FALSE)</f>
        <v>6.2731281549329498E-2</v>
      </c>
      <c r="D26" s="5">
        <f>VLOOKUP(D$1&amp;$A26,배당편집!$M$2:$T$2710,8,FALSE)</f>
        <v>5.2300215891077695E-2</v>
      </c>
      <c r="E26" s="5">
        <f>VLOOKUP(E$1&amp;$A26,배당편집!$M$2:$T$2710,8,FALSE)</f>
        <v>0.12474611314209483</v>
      </c>
      <c r="F26" s="5">
        <f>VLOOKUP(F$1&amp;$A26,배당편집!$M$2:$T$2710,8,FALSE)</f>
        <v>5.8203392293338263E-2</v>
      </c>
      <c r="G26" s="5">
        <f>VLOOKUP(G$1&amp;$A26,배당편집!$M$2:$T$2710,8,FALSE)</f>
        <v>4.7451763732829999E-2</v>
      </c>
      <c r="H26" s="5">
        <f>VLOOKUP(H$1&amp;$A26,배당편집!$M$2:$T$2710,8,FALSE)</f>
        <v>3.8104769834314878E-2</v>
      </c>
      <c r="I26" s="5">
        <f>VLOOKUP(I$1&amp;$A26,배당편집!$M$2:$T$2710,8,FALSE)</f>
        <v>5.7255009883433017E-2</v>
      </c>
      <c r="J26" s="5">
        <f>VLOOKUP(J$1&amp;$A26,배당편집!$M$2:$T$2710,8,FALSE)</f>
        <v>2.4721162872832769E-2</v>
      </c>
      <c r="K26" s="5">
        <f>VLOOKUP(K$1&amp;$A26,배당편집!$M$2:$T$2710,8,FALSE)</f>
        <v>8.0308608831843431E-2</v>
      </c>
      <c r="L26" s="5">
        <f>VLOOKUP(L$1&amp;$A26,배당편집!$M$2:$T$2710,8,FALSE)</f>
        <v>4.8837286784054301E-2</v>
      </c>
      <c r="M26" s="5">
        <f>VLOOKUP(M$1&amp;$A26,배당편집!$M$2:$T$2710,8,FALSE)</f>
        <v>0.17146254579668385</v>
      </c>
      <c r="N26" s="5">
        <f>VLOOKUP(N$1&amp;$A26,배당편집!$M$2:$T$2710,8,FALSE)</f>
        <v>1.2451968893662624E-2</v>
      </c>
      <c r="O26" s="5">
        <f>VLOOKUP(O$1&amp;$A26,배당편집!$M$2:$T$2710,8,FALSE)</f>
        <v>0.10592062075555875</v>
      </c>
      <c r="P26" s="5">
        <f>VLOOKUP(P$1&amp;$A26,배당편집!$M$2:$T$2710,8,FALSE)</f>
        <v>2.9942345640509238E-2</v>
      </c>
      <c r="Q26" s="5">
        <f>VLOOKUP(Q$1&amp;$A26,배당편집!$M$2:$T$2710,8,FALSE)</f>
        <v>6.2980048262344379E-2</v>
      </c>
      <c r="R26" s="5">
        <f>VLOOKUP(R$1&amp;$A26,배당편집!$M$2:$T$2710,8,FALSE)</f>
        <v>8.0738561153020472E-2</v>
      </c>
      <c r="S26" s="5">
        <f>VLOOKUP(S$1&amp;$A26,배당편집!$M$2:$T$2710,8,FALSE)</f>
        <v>5.1357446631818515E-2</v>
      </c>
      <c r="T26" s="5">
        <f>VLOOKUP(T$1&amp;$A26,배당편집!$M$2:$T$2710,8,FALSE)</f>
        <v>0.10469324008713388</v>
      </c>
      <c r="U26" s="5">
        <f>VLOOKUP(U$1&amp;$A26,배당편집!$M$2:$T$2710,8,FALSE)</f>
        <v>0.20364253666714349</v>
      </c>
      <c r="V26" s="5">
        <f>VLOOKUP(V$1&amp;$A26,배당편집!$M$2:$T$2710,8,FALSE)</f>
        <v>0.13214639717455645</v>
      </c>
      <c r="W26" s="5">
        <f>VLOOKUP(W$1&amp;$A26,배당편집!$M$2:$T$2710,8,FALSE)</f>
        <v>0.19049334145198071</v>
      </c>
      <c r="X26" s="5">
        <f>VLOOKUP(X$1&amp;$A26,배당편집!$M$2:$T$2710,8,FALSE)</f>
        <v>8.7689844911468251E-2</v>
      </c>
      <c r="Y26" s="5">
        <f>VLOOKUP(Y$1&amp;$A26,배당편집!$M$2:$T$2710,8,FALSE)</f>
        <v>6.9124851069322091E-2</v>
      </c>
      <c r="Z26" s="5">
        <f>VLOOKUP(Z$1&amp;$A26,배당편집!$M$2:$T$2710,8,FALSE)</f>
        <v>2.9462068239258565E-2</v>
      </c>
      <c r="AA26" s="5">
        <f>VLOOKUP(AA$1&amp;$A26,배당편집!$M$2:$T$2710,8,FALSE)</f>
        <v>5.1547496797280434E-2</v>
      </c>
      <c r="AB26" s="5">
        <f>VLOOKUP(AB$1&amp;$A26,배당편집!$M$2:$T$2710,8,FALSE)</f>
        <v>8.4471771197698553E-2</v>
      </c>
      <c r="AC26" s="5">
        <f>VLOOKUP(AC$1&amp;$A26,배당편집!$M$2:$T$2710,8,FALSE)</f>
        <v>4.8742395143417827E-2</v>
      </c>
      <c r="AD26" s="5">
        <f>VLOOKUP(AD$1&amp;$A26,배당편집!$M$2:$T$2710,8,FALSE)</f>
        <v>0.13179836563100178</v>
      </c>
      <c r="AE26" s="5">
        <f>VLOOKUP(AE$1&amp;$A26,배당편집!$M$2:$T$2710,8,FALSE)</f>
        <v>1.9244876491456564E-2</v>
      </c>
      <c r="AF26" s="5">
        <f>VLOOKUP(AF$1&amp;$A26,배당편집!$M$2:$T$2710,8,FALSE)</f>
        <v>4.1423126681443989E-2</v>
      </c>
    </row>
    <row r="27" spans="1:32" ht="16.5" customHeight="1">
      <c r="A27" s="3">
        <v>2020</v>
      </c>
      <c r="B27" s="3">
        <v>2</v>
      </c>
      <c r="C27" s="5">
        <f>VLOOKUP(C$1&amp;$A27,배당편집!$M$2:$T$2710,8,FALSE)</f>
        <v>6.2731281549329498E-2</v>
      </c>
      <c r="D27" s="5">
        <f>VLOOKUP(D$1&amp;$A27,배당편집!$M$2:$T$2710,8,FALSE)</f>
        <v>5.2300215891077695E-2</v>
      </c>
      <c r="E27" s="5">
        <f>VLOOKUP(E$1&amp;$A27,배당편집!$M$2:$T$2710,8,FALSE)</f>
        <v>0.12474611314209483</v>
      </c>
      <c r="F27" s="5">
        <f>VLOOKUP(F$1&amp;$A27,배당편집!$M$2:$T$2710,8,FALSE)</f>
        <v>5.8203392293338263E-2</v>
      </c>
      <c r="G27" s="5">
        <f>VLOOKUP(G$1&amp;$A27,배당편집!$M$2:$T$2710,8,FALSE)</f>
        <v>4.7451763732829999E-2</v>
      </c>
      <c r="H27" s="5">
        <f>VLOOKUP(H$1&amp;$A27,배당편집!$M$2:$T$2710,8,FALSE)</f>
        <v>3.8104769834314878E-2</v>
      </c>
      <c r="I27" s="5">
        <f>VLOOKUP(I$1&amp;$A27,배당편집!$M$2:$T$2710,8,FALSE)</f>
        <v>5.7255009883433017E-2</v>
      </c>
      <c r="J27" s="5">
        <f>VLOOKUP(J$1&amp;$A27,배당편집!$M$2:$T$2710,8,FALSE)</f>
        <v>2.4721162872832769E-2</v>
      </c>
      <c r="K27" s="5">
        <f>VLOOKUP(K$1&amp;$A27,배당편집!$M$2:$T$2710,8,FALSE)</f>
        <v>8.0308608831843431E-2</v>
      </c>
      <c r="L27" s="5">
        <f>VLOOKUP(L$1&amp;$A27,배당편집!$M$2:$T$2710,8,FALSE)</f>
        <v>4.8837286784054301E-2</v>
      </c>
      <c r="M27" s="5">
        <f>VLOOKUP(M$1&amp;$A27,배당편집!$M$2:$T$2710,8,FALSE)</f>
        <v>0.17146254579668385</v>
      </c>
      <c r="N27" s="5">
        <f>VLOOKUP(N$1&amp;$A27,배당편집!$M$2:$T$2710,8,FALSE)</f>
        <v>1.2451968893662624E-2</v>
      </c>
      <c r="O27" s="5">
        <f>VLOOKUP(O$1&amp;$A27,배당편집!$M$2:$T$2710,8,FALSE)</f>
        <v>0.10592062075555875</v>
      </c>
      <c r="P27" s="5">
        <f>VLOOKUP(P$1&amp;$A27,배당편집!$M$2:$T$2710,8,FALSE)</f>
        <v>2.9942345640509238E-2</v>
      </c>
      <c r="Q27" s="5">
        <f>VLOOKUP(Q$1&amp;$A27,배당편집!$M$2:$T$2710,8,FALSE)</f>
        <v>6.2980048262344379E-2</v>
      </c>
      <c r="R27" s="5">
        <f>VLOOKUP(R$1&amp;$A27,배당편집!$M$2:$T$2710,8,FALSE)</f>
        <v>8.0738561153020472E-2</v>
      </c>
      <c r="S27" s="5">
        <f>VLOOKUP(S$1&amp;$A27,배당편집!$M$2:$T$2710,8,FALSE)</f>
        <v>5.1357446631818515E-2</v>
      </c>
      <c r="T27" s="5">
        <f>VLOOKUP(T$1&amp;$A27,배당편집!$M$2:$T$2710,8,FALSE)</f>
        <v>0.10469324008713388</v>
      </c>
      <c r="U27" s="5">
        <f>VLOOKUP(U$1&amp;$A27,배당편집!$M$2:$T$2710,8,FALSE)</f>
        <v>0.20364253666714349</v>
      </c>
      <c r="V27" s="5">
        <f>VLOOKUP(V$1&amp;$A27,배당편집!$M$2:$T$2710,8,FALSE)</f>
        <v>0.13214639717455645</v>
      </c>
      <c r="W27" s="5">
        <f>VLOOKUP(W$1&amp;$A27,배당편집!$M$2:$T$2710,8,FALSE)</f>
        <v>0.19049334145198071</v>
      </c>
      <c r="X27" s="5">
        <f>VLOOKUP(X$1&amp;$A27,배당편집!$M$2:$T$2710,8,FALSE)</f>
        <v>8.7689844911468251E-2</v>
      </c>
      <c r="Y27" s="5">
        <f>VLOOKUP(Y$1&amp;$A27,배당편집!$M$2:$T$2710,8,FALSE)</f>
        <v>6.9124851069322091E-2</v>
      </c>
      <c r="Z27" s="5">
        <f>VLOOKUP(Z$1&amp;$A27,배당편집!$M$2:$T$2710,8,FALSE)</f>
        <v>2.9462068239258565E-2</v>
      </c>
      <c r="AA27" s="5">
        <f>VLOOKUP(AA$1&amp;$A27,배당편집!$M$2:$T$2710,8,FALSE)</f>
        <v>5.1547496797280434E-2</v>
      </c>
      <c r="AB27" s="5">
        <f>VLOOKUP(AB$1&amp;$A27,배당편집!$M$2:$T$2710,8,FALSE)</f>
        <v>8.4471771197698553E-2</v>
      </c>
      <c r="AC27" s="5">
        <f>VLOOKUP(AC$1&amp;$A27,배당편집!$M$2:$T$2710,8,FALSE)</f>
        <v>4.8742395143417827E-2</v>
      </c>
      <c r="AD27" s="5">
        <f>VLOOKUP(AD$1&amp;$A27,배당편집!$M$2:$T$2710,8,FALSE)</f>
        <v>0.13179836563100178</v>
      </c>
      <c r="AE27" s="5">
        <f>VLOOKUP(AE$1&amp;$A27,배당편집!$M$2:$T$2710,8,FALSE)</f>
        <v>1.9244876491456564E-2</v>
      </c>
      <c r="AF27" s="5">
        <f>VLOOKUP(AF$1&amp;$A27,배당편집!$M$2:$T$2710,8,FALSE)</f>
        <v>4.1423126681443989E-2</v>
      </c>
    </row>
    <row r="28" spans="1:32" ht="16.5" customHeight="1">
      <c r="A28" s="3">
        <v>2020</v>
      </c>
      <c r="B28" s="3">
        <v>3</v>
      </c>
      <c r="C28" s="5">
        <f>VLOOKUP(C$1&amp;$A28,배당편집!$M$2:$T$2710,8,FALSE)</f>
        <v>6.2731281549329498E-2</v>
      </c>
      <c r="D28" s="5">
        <f>VLOOKUP(D$1&amp;$A28,배당편집!$M$2:$T$2710,8,FALSE)</f>
        <v>5.2300215891077695E-2</v>
      </c>
      <c r="E28" s="5">
        <f>VLOOKUP(E$1&amp;$A28,배당편집!$M$2:$T$2710,8,FALSE)</f>
        <v>0.12474611314209483</v>
      </c>
      <c r="F28" s="5">
        <f>VLOOKUP(F$1&amp;$A28,배당편집!$M$2:$T$2710,8,FALSE)</f>
        <v>5.8203392293338263E-2</v>
      </c>
      <c r="G28" s="5">
        <f>VLOOKUP(G$1&amp;$A28,배당편집!$M$2:$T$2710,8,FALSE)</f>
        <v>4.7451763732829999E-2</v>
      </c>
      <c r="H28" s="5">
        <f>VLOOKUP(H$1&amp;$A28,배당편집!$M$2:$T$2710,8,FALSE)</f>
        <v>3.8104769834314878E-2</v>
      </c>
      <c r="I28" s="5">
        <f>VLOOKUP(I$1&amp;$A28,배당편집!$M$2:$T$2710,8,FALSE)</f>
        <v>5.7255009883433017E-2</v>
      </c>
      <c r="J28" s="5">
        <f>VLOOKUP(J$1&amp;$A28,배당편집!$M$2:$T$2710,8,FALSE)</f>
        <v>2.4721162872832769E-2</v>
      </c>
      <c r="K28" s="5">
        <f>VLOOKUP(K$1&amp;$A28,배당편집!$M$2:$T$2710,8,FALSE)</f>
        <v>8.0308608831843431E-2</v>
      </c>
      <c r="L28" s="5">
        <f>VLOOKUP(L$1&amp;$A28,배당편집!$M$2:$T$2710,8,FALSE)</f>
        <v>4.8837286784054301E-2</v>
      </c>
      <c r="M28" s="5">
        <f>VLOOKUP(M$1&amp;$A28,배당편집!$M$2:$T$2710,8,FALSE)</f>
        <v>0.17146254579668385</v>
      </c>
      <c r="N28" s="5">
        <f>VLOOKUP(N$1&amp;$A28,배당편집!$M$2:$T$2710,8,FALSE)</f>
        <v>1.2451968893662624E-2</v>
      </c>
      <c r="O28" s="5">
        <f>VLOOKUP(O$1&amp;$A28,배당편집!$M$2:$T$2710,8,FALSE)</f>
        <v>0.10592062075555875</v>
      </c>
      <c r="P28" s="5">
        <f>VLOOKUP(P$1&amp;$A28,배당편집!$M$2:$T$2710,8,FALSE)</f>
        <v>2.9942345640509238E-2</v>
      </c>
      <c r="Q28" s="5">
        <f>VLOOKUP(Q$1&amp;$A28,배당편집!$M$2:$T$2710,8,FALSE)</f>
        <v>6.2980048262344379E-2</v>
      </c>
      <c r="R28" s="5">
        <f>VLOOKUP(R$1&amp;$A28,배당편집!$M$2:$T$2710,8,FALSE)</f>
        <v>8.0738561153020472E-2</v>
      </c>
      <c r="S28" s="5">
        <f>VLOOKUP(S$1&amp;$A28,배당편집!$M$2:$T$2710,8,FALSE)</f>
        <v>5.1357446631818515E-2</v>
      </c>
      <c r="T28" s="5">
        <f>VLOOKUP(T$1&amp;$A28,배당편집!$M$2:$T$2710,8,FALSE)</f>
        <v>0.10469324008713388</v>
      </c>
      <c r="U28" s="5">
        <f>VLOOKUP(U$1&amp;$A28,배당편집!$M$2:$T$2710,8,FALSE)</f>
        <v>0.20364253666714349</v>
      </c>
      <c r="V28" s="5">
        <f>VLOOKUP(V$1&amp;$A28,배당편집!$M$2:$T$2710,8,FALSE)</f>
        <v>0.13214639717455645</v>
      </c>
      <c r="W28" s="5">
        <f>VLOOKUP(W$1&amp;$A28,배당편집!$M$2:$T$2710,8,FALSE)</f>
        <v>0.19049334145198071</v>
      </c>
      <c r="X28" s="5">
        <f>VLOOKUP(X$1&amp;$A28,배당편집!$M$2:$T$2710,8,FALSE)</f>
        <v>8.7689844911468251E-2</v>
      </c>
      <c r="Y28" s="5">
        <f>VLOOKUP(Y$1&amp;$A28,배당편집!$M$2:$T$2710,8,FALSE)</f>
        <v>6.9124851069322091E-2</v>
      </c>
      <c r="Z28" s="5">
        <f>VLOOKUP(Z$1&amp;$A28,배당편집!$M$2:$T$2710,8,FALSE)</f>
        <v>2.9462068239258565E-2</v>
      </c>
      <c r="AA28" s="5">
        <f>VLOOKUP(AA$1&amp;$A28,배당편집!$M$2:$T$2710,8,FALSE)</f>
        <v>5.1547496797280434E-2</v>
      </c>
      <c r="AB28" s="5">
        <f>VLOOKUP(AB$1&amp;$A28,배당편집!$M$2:$T$2710,8,FALSE)</f>
        <v>8.4471771197698553E-2</v>
      </c>
      <c r="AC28" s="5">
        <f>VLOOKUP(AC$1&amp;$A28,배당편집!$M$2:$T$2710,8,FALSE)</f>
        <v>4.8742395143417827E-2</v>
      </c>
      <c r="AD28" s="5">
        <f>VLOOKUP(AD$1&amp;$A28,배당편집!$M$2:$T$2710,8,FALSE)</f>
        <v>0.13179836563100178</v>
      </c>
      <c r="AE28" s="5">
        <f>VLOOKUP(AE$1&amp;$A28,배당편집!$M$2:$T$2710,8,FALSE)</f>
        <v>1.9244876491456564E-2</v>
      </c>
      <c r="AF28" s="5">
        <f>VLOOKUP(AF$1&amp;$A28,배당편집!$M$2:$T$2710,8,FALSE)</f>
        <v>4.1423126681443989E-2</v>
      </c>
    </row>
    <row r="29" spans="1:32" ht="16.5" customHeight="1">
      <c r="A29" s="3">
        <v>2020</v>
      </c>
      <c r="B29" s="3">
        <v>4</v>
      </c>
      <c r="C29" s="5">
        <f>VLOOKUP(C$1&amp;$A29,배당편집!$M$2:$T$2710,8,FALSE)</f>
        <v>6.2731281549329498E-2</v>
      </c>
      <c r="D29" s="5">
        <f>VLOOKUP(D$1&amp;$A29,배당편집!$M$2:$T$2710,8,FALSE)</f>
        <v>5.2300215891077695E-2</v>
      </c>
      <c r="E29" s="5">
        <f>VLOOKUP(E$1&amp;$A29,배당편집!$M$2:$T$2710,8,FALSE)</f>
        <v>0.12474611314209483</v>
      </c>
      <c r="F29" s="5">
        <f>VLOOKUP(F$1&amp;$A29,배당편집!$M$2:$T$2710,8,FALSE)</f>
        <v>5.8203392293338263E-2</v>
      </c>
      <c r="G29" s="5">
        <f>VLOOKUP(G$1&amp;$A29,배당편집!$M$2:$T$2710,8,FALSE)</f>
        <v>4.7451763732829999E-2</v>
      </c>
      <c r="H29" s="5">
        <f>VLOOKUP(H$1&amp;$A29,배당편집!$M$2:$T$2710,8,FALSE)</f>
        <v>3.8104769834314878E-2</v>
      </c>
      <c r="I29" s="5">
        <f>VLOOKUP(I$1&amp;$A29,배당편집!$M$2:$T$2710,8,FALSE)</f>
        <v>5.7255009883433017E-2</v>
      </c>
      <c r="J29" s="5">
        <f>VLOOKUP(J$1&amp;$A29,배당편집!$M$2:$T$2710,8,FALSE)</f>
        <v>2.4721162872832769E-2</v>
      </c>
      <c r="K29" s="5">
        <f>VLOOKUP(K$1&amp;$A29,배당편집!$M$2:$T$2710,8,FALSE)</f>
        <v>8.0308608831843431E-2</v>
      </c>
      <c r="L29" s="5">
        <f>VLOOKUP(L$1&amp;$A29,배당편집!$M$2:$T$2710,8,FALSE)</f>
        <v>4.8837286784054301E-2</v>
      </c>
      <c r="M29" s="5">
        <f>VLOOKUP(M$1&amp;$A29,배당편집!$M$2:$T$2710,8,FALSE)</f>
        <v>0.17146254579668385</v>
      </c>
      <c r="N29" s="5">
        <f>VLOOKUP(N$1&amp;$A29,배당편집!$M$2:$T$2710,8,FALSE)</f>
        <v>1.2451968893662624E-2</v>
      </c>
      <c r="O29" s="5">
        <f>VLOOKUP(O$1&amp;$A29,배당편집!$M$2:$T$2710,8,FALSE)</f>
        <v>0.10592062075555875</v>
      </c>
      <c r="P29" s="5">
        <f>VLOOKUP(P$1&amp;$A29,배당편집!$M$2:$T$2710,8,FALSE)</f>
        <v>2.9942345640509238E-2</v>
      </c>
      <c r="Q29" s="5">
        <f>VLOOKUP(Q$1&amp;$A29,배당편집!$M$2:$T$2710,8,FALSE)</f>
        <v>6.2980048262344379E-2</v>
      </c>
      <c r="R29" s="5">
        <f>VLOOKUP(R$1&amp;$A29,배당편집!$M$2:$T$2710,8,FALSE)</f>
        <v>8.0738561153020472E-2</v>
      </c>
      <c r="S29" s="5">
        <f>VLOOKUP(S$1&amp;$A29,배당편집!$M$2:$T$2710,8,FALSE)</f>
        <v>5.1357446631818515E-2</v>
      </c>
      <c r="T29" s="5">
        <f>VLOOKUP(T$1&amp;$A29,배당편집!$M$2:$T$2710,8,FALSE)</f>
        <v>0.10469324008713388</v>
      </c>
      <c r="U29" s="5">
        <f>VLOOKUP(U$1&amp;$A29,배당편집!$M$2:$T$2710,8,FALSE)</f>
        <v>0.20364253666714349</v>
      </c>
      <c r="V29" s="5">
        <f>VLOOKUP(V$1&amp;$A29,배당편집!$M$2:$T$2710,8,FALSE)</f>
        <v>0.13214639717455645</v>
      </c>
      <c r="W29" s="5">
        <f>VLOOKUP(W$1&amp;$A29,배당편집!$M$2:$T$2710,8,FALSE)</f>
        <v>0.19049334145198071</v>
      </c>
      <c r="X29" s="5">
        <f>VLOOKUP(X$1&amp;$A29,배당편집!$M$2:$T$2710,8,FALSE)</f>
        <v>8.7689844911468251E-2</v>
      </c>
      <c r="Y29" s="5">
        <f>VLOOKUP(Y$1&amp;$A29,배당편집!$M$2:$T$2710,8,FALSE)</f>
        <v>6.9124851069322091E-2</v>
      </c>
      <c r="Z29" s="5">
        <f>VLOOKUP(Z$1&amp;$A29,배당편집!$M$2:$T$2710,8,FALSE)</f>
        <v>2.9462068239258565E-2</v>
      </c>
      <c r="AA29" s="5">
        <f>VLOOKUP(AA$1&amp;$A29,배당편집!$M$2:$T$2710,8,FALSE)</f>
        <v>5.1547496797280434E-2</v>
      </c>
      <c r="AB29" s="5">
        <f>VLOOKUP(AB$1&amp;$A29,배당편집!$M$2:$T$2710,8,FALSE)</f>
        <v>8.4471771197698553E-2</v>
      </c>
      <c r="AC29" s="5">
        <f>VLOOKUP(AC$1&amp;$A29,배당편집!$M$2:$T$2710,8,FALSE)</f>
        <v>4.8742395143417827E-2</v>
      </c>
      <c r="AD29" s="5">
        <f>VLOOKUP(AD$1&amp;$A29,배당편집!$M$2:$T$2710,8,FALSE)</f>
        <v>0.13179836563100178</v>
      </c>
      <c r="AE29" s="5">
        <f>VLOOKUP(AE$1&amp;$A29,배당편집!$M$2:$T$2710,8,FALSE)</f>
        <v>1.9244876491456564E-2</v>
      </c>
      <c r="AF29" s="5">
        <f>VLOOKUP(AF$1&amp;$A29,배당편집!$M$2:$T$2710,8,FALSE)</f>
        <v>4.1423126681443989E-2</v>
      </c>
    </row>
    <row r="30" spans="1:32" ht="16.5" customHeight="1">
      <c r="A30" s="3">
        <v>2020</v>
      </c>
      <c r="B30" s="3">
        <v>5</v>
      </c>
      <c r="C30" s="5">
        <f>VLOOKUP(C$1&amp;$A30,배당편집!$M$2:$T$2710,8,FALSE)</f>
        <v>6.2731281549329498E-2</v>
      </c>
      <c r="D30" s="5">
        <f>VLOOKUP(D$1&amp;$A30,배당편집!$M$2:$T$2710,8,FALSE)</f>
        <v>5.2300215891077695E-2</v>
      </c>
      <c r="E30" s="5">
        <f>VLOOKUP(E$1&amp;$A30,배당편집!$M$2:$T$2710,8,FALSE)</f>
        <v>0.12474611314209483</v>
      </c>
      <c r="F30" s="5">
        <f>VLOOKUP(F$1&amp;$A30,배당편집!$M$2:$T$2710,8,FALSE)</f>
        <v>5.8203392293338263E-2</v>
      </c>
      <c r="G30" s="5">
        <f>VLOOKUP(G$1&amp;$A30,배당편집!$M$2:$T$2710,8,FALSE)</f>
        <v>4.7451763732829999E-2</v>
      </c>
      <c r="H30" s="5">
        <f>VLOOKUP(H$1&amp;$A30,배당편집!$M$2:$T$2710,8,FALSE)</f>
        <v>3.8104769834314878E-2</v>
      </c>
      <c r="I30" s="5">
        <f>VLOOKUP(I$1&amp;$A30,배당편집!$M$2:$T$2710,8,FALSE)</f>
        <v>5.7255009883433017E-2</v>
      </c>
      <c r="J30" s="5">
        <f>VLOOKUP(J$1&amp;$A30,배당편집!$M$2:$T$2710,8,FALSE)</f>
        <v>2.4721162872832769E-2</v>
      </c>
      <c r="K30" s="5">
        <f>VLOOKUP(K$1&amp;$A30,배당편집!$M$2:$T$2710,8,FALSE)</f>
        <v>8.0308608831843431E-2</v>
      </c>
      <c r="L30" s="5">
        <f>VLOOKUP(L$1&amp;$A30,배당편집!$M$2:$T$2710,8,FALSE)</f>
        <v>4.8837286784054301E-2</v>
      </c>
      <c r="M30" s="5">
        <f>VLOOKUP(M$1&amp;$A30,배당편집!$M$2:$T$2710,8,FALSE)</f>
        <v>0.17146254579668385</v>
      </c>
      <c r="N30" s="5">
        <f>VLOOKUP(N$1&amp;$A30,배당편집!$M$2:$T$2710,8,FALSE)</f>
        <v>1.2451968893662624E-2</v>
      </c>
      <c r="O30" s="5">
        <f>VLOOKUP(O$1&amp;$A30,배당편집!$M$2:$T$2710,8,FALSE)</f>
        <v>0.10592062075555875</v>
      </c>
      <c r="P30" s="5">
        <f>VLOOKUP(P$1&amp;$A30,배당편집!$M$2:$T$2710,8,FALSE)</f>
        <v>2.9942345640509238E-2</v>
      </c>
      <c r="Q30" s="5">
        <f>VLOOKUP(Q$1&amp;$A30,배당편집!$M$2:$T$2710,8,FALSE)</f>
        <v>6.2980048262344379E-2</v>
      </c>
      <c r="R30" s="5">
        <f>VLOOKUP(R$1&amp;$A30,배당편집!$M$2:$T$2710,8,FALSE)</f>
        <v>8.0738561153020472E-2</v>
      </c>
      <c r="S30" s="5">
        <f>VLOOKUP(S$1&amp;$A30,배당편집!$M$2:$T$2710,8,FALSE)</f>
        <v>5.1357446631818515E-2</v>
      </c>
      <c r="T30" s="5">
        <f>VLOOKUP(T$1&amp;$A30,배당편집!$M$2:$T$2710,8,FALSE)</f>
        <v>0.10469324008713388</v>
      </c>
      <c r="U30" s="5">
        <f>VLOOKUP(U$1&amp;$A30,배당편집!$M$2:$T$2710,8,FALSE)</f>
        <v>0.20364253666714349</v>
      </c>
      <c r="V30" s="5">
        <f>VLOOKUP(V$1&amp;$A30,배당편집!$M$2:$T$2710,8,FALSE)</f>
        <v>0.13214639717455645</v>
      </c>
      <c r="W30" s="5">
        <f>VLOOKUP(W$1&amp;$A30,배당편집!$M$2:$T$2710,8,FALSE)</f>
        <v>0.19049334145198071</v>
      </c>
      <c r="X30" s="5">
        <f>VLOOKUP(X$1&amp;$A30,배당편집!$M$2:$T$2710,8,FALSE)</f>
        <v>8.7689844911468251E-2</v>
      </c>
      <c r="Y30" s="5">
        <f>VLOOKUP(Y$1&amp;$A30,배당편집!$M$2:$T$2710,8,FALSE)</f>
        <v>6.9124851069322091E-2</v>
      </c>
      <c r="Z30" s="5">
        <f>VLOOKUP(Z$1&amp;$A30,배당편집!$M$2:$T$2710,8,FALSE)</f>
        <v>2.9462068239258565E-2</v>
      </c>
      <c r="AA30" s="5">
        <f>VLOOKUP(AA$1&amp;$A30,배당편집!$M$2:$T$2710,8,FALSE)</f>
        <v>5.1547496797280434E-2</v>
      </c>
      <c r="AB30" s="5">
        <f>VLOOKUP(AB$1&amp;$A30,배당편집!$M$2:$T$2710,8,FALSE)</f>
        <v>8.4471771197698553E-2</v>
      </c>
      <c r="AC30" s="5">
        <f>VLOOKUP(AC$1&amp;$A30,배당편집!$M$2:$T$2710,8,FALSE)</f>
        <v>4.8742395143417827E-2</v>
      </c>
      <c r="AD30" s="5">
        <f>VLOOKUP(AD$1&amp;$A30,배당편집!$M$2:$T$2710,8,FALSE)</f>
        <v>0.13179836563100178</v>
      </c>
      <c r="AE30" s="5">
        <f>VLOOKUP(AE$1&amp;$A30,배당편집!$M$2:$T$2710,8,FALSE)</f>
        <v>1.9244876491456564E-2</v>
      </c>
      <c r="AF30" s="5">
        <f>VLOOKUP(AF$1&amp;$A30,배당편집!$M$2:$T$2710,8,FALSE)</f>
        <v>4.1423126681443989E-2</v>
      </c>
    </row>
    <row r="31" spans="1:32" ht="16.5" customHeight="1">
      <c r="A31" s="3">
        <v>2020</v>
      </c>
      <c r="B31" s="3">
        <v>6</v>
      </c>
      <c r="C31" s="5">
        <f>VLOOKUP(C$1&amp;$A31,배당편집!$M$2:$T$2710,8,FALSE)</f>
        <v>6.2731281549329498E-2</v>
      </c>
      <c r="D31" s="5">
        <f>VLOOKUP(D$1&amp;$A31,배당편집!$M$2:$T$2710,8,FALSE)</f>
        <v>5.2300215891077695E-2</v>
      </c>
      <c r="E31" s="5">
        <f>VLOOKUP(E$1&amp;$A31,배당편집!$M$2:$T$2710,8,FALSE)</f>
        <v>0.12474611314209483</v>
      </c>
      <c r="F31" s="5">
        <f>VLOOKUP(F$1&amp;$A31,배당편집!$M$2:$T$2710,8,FALSE)</f>
        <v>5.8203392293338263E-2</v>
      </c>
      <c r="G31" s="5">
        <f>VLOOKUP(G$1&amp;$A31,배당편집!$M$2:$T$2710,8,FALSE)</f>
        <v>4.7451763732829999E-2</v>
      </c>
      <c r="H31" s="5">
        <f>VLOOKUP(H$1&amp;$A31,배당편집!$M$2:$T$2710,8,FALSE)</f>
        <v>3.8104769834314878E-2</v>
      </c>
      <c r="I31" s="5">
        <f>VLOOKUP(I$1&amp;$A31,배당편집!$M$2:$T$2710,8,FALSE)</f>
        <v>5.7255009883433017E-2</v>
      </c>
      <c r="J31" s="5">
        <f>VLOOKUP(J$1&amp;$A31,배당편집!$M$2:$T$2710,8,FALSE)</f>
        <v>2.4721162872832769E-2</v>
      </c>
      <c r="K31" s="5">
        <f>VLOOKUP(K$1&amp;$A31,배당편집!$M$2:$T$2710,8,FALSE)</f>
        <v>8.0308608831843431E-2</v>
      </c>
      <c r="L31" s="5">
        <f>VLOOKUP(L$1&amp;$A31,배당편집!$M$2:$T$2710,8,FALSE)</f>
        <v>4.8837286784054301E-2</v>
      </c>
      <c r="M31" s="5">
        <f>VLOOKUP(M$1&amp;$A31,배당편집!$M$2:$T$2710,8,FALSE)</f>
        <v>0.17146254579668385</v>
      </c>
      <c r="N31" s="5">
        <f>VLOOKUP(N$1&amp;$A31,배당편집!$M$2:$T$2710,8,FALSE)</f>
        <v>1.2451968893662624E-2</v>
      </c>
      <c r="O31" s="5">
        <f>VLOOKUP(O$1&amp;$A31,배당편집!$M$2:$T$2710,8,FALSE)</f>
        <v>0.10592062075555875</v>
      </c>
      <c r="P31" s="5">
        <f>VLOOKUP(P$1&amp;$A31,배당편집!$M$2:$T$2710,8,FALSE)</f>
        <v>2.9942345640509238E-2</v>
      </c>
      <c r="Q31" s="5">
        <f>VLOOKUP(Q$1&amp;$A31,배당편집!$M$2:$T$2710,8,FALSE)</f>
        <v>6.2980048262344379E-2</v>
      </c>
      <c r="R31" s="5">
        <f>VLOOKUP(R$1&amp;$A31,배당편집!$M$2:$T$2710,8,FALSE)</f>
        <v>8.0738561153020472E-2</v>
      </c>
      <c r="S31" s="5">
        <f>VLOOKUP(S$1&amp;$A31,배당편집!$M$2:$T$2710,8,FALSE)</f>
        <v>5.1357446631818515E-2</v>
      </c>
      <c r="T31" s="5">
        <f>VLOOKUP(T$1&amp;$A31,배당편집!$M$2:$T$2710,8,FALSE)</f>
        <v>0.10469324008713388</v>
      </c>
      <c r="U31" s="5">
        <f>VLOOKUP(U$1&amp;$A31,배당편집!$M$2:$T$2710,8,FALSE)</f>
        <v>0.20364253666714349</v>
      </c>
      <c r="V31" s="5">
        <f>VLOOKUP(V$1&amp;$A31,배당편집!$M$2:$T$2710,8,FALSE)</f>
        <v>0.13214639717455645</v>
      </c>
      <c r="W31" s="5">
        <f>VLOOKUP(W$1&amp;$A31,배당편집!$M$2:$T$2710,8,FALSE)</f>
        <v>0.19049334145198071</v>
      </c>
      <c r="X31" s="5">
        <f>VLOOKUP(X$1&amp;$A31,배당편집!$M$2:$T$2710,8,FALSE)</f>
        <v>8.7689844911468251E-2</v>
      </c>
      <c r="Y31" s="5">
        <f>VLOOKUP(Y$1&amp;$A31,배당편집!$M$2:$T$2710,8,FALSE)</f>
        <v>6.9124851069322091E-2</v>
      </c>
      <c r="Z31" s="5">
        <f>VLOOKUP(Z$1&amp;$A31,배당편집!$M$2:$T$2710,8,FALSE)</f>
        <v>2.9462068239258565E-2</v>
      </c>
      <c r="AA31" s="5">
        <f>VLOOKUP(AA$1&amp;$A31,배당편집!$M$2:$T$2710,8,FALSE)</f>
        <v>5.1547496797280434E-2</v>
      </c>
      <c r="AB31" s="5">
        <f>VLOOKUP(AB$1&amp;$A31,배당편집!$M$2:$T$2710,8,FALSE)</f>
        <v>8.4471771197698553E-2</v>
      </c>
      <c r="AC31" s="5">
        <f>VLOOKUP(AC$1&amp;$A31,배당편집!$M$2:$T$2710,8,FALSE)</f>
        <v>4.8742395143417827E-2</v>
      </c>
      <c r="AD31" s="5">
        <f>VLOOKUP(AD$1&amp;$A31,배당편집!$M$2:$T$2710,8,FALSE)</f>
        <v>0.13179836563100178</v>
      </c>
      <c r="AE31" s="5">
        <f>VLOOKUP(AE$1&amp;$A31,배당편집!$M$2:$T$2710,8,FALSE)</f>
        <v>1.9244876491456564E-2</v>
      </c>
      <c r="AF31" s="5">
        <f>VLOOKUP(AF$1&amp;$A31,배당편집!$M$2:$T$2710,8,FALSE)</f>
        <v>4.1423126681443989E-2</v>
      </c>
    </row>
    <row r="32" spans="1:32" ht="16.5" customHeight="1">
      <c r="A32" s="3">
        <v>2020</v>
      </c>
      <c r="B32" s="3">
        <v>7</v>
      </c>
      <c r="C32" s="5">
        <f>VLOOKUP(C$1&amp;$A32,배당편집!$M$2:$T$2710,8,FALSE)</f>
        <v>6.2731281549329498E-2</v>
      </c>
      <c r="D32" s="5">
        <f>VLOOKUP(D$1&amp;$A32,배당편집!$M$2:$T$2710,8,FALSE)</f>
        <v>5.2300215891077695E-2</v>
      </c>
      <c r="E32" s="5">
        <f>VLOOKUP(E$1&amp;$A32,배당편집!$M$2:$T$2710,8,FALSE)</f>
        <v>0.12474611314209483</v>
      </c>
      <c r="F32" s="5">
        <f>VLOOKUP(F$1&amp;$A32,배당편집!$M$2:$T$2710,8,FALSE)</f>
        <v>5.8203392293338263E-2</v>
      </c>
      <c r="G32" s="5">
        <f>VLOOKUP(G$1&amp;$A32,배당편집!$M$2:$T$2710,8,FALSE)</f>
        <v>4.7451763732829999E-2</v>
      </c>
      <c r="H32" s="5">
        <f>VLOOKUP(H$1&amp;$A32,배당편집!$M$2:$T$2710,8,FALSE)</f>
        <v>3.8104769834314878E-2</v>
      </c>
      <c r="I32" s="5">
        <f>VLOOKUP(I$1&amp;$A32,배당편집!$M$2:$T$2710,8,FALSE)</f>
        <v>5.7255009883433017E-2</v>
      </c>
      <c r="J32" s="5">
        <f>VLOOKUP(J$1&amp;$A32,배당편집!$M$2:$T$2710,8,FALSE)</f>
        <v>2.4721162872832769E-2</v>
      </c>
      <c r="K32" s="5">
        <f>VLOOKUP(K$1&amp;$A32,배당편집!$M$2:$T$2710,8,FALSE)</f>
        <v>8.0308608831843431E-2</v>
      </c>
      <c r="L32" s="5">
        <f>VLOOKUP(L$1&amp;$A32,배당편집!$M$2:$T$2710,8,FALSE)</f>
        <v>4.8837286784054301E-2</v>
      </c>
      <c r="M32" s="5">
        <f>VLOOKUP(M$1&amp;$A32,배당편집!$M$2:$T$2710,8,FALSE)</f>
        <v>0.17146254579668385</v>
      </c>
      <c r="N32" s="5">
        <f>VLOOKUP(N$1&amp;$A32,배당편집!$M$2:$T$2710,8,FALSE)</f>
        <v>1.2451968893662624E-2</v>
      </c>
      <c r="O32" s="5">
        <f>VLOOKUP(O$1&amp;$A32,배당편집!$M$2:$T$2710,8,FALSE)</f>
        <v>0.10592062075555875</v>
      </c>
      <c r="P32" s="5">
        <f>VLOOKUP(P$1&amp;$A32,배당편집!$M$2:$T$2710,8,FALSE)</f>
        <v>2.9942345640509238E-2</v>
      </c>
      <c r="Q32" s="5">
        <f>VLOOKUP(Q$1&amp;$A32,배당편집!$M$2:$T$2710,8,FALSE)</f>
        <v>6.2980048262344379E-2</v>
      </c>
      <c r="R32" s="5">
        <f>VLOOKUP(R$1&amp;$A32,배당편집!$M$2:$T$2710,8,FALSE)</f>
        <v>8.0738561153020472E-2</v>
      </c>
      <c r="S32" s="5">
        <f>VLOOKUP(S$1&amp;$A32,배당편집!$M$2:$T$2710,8,FALSE)</f>
        <v>5.1357446631818515E-2</v>
      </c>
      <c r="T32" s="5">
        <f>VLOOKUP(T$1&amp;$A32,배당편집!$M$2:$T$2710,8,FALSE)</f>
        <v>0.10469324008713388</v>
      </c>
      <c r="U32" s="5">
        <f>VLOOKUP(U$1&amp;$A32,배당편집!$M$2:$T$2710,8,FALSE)</f>
        <v>0.20364253666714349</v>
      </c>
      <c r="V32" s="5">
        <f>VLOOKUP(V$1&amp;$A32,배당편집!$M$2:$T$2710,8,FALSE)</f>
        <v>0.13214639717455645</v>
      </c>
      <c r="W32" s="5">
        <f>VLOOKUP(W$1&amp;$A32,배당편집!$M$2:$T$2710,8,FALSE)</f>
        <v>0.19049334145198071</v>
      </c>
      <c r="X32" s="5">
        <f>VLOOKUP(X$1&amp;$A32,배당편집!$M$2:$T$2710,8,FALSE)</f>
        <v>8.7689844911468251E-2</v>
      </c>
      <c r="Y32" s="5">
        <f>VLOOKUP(Y$1&amp;$A32,배당편집!$M$2:$T$2710,8,FALSE)</f>
        <v>6.9124851069322091E-2</v>
      </c>
      <c r="Z32" s="5">
        <f>VLOOKUP(Z$1&amp;$A32,배당편집!$M$2:$T$2710,8,FALSE)</f>
        <v>2.9462068239258565E-2</v>
      </c>
      <c r="AA32" s="5">
        <f>VLOOKUP(AA$1&amp;$A32,배당편집!$M$2:$T$2710,8,FALSE)</f>
        <v>5.1547496797280434E-2</v>
      </c>
      <c r="AB32" s="5">
        <f>VLOOKUP(AB$1&amp;$A32,배당편집!$M$2:$T$2710,8,FALSE)</f>
        <v>8.4471771197698553E-2</v>
      </c>
      <c r="AC32" s="5">
        <f>VLOOKUP(AC$1&amp;$A32,배당편집!$M$2:$T$2710,8,FALSE)</f>
        <v>4.8742395143417827E-2</v>
      </c>
      <c r="AD32" s="5">
        <f>VLOOKUP(AD$1&amp;$A32,배당편집!$M$2:$T$2710,8,FALSE)</f>
        <v>0.13179836563100178</v>
      </c>
      <c r="AE32" s="5">
        <f>VLOOKUP(AE$1&amp;$A32,배당편집!$M$2:$T$2710,8,FALSE)</f>
        <v>1.9244876491456564E-2</v>
      </c>
      <c r="AF32" s="5">
        <f>VLOOKUP(AF$1&amp;$A32,배당편집!$M$2:$T$2710,8,FALSE)</f>
        <v>4.1423126681443989E-2</v>
      </c>
    </row>
    <row r="33" spans="1:32" ht="16.5" customHeight="1">
      <c r="A33" s="3">
        <v>2020</v>
      </c>
      <c r="B33" s="3">
        <v>8</v>
      </c>
      <c r="C33" s="5">
        <f>VLOOKUP(C$1&amp;$A33,배당편집!$M$2:$T$2710,8,FALSE)</f>
        <v>6.2731281549329498E-2</v>
      </c>
      <c r="D33" s="5">
        <f>VLOOKUP(D$1&amp;$A33,배당편집!$M$2:$T$2710,8,FALSE)</f>
        <v>5.2300215891077695E-2</v>
      </c>
      <c r="E33" s="5">
        <f>VLOOKUP(E$1&amp;$A33,배당편집!$M$2:$T$2710,8,FALSE)</f>
        <v>0.12474611314209483</v>
      </c>
      <c r="F33" s="5">
        <f>VLOOKUP(F$1&amp;$A33,배당편집!$M$2:$T$2710,8,FALSE)</f>
        <v>5.8203392293338263E-2</v>
      </c>
      <c r="G33" s="5">
        <f>VLOOKUP(G$1&amp;$A33,배당편집!$M$2:$T$2710,8,FALSE)</f>
        <v>4.7451763732829999E-2</v>
      </c>
      <c r="H33" s="5">
        <f>VLOOKUP(H$1&amp;$A33,배당편집!$M$2:$T$2710,8,FALSE)</f>
        <v>3.8104769834314878E-2</v>
      </c>
      <c r="I33" s="5">
        <f>VLOOKUP(I$1&amp;$A33,배당편집!$M$2:$T$2710,8,FALSE)</f>
        <v>5.7255009883433017E-2</v>
      </c>
      <c r="J33" s="5">
        <f>VLOOKUP(J$1&amp;$A33,배당편집!$M$2:$T$2710,8,FALSE)</f>
        <v>2.4721162872832769E-2</v>
      </c>
      <c r="K33" s="5">
        <f>VLOOKUP(K$1&amp;$A33,배당편집!$M$2:$T$2710,8,FALSE)</f>
        <v>8.0308608831843431E-2</v>
      </c>
      <c r="L33" s="5">
        <f>VLOOKUP(L$1&amp;$A33,배당편집!$M$2:$T$2710,8,FALSE)</f>
        <v>4.8837286784054301E-2</v>
      </c>
      <c r="M33" s="5">
        <f>VLOOKUP(M$1&amp;$A33,배당편집!$M$2:$T$2710,8,FALSE)</f>
        <v>0.17146254579668385</v>
      </c>
      <c r="N33" s="5">
        <f>VLOOKUP(N$1&amp;$A33,배당편집!$M$2:$T$2710,8,FALSE)</f>
        <v>1.2451968893662624E-2</v>
      </c>
      <c r="O33" s="5">
        <f>VLOOKUP(O$1&amp;$A33,배당편집!$M$2:$T$2710,8,FALSE)</f>
        <v>0.10592062075555875</v>
      </c>
      <c r="P33" s="5">
        <f>VLOOKUP(P$1&amp;$A33,배당편집!$M$2:$T$2710,8,FALSE)</f>
        <v>2.9942345640509238E-2</v>
      </c>
      <c r="Q33" s="5">
        <f>VLOOKUP(Q$1&amp;$A33,배당편집!$M$2:$T$2710,8,FALSE)</f>
        <v>6.2980048262344379E-2</v>
      </c>
      <c r="R33" s="5">
        <f>VLOOKUP(R$1&amp;$A33,배당편집!$M$2:$T$2710,8,FALSE)</f>
        <v>8.0738561153020472E-2</v>
      </c>
      <c r="S33" s="5">
        <f>VLOOKUP(S$1&amp;$A33,배당편집!$M$2:$T$2710,8,FALSE)</f>
        <v>5.1357446631818515E-2</v>
      </c>
      <c r="T33" s="5">
        <f>VLOOKUP(T$1&amp;$A33,배당편집!$M$2:$T$2710,8,FALSE)</f>
        <v>0.10469324008713388</v>
      </c>
      <c r="U33" s="5">
        <f>VLOOKUP(U$1&amp;$A33,배당편집!$M$2:$T$2710,8,FALSE)</f>
        <v>0.20364253666714349</v>
      </c>
      <c r="V33" s="5">
        <f>VLOOKUP(V$1&amp;$A33,배당편집!$M$2:$T$2710,8,FALSE)</f>
        <v>0.13214639717455645</v>
      </c>
      <c r="W33" s="5">
        <f>VLOOKUP(W$1&amp;$A33,배당편집!$M$2:$T$2710,8,FALSE)</f>
        <v>0.19049334145198071</v>
      </c>
      <c r="X33" s="5">
        <f>VLOOKUP(X$1&amp;$A33,배당편집!$M$2:$T$2710,8,FALSE)</f>
        <v>8.7689844911468251E-2</v>
      </c>
      <c r="Y33" s="5">
        <f>VLOOKUP(Y$1&amp;$A33,배당편집!$M$2:$T$2710,8,FALSE)</f>
        <v>6.9124851069322091E-2</v>
      </c>
      <c r="Z33" s="5">
        <f>VLOOKUP(Z$1&amp;$A33,배당편집!$M$2:$T$2710,8,FALSE)</f>
        <v>2.9462068239258565E-2</v>
      </c>
      <c r="AA33" s="5">
        <f>VLOOKUP(AA$1&amp;$A33,배당편집!$M$2:$T$2710,8,FALSE)</f>
        <v>5.1547496797280434E-2</v>
      </c>
      <c r="AB33" s="5">
        <f>VLOOKUP(AB$1&amp;$A33,배당편집!$M$2:$T$2710,8,FALSE)</f>
        <v>8.4471771197698553E-2</v>
      </c>
      <c r="AC33" s="5">
        <f>VLOOKUP(AC$1&amp;$A33,배당편집!$M$2:$T$2710,8,FALSE)</f>
        <v>4.8742395143417827E-2</v>
      </c>
      <c r="AD33" s="5">
        <f>VLOOKUP(AD$1&amp;$A33,배당편집!$M$2:$T$2710,8,FALSE)</f>
        <v>0.13179836563100178</v>
      </c>
      <c r="AE33" s="5">
        <f>VLOOKUP(AE$1&amp;$A33,배당편집!$M$2:$T$2710,8,FALSE)</f>
        <v>1.9244876491456564E-2</v>
      </c>
      <c r="AF33" s="5">
        <f>VLOOKUP(AF$1&amp;$A33,배당편집!$M$2:$T$2710,8,FALSE)</f>
        <v>4.1423126681443989E-2</v>
      </c>
    </row>
    <row r="34" spans="1:32" ht="16.5" customHeight="1">
      <c r="A34" s="3">
        <v>2020</v>
      </c>
      <c r="B34" s="3">
        <v>9</v>
      </c>
      <c r="C34" s="5">
        <f>VLOOKUP(C$1&amp;$A34,배당편집!$M$2:$T$2710,8,FALSE)</f>
        <v>6.2731281549329498E-2</v>
      </c>
      <c r="D34" s="5">
        <f>VLOOKUP(D$1&amp;$A34,배당편집!$M$2:$T$2710,8,FALSE)</f>
        <v>5.2300215891077695E-2</v>
      </c>
      <c r="E34" s="5">
        <f>VLOOKUP(E$1&amp;$A34,배당편집!$M$2:$T$2710,8,FALSE)</f>
        <v>0.12474611314209483</v>
      </c>
      <c r="F34" s="5">
        <f>VLOOKUP(F$1&amp;$A34,배당편집!$M$2:$T$2710,8,FALSE)</f>
        <v>5.8203392293338263E-2</v>
      </c>
      <c r="G34" s="5">
        <f>VLOOKUP(G$1&amp;$A34,배당편집!$M$2:$T$2710,8,FALSE)</f>
        <v>4.7451763732829999E-2</v>
      </c>
      <c r="H34" s="5">
        <f>VLOOKUP(H$1&amp;$A34,배당편집!$M$2:$T$2710,8,FALSE)</f>
        <v>3.8104769834314878E-2</v>
      </c>
      <c r="I34" s="5">
        <f>VLOOKUP(I$1&amp;$A34,배당편집!$M$2:$T$2710,8,FALSE)</f>
        <v>5.7255009883433017E-2</v>
      </c>
      <c r="J34" s="5">
        <f>VLOOKUP(J$1&amp;$A34,배당편집!$M$2:$T$2710,8,FALSE)</f>
        <v>2.4721162872832769E-2</v>
      </c>
      <c r="K34" s="5">
        <f>VLOOKUP(K$1&amp;$A34,배당편집!$M$2:$T$2710,8,FALSE)</f>
        <v>8.0308608831843431E-2</v>
      </c>
      <c r="L34" s="5">
        <f>VLOOKUP(L$1&amp;$A34,배당편집!$M$2:$T$2710,8,FALSE)</f>
        <v>4.8837286784054301E-2</v>
      </c>
      <c r="M34" s="5">
        <f>VLOOKUP(M$1&amp;$A34,배당편집!$M$2:$T$2710,8,FALSE)</f>
        <v>0.17146254579668385</v>
      </c>
      <c r="N34" s="5">
        <f>VLOOKUP(N$1&amp;$A34,배당편집!$M$2:$T$2710,8,FALSE)</f>
        <v>1.2451968893662624E-2</v>
      </c>
      <c r="O34" s="5">
        <f>VLOOKUP(O$1&amp;$A34,배당편집!$M$2:$T$2710,8,FALSE)</f>
        <v>0.10592062075555875</v>
      </c>
      <c r="P34" s="5">
        <f>VLOOKUP(P$1&amp;$A34,배당편집!$M$2:$T$2710,8,FALSE)</f>
        <v>2.9942345640509238E-2</v>
      </c>
      <c r="Q34" s="5">
        <f>VLOOKUP(Q$1&amp;$A34,배당편집!$M$2:$T$2710,8,FALSE)</f>
        <v>6.2980048262344379E-2</v>
      </c>
      <c r="R34" s="5">
        <f>VLOOKUP(R$1&amp;$A34,배당편집!$M$2:$T$2710,8,FALSE)</f>
        <v>8.0738561153020472E-2</v>
      </c>
      <c r="S34" s="5">
        <f>VLOOKUP(S$1&amp;$A34,배당편집!$M$2:$T$2710,8,FALSE)</f>
        <v>5.1357446631818515E-2</v>
      </c>
      <c r="T34" s="5">
        <f>VLOOKUP(T$1&amp;$A34,배당편집!$M$2:$T$2710,8,FALSE)</f>
        <v>0.10469324008713388</v>
      </c>
      <c r="U34" s="5">
        <f>VLOOKUP(U$1&amp;$A34,배당편집!$M$2:$T$2710,8,FALSE)</f>
        <v>0.20364253666714349</v>
      </c>
      <c r="V34" s="5">
        <f>VLOOKUP(V$1&amp;$A34,배당편집!$M$2:$T$2710,8,FALSE)</f>
        <v>0.13214639717455645</v>
      </c>
      <c r="W34" s="5">
        <f>VLOOKUP(W$1&amp;$A34,배당편집!$M$2:$T$2710,8,FALSE)</f>
        <v>0.19049334145198071</v>
      </c>
      <c r="X34" s="5">
        <f>VLOOKUP(X$1&amp;$A34,배당편집!$M$2:$T$2710,8,FALSE)</f>
        <v>8.7689844911468251E-2</v>
      </c>
      <c r="Y34" s="5">
        <f>VLOOKUP(Y$1&amp;$A34,배당편집!$M$2:$T$2710,8,FALSE)</f>
        <v>6.9124851069322091E-2</v>
      </c>
      <c r="Z34" s="5">
        <f>VLOOKUP(Z$1&amp;$A34,배당편집!$M$2:$T$2710,8,FALSE)</f>
        <v>2.9462068239258565E-2</v>
      </c>
      <c r="AA34" s="5">
        <f>VLOOKUP(AA$1&amp;$A34,배당편집!$M$2:$T$2710,8,FALSE)</f>
        <v>5.1547496797280434E-2</v>
      </c>
      <c r="AB34" s="5">
        <f>VLOOKUP(AB$1&amp;$A34,배당편집!$M$2:$T$2710,8,FALSE)</f>
        <v>8.4471771197698553E-2</v>
      </c>
      <c r="AC34" s="5">
        <f>VLOOKUP(AC$1&amp;$A34,배당편집!$M$2:$T$2710,8,FALSE)</f>
        <v>4.8742395143417827E-2</v>
      </c>
      <c r="AD34" s="5">
        <f>VLOOKUP(AD$1&amp;$A34,배당편집!$M$2:$T$2710,8,FALSE)</f>
        <v>0.13179836563100178</v>
      </c>
      <c r="AE34" s="5">
        <f>VLOOKUP(AE$1&amp;$A34,배당편집!$M$2:$T$2710,8,FALSE)</f>
        <v>1.9244876491456564E-2</v>
      </c>
      <c r="AF34" s="5">
        <f>VLOOKUP(AF$1&amp;$A34,배당편집!$M$2:$T$2710,8,FALSE)</f>
        <v>4.1423126681443989E-2</v>
      </c>
    </row>
    <row r="35" spans="1:32" ht="16.5" customHeight="1">
      <c r="A35" s="3">
        <v>2020</v>
      </c>
      <c r="B35" s="3">
        <v>10</v>
      </c>
      <c r="C35" s="5">
        <f>VLOOKUP(C$1&amp;$A35,배당편집!$M$2:$T$2710,8,FALSE)</f>
        <v>6.2731281549329498E-2</v>
      </c>
      <c r="D35" s="5">
        <f>VLOOKUP(D$1&amp;$A35,배당편집!$M$2:$T$2710,8,FALSE)</f>
        <v>5.2300215891077695E-2</v>
      </c>
      <c r="E35" s="5">
        <f>VLOOKUP(E$1&amp;$A35,배당편집!$M$2:$T$2710,8,FALSE)</f>
        <v>0.12474611314209483</v>
      </c>
      <c r="F35" s="5">
        <f>VLOOKUP(F$1&amp;$A35,배당편집!$M$2:$T$2710,8,FALSE)</f>
        <v>5.8203392293338263E-2</v>
      </c>
      <c r="G35" s="5">
        <f>VLOOKUP(G$1&amp;$A35,배당편집!$M$2:$T$2710,8,FALSE)</f>
        <v>4.7451763732829999E-2</v>
      </c>
      <c r="H35" s="5">
        <f>VLOOKUP(H$1&amp;$A35,배당편집!$M$2:$T$2710,8,FALSE)</f>
        <v>3.8104769834314878E-2</v>
      </c>
      <c r="I35" s="5">
        <f>VLOOKUP(I$1&amp;$A35,배당편집!$M$2:$T$2710,8,FALSE)</f>
        <v>5.7255009883433017E-2</v>
      </c>
      <c r="J35" s="5">
        <f>VLOOKUP(J$1&amp;$A35,배당편집!$M$2:$T$2710,8,FALSE)</f>
        <v>2.4721162872832769E-2</v>
      </c>
      <c r="K35" s="5">
        <f>VLOOKUP(K$1&amp;$A35,배당편집!$M$2:$T$2710,8,FALSE)</f>
        <v>8.0308608831843431E-2</v>
      </c>
      <c r="L35" s="5">
        <f>VLOOKUP(L$1&amp;$A35,배당편집!$M$2:$T$2710,8,FALSE)</f>
        <v>4.8837286784054301E-2</v>
      </c>
      <c r="M35" s="5">
        <f>VLOOKUP(M$1&amp;$A35,배당편집!$M$2:$T$2710,8,FALSE)</f>
        <v>0.17146254579668385</v>
      </c>
      <c r="N35" s="5">
        <f>VLOOKUP(N$1&amp;$A35,배당편집!$M$2:$T$2710,8,FALSE)</f>
        <v>1.2451968893662624E-2</v>
      </c>
      <c r="O35" s="5">
        <f>VLOOKUP(O$1&amp;$A35,배당편집!$M$2:$T$2710,8,FALSE)</f>
        <v>0.10592062075555875</v>
      </c>
      <c r="P35" s="5">
        <f>VLOOKUP(P$1&amp;$A35,배당편집!$M$2:$T$2710,8,FALSE)</f>
        <v>2.9942345640509238E-2</v>
      </c>
      <c r="Q35" s="5">
        <f>VLOOKUP(Q$1&amp;$A35,배당편집!$M$2:$T$2710,8,FALSE)</f>
        <v>6.2980048262344379E-2</v>
      </c>
      <c r="R35" s="5">
        <f>VLOOKUP(R$1&amp;$A35,배당편집!$M$2:$T$2710,8,FALSE)</f>
        <v>8.0738561153020472E-2</v>
      </c>
      <c r="S35" s="5">
        <f>VLOOKUP(S$1&amp;$A35,배당편집!$M$2:$T$2710,8,FALSE)</f>
        <v>5.1357446631818515E-2</v>
      </c>
      <c r="T35" s="5">
        <f>VLOOKUP(T$1&amp;$A35,배당편집!$M$2:$T$2710,8,FALSE)</f>
        <v>0.10469324008713388</v>
      </c>
      <c r="U35" s="5">
        <f>VLOOKUP(U$1&amp;$A35,배당편집!$M$2:$T$2710,8,FALSE)</f>
        <v>0.20364253666714349</v>
      </c>
      <c r="V35" s="5">
        <f>VLOOKUP(V$1&amp;$A35,배당편집!$M$2:$T$2710,8,FALSE)</f>
        <v>0.13214639717455645</v>
      </c>
      <c r="W35" s="5">
        <f>VLOOKUP(W$1&amp;$A35,배당편집!$M$2:$T$2710,8,FALSE)</f>
        <v>0.19049334145198071</v>
      </c>
      <c r="X35" s="5">
        <f>VLOOKUP(X$1&amp;$A35,배당편집!$M$2:$T$2710,8,FALSE)</f>
        <v>8.7689844911468251E-2</v>
      </c>
      <c r="Y35" s="5">
        <f>VLOOKUP(Y$1&amp;$A35,배당편집!$M$2:$T$2710,8,FALSE)</f>
        <v>6.9124851069322091E-2</v>
      </c>
      <c r="Z35" s="5">
        <f>VLOOKUP(Z$1&amp;$A35,배당편집!$M$2:$T$2710,8,FALSE)</f>
        <v>2.9462068239258565E-2</v>
      </c>
      <c r="AA35" s="5">
        <f>VLOOKUP(AA$1&amp;$A35,배당편집!$M$2:$T$2710,8,FALSE)</f>
        <v>5.1547496797280434E-2</v>
      </c>
      <c r="AB35" s="5">
        <f>VLOOKUP(AB$1&amp;$A35,배당편집!$M$2:$T$2710,8,FALSE)</f>
        <v>8.4471771197698553E-2</v>
      </c>
      <c r="AC35" s="5">
        <f>VLOOKUP(AC$1&amp;$A35,배당편집!$M$2:$T$2710,8,FALSE)</f>
        <v>4.8742395143417827E-2</v>
      </c>
      <c r="AD35" s="5">
        <f>VLOOKUP(AD$1&amp;$A35,배당편집!$M$2:$T$2710,8,FALSE)</f>
        <v>0.13179836563100178</v>
      </c>
      <c r="AE35" s="5">
        <f>VLOOKUP(AE$1&amp;$A35,배당편집!$M$2:$T$2710,8,FALSE)</f>
        <v>1.9244876491456564E-2</v>
      </c>
      <c r="AF35" s="5">
        <f>VLOOKUP(AF$1&amp;$A35,배당편집!$M$2:$T$2710,8,FALSE)</f>
        <v>4.1423126681443989E-2</v>
      </c>
    </row>
    <row r="36" spans="1:32" ht="16.5" customHeight="1">
      <c r="A36" s="3">
        <v>2020</v>
      </c>
      <c r="B36" s="3">
        <v>11</v>
      </c>
      <c r="C36" s="5">
        <f>VLOOKUP(C$1&amp;$A36,배당편집!$M$2:$T$2710,8,FALSE)</f>
        <v>6.2731281549329498E-2</v>
      </c>
      <c r="D36" s="5">
        <f>VLOOKUP(D$1&amp;$A36,배당편집!$M$2:$T$2710,8,FALSE)</f>
        <v>5.2300215891077695E-2</v>
      </c>
      <c r="E36" s="5">
        <f>VLOOKUP(E$1&amp;$A36,배당편집!$M$2:$T$2710,8,FALSE)</f>
        <v>0.12474611314209483</v>
      </c>
      <c r="F36" s="5">
        <f>VLOOKUP(F$1&amp;$A36,배당편집!$M$2:$T$2710,8,FALSE)</f>
        <v>5.8203392293338263E-2</v>
      </c>
      <c r="G36" s="5">
        <f>VLOOKUP(G$1&amp;$A36,배당편집!$M$2:$T$2710,8,FALSE)</f>
        <v>4.7451763732829999E-2</v>
      </c>
      <c r="H36" s="5">
        <f>VLOOKUP(H$1&amp;$A36,배당편집!$M$2:$T$2710,8,FALSE)</f>
        <v>3.8104769834314878E-2</v>
      </c>
      <c r="I36" s="5">
        <f>VLOOKUP(I$1&amp;$A36,배당편집!$M$2:$T$2710,8,FALSE)</f>
        <v>5.7255009883433017E-2</v>
      </c>
      <c r="J36" s="5">
        <f>VLOOKUP(J$1&amp;$A36,배당편집!$M$2:$T$2710,8,FALSE)</f>
        <v>2.4721162872832769E-2</v>
      </c>
      <c r="K36" s="5">
        <f>VLOOKUP(K$1&amp;$A36,배당편집!$M$2:$T$2710,8,FALSE)</f>
        <v>8.0308608831843431E-2</v>
      </c>
      <c r="L36" s="5">
        <f>VLOOKUP(L$1&amp;$A36,배당편집!$M$2:$T$2710,8,FALSE)</f>
        <v>4.8837286784054301E-2</v>
      </c>
      <c r="M36" s="5">
        <f>VLOOKUP(M$1&amp;$A36,배당편집!$M$2:$T$2710,8,FALSE)</f>
        <v>0.17146254579668385</v>
      </c>
      <c r="N36" s="5">
        <f>VLOOKUP(N$1&amp;$A36,배당편집!$M$2:$T$2710,8,FALSE)</f>
        <v>1.2451968893662624E-2</v>
      </c>
      <c r="O36" s="5">
        <f>VLOOKUP(O$1&amp;$A36,배당편집!$M$2:$T$2710,8,FALSE)</f>
        <v>0.10592062075555875</v>
      </c>
      <c r="P36" s="5">
        <f>VLOOKUP(P$1&amp;$A36,배당편집!$M$2:$T$2710,8,FALSE)</f>
        <v>2.9942345640509238E-2</v>
      </c>
      <c r="Q36" s="5">
        <f>VLOOKUP(Q$1&amp;$A36,배당편집!$M$2:$T$2710,8,FALSE)</f>
        <v>6.2980048262344379E-2</v>
      </c>
      <c r="R36" s="5">
        <f>VLOOKUP(R$1&amp;$A36,배당편집!$M$2:$T$2710,8,FALSE)</f>
        <v>8.0738561153020472E-2</v>
      </c>
      <c r="S36" s="5">
        <f>VLOOKUP(S$1&amp;$A36,배당편집!$M$2:$T$2710,8,FALSE)</f>
        <v>5.1357446631818515E-2</v>
      </c>
      <c r="T36" s="5">
        <f>VLOOKUP(T$1&amp;$A36,배당편집!$M$2:$T$2710,8,FALSE)</f>
        <v>0.10469324008713388</v>
      </c>
      <c r="U36" s="5">
        <f>VLOOKUP(U$1&amp;$A36,배당편집!$M$2:$T$2710,8,FALSE)</f>
        <v>0.20364253666714349</v>
      </c>
      <c r="V36" s="5">
        <f>VLOOKUP(V$1&amp;$A36,배당편집!$M$2:$T$2710,8,FALSE)</f>
        <v>0.13214639717455645</v>
      </c>
      <c r="W36" s="5">
        <f>VLOOKUP(W$1&amp;$A36,배당편집!$M$2:$T$2710,8,FALSE)</f>
        <v>0.19049334145198071</v>
      </c>
      <c r="X36" s="5">
        <f>VLOOKUP(X$1&amp;$A36,배당편집!$M$2:$T$2710,8,FALSE)</f>
        <v>8.7689844911468251E-2</v>
      </c>
      <c r="Y36" s="5">
        <f>VLOOKUP(Y$1&amp;$A36,배당편집!$M$2:$T$2710,8,FALSE)</f>
        <v>6.9124851069322091E-2</v>
      </c>
      <c r="Z36" s="5">
        <f>VLOOKUP(Z$1&amp;$A36,배당편집!$M$2:$T$2710,8,FALSE)</f>
        <v>2.9462068239258565E-2</v>
      </c>
      <c r="AA36" s="5">
        <f>VLOOKUP(AA$1&amp;$A36,배당편집!$M$2:$T$2710,8,FALSE)</f>
        <v>5.1547496797280434E-2</v>
      </c>
      <c r="AB36" s="5">
        <f>VLOOKUP(AB$1&amp;$A36,배당편집!$M$2:$T$2710,8,FALSE)</f>
        <v>8.4471771197698553E-2</v>
      </c>
      <c r="AC36" s="5">
        <f>VLOOKUP(AC$1&amp;$A36,배당편집!$M$2:$T$2710,8,FALSE)</f>
        <v>4.8742395143417827E-2</v>
      </c>
      <c r="AD36" s="5">
        <f>VLOOKUP(AD$1&amp;$A36,배당편집!$M$2:$T$2710,8,FALSE)</f>
        <v>0.13179836563100178</v>
      </c>
      <c r="AE36" s="5">
        <f>VLOOKUP(AE$1&amp;$A36,배당편집!$M$2:$T$2710,8,FALSE)</f>
        <v>1.9244876491456564E-2</v>
      </c>
      <c r="AF36" s="5">
        <f>VLOOKUP(AF$1&amp;$A36,배당편집!$M$2:$T$2710,8,FALSE)</f>
        <v>4.1423126681443989E-2</v>
      </c>
    </row>
    <row r="37" spans="1:32" ht="16.5" customHeight="1">
      <c r="A37" s="3">
        <v>2020</v>
      </c>
      <c r="B37" s="3">
        <v>12</v>
      </c>
      <c r="C37" s="5">
        <f>VLOOKUP(C$1&amp;$A37,배당편집!$M$2:$T$2710,8,FALSE)</f>
        <v>6.2731281549329498E-2</v>
      </c>
      <c r="D37" s="5">
        <f>VLOOKUP(D$1&amp;$A37,배당편집!$M$2:$T$2710,8,FALSE)</f>
        <v>5.2300215891077695E-2</v>
      </c>
      <c r="E37" s="5">
        <f>VLOOKUP(E$1&amp;$A37,배당편집!$M$2:$T$2710,8,FALSE)</f>
        <v>0.12474611314209483</v>
      </c>
      <c r="F37" s="5">
        <f>VLOOKUP(F$1&amp;$A37,배당편집!$M$2:$T$2710,8,FALSE)</f>
        <v>5.8203392293338263E-2</v>
      </c>
      <c r="G37" s="5">
        <f>VLOOKUP(G$1&amp;$A37,배당편집!$M$2:$T$2710,8,FALSE)</f>
        <v>4.7451763732829999E-2</v>
      </c>
      <c r="H37" s="5">
        <f>VLOOKUP(H$1&amp;$A37,배당편집!$M$2:$T$2710,8,FALSE)</f>
        <v>3.8104769834314878E-2</v>
      </c>
      <c r="I37" s="5">
        <f>VLOOKUP(I$1&amp;$A37,배당편집!$M$2:$T$2710,8,FALSE)</f>
        <v>5.7255009883433017E-2</v>
      </c>
      <c r="J37" s="5">
        <f>VLOOKUP(J$1&amp;$A37,배당편집!$M$2:$T$2710,8,FALSE)</f>
        <v>2.4721162872832769E-2</v>
      </c>
      <c r="K37" s="5">
        <f>VLOOKUP(K$1&amp;$A37,배당편집!$M$2:$T$2710,8,FALSE)</f>
        <v>8.0308608831843431E-2</v>
      </c>
      <c r="L37" s="5">
        <f>VLOOKUP(L$1&amp;$A37,배당편집!$M$2:$T$2710,8,FALSE)</f>
        <v>4.8837286784054301E-2</v>
      </c>
      <c r="M37" s="5">
        <f>VLOOKUP(M$1&amp;$A37,배당편집!$M$2:$T$2710,8,FALSE)</f>
        <v>0.17146254579668385</v>
      </c>
      <c r="N37" s="5">
        <f>VLOOKUP(N$1&amp;$A37,배당편집!$M$2:$T$2710,8,FALSE)</f>
        <v>1.2451968893662624E-2</v>
      </c>
      <c r="O37" s="5">
        <f>VLOOKUP(O$1&amp;$A37,배당편집!$M$2:$T$2710,8,FALSE)</f>
        <v>0.10592062075555875</v>
      </c>
      <c r="P37" s="5">
        <f>VLOOKUP(P$1&amp;$A37,배당편집!$M$2:$T$2710,8,FALSE)</f>
        <v>2.9942345640509238E-2</v>
      </c>
      <c r="Q37" s="5">
        <f>VLOOKUP(Q$1&amp;$A37,배당편집!$M$2:$T$2710,8,FALSE)</f>
        <v>6.2980048262344379E-2</v>
      </c>
      <c r="R37" s="5">
        <f>VLOOKUP(R$1&amp;$A37,배당편집!$M$2:$T$2710,8,FALSE)</f>
        <v>8.0738561153020472E-2</v>
      </c>
      <c r="S37" s="5">
        <f>VLOOKUP(S$1&amp;$A37,배당편집!$M$2:$T$2710,8,FALSE)</f>
        <v>5.1357446631818515E-2</v>
      </c>
      <c r="T37" s="5">
        <f>VLOOKUP(T$1&amp;$A37,배당편집!$M$2:$T$2710,8,FALSE)</f>
        <v>0.10469324008713388</v>
      </c>
      <c r="U37" s="5">
        <f>VLOOKUP(U$1&amp;$A37,배당편집!$M$2:$T$2710,8,FALSE)</f>
        <v>0.20364253666714349</v>
      </c>
      <c r="V37" s="5">
        <f>VLOOKUP(V$1&amp;$A37,배당편집!$M$2:$T$2710,8,FALSE)</f>
        <v>0.13214639717455645</v>
      </c>
      <c r="W37" s="5">
        <f>VLOOKUP(W$1&amp;$A37,배당편집!$M$2:$T$2710,8,FALSE)</f>
        <v>0.19049334145198071</v>
      </c>
      <c r="X37" s="5">
        <f>VLOOKUP(X$1&amp;$A37,배당편집!$M$2:$T$2710,8,FALSE)</f>
        <v>8.7689844911468251E-2</v>
      </c>
      <c r="Y37" s="5">
        <f>VLOOKUP(Y$1&amp;$A37,배당편집!$M$2:$T$2710,8,FALSE)</f>
        <v>6.9124851069322091E-2</v>
      </c>
      <c r="Z37" s="5">
        <f>VLOOKUP(Z$1&amp;$A37,배당편집!$M$2:$T$2710,8,FALSE)</f>
        <v>2.9462068239258565E-2</v>
      </c>
      <c r="AA37" s="5">
        <f>VLOOKUP(AA$1&amp;$A37,배당편집!$M$2:$T$2710,8,FALSE)</f>
        <v>5.1547496797280434E-2</v>
      </c>
      <c r="AB37" s="5">
        <f>VLOOKUP(AB$1&amp;$A37,배당편집!$M$2:$T$2710,8,FALSE)</f>
        <v>8.4471771197698553E-2</v>
      </c>
      <c r="AC37" s="5">
        <f>VLOOKUP(AC$1&amp;$A37,배당편집!$M$2:$T$2710,8,FALSE)</f>
        <v>4.8742395143417827E-2</v>
      </c>
      <c r="AD37" s="5">
        <f>VLOOKUP(AD$1&amp;$A37,배당편집!$M$2:$T$2710,8,FALSE)</f>
        <v>0.13179836563100178</v>
      </c>
      <c r="AE37" s="5">
        <f>VLOOKUP(AE$1&amp;$A37,배당편집!$M$2:$T$2710,8,FALSE)</f>
        <v>1.9244876491456564E-2</v>
      </c>
      <c r="AF37" s="5">
        <f>VLOOKUP(AF$1&amp;$A37,배당편집!$M$2:$T$2710,8,FALSE)</f>
        <v>4.1423126681443989E-2</v>
      </c>
    </row>
    <row r="38" spans="1:32" ht="16.5" customHeight="1">
      <c r="A38" s="3">
        <v>2019</v>
      </c>
      <c r="B38" s="3">
        <v>1</v>
      </c>
      <c r="C38" s="5">
        <f>VLOOKUP(C$1&amp;$A38,배당편집!$M$2:$T$2710,8,FALSE)</f>
        <v>6.9124851069322091E-2</v>
      </c>
      <c r="D38" s="5">
        <f>VLOOKUP(D$1&amp;$A38,배당편집!$M$2:$T$2710,8,FALSE)</f>
        <v>4.8413171284721557E-2</v>
      </c>
      <c r="E38" s="5">
        <f>VLOOKUP(E$1&amp;$A38,배당편집!$M$2:$T$2710,8,FALSE)</f>
        <v>0.16723531932969316</v>
      </c>
      <c r="F38" s="5">
        <f>VLOOKUP(F$1&amp;$A38,배당편집!$M$2:$T$2710,8,FALSE)</f>
        <v>5.7096868374616028E-2</v>
      </c>
      <c r="G38" s="5">
        <f>VLOOKUP(G$1&amp;$A38,배당편집!$M$2:$T$2710,8,FALSE)</f>
        <v>5.4131182737306105E-2</v>
      </c>
      <c r="H38" s="5">
        <f>VLOOKUP(H$1&amp;$A38,배당편집!$M$2:$T$2710,8,FALSE)</f>
        <v>3.5402936335428681E-2</v>
      </c>
      <c r="I38" s="5">
        <f>VLOOKUP(I$1&amp;$A38,배당편집!$M$2:$T$2710,8,FALSE)</f>
        <v>5.3041178242185127E-2</v>
      </c>
      <c r="J38" s="5">
        <f>VLOOKUP(J$1&amp;$A38,배당편집!$M$2:$T$2710,8,FALSE)</f>
        <v>2.5348575657732741E-2</v>
      </c>
      <c r="K38" s="5">
        <f>VLOOKUP(K$1&amp;$A38,배당편집!$M$2:$T$2710,8,FALSE)</f>
        <v>7.4655931692266808E-2</v>
      </c>
      <c r="L38" s="5">
        <f>VLOOKUP(L$1&amp;$A38,배당편집!$M$2:$T$2710,8,FALSE)</f>
        <v>8.2785181739996272E-2</v>
      </c>
      <c r="M38" s="5">
        <f>VLOOKUP(M$1&amp;$A38,배당편집!$M$2:$T$2710,8,FALSE)</f>
        <v>0.18946082182210611</v>
      </c>
      <c r="N38" s="5">
        <f>VLOOKUP(N$1&amp;$A38,배당편집!$M$2:$T$2710,8,FALSE)</f>
        <v>2.6468260090952711E-2</v>
      </c>
      <c r="O38" s="5">
        <f>VLOOKUP(O$1&amp;$A38,배당편집!$M$2:$T$2710,8,FALSE)</f>
        <v>8.5409086142167245E-2</v>
      </c>
      <c r="P38" s="5">
        <f>VLOOKUP(P$1&amp;$A38,배당편집!$M$2:$T$2710,8,FALSE)</f>
        <v>3.5811980396829091E-2</v>
      </c>
      <c r="Q38" s="5">
        <f>VLOOKUP(Q$1&amp;$A38,배당편집!$M$2:$T$2710,8,FALSE)</f>
        <v>6.3995312815083638E-2</v>
      </c>
      <c r="R38" s="5">
        <f>VLOOKUP(R$1&amp;$A38,배당편집!$M$2:$T$2710,8,FALSE)</f>
        <v>7.2485713934655305E-2</v>
      </c>
      <c r="S38" s="5">
        <f>VLOOKUP(S$1&amp;$A38,배당편집!$M$2:$T$2710,8,FALSE)</f>
        <v>5.8069999702146546E-2</v>
      </c>
      <c r="T38" s="5">
        <f>VLOOKUP(T$1&amp;$A38,배당편집!$M$2:$T$2710,8,FALSE)</f>
        <v>0.10677409183408271</v>
      </c>
      <c r="U38" s="5">
        <f>VLOOKUP(U$1&amp;$A38,배당편집!$M$2:$T$2710,8,FALSE)</f>
        <v>0.2401444770294936</v>
      </c>
      <c r="V38" s="5">
        <f>VLOOKUP(V$1&amp;$A38,배당편집!$M$2:$T$2710,8,FALSE)</f>
        <v>0.15996225865400127</v>
      </c>
      <c r="W38" s="5">
        <f>VLOOKUP(W$1&amp;$A38,배당편집!$M$2:$T$2710,8,FALSE)</f>
        <v>0.21672868378641152</v>
      </c>
      <c r="X38" s="5">
        <f>VLOOKUP(X$1&amp;$A38,배당편집!$M$2:$T$2710,8,FALSE)</f>
        <v>9.4934851836638412E-2</v>
      </c>
      <c r="Y38" s="5">
        <f>VLOOKUP(Y$1&amp;$A38,배당편집!$M$2:$T$2710,8,FALSE)</f>
        <v>9.6262279352954172E-2</v>
      </c>
      <c r="Z38" s="5">
        <f>VLOOKUP(Z$1&amp;$A38,배당편집!$M$2:$T$2710,8,FALSE)</f>
        <v>3.0358033101851145E-2</v>
      </c>
      <c r="AA38" s="5">
        <f>VLOOKUP(AA$1&amp;$A38,배당편집!$M$2:$T$2710,8,FALSE)</f>
        <v>7.8378847447948985E-2</v>
      </c>
      <c r="AB38" s="5">
        <f>VLOOKUP(AB$1&amp;$A38,배당편집!$M$2:$T$2710,8,FALSE)</f>
        <v>7.7818067712725814E-2</v>
      </c>
      <c r="AC38" s="5">
        <f>VLOOKUP(AC$1&amp;$A38,배당편집!$M$2:$T$2710,8,FALSE)</f>
        <v>3.9783082120392388E-2</v>
      </c>
      <c r="AD38" s="5">
        <f>VLOOKUP(AD$1&amp;$A38,배당편집!$M$2:$T$2710,8,FALSE)</f>
        <v>0.10478347805926491</v>
      </c>
      <c r="AE38" s="5">
        <f>VLOOKUP(AE$1&amp;$A38,배당편집!$M$2:$T$2710,8,FALSE)</f>
        <v>4.0950396969256841E-2</v>
      </c>
      <c r="AF38" s="5">
        <f>VLOOKUP(AF$1&amp;$A38,배당편집!$M$2:$T$2710,8,FALSE)</f>
        <v>5.0611121761506839E-2</v>
      </c>
    </row>
    <row r="39" spans="1:32" ht="16.5" customHeight="1">
      <c r="A39" s="3">
        <v>2019</v>
      </c>
      <c r="B39" s="3">
        <v>2</v>
      </c>
      <c r="C39" s="5">
        <f>VLOOKUP(C$1&amp;$A39,배당편집!$M$2:$T$2710,8,FALSE)</f>
        <v>6.9124851069322091E-2</v>
      </c>
      <c r="D39" s="5">
        <f>VLOOKUP(D$1&amp;$A39,배당편집!$M$2:$T$2710,8,FALSE)</f>
        <v>4.8413171284721557E-2</v>
      </c>
      <c r="E39" s="5">
        <f>VLOOKUP(E$1&amp;$A39,배당편집!$M$2:$T$2710,8,FALSE)</f>
        <v>0.16723531932969316</v>
      </c>
      <c r="F39" s="5">
        <f>VLOOKUP(F$1&amp;$A39,배당편집!$M$2:$T$2710,8,FALSE)</f>
        <v>5.7096868374616028E-2</v>
      </c>
      <c r="G39" s="5">
        <f>VLOOKUP(G$1&amp;$A39,배당편집!$M$2:$T$2710,8,FALSE)</f>
        <v>5.4131182737306105E-2</v>
      </c>
      <c r="H39" s="5">
        <f>VLOOKUP(H$1&amp;$A39,배당편집!$M$2:$T$2710,8,FALSE)</f>
        <v>3.5402936335428681E-2</v>
      </c>
      <c r="I39" s="5">
        <f>VLOOKUP(I$1&amp;$A39,배당편집!$M$2:$T$2710,8,FALSE)</f>
        <v>5.3041178242185127E-2</v>
      </c>
      <c r="J39" s="5">
        <f>VLOOKUP(J$1&amp;$A39,배당편집!$M$2:$T$2710,8,FALSE)</f>
        <v>2.5348575657732741E-2</v>
      </c>
      <c r="K39" s="5">
        <f>VLOOKUP(K$1&amp;$A39,배당편집!$M$2:$T$2710,8,FALSE)</f>
        <v>7.4655931692266808E-2</v>
      </c>
      <c r="L39" s="5">
        <f>VLOOKUP(L$1&amp;$A39,배당편집!$M$2:$T$2710,8,FALSE)</f>
        <v>8.2785181739996272E-2</v>
      </c>
      <c r="M39" s="5">
        <f>VLOOKUP(M$1&amp;$A39,배당편집!$M$2:$T$2710,8,FALSE)</f>
        <v>0.18946082182210611</v>
      </c>
      <c r="N39" s="5">
        <f>VLOOKUP(N$1&amp;$A39,배당편집!$M$2:$T$2710,8,FALSE)</f>
        <v>2.6468260090952711E-2</v>
      </c>
      <c r="O39" s="5">
        <f>VLOOKUP(O$1&amp;$A39,배당편집!$M$2:$T$2710,8,FALSE)</f>
        <v>8.5409086142167245E-2</v>
      </c>
      <c r="P39" s="5">
        <f>VLOOKUP(P$1&amp;$A39,배당편집!$M$2:$T$2710,8,FALSE)</f>
        <v>3.5811980396829091E-2</v>
      </c>
      <c r="Q39" s="5">
        <f>VLOOKUP(Q$1&amp;$A39,배당편집!$M$2:$T$2710,8,FALSE)</f>
        <v>6.3995312815083638E-2</v>
      </c>
      <c r="R39" s="5">
        <f>VLOOKUP(R$1&amp;$A39,배당편집!$M$2:$T$2710,8,FALSE)</f>
        <v>7.2485713934655305E-2</v>
      </c>
      <c r="S39" s="5">
        <f>VLOOKUP(S$1&amp;$A39,배당편집!$M$2:$T$2710,8,FALSE)</f>
        <v>5.8069999702146546E-2</v>
      </c>
      <c r="T39" s="5">
        <f>VLOOKUP(T$1&amp;$A39,배당편집!$M$2:$T$2710,8,FALSE)</f>
        <v>0.10677409183408271</v>
      </c>
      <c r="U39" s="5">
        <f>VLOOKUP(U$1&amp;$A39,배당편집!$M$2:$T$2710,8,FALSE)</f>
        <v>0.2401444770294936</v>
      </c>
      <c r="V39" s="5">
        <f>VLOOKUP(V$1&amp;$A39,배당편집!$M$2:$T$2710,8,FALSE)</f>
        <v>0.15996225865400127</v>
      </c>
      <c r="W39" s="5">
        <f>VLOOKUP(W$1&amp;$A39,배당편집!$M$2:$T$2710,8,FALSE)</f>
        <v>0.21672868378641152</v>
      </c>
      <c r="X39" s="5">
        <f>VLOOKUP(X$1&amp;$A39,배당편집!$M$2:$T$2710,8,FALSE)</f>
        <v>9.4934851836638412E-2</v>
      </c>
      <c r="Y39" s="5">
        <f>VLOOKUP(Y$1&amp;$A39,배당편집!$M$2:$T$2710,8,FALSE)</f>
        <v>9.6262279352954172E-2</v>
      </c>
      <c r="Z39" s="5">
        <f>VLOOKUP(Z$1&amp;$A39,배당편집!$M$2:$T$2710,8,FALSE)</f>
        <v>3.0358033101851145E-2</v>
      </c>
      <c r="AA39" s="5">
        <f>VLOOKUP(AA$1&amp;$A39,배당편집!$M$2:$T$2710,8,FALSE)</f>
        <v>7.8378847447948985E-2</v>
      </c>
      <c r="AB39" s="5">
        <f>VLOOKUP(AB$1&amp;$A39,배당편집!$M$2:$T$2710,8,FALSE)</f>
        <v>7.7818067712725814E-2</v>
      </c>
      <c r="AC39" s="5">
        <f>VLOOKUP(AC$1&amp;$A39,배당편집!$M$2:$T$2710,8,FALSE)</f>
        <v>3.9783082120392388E-2</v>
      </c>
      <c r="AD39" s="5">
        <f>VLOOKUP(AD$1&amp;$A39,배당편집!$M$2:$T$2710,8,FALSE)</f>
        <v>0.10478347805926491</v>
      </c>
      <c r="AE39" s="5">
        <f>VLOOKUP(AE$1&amp;$A39,배당편집!$M$2:$T$2710,8,FALSE)</f>
        <v>4.0950396969256841E-2</v>
      </c>
      <c r="AF39" s="5">
        <f>VLOOKUP(AF$1&amp;$A39,배당편집!$M$2:$T$2710,8,FALSE)</f>
        <v>5.0611121761506839E-2</v>
      </c>
    </row>
    <row r="40" spans="1:32" ht="16.5" customHeight="1">
      <c r="A40" s="3">
        <v>2019</v>
      </c>
      <c r="B40" s="3">
        <v>3</v>
      </c>
      <c r="C40" s="5">
        <f>VLOOKUP(C$1&amp;$A40,배당편집!$M$2:$T$2710,8,FALSE)</f>
        <v>6.9124851069322091E-2</v>
      </c>
      <c r="D40" s="5">
        <f>VLOOKUP(D$1&amp;$A40,배당편집!$M$2:$T$2710,8,FALSE)</f>
        <v>4.8413171284721557E-2</v>
      </c>
      <c r="E40" s="5">
        <f>VLOOKUP(E$1&amp;$A40,배당편집!$M$2:$T$2710,8,FALSE)</f>
        <v>0.16723531932969316</v>
      </c>
      <c r="F40" s="5">
        <f>VLOOKUP(F$1&amp;$A40,배당편집!$M$2:$T$2710,8,FALSE)</f>
        <v>5.7096868374616028E-2</v>
      </c>
      <c r="G40" s="5">
        <f>VLOOKUP(G$1&amp;$A40,배당편집!$M$2:$T$2710,8,FALSE)</f>
        <v>5.4131182737306105E-2</v>
      </c>
      <c r="H40" s="5">
        <f>VLOOKUP(H$1&amp;$A40,배당편집!$M$2:$T$2710,8,FALSE)</f>
        <v>3.5402936335428681E-2</v>
      </c>
      <c r="I40" s="5">
        <f>VLOOKUP(I$1&amp;$A40,배당편집!$M$2:$T$2710,8,FALSE)</f>
        <v>5.3041178242185127E-2</v>
      </c>
      <c r="J40" s="5">
        <f>VLOOKUP(J$1&amp;$A40,배당편집!$M$2:$T$2710,8,FALSE)</f>
        <v>2.5348575657732741E-2</v>
      </c>
      <c r="K40" s="5">
        <f>VLOOKUP(K$1&amp;$A40,배당편집!$M$2:$T$2710,8,FALSE)</f>
        <v>7.4655931692266808E-2</v>
      </c>
      <c r="L40" s="5">
        <f>VLOOKUP(L$1&amp;$A40,배당편집!$M$2:$T$2710,8,FALSE)</f>
        <v>8.2785181739996272E-2</v>
      </c>
      <c r="M40" s="5">
        <f>VLOOKUP(M$1&amp;$A40,배당편집!$M$2:$T$2710,8,FALSE)</f>
        <v>0.18946082182210611</v>
      </c>
      <c r="N40" s="5">
        <f>VLOOKUP(N$1&amp;$A40,배당편집!$M$2:$T$2710,8,FALSE)</f>
        <v>2.6468260090952711E-2</v>
      </c>
      <c r="O40" s="5">
        <f>VLOOKUP(O$1&amp;$A40,배당편집!$M$2:$T$2710,8,FALSE)</f>
        <v>8.5409086142167245E-2</v>
      </c>
      <c r="P40" s="5">
        <f>VLOOKUP(P$1&amp;$A40,배당편집!$M$2:$T$2710,8,FALSE)</f>
        <v>3.5811980396829091E-2</v>
      </c>
      <c r="Q40" s="5">
        <f>VLOOKUP(Q$1&amp;$A40,배당편집!$M$2:$T$2710,8,FALSE)</f>
        <v>6.3995312815083638E-2</v>
      </c>
      <c r="R40" s="5">
        <f>VLOOKUP(R$1&amp;$A40,배당편집!$M$2:$T$2710,8,FALSE)</f>
        <v>7.2485713934655305E-2</v>
      </c>
      <c r="S40" s="5">
        <f>VLOOKUP(S$1&amp;$A40,배당편집!$M$2:$T$2710,8,FALSE)</f>
        <v>5.8069999702146546E-2</v>
      </c>
      <c r="T40" s="5">
        <f>VLOOKUP(T$1&amp;$A40,배당편집!$M$2:$T$2710,8,FALSE)</f>
        <v>0.10677409183408271</v>
      </c>
      <c r="U40" s="5">
        <f>VLOOKUP(U$1&amp;$A40,배당편집!$M$2:$T$2710,8,FALSE)</f>
        <v>0.2401444770294936</v>
      </c>
      <c r="V40" s="5">
        <f>VLOOKUP(V$1&amp;$A40,배당편집!$M$2:$T$2710,8,FALSE)</f>
        <v>0.15996225865400127</v>
      </c>
      <c r="W40" s="5">
        <f>VLOOKUP(W$1&amp;$A40,배당편집!$M$2:$T$2710,8,FALSE)</f>
        <v>0.21672868378641152</v>
      </c>
      <c r="X40" s="5">
        <f>VLOOKUP(X$1&amp;$A40,배당편집!$M$2:$T$2710,8,FALSE)</f>
        <v>9.4934851836638412E-2</v>
      </c>
      <c r="Y40" s="5">
        <f>VLOOKUP(Y$1&amp;$A40,배당편집!$M$2:$T$2710,8,FALSE)</f>
        <v>9.6262279352954172E-2</v>
      </c>
      <c r="Z40" s="5">
        <f>VLOOKUP(Z$1&amp;$A40,배당편집!$M$2:$T$2710,8,FALSE)</f>
        <v>3.0358033101851145E-2</v>
      </c>
      <c r="AA40" s="5">
        <f>VLOOKUP(AA$1&amp;$A40,배당편집!$M$2:$T$2710,8,FALSE)</f>
        <v>7.8378847447948985E-2</v>
      </c>
      <c r="AB40" s="5">
        <f>VLOOKUP(AB$1&amp;$A40,배당편집!$M$2:$T$2710,8,FALSE)</f>
        <v>7.7818067712725814E-2</v>
      </c>
      <c r="AC40" s="5">
        <f>VLOOKUP(AC$1&amp;$A40,배당편집!$M$2:$T$2710,8,FALSE)</f>
        <v>3.9783082120392388E-2</v>
      </c>
      <c r="AD40" s="5">
        <f>VLOOKUP(AD$1&amp;$A40,배당편집!$M$2:$T$2710,8,FALSE)</f>
        <v>0.10478347805926491</v>
      </c>
      <c r="AE40" s="5">
        <f>VLOOKUP(AE$1&amp;$A40,배당편집!$M$2:$T$2710,8,FALSE)</f>
        <v>4.0950396969256841E-2</v>
      </c>
      <c r="AF40" s="5">
        <f>VLOOKUP(AF$1&amp;$A40,배당편집!$M$2:$T$2710,8,FALSE)</f>
        <v>5.0611121761506839E-2</v>
      </c>
    </row>
    <row r="41" spans="1:32" ht="16.5" customHeight="1">
      <c r="A41" s="3">
        <v>2019</v>
      </c>
      <c r="B41" s="3">
        <v>4</v>
      </c>
      <c r="C41" s="5">
        <f>VLOOKUP(C$1&amp;$A41,배당편집!$M$2:$T$2710,8,FALSE)</f>
        <v>6.9124851069322091E-2</v>
      </c>
      <c r="D41" s="5">
        <f>VLOOKUP(D$1&amp;$A41,배당편집!$M$2:$T$2710,8,FALSE)</f>
        <v>4.8413171284721557E-2</v>
      </c>
      <c r="E41" s="5">
        <f>VLOOKUP(E$1&amp;$A41,배당편집!$M$2:$T$2710,8,FALSE)</f>
        <v>0.16723531932969316</v>
      </c>
      <c r="F41" s="5">
        <f>VLOOKUP(F$1&amp;$A41,배당편집!$M$2:$T$2710,8,FALSE)</f>
        <v>5.7096868374616028E-2</v>
      </c>
      <c r="G41" s="5">
        <f>VLOOKUP(G$1&amp;$A41,배당편집!$M$2:$T$2710,8,FALSE)</f>
        <v>5.4131182737306105E-2</v>
      </c>
      <c r="H41" s="5">
        <f>VLOOKUP(H$1&amp;$A41,배당편집!$M$2:$T$2710,8,FALSE)</f>
        <v>3.5402936335428681E-2</v>
      </c>
      <c r="I41" s="5">
        <f>VLOOKUP(I$1&amp;$A41,배당편집!$M$2:$T$2710,8,FALSE)</f>
        <v>5.3041178242185127E-2</v>
      </c>
      <c r="J41" s="5">
        <f>VLOOKUP(J$1&amp;$A41,배당편집!$M$2:$T$2710,8,FALSE)</f>
        <v>2.5348575657732741E-2</v>
      </c>
      <c r="K41" s="5">
        <f>VLOOKUP(K$1&amp;$A41,배당편집!$M$2:$T$2710,8,FALSE)</f>
        <v>7.4655931692266808E-2</v>
      </c>
      <c r="L41" s="5">
        <f>VLOOKUP(L$1&amp;$A41,배당편집!$M$2:$T$2710,8,FALSE)</f>
        <v>8.2785181739996272E-2</v>
      </c>
      <c r="M41" s="5">
        <f>VLOOKUP(M$1&amp;$A41,배당편집!$M$2:$T$2710,8,FALSE)</f>
        <v>0.18946082182210611</v>
      </c>
      <c r="N41" s="5">
        <f>VLOOKUP(N$1&amp;$A41,배당편집!$M$2:$T$2710,8,FALSE)</f>
        <v>2.6468260090952711E-2</v>
      </c>
      <c r="O41" s="5">
        <f>VLOOKUP(O$1&amp;$A41,배당편집!$M$2:$T$2710,8,FALSE)</f>
        <v>8.5409086142167245E-2</v>
      </c>
      <c r="P41" s="5">
        <f>VLOOKUP(P$1&amp;$A41,배당편집!$M$2:$T$2710,8,FALSE)</f>
        <v>3.5811980396829091E-2</v>
      </c>
      <c r="Q41" s="5">
        <f>VLOOKUP(Q$1&amp;$A41,배당편집!$M$2:$T$2710,8,FALSE)</f>
        <v>6.3995312815083638E-2</v>
      </c>
      <c r="R41" s="5">
        <f>VLOOKUP(R$1&amp;$A41,배당편집!$M$2:$T$2710,8,FALSE)</f>
        <v>7.2485713934655305E-2</v>
      </c>
      <c r="S41" s="5">
        <f>VLOOKUP(S$1&amp;$A41,배당편집!$M$2:$T$2710,8,FALSE)</f>
        <v>5.8069999702146546E-2</v>
      </c>
      <c r="T41" s="5">
        <f>VLOOKUP(T$1&amp;$A41,배당편집!$M$2:$T$2710,8,FALSE)</f>
        <v>0.10677409183408271</v>
      </c>
      <c r="U41" s="5">
        <f>VLOOKUP(U$1&amp;$A41,배당편집!$M$2:$T$2710,8,FALSE)</f>
        <v>0.2401444770294936</v>
      </c>
      <c r="V41" s="5">
        <f>VLOOKUP(V$1&amp;$A41,배당편집!$M$2:$T$2710,8,FALSE)</f>
        <v>0.15996225865400127</v>
      </c>
      <c r="W41" s="5">
        <f>VLOOKUP(W$1&amp;$A41,배당편집!$M$2:$T$2710,8,FALSE)</f>
        <v>0.21672868378641152</v>
      </c>
      <c r="X41" s="5">
        <f>VLOOKUP(X$1&amp;$A41,배당편집!$M$2:$T$2710,8,FALSE)</f>
        <v>9.4934851836638412E-2</v>
      </c>
      <c r="Y41" s="5">
        <f>VLOOKUP(Y$1&amp;$A41,배당편집!$M$2:$T$2710,8,FALSE)</f>
        <v>9.6262279352954172E-2</v>
      </c>
      <c r="Z41" s="5">
        <f>VLOOKUP(Z$1&amp;$A41,배당편집!$M$2:$T$2710,8,FALSE)</f>
        <v>3.0358033101851145E-2</v>
      </c>
      <c r="AA41" s="5">
        <f>VLOOKUP(AA$1&amp;$A41,배당편집!$M$2:$T$2710,8,FALSE)</f>
        <v>7.8378847447948985E-2</v>
      </c>
      <c r="AB41" s="5">
        <f>VLOOKUP(AB$1&amp;$A41,배당편집!$M$2:$T$2710,8,FALSE)</f>
        <v>7.7818067712725814E-2</v>
      </c>
      <c r="AC41" s="5">
        <f>VLOOKUP(AC$1&amp;$A41,배당편집!$M$2:$T$2710,8,FALSE)</f>
        <v>3.9783082120392388E-2</v>
      </c>
      <c r="AD41" s="5">
        <f>VLOOKUP(AD$1&amp;$A41,배당편집!$M$2:$T$2710,8,FALSE)</f>
        <v>0.10478347805926491</v>
      </c>
      <c r="AE41" s="5">
        <f>VLOOKUP(AE$1&amp;$A41,배당편집!$M$2:$T$2710,8,FALSE)</f>
        <v>4.0950396969256841E-2</v>
      </c>
      <c r="AF41" s="5">
        <f>VLOOKUP(AF$1&amp;$A41,배당편집!$M$2:$T$2710,8,FALSE)</f>
        <v>5.0611121761506839E-2</v>
      </c>
    </row>
    <row r="42" spans="1:32" ht="16.5" customHeight="1">
      <c r="A42" s="3">
        <v>2019</v>
      </c>
      <c r="B42" s="3">
        <v>5</v>
      </c>
      <c r="C42" s="5">
        <f>VLOOKUP(C$1&amp;$A42,배당편집!$M$2:$T$2710,8,FALSE)</f>
        <v>6.9124851069322091E-2</v>
      </c>
      <c r="D42" s="5">
        <f>VLOOKUP(D$1&amp;$A42,배당편집!$M$2:$T$2710,8,FALSE)</f>
        <v>4.8413171284721557E-2</v>
      </c>
      <c r="E42" s="5">
        <f>VLOOKUP(E$1&amp;$A42,배당편집!$M$2:$T$2710,8,FALSE)</f>
        <v>0.16723531932969316</v>
      </c>
      <c r="F42" s="5">
        <f>VLOOKUP(F$1&amp;$A42,배당편집!$M$2:$T$2710,8,FALSE)</f>
        <v>5.7096868374616028E-2</v>
      </c>
      <c r="G42" s="5">
        <f>VLOOKUP(G$1&amp;$A42,배당편집!$M$2:$T$2710,8,FALSE)</f>
        <v>5.4131182737306105E-2</v>
      </c>
      <c r="H42" s="5">
        <f>VLOOKUP(H$1&amp;$A42,배당편집!$M$2:$T$2710,8,FALSE)</f>
        <v>3.5402936335428681E-2</v>
      </c>
      <c r="I42" s="5">
        <f>VLOOKUP(I$1&amp;$A42,배당편집!$M$2:$T$2710,8,FALSE)</f>
        <v>5.3041178242185127E-2</v>
      </c>
      <c r="J42" s="5">
        <f>VLOOKUP(J$1&amp;$A42,배당편집!$M$2:$T$2710,8,FALSE)</f>
        <v>2.5348575657732741E-2</v>
      </c>
      <c r="K42" s="5">
        <f>VLOOKUP(K$1&amp;$A42,배당편집!$M$2:$T$2710,8,FALSE)</f>
        <v>7.4655931692266808E-2</v>
      </c>
      <c r="L42" s="5">
        <f>VLOOKUP(L$1&amp;$A42,배당편집!$M$2:$T$2710,8,FALSE)</f>
        <v>8.2785181739996272E-2</v>
      </c>
      <c r="M42" s="5">
        <f>VLOOKUP(M$1&amp;$A42,배당편집!$M$2:$T$2710,8,FALSE)</f>
        <v>0.18946082182210611</v>
      </c>
      <c r="N42" s="5">
        <f>VLOOKUP(N$1&amp;$A42,배당편집!$M$2:$T$2710,8,FALSE)</f>
        <v>2.6468260090952711E-2</v>
      </c>
      <c r="O42" s="5">
        <f>VLOOKUP(O$1&amp;$A42,배당편집!$M$2:$T$2710,8,FALSE)</f>
        <v>8.5409086142167245E-2</v>
      </c>
      <c r="P42" s="5">
        <f>VLOOKUP(P$1&amp;$A42,배당편집!$M$2:$T$2710,8,FALSE)</f>
        <v>3.5811980396829091E-2</v>
      </c>
      <c r="Q42" s="5">
        <f>VLOOKUP(Q$1&amp;$A42,배당편집!$M$2:$T$2710,8,FALSE)</f>
        <v>6.3995312815083638E-2</v>
      </c>
      <c r="R42" s="5">
        <f>VLOOKUP(R$1&amp;$A42,배당편집!$M$2:$T$2710,8,FALSE)</f>
        <v>7.2485713934655305E-2</v>
      </c>
      <c r="S42" s="5">
        <f>VLOOKUP(S$1&amp;$A42,배당편집!$M$2:$T$2710,8,FALSE)</f>
        <v>5.8069999702146546E-2</v>
      </c>
      <c r="T42" s="5">
        <f>VLOOKUP(T$1&amp;$A42,배당편집!$M$2:$T$2710,8,FALSE)</f>
        <v>0.10677409183408271</v>
      </c>
      <c r="U42" s="5">
        <f>VLOOKUP(U$1&amp;$A42,배당편집!$M$2:$T$2710,8,FALSE)</f>
        <v>0.2401444770294936</v>
      </c>
      <c r="V42" s="5">
        <f>VLOOKUP(V$1&amp;$A42,배당편집!$M$2:$T$2710,8,FALSE)</f>
        <v>0.15996225865400127</v>
      </c>
      <c r="W42" s="5">
        <f>VLOOKUP(W$1&amp;$A42,배당편집!$M$2:$T$2710,8,FALSE)</f>
        <v>0.21672868378641152</v>
      </c>
      <c r="X42" s="5">
        <f>VLOOKUP(X$1&amp;$A42,배당편집!$M$2:$T$2710,8,FALSE)</f>
        <v>9.4934851836638412E-2</v>
      </c>
      <c r="Y42" s="5">
        <f>VLOOKUP(Y$1&amp;$A42,배당편집!$M$2:$T$2710,8,FALSE)</f>
        <v>9.6262279352954172E-2</v>
      </c>
      <c r="Z42" s="5">
        <f>VLOOKUP(Z$1&amp;$A42,배당편집!$M$2:$T$2710,8,FALSE)</f>
        <v>3.0358033101851145E-2</v>
      </c>
      <c r="AA42" s="5">
        <f>VLOOKUP(AA$1&amp;$A42,배당편집!$M$2:$T$2710,8,FALSE)</f>
        <v>7.8378847447948985E-2</v>
      </c>
      <c r="AB42" s="5">
        <f>VLOOKUP(AB$1&amp;$A42,배당편집!$M$2:$T$2710,8,FALSE)</f>
        <v>7.7818067712725814E-2</v>
      </c>
      <c r="AC42" s="5">
        <f>VLOOKUP(AC$1&amp;$A42,배당편집!$M$2:$T$2710,8,FALSE)</f>
        <v>3.9783082120392388E-2</v>
      </c>
      <c r="AD42" s="5">
        <f>VLOOKUP(AD$1&amp;$A42,배당편집!$M$2:$T$2710,8,FALSE)</f>
        <v>0.10478347805926491</v>
      </c>
      <c r="AE42" s="5">
        <f>VLOOKUP(AE$1&amp;$A42,배당편집!$M$2:$T$2710,8,FALSE)</f>
        <v>4.0950396969256841E-2</v>
      </c>
      <c r="AF42" s="5">
        <f>VLOOKUP(AF$1&amp;$A42,배당편집!$M$2:$T$2710,8,FALSE)</f>
        <v>5.0611121761506839E-2</v>
      </c>
    </row>
    <row r="43" spans="1:32" ht="16.5" customHeight="1">
      <c r="A43" s="3">
        <v>2019</v>
      </c>
      <c r="B43" s="3">
        <v>6</v>
      </c>
      <c r="C43" s="5">
        <f>VLOOKUP(C$1&amp;$A43,배당편집!$M$2:$T$2710,8,FALSE)</f>
        <v>6.9124851069322091E-2</v>
      </c>
      <c r="D43" s="5">
        <f>VLOOKUP(D$1&amp;$A43,배당편집!$M$2:$T$2710,8,FALSE)</f>
        <v>4.8413171284721557E-2</v>
      </c>
      <c r="E43" s="5">
        <f>VLOOKUP(E$1&amp;$A43,배당편집!$M$2:$T$2710,8,FALSE)</f>
        <v>0.16723531932969316</v>
      </c>
      <c r="F43" s="5">
        <f>VLOOKUP(F$1&amp;$A43,배당편집!$M$2:$T$2710,8,FALSE)</f>
        <v>5.7096868374616028E-2</v>
      </c>
      <c r="G43" s="5">
        <f>VLOOKUP(G$1&amp;$A43,배당편집!$M$2:$T$2710,8,FALSE)</f>
        <v>5.4131182737306105E-2</v>
      </c>
      <c r="H43" s="5">
        <f>VLOOKUP(H$1&amp;$A43,배당편집!$M$2:$T$2710,8,FALSE)</f>
        <v>3.5402936335428681E-2</v>
      </c>
      <c r="I43" s="5">
        <f>VLOOKUP(I$1&amp;$A43,배당편집!$M$2:$T$2710,8,FALSE)</f>
        <v>5.3041178242185127E-2</v>
      </c>
      <c r="J43" s="5">
        <f>VLOOKUP(J$1&amp;$A43,배당편집!$M$2:$T$2710,8,FALSE)</f>
        <v>2.5348575657732741E-2</v>
      </c>
      <c r="K43" s="5">
        <f>VLOOKUP(K$1&amp;$A43,배당편집!$M$2:$T$2710,8,FALSE)</f>
        <v>7.4655931692266808E-2</v>
      </c>
      <c r="L43" s="5">
        <f>VLOOKUP(L$1&amp;$A43,배당편집!$M$2:$T$2710,8,FALSE)</f>
        <v>8.2785181739996272E-2</v>
      </c>
      <c r="M43" s="5">
        <f>VLOOKUP(M$1&amp;$A43,배당편집!$M$2:$T$2710,8,FALSE)</f>
        <v>0.18946082182210611</v>
      </c>
      <c r="N43" s="5">
        <f>VLOOKUP(N$1&amp;$A43,배당편집!$M$2:$T$2710,8,FALSE)</f>
        <v>2.6468260090952711E-2</v>
      </c>
      <c r="O43" s="5">
        <f>VLOOKUP(O$1&amp;$A43,배당편집!$M$2:$T$2710,8,FALSE)</f>
        <v>8.5409086142167245E-2</v>
      </c>
      <c r="P43" s="5">
        <f>VLOOKUP(P$1&amp;$A43,배당편집!$M$2:$T$2710,8,FALSE)</f>
        <v>3.5811980396829091E-2</v>
      </c>
      <c r="Q43" s="5">
        <f>VLOOKUP(Q$1&amp;$A43,배당편집!$M$2:$T$2710,8,FALSE)</f>
        <v>6.3995312815083638E-2</v>
      </c>
      <c r="R43" s="5">
        <f>VLOOKUP(R$1&amp;$A43,배당편집!$M$2:$T$2710,8,FALSE)</f>
        <v>7.2485713934655305E-2</v>
      </c>
      <c r="S43" s="5">
        <f>VLOOKUP(S$1&amp;$A43,배당편집!$M$2:$T$2710,8,FALSE)</f>
        <v>5.8069999702146546E-2</v>
      </c>
      <c r="T43" s="5">
        <f>VLOOKUP(T$1&amp;$A43,배당편집!$M$2:$T$2710,8,FALSE)</f>
        <v>0.10677409183408271</v>
      </c>
      <c r="U43" s="5">
        <f>VLOOKUP(U$1&amp;$A43,배당편집!$M$2:$T$2710,8,FALSE)</f>
        <v>0.2401444770294936</v>
      </c>
      <c r="V43" s="5">
        <f>VLOOKUP(V$1&amp;$A43,배당편집!$M$2:$T$2710,8,FALSE)</f>
        <v>0.15996225865400127</v>
      </c>
      <c r="W43" s="5">
        <f>VLOOKUP(W$1&amp;$A43,배당편집!$M$2:$T$2710,8,FALSE)</f>
        <v>0.21672868378641152</v>
      </c>
      <c r="X43" s="5">
        <f>VLOOKUP(X$1&amp;$A43,배당편집!$M$2:$T$2710,8,FALSE)</f>
        <v>9.4934851836638412E-2</v>
      </c>
      <c r="Y43" s="5">
        <f>VLOOKUP(Y$1&amp;$A43,배당편집!$M$2:$T$2710,8,FALSE)</f>
        <v>9.6262279352954172E-2</v>
      </c>
      <c r="Z43" s="5">
        <f>VLOOKUP(Z$1&amp;$A43,배당편집!$M$2:$T$2710,8,FALSE)</f>
        <v>3.0358033101851145E-2</v>
      </c>
      <c r="AA43" s="5">
        <f>VLOOKUP(AA$1&amp;$A43,배당편집!$M$2:$T$2710,8,FALSE)</f>
        <v>7.8378847447948985E-2</v>
      </c>
      <c r="AB43" s="5">
        <f>VLOOKUP(AB$1&amp;$A43,배당편집!$M$2:$T$2710,8,FALSE)</f>
        <v>7.7818067712725814E-2</v>
      </c>
      <c r="AC43" s="5">
        <f>VLOOKUP(AC$1&amp;$A43,배당편집!$M$2:$T$2710,8,FALSE)</f>
        <v>3.9783082120392388E-2</v>
      </c>
      <c r="AD43" s="5">
        <f>VLOOKUP(AD$1&amp;$A43,배당편집!$M$2:$T$2710,8,FALSE)</f>
        <v>0.10478347805926491</v>
      </c>
      <c r="AE43" s="5">
        <f>VLOOKUP(AE$1&amp;$A43,배당편집!$M$2:$T$2710,8,FALSE)</f>
        <v>4.0950396969256841E-2</v>
      </c>
      <c r="AF43" s="5">
        <f>VLOOKUP(AF$1&amp;$A43,배당편집!$M$2:$T$2710,8,FALSE)</f>
        <v>5.0611121761506839E-2</v>
      </c>
    </row>
    <row r="44" spans="1:32" ht="16.5" customHeight="1">
      <c r="A44" s="3">
        <v>2019</v>
      </c>
      <c r="B44" s="3">
        <v>7</v>
      </c>
      <c r="C44" s="5">
        <f>VLOOKUP(C$1&amp;$A44,배당편집!$M$2:$T$2710,8,FALSE)</f>
        <v>6.9124851069322091E-2</v>
      </c>
      <c r="D44" s="5">
        <f>VLOOKUP(D$1&amp;$A44,배당편집!$M$2:$T$2710,8,FALSE)</f>
        <v>4.8413171284721557E-2</v>
      </c>
      <c r="E44" s="5">
        <f>VLOOKUP(E$1&amp;$A44,배당편집!$M$2:$T$2710,8,FALSE)</f>
        <v>0.16723531932969316</v>
      </c>
      <c r="F44" s="5">
        <f>VLOOKUP(F$1&amp;$A44,배당편집!$M$2:$T$2710,8,FALSE)</f>
        <v>5.7096868374616028E-2</v>
      </c>
      <c r="G44" s="5">
        <f>VLOOKUP(G$1&amp;$A44,배당편집!$M$2:$T$2710,8,FALSE)</f>
        <v>5.4131182737306105E-2</v>
      </c>
      <c r="H44" s="5">
        <f>VLOOKUP(H$1&amp;$A44,배당편집!$M$2:$T$2710,8,FALSE)</f>
        <v>3.5402936335428681E-2</v>
      </c>
      <c r="I44" s="5">
        <f>VLOOKUP(I$1&amp;$A44,배당편집!$M$2:$T$2710,8,FALSE)</f>
        <v>5.3041178242185127E-2</v>
      </c>
      <c r="J44" s="5">
        <f>VLOOKUP(J$1&amp;$A44,배당편집!$M$2:$T$2710,8,FALSE)</f>
        <v>2.5348575657732741E-2</v>
      </c>
      <c r="K44" s="5">
        <f>VLOOKUP(K$1&amp;$A44,배당편집!$M$2:$T$2710,8,FALSE)</f>
        <v>7.4655931692266808E-2</v>
      </c>
      <c r="L44" s="5">
        <f>VLOOKUP(L$1&amp;$A44,배당편집!$M$2:$T$2710,8,FALSE)</f>
        <v>8.2785181739996272E-2</v>
      </c>
      <c r="M44" s="5">
        <f>VLOOKUP(M$1&amp;$A44,배당편집!$M$2:$T$2710,8,FALSE)</f>
        <v>0.18946082182210611</v>
      </c>
      <c r="N44" s="5">
        <f>VLOOKUP(N$1&amp;$A44,배당편집!$M$2:$T$2710,8,FALSE)</f>
        <v>2.6468260090952711E-2</v>
      </c>
      <c r="O44" s="5">
        <f>VLOOKUP(O$1&amp;$A44,배당편집!$M$2:$T$2710,8,FALSE)</f>
        <v>8.5409086142167245E-2</v>
      </c>
      <c r="P44" s="5">
        <f>VLOOKUP(P$1&amp;$A44,배당편집!$M$2:$T$2710,8,FALSE)</f>
        <v>3.5811980396829091E-2</v>
      </c>
      <c r="Q44" s="5">
        <f>VLOOKUP(Q$1&amp;$A44,배당편집!$M$2:$T$2710,8,FALSE)</f>
        <v>6.3995312815083638E-2</v>
      </c>
      <c r="R44" s="5">
        <f>VLOOKUP(R$1&amp;$A44,배당편집!$M$2:$T$2710,8,FALSE)</f>
        <v>7.2485713934655305E-2</v>
      </c>
      <c r="S44" s="5">
        <f>VLOOKUP(S$1&amp;$A44,배당편집!$M$2:$T$2710,8,FALSE)</f>
        <v>5.8069999702146546E-2</v>
      </c>
      <c r="T44" s="5">
        <f>VLOOKUP(T$1&amp;$A44,배당편집!$M$2:$T$2710,8,FALSE)</f>
        <v>0.10677409183408271</v>
      </c>
      <c r="U44" s="5">
        <f>VLOOKUP(U$1&amp;$A44,배당편집!$M$2:$T$2710,8,FALSE)</f>
        <v>0.2401444770294936</v>
      </c>
      <c r="V44" s="5">
        <f>VLOOKUP(V$1&amp;$A44,배당편집!$M$2:$T$2710,8,FALSE)</f>
        <v>0.15996225865400127</v>
      </c>
      <c r="W44" s="5">
        <f>VLOOKUP(W$1&amp;$A44,배당편집!$M$2:$T$2710,8,FALSE)</f>
        <v>0.21672868378641152</v>
      </c>
      <c r="X44" s="5">
        <f>VLOOKUP(X$1&amp;$A44,배당편집!$M$2:$T$2710,8,FALSE)</f>
        <v>9.4934851836638412E-2</v>
      </c>
      <c r="Y44" s="5">
        <f>VLOOKUP(Y$1&amp;$A44,배당편집!$M$2:$T$2710,8,FALSE)</f>
        <v>9.6262279352954172E-2</v>
      </c>
      <c r="Z44" s="5">
        <f>VLOOKUP(Z$1&amp;$A44,배당편집!$M$2:$T$2710,8,FALSE)</f>
        <v>3.0358033101851145E-2</v>
      </c>
      <c r="AA44" s="5">
        <f>VLOOKUP(AA$1&amp;$A44,배당편집!$M$2:$T$2710,8,FALSE)</f>
        <v>7.8378847447948985E-2</v>
      </c>
      <c r="AB44" s="5">
        <f>VLOOKUP(AB$1&amp;$A44,배당편집!$M$2:$T$2710,8,FALSE)</f>
        <v>7.7818067712725814E-2</v>
      </c>
      <c r="AC44" s="5">
        <f>VLOOKUP(AC$1&amp;$A44,배당편집!$M$2:$T$2710,8,FALSE)</f>
        <v>3.9783082120392388E-2</v>
      </c>
      <c r="AD44" s="5">
        <f>VLOOKUP(AD$1&amp;$A44,배당편집!$M$2:$T$2710,8,FALSE)</f>
        <v>0.10478347805926491</v>
      </c>
      <c r="AE44" s="5">
        <f>VLOOKUP(AE$1&amp;$A44,배당편집!$M$2:$T$2710,8,FALSE)</f>
        <v>4.0950396969256841E-2</v>
      </c>
      <c r="AF44" s="5">
        <f>VLOOKUP(AF$1&amp;$A44,배당편집!$M$2:$T$2710,8,FALSE)</f>
        <v>5.0611121761506839E-2</v>
      </c>
    </row>
    <row r="45" spans="1:32" ht="16.5" customHeight="1">
      <c r="A45" s="3">
        <v>2019</v>
      </c>
      <c r="B45" s="3">
        <v>8</v>
      </c>
      <c r="C45" s="5">
        <f>VLOOKUP(C$1&amp;$A45,배당편집!$M$2:$T$2710,8,FALSE)</f>
        <v>6.9124851069322091E-2</v>
      </c>
      <c r="D45" s="5">
        <f>VLOOKUP(D$1&amp;$A45,배당편집!$M$2:$T$2710,8,FALSE)</f>
        <v>4.8413171284721557E-2</v>
      </c>
      <c r="E45" s="5">
        <f>VLOOKUP(E$1&amp;$A45,배당편집!$M$2:$T$2710,8,FALSE)</f>
        <v>0.16723531932969316</v>
      </c>
      <c r="F45" s="5">
        <f>VLOOKUP(F$1&amp;$A45,배당편집!$M$2:$T$2710,8,FALSE)</f>
        <v>5.7096868374616028E-2</v>
      </c>
      <c r="G45" s="5">
        <f>VLOOKUP(G$1&amp;$A45,배당편집!$M$2:$T$2710,8,FALSE)</f>
        <v>5.4131182737306105E-2</v>
      </c>
      <c r="H45" s="5">
        <f>VLOOKUP(H$1&amp;$A45,배당편집!$M$2:$T$2710,8,FALSE)</f>
        <v>3.5402936335428681E-2</v>
      </c>
      <c r="I45" s="5">
        <f>VLOOKUP(I$1&amp;$A45,배당편집!$M$2:$T$2710,8,FALSE)</f>
        <v>5.3041178242185127E-2</v>
      </c>
      <c r="J45" s="5">
        <f>VLOOKUP(J$1&amp;$A45,배당편집!$M$2:$T$2710,8,FALSE)</f>
        <v>2.5348575657732741E-2</v>
      </c>
      <c r="K45" s="5">
        <f>VLOOKUP(K$1&amp;$A45,배당편집!$M$2:$T$2710,8,FALSE)</f>
        <v>7.4655931692266808E-2</v>
      </c>
      <c r="L45" s="5">
        <f>VLOOKUP(L$1&amp;$A45,배당편집!$M$2:$T$2710,8,FALSE)</f>
        <v>8.2785181739996272E-2</v>
      </c>
      <c r="M45" s="5">
        <f>VLOOKUP(M$1&amp;$A45,배당편집!$M$2:$T$2710,8,FALSE)</f>
        <v>0.18946082182210611</v>
      </c>
      <c r="N45" s="5">
        <f>VLOOKUP(N$1&amp;$A45,배당편집!$M$2:$T$2710,8,FALSE)</f>
        <v>2.6468260090952711E-2</v>
      </c>
      <c r="O45" s="5">
        <f>VLOOKUP(O$1&amp;$A45,배당편집!$M$2:$T$2710,8,FALSE)</f>
        <v>8.5409086142167245E-2</v>
      </c>
      <c r="P45" s="5">
        <f>VLOOKUP(P$1&amp;$A45,배당편집!$M$2:$T$2710,8,FALSE)</f>
        <v>3.5811980396829091E-2</v>
      </c>
      <c r="Q45" s="5">
        <f>VLOOKUP(Q$1&amp;$A45,배당편집!$M$2:$T$2710,8,FALSE)</f>
        <v>6.3995312815083638E-2</v>
      </c>
      <c r="R45" s="5">
        <f>VLOOKUP(R$1&amp;$A45,배당편집!$M$2:$T$2710,8,FALSE)</f>
        <v>7.2485713934655305E-2</v>
      </c>
      <c r="S45" s="5">
        <f>VLOOKUP(S$1&amp;$A45,배당편집!$M$2:$T$2710,8,FALSE)</f>
        <v>5.8069999702146546E-2</v>
      </c>
      <c r="T45" s="5">
        <f>VLOOKUP(T$1&amp;$A45,배당편집!$M$2:$T$2710,8,FALSE)</f>
        <v>0.10677409183408271</v>
      </c>
      <c r="U45" s="5">
        <f>VLOOKUP(U$1&amp;$A45,배당편집!$M$2:$T$2710,8,FALSE)</f>
        <v>0.2401444770294936</v>
      </c>
      <c r="V45" s="5">
        <f>VLOOKUP(V$1&amp;$A45,배당편집!$M$2:$T$2710,8,FALSE)</f>
        <v>0.15996225865400127</v>
      </c>
      <c r="W45" s="5">
        <f>VLOOKUP(W$1&amp;$A45,배당편집!$M$2:$T$2710,8,FALSE)</f>
        <v>0.21672868378641152</v>
      </c>
      <c r="X45" s="5">
        <f>VLOOKUP(X$1&amp;$A45,배당편집!$M$2:$T$2710,8,FALSE)</f>
        <v>9.4934851836638412E-2</v>
      </c>
      <c r="Y45" s="5">
        <f>VLOOKUP(Y$1&amp;$A45,배당편집!$M$2:$T$2710,8,FALSE)</f>
        <v>9.6262279352954172E-2</v>
      </c>
      <c r="Z45" s="5">
        <f>VLOOKUP(Z$1&amp;$A45,배당편집!$M$2:$T$2710,8,FALSE)</f>
        <v>3.0358033101851145E-2</v>
      </c>
      <c r="AA45" s="5">
        <f>VLOOKUP(AA$1&amp;$A45,배당편집!$M$2:$T$2710,8,FALSE)</f>
        <v>7.8378847447948985E-2</v>
      </c>
      <c r="AB45" s="5">
        <f>VLOOKUP(AB$1&amp;$A45,배당편집!$M$2:$T$2710,8,FALSE)</f>
        <v>7.7818067712725814E-2</v>
      </c>
      <c r="AC45" s="5">
        <f>VLOOKUP(AC$1&amp;$A45,배당편집!$M$2:$T$2710,8,FALSE)</f>
        <v>3.9783082120392388E-2</v>
      </c>
      <c r="AD45" s="5">
        <f>VLOOKUP(AD$1&amp;$A45,배당편집!$M$2:$T$2710,8,FALSE)</f>
        <v>0.10478347805926491</v>
      </c>
      <c r="AE45" s="5">
        <f>VLOOKUP(AE$1&amp;$A45,배당편집!$M$2:$T$2710,8,FALSE)</f>
        <v>4.0950396969256841E-2</v>
      </c>
      <c r="AF45" s="5">
        <f>VLOOKUP(AF$1&amp;$A45,배당편집!$M$2:$T$2710,8,FALSE)</f>
        <v>5.0611121761506839E-2</v>
      </c>
    </row>
    <row r="46" spans="1:32" ht="16.5" customHeight="1">
      <c r="A46" s="3">
        <v>2019</v>
      </c>
      <c r="B46" s="3">
        <v>9</v>
      </c>
      <c r="C46" s="5">
        <f>VLOOKUP(C$1&amp;$A46,배당편집!$M$2:$T$2710,8,FALSE)</f>
        <v>6.9124851069322091E-2</v>
      </c>
      <c r="D46" s="5">
        <f>VLOOKUP(D$1&amp;$A46,배당편집!$M$2:$T$2710,8,FALSE)</f>
        <v>4.8413171284721557E-2</v>
      </c>
      <c r="E46" s="5">
        <f>VLOOKUP(E$1&amp;$A46,배당편집!$M$2:$T$2710,8,FALSE)</f>
        <v>0.16723531932969316</v>
      </c>
      <c r="F46" s="5">
        <f>VLOOKUP(F$1&amp;$A46,배당편집!$M$2:$T$2710,8,FALSE)</f>
        <v>5.7096868374616028E-2</v>
      </c>
      <c r="G46" s="5">
        <f>VLOOKUP(G$1&amp;$A46,배당편집!$M$2:$T$2710,8,FALSE)</f>
        <v>5.4131182737306105E-2</v>
      </c>
      <c r="H46" s="5">
        <f>VLOOKUP(H$1&amp;$A46,배당편집!$M$2:$T$2710,8,FALSE)</f>
        <v>3.5402936335428681E-2</v>
      </c>
      <c r="I46" s="5">
        <f>VLOOKUP(I$1&amp;$A46,배당편집!$M$2:$T$2710,8,FALSE)</f>
        <v>5.3041178242185127E-2</v>
      </c>
      <c r="J46" s="5">
        <f>VLOOKUP(J$1&amp;$A46,배당편집!$M$2:$T$2710,8,FALSE)</f>
        <v>2.5348575657732741E-2</v>
      </c>
      <c r="K46" s="5">
        <f>VLOOKUP(K$1&amp;$A46,배당편집!$M$2:$T$2710,8,FALSE)</f>
        <v>7.4655931692266808E-2</v>
      </c>
      <c r="L46" s="5">
        <f>VLOOKUP(L$1&amp;$A46,배당편집!$M$2:$T$2710,8,FALSE)</f>
        <v>8.2785181739996272E-2</v>
      </c>
      <c r="M46" s="5">
        <f>VLOOKUP(M$1&amp;$A46,배당편집!$M$2:$T$2710,8,FALSE)</f>
        <v>0.18946082182210611</v>
      </c>
      <c r="N46" s="5">
        <f>VLOOKUP(N$1&amp;$A46,배당편집!$M$2:$T$2710,8,FALSE)</f>
        <v>2.6468260090952711E-2</v>
      </c>
      <c r="O46" s="5">
        <f>VLOOKUP(O$1&amp;$A46,배당편집!$M$2:$T$2710,8,FALSE)</f>
        <v>8.5409086142167245E-2</v>
      </c>
      <c r="P46" s="5">
        <f>VLOOKUP(P$1&amp;$A46,배당편집!$M$2:$T$2710,8,FALSE)</f>
        <v>3.5811980396829091E-2</v>
      </c>
      <c r="Q46" s="5">
        <f>VLOOKUP(Q$1&amp;$A46,배당편집!$M$2:$T$2710,8,FALSE)</f>
        <v>6.3995312815083638E-2</v>
      </c>
      <c r="R46" s="5">
        <f>VLOOKUP(R$1&amp;$A46,배당편집!$M$2:$T$2710,8,FALSE)</f>
        <v>7.2485713934655305E-2</v>
      </c>
      <c r="S46" s="5">
        <f>VLOOKUP(S$1&amp;$A46,배당편집!$M$2:$T$2710,8,FALSE)</f>
        <v>5.8069999702146546E-2</v>
      </c>
      <c r="T46" s="5">
        <f>VLOOKUP(T$1&amp;$A46,배당편집!$M$2:$T$2710,8,FALSE)</f>
        <v>0.10677409183408271</v>
      </c>
      <c r="U46" s="5">
        <f>VLOOKUP(U$1&amp;$A46,배당편집!$M$2:$T$2710,8,FALSE)</f>
        <v>0.2401444770294936</v>
      </c>
      <c r="V46" s="5">
        <f>VLOOKUP(V$1&amp;$A46,배당편집!$M$2:$T$2710,8,FALSE)</f>
        <v>0.15996225865400127</v>
      </c>
      <c r="W46" s="5">
        <f>VLOOKUP(W$1&amp;$A46,배당편집!$M$2:$T$2710,8,FALSE)</f>
        <v>0.21672868378641152</v>
      </c>
      <c r="X46" s="5">
        <f>VLOOKUP(X$1&amp;$A46,배당편집!$M$2:$T$2710,8,FALSE)</f>
        <v>9.4934851836638412E-2</v>
      </c>
      <c r="Y46" s="5">
        <f>VLOOKUP(Y$1&amp;$A46,배당편집!$M$2:$T$2710,8,FALSE)</f>
        <v>9.6262279352954172E-2</v>
      </c>
      <c r="Z46" s="5">
        <f>VLOOKUP(Z$1&amp;$A46,배당편집!$M$2:$T$2710,8,FALSE)</f>
        <v>3.0358033101851145E-2</v>
      </c>
      <c r="AA46" s="5">
        <f>VLOOKUP(AA$1&amp;$A46,배당편집!$M$2:$T$2710,8,FALSE)</f>
        <v>7.8378847447948985E-2</v>
      </c>
      <c r="AB46" s="5">
        <f>VLOOKUP(AB$1&amp;$A46,배당편집!$M$2:$T$2710,8,FALSE)</f>
        <v>7.7818067712725814E-2</v>
      </c>
      <c r="AC46" s="5">
        <f>VLOOKUP(AC$1&amp;$A46,배당편집!$M$2:$T$2710,8,FALSE)</f>
        <v>3.9783082120392388E-2</v>
      </c>
      <c r="AD46" s="5">
        <f>VLOOKUP(AD$1&amp;$A46,배당편집!$M$2:$T$2710,8,FALSE)</f>
        <v>0.10478347805926491</v>
      </c>
      <c r="AE46" s="5">
        <f>VLOOKUP(AE$1&amp;$A46,배당편집!$M$2:$T$2710,8,FALSE)</f>
        <v>4.0950396969256841E-2</v>
      </c>
      <c r="AF46" s="5">
        <f>VLOOKUP(AF$1&amp;$A46,배당편집!$M$2:$T$2710,8,FALSE)</f>
        <v>5.0611121761506839E-2</v>
      </c>
    </row>
    <row r="47" spans="1:32" ht="16.5" customHeight="1">
      <c r="A47" s="3">
        <v>2019</v>
      </c>
      <c r="B47" s="3">
        <v>10</v>
      </c>
      <c r="C47" s="5">
        <f>VLOOKUP(C$1&amp;$A47,배당편집!$M$2:$T$2710,8,FALSE)</f>
        <v>6.9124851069322091E-2</v>
      </c>
      <c r="D47" s="5">
        <f>VLOOKUP(D$1&amp;$A47,배당편집!$M$2:$T$2710,8,FALSE)</f>
        <v>4.8413171284721557E-2</v>
      </c>
      <c r="E47" s="5">
        <f>VLOOKUP(E$1&amp;$A47,배당편집!$M$2:$T$2710,8,FALSE)</f>
        <v>0.16723531932969316</v>
      </c>
      <c r="F47" s="5">
        <f>VLOOKUP(F$1&amp;$A47,배당편집!$M$2:$T$2710,8,FALSE)</f>
        <v>5.7096868374616028E-2</v>
      </c>
      <c r="G47" s="5">
        <f>VLOOKUP(G$1&amp;$A47,배당편집!$M$2:$T$2710,8,FALSE)</f>
        <v>5.4131182737306105E-2</v>
      </c>
      <c r="H47" s="5">
        <f>VLOOKUP(H$1&amp;$A47,배당편집!$M$2:$T$2710,8,FALSE)</f>
        <v>3.5402936335428681E-2</v>
      </c>
      <c r="I47" s="5">
        <f>VLOOKUP(I$1&amp;$A47,배당편집!$M$2:$T$2710,8,FALSE)</f>
        <v>5.3041178242185127E-2</v>
      </c>
      <c r="J47" s="5">
        <f>VLOOKUP(J$1&amp;$A47,배당편집!$M$2:$T$2710,8,FALSE)</f>
        <v>2.5348575657732741E-2</v>
      </c>
      <c r="K47" s="5">
        <f>VLOOKUP(K$1&amp;$A47,배당편집!$M$2:$T$2710,8,FALSE)</f>
        <v>7.4655931692266808E-2</v>
      </c>
      <c r="L47" s="5">
        <f>VLOOKUP(L$1&amp;$A47,배당편집!$M$2:$T$2710,8,FALSE)</f>
        <v>8.2785181739996272E-2</v>
      </c>
      <c r="M47" s="5">
        <f>VLOOKUP(M$1&amp;$A47,배당편집!$M$2:$T$2710,8,FALSE)</f>
        <v>0.18946082182210611</v>
      </c>
      <c r="N47" s="5">
        <f>VLOOKUP(N$1&amp;$A47,배당편집!$M$2:$T$2710,8,FALSE)</f>
        <v>2.6468260090952711E-2</v>
      </c>
      <c r="O47" s="5">
        <f>VLOOKUP(O$1&amp;$A47,배당편집!$M$2:$T$2710,8,FALSE)</f>
        <v>8.5409086142167245E-2</v>
      </c>
      <c r="P47" s="5">
        <f>VLOOKUP(P$1&amp;$A47,배당편집!$M$2:$T$2710,8,FALSE)</f>
        <v>3.5811980396829091E-2</v>
      </c>
      <c r="Q47" s="5">
        <f>VLOOKUP(Q$1&amp;$A47,배당편집!$M$2:$T$2710,8,FALSE)</f>
        <v>6.3995312815083638E-2</v>
      </c>
      <c r="R47" s="5">
        <f>VLOOKUP(R$1&amp;$A47,배당편집!$M$2:$T$2710,8,FALSE)</f>
        <v>7.2485713934655305E-2</v>
      </c>
      <c r="S47" s="5">
        <f>VLOOKUP(S$1&amp;$A47,배당편집!$M$2:$T$2710,8,FALSE)</f>
        <v>5.8069999702146546E-2</v>
      </c>
      <c r="T47" s="5">
        <f>VLOOKUP(T$1&amp;$A47,배당편집!$M$2:$T$2710,8,FALSE)</f>
        <v>0.10677409183408271</v>
      </c>
      <c r="U47" s="5">
        <f>VLOOKUP(U$1&amp;$A47,배당편집!$M$2:$T$2710,8,FALSE)</f>
        <v>0.2401444770294936</v>
      </c>
      <c r="V47" s="5">
        <f>VLOOKUP(V$1&amp;$A47,배당편집!$M$2:$T$2710,8,FALSE)</f>
        <v>0.15996225865400127</v>
      </c>
      <c r="W47" s="5">
        <f>VLOOKUP(W$1&amp;$A47,배당편집!$M$2:$T$2710,8,FALSE)</f>
        <v>0.21672868378641152</v>
      </c>
      <c r="X47" s="5">
        <f>VLOOKUP(X$1&amp;$A47,배당편집!$M$2:$T$2710,8,FALSE)</f>
        <v>9.4934851836638412E-2</v>
      </c>
      <c r="Y47" s="5">
        <f>VLOOKUP(Y$1&amp;$A47,배당편집!$M$2:$T$2710,8,FALSE)</f>
        <v>9.6262279352954172E-2</v>
      </c>
      <c r="Z47" s="5">
        <f>VLOOKUP(Z$1&amp;$A47,배당편집!$M$2:$T$2710,8,FALSE)</f>
        <v>3.0358033101851145E-2</v>
      </c>
      <c r="AA47" s="5">
        <f>VLOOKUP(AA$1&amp;$A47,배당편집!$M$2:$T$2710,8,FALSE)</f>
        <v>7.8378847447948985E-2</v>
      </c>
      <c r="AB47" s="5">
        <f>VLOOKUP(AB$1&amp;$A47,배당편집!$M$2:$T$2710,8,FALSE)</f>
        <v>7.7818067712725814E-2</v>
      </c>
      <c r="AC47" s="5">
        <f>VLOOKUP(AC$1&amp;$A47,배당편집!$M$2:$T$2710,8,FALSE)</f>
        <v>3.9783082120392388E-2</v>
      </c>
      <c r="AD47" s="5">
        <f>VLOOKUP(AD$1&amp;$A47,배당편집!$M$2:$T$2710,8,FALSE)</f>
        <v>0.10478347805926491</v>
      </c>
      <c r="AE47" s="5">
        <f>VLOOKUP(AE$1&amp;$A47,배당편집!$M$2:$T$2710,8,FALSE)</f>
        <v>4.0950396969256841E-2</v>
      </c>
      <c r="AF47" s="5">
        <f>VLOOKUP(AF$1&amp;$A47,배당편집!$M$2:$T$2710,8,FALSE)</f>
        <v>5.0611121761506839E-2</v>
      </c>
    </row>
    <row r="48" spans="1:32" ht="16.5" customHeight="1">
      <c r="A48" s="3">
        <v>2019</v>
      </c>
      <c r="B48" s="3">
        <v>11</v>
      </c>
      <c r="C48" s="5">
        <f>VLOOKUP(C$1&amp;$A48,배당편집!$M$2:$T$2710,8,FALSE)</f>
        <v>6.9124851069322091E-2</v>
      </c>
      <c r="D48" s="5">
        <f>VLOOKUP(D$1&amp;$A48,배당편집!$M$2:$T$2710,8,FALSE)</f>
        <v>4.8413171284721557E-2</v>
      </c>
      <c r="E48" s="5">
        <f>VLOOKUP(E$1&amp;$A48,배당편집!$M$2:$T$2710,8,FALSE)</f>
        <v>0.16723531932969316</v>
      </c>
      <c r="F48" s="5">
        <f>VLOOKUP(F$1&amp;$A48,배당편집!$M$2:$T$2710,8,FALSE)</f>
        <v>5.7096868374616028E-2</v>
      </c>
      <c r="G48" s="5">
        <f>VLOOKUP(G$1&amp;$A48,배당편집!$M$2:$T$2710,8,FALSE)</f>
        <v>5.4131182737306105E-2</v>
      </c>
      <c r="H48" s="5">
        <f>VLOOKUP(H$1&amp;$A48,배당편집!$M$2:$T$2710,8,FALSE)</f>
        <v>3.5402936335428681E-2</v>
      </c>
      <c r="I48" s="5">
        <f>VLOOKUP(I$1&amp;$A48,배당편집!$M$2:$T$2710,8,FALSE)</f>
        <v>5.3041178242185127E-2</v>
      </c>
      <c r="J48" s="5">
        <f>VLOOKUP(J$1&amp;$A48,배당편집!$M$2:$T$2710,8,FALSE)</f>
        <v>2.5348575657732741E-2</v>
      </c>
      <c r="K48" s="5">
        <f>VLOOKUP(K$1&amp;$A48,배당편집!$M$2:$T$2710,8,FALSE)</f>
        <v>7.4655931692266808E-2</v>
      </c>
      <c r="L48" s="5">
        <f>VLOOKUP(L$1&amp;$A48,배당편집!$M$2:$T$2710,8,FALSE)</f>
        <v>8.2785181739996272E-2</v>
      </c>
      <c r="M48" s="5">
        <f>VLOOKUP(M$1&amp;$A48,배당편집!$M$2:$T$2710,8,FALSE)</f>
        <v>0.18946082182210611</v>
      </c>
      <c r="N48" s="5">
        <f>VLOOKUP(N$1&amp;$A48,배당편집!$M$2:$T$2710,8,FALSE)</f>
        <v>2.6468260090952711E-2</v>
      </c>
      <c r="O48" s="5">
        <f>VLOOKUP(O$1&amp;$A48,배당편집!$M$2:$T$2710,8,FALSE)</f>
        <v>8.5409086142167245E-2</v>
      </c>
      <c r="P48" s="5">
        <f>VLOOKUP(P$1&amp;$A48,배당편집!$M$2:$T$2710,8,FALSE)</f>
        <v>3.5811980396829091E-2</v>
      </c>
      <c r="Q48" s="5">
        <f>VLOOKUP(Q$1&amp;$A48,배당편집!$M$2:$T$2710,8,FALSE)</f>
        <v>6.3995312815083638E-2</v>
      </c>
      <c r="R48" s="5">
        <f>VLOOKUP(R$1&amp;$A48,배당편집!$M$2:$T$2710,8,FALSE)</f>
        <v>7.2485713934655305E-2</v>
      </c>
      <c r="S48" s="5">
        <f>VLOOKUP(S$1&amp;$A48,배당편집!$M$2:$T$2710,8,FALSE)</f>
        <v>5.8069999702146546E-2</v>
      </c>
      <c r="T48" s="5">
        <f>VLOOKUP(T$1&amp;$A48,배당편집!$M$2:$T$2710,8,FALSE)</f>
        <v>0.10677409183408271</v>
      </c>
      <c r="U48" s="5">
        <f>VLOOKUP(U$1&amp;$A48,배당편집!$M$2:$T$2710,8,FALSE)</f>
        <v>0.2401444770294936</v>
      </c>
      <c r="V48" s="5">
        <f>VLOOKUP(V$1&amp;$A48,배당편집!$M$2:$T$2710,8,FALSE)</f>
        <v>0.15996225865400127</v>
      </c>
      <c r="W48" s="5">
        <f>VLOOKUP(W$1&amp;$A48,배당편집!$M$2:$T$2710,8,FALSE)</f>
        <v>0.21672868378641152</v>
      </c>
      <c r="X48" s="5">
        <f>VLOOKUP(X$1&amp;$A48,배당편집!$M$2:$T$2710,8,FALSE)</f>
        <v>9.4934851836638412E-2</v>
      </c>
      <c r="Y48" s="5">
        <f>VLOOKUP(Y$1&amp;$A48,배당편집!$M$2:$T$2710,8,FALSE)</f>
        <v>9.6262279352954172E-2</v>
      </c>
      <c r="Z48" s="5">
        <f>VLOOKUP(Z$1&amp;$A48,배당편집!$M$2:$T$2710,8,FALSE)</f>
        <v>3.0358033101851145E-2</v>
      </c>
      <c r="AA48" s="5">
        <f>VLOOKUP(AA$1&amp;$A48,배당편집!$M$2:$T$2710,8,FALSE)</f>
        <v>7.8378847447948985E-2</v>
      </c>
      <c r="AB48" s="5">
        <f>VLOOKUP(AB$1&amp;$A48,배당편집!$M$2:$T$2710,8,FALSE)</f>
        <v>7.7818067712725814E-2</v>
      </c>
      <c r="AC48" s="5">
        <f>VLOOKUP(AC$1&amp;$A48,배당편집!$M$2:$T$2710,8,FALSE)</f>
        <v>3.9783082120392388E-2</v>
      </c>
      <c r="AD48" s="5">
        <f>VLOOKUP(AD$1&amp;$A48,배당편집!$M$2:$T$2710,8,FALSE)</f>
        <v>0.10478347805926491</v>
      </c>
      <c r="AE48" s="5">
        <f>VLOOKUP(AE$1&amp;$A48,배당편집!$M$2:$T$2710,8,FALSE)</f>
        <v>4.0950396969256841E-2</v>
      </c>
      <c r="AF48" s="5">
        <f>VLOOKUP(AF$1&amp;$A48,배당편집!$M$2:$T$2710,8,FALSE)</f>
        <v>5.0611121761506839E-2</v>
      </c>
    </row>
    <row r="49" spans="1:32" ht="16.5" customHeight="1">
      <c r="A49" s="3">
        <v>2019</v>
      </c>
      <c r="B49" s="3">
        <v>12</v>
      </c>
      <c r="C49" s="5">
        <f>VLOOKUP(C$1&amp;$A49,배당편집!$M$2:$T$2710,8,FALSE)</f>
        <v>6.9124851069322091E-2</v>
      </c>
      <c r="D49" s="5">
        <f>VLOOKUP(D$1&amp;$A49,배당편집!$M$2:$T$2710,8,FALSE)</f>
        <v>4.8413171284721557E-2</v>
      </c>
      <c r="E49" s="5">
        <f>VLOOKUP(E$1&amp;$A49,배당편집!$M$2:$T$2710,8,FALSE)</f>
        <v>0.16723531932969316</v>
      </c>
      <c r="F49" s="5">
        <f>VLOOKUP(F$1&amp;$A49,배당편집!$M$2:$T$2710,8,FALSE)</f>
        <v>5.7096868374616028E-2</v>
      </c>
      <c r="G49" s="5">
        <f>VLOOKUP(G$1&amp;$A49,배당편집!$M$2:$T$2710,8,FALSE)</f>
        <v>5.4131182737306105E-2</v>
      </c>
      <c r="H49" s="5">
        <f>VLOOKUP(H$1&amp;$A49,배당편집!$M$2:$T$2710,8,FALSE)</f>
        <v>3.5402936335428681E-2</v>
      </c>
      <c r="I49" s="5">
        <f>VLOOKUP(I$1&amp;$A49,배당편집!$M$2:$T$2710,8,FALSE)</f>
        <v>5.3041178242185127E-2</v>
      </c>
      <c r="J49" s="5">
        <f>VLOOKUP(J$1&amp;$A49,배당편집!$M$2:$T$2710,8,FALSE)</f>
        <v>2.5348575657732741E-2</v>
      </c>
      <c r="K49" s="5">
        <f>VLOOKUP(K$1&amp;$A49,배당편집!$M$2:$T$2710,8,FALSE)</f>
        <v>7.4655931692266808E-2</v>
      </c>
      <c r="L49" s="5">
        <f>VLOOKUP(L$1&amp;$A49,배당편집!$M$2:$T$2710,8,FALSE)</f>
        <v>8.2785181739996272E-2</v>
      </c>
      <c r="M49" s="5">
        <f>VLOOKUP(M$1&amp;$A49,배당편집!$M$2:$T$2710,8,FALSE)</f>
        <v>0.18946082182210611</v>
      </c>
      <c r="N49" s="5">
        <f>VLOOKUP(N$1&amp;$A49,배당편집!$M$2:$T$2710,8,FALSE)</f>
        <v>2.6468260090952711E-2</v>
      </c>
      <c r="O49" s="5">
        <f>VLOOKUP(O$1&amp;$A49,배당편집!$M$2:$T$2710,8,FALSE)</f>
        <v>8.5409086142167245E-2</v>
      </c>
      <c r="P49" s="5">
        <f>VLOOKUP(P$1&amp;$A49,배당편집!$M$2:$T$2710,8,FALSE)</f>
        <v>3.5811980396829091E-2</v>
      </c>
      <c r="Q49" s="5">
        <f>VLOOKUP(Q$1&amp;$A49,배당편집!$M$2:$T$2710,8,FALSE)</f>
        <v>6.3995312815083638E-2</v>
      </c>
      <c r="R49" s="5">
        <f>VLOOKUP(R$1&amp;$A49,배당편집!$M$2:$T$2710,8,FALSE)</f>
        <v>7.2485713934655305E-2</v>
      </c>
      <c r="S49" s="5">
        <f>VLOOKUP(S$1&amp;$A49,배당편집!$M$2:$T$2710,8,FALSE)</f>
        <v>5.8069999702146546E-2</v>
      </c>
      <c r="T49" s="5">
        <f>VLOOKUP(T$1&amp;$A49,배당편집!$M$2:$T$2710,8,FALSE)</f>
        <v>0.10677409183408271</v>
      </c>
      <c r="U49" s="5">
        <f>VLOOKUP(U$1&amp;$A49,배당편집!$M$2:$T$2710,8,FALSE)</f>
        <v>0.2401444770294936</v>
      </c>
      <c r="V49" s="5">
        <f>VLOOKUP(V$1&amp;$A49,배당편집!$M$2:$T$2710,8,FALSE)</f>
        <v>0.15996225865400127</v>
      </c>
      <c r="W49" s="5">
        <f>VLOOKUP(W$1&amp;$A49,배당편집!$M$2:$T$2710,8,FALSE)</f>
        <v>0.21672868378641152</v>
      </c>
      <c r="X49" s="5">
        <f>VLOOKUP(X$1&amp;$A49,배당편집!$M$2:$T$2710,8,FALSE)</f>
        <v>9.4934851836638412E-2</v>
      </c>
      <c r="Y49" s="5">
        <f>VLOOKUP(Y$1&amp;$A49,배당편집!$M$2:$T$2710,8,FALSE)</f>
        <v>9.6262279352954172E-2</v>
      </c>
      <c r="Z49" s="5">
        <f>VLOOKUP(Z$1&amp;$A49,배당편집!$M$2:$T$2710,8,FALSE)</f>
        <v>3.0358033101851145E-2</v>
      </c>
      <c r="AA49" s="5">
        <f>VLOOKUP(AA$1&amp;$A49,배당편집!$M$2:$T$2710,8,FALSE)</f>
        <v>7.8378847447948985E-2</v>
      </c>
      <c r="AB49" s="5">
        <f>VLOOKUP(AB$1&amp;$A49,배당편집!$M$2:$T$2710,8,FALSE)</f>
        <v>7.7818067712725814E-2</v>
      </c>
      <c r="AC49" s="5">
        <f>VLOOKUP(AC$1&amp;$A49,배당편집!$M$2:$T$2710,8,FALSE)</f>
        <v>3.9783082120392388E-2</v>
      </c>
      <c r="AD49" s="5">
        <f>VLOOKUP(AD$1&amp;$A49,배당편집!$M$2:$T$2710,8,FALSE)</f>
        <v>0.10478347805926491</v>
      </c>
      <c r="AE49" s="5">
        <f>VLOOKUP(AE$1&amp;$A49,배당편집!$M$2:$T$2710,8,FALSE)</f>
        <v>4.0950396969256841E-2</v>
      </c>
      <c r="AF49" s="5">
        <f>VLOOKUP(AF$1&amp;$A49,배당편집!$M$2:$T$2710,8,FALSE)</f>
        <v>5.0611121761506839E-2</v>
      </c>
    </row>
    <row r="50" spans="1:32" ht="16.5" customHeight="1">
      <c r="A50" s="3">
        <v>2018</v>
      </c>
      <c r="B50" s="3">
        <v>1</v>
      </c>
      <c r="C50" s="5">
        <f>VLOOKUP(C$1&amp;$A50,배당편집!$M$2:$T$2710,8,FALSE)</f>
        <v>7.7818067712725814E-2</v>
      </c>
      <c r="D50" s="5">
        <f>VLOOKUP(D$1&amp;$A50,배당편집!$M$2:$T$2710,8,FALSE)</f>
        <v>4.4193295943856237E-2</v>
      </c>
      <c r="E50" s="5">
        <f>VLOOKUP(E$1&amp;$A50,배당편집!$M$2:$T$2710,8,FALSE)</f>
        <v>0.18126018804310839</v>
      </c>
      <c r="F50" s="5">
        <f>VLOOKUP(F$1&amp;$A50,배당편집!$M$2:$T$2710,8,FALSE)</f>
        <v>5.1547496797280434E-2</v>
      </c>
      <c r="G50" s="5">
        <f>VLOOKUP(G$1&amp;$A50,배당편집!$M$2:$T$2710,8,FALSE)</f>
        <v>6.1996716284169251E-2</v>
      </c>
      <c r="H50" s="5">
        <f>VLOOKUP(H$1&amp;$A50,배당편집!$M$2:$T$2710,8,FALSE)</f>
        <v>4.4708438422444985E-2</v>
      </c>
      <c r="I50" s="5">
        <f>VLOOKUP(I$1&amp;$A50,배당편집!$M$2:$T$2710,8,FALSE)</f>
        <v>4.5639552591273169E-2</v>
      </c>
      <c r="J50" s="5">
        <f>VLOOKUP(J$1&amp;$A50,배당편집!$M$2:$T$2710,8,FALSE)</f>
        <v>2.6008707269118636E-2</v>
      </c>
      <c r="K50" s="5">
        <f>VLOOKUP(K$1&amp;$A50,배당편집!$M$2:$T$2710,8,FALSE)</f>
        <v>8.4471771197698553E-2</v>
      </c>
      <c r="L50" s="5">
        <f>VLOOKUP(L$1&amp;$A50,배당편집!$M$2:$T$2710,8,FALSE)</f>
        <v>0.11485359272536089</v>
      </c>
      <c r="M50" s="5">
        <f>VLOOKUP(M$1&amp;$A50,배당편집!$M$2:$T$2710,8,FALSE)</f>
        <v>0.15468148270605053</v>
      </c>
      <c r="N50" s="5">
        <f>VLOOKUP(N$1&amp;$A50,배당편집!$M$2:$T$2710,8,FALSE)</f>
        <v>3.4169145380274157E-2</v>
      </c>
      <c r="O50" s="5">
        <f>VLOOKUP(O$1&amp;$A50,배당편집!$M$2:$T$2710,8,FALSE)</f>
        <v>9.1507859638582101E-2</v>
      </c>
      <c r="P50" s="5">
        <f>VLOOKUP(P$1&amp;$A50,배당편집!$M$2:$T$2710,8,FALSE)</f>
        <v>4.1770817051049125E-2</v>
      </c>
      <c r="Q50" s="5">
        <f>VLOOKUP(Q$1&amp;$A50,배당편집!$M$2:$T$2710,8,FALSE)</f>
        <v>6.6080231448029991E-2</v>
      </c>
      <c r="R50" s="5">
        <f>VLOOKUP(R$1&amp;$A50,배당편집!$M$2:$T$2710,8,FALSE)</f>
        <v>6.7418532757929972E-2</v>
      </c>
      <c r="S50" s="5">
        <f>VLOOKUP(S$1&amp;$A50,배당편집!$M$2:$T$2710,8,FALSE)</f>
        <v>6.0207337489450063E-2</v>
      </c>
      <c r="T50" s="5">
        <f>VLOOKUP(T$1&amp;$A50,배당편집!$M$2:$T$2710,8,FALSE)</f>
        <v>0.10494795379650301</v>
      </c>
      <c r="U50" s="5">
        <f>VLOOKUP(U$1&amp;$A50,배당편집!$M$2:$T$2710,8,FALSE)</f>
        <v>0.29199400995563329</v>
      </c>
      <c r="V50" s="5">
        <f>VLOOKUP(V$1&amp;$A50,배당편집!$M$2:$T$2710,8,FALSE)</f>
        <v>0.17143034329661333</v>
      </c>
      <c r="W50" s="5">
        <f>VLOOKUP(W$1&amp;$A50,배당편집!$M$2:$T$2710,8,FALSE)</f>
        <v>0.2070708853018679</v>
      </c>
      <c r="X50" s="5">
        <f>VLOOKUP(X$1&amp;$A50,배당편집!$M$2:$T$2710,8,FALSE)</f>
        <v>8.8123273957203985E-2</v>
      </c>
      <c r="Y50" s="5">
        <f>VLOOKUP(Y$1&amp;$A50,배당편집!$M$2:$T$2710,8,FALSE)</f>
        <v>8.9469548752426409E-2</v>
      </c>
      <c r="Z50" s="5">
        <f>VLOOKUP(Z$1&amp;$A50,배당편집!$M$2:$T$2710,8,FALSE)</f>
        <v>3.1310306477545069E-2</v>
      </c>
      <c r="AA50" s="5">
        <f>VLOOKUP(AA$1&amp;$A50,배당편집!$M$2:$T$2710,8,FALSE)</f>
        <v>0.12010372422372351</v>
      </c>
      <c r="AB50" s="5">
        <f>VLOOKUP(AB$1&amp;$A50,배당편집!$M$2:$T$2710,8,FALSE)</f>
        <v>0.1486983549970351</v>
      </c>
      <c r="AC50" s="5">
        <f>VLOOKUP(AC$1&amp;$A50,배당편집!$M$2:$T$2710,8,FALSE)</f>
        <v>3.222947933334197E-2</v>
      </c>
      <c r="AD50" s="5">
        <f>VLOOKUP(AD$1&amp;$A50,배당편집!$M$2:$T$2710,8,FALSE)</f>
        <v>7.6887308061656112E-2</v>
      </c>
      <c r="AE50" s="5">
        <f>VLOOKUP(AE$1&amp;$A50,배당편집!$M$2:$T$2710,8,FALSE)</f>
        <v>3.1310306477545069E-2</v>
      </c>
      <c r="AF50" s="5">
        <f>VLOOKUP(AF$1&amp;$A50,배당편집!$M$2:$T$2710,8,FALSE)</f>
        <v>6.0732713038533337E-2</v>
      </c>
    </row>
    <row r="51" spans="1:32" ht="16.5" customHeight="1">
      <c r="A51" s="3">
        <v>2018</v>
      </c>
      <c r="B51" s="3">
        <v>2</v>
      </c>
      <c r="C51" s="5">
        <f>VLOOKUP(C$1&amp;$A51,배당편집!$M$2:$T$2710,8,FALSE)</f>
        <v>7.7818067712725814E-2</v>
      </c>
      <c r="D51" s="5">
        <f>VLOOKUP(D$1&amp;$A51,배당편집!$M$2:$T$2710,8,FALSE)</f>
        <v>4.4193295943856237E-2</v>
      </c>
      <c r="E51" s="5">
        <f>VLOOKUP(E$1&amp;$A51,배당편집!$M$2:$T$2710,8,FALSE)</f>
        <v>0.18126018804310839</v>
      </c>
      <c r="F51" s="5">
        <f>VLOOKUP(F$1&amp;$A51,배당편집!$M$2:$T$2710,8,FALSE)</f>
        <v>5.1547496797280434E-2</v>
      </c>
      <c r="G51" s="5">
        <f>VLOOKUP(G$1&amp;$A51,배당편집!$M$2:$T$2710,8,FALSE)</f>
        <v>6.1996716284169251E-2</v>
      </c>
      <c r="H51" s="5">
        <f>VLOOKUP(H$1&amp;$A51,배당편집!$M$2:$T$2710,8,FALSE)</f>
        <v>4.4708438422444985E-2</v>
      </c>
      <c r="I51" s="5">
        <f>VLOOKUP(I$1&amp;$A51,배당편집!$M$2:$T$2710,8,FALSE)</f>
        <v>4.5639552591273169E-2</v>
      </c>
      <c r="J51" s="5">
        <f>VLOOKUP(J$1&amp;$A51,배당편집!$M$2:$T$2710,8,FALSE)</f>
        <v>2.6008707269118636E-2</v>
      </c>
      <c r="K51" s="5">
        <f>VLOOKUP(K$1&amp;$A51,배당편집!$M$2:$T$2710,8,FALSE)</f>
        <v>8.4471771197698553E-2</v>
      </c>
      <c r="L51" s="5">
        <f>VLOOKUP(L$1&amp;$A51,배당편집!$M$2:$T$2710,8,FALSE)</f>
        <v>0.11485359272536089</v>
      </c>
      <c r="M51" s="5">
        <f>VLOOKUP(M$1&amp;$A51,배당편집!$M$2:$T$2710,8,FALSE)</f>
        <v>0.15468148270605053</v>
      </c>
      <c r="N51" s="5">
        <f>VLOOKUP(N$1&amp;$A51,배당편집!$M$2:$T$2710,8,FALSE)</f>
        <v>3.4169145380274157E-2</v>
      </c>
      <c r="O51" s="5">
        <f>VLOOKUP(O$1&amp;$A51,배당편집!$M$2:$T$2710,8,FALSE)</f>
        <v>9.1507859638582101E-2</v>
      </c>
      <c r="P51" s="5">
        <f>VLOOKUP(P$1&amp;$A51,배당편집!$M$2:$T$2710,8,FALSE)</f>
        <v>4.1770817051049125E-2</v>
      </c>
      <c r="Q51" s="5">
        <f>VLOOKUP(Q$1&amp;$A51,배당편집!$M$2:$T$2710,8,FALSE)</f>
        <v>6.6080231448029991E-2</v>
      </c>
      <c r="R51" s="5">
        <f>VLOOKUP(R$1&amp;$A51,배당편집!$M$2:$T$2710,8,FALSE)</f>
        <v>6.7418532757929972E-2</v>
      </c>
      <c r="S51" s="5">
        <f>VLOOKUP(S$1&amp;$A51,배당편집!$M$2:$T$2710,8,FALSE)</f>
        <v>6.0207337489450063E-2</v>
      </c>
      <c r="T51" s="5">
        <f>VLOOKUP(T$1&amp;$A51,배당편집!$M$2:$T$2710,8,FALSE)</f>
        <v>0.10494795379650301</v>
      </c>
      <c r="U51" s="5">
        <f>VLOOKUP(U$1&amp;$A51,배당편집!$M$2:$T$2710,8,FALSE)</f>
        <v>0.29199400995563329</v>
      </c>
      <c r="V51" s="5">
        <f>VLOOKUP(V$1&amp;$A51,배당편집!$M$2:$T$2710,8,FALSE)</f>
        <v>0.17143034329661333</v>
      </c>
      <c r="W51" s="5">
        <f>VLOOKUP(W$1&amp;$A51,배당편집!$M$2:$T$2710,8,FALSE)</f>
        <v>0.2070708853018679</v>
      </c>
      <c r="X51" s="5">
        <f>VLOOKUP(X$1&amp;$A51,배당편집!$M$2:$T$2710,8,FALSE)</f>
        <v>8.8123273957203985E-2</v>
      </c>
      <c r="Y51" s="5">
        <f>VLOOKUP(Y$1&amp;$A51,배당편집!$M$2:$T$2710,8,FALSE)</f>
        <v>8.9469548752426409E-2</v>
      </c>
      <c r="Z51" s="5">
        <f>VLOOKUP(Z$1&amp;$A51,배당편집!$M$2:$T$2710,8,FALSE)</f>
        <v>3.1310306477545069E-2</v>
      </c>
      <c r="AA51" s="5">
        <f>VLOOKUP(AA$1&amp;$A51,배당편집!$M$2:$T$2710,8,FALSE)</f>
        <v>0.12010372422372351</v>
      </c>
      <c r="AB51" s="5">
        <f>VLOOKUP(AB$1&amp;$A51,배당편집!$M$2:$T$2710,8,FALSE)</f>
        <v>0.1486983549970351</v>
      </c>
      <c r="AC51" s="5">
        <f>VLOOKUP(AC$1&amp;$A51,배당편집!$M$2:$T$2710,8,FALSE)</f>
        <v>3.222947933334197E-2</v>
      </c>
      <c r="AD51" s="5">
        <f>VLOOKUP(AD$1&amp;$A51,배당편집!$M$2:$T$2710,8,FALSE)</f>
        <v>7.6887308061656112E-2</v>
      </c>
      <c r="AE51" s="5">
        <f>VLOOKUP(AE$1&amp;$A51,배당편집!$M$2:$T$2710,8,FALSE)</f>
        <v>3.1310306477545069E-2</v>
      </c>
      <c r="AF51" s="5">
        <f>VLOOKUP(AF$1&amp;$A51,배당편집!$M$2:$T$2710,8,FALSE)</f>
        <v>6.0732713038533337E-2</v>
      </c>
    </row>
    <row r="52" spans="1:32" ht="16.5" customHeight="1">
      <c r="A52" s="3">
        <v>2018</v>
      </c>
      <c r="B52" s="3">
        <v>3</v>
      </c>
      <c r="C52" s="5">
        <f>VLOOKUP(C$1&amp;$A52,배당편집!$M$2:$T$2710,8,FALSE)</f>
        <v>7.7818067712725814E-2</v>
      </c>
      <c r="D52" s="5">
        <f>VLOOKUP(D$1&amp;$A52,배당편집!$M$2:$T$2710,8,FALSE)</f>
        <v>4.4193295943856237E-2</v>
      </c>
      <c r="E52" s="5">
        <f>VLOOKUP(E$1&amp;$A52,배당편집!$M$2:$T$2710,8,FALSE)</f>
        <v>0.18126018804310839</v>
      </c>
      <c r="F52" s="5">
        <f>VLOOKUP(F$1&amp;$A52,배당편집!$M$2:$T$2710,8,FALSE)</f>
        <v>5.1547496797280434E-2</v>
      </c>
      <c r="G52" s="5">
        <f>VLOOKUP(G$1&amp;$A52,배당편집!$M$2:$T$2710,8,FALSE)</f>
        <v>6.1996716284169251E-2</v>
      </c>
      <c r="H52" s="5">
        <f>VLOOKUP(H$1&amp;$A52,배당편집!$M$2:$T$2710,8,FALSE)</f>
        <v>4.4708438422444985E-2</v>
      </c>
      <c r="I52" s="5">
        <f>VLOOKUP(I$1&amp;$A52,배당편집!$M$2:$T$2710,8,FALSE)</f>
        <v>4.5639552591273169E-2</v>
      </c>
      <c r="J52" s="5">
        <f>VLOOKUP(J$1&amp;$A52,배당편집!$M$2:$T$2710,8,FALSE)</f>
        <v>2.6008707269118636E-2</v>
      </c>
      <c r="K52" s="5">
        <f>VLOOKUP(K$1&amp;$A52,배당편집!$M$2:$T$2710,8,FALSE)</f>
        <v>8.4471771197698553E-2</v>
      </c>
      <c r="L52" s="5">
        <f>VLOOKUP(L$1&amp;$A52,배당편집!$M$2:$T$2710,8,FALSE)</f>
        <v>0.11485359272536089</v>
      </c>
      <c r="M52" s="5">
        <f>VLOOKUP(M$1&amp;$A52,배당편집!$M$2:$T$2710,8,FALSE)</f>
        <v>0.15468148270605053</v>
      </c>
      <c r="N52" s="5">
        <f>VLOOKUP(N$1&amp;$A52,배당편집!$M$2:$T$2710,8,FALSE)</f>
        <v>3.4169145380274157E-2</v>
      </c>
      <c r="O52" s="5">
        <f>VLOOKUP(O$1&amp;$A52,배당편집!$M$2:$T$2710,8,FALSE)</f>
        <v>9.1507859638582101E-2</v>
      </c>
      <c r="P52" s="5">
        <f>VLOOKUP(P$1&amp;$A52,배당편집!$M$2:$T$2710,8,FALSE)</f>
        <v>4.1770817051049125E-2</v>
      </c>
      <c r="Q52" s="5">
        <f>VLOOKUP(Q$1&amp;$A52,배당편집!$M$2:$T$2710,8,FALSE)</f>
        <v>6.6080231448029991E-2</v>
      </c>
      <c r="R52" s="5">
        <f>VLOOKUP(R$1&amp;$A52,배당편집!$M$2:$T$2710,8,FALSE)</f>
        <v>6.7418532757929972E-2</v>
      </c>
      <c r="S52" s="5">
        <f>VLOOKUP(S$1&amp;$A52,배당편집!$M$2:$T$2710,8,FALSE)</f>
        <v>6.0207337489450063E-2</v>
      </c>
      <c r="T52" s="5">
        <f>VLOOKUP(T$1&amp;$A52,배당편집!$M$2:$T$2710,8,FALSE)</f>
        <v>0.10494795379650301</v>
      </c>
      <c r="U52" s="5">
        <f>VLOOKUP(U$1&amp;$A52,배당편집!$M$2:$T$2710,8,FALSE)</f>
        <v>0.29199400995563329</v>
      </c>
      <c r="V52" s="5">
        <f>VLOOKUP(V$1&amp;$A52,배당편집!$M$2:$T$2710,8,FALSE)</f>
        <v>0.17143034329661333</v>
      </c>
      <c r="W52" s="5">
        <f>VLOOKUP(W$1&amp;$A52,배당편집!$M$2:$T$2710,8,FALSE)</f>
        <v>0.2070708853018679</v>
      </c>
      <c r="X52" s="5">
        <f>VLOOKUP(X$1&amp;$A52,배당편집!$M$2:$T$2710,8,FALSE)</f>
        <v>8.8123273957203985E-2</v>
      </c>
      <c r="Y52" s="5">
        <f>VLOOKUP(Y$1&amp;$A52,배당편집!$M$2:$T$2710,8,FALSE)</f>
        <v>8.9469548752426409E-2</v>
      </c>
      <c r="Z52" s="5">
        <f>VLOOKUP(Z$1&amp;$A52,배당편집!$M$2:$T$2710,8,FALSE)</f>
        <v>3.1310306477545069E-2</v>
      </c>
      <c r="AA52" s="5">
        <f>VLOOKUP(AA$1&amp;$A52,배당편집!$M$2:$T$2710,8,FALSE)</f>
        <v>0.12010372422372351</v>
      </c>
      <c r="AB52" s="5">
        <f>VLOOKUP(AB$1&amp;$A52,배당편집!$M$2:$T$2710,8,FALSE)</f>
        <v>0.1486983549970351</v>
      </c>
      <c r="AC52" s="5">
        <f>VLOOKUP(AC$1&amp;$A52,배당편집!$M$2:$T$2710,8,FALSE)</f>
        <v>3.222947933334197E-2</v>
      </c>
      <c r="AD52" s="5">
        <f>VLOOKUP(AD$1&amp;$A52,배당편집!$M$2:$T$2710,8,FALSE)</f>
        <v>7.6887308061656112E-2</v>
      </c>
      <c r="AE52" s="5">
        <f>VLOOKUP(AE$1&amp;$A52,배당편집!$M$2:$T$2710,8,FALSE)</f>
        <v>3.1310306477545069E-2</v>
      </c>
      <c r="AF52" s="5">
        <f>VLOOKUP(AF$1&amp;$A52,배당편집!$M$2:$T$2710,8,FALSE)</f>
        <v>6.0732713038533337E-2</v>
      </c>
    </row>
    <row r="53" spans="1:32" ht="16.5" customHeight="1">
      <c r="A53" s="3">
        <v>2018</v>
      </c>
      <c r="B53" s="3">
        <v>4</v>
      </c>
      <c r="C53" s="5">
        <f>VLOOKUP(C$1&amp;$A53,배당편집!$M$2:$T$2710,8,FALSE)</f>
        <v>7.7818067712725814E-2</v>
      </c>
      <c r="D53" s="5">
        <f>VLOOKUP(D$1&amp;$A53,배당편집!$M$2:$T$2710,8,FALSE)</f>
        <v>4.4193295943856237E-2</v>
      </c>
      <c r="E53" s="5">
        <f>VLOOKUP(E$1&amp;$A53,배당편집!$M$2:$T$2710,8,FALSE)</f>
        <v>0.18126018804310839</v>
      </c>
      <c r="F53" s="5">
        <f>VLOOKUP(F$1&amp;$A53,배당편집!$M$2:$T$2710,8,FALSE)</f>
        <v>5.1547496797280434E-2</v>
      </c>
      <c r="G53" s="5">
        <f>VLOOKUP(G$1&amp;$A53,배당편집!$M$2:$T$2710,8,FALSE)</f>
        <v>6.1996716284169251E-2</v>
      </c>
      <c r="H53" s="5">
        <f>VLOOKUP(H$1&amp;$A53,배당편집!$M$2:$T$2710,8,FALSE)</f>
        <v>4.4708438422444985E-2</v>
      </c>
      <c r="I53" s="5">
        <f>VLOOKUP(I$1&amp;$A53,배당편집!$M$2:$T$2710,8,FALSE)</f>
        <v>4.5639552591273169E-2</v>
      </c>
      <c r="J53" s="5">
        <f>VLOOKUP(J$1&amp;$A53,배당편집!$M$2:$T$2710,8,FALSE)</f>
        <v>2.6008707269118636E-2</v>
      </c>
      <c r="K53" s="5">
        <f>VLOOKUP(K$1&amp;$A53,배당편집!$M$2:$T$2710,8,FALSE)</f>
        <v>8.4471771197698553E-2</v>
      </c>
      <c r="L53" s="5">
        <f>VLOOKUP(L$1&amp;$A53,배당편집!$M$2:$T$2710,8,FALSE)</f>
        <v>0.11485359272536089</v>
      </c>
      <c r="M53" s="5">
        <f>VLOOKUP(M$1&amp;$A53,배당편집!$M$2:$T$2710,8,FALSE)</f>
        <v>0.15468148270605053</v>
      </c>
      <c r="N53" s="5">
        <f>VLOOKUP(N$1&amp;$A53,배당편집!$M$2:$T$2710,8,FALSE)</f>
        <v>3.4169145380274157E-2</v>
      </c>
      <c r="O53" s="5">
        <f>VLOOKUP(O$1&amp;$A53,배당편집!$M$2:$T$2710,8,FALSE)</f>
        <v>9.1507859638582101E-2</v>
      </c>
      <c r="P53" s="5">
        <f>VLOOKUP(P$1&amp;$A53,배당편집!$M$2:$T$2710,8,FALSE)</f>
        <v>4.1770817051049125E-2</v>
      </c>
      <c r="Q53" s="5">
        <f>VLOOKUP(Q$1&amp;$A53,배당편집!$M$2:$T$2710,8,FALSE)</f>
        <v>6.6080231448029991E-2</v>
      </c>
      <c r="R53" s="5">
        <f>VLOOKUP(R$1&amp;$A53,배당편집!$M$2:$T$2710,8,FALSE)</f>
        <v>6.7418532757929972E-2</v>
      </c>
      <c r="S53" s="5">
        <f>VLOOKUP(S$1&amp;$A53,배당편집!$M$2:$T$2710,8,FALSE)</f>
        <v>6.0207337489450063E-2</v>
      </c>
      <c r="T53" s="5">
        <f>VLOOKUP(T$1&amp;$A53,배당편집!$M$2:$T$2710,8,FALSE)</f>
        <v>0.10494795379650301</v>
      </c>
      <c r="U53" s="5">
        <f>VLOOKUP(U$1&amp;$A53,배당편집!$M$2:$T$2710,8,FALSE)</f>
        <v>0.29199400995563329</v>
      </c>
      <c r="V53" s="5">
        <f>VLOOKUP(V$1&amp;$A53,배당편집!$M$2:$T$2710,8,FALSE)</f>
        <v>0.17143034329661333</v>
      </c>
      <c r="W53" s="5">
        <f>VLOOKUP(W$1&amp;$A53,배당편집!$M$2:$T$2710,8,FALSE)</f>
        <v>0.2070708853018679</v>
      </c>
      <c r="X53" s="5">
        <f>VLOOKUP(X$1&amp;$A53,배당편집!$M$2:$T$2710,8,FALSE)</f>
        <v>8.8123273957203985E-2</v>
      </c>
      <c r="Y53" s="5">
        <f>VLOOKUP(Y$1&amp;$A53,배당편집!$M$2:$T$2710,8,FALSE)</f>
        <v>8.9469548752426409E-2</v>
      </c>
      <c r="Z53" s="5">
        <f>VLOOKUP(Z$1&amp;$A53,배당편집!$M$2:$T$2710,8,FALSE)</f>
        <v>3.1310306477545069E-2</v>
      </c>
      <c r="AA53" s="5">
        <f>VLOOKUP(AA$1&amp;$A53,배당편집!$M$2:$T$2710,8,FALSE)</f>
        <v>0.12010372422372351</v>
      </c>
      <c r="AB53" s="5">
        <f>VLOOKUP(AB$1&amp;$A53,배당편집!$M$2:$T$2710,8,FALSE)</f>
        <v>0.1486983549970351</v>
      </c>
      <c r="AC53" s="5">
        <f>VLOOKUP(AC$1&amp;$A53,배당편집!$M$2:$T$2710,8,FALSE)</f>
        <v>3.222947933334197E-2</v>
      </c>
      <c r="AD53" s="5">
        <f>VLOOKUP(AD$1&amp;$A53,배당편집!$M$2:$T$2710,8,FALSE)</f>
        <v>7.6887308061656112E-2</v>
      </c>
      <c r="AE53" s="5">
        <f>VLOOKUP(AE$1&amp;$A53,배당편집!$M$2:$T$2710,8,FALSE)</f>
        <v>3.1310306477545069E-2</v>
      </c>
      <c r="AF53" s="5">
        <f>VLOOKUP(AF$1&amp;$A53,배당편집!$M$2:$T$2710,8,FALSE)</f>
        <v>6.0732713038533337E-2</v>
      </c>
    </row>
    <row r="54" spans="1:32" ht="16.5" customHeight="1">
      <c r="A54" s="3">
        <v>2018</v>
      </c>
      <c r="B54" s="3">
        <v>5</v>
      </c>
      <c r="C54" s="5">
        <f>VLOOKUP(C$1&amp;$A54,배당편집!$M$2:$T$2710,8,FALSE)</f>
        <v>7.7818067712725814E-2</v>
      </c>
      <c r="D54" s="5">
        <f>VLOOKUP(D$1&amp;$A54,배당편집!$M$2:$T$2710,8,FALSE)</f>
        <v>4.4193295943856237E-2</v>
      </c>
      <c r="E54" s="5">
        <f>VLOOKUP(E$1&amp;$A54,배당편집!$M$2:$T$2710,8,FALSE)</f>
        <v>0.18126018804310839</v>
      </c>
      <c r="F54" s="5">
        <f>VLOOKUP(F$1&amp;$A54,배당편집!$M$2:$T$2710,8,FALSE)</f>
        <v>5.1547496797280434E-2</v>
      </c>
      <c r="G54" s="5">
        <f>VLOOKUP(G$1&amp;$A54,배당편집!$M$2:$T$2710,8,FALSE)</f>
        <v>6.1996716284169251E-2</v>
      </c>
      <c r="H54" s="5">
        <f>VLOOKUP(H$1&amp;$A54,배당편집!$M$2:$T$2710,8,FALSE)</f>
        <v>4.4708438422444985E-2</v>
      </c>
      <c r="I54" s="5">
        <f>VLOOKUP(I$1&amp;$A54,배당편집!$M$2:$T$2710,8,FALSE)</f>
        <v>4.5639552591273169E-2</v>
      </c>
      <c r="J54" s="5">
        <f>VLOOKUP(J$1&amp;$A54,배당편집!$M$2:$T$2710,8,FALSE)</f>
        <v>2.6008707269118636E-2</v>
      </c>
      <c r="K54" s="5">
        <f>VLOOKUP(K$1&amp;$A54,배당편집!$M$2:$T$2710,8,FALSE)</f>
        <v>8.4471771197698553E-2</v>
      </c>
      <c r="L54" s="5">
        <f>VLOOKUP(L$1&amp;$A54,배당편집!$M$2:$T$2710,8,FALSE)</f>
        <v>0.11485359272536089</v>
      </c>
      <c r="M54" s="5">
        <f>VLOOKUP(M$1&amp;$A54,배당편집!$M$2:$T$2710,8,FALSE)</f>
        <v>0.15468148270605053</v>
      </c>
      <c r="N54" s="5">
        <f>VLOOKUP(N$1&amp;$A54,배당편집!$M$2:$T$2710,8,FALSE)</f>
        <v>3.4169145380274157E-2</v>
      </c>
      <c r="O54" s="5">
        <f>VLOOKUP(O$1&amp;$A54,배당편집!$M$2:$T$2710,8,FALSE)</f>
        <v>9.1507859638582101E-2</v>
      </c>
      <c r="P54" s="5">
        <f>VLOOKUP(P$1&amp;$A54,배당편집!$M$2:$T$2710,8,FALSE)</f>
        <v>4.1770817051049125E-2</v>
      </c>
      <c r="Q54" s="5">
        <f>VLOOKUP(Q$1&amp;$A54,배당편집!$M$2:$T$2710,8,FALSE)</f>
        <v>6.6080231448029991E-2</v>
      </c>
      <c r="R54" s="5">
        <f>VLOOKUP(R$1&amp;$A54,배당편집!$M$2:$T$2710,8,FALSE)</f>
        <v>6.7418532757929972E-2</v>
      </c>
      <c r="S54" s="5">
        <f>VLOOKUP(S$1&amp;$A54,배당편집!$M$2:$T$2710,8,FALSE)</f>
        <v>6.0207337489450063E-2</v>
      </c>
      <c r="T54" s="5">
        <f>VLOOKUP(T$1&amp;$A54,배당편집!$M$2:$T$2710,8,FALSE)</f>
        <v>0.10494795379650301</v>
      </c>
      <c r="U54" s="5">
        <f>VLOOKUP(U$1&amp;$A54,배당편집!$M$2:$T$2710,8,FALSE)</f>
        <v>0.29199400995563329</v>
      </c>
      <c r="V54" s="5">
        <f>VLOOKUP(V$1&amp;$A54,배당편집!$M$2:$T$2710,8,FALSE)</f>
        <v>0.17143034329661333</v>
      </c>
      <c r="W54" s="5">
        <f>VLOOKUP(W$1&amp;$A54,배당편집!$M$2:$T$2710,8,FALSE)</f>
        <v>0.2070708853018679</v>
      </c>
      <c r="X54" s="5">
        <f>VLOOKUP(X$1&amp;$A54,배당편집!$M$2:$T$2710,8,FALSE)</f>
        <v>8.8123273957203985E-2</v>
      </c>
      <c r="Y54" s="5">
        <f>VLOOKUP(Y$1&amp;$A54,배당편집!$M$2:$T$2710,8,FALSE)</f>
        <v>8.9469548752426409E-2</v>
      </c>
      <c r="Z54" s="5">
        <f>VLOOKUP(Z$1&amp;$A54,배당편집!$M$2:$T$2710,8,FALSE)</f>
        <v>3.1310306477545069E-2</v>
      </c>
      <c r="AA54" s="5">
        <f>VLOOKUP(AA$1&amp;$A54,배당편집!$M$2:$T$2710,8,FALSE)</f>
        <v>0.12010372422372351</v>
      </c>
      <c r="AB54" s="5">
        <f>VLOOKUP(AB$1&amp;$A54,배당편집!$M$2:$T$2710,8,FALSE)</f>
        <v>0.1486983549970351</v>
      </c>
      <c r="AC54" s="5">
        <f>VLOOKUP(AC$1&amp;$A54,배당편집!$M$2:$T$2710,8,FALSE)</f>
        <v>3.222947933334197E-2</v>
      </c>
      <c r="AD54" s="5">
        <f>VLOOKUP(AD$1&amp;$A54,배당편집!$M$2:$T$2710,8,FALSE)</f>
        <v>7.6887308061656112E-2</v>
      </c>
      <c r="AE54" s="5">
        <f>VLOOKUP(AE$1&amp;$A54,배당편집!$M$2:$T$2710,8,FALSE)</f>
        <v>3.1310306477545069E-2</v>
      </c>
      <c r="AF54" s="5">
        <f>VLOOKUP(AF$1&amp;$A54,배당편집!$M$2:$T$2710,8,FALSE)</f>
        <v>6.0732713038533337E-2</v>
      </c>
    </row>
    <row r="55" spans="1:32" ht="16.5" customHeight="1">
      <c r="A55" s="3">
        <v>2018</v>
      </c>
      <c r="B55" s="3">
        <v>6</v>
      </c>
      <c r="C55" s="5">
        <f>VLOOKUP(C$1&amp;$A55,배당편집!$M$2:$T$2710,8,FALSE)</f>
        <v>7.7818067712725814E-2</v>
      </c>
      <c r="D55" s="5">
        <f>VLOOKUP(D$1&amp;$A55,배당편집!$M$2:$T$2710,8,FALSE)</f>
        <v>4.4193295943856237E-2</v>
      </c>
      <c r="E55" s="5">
        <f>VLOOKUP(E$1&amp;$A55,배당편집!$M$2:$T$2710,8,FALSE)</f>
        <v>0.18126018804310839</v>
      </c>
      <c r="F55" s="5">
        <f>VLOOKUP(F$1&amp;$A55,배당편집!$M$2:$T$2710,8,FALSE)</f>
        <v>5.1547496797280434E-2</v>
      </c>
      <c r="G55" s="5">
        <f>VLOOKUP(G$1&amp;$A55,배당편집!$M$2:$T$2710,8,FALSE)</f>
        <v>6.1996716284169251E-2</v>
      </c>
      <c r="H55" s="5">
        <f>VLOOKUP(H$1&amp;$A55,배당편집!$M$2:$T$2710,8,FALSE)</f>
        <v>4.4708438422444985E-2</v>
      </c>
      <c r="I55" s="5">
        <f>VLOOKUP(I$1&amp;$A55,배당편집!$M$2:$T$2710,8,FALSE)</f>
        <v>4.5639552591273169E-2</v>
      </c>
      <c r="J55" s="5">
        <f>VLOOKUP(J$1&amp;$A55,배당편집!$M$2:$T$2710,8,FALSE)</f>
        <v>2.6008707269118636E-2</v>
      </c>
      <c r="K55" s="5">
        <f>VLOOKUP(K$1&amp;$A55,배당편집!$M$2:$T$2710,8,FALSE)</f>
        <v>8.4471771197698553E-2</v>
      </c>
      <c r="L55" s="5">
        <f>VLOOKUP(L$1&amp;$A55,배당편집!$M$2:$T$2710,8,FALSE)</f>
        <v>0.11485359272536089</v>
      </c>
      <c r="M55" s="5">
        <f>VLOOKUP(M$1&amp;$A55,배당편집!$M$2:$T$2710,8,FALSE)</f>
        <v>0.15468148270605053</v>
      </c>
      <c r="N55" s="5">
        <f>VLOOKUP(N$1&amp;$A55,배당편집!$M$2:$T$2710,8,FALSE)</f>
        <v>3.4169145380274157E-2</v>
      </c>
      <c r="O55" s="5">
        <f>VLOOKUP(O$1&amp;$A55,배당편집!$M$2:$T$2710,8,FALSE)</f>
        <v>9.1507859638582101E-2</v>
      </c>
      <c r="P55" s="5">
        <f>VLOOKUP(P$1&amp;$A55,배당편집!$M$2:$T$2710,8,FALSE)</f>
        <v>4.1770817051049125E-2</v>
      </c>
      <c r="Q55" s="5">
        <f>VLOOKUP(Q$1&amp;$A55,배당편집!$M$2:$T$2710,8,FALSE)</f>
        <v>6.6080231448029991E-2</v>
      </c>
      <c r="R55" s="5">
        <f>VLOOKUP(R$1&amp;$A55,배당편집!$M$2:$T$2710,8,FALSE)</f>
        <v>6.7418532757929972E-2</v>
      </c>
      <c r="S55" s="5">
        <f>VLOOKUP(S$1&amp;$A55,배당편집!$M$2:$T$2710,8,FALSE)</f>
        <v>6.0207337489450063E-2</v>
      </c>
      <c r="T55" s="5">
        <f>VLOOKUP(T$1&amp;$A55,배당편집!$M$2:$T$2710,8,FALSE)</f>
        <v>0.10494795379650301</v>
      </c>
      <c r="U55" s="5">
        <f>VLOOKUP(U$1&amp;$A55,배당편집!$M$2:$T$2710,8,FALSE)</f>
        <v>0.29199400995563329</v>
      </c>
      <c r="V55" s="5">
        <f>VLOOKUP(V$1&amp;$A55,배당편집!$M$2:$T$2710,8,FALSE)</f>
        <v>0.17143034329661333</v>
      </c>
      <c r="W55" s="5">
        <f>VLOOKUP(W$1&amp;$A55,배당편집!$M$2:$T$2710,8,FALSE)</f>
        <v>0.2070708853018679</v>
      </c>
      <c r="X55" s="5">
        <f>VLOOKUP(X$1&amp;$A55,배당편집!$M$2:$T$2710,8,FALSE)</f>
        <v>8.8123273957203985E-2</v>
      </c>
      <c r="Y55" s="5">
        <f>VLOOKUP(Y$1&amp;$A55,배당편집!$M$2:$T$2710,8,FALSE)</f>
        <v>8.9469548752426409E-2</v>
      </c>
      <c r="Z55" s="5">
        <f>VLOOKUP(Z$1&amp;$A55,배당편집!$M$2:$T$2710,8,FALSE)</f>
        <v>3.1310306477545069E-2</v>
      </c>
      <c r="AA55" s="5">
        <f>VLOOKUP(AA$1&amp;$A55,배당편집!$M$2:$T$2710,8,FALSE)</f>
        <v>0.12010372422372351</v>
      </c>
      <c r="AB55" s="5">
        <f>VLOOKUP(AB$1&amp;$A55,배당편집!$M$2:$T$2710,8,FALSE)</f>
        <v>0.1486983549970351</v>
      </c>
      <c r="AC55" s="5">
        <f>VLOOKUP(AC$1&amp;$A55,배당편집!$M$2:$T$2710,8,FALSE)</f>
        <v>3.222947933334197E-2</v>
      </c>
      <c r="AD55" s="5">
        <f>VLOOKUP(AD$1&amp;$A55,배당편집!$M$2:$T$2710,8,FALSE)</f>
        <v>7.6887308061656112E-2</v>
      </c>
      <c r="AE55" s="5">
        <f>VLOOKUP(AE$1&amp;$A55,배당편집!$M$2:$T$2710,8,FALSE)</f>
        <v>3.1310306477545069E-2</v>
      </c>
      <c r="AF55" s="5">
        <f>VLOOKUP(AF$1&amp;$A55,배당편집!$M$2:$T$2710,8,FALSE)</f>
        <v>6.0732713038533337E-2</v>
      </c>
    </row>
    <row r="56" spans="1:32" ht="16.5" customHeight="1">
      <c r="A56" s="3">
        <v>2018</v>
      </c>
      <c r="B56" s="3">
        <v>7</v>
      </c>
      <c r="C56" s="5">
        <f>VLOOKUP(C$1&amp;$A56,배당편집!$M$2:$T$2710,8,FALSE)</f>
        <v>7.7818067712725814E-2</v>
      </c>
      <c r="D56" s="5">
        <f>VLOOKUP(D$1&amp;$A56,배당편집!$M$2:$T$2710,8,FALSE)</f>
        <v>4.4193295943856237E-2</v>
      </c>
      <c r="E56" s="5">
        <f>VLOOKUP(E$1&amp;$A56,배당편집!$M$2:$T$2710,8,FALSE)</f>
        <v>0.18126018804310839</v>
      </c>
      <c r="F56" s="5">
        <f>VLOOKUP(F$1&amp;$A56,배당편집!$M$2:$T$2710,8,FALSE)</f>
        <v>5.1547496797280434E-2</v>
      </c>
      <c r="G56" s="5">
        <f>VLOOKUP(G$1&amp;$A56,배당편집!$M$2:$T$2710,8,FALSE)</f>
        <v>6.1996716284169251E-2</v>
      </c>
      <c r="H56" s="5">
        <f>VLOOKUP(H$1&amp;$A56,배당편집!$M$2:$T$2710,8,FALSE)</f>
        <v>4.4708438422444985E-2</v>
      </c>
      <c r="I56" s="5">
        <f>VLOOKUP(I$1&amp;$A56,배당편집!$M$2:$T$2710,8,FALSE)</f>
        <v>4.5639552591273169E-2</v>
      </c>
      <c r="J56" s="5">
        <f>VLOOKUP(J$1&amp;$A56,배당편집!$M$2:$T$2710,8,FALSE)</f>
        <v>2.6008707269118636E-2</v>
      </c>
      <c r="K56" s="5">
        <f>VLOOKUP(K$1&amp;$A56,배당편집!$M$2:$T$2710,8,FALSE)</f>
        <v>8.4471771197698553E-2</v>
      </c>
      <c r="L56" s="5">
        <f>VLOOKUP(L$1&amp;$A56,배당편집!$M$2:$T$2710,8,FALSE)</f>
        <v>0.11485359272536089</v>
      </c>
      <c r="M56" s="5">
        <f>VLOOKUP(M$1&amp;$A56,배당편집!$M$2:$T$2710,8,FALSE)</f>
        <v>0.15468148270605053</v>
      </c>
      <c r="N56" s="5">
        <f>VLOOKUP(N$1&amp;$A56,배당편집!$M$2:$T$2710,8,FALSE)</f>
        <v>3.4169145380274157E-2</v>
      </c>
      <c r="O56" s="5">
        <f>VLOOKUP(O$1&amp;$A56,배당편집!$M$2:$T$2710,8,FALSE)</f>
        <v>9.1507859638582101E-2</v>
      </c>
      <c r="P56" s="5">
        <f>VLOOKUP(P$1&amp;$A56,배당편집!$M$2:$T$2710,8,FALSE)</f>
        <v>4.1770817051049125E-2</v>
      </c>
      <c r="Q56" s="5">
        <f>VLOOKUP(Q$1&amp;$A56,배당편집!$M$2:$T$2710,8,FALSE)</f>
        <v>6.6080231448029991E-2</v>
      </c>
      <c r="R56" s="5">
        <f>VLOOKUP(R$1&amp;$A56,배당편집!$M$2:$T$2710,8,FALSE)</f>
        <v>6.7418532757929972E-2</v>
      </c>
      <c r="S56" s="5">
        <f>VLOOKUP(S$1&amp;$A56,배당편집!$M$2:$T$2710,8,FALSE)</f>
        <v>6.0207337489450063E-2</v>
      </c>
      <c r="T56" s="5">
        <f>VLOOKUP(T$1&amp;$A56,배당편집!$M$2:$T$2710,8,FALSE)</f>
        <v>0.10494795379650301</v>
      </c>
      <c r="U56" s="5">
        <f>VLOOKUP(U$1&amp;$A56,배당편집!$M$2:$T$2710,8,FALSE)</f>
        <v>0.29199400995563329</v>
      </c>
      <c r="V56" s="5">
        <f>VLOOKUP(V$1&amp;$A56,배당편집!$M$2:$T$2710,8,FALSE)</f>
        <v>0.17143034329661333</v>
      </c>
      <c r="W56" s="5">
        <f>VLOOKUP(W$1&amp;$A56,배당편집!$M$2:$T$2710,8,FALSE)</f>
        <v>0.2070708853018679</v>
      </c>
      <c r="X56" s="5">
        <f>VLOOKUP(X$1&amp;$A56,배당편집!$M$2:$T$2710,8,FALSE)</f>
        <v>8.8123273957203985E-2</v>
      </c>
      <c r="Y56" s="5">
        <f>VLOOKUP(Y$1&amp;$A56,배당편집!$M$2:$T$2710,8,FALSE)</f>
        <v>8.9469548752426409E-2</v>
      </c>
      <c r="Z56" s="5">
        <f>VLOOKUP(Z$1&amp;$A56,배당편집!$M$2:$T$2710,8,FALSE)</f>
        <v>3.1310306477545069E-2</v>
      </c>
      <c r="AA56" s="5">
        <f>VLOOKUP(AA$1&amp;$A56,배당편집!$M$2:$T$2710,8,FALSE)</f>
        <v>0.12010372422372351</v>
      </c>
      <c r="AB56" s="5">
        <f>VLOOKUP(AB$1&amp;$A56,배당편집!$M$2:$T$2710,8,FALSE)</f>
        <v>0.1486983549970351</v>
      </c>
      <c r="AC56" s="5">
        <f>VLOOKUP(AC$1&amp;$A56,배당편집!$M$2:$T$2710,8,FALSE)</f>
        <v>3.222947933334197E-2</v>
      </c>
      <c r="AD56" s="5">
        <f>VLOOKUP(AD$1&amp;$A56,배당편집!$M$2:$T$2710,8,FALSE)</f>
        <v>7.6887308061656112E-2</v>
      </c>
      <c r="AE56" s="5">
        <f>VLOOKUP(AE$1&amp;$A56,배당편집!$M$2:$T$2710,8,FALSE)</f>
        <v>3.1310306477545069E-2</v>
      </c>
      <c r="AF56" s="5">
        <f>VLOOKUP(AF$1&amp;$A56,배당편집!$M$2:$T$2710,8,FALSE)</f>
        <v>6.0732713038533337E-2</v>
      </c>
    </row>
    <row r="57" spans="1:32" ht="16.5" customHeight="1">
      <c r="A57" s="3">
        <v>2018</v>
      </c>
      <c r="B57" s="3">
        <v>8</v>
      </c>
      <c r="C57" s="5">
        <f>VLOOKUP(C$1&amp;$A57,배당편집!$M$2:$T$2710,8,FALSE)</f>
        <v>7.7818067712725814E-2</v>
      </c>
      <c r="D57" s="5">
        <f>VLOOKUP(D$1&amp;$A57,배당편집!$M$2:$T$2710,8,FALSE)</f>
        <v>4.4193295943856237E-2</v>
      </c>
      <c r="E57" s="5">
        <f>VLOOKUP(E$1&amp;$A57,배당편집!$M$2:$T$2710,8,FALSE)</f>
        <v>0.18126018804310839</v>
      </c>
      <c r="F57" s="5">
        <f>VLOOKUP(F$1&amp;$A57,배당편집!$M$2:$T$2710,8,FALSE)</f>
        <v>5.1547496797280434E-2</v>
      </c>
      <c r="G57" s="5">
        <f>VLOOKUP(G$1&amp;$A57,배당편집!$M$2:$T$2710,8,FALSE)</f>
        <v>6.1996716284169251E-2</v>
      </c>
      <c r="H57" s="5">
        <f>VLOOKUP(H$1&amp;$A57,배당편집!$M$2:$T$2710,8,FALSE)</f>
        <v>4.4708438422444985E-2</v>
      </c>
      <c r="I57" s="5">
        <f>VLOOKUP(I$1&amp;$A57,배당편집!$M$2:$T$2710,8,FALSE)</f>
        <v>4.5639552591273169E-2</v>
      </c>
      <c r="J57" s="5">
        <f>VLOOKUP(J$1&amp;$A57,배당편집!$M$2:$T$2710,8,FALSE)</f>
        <v>2.6008707269118636E-2</v>
      </c>
      <c r="K57" s="5">
        <f>VLOOKUP(K$1&amp;$A57,배당편집!$M$2:$T$2710,8,FALSE)</f>
        <v>8.4471771197698553E-2</v>
      </c>
      <c r="L57" s="5">
        <f>VLOOKUP(L$1&amp;$A57,배당편집!$M$2:$T$2710,8,FALSE)</f>
        <v>0.11485359272536089</v>
      </c>
      <c r="M57" s="5">
        <f>VLOOKUP(M$1&amp;$A57,배당편집!$M$2:$T$2710,8,FALSE)</f>
        <v>0.15468148270605053</v>
      </c>
      <c r="N57" s="5">
        <f>VLOOKUP(N$1&amp;$A57,배당편집!$M$2:$T$2710,8,FALSE)</f>
        <v>3.4169145380274157E-2</v>
      </c>
      <c r="O57" s="5">
        <f>VLOOKUP(O$1&amp;$A57,배당편집!$M$2:$T$2710,8,FALSE)</f>
        <v>9.1507859638582101E-2</v>
      </c>
      <c r="P57" s="5">
        <f>VLOOKUP(P$1&amp;$A57,배당편집!$M$2:$T$2710,8,FALSE)</f>
        <v>4.1770817051049125E-2</v>
      </c>
      <c r="Q57" s="5">
        <f>VLOOKUP(Q$1&amp;$A57,배당편집!$M$2:$T$2710,8,FALSE)</f>
        <v>6.6080231448029991E-2</v>
      </c>
      <c r="R57" s="5">
        <f>VLOOKUP(R$1&amp;$A57,배당편집!$M$2:$T$2710,8,FALSE)</f>
        <v>6.7418532757929972E-2</v>
      </c>
      <c r="S57" s="5">
        <f>VLOOKUP(S$1&amp;$A57,배당편집!$M$2:$T$2710,8,FALSE)</f>
        <v>6.0207337489450063E-2</v>
      </c>
      <c r="T57" s="5">
        <f>VLOOKUP(T$1&amp;$A57,배당편집!$M$2:$T$2710,8,FALSE)</f>
        <v>0.10494795379650301</v>
      </c>
      <c r="U57" s="5">
        <f>VLOOKUP(U$1&amp;$A57,배당편집!$M$2:$T$2710,8,FALSE)</f>
        <v>0.29199400995563329</v>
      </c>
      <c r="V57" s="5">
        <f>VLOOKUP(V$1&amp;$A57,배당편집!$M$2:$T$2710,8,FALSE)</f>
        <v>0.17143034329661333</v>
      </c>
      <c r="W57" s="5">
        <f>VLOOKUP(W$1&amp;$A57,배당편집!$M$2:$T$2710,8,FALSE)</f>
        <v>0.2070708853018679</v>
      </c>
      <c r="X57" s="5">
        <f>VLOOKUP(X$1&amp;$A57,배당편집!$M$2:$T$2710,8,FALSE)</f>
        <v>8.8123273957203985E-2</v>
      </c>
      <c r="Y57" s="5">
        <f>VLOOKUP(Y$1&amp;$A57,배당편집!$M$2:$T$2710,8,FALSE)</f>
        <v>8.9469548752426409E-2</v>
      </c>
      <c r="Z57" s="5">
        <f>VLOOKUP(Z$1&amp;$A57,배당편집!$M$2:$T$2710,8,FALSE)</f>
        <v>3.1310306477545069E-2</v>
      </c>
      <c r="AA57" s="5">
        <f>VLOOKUP(AA$1&amp;$A57,배당편집!$M$2:$T$2710,8,FALSE)</f>
        <v>0.12010372422372351</v>
      </c>
      <c r="AB57" s="5">
        <f>VLOOKUP(AB$1&amp;$A57,배당편집!$M$2:$T$2710,8,FALSE)</f>
        <v>0.1486983549970351</v>
      </c>
      <c r="AC57" s="5">
        <f>VLOOKUP(AC$1&amp;$A57,배당편집!$M$2:$T$2710,8,FALSE)</f>
        <v>3.222947933334197E-2</v>
      </c>
      <c r="AD57" s="5">
        <f>VLOOKUP(AD$1&amp;$A57,배당편집!$M$2:$T$2710,8,FALSE)</f>
        <v>7.6887308061656112E-2</v>
      </c>
      <c r="AE57" s="5">
        <f>VLOOKUP(AE$1&amp;$A57,배당편집!$M$2:$T$2710,8,FALSE)</f>
        <v>3.1310306477545069E-2</v>
      </c>
      <c r="AF57" s="5">
        <f>VLOOKUP(AF$1&amp;$A57,배당편집!$M$2:$T$2710,8,FALSE)</f>
        <v>6.0732713038533337E-2</v>
      </c>
    </row>
    <row r="58" spans="1:32" ht="16.5" customHeight="1">
      <c r="A58" s="3">
        <v>2018</v>
      </c>
      <c r="B58" s="3">
        <v>9</v>
      </c>
      <c r="C58" s="5">
        <f>VLOOKUP(C$1&amp;$A58,배당편집!$M$2:$T$2710,8,FALSE)</f>
        <v>7.7818067712725814E-2</v>
      </c>
      <c r="D58" s="5">
        <f>VLOOKUP(D$1&amp;$A58,배당편집!$M$2:$T$2710,8,FALSE)</f>
        <v>4.4193295943856237E-2</v>
      </c>
      <c r="E58" s="5">
        <f>VLOOKUP(E$1&amp;$A58,배당편집!$M$2:$T$2710,8,FALSE)</f>
        <v>0.18126018804310839</v>
      </c>
      <c r="F58" s="5">
        <f>VLOOKUP(F$1&amp;$A58,배당편집!$M$2:$T$2710,8,FALSE)</f>
        <v>5.1547496797280434E-2</v>
      </c>
      <c r="G58" s="5">
        <f>VLOOKUP(G$1&amp;$A58,배당편집!$M$2:$T$2710,8,FALSE)</f>
        <v>6.1996716284169251E-2</v>
      </c>
      <c r="H58" s="5">
        <f>VLOOKUP(H$1&amp;$A58,배당편집!$M$2:$T$2710,8,FALSE)</f>
        <v>4.4708438422444985E-2</v>
      </c>
      <c r="I58" s="5">
        <f>VLOOKUP(I$1&amp;$A58,배당편집!$M$2:$T$2710,8,FALSE)</f>
        <v>4.5639552591273169E-2</v>
      </c>
      <c r="J58" s="5">
        <f>VLOOKUP(J$1&amp;$A58,배당편집!$M$2:$T$2710,8,FALSE)</f>
        <v>2.6008707269118636E-2</v>
      </c>
      <c r="K58" s="5">
        <f>VLOOKUP(K$1&amp;$A58,배당편집!$M$2:$T$2710,8,FALSE)</f>
        <v>8.4471771197698553E-2</v>
      </c>
      <c r="L58" s="5">
        <f>VLOOKUP(L$1&amp;$A58,배당편집!$M$2:$T$2710,8,FALSE)</f>
        <v>0.11485359272536089</v>
      </c>
      <c r="M58" s="5">
        <f>VLOOKUP(M$1&amp;$A58,배당편집!$M$2:$T$2710,8,FALSE)</f>
        <v>0.15468148270605053</v>
      </c>
      <c r="N58" s="5">
        <f>VLOOKUP(N$1&amp;$A58,배당편집!$M$2:$T$2710,8,FALSE)</f>
        <v>3.4169145380274157E-2</v>
      </c>
      <c r="O58" s="5">
        <f>VLOOKUP(O$1&amp;$A58,배당편집!$M$2:$T$2710,8,FALSE)</f>
        <v>9.1507859638582101E-2</v>
      </c>
      <c r="P58" s="5">
        <f>VLOOKUP(P$1&amp;$A58,배당편집!$M$2:$T$2710,8,FALSE)</f>
        <v>4.1770817051049125E-2</v>
      </c>
      <c r="Q58" s="5">
        <f>VLOOKUP(Q$1&amp;$A58,배당편집!$M$2:$T$2710,8,FALSE)</f>
        <v>6.6080231448029991E-2</v>
      </c>
      <c r="R58" s="5">
        <f>VLOOKUP(R$1&amp;$A58,배당편집!$M$2:$T$2710,8,FALSE)</f>
        <v>6.7418532757929972E-2</v>
      </c>
      <c r="S58" s="5">
        <f>VLOOKUP(S$1&amp;$A58,배당편집!$M$2:$T$2710,8,FALSE)</f>
        <v>6.0207337489450063E-2</v>
      </c>
      <c r="T58" s="5">
        <f>VLOOKUP(T$1&amp;$A58,배당편집!$M$2:$T$2710,8,FALSE)</f>
        <v>0.10494795379650301</v>
      </c>
      <c r="U58" s="5">
        <f>VLOOKUP(U$1&amp;$A58,배당편집!$M$2:$T$2710,8,FALSE)</f>
        <v>0.29199400995563329</v>
      </c>
      <c r="V58" s="5">
        <f>VLOOKUP(V$1&amp;$A58,배당편집!$M$2:$T$2710,8,FALSE)</f>
        <v>0.17143034329661333</v>
      </c>
      <c r="W58" s="5">
        <f>VLOOKUP(W$1&amp;$A58,배당편집!$M$2:$T$2710,8,FALSE)</f>
        <v>0.2070708853018679</v>
      </c>
      <c r="X58" s="5">
        <f>VLOOKUP(X$1&amp;$A58,배당편집!$M$2:$T$2710,8,FALSE)</f>
        <v>8.8123273957203985E-2</v>
      </c>
      <c r="Y58" s="5">
        <f>VLOOKUP(Y$1&amp;$A58,배당편집!$M$2:$T$2710,8,FALSE)</f>
        <v>8.9469548752426409E-2</v>
      </c>
      <c r="Z58" s="5">
        <f>VLOOKUP(Z$1&amp;$A58,배당편집!$M$2:$T$2710,8,FALSE)</f>
        <v>3.1310306477545069E-2</v>
      </c>
      <c r="AA58" s="5">
        <f>VLOOKUP(AA$1&amp;$A58,배당편집!$M$2:$T$2710,8,FALSE)</f>
        <v>0.12010372422372351</v>
      </c>
      <c r="AB58" s="5">
        <f>VLOOKUP(AB$1&amp;$A58,배당편집!$M$2:$T$2710,8,FALSE)</f>
        <v>0.1486983549970351</v>
      </c>
      <c r="AC58" s="5">
        <f>VLOOKUP(AC$1&amp;$A58,배당편집!$M$2:$T$2710,8,FALSE)</f>
        <v>3.222947933334197E-2</v>
      </c>
      <c r="AD58" s="5">
        <f>VLOOKUP(AD$1&amp;$A58,배당편집!$M$2:$T$2710,8,FALSE)</f>
        <v>7.6887308061656112E-2</v>
      </c>
      <c r="AE58" s="5">
        <f>VLOOKUP(AE$1&amp;$A58,배당편집!$M$2:$T$2710,8,FALSE)</f>
        <v>3.1310306477545069E-2</v>
      </c>
      <c r="AF58" s="5">
        <f>VLOOKUP(AF$1&amp;$A58,배당편집!$M$2:$T$2710,8,FALSE)</f>
        <v>6.0732713038533337E-2</v>
      </c>
    </row>
    <row r="59" spans="1:32" ht="16.5" customHeight="1">
      <c r="A59" s="3">
        <v>2018</v>
      </c>
      <c r="B59" s="3">
        <v>10</v>
      </c>
      <c r="C59" s="5">
        <f>VLOOKUP(C$1&amp;$A59,배당편집!$M$2:$T$2710,8,FALSE)</f>
        <v>7.7818067712725814E-2</v>
      </c>
      <c r="D59" s="5">
        <f>VLOOKUP(D$1&amp;$A59,배당편집!$M$2:$T$2710,8,FALSE)</f>
        <v>4.4193295943856237E-2</v>
      </c>
      <c r="E59" s="5">
        <f>VLOOKUP(E$1&amp;$A59,배당편집!$M$2:$T$2710,8,FALSE)</f>
        <v>0.18126018804310839</v>
      </c>
      <c r="F59" s="5">
        <f>VLOOKUP(F$1&amp;$A59,배당편집!$M$2:$T$2710,8,FALSE)</f>
        <v>5.1547496797280434E-2</v>
      </c>
      <c r="G59" s="5">
        <f>VLOOKUP(G$1&amp;$A59,배당편집!$M$2:$T$2710,8,FALSE)</f>
        <v>6.1996716284169251E-2</v>
      </c>
      <c r="H59" s="5">
        <f>VLOOKUP(H$1&amp;$A59,배당편집!$M$2:$T$2710,8,FALSE)</f>
        <v>4.4708438422444985E-2</v>
      </c>
      <c r="I59" s="5">
        <f>VLOOKUP(I$1&amp;$A59,배당편집!$M$2:$T$2710,8,FALSE)</f>
        <v>4.5639552591273169E-2</v>
      </c>
      <c r="J59" s="5">
        <f>VLOOKUP(J$1&amp;$A59,배당편집!$M$2:$T$2710,8,FALSE)</f>
        <v>2.6008707269118636E-2</v>
      </c>
      <c r="K59" s="5">
        <f>VLOOKUP(K$1&amp;$A59,배당편집!$M$2:$T$2710,8,FALSE)</f>
        <v>8.4471771197698553E-2</v>
      </c>
      <c r="L59" s="5">
        <f>VLOOKUP(L$1&amp;$A59,배당편집!$M$2:$T$2710,8,FALSE)</f>
        <v>0.11485359272536089</v>
      </c>
      <c r="M59" s="5">
        <f>VLOOKUP(M$1&amp;$A59,배당편집!$M$2:$T$2710,8,FALSE)</f>
        <v>0.15468148270605053</v>
      </c>
      <c r="N59" s="5">
        <f>VLOOKUP(N$1&amp;$A59,배당편집!$M$2:$T$2710,8,FALSE)</f>
        <v>3.4169145380274157E-2</v>
      </c>
      <c r="O59" s="5">
        <f>VLOOKUP(O$1&amp;$A59,배당편집!$M$2:$T$2710,8,FALSE)</f>
        <v>9.1507859638582101E-2</v>
      </c>
      <c r="P59" s="5">
        <f>VLOOKUP(P$1&amp;$A59,배당편집!$M$2:$T$2710,8,FALSE)</f>
        <v>4.1770817051049125E-2</v>
      </c>
      <c r="Q59" s="5">
        <f>VLOOKUP(Q$1&amp;$A59,배당편집!$M$2:$T$2710,8,FALSE)</f>
        <v>6.6080231448029991E-2</v>
      </c>
      <c r="R59" s="5">
        <f>VLOOKUP(R$1&amp;$A59,배당편집!$M$2:$T$2710,8,FALSE)</f>
        <v>6.7418532757929972E-2</v>
      </c>
      <c r="S59" s="5">
        <f>VLOOKUP(S$1&amp;$A59,배당편집!$M$2:$T$2710,8,FALSE)</f>
        <v>6.0207337489450063E-2</v>
      </c>
      <c r="T59" s="5">
        <f>VLOOKUP(T$1&amp;$A59,배당편집!$M$2:$T$2710,8,FALSE)</f>
        <v>0.10494795379650301</v>
      </c>
      <c r="U59" s="5">
        <f>VLOOKUP(U$1&amp;$A59,배당편집!$M$2:$T$2710,8,FALSE)</f>
        <v>0.29199400995563329</v>
      </c>
      <c r="V59" s="5">
        <f>VLOOKUP(V$1&amp;$A59,배당편집!$M$2:$T$2710,8,FALSE)</f>
        <v>0.17143034329661333</v>
      </c>
      <c r="W59" s="5">
        <f>VLOOKUP(W$1&amp;$A59,배당편집!$M$2:$T$2710,8,FALSE)</f>
        <v>0.2070708853018679</v>
      </c>
      <c r="X59" s="5">
        <f>VLOOKUP(X$1&amp;$A59,배당편집!$M$2:$T$2710,8,FALSE)</f>
        <v>8.8123273957203985E-2</v>
      </c>
      <c r="Y59" s="5">
        <f>VLOOKUP(Y$1&amp;$A59,배당편집!$M$2:$T$2710,8,FALSE)</f>
        <v>8.9469548752426409E-2</v>
      </c>
      <c r="Z59" s="5">
        <f>VLOOKUP(Z$1&amp;$A59,배당편집!$M$2:$T$2710,8,FALSE)</f>
        <v>3.1310306477545069E-2</v>
      </c>
      <c r="AA59" s="5">
        <f>VLOOKUP(AA$1&amp;$A59,배당편집!$M$2:$T$2710,8,FALSE)</f>
        <v>0.12010372422372351</v>
      </c>
      <c r="AB59" s="5">
        <f>VLOOKUP(AB$1&amp;$A59,배당편집!$M$2:$T$2710,8,FALSE)</f>
        <v>0.1486983549970351</v>
      </c>
      <c r="AC59" s="5">
        <f>VLOOKUP(AC$1&amp;$A59,배당편집!$M$2:$T$2710,8,FALSE)</f>
        <v>3.222947933334197E-2</v>
      </c>
      <c r="AD59" s="5">
        <f>VLOOKUP(AD$1&amp;$A59,배당편집!$M$2:$T$2710,8,FALSE)</f>
        <v>7.6887308061656112E-2</v>
      </c>
      <c r="AE59" s="5">
        <f>VLOOKUP(AE$1&amp;$A59,배당편집!$M$2:$T$2710,8,FALSE)</f>
        <v>3.1310306477545069E-2</v>
      </c>
      <c r="AF59" s="5">
        <f>VLOOKUP(AF$1&amp;$A59,배당편집!$M$2:$T$2710,8,FALSE)</f>
        <v>6.0732713038533337E-2</v>
      </c>
    </row>
    <row r="60" spans="1:32" ht="16.5" customHeight="1">
      <c r="A60" s="3">
        <v>2018</v>
      </c>
      <c r="B60" s="3">
        <v>11</v>
      </c>
      <c r="C60" s="5">
        <f>VLOOKUP(C$1&amp;$A60,배당편집!$M$2:$T$2710,8,FALSE)</f>
        <v>7.7818067712725814E-2</v>
      </c>
      <c r="D60" s="5">
        <f>VLOOKUP(D$1&amp;$A60,배당편집!$M$2:$T$2710,8,FALSE)</f>
        <v>4.4193295943856237E-2</v>
      </c>
      <c r="E60" s="5">
        <f>VLOOKUP(E$1&amp;$A60,배당편집!$M$2:$T$2710,8,FALSE)</f>
        <v>0.18126018804310839</v>
      </c>
      <c r="F60" s="5">
        <f>VLOOKUP(F$1&amp;$A60,배당편집!$M$2:$T$2710,8,FALSE)</f>
        <v>5.1547496797280434E-2</v>
      </c>
      <c r="G60" s="5">
        <f>VLOOKUP(G$1&amp;$A60,배당편집!$M$2:$T$2710,8,FALSE)</f>
        <v>6.1996716284169251E-2</v>
      </c>
      <c r="H60" s="5">
        <f>VLOOKUP(H$1&amp;$A60,배당편집!$M$2:$T$2710,8,FALSE)</f>
        <v>4.4708438422444985E-2</v>
      </c>
      <c r="I60" s="5">
        <f>VLOOKUP(I$1&amp;$A60,배당편집!$M$2:$T$2710,8,FALSE)</f>
        <v>4.5639552591273169E-2</v>
      </c>
      <c r="J60" s="5">
        <f>VLOOKUP(J$1&amp;$A60,배당편집!$M$2:$T$2710,8,FALSE)</f>
        <v>2.6008707269118636E-2</v>
      </c>
      <c r="K60" s="5">
        <f>VLOOKUP(K$1&amp;$A60,배당편집!$M$2:$T$2710,8,FALSE)</f>
        <v>8.4471771197698553E-2</v>
      </c>
      <c r="L60" s="5">
        <f>VLOOKUP(L$1&amp;$A60,배당편집!$M$2:$T$2710,8,FALSE)</f>
        <v>0.11485359272536089</v>
      </c>
      <c r="M60" s="5">
        <f>VLOOKUP(M$1&amp;$A60,배당편집!$M$2:$T$2710,8,FALSE)</f>
        <v>0.15468148270605053</v>
      </c>
      <c r="N60" s="5">
        <f>VLOOKUP(N$1&amp;$A60,배당편집!$M$2:$T$2710,8,FALSE)</f>
        <v>3.4169145380274157E-2</v>
      </c>
      <c r="O60" s="5">
        <f>VLOOKUP(O$1&amp;$A60,배당편집!$M$2:$T$2710,8,FALSE)</f>
        <v>9.1507859638582101E-2</v>
      </c>
      <c r="P60" s="5">
        <f>VLOOKUP(P$1&amp;$A60,배당편집!$M$2:$T$2710,8,FALSE)</f>
        <v>4.1770817051049125E-2</v>
      </c>
      <c r="Q60" s="5">
        <f>VLOOKUP(Q$1&amp;$A60,배당편집!$M$2:$T$2710,8,FALSE)</f>
        <v>6.6080231448029991E-2</v>
      </c>
      <c r="R60" s="5">
        <f>VLOOKUP(R$1&amp;$A60,배당편집!$M$2:$T$2710,8,FALSE)</f>
        <v>6.7418532757929972E-2</v>
      </c>
      <c r="S60" s="5">
        <f>VLOOKUP(S$1&amp;$A60,배당편집!$M$2:$T$2710,8,FALSE)</f>
        <v>6.0207337489450063E-2</v>
      </c>
      <c r="T60" s="5">
        <f>VLOOKUP(T$1&amp;$A60,배당편집!$M$2:$T$2710,8,FALSE)</f>
        <v>0.10494795379650301</v>
      </c>
      <c r="U60" s="5">
        <f>VLOOKUP(U$1&amp;$A60,배당편집!$M$2:$T$2710,8,FALSE)</f>
        <v>0.29199400995563329</v>
      </c>
      <c r="V60" s="5">
        <f>VLOOKUP(V$1&amp;$A60,배당편집!$M$2:$T$2710,8,FALSE)</f>
        <v>0.17143034329661333</v>
      </c>
      <c r="W60" s="5">
        <f>VLOOKUP(W$1&amp;$A60,배당편집!$M$2:$T$2710,8,FALSE)</f>
        <v>0.2070708853018679</v>
      </c>
      <c r="X60" s="5">
        <f>VLOOKUP(X$1&amp;$A60,배당편집!$M$2:$T$2710,8,FALSE)</f>
        <v>8.8123273957203985E-2</v>
      </c>
      <c r="Y60" s="5">
        <f>VLOOKUP(Y$1&amp;$A60,배당편집!$M$2:$T$2710,8,FALSE)</f>
        <v>8.9469548752426409E-2</v>
      </c>
      <c r="Z60" s="5">
        <f>VLOOKUP(Z$1&amp;$A60,배당편집!$M$2:$T$2710,8,FALSE)</f>
        <v>3.1310306477545069E-2</v>
      </c>
      <c r="AA60" s="5">
        <f>VLOOKUP(AA$1&amp;$A60,배당편집!$M$2:$T$2710,8,FALSE)</f>
        <v>0.12010372422372351</v>
      </c>
      <c r="AB60" s="5">
        <f>VLOOKUP(AB$1&amp;$A60,배당편집!$M$2:$T$2710,8,FALSE)</f>
        <v>0.1486983549970351</v>
      </c>
      <c r="AC60" s="5">
        <f>VLOOKUP(AC$1&amp;$A60,배당편집!$M$2:$T$2710,8,FALSE)</f>
        <v>3.222947933334197E-2</v>
      </c>
      <c r="AD60" s="5">
        <f>VLOOKUP(AD$1&amp;$A60,배당편집!$M$2:$T$2710,8,FALSE)</f>
        <v>7.6887308061656112E-2</v>
      </c>
      <c r="AE60" s="5">
        <f>VLOOKUP(AE$1&amp;$A60,배당편집!$M$2:$T$2710,8,FALSE)</f>
        <v>3.1310306477545069E-2</v>
      </c>
      <c r="AF60" s="5">
        <f>VLOOKUP(AF$1&amp;$A60,배당편집!$M$2:$T$2710,8,FALSE)</f>
        <v>6.0732713038533337E-2</v>
      </c>
    </row>
    <row r="61" spans="1:32" ht="16.5" customHeight="1">
      <c r="A61" s="3">
        <v>2018</v>
      </c>
      <c r="B61" s="3">
        <v>12</v>
      </c>
      <c r="C61" s="5">
        <f>VLOOKUP(C$1&amp;$A61,배당편집!$M$2:$T$2710,8,FALSE)</f>
        <v>7.7818067712725814E-2</v>
      </c>
      <c r="D61" s="5">
        <f>VLOOKUP(D$1&amp;$A61,배당편집!$M$2:$T$2710,8,FALSE)</f>
        <v>4.4193295943856237E-2</v>
      </c>
      <c r="E61" s="5">
        <f>VLOOKUP(E$1&amp;$A61,배당편집!$M$2:$T$2710,8,FALSE)</f>
        <v>0.18126018804310839</v>
      </c>
      <c r="F61" s="5">
        <f>VLOOKUP(F$1&amp;$A61,배당편집!$M$2:$T$2710,8,FALSE)</f>
        <v>5.1547496797280434E-2</v>
      </c>
      <c r="G61" s="5">
        <f>VLOOKUP(G$1&amp;$A61,배당편집!$M$2:$T$2710,8,FALSE)</f>
        <v>6.1996716284169251E-2</v>
      </c>
      <c r="H61" s="5">
        <f>VLOOKUP(H$1&amp;$A61,배당편집!$M$2:$T$2710,8,FALSE)</f>
        <v>4.4708438422444985E-2</v>
      </c>
      <c r="I61" s="5">
        <f>VLOOKUP(I$1&amp;$A61,배당편집!$M$2:$T$2710,8,FALSE)</f>
        <v>4.5639552591273169E-2</v>
      </c>
      <c r="J61" s="5">
        <f>VLOOKUP(J$1&amp;$A61,배당편집!$M$2:$T$2710,8,FALSE)</f>
        <v>2.6008707269118636E-2</v>
      </c>
      <c r="K61" s="5">
        <f>VLOOKUP(K$1&amp;$A61,배당편집!$M$2:$T$2710,8,FALSE)</f>
        <v>8.4471771197698553E-2</v>
      </c>
      <c r="L61" s="5">
        <f>VLOOKUP(L$1&amp;$A61,배당편집!$M$2:$T$2710,8,FALSE)</f>
        <v>0.11485359272536089</v>
      </c>
      <c r="M61" s="5">
        <f>VLOOKUP(M$1&amp;$A61,배당편집!$M$2:$T$2710,8,FALSE)</f>
        <v>0.15468148270605053</v>
      </c>
      <c r="N61" s="5">
        <f>VLOOKUP(N$1&amp;$A61,배당편집!$M$2:$T$2710,8,FALSE)</f>
        <v>3.4169145380274157E-2</v>
      </c>
      <c r="O61" s="5">
        <f>VLOOKUP(O$1&amp;$A61,배당편집!$M$2:$T$2710,8,FALSE)</f>
        <v>9.1507859638582101E-2</v>
      </c>
      <c r="P61" s="5">
        <f>VLOOKUP(P$1&amp;$A61,배당편집!$M$2:$T$2710,8,FALSE)</f>
        <v>4.1770817051049125E-2</v>
      </c>
      <c r="Q61" s="5">
        <f>VLOOKUP(Q$1&amp;$A61,배당편집!$M$2:$T$2710,8,FALSE)</f>
        <v>6.6080231448029991E-2</v>
      </c>
      <c r="R61" s="5">
        <f>VLOOKUP(R$1&amp;$A61,배당편집!$M$2:$T$2710,8,FALSE)</f>
        <v>6.7418532757929972E-2</v>
      </c>
      <c r="S61" s="5">
        <f>VLOOKUP(S$1&amp;$A61,배당편집!$M$2:$T$2710,8,FALSE)</f>
        <v>6.0207337489450063E-2</v>
      </c>
      <c r="T61" s="5">
        <f>VLOOKUP(T$1&amp;$A61,배당편집!$M$2:$T$2710,8,FALSE)</f>
        <v>0.10494795379650301</v>
      </c>
      <c r="U61" s="5">
        <f>VLOOKUP(U$1&amp;$A61,배당편집!$M$2:$T$2710,8,FALSE)</f>
        <v>0.29199400995563329</v>
      </c>
      <c r="V61" s="5">
        <f>VLOOKUP(V$1&amp;$A61,배당편집!$M$2:$T$2710,8,FALSE)</f>
        <v>0.17143034329661333</v>
      </c>
      <c r="W61" s="5">
        <f>VLOOKUP(W$1&amp;$A61,배당편집!$M$2:$T$2710,8,FALSE)</f>
        <v>0.2070708853018679</v>
      </c>
      <c r="X61" s="5">
        <f>VLOOKUP(X$1&amp;$A61,배당편집!$M$2:$T$2710,8,FALSE)</f>
        <v>8.8123273957203985E-2</v>
      </c>
      <c r="Y61" s="5">
        <f>VLOOKUP(Y$1&amp;$A61,배당편집!$M$2:$T$2710,8,FALSE)</f>
        <v>8.9469548752426409E-2</v>
      </c>
      <c r="Z61" s="5">
        <f>VLOOKUP(Z$1&amp;$A61,배당편집!$M$2:$T$2710,8,FALSE)</f>
        <v>3.1310306477545069E-2</v>
      </c>
      <c r="AA61" s="5">
        <f>VLOOKUP(AA$1&amp;$A61,배당편집!$M$2:$T$2710,8,FALSE)</f>
        <v>0.12010372422372351</v>
      </c>
      <c r="AB61" s="5">
        <f>VLOOKUP(AB$1&amp;$A61,배당편집!$M$2:$T$2710,8,FALSE)</f>
        <v>0.1486983549970351</v>
      </c>
      <c r="AC61" s="5">
        <f>VLOOKUP(AC$1&amp;$A61,배당편집!$M$2:$T$2710,8,FALSE)</f>
        <v>3.222947933334197E-2</v>
      </c>
      <c r="AD61" s="5">
        <f>VLOOKUP(AD$1&amp;$A61,배당편집!$M$2:$T$2710,8,FALSE)</f>
        <v>7.6887308061656112E-2</v>
      </c>
      <c r="AE61" s="5">
        <f>VLOOKUP(AE$1&amp;$A61,배당편집!$M$2:$T$2710,8,FALSE)</f>
        <v>3.1310306477545069E-2</v>
      </c>
      <c r="AF61" s="5">
        <f>VLOOKUP(AF$1&amp;$A61,배당편집!$M$2:$T$2710,8,FALSE)</f>
        <v>6.0732713038533337E-2</v>
      </c>
    </row>
    <row r="62" spans="1:32" ht="16.5" customHeight="1">
      <c r="A62" s="3">
        <v>2017</v>
      </c>
      <c r="B62" s="3">
        <v>1</v>
      </c>
      <c r="C62" s="5">
        <f>VLOOKUP(C$1&amp;$A62,배당편집!$M$2:$T$2710,8,FALSE)</f>
        <v>0.10756634324828984</v>
      </c>
      <c r="D62" s="5">
        <f>VLOOKUP(D$1&amp;$A62,배당편집!$M$2:$T$2710,8,FALSE)</f>
        <v>3.9594988207552584E-2</v>
      </c>
      <c r="E62" s="5">
        <f>VLOOKUP(E$1&amp;$A62,배당편집!$M$2:$T$2710,8,FALSE)</f>
        <v>0.20112443398143132</v>
      </c>
      <c r="F62" s="5">
        <f>VLOOKUP(F$1&amp;$A62,배당편집!$M$2:$T$2710,8,FALSE)</f>
        <v>7.1837203563014818E-2</v>
      </c>
      <c r="G62" s="5">
        <f>VLOOKUP(G$1&amp;$A62,배당편집!$M$2:$T$2710,8,FALSE)</f>
        <v>9.7975579958707426E-2</v>
      </c>
      <c r="H62" s="5">
        <f>VLOOKUP(H$1&amp;$A62,배당편집!$M$2:$T$2710,8,FALSE)</f>
        <v>5.9223841048812176E-2</v>
      </c>
      <c r="I62" s="5">
        <f>VLOOKUP(I$1&amp;$A62,배당편집!$M$2:$T$2710,8,FALSE)</f>
        <v>3.7604047981727673E-2</v>
      </c>
      <c r="J62" s="5">
        <f>VLOOKUP(J$1&amp;$A62,배당편집!$M$2:$T$2710,8,FALSE)</f>
        <v>2.6704189153420987E-2</v>
      </c>
      <c r="K62" s="5">
        <f>VLOOKUP(K$1&amp;$A62,배당편집!$M$2:$T$2710,8,FALSE)</f>
        <v>0.10852777381398138</v>
      </c>
      <c r="L62" s="5">
        <f>VLOOKUP(L$1&amp;$A62,배당편집!$M$2:$T$2710,8,FALSE)</f>
        <v>0.1486983549970351</v>
      </c>
      <c r="M62" s="5">
        <f>VLOOKUP(M$1&amp;$A62,배당편집!$M$2:$T$2710,8,FALSE)</f>
        <v>0.12543954530480295</v>
      </c>
      <c r="N62" s="5">
        <f>VLOOKUP(N$1&amp;$A62,배당편집!$M$2:$T$2710,8,FALSE)</f>
        <v>3.7137289336648172E-2</v>
      </c>
      <c r="O62" s="5">
        <f>VLOOKUP(O$1&amp;$A62,배당편집!$M$2:$T$2710,8,FALSE)</f>
        <v>8.2202981921446039E-2</v>
      </c>
      <c r="P62" s="5">
        <f>VLOOKUP(P$1&amp;$A62,배당편집!$M$2:$T$2710,8,FALSE)</f>
        <v>4.9828251203444696E-2</v>
      </c>
      <c r="Q62" s="5">
        <f>VLOOKUP(Q$1&amp;$A62,배당편집!$M$2:$T$2710,8,FALSE)</f>
        <v>7.0145984594375044E-2</v>
      </c>
      <c r="R62" s="5">
        <f>VLOOKUP(R$1&amp;$A62,배당편집!$M$2:$T$2710,8,FALSE)</f>
        <v>5.4577943305794463E-2</v>
      </c>
      <c r="S62" s="5">
        <f>VLOOKUP(S$1&amp;$A62,배당편집!$M$2:$T$2710,8,FALSE)</f>
        <v>6.3995312815083638E-2</v>
      </c>
      <c r="T62" s="5">
        <f>VLOOKUP(T$1&amp;$A62,배당편집!$M$2:$T$2710,8,FALSE)</f>
        <v>0.10088802295684807</v>
      </c>
      <c r="U62" s="5">
        <f>VLOOKUP(U$1&amp;$A62,배당편집!$M$2:$T$2710,8,FALSE)</f>
        <v>0.28473515712343933</v>
      </c>
      <c r="V62" s="5">
        <f>VLOOKUP(V$1&amp;$A62,배당편집!$M$2:$T$2710,8,FALSE)</f>
        <v>0.17781622215659043</v>
      </c>
      <c r="W62" s="5">
        <f>VLOOKUP(W$1&amp;$A62,배당편집!$M$2:$T$2710,8,FALSE)</f>
        <v>0.20112443398143109</v>
      </c>
      <c r="X62" s="5">
        <f>VLOOKUP(X$1&amp;$A62,배당편집!$M$2:$T$2710,8,FALSE)</f>
        <v>7.0145984594375044E-2</v>
      </c>
      <c r="Y62" s="5">
        <f>VLOOKUP(Y$1&amp;$A62,배당편집!$M$2:$T$2710,8,FALSE)</f>
        <v>0.1109534595426207</v>
      </c>
      <c r="Z62" s="5">
        <f>VLOOKUP(Z$1&amp;$A62,배당편집!$M$2:$T$2710,8,FALSE)</f>
        <v>3.2324379535307868E-2</v>
      </c>
      <c r="AA62" s="5">
        <f>VLOOKUP(AA$1&amp;$A62,배당편집!$M$2:$T$2710,8,FALSE)</f>
        <v>0.12829427864416676</v>
      </c>
      <c r="AB62" s="5">
        <f>VLOOKUP(AB$1&amp;$A62,배당편집!$M$2:$T$2710,8,FALSE)</f>
        <v>0.17169054553092655</v>
      </c>
      <c r="AC62" s="5">
        <f>VLOOKUP(AC$1&amp;$A62,배당편집!$M$2:$T$2710,8,FALSE)</f>
        <v>2.7066087089351765E-2</v>
      </c>
      <c r="AD62" s="5">
        <f>VLOOKUP(AD$1&amp;$A62,배당편집!$M$2:$T$2710,8,FALSE)</f>
        <v>7.6107236755172503E-2</v>
      </c>
      <c r="AE62" s="5">
        <f>VLOOKUP(AE$1&amp;$A62,배당편집!$M$2:$T$2710,8,FALSE)</f>
        <v>4.3167563810134979E-2</v>
      </c>
      <c r="AF62" s="5">
        <f>VLOOKUP(AF$1&amp;$A62,배당편집!$M$2:$T$2710,8,FALSE)</f>
        <v>6.9124851069322091E-2</v>
      </c>
    </row>
    <row r="63" spans="1:32" ht="16.5" customHeight="1">
      <c r="A63" s="3">
        <v>2017</v>
      </c>
      <c r="B63" s="3">
        <v>2</v>
      </c>
      <c r="C63" s="5">
        <f>VLOOKUP(C$1&amp;$A63,배당편집!$M$2:$T$2710,8,FALSE)</f>
        <v>0.10756634324828984</v>
      </c>
      <c r="D63" s="5">
        <f>VLOOKUP(D$1&amp;$A63,배당편집!$M$2:$T$2710,8,FALSE)</f>
        <v>3.9594988207552584E-2</v>
      </c>
      <c r="E63" s="5">
        <f>VLOOKUP(E$1&amp;$A63,배당편집!$M$2:$T$2710,8,FALSE)</f>
        <v>0.20112443398143132</v>
      </c>
      <c r="F63" s="5">
        <f>VLOOKUP(F$1&amp;$A63,배당편집!$M$2:$T$2710,8,FALSE)</f>
        <v>7.1837203563014818E-2</v>
      </c>
      <c r="G63" s="5">
        <f>VLOOKUP(G$1&amp;$A63,배당편집!$M$2:$T$2710,8,FALSE)</f>
        <v>9.7975579958707426E-2</v>
      </c>
      <c r="H63" s="5">
        <f>VLOOKUP(H$1&amp;$A63,배당편집!$M$2:$T$2710,8,FALSE)</f>
        <v>5.9223841048812176E-2</v>
      </c>
      <c r="I63" s="5">
        <f>VLOOKUP(I$1&amp;$A63,배당편집!$M$2:$T$2710,8,FALSE)</f>
        <v>3.7604047981727673E-2</v>
      </c>
      <c r="J63" s="5">
        <f>VLOOKUP(J$1&amp;$A63,배당편집!$M$2:$T$2710,8,FALSE)</f>
        <v>2.6704189153420987E-2</v>
      </c>
      <c r="K63" s="5">
        <f>VLOOKUP(K$1&amp;$A63,배당편집!$M$2:$T$2710,8,FALSE)</f>
        <v>0.10852777381398138</v>
      </c>
      <c r="L63" s="5">
        <f>VLOOKUP(L$1&amp;$A63,배당편집!$M$2:$T$2710,8,FALSE)</f>
        <v>0.1486983549970351</v>
      </c>
      <c r="M63" s="5">
        <f>VLOOKUP(M$1&amp;$A63,배당편집!$M$2:$T$2710,8,FALSE)</f>
        <v>0.12543954530480295</v>
      </c>
      <c r="N63" s="5">
        <f>VLOOKUP(N$1&amp;$A63,배당편집!$M$2:$T$2710,8,FALSE)</f>
        <v>3.7137289336648172E-2</v>
      </c>
      <c r="O63" s="5">
        <f>VLOOKUP(O$1&amp;$A63,배당편집!$M$2:$T$2710,8,FALSE)</f>
        <v>8.2202981921446039E-2</v>
      </c>
      <c r="P63" s="5">
        <f>VLOOKUP(P$1&amp;$A63,배당편집!$M$2:$T$2710,8,FALSE)</f>
        <v>4.9828251203444696E-2</v>
      </c>
      <c r="Q63" s="5">
        <f>VLOOKUP(Q$1&amp;$A63,배당편집!$M$2:$T$2710,8,FALSE)</f>
        <v>7.0145984594375044E-2</v>
      </c>
      <c r="R63" s="5">
        <f>VLOOKUP(R$1&amp;$A63,배당편집!$M$2:$T$2710,8,FALSE)</f>
        <v>5.4577943305794463E-2</v>
      </c>
      <c r="S63" s="5">
        <f>VLOOKUP(S$1&amp;$A63,배당편집!$M$2:$T$2710,8,FALSE)</f>
        <v>6.3995312815083638E-2</v>
      </c>
      <c r="T63" s="5">
        <f>VLOOKUP(T$1&amp;$A63,배당편집!$M$2:$T$2710,8,FALSE)</f>
        <v>0.10088802295684807</v>
      </c>
      <c r="U63" s="5">
        <f>VLOOKUP(U$1&amp;$A63,배당편집!$M$2:$T$2710,8,FALSE)</f>
        <v>0.28473515712343933</v>
      </c>
      <c r="V63" s="5">
        <f>VLOOKUP(V$1&amp;$A63,배당편집!$M$2:$T$2710,8,FALSE)</f>
        <v>0.17781622215659043</v>
      </c>
      <c r="W63" s="5">
        <f>VLOOKUP(W$1&amp;$A63,배당편집!$M$2:$T$2710,8,FALSE)</f>
        <v>0.20112443398143109</v>
      </c>
      <c r="X63" s="5">
        <f>VLOOKUP(X$1&amp;$A63,배당편집!$M$2:$T$2710,8,FALSE)</f>
        <v>7.0145984594375044E-2</v>
      </c>
      <c r="Y63" s="5">
        <f>VLOOKUP(Y$1&amp;$A63,배당편집!$M$2:$T$2710,8,FALSE)</f>
        <v>0.1109534595426207</v>
      </c>
      <c r="Z63" s="5">
        <f>VLOOKUP(Z$1&amp;$A63,배당편집!$M$2:$T$2710,8,FALSE)</f>
        <v>3.2324379535307868E-2</v>
      </c>
      <c r="AA63" s="5">
        <f>VLOOKUP(AA$1&amp;$A63,배당편집!$M$2:$T$2710,8,FALSE)</f>
        <v>0.12829427864416676</v>
      </c>
      <c r="AB63" s="5">
        <f>VLOOKUP(AB$1&amp;$A63,배당편집!$M$2:$T$2710,8,FALSE)</f>
        <v>0.17169054553092655</v>
      </c>
      <c r="AC63" s="5">
        <f>VLOOKUP(AC$1&amp;$A63,배당편집!$M$2:$T$2710,8,FALSE)</f>
        <v>2.7066087089351765E-2</v>
      </c>
      <c r="AD63" s="5">
        <f>VLOOKUP(AD$1&amp;$A63,배당편집!$M$2:$T$2710,8,FALSE)</f>
        <v>7.6107236755172503E-2</v>
      </c>
      <c r="AE63" s="5">
        <f>VLOOKUP(AE$1&amp;$A63,배당편집!$M$2:$T$2710,8,FALSE)</f>
        <v>4.3167563810134979E-2</v>
      </c>
      <c r="AF63" s="5">
        <f>VLOOKUP(AF$1&amp;$A63,배당편집!$M$2:$T$2710,8,FALSE)</f>
        <v>6.9124851069322091E-2</v>
      </c>
    </row>
    <row r="64" spans="1:32" ht="16.5" customHeight="1">
      <c r="A64" s="3">
        <v>2017</v>
      </c>
      <c r="B64" s="3">
        <v>3</v>
      </c>
      <c r="C64" s="5">
        <f>VLOOKUP(C$1&amp;$A64,배당편집!$M$2:$T$2710,8,FALSE)</f>
        <v>0.10756634324828984</v>
      </c>
      <c r="D64" s="5">
        <f>VLOOKUP(D$1&amp;$A64,배당편집!$M$2:$T$2710,8,FALSE)</f>
        <v>3.9594988207552584E-2</v>
      </c>
      <c r="E64" s="5">
        <f>VLOOKUP(E$1&amp;$A64,배당편집!$M$2:$T$2710,8,FALSE)</f>
        <v>0.20112443398143132</v>
      </c>
      <c r="F64" s="5">
        <f>VLOOKUP(F$1&amp;$A64,배당편집!$M$2:$T$2710,8,FALSE)</f>
        <v>7.1837203563014818E-2</v>
      </c>
      <c r="G64" s="5">
        <f>VLOOKUP(G$1&amp;$A64,배당편집!$M$2:$T$2710,8,FALSE)</f>
        <v>9.7975579958707426E-2</v>
      </c>
      <c r="H64" s="5">
        <f>VLOOKUP(H$1&amp;$A64,배당편집!$M$2:$T$2710,8,FALSE)</f>
        <v>5.9223841048812176E-2</v>
      </c>
      <c r="I64" s="5">
        <f>VLOOKUP(I$1&amp;$A64,배당편집!$M$2:$T$2710,8,FALSE)</f>
        <v>3.7604047981727673E-2</v>
      </c>
      <c r="J64" s="5">
        <f>VLOOKUP(J$1&amp;$A64,배당편집!$M$2:$T$2710,8,FALSE)</f>
        <v>2.6704189153420987E-2</v>
      </c>
      <c r="K64" s="5">
        <f>VLOOKUP(K$1&amp;$A64,배당편집!$M$2:$T$2710,8,FALSE)</f>
        <v>0.10852777381398138</v>
      </c>
      <c r="L64" s="5">
        <f>VLOOKUP(L$1&amp;$A64,배당편집!$M$2:$T$2710,8,FALSE)</f>
        <v>0.1486983549970351</v>
      </c>
      <c r="M64" s="5">
        <f>VLOOKUP(M$1&amp;$A64,배당편집!$M$2:$T$2710,8,FALSE)</f>
        <v>0.12543954530480295</v>
      </c>
      <c r="N64" s="5">
        <f>VLOOKUP(N$1&amp;$A64,배당편집!$M$2:$T$2710,8,FALSE)</f>
        <v>3.7137289336648172E-2</v>
      </c>
      <c r="O64" s="5">
        <f>VLOOKUP(O$1&amp;$A64,배당편집!$M$2:$T$2710,8,FALSE)</f>
        <v>8.2202981921446039E-2</v>
      </c>
      <c r="P64" s="5">
        <f>VLOOKUP(P$1&amp;$A64,배당편집!$M$2:$T$2710,8,FALSE)</f>
        <v>4.9828251203444696E-2</v>
      </c>
      <c r="Q64" s="5">
        <f>VLOOKUP(Q$1&amp;$A64,배당편집!$M$2:$T$2710,8,FALSE)</f>
        <v>7.0145984594375044E-2</v>
      </c>
      <c r="R64" s="5">
        <f>VLOOKUP(R$1&amp;$A64,배당편집!$M$2:$T$2710,8,FALSE)</f>
        <v>5.4577943305794463E-2</v>
      </c>
      <c r="S64" s="5">
        <f>VLOOKUP(S$1&amp;$A64,배당편집!$M$2:$T$2710,8,FALSE)</f>
        <v>6.3995312815083638E-2</v>
      </c>
      <c r="T64" s="5">
        <f>VLOOKUP(T$1&amp;$A64,배당편집!$M$2:$T$2710,8,FALSE)</f>
        <v>0.10088802295684807</v>
      </c>
      <c r="U64" s="5">
        <f>VLOOKUP(U$1&amp;$A64,배당편집!$M$2:$T$2710,8,FALSE)</f>
        <v>0.28473515712343933</v>
      </c>
      <c r="V64" s="5">
        <f>VLOOKUP(V$1&amp;$A64,배당편집!$M$2:$T$2710,8,FALSE)</f>
        <v>0.17781622215659043</v>
      </c>
      <c r="W64" s="5">
        <f>VLOOKUP(W$1&amp;$A64,배당편집!$M$2:$T$2710,8,FALSE)</f>
        <v>0.20112443398143109</v>
      </c>
      <c r="X64" s="5">
        <f>VLOOKUP(X$1&amp;$A64,배당편집!$M$2:$T$2710,8,FALSE)</f>
        <v>7.0145984594375044E-2</v>
      </c>
      <c r="Y64" s="5">
        <f>VLOOKUP(Y$1&amp;$A64,배당편집!$M$2:$T$2710,8,FALSE)</f>
        <v>0.1109534595426207</v>
      </c>
      <c r="Z64" s="5">
        <f>VLOOKUP(Z$1&amp;$A64,배당편집!$M$2:$T$2710,8,FALSE)</f>
        <v>3.2324379535307868E-2</v>
      </c>
      <c r="AA64" s="5">
        <f>VLOOKUP(AA$1&amp;$A64,배당편집!$M$2:$T$2710,8,FALSE)</f>
        <v>0.12829427864416676</v>
      </c>
      <c r="AB64" s="5">
        <f>VLOOKUP(AB$1&amp;$A64,배당편집!$M$2:$T$2710,8,FALSE)</f>
        <v>0.17169054553092655</v>
      </c>
      <c r="AC64" s="5">
        <f>VLOOKUP(AC$1&amp;$A64,배당편집!$M$2:$T$2710,8,FALSE)</f>
        <v>2.7066087089351765E-2</v>
      </c>
      <c r="AD64" s="5">
        <f>VLOOKUP(AD$1&amp;$A64,배당편집!$M$2:$T$2710,8,FALSE)</f>
        <v>7.6107236755172503E-2</v>
      </c>
      <c r="AE64" s="5">
        <f>VLOOKUP(AE$1&amp;$A64,배당편집!$M$2:$T$2710,8,FALSE)</f>
        <v>4.3167563810134979E-2</v>
      </c>
      <c r="AF64" s="5">
        <f>VLOOKUP(AF$1&amp;$A64,배당편집!$M$2:$T$2710,8,FALSE)</f>
        <v>6.9124851069322091E-2</v>
      </c>
    </row>
    <row r="65" spans="1:32" ht="16.5" customHeight="1">
      <c r="A65" s="3">
        <v>2017</v>
      </c>
      <c r="B65" s="3">
        <v>4</v>
      </c>
      <c r="C65" s="5">
        <f>VLOOKUP(C$1&amp;$A65,배당편집!$M$2:$T$2710,8,FALSE)</f>
        <v>0.10756634324828984</v>
      </c>
      <c r="D65" s="5">
        <f>VLOOKUP(D$1&amp;$A65,배당편집!$M$2:$T$2710,8,FALSE)</f>
        <v>3.9594988207552584E-2</v>
      </c>
      <c r="E65" s="5">
        <f>VLOOKUP(E$1&amp;$A65,배당편집!$M$2:$T$2710,8,FALSE)</f>
        <v>0.20112443398143132</v>
      </c>
      <c r="F65" s="5">
        <f>VLOOKUP(F$1&amp;$A65,배당편집!$M$2:$T$2710,8,FALSE)</f>
        <v>7.1837203563014818E-2</v>
      </c>
      <c r="G65" s="5">
        <f>VLOOKUP(G$1&amp;$A65,배당편집!$M$2:$T$2710,8,FALSE)</f>
        <v>9.7975579958707426E-2</v>
      </c>
      <c r="H65" s="5">
        <f>VLOOKUP(H$1&amp;$A65,배당편집!$M$2:$T$2710,8,FALSE)</f>
        <v>5.9223841048812176E-2</v>
      </c>
      <c r="I65" s="5">
        <f>VLOOKUP(I$1&amp;$A65,배당편집!$M$2:$T$2710,8,FALSE)</f>
        <v>3.7604047981727673E-2</v>
      </c>
      <c r="J65" s="5">
        <f>VLOOKUP(J$1&amp;$A65,배당편집!$M$2:$T$2710,8,FALSE)</f>
        <v>2.6704189153420987E-2</v>
      </c>
      <c r="K65" s="5">
        <f>VLOOKUP(K$1&amp;$A65,배당편집!$M$2:$T$2710,8,FALSE)</f>
        <v>0.10852777381398138</v>
      </c>
      <c r="L65" s="5">
        <f>VLOOKUP(L$1&amp;$A65,배당편집!$M$2:$T$2710,8,FALSE)</f>
        <v>0.1486983549970351</v>
      </c>
      <c r="M65" s="5">
        <f>VLOOKUP(M$1&amp;$A65,배당편집!$M$2:$T$2710,8,FALSE)</f>
        <v>0.12543954530480295</v>
      </c>
      <c r="N65" s="5">
        <f>VLOOKUP(N$1&amp;$A65,배당편집!$M$2:$T$2710,8,FALSE)</f>
        <v>3.7137289336648172E-2</v>
      </c>
      <c r="O65" s="5">
        <f>VLOOKUP(O$1&amp;$A65,배당편집!$M$2:$T$2710,8,FALSE)</f>
        <v>8.2202981921446039E-2</v>
      </c>
      <c r="P65" s="5">
        <f>VLOOKUP(P$1&amp;$A65,배당편집!$M$2:$T$2710,8,FALSE)</f>
        <v>4.9828251203444696E-2</v>
      </c>
      <c r="Q65" s="5">
        <f>VLOOKUP(Q$1&amp;$A65,배당편집!$M$2:$T$2710,8,FALSE)</f>
        <v>7.0145984594375044E-2</v>
      </c>
      <c r="R65" s="5">
        <f>VLOOKUP(R$1&amp;$A65,배당편집!$M$2:$T$2710,8,FALSE)</f>
        <v>5.4577943305794463E-2</v>
      </c>
      <c r="S65" s="5">
        <f>VLOOKUP(S$1&amp;$A65,배당편집!$M$2:$T$2710,8,FALSE)</f>
        <v>6.3995312815083638E-2</v>
      </c>
      <c r="T65" s="5">
        <f>VLOOKUP(T$1&amp;$A65,배당편집!$M$2:$T$2710,8,FALSE)</f>
        <v>0.10088802295684807</v>
      </c>
      <c r="U65" s="5">
        <f>VLOOKUP(U$1&amp;$A65,배당편집!$M$2:$T$2710,8,FALSE)</f>
        <v>0.28473515712343933</v>
      </c>
      <c r="V65" s="5">
        <f>VLOOKUP(V$1&amp;$A65,배당편집!$M$2:$T$2710,8,FALSE)</f>
        <v>0.17781622215659043</v>
      </c>
      <c r="W65" s="5">
        <f>VLOOKUP(W$1&amp;$A65,배당편집!$M$2:$T$2710,8,FALSE)</f>
        <v>0.20112443398143109</v>
      </c>
      <c r="X65" s="5">
        <f>VLOOKUP(X$1&amp;$A65,배당편집!$M$2:$T$2710,8,FALSE)</f>
        <v>7.0145984594375044E-2</v>
      </c>
      <c r="Y65" s="5">
        <f>VLOOKUP(Y$1&amp;$A65,배당편집!$M$2:$T$2710,8,FALSE)</f>
        <v>0.1109534595426207</v>
      </c>
      <c r="Z65" s="5">
        <f>VLOOKUP(Z$1&amp;$A65,배당편집!$M$2:$T$2710,8,FALSE)</f>
        <v>3.2324379535307868E-2</v>
      </c>
      <c r="AA65" s="5">
        <f>VLOOKUP(AA$1&amp;$A65,배당편집!$M$2:$T$2710,8,FALSE)</f>
        <v>0.12829427864416676</v>
      </c>
      <c r="AB65" s="5">
        <f>VLOOKUP(AB$1&amp;$A65,배당편집!$M$2:$T$2710,8,FALSE)</f>
        <v>0.17169054553092655</v>
      </c>
      <c r="AC65" s="5">
        <f>VLOOKUP(AC$1&amp;$A65,배당편집!$M$2:$T$2710,8,FALSE)</f>
        <v>2.7066087089351765E-2</v>
      </c>
      <c r="AD65" s="5">
        <f>VLOOKUP(AD$1&amp;$A65,배당편집!$M$2:$T$2710,8,FALSE)</f>
        <v>7.6107236755172503E-2</v>
      </c>
      <c r="AE65" s="5">
        <f>VLOOKUP(AE$1&amp;$A65,배당편집!$M$2:$T$2710,8,FALSE)</f>
        <v>4.3167563810134979E-2</v>
      </c>
      <c r="AF65" s="5">
        <f>VLOOKUP(AF$1&amp;$A65,배당편집!$M$2:$T$2710,8,FALSE)</f>
        <v>6.9124851069322091E-2</v>
      </c>
    </row>
    <row r="66" spans="1:32" ht="16.5" customHeight="1">
      <c r="A66" s="3">
        <v>2017</v>
      </c>
      <c r="B66" s="3">
        <v>5</v>
      </c>
      <c r="C66" s="5">
        <f>VLOOKUP(C$1&amp;$A66,배당편집!$M$2:$T$2710,8,FALSE)</f>
        <v>0.10756634324828984</v>
      </c>
      <c r="D66" s="5">
        <f>VLOOKUP(D$1&amp;$A66,배당편집!$M$2:$T$2710,8,FALSE)</f>
        <v>3.9594988207552584E-2</v>
      </c>
      <c r="E66" s="5">
        <f>VLOOKUP(E$1&amp;$A66,배당편집!$M$2:$T$2710,8,FALSE)</f>
        <v>0.20112443398143132</v>
      </c>
      <c r="F66" s="5">
        <f>VLOOKUP(F$1&amp;$A66,배당편집!$M$2:$T$2710,8,FALSE)</f>
        <v>7.1837203563014818E-2</v>
      </c>
      <c r="G66" s="5">
        <f>VLOOKUP(G$1&amp;$A66,배당편집!$M$2:$T$2710,8,FALSE)</f>
        <v>9.7975579958707426E-2</v>
      </c>
      <c r="H66" s="5">
        <f>VLOOKUP(H$1&amp;$A66,배당편집!$M$2:$T$2710,8,FALSE)</f>
        <v>5.9223841048812176E-2</v>
      </c>
      <c r="I66" s="5">
        <f>VLOOKUP(I$1&amp;$A66,배당편집!$M$2:$T$2710,8,FALSE)</f>
        <v>3.7604047981727673E-2</v>
      </c>
      <c r="J66" s="5">
        <f>VLOOKUP(J$1&amp;$A66,배당편집!$M$2:$T$2710,8,FALSE)</f>
        <v>2.6704189153420987E-2</v>
      </c>
      <c r="K66" s="5">
        <f>VLOOKUP(K$1&amp;$A66,배당편집!$M$2:$T$2710,8,FALSE)</f>
        <v>0.10852777381398138</v>
      </c>
      <c r="L66" s="5">
        <f>VLOOKUP(L$1&amp;$A66,배당편집!$M$2:$T$2710,8,FALSE)</f>
        <v>0.1486983549970351</v>
      </c>
      <c r="M66" s="5">
        <f>VLOOKUP(M$1&amp;$A66,배당편집!$M$2:$T$2710,8,FALSE)</f>
        <v>0.12543954530480295</v>
      </c>
      <c r="N66" s="5">
        <f>VLOOKUP(N$1&amp;$A66,배당편집!$M$2:$T$2710,8,FALSE)</f>
        <v>3.7137289336648172E-2</v>
      </c>
      <c r="O66" s="5">
        <f>VLOOKUP(O$1&amp;$A66,배당편집!$M$2:$T$2710,8,FALSE)</f>
        <v>8.2202981921446039E-2</v>
      </c>
      <c r="P66" s="5">
        <f>VLOOKUP(P$1&amp;$A66,배당편집!$M$2:$T$2710,8,FALSE)</f>
        <v>4.9828251203444696E-2</v>
      </c>
      <c r="Q66" s="5">
        <f>VLOOKUP(Q$1&amp;$A66,배당편집!$M$2:$T$2710,8,FALSE)</f>
        <v>7.0145984594375044E-2</v>
      </c>
      <c r="R66" s="5">
        <f>VLOOKUP(R$1&amp;$A66,배당편집!$M$2:$T$2710,8,FALSE)</f>
        <v>5.4577943305794463E-2</v>
      </c>
      <c r="S66" s="5">
        <f>VLOOKUP(S$1&amp;$A66,배당편집!$M$2:$T$2710,8,FALSE)</f>
        <v>6.3995312815083638E-2</v>
      </c>
      <c r="T66" s="5">
        <f>VLOOKUP(T$1&amp;$A66,배당편집!$M$2:$T$2710,8,FALSE)</f>
        <v>0.10088802295684807</v>
      </c>
      <c r="U66" s="5">
        <f>VLOOKUP(U$1&amp;$A66,배당편집!$M$2:$T$2710,8,FALSE)</f>
        <v>0.28473515712343933</v>
      </c>
      <c r="V66" s="5">
        <f>VLOOKUP(V$1&amp;$A66,배당편집!$M$2:$T$2710,8,FALSE)</f>
        <v>0.17781622215659043</v>
      </c>
      <c r="W66" s="5">
        <f>VLOOKUP(W$1&amp;$A66,배당편집!$M$2:$T$2710,8,FALSE)</f>
        <v>0.20112443398143109</v>
      </c>
      <c r="X66" s="5">
        <f>VLOOKUP(X$1&amp;$A66,배당편집!$M$2:$T$2710,8,FALSE)</f>
        <v>7.0145984594375044E-2</v>
      </c>
      <c r="Y66" s="5">
        <f>VLOOKUP(Y$1&amp;$A66,배당편집!$M$2:$T$2710,8,FALSE)</f>
        <v>0.1109534595426207</v>
      </c>
      <c r="Z66" s="5">
        <f>VLOOKUP(Z$1&amp;$A66,배당편집!$M$2:$T$2710,8,FALSE)</f>
        <v>3.2324379535307868E-2</v>
      </c>
      <c r="AA66" s="5">
        <f>VLOOKUP(AA$1&amp;$A66,배당편집!$M$2:$T$2710,8,FALSE)</f>
        <v>0.12829427864416676</v>
      </c>
      <c r="AB66" s="5">
        <f>VLOOKUP(AB$1&amp;$A66,배당편집!$M$2:$T$2710,8,FALSE)</f>
        <v>0.17169054553092655</v>
      </c>
      <c r="AC66" s="5">
        <f>VLOOKUP(AC$1&amp;$A66,배당편집!$M$2:$T$2710,8,FALSE)</f>
        <v>2.7066087089351765E-2</v>
      </c>
      <c r="AD66" s="5">
        <f>VLOOKUP(AD$1&amp;$A66,배당편집!$M$2:$T$2710,8,FALSE)</f>
        <v>7.6107236755172503E-2</v>
      </c>
      <c r="AE66" s="5">
        <f>VLOOKUP(AE$1&amp;$A66,배당편집!$M$2:$T$2710,8,FALSE)</f>
        <v>4.3167563810134979E-2</v>
      </c>
      <c r="AF66" s="5">
        <f>VLOOKUP(AF$1&amp;$A66,배당편집!$M$2:$T$2710,8,FALSE)</f>
        <v>6.9124851069322091E-2</v>
      </c>
    </row>
    <row r="67" spans="1:32" ht="16.5" customHeight="1">
      <c r="A67" s="3">
        <v>2017</v>
      </c>
      <c r="B67" s="3">
        <v>6</v>
      </c>
      <c r="C67" s="5">
        <f>VLOOKUP(C$1&amp;$A67,배당편집!$M$2:$T$2710,8,FALSE)</f>
        <v>0.10756634324828984</v>
      </c>
      <c r="D67" s="5">
        <f>VLOOKUP(D$1&amp;$A67,배당편집!$M$2:$T$2710,8,FALSE)</f>
        <v>3.9594988207552584E-2</v>
      </c>
      <c r="E67" s="5">
        <f>VLOOKUP(E$1&amp;$A67,배당편집!$M$2:$T$2710,8,FALSE)</f>
        <v>0.20112443398143132</v>
      </c>
      <c r="F67" s="5">
        <f>VLOOKUP(F$1&amp;$A67,배당편집!$M$2:$T$2710,8,FALSE)</f>
        <v>7.1837203563014818E-2</v>
      </c>
      <c r="G67" s="5">
        <f>VLOOKUP(G$1&amp;$A67,배당편집!$M$2:$T$2710,8,FALSE)</f>
        <v>9.7975579958707426E-2</v>
      </c>
      <c r="H67" s="5">
        <f>VLOOKUP(H$1&amp;$A67,배당편집!$M$2:$T$2710,8,FALSE)</f>
        <v>5.9223841048812176E-2</v>
      </c>
      <c r="I67" s="5">
        <f>VLOOKUP(I$1&amp;$A67,배당편집!$M$2:$T$2710,8,FALSE)</f>
        <v>3.7604047981727673E-2</v>
      </c>
      <c r="J67" s="5">
        <f>VLOOKUP(J$1&amp;$A67,배당편집!$M$2:$T$2710,8,FALSE)</f>
        <v>2.6704189153420987E-2</v>
      </c>
      <c r="K67" s="5">
        <f>VLOOKUP(K$1&amp;$A67,배당편집!$M$2:$T$2710,8,FALSE)</f>
        <v>0.10852777381398138</v>
      </c>
      <c r="L67" s="5">
        <f>VLOOKUP(L$1&amp;$A67,배당편집!$M$2:$T$2710,8,FALSE)</f>
        <v>0.1486983549970351</v>
      </c>
      <c r="M67" s="5">
        <f>VLOOKUP(M$1&amp;$A67,배당편집!$M$2:$T$2710,8,FALSE)</f>
        <v>0.12543954530480295</v>
      </c>
      <c r="N67" s="5">
        <f>VLOOKUP(N$1&amp;$A67,배당편집!$M$2:$T$2710,8,FALSE)</f>
        <v>3.7137289336648172E-2</v>
      </c>
      <c r="O67" s="5">
        <f>VLOOKUP(O$1&amp;$A67,배당편집!$M$2:$T$2710,8,FALSE)</f>
        <v>8.2202981921446039E-2</v>
      </c>
      <c r="P67" s="5">
        <f>VLOOKUP(P$1&amp;$A67,배당편집!$M$2:$T$2710,8,FALSE)</f>
        <v>4.9828251203444696E-2</v>
      </c>
      <c r="Q67" s="5">
        <f>VLOOKUP(Q$1&amp;$A67,배당편집!$M$2:$T$2710,8,FALSE)</f>
        <v>7.0145984594375044E-2</v>
      </c>
      <c r="R67" s="5">
        <f>VLOOKUP(R$1&amp;$A67,배당편집!$M$2:$T$2710,8,FALSE)</f>
        <v>5.4577943305794463E-2</v>
      </c>
      <c r="S67" s="5">
        <f>VLOOKUP(S$1&amp;$A67,배당편집!$M$2:$T$2710,8,FALSE)</f>
        <v>6.3995312815083638E-2</v>
      </c>
      <c r="T67" s="5">
        <f>VLOOKUP(T$1&amp;$A67,배당편집!$M$2:$T$2710,8,FALSE)</f>
        <v>0.10088802295684807</v>
      </c>
      <c r="U67" s="5">
        <f>VLOOKUP(U$1&amp;$A67,배당편집!$M$2:$T$2710,8,FALSE)</f>
        <v>0.28473515712343933</v>
      </c>
      <c r="V67" s="5">
        <f>VLOOKUP(V$1&amp;$A67,배당편집!$M$2:$T$2710,8,FALSE)</f>
        <v>0.17781622215659043</v>
      </c>
      <c r="W67" s="5">
        <f>VLOOKUP(W$1&amp;$A67,배당편집!$M$2:$T$2710,8,FALSE)</f>
        <v>0.20112443398143109</v>
      </c>
      <c r="X67" s="5">
        <f>VLOOKUP(X$1&amp;$A67,배당편집!$M$2:$T$2710,8,FALSE)</f>
        <v>7.0145984594375044E-2</v>
      </c>
      <c r="Y67" s="5">
        <f>VLOOKUP(Y$1&amp;$A67,배당편집!$M$2:$T$2710,8,FALSE)</f>
        <v>0.1109534595426207</v>
      </c>
      <c r="Z67" s="5">
        <f>VLOOKUP(Z$1&amp;$A67,배당편집!$M$2:$T$2710,8,FALSE)</f>
        <v>3.2324379535307868E-2</v>
      </c>
      <c r="AA67" s="5">
        <f>VLOOKUP(AA$1&amp;$A67,배당편집!$M$2:$T$2710,8,FALSE)</f>
        <v>0.12829427864416676</v>
      </c>
      <c r="AB67" s="5">
        <f>VLOOKUP(AB$1&amp;$A67,배당편집!$M$2:$T$2710,8,FALSE)</f>
        <v>0.17169054553092655</v>
      </c>
      <c r="AC67" s="5">
        <f>VLOOKUP(AC$1&amp;$A67,배당편집!$M$2:$T$2710,8,FALSE)</f>
        <v>2.7066087089351765E-2</v>
      </c>
      <c r="AD67" s="5">
        <f>VLOOKUP(AD$1&amp;$A67,배당편집!$M$2:$T$2710,8,FALSE)</f>
        <v>7.6107236755172503E-2</v>
      </c>
      <c r="AE67" s="5">
        <f>VLOOKUP(AE$1&amp;$A67,배당편집!$M$2:$T$2710,8,FALSE)</f>
        <v>4.3167563810134979E-2</v>
      </c>
      <c r="AF67" s="5">
        <f>VLOOKUP(AF$1&amp;$A67,배당편집!$M$2:$T$2710,8,FALSE)</f>
        <v>6.9124851069322091E-2</v>
      </c>
    </row>
    <row r="68" spans="1:32" ht="16.5" customHeight="1">
      <c r="A68" s="3">
        <v>2017</v>
      </c>
      <c r="B68" s="3">
        <v>7</v>
      </c>
      <c r="C68" s="5">
        <f>VLOOKUP(C$1&amp;$A68,배당편집!$M$2:$T$2710,8,FALSE)</f>
        <v>0.10756634324828984</v>
      </c>
      <c r="D68" s="5">
        <f>VLOOKUP(D$1&amp;$A68,배당편집!$M$2:$T$2710,8,FALSE)</f>
        <v>3.9594988207552584E-2</v>
      </c>
      <c r="E68" s="5">
        <f>VLOOKUP(E$1&amp;$A68,배당편집!$M$2:$T$2710,8,FALSE)</f>
        <v>0.20112443398143132</v>
      </c>
      <c r="F68" s="5">
        <f>VLOOKUP(F$1&amp;$A68,배당편집!$M$2:$T$2710,8,FALSE)</f>
        <v>7.1837203563014818E-2</v>
      </c>
      <c r="G68" s="5">
        <f>VLOOKUP(G$1&amp;$A68,배당편집!$M$2:$T$2710,8,FALSE)</f>
        <v>9.7975579958707426E-2</v>
      </c>
      <c r="H68" s="5">
        <f>VLOOKUP(H$1&amp;$A68,배당편집!$M$2:$T$2710,8,FALSE)</f>
        <v>5.9223841048812176E-2</v>
      </c>
      <c r="I68" s="5">
        <f>VLOOKUP(I$1&amp;$A68,배당편집!$M$2:$T$2710,8,FALSE)</f>
        <v>3.7604047981727673E-2</v>
      </c>
      <c r="J68" s="5">
        <f>VLOOKUP(J$1&amp;$A68,배당편집!$M$2:$T$2710,8,FALSE)</f>
        <v>2.6704189153420987E-2</v>
      </c>
      <c r="K68" s="5">
        <f>VLOOKUP(K$1&amp;$A68,배당편집!$M$2:$T$2710,8,FALSE)</f>
        <v>0.10852777381398138</v>
      </c>
      <c r="L68" s="5">
        <f>VLOOKUP(L$1&amp;$A68,배당편집!$M$2:$T$2710,8,FALSE)</f>
        <v>0.1486983549970351</v>
      </c>
      <c r="M68" s="5">
        <f>VLOOKUP(M$1&amp;$A68,배당편집!$M$2:$T$2710,8,FALSE)</f>
        <v>0.12543954530480295</v>
      </c>
      <c r="N68" s="5">
        <f>VLOOKUP(N$1&amp;$A68,배당편집!$M$2:$T$2710,8,FALSE)</f>
        <v>3.7137289336648172E-2</v>
      </c>
      <c r="O68" s="5">
        <f>VLOOKUP(O$1&amp;$A68,배당편집!$M$2:$T$2710,8,FALSE)</f>
        <v>8.2202981921446039E-2</v>
      </c>
      <c r="P68" s="5">
        <f>VLOOKUP(P$1&amp;$A68,배당편집!$M$2:$T$2710,8,FALSE)</f>
        <v>4.9828251203444696E-2</v>
      </c>
      <c r="Q68" s="5">
        <f>VLOOKUP(Q$1&amp;$A68,배당편집!$M$2:$T$2710,8,FALSE)</f>
        <v>7.0145984594375044E-2</v>
      </c>
      <c r="R68" s="5">
        <f>VLOOKUP(R$1&amp;$A68,배당편집!$M$2:$T$2710,8,FALSE)</f>
        <v>5.4577943305794463E-2</v>
      </c>
      <c r="S68" s="5">
        <f>VLOOKUP(S$1&amp;$A68,배당편집!$M$2:$T$2710,8,FALSE)</f>
        <v>6.3995312815083638E-2</v>
      </c>
      <c r="T68" s="5">
        <f>VLOOKUP(T$1&amp;$A68,배당편집!$M$2:$T$2710,8,FALSE)</f>
        <v>0.10088802295684807</v>
      </c>
      <c r="U68" s="5">
        <f>VLOOKUP(U$1&amp;$A68,배당편집!$M$2:$T$2710,8,FALSE)</f>
        <v>0.28473515712343933</v>
      </c>
      <c r="V68" s="5">
        <f>VLOOKUP(V$1&amp;$A68,배당편집!$M$2:$T$2710,8,FALSE)</f>
        <v>0.17781622215659043</v>
      </c>
      <c r="W68" s="5">
        <f>VLOOKUP(W$1&amp;$A68,배당편집!$M$2:$T$2710,8,FALSE)</f>
        <v>0.20112443398143109</v>
      </c>
      <c r="X68" s="5">
        <f>VLOOKUP(X$1&amp;$A68,배당편집!$M$2:$T$2710,8,FALSE)</f>
        <v>7.0145984594375044E-2</v>
      </c>
      <c r="Y68" s="5">
        <f>VLOOKUP(Y$1&amp;$A68,배당편집!$M$2:$T$2710,8,FALSE)</f>
        <v>0.1109534595426207</v>
      </c>
      <c r="Z68" s="5">
        <f>VLOOKUP(Z$1&amp;$A68,배당편집!$M$2:$T$2710,8,FALSE)</f>
        <v>3.2324379535307868E-2</v>
      </c>
      <c r="AA68" s="5">
        <f>VLOOKUP(AA$1&amp;$A68,배당편집!$M$2:$T$2710,8,FALSE)</f>
        <v>0.12829427864416676</v>
      </c>
      <c r="AB68" s="5">
        <f>VLOOKUP(AB$1&amp;$A68,배당편집!$M$2:$T$2710,8,FALSE)</f>
        <v>0.17169054553092655</v>
      </c>
      <c r="AC68" s="5">
        <f>VLOOKUP(AC$1&amp;$A68,배당편집!$M$2:$T$2710,8,FALSE)</f>
        <v>2.7066087089351765E-2</v>
      </c>
      <c r="AD68" s="5">
        <f>VLOOKUP(AD$1&amp;$A68,배당편집!$M$2:$T$2710,8,FALSE)</f>
        <v>7.6107236755172503E-2</v>
      </c>
      <c r="AE68" s="5">
        <f>VLOOKUP(AE$1&amp;$A68,배당편집!$M$2:$T$2710,8,FALSE)</f>
        <v>4.3167563810134979E-2</v>
      </c>
      <c r="AF68" s="5">
        <f>VLOOKUP(AF$1&amp;$A68,배당편집!$M$2:$T$2710,8,FALSE)</f>
        <v>6.9124851069322091E-2</v>
      </c>
    </row>
    <row r="69" spans="1:32" ht="16.5" customHeight="1">
      <c r="A69" s="3">
        <v>2017</v>
      </c>
      <c r="B69" s="3">
        <v>8</v>
      </c>
      <c r="C69" s="5">
        <f>VLOOKUP(C$1&amp;$A69,배당편집!$M$2:$T$2710,8,FALSE)</f>
        <v>0.10756634324828984</v>
      </c>
      <c r="D69" s="5">
        <f>VLOOKUP(D$1&amp;$A69,배당편집!$M$2:$T$2710,8,FALSE)</f>
        <v>3.9594988207552584E-2</v>
      </c>
      <c r="E69" s="5">
        <f>VLOOKUP(E$1&amp;$A69,배당편집!$M$2:$T$2710,8,FALSE)</f>
        <v>0.20112443398143132</v>
      </c>
      <c r="F69" s="5">
        <f>VLOOKUP(F$1&amp;$A69,배당편집!$M$2:$T$2710,8,FALSE)</f>
        <v>7.1837203563014818E-2</v>
      </c>
      <c r="G69" s="5">
        <f>VLOOKUP(G$1&amp;$A69,배당편집!$M$2:$T$2710,8,FALSE)</f>
        <v>9.7975579958707426E-2</v>
      </c>
      <c r="H69" s="5">
        <f>VLOOKUP(H$1&amp;$A69,배당편집!$M$2:$T$2710,8,FALSE)</f>
        <v>5.9223841048812176E-2</v>
      </c>
      <c r="I69" s="5">
        <f>VLOOKUP(I$1&amp;$A69,배당편집!$M$2:$T$2710,8,FALSE)</f>
        <v>3.7604047981727673E-2</v>
      </c>
      <c r="J69" s="5">
        <f>VLOOKUP(J$1&amp;$A69,배당편집!$M$2:$T$2710,8,FALSE)</f>
        <v>2.6704189153420987E-2</v>
      </c>
      <c r="K69" s="5">
        <f>VLOOKUP(K$1&amp;$A69,배당편집!$M$2:$T$2710,8,FALSE)</f>
        <v>0.10852777381398138</v>
      </c>
      <c r="L69" s="5">
        <f>VLOOKUP(L$1&amp;$A69,배당편집!$M$2:$T$2710,8,FALSE)</f>
        <v>0.1486983549970351</v>
      </c>
      <c r="M69" s="5">
        <f>VLOOKUP(M$1&amp;$A69,배당편집!$M$2:$T$2710,8,FALSE)</f>
        <v>0.12543954530480295</v>
      </c>
      <c r="N69" s="5">
        <f>VLOOKUP(N$1&amp;$A69,배당편집!$M$2:$T$2710,8,FALSE)</f>
        <v>3.7137289336648172E-2</v>
      </c>
      <c r="O69" s="5">
        <f>VLOOKUP(O$1&amp;$A69,배당편집!$M$2:$T$2710,8,FALSE)</f>
        <v>8.2202981921446039E-2</v>
      </c>
      <c r="P69" s="5">
        <f>VLOOKUP(P$1&amp;$A69,배당편집!$M$2:$T$2710,8,FALSE)</f>
        <v>4.9828251203444696E-2</v>
      </c>
      <c r="Q69" s="5">
        <f>VLOOKUP(Q$1&amp;$A69,배당편집!$M$2:$T$2710,8,FALSE)</f>
        <v>7.0145984594375044E-2</v>
      </c>
      <c r="R69" s="5">
        <f>VLOOKUP(R$1&amp;$A69,배당편집!$M$2:$T$2710,8,FALSE)</f>
        <v>5.4577943305794463E-2</v>
      </c>
      <c r="S69" s="5">
        <f>VLOOKUP(S$1&amp;$A69,배당편집!$M$2:$T$2710,8,FALSE)</f>
        <v>6.3995312815083638E-2</v>
      </c>
      <c r="T69" s="5">
        <f>VLOOKUP(T$1&amp;$A69,배당편집!$M$2:$T$2710,8,FALSE)</f>
        <v>0.10088802295684807</v>
      </c>
      <c r="U69" s="5">
        <f>VLOOKUP(U$1&amp;$A69,배당편집!$M$2:$T$2710,8,FALSE)</f>
        <v>0.28473515712343933</v>
      </c>
      <c r="V69" s="5">
        <f>VLOOKUP(V$1&amp;$A69,배당편집!$M$2:$T$2710,8,FALSE)</f>
        <v>0.17781622215659043</v>
      </c>
      <c r="W69" s="5">
        <f>VLOOKUP(W$1&amp;$A69,배당편집!$M$2:$T$2710,8,FALSE)</f>
        <v>0.20112443398143109</v>
      </c>
      <c r="X69" s="5">
        <f>VLOOKUP(X$1&amp;$A69,배당편집!$M$2:$T$2710,8,FALSE)</f>
        <v>7.0145984594375044E-2</v>
      </c>
      <c r="Y69" s="5">
        <f>VLOOKUP(Y$1&amp;$A69,배당편집!$M$2:$T$2710,8,FALSE)</f>
        <v>0.1109534595426207</v>
      </c>
      <c r="Z69" s="5">
        <f>VLOOKUP(Z$1&amp;$A69,배당편집!$M$2:$T$2710,8,FALSE)</f>
        <v>3.2324379535307868E-2</v>
      </c>
      <c r="AA69" s="5">
        <f>VLOOKUP(AA$1&amp;$A69,배당편집!$M$2:$T$2710,8,FALSE)</f>
        <v>0.12829427864416676</v>
      </c>
      <c r="AB69" s="5">
        <f>VLOOKUP(AB$1&amp;$A69,배당편집!$M$2:$T$2710,8,FALSE)</f>
        <v>0.17169054553092655</v>
      </c>
      <c r="AC69" s="5">
        <f>VLOOKUP(AC$1&amp;$A69,배당편집!$M$2:$T$2710,8,FALSE)</f>
        <v>2.7066087089351765E-2</v>
      </c>
      <c r="AD69" s="5">
        <f>VLOOKUP(AD$1&amp;$A69,배당편집!$M$2:$T$2710,8,FALSE)</f>
        <v>7.6107236755172503E-2</v>
      </c>
      <c r="AE69" s="5">
        <f>VLOOKUP(AE$1&amp;$A69,배당편집!$M$2:$T$2710,8,FALSE)</f>
        <v>4.3167563810134979E-2</v>
      </c>
      <c r="AF69" s="5">
        <f>VLOOKUP(AF$1&amp;$A69,배당편집!$M$2:$T$2710,8,FALSE)</f>
        <v>6.9124851069322091E-2</v>
      </c>
    </row>
    <row r="70" spans="1:32" ht="16.5" customHeight="1">
      <c r="A70" s="3">
        <v>2017</v>
      </c>
      <c r="B70" s="3">
        <v>9</v>
      </c>
      <c r="C70" s="5">
        <f>VLOOKUP(C$1&amp;$A70,배당편집!$M$2:$T$2710,8,FALSE)</f>
        <v>0.10756634324828984</v>
      </c>
      <c r="D70" s="5">
        <f>VLOOKUP(D$1&amp;$A70,배당편집!$M$2:$T$2710,8,FALSE)</f>
        <v>3.9594988207552584E-2</v>
      </c>
      <c r="E70" s="5">
        <f>VLOOKUP(E$1&amp;$A70,배당편집!$M$2:$T$2710,8,FALSE)</f>
        <v>0.20112443398143132</v>
      </c>
      <c r="F70" s="5">
        <f>VLOOKUP(F$1&amp;$A70,배당편집!$M$2:$T$2710,8,FALSE)</f>
        <v>7.1837203563014818E-2</v>
      </c>
      <c r="G70" s="5">
        <f>VLOOKUP(G$1&amp;$A70,배당편집!$M$2:$T$2710,8,FALSE)</f>
        <v>9.7975579958707426E-2</v>
      </c>
      <c r="H70" s="5">
        <f>VLOOKUP(H$1&amp;$A70,배당편집!$M$2:$T$2710,8,FALSE)</f>
        <v>5.9223841048812176E-2</v>
      </c>
      <c r="I70" s="5">
        <f>VLOOKUP(I$1&amp;$A70,배당편집!$M$2:$T$2710,8,FALSE)</f>
        <v>3.7604047981727673E-2</v>
      </c>
      <c r="J70" s="5">
        <f>VLOOKUP(J$1&amp;$A70,배당편집!$M$2:$T$2710,8,FALSE)</f>
        <v>2.6704189153420987E-2</v>
      </c>
      <c r="K70" s="5">
        <f>VLOOKUP(K$1&amp;$A70,배당편집!$M$2:$T$2710,8,FALSE)</f>
        <v>0.10852777381398138</v>
      </c>
      <c r="L70" s="5">
        <f>VLOOKUP(L$1&amp;$A70,배당편집!$M$2:$T$2710,8,FALSE)</f>
        <v>0.1486983549970351</v>
      </c>
      <c r="M70" s="5">
        <f>VLOOKUP(M$1&amp;$A70,배당편집!$M$2:$T$2710,8,FALSE)</f>
        <v>0.12543954530480295</v>
      </c>
      <c r="N70" s="5">
        <f>VLOOKUP(N$1&amp;$A70,배당편집!$M$2:$T$2710,8,FALSE)</f>
        <v>3.7137289336648172E-2</v>
      </c>
      <c r="O70" s="5">
        <f>VLOOKUP(O$1&amp;$A70,배당편집!$M$2:$T$2710,8,FALSE)</f>
        <v>8.2202981921446039E-2</v>
      </c>
      <c r="P70" s="5">
        <f>VLOOKUP(P$1&amp;$A70,배당편집!$M$2:$T$2710,8,FALSE)</f>
        <v>4.9828251203444696E-2</v>
      </c>
      <c r="Q70" s="5">
        <f>VLOOKUP(Q$1&amp;$A70,배당편집!$M$2:$T$2710,8,FALSE)</f>
        <v>7.0145984594375044E-2</v>
      </c>
      <c r="R70" s="5">
        <f>VLOOKUP(R$1&amp;$A70,배당편집!$M$2:$T$2710,8,FALSE)</f>
        <v>5.4577943305794463E-2</v>
      </c>
      <c r="S70" s="5">
        <f>VLOOKUP(S$1&amp;$A70,배당편집!$M$2:$T$2710,8,FALSE)</f>
        <v>6.3995312815083638E-2</v>
      </c>
      <c r="T70" s="5">
        <f>VLOOKUP(T$1&amp;$A70,배당편집!$M$2:$T$2710,8,FALSE)</f>
        <v>0.10088802295684807</v>
      </c>
      <c r="U70" s="5">
        <f>VLOOKUP(U$1&amp;$A70,배당편집!$M$2:$T$2710,8,FALSE)</f>
        <v>0.28473515712343933</v>
      </c>
      <c r="V70" s="5">
        <f>VLOOKUP(V$1&amp;$A70,배당편집!$M$2:$T$2710,8,FALSE)</f>
        <v>0.17781622215659043</v>
      </c>
      <c r="W70" s="5">
        <f>VLOOKUP(W$1&amp;$A70,배당편집!$M$2:$T$2710,8,FALSE)</f>
        <v>0.20112443398143109</v>
      </c>
      <c r="X70" s="5">
        <f>VLOOKUP(X$1&amp;$A70,배당편집!$M$2:$T$2710,8,FALSE)</f>
        <v>7.0145984594375044E-2</v>
      </c>
      <c r="Y70" s="5">
        <f>VLOOKUP(Y$1&amp;$A70,배당편집!$M$2:$T$2710,8,FALSE)</f>
        <v>0.1109534595426207</v>
      </c>
      <c r="Z70" s="5">
        <f>VLOOKUP(Z$1&amp;$A70,배당편집!$M$2:$T$2710,8,FALSE)</f>
        <v>3.2324379535307868E-2</v>
      </c>
      <c r="AA70" s="5">
        <f>VLOOKUP(AA$1&amp;$A70,배당편집!$M$2:$T$2710,8,FALSE)</f>
        <v>0.12829427864416676</v>
      </c>
      <c r="AB70" s="5">
        <f>VLOOKUP(AB$1&amp;$A70,배당편집!$M$2:$T$2710,8,FALSE)</f>
        <v>0.17169054553092655</v>
      </c>
      <c r="AC70" s="5">
        <f>VLOOKUP(AC$1&amp;$A70,배당편집!$M$2:$T$2710,8,FALSE)</f>
        <v>2.7066087089351765E-2</v>
      </c>
      <c r="AD70" s="5">
        <f>VLOOKUP(AD$1&amp;$A70,배당편집!$M$2:$T$2710,8,FALSE)</f>
        <v>7.6107236755172503E-2</v>
      </c>
      <c r="AE70" s="5">
        <f>VLOOKUP(AE$1&amp;$A70,배당편집!$M$2:$T$2710,8,FALSE)</f>
        <v>4.3167563810134979E-2</v>
      </c>
      <c r="AF70" s="5">
        <f>VLOOKUP(AF$1&amp;$A70,배당편집!$M$2:$T$2710,8,FALSE)</f>
        <v>6.9124851069322091E-2</v>
      </c>
    </row>
    <row r="71" spans="1:32" ht="16.5" customHeight="1">
      <c r="A71" s="3">
        <v>2017</v>
      </c>
      <c r="B71" s="3">
        <v>10</v>
      </c>
      <c r="C71" s="5">
        <f>VLOOKUP(C$1&amp;$A71,배당편집!$M$2:$T$2710,8,FALSE)</f>
        <v>0.10756634324828984</v>
      </c>
      <c r="D71" s="5">
        <f>VLOOKUP(D$1&amp;$A71,배당편집!$M$2:$T$2710,8,FALSE)</f>
        <v>3.9594988207552584E-2</v>
      </c>
      <c r="E71" s="5">
        <f>VLOOKUP(E$1&amp;$A71,배당편집!$M$2:$T$2710,8,FALSE)</f>
        <v>0.20112443398143132</v>
      </c>
      <c r="F71" s="5">
        <f>VLOOKUP(F$1&amp;$A71,배당편집!$M$2:$T$2710,8,FALSE)</f>
        <v>7.1837203563014818E-2</v>
      </c>
      <c r="G71" s="5">
        <f>VLOOKUP(G$1&amp;$A71,배당편집!$M$2:$T$2710,8,FALSE)</f>
        <v>9.7975579958707426E-2</v>
      </c>
      <c r="H71" s="5">
        <f>VLOOKUP(H$1&amp;$A71,배당편집!$M$2:$T$2710,8,FALSE)</f>
        <v>5.9223841048812176E-2</v>
      </c>
      <c r="I71" s="5">
        <f>VLOOKUP(I$1&amp;$A71,배당편집!$M$2:$T$2710,8,FALSE)</f>
        <v>3.7604047981727673E-2</v>
      </c>
      <c r="J71" s="5">
        <f>VLOOKUP(J$1&amp;$A71,배당편집!$M$2:$T$2710,8,FALSE)</f>
        <v>2.6704189153420987E-2</v>
      </c>
      <c r="K71" s="5">
        <f>VLOOKUP(K$1&amp;$A71,배당편집!$M$2:$T$2710,8,FALSE)</f>
        <v>0.10852777381398138</v>
      </c>
      <c r="L71" s="5">
        <f>VLOOKUP(L$1&amp;$A71,배당편집!$M$2:$T$2710,8,FALSE)</f>
        <v>0.1486983549970351</v>
      </c>
      <c r="M71" s="5">
        <f>VLOOKUP(M$1&amp;$A71,배당편집!$M$2:$T$2710,8,FALSE)</f>
        <v>0.12543954530480295</v>
      </c>
      <c r="N71" s="5">
        <f>VLOOKUP(N$1&amp;$A71,배당편집!$M$2:$T$2710,8,FALSE)</f>
        <v>3.7137289336648172E-2</v>
      </c>
      <c r="O71" s="5">
        <f>VLOOKUP(O$1&amp;$A71,배당편집!$M$2:$T$2710,8,FALSE)</f>
        <v>8.2202981921446039E-2</v>
      </c>
      <c r="P71" s="5">
        <f>VLOOKUP(P$1&amp;$A71,배당편집!$M$2:$T$2710,8,FALSE)</f>
        <v>4.9828251203444696E-2</v>
      </c>
      <c r="Q71" s="5">
        <f>VLOOKUP(Q$1&amp;$A71,배당편집!$M$2:$T$2710,8,FALSE)</f>
        <v>7.0145984594375044E-2</v>
      </c>
      <c r="R71" s="5">
        <f>VLOOKUP(R$1&amp;$A71,배당편집!$M$2:$T$2710,8,FALSE)</f>
        <v>5.4577943305794463E-2</v>
      </c>
      <c r="S71" s="5">
        <f>VLOOKUP(S$1&amp;$A71,배당편집!$M$2:$T$2710,8,FALSE)</f>
        <v>6.3995312815083638E-2</v>
      </c>
      <c r="T71" s="5">
        <f>VLOOKUP(T$1&amp;$A71,배당편집!$M$2:$T$2710,8,FALSE)</f>
        <v>0.10088802295684807</v>
      </c>
      <c r="U71" s="5">
        <f>VLOOKUP(U$1&amp;$A71,배당편집!$M$2:$T$2710,8,FALSE)</f>
        <v>0.28473515712343933</v>
      </c>
      <c r="V71" s="5">
        <f>VLOOKUP(V$1&amp;$A71,배당편집!$M$2:$T$2710,8,FALSE)</f>
        <v>0.17781622215659043</v>
      </c>
      <c r="W71" s="5">
        <f>VLOOKUP(W$1&amp;$A71,배당편집!$M$2:$T$2710,8,FALSE)</f>
        <v>0.20112443398143109</v>
      </c>
      <c r="X71" s="5">
        <f>VLOOKUP(X$1&amp;$A71,배당편집!$M$2:$T$2710,8,FALSE)</f>
        <v>7.0145984594375044E-2</v>
      </c>
      <c r="Y71" s="5">
        <f>VLOOKUP(Y$1&amp;$A71,배당편집!$M$2:$T$2710,8,FALSE)</f>
        <v>0.1109534595426207</v>
      </c>
      <c r="Z71" s="5">
        <f>VLOOKUP(Z$1&amp;$A71,배당편집!$M$2:$T$2710,8,FALSE)</f>
        <v>3.2324379535307868E-2</v>
      </c>
      <c r="AA71" s="5">
        <f>VLOOKUP(AA$1&amp;$A71,배당편집!$M$2:$T$2710,8,FALSE)</f>
        <v>0.12829427864416676</v>
      </c>
      <c r="AB71" s="5">
        <f>VLOOKUP(AB$1&amp;$A71,배당편집!$M$2:$T$2710,8,FALSE)</f>
        <v>0.17169054553092655</v>
      </c>
      <c r="AC71" s="5">
        <f>VLOOKUP(AC$1&amp;$A71,배당편집!$M$2:$T$2710,8,FALSE)</f>
        <v>2.7066087089351765E-2</v>
      </c>
      <c r="AD71" s="5">
        <f>VLOOKUP(AD$1&amp;$A71,배당편집!$M$2:$T$2710,8,FALSE)</f>
        <v>7.6107236755172503E-2</v>
      </c>
      <c r="AE71" s="5">
        <f>VLOOKUP(AE$1&amp;$A71,배당편집!$M$2:$T$2710,8,FALSE)</f>
        <v>4.3167563810134979E-2</v>
      </c>
      <c r="AF71" s="5">
        <f>VLOOKUP(AF$1&amp;$A71,배당편집!$M$2:$T$2710,8,FALSE)</f>
        <v>6.9124851069322091E-2</v>
      </c>
    </row>
    <row r="72" spans="1:32" ht="16.5" customHeight="1">
      <c r="A72" s="3">
        <v>2017</v>
      </c>
      <c r="B72" s="3">
        <v>11</v>
      </c>
      <c r="C72" s="5">
        <f>VLOOKUP(C$1&amp;$A72,배당편집!$M$2:$T$2710,8,FALSE)</f>
        <v>0.10756634324828984</v>
      </c>
      <c r="D72" s="5">
        <f>VLOOKUP(D$1&amp;$A72,배당편집!$M$2:$T$2710,8,FALSE)</f>
        <v>3.9594988207552584E-2</v>
      </c>
      <c r="E72" s="5">
        <f>VLOOKUP(E$1&amp;$A72,배당편집!$M$2:$T$2710,8,FALSE)</f>
        <v>0.20112443398143132</v>
      </c>
      <c r="F72" s="5">
        <f>VLOOKUP(F$1&amp;$A72,배당편집!$M$2:$T$2710,8,FALSE)</f>
        <v>7.1837203563014818E-2</v>
      </c>
      <c r="G72" s="5">
        <f>VLOOKUP(G$1&amp;$A72,배당편집!$M$2:$T$2710,8,FALSE)</f>
        <v>9.7975579958707426E-2</v>
      </c>
      <c r="H72" s="5">
        <f>VLOOKUP(H$1&amp;$A72,배당편집!$M$2:$T$2710,8,FALSE)</f>
        <v>5.9223841048812176E-2</v>
      </c>
      <c r="I72" s="5">
        <f>VLOOKUP(I$1&amp;$A72,배당편집!$M$2:$T$2710,8,FALSE)</f>
        <v>3.7604047981727673E-2</v>
      </c>
      <c r="J72" s="5">
        <f>VLOOKUP(J$1&amp;$A72,배당편집!$M$2:$T$2710,8,FALSE)</f>
        <v>2.6704189153420987E-2</v>
      </c>
      <c r="K72" s="5">
        <f>VLOOKUP(K$1&amp;$A72,배당편집!$M$2:$T$2710,8,FALSE)</f>
        <v>0.10852777381398138</v>
      </c>
      <c r="L72" s="5">
        <f>VLOOKUP(L$1&amp;$A72,배당편집!$M$2:$T$2710,8,FALSE)</f>
        <v>0.1486983549970351</v>
      </c>
      <c r="M72" s="5">
        <f>VLOOKUP(M$1&amp;$A72,배당편집!$M$2:$T$2710,8,FALSE)</f>
        <v>0.12543954530480295</v>
      </c>
      <c r="N72" s="5">
        <f>VLOOKUP(N$1&amp;$A72,배당편집!$M$2:$T$2710,8,FALSE)</f>
        <v>3.7137289336648172E-2</v>
      </c>
      <c r="O72" s="5">
        <f>VLOOKUP(O$1&amp;$A72,배당편집!$M$2:$T$2710,8,FALSE)</f>
        <v>8.2202981921446039E-2</v>
      </c>
      <c r="P72" s="5">
        <f>VLOOKUP(P$1&amp;$A72,배당편집!$M$2:$T$2710,8,FALSE)</f>
        <v>4.9828251203444696E-2</v>
      </c>
      <c r="Q72" s="5">
        <f>VLOOKUP(Q$1&amp;$A72,배당편집!$M$2:$T$2710,8,FALSE)</f>
        <v>7.0145984594375044E-2</v>
      </c>
      <c r="R72" s="5">
        <f>VLOOKUP(R$1&amp;$A72,배당편집!$M$2:$T$2710,8,FALSE)</f>
        <v>5.4577943305794463E-2</v>
      </c>
      <c r="S72" s="5">
        <f>VLOOKUP(S$1&amp;$A72,배당편집!$M$2:$T$2710,8,FALSE)</f>
        <v>6.3995312815083638E-2</v>
      </c>
      <c r="T72" s="5">
        <f>VLOOKUP(T$1&amp;$A72,배당편집!$M$2:$T$2710,8,FALSE)</f>
        <v>0.10088802295684807</v>
      </c>
      <c r="U72" s="5">
        <f>VLOOKUP(U$1&amp;$A72,배당편집!$M$2:$T$2710,8,FALSE)</f>
        <v>0.28473515712343933</v>
      </c>
      <c r="V72" s="5">
        <f>VLOOKUP(V$1&amp;$A72,배당편집!$M$2:$T$2710,8,FALSE)</f>
        <v>0.17781622215659043</v>
      </c>
      <c r="W72" s="5">
        <f>VLOOKUP(W$1&amp;$A72,배당편집!$M$2:$T$2710,8,FALSE)</f>
        <v>0.20112443398143109</v>
      </c>
      <c r="X72" s="5">
        <f>VLOOKUP(X$1&amp;$A72,배당편집!$M$2:$T$2710,8,FALSE)</f>
        <v>7.0145984594375044E-2</v>
      </c>
      <c r="Y72" s="5">
        <f>VLOOKUP(Y$1&amp;$A72,배당편집!$M$2:$T$2710,8,FALSE)</f>
        <v>0.1109534595426207</v>
      </c>
      <c r="Z72" s="5">
        <f>VLOOKUP(Z$1&amp;$A72,배당편집!$M$2:$T$2710,8,FALSE)</f>
        <v>3.2324379535307868E-2</v>
      </c>
      <c r="AA72" s="5">
        <f>VLOOKUP(AA$1&amp;$A72,배당편집!$M$2:$T$2710,8,FALSE)</f>
        <v>0.12829427864416676</v>
      </c>
      <c r="AB72" s="5">
        <f>VLOOKUP(AB$1&amp;$A72,배당편집!$M$2:$T$2710,8,FALSE)</f>
        <v>0.17169054553092655</v>
      </c>
      <c r="AC72" s="5">
        <f>VLOOKUP(AC$1&amp;$A72,배당편집!$M$2:$T$2710,8,FALSE)</f>
        <v>2.7066087089351765E-2</v>
      </c>
      <c r="AD72" s="5">
        <f>VLOOKUP(AD$1&amp;$A72,배당편집!$M$2:$T$2710,8,FALSE)</f>
        <v>7.6107236755172503E-2</v>
      </c>
      <c r="AE72" s="5">
        <f>VLOOKUP(AE$1&amp;$A72,배당편집!$M$2:$T$2710,8,FALSE)</f>
        <v>4.3167563810134979E-2</v>
      </c>
      <c r="AF72" s="5">
        <f>VLOOKUP(AF$1&amp;$A72,배당편집!$M$2:$T$2710,8,FALSE)</f>
        <v>6.9124851069322091E-2</v>
      </c>
    </row>
    <row r="73" spans="1:32" ht="16.5" customHeight="1">
      <c r="A73" s="3">
        <v>2017</v>
      </c>
      <c r="B73" s="3">
        <v>12</v>
      </c>
      <c r="C73" s="5">
        <f>VLOOKUP(C$1&amp;$A73,배당편집!$M$2:$T$2710,8,FALSE)</f>
        <v>0.10756634324828984</v>
      </c>
      <c r="D73" s="5">
        <f>VLOOKUP(D$1&amp;$A73,배당편집!$M$2:$T$2710,8,FALSE)</f>
        <v>3.9594988207552584E-2</v>
      </c>
      <c r="E73" s="5">
        <f>VLOOKUP(E$1&amp;$A73,배당편집!$M$2:$T$2710,8,FALSE)</f>
        <v>0.20112443398143132</v>
      </c>
      <c r="F73" s="5">
        <f>VLOOKUP(F$1&amp;$A73,배당편집!$M$2:$T$2710,8,FALSE)</f>
        <v>7.1837203563014818E-2</v>
      </c>
      <c r="G73" s="5">
        <f>VLOOKUP(G$1&amp;$A73,배당편집!$M$2:$T$2710,8,FALSE)</f>
        <v>9.7975579958707426E-2</v>
      </c>
      <c r="H73" s="5">
        <f>VLOOKUP(H$1&amp;$A73,배당편집!$M$2:$T$2710,8,FALSE)</f>
        <v>5.9223841048812176E-2</v>
      </c>
      <c r="I73" s="5">
        <f>VLOOKUP(I$1&amp;$A73,배당편집!$M$2:$T$2710,8,FALSE)</f>
        <v>3.7604047981727673E-2</v>
      </c>
      <c r="J73" s="5">
        <f>VLOOKUP(J$1&amp;$A73,배당편집!$M$2:$T$2710,8,FALSE)</f>
        <v>2.6704189153420987E-2</v>
      </c>
      <c r="K73" s="5">
        <f>VLOOKUP(K$1&amp;$A73,배당편집!$M$2:$T$2710,8,FALSE)</f>
        <v>0.10852777381398138</v>
      </c>
      <c r="L73" s="5">
        <f>VLOOKUP(L$1&amp;$A73,배당편집!$M$2:$T$2710,8,FALSE)</f>
        <v>0.1486983549970351</v>
      </c>
      <c r="M73" s="5">
        <f>VLOOKUP(M$1&amp;$A73,배당편집!$M$2:$T$2710,8,FALSE)</f>
        <v>0.12543954530480295</v>
      </c>
      <c r="N73" s="5">
        <f>VLOOKUP(N$1&amp;$A73,배당편집!$M$2:$T$2710,8,FALSE)</f>
        <v>3.7137289336648172E-2</v>
      </c>
      <c r="O73" s="5">
        <f>VLOOKUP(O$1&amp;$A73,배당편집!$M$2:$T$2710,8,FALSE)</f>
        <v>8.2202981921446039E-2</v>
      </c>
      <c r="P73" s="5">
        <f>VLOOKUP(P$1&amp;$A73,배당편집!$M$2:$T$2710,8,FALSE)</f>
        <v>4.9828251203444696E-2</v>
      </c>
      <c r="Q73" s="5">
        <f>VLOOKUP(Q$1&amp;$A73,배당편집!$M$2:$T$2710,8,FALSE)</f>
        <v>7.0145984594375044E-2</v>
      </c>
      <c r="R73" s="5">
        <f>VLOOKUP(R$1&amp;$A73,배당편집!$M$2:$T$2710,8,FALSE)</f>
        <v>5.4577943305794463E-2</v>
      </c>
      <c r="S73" s="5">
        <f>VLOOKUP(S$1&amp;$A73,배당편집!$M$2:$T$2710,8,FALSE)</f>
        <v>6.3995312815083638E-2</v>
      </c>
      <c r="T73" s="5">
        <f>VLOOKUP(T$1&amp;$A73,배당편집!$M$2:$T$2710,8,FALSE)</f>
        <v>0.10088802295684807</v>
      </c>
      <c r="U73" s="5">
        <f>VLOOKUP(U$1&amp;$A73,배당편집!$M$2:$T$2710,8,FALSE)</f>
        <v>0.28473515712343933</v>
      </c>
      <c r="V73" s="5">
        <f>VLOOKUP(V$1&amp;$A73,배당편집!$M$2:$T$2710,8,FALSE)</f>
        <v>0.17781622215659043</v>
      </c>
      <c r="W73" s="5">
        <f>VLOOKUP(W$1&amp;$A73,배당편집!$M$2:$T$2710,8,FALSE)</f>
        <v>0.20112443398143109</v>
      </c>
      <c r="X73" s="5">
        <f>VLOOKUP(X$1&amp;$A73,배당편집!$M$2:$T$2710,8,FALSE)</f>
        <v>7.0145984594375044E-2</v>
      </c>
      <c r="Y73" s="5">
        <f>VLOOKUP(Y$1&amp;$A73,배당편집!$M$2:$T$2710,8,FALSE)</f>
        <v>0.1109534595426207</v>
      </c>
      <c r="Z73" s="5">
        <f>VLOOKUP(Z$1&amp;$A73,배당편집!$M$2:$T$2710,8,FALSE)</f>
        <v>3.2324379535307868E-2</v>
      </c>
      <c r="AA73" s="5">
        <f>VLOOKUP(AA$1&amp;$A73,배당편집!$M$2:$T$2710,8,FALSE)</f>
        <v>0.12829427864416676</v>
      </c>
      <c r="AB73" s="5">
        <f>VLOOKUP(AB$1&amp;$A73,배당편집!$M$2:$T$2710,8,FALSE)</f>
        <v>0.17169054553092655</v>
      </c>
      <c r="AC73" s="5">
        <f>VLOOKUP(AC$1&amp;$A73,배당편집!$M$2:$T$2710,8,FALSE)</f>
        <v>2.7066087089351765E-2</v>
      </c>
      <c r="AD73" s="5">
        <f>VLOOKUP(AD$1&amp;$A73,배당편집!$M$2:$T$2710,8,FALSE)</f>
        <v>7.6107236755172503E-2</v>
      </c>
      <c r="AE73" s="5">
        <f>VLOOKUP(AE$1&amp;$A73,배당편집!$M$2:$T$2710,8,FALSE)</f>
        <v>4.3167563810134979E-2</v>
      </c>
      <c r="AF73" s="5">
        <f>VLOOKUP(AF$1&amp;$A73,배당편집!$M$2:$T$2710,8,FALSE)</f>
        <v>6.9124851069322091E-2</v>
      </c>
    </row>
    <row r="74" spans="1:32" ht="16.5" customHeight="1">
      <c r="A74" s="3">
        <v>2016</v>
      </c>
      <c r="B74" s="3">
        <v>1</v>
      </c>
      <c r="C74" s="5">
        <f>VLOOKUP(C$1&amp;$A74,배당편집!$M$2:$T$2710,8,FALSE)</f>
        <v>0.15518858939380853</v>
      </c>
      <c r="D74" s="5">
        <f>VLOOKUP(D$1&amp;$A74,배당편집!$M$2:$T$2710,8,FALSE)</f>
        <v>3.4563715943573214E-2</v>
      </c>
      <c r="E74" s="5">
        <f>VLOOKUP(E$1&amp;$A74,배당편집!$M$2:$T$2710,8,FALSE)</f>
        <v>0.20791087977228595</v>
      </c>
      <c r="F74" s="5">
        <f>VLOOKUP(F$1&amp;$A74,배당편집!$M$2:$T$2710,8,FALSE)</f>
        <v>6.0512438341298491E-2</v>
      </c>
      <c r="G74" s="5">
        <f>VLOOKUP(G$1&amp;$A74,배당편집!$M$2:$T$2710,8,FALSE)</f>
        <v>0.10655762905753008</v>
      </c>
      <c r="H74" s="5">
        <f>VLOOKUP(H$1&amp;$A74,배당편집!$M$2:$T$2710,8,FALSE)</f>
        <v>8.2456010469547092E-2</v>
      </c>
      <c r="I74" s="5">
        <f>VLOOKUP(I$1&amp;$A74,배당편집!$M$2:$T$2710,8,FALSE)</f>
        <v>2.8469188070353812E-2</v>
      </c>
      <c r="J74" s="5">
        <f>VLOOKUP(J$1&amp;$A74,배당편집!$M$2:$T$2710,8,FALSE)</f>
        <v>2.7437943119875463E-2</v>
      </c>
      <c r="K74" s="5">
        <f>VLOOKUP(K$1&amp;$A74,배당편집!$M$2:$T$2710,8,FALSE)</f>
        <v>0.11842691472014466</v>
      </c>
      <c r="L74" s="5">
        <f>VLOOKUP(L$1&amp;$A74,배당편집!$M$2:$T$2710,8,FALSE)</f>
        <v>0.17503175548239236</v>
      </c>
      <c r="M74" s="5">
        <f>VLOOKUP(M$1&amp;$A74,배당편집!$M$2:$T$2710,8,FALSE)</f>
        <v>0.10097321782112156</v>
      </c>
      <c r="N74" s="5">
        <f>VLOOKUP(N$1&amp;$A74,배당편집!$M$2:$T$2710,8,FALSE)</f>
        <v>6.6043442151529463E-2</v>
      </c>
      <c r="O74" s="5">
        <f>VLOOKUP(O$1&amp;$A74,배당편집!$M$2:$T$2710,8,FALSE)</f>
        <v>8.1967190705377613E-2</v>
      </c>
      <c r="P74" s="5">
        <f>VLOOKUP(P$1&amp;$A74,배당편집!$M$2:$T$2710,8,FALSE)</f>
        <v>6.5899466091208447E-2</v>
      </c>
      <c r="Q74" s="5">
        <f>VLOOKUP(Q$1&amp;$A74,배당편집!$M$2:$T$2710,8,FALSE)</f>
        <v>6.790716584560208E-2</v>
      </c>
      <c r="R74" s="5">
        <f>VLOOKUP(R$1&amp;$A74,배당편집!$M$2:$T$2710,8,FALSE)</f>
        <v>4.3167563810134979E-2</v>
      </c>
      <c r="S74" s="5">
        <f>VLOOKUP(S$1&amp;$A74,배당편집!$M$2:$T$2710,8,FALSE)</f>
        <v>7.8789345795840626E-2</v>
      </c>
      <c r="T74" s="5">
        <f>VLOOKUP(T$1&amp;$A74,배당편집!$M$2:$T$2710,8,FALSE)</f>
        <v>0.10438362870438156</v>
      </c>
      <c r="U74" s="5">
        <f>VLOOKUP(U$1&amp;$A74,배당편집!$M$2:$T$2710,8,FALSE)</f>
        <v>0.27944800171705086</v>
      </c>
      <c r="V74" s="5">
        <f>VLOOKUP(V$1&amp;$A74,배당편집!$M$2:$T$2710,8,FALSE)</f>
        <v>0.17863019406178493</v>
      </c>
      <c r="W74" s="5">
        <f>VLOOKUP(W$1&amp;$A74,배당편집!$M$2:$T$2710,8,FALSE)</f>
        <v>0.20546073610157212</v>
      </c>
      <c r="X74" s="5">
        <f>VLOOKUP(X$1&amp;$A74,배당편집!$M$2:$T$2710,8,FALSE)</f>
        <v>5.5343795923987971E-2</v>
      </c>
      <c r="Y74" s="5">
        <f>VLOOKUP(Y$1&amp;$A74,배당편집!$M$2:$T$2710,8,FALSE)</f>
        <v>0.14508602446179131</v>
      </c>
      <c r="Z74" s="5">
        <f>VLOOKUP(Z$1&amp;$A74,배당편집!$M$2:$T$2710,8,FALSE)</f>
        <v>3.3406482938779236E-2</v>
      </c>
      <c r="AA74" s="5">
        <f>VLOOKUP(AA$1&amp;$A74,배당편집!$M$2:$T$2710,8,FALSE)</f>
        <v>0.13396657763302722</v>
      </c>
      <c r="AB74" s="5">
        <f>VLOOKUP(AB$1&amp;$A74,배당편집!$M$2:$T$2710,8,FALSE)</f>
        <v>0.18772564182493778</v>
      </c>
      <c r="AC74" s="5">
        <f>VLOOKUP(AC$1&amp;$A74,배당편집!$M$2:$T$2710,8,FALSE)</f>
        <v>2.3280728215380408E-2</v>
      </c>
      <c r="AD74" s="5">
        <f>VLOOKUP(AD$1&amp;$A74,배당편집!$M$2:$T$2710,8,FALSE)</f>
        <v>8.0425121842408798E-2</v>
      </c>
      <c r="AE74" s="5">
        <f>VLOOKUP(AE$1&amp;$A74,배당편집!$M$2:$T$2710,8,FALSE)</f>
        <v>3.3037804113932312E-2</v>
      </c>
      <c r="AF74" s="5">
        <f>VLOOKUP(AF$1&amp;$A74,배당편집!$M$2:$T$2710,8,FALSE)</f>
        <v>8.8386933613543661E-2</v>
      </c>
    </row>
    <row r="75" spans="1:32" ht="16.5" customHeight="1">
      <c r="A75" s="3">
        <v>2016</v>
      </c>
      <c r="B75" s="3">
        <v>2</v>
      </c>
      <c r="C75" s="5">
        <f>VLOOKUP(C$1&amp;$A75,배당편집!$M$2:$T$2710,8,FALSE)</f>
        <v>0.15518858939380853</v>
      </c>
      <c r="D75" s="5">
        <f>VLOOKUP(D$1&amp;$A75,배당편집!$M$2:$T$2710,8,FALSE)</f>
        <v>3.4563715943573214E-2</v>
      </c>
      <c r="E75" s="5">
        <f>VLOOKUP(E$1&amp;$A75,배당편집!$M$2:$T$2710,8,FALSE)</f>
        <v>0.20791087977228595</v>
      </c>
      <c r="F75" s="5">
        <f>VLOOKUP(F$1&amp;$A75,배당편집!$M$2:$T$2710,8,FALSE)</f>
        <v>6.0512438341298491E-2</v>
      </c>
      <c r="G75" s="5">
        <f>VLOOKUP(G$1&amp;$A75,배당편집!$M$2:$T$2710,8,FALSE)</f>
        <v>0.10655762905753008</v>
      </c>
      <c r="H75" s="5">
        <f>VLOOKUP(H$1&amp;$A75,배당편집!$M$2:$T$2710,8,FALSE)</f>
        <v>8.2456010469547092E-2</v>
      </c>
      <c r="I75" s="5">
        <f>VLOOKUP(I$1&amp;$A75,배당편집!$M$2:$T$2710,8,FALSE)</f>
        <v>2.8469188070353812E-2</v>
      </c>
      <c r="J75" s="5">
        <f>VLOOKUP(J$1&amp;$A75,배당편집!$M$2:$T$2710,8,FALSE)</f>
        <v>2.7437943119875463E-2</v>
      </c>
      <c r="K75" s="5">
        <f>VLOOKUP(K$1&amp;$A75,배당편집!$M$2:$T$2710,8,FALSE)</f>
        <v>0.11842691472014466</v>
      </c>
      <c r="L75" s="5">
        <f>VLOOKUP(L$1&amp;$A75,배당편집!$M$2:$T$2710,8,FALSE)</f>
        <v>0.17503175548239236</v>
      </c>
      <c r="M75" s="5">
        <f>VLOOKUP(M$1&amp;$A75,배당편집!$M$2:$T$2710,8,FALSE)</f>
        <v>0.10097321782112156</v>
      </c>
      <c r="N75" s="5">
        <f>VLOOKUP(N$1&amp;$A75,배당편집!$M$2:$T$2710,8,FALSE)</f>
        <v>6.6043442151529463E-2</v>
      </c>
      <c r="O75" s="5">
        <f>VLOOKUP(O$1&amp;$A75,배당편집!$M$2:$T$2710,8,FALSE)</f>
        <v>8.1967190705377613E-2</v>
      </c>
      <c r="P75" s="5">
        <f>VLOOKUP(P$1&amp;$A75,배당편집!$M$2:$T$2710,8,FALSE)</f>
        <v>6.5899466091208447E-2</v>
      </c>
      <c r="Q75" s="5">
        <f>VLOOKUP(Q$1&amp;$A75,배당편집!$M$2:$T$2710,8,FALSE)</f>
        <v>6.790716584560208E-2</v>
      </c>
      <c r="R75" s="5">
        <f>VLOOKUP(R$1&amp;$A75,배당편집!$M$2:$T$2710,8,FALSE)</f>
        <v>4.3167563810134979E-2</v>
      </c>
      <c r="S75" s="5">
        <f>VLOOKUP(S$1&amp;$A75,배당편집!$M$2:$T$2710,8,FALSE)</f>
        <v>7.8789345795840626E-2</v>
      </c>
      <c r="T75" s="5">
        <f>VLOOKUP(T$1&amp;$A75,배당편집!$M$2:$T$2710,8,FALSE)</f>
        <v>0.10438362870438156</v>
      </c>
      <c r="U75" s="5">
        <f>VLOOKUP(U$1&amp;$A75,배당편집!$M$2:$T$2710,8,FALSE)</f>
        <v>0.27944800171705086</v>
      </c>
      <c r="V75" s="5">
        <f>VLOOKUP(V$1&amp;$A75,배당편집!$M$2:$T$2710,8,FALSE)</f>
        <v>0.17863019406178493</v>
      </c>
      <c r="W75" s="5">
        <f>VLOOKUP(W$1&amp;$A75,배당편집!$M$2:$T$2710,8,FALSE)</f>
        <v>0.20546073610157212</v>
      </c>
      <c r="X75" s="5">
        <f>VLOOKUP(X$1&amp;$A75,배당편집!$M$2:$T$2710,8,FALSE)</f>
        <v>5.5343795923987971E-2</v>
      </c>
      <c r="Y75" s="5">
        <f>VLOOKUP(Y$1&amp;$A75,배당편집!$M$2:$T$2710,8,FALSE)</f>
        <v>0.14508602446179131</v>
      </c>
      <c r="Z75" s="5">
        <f>VLOOKUP(Z$1&amp;$A75,배당편집!$M$2:$T$2710,8,FALSE)</f>
        <v>3.3406482938779236E-2</v>
      </c>
      <c r="AA75" s="5">
        <f>VLOOKUP(AA$1&amp;$A75,배당편집!$M$2:$T$2710,8,FALSE)</f>
        <v>0.13396657763302722</v>
      </c>
      <c r="AB75" s="5">
        <f>VLOOKUP(AB$1&amp;$A75,배당편집!$M$2:$T$2710,8,FALSE)</f>
        <v>0.18772564182493778</v>
      </c>
      <c r="AC75" s="5">
        <f>VLOOKUP(AC$1&amp;$A75,배당편집!$M$2:$T$2710,8,FALSE)</f>
        <v>2.3280728215380408E-2</v>
      </c>
      <c r="AD75" s="5">
        <f>VLOOKUP(AD$1&amp;$A75,배당편집!$M$2:$T$2710,8,FALSE)</f>
        <v>8.0425121842408798E-2</v>
      </c>
      <c r="AE75" s="5">
        <f>VLOOKUP(AE$1&amp;$A75,배당편집!$M$2:$T$2710,8,FALSE)</f>
        <v>3.3037804113932312E-2</v>
      </c>
      <c r="AF75" s="5">
        <f>VLOOKUP(AF$1&amp;$A75,배당편집!$M$2:$T$2710,8,FALSE)</f>
        <v>8.8386933613543661E-2</v>
      </c>
    </row>
    <row r="76" spans="1:32" ht="16.5" customHeight="1">
      <c r="A76" s="3">
        <v>2016</v>
      </c>
      <c r="B76" s="3">
        <v>3</v>
      </c>
      <c r="C76" s="5">
        <f>VLOOKUP(C$1&amp;$A76,배당편집!$M$2:$T$2710,8,FALSE)</f>
        <v>0.15518858939380853</v>
      </c>
      <c r="D76" s="5">
        <f>VLOOKUP(D$1&amp;$A76,배당편집!$M$2:$T$2710,8,FALSE)</f>
        <v>3.4563715943573214E-2</v>
      </c>
      <c r="E76" s="5">
        <f>VLOOKUP(E$1&amp;$A76,배당편집!$M$2:$T$2710,8,FALSE)</f>
        <v>0.20791087977228595</v>
      </c>
      <c r="F76" s="5">
        <f>VLOOKUP(F$1&amp;$A76,배당편집!$M$2:$T$2710,8,FALSE)</f>
        <v>6.0512438341298491E-2</v>
      </c>
      <c r="G76" s="5">
        <f>VLOOKUP(G$1&amp;$A76,배당편집!$M$2:$T$2710,8,FALSE)</f>
        <v>0.10655762905753008</v>
      </c>
      <c r="H76" s="5">
        <f>VLOOKUP(H$1&amp;$A76,배당편집!$M$2:$T$2710,8,FALSE)</f>
        <v>8.2456010469547092E-2</v>
      </c>
      <c r="I76" s="5">
        <f>VLOOKUP(I$1&amp;$A76,배당편집!$M$2:$T$2710,8,FALSE)</f>
        <v>2.8469188070353812E-2</v>
      </c>
      <c r="J76" s="5">
        <f>VLOOKUP(J$1&amp;$A76,배당편집!$M$2:$T$2710,8,FALSE)</f>
        <v>2.7437943119875463E-2</v>
      </c>
      <c r="K76" s="5">
        <f>VLOOKUP(K$1&amp;$A76,배당편집!$M$2:$T$2710,8,FALSE)</f>
        <v>0.11842691472014466</v>
      </c>
      <c r="L76" s="5">
        <f>VLOOKUP(L$1&amp;$A76,배당편집!$M$2:$T$2710,8,FALSE)</f>
        <v>0.17503175548239236</v>
      </c>
      <c r="M76" s="5">
        <f>VLOOKUP(M$1&amp;$A76,배당편집!$M$2:$T$2710,8,FALSE)</f>
        <v>0.10097321782112156</v>
      </c>
      <c r="N76" s="5">
        <f>VLOOKUP(N$1&amp;$A76,배당편집!$M$2:$T$2710,8,FALSE)</f>
        <v>6.6043442151529463E-2</v>
      </c>
      <c r="O76" s="5">
        <f>VLOOKUP(O$1&amp;$A76,배당편집!$M$2:$T$2710,8,FALSE)</f>
        <v>8.1967190705377613E-2</v>
      </c>
      <c r="P76" s="5">
        <f>VLOOKUP(P$1&amp;$A76,배당편집!$M$2:$T$2710,8,FALSE)</f>
        <v>6.5899466091208447E-2</v>
      </c>
      <c r="Q76" s="5">
        <f>VLOOKUP(Q$1&amp;$A76,배당편집!$M$2:$T$2710,8,FALSE)</f>
        <v>6.790716584560208E-2</v>
      </c>
      <c r="R76" s="5">
        <f>VLOOKUP(R$1&amp;$A76,배당편집!$M$2:$T$2710,8,FALSE)</f>
        <v>4.3167563810134979E-2</v>
      </c>
      <c r="S76" s="5">
        <f>VLOOKUP(S$1&amp;$A76,배당편집!$M$2:$T$2710,8,FALSE)</f>
        <v>7.8789345795840626E-2</v>
      </c>
      <c r="T76" s="5">
        <f>VLOOKUP(T$1&amp;$A76,배당편집!$M$2:$T$2710,8,FALSE)</f>
        <v>0.10438362870438156</v>
      </c>
      <c r="U76" s="5">
        <f>VLOOKUP(U$1&amp;$A76,배당편집!$M$2:$T$2710,8,FALSE)</f>
        <v>0.27944800171705086</v>
      </c>
      <c r="V76" s="5">
        <f>VLOOKUP(V$1&amp;$A76,배당편집!$M$2:$T$2710,8,FALSE)</f>
        <v>0.17863019406178493</v>
      </c>
      <c r="W76" s="5">
        <f>VLOOKUP(W$1&amp;$A76,배당편집!$M$2:$T$2710,8,FALSE)</f>
        <v>0.20546073610157212</v>
      </c>
      <c r="X76" s="5">
        <f>VLOOKUP(X$1&amp;$A76,배당편집!$M$2:$T$2710,8,FALSE)</f>
        <v>5.5343795923987971E-2</v>
      </c>
      <c r="Y76" s="5">
        <f>VLOOKUP(Y$1&amp;$A76,배당편집!$M$2:$T$2710,8,FALSE)</f>
        <v>0.14508602446179131</v>
      </c>
      <c r="Z76" s="5">
        <f>VLOOKUP(Z$1&amp;$A76,배당편집!$M$2:$T$2710,8,FALSE)</f>
        <v>3.3406482938779236E-2</v>
      </c>
      <c r="AA76" s="5">
        <f>VLOOKUP(AA$1&amp;$A76,배당편집!$M$2:$T$2710,8,FALSE)</f>
        <v>0.13396657763302722</v>
      </c>
      <c r="AB76" s="5">
        <f>VLOOKUP(AB$1&amp;$A76,배당편집!$M$2:$T$2710,8,FALSE)</f>
        <v>0.18772564182493778</v>
      </c>
      <c r="AC76" s="5">
        <f>VLOOKUP(AC$1&amp;$A76,배당편집!$M$2:$T$2710,8,FALSE)</f>
        <v>2.3280728215380408E-2</v>
      </c>
      <c r="AD76" s="5">
        <f>VLOOKUP(AD$1&amp;$A76,배당편집!$M$2:$T$2710,8,FALSE)</f>
        <v>8.0425121842408798E-2</v>
      </c>
      <c r="AE76" s="5">
        <f>VLOOKUP(AE$1&amp;$A76,배당편집!$M$2:$T$2710,8,FALSE)</f>
        <v>3.3037804113932312E-2</v>
      </c>
      <c r="AF76" s="5">
        <f>VLOOKUP(AF$1&amp;$A76,배당편집!$M$2:$T$2710,8,FALSE)</f>
        <v>8.8386933613543661E-2</v>
      </c>
    </row>
    <row r="77" spans="1:32" ht="16.5" customHeight="1">
      <c r="A77" s="3">
        <v>2016</v>
      </c>
      <c r="B77" s="3">
        <v>4</v>
      </c>
      <c r="C77" s="5">
        <f>VLOOKUP(C$1&amp;$A77,배당편집!$M$2:$T$2710,8,FALSE)</f>
        <v>0.15518858939380853</v>
      </c>
      <c r="D77" s="5">
        <f>VLOOKUP(D$1&amp;$A77,배당편집!$M$2:$T$2710,8,FALSE)</f>
        <v>3.4563715943573214E-2</v>
      </c>
      <c r="E77" s="5">
        <f>VLOOKUP(E$1&amp;$A77,배당편집!$M$2:$T$2710,8,FALSE)</f>
        <v>0.20791087977228595</v>
      </c>
      <c r="F77" s="5">
        <f>VLOOKUP(F$1&amp;$A77,배당편집!$M$2:$T$2710,8,FALSE)</f>
        <v>6.0512438341298491E-2</v>
      </c>
      <c r="G77" s="5">
        <f>VLOOKUP(G$1&amp;$A77,배당편집!$M$2:$T$2710,8,FALSE)</f>
        <v>0.10655762905753008</v>
      </c>
      <c r="H77" s="5">
        <f>VLOOKUP(H$1&amp;$A77,배당편집!$M$2:$T$2710,8,FALSE)</f>
        <v>8.2456010469547092E-2</v>
      </c>
      <c r="I77" s="5">
        <f>VLOOKUP(I$1&amp;$A77,배당편집!$M$2:$T$2710,8,FALSE)</f>
        <v>2.8469188070353812E-2</v>
      </c>
      <c r="J77" s="5">
        <f>VLOOKUP(J$1&amp;$A77,배당편집!$M$2:$T$2710,8,FALSE)</f>
        <v>2.7437943119875463E-2</v>
      </c>
      <c r="K77" s="5">
        <f>VLOOKUP(K$1&amp;$A77,배당편집!$M$2:$T$2710,8,FALSE)</f>
        <v>0.11842691472014466</v>
      </c>
      <c r="L77" s="5">
        <f>VLOOKUP(L$1&amp;$A77,배당편집!$M$2:$T$2710,8,FALSE)</f>
        <v>0.17503175548239236</v>
      </c>
      <c r="M77" s="5">
        <f>VLOOKUP(M$1&amp;$A77,배당편집!$M$2:$T$2710,8,FALSE)</f>
        <v>0.10097321782112156</v>
      </c>
      <c r="N77" s="5">
        <f>VLOOKUP(N$1&amp;$A77,배당편집!$M$2:$T$2710,8,FALSE)</f>
        <v>6.6043442151529463E-2</v>
      </c>
      <c r="O77" s="5">
        <f>VLOOKUP(O$1&amp;$A77,배당편집!$M$2:$T$2710,8,FALSE)</f>
        <v>8.1967190705377613E-2</v>
      </c>
      <c r="P77" s="5">
        <f>VLOOKUP(P$1&amp;$A77,배당편집!$M$2:$T$2710,8,FALSE)</f>
        <v>6.5899466091208447E-2</v>
      </c>
      <c r="Q77" s="5">
        <f>VLOOKUP(Q$1&amp;$A77,배당편집!$M$2:$T$2710,8,FALSE)</f>
        <v>6.790716584560208E-2</v>
      </c>
      <c r="R77" s="5">
        <f>VLOOKUP(R$1&amp;$A77,배당편집!$M$2:$T$2710,8,FALSE)</f>
        <v>4.3167563810134979E-2</v>
      </c>
      <c r="S77" s="5">
        <f>VLOOKUP(S$1&amp;$A77,배당편집!$M$2:$T$2710,8,FALSE)</f>
        <v>7.8789345795840626E-2</v>
      </c>
      <c r="T77" s="5">
        <f>VLOOKUP(T$1&amp;$A77,배당편집!$M$2:$T$2710,8,FALSE)</f>
        <v>0.10438362870438156</v>
      </c>
      <c r="U77" s="5">
        <f>VLOOKUP(U$1&amp;$A77,배당편집!$M$2:$T$2710,8,FALSE)</f>
        <v>0.27944800171705086</v>
      </c>
      <c r="V77" s="5">
        <f>VLOOKUP(V$1&amp;$A77,배당편집!$M$2:$T$2710,8,FALSE)</f>
        <v>0.17863019406178493</v>
      </c>
      <c r="W77" s="5">
        <f>VLOOKUP(W$1&amp;$A77,배당편집!$M$2:$T$2710,8,FALSE)</f>
        <v>0.20546073610157212</v>
      </c>
      <c r="X77" s="5">
        <f>VLOOKUP(X$1&amp;$A77,배당편집!$M$2:$T$2710,8,FALSE)</f>
        <v>5.5343795923987971E-2</v>
      </c>
      <c r="Y77" s="5">
        <f>VLOOKUP(Y$1&amp;$A77,배당편집!$M$2:$T$2710,8,FALSE)</f>
        <v>0.14508602446179131</v>
      </c>
      <c r="Z77" s="5">
        <f>VLOOKUP(Z$1&amp;$A77,배당편집!$M$2:$T$2710,8,FALSE)</f>
        <v>3.3406482938779236E-2</v>
      </c>
      <c r="AA77" s="5">
        <f>VLOOKUP(AA$1&amp;$A77,배당편집!$M$2:$T$2710,8,FALSE)</f>
        <v>0.13396657763302722</v>
      </c>
      <c r="AB77" s="5">
        <f>VLOOKUP(AB$1&amp;$A77,배당편집!$M$2:$T$2710,8,FALSE)</f>
        <v>0.18772564182493778</v>
      </c>
      <c r="AC77" s="5">
        <f>VLOOKUP(AC$1&amp;$A77,배당편집!$M$2:$T$2710,8,FALSE)</f>
        <v>2.3280728215380408E-2</v>
      </c>
      <c r="AD77" s="5">
        <f>VLOOKUP(AD$1&amp;$A77,배당편집!$M$2:$T$2710,8,FALSE)</f>
        <v>8.0425121842408798E-2</v>
      </c>
      <c r="AE77" s="5">
        <f>VLOOKUP(AE$1&amp;$A77,배당편집!$M$2:$T$2710,8,FALSE)</f>
        <v>3.3037804113932312E-2</v>
      </c>
      <c r="AF77" s="5">
        <f>VLOOKUP(AF$1&amp;$A77,배당편집!$M$2:$T$2710,8,FALSE)</f>
        <v>8.8386933613543661E-2</v>
      </c>
    </row>
    <row r="78" spans="1:32" ht="16.5" customHeight="1">
      <c r="A78" s="3">
        <v>2016</v>
      </c>
      <c r="B78" s="3">
        <v>5</v>
      </c>
      <c r="C78" s="5">
        <f>VLOOKUP(C$1&amp;$A78,배당편집!$M$2:$T$2710,8,FALSE)</f>
        <v>0.15518858939380853</v>
      </c>
      <c r="D78" s="5">
        <f>VLOOKUP(D$1&amp;$A78,배당편집!$M$2:$T$2710,8,FALSE)</f>
        <v>3.4563715943573214E-2</v>
      </c>
      <c r="E78" s="5">
        <f>VLOOKUP(E$1&amp;$A78,배당편집!$M$2:$T$2710,8,FALSE)</f>
        <v>0.20791087977228595</v>
      </c>
      <c r="F78" s="5">
        <f>VLOOKUP(F$1&amp;$A78,배당편집!$M$2:$T$2710,8,FALSE)</f>
        <v>6.0512438341298491E-2</v>
      </c>
      <c r="G78" s="5">
        <f>VLOOKUP(G$1&amp;$A78,배당편집!$M$2:$T$2710,8,FALSE)</f>
        <v>0.10655762905753008</v>
      </c>
      <c r="H78" s="5">
        <f>VLOOKUP(H$1&amp;$A78,배당편집!$M$2:$T$2710,8,FALSE)</f>
        <v>8.2456010469547092E-2</v>
      </c>
      <c r="I78" s="5">
        <f>VLOOKUP(I$1&amp;$A78,배당편집!$M$2:$T$2710,8,FALSE)</f>
        <v>2.8469188070353812E-2</v>
      </c>
      <c r="J78" s="5">
        <f>VLOOKUP(J$1&amp;$A78,배당편집!$M$2:$T$2710,8,FALSE)</f>
        <v>2.7437943119875463E-2</v>
      </c>
      <c r="K78" s="5">
        <f>VLOOKUP(K$1&amp;$A78,배당편집!$M$2:$T$2710,8,FALSE)</f>
        <v>0.11842691472014466</v>
      </c>
      <c r="L78" s="5">
        <f>VLOOKUP(L$1&amp;$A78,배당편집!$M$2:$T$2710,8,FALSE)</f>
        <v>0.17503175548239236</v>
      </c>
      <c r="M78" s="5">
        <f>VLOOKUP(M$1&amp;$A78,배당편집!$M$2:$T$2710,8,FALSE)</f>
        <v>0.10097321782112156</v>
      </c>
      <c r="N78" s="5">
        <f>VLOOKUP(N$1&amp;$A78,배당편집!$M$2:$T$2710,8,FALSE)</f>
        <v>6.6043442151529463E-2</v>
      </c>
      <c r="O78" s="5">
        <f>VLOOKUP(O$1&amp;$A78,배당편집!$M$2:$T$2710,8,FALSE)</f>
        <v>8.1967190705377613E-2</v>
      </c>
      <c r="P78" s="5">
        <f>VLOOKUP(P$1&amp;$A78,배당편집!$M$2:$T$2710,8,FALSE)</f>
        <v>6.5899466091208447E-2</v>
      </c>
      <c r="Q78" s="5">
        <f>VLOOKUP(Q$1&amp;$A78,배당편집!$M$2:$T$2710,8,FALSE)</f>
        <v>6.790716584560208E-2</v>
      </c>
      <c r="R78" s="5">
        <f>VLOOKUP(R$1&amp;$A78,배당편집!$M$2:$T$2710,8,FALSE)</f>
        <v>4.3167563810134979E-2</v>
      </c>
      <c r="S78" s="5">
        <f>VLOOKUP(S$1&amp;$A78,배당편집!$M$2:$T$2710,8,FALSE)</f>
        <v>7.8789345795840626E-2</v>
      </c>
      <c r="T78" s="5">
        <f>VLOOKUP(T$1&amp;$A78,배당편집!$M$2:$T$2710,8,FALSE)</f>
        <v>0.10438362870438156</v>
      </c>
      <c r="U78" s="5">
        <f>VLOOKUP(U$1&amp;$A78,배당편집!$M$2:$T$2710,8,FALSE)</f>
        <v>0.27944800171705086</v>
      </c>
      <c r="V78" s="5">
        <f>VLOOKUP(V$1&amp;$A78,배당편집!$M$2:$T$2710,8,FALSE)</f>
        <v>0.17863019406178493</v>
      </c>
      <c r="W78" s="5">
        <f>VLOOKUP(W$1&amp;$A78,배당편집!$M$2:$T$2710,8,FALSE)</f>
        <v>0.20546073610157212</v>
      </c>
      <c r="X78" s="5">
        <f>VLOOKUP(X$1&amp;$A78,배당편집!$M$2:$T$2710,8,FALSE)</f>
        <v>5.5343795923987971E-2</v>
      </c>
      <c r="Y78" s="5">
        <f>VLOOKUP(Y$1&amp;$A78,배당편집!$M$2:$T$2710,8,FALSE)</f>
        <v>0.14508602446179131</v>
      </c>
      <c r="Z78" s="5">
        <f>VLOOKUP(Z$1&amp;$A78,배당편집!$M$2:$T$2710,8,FALSE)</f>
        <v>3.3406482938779236E-2</v>
      </c>
      <c r="AA78" s="5">
        <f>VLOOKUP(AA$1&amp;$A78,배당편집!$M$2:$T$2710,8,FALSE)</f>
        <v>0.13396657763302722</v>
      </c>
      <c r="AB78" s="5">
        <f>VLOOKUP(AB$1&amp;$A78,배당편집!$M$2:$T$2710,8,FALSE)</f>
        <v>0.18772564182493778</v>
      </c>
      <c r="AC78" s="5">
        <f>VLOOKUP(AC$1&amp;$A78,배당편집!$M$2:$T$2710,8,FALSE)</f>
        <v>2.3280728215380408E-2</v>
      </c>
      <c r="AD78" s="5">
        <f>VLOOKUP(AD$1&amp;$A78,배당편집!$M$2:$T$2710,8,FALSE)</f>
        <v>8.0425121842408798E-2</v>
      </c>
      <c r="AE78" s="5">
        <f>VLOOKUP(AE$1&amp;$A78,배당편집!$M$2:$T$2710,8,FALSE)</f>
        <v>3.3037804113932312E-2</v>
      </c>
      <c r="AF78" s="5">
        <f>VLOOKUP(AF$1&amp;$A78,배당편집!$M$2:$T$2710,8,FALSE)</f>
        <v>8.8386933613543661E-2</v>
      </c>
    </row>
    <row r="79" spans="1:32" ht="16.5" customHeight="1">
      <c r="A79" s="3">
        <v>2016</v>
      </c>
      <c r="B79" s="3">
        <v>6</v>
      </c>
      <c r="C79" s="5">
        <f>VLOOKUP(C$1&amp;$A79,배당편집!$M$2:$T$2710,8,FALSE)</f>
        <v>0.15518858939380853</v>
      </c>
      <c r="D79" s="5">
        <f>VLOOKUP(D$1&amp;$A79,배당편집!$M$2:$T$2710,8,FALSE)</f>
        <v>3.4563715943573214E-2</v>
      </c>
      <c r="E79" s="5">
        <f>VLOOKUP(E$1&amp;$A79,배당편집!$M$2:$T$2710,8,FALSE)</f>
        <v>0.20791087977228595</v>
      </c>
      <c r="F79" s="5">
        <f>VLOOKUP(F$1&amp;$A79,배당편집!$M$2:$T$2710,8,FALSE)</f>
        <v>6.0512438341298491E-2</v>
      </c>
      <c r="G79" s="5">
        <f>VLOOKUP(G$1&amp;$A79,배당편집!$M$2:$T$2710,8,FALSE)</f>
        <v>0.10655762905753008</v>
      </c>
      <c r="H79" s="5">
        <f>VLOOKUP(H$1&amp;$A79,배당편집!$M$2:$T$2710,8,FALSE)</f>
        <v>8.2456010469547092E-2</v>
      </c>
      <c r="I79" s="5">
        <f>VLOOKUP(I$1&amp;$A79,배당편집!$M$2:$T$2710,8,FALSE)</f>
        <v>2.8469188070353812E-2</v>
      </c>
      <c r="J79" s="5">
        <f>VLOOKUP(J$1&amp;$A79,배당편집!$M$2:$T$2710,8,FALSE)</f>
        <v>2.7437943119875463E-2</v>
      </c>
      <c r="K79" s="5">
        <f>VLOOKUP(K$1&amp;$A79,배당편집!$M$2:$T$2710,8,FALSE)</f>
        <v>0.11842691472014466</v>
      </c>
      <c r="L79" s="5">
        <f>VLOOKUP(L$1&amp;$A79,배당편집!$M$2:$T$2710,8,FALSE)</f>
        <v>0.17503175548239236</v>
      </c>
      <c r="M79" s="5">
        <f>VLOOKUP(M$1&amp;$A79,배당편집!$M$2:$T$2710,8,FALSE)</f>
        <v>0.10097321782112156</v>
      </c>
      <c r="N79" s="5">
        <f>VLOOKUP(N$1&amp;$A79,배당편집!$M$2:$T$2710,8,FALSE)</f>
        <v>6.6043442151529463E-2</v>
      </c>
      <c r="O79" s="5">
        <f>VLOOKUP(O$1&amp;$A79,배당편집!$M$2:$T$2710,8,FALSE)</f>
        <v>8.1967190705377613E-2</v>
      </c>
      <c r="P79" s="5">
        <f>VLOOKUP(P$1&amp;$A79,배당편집!$M$2:$T$2710,8,FALSE)</f>
        <v>6.5899466091208447E-2</v>
      </c>
      <c r="Q79" s="5">
        <f>VLOOKUP(Q$1&amp;$A79,배당편집!$M$2:$T$2710,8,FALSE)</f>
        <v>6.790716584560208E-2</v>
      </c>
      <c r="R79" s="5">
        <f>VLOOKUP(R$1&amp;$A79,배당편집!$M$2:$T$2710,8,FALSE)</f>
        <v>4.3167563810134979E-2</v>
      </c>
      <c r="S79" s="5">
        <f>VLOOKUP(S$1&amp;$A79,배당편집!$M$2:$T$2710,8,FALSE)</f>
        <v>7.8789345795840626E-2</v>
      </c>
      <c r="T79" s="5">
        <f>VLOOKUP(T$1&amp;$A79,배당편집!$M$2:$T$2710,8,FALSE)</f>
        <v>0.10438362870438156</v>
      </c>
      <c r="U79" s="5">
        <f>VLOOKUP(U$1&amp;$A79,배당편집!$M$2:$T$2710,8,FALSE)</f>
        <v>0.27944800171705086</v>
      </c>
      <c r="V79" s="5">
        <f>VLOOKUP(V$1&amp;$A79,배당편집!$M$2:$T$2710,8,FALSE)</f>
        <v>0.17863019406178493</v>
      </c>
      <c r="W79" s="5">
        <f>VLOOKUP(W$1&amp;$A79,배당편집!$M$2:$T$2710,8,FALSE)</f>
        <v>0.20546073610157212</v>
      </c>
      <c r="X79" s="5">
        <f>VLOOKUP(X$1&amp;$A79,배당편집!$M$2:$T$2710,8,FALSE)</f>
        <v>5.5343795923987971E-2</v>
      </c>
      <c r="Y79" s="5">
        <f>VLOOKUP(Y$1&amp;$A79,배당편집!$M$2:$T$2710,8,FALSE)</f>
        <v>0.14508602446179131</v>
      </c>
      <c r="Z79" s="5">
        <f>VLOOKUP(Z$1&amp;$A79,배당편집!$M$2:$T$2710,8,FALSE)</f>
        <v>3.3406482938779236E-2</v>
      </c>
      <c r="AA79" s="5">
        <f>VLOOKUP(AA$1&amp;$A79,배당편집!$M$2:$T$2710,8,FALSE)</f>
        <v>0.13396657763302722</v>
      </c>
      <c r="AB79" s="5">
        <f>VLOOKUP(AB$1&amp;$A79,배당편집!$M$2:$T$2710,8,FALSE)</f>
        <v>0.18772564182493778</v>
      </c>
      <c r="AC79" s="5">
        <f>VLOOKUP(AC$1&amp;$A79,배당편집!$M$2:$T$2710,8,FALSE)</f>
        <v>2.3280728215380408E-2</v>
      </c>
      <c r="AD79" s="5">
        <f>VLOOKUP(AD$1&amp;$A79,배당편집!$M$2:$T$2710,8,FALSE)</f>
        <v>8.0425121842408798E-2</v>
      </c>
      <c r="AE79" s="5">
        <f>VLOOKUP(AE$1&amp;$A79,배당편집!$M$2:$T$2710,8,FALSE)</f>
        <v>3.3037804113932312E-2</v>
      </c>
      <c r="AF79" s="5">
        <f>VLOOKUP(AF$1&amp;$A79,배당편집!$M$2:$T$2710,8,FALSE)</f>
        <v>8.8386933613543661E-2</v>
      </c>
    </row>
    <row r="80" spans="1:32" ht="16.5" customHeight="1">
      <c r="A80" s="3">
        <v>2016</v>
      </c>
      <c r="B80" s="3">
        <v>7</v>
      </c>
      <c r="C80" s="5">
        <f>VLOOKUP(C$1&amp;$A80,배당편집!$M$2:$T$2710,8,FALSE)</f>
        <v>0.15518858939380853</v>
      </c>
      <c r="D80" s="5">
        <f>VLOOKUP(D$1&amp;$A80,배당편집!$M$2:$T$2710,8,FALSE)</f>
        <v>3.4563715943573214E-2</v>
      </c>
      <c r="E80" s="5">
        <f>VLOOKUP(E$1&amp;$A80,배당편집!$M$2:$T$2710,8,FALSE)</f>
        <v>0.20791087977228595</v>
      </c>
      <c r="F80" s="5">
        <f>VLOOKUP(F$1&amp;$A80,배당편집!$M$2:$T$2710,8,FALSE)</f>
        <v>6.0512438341298491E-2</v>
      </c>
      <c r="G80" s="5">
        <f>VLOOKUP(G$1&amp;$A80,배당편집!$M$2:$T$2710,8,FALSE)</f>
        <v>0.10655762905753008</v>
      </c>
      <c r="H80" s="5">
        <f>VLOOKUP(H$1&amp;$A80,배당편집!$M$2:$T$2710,8,FALSE)</f>
        <v>8.2456010469547092E-2</v>
      </c>
      <c r="I80" s="5">
        <f>VLOOKUP(I$1&amp;$A80,배당편집!$M$2:$T$2710,8,FALSE)</f>
        <v>2.8469188070353812E-2</v>
      </c>
      <c r="J80" s="5">
        <f>VLOOKUP(J$1&amp;$A80,배당편집!$M$2:$T$2710,8,FALSE)</f>
        <v>2.7437943119875463E-2</v>
      </c>
      <c r="K80" s="5">
        <f>VLOOKUP(K$1&amp;$A80,배당편집!$M$2:$T$2710,8,FALSE)</f>
        <v>0.11842691472014466</v>
      </c>
      <c r="L80" s="5">
        <f>VLOOKUP(L$1&amp;$A80,배당편집!$M$2:$T$2710,8,FALSE)</f>
        <v>0.17503175548239236</v>
      </c>
      <c r="M80" s="5">
        <f>VLOOKUP(M$1&amp;$A80,배당편집!$M$2:$T$2710,8,FALSE)</f>
        <v>0.10097321782112156</v>
      </c>
      <c r="N80" s="5">
        <f>VLOOKUP(N$1&amp;$A80,배당편집!$M$2:$T$2710,8,FALSE)</f>
        <v>6.6043442151529463E-2</v>
      </c>
      <c r="O80" s="5">
        <f>VLOOKUP(O$1&amp;$A80,배당편집!$M$2:$T$2710,8,FALSE)</f>
        <v>8.1967190705377613E-2</v>
      </c>
      <c r="P80" s="5">
        <f>VLOOKUP(P$1&amp;$A80,배당편집!$M$2:$T$2710,8,FALSE)</f>
        <v>6.5899466091208447E-2</v>
      </c>
      <c r="Q80" s="5">
        <f>VLOOKUP(Q$1&amp;$A80,배당편집!$M$2:$T$2710,8,FALSE)</f>
        <v>6.790716584560208E-2</v>
      </c>
      <c r="R80" s="5">
        <f>VLOOKUP(R$1&amp;$A80,배당편집!$M$2:$T$2710,8,FALSE)</f>
        <v>4.3167563810134979E-2</v>
      </c>
      <c r="S80" s="5">
        <f>VLOOKUP(S$1&amp;$A80,배당편집!$M$2:$T$2710,8,FALSE)</f>
        <v>7.8789345795840626E-2</v>
      </c>
      <c r="T80" s="5">
        <f>VLOOKUP(T$1&amp;$A80,배당편집!$M$2:$T$2710,8,FALSE)</f>
        <v>0.10438362870438156</v>
      </c>
      <c r="U80" s="5">
        <f>VLOOKUP(U$1&amp;$A80,배당편집!$M$2:$T$2710,8,FALSE)</f>
        <v>0.27944800171705086</v>
      </c>
      <c r="V80" s="5">
        <f>VLOOKUP(V$1&amp;$A80,배당편집!$M$2:$T$2710,8,FALSE)</f>
        <v>0.17863019406178493</v>
      </c>
      <c r="W80" s="5">
        <f>VLOOKUP(W$1&amp;$A80,배당편집!$M$2:$T$2710,8,FALSE)</f>
        <v>0.20546073610157212</v>
      </c>
      <c r="X80" s="5">
        <f>VLOOKUP(X$1&amp;$A80,배당편집!$M$2:$T$2710,8,FALSE)</f>
        <v>5.5343795923987971E-2</v>
      </c>
      <c r="Y80" s="5">
        <f>VLOOKUP(Y$1&amp;$A80,배당편집!$M$2:$T$2710,8,FALSE)</f>
        <v>0.14508602446179131</v>
      </c>
      <c r="Z80" s="5">
        <f>VLOOKUP(Z$1&amp;$A80,배당편집!$M$2:$T$2710,8,FALSE)</f>
        <v>3.3406482938779236E-2</v>
      </c>
      <c r="AA80" s="5">
        <f>VLOOKUP(AA$1&amp;$A80,배당편집!$M$2:$T$2710,8,FALSE)</f>
        <v>0.13396657763302722</v>
      </c>
      <c r="AB80" s="5">
        <f>VLOOKUP(AB$1&amp;$A80,배당편집!$M$2:$T$2710,8,FALSE)</f>
        <v>0.18772564182493778</v>
      </c>
      <c r="AC80" s="5">
        <f>VLOOKUP(AC$1&amp;$A80,배당편집!$M$2:$T$2710,8,FALSE)</f>
        <v>2.3280728215380408E-2</v>
      </c>
      <c r="AD80" s="5">
        <f>VLOOKUP(AD$1&amp;$A80,배당편집!$M$2:$T$2710,8,FALSE)</f>
        <v>8.0425121842408798E-2</v>
      </c>
      <c r="AE80" s="5">
        <f>VLOOKUP(AE$1&amp;$A80,배당편집!$M$2:$T$2710,8,FALSE)</f>
        <v>3.3037804113932312E-2</v>
      </c>
      <c r="AF80" s="5">
        <f>VLOOKUP(AF$1&amp;$A80,배당편집!$M$2:$T$2710,8,FALSE)</f>
        <v>8.8386933613543661E-2</v>
      </c>
    </row>
    <row r="81" spans="1:32" ht="16.5" customHeight="1">
      <c r="A81" s="3">
        <v>2016</v>
      </c>
      <c r="B81" s="3">
        <v>8</v>
      </c>
      <c r="C81" s="5">
        <f>VLOOKUP(C$1&amp;$A81,배당편집!$M$2:$T$2710,8,FALSE)</f>
        <v>0.15518858939380853</v>
      </c>
      <c r="D81" s="5">
        <f>VLOOKUP(D$1&amp;$A81,배당편집!$M$2:$T$2710,8,FALSE)</f>
        <v>3.4563715943573214E-2</v>
      </c>
      <c r="E81" s="5">
        <f>VLOOKUP(E$1&amp;$A81,배당편집!$M$2:$T$2710,8,FALSE)</f>
        <v>0.20791087977228595</v>
      </c>
      <c r="F81" s="5">
        <f>VLOOKUP(F$1&amp;$A81,배당편집!$M$2:$T$2710,8,FALSE)</f>
        <v>6.0512438341298491E-2</v>
      </c>
      <c r="G81" s="5">
        <f>VLOOKUP(G$1&amp;$A81,배당편집!$M$2:$T$2710,8,FALSE)</f>
        <v>0.10655762905753008</v>
      </c>
      <c r="H81" s="5">
        <f>VLOOKUP(H$1&amp;$A81,배당편집!$M$2:$T$2710,8,FALSE)</f>
        <v>8.2456010469547092E-2</v>
      </c>
      <c r="I81" s="5">
        <f>VLOOKUP(I$1&amp;$A81,배당편집!$M$2:$T$2710,8,FALSE)</f>
        <v>2.8469188070353812E-2</v>
      </c>
      <c r="J81" s="5">
        <f>VLOOKUP(J$1&amp;$A81,배당편집!$M$2:$T$2710,8,FALSE)</f>
        <v>2.7437943119875463E-2</v>
      </c>
      <c r="K81" s="5">
        <f>VLOOKUP(K$1&amp;$A81,배당편집!$M$2:$T$2710,8,FALSE)</f>
        <v>0.11842691472014466</v>
      </c>
      <c r="L81" s="5">
        <f>VLOOKUP(L$1&amp;$A81,배당편집!$M$2:$T$2710,8,FALSE)</f>
        <v>0.17503175548239236</v>
      </c>
      <c r="M81" s="5">
        <f>VLOOKUP(M$1&amp;$A81,배당편집!$M$2:$T$2710,8,FALSE)</f>
        <v>0.10097321782112156</v>
      </c>
      <c r="N81" s="5">
        <f>VLOOKUP(N$1&amp;$A81,배당편집!$M$2:$T$2710,8,FALSE)</f>
        <v>6.6043442151529463E-2</v>
      </c>
      <c r="O81" s="5">
        <f>VLOOKUP(O$1&amp;$A81,배당편집!$M$2:$T$2710,8,FALSE)</f>
        <v>8.1967190705377613E-2</v>
      </c>
      <c r="P81" s="5">
        <f>VLOOKUP(P$1&amp;$A81,배당편집!$M$2:$T$2710,8,FALSE)</f>
        <v>6.5899466091208447E-2</v>
      </c>
      <c r="Q81" s="5">
        <f>VLOOKUP(Q$1&amp;$A81,배당편집!$M$2:$T$2710,8,FALSE)</f>
        <v>6.790716584560208E-2</v>
      </c>
      <c r="R81" s="5">
        <f>VLOOKUP(R$1&amp;$A81,배당편집!$M$2:$T$2710,8,FALSE)</f>
        <v>4.3167563810134979E-2</v>
      </c>
      <c r="S81" s="5">
        <f>VLOOKUP(S$1&amp;$A81,배당편집!$M$2:$T$2710,8,FALSE)</f>
        <v>7.8789345795840626E-2</v>
      </c>
      <c r="T81" s="5">
        <f>VLOOKUP(T$1&amp;$A81,배당편집!$M$2:$T$2710,8,FALSE)</f>
        <v>0.10438362870438156</v>
      </c>
      <c r="U81" s="5">
        <f>VLOOKUP(U$1&amp;$A81,배당편집!$M$2:$T$2710,8,FALSE)</f>
        <v>0.27944800171705086</v>
      </c>
      <c r="V81" s="5">
        <f>VLOOKUP(V$1&amp;$A81,배당편집!$M$2:$T$2710,8,FALSE)</f>
        <v>0.17863019406178493</v>
      </c>
      <c r="W81" s="5">
        <f>VLOOKUP(W$1&amp;$A81,배당편집!$M$2:$T$2710,8,FALSE)</f>
        <v>0.20546073610157212</v>
      </c>
      <c r="X81" s="5">
        <f>VLOOKUP(X$1&amp;$A81,배당편집!$M$2:$T$2710,8,FALSE)</f>
        <v>5.5343795923987971E-2</v>
      </c>
      <c r="Y81" s="5">
        <f>VLOOKUP(Y$1&amp;$A81,배당편집!$M$2:$T$2710,8,FALSE)</f>
        <v>0.14508602446179131</v>
      </c>
      <c r="Z81" s="5">
        <f>VLOOKUP(Z$1&amp;$A81,배당편집!$M$2:$T$2710,8,FALSE)</f>
        <v>3.3406482938779236E-2</v>
      </c>
      <c r="AA81" s="5">
        <f>VLOOKUP(AA$1&amp;$A81,배당편집!$M$2:$T$2710,8,FALSE)</f>
        <v>0.13396657763302722</v>
      </c>
      <c r="AB81" s="5">
        <f>VLOOKUP(AB$1&amp;$A81,배당편집!$M$2:$T$2710,8,FALSE)</f>
        <v>0.18772564182493778</v>
      </c>
      <c r="AC81" s="5">
        <f>VLOOKUP(AC$1&amp;$A81,배당편집!$M$2:$T$2710,8,FALSE)</f>
        <v>2.3280728215380408E-2</v>
      </c>
      <c r="AD81" s="5">
        <f>VLOOKUP(AD$1&amp;$A81,배당편집!$M$2:$T$2710,8,FALSE)</f>
        <v>8.0425121842408798E-2</v>
      </c>
      <c r="AE81" s="5">
        <f>VLOOKUP(AE$1&amp;$A81,배당편집!$M$2:$T$2710,8,FALSE)</f>
        <v>3.3037804113932312E-2</v>
      </c>
      <c r="AF81" s="5">
        <f>VLOOKUP(AF$1&amp;$A81,배당편집!$M$2:$T$2710,8,FALSE)</f>
        <v>8.8386933613543661E-2</v>
      </c>
    </row>
    <row r="82" spans="1:32" ht="16.5" customHeight="1">
      <c r="A82" s="3">
        <v>2016</v>
      </c>
      <c r="B82" s="3">
        <v>9</v>
      </c>
      <c r="C82" s="5">
        <f>VLOOKUP(C$1&amp;$A82,배당편집!$M$2:$T$2710,8,FALSE)</f>
        <v>0.15518858939380853</v>
      </c>
      <c r="D82" s="5">
        <f>VLOOKUP(D$1&amp;$A82,배당편집!$M$2:$T$2710,8,FALSE)</f>
        <v>3.4563715943573214E-2</v>
      </c>
      <c r="E82" s="5">
        <f>VLOOKUP(E$1&amp;$A82,배당편집!$M$2:$T$2710,8,FALSE)</f>
        <v>0.20791087977228595</v>
      </c>
      <c r="F82" s="5">
        <f>VLOOKUP(F$1&amp;$A82,배당편집!$M$2:$T$2710,8,FALSE)</f>
        <v>6.0512438341298491E-2</v>
      </c>
      <c r="G82" s="5">
        <f>VLOOKUP(G$1&amp;$A82,배당편집!$M$2:$T$2710,8,FALSE)</f>
        <v>0.10655762905753008</v>
      </c>
      <c r="H82" s="5">
        <f>VLOOKUP(H$1&amp;$A82,배당편집!$M$2:$T$2710,8,FALSE)</f>
        <v>8.2456010469547092E-2</v>
      </c>
      <c r="I82" s="5">
        <f>VLOOKUP(I$1&amp;$A82,배당편집!$M$2:$T$2710,8,FALSE)</f>
        <v>2.8469188070353812E-2</v>
      </c>
      <c r="J82" s="5">
        <f>VLOOKUP(J$1&amp;$A82,배당편집!$M$2:$T$2710,8,FALSE)</f>
        <v>2.7437943119875463E-2</v>
      </c>
      <c r="K82" s="5">
        <f>VLOOKUP(K$1&amp;$A82,배당편집!$M$2:$T$2710,8,FALSE)</f>
        <v>0.11842691472014466</v>
      </c>
      <c r="L82" s="5">
        <f>VLOOKUP(L$1&amp;$A82,배당편집!$M$2:$T$2710,8,FALSE)</f>
        <v>0.17503175548239236</v>
      </c>
      <c r="M82" s="5">
        <f>VLOOKUP(M$1&amp;$A82,배당편집!$M$2:$T$2710,8,FALSE)</f>
        <v>0.10097321782112156</v>
      </c>
      <c r="N82" s="5">
        <f>VLOOKUP(N$1&amp;$A82,배당편집!$M$2:$T$2710,8,FALSE)</f>
        <v>6.6043442151529463E-2</v>
      </c>
      <c r="O82" s="5">
        <f>VLOOKUP(O$1&amp;$A82,배당편집!$M$2:$T$2710,8,FALSE)</f>
        <v>8.1967190705377613E-2</v>
      </c>
      <c r="P82" s="5">
        <f>VLOOKUP(P$1&amp;$A82,배당편집!$M$2:$T$2710,8,FALSE)</f>
        <v>6.5899466091208447E-2</v>
      </c>
      <c r="Q82" s="5">
        <f>VLOOKUP(Q$1&amp;$A82,배당편집!$M$2:$T$2710,8,FALSE)</f>
        <v>6.790716584560208E-2</v>
      </c>
      <c r="R82" s="5">
        <f>VLOOKUP(R$1&amp;$A82,배당편집!$M$2:$T$2710,8,FALSE)</f>
        <v>4.3167563810134979E-2</v>
      </c>
      <c r="S82" s="5">
        <f>VLOOKUP(S$1&amp;$A82,배당편집!$M$2:$T$2710,8,FALSE)</f>
        <v>7.8789345795840626E-2</v>
      </c>
      <c r="T82" s="5">
        <f>VLOOKUP(T$1&amp;$A82,배당편집!$M$2:$T$2710,8,FALSE)</f>
        <v>0.10438362870438156</v>
      </c>
      <c r="U82" s="5">
        <f>VLOOKUP(U$1&amp;$A82,배당편집!$M$2:$T$2710,8,FALSE)</f>
        <v>0.27944800171705086</v>
      </c>
      <c r="V82" s="5">
        <f>VLOOKUP(V$1&amp;$A82,배당편집!$M$2:$T$2710,8,FALSE)</f>
        <v>0.17863019406178493</v>
      </c>
      <c r="W82" s="5">
        <f>VLOOKUP(W$1&amp;$A82,배당편집!$M$2:$T$2710,8,FALSE)</f>
        <v>0.20546073610157212</v>
      </c>
      <c r="X82" s="5">
        <f>VLOOKUP(X$1&amp;$A82,배당편집!$M$2:$T$2710,8,FALSE)</f>
        <v>5.5343795923987971E-2</v>
      </c>
      <c r="Y82" s="5">
        <f>VLOOKUP(Y$1&amp;$A82,배당편집!$M$2:$T$2710,8,FALSE)</f>
        <v>0.14508602446179131</v>
      </c>
      <c r="Z82" s="5">
        <f>VLOOKUP(Z$1&amp;$A82,배당편집!$M$2:$T$2710,8,FALSE)</f>
        <v>3.3406482938779236E-2</v>
      </c>
      <c r="AA82" s="5">
        <f>VLOOKUP(AA$1&amp;$A82,배당편집!$M$2:$T$2710,8,FALSE)</f>
        <v>0.13396657763302722</v>
      </c>
      <c r="AB82" s="5">
        <f>VLOOKUP(AB$1&amp;$A82,배당편집!$M$2:$T$2710,8,FALSE)</f>
        <v>0.18772564182493778</v>
      </c>
      <c r="AC82" s="5">
        <f>VLOOKUP(AC$1&amp;$A82,배당편집!$M$2:$T$2710,8,FALSE)</f>
        <v>2.3280728215380408E-2</v>
      </c>
      <c r="AD82" s="5">
        <f>VLOOKUP(AD$1&amp;$A82,배당편집!$M$2:$T$2710,8,FALSE)</f>
        <v>8.0425121842408798E-2</v>
      </c>
      <c r="AE82" s="5">
        <f>VLOOKUP(AE$1&amp;$A82,배당편집!$M$2:$T$2710,8,FALSE)</f>
        <v>3.3037804113932312E-2</v>
      </c>
      <c r="AF82" s="5">
        <f>VLOOKUP(AF$1&amp;$A82,배당편집!$M$2:$T$2710,8,FALSE)</f>
        <v>8.8386933613543661E-2</v>
      </c>
    </row>
    <row r="83" spans="1:32" ht="16.5" customHeight="1">
      <c r="A83" s="3">
        <v>2016</v>
      </c>
      <c r="B83" s="3">
        <v>10</v>
      </c>
      <c r="C83" s="5">
        <f>VLOOKUP(C$1&amp;$A83,배당편집!$M$2:$T$2710,8,FALSE)</f>
        <v>0.15518858939380853</v>
      </c>
      <c r="D83" s="5">
        <f>VLOOKUP(D$1&amp;$A83,배당편집!$M$2:$T$2710,8,FALSE)</f>
        <v>3.4563715943573214E-2</v>
      </c>
      <c r="E83" s="5">
        <f>VLOOKUP(E$1&amp;$A83,배당편집!$M$2:$T$2710,8,FALSE)</f>
        <v>0.20791087977228595</v>
      </c>
      <c r="F83" s="5">
        <f>VLOOKUP(F$1&amp;$A83,배당편집!$M$2:$T$2710,8,FALSE)</f>
        <v>6.0512438341298491E-2</v>
      </c>
      <c r="G83" s="5">
        <f>VLOOKUP(G$1&amp;$A83,배당편집!$M$2:$T$2710,8,FALSE)</f>
        <v>0.10655762905753008</v>
      </c>
      <c r="H83" s="5">
        <f>VLOOKUP(H$1&amp;$A83,배당편집!$M$2:$T$2710,8,FALSE)</f>
        <v>8.2456010469547092E-2</v>
      </c>
      <c r="I83" s="5">
        <f>VLOOKUP(I$1&amp;$A83,배당편집!$M$2:$T$2710,8,FALSE)</f>
        <v>2.8469188070353812E-2</v>
      </c>
      <c r="J83" s="5">
        <f>VLOOKUP(J$1&amp;$A83,배당편집!$M$2:$T$2710,8,FALSE)</f>
        <v>2.7437943119875463E-2</v>
      </c>
      <c r="K83" s="5">
        <f>VLOOKUP(K$1&amp;$A83,배당편집!$M$2:$T$2710,8,FALSE)</f>
        <v>0.11842691472014466</v>
      </c>
      <c r="L83" s="5">
        <f>VLOOKUP(L$1&amp;$A83,배당편집!$M$2:$T$2710,8,FALSE)</f>
        <v>0.17503175548239236</v>
      </c>
      <c r="M83" s="5">
        <f>VLOOKUP(M$1&amp;$A83,배당편집!$M$2:$T$2710,8,FALSE)</f>
        <v>0.10097321782112156</v>
      </c>
      <c r="N83" s="5">
        <f>VLOOKUP(N$1&amp;$A83,배당편집!$M$2:$T$2710,8,FALSE)</f>
        <v>6.6043442151529463E-2</v>
      </c>
      <c r="O83" s="5">
        <f>VLOOKUP(O$1&amp;$A83,배당편집!$M$2:$T$2710,8,FALSE)</f>
        <v>8.1967190705377613E-2</v>
      </c>
      <c r="P83" s="5">
        <f>VLOOKUP(P$1&amp;$A83,배당편집!$M$2:$T$2710,8,FALSE)</f>
        <v>6.5899466091208447E-2</v>
      </c>
      <c r="Q83" s="5">
        <f>VLOOKUP(Q$1&amp;$A83,배당편집!$M$2:$T$2710,8,FALSE)</f>
        <v>6.790716584560208E-2</v>
      </c>
      <c r="R83" s="5">
        <f>VLOOKUP(R$1&amp;$A83,배당편집!$M$2:$T$2710,8,FALSE)</f>
        <v>4.3167563810134979E-2</v>
      </c>
      <c r="S83" s="5">
        <f>VLOOKUP(S$1&amp;$A83,배당편집!$M$2:$T$2710,8,FALSE)</f>
        <v>7.8789345795840626E-2</v>
      </c>
      <c r="T83" s="5">
        <f>VLOOKUP(T$1&amp;$A83,배당편집!$M$2:$T$2710,8,FALSE)</f>
        <v>0.10438362870438156</v>
      </c>
      <c r="U83" s="5">
        <f>VLOOKUP(U$1&amp;$A83,배당편집!$M$2:$T$2710,8,FALSE)</f>
        <v>0.27944800171705086</v>
      </c>
      <c r="V83" s="5">
        <f>VLOOKUP(V$1&amp;$A83,배당편집!$M$2:$T$2710,8,FALSE)</f>
        <v>0.17863019406178493</v>
      </c>
      <c r="W83" s="5">
        <f>VLOOKUP(W$1&amp;$A83,배당편집!$M$2:$T$2710,8,FALSE)</f>
        <v>0.20546073610157212</v>
      </c>
      <c r="X83" s="5">
        <f>VLOOKUP(X$1&amp;$A83,배당편집!$M$2:$T$2710,8,FALSE)</f>
        <v>5.5343795923987971E-2</v>
      </c>
      <c r="Y83" s="5">
        <f>VLOOKUP(Y$1&amp;$A83,배당편집!$M$2:$T$2710,8,FALSE)</f>
        <v>0.14508602446179131</v>
      </c>
      <c r="Z83" s="5">
        <f>VLOOKUP(Z$1&amp;$A83,배당편집!$M$2:$T$2710,8,FALSE)</f>
        <v>3.3406482938779236E-2</v>
      </c>
      <c r="AA83" s="5">
        <f>VLOOKUP(AA$1&amp;$A83,배당편집!$M$2:$T$2710,8,FALSE)</f>
        <v>0.13396657763302722</v>
      </c>
      <c r="AB83" s="5">
        <f>VLOOKUP(AB$1&amp;$A83,배당편집!$M$2:$T$2710,8,FALSE)</f>
        <v>0.18772564182493778</v>
      </c>
      <c r="AC83" s="5">
        <f>VLOOKUP(AC$1&amp;$A83,배당편집!$M$2:$T$2710,8,FALSE)</f>
        <v>2.3280728215380408E-2</v>
      </c>
      <c r="AD83" s="5">
        <f>VLOOKUP(AD$1&amp;$A83,배당편집!$M$2:$T$2710,8,FALSE)</f>
        <v>8.0425121842408798E-2</v>
      </c>
      <c r="AE83" s="5">
        <f>VLOOKUP(AE$1&amp;$A83,배당편집!$M$2:$T$2710,8,FALSE)</f>
        <v>3.3037804113932312E-2</v>
      </c>
      <c r="AF83" s="5">
        <f>VLOOKUP(AF$1&amp;$A83,배당편집!$M$2:$T$2710,8,FALSE)</f>
        <v>8.8386933613543661E-2</v>
      </c>
    </row>
    <row r="84" spans="1:32" ht="16.5" customHeight="1">
      <c r="A84" s="3">
        <v>2016</v>
      </c>
      <c r="B84" s="3">
        <v>11</v>
      </c>
      <c r="C84" s="5">
        <f>VLOOKUP(C$1&amp;$A84,배당편집!$M$2:$T$2710,8,FALSE)</f>
        <v>0.15518858939380853</v>
      </c>
      <c r="D84" s="5">
        <f>VLOOKUP(D$1&amp;$A84,배당편집!$M$2:$T$2710,8,FALSE)</f>
        <v>3.4563715943573214E-2</v>
      </c>
      <c r="E84" s="5">
        <f>VLOOKUP(E$1&amp;$A84,배당편집!$M$2:$T$2710,8,FALSE)</f>
        <v>0.20791087977228595</v>
      </c>
      <c r="F84" s="5">
        <f>VLOOKUP(F$1&amp;$A84,배당편집!$M$2:$T$2710,8,FALSE)</f>
        <v>6.0512438341298491E-2</v>
      </c>
      <c r="G84" s="5">
        <f>VLOOKUP(G$1&amp;$A84,배당편집!$M$2:$T$2710,8,FALSE)</f>
        <v>0.10655762905753008</v>
      </c>
      <c r="H84" s="5">
        <f>VLOOKUP(H$1&amp;$A84,배당편집!$M$2:$T$2710,8,FALSE)</f>
        <v>8.2456010469547092E-2</v>
      </c>
      <c r="I84" s="5">
        <f>VLOOKUP(I$1&amp;$A84,배당편집!$M$2:$T$2710,8,FALSE)</f>
        <v>2.8469188070353812E-2</v>
      </c>
      <c r="J84" s="5">
        <f>VLOOKUP(J$1&amp;$A84,배당편집!$M$2:$T$2710,8,FALSE)</f>
        <v>2.7437943119875463E-2</v>
      </c>
      <c r="K84" s="5">
        <f>VLOOKUP(K$1&amp;$A84,배당편집!$M$2:$T$2710,8,FALSE)</f>
        <v>0.11842691472014466</v>
      </c>
      <c r="L84" s="5">
        <f>VLOOKUP(L$1&amp;$A84,배당편집!$M$2:$T$2710,8,FALSE)</f>
        <v>0.17503175548239236</v>
      </c>
      <c r="M84" s="5">
        <f>VLOOKUP(M$1&amp;$A84,배당편집!$M$2:$T$2710,8,FALSE)</f>
        <v>0.10097321782112156</v>
      </c>
      <c r="N84" s="5">
        <f>VLOOKUP(N$1&amp;$A84,배당편집!$M$2:$T$2710,8,FALSE)</f>
        <v>6.6043442151529463E-2</v>
      </c>
      <c r="O84" s="5">
        <f>VLOOKUP(O$1&amp;$A84,배당편집!$M$2:$T$2710,8,FALSE)</f>
        <v>8.1967190705377613E-2</v>
      </c>
      <c r="P84" s="5">
        <f>VLOOKUP(P$1&amp;$A84,배당편집!$M$2:$T$2710,8,FALSE)</f>
        <v>6.5899466091208447E-2</v>
      </c>
      <c r="Q84" s="5">
        <f>VLOOKUP(Q$1&amp;$A84,배당편집!$M$2:$T$2710,8,FALSE)</f>
        <v>6.790716584560208E-2</v>
      </c>
      <c r="R84" s="5">
        <f>VLOOKUP(R$1&amp;$A84,배당편집!$M$2:$T$2710,8,FALSE)</f>
        <v>4.3167563810134979E-2</v>
      </c>
      <c r="S84" s="5">
        <f>VLOOKUP(S$1&amp;$A84,배당편집!$M$2:$T$2710,8,FALSE)</f>
        <v>7.8789345795840626E-2</v>
      </c>
      <c r="T84" s="5">
        <f>VLOOKUP(T$1&amp;$A84,배당편집!$M$2:$T$2710,8,FALSE)</f>
        <v>0.10438362870438156</v>
      </c>
      <c r="U84" s="5">
        <f>VLOOKUP(U$1&amp;$A84,배당편집!$M$2:$T$2710,8,FALSE)</f>
        <v>0.27944800171705086</v>
      </c>
      <c r="V84" s="5">
        <f>VLOOKUP(V$1&amp;$A84,배당편집!$M$2:$T$2710,8,FALSE)</f>
        <v>0.17863019406178493</v>
      </c>
      <c r="W84" s="5">
        <f>VLOOKUP(W$1&amp;$A84,배당편집!$M$2:$T$2710,8,FALSE)</f>
        <v>0.20546073610157212</v>
      </c>
      <c r="X84" s="5">
        <f>VLOOKUP(X$1&amp;$A84,배당편집!$M$2:$T$2710,8,FALSE)</f>
        <v>5.5343795923987971E-2</v>
      </c>
      <c r="Y84" s="5">
        <f>VLOOKUP(Y$1&amp;$A84,배당편집!$M$2:$T$2710,8,FALSE)</f>
        <v>0.14508602446179131</v>
      </c>
      <c r="Z84" s="5">
        <f>VLOOKUP(Z$1&amp;$A84,배당편집!$M$2:$T$2710,8,FALSE)</f>
        <v>3.3406482938779236E-2</v>
      </c>
      <c r="AA84" s="5">
        <f>VLOOKUP(AA$1&amp;$A84,배당편집!$M$2:$T$2710,8,FALSE)</f>
        <v>0.13396657763302722</v>
      </c>
      <c r="AB84" s="5">
        <f>VLOOKUP(AB$1&amp;$A84,배당편집!$M$2:$T$2710,8,FALSE)</f>
        <v>0.18772564182493778</v>
      </c>
      <c r="AC84" s="5">
        <f>VLOOKUP(AC$1&amp;$A84,배당편집!$M$2:$T$2710,8,FALSE)</f>
        <v>2.3280728215380408E-2</v>
      </c>
      <c r="AD84" s="5">
        <f>VLOOKUP(AD$1&amp;$A84,배당편집!$M$2:$T$2710,8,FALSE)</f>
        <v>8.0425121842408798E-2</v>
      </c>
      <c r="AE84" s="5">
        <f>VLOOKUP(AE$1&amp;$A84,배당편집!$M$2:$T$2710,8,FALSE)</f>
        <v>3.3037804113932312E-2</v>
      </c>
      <c r="AF84" s="5">
        <f>VLOOKUP(AF$1&amp;$A84,배당편집!$M$2:$T$2710,8,FALSE)</f>
        <v>8.8386933613543661E-2</v>
      </c>
    </row>
    <row r="85" spans="1:32" ht="16.5" customHeight="1">
      <c r="A85" s="3">
        <v>2016</v>
      </c>
      <c r="B85" s="3">
        <v>12</v>
      </c>
      <c r="C85" s="5">
        <f>VLOOKUP(C$1&amp;$A85,배당편집!$M$2:$T$2710,8,FALSE)</f>
        <v>0.15518858939380853</v>
      </c>
      <c r="D85" s="5">
        <f>VLOOKUP(D$1&amp;$A85,배당편집!$M$2:$T$2710,8,FALSE)</f>
        <v>3.4563715943573214E-2</v>
      </c>
      <c r="E85" s="5">
        <f>VLOOKUP(E$1&amp;$A85,배당편집!$M$2:$T$2710,8,FALSE)</f>
        <v>0.20791087977228595</v>
      </c>
      <c r="F85" s="5">
        <f>VLOOKUP(F$1&amp;$A85,배당편집!$M$2:$T$2710,8,FALSE)</f>
        <v>6.0512438341298491E-2</v>
      </c>
      <c r="G85" s="5">
        <f>VLOOKUP(G$1&amp;$A85,배당편집!$M$2:$T$2710,8,FALSE)</f>
        <v>0.10655762905753008</v>
      </c>
      <c r="H85" s="5">
        <f>VLOOKUP(H$1&amp;$A85,배당편집!$M$2:$T$2710,8,FALSE)</f>
        <v>8.2456010469547092E-2</v>
      </c>
      <c r="I85" s="5">
        <f>VLOOKUP(I$1&amp;$A85,배당편집!$M$2:$T$2710,8,FALSE)</f>
        <v>2.8469188070353812E-2</v>
      </c>
      <c r="J85" s="5">
        <f>VLOOKUP(J$1&amp;$A85,배당편집!$M$2:$T$2710,8,FALSE)</f>
        <v>2.7437943119875463E-2</v>
      </c>
      <c r="K85" s="5">
        <f>VLOOKUP(K$1&amp;$A85,배당편집!$M$2:$T$2710,8,FALSE)</f>
        <v>0.11842691472014466</v>
      </c>
      <c r="L85" s="5">
        <f>VLOOKUP(L$1&amp;$A85,배당편집!$M$2:$T$2710,8,FALSE)</f>
        <v>0.17503175548239236</v>
      </c>
      <c r="M85" s="5">
        <f>VLOOKUP(M$1&amp;$A85,배당편집!$M$2:$T$2710,8,FALSE)</f>
        <v>0.10097321782112156</v>
      </c>
      <c r="N85" s="5">
        <f>VLOOKUP(N$1&amp;$A85,배당편집!$M$2:$T$2710,8,FALSE)</f>
        <v>6.6043442151529463E-2</v>
      </c>
      <c r="O85" s="5">
        <f>VLOOKUP(O$1&amp;$A85,배당편집!$M$2:$T$2710,8,FALSE)</f>
        <v>8.1967190705377613E-2</v>
      </c>
      <c r="P85" s="5">
        <f>VLOOKUP(P$1&amp;$A85,배당편집!$M$2:$T$2710,8,FALSE)</f>
        <v>6.5899466091208447E-2</v>
      </c>
      <c r="Q85" s="5">
        <f>VLOOKUP(Q$1&amp;$A85,배당편집!$M$2:$T$2710,8,FALSE)</f>
        <v>6.790716584560208E-2</v>
      </c>
      <c r="R85" s="5">
        <f>VLOOKUP(R$1&amp;$A85,배당편집!$M$2:$T$2710,8,FALSE)</f>
        <v>4.3167563810134979E-2</v>
      </c>
      <c r="S85" s="5">
        <f>VLOOKUP(S$1&amp;$A85,배당편집!$M$2:$T$2710,8,FALSE)</f>
        <v>7.8789345795840626E-2</v>
      </c>
      <c r="T85" s="5">
        <f>VLOOKUP(T$1&amp;$A85,배당편집!$M$2:$T$2710,8,FALSE)</f>
        <v>0.10438362870438156</v>
      </c>
      <c r="U85" s="5">
        <f>VLOOKUP(U$1&amp;$A85,배당편집!$M$2:$T$2710,8,FALSE)</f>
        <v>0.27944800171705086</v>
      </c>
      <c r="V85" s="5">
        <f>VLOOKUP(V$1&amp;$A85,배당편집!$M$2:$T$2710,8,FALSE)</f>
        <v>0.17863019406178493</v>
      </c>
      <c r="W85" s="5">
        <f>VLOOKUP(W$1&amp;$A85,배당편집!$M$2:$T$2710,8,FALSE)</f>
        <v>0.20546073610157212</v>
      </c>
      <c r="X85" s="5">
        <f>VLOOKUP(X$1&amp;$A85,배당편집!$M$2:$T$2710,8,FALSE)</f>
        <v>5.5343795923987971E-2</v>
      </c>
      <c r="Y85" s="5">
        <f>VLOOKUP(Y$1&amp;$A85,배당편집!$M$2:$T$2710,8,FALSE)</f>
        <v>0.14508602446179131</v>
      </c>
      <c r="Z85" s="5">
        <f>VLOOKUP(Z$1&amp;$A85,배당편집!$M$2:$T$2710,8,FALSE)</f>
        <v>3.3406482938779236E-2</v>
      </c>
      <c r="AA85" s="5">
        <f>VLOOKUP(AA$1&amp;$A85,배당편집!$M$2:$T$2710,8,FALSE)</f>
        <v>0.13396657763302722</v>
      </c>
      <c r="AB85" s="5">
        <f>VLOOKUP(AB$1&amp;$A85,배당편집!$M$2:$T$2710,8,FALSE)</f>
        <v>0.18772564182493778</v>
      </c>
      <c r="AC85" s="5">
        <f>VLOOKUP(AC$1&amp;$A85,배당편집!$M$2:$T$2710,8,FALSE)</f>
        <v>2.3280728215380408E-2</v>
      </c>
      <c r="AD85" s="5">
        <f>VLOOKUP(AD$1&amp;$A85,배당편집!$M$2:$T$2710,8,FALSE)</f>
        <v>8.0425121842408798E-2</v>
      </c>
      <c r="AE85" s="5">
        <f>VLOOKUP(AE$1&amp;$A85,배당편집!$M$2:$T$2710,8,FALSE)</f>
        <v>3.3037804113932312E-2</v>
      </c>
      <c r="AF85" s="5">
        <f>VLOOKUP(AF$1&amp;$A85,배당편집!$M$2:$T$2710,8,FALSE)</f>
        <v>8.8386933613543661E-2</v>
      </c>
    </row>
    <row r="86" spans="1:32" ht="16.5" customHeight="1">
      <c r="A86" s="3">
        <v>2015</v>
      </c>
      <c r="B86" s="3">
        <v>1</v>
      </c>
      <c r="C86" s="5">
        <f>VLOOKUP(C$1&amp;$A86,배당편집!$M$2:$T$2710,8,FALSE)</f>
        <v>0.1967245924901726</v>
      </c>
      <c r="D86" s="5">
        <f>VLOOKUP(D$1&amp;$A86,배당편집!$M$2:$T$2710,8,FALSE)</f>
        <v>3.5804203580214189E-2</v>
      </c>
      <c r="E86" s="5">
        <f>VLOOKUP(E$1&amp;$A86,배당편집!$M$2:$T$2710,8,FALSE)</f>
        <v>0.16465861577965679</v>
      </c>
      <c r="F86" s="5">
        <f>VLOOKUP(F$1&amp;$A86,배당편집!$M$2:$T$2710,8,FALSE)</f>
        <v>9.5211210996487994E-2</v>
      </c>
      <c r="G86" s="5">
        <f>VLOOKUP(G$1&amp;$A86,배당편집!$M$2:$T$2710,8,FALSE)</f>
        <v>0.10438362870438156</v>
      </c>
      <c r="H86" s="5">
        <f>VLOOKUP(H$1&amp;$A86,배당편집!$M$2:$T$2710,8,FALSE)</f>
        <v>9.4901303982790397E-2</v>
      </c>
      <c r="I86" s="5">
        <f>VLOOKUP(I$1&amp;$A86,배당편집!$M$2:$T$2710,8,FALSE)</f>
        <v>2.3836255539609663E-2</v>
      </c>
      <c r="J86" s="5">
        <f>VLOOKUP(J$1&amp;$A86,배당편집!$M$2:$T$2710,8,FALSE)</f>
        <v>2.8213222586158881E-2</v>
      </c>
      <c r="K86" s="5">
        <f>VLOOKUP(K$1&amp;$A86,배당편집!$M$2:$T$2710,8,FALSE)</f>
        <v>0.10756634324828984</v>
      </c>
      <c r="L86" s="5">
        <f>VLOOKUP(L$1&amp;$A86,배당편집!$M$2:$T$2710,8,FALSE)</f>
        <v>0.25057828821420203</v>
      </c>
      <c r="M86" s="5">
        <f>VLOOKUP(M$1&amp;$A86,배당편집!$M$2:$T$2710,8,FALSE)</f>
        <v>9.3644086380576086E-2</v>
      </c>
      <c r="N86" s="5">
        <f>VLOOKUP(N$1&amp;$A86,배당편집!$M$2:$T$2710,8,FALSE)</f>
        <v>7.0066111031416467E-2</v>
      </c>
      <c r="O86" s="5">
        <f>VLOOKUP(O$1&amp;$A86,배당편집!$M$2:$T$2710,8,FALSE)</f>
        <v>0.10575213802062655</v>
      </c>
      <c r="P86" s="5">
        <f>VLOOKUP(P$1&amp;$A86,배당편집!$M$2:$T$2710,8,FALSE)</f>
        <v>7.9027893983583564E-2</v>
      </c>
      <c r="Q86" s="5">
        <f>VLOOKUP(Q$1&amp;$A86,배당편집!$M$2:$T$2710,8,FALSE)</f>
        <v>7.3940923785779322E-2</v>
      </c>
      <c r="R86" s="5">
        <f>VLOOKUP(R$1&amp;$A86,배당편집!$M$2:$T$2710,8,FALSE)</f>
        <v>3.0870139733077728E-2</v>
      </c>
      <c r="S86" s="5">
        <f>VLOOKUP(S$1&amp;$A86,배당편집!$M$2:$T$2710,8,FALSE)</f>
        <v>8.4471771197698553E-2</v>
      </c>
      <c r="T86" s="5">
        <f>VLOOKUP(T$1&amp;$A86,배당편집!$M$2:$T$2710,8,FALSE)</f>
        <v>0.10286313147852999</v>
      </c>
      <c r="U86" s="5">
        <f>VLOOKUP(U$1&amp;$A86,배당편집!$M$2:$T$2710,8,FALSE)</f>
        <v>0.42355433436501966</v>
      </c>
      <c r="V86" s="5">
        <f>VLOOKUP(V$1&amp;$A86,배당편집!$M$2:$T$2710,8,FALSE)</f>
        <v>0.18946082182210611</v>
      </c>
      <c r="W86" s="5">
        <f>VLOOKUP(W$1&amp;$A86,배당편집!$M$2:$T$2710,8,FALSE)</f>
        <v>0.20641593598215136</v>
      </c>
      <c r="X86" s="5">
        <f>VLOOKUP(X$1&amp;$A86,배당편집!$M$2:$T$2710,8,FALSE)</f>
        <v>4.4085846538828521E-2</v>
      </c>
      <c r="Y86" s="5">
        <f>VLOOKUP(Y$1&amp;$A86,배당편집!$M$2:$T$2710,8,FALSE)</f>
        <v>0.20304011267322686</v>
      </c>
      <c r="Z86" s="5">
        <f>VLOOKUP(Z$1&amp;$A86,배당편집!$M$2:$T$2710,8,FALSE)</f>
        <v>3.4563715943573214E-2</v>
      </c>
      <c r="AA86" s="5">
        <f>VLOOKUP(AA$1&amp;$A86,배당편집!$M$2:$T$2710,8,FALSE)</f>
        <v>0.13295681060117071</v>
      </c>
      <c r="AB86" s="5">
        <f>VLOOKUP(AB$1&amp;$A86,배당편집!$M$2:$T$2710,8,FALSE)</f>
        <v>0.19135789816709159</v>
      </c>
      <c r="AC86" s="5">
        <f>VLOOKUP(AC$1&amp;$A86,배당편집!$M$2:$T$2710,8,FALSE)</f>
        <v>2.4027376750527463E-2</v>
      </c>
      <c r="AD86" s="5">
        <f>VLOOKUP(AD$1&amp;$A86,배당편집!$M$2:$T$2710,8,FALSE)</f>
        <v>7.5829459940464305E-2</v>
      </c>
      <c r="AE86" s="5">
        <f>VLOOKUP(AE$1&amp;$A86,배당편집!$M$2:$T$2710,8,FALSE)</f>
        <v>7.3940923785779322E-2</v>
      </c>
      <c r="AF86" s="5">
        <f>VLOOKUP(AF$1&amp;$A86,배당편집!$M$2:$T$2710,8,FALSE)</f>
        <v>8.9976987048345336E-2</v>
      </c>
    </row>
    <row r="87" spans="1:32" ht="16.5" customHeight="1">
      <c r="A87" s="3">
        <v>2015</v>
      </c>
      <c r="B87" s="3">
        <v>2</v>
      </c>
      <c r="C87" s="5">
        <f>VLOOKUP(C$1&amp;$A87,배당편집!$M$2:$T$2710,8,FALSE)</f>
        <v>0.1967245924901726</v>
      </c>
      <c r="D87" s="5">
        <f>VLOOKUP(D$1&amp;$A87,배당편집!$M$2:$T$2710,8,FALSE)</f>
        <v>3.5804203580214189E-2</v>
      </c>
      <c r="E87" s="5">
        <f>VLOOKUP(E$1&amp;$A87,배당편집!$M$2:$T$2710,8,FALSE)</f>
        <v>0.16465861577965679</v>
      </c>
      <c r="F87" s="5">
        <f>VLOOKUP(F$1&amp;$A87,배당편집!$M$2:$T$2710,8,FALSE)</f>
        <v>9.5211210996487994E-2</v>
      </c>
      <c r="G87" s="5">
        <f>VLOOKUP(G$1&amp;$A87,배당편집!$M$2:$T$2710,8,FALSE)</f>
        <v>0.10438362870438156</v>
      </c>
      <c r="H87" s="5">
        <f>VLOOKUP(H$1&amp;$A87,배당편집!$M$2:$T$2710,8,FALSE)</f>
        <v>9.4901303982790397E-2</v>
      </c>
      <c r="I87" s="5">
        <f>VLOOKUP(I$1&amp;$A87,배당편집!$M$2:$T$2710,8,FALSE)</f>
        <v>2.3836255539609663E-2</v>
      </c>
      <c r="J87" s="5">
        <f>VLOOKUP(J$1&amp;$A87,배당편집!$M$2:$T$2710,8,FALSE)</f>
        <v>2.8213222586158881E-2</v>
      </c>
      <c r="K87" s="5">
        <f>VLOOKUP(K$1&amp;$A87,배당편집!$M$2:$T$2710,8,FALSE)</f>
        <v>0.10756634324828984</v>
      </c>
      <c r="L87" s="5">
        <f>VLOOKUP(L$1&amp;$A87,배당편집!$M$2:$T$2710,8,FALSE)</f>
        <v>0.25057828821420203</v>
      </c>
      <c r="M87" s="5">
        <f>VLOOKUP(M$1&amp;$A87,배당편집!$M$2:$T$2710,8,FALSE)</f>
        <v>9.3644086380576086E-2</v>
      </c>
      <c r="N87" s="5">
        <f>VLOOKUP(N$1&amp;$A87,배당편집!$M$2:$T$2710,8,FALSE)</f>
        <v>7.0066111031416467E-2</v>
      </c>
      <c r="O87" s="5">
        <f>VLOOKUP(O$1&amp;$A87,배당편집!$M$2:$T$2710,8,FALSE)</f>
        <v>0.10575213802062655</v>
      </c>
      <c r="P87" s="5">
        <f>VLOOKUP(P$1&amp;$A87,배당편집!$M$2:$T$2710,8,FALSE)</f>
        <v>7.9027893983583564E-2</v>
      </c>
      <c r="Q87" s="5">
        <f>VLOOKUP(Q$1&amp;$A87,배당편집!$M$2:$T$2710,8,FALSE)</f>
        <v>7.3940923785779322E-2</v>
      </c>
      <c r="R87" s="5">
        <f>VLOOKUP(R$1&amp;$A87,배당편집!$M$2:$T$2710,8,FALSE)</f>
        <v>3.0870139733077728E-2</v>
      </c>
      <c r="S87" s="5">
        <f>VLOOKUP(S$1&amp;$A87,배당편집!$M$2:$T$2710,8,FALSE)</f>
        <v>8.4471771197698553E-2</v>
      </c>
      <c r="T87" s="5">
        <f>VLOOKUP(T$1&amp;$A87,배당편집!$M$2:$T$2710,8,FALSE)</f>
        <v>0.10286313147852999</v>
      </c>
      <c r="U87" s="5">
        <f>VLOOKUP(U$1&amp;$A87,배당편집!$M$2:$T$2710,8,FALSE)</f>
        <v>0.42355433436501966</v>
      </c>
      <c r="V87" s="5">
        <f>VLOOKUP(V$1&amp;$A87,배당편집!$M$2:$T$2710,8,FALSE)</f>
        <v>0.18946082182210611</v>
      </c>
      <c r="W87" s="5">
        <f>VLOOKUP(W$1&amp;$A87,배당편집!$M$2:$T$2710,8,FALSE)</f>
        <v>0.20641593598215136</v>
      </c>
      <c r="X87" s="5">
        <f>VLOOKUP(X$1&amp;$A87,배당편집!$M$2:$T$2710,8,FALSE)</f>
        <v>4.4085846538828521E-2</v>
      </c>
      <c r="Y87" s="5">
        <f>VLOOKUP(Y$1&amp;$A87,배당편집!$M$2:$T$2710,8,FALSE)</f>
        <v>0.20304011267322686</v>
      </c>
      <c r="Z87" s="5">
        <f>VLOOKUP(Z$1&amp;$A87,배당편집!$M$2:$T$2710,8,FALSE)</f>
        <v>3.4563715943573214E-2</v>
      </c>
      <c r="AA87" s="5">
        <f>VLOOKUP(AA$1&amp;$A87,배당편집!$M$2:$T$2710,8,FALSE)</f>
        <v>0.13295681060117071</v>
      </c>
      <c r="AB87" s="5">
        <f>VLOOKUP(AB$1&amp;$A87,배당편집!$M$2:$T$2710,8,FALSE)</f>
        <v>0.19135789816709159</v>
      </c>
      <c r="AC87" s="5">
        <f>VLOOKUP(AC$1&amp;$A87,배당편집!$M$2:$T$2710,8,FALSE)</f>
        <v>2.4027376750527463E-2</v>
      </c>
      <c r="AD87" s="5">
        <f>VLOOKUP(AD$1&amp;$A87,배당편집!$M$2:$T$2710,8,FALSE)</f>
        <v>7.5829459940464305E-2</v>
      </c>
      <c r="AE87" s="5">
        <f>VLOOKUP(AE$1&amp;$A87,배당편집!$M$2:$T$2710,8,FALSE)</f>
        <v>7.3940923785779322E-2</v>
      </c>
      <c r="AF87" s="5">
        <f>VLOOKUP(AF$1&amp;$A87,배당편집!$M$2:$T$2710,8,FALSE)</f>
        <v>8.9976987048345336E-2</v>
      </c>
    </row>
    <row r="88" spans="1:32" ht="16.5" customHeight="1">
      <c r="A88" s="3">
        <v>2015</v>
      </c>
      <c r="B88" s="3">
        <v>3</v>
      </c>
      <c r="C88" s="5">
        <f>VLOOKUP(C$1&amp;$A88,배당편집!$M$2:$T$2710,8,FALSE)</f>
        <v>0.1967245924901726</v>
      </c>
      <c r="D88" s="5">
        <f>VLOOKUP(D$1&amp;$A88,배당편집!$M$2:$T$2710,8,FALSE)</f>
        <v>3.5804203580214189E-2</v>
      </c>
      <c r="E88" s="5">
        <f>VLOOKUP(E$1&amp;$A88,배당편집!$M$2:$T$2710,8,FALSE)</f>
        <v>0.16465861577965679</v>
      </c>
      <c r="F88" s="5">
        <f>VLOOKUP(F$1&amp;$A88,배당편집!$M$2:$T$2710,8,FALSE)</f>
        <v>9.5211210996487994E-2</v>
      </c>
      <c r="G88" s="5">
        <f>VLOOKUP(G$1&amp;$A88,배당편집!$M$2:$T$2710,8,FALSE)</f>
        <v>0.10438362870438156</v>
      </c>
      <c r="H88" s="5">
        <f>VLOOKUP(H$1&amp;$A88,배당편집!$M$2:$T$2710,8,FALSE)</f>
        <v>9.4901303982790397E-2</v>
      </c>
      <c r="I88" s="5">
        <f>VLOOKUP(I$1&amp;$A88,배당편집!$M$2:$T$2710,8,FALSE)</f>
        <v>2.3836255539609663E-2</v>
      </c>
      <c r="J88" s="5">
        <f>VLOOKUP(J$1&amp;$A88,배당편집!$M$2:$T$2710,8,FALSE)</f>
        <v>2.8213222586158881E-2</v>
      </c>
      <c r="K88" s="5">
        <f>VLOOKUP(K$1&amp;$A88,배당편집!$M$2:$T$2710,8,FALSE)</f>
        <v>0.10756634324828984</v>
      </c>
      <c r="L88" s="5">
        <f>VLOOKUP(L$1&amp;$A88,배당편집!$M$2:$T$2710,8,FALSE)</f>
        <v>0.25057828821420203</v>
      </c>
      <c r="M88" s="5">
        <f>VLOOKUP(M$1&amp;$A88,배당편집!$M$2:$T$2710,8,FALSE)</f>
        <v>9.3644086380576086E-2</v>
      </c>
      <c r="N88" s="5">
        <f>VLOOKUP(N$1&amp;$A88,배당편집!$M$2:$T$2710,8,FALSE)</f>
        <v>7.0066111031416467E-2</v>
      </c>
      <c r="O88" s="5">
        <f>VLOOKUP(O$1&amp;$A88,배당편집!$M$2:$T$2710,8,FALSE)</f>
        <v>0.10575213802062655</v>
      </c>
      <c r="P88" s="5">
        <f>VLOOKUP(P$1&amp;$A88,배당편집!$M$2:$T$2710,8,FALSE)</f>
        <v>7.9027893983583564E-2</v>
      </c>
      <c r="Q88" s="5">
        <f>VLOOKUP(Q$1&amp;$A88,배당편집!$M$2:$T$2710,8,FALSE)</f>
        <v>7.3940923785779322E-2</v>
      </c>
      <c r="R88" s="5">
        <f>VLOOKUP(R$1&amp;$A88,배당편집!$M$2:$T$2710,8,FALSE)</f>
        <v>3.0870139733077728E-2</v>
      </c>
      <c r="S88" s="5">
        <f>VLOOKUP(S$1&amp;$A88,배당편집!$M$2:$T$2710,8,FALSE)</f>
        <v>8.4471771197698553E-2</v>
      </c>
      <c r="T88" s="5">
        <f>VLOOKUP(T$1&amp;$A88,배당편집!$M$2:$T$2710,8,FALSE)</f>
        <v>0.10286313147852999</v>
      </c>
      <c r="U88" s="5">
        <f>VLOOKUP(U$1&amp;$A88,배당편집!$M$2:$T$2710,8,FALSE)</f>
        <v>0.42355433436501966</v>
      </c>
      <c r="V88" s="5">
        <f>VLOOKUP(V$1&amp;$A88,배당편집!$M$2:$T$2710,8,FALSE)</f>
        <v>0.18946082182210611</v>
      </c>
      <c r="W88" s="5">
        <f>VLOOKUP(W$1&amp;$A88,배당편집!$M$2:$T$2710,8,FALSE)</f>
        <v>0.20641593598215136</v>
      </c>
      <c r="X88" s="5">
        <f>VLOOKUP(X$1&amp;$A88,배당편집!$M$2:$T$2710,8,FALSE)</f>
        <v>4.4085846538828521E-2</v>
      </c>
      <c r="Y88" s="5">
        <f>VLOOKUP(Y$1&amp;$A88,배당편집!$M$2:$T$2710,8,FALSE)</f>
        <v>0.20304011267322686</v>
      </c>
      <c r="Z88" s="5">
        <f>VLOOKUP(Z$1&amp;$A88,배당편집!$M$2:$T$2710,8,FALSE)</f>
        <v>3.4563715943573214E-2</v>
      </c>
      <c r="AA88" s="5">
        <f>VLOOKUP(AA$1&amp;$A88,배당편집!$M$2:$T$2710,8,FALSE)</f>
        <v>0.13295681060117071</v>
      </c>
      <c r="AB88" s="5">
        <f>VLOOKUP(AB$1&amp;$A88,배당편집!$M$2:$T$2710,8,FALSE)</f>
        <v>0.19135789816709159</v>
      </c>
      <c r="AC88" s="5">
        <f>VLOOKUP(AC$1&amp;$A88,배당편집!$M$2:$T$2710,8,FALSE)</f>
        <v>2.4027376750527463E-2</v>
      </c>
      <c r="AD88" s="5">
        <f>VLOOKUP(AD$1&amp;$A88,배당편집!$M$2:$T$2710,8,FALSE)</f>
        <v>7.5829459940464305E-2</v>
      </c>
      <c r="AE88" s="5">
        <f>VLOOKUP(AE$1&amp;$A88,배당편집!$M$2:$T$2710,8,FALSE)</f>
        <v>7.3940923785779322E-2</v>
      </c>
      <c r="AF88" s="5">
        <f>VLOOKUP(AF$1&amp;$A88,배당편집!$M$2:$T$2710,8,FALSE)</f>
        <v>8.9976987048345336E-2</v>
      </c>
    </row>
    <row r="89" spans="1:32" ht="16.5" customHeight="1">
      <c r="A89" s="3">
        <v>2015</v>
      </c>
      <c r="B89" s="3">
        <v>4</v>
      </c>
      <c r="C89" s="5">
        <f>VLOOKUP(C$1&amp;$A89,배당편집!$M$2:$T$2710,8,FALSE)</f>
        <v>0.1967245924901726</v>
      </c>
      <c r="D89" s="5">
        <f>VLOOKUP(D$1&amp;$A89,배당편집!$M$2:$T$2710,8,FALSE)</f>
        <v>3.5804203580214189E-2</v>
      </c>
      <c r="E89" s="5">
        <f>VLOOKUP(E$1&amp;$A89,배당편집!$M$2:$T$2710,8,FALSE)</f>
        <v>0.16465861577965679</v>
      </c>
      <c r="F89" s="5">
        <f>VLOOKUP(F$1&amp;$A89,배당편집!$M$2:$T$2710,8,FALSE)</f>
        <v>9.5211210996487994E-2</v>
      </c>
      <c r="G89" s="5">
        <f>VLOOKUP(G$1&amp;$A89,배당편집!$M$2:$T$2710,8,FALSE)</f>
        <v>0.10438362870438156</v>
      </c>
      <c r="H89" s="5">
        <f>VLOOKUP(H$1&amp;$A89,배당편집!$M$2:$T$2710,8,FALSE)</f>
        <v>9.4901303982790397E-2</v>
      </c>
      <c r="I89" s="5">
        <f>VLOOKUP(I$1&amp;$A89,배당편집!$M$2:$T$2710,8,FALSE)</f>
        <v>2.3836255539609663E-2</v>
      </c>
      <c r="J89" s="5">
        <f>VLOOKUP(J$1&amp;$A89,배당편집!$M$2:$T$2710,8,FALSE)</f>
        <v>2.8213222586158881E-2</v>
      </c>
      <c r="K89" s="5">
        <f>VLOOKUP(K$1&amp;$A89,배당편집!$M$2:$T$2710,8,FALSE)</f>
        <v>0.10756634324828984</v>
      </c>
      <c r="L89" s="5">
        <f>VLOOKUP(L$1&amp;$A89,배당편집!$M$2:$T$2710,8,FALSE)</f>
        <v>0.25057828821420203</v>
      </c>
      <c r="M89" s="5">
        <f>VLOOKUP(M$1&amp;$A89,배당편집!$M$2:$T$2710,8,FALSE)</f>
        <v>9.3644086380576086E-2</v>
      </c>
      <c r="N89" s="5">
        <f>VLOOKUP(N$1&amp;$A89,배당편집!$M$2:$T$2710,8,FALSE)</f>
        <v>7.0066111031416467E-2</v>
      </c>
      <c r="O89" s="5">
        <f>VLOOKUP(O$1&amp;$A89,배당편집!$M$2:$T$2710,8,FALSE)</f>
        <v>0.10575213802062655</v>
      </c>
      <c r="P89" s="5">
        <f>VLOOKUP(P$1&amp;$A89,배당편집!$M$2:$T$2710,8,FALSE)</f>
        <v>7.9027893983583564E-2</v>
      </c>
      <c r="Q89" s="5">
        <f>VLOOKUP(Q$1&amp;$A89,배당편집!$M$2:$T$2710,8,FALSE)</f>
        <v>7.3940923785779322E-2</v>
      </c>
      <c r="R89" s="5">
        <f>VLOOKUP(R$1&amp;$A89,배당편집!$M$2:$T$2710,8,FALSE)</f>
        <v>3.0870139733077728E-2</v>
      </c>
      <c r="S89" s="5">
        <f>VLOOKUP(S$1&amp;$A89,배당편집!$M$2:$T$2710,8,FALSE)</f>
        <v>8.4471771197698553E-2</v>
      </c>
      <c r="T89" s="5">
        <f>VLOOKUP(T$1&amp;$A89,배당편집!$M$2:$T$2710,8,FALSE)</f>
        <v>0.10286313147852999</v>
      </c>
      <c r="U89" s="5">
        <f>VLOOKUP(U$1&amp;$A89,배당편집!$M$2:$T$2710,8,FALSE)</f>
        <v>0.42355433436501966</v>
      </c>
      <c r="V89" s="5">
        <f>VLOOKUP(V$1&amp;$A89,배당편집!$M$2:$T$2710,8,FALSE)</f>
        <v>0.18946082182210611</v>
      </c>
      <c r="W89" s="5">
        <f>VLOOKUP(W$1&amp;$A89,배당편집!$M$2:$T$2710,8,FALSE)</f>
        <v>0.20641593598215136</v>
      </c>
      <c r="X89" s="5">
        <f>VLOOKUP(X$1&amp;$A89,배당편집!$M$2:$T$2710,8,FALSE)</f>
        <v>4.4085846538828521E-2</v>
      </c>
      <c r="Y89" s="5">
        <f>VLOOKUP(Y$1&amp;$A89,배당편집!$M$2:$T$2710,8,FALSE)</f>
        <v>0.20304011267322686</v>
      </c>
      <c r="Z89" s="5">
        <f>VLOOKUP(Z$1&amp;$A89,배당편집!$M$2:$T$2710,8,FALSE)</f>
        <v>3.4563715943573214E-2</v>
      </c>
      <c r="AA89" s="5">
        <f>VLOOKUP(AA$1&amp;$A89,배당편집!$M$2:$T$2710,8,FALSE)</f>
        <v>0.13295681060117071</v>
      </c>
      <c r="AB89" s="5">
        <f>VLOOKUP(AB$1&amp;$A89,배당편집!$M$2:$T$2710,8,FALSE)</f>
        <v>0.19135789816709159</v>
      </c>
      <c r="AC89" s="5">
        <f>VLOOKUP(AC$1&amp;$A89,배당편집!$M$2:$T$2710,8,FALSE)</f>
        <v>2.4027376750527463E-2</v>
      </c>
      <c r="AD89" s="5">
        <f>VLOOKUP(AD$1&amp;$A89,배당편집!$M$2:$T$2710,8,FALSE)</f>
        <v>7.5829459940464305E-2</v>
      </c>
      <c r="AE89" s="5">
        <f>VLOOKUP(AE$1&amp;$A89,배당편집!$M$2:$T$2710,8,FALSE)</f>
        <v>7.3940923785779322E-2</v>
      </c>
      <c r="AF89" s="5">
        <f>VLOOKUP(AF$1&amp;$A89,배당편집!$M$2:$T$2710,8,FALSE)</f>
        <v>8.9976987048345336E-2</v>
      </c>
    </row>
    <row r="90" spans="1:32" ht="16.5" customHeight="1">
      <c r="A90" s="3">
        <v>2015</v>
      </c>
      <c r="B90" s="3">
        <v>5</v>
      </c>
      <c r="C90" s="5">
        <f>VLOOKUP(C$1&amp;$A90,배당편집!$M$2:$T$2710,8,FALSE)</f>
        <v>0.1967245924901726</v>
      </c>
      <c r="D90" s="5">
        <f>VLOOKUP(D$1&amp;$A90,배당편집!$M$2:$T$2710,8,FALSE)</f>
        <v>3.5804203580214189E-2</v>
      </c>
      <c r="E90" s="5">
        <f>VLOOKUP(E$1&amp;$A90,배당편집!$M$2:$T$2710,8,FALSE)</f>
        <v>0.16465861577965679</v>
      </c>
      <c r="F90" s="5">
        <f>VLOOKUP(F$1&amp;$A90,배당편집!$M$2:$T$2710,8,FALSE)</f>
        <v>9.5211210996487994E-2</v>
      </c>
      <c r="G90" s="5">
        <f>VLOOKUP(G$1&amp;$A90,배당편집!$M$2:$T$2710,8,FALSE)</f>
        <v>0.10438362870438156</v>
      </c>
      <c r="H90" s="5">
        <f>VLOOKUP(H$1&amp;$A90,배당편집!$M$2:$T$2710,8,FALSE)</f>
        <v>9.4901303982790397E-2</v>
      </c>
      <c r="I90" s="5">
        <f>VLOOKUP(I$1&amp;$A90,배당편집!$M$2:$T$2710,8,FALSE)</f>
        <v>2.3836255539609663E-2</v>
      </c>
      <c r="J90" s="5">
        <f>VLOOKUP(J$1&amp;$A90,배당편집!$M$2:$T$2710,8,FALSE)</f>
        <v>2.8213222586158881E-2</v>
      </c>
      <c r="K90" s="5">
        <f>VLOOKUP(K$1&amp;$A90,배당편집!$M$2:$T$2710,8,FALSE)</f>
        <v>0.10756634324828984</v>
      </c>
      <c r="L90" s="5">
        <f>VLOOKUP(L$1&amp;$A90,배당편집!$M$2:$T$2710,8,FALSE)</f>
        <v>0.25057828821420203</v>
      </c>
      <c r="M90" s="5">
        <f>VLOOKUP(M$1&amp;$A90,배당편집!$M$2:$T$2710,8,FALSE)</f>
        <v>9.3644086380576086E-2</v>
      </c>
      <c r="N90" s="5">
        <f>VLOOKUP(N$1&amp;$A90,배당편집!$M$2:$T$2710,8,FALSE)</f>
        <v>7.0066111031416467E-2</v>
      </c>
      <c r="O90" s="5">
        <f>VLOOKUP(O$1&amp;$A90,배당편집!$M$2:$T$2710,8,FALSE)</f>
        <v>0.10575213802062655</v>
      </c>
      <c r="P90" s="5">
        <f>VLOOKUP(P$1&amp;$A90,배당편집!$M$2:$T$2710,8,FALSE)</f>
        <v>7.9027893983583564E-2</v>
      </c>
      <c r="Q90" s="5">
        <f>VLOOKUP(Q$1&amp;$A90,배당편집!$M$2:$T$2710,8,FALSE)</f>
        <v>7.3940923785779322E-2</v>
      </c>
      <c r="R90" s="5">
        <f>VLOOKUP(R$1&amp;$A90,배당편집!$M$2:$T$2710,8,FALSE)</f>
        <v>3.0870139733077728E-2</v>
      </c>
      <c r="S90" s="5">
        <f>VLOOKUP(S$1&amp;$A90,배당편집!$M$2:$T$2710,8,FALSE)</f>
        <v>8.4471771197698553E-2</v>
      </c>
      <c r="T90" s="5">
        <f>VLOOKUP(T$1&amp;$A90,배당편집!$M$2:$T$2710,8,FALSE)</f>
        <v>0.10286313147852999</v>
      </c>
      <c r="U90" s="5">
        <f>VLOOKUP(U$1&amp;$A90,배당편집!$M$2:$T$2710,8,FALSE)</f>
        <v>0.42355433436501966</v>
      </c>
      <c r="V90" s="5">
        <f>VLOOKUP(V$1&amp;$A90,배당편집!$M$2:$T$2710,8,FALSE)</f>
        <v>0.18946082182210611</v>
      </c>
      <c r="W90" s="5">
        <f>VLOOKUP(W$1&amp;$A90,배당편집!$M$2:$T$2710,8,FALSE)</f>
        <v>0.20641593598215136</v>
      </c>
      <c r="X90" s="5">
        <f>VLOOKUP(X$1&amp;$A90,배당편집!$M$2:$T$2710,8,FALSE)</f>
        <v>4.4085846538828521E-2</v>
      </c>
      <c r="Y90" s="5">
        <f>VLOOKUP(Y$1&amp;$A90,배당편집!$M$2:$T$2710,8,FALSE)</f>
        <v>0.20304011267322686</v>
      </c>
      <c r="Z90" s="5">
        <f>VLOOKUP(Z$1&amp;$A90,배당편집!$M$2:$T$2710,8,FALSE)</f>
        <v>3.4563715943573214E-2</v>
      </c>
      <c r="AA90" s="5">
        <f>VLOOKUP(AA$1&amp;$A90,배당편집!$M$2:$T$2710,8,FALSE)</f>
        <v>0.13295681060117071</v>
      </c>
      <c r="AB90" s="5">
        <f>VLOOKUP(AB$1&amp;$A90,배당편집!$M$2:$T$2710,8,FALSE)</f>
        <v>0.19135789816709159</v>
      </c>
      <c r="AC90" s="5">
        <f>VLOOKUP(AC$1&amp;$A90,배당편집!$M$2:$T$2710,8,FALSE)</f>
        <v>2.4027376750527463E-2</v>
      </c>
      <c r="AD90" s="5">
        <f>VLOOKUP(AD$1&amp;$A90,배당편집!$M$2:$T$2710,8,FALSE)</f>
        <v>7.5829459940464305E-2</v>
      </c>
      <c r="AE90" s="5">
        <f>VLOOKUP(AE$1&amp;$A90,배당편집!$M$2:$T$2710,8,FALSE)</f>
        <v>7.3940923785779322E-2</v>
      </c>
      <c r="AF90" s="5">
        <f>VLOOKUP(AF$1&amp;$A90,배당편집!$M$2:$T$2710,8,FALSE)</f>
        <v>8.9976987048345336E-2</v>
      </c>
    </row>
    <row r="91" spans="1:32" ht="16.5" customHeight="1">
      <c r="A91" s="3">
        <v>2015</v>
      </c>
      <c r="B91" s="3">
        <v>6</v>
      </c>
      <c r="C91" s="5">
        <f>VLOOKUP(C$1&amp;$A91,배당편집!$M$2:$T$2710,8,FALSE)</f>
        <v>0.1967245924901726</v>
      </c>
      <c r="D91" s="5">
        <f>VLOOKUP(D$1&amp;$A91,배당편집!$M$2:$T$2710,8,FALSE)</f>
        <v>3.5804203580214189E-2</v>
      </c>
      <c r="E91" s="5">
        <f>VLOOKUP(E$1&amp;$A91,배당편집!$M$2:$T$2710,8,FALSE)</f>
        <v>0.16465861577965679</v>
      </c>
      <c r="F91" s="5">
        <f>VLOOKUP(F$1&amp;$A91,배당편집!$M$2:$T$2710,8,FALSE)</f>
        <v>9.5211210996487994E-2</v>
      </c>
      <c r="G91" s="5">
        <f>VLOOKUP(G$1&amp;$A91,배당편집!$M$2:$T$2710,8,FALSE)</f>
        <v>0.10438362870438156</v>
      </c>
      <c r="H91" s="5">
        <f>VLOOKUP(H$1&amp;$A91,배당편집!$M$2:$T$2710,8,FALSE)</f>
        <v>9.4901303982790397E-2</v>
      </c>
      <c r="I91" s="5">
        <f>VLOOKUP(I$1&amp;$A91,배당편집!$M$2:$T$2710,8,FALSE)</f>
        <v>2.3836255539609663E-2</v>
      </c>
      <c r="J91" s="5">
        <f>VLOOKUP(J$1&amp;$A91,배당편집!$M$2:$T$2710,8,FALSE)</f>
        <v>2.8213222586158881E-2</v>
      </c>
      <c r="K91" s="5">
        <f>VLOOKUP(K$1&amp;$A91,배당편집!$M$2:$T$2710,8,FALSE)</f>
        <v>0.10756634324828984</v>
      </c>
      <c r="L91" s="5">
        <f>VLOOKUP(L$1&amp;$A91,배당편집!$M$2:$T$2710,8,FALSE)</f>
        <v>0.25057828821420203</v>
      </c>
      <c r="M91" s="5">
        <f>VLOOKUP(M$1&amp;$A91,배당편집!$M$2:$T$2710,8,FALSE)</f>
        <v>9.3644086380576086E-2</v>
      </c>
      <c r="N91" s="5">
        <f>VLOOKUP(N$1&amp;$A91,배당편집!$M$2:$T$2710,8,FALSE)</f>
        <v>7.0066111031416467E-2</v>
      </c>
      <c r="O91" s="5">
        <f>VLOOKUP(O$1&amp;$A91,배당편집!$M$2:$T$2710,8,FALSE)</f>
        <v>0.10575213802062655</v>
      </c>
      <c r="P91" s="5">
        <f>VLOOKUP(P$1&amp;$A91,배당편집!$M$2:$T$2710,8,FALSE)</f>
        <v>7.9027893983583564E-2</v>
      </c>
      <c r="Q91" s="5">
        <f>VLOOKUP(Q$1&amp;$A91,배당편집!$M$2:$T$2710,8,FALSE)</f>
        <v>7.3940923785779322E-2</v>
      </c>
      <c r="R91" s="5">
        <f>VLOOKUP(R$1&amp;$A91,배당편집!$M$2:$T$2710,8,FALSE)</f>
        <v>3.0870139733077728E-2</v>
      </c>
      <c r="S91" s="5">
        <f>VLOOKUP(S$1&amp;$A91,배당편집!$M$2:$T$2710,8,FALSE)</f>
        <v>8.4471771197698553E-2</v>
      </c>
      <c r="T91" s="5">
        <f>VLOOKUP(T$1&amp;$A91,배당편집!$M$2:$T$2710,8,FALSE)</f>
        <v>0.10286313147852999</v>
      </c>
      <c r="U91" s="5">
        <f>VLOOKUP(U$1&amp;$A91,배당편집!$M$2:$T$2710,8,FALSE)</f>
        <v>0.42355433436501966</v>
      </c>
      <c r="V91" s="5">
        <f>VLOOKUP(V$1&amp;$A91,배당편집!$M$2:$T$2710,8,FALSE)</f>
        <v>0.18946082182210611</v>
      </c>
      <c r="W91" s="5">
        <f>VLOOKUP(W$1&amp;$A91,배당편집!$M$2:$T$2710,8,FALSE)</f>
        <v>0.20641593598215136</v>
      </c>
      <c r="X91" s="5">
        <f>VLOOKUP(X$1&amp;$A91,배당편집!$M$2:$T$2710,8,FALSE)</f>
        <v>4.4085846538828521E-2</v>
      </c>
      <c r="Y91" s="5">
        <f>VLOOKUP(Y$1&amp;$A91,배당편집!$M$2:$T$2710,8,FALSE)</f>
        <v>0.20304011267322686</v>
      </c>
      <c r="Z91" s="5">
        <f>VLOOKUP(Z$1&amp;$A91,배당편집!$M$2:$T$2710,8,FALSE)</f>
        <v>3.4563715943573214E-2</v>
      </c>
      <c r="AA91" s="5">
        <f>VLOOKUP(AA$1&amp;$A91,배당편집!$M$2:$T$2710,8,FALSE)</f>
        <v>0.13295681060117071</v>
      </c>
      <c r="AB91" s="5">
        <f>VLOOKUP(AB$1&amp;$A91,배당편집!$M$2:$T$2710,8,FALSE)</f>
        <v>0.19135789816709159</v>
      </c>
      <c r="AC91" s="5">
        <f>VLOOKUP(AC$1&amp;$A91,배당편집!$M$2:$T$2710,8,FALSE)</f>
        <v>2.4027376750527463E-2</v>
      </c>
      <c r="AD91" s="5">
        <f>VLOOKUP(AD$1&amp;$A91,배당편집!$M$2:$T$2710,8,FALSE)</f>
        <v>7.5829459940464305E-2</v>
      </c>
      <c r="AE91" s="5">
        <f>VLOOKUP(AE$1&amp;$A91,배당편집!$M$2:$T$2710,8,FALSE)</f>
        <v>7.3940923785779322E-2</v>
      </c>
      <c r="AF91" s="5">
        <f>VLOOKUP(AF$1&amp;$A91,배당편집!$M$2:$T$2710,8,FALSE)</f>
        <v>8.9976987048345336E-2</v>
      </c>
    </row>
    <row r="92" spans="1:32" ht="16.5" customHeight="1">
      <c r="A92" s="3">
        <v>2015</v>
      </c>
      <c r="B92" s="3">
        <v>7</v>
      </c>
      <c r="C92" s="5">
        <f>VLOOKUP(C$1&amp;$A92,배당편집!$M$2:$T$2710,8,FALSE)</f>
        <v>0.1967245924901726</v>
      </c>
      <c r="D92" s="5">
        <f>VLOOKUP(D$1&amp;$A92,배당편집!$M$2:$T$2710,8,FALSE)</f>
        <v>3.5804203580214189E-2</v>
      </c>
      <c r="E92" s="5">
        <f>VLOOKUP(E$1&amp;$A92,배당편집!$M$2:$T$2710,8,FALSE)</f>
        <v>0.16465861577965679</v>
      </c>
      <c r="F92" s="5">
        <f>VLOOKUP(F$1&amp;$A92,배당편집!$M$2:$T$2710,8,FALSE)</f>
        <v>9.5211210996487994E-2</v>
      </c>
      <c r="G92" s="5">
        <f>VLOOKUP(G$1&amp;$A92,배당편집!$M$2:$T$2710,8,FALSE)</f>
        <v>0.10438362870438156</v>
      </c>
      <c r="H92" s="5">
        <f>VLOOKUP(H$1&amp;$A92,배당편집!$M$2:$T$2710,8,FALSE)</f>
        <v>9.4901303982790397E-2</v>
      </c>
      <c r="I92" s="5">
        <f>VLOOKUP(I$1&amp;$A92,배당편집!$M$2:$T$2710,8,FALSE)</f>
        <v>2.3836255539609663E-2</v>
      </c>
      <c r="J92" s="5">
        <f>VLOOKUP(J$1&amp;$A92,배당편집!$M$2:$T$2710,8,FALSE)</f>
        <v>2.8213222586158881E-2</v>
      </c>
      <c r="K92" s="5">
        <f>VLOOKUP(K$1&amp;$A92,배당편집!$M$2:$T$2710,8,FALSE)</f>
        <v>0.10756634324828984</v>
      </c>
      <c r="L92" s="5">
        <f>VLOOKUP(L$1&amp;$A92,배당편집!$M$2:$T$2710,8,FALSE)</f>
        <v>0.25057828821420203</v>
      </c>
      <c r="M92" s="5">
        <f>VLOOKUP(M$1&amp;$A92,배당편집!$M$2:$T$2710,8,FALSE)</f>
        <v>9.3644086380576086E-2</v>
      </c>
      <c r="N92" s="5">
        <f>VLOOKUP(N$1&amp;$A92,배당편집!$M$2:$T$2710,8,FALSE)</f>
        <v>7.0066111031416467E-2</v>
      </c>
      <c r="O92" s="5">
        <f>VLOOKUP(O$1&amp;$A92,배당편집!$M$2:$T$2710,8,FALSE)</f>
        <v>0.10575213802062655</v>
      </c>
      <c r="P92" s="5">
        <f>VLOOKUP(P$1&amp;$A92,배당편집!$M$2:$T$2710,8,FALSE)</f>
        <v>7.9027893983583564E-2</v>
      </c>
      <c r="Q92" s="5">
        <f>VLOOKUP(Q$1&amp;$A92,배당편집!$M$2:$T$2710,8,FALSE)</f>
        <v>7.3940923785779322E-2</v>
      </c>
      <c r="R92" s="5">
        <f>VLOOKUP(R$1&amp;$A92,배당편집!$M$2:$T$2710,8,FALSE)</f>
        <v>3.0870139733077728E-2</v>
      </c>
      <c r="S92" s="5">
        <f>VLOOKUP(S$1&amp;$A92,배당편집!$M$2:$T$2710,8,FALSE)</f>
        <v>8.4471771197698553E-2</v>
      </c>
      <c r="T92" s="5">
        <f>VLOOKUP(T$1&amp;$A92,배당편집!$M$2:$T$2710,8,FALSE)</f>
        <v>0.10286313147852999</v>
      </c>
      <c r="U92" s="5">
        <f>VLOOKUP(U$1&amp;$A92,배당편집!$M$2:$T$2710,8,FALSE)</f>
        <v>0.42355433436501966</v>
      </c>
      <c r="V92" s="5">
        <f>VLOOKUP(V$1&amp;$A92,배당편집!$M$2:$T$2710,8,FALSE)</f>
        <v>0.18946082182210611</v>
      </c>
      <c r="W92" s="5">
        <f>VLOOKUP(W$1&amp;$A92,배당편집!$M$2:$T$2710,8,FALSE)</f>
        <v>0.20641593598215136</v>
      </c>
      <c r="X92" s="5">
        <f>VLOOKUP(X$1&amp;$A92,배당편집!$M$2:$T$2710,8,FALSE)</f>
        <v>4.4085846538828521E-2</v>
      </c>
      <c r="Y92" s="5">
        <f>VLOOKUP(Y$1&amp;$A92,배당편집!$M$2:$T$2710,8,FALSE)</f>
        <v>0.20304011267322686</v>
      </c>
      <c r="Z92" s="5">
        <f>VLOOKUP(Z$1&amp;$A92,배당편집!$M$2:$T$2710,8,FALSE)</f>
        <v>3.4563715943573214E-2</v>
      </c>
      <c r="AA92" s="5">
        <f>VLOOKUP(AA$1&amp;$A92,배당편집!$M$2:$T$2710,8,FALSE)</f>
        <v>0.13295681060117071</v>
      </c>
      <c r="AB92" s="5">
        <f>VLOOKUP(AB$1&amp;$A92,배당편집!$M$2:$T$2710,8,FALSE)</f>
        <v>0.19135789816709159</v>
      </c>
      <c r="AC92" s="5">
        <f>VLOOKUP(AC$1&amp;$A92,배당편집!$M$2:$T$2710,8,FALSE)</f>
        <v>2.4027376750527463E-2</v>
      </c>
      <c r="AD92" s="5">
        <f>VLOOKUP(AD$1&amp;$A92,배당편집!$M$2:$T$2710,8,FALSE)</f>
        <v>7.5829459940464305E-2</v>
      </c>
      <c r="AE92" s="5">
        <f>VLOOKUP(AE$1&amp;$A92,배당편집!$M$2:$T$2710,8,FALSE)</f>
        <v>7.3940923785779322E-2</v>
      </c>
      <c r="AF92" s="5">
        <f>VLOOKUP(AF$1&amp;$A92,배당편집!$M$2:$T$2710,8,FALSE)</f>
        <v>8.9976987048345336E-2</v>
      </c>
    </row>
    <row r="93" spans="1:32" ht="16.5" customHeight="1">
      <c r="A93" s="3">
        <v>2015</v>
      </c>
      <c r="B93" s="3">
        <v>8</v>
      </c>
      <c r="C93" s="5">
        <f>VLOOKUP(C$1&amp;$A93,배당편집!$M$2:$T$2710,8,FALSE)</f>
        <v>0.1967245924901726</v>
      </c>
      <c r="D93" s="5">
        <f>VLOOKUP(D$1&amp;$A93,배당편집!$M$2:$T$2710,8,FALSE)</f>
        <v>3.5804203580214189E-2</v>
      </c>
      <c r="E93" s="5">
        <f>VLOOKUP(E$1&amp;$A93,배당편집!$M$2:$T$2710,8,FALSE)</f>
        <v>0.16465861577965679</v>
      </c>
      <c r="F93" s="5">
        <f>VLOOKUP(F$1&amp;$A93,배당편집!$M$2:$T$2710,8,FALSE)</f>
        <v>9.5211210996487994E-2</v>
      </c>
      <c r="G93" s="5">
        <f>VLOOKUP(G$1&amp;$A93,배당편집!$M$2:$T$2710,8,FALSE)</f>
        <v>0.10438362870438156</v>
      </c>
      <c r="H93" s="5">
        <f>VLOOKUP(H$1&amp;$A93,배당편집!$M$2:$T$2710,8,FALSE)</f>
        <v>9.4901303982790397E-2</v>
      </c>
      <c r="I93" s="5">
        <f>VLOOKUP(I$1&amp;$A93,배당편집!$M$2:$T$2710,8,FALSE)</f>
        <v>2.3836255539609663E-2</v>
      </c>
      <c r="J93" s="5">
        <f>VLOOKUP(J$1&amp;$A93,배당편집!$M$2:$T$2710,8,FALSE)</f>
        <v>2.8213222586158881E-2</v>
      </c>
      <c r="K93" s="5">
        <f>VLOOKUP(K$1&amp;$A93,배당편집!$M$2:$T$2710,8,FALSE)</f>
        <v>0.10756634324828984</v>
      </c>
      <c r="L93" s="5">
        <f>VLOOKUP(L$1&amp;$A93,배당편집!$M$2:$T$2710,8,FALSE)</f>
        <v>0.25057828821420203</v>
      </c>
      <c r="M93" s="5">
        <f>VLOOKUP(M$1&amp;$A93,배당편집!$M$2:$T$2710,8,FALSE)</f>
        <v>9.3644086380576086E-2</v>
      </c>
      <c r="N93" s="5">
        <f>VLOOKUP(N$1&amp;$A93,배당편집!$M$2:$T$2710,8,FALSE)</f>
        <v>7.0066111031416467E-2</v>
      </c>
      <c r="O93" s="5">
        <f>VLOOKUP(O$1&amp;$A93,배당편집!$M$2:$T$2710,8,FALSE)</f>
        <v>0.10575213802062655</v>
      </c>
      <c r="P93" s="5">
        <f>VLOOKUP(P$1&amp;$A93,배당편집!$M$2:$T$2710,8,FALSE)</f>
        <v>7.9027893983583564E-2</v>
      </c>
      <c r="Q93" s="5">
        <f>VLOOKUP(Q$1&amp;$A93,배당편집!$M$2:$T$2710,8,FALSE)</f>
        <v>7.3940923785779322E-2</v>
      </c>
      <c r="R93" s="5">
        <f>VLOOKUP(R$1&amp;$A93,배당편집!$M$2:$T$2710,8,FALSE)</f>
        <v>3.0870139733077728E-2</v>
      </c>
      <c r="S93" s="5">
        <f>VLOOKUP(S$1&amp;$A93,배당편집!$M$2:$T$2710,8,FALSE)</f>
        <v>8.4471771197698553E-2</v>
      </c>
      <c r="T93" s="5">
        <f>VLOOKUP(T$1&amp;$A93,배당편집!$M$2:$T$2710,8,FALSE)</f>
        <v>0.10286313147852999</v>
      </c>
      <c r="U93" s="5">
        <f>VLOOKUP(U$1&amp;$A93,배당편집!$M$2:$T$2710,8,FALSE)</f>
        <v>0.42355433436501966</v>
      </c>
      <c r="V93" s="5">
        <f>VLOOKUP(V$1&amp;$A93,배당편집!$M$2:$T$2710,8,FALSE)</f>
        <v>0.18946082182210611</v>
      </c>
      <c r="W93" s="5">
        <f>VLOOKUP(W$1&amp;$A93,배당편집!$M$2:$T$2710,8,FALSE)</f>
        <v>0.20641593598215136</v>
      </c>
      <c r="X93" s="5">
        <f>VLOOKUP(X$1&amp;$A93,배당편집!$M$2:$T$2710,8,FALSE)</f>
        <v>4.4085846538828521E-2</v>
      </c>
      <c r="Y93" s="5">
        <f>VLOOKUP(Y$1&amp;$A93,배당편집!$M$2:$T$2710,8,FALSE)</f>
        <v>0.20304011267322686</v>
      </c>
      <c r="Z93" s="5">
        <f>VLOOKUP(Z$1&amp;$A93,배당편집!$M$2:$T$2710,8,FALSE)</f>
        <v>3.4563715943573214E-2</v>
      </c>
      <c r="AA93" s="5">
        <f>VLOOKUP(AA$1&amp;$A93,배당편집!$M$2:$T$2710,8,FALSE)</f>
        <v>0.13295681060117071</v>
      </c>
      <c r="AB93" s="5">
        <f>VLOOKUP(AB$1&amp;$A93,배당편집!$M$2:$T$2710,8,FALSE)</f>
        <v>0.19135789816709159</v>
      </c>
      <c r="AC93" s="5">
        <f>VLOOKUP(AC$1&amp;$A93,배당편집!$M$2:$T$2710,8,FALSE)</f>
        <v>2.4027376750527463E-2</v>
      </c>
      <c r="AD93" s="5">
        <f>VLOOKUP(AD$1&amp;$A93,배당편집!$M$2:$T$2710,8,FALSE)</f>
        <v>7.5829459940464305E-2</v>
      </c>
      <c r="AE93" s="5">
        <f>VLOOKUP(AE$1&amp;$A93,배당편집!$M$2:$T$2710,8,FALSE)</f>
        <v>7.3940923785779322E-2</v>
      </c>
      <c r="AF93" s="5">
        <f>VLOOKUP(AF$1&amp;$A93,배당편집!$M$2:$T$2710,8,FALSE)</f>
        <v>8.9976987048345336E-2</v>
      </c>
    </row>
    <row r="94" spans="1:32" ht="16.5" customHeight="1">
      <c r="A94" s="3">
        <v>2015</v>
      </c>
      <c r="B94" s="3">
        <v>9</v>
      </c>
      <c r="C94" s="5">
        <f>VLOOKUP(C$1&amp;$A94,배당편집!$M$2:$T$2710,8,FALSE)</f>
        <v>0.1967245924901726</v>
      </c>
      <c r="D94" s="5">
        <f>VLOOKUP(D$1&amp;$A94,배당편집!$M$2:$T$2710,8,FALSE)</f>
        <v>3.5804203580214189E-2</v>
      </c>
      <c r="E94" s="5">
        <f>VLOOKUP(E$1&amp;$A94,배당편집!$M$2:$T$2710,8,FALSE)</f>
        <v>0.16465861577965679</v>
      </c>
      <c r="F94" s="5">
        <f>VLOOKUP(F$1&amp;$A94,배당편집!$M$2:$T$2710,8,FALSE)</f>
        <v>9.5211210996487994E-2</v>
      </c>
      <c r="G94" s="5">
        <f>VLOOKUP(G$1&amp;$A94,배당편집!$M$2:$T$2710,8,FALSE)</f>
        <v>0.10438362870438156</v>
      </c>
      <c r="H94" s="5">
        <f>VLOOKUP(H$1&amp;$A94,배당편집!$M$2:$T$2710,8,FALSE)</f>
        <v>9.4901303982790397E-2</v>
      </c>
      <c r="I94" s="5">
        <f>VLOOKUP(I$1&amp;$A94,배당편집!$M$2:$T$2710,8,FALSE)</f>
        <v>2.3836255539609663E-2</v>
      </c>
      <c r="J94" s="5">
        <f>VLOOKUP(J$1&amp;$A94,배당편집!$M$2:$T$2710,8,FALSE)</f>
        <v>2.8213222586158881E-2</v>
      </c>
      <c r="K94" s="5">
        <f>VLOOKUP(K$1&amp;$A94,배당편집!$M$2:$T$2710,8,FALSE)</f>
        <v>0.10756634324828984</v>
      </c>
      <c r="L94" s="5">
        <f>VLOOKUP(L$1&amp;$A94,배당편집!$M$2:$T$2710,8,FALSE)</f>
        <v>0.25057828821420203</v>
      </c>
      <c r="M94" s="5">
        <f>VLOOKUP(M$1&amp;$A94,배당편집!$M$2:$T$2710,8,FALSE)</f>
        <v>9.3644086380576086E-2</v>
      </c>
      <c r="N94" s="5">
        <f>VLOOKUP(N$1&amp;$A94,배당편집!$M$2:$T$2710,8,FALSE)</f>
        <v>7.0066111031416467E-2</v>
      </c>
      <c r="O94" s="5">
        <f>VLOOKUP(O$1&amp;$A94,배당편집!$M$2:$T$2710,8,FALSE)</f>
        <v>0.10575213802062655</v>
      </c>
      <c r="P94" s="5">
        <f>VLOOKUP(P$1&amp;$A94,배당편집!$M$2:$T$2710,8,FALSE)</f>
        <v>7.9027893983583564E-2</v>
      </c>
      <c r="Q94" s="5">
        <f>VLOOKUP(Q$1&amp;$A94,배당편집!$M$2:$T$2710,8,FALSE)</f>
        <v>7.3940923785779322E-2</v>
      </c>
      <c r="R94" s="5">
        <f>VLOOKUP(R$1&amp;$A94,배당편집!$M$2:$T$2710,8,FALSE)</f>
        <v>3.0870139733077728E-2</v>
      </c>
      <c r="S94" s="5">
        <f>VLOOKUP(S$1&amp;$A94,배당편집!$M$2:$T$2710,8,FALSE)</f>
        <v>8.4471771197698553E-2</v>
      </c>
      <c r="T94" s="5">
        <f>VLOOKUP(T$1&amp;$A94,배당편집!$M$2:$T$2710,8,FALSE)</f>
        <v>0.10286313147852999</v>
      </c>
      <c r="U94" s="5">
        <f>VLOOKUP(U$1&amp;$A94,배당편집!$M$2:$T$2710,8,FALSE)</f>
        <v>0.42355433436501966</v>
      </c>
      <c r="V94" s="5">
        <f>VLOOKUP(V$1&amp;$A94,배당편집!$M$2:$T$2710,8,FALSE)</f>
        <v>0.18946082182210611</v>
      </c>
      <c r="W94" s="5">
        <f>VLOOKUP(W$1&amp;$A94,배당편집!$M$2:$T$2710,8,FALSE)</f>
        <v>0.20641593598215136</v>
      </c>
      <c r="X94" s="5">
        <f>VLOOKUP(X$1&amp;$A94,배당편집!$M$2:$T$2710,8,FALSE)</f>
        <v>4.4085846538828521E-2</v>
      </c>
      <c r="Y94" s="5">
        <f>VLOOKUP(Y$1&amp;$A94,배당편집!$M$2:$T$2710,8,FALSE)</f>
        <v>0.20304011267322686</v>
      </c>
      <c r="Z94" s="5">
        <f>VLOOKUP(Z$1&amp;$A94,배당편집!$M$2:$T$2710,8,FALSE)</f>
        <v>3.4563715943573214E-2</v>
      </c>
      <c r="AA94" s="5">
        <f>VLOOKUP(AA$1&amp;$A94,배당편집!$M$2:$T$2710,8,FALSE)</f>
        <v>0.13295681060117071</v>
      </c>
      <c r="AB94" s="5">
        <f>VLOOKUP(AB$1&amp;$A94,배당편집!$M$2:$T$2710,8,FALSE)</f>
        <v>0.19135789816709159</v>
      </c>
      <c r="AC94" s="5">
        <f>VLOOKUP(AC$1&amp;$A94,배당편집!$M$2:$T$2710,8,FALSE)</f>
        <v>2.4027376750527463E-2</v>
      </c>
      <c r="AD94" s="5">
        <f>VLOOKUP(AD$1&amp;$A94,배당편집!$M$2:$T$2710,8,FALSE)</f>
        <v>7.5829459940464305E-2</v>
      </c>
      <c r="AE94" s="5">
        <f>VLOOKUP(AE$1&amp;$A94,배당편집!$M$2:$T$2710,8,FALSE)</f>
        <v>7.3940923785779322E-2</v>
      </c>
      <c r="AF94" s="5">
        <f>VLOOKUP(AF$1&amp;$A94,배당편집!$M$2:$T$2710,8,FALSE)</f>
        <v>8.9976987048345336E-2</v>
      </c>
    </row>
    <row r="95" spans="1:32" ht="16.5" customHeight="1">
      <c r="A95" s="3">
        <v>2015</v>
      </c>
      <c r="B95" s="3">
        <v>10</v>
      </c>
      <c r="C95" s="5">
        <f>VLOOKUP(C$1&amp;$A95,배당편집!$M$2:$T$2710,8,FALSE)</f>
        <v>0.1967245924901726</v>
      </c>
      <c r="D95" s="5">
        <f>VLOOKUP(D$1&amp;$A95,배당편집!$M$2:$T$2710,8,FALSE)</f>
        <v>3.5804203580214189E-2</v>
      </c>
      <c r="E95" s="5">
        <f>VLOOKUP(E$1&amp;$A95,배당편집!$M$2:$T$2710,8,FALSE)</f>
        <v>0.16465861577965679</v>
      </c>
      <c r="F95" s="5">
        <f>VLOOKUP(F$1&amp;$A95,배당편집!$M$2:$T$2710,8,FALSE)</f>
        <v>9.5211210996487994E-2</v>
      </c>
      <c r="G95" s="5">
        <f>VLOOKUP(G$1&amp;$A95,배당편집!$M$2:$T$2710,8,FALSE)</f>
        <v>0.10438362870438156</v>
      </c>
      <c r="H95" s="5">
        <f>VLOOKUP(H$1&amp;$A95,배당편집!$M$2:$T$2710,8,FALSE)</f>
        <v>9.4901303982790397E-2</v>
      </c>
      <c r="I95" s="5">
        <f>VLOOKUP(I$1&amp;$A95,배당편집!$M$2:$T$2710,8,FALSE)</f>
        <v>2.3836255539609663E-2</v>
      </c>
      <c r="J95" s="5">
        <f>VLOOKUP(J$1&amp;$A95,배당편집!$M$2:$T$2710,8,FALSE)</f>
        <v>2.8213222586158881E-2</v>
      </c>
      <c r="K95" s="5">
        <f>VLOOKUP(K$1&amp;$A95,배당편집!$M$2:$T$2710,8,FALSE)</f>
        <v>0.10756634324828984</v>
      </c>
      <c r="L95" s="5">
        <f>VLOOKUP(L$1&amp;$A95,배당편집!$M$2:$T$2710,8,FALSE)</f>
        <v>0.25057828821420203</v>
      </c>
      <c r="M95" s="5">
        <f>VLOOKUP(M$1&amp;$A95,배당편집!$M$2:$T$2710,8,FALSE)</f>
        <v>9.3644086380576086E-2</v>
      </c>
      <c r="N95" s="5">
        <f>VLOOKUP(N$1&amp;$A95,배당편집!$M$2:$T$2710,8,FALSE)</f>
        <v>7.0066111031416467E-2</v>
      </c>
      <c r="O95" s="5">
        <f>VLOOKUP(O$1&amp;$A95,배당편집!$M$2:$T$2710,8,FALSE)</f>
        <v>0.10575213802062655</v>
      </c>
      <c r="P95" s="5">
        <f>VLOOKUP(P$1&amp;$A95,배당편집!$M$2:$T$2710,8,FALSE)</f>
        <v>7.9027893983583564E-2</v>
      </c>
      <c r="Q95" s="5">
        <f>VLOOKUP(Q$1&amp;$A95,배당편집!$M$2:$T$2710,8,FALSE)</f>
        <v>7.3940923785779322E-2</v>
      </c>
      <c r="R95" s="5">
        <f>VLOOKUP(R$1&amp;$A95,배당편집!$M$2:$T$2710,8,FALSE)</f>
        <v>3.0870139733077728E-2</v>
      </c>
      <c r="S95" s="5">
        <f>VLOOKUP(S$1&amp;$A95,배당편집!$M$2:$T$2710,8,FALSE)</f>
        <v>8.4471771197698553E-2</v>
      </c>
      <c r="T95" s="5">
        <f>VLOOKUP(T$1&amp;$A95,배당편집!$M$2:$T$2710,8,FALSE)</f>
        <v>0.10286313147852999</v>
      </c>
      <c r="U95" s="5">
        <f>VLOOKUP(U$1&amp;$A95,배당편집!$M$2:$T$2710,8,FALSE)</f>
        <v>0.42355433436501966</v>
      </c>
      <c r="V95" s="5">
        <f>VLOOKUP(V$1&amp;$A95,배당편집!$M$2:$T$2710,8,FALSE)</f>
        <v>0.18946082182210611</v>
      </c>
      <c r="W95" s="5">
        <f>VLOOKUP(W$1&amp;$A95,배당편집!$M$2:$T$2710,8,FALSE)</f>
        <v>0.20641593598215136</v>
      </c>
      <c r="X95" s="5">
        <f>VLOOKUP(X$1&amp;$A95,배당편집!$M$2:$T$2710,8,FALSE)</f>
        <v>4.4085846538828521E-2</v>
      </c>
      <c r="Y95" s="5">
        <f>VLOOKUP(Y$1&amp;$A95,배당편집!$M$2:$T$2710,8,FALSE)</f>
        <v>0.20304011267322686</v>
      </c>
      <c r="Z95" s="5">
        <f>VLOOKUP(Z$1&amp;$A95,배당편집!$M$2:$T$2710,8,FALSE)</f>
        <v>3.4563715943573214E-2</v>
      </c>
      <c r="AA95" s="5">
        <f>VLOOKUP(AA$1&amp;$A95,배당편집!$M$2:$T$2710,8,FALSE)</f>
        <v>0.13295681060117071</v>
      </c>
      <c r="AB95" s="5">
        <f>VLOOKUP(AB$1&amp;$A95,배당편집!$M$2:$T$2710,8,FALSE)</f>
        <v>0.19135789816709159</v>
      </c>
      <c r="AC95" s="5">
        <f>VLOOKUP(AC$1&amp;$A95,배당편집!$M$2:$T$2710,8,FALSE)</f>
        <v>2.4027376750527463E-2</v>
      </c>
      <c r="AD95" s="5">
        <f>VLOOKUP(AD$1&amp;$A95,배당편집!$M$2:$T$2710,8,FALSE)</f>
        <v>7.5829459940464305E-2</v>
      </c>
      <c r="AE95" s="5">
        <f>VLOOKUP(AE$1&amp;$A95,배당편집!$M$2:$T$2710,8,FALSE)</f>
        <v>7.3940923785779322E-2</v>
      </c>
      <c r="AF95" s="5">
        <f>VLOOKUP(AF$1&amp;$A95,배당편집!$M$2:$T$2710,8,FALSE)</f>
        <v>8.9976987048345336E-2</v>
      </c>
    </row>
    <row r="96" spans="1:32" ht="16.5" customHeight="1">
      <c r="A96" s="3">
        <v>2015</v>
      </c>
      <c r="B96" s="3">
        <v>11</v>
      </c>
      <c r="C96" s="5">
        <f>VLOOKUP(C$1&amp;$A96,배당편집!$M$2:$T$2710,8,FALSE)</f>
        <v>0.1967245924901726</v>
      </c>
      <c r="D96" s="5">
        <f>VLOOKUP(D$1&amp;$A96,배당편집!$M$2:$T$2710,8,FALSE)</f>
        <v>3.5804203580214189E-2</v>
      </c>
      <c r="E96" s="5">
        <f>VLOOKUP(E$1&amp;$A96,배당편집!$M$2:$T$2710,8,FALSE)</f>
        <v>0.16465861577965679</v>
      </c>
      <c r="F96" s="5">
        <f>VLOOKUP(F$1&amp;$A96,배당편집!$M$2:$T$2710,8,FALSE)</f>
        <v>9.5211210996487994E-2</v>
      </c>
      <c r="G96" s="5">
        <f>VLOOKUP(G$1&amp;$A96,배당편집!$M$2:$T$2710,8,FALSE)</f>
        <v>0.10438362870438156</v>
      </c>
      <c r="H96" s="5">
        <f>VLOOKUP(H$1&amp;$A96,배당편집!$M$2:$T$2710,8,FALSE)</f>
        <v>9.4901303982790397E-2</v>
      </c>
      <c r="I96" s="5">
        <f>VLOOKUP(I$1&amp;$A96,배당편집!$M$2:$T$2710,8,FALSE)</f>
        <v>2.3836255539609663E-2</v>
      </c>
      <c r="J96" s="5">
        <f>VLOOKUP(J$1&amp;$A96,배당편집!$M$2:$T$2710,8,FALSE)</f>
        <v>2.8213222586158881E-2</v>
      </c>
      <c r="K96" s="5">
        <f>VLOOKUP(K$1&amp;$A96,배당편집!$M$2:$T$2710,8,FALSE)</f>
        <v>0.10756634324828984</v>
      </c>
      <c r="L96" s="5">
        <f>VLOOKUP(L$1&amp;$A96,배당편집!$M$2:$T$2710,8,FALSE)</f>
        <v>0.25057828821420203</v>
      </c>
      <c r="M96" s="5">
        <f>VLOOKUP(M$1&amp;$A96,배당편집!$M$2:$T$2710,8,FALSE)</f>
        <v>9.3644086380576086E-2</v>
      </c>
      <c r="N96" s="5">
        <f>VLOOKUP(N$1&amp;$A96,배당편집!$M$2:$T$2710,8,FALSE)</f>
        <v>7.0066111031416467E-2</v>
      </c>
      <c r="O96" s="5">
        <f>VLOOKUP(O$1&amp;$A96,배당편집!$M$2:$T$2710,8,FALSE)</f>
        <v>0.10575213802062655</v>
      </c>
      <c r="P96" s="5">
        <f>VLOOKUP(P$1&amp;$A96,배당편집!$M$2:$T$2710,8,FALSE)</f>
        <v>7.9027893983583564E-2</v>
      </c>
      <c r="Q96" s="5">
        <f>VLOOKUP(Q$1&amp;$A96,배당편집!$M$2:$T$2710,8,FALSE)</f>
        <v>7.3940923785779322E-2</v>
      </c>
      <c r="R96" s="5">
        <f>VLOOKUP(R$1&amp;$A96,배당편집!$M$2:$T$2710,8,FALSE)</f>
        <v>3.0870139733077728E-2</v>
      </c>
      <c r="S96" s="5">
        <f>VLOOKUP(S$1&amp;$A96,배당편집!$M$2:$T$2710,8,FALSE)</f>
        <v>8.4471771197698553E-2</v>
      </c>
      <c r="T96" s="5">
        <f>VLOOKUP(T$1&amp;$A96,배당편집!$M$2:$T$2710,8,FALSE)</f>
        <v>0.10286313147852999</v>
      </c>
      <c r="U96" s="5">
        <f>VLOOKUP(U$1&amp;$A96,배당편집!$M$2:$T$2710,8,FALSE)</f>
        <v>0.42355433436501966</v>
      </c>
      <c r="V96" s="5">
        <f>VLOOKUP(V$1&amp;$A96,배당편집!$M$2:$T$2710,8,FALSE)</f>
        <v>0.18946082182210611</v>
      </c>
      <c r="W96" s="5">
        <f>VLOOKUP(W$1&amp;$A96,배당편집!$M$2:$T$2710,8,FALSE)</f>
        <v>0.20641593598215136</v>
      </c>
      <c r="X96" s="5">
        <f>VLOOKUP(X$1&amp;$A96,배당편집!$M$2:$T$2710,8,FALSE)</f>
        <v>4.4085846538828521E-2</v>
      </c>
      <c r="Y96" s="5">
        <f>VLOOKUP(Y$1&amp;$A96,배당편집!$M$2:$T$2710,8,FALSE)</f>
        <v>0.20304011267322686</v>
      </c>
      <c r="Z96" s="5">
        <f>VLOOKUP(Z$1&amp;$A96,배당편집!$M$2:$T$2710,8,FALSE)</f>
        <v>3.4563715943573214E-2</v>
      </c>
      <c r="AA96" s="5">
        <f>VLOOKUP(AA$1&amp;$A96,배당편집!$M$2:$T$2710,8,FALSE)</f>
        <v>0.13295681060117071</v>
      </c>
      <c r="AB96" s="5">
        <f>VLOOKUP(AB$1&amp;$A96,배당편집!$M$2:$T$2710,8,FALSE)</f>
        <v>0.19135789816709159</v>
      </c>
      <c r="AC96" s="5">
        <f>VLOOKUP(AC$1&amp;$A96,배당편집!$M$2:$T$2710,8,FALSE)</f>
        <v>2.4027376750527463E-2</v>
      </c>
      <c r="AD96" s="5">
        <f>VLOOKUP(AD$1&amp;$A96,배당편집!$M$2:$T$2710,8,FALSE)</f>
        <v>7.5829459940464305E-2</v>
      </c>
      <c r="AE96" s="5">
        <f>VLOOKUP(AE$1&amp;$A96,배당편집!$M$2:$T$2710,8,FALSE)</f>
        <v>7.3940923785779322E-2</v>
      </c>
      <c r="AF96" s="5">
        <f>VLOOKUP(AF$1&amp;$A96,배당편집!$M$2:$T$2710,8,FALSE)</f>
        <v>8.9976987048345336E-2</v>
      </c>
    </row>
    <row r="97" spans="1:32" ht="16.5" customHeight="1">
      <c r="A97" s="3">
        <v>2015</v>
      </c>
      <c r="B97" s="3">
        <v>12</v>
      </c>
      <c r="C97" s="5">
        <f>VLOOKUP(C$1&amp;$A97,배당편집!$M$2:$T$2710,8,FALSE)</f>
        <v>0.1967245924901726</v>
      </c>
      <c r="D97" s="5">
        <f>VLOOKUP(D$1&amp;$A97,배당편집!$M$2:$T$2710,8,FALSE)</f>
        <v>3.5804203580214189E-2</v>
      </c>
      <c r="E97" s="5">
        <f>VLOOKUP(E$1&amp;$A97,배당편집!$M$2:$T$2710,8,FALSE)</f>
        <v>0.16465861577965679</v>
      </c>
      <c r="F97" s="5">
        <f>VLOOKUP(F$1&amp;$A97,배당편집!$M$2:$T$2710,8,FALSE)</f>
        <v>9.5211210996487994E-2</v>
      </c>
      <c r="G97" s="5">
        <f>VLOOKUP(G$1&amp;$A97,배당편집!$M$2:$T$2710,8,FALSE)</f>
        <v>0.10438362870438156</v>
      </c>
      <c r="H97" s="5">
        <f>VLOOKUP(H$1&amp;$A97,배당편집!$M$2:$T$2710,8,FALSE)</f>
        <v>9.4901303982790397E-2</v>
      </c>
      <c r="I97" s="5">
        <f>VLOOKUP(I$1&amp;$A97,배당편집!$M$2:$T$2710,8,FALSE)</f>
        <v>2.3836255539609663E-2</v>
      </c>
      <c r="J97" s="5">
        <f>VLOOKUP(J$1&amp;$A97,배당편집!$M$2:$T$2710,8,FALSE)</f>
        <v>2.8213222586158881E-2</v>
      </c>
      <c r="K97" s="5">
        <f>VLOOKUP(K$1&amp;$A97,배당편집!$M$2:$T$2710,8,FALSE)</f>
        <v>0.10756634324828984</v>
      </c>
      <c r="L97" s="5">
        <f>VLOOKUP(L$1&amp;$A97,배당편집!$M$2:$T$2710,8,FALSE)</f>
        <v>0.25057828821420203</v>
      </c>
      <c r="M97" s="5">
        <f>VLOOKUP(M$1&amp;$A97,배당편집!$M$2:$T$2710,8,FALSE)</f>
        <v>9.3644086380576086E-2</v>
      </c>
      <c r="N97" s="5">
        <f>VLOOKUP(N$1&amp;$A97,배당편집!$M$2:$T$2710,8,FALSE)</f>
        <v>7.0066111031416467E-2</v>
      </c>
      <c r="O97" s="5">
        <f>VLOOKUP(O$1&amp;$A97,배당편집!$M$2:$T$2710,8,FALSE)</f>
        <v>0.10575213802062655</v>
      </c>
      <c r="P97" s="5">
        <f>VLOOKUP(P$1&amp;$A97,배당편집!$M$2:$T$2710,8,FALSE)</f>
        <v>7.9027893983583564E-2</v>
      </c>
      <c r="Q97" s="5">
        <f>VLOOKUP(Q$1&amp;$A97,배당편집!$M$2:$T$2710,8,FALSE)</f>
        <v>7.3940923785779322E-2</v>
      </c>
      <c r="R97" s="5">
        <f>VLOOKUP(R$1&amp;$A97,배당편집!$M$2:$T$2710,8,FALSE)</f>
        <v>3.0870139733077728E-2</v>
      </c>
      <c r="S97" s="5">
        <f>VLOOKUP(S$1&amp;$A97,배당편집!$M$2:$T$2710,8,FALSE)</f>
        <v>8.4471771197698553E-2</v>
      </c>
      <c r="T97" s="5">
        <f>VLOOKUP(T$1&amp;$A97,배당편집!$M$2:$T$2710,8,FALSE)</f>
        <v>0.10286313147852999</v>
      </c>
      <c r="U97" s="5">
        <f>VLOOKUP(U$1&amp;$A97,배당편집!$M$2:$T$2710,8,FALSE)</f>
        <v>0.42355433436501966</v>
      </c>
      <c r="V97" s="5">
        <f>VLOOKUP(V$1&amp;$A97,배당편집!$M$2:$T$2710,8,FALSE)</f>
        <v>0.18946082182210611</v>
      </c>
      <c r="W97" s="5">
        <f>VLOOKUP(W$1&amp;$A97,배당편집!$M$2:$T$2710,8,FALSE)</f>
        <v>0.20641593598215136</v>
      </c>
      <c r="X97" s="5">
        <f>VLOOKUP(X$1&amp;$A97,배당편집!$M$2:$T$2710,8,FALSE)</f>
        <v>4.4085846538828521E-2</v>
      </c>
      <c r="Y97" s="5">
        <f>VLOOKUP(Y$1&amp;$A97,배당편집!$M$2:$T$2710,8,FALSE)</f>
        <v>0.20304011267322686</v>
      </c>
      <c r="Z97" s="5">
        <f>VLOOKUP(Z$1&amp;$A97,배당편집!$M$2:$T$2710,8,FALSE)</f>
        <v>3.4563715943573214E-2</v>
      </c>
      <c r="AA97" s="5">
        <f>VLOOKUP(AA$1&amp;$A97,배당편집!$M$2:$T$2710,8,FALSE)</f>
        <v>0.13295681060117071</v>
      </c>
      <c r="AB97" s="5">
        <f>VLOOKUP(AB$1&amp;$A97,배당편집!$M$2:$T$2710,8,FALSE)</f>
        <v>0.19135789816709159</v>
      </c>
      <c r="AC97" s="5">
        <f>VLOOKUP(AC$1&amp;$A97,배당편집!$M$2:$T$2710,8,FALSE)</f>
        <v>2.4027376750527463E-2</v>
      </c>
      <c r="AD97" s="5">
        <f>VLOOKUP(AD$1&amp;$A97,배당편집!$M$2:$T$2710,8,FALSE)</f>
        <v>7.5829459940464305E-2</v>
      </c>
      <c r="AE97" s="5">
        <f>VLOOKUP(AE$1&amp;$A97,배당편집!$M$2:$T$2710,8,FALSE)</f>
        <v>7.3940923785779322E-2</v>
      </c>
      <c r="AF97" s="5">
        <f>VLOOKUP(AF$1&amp;$A97,배당편집!$M$2:$T$2710,8,FALSE)</f>
        <v>8.9976987048345336E-2</v>
      </c>
    </row>
    <row r="98" spans="1:32" ht="16.5" customHeight="1">
      <c r="A98" s="3">
        <v>2014</v>
      </c>
      <c r="B98" s="3">
        <v>1</v>
      </c>
      <c r="C98" s="5">
        <f>VLOOKUP(C$1&amp;$A98,배당편집!$M$2:$T$2710,8,FALSE)</f>
        <v>0.22865967908314722</v>
      </c>
      <c r="D98" s="5">
        <f>VLOOKUP(D$1&amp;$A98,배당편집!$M$2:$T$2710,8,FALSE)</f>
        <v>3.7137289336648172E-2</v>
      </c>
      <c r="E98" s="5">
        <f>VLOOKUP(E$1&amp;$A98,배당편집!$M$2:$T$2710,8,FALSE)</f>
        <v>0.11382417860287886</v>
      </c>
      <c r="F98" s="5">
        <f>VLOOKUP(F$1&amp;$A98,배당편집!$M$2:$T$2710,8,FALSE)</f>
        <v>9.3362073943278112E-2</v>
      </c>
      <c r="G98" s="5">
        <f>VLOOKUP(G$1&amp;$A98,배당편집!$M$2:$T$2710,8,FALSE)</f>
        <v>9.5105881968669426E-2</v>
      </c>
      <c r="H98" s="5">
        <f>VLOOKUP(H$1&amp;$A98,배당편집!$M$2:$T$2710,8,FALSE)</f>
        <v>8.9976987048345336E-2</v>
      </c>
      <c r="I98" s="5">
        <f>VLOOKUP(I$1&amp;$A98,배당편집!$M$2:$T$2710,8,FALSE)</f>
        <v>1.8983732497009909E-2</v>
      </c>
      <c r="J98" s="5">
        <f>VLOOKUP(J$1&amp;$A98,배당편집!$M$2:$T$2710,8,FALSE)</f>
        <v>2.9033661071187877E-2</v>
      </c>
      <c r="K98" s="5">
        <f>VLOOKUP(K$1&amp;$A98,배당편집!$M$2:$T$2710,8,FALSE)</f>
        <v>7.3940923785779322E-2</v>
      </c>
      <c r="L98" s="5">
        <f>VLOOKUP(L$1&amp;$A98,배당편집!$M$2:$T$2710,8,FALSE)</f>
        <v>0.21862390899411199</v>
      </c>
      <c r="M98" s="5">
        <f>VLOOKUP(M$1&amp;$A98,배당편집!$M$2:$T$2710,8,FALSE)</f>
        <v>6.2618858899870622E-2</v>
      </c>
      <c r="N98" s="5">
        <f>VLOOKUP(N$1&amp;$A98,배당편집!$M$2:$T$2710,8,FALSE)</f>
        <v>5.4364811125223733E-2</v>
      </c>
      <c r="O98" s="5">
        <f>VLOOKUP(O$1&amp;$A98,배당편집!$M$2:$T$2710,8,FALSE)</f>
        <v>0.11341134521344642</v>
      </c>
      <c r="P98" s="5">
        <f>VLOOKUP(P$1&amp;$A98,배당편집!$M$2:$T$2710,8,FALSE)</f>
        <v>8.5013465659345089E-2</v>
      </c>
      <c r="Q98" s="5">
        <f>VLOOKUP(Q$1&amp;$A98,배당편집!$M$2:$T$2710,8,FALSE)</f>
        <v>7.4873165575328748E-2</v>
      </c>
      <c r="R98" s="5">
        <f>VLOOKUP(R$1&amp;$A98,배당편집!$M$2:$T$2710,8,FALSE)</f>
        <v>2.3145873080461676E-2</v>
      </c>
      <c r="S98" s="5">
        <f>VLOOKUP(S$1&amp;$A98,배당편집!$M$2:$T$2710,8,FALSE)</f>
        <v>7.5280006405569644E-2</v>
      </c>
      <c r="T98" s="5">
        <f>VLOOKUP(T$1&amp;$A98,배당편집!$M$2:$T$2710,8,FALSE)</f>
        <v>9.8560543306117854E-2</v>
      </c>
      <c r="U98" s="5">
        <f>VLOOKUP(U$1&amp;$A98,배당편집!$M$2:$T$2710,8,FALSE)</f>
        <v>-0.23698574259465133</v>
      </c>
      <c r="V98" s="5">
        <f>VLOOKUP(V$1&amp;$A98,배당편집!$M$2:$T$2710,8,FALSE)</f>
        <v>0.16054311135316701</v>
      </c>
      <c r="W98" s="5">
        <f>VLOOKUP(W$1&amp;$A98,배당편집!$M$2:$T$2710,8,FALSE)</f>
        <v>0.16190525490598984</v>
      </c>
      <c r="X98" s="5">
        <f>VLOOKUP(X$1&amp;$A98,배당편집!$M$2:$T$2710,8,FALSE)</f>
        <v>2.8515386488834782E-2</v>
      </c>
      <c r="Y98" s="5">
        <f>VLOOKUP(Y$1&amp;$A98,배당편집!$M$2:$T$2710,8,FALSE)</f>
        <v>0.13935810405670246</v>
      </c>
      <c r="Z98" s="5">
        <f>VLOOKUP(Z$1&amp;$A98,배당편집!$M$2:$T$2710,8,FALSE)</f>
        <v>3.5804203580214189E-2</v>
      </c>
      <c r="AA98" s="5">
        <f>VLOOKUP(AA$1&amp;$A98,배당편집!$M$2:$T$2710,8,FALSE)</f>
        <v>0.11382417860287886</v>
      </c>
      <c r="AB98" s="5">
        <f>VLOOKUP(AB$1&amp;$A98,배당편집!$M$2:$T$2710,8,FALSE)</f>
        <v>0.19573800863209612</v>
      </c>
      <c r="AC98" s="5">
        <f>VLOOKUP(AC$1&amp;$A98,배당편집!$M$2:$T$2710,8,FALSE)</f>
        <v>1.9558780116283092E-2</v>
      </c>
      <c r="AD98" s="5">
        <f>VLOOKUP(AD$1&amp;$A98,배당편집!$M$2:$T$2710,8,FALSE)</f>
        <v>7.7818067712725814E-2</v>
      </c>
      <c r="AE98" s="5">
        <f>VLOOKUP(AE$1&amp;$A98,배당편집!$M$2:$T$2710,8,FALSE)</f>
        <v>6.7249181879538877E-2</v>
      </c>
      <c r="AF98" s="5">
        <f>VLOOKUP(AF$1&amp;$A98,배당편집!$M$2:$T$2710,8,FALSE)</f>
        <v>8.4471771197698553E-2</v>
      </c>
    </row>
    <row r="99" spans="1:32" ht="16.5" customHeight="1">
      <c r="A99" s="3">
        <v>2014</v>
      </c>
      <c r="B99" s="3">
        <v>2</v>
      </c>
      <c r="C99" s="5">
        <f>VLOOKUP(C$1&amp;$A99,배당편집!$M$2:$T$2710,8,FALSE)</f>
        <v>0.22865967908314722</v>
      </c>
      <c r="D99" s="5">
        <f>VLOOKUP(D$1&amp;$A99,배당편집!$M$2:$T$2710,8,FALSE)</f>
        <v>3.7137289336648172E-2</v>
      </c>
      <c r="E99" s="5">
        <f>VLOOKUP(E$1&amp;$A99,배당편집!$M$2:$T$2710,8,FALSE)</f>
        <v>0.11382417860287886</v>
      </c>
      <c r="F99" s="5">
        <f>VLOOKUP(F$1&amp;$A99,배당편집!$M$2:$T$2710,8,FALSE)</f>
        <v>9.3362073943278112E-2</v>
      </c>
      <c r="G99" s="5">
        <f>VLOOKUP(G$1&amp;$A99,배당편집!$M$2:$T$2710,8,FALSE)</f>
        <v>9.5105881968669426E-2</v>
      </c>
      <c r="H99" s="5">
        <f>VLOOKUP(H$1&amp;$A99,배당편집!$M$2:$T$2710,8,FALSE)</f>
        <v>8.9976987048345336E-2</v>
      </c>
      <c r="I99" s="5">
        <f>VLOOKUP(I$1&amp;$A99,배당편집!$M$2:$T$2710,8,FALSE)</f>
        <v>1.8983732497009909E-2</v>
      </c>
      <c r="J99" s="5">
        <f>VLOOKUP(J$1&amp;$A99,배당편집!$M$2:$T$2710,8,FALSE)</f>
        <v>2.9033661071187877E-2</v>
      </c>
      <c r="K99" s="5">
        <f>VLOOKUP(K$1&amp;$A99,배당편집!$M$2:$T$2710,8,FALSE)</f>
        <v>7.3940923785779322E-2</v>
      </c>
      <c r="L99" s="5">
        <f>VLOOKUP(L$1&amp;$A99,배당편집!$M$2:$T$2710,8,FALSE)</f>
        <v>0.21862390899411199</v>
      </c>
      <c r="M99" s="5">
        <f>VLOOKUP(M$1&amp;$A99,배당편집!$M$2:$T$2710,8,FALSE)</f>
        <v>6.2618858899870622E-2</v>
      </c>
      <c r="N99" s="5">
        <f>VLOOKUP(N$1&amp;$A99,배당편집!$M$2:$T$2710,8,FALSE)</f>
        <v>5.4364811125223733E-2</v>
      </c>
      <c r="O99" s="5">
        <f>VLOOKUP(O$1&amp;$A99,배당편집!$M$2:$T$2710,8,FALSE)</f>
        <v>0.11341134521344642</v>
      </c>
      <c r="P99" s="5">
        <f>VLOOKUP(P$1&amp;$A99,배당편집!$M$2:$T$2710,8,FALSE)</f>
        <v>8.5013465659345089E-2</v>
      </c>
      <c r="Q99" s="5">
        <f>VLOOKUP(Q$1&amp;$A99,배당편집!$M$2:$T$2710,8,FALSE)</f>
        <v>7.4873165575328748E-2</v>
      </c>
      <c r="R99" s="5">
        <f>VLOOKUP(R$1&amp;$A99,배당편집!$M$2:$T$2710,8,FALSE)</f>
        <v>2.3145873080461676E-2</v>
      </c>
      <c r="S99" s="5">
        <f>VLOOKUP(S$1&amp;$A99,배당편집!$M$2:$T$2710,8,FALSE)</f>
        <v>7.5280006405569644E-2</v>
      </c>
      <c r="T99" s="5">
        <f>VLOOKUP(T$1&amp;$A99,배당편집!$M$2:$T$2710,8,FALSE)</f>
        <v>9.8560543306117854E-2</v>
      </c>
      <c r="U99" s="5">
        <f>VLOOKUP(U$1&amp;$A99,배당편집!$M$2:$T$2710,8,FALSE)</f>
        <v>-0.23698574259465133</v>
      </c>
      <c r="V99" s="5">
        <f>VLOOKUP(V$1&amp;$A99,배당편집!$M$2:$T$2710,8,FALSE)</f>
        <v>0.16054311135316701</v>
      </c>
      <c r="W99" s="5">
        <f>VLOOKUP(W$1&amp;$A99,배당편집!$M$2:$T$2710,8,FALSE)</f>
        <v>0.16190525490598984</v>
      </c>
      <c r="X99" s="5">
        <f>VLOOKUP(X$1&amp;$A99,배당편집!$M$2:$T$2710,8,FALSE)</f>
        <v>2.8515386488834782E-2</v>
      </c>
      <c r="Y99" s="5">
        <f>VLOOKUP(Y$1&amp;$A99,배당편집!$M$2:$T$2710,8,FALSE)</f>
        <v>0.13935810405670246</v>
      </c>
      <c r="Z99" s="5">
        <f>VLOOKUP(Z$1&amp;$A99,배당편집!$M$2:$T$2710,8,FALSE)</f>
        <v>3.5804203580214189E-2</v>
      </c>
      <c r="AA99" s="5">
        <f>VLOOKUP(AA$1&amp;$A99,배당편집!$M$2:$T$2710,8,FALSE)</f>
        <v>0.11382417860287886</v>
      </c>
      <c r="AB99" s="5">
        <f>VLOOKUP(AB$1&amp;$A99,배당편집!$M$2:$T$2710,8,FALSE)</f>
        <v>0.19573800863209612</v>
      </c>
      <c r="AC99" s="5">
        <f>VLOOKUP(AC$1&amp;$A99,배당편집!$M$2:$T$2710,8,FALSE)</f>
        <v>1.9558780116283092E-2</v>
      </c>
      <c r="AD99" s="5">
        <f>VLOOKUP(AD$1&amp;$A99,배당편집!$M$2:$T$2710,8,FALSE)</f>
        <v>7.7818067712725814E-2</v>
      </c>
      <c r="AE99" s="5">
        <f>VLOOKUP(AE$1&amp;$A99,배당편집!$M$2:$T$2710,8,FALSE)</f>
        <v>6.7249181879538877E-2</v>
      </c>
      <c r="AF99" s="5">
        <f>VLOOKUP(AF$1&amp;$A99,배당편집!$M$2:$T$2710,8,FALSE)</f>
        <v>8.4471771197698553E-2</v>
      </c>
    </row>
    <row r="100" spans="1:32" ht="16.5" customHeight="1">
      <c r="A100" s="3">
        <v>2014</v>
      </c>
      <c r="B100" s="3">
        <v>3</v>
      </c>
      <c r="C100" s="5">
        <f>VLOOKUP(C$1&amp;$A100,배당편집!$M$2:$T$2710,8,FALSE)</f>
        <v>0.22865967908314722</v>
      </c>
      <c r="D100" s="5">
        <f>VLOOKUP(D$1&amp;$A100,배당편집!$M$2:$T$2710,8,FALSE)</f>
        <v>3.7137289336648172E-2</v>
      </c>
      <c r="E100" s="5">
        <f>VLOOKUP(E$1&amp;$A100,배당편집!$M$2:$T$2710,8,FALSE)</f>
        <v>0.11382417860287886</v>
      </c>
      <c r="F100" s="5">
        <f>VLOOKUP(F$1&amp;$A100,배당편집!$M$2:$T$2710,8,FALSE)</f>
        <v>9.3362073943278112E-2</v>
      </c>
      <c r="G100" s="5">
        <f>VLOOKUP(G$1&amp;$A100,배당편집!$M$2:$T$2710,8,FALSE)</f>
        <v>9.5105881968669426E-2</v>
      </c>
      <c r="H100" s="5">
        <f>VLOOKUP(H$1&amp;$A100,배당편집!$M$2:$T$2710,8,FALSE)</f>
        <v>8.9976987048345336E-2</v>
      </c>
      <c r="I100" s="5">
        <f>VLOOKUP(I$1&amp;$A100,배당편집!$M$2:$T$2710,8,FALSE)</f>
        <v>1.8983732497009909E-2</v>
      </c>
      <c r="J100" s="5">
        <f>VLOOKUP(J$1&amp;$A100,배당편집!$M$2:$T$2710,8,FALSE)</f>
        <v>2.9033661071187877E-2</v>
      </c>
      <c r="K100" s="5">
        <f>VLOOKUP(K$1&amp;$A100,배당편집!$M$2:$T$2710,8,FALSE)</f>
        <v>7.3940923785779322E-2</v>
      </c>
      <c r="L100" s="5">
        <f>VLOOKUP(L$1&amp;$A100,배당편집!$M$2:$T$2710,8,FALSE)</f>
        <v>0.21862390899411199</v>
      </c>
      <c r="M100" s="5">
        <f>VLOOKUP(M$1&amp;$A100,배당편집!$M$2:$T$2710,8,FALSE)</f>
        <v>6.2618858899870622E-2</v>
      </c>
      <c r="N100" s="5">
        <f>VLOOKUP(N$1&amp;$A100,배당편집!$M$2:$T$2710,8,FALSE)</f>
        <v>5.4364811125223733E-2</v>
      </c>
      <c r="O100" s="5">
        <f>VLOOKUP(O$1&amp;$A100,배당편집!$M$2:$T$2710,8,FALSE)</f>
        <v>0.11341134521344642</v>
      </c>
      <c r="P100" s="5">
        <f>VLOOKUP(P$1&amp;$A100,배당편집!$M$2:$T$2710,8,FALSE)</f>
        <v>8.5013465659345089E-2</v>
      </c>
      <c r="Q100" s="5">
        <f>VLOOKUP(Q$1&amp;$A100,배당편집!$M$2:$T$2710,8,FALSE)</f>
        <v>7.4873165575328748E-2</v>
      </c>
      <c r="R100" s="5">
        <f>VLOOKUP(R$1&amp;$A100,배당편집!$M$2:$T$2710,8,FALSE)</f>
        <v>2.3145873080461676E-2</v>
      </c>
      <c r="S100" s="5">
        <f>VLOOKUP(S$1&amp;$A100,배당편집!$M$2:$T$2710,8,FALSE)</f>
        <v>7.5280006405569644E-2</v>
      </c>
      <c r="T100" s="5">
        <f>VLOOKUP(T$1&amp;$A100,배당편집!$M$2:$T$2710,8,FALSE)</f>
        <v>9.8560543306117854E-2</v>
      </c>
      <c r="U100" s="5">
        <f>VLOOKUP(U$1&amp;$A100,배당편집!$M$2:$T$2710,8,FALSE)</f>
        <v>-0.23698574259465133</v>
      </c>
      <c r="V100" s="5">
        <f>VLOOKUP(V$1&amp;$A100,배당편집!$M$2:$T$2710,8,FALSE)</f>
        <v>0.16054311135316701</v>
      </c>
      <c r="W100" s="5">
        <f>VLOOKUP(W$1&amp;$A100,배당편집!$M$2:$T$2710,8,FALSE)</f>
        <v>0.16190525490598984</v>
      </c>
      <c r="X100" s="5">
        <f>VLOOKUP(X$1&amp;$A100,배당편집!$M$2:$T$2710,8,FALSE)</f>
        <v>2.8515386488834782E-2</v>
      </c>
      <c r="Y100" s="5">
        <f>VLOOKUP(Y$1&amp;$A100,배당편집!$M$2:$T$2710,8,FALSE)</f>
        <v>0.13935810405670246</v>
      </c>
      <c r="Z100" s="5">
        <f>VLOOKUP(Z$1&amp;$A100,배당편집!$M$2:$T$2710,8,FALSE)</f>
        <v>3.5804203580214189E-2</v>
      </c>
      <c r="AA100" s="5">
        <f>VLOOKUP(AA$1&amp;$A100,배당편집!$M$2:$T$2710,8,FALSE)</f>
        <v>0.11382417860287886</v>
      </c>
      <c r="AB100" s="5">
        <f>VLOOKUP(AB$1&amp;$A100,배당편집!$M$2:$T$2710,8,FALSE)</f>
        <v>0.19573800863209612</v>
      </c>
      <c r="AC100" s="5">
        <f>VLOOKUP(AC$1&amp;$A100,배당편집!$M$2:$T$2710,8,FALSE)</f>
        <v>1.9558780116283092E-2</v>
      </c>
      <c r="AD100" s="5">
        <f>VLOOKUP(AD$1&amp;$A100,배당편집!$M$2:$T$2710,8,FALSE)</f>
        <v>7.7818067712725814E-2</v>
      </c>
      <c r="AE100" s="5">
        <f>VLOOKUP(AE$1&amp;$A100,배당편집!$M$2:$T$2710,8,FALSE)</f>
        <v>6.7249181879538877E-2</v>
      </c>
      <c r="AF100" s="5">
        <f>VLOOKUP(AF$1&amp;$A100,배당편집!$M$2:$T$2710,8,FALSE)</f>
        <v>8.4471771197698553E-2</v>
      </c>
    </row>
    <row r="101" spans="1:32" ht="16.5" customHeight="1">
      <c r="A101" s="3">
        <v>2014</v>
      </c>
      <c r="B101" s="3">
        <v>4</v>
      </c>
      <c r="C101" s="5">
        <f>VLOOKUP(C$1&amp;$A101,배당편집!$M$2:$T$2710,8,FALSE)</f>
        <v>0.22865967908314722</v>
      </c>
      <c r="D101" s="5">
        <f>VLOOKUP(D$1&amp;$A101,배당편집!$M$2:$T$2710,8,FALSE)</f>
        <v>3.7137289336648172E-2</v>
      </c>
      <c r="E101" s="5">
        <f>VLOOKUP(E$1&amp;$A101,배당편집!$M$2:$T$2710,8,FALSE)</f>
        <v>0.11382417860287886</v>
      </c>
      <c r="F101" s="5">
        <f>VLOOKUP(F$1&amp;$A101,배당편집!$M$2:$T$2710,8,FALSE)</f>
        <v>9.3362073943278112E-2</v>
      </c>
      <c r="G101" s="5">
        <f>VLOOKUP(G$1&amp;$A101,배당편집!$M$2:$T$2710,8,FALSE)</f>
        <v>9.5105881968669426E-2</v>
      </c>
      <c r="H101" s="5">
        <f>VLOOKUP(H$1&amp;$A101,배당편집!$M$2:$T$2710,8,FALSE)</f>
        <v>8.9976987048345336E-2</v>
      </c>
      <c r="I101" s="5">
        <f>VLOOKUP(I$1&amp;$A101,배당편집!$M$2:$T$2710,8,FALSE)</f>
        <v>1.8983732497009909E-2</v>
      </c>
      <c r="J101" s="5">
        <f>VLOOKUP(J$1&amp;$A101,배당편집!$M$2:$T$2710,8,FALSE)</f>
        <v>2.9033661071187877E-2</v>
      </c>
      <c r="K101" s="5">
        <f>VLOOKUP(K$1&amp;$A101,배당편집!$M$2:$T$2710,8,FALSE)</f>
        <v>7.3940923785779322E-2</v>
      </c>
      <c r="L101" s="5">
        <f>VLOOKUP(L$1&amp;$A101,배당편집!$M$2:$T$2710,8,FALSE)</f>
        <v>0.21862390899411199</v>
      </c>
      <c r="M101" s="5">
        <f>VLOOKUP(M$1&amp;$A101,배당편집!$M$2:$T$2710,8,FALSE)</f>
        <v>6.2618858899870622E-2</v>
      </c>
      <c r="N101" s="5">
        <f>VLOOKUP(N$1&amp;$A101,배당편집!$M$2:$T$2710,8,FALSE)</f>
        <v>5.4364811125223733E-2</v>
      </c>
      <c r="O101" s="5">
        <f>VLOOKUP(O$1&amp;$A101,배당편집!$M$2:$T$2710,8,FALSE)</f>
        <v>0.11341134521344642</v>
      </c>
      <c r="P101" s="5">
        <f>VLOOKUP(P$1&amp;$A101,배당편집!$M$2:$T$2710,8,FALSE)</f>
        <v>8.5013465659345089E-2</v>
      </c>
      <c r="Q101" s="5">
        <f>VLOOKUP(Q$1&amp;$A101,배당편집!$M$2:$T$2710,8,FALSE)</f>
        <v>7.4873165575328748E-2</v>
      </c>
      <c r="R101" s="5">
        <f>VLOOKUP(R$1&amp;$A101,배당편집!$M$2:$T$2710,8,FALSE)</f>
        <v>2.3145873080461676E-2</v>
      </c>
      <c r="S101" s="5">
        <f>VLOOKUP(S$1&amp;$A101,배당편집!$M$2:$T$2710,8,FALSE)</f>
        <v>7.5280006405569644E-2</v>
      </c>
      <c r="T101" s="5">
        <f>VLOOKUP(T$1&amp;$A101,배당편집!$M$2:$T$2710,8,FALSE)</f>
        <v>9.8560543306117854E-2</v>
      </c>
      <c r="U101" s="5">
        <f>VLOOKUP(U$1&amp;$A101,배당편집!$M$2:$T$2710,8,FALSE)</f>
        <v>-0.23698574259465133</v>
      </c>
      <c r="V101" s="5">
        <f>VLOOKUP(V$1&amp;$A101,배당편집!$M$2:$T$2710,8,FALSE)</f>
        <v>0.16054311135316701</v>
      </c>
      <c r="W101" s="5">
        <f>VLOOKUP(W$1&amp;$A101,배당편집!$M$2:$T$2710,8,FALSE)</f>
        <v>0.16190525490598984</v>
      </c>
      <c r="X101" s="5">
        <f>VLOOKUP(X$1&amp;$A101,배당편집!$M$2:$T$2710,8,FALSE)</f>
        <v>2.8515386488834782E-2</v>
      </c>
      <c r="Y101" s="5">
        <f>VLOOKUP(Y$1&amp;$A101,배당편집!$M$2:$T$2710,8,FALSE)</f>
        <v>0.13935810405670246</v>
      </c>
      <c r="Z101" s="5">
        <f>VLOOKUP(Z$1&amp;$A101,배당편집!$M$2:$T$2710,8,FALSE)</f>
        <v>3.5804203580214189E-2</v>
      </c>
      <c r="AA101" s="5">
        <f>VLOOKUP(AA$1&amp;$A101,배당편집!$M$2:$T$2710,8,FALSE)</f>
        <v>0.11382417860287886</v>
      </c>
      <c r="AB101" s="5">
        <f>VLOOKUP(AB$1&amp;$A101,배당편집!$M$2:$T$2710,8,FALSE)</f>
        <v>0.19573800863209612</v>
      </c>
      <c r="AC101" s="5">
        <f>VLOOKUP(AC$1&amp;$A101,배당편집!$M$2:$T$2710,8,FALSE)</f>
        <v>1.9558780116283092E-2</v>
      </c>
      <c r="AD101" s="5">
        <f>VLOOKUP(AD$1&amp;$A101,배당편집!$M$2:$T$2710,8,FALSE)</f>
        <v>7.7818067712725814E-2</v>
      </c>
      <c r="AE101" s="5">
        <f>VLOOKUP(AE$1&amp;$A101,배당편집!$M$2:$T$2710,8,FALSE)</f>
        <v>6.7249181879538877E-2</v>
      </c>
      <c r="AF101" s="5">
        <f>VLOOKUP(AF$1&amp;$A101,배당편집!$M$2:$T$2710,8,FALSE)</f>
        <v>8.4471771197698553E-2</v>
      </c>
    </row>
    <row r="102" spans="1:32" ht="16.5" customHeight="1">
      <c r="A102" s="3">
        <v>2014</v>
      </c>
      <c r="B102" s="3">
        <v>5</v>
      </c>
      <c r="C102" s="5">
        <f>VLOOKUP(C$1&amp;$A102,배당편집!$M$2:$T$2710,8,FALSE)</f>
        <v>0.22865967908314722</v>
      </c>
      <c r="D102" s="5">
        <f>VLOOKUP(D$1&amp;$A102,배당편집!$M$2:$T$2710,8,FALSE)</f>
        <v>3.7137289336648172E-2</v>
      </c>
      <c r="E102" s="5">
        <f>VLOOKUP(E$1&amp;$A102,배당편집!$M$2:$T$2710,8,FALSE)</f>
        <v>0.11382417860287886</v>
      </c>
      <c r="F102" s="5">
        <f>VLOOKUP(F$1&amp;$A102,배당편집!$M$2:$T$2710,8,FALSE)</f>
        <v>9.3362073943278112E-2</v>
      </c>
      <c r="G102" s="5">
        <f>VLOOKUP(G$1&amp;$A102,배당편집!$M$2:$T$2710,8,FALSE)</f>
        <v>9.5105881968669426E-2</v>
      </c>
      <c r="H102" s="5">
        <f>VLOOKUP(H$1&amp;$A102,배당편집!$M$2:$T$2710,8,FALSE)</f>
        <v>8.9976987048345336E-2</v>
      </c>
      <c r="I102" s="5">
        <f>VLOOKUP(I$1&amp;$A102,배당편집!$M$2:$T$2710,8,FALSE)</f>
        <v>1.8983732497009909E-2</v>
      </c>
      <c r="J102" s="5">
        <f>VLOOKUP(J$1&amp;$A102,배당편집!$M$2:$T$2710,8,FALSE)</f>
        <v>2.9033661071187877E-2</v>
      </c>
      <c r="K102" s="5">
        <f>VLOOKUP(K$1&amp;$A102,배당편집!$M$2:$T$2710,8,FALSE)</f>
        <v>7.3940923785779322E-2</v>
      </c>
      <c r="L102" s="5">
        <f>VLOOKUP(L$1&amp;$A102,배당편집!$M$2:$T$2710,8,FALSE)</f>
        <v>0.21862390899411199</v>
      </c>
      <c r="M102" s="5">
        <f>VLOOKUP(M$1&amp;$A102,배당편집!$M$2:$T$2710,8,FALSE)</f>
        <v>6.2618858899870622E-2</v>
      </c>
      <c r="N102" s="5">
        <f>VLOOKUP(N$1&amp;$A102,배당편집!$M$2:$T$2710,8,FALSE)</f>
        <v>5.4364811125223733E-2</v>
      </c>
      <c r="O102" s="5">
        <f>VLOOKUP(O$1&amp;$A102,배당편집!$M$2:$T$2710,8,FALSE)</f>
        <v>0.11341134521344642</v>
      </c>
      <c r="P102" s="5">
        <f>VLOOKUP(P$1&amp;$A102,배당편집!$M$2:$T$2710,8,FALSE)</f>
        <v>8.5013465659345089E-2</v>
      </c>
      <c r="Q102" s="5">
        <f>VLOOKUP(Q$1&amp;$A102,배당편집!$M$2:$T$2710,8,FALSE)</f>
        <v>7.4873165575328748E-2</v>
      </c>
      <c r="R102" s="5">
        <f>VLOOKUP(R$1&amp;$A102,배당편집!$M$2:$T$2710,8,FALSE)</f>
        <v>2.3145873080461676E-2</v>
      </c>
      <c r="S102" s="5">
        <f>VLOOKUP(S$1&amp;$A102,배당편집!$M$2:$T$2710,8,FALSE)</f>
        <v>7.5280006405569644E-2</v>
      </c>
      <c r="T102" s="5">
        <f>VLOOKUP(T$1&amp;$A102,배당편집!$M$2:$T$2710,8,FALSE)</f>
        <v>9.8560543306117854E-2</v>
      </c>
      <c r="U102" s="5">
        <f>VLOOKUP(U$1&amp;$A102,배당편집!$M$2:$T$2710,8,FALSE)</f>
        <v>-0.23698574259465133</v>
      </c>
      <c r="V102" s="5">
        <f>VLOOKUP(V$1&amp;$A102,배당편집!$M$2:$T$2710,8,FALSE)</f>
        <v>0.16054311135316701</v>
      </c>
      <c r="W102" s="5">
        <f>VLOOKUP(W$1&amp;$A102,배당편집!$M$2:$T$2710,8,FALSE)</f>
        <v>0.16190525490598984</v>
      </c>
      <c r="X102" s="5">
        <f>VLOOKUP(X$1&amp;$A102,배당편집!$M$2:$T$2710,8,FALSE)</f>
        <v>2.8515386488834782E-2</v>
      </c>
      <c r="Y102" s="5">
        <f>VLOOKUP(Y$1&amp;$A102,배당편집!$M$2:$T$2710,8,FALSE)</f>
        <v>0.13935810405670246</v>
      </c>
      <c r="Z102" s="5">
        <f>VLOOKUP(Z$1&amp;$A102,배당편집!$M$2:$T$2710,8,FALSE)</f>
        <v>3.5804203580214189E-2</v>
      </c>
      <c r="AA102" s="5">
        <f>VLOOKUP(AA$1&amp;$A102,배당편집!$M$2:$T$2710,8,FALSE)</f>
        <v>0.11382417860287886</v>
      </c>
      <c r="AB102" s="5">
        <f>VLOOKUP(AB$1&amp;$A102,배당편집!$M$2:$T$2710,8,FALSE)</f>
        <v>0.19573800863209612</v>
      </c>
      <c r="AC102" s="5">
        <f>VLOOKUP(AC$1&amp;$A102,배당편집!$M$2:$T$2710,8,FALSE)</f>
        <v>1.9558780116283092E-2</v>
      </c>
      <c r="AD102" s="5">
        <f>VLOOKUP(AD$1&amp;$A102,배당편집!$M$2:$T$2710,8,FALSE)</f>
        <v>7.7818067712725814E-2</v>
      </c>
      <c r="AE102" s="5">
        <f>VLOOKUP(AE$1&amp;$A102,배당편집!$M$2:$T$2710,8,FALSE)</f>
        <v>6.7249181879538877E-2</v>
      </c>
      <c r="AF102" s="5">
        <f>VLOOKUP(AF$1&amp;$A102,배당편집!$M$2:$T$2710,8,FALSE)</f>
        <v>8.4471771197698553E-2</v>
      </c>
    </row>
    <row r="103" spans="1:32" ht="16.5" customHeight="1">
      <c r="A103" s="3">
        <v>2014</v>
      </c>
      <c r="B103" s="3">
        <v>6</v>
      </c>
      <c r="C103" s="5">
        <f>VLOOKUP(C$1&amp;$A103,배당편집!$M$2:$T$2710,8,FALSE)</f>
        <v>0.22865967908314722</v>
      </c>
      <c r="D103" s="5">
        <f>VLOOKUP(D$1&amp;$A103,배당편집!$M$2:$T$2710,8,FALSE)</f>
        <v>3.7137289336648172E-2</v>
      </c>
      <c r="E103" s="5">
        <f>VLOOKUP(E$1&amp;$A103,배당편집!$M$2:$T$2710,8,FALSE)</f>
        <v>0.11382417860287886</v>
      </c>
      <c r="F103" s="5">
        <f>VLOOKUP(F$1&amp;$A103,배당편집!$M$2:$T$2710,8,FALSE)</f>
        <v>9.3362073943278112E-2</v>
      </c>
      <c r="G103" s="5">
        <f>VLOOKUP(G$1&amp;$A103,배당편집!$M$2:$T$2710,8,FALSE)</f>
        <v>9.5105881968669426E-2</v>
      </c>
      <c r="H103" s="5">
        <f>VLOOKUP(H$1&amp;$A103,배당편집!$M$2:$T$2710,8,FALSE)</f>
        <v>8.9976987048345336E-2</v>
      </c>
      <c r="I103" s="5">
        <f>VLOOKUP(I$1&amp;$A103,배당편집!$M$2:$T$2710,8,FALSE)</f>
        <v>1.8983732497009909E-2</v>
      </c>
      <c r="J103" s="5">
        <f>VLOOKUP(J$1&amp;$A103,배당편집!$M$2:$T$2710,8,FALSE)</f>
        <v>2.9033661071187877E-2</v>
      </c>
      <c r="K103" s="5">
        <f>VLOOKUP(K$1&amp;$A103,배당편집!$M$2:$T$2710,8,FALSE)</f>
        <v>7.3940923785779322E-2</v>
      </c>
      <c r="L103" s="5">
        <f>VLOOKUP(L$1&amp;$A103,배당편집!$M$2:$T$2710,8,FALSE)</f>
        <v>0.21862390899411199</v>
      </c>
      <c r="M103" s="5">
        <f>VLOOKUP(M$1&amp;$A103,배당편집!$M$2:$T$2710,8,FALSE)</f>
        <v>6.2618858899870622E-2</v>
      </c>
      <c r="N103" s="5">
        <f>VLOOKUP(N$1&amp;$A103,배당편집!$M$2:$T$2710,8,FALSE)</f>
        <v>5.4364811125223733E-2</v>
      </c>
      <c r="O103" s="5">
        <f>VLOOKUP(O$1&amp;$A103,배당편집!$M$2:$T$2710,8,FALSE)</f>
        <v>0.11341134521344642</v>
      </c>
      <c r="P103" s="5">
        <f>VLOOKUP(P$1&amp;$A103,배당편집!$M$2:$T$2710,8,FALSE)</f>
        <v>8.5013465659345089E-2</v>
      </c>
      <c r="Q103" s="5">
        <f>VLOOKUP(Q$1&amp;$A103,배당편집!$M$2:$T$2710,8,FALSE)</f>
        <v>7.4873165575328748E-2</v>
      </c>
      <c r="R103" s="5">
        <f>VLOOKUP(R$1&amp;$A103,배당편집!$M$2:$T$2710,8,FALSE)</f>
        <v>2.3145873080461676E-2</v>
      </c>
      <c r="S103" s="5">
        <f>VLOOKUP(S$1&amp;$A103,배당편집!$M$2:$T$2710,8,FALSE)</f>
        <v>7.5280006405569644E-2</v>
      </c>
      <c r="T103" s="5">
        <f>VLOOKUP(T$1&amp;$A103,배당편집!$M$2:$T$2710,8,FALSE)</f>
        <v>9.8560543306117854E-2</v>
      </c>
      <c r="U103" s="5">
        <f>VLOOKUP(U$1&amp;$A103,배당편집!$M$2:$T$2710,8,FALSE)</f>
        <v>-0.23698574259465133</v>
      </c>
      <c r="V103" s="5">
        <f>VLOOKUP(V$1&amp;$A103,배당편집!$M$2:$T$2710,8,FALSE)</f>
        <v>0.16054311135316701</v>
      </c>
      <c r="W103" s="5">
        <f>VLOOKUP(W$1&amp;$A103,배당편집!$M$2:$T$2710,8,FALSE)</f>
        <v>0.16190525490598984</v>
      </c>
      <c r="X103" s="5">
        <f>VLOOKUP(X$1&amp;$A103,배당편집!$M$2:$T$2710,8,FALSE)</f>
        <v>2.8515386488834782E-2</v>
      </c>
      <c r="Y103" s="5">
        <f>VLOOKUP(Y$1&amp;$A103,배당편집!$M$2:$T$2710,8,FALSE)</f>
        <v>0.13935810405670246</v>
      </c>
      <c r="Z103" s="5">
        <f>VLOOKUP(Z$1&amp;$A103,배당편집!$M$2:$T$2710,8,FALSE)</f>
        <v>3.5804203580214189E-2</v>
      </c>
      <c r="AA103" s="5">
        <f>VLOOKUP(AA$1&amp;$A103,배당편집!$M$2:$T$2710,8,FALSE)</f>
        <v>0.11382417860287886</v>
      </c>
      <c r="AB103" s="5">
        <f>VLOOKUP(AB$1&amp;$A103,배당편집!$M$2:$T$2710,8,FALSE)</f>
        <v>0.19573800863209612</v>
      </c>
      <c r="AC103" s="5">
        <f>VLOOKUP(AC$1&amp;$A103,배당편집!$M$2:$T$2710,8,FALSE)</f>
        <v>1.9558780116283092E-2</v>
      </c>
      <c r="AD103" s="5">
        <f>VLOOKUP(AD$1&amp;$A103,배당편집!$M$2:$T$2710,8,FALSE)</f>
        <v>7.7818067712725814E-2</v>
      </c>
      <c r="AE103" s="5">
        <f>VLOOKUP(AE$1&amp;$A103,배당편집!$M$2:$T$2710,8,FALSE)</f>
        <v>6.7249181879538877E-2</v>
      </c>
      <c r="AF103" s="5">
        <f>VLOOKUP(AF$1&amp;$A103,배당편집!$M$2:$T$2710,8,FALSE)</f>
        <v>8.4471771197698553E-2</v>
      </c>
    </row>
    <row r="104" spans="1:32" ht="16.5" customHeight="1">
      <c r="A104" s="3">
        <v>2014</v>
      </c>
      <c r="B104" s="3">
        <v>7</v>
      </c>
      <c r="C104" s="5">
        <f>VLOOKUP(C$1&amp;$A104,배당편집!$M$2:$T$2710,8,FALSE)</f>
        <v>0.22865967908314722</v>
      </c>
      <c r="D104" s="5">
        <f>VLOOKUP(D$1&amp;$A104,배당편집!$M$2:$T$2710,8,FALSE)</f>
        <v>3.7137289336648172E-2</v>
      </c>
      <c r="E104" s="5">
        <f>VLOOKUP(E$1&amp;$A104,배당편집!$M$2:$T$2710,8,FALSE)</f>
        <v>0.11382417860287886</v>
      </c>
      <c r="F104" s="5">
        <f>VLOOKUP(F$1&amp;$A104,배당편집!$M$2:$T$2710,8,FALSE)</f>
        <v>9.3362073943278112E-2</v>
      </c>
      <c r="G104" s="5">
        <f>VLOOKUP(G$1&amp;$A104,배당편집!$M$2:$T$2710,8,FALSE)</f>
        <v>9.5105881968669426E-2</v>
      </c>
      <c r="H104" s="5">
        <f>VLOOKUP(H$1&amp;$A104,배당편집!$M$2:$T$2710,8,FALSE)</f>
        <v>8.9976987048345336E-2</v>
      </c>
      <c r="I104" s="5">
        <f>VLOOKUP(I$1&amp;$A104,배당편집!$M$2:$T$2710,8,FALSE)</f>
        <v>1.8983732497009909E-2</v>
      </c>
      <c r="J104" s="5">
        <f>VLOOKUP(J$1&amp;$A104,배당편집!$M$2:$T$2710,8,FALSE)</f>
        <v>2.9033661071187877E-2</v>
      </c>
      <c r="K104" s="5">
        <f>VLOOKUP(K$1&amp;$A104,배당편집!$M$2:$T$2710,8,FALSE)</f>
        <v>7.3940923785779322E-2</v>
      </c>
      <c r="L104" s="5">
        <f>VLOOKUP(L$1&amp;$A104,배당편집!$M$2:$T$2710,8,FALSE)</f>
        <v>0.21862390899411199</v>
      </c>
      <c r="M104" s="5">
        <f>VLOOKUP(M$1&amp;$A104,배당편집!$M$2:$T$2710,8,FALSE)</f>
        <v>6.2618858899870622E-2</v>
      </c>
      <c r="N104" s="5">
        <f>VLOOKUP(N$1&amp;$A104,배당편집!$M$2:$T$2710,8,FALSE)</f>
        <v>5.4364811125223733E-2</v>
      </c>
      <c r="O104" s="5">
        <f>VLOOKUP(O$1&amp;$A104,배당편집!$M$2:$T$2710,8,FALSE)</f>
        <v>0.11341134521344642</v>
      </c>
      <c r="P104" s="5">
        <f>VLOOKUP(P$1&amp;$A104,배당편집!$M$2:$T$2710,8,FALSE)</f>
        <v>8.5013465659345089E-2</v>
      </c>
      <c r="Q104" s="5">
        <f>VLOOKUP(Q$1&amp;$A104,배당편집!$M$2:$T$2710,8,FALSE)</f>
        <v>7.4873165575328748E-2</v>
      </c>
      <c r="R104" s="5">
        <f>VLOOKUP(R$1&amp;$A104,배당편집!$M$2:$T$2710,8,FALSE)</f>
        <v>2.3145873080461676E-2</v>
      </c>
      <c r="S104" s="5">
        <f>VLOOKUP(S$1&amp;$A104,배당편집!$M$2:$T$2710,8,FALSE)</f>
        <v>7.5280006405569644E-2</v>
      </c>
      <c r="T104" s="5">
        <f>VLOOKUP(T$1&amp;$A104,배당편집!$M$2:$T$2710,8,FALSE)</f>
        <v>9.8560543306117854E-2</v>
      </c>
      <c r="U104" s="5">
        <f>VLOOKUP(U$1&amp;$A104,배당편집!$M$2:$T$2710,8,FALSE)</f>
        <v>-0.23698574259465133</v>
      </c>
      <c r="V104" s="5">
        <f>VLOOKUP(V$1&amp;$A104,배당편집!$M$2:$T$2710,8,FALSE)</f>
        <v>0.16054311135316701</v>
      </c>
      <c r="W104" s="5">
        <f>VLOOKUP(W$1&amp;$A104,배당편집!$M$2:$T$2710,8,FALSE)</f>
        <v>0.16190525490598984</v>
      </c>
      <c r="X104" s="5">
        <f>VLOOKUP(X$1&amp;$A104,배당편집!$M$2:$T$2710,8,FALSE)</f>
        <v>2.8515386488834782E-2</v>
      </c>
      <c r="Y104" s="5">
        <f>VLOOKUP(Y$1&amp;$A104,배당편집!$M$2:$T$2710,8,FALSE)</f>
        <v>0.13935810405670246</v>
      </c>
      <c r="Z104" s="5">
        <f>VLOOKUP(Z$1&amp;$A104,배당편집!$M$2:$T$2710,8,FALSE)</f>
        <v>3.5804203580214189E-2</v>
      </c>
      <c r="AA104" s="5">
        <f>VLOOKUP(AA$1&amp;$A104,배당편집!$M$2:$T$2710,8,FALSE)</f>
        <v>0.11382417860287886</v>
      </c>
      <c r="AB104" s="5">
        <f>VLOOKUP(AB$1&amp;$A104,배당편집!$M$2:$T$2710,8,FALSE)</f>
        <v>0.19573800863209612</v>
      </c>
      <c r="AC104" s="5">
        <f>VLOOKUP(AC$1&amp;$A104,배당편집!$M$2:$T$2710,8,FALSE)</f>
        <v>1.9558780116283092E-2</v>
      </c>
      <c r="AD104" s="5">
        <f>VLOOKUP(AD$1&amp;$A104,배당편집!$M$2:$T$2710,8,FALSE)</f>
        <v>7.7818067712725814E-2</v>
      </c>
      <c r="AE104" s="5">
        <f>VLOOKUP(AE$1&amp;$A104,배당편집!$M$2:$T$2710,8,FALSE)</f>
        <v>6.7249181879538877E-2</v>
      </c>
      <c r="AF104" s="5">
        <f>VLOOKUP(AF$1&amp;$A104,배당편집!$M$2:$T$2710,8,FALSE)</f>
        <v>8.4471771197698553E-2</v>
      </c>
    </row>
    <row r="105" spans="1:32" ht="16.5" customHeight="1">
      <c r="A105" s="3">
        <v>2014</v>
      </c>
      <c r="B105" s="3">
        <v>8</v>
      </c>
      <c r="C105" s="5">
        <f>VLOOKUP(C$1&amp;$A105,배당편집!$M$2:$T$2710,8,FALSE)</f>
        <v>0.22865967908314722</v>
      </c>
      <c r="D105" s="5">
        <f>VLOOKUP(D$1&amp;$A105,배당편집!$M$2:$T$2710,8,FALSE)</f>
        <v>3.7137289336648172E-2</v>
      </c>
      <c r="E105" s="5">
        <f>VLOOKUP(E$1&amp;$A105,배당편집!$M$2:$T$2710,8,FALSE)</f>
        <v>0.11382417860287886</v>
      </c>
      <c r="F105" s="5">
        <f>VLOOKUP(F$1&amp;$A105,배당편집!$M$2:$T$2710,8,FALSE)</f>
        <v>9.3362073943278112E-2</v>
      </c>
      <c r="G105" s="5">
        <f>VLOOKUP(G$1&amp;$A105,배당편집!$M$2:$T$2710,8,FALSE)</f>
        <v>9.5105881968669426E-2</v>
      </c>
      <c r="H105" s="5">
        <f>VLOOKUP(H$1&amp;$A105,배당편집!$M$2:$T$2710,8,FALSE)</f>
        <v>8.9976987048345336E-2</v>
      </c>
      <c r="I105" s="5">
        <f>VLOOKUP(I$1&amp;$A105,배당편집!$M$2:$T$2710,8,FALSE)</f>
        <v>1.8983732497009909E-2</v>
      </c>
      <c r="J105" s="5">
        <f>VLOOKUP(J$1&amp;$A105,배당편집!$M$2:$T$2710,8,FALSE)</f>
        <v>2.9033661071187877E-2</v>
      </c>
      <c r="K105" s="5">
        <f>VLOOKUP(K$1&amp;$A105,배당편집!$M$2:$T$2710,8,FALSE)</f>
        <v>7.3940923785779322E-2</v>
      </c>
      <c r="L105" s="5">
        <f>VLOOKUP(L$1&amp;$A105,배당편집!$M$2:$T$2710,8,FALSE)</f>
        <v>0.21862390899411199</v>
      </c>
      <c r="M105" s="5">
        <f>VLOOKUP(M$1&amp;$A105,배당편집!$M$2:$T$2710,8,FALSE)</f>
        <v>6.2618858899870622E-2</v>
      </c>
      <c r="N105" s="5">
        <f>VLOOKUP(N$1&amp;$A105,배당편집!$M$2:$T$2710,8,FALSE)</f>
        <v>5.4364811125223733E-2</v>
      </c>
      <c r="O105" s="5">
        <f>VLOOKUP(O$1&amp;$A105,배당편집!$M$2:$T$2710,8,FALSE)</f>
        <v>0.11341134521344642</v>
      </c>
      <c r="P105" s="5">
        <f>VLOOKUP(P$1&amp;$A105,배당편집!$M$2:$T$2710,8,FALSE)</f>
        <v>8.5013465659345089E-2</v>
      </c>
      <c r="Q105" s="5">
        <f>VLOOKUP(Q$1&amp;$A105,배당편집!$M$2:$T$2710,8,FALSE)</f>
        <v>7.4873165575328748E-2</v>
      </c>
      <c r="R105" s="5">
        <f>VLOOKUP(R$1&amp;$A105,배당편집!$M$2:$T$2710,8,FALSE)</f>
        <v>2.3145873080461676E-2</v>
      </c>
      <c r="S105" s="5">
        <f>VLOOKUP(S$1&amp;$A105,배당편집!$M$2:$T$2710,8,FALSE)</f>
        <v>7.5280006405569644E-2</v>
      </c>
      <c r="T105" s="5">
        <f>VLOOKUP(T$1&amp;$A105,배당편집!$M$2:$T$2710,8,FALSE)</f>
        <v>9.8560543306117854E-2</v>
      </c>
      <c r="U105" s="5">
        <f>VLOOKUP(U$1&amp;$A105,배당편집!$M$2:$T$2710,8,FALSE)</f>
        <v>-0.23698574259465133</v>
      </c>
      <c r="V105" s="5">
        <f>VLOOKUP(V$1&amp;$A105,배당편집!$M$2:$T$2710,8,FALSE)</f>
        <v>0.16054311135316701</v>
      </c>
      <c r="W105" s="5">
        <f>VLOOKUP(W$1&amp;$A105,배당편집!$M$2:$T$2710,8,FALSE)</f>
        <v>0.16190525490598984</v>
      </c>
      <c r="X105" s="5">
        <f>VLOOKUP(X$1&amp;$A105,배당편집!$M$2:$T$2710,8,FALSE)</f>
        <v>2.8515386488834782E-2</v>
      </c>
      <c r="Y105" s="5">
        <f>VLOOKUP(Y$1&amp;$A105,배당편집!$M$2:$T$2710,8,FALSE)</f>
        <v>0.13935810405670246</v>
      </c>
      <c r="Z105" s="5">
        <f>VLOOKUP(Z$1&amp;$A105,배당편집!$M$2:$T$2710,8,FALSE)</f>
        <v>3.5804203580214189E-2</v>
      </c>
      <c r="AA105" s="5">
        <f>VLOOKUP(AA$1&amp;$A105,배당편집!$M$2:$T$2710,8,FALSE)</f>
        <v>0.11382417860287886</v>
      </c>
      <c r="AB105" s="5">
        <f>VLOOKUP(AB$1&amp;$A105,배당편집!$M$2:$T$2710,8,FALSE)</f>
        <v>0.19573800863209612</v>
      </c>
      <c r="AC105" s="5">
        <f>VLOOKUP(AC$1&amp;$A105,배당편집!$M$2:$T$2710,8,FALSE)</f>
        <v>1.9558780116283092E-2</v>
      </c>
      <c r="AD105" s="5">
        <f>VLOOKUP(AD$1&amp;$A105,배당편집!$M$2:$T$2710,8,FALSE)</f>
        <v>7.7818067712725814E-2</v>
      </c>
      <c r="AE105" s="5">
        <f>VLOOKUP(AE$1&amp;$A105,배당편집!$M$2:$T$2710,8,FALSE)</f>
        <v>6.7249181879538877E-2</v>
      </c>
      <c r="AF105" s="5">
        <f>VLOOKUP(AF$1&amp;$A105,배당편집!$M$2:$T$2710,8,FALSE)</f>
        <v>8.4471771197698553E-2</v>
      </c>
    </row>
    <row r="106" spans="1:32" ht="16.5" customHeight="1">
      <c r="A106" s="3">
        <v>2014</v>
      </c>
      <c r="B106" s="3">
        <v>9</v>
      </c>
      <c r="C106" s="5">
        <f>VLOOKUP(C$1&amp;$A106,배당편집!$M$2:$T$2710,8,FALSE)</f>
        <v>0.22865967908314722</v>
      </c>
      <c r="D106" s="5">
        <f>VLOOKUP(D$1&amp;$A106,배당편집!$M$2:$T$2710,8,FALSE)</f>
        <v>3.7137289336648172E-2</v>
      </c>
      <c r="E106" s="5">
        <f>VLOOKUP(E$1&amp;$A106,배당편집!$M$2:$T$2710,8,FALSE)</f>
        <v>0.11382417860287886</v>
      </c>
      <c r="F106" s="5">
        <f>VLOOKUP(F$1&amp;$A106,배당편집!$M$2:$T$2710,8,FALSE)</f>
        <v>9.3362073943278112E-2</v>
      </c>
      <c r="G106" s="5">
        <f>VLOOKUP(G$1&amp;$A106,배당편집!$M$2:$T$2710,8,FALSE)</f>
        <v>9.5105881968669426E-2</v>
      </c>
      <c r="H106" s="5">
        <f>VLOOKUP(H$1&amp;$A106,배당편집!$M$2:$T$2710,8,FALSE)</f>
        <v>8.9976987048345336E-2</v>
      </c>
      <c r="I106" s="5">
        <f>VLOOKUP(I$1&amp;$A106,배당편집!$M$2:$T$2710,8,FALSE)</f>
        <v>1.8983732497009909E-2</v>
      </c>
      <c r="J106" s="5">
        <f>VLOOKUP(J$1&amp;$A106,배당편집!$M$2:$T$2710,8,FALSE)</f>
        <v>2.9033661071187877E-2</v>
      </c>
      <c r="K106" s="5">
        <f>VLOOKUP(K$1&amp;$A106,배당편집!$M$2:$T$2710,8,FALSE)</f>
        <v>7.3940923785779322E-2</v>
      </c>
      <c r="L106" s="5">
        <f>VLOOKUP(L$1&amp;$A106,배당편집!$M$2:$T$2710,8,FALSE)</f>
        <v>0.21862390899411199</v>
      </c>
      <c r="M106" s="5">
        <f>VLOOKUP(M$1&amp;$A106,배당편집!$M$2:$T$2710,8,FALSE)</f>
        <v>6.2618858899870622E-2</v>
      </c>
      <c r="N106" s="5">
        <f>VLOOKUP(N$1&amp;$A106,배당편집!$M$2:$T$2710,8,FALSE)</f>
        <v>5.4364811125223733E-2</v>
      </c>
      <c r="O106" s="5">
        <f>VLOOKUP(O$1&amp;$A106,배당편집!$M$2:$T$2710,8,FALSE)</f>
        <v>0.11341134521344642</v>
      </c>
      <c r="P106" s="5">
        <f>VLOOKUP(P$1&amp;$A106,배당편집!$M$2:$T$2710,8,FALSE)</f>
        <v>8.5013465659345089E-2</v>
      </c>
      <c r="Q106" s="5">
        <f>VLOOKUP(Q$1&amp;$A106,배당편집!$M$2:$T$2710,8,FALSE)</f>
        <v>7.4873165575328748E-2</v>
      </c>
      <c r="R106" s="5">
        <f>VLOOKUP(R$1&amp;$A106,배당편집!$M$2:$T$2710,8,FALSE)</f>
        <v>2.3145873080461676E-2</v>
      </c>
      <c r="S106" s="5">
        <f>VLOOKUP(S$1&amp;$A106,배당편집!$M$2:$T$2710,8,FALSE)</f>
        <v>7.5280006405569644E-2</v>
      </c>
      <c r="T106" s="5">
        <f>VLOOKUP(T$1&amp;$A106,배당편집!$M$2:$T$2710,8,FALSE)</f>
        <v>9.8560543306117854E-2</v>
      </c>
      <c r="U106" s="5">
        <f>VLOOKUP(U$1&amp;$A106,배당편집!$M$2:$T$2710,8,FALSE)</f>
        <v>-0.23698574259465133</v>
      </c>
      <c r="V106" s="5">
        <f>VLOOKUP(V$1&amp;$A106,배당편집!$M$2:$T$2710,8,FALSE)</f>
        <v>0.16054311135316701</v>
      </c>
      <c r="W106" s="5">
        <f>VLOOKUP(W$1&amp;$A106,배당편집!$M$2:$T$2710,8,FALSE)</f>
        <v>0.16190525490598984</v>
      </c>
      <c r="X106" s="5">
        <f>VLOOKUP(X$1&amp;$A106,배당편집!$M$2:$T$2710,8,FALSE)</f>
        <v>2.8515386488834782E-2</v>
      </c>
      <c r="Y106" s="5">
        <f>VLOOKUP(Y$1&amp;$A106,배당편집!$M$2:$T$2710,8,FALSE)</f>
        <v>0.13935810405670246</v>
      </c>
      <c r="Z106" s="5">
        <f>VLOOKUP(Z$1&amp;$A106,배당편집!$M$2:$T$2710,8,FALSE)</f>
        <v>3.5804203580214189E-2</v>
      </c>
      <c r="AA106" s="5">
        <f>VLOOKUP(AA$1&amp;$A106,배당편집!$M$2:$T$2710,8,FALSE)</f>
        <v>0.11382417860287886</v>
      </c>
      <c r="AB106" s="5">
        <f>VLOOKUP(AB$1&amp;$A106,배당편집!$M$2:$T$2710,8,FALSE)</f>
        <v>0.19573800863209612</v>
      </c>
      <c r="AC106" s="5">
        <f>VLOOKUP(AC$1&amp;$A106,배당편집!$M$2:$T$2710,8,FALSE)</f>
        <v>1.9558780116283092E-2</v>
      </c>
      <c r="AD106" s="5">
        <f>VLOOKUP(AD$1&amp;$A106,배당편집!$M$2:$T$2710,8,FALSE)</f>
        <v>7.7818067712725814E-2</v>
      </c>
      <c r="AE106" s="5">
        <f>VLOOKUP(AE$1&amp;$A106,배당편집!$M$2:$T$2710,8,FALSE)</f>
        <v>6.7249181879538877E-2</v>
      </c>
      <c r="AF106" s="5">
        <f>VLOOKUP(AF$1&amp;$A106,배당편집!$M$2:$T$2710,8,FALSE)</f>
        <v>8.4471771197698553E-2</v>
      </c>
    </row>
    <row r="107" spans="1:32" ht="16.5" customHeight="1">
      <c r="A107" s="3">
        <v>2014</v>
      </c>
      <c r="B107" s="3">
        <v>10</v>
      </c>
      <c r="C107" s="5">
        <f>VLOOKUP(C$1&amp;$A107,배당편집!$M$2:$T$2710,8,FALSE)</f>
        <v>0.22865967908314722</v>
      </c>
      <c r="D107" s="5">
        <f>VLOOKUP(D$1&amp;$A107,배당편집!$M$2:$T$2710,8,FALSE)</f>
        <v>3.7137289336648172E-2</v>
      </c>
      <c r="E107" s="5">
        <f>VLOOKUP(E$1&amp;$A107,배당편집!$M$2:$T$2710,8,FALSE)</f>
        <v>0.11382417860287886</v>
      </c>
      <c r="F107" s="5">
        <f>VLOOKUP(F$1&amp;$A107,배당편집!$M$2:$T$2710,8,FALSE)</f>
        <v>9.3362073943278112E-2</v>
      </c>
      <c r="G107" s="5">
        <f>VLOOKUP(G$1&amp;$A107,배당편집!$M$2:$T$2710,8,FALSE)</f>
        <v>9.5105881968669426E-2</v>
      </c>
      <c r="H107" s="5">
        <f>VLOOKUP(H$1&amp;$A107,배당편집!$M$2:$T$2710,8,FALSE)</f>
        <v>8.9976987048345336E-2</v>
      </c>
      <c r="I107" s="5">
        <f>VLOOKUP(I$1&amp;$A107,배당편집!$M$2:$T$2710,8,FALSE)</f>
        <v>1.8983732497009909E-2</v>
      </c>
      <c r="J107" s="5">
        <f>VLOOKUP(J$1&amp;$A107,배당편집!$M$2:$T$2710,8,FALSE)</f>
        <v>2.9033661071187877E-2</v>
      </c>
      <c r="K107" s="5">
        <f>VLOOKUP(K$1&amp;$A107,배당편집!$M$2:$T$2710,8,FALSE)</f>
        <v>7.3940923785779322E-2</v>
      </c>
      <c r="L107" s="5">
        <f>VLOOKUP(L$1&amp;$A107,배당편집!$M$2:$T$2710,8,FALSE)</f>
        <v>0.21862390899411199</v>
      </c>
      <c r="M107" s="5">
        <f>VLOOKUP(M$1&amp;$A107,배당편집!$M$2:$T$2710,8,FALSE)</f>
        <v>6.2618858899870622E-2</v>
      </c>
      <c r="N107" s="5">
        <f>VLOOKUP(N$1&amp;$A107,배당편집!$M$2:$T$2710,8,FALSE)</f>
        <v>5.4364811125223733E-2</v>
      </c>
      <c r="O107" s="5">
        <f>VLOOKUP(O$1&amp;$A107,배당편집!$M$2:$T$2710,8,FALSE)</f>
        <v>0.11341134521344642</v>
      </c>
      <c r="P107" s="5">
        <f>VLOOKUP(P$1&amp;$A107,배당편집!$M$2:$T$2710,8,FALSE)</f>
        <v>8.5013465659345089E-2</v>
      </c>
      <c r="Q107" s="5">
        <f>VLOOKUP(Q$1&amp;$A107,배당편집!$M$2:$T$2710,8,FALSE)</f>
        <v>7.4873165575328748E-2</v>
      </c>
      <c r="R107" s="5">
        <f>VLOOKUP(R$1&amp;$A107,배당편집!$M$2:$T$2710,8,FALSE)</f>
        <v>2.3145873080461676E-2</v>
      </c>
      <c r="S107" s="5">
        <f>VLOOKUP(S$1&amp;$A107,배당편집!$M$2:$T$2710,8,FALSE)</f>
        <v>7.5280006405569644E-2</v>
      </c>
      <c r="T107" s="5">
        <f>VLOOKUP(T$1&amp;$A107,배당편집!$M$2:$T$2710,8,FALSE)</f>
        <v>9.8560543306117854E-2</v>
      </c>
      <c r="U107" s="5">
        <f>VLOOKUP(U$1&amp;$A107,배당편집!$M$2:$T$2710,8,FALSE)</f>
        <v>-0.23698574259465133</v>
      </c>
      <c r="V107" s="5">
        <f>VLOOKUP(V$1&amp;$A107,배당편집!$M$2:$T$2710,8,FALSE)</f>
        <v>0.16054311135316701</v>
      </c>
      <c r="W107" s="5">
        <f>VLOOKUP(W$1&amp;$A107,배당편집!$M$2:$T$2710,8,FALSE)</f>
        <v>0.16190525490598984</v>
      </c>
      <c r="X107" s="5">
        <f>VLOOKUP(X$1&amp;$A107,배당편집!$M$2:$T$2710,8,FALSE)</f>
        <v>2.8515386488834782E-2</v>
      </c>
      <c r="Y107" s="5">
        <f>VLOOKUP(Y$1&amp;$A107,배당편집!$M$2:$T$2710,8,FALSE)</f>
        <v>0.13935810405670246</v>
      </c>
      <c r="Z107" s="5">
        <f>VLOOKUP(Z$1&amp;$A107,배당편집!$M$2:$T$2710,8,FALSE)</f>
        <v>3.5804203580214189E-2</v>
      </c>
      <c r="AA107" s="5">
        <f>VLOOKUP(AA$1&amp;$A107,배당편집!$M$2:$T$2710,8,FALSE)</f>
        <v>0.11382417860287886</v>
      </c>
      <c r="AB107" s="5">
        <f>VLOOKUP(AB$1&amp;$A107,배당편집!$M$2:$T$2710,8,FALSE)</f>
        <v>0.19573800863209612</v>
      </c>
      <c r="AC107" s="5">
        <f>VLOOKUP(AC$1&amp;$A107,배당편집!$M$2:$T$2710,8,FALSE)</f>
        <v>1.9558780116283092E-2</v>
      </c>
      <c r="AD107" s="5">
        <f>VLOOKUP(AD$1&amp;$A107,배당편집!$M$2:$T$2710,8,FALSE)</f>
        <v>7.7818067712725814E-2</v>
      </c>
      <c r="AE107" s="5">
        <f>VLOOKUP(AE$1&amp;$A107,배당편집!$M$2:$T$2710,8,FALSE)</f>
        <v>6.7249181879538877E-2</v>
      </c>
      <c r="AF107" s="5">
        <f>VLOOKUP(AF$1&amp;$A107,배당편집!$M$2:$T$2710,8,FALSE)</f>
        <v>8.4471771197698553E-2</v>
      </c>
    </row>
    <row r="108" spans="1:32" ht="16.5" customHeight="1">
      <c r="A108" s="3">
        <v>2014</v>
      </c>
      <c r="B108" s="3">
        <v>11</v>
      </c>
      <c r="C108" s="5">
        <f>VLOOKUP(C$1&amp;$A108,배당편집!$M$2:$T$2710,8,FALSE)</f>
        <v>0.22865967908314722</v>
      </c>
      <c r="D108" s="5">
        <f>VLOOKUP(D$1&amp;$A108,배당편집!$M$2:$T$2710,8,FALSE)</f>
        <v>3.7137289336648172E-2</v>
      </c>
      <c r="E108" s="5">
        <f>VLOOKUP(E$1&amp;$A108,배당편집!$M$2:$T$2710,8,FALSE)</f>
        <v>0.11382417860287886</v>
      </c>
      <c r="F108" s="5">
        <f>VLOOKUP(F$1&amp;$A108,배당편집!$M$2:$T$2710,8,FALSE)</f>
        <v>9.3362073943278112E-2</v>
      </c>
      <c r="G108" s="5">
        <f>VLOOKUP(G$1&amp;$A108,배당편집!$M$2:$T$2710,8,FALSE)</f>
        <v>9.5105881968669426E-2</v>
      </c>
      <c r="H108" s="5">
        <f>VLOOKUP(H$1&amp;$A108,배당편집!$M$2:$T$2710,8,FALSE)</f>
        <v>8.9976987048345336E-2</v>
      </c>
      <c r="I108" s="5">
        <f>VLOOKUP(I$1&amp;$A108,배당편집!$M$2:$T$2710,8,FALSE)</f>
        <v>1.8983732497009909E-2</v>
      </c>
      <c r="J108" s="5">
        <f>VLOOKUP(J$1&amp;$A108,배당편집!$M$2:$T$2710,8,FALSE)</f>
        <v>2.9033661071187877E-2</v>
      </c>
      <c r="K108" s="5">
        <f>VLOOKUP(K$1&amp;$A108,배당편집!$M$2:$T$2710,8,FALSE)</f>
        <v>7.3940923785779322E-2</v>
      </c>
      <c r="L108" s="5">
        <f>VLOOKUP(L$1&amp;$A108,배당편집!$M$2:$T$2710,8,FALSE)</f>
        <v>0.21862390899411199</v>
      </c>
      <c r="M108" s="5">
        <f>VLOOKUP(M$1&amp;$A108,배당편집!$M$2:$T$2710,8,FALSE)</f>
        <v>6.2618858899870622E-2</v>
      </c>
      <c r="N108" s="5">
        <f>VLOOKUP(N$1&amp;$A108,배당편집!$M$2:$T$2710,8,FALSE)</f>
        <v>5.4364811125223733E-2</v>
      </c>
      <c r="O108" s="5">
        <f>VLOOKUP(O$1&amp;$A108,배당편집!$M$2:$T$2710,8,FALSE)</f>
        <v>0.11341134521344642</v>
      </c>
      <c r="P108" s="5">
        <f>VLOOKUP(P$1&amp;$A108,배당편집!$M$2:$T$2710,8,FALSE)</f>
        <v>8.5013465659345089E-2</v>
      </c>
      <c r="Q108" s="5">
        <f>VLOOKUP(Q$1&amp;$A108,배당편집!$M$2:$T$2710,8,FALSE)</f>
        <v>7.4873165575328748E-2</v>
      </c>
      <c r="R108" s="5">
        <f>VLOOKUP(R$1&amp;$A108,배당편집!$M$2:$T$2710,8,FALSE)</f>
        <v>2.3145873080461676E-2</v>
      </c>
      <c r="S108" s="5">
        <f>VLOOKUP(S$1&amp;$A108,배당편집!$M$2:$T$2710,8,FALSE)</f>
        <v>7.5280006405569644E-2</v>
      </c>
      <c r="T108" s="5">
        <f>VLOOKUP(T$1&amp;$A108,배당편집!$M$2:$T$2710,8,FALSE)</f>
        <v>9.8560543306117854E-2</v>
      </c>
      <c r="U108" s="5">
        <f>VLOOKUP(U$1&amp;$A108,배당편집!$M$2:$T$2710,8,FALSE)</f>
        <v>-0.23698574259465133</v>
      </c>
      <c r="V108" s="5">
        <f>VLOOKUP(V$1&amp;$A108,배당편집!$M$2:$T$2710,8,FALSE)</f>
        <v>0.16054311135316701</v>
      </c>
      <c r="W108" s="5">
        <f>VLOOKUP(W$1&amp;$A108,배당편집!$M$2:$T$2710,8,FALSE)</f>
        <v>0.16190525490598984</v>
      </c>
      <c r="X108" s="5">
        <f>VLOOKUP(X$1&amp;$A108,배당편집!$M$2:$T$2710,8,FALSE)</f>
        <v>2.8515386488834782E-2</v>
      </c>
      <c r="Y108" s="5">
        <f>VLOOKUP(Y$1&amp;$A108,배당편집!$M$2:$T$2710,8,FALSE)</f>
        <v>0.13935810405670246</v>
      </c>
      <c r="Z108" s="5">
        <f>VLOOKUP(Z$1&amp;$A108,배당편집!$M$2:$T$2710,8,FALSE)</f>
        <v>3.5804203580214189E-2</v>
      </c>
      <c r="AA108" s="5">
        <f>VLOOKUP(AA$1&amp;$A108,배당편집!$M$2:$T$2710,8,FALSE)</f>
        <v>0.11382417860287886</v>
      </c>
      <c r="AB108" s="5">
        <f>VLOOKUP(AB$1&amp;$A108,배당편집!$M$2:$T$2710,8,FALSE)</f>
        <v>0.19573800863209612</v>
      </c>
      <c r="AC108" s="5">
        <f>VLOOKUP(AC$1&amp;$A108,배당편집!$M$2:$T$2710,8,FALSE)</f>
        <v>1.9558780116283092E-2</v>
      </c>
      <c r="AD108" s="5">
        <f>VLOOKUP(AD$1&amp;$A108,배당편집!$M$2:$T$2710,8,FALSE)</f>
        <v>7.7818067712725814E-2</v>
      </c>
      <c r="AE108" s="5">
        <f>VLOOKUP(AE$1&amp;$A108,배당편집!$M$2:$T$2710,8,FALSE)</f>
        <v>6.7249181879538877E-2</v>
      </c>
      <c r="AF108" s="5">
        <f>VLOOKUP(AF$1&amp;$A108,배당편집!$M$2:$T$2710,8,FALSE)</f>
        <v>8.4471771197698553E-2</v>
      </c>
    </row>
    <row r="109" spans="1:32" ht="16.5" customHeight="1">
      <c r="A109" s="3">
        <v>2014</v>
      </c>
      <c r="B109" s="3">
        <v>12</v>
      </c>
      <c r="C109" s="5">
        <f>VLOOKUP(C$1&amp;$A109,배당편집!$M$2:$T$2710,8,FALSE)</f>
        <v>0.22865967908314722</v>
      </c>
      <c r="D109" s="5">
        <f>VLOOKUP(D$1&amp;$A109,배당편집!$M$2:$T$2710,8,FALSE)</f>
        <v>3.7137289336648172E-2</v>
      </c>
      <c r="E109" s="5">
        <f>VLOOKUP(E$1&amp;$A109,배당편집!$M$2:$T$2710,8,FALSE)</f>
        <v>0.11382417860287886</v>
      </c>
      <c r="F109" s="5">
        <f>VLOOKUP(F$1&amp;$A109,배당편집!$M$2:$T$2710,8,FALSE)</f>
        <v>9.3362073943278112E-2</v>
      </c>
      <c r="G109" s="5">
        <f>VLOOKUP(G$1&amp;$A109,배당편집!$M$2:$T$2710,8,FALSE)</f>
        <v>9.5105881968669426E-2</v>
      </c>
      <c r="H109" s="5">
        <f>VLOOKUP(H$1&amp;$A109,배당편집!$M$2:$T$2710,8,FALSE)</f>
        <v>8.9976987048345336E-2</v>
      </c>
      <c r="I109" s="5">
        <f>VLOOKUP(I$1&amp;$A109,배당편집!$M$2:$T$2710,8,FALSE)</f>
        <v>1.8983732497009909E-2</v>
      </c>
      <c r="J109" s="5">
        <f>VLOOKUP(J$1&amp;$A109,배당편집!$M$2:$T$2710,8,FALSE)</f>
        <v>2.9033661071187877E-2</v>
      </c>
      <c r="K109" s="5">
        <f>VLOOKUP(K$1&amp;$A109,배당편집!$M$2:$T$2710,8,FALSE)</f>
        <v>7.3940923785779322E-2</v>
      </c>
      <c r="L109" s="5">
        <f>VLOOKUP(L$1&amp;$A109,배당편집!$M$2:$T$2710,8,FALSE)</f>
        <v>0.21862390899411199</v>
      </c>
      <c r="M109" s="5">
        <f>VLOOKUP(M$1&amp;$A109,배당편집!$M$2:$T$2710,8,FALSE)</f>
        <v>6.2618858899870622E-2</v>
      </c>
      <c r="N109" s="5">
        <f>VLOOKUP(N$1&amp;$A109,배당편집!$M$2:$T$2710,8,FALSE)</f>
        <v>5.4364811125223733E-2</v>
      </c>
      <c r="O109" s="5">
        <f>VLOOKUP(O$1&amp;$A109,배당편집!$M$2:$T$2710,8,FALSE)</f>
        <v>0.11341134521344642</v>
      </c>
      <c r="P109" s="5">
        <f>VLOOKUP(P$1&amp;$A109,배당편집!$M$2:$T$2710,8,FALSE)</f>
        <v>8.5013465659345089E-2</v>
      </c>
      <c r="Q109" s="5">
        <f>VLOOKUP(Q$1&amp;$A109,배당편집!$M$2:$T$2710,8,FALSE)</f>
        <v>7.4873165575328748E-2</v>
      </c>
      <c r="R109" s="5">
        <f>VLOOKUP(R$1&amp;$A109,배당편집!$M$2:$T$2710,8,FALSE)</f>
        <v>2.3145873080461676E-2</v>
      </c>
      <c r="S109" s="5">
        <f>VLOOKUP(S$1&amp;$A109,배당편집!$M$2:$T$2710,8,FALSE)</f>
        <v>7.5280006405569644E-2</v>
      </c>
      <c r="T109" s="5">
        <f>VLOOKUP(T$1&amp;$A109,배당편집!$M$2:$T$2710,8,FALSE)</f>
        <v>9.8560543306117854E-2</v>
      </c>
      <c r="U109" s="5">
        <f>VLOOKUP(U$1&amp;$A109,배당편집!$M$2:$T$2710,8,FALSE)</f>
        <v>-0.23698574259465133</v>
      </c>
      <c r="V109" s="5">
        <f>VLOOKUP(V$1&amp;$A109,배당편집!$M$2:$T$2710,8,FALSE)</f>
        <v>0.16054311135316701</v>
      </c>
      <c r="W109" s="5">
        <f>VLOOKUP(W$1&amp;$A109,배당편집!$M$2:$T$2710,8,FALSE)</f>
        <v>0.16190525490598984</v>
      </c>
      <c r="X109" s="5">
        <f>VLOOKUP(X$1&amp;$A109,배당편집!$M$2:$T$2710,8,FALSE)</f>
        <v>2.8515386488834782E-2</v>
      </c>
      <c r="Y109" s="5">
        <f>VLOOKUP(Y$1&amp;$A109,배당편집!$M$2:$T$2710,8,FALSE)</f>
        <v>0.13935810405670246</v>
      </c>
      <c r="Z109" s="5">
        <f>VLOOKUP(Z$1&amp;$A109,배당편집!$M$2:$T$2710,8,FALSE)</f>
        <v>3.5804203580214189E-2</v>
      </c>
      <c r="AA109" s="5">
        <f>VLOOKUP(AA$1&amp;$A109,배당편집!$M$2:$T$2710,8,FALSE)</f>
        <v>0.11382417860287886</v>
      </c>
      <c r="AB109" s="5">
        <f>VLOOKUP(AB$1&amp;$A109,배당편집!$M$2:$T$2710,8,FALSE)</f>
        <v>0.19573800863209612</v>
      </c>
      <c r="AC109" s="5">
        <f>VLOOKUP(AC$1&amp;$A109,배당편집!$M$2:$T$2710,8,FALSE)</f>
        <v>1.9558780116283092E-2</v>
      </c>
      <c r="AD109" s="5">
        <f>VLOOKUP(AD$1&amp;$A109,배당편집!$M$2:$T$2710,8,FALSE)</f>
        <v>7.7818067712725814E-2</v>
      </c>
      <c r="AE109" s="5">
        <f>VLOOKUP(AE$1&amp;$A109,배당편집!$M$2:$T$2710,8,FALSE)</f>
        <v>6.7249181879538877E-2</v>
      </c>
      <c r="AF109" s="5">
        <f>VLOOKUP(AF$1&amp;$A109,배당편집!$M$2:$T$2710,8,FALSE)</f>
        <v>8.4471771197698553E-2</v>
      </c>
    </row>
    <row r="110" spans="1:32" ht="16.5" customHeight="1">
      <c r="A110" s="3">
        <v>2013</v>
      </c>
      <c r="B110" s="3">
        <v>1</v>
      </c>
      <c r="C110" s="5">
        <f>VLOOKUP(C$1&amp;$A110,배당편집!$M$2:$T$2710,8,FALSE)</f>
        <v>0.23686362555006157</v>
      </c>
      <c r="D110" s="5">
        <f>VLOOKUP(D$1&amp;$A110,배당편집!$M$2:$T$2710,8,FALSE)</f>
        <v>3.0128962818398941E-2</v>
      </c>
      <c r="E110" s="5">
        <f>VLOOKUP(E$1&amp;$A110,배당편집!$M$2:$T$2710,8,FALSE)</f>
        <v>7.3940923785779322E-2</v>
      </c>
      <c r="F110" s="5">
        <f>VLOOKUP(F$1&amp;$A110,배당편집!$M$2:$T$2710,8,FALSE)</f>
        <v>9.5889781040844779E-2</v>
      </c>
      <c r="G110" s="5">
        <f>VLOOKUP(G$1&amp;$A110,배당편집!$M$2:$T$2710,8,FALSE)</f>
        <v>0.10245624587374724</v>
      </c>
      <c r="H110" s="5">
        <f>VLOOKUP(H$1&amp;$A110,배당편집!$M$2:$T$2710,8,FALSE)</f>
        <v>9.1849810789540687E-2</v>
      </c>
      <c r="I110" s="5">
        <f>VLOOKUP(I$1&amp;$A110,배당편집!$M$2:$T$2710,8,FALSE)</f>
        <v>1.6583626382627337E-2</v>
      </c>
      <c r="J110" s="5">
        <f>VLOOKUP(J$1&amp;$A110,배당편집!$M$2:$T$2710,8,FALSE)</f>
        <v>3.320436939252347E-2</v>
      </c>
      <c r="K110" s="5">
        <f>VLOOKUP(K$1&amp;$A110,배당편집!$M$2:$T$2710,8,FALSE)</f>
        <v>7.6316922514810814E-2</v>
      </c>
      <c r="L110" s="5">
        <f>VLOOKUP(L$1&amp;$A110,배당편집!$M$2:$T$2710,8,FALSE)</f>
        <v>0.20791087977228595</v>
      </c>
      <c r="M110" s="5">
        <f>VLOOKUP(M$1&amp;$A110,배당편집!$M$2:$T$2710,8,FALSE)</f>
        <v>6.2980048262344379E-2</v>
      </c>
      <c r="N110" s="5">
        <f>VLOOKUP(N$1&amp;$A110,배당편집!$M$2:$T$2710,8,FALSE)</f>
        <v>6.4467779836540062E-2</v>
      </c>
      <c r="O110" s="5">
        <f>VLOOKUP(O$1&amp;$A110,배당편집!$M$2:$T$2710,8,FALSE)</f>
        <v>0.1004267384562354</v>
      </c>
      <c r="P110" s="5">
        <f>VLOOKUP(P$1&amp;$A110,배당편집!$M$2:$T$2710,8,FALSE)</f>
        <v>9.9344110824444387E-2</v>
      </c>
      <c r="Q110" s="5">
        <f>VLOOKUP(Q$1&amp;$A110,배당편집!$M$2:$T$2710,8,FALSE)</f>
        <v>8.0081052992623247E-2</v>
      </c>
      <c r="R110" s="5">
        <f>VLOOKUP(R$1&amp;$A110,배당편집!$M$2:$T$2710,8,FALSE)</f>
        <v>1.4931978945393665E-2</v>
      </c>
      <c r="S110" s="5">
        <f>VLOOKUP(S$1&amp;$A110,배당편집!$M$2:$T$2710,8,FALSE)</f>
        <v>6.6259153104471613E-2</v>
      </c>
      <c r="T110" s="5">
        <f>VLOOKUP(T$1&amp;$A110,배당편집!$M$2:$T$2710,8,FALSE)</f>
        <v>9.8560543306117854E-2</v>
      </c>
      <c r="U110" s="5">
        <f>VLOOKUP(U$1&amp;$A110,배당편집!$M$2:$T$2710,8,FALSE)</f>
        <v>-0.29146322768095723</v>
      </c>
      <c r="V110" s="5">
        <f>VLOOKUP(V$1&amp;$A110,배당편집!$M$2:$T$2710,8,FALSE)</f>
        <v>0.1294355091763042</v>
      </c>
      <c r="W110" s="5">
        <f>VLOOKUP(W$1&amp;$A110,배당편집!$M$2:$T$2710,8,FALSE)</f>
        <v>0.1486983549970351</v>
      </c>
      <c r="X110" s="5">
        <f>VLOOKUP(X$1&amp;$A110,배당편집!$M$2:$T$2710,8,FALSE)</f>
        <v>2.5580450076664984E-2</v>
      </c>
      <c r="Y110" s="5">
        <f>VLOOKUP(Y$1&amp;$A110,배당편집!$M$2:$T$2710,8,FALSE)</f>
        <v>0.15411698403346041</v>
      </c>
      <c r="Z110" s="5">
        <f>VLOOKUP(Z$1&amp;$A110,배당편집!$M$2:$T$2710,8,FALSE)</f>
        <v>3.7137289336648172E-2</v>
      </c>
      <c r="AA110" s="5">
        <f>VLOOKUP(AA$1&amp;$A110,배당편집!$M$2:$T$2710,8,FALSE)</f>
        <v>7.8852443962371455E-2</v>
      </c>
      <c r="AB110" s="5">
        <f>VLOOKUP(AB$1&amp;$A110,배당편집!$M$2:$T$2710,8,FALSE)</f>
        <v>0.11496422620900493</v>
      </c>
      <c r="AC110" s="5">
        <f>VLOOKUP(AC$1&amp;$A110,배당편집!$M$2:$T$2710,8,FALSE)</f>
        <v>1.8133720736333014E-2</v>
      </c>
      <c r="AD110" s="5">
        <f>VLOOKUP(AD$1&amp;$A110,배당편집!$M$2:$T$2710,8,FALSE)</f>
        <v>8.4471771197698553E-2</v>
      </c>
      <c r="AE110" s="5">
        <f>VLOOKUP(AE$1&amp;$A110,배당편집!$M$2:$T$2710,8,FALSE)</f>
        <v>6.7249181879538877E-2</v>
      </c>
      <c r="AF110" s="5">
        <f>VLOOKUP(AF$1&amp;$A110,배당편집!$M$2:$T$2710,8,FALSE)</f>
        <v>0.11842691472014466</v>
      </c>
    </row>
    <row r="111" spans="1:32" ht="16.5" customHeight="1">
      <c r="A111" s="3">
        <v>2013</v>
      </c>
      <c r="B111" s="3">
        <v>2</v>
      </c>
      <c r="C111" s="5">
        <f>VLOOKUP(C$1&amp;$A111,배당편집!$M$2:$T$2710,8,FALSE)</f>
        <v>0.23686362555006157</v>
      </c>
      <c r="D111" s="5">
        <f>VLOOKUP(D$1&amp;$A111,배당편집!$M$2:$T$2710,8,FALSE)</f>
        <v>3.0128962818398941E-2</v>
      </c>
      <c r="E111" s="5">
        <f>VLOOKUP(E$1&amp;$A111,배당편집!$M$2:$T$2710,8,FALSE)</f>
        <v>7.3940923785779322E-2</v>
      </c>
      <c r="F111" s="5">
        <f>VLOOKUP(F$1&amp;$A111,배당편집!$M$2:$T$2710,8,FALSE)</f>
        <v>9.5889781040844779E-2</v>
      </c>
      <c r="G111" s="5">
        <f>VLOOKUP(G$1&amp;$A111,배당편집!$M$2:$T$2710,8,FALSE)</f>
        <v>0.10245624587374724</v>
      </c>
      <c r="H111" s="5">
        <f>VLOOKUP(H$1&amp;$A111,배당편집!$M$2:$T$2710,8,FALSE)</f>
        <v>9.1849810789540687E-2</v>
      </c>
      <c r="I111" s="5">
        <f>VLOOKUP(I$1&amp;$A111,배당편집!$M$2:$T$2710,8,FALSE)</f>
        <v>1.6583626382627337E-2</v>
      </c>
      <c r="J111" s="5">
        <f>VLOOKUP(J$1&amp;$A111,배당편집!$M$2:$T$2710,8,FALSE)</f>
        <v>3.320436939252347E-2</v>
      </c>
      <c r="K111" s="5">
        <f>VLOOKUP(K$1&amp;$A111,배당편집!$M$2:$T$2710,8,FALSE)</f>
        <v>7.6316922514810814E-2</v>
      </c>
      <c r="L111" s="5">
        <f>VLOOKUP(L$1&amp;$A111,배당편집!$M$2:$T$2710,8,FALSE)</f>
        <v>0.20791087977228595</v>
      </c>
      <c r="M111" s="5">
        <f>VLOOKUP(M$1&amp;$A111,배당편집!$M$2:$T$2710,8,FALSE)</f>
        <v>6.2980048262344379E-2</v>
      </c>
      <c r="N111" s="5">
        <f>VLOOKUP(N$1&amp;$A111,배당편집!$M$2:$T$2710,8,FALSE)</f>
        <v>6.4467779836540062E-2</v>
      </c>
      <c r="O111" s="5">
        <f>VLOOKUP(O$1&amp;$A111,배당편집!$M$2:$T$2710,8,FALSE)</f>
        <v>0.1004267384562354</v>
      </c>
      <c r="P111" s="5">
        <f>VLOOKUP(P$1&amp;$A111,배당편집!$M$2:$T$2710,8,FALSE)</f>
        <v>9.9344110824444387E-2</v>
      </c>
      <c r="Q111" s="5">
        <f>VLOOKUP(Q$1&amp;$A111,배당편집!$M$2:$T$2710,8,FALSE)</f>
        <v>8.0081052992623247E-2</v>
      </c>
      <c r="R111" s="5">
        <f>VLOOKUP(R$1&amp;$A111,배당편집!$M$2:$T$2710,8,FALSE)</f>
        <v>1.4931978945393665E-2</v>
      </c>
      <c r="S111" s="5">
        <f>VLOOKUP(S$1&amp;$A111,배당편집!$M$2:$T$2710,8,FALSE)</f>
        <v>6.6259153104471613E-2</v>
      </c>
      <c r="T111" s="5">
        <f>VLOOKUP(T$1&amp;$A111,배당편집!$M$2:$T$2710,8,FALSE)</f>
        <v>9.8560543306117854E-2</v>
      </c>
      <c r="U111" s="5">
        <f>VLOOKUP(U$1&amp;$A111,배당편집!$M$2:$T$2710,8,FALSE)</f>
        <v>-0.29146322768095723</v>
      </c>
      <c r="V111" s="5">
        <f>VLOOKUP(V$1&amp;$A111,배당편집!$M$2:$T$2710,8,FALSE)</f>
        <v>0.1294355091763042</v>
      </c>
      <c r="W111" s="5">
        <f>VLOOKUP(W$1&amp;$A111,배당편집!$M$2:$T$2710,8,FALSE)</f>
        <v>0.1486983549970351</v>
      </c>
      <c r="X111" s="5">
        <f>VLOOKUP(X$1&amp;$A111,배당편집!$M$2:$T$2710,8,FALSE)</f>
        <v>2.5580450076664984E-2</v>
      </c>
      <c r="Y111" s="5">
        <f>VLOOKUP(Y$1&amp;$A111,배당편집!$M$2:$T$2710,8,FALSE)</f>
        <v>0.15411698403346041</v>
      </c>
      <c r="Z111" s="5">
        <f>VLOOKUP(Z$1&amp;$A111,배당편집!$M$2:$T$2710,8,FALSE)</f>
        <v>3.7137289336648172E-2</v>
      </c>
      <c r="AA111" s="5">
        <f>VLOOKUP(AA$1&amp;$A111,배당편집!$M$2:$T$2710,8,FALSE)</f>
        <v>7.8852443962371455E-2</v>
      </c>
      <c r="AB111" s="5">
        <f>VLOOKUP(AB$1&amp;$A111,배당편집!$M$2:$T$2710,8,FALSE)</f>
        <v>0.11496422620900493</v>
      </c>
      <c r="AC111" s="5">
        <f>VLOOKUP(AC$1&amp;$A111,배당편집!$M$2:$T$2710,8,FALSE)</f>
        <v>1.8133720736333014E-2</v>
      </c>
      <c r="AD111" s="5">
        <f>VLOOKUP(AD$1&amp;$A111,배당편집!$M$2:$T$2710,8,FALSE)</f>
        <v>8.4471771197698553E-2</v>
      </c>
      <c r="AE111" s="5">
        <f>VLOOKUP(AE$1&amp;$A111,배당편집!$M$2:$T$2710,8,FALSE)</f>
        <v>6.7249181879538877E-2</v>
      </c>
      <c r="AF111" s="5">
        <f>VLOOKUP(AF$1&amp;$A111,배당편집!$M$2:$T$2710,8,FALSE)</f>
        <v>0.11842691472014466</v>
      </c>
    </row>
    <row r="112" spans="1:32" ht="16.5" customHeight="1">
      <c r="A112" s="3">
        <v>2013</v>
      </c>
      <c r="B112" s="3">
        <v>3</v>
      </c>
      <c r="C112" s="5">
        <f>VLOOKUP(C$1&amp;$A112,배당편집!$M$2:$T$2710,8,FALSE)</f>
        <v>0.23686362555006157</v>
      </c>
      <c r="D112" s="5">
        <f>VLOOKUP(D$1&amp;$A112,배당편집!$M$2:$T$2710,8,FALSE)</f>
        <v>3.0128962818398941E-2</v>
      </c>
      <c r="E112" s="5">
        <f>VLOOKUP(E$1&amp;$A112,배당편집!$M$2:$T$2710,8,FALSE)</f>
        <v>7.3940923785779322E-2</v>
      </c>
      <c r="F112" s="5">
        <f>VLOOKUP(F$1&amp;$A112,배당편집!$M$2:$T$2710,8,FALSE)</f>
        <v>9.5889781040844779E-2</v>
      </c>
      <c r="G112" s="5">
        <f>VLOOKUP(G$1&amp;$A112,배당편집!$M$2:$T$2710,8,FALSE)</f>
        <v>0.10245624587374724</v>
      </c>
      <c r="H112" s="5">
        <f>VLOOKUP(H$1&amp;$A112,배당편집!$M$2:$T$2710,8,FALSE)</f>
        <v>9.1849810789540687E-2</v>
      </c>
      <c r="I112" s="5">
        <f>VLOOKUP(I$1&amp;$A112,배당편집!$M$2:$T$2710,8,FALSE)</f>
        <v>1.6583626382627337E-2</v>
      </c>
      <c r="J112" s="5">
        <f>VLOOKUP(J$1&amp;$A112,배당편집!$M$2:$T$2710,8,FALSE)</f>
        <v>3.320436939252347E-2</v>
      </c>
      <c r="K112" s="5">
        <f>VLOOKUP(K$1&amp;$A112,배당편집!$M$2:$T$2710,8,FALSE)</f>
        <v>7.6316922514810814E-2</v>
      </c>
      <c r="L112" s="5">
        <f>VLOOKUP(L$1&amp;$A112,배당편집!$M$2:$T$2710,8,FALSE)</f>
        <v>0.20791087977228595</v>
      </c>
      <c r="M112" s="5">
        <f>VLOOKUP(M$1&amp;$A112,배당편집!$M$2:$T$2710,8,FALSE)</f>
        <v>6.2980048262344379E-2</v>
      </c>
      <c r="N112" s="5">
        <f>VLOOKUP(N$1&amp;$A112,배당편집!$M$2:$T$2710,8,FALSE)</f>
        <v>6.4467779836540062E-2</v>
      </c>
      <c r="O112" s="5">
        <f>VLOOKUP(O$1&amp;$A112,배당편집!$M$2:$T$2710,8,FALSE)</f>
        <v>0.1004267384562354</v>
      </c>
      <c r="P112" s="5">
        <f>VLOOKUP(P$1&amp;$A112,배당편집!$M$2:$T$2710,8,FALSE)</f>
        <v>9.9344110824444387E-2</v>
      </c>
      <c r="Q112" s="5">
        <f>VLOOKUP(Q$1&amp;$A112,배당편집!$M$2:$T$2710,8,FALSE)</f>
        <v>8.0081052992623247E-2</v>
      </c>
      <c r="R112" s="5">
        <f>VLOOKUP(R$1&amp;$A112,배당편집!$M$2:$T$2710,8,FALSE)</f>
        <v>1.4931978945393665E-2</v>
      </c>
      <c r="S112" s="5">
        <f>VLOOKUP(S$1&amp;$A112,배당편집!$M$2:$T$2710,8,FALSE)</f>
        <v>6.6259153104471613E-2</v>
      </c>
      <c r="T112" s="5">
        <f>VLOOKUP(T$1&amp;$A112,배당편집!$M$2:$T$2710,8,FALSE)</f>
        <v>9.8560543306117854E-2</v>
      </c>
      <c r="U112" s="5">
        <f>VLOOKUP(U$1&amp;$A112,배당편집!$M$2:$T$2710,8,FALSE)</f>
        <v>-0.29146322768095723</v>
      </c>
      <c r="V112" s="5">
        <f>VLOOKUP(V$1&amp;$A112,배당편집!$M$2:$T$2710,8,FALSE)</f>
        <v>0.1294355091763042</v>
      </c>
      <c r="W112" s="5">
        <f>VLOOKUP(W$1&amp;$A112,배당편집!$M$2:$T$2710,8,FALSE)</f>
        <v>0.1486983549970351</v>
      </c>
      <c r="X112" s="5">
        <f>VLOOKUP(X$1&amp;$A112,배당편집!$M$2:$T$2710,8,FALSE)</f>
        <v>2.5580450076664984E-2</v>
      </c>
      <c r="Y112" s="5">
        <f>VLOOKUP(Y$1&amp;$A112,배당편집!$M$2:$T$2710,8,FALSE)</f>
        <v>0.15411698403346041</v>
      </c>
      <c r="Z112" s="5">
        <f>VLOOKUP(Z$1&amp;$A112,배당편집!$M$2:$T$2710,8,FALSE)</f>
        <v>3.7137289336648172E-2</v>
      </c>
      <c r="AA112" s="5">
        <f>VLOOKUP(AA$1&amp;$A112,배당편집!$M$2:$T$2710,8,FALSE)</f>
        <v>7.8852443962371455E-2</v>
      </c>
      <c r="AB112" s="5">
        <f>VLOOKUP(AB$1&amp;$A112,배당편집!$M$2:$T$2710,8,FALSE)</f>
        <v>0.11496422620900493</v>
      </c>
      <c r="AC112" s="5">
        <f>VLOOKUP(AC$1&amp;$A112,배당편집!$M$2:$T$2710,8,FALSE)</f>
        <v>1.8133720736333014E-2</v>
      </c>
      <c r="AD112" s="5">
        <f>VLOOKUP(AD$1&amp;$A112,배당편집!$M$2:$T$2710,8,FALSE)</f>
        <v>8.4471771197698553E-2</v>
      </c>
      <c r="AE112" s="5">
        <f>VLOOKUP(AE$1&amp;$A112,배당편집!$M$2:$T$2710,8,FALSE)</f>
        <v>6.7249181879538877E-2</v>
      </c>
      <c r="AF112" s="5">
        <f>VLOOKUP(AF$1&amp;$A112,배당편집!$M$2:$T$2710,8,FALSE)</f>
        <v>0.11842691472014466</v>
      </c>
    </row>
    <row r="113" spans="1:32" ht="16.5" customHeight="1">
      <c r="A113" s="3">
        <v>2013</v>
      </c>
      <c r="B113" s="3">
        <v>4</v>
      </c>
      <c r="C113" s="5">
        <f>VLOOKUP(C$1&amp;$A113,배당편집!$M$2:$T$2710,8,FALSE)</f>
        <v>0.23686362555006157</v>
      </c>
      <c r="D113" s="5">
        <f>VLOOKUP(D$1&amp;$A113,배당편집!$M$2:$T$2710,8,FALSE)</f>
        <v>3.0128962818398941E-2</v>
      </c>
      <c r="E113" s="5">
        <f>VLOOKUP(E$1&amp;$A113,배당편집!$M$2:$T$2710,8,FALSE)</f>
        <v>7.3940923785779322E-2</v>
      </c>
      <c r="F113" s="5">
        <f>VLOOKUP(F$1&amp;$A113,배당편집!$M$2:$T$2710,8,FALSE)</f>
        <v>9.5889781040844779E-2</v>
      </c>
      <c r="G113" s="5">
        <f>VLOOKUP(G$1&amp;$A113,배당편집!$M$2:$T$2710,8,FALSE)</f>
        <v>0.10245624587374724</v>
      </c>
      <c r="H113" s="5">
        <f>VLOOKUP(H$1&amp;$A113,배당편집!$M$2:$T$2710,8,FALSE)</f>
        <v>9.1849810789540687E-2</v>
      </c>
      <c r="I113" s="5">
        <f>VLOOKUP(I$1&amp;$A113,배당편집!$M$2:$T$2710,8,FALSE)</f>
        <v>1.6583626382627337E-2</v>
      </c>
      <c r="J113" s="5">
        <f>VLOOKUP(J$1&amp;$A113,배당편집!$M$2:$T$2710,8,FALSE)</f>
        <v>3.320436939252347E-2</v>
      </c>
      <c r="K113" s="5">
        <f>VLOOKUP(K$1&amp;$A113,배당편집!$M$2:$T$2710,8,FALSE)</f>
        <v>7.6316922514810814E-2</v>
      </c>
      <c r="L113" s="5">
        <f>VLOOKUP(L$1&amp;$A113,배당편집!$M$2:$T$2710,8,FALSE)</f>
        <v>0.20791087977228595</v>
      </c>
      <c r="M113" s="5">
        <f>VLOOKUP(M$1&amp;$A113,배당편집!$M$2:$T$2710,8,FALSE)</f>
        <v>6.2980048262344379E-2</v>
      </c>
      <c r="N113" s="5">
        <f>VLOOKUP(N$1&amp;$A113,배당편집!$M$2:$T$2710,8,FALSE)</f>
        <v>6.4467779836540062E-2</v>
      </c>
      <c r="O113" s="5">
        <f>VLOOKUP(O$1&amp;$A113,배당편집!$M$2:$T$2710,8,FALSE)</f>
        <v>0.1004267384562354</v>
      </c>
      <c r="P113" s="5">
        <f>VLOOKUP(P$1&amp;$A113,배당편집!$M$2:$T$2710,8,FALSE)</f>
        <v>9.9344110824444387E-2</v>
      </c>
      <c r="Q113" s="5">
        <f>VLOOKUP(Q$1&amp;$A113,배당편집!$M$2:$T$2710,8,FALSE)</f>
        <v>8.0081052992623247E-2</v>
      </c>
      <c r="R113" s="5">
        <f>VLOOKUP(R$1&amp;$A113,배당편집!$M$2:$T$2710,8,FALSE)</f>
        <v>1.4931978945393665E-2</v>
      </c>
      <c r="S113" s="5">
        <f>VLOOKUP(S$1&amp;$A113,배당편집!$M$2:$T$2710,8,FALSE)</f>
        <v>6.6259153104471613E-2</v>
      </c>
      <c r="T113" s="5">
        <f>VLOOKUP(T$1&amp;$A113,배당편집!$M$2:$T$2710,8,FALSE)</f>
        <v>9.8560543306117854E-2</v>
      </c>
      <c r="U113" s="5">
        <f>VLOOKUP(U$1&amp;$A113,배당편집!$M$2:$T$2710,8,FALSE)</f>
        <v>-0.29146322768095723</v>
      </c>
      <c r="V113" s="5">
        <f>VLOOKUP(V$1&amp;$A113,배당편집!$M$2:$T$2710,8,FALSE)</f>
        <v>0.1294355091763042</v>
      </c>
      <c r="W113" s="5">
        <f>VLOOKUP(W$1&amp;$A113,배당편집!$M$2:$T$2710,8,FALSE)</f>
        <v>0.1486983549970351</v>
      </c>
      <c r="X113" s="5">
        <f>VLOOKUP(X$1&amp;$A113,배당편집!$M$2:$T$2710,8,FALSE)</f>
        <v>2.5580450076664984E-2</v>
      </c>
      <c r="Y113" s="5">
        <f>VLOOKUP(Y$1&amp;$A113,배당편집!$M$2:$T$2710,8,FALSE)</f>
        <v>0.15411698403346041</v>
      </c>
      <c r="Z113" s="5">
        <f>VLOOKUP(Z$1&amp;$A113,배당편집!$M$2:$T$2710,8,FALSE)</f>
        <v>3.7137289336648172E-2</v>
      </c>
      <c r="AA113" s="5">
        <f>VLOOKUP(AA$1&amp;$A113,배당편집!$M$2:$T$2710,8,FALSE)</f>
        <v>7.8852443962371455E-2</v>
      </c>
      <c r="AB113" s="5">
        <f>VLOOKUP(AB$1&amp;$A113,배당편집!$M$2:$T$2710,8,FALSE)</f>
        <v>0.11496422620900493</v>
      </c>
      <c r="AC113" s="5">
        <f>VLOOKUP(AC$1&amp;$A113,배당편집!$M$2:$T$2710,8,FALSE)</f>
        <v>1.8133720736333014E-2</v>
      </c>
      <c r="AD113" s="5">
        <f>VLOOKUP(AD$1&amp;$A113,배당편집!$M$2:$T$2710,8,FALSE)</f>
        <v>8.4471771197698553E-2</v>
      </c>
      <c r="AE113" s="5">
        <f>VLOOKUP(AE$1&amp;$A113,배당편집!$M$2:$T$2710,8,FALSE)</f>
        <v>6.7249181879538877E-2</v>
      </c>
      <c r="AF113" s="5">
        <f>VLOOKUP(AF$1&amp;$A113,배당편집!$M$2:$T$2710,8,FALSE)</f>
        <v>0.11842691472014466</v>
      </c>
    </row>
    <row r="114" spans="1:32" ht="16.5" customHeight="1">
      <c r="A114" s="3">
        <v>2013</v>
      </c>
      <c r="B114" s="3">
        <v>5</v>
      </c>
      <c r="C114" s="5">
        <f>VLOOKUP(C$1&amp;$A114,배당편집!$M$2:$T$2710,8,FALSE)</f>
        <v>0.23686362555006157</v>
      </c>
      <c r="D114" s="5">
        <f>VLOOKUP(D$1&amp;$A114,배당편집!$M$2:$T$2710,8,FALSE)</f>
        <v>3.0128962818398941E-2</v>
      </c>
      <c r="E114" s="5">
        <f>VLOOKUP(E$1&amp;$A114,배당편집!$M$2:$T$2710,8,FALSE)</f>
        <v>7.3940923785779322E-2</v>
      </c>
      <c r="F114" s="5">
        <f>VLOOKUP(F$1&amp;$A114,배당편집!$M$2:$T$2710,8,FALSE)</f>
        <v>9.5889781040844779E-2</v>
      </c>
      <c r="G114" s="5">
        <f>VLOOKUP(G$1&amp;$A114,배당편집!$M$2:$T$2710,8,FALSE)</f>
        <v>0.10245624587374724</v>
      </c>
      <c r="H114" s="5">
        <f>VLOOKUP(H$1&amp;$A114,배당편집!$M$2:$T$2710,8,FALSE)</f>
        <v>9.1849810789540687E-2</v>
      </c>
      <c r="I114" s="5">
        <f>VLOOKUP(I$1&amp;$A114,배당편집!$M$2:$T$2710,8,FALSE)</f>
        <v>1.6583626382627337E-2</v>
      </c>
      <c r="J114" s="5">
        <f>VLOOKUP(J$1&amp;$A114,배당편집!$M$2:$T$2710,8,FALSE)</f>
        <v>3.320436939252347E-2</v>
      </c>
      <c r="K114" s="5">
        <f>VLOOKUP(K$1&amp;$A114,배당편집!$M$2:$T$2710,8,FALSE)</f>
        <v>7.6316922514810814E-2</v>
      </c>
      <c r="L114" s="5">
        <f>VLOOKUP(L$1&amp;$A114,배당편집!$M$2:$T$2710,8,FALSE)</f>
        <v>0.20791087977228595</v>
      </c>
      <c r="M114" s="5">
        <f>VLOOKUP(M$1&amp;$A114,배당편집!$M$2:$T$2710,8,FALSE)</f>
        <v>6.2980048262344379E-2</v>
      </c>
      <c r="N114" s="5">
        <f>VLOOKUP(N$1&amp;$A114,배당편집!$M$2:$T$2710,8,FALSE)</f>
        <v>6.4467779836540062E-2</v>
      </c>
      <c r="O114" s="5">
        <f>VLOOKUP(O$1&amp;$A114,배당편집!$M$2:$T$2710,8,FALSE)</f>
        <v>0.1004267384562354</v>
      </c>
      <c r="P114" s="5">
        <f>VLOOKUP(P$1&amp;$A114,배당편집!$M$2:$T$2710,8,FALSE)</f>
        <v>9.9344110824444387E-2</v>
      </c>
      <c r="Q114" s="5">
        <f>VLOOKUP(Q$1&amp;$A114,배당편집!$M$2:$T$2710,8,FALSE)</f>
        <v>8.0081052992623247E-2</v>
      </c>
      <c r="R114" s="5">
        <f>VLOOKUP(R$1&amp;$A114,배당편집!$M$2:$T$2710,8,FALSE)</f>
        <v>1.4931978945393665E-2</v>
      </c>
      <c r="S114" s="5">
        <f>VLOOKUP(S$1&amp;$A114,배당편집!$M$2:$T$2710,8,FALSE)</f>
        <v>6.6259153104471613E-2</v>
      </c>
      <c r="T114" s="5">
        <f>VLOOKUP(T$1&amp;$A114,배당편집!$M$2:$T$2710,8,FALSE)</f>
        <v>9.8560543306117854E-2</v>
      </c>
      <c r="U114" s="5">
        <f>VLOOKUP(U$1&amp;$A114,배당편집!$M$2:$T$2710,8,FALSE)</f>
        <v>-0.29146322768095723</v>
      </c>
      <c r="V114" s="5">
        <f>VLOOKUP(V$1&amp;$A114,배당편집!$M$2:$T$2710,8,FALSE)</f>
        <v>0.1294355091763042</v>
      </c>
      <c r="W114" s="5">
        <f>VLOOKUP(W$1&amp;$A114,배당편집!$M$2:$T$2710,8,FALSE)</f>
        <v>0.1486983549970351</v>
      </c>
      <c r="X114" s="5">
        <f>VLOOKUP(X$1&amp;$A114,배당편집!$M$2:$T$2710,8,FALSE)</f>
        <v>2.5580450076664984E-2</v>
      </c>
      <c r="Y114" s="5">
        <f>VLOOKUP(Y$1&amp;$A114,배당편집!$M$2:$T$2710,8,FALSE)</f>
        <v>0.15411698403346041</v>
      </c>
      <c r="Z114" s="5">
        <f>VLOOKUP(Z$1&amp;$A114,배당편집!$M$2:$T$2710,8,FALSE)</f>
        <v>3.7137289336648172E-2</v>
      </c>
      <c r="AA114" s="5">
        <f>VLOOKUP(AA$1&amp;$A114,배당편집!$M$2:$T$2710,8,FALSE)</f>
        <v>7.8852443962371455E-2</v>
      </c>
      <c r="AB114" s="5">
        <f>VLOOKUP(AB$1&amp;$A114,배당편집!$M$2:$T$2710,8,FALSE)</f>
        <v>0.11496422620900493</v>
      </c>
      <c r="AC114" s="5">
        <f>VLOOKUP(AC$1&amp;$A114,배당편집!$M$2:$T$2710,8,FALSE)</f>
        <v>1.8133720736333014E-2</v>
      </c>
      <c r="AD114" s="5">
        <f>VLOOKUP(AD$1&amp;$A114,배당편집!$M$2:$T$2710,8,FALSE)</f>
        <v>8.4471771197698553E-2</v>
      </c>
      <c r="AE114" s="5">
        <f>VLOOKUP(AE$1&amp;$A114,배당편집!$M$2:$T$2710,8,FALSE)</f>
        <v>6.7249181879538877E-2</v>
      </c>
      <c r="AF114" s="5">
        <f>VLOOKUP(AF$1&amp;$A114,배당편집!$M$2:$T$2710,8,FALSE)</f>
        <v>0.11842691472014466</v>
      </c>
    </row>
    <row r="115" spans="1:32" ht="16.5" customHeight="1">
      <c r="A115" s="3">
        <v>2013</v>
      </c>
      <c r="B115" s="3">
        <v>6</v>
      </c>
      <c r="C115" s="5">
        <f>VLOOKUP(C$1&amp;$A115,배당편집!$M$2:$T$2710,8,FALSE)</f>
        <v>0.23686362555006157</v>
      </c>
      <c r="D115" s="5">
        <f>VLOOKUP(D$1&amp;$A115,배당편집!$M$2:$T$2710,8,FALSE)</f>
        <v>3.0128962818398941E-2</v>
      </c>
      <c r="E115" s="5">
        <f>VLOOKUP(E$1&amp;$A115,배당편집!$M$2:$T$2710,8,FALSE)</f>
        <v>7.3940923785779322E-2</v>
      </c>
      <c r="F115" s="5">
        <f>VLOOKUP(F$1&amp;$A115,배당편집!$M$2:$T$2710,8,FALSE)</f>
        <v>9.5889781040844779E-2</v>
      </c>
      <c r="G115" s="5">
        <f>VLOOKUP(G$1&amp;$A115,배당편집!$M$2:$T$2710,8,FALSE)</f>
        <v>0.10245624587374724</v>
      </c>
      <c r="H115" s="5">
        <f>VLOOKUP(H$1&amp;$A115,배당편집!$M$2:$T$2710,8,FALSE)</f>
        <v>9.1849810789540687E-2</v>
      </c>
      <c r="I115" s="5">
        <f>VLOOKUP(I$1&amp;$A115,배당편집!$M$2:$T$2710,8,FALSE)</f>
        <v>1.6583626382627337E-2</v>
      </c>
      <c r="J115" s="5">
        <f>VLOOKUP(J$1&amp;$A115,배당편집!$M$2:$T$2710,8,FALSE)</f>
        <v>3.320436939252347E-2</v>
      </c>
      <c r="K115" s="5">
        <f>VLOOKUP(K$1&amp;$A115,배당편집!$M$2:$T$2710,8,FALSE)</f>
        <v>7.6316922514810814E-2</v>
      </c>
      <c r="L115" s="5">
        <f>VLOOKUP(L$1&amp;$A115,배당편집!$M$2:$T$2710,8,FALSE)</f>
        <v>0.20791087977228595</v>
      </c>
      <c r="M115" s="5">
        <f>VLOOKUP(M$1&amp;$A115,배당편집!$M$2:$T$2710,8,FALSE)</f>
        <v>6.2980048262344379E-2</v>
      </c>
      <c r="N115" s="5">
        <f>VLOOKUP(N$1&amp;$A115,배당편집!$M$2:$T$2710,8,FALSE)</f>
        <v>6.4467779836540062E-2</v>
      </c>
      <c r="O115" s="5">
        <f>VLOOKUP(O$1&amp;$A115,배당편집!$M$2:$T$2710,8,FALSE)</f>
        <v>0.1004267384562354</v>
      </c>
      <c r="P115" s="5">
        <f>VLOOKUP(P$1&amp;$A115,배당편집!$M$2:$T$2710,8,FALSE)</f>
        <v>9.9344110824444387E-2</v>
      </c>
      <c r="Q115" s="5">
        <f>VLOOKUP(Q$1&amp;$A115,배당편집!$M$2:$T$2710,8,FALSE)</f>
        <v>8.0081052992623247E-2</v>
      </c>
      <c r="R115" s="5">
        <f>VLOOKUP(R$1&amp;$A115,배당편집!$M$2:$T$2710,8,FALSE)</f>
        <v>1.4931978945393665E-2</v>
      </c>
      <c r="S115" s="5">
        <f>VLOOKUP(S$1&amp;$A115,배당편집!$M$2:$T$2710,8,FALSE)</f>
        <v>6.6259153104471613E-2</v>
      </c>
      <c r="T115" s="5">
        <f>VLOOKUP(T$1&amp;$A115,배당편집!$M$2:$T$2710,8,FALSE)</f>
        <v>9.8560543306117854E-2</v>
      </c>
      <c r="U115" s="5">
        <f>VLOOKUP(U$1&amp;$A115,배당편집!$M$2:$T$2710,8,FALSE)</f>
        <v>-0.29146322768095723</v>
      </c>
      <c r="V115" s="5">
        <f>VLOOKUP(V$1&amp;$A115,배당편집!$M$2:$T$2710,8,FALSE)</f>
        <v>0.1294355091763042</v>
      </c>
      <c r="W115" s="5">
        <f>VLOOKUP(W$1&amp;$A115,배당편집!$M$2:$T$2710,8,FALSE)</f>
        <v>0.1486983549970351</v>
      </c>
      <c r="X115" s="5">
        <f>VLOOKUP(X$1&amp;$A115,배당편집!$M$2:$T$2710,8,FALSE)</f>
        <v>2.5580450076664984E-2</v>
      </c>
      <c r="Y115" s="5">
        <f>VLOOKUP(Y$1&amp;$A115,배당편집!$M$2:$T$2710,8,FALSE)</f>
        <v>0.15411698403346041</v>
      </c>
      <c r="Z115" s="5">
        <f>VLOOKUP(Z$1&amp;$A115,배당편집!$M$2:$T$2710,8,FALSE)</f>
        <v>3.7137289336648172E-2</v>
      </c>
      <c r="AA115" s="5">
        <f>VLOOKUP(AA$1&amp;$A115,배당편집!$M$2:$T$2710,8,FALSE)</f>
        <v>7.8852443962371455E-2</v>
      </c>
      <c r="AB115" s="5">
        <f>VLOOKUP(AB$1&amp;$A115,배당편집!$M$2:$T$2710,8,FALSE)</f>
        <v>0.11496422620900493</v>
      </c>
      <c r="AC115" s="5">
        <f>VLOOKUP(AC$1&amp;$A115,배당편집!$M$2:$T$2710,8,FALSE)</f>
        <v>1.8133720736333014E-2</v>
      </c>
      <c r="AD115" s="5">
        <f>VLOOKUP(AD$1&amp;$A115,배당편집!$M$2:$T$2710,8,FALSE)</f>
        <v>8.4471771197698553E-2</v>
      </c>
      <c r="AE115" s="5">
        <f>VLOOKUP(AE$1&amp;$A115,배당편집!$M$2:$T$2710,8,FALSE)</f>
        <v>6.7249181879538877E-2</v>
      </c>
      <c r="AF115" s="5">
        <f>VLOOKUP(AF$1&amp;$A115,배당편집!$M$2:$T$2710,8,FALSE)</f>
        <v>0.11842691472014466</v>
      </c>
    </row>
    <row r="116" spans="1:32" ht="16.5" customHeight="1">
      <c r="A116" s="3">
        <v>2013</v>
      </c>
      <c r="B116" s="3">
        <v>7</v>
      </c>
      <c r="C116" s="5">
        <f>VLOOKUP(C$1&amp;$A116,배당편집!$M$2:$T$2710,8,FALSE)</f>
        <v>0.23686362555006157</v>
      </c>
      <c r="D116" s="5">
        <f>VLOOKUP(D$1&amp;$A116,배당편집!$M$2:$T$2710,8,FALSE)</f>
        <v>3.0128962818398941E-2</v>
      </c>
      <c r="E116" s="5">
        <f>VLOOKUP(E$1&amp;$A116,배당편집!$M$2:$T$2710,8,FALSE)</f>
        <v>7.3940923785779322E-2</v>
      </c>
      <c r="F116" s="5">
        <f>VLOOKUP(F$1&amp;$A116,배당편집!$M$2:$T$2710,8,FALSE)</f>
        <v>9.5889781040844779E-2</v>
      </c>
      <c r="G116" s="5">
        <f>VLOOKUP(G$1&amp;$A116,배당편집!$M$2:$T$2710,8,FALSE)</f>
        <v>0.10245624587374724</v>
      </c>
      <c r="H116" s="5">
        <f>VLOOKUP(H$1&amp;$A116,배당편집!$M$2:$T$2710,8,FALSE)</f>
        <v>9.1849810789540687E-2</v>
      </c>
      <c r="I116" s="5">
        <f>VLOOKUP(I$1&amp;$A116,배당편집!$M$2:$T$2710,8,FALSE)</f>
        <v>1.6583626382627337E-2</v>
      </c>
      <c r="J116" s="5">
        <f>VLOOKUP(J$1&amp;$A116,배당편집!$M$2:$T$2710,8,FALSE)</f>
        <v>3.320436939252347E-2</v>
      </c>
      <c r="K116" s="5">
        <f>VLOOKUP(K$1&amp;$A116,배당편집!$M$2:$T$2710,8,FALSE)</f>
        <v>7.6316922514810814E-2</v>
      </c>
      <c r="L116" s="5">
        <f>VLOOKUP(L$1&amp;$A116,배당편집!$M$2:$T$2710,8,FALSE)</f>
        <v>0.20791087977228595</v>
      </c>
      <c r="M116" s="5">
        <f>VLOOKUP(M$1&amp;$A116,배당편집!$M$2:$T$2710,8,FALSE)</f>
        <v>6.2980048262344379E-2</v>
      </c>
      <c r="N116" s="5">
        <f>VLOOKUP(N$1&amp;$A116,배당편집!$M$2:$T$2710,8,FALSE)</f>
        <v>6.4467779836540062E-2</v>
      </c>
      <c r="O116" s="5">
        <f>VLOOKUP(O$1&amp;$A116,배당편집!$M$2:$T$2710,8,FALSE)</f>
        <v>0.1004267384562354</v>
      </c>
      <c r="P116" s="5">
        <f>VLOOKUP(P$1&amp;$A116,배당편집!$M$2:$T$2710,8,FALSE)</f>
        <v>9.9344110824444387E-2</v>
      </c>
      <c r="Q116" s="5">
        <f>VLOOKUP(Q$1&amp;$A116,배당편집!$M$2:$T$2710,8,FALSE)</f>
        <v>8.0081052992623247E-2</v>
      </c>
      <c r="R116" s="5">
        <f>VLOOKUP(R$1&amp;$A116,배당편집!$M$2:$T$2710,8,FALSE)</f>
        <v>1.4931978945393665E-2</v>
      </c>
      <c r="S116" s="5">
        <f>VLOOKUP(S$1&amp;$A116,배당편집!$M$2:$T$2710,8,FALSE)</f>
        <v>6.6259153104471613E-2</v>
      </c>
      <c r="T116" s="5">
        <f>VLOOKUP(T$1&amp;$A116,배당편집!$M$2:$T$2710,8,FALSE)</f>
        <v>9.8560543306117854E-2</v>
      </c>
      <c r="U116" s="5">
        <f>VLOOKUP(U$1&amp;$A116,배당편집!$M$2:$T$2710,8,FALSE)</f>
        <v>-0.29146322768095723</v>
      </c>
      <c r="V116" s="5">
        <f>VLOOKUP(V$1&amp;$A116,배당편집!$M$2:$T$2710,8,FALSE)</f>
        <v>0.1294355091763042</v>
      </c>
      <c r="W116" s="5">
        <f>VLOOKUP(W$1&amp;$A116,배당편집!$M$2:$T$2710,8,FALSE)</f>
        <v>0.1486983549970351</v>
      </c>
      <c r="X116" s="5">
        <f>VLOOKUP(X$1&amp;$A116,배당편집!$M$2:$T$2710,8,FALSE)</f>
        <v>2.5580450076664984E-2</v>
      </c>
      <c r="Y116" s="5">
        <f>VLOOKUP(Y$1&amp;$A116,배당편집!$M$2:$T$2710,8,FALSE)</f>
        <v>0.15411698403346041</v>
      </c>
      <c r="Z116" s="5">
        <f>VLOOKUP(Z$1&amp;$A116,배당편집!$M$2:$T$2710,8,FALSE)</f>
        <v>3.7137289336648172E-2</v>
      </c>
      <c r="AA116" s="5">
        <f>VLOOKUP(AA$1&amp;$A116,배당편집!$M$2:$T$2710,8,FALSE)</f>
        <v>7.8852443962371455E-2</v>
      </c>
      <c r="AB116" s="5">
        <f>VLOOKUP(AB$1&amp;$A116,배당편집!$M$2:$T$2710,8,FALSE)</f>
        <v>0.11496422620900493</v>
      </c>
      <c r="AC116" s="5">
        <f>VLOOKUP(AC$1&amp;$A116,배당편집!$M$2:$T$2710,8,FALSE)</f>
        <v>1.8133720736333014E-2</v>
      </c>
      <c r="AD116" s="5">
        <f>VLOOKUP(AD$1&amp;$A116,배당편집!$M$2:$T$2710,8,FALSE)</f>
        <v>8.4471771197698553E-2</v>
      </c>
      <c r="AE116" s="5">
        <f>VLOOKUP(AE$1&amp;$A116,배당편집!$M$2:$T$2710,8,FALSE)</f>
        <v>6.7249181879538877E-2</v>
      </c>
      <c r="AF116" s="5">
        <f>VLOOKUP(AF$1&amp;$A116,배당편집!$M$2:$T$2710,8,FALSE)</f>
        <v>0.11842691472014466</v>
      </c>
    </row>
    <row r="117" spans="1:32" ht="16.5" customHeight="1">
      <c r="A117" s="3">
        <v>2013</v>
      </c>
      <c r="B117" s="3">
        <v>8</v>
      </c>
      <c r="C117" s="5">
        <f>VLOOKUP(C$1&amp;$A117,배당편집!$M$2:$T$2710,8,FALSE)</f>
        <v>0.23686362555006157</v>
      </c>
      <c r="D117" s="5">
        <f>VLOOKUP(D$1&amp;$A117,배당편집!$M$2:$T$2710,8,FALSE)</f>
        <v>3.0128962818398941E-2</v>
      </c>
      <c r="E117" s="5">
        <f>VLOOKUP(E$1&amp;$A117,배당편집!$M$2:$T$2710,8,FALSE)</f>
        <v>7.3940923785779322E-2</v>
      </c>
      <c r="F117" s="5">
        <f>VLOOKUP(F$1&amp;$A117,배당편집!$M$2:$T$2710,8,FALSE)</f>
        <v>9.5889781040844779E-2</v>
      </c>
      <c r="G117" s="5">
        <f>VLOOKUP(G$1&amp;$A117,배당편집!$M$2:$T$2710,8,FALSE)</f>
        <v>0.10245624587374724</v>
      </c>
      <c r="H117" s="5">
        <f>VLOOKUP(H$1&amp;$A117,배당편집!$M$2:$T$2710,8,FALSE)</f>
        <v>9.1849810789540687E-2</v>
      </c>
      <c r="I117" s="5">
        <f>VLOOKUP(I$1&amp;$A117,배당편집!$M$2:$T$2710,8,FALSE)</f>
        <v>1.6583626382627337E-2</v>
      </c>
      <c r="J117" s="5">
        <f>VLOOKUP(J$1&amp;$A117,배당편집!$M$2:$T$2710,8,FALSE)</f>
        <v>3.320436939252347E-2</v>
      </c>
      <c r="K117" s="5">
        <f>VLOOKUP(K$1&amp;$A117,배당편집!$M$2:$T$2710,8,FALSE)</f>
        <v>7.6316922514810814E-2</v>
      </c>
      <c r="L117" s="5">
        <f>VLOOKUP(L$1&amp;$A117,배당편집!$M$2:$T$2710,8,FALSE)</f>
        <v>0.20791087977228595</v>
      </c>
      <c r="M117" s="5">
        <f>VLOOKUP(M$1&amp;$A117,배당편집!$M$2:$T$2710,8,FALSE)</f>
        <v>6.2980048262344379E-2</v>
      </c>
      <c r="N117" s="5">
        <f>VLOOKUP(N$1&amp;$A117,배당편집!$M$2:$T$2710,8,FALSE)</f>
        <v>6.4467779836540062E-2</v>
      </c>
      <c r="O117" s="5">
        <f>VLOOKUP(O$1&amp;$A117,배당편집!$M$2:$T$2710,8,FALSE)</f>
        <v>0.1004267384562354</v>
      </c>
      <c r="P117" s="5">
        <f>VLOOKUP(P$1&amp;$A117,배당편집!$M$2:$T$2710,8,FALSE)</f>
        <v>9.9344110824444387E-2</v>
      </c>
      <c r="Q117" s="5">
        <f>VLOOKUP(Q$1&amp;$A117,배당편집!$M$2:$T$2710,8,FALSE)</f>
        <v>8.0081052992623247E-2</v>
      </c>
      <c r="R117" s="5">
        <f>VLOOKUP(R$1&amp;$A117,배당편집!$M$2:$T$2710,8,FALSE)</f>
        <v>1.4931978945393665E-2</v>
      </c>
      <c r="S117" s="5">
        <f>VLOOKUP(S$1&amp;$A117,배당편집!$M$2:$T$2710,8,FALSE)</f>
        <v>6.6259153104471613E-2</v>
      </c>
      <c r="T117" s="5">
        <f>VLOOKUP(T$1&amp;$A117,배당편집!$M$2:$T$2710,8,FALSE)</f>
        <v>9.8560543306117854E-2</v>
      </c>
      <c r="U117" s="5">
        <f>VLOOKUP(U$1&amp;$A117,배당편집!$M$2:$T$2710,8,FALSE)</f>
        <v>-0.29146322768095723</v>
      </c>
      <c r="V117" s="5">
        <f>VLOOKUP(V$1&amp;$A117,배당편집!$M$2:$T$2710,8,FALSE)</f>
        <v>0.1294355091763042</v>
      </c>
      <c r="W117" s="5">
        <f>VLOOKUP(W$1&amp;$A117,배당편집!$M$2:$T$2710,8,FALSE)</f>
        <v>0.1486983549970351</v>
      </c>
      <c r="X117" s="5">
        <f>VLOOKUP(X$1&amp;$A117,배당편집!$M$2:$T$2710,8,FALSE)</f>
        <v>2.5580450076664984E-2</v>
      </c>
      <c r="Y117" s="5">
        <f>VLOOKUP(Y$1&amp;$A117,배당편집!$M$2:$T$2710,8,FALSE)</f>
        <v>0.15411698403346041</v>
      </c>
      <c r="Z117" s="5">
        <f>VLOOKUP(Z$1&amp;$A117,배당편집!$M$2:$T$2710,8,FALSE)</f>
        <v>3.7137289336648172E-2</v>
      </c>
      <c r="AA117" s="5">
        <f>VLOOKUP(AA$1&amp;$A117,배당편집!$M$2:$T$2710,8,FALSE)</f>
        <v>7.8852443962371455E-2</v>
      </c>
      <c r="AB117" s="5">
        <f>VLOOKUP(AB$1&amp;$A117,배당편집!$M$2:$T$2710,8,FALSE)</f>
        <v>0.11496422620900493</v>
      </c>
      <c r="AC117" s="5">
        <f>VLOOKUP(AC$1&amp;$A117,배당편집!$M$2:$T$2710,8,FALSE)</f>
        <v>1.8133720736333014E-2</v>
      </c>
      <c r="AD117" s="5">
        <f>VLOOKUP(AD$1&amp;$A117,배당편집!$M$2:$T$2710,8,FALSE)</f>
        <v>8.4471771197698553E-2</v>
      </c>
      <c r="AE117" s="5">
        <f>VLOOKUP(AE$1&amp;$A117,배당편집!$M$2:$T$2710,8,FALSE)</f>
        <v>6.7249181879538877E-2</v>
      </c>
      <c r="AF117" s="5">
        <f>VLOOKUP(AF$1&amp;$A117,배당편집!$M$2:$T$2710,8,FALSE)</f>
        <v>0.11842691472014466</v>
      </c>
    </row>
    <row r="118" spans="1:32" ht="16.5" customHeight="1">
      <c r="A118" s="3">
        <v>2013</v>
      </c>
      <c r="B118" s="3">
        <v>9</v>
      </c>
      <c r="C118" s="5">
        <f>VLOOKUP(C$1&amp;$A118,배당편집!$M$2:$T$2710,8,FALSE)</f>
        <v>0.23686362555006157</v>
      </c>
      <c r="D118" s="5">
        <f>VLOOKUP(D$1&amp;$A118,배당편집!$M$2:$T$2710,8,FALSE)</f>
        <v>3.0128962818398941E-2</v>
      </c>
      <c r="E118" s="5">
        <f>VLOOKUP(E$1&amp;$A118,배당편집!$M$2:$T$2710,8,FALSE)</f>
        <v>7.3940923785779322E-2</v>
      </c>
      <c r="F118" s="5">
        <f>VLOOKUP(F$1&amp;$A118,배당편집!$M$2:$T$2710,8,FALSE)</f>
        <v>9.5889781040844779E-2</v>
      </c>
      <c r="G118" s="5">
        <f>VLOOKUP(G$1&amp;$A118,배당편집!$M$2:$T$2710,8,FALSE)</f>
        <v>0.10245624587374724</v>
      </c>
      <c r="H118" s="5">
        <f>VLOOKUP(H$1&amp;$A118,배당편집!$M$2:$T$2710,8,FALSE)</f>
        <v>9.1849810789540687E-2</v>
      </c>
      <c r="I118" s="5">
        <f>VLOOKUP(I$1&amp;$A118,배당편집!$M$2:$T$2710,8,FALSE)</f>
        <v>1.6583626382627337E-2</v>
      </c>
      <c r="J118" s="5">
        <f>VLOOKUP(J$1&amp;$A118,배당편집!$M$2:$T$2710,8,FALSE)</f>
        <v>3.320436939252347E-2</v>
      </c>
      <c r="K118" s="5">
        <f>VLOOKUP(K$1&amp;$A118,배당편집!$M$2:$T$2710,8,FALSE)</f>
        <v>7.6316922514810814E-2</v>
      </c>
      <c r="L118" s="5">
        <f>VLOOKUP(L$1&amp;$A118,배당편집!$M$2:$T$2710,8,FALSE)</f>
        <v>0.20791087977228595</v>
      </c>
      <c r="M118" s="5">
        <f>VLOOKUP(M$1&amp;$A118,배당편집!$M$2:$T$2710,8,FALSE)</f>
        <v>6.2980048262344379E-2</v>
      </c>
      <c r="N118" s="5">
        <f>VLOOKUP(N$1&amp;$A118,배당편집!$M$2:$T$2710,8,FALSE)</f>
        <v>6.4467779836540062E-2</v>
      </c>
      <c r="O118" s="5">
        <f>VLOOKUP(O$1&amp;$A118,배당편집!$M$2:$T$2710,8,FALSE)</f>
        <v>0.1004267384562354</v>
      </c>
      <c r="P118" s="5">
        <f>VLOOKUP(P$1&amp;$A118,배당편집!$M$2:$T$2710,8,FALSE)</f>
        <v>9.9344110824444387E-2</v>
      </c>
      <c r="Q118" s="5">
        <f>VLOOKUP(Q$1&amp;$A118,배당편집!$M$2:$T$2710,8,FALSE)</f>
        <v>8.0081052992623247E-2</v>
      </c>
      <c r="R118" s="5">
        <f>VLOOKUP(R$1&amp;$A118,배당편집!$M$2:$T$2710,8,FALSE)</f>
        <v>1.4931978945393665E-2</v>
      </c>
      <c r="S118" s="5">
        <f>VLOOKUP(S$1&amp;$A118,배당편집!$M$2:$T$2710,8,FALSE)</f>
        <v>6.6259153104471613E-2</v>
      </c>
      <c r="T118" s="5">
        <f>VLOOKUP(T$1&amp;$A118,배당편집!$M$2:$T$2710,8,FALSE)</f>
        <v>9.8560543306117854E-2</v>
      </c>
      <c r="U118" s="5">
        <f>VLOOKUP(U$1&amp;$A118,배당편집!$M$2:$T$2710,8,FALSE)</f>
        <v>-0.29146322768095723</v>
      </c>
      <c r="V118" s="5">
        <f>VLOOKUP(V$1&amp;$A118,배당편집!$M$2:$T$2710,8,FALSE)</f>
        <v>0.1294355091763042</v>
      </c>
      <c r="W118" s="5">
        <f>VLOOKUP(W$1&amp;$A118,배당편집!$M$2:$T$2710,8,FALSE)</f>
        <v>0.1486983549970351</v>
      </c>
      <c r="X118" s="5">
        <f>VLOOKUP(X$1&amp;$A118,배당편집!$M$2:$T$2710,8,FALSE)</f>
        <v>2.5580450076664984E-2</v>
      </c>
      <c r="Y118" s="5">
        <f>VLOOKUP(Y$1&amp;$A118,배당편집!$M$2:$T$2710,8,FALSE)</f>
        <v>0.15411698403346041</v>
      </c>
      <c r="Z118" s="5">
        <f>VLOOKUP(Z$1&amp;$A118,배당편집!$M$2:$T$2710,8,FALSE)</f>
        <v>3.7137289336648172E-2</v>
      </c>
      <c r="AA118" s="5">
        <f>VLOOKUP(AA$1&amp;$A118,배당편집!$M$2:$T$2710,8,FALSE)</f>
        <v>7.8852443962371455E-2</v>
      </c>
      <c r="AB118" s="5">
        <f>VLOOKUP(AB$1&amp;$A118,배당편집!$M$2:$T$2710,8,FALSE)</f>
        <v>0.11496422620900493</v>
      </c>
      <c r="AC118" s="5">
        <f>VLOOKUP(AC$1&amp;$A118,배당편집!$M$2:$T$2710,8,FALSE)</f>
        <v>1.8133720736333014E-2</v>
      </c>
      <c r="AD118" s="5">
        <f>VLOOKUP(AD$1&amp;$A118,배당편집!$M$2:$T$2710,8,FALSE)</f>
        <v>8.4471771197698553E-2</v>
      </c>
      <c r="AE118" s="5">
        <f>VLOOKUP(AE$1&amp;$A118,배당편집!$M$2:$T$2710,8,FALSE)</f>
        <v>6.7249181879538877E-2</v>
      </c>
      <c r="AF118" s="5">
        <f>VLOOKUP(AF$1&amp;$A118,배당편집!$M$2:$T$2710,8,FALSE)</f>
        <v>0.11842691472014466</v>
      </c>
    </row>
    <row r="119" spans="1:32" ht="16.5" customHeight="1">
      <c r="A119" s="3">
        <v>2013</v>
      </c>
      <c r="B119" s="3">
        <v>10</v>
      </c>
      <c r="C119" s="5">
        <f>VLOOKUP(C$1&amp;$A119,배당편집!$M$2:$T$2710,8,FALSE)</f>
        <v>0.23686362555006157</v>
      </c>
      <c r="D119" s="5">
        <f>VLOOKUP(D$1&amp;$A119,배당편집!$M$2:$T$2710,8,FALSE)</f>
        <v>3.0128962818398941E-2</v>
      </c>
      <c r="E119" s="5">
        <f>VLOOKUP(E$1&amp;$A119,배당편집!$M$2:$T$2710,8,FALSE)</f>
        <v>7.3940923785779322E-2</v>
      </c>
      <c r="F119" s="5">
        <f>VLOOKUP(F$1&amp;$A119,배당편집!$M$2:$T$2710,8,FALSE)</f>
        <v>9.5889781040844779E-2</v>
      </c>
      <c r="G119" s="5">
        <f>VLOOKUP(G$1&amp;$A119,배당편집!$M$2:$T$2710,8,FALSE)</f>
        <v>0.10245624587374724</v>
      </c>
      <c r="H119" s="5">
        <f>VLOOKUP(H$1&amp;$A119,배당편집!$M$2:$T$2710,8,FALSE)</f>
        <v>9.1849810789540687E-2</v>
      </c>
      <c r="I119" s="5">
        <f>VLOOKUP(I$1&amp;$A119,배당편집!$M$2:$T$2710,8,FALSE)</f>
        <v>1.6583626382627337E-2</v>
      </c>
      <c r="J119" s="5">
        <f>VLOOKUP(J$1&amp;$A119,배당편집!$M$2:$T$2710,8,FALSE)</f>
        <v>3.320436939252347E-2</v>
      </c>
      <c r="K119" s="5">
        <f>VLOOKUP(K$1&amp;$A119,배당편집!$M$2:$T$2710,8,FALSE)</f>
        <v>7.6316922514810814E-2</v>
      </c>
      <c r="L119" s="5">
        <f>VLOOKUP(L$1&amp;$A119,배당편집!$M$2:$T$2710,8,FALSE)</f>
        <v>0.20791087977228595</v>
      </c>
      <c r="M119" s="5">
        <f>VLOOKUP(M$1&amp;$A119,배당편집!$M$2:$T$2710,8,FALSE)</f>
        <v>6.2980048262344379E-2</v>
      </c>
      <c r="N119" s="5">
        <f>VLOOKUP(N$1&amp;$A119,배당편집!$M$2:$T$2710,8,FALSE)</f>
        <v>6.4467779836540062E-2</v>
      </c>
      <c r="O119" s="5">
        <f>VLOOKUP(O$1&amp;$A119,배당편집!$M$2:$T$2710,8,FALSE)</f>
        <v>0.1004267384562354</v>
      </c>
      <c r="P119" s="5">
        <f>VLOOKUP(P$1&amp;$A119,배당편집!$M$2:$T$2710,8,FALSE)</f>
        <v>9.9344110824444387E-2</v>
      </c>
      <c r="Q119" s="5">
        <f>VLOOKUP(Q$1&amp;$A119,배당편집!$M$2:$T$2710,8,FALSE)</f>
        <v>8.0081052992623247E-2</v>
      </c>
      <c r="R119" s="5">
        <f>VLOOKUP(R$1&amp;$A119,배당편집!$M$2:$T$2710,8,FALSE)</f>
        <v>1.4931978945393665E-2</v>
      </c>
      <c r="S119" s="5">
        <f>VLOOKUP(S$1&amp;$A119,배당편집!$M$2:$T$2710,8,FALSE)</f>
        <v>6.6259153104471613E-2</v>
      </c>
      <c r="T119" s="5">
        <f>VLOOKUP(T$1&amp;$A119,배당편집!$M$2:$T$2710,8,FALSE)</f>
        <v>9.8560543306117854E-2</v>
      </c>
      <c r="U119" s="5">
        <f>VLOOKUP(U$1&amp;$A119,배당편집!$M$2:$T$2710,8,FALSE)</f>
        <v>-0.29146322768095723</v>
      </c>
      <c r="V119" s="5">
        <f>VLOOKUP(V$1&amp;$A119,배당편집!$M$2:$T$2710,8,FALSE)</f>
        <v>0.1294355091763042</v>
      </c>
      <c r="W119" s="5">
        <f>VLOOKUP(W$1&amp;$A119,배당편집!$M$2:$T$2710,8,FALSE)</f>
        <v>0.1486983549970351</v>
      </c>
      <c r="X119" s="5">
        <f>VLOOKUP(X$1&amp;$A119,배당편집!$M$2:$T$2710,8,FALSE)</f>
        <v>2.5580450076664984E-2</v>
      </c>
      <c r="Y119" s="5">
        <f>VLOOKUP(Y$1&amp;$A119,배당편집!$M$2:$T$2710,8,FALSE)</f>
        <v>0.15411698403346041</v>
      </c>
      <c r="Z119" s="5">
        <f>VLOOKUP(Z$1&amp;$A119,배당편집!$M$2:$T$2710,8,FALSE)</f>
        <v>3.7137289336648172E-2</v>
      </c>
      <c r="AA119" s="5">
        <f>VLOOKUP(AA$1&amp;$A119,배당편집!$M$2:$T$2710,8,FALSE)</f>
        <v>7.8852443962371455E-2</v>
      </c>
      <c r="AB119" s="5">
        <f>VLOOKUP(AB$1&amp;$A119,배당편집!$M$2:$T$2710,8,FALSE)</f>
        <v>0.11496422620900493</v>
      </c>
      <c r="AC119" s="5">
        <f>VLOOKUP(AC$1&amp;$A119,배당편집!$M$2:$T$2710,8,FALSE)</f>
        <v>1.8133720736333014E-2</v>
      </c>
      <c r="AD119" s="5">
        <f>VLOOKUP(AD$1&amp;$A119,배당편집!$M$2:$T$2710,8,FALSE)</f>
        <v>8.4471771197698553E-2</v>
      </c>
      <c r="AE119" s="5">
        <f>VLOOKUP(AE$1&amp;$A119,배당편집!$M$2:$T$2710,8,FALSE)</f>
        <v>6.7249181879538877E-2</v>
      </c>
      <c r="AF119" s="5">
        <f>VLOOKUP(AF$1&amp;$A119,배당편집!$M$2:$T$2710,8,FALSE)</f>
        <v>0.11842691472014466</v>
      </c>
    </row>
    <row r="120" spans="1:32" ht="16.5" customHeight="1">
      <c r="A120" s="3">
        <v>2013</v>
      </c>
      <c r="B120" s="3">
        <v>11</v>
      </c>
      <c r="C120" s="5">
        <f>VLOOKUP(C$1&amp;$A120,배당편집!$M$2:$T$2710,8,FALSE)</f>
        <v>0.23686362555006157</v>
      </c>
      <c r="D120" s="5">
        <f>VLOOKUP(D$1&amp;$A120,배당편집!$M$2:$T$2710,8,FALSE)</f>
        <v>3.0128962818398941E-2</v>
      </c>
      <c r="E120" s="5">
        <f>VLOOKUP(E$1&amp;$A120,배당편집!$M$2:$T$2710,8,FALSE)</f>
        <v>7.3940923785779322E-2</v>
      </c>
      <c r="F120" s="5">
        <f>VLOOKUP(F$1&amp;$A120,배당편집!$M$2:$T$2710,8,FALSE)</f>
        <v>9.5889781040844779E-2</v>
      </c>
      <c r="G120" s="5">
        <f>VLOOKUP(G$1&amp;$A120,배당편집!$M$2:$T$2710,8,FALSE)</f>
        <v>0.10245624587374724</v>
      </c>
      <c r="H120" s="5">
        <f>VLOOKUP(H$1&amp;$A120,배당편집!$M$2:$T$2710,8,FALSE)</f>
        <v>9.1849810789540687E-2</v>
      </c>
      <c r="I120" s="5">
        <f>VLOOKUP(I$1&amp;$A120,배당편집!$M$2:$T$2710,8,FALSE)</f>
        <v>1.6583626382627337E-2</v>
      </c>
      <c r="J120" s="5">
        <f>VLOOKUP(J$1&amp;$A120,배당편집!$M$2:$T$2710,8,FALSE)</f>
        <v>3.320436939252347E-2</v>
      </c>
      <c r="K120" s="5">
        <f>VLOOKUP(K$1&amp;$A120,배당편집!$M$2:$T$2710,8,FALSE)</f>
        <v>7.6316922514810814E-2</v>
      </c>
      <c r="L120" s="5">
        <f>VLOOKUP(L$1&amp;$A120,배당편집!$M$2:$T$2710,8,FALSE)</f>
        <v>0.20791087977228595</v>
      </c>
      <c r="M120" s="5">
        <f>VLOOKUP(M$1&amp;$A120,배당편집!$M$2:$T$2710,8,FALSE)</f>
        <v>6.2980048262344379E-2</v>
      </c>
      <c r="N120" s="5">
        <f>VLOOKUP(N$1&amp;$A120,배당편집!$M$2:$T$2710,8,FALSE)</f>
        <v>6.4467779836540062E-2</v>
      </c>
      <c r="O120" s="5">
        <f>VLOOKUP(O$1&amp;$A120,배당편집!$M$2:$T$2710,8,FALSE)</f>
        <v>0.1004267384562354</v>
      </c>
      <c r="P120" s="5">
        <f>VLOOKUP(P$1&amp;$A120,배당편집!$M$2:$T$2710,8,FALSE)</f>
        <v>9.9344110824444387E-2</v>
      </c>
      <c r="Q120" s="5">
        <f>VLOOKUP(Q$1&amp;$A120,배당편집!$M$2:$T$2710,8,FALSE)</f>
        <v>8.0081052992623247E-2</v>
      </c>
      <c r="R120" s="5">
        <f>VLOOKUP(R$1&amp;$A120,배당편집!$M$2:$T$2710,8,FALSE)</f>
        <v>1.4931978945393665E-2</v>
      </c>
      <c r="S120" s="5">
        <f>VLOOKUP(S$1&amp;$A120,배당편집!$M$2:$T$2710,8,FALSE)</f>
        <v>6.6259153104471613E-2</v>
      </c>
      <c r="T120" s="5">
        <f>VLOOKUP(T$1&amp;$A120,배당편집!$M$2:$T$2710,8,FALSE)</f>
        <v>9.8560543306117854E-2</v>
      </c>
      <c r="U120" s="5">
        <f>VLOOKUP(U$1&amp;$A120,배당편집!$M$2:$T$2710,8,FALSE)</f>
        <v>-0.29146322768095723</v>
      </c>
      <c r="V120" s="5">
        <f>VLOOKUP(V$1&amp;$A120,배당편집!$M$2:$T$2710,8,FALSE)</f>
        <v>0.1294355091763042</v>
      </c>
      <c r="W120" s="5">
        <f>VLOOKUP(W$1&amp;$A120,배당편집!$M$2:$T$2710,8,FALSE)</f>
        <v>0.1486983549970351</v>
      </c>
      <c r="X120" s="5">
        <f>VLOOKUP(X$1&amp;$A120,배당편집!$M$2:$T$2710,8,FALSE)</f>
        <v>2.5580450076664984E-2</v>
      </c>
      <c r="Y120" s="5">
        <f>VLOOKUP(Y$1&amp;$A120,배당편집!$M$2:$T$2710,8,FALSE)</f>
        <v>0.15411698403346041</v>
      </c>
      <c r="Z120" s="5">
        <f>VLOOKUP(Z$1&amp;$A120,배당편집!$M$2:$T$2710,8,FALSE)</f>
        <v>3.7137289336648172E-2</v>
      </c>
      <c r="AA120" s="5">
        <f>VLOOKUP(AA$1&amp;$A120,배당편집!$M$2:$T$2710,8,FALSE)</f>
        <v>7.8852443962371455E-2</v>
      </c>
      <c r="AB120" s="5">
        <f>VLOOKUP(AB$1&amp;$A120,배당편집!$M$2:$T$2710,8,FALSE)</f>
        <v>0.11496422620900493</v>
      </c>
      <c r="AC120" s="5">
        <f>VLOOKUP(AC$1&amp;$A120,배당편집!$M$2:$T$2710,8,FALSE)</f>
        <v>1.8133720736333014E-2</v>
      </c>
      <c r="AD120" s="5">
        <f>VLOOKUP(AD$1&amp;$A120,배당편집!$M$2:$T$2710,8,FALSE)</f>
        <v>8.4471771197698553E-2</v>
      </c>
      <c r="AE120" s="5">
        <f>VLOOKUP(AE$1&amp;$A120,배당편집!$M$2:$T$2710,8,FALSE)</f>
        <v>6.7249181879538877E-2</v>
      </c>
      <c r="AF120" s="5">
        <f>VLOOKUP(AF$1&amp;$A120,배당편집!$M$2:$T$2710,8,FALSE)</f>
        <v>0.11842691472014466</v>
      </c>
    </row>
    <row r="121" spans="1:32" ht="16.5" customHeight="1">
      <c r="A121" s="3">
        <v>2013</v>
      </c>
      <c r="B121" s="3">
        <v>12</v>
      </c>
      <c r="C121" s="5">
        <f>VLOOKUP(C$1&amp;$A121,배당편집!$M$2:$T$2710,8,FALSE)</f>
        <v>0.23686362555006157</v>
      </c>
      <c r="D121" s="5">
        <f>VLOOKUP(D$1&amp;$A121,배당편집!$M$2:$T$2710,8,FALSE)</f>
        <v>3.0128962818398941E-2</v>
      </c>
      <c r="E121" s="5">
        <f>VLOOKUP(E$1&amp;$A121,배당편집!$M$2:$T$2710,8,FALSE)</f>
        <v>7.3940923785779322E-2</v>
      </c>
      <c r="F121" s="5">
        <f>VLOOKUP(F$1&amp;$A121,배당편집!$M$2:$T$2710,8,FALSE)</f>
        <v>9.5889781040844779E-2</v>
      </c>
      <c r="G121" s="5">
        <f>VLOOKUP(G$1&amp;$A121,배당편집!$M$2:$T$2710,8,FALSE)</f>
        <v>0.10245624587374724</v>
      </c>
      <c r="H121" s="5">
        <f>VLOOKUP(H$1&amp;$A121,배당편집!$M$2:$T$2710,8,FALSE)</f>
        <v>9.1849810789540687E-2</v>
      </c>
      <c r="I121" s="5">
        <f>VLOOKUP(I$1&amp;$A121,배당편집!$M$2:$T$2710,8,FALSE)</f>
        <v>1.6583626382627337E-2</v>
      </c>
      <c r="J121" s="5">
        <f>VLOOKUP(J$1&amp;$A121,배당편집!$M$2:$T$2710,8,FALSE)</f>
        <v>3.320436939252347E-2</v>
      </c>
      <c r="K121" s="5">
        <f>VLOOKUP(K$1&amp;$A121,배당편집!$M$2:$T$2710,8,FALSE)</f>
        <v>7.6316922514810814E-2</v>
      </c>
      <c r="L121" s="5">
        <f>VLOOKUP(L$1&amp;$A121,배당편집!$M$2:$T$2710,8,FALSE)</f>
        <v>0.20791087977228595</v>
      </c>
      <c r="M121" s="5">
        <f>VLOOKUP(M$1&amp;$A121,배당편집!$M$2:$T$2710,8,FALSE)</f>
        <v>6.2980048262344379E-2</v>
      </c>
      <c r="N121" s="5">
        <f>VLOOKUP(N$1&amp;$A121,배당편집!$M$2:$T$2710,8,FALSE)</f>
        <v>6.4467779836540062E-2</v>
      </c>
      <c r="O121" s="5">
        <f>VLOOKUP(O$1&amp;$A121,배당편집!$M$2:$T$2710,8,FALSE)</f>
        <v>0.1004267384562354</v>
      </c>
      <c r="P121" s="5">
        <f>VLOOKUP(P$1&amp;$A121,배당편집!$M$2:$T$2710,8,FALSE)</f>
        <v>9.9344110824444387E-2</v>
      </c>
      <c r="Q121" s="5">
        <f>VLOOKUP(Q$1&amp;$A121,배당편집!$M$2:$T$2710,8,FALSE)</f>
        <v>8.0081052992623247E-2</v>
      </c>
      <c r="R121" s="5">
        <f>VLOOKUP(R$1&amp;$A121,배당편집!$M$2:$T$2710,8,FALSE)</f>
        <v>1.4931978945393665E-2</v>
      </c>
      <c r="S121" s="5">
        <f>VLOOKUP(S$1&amp;$A121,배당편집!$M$2:$T$2710,8,FALSE)</f>
        <v>6.6259153104471613E-2</v>
      </c>
      <c r="T121" s="5">
        <f>VLOOKUP(T$1&amp;$A121,배당편집!$M$2:$T$2710,8,FALSE)</f>
        <v>9.8560543306117854E-2</v>
      </c>
      <c r="U121" s="5">
        <f>VLOOKUP(U$1&amp;$A121,배당편집!$M$2:$T$2710,8,FALSE)</f>
        <v>-0.29146322768095723</v>
      </c>
      <c r="V121" s="5">
        <f>VLOOKUP(V$1&amp;$A121,배당편집!$M$2:$T$2710,8,FALSE)</f>
        <v>0.1294355091763042</v>
      </c>
      <c r="W121" s="5">
        <f>VLOOKUP(W$1&amp;$A121,배당편집!$M$2:$T$2710,8,FALSE)</f>
        <v>0.1486983549970351</v>
      </c>
      <c r="X121" s="5">
        <f>VLOOKUP(X$1&amp;$A121,배당편집!$M$2:$T$2710,8,FALSE)</f>
        <v>2.5580450076664984E-2</v>
      </c>
      <c r="Y121" s="5">
        <f>VLOOKUP(Y$1&amp;$A121,배당편집!$M$2:$T$2710,8,FALSE)</f>
        <v>0.15411698403346041</v>
      </c>
      <c r="Z121" s="5">
        <f>VLOOKUP(Z$1&amp;$A121,배당편집!$M$2:$T$2710,8,FALSE)</f>
        <v>3.7137289336648172E-2</v>
      </c>
      <c r="AA121" s="5">
        <f>VLOOKUP(AA$1&amp;$A121,배당편집!$M$2:$T$2710,8,FALSE)</f>
        <v>7.8852443962371455E-2</v>
      </c>
      <c r="AB121" s="5">
        <f>VLOOKUP(AB$1&amp;$A121,배당편집!$M$2:$T$2710,8,FALSE)</f>
        <v>0.11496422620900493</v>
      </c>
      <c r="AC121" s="5">
        <f>VLOOKUP(AC$1&amp;$A121,배당편집!$M$2:$T$2710,8,FALSE)</f>
        <v>1.8133720736333014E-2</v>
      </c>
      <c r="AD121" s="5">
        <f>VLOOKUP(AD$1&amp;$A121,배당편집!$M$2:$T$2710,8,FALSE)</f>
        <v>8.4471771197698553E-2</v>
      </c>
      <c r="AE121" s="5">
        <f>VLOOKUP(AE$1&amp;$A121,배당편집!$M$2:$T$2710,8,FALSE)</f>
        <v>6.7249181879538877E-2</v>
      </c>
      <c r="AF121" s="5">
        <f>VLOOKUP(AF$1&amp;$A121,배당편집!$M$2:$T$2710,8,FALSE)</f>
        <v>0.11842691472014466</v>
      </c>
    </row>
    <row r="122" spans="1:32" ht="16.5" customHeight="1">
      <c r="A122" s="3">
        <v>2012</v>
      </c>
      <c r="B122" s="3">
        <v>1</v>
      </c>
      <c r="C122" s="5">
        <f>VLOOKUP(C$1&amp;$A122,배당편집!$M$2:$T$2710,8,FALSE)</f>
        <v>0.23758820930768176</v>
      </c>
      <c r="D122" s="5">
        <f>VLOOKUP(D$1&amp;$A122,배당편집!$M$2:$T$2710,8,FALSE)</f>
        <v>0.10494795379650301</v>
      </c>
      <c r="E122" s="5">
        <f>VLOOKUP(E$1&amp;$A122,배당편집!$M$2:$T$2710,8,FALSE)</f>
        <v>0.12474611314209483</v>
      </c>
      <c r="F122" s="5">
        <f>VLOOKUP(F$1&amp;$A122,배당편집!$M$2:$T$2710,8,FALSE)</f>
        <v>6.4467779836540062E-2</v>
      </c>
      <c r="G122" s="5">
        <f>VLOOKUP(G$1&amp;$A122,배당편집!$M$2:$T$2710,8,FALSE)</f>
        <v>7.9915005882233103E-2</v>
      </c>
      <c r="H122" s="5">
        <f>VLOOKUP(H$1&amp;$A122,배당편집!$M$2:$T$2710,8,FALSE)</f>
        <v>9.2688406103258902E-2</v>
      </c>
      <c r="I122" s="5">
        <f>VLOOKUP(I$1&amp;$A122,배당편집!$M$2:$T$2710,8,FALSE)</f>
        <v>1.7055286171035355E-2</v>
      </c>
      <c r="J122" s="5">
        <f>VLOOKUP(J$1&amp;$A122,배당편집!$M$2:$T$2710,8,FALSE)</f>
        <v>3.424021252947318E-2</v>
      </c>
      <c r="K122" s="5">
        <f>VLOOKUP(K$1&amp;$A122,배당편집!$M$2:$T$2710,8,FALSE)</f>
        <v>8.9249364912943774E-2</v>
      </c>
      <c r="L122" s="5">
        <f>VLOOKUP(L$1&amp;$A122,배당편집!$M$2:$T$2710,8,FALSE)</f>
        <v>0.20112443398143132</v>
      </c>
      <c r="M122" s="5">
        <f>VLOOKUP(M$1&amp;$A122,배당편집!$M$2:$T$2710,8,FALSE)</f>
        <v>0.11382417860287908</v>
      </c>
      <c r="N122" s="5">
        <f>VLOOKUP(N$1&amp;$A122,배당편집!$M$2:$T$2710,8,FALSE)</f>
        <v>8.7892885777757002E-2</v>
      </c>
      <c r="O122" s="5">
        <f>VLOOKUP(O$1&amp;$A122,배당편집!$M$2:$T$2710,8,FALSE)</f>
        <v>0.1098883056567086</v>
      </c>
      <c r="P122" s="5">
        <f>VLOOKUP(P$1&amp;$A122,배당편집!$M$2:$T$2710,8,FALSE)</f>
        <v>0.11111630819510987</v>
      </c>
      <c r="Q122" s="5">
        <f>VLOOKUP(Q$1&amp;$A122,배당편집!$M$2:$T$2710,8,FALSE)</f>
        <v>8.7348394571074905E-2</v>
      </c>
      <c r="R122" s="5">
        <f>VLOOKUP(R$1&amp;$A122,배당편집!$M$2:$T$2710,8,FALSE)</f>
        <v>1.5158425192600689E-2</v>
      </c>
      <c r="S122" s="5">
        <f>VLOOKUP(S$1&amp;$A122,배당편집!$M$2:$T$2710,8,FALSE)</f>
        <v>6.2826726454686233E-2</v>
      </c>
      <c r="T122" s="5">
        <f>VLOOKUP(T$1&amp;$A122,배당편집!$M$2:$T$2710,8,FALSE)</f>
        <v>0.15364982460731169</v>
      </c>
      <c r="U122" s="5">
        <f>VLOOKUP(U$1&amp;$A122,배당편집!$M$2:$T$2710,8,FALSE)</f>
        <v>-0.31744249630692689</v>
      </c>
      <c r="V122" s="5">
        <f>VLOOKUP(V$1&amp;$A122,배당편집!$M$2:$T$2710,8,FALSE)</f>
        <v>0.1486983549970351</v>
      </c>
      <c r="W122" s="5">
        <f>VLOOKUP(W$1&amp;$A122,배당편집!$M$2:$T$2710,8,FALSE)</f>
        <v>0.22865967908314722</v>
      </c>
      <c r="X122" s="5">
        <f>VLOOKUP(X$1&amp;$A122,배당편집!$M$2:$T$2710,8,FALSE)</f>
        <v>2.6552039741113198E-2</v>
      </c>
      <c r="Y122" s="5">
        <f>VLOOKUP(Y$1&amp;$A122,배당편집!$M$2:$T$2710,8,FALSE)</f>
        <v>0.35096003852061353</v>
      </c>
      <c r="Z122" s="5">
        <f>VLOOKUP(Z$1&amp;$A122,배당편집!$M$2:$T$2710,8,FALSE)</f>
        <v>3.8573773084258578E-2</v>
      </c>
      <c r="AA122" s="5">
        <f>VLOOKUP(AA$1&amp;$A122,배당편집!$M$2:$T$2710,8,FALSE)</f>
        <v>8.7597101915158015E-2</v>
      </c>
      <c r="AB122" s="5">
        <f>VLOOKUP(AB$1&amp;$A122,배당편집!$M$2:$T$2710,8,FALSE)</f>
        <v>0.10225948408254371</v>
      </c>
      <c r="AC122" s="5">
        <f>VLOOKUP(AC$1&amp;$A122,배당편집!$M$2:$T$2710,8,FALSE)</f>
        <v>1.6675858612995365E-2</v>
      </c>
      <c r="AD122" s="5">
        <f>VLOOKUP(AD$1&amp;$A122,배당편집!$M$2:$T$2710,8,FALSE)</f>
        <v>0.1142274459709316</v>
      </c>
      <c r="AE122" s="5">
        <f>VLOOKUP(AE$1&amp;$A122,배당편집!$M$2:$T$2710,8,FALSE)</f>
        <v>7.2145025900850923E-2</v>
      </c>
      <c r="AF122" s="5">
        <f>VLOOKUP(AF$1&amp;$A122,배당편집!$M$2:$T$2710,8,FALSE)</f>
        <v>0.1123149262024683</v>
      </c>
    </row>
    <row r="123" spans="1:32" ht="16.5" customHeight="1">
      <c r="A123" s="3">
        <v>2012</v>
      </c>
      <c r="B123" s="3">
        <v>2</v>
      </c>
      <c r="C123" s="5">
        <f>VLOOKUP(C$1&amp;$A123,배당편집!$M$2:$T$2710,8,FALSE)</f>
        <v>0.23758820930768176</v>
      </c>
      <c r="D123" s="5">
        <f>VLOOKUP(D$1&amp;$A123,배당편집!$M$2:$T$2710,8,FALSE)</f>
        <v>0.10494795379650301</v>
      </c>
      <c r="E123" s="5">
        <f>VLOOKUP(E$1&amp;$A123,배당편집!$M$2:$T$2710,8,FALSE)</f>
        <v>0.12474611314209483</v>
      </c>
      <c r="F123" s="5">
        <f>VLOOKUP(F$1&amp;$A123,배당편집!$M$2:$T$2710,8,FALSE)</f>
        <v>6.4467779836540062E-2</v>
      </c>
      <c r="G123" s="5">
        <f>VLOOKUP(G$1&amp;$A123,배당편집!$M$2:$T$2710,8,FALSE)</f>
        <v>7.9915005882233103E-2</v>
      </c>
      <c r="H123" s="5">
        <f>VLOOKUP(H$1&amp;$A123,배당편집!$M$2:$T$2710,8,FALSE)</f>
        <v>9.2688406103258902E-2</v>
      </c>
      <c r="I123" s="5">
        <f>VLOOKUP(I$1&amp;$A123,배당편집!$M$2:$T$2710,8,FALSE)</f>
        <v>1.7055286171035355E-2</v>
      </c>
      <c r="J123" s="5">
        <f>VLOOKUP(J$1&amp;$A123,배당편집!$M$2:$T$2710,8,FALSE)</f>
        <v>3.424021252947318E-2</v>
      </c>
      <c r="K123" s="5">
        <f>VLOOKUP(K$1&amp;$A123,배당편집!$M$2:$T$2710,8,FALSE)</f>
        <v>8.9249364912943774E-2</v>
      </c>
      <c r="L123" s="5">
        <f>VLOOKUP(L$1&amp;$A123,배당편집!$M$2:$T$2710,8,FALSE)</f>
        <v>0.20112443398143132</v>
      </c>
      <c r="M123" s="5">
        <f>VLOOKUP(M$1&amp;$A123,배당편집!$M$2:$T$2710,8,FALSE)</f>
        <v>0.11382417860287908</v>
      </c>
      <c r="N123" s="5">
        <f>VLOOKUP(N$1&amp;$A123,배당편집!$M$2:$T$2710,8,FALSE)</f>
        <v>8.7892885777757002E-2</v>
      </c>
      <c r="O123" s="5">
        <f>VLOOKUP(O$1&amp;$A123,배당편집!$M$2:$T$2710,8,FALSE)</f>
        <v>0.1098883056567086</v>
      </c>
      <c r="P123" s="5">
        <f>VLOOKUP(P$1&amp;$A123,배당편집!$M$2:$T$2710,8,FALSE)</f>
        <v>0.11111630819510987</v>
      </c>
      <c r="Q123" s="5">
        <f>VLOOKUP(Q$1&amp;$A123,배당편집!$M$2:$T$2710,8,FALSE)</f>
        <v>8.7348394571074905E-2</v>
      </c>
      <c r="R123" s="5">
        <f>VLOOKUP(R$1&amp;$A123,배당편집!$M$2:$T$2710,8,FALSE)</f>
        <v>1.5158425192600689E-2</v>
      </c>
      <c r="S123" s="5">
        <f>VLOOKUP(S$1&amp;$A123,배당편집!$M$2:$T$2710,8,FALSE)</f>
        <v>6.2826726454686233E-2</v>
      </c>
      <c r="T123" s="5">
        <f>VLOOKUP(T$1&amp;$A123,배당편집!$M$2:$T$2710,8,FALSE)</f>
        <v>0.15364982460731169</v>
      </c>
      <c r="U123" s="5">
        <f>VLOOKUP(U$1&amp;$A123,배당편집!$M$2:$T$2710,8,FALSE)</f>
        <v>-0.31744249630692689</v>
      </c>
      <c r="V123" s="5">
        <f>VLOOKUP(V$1&amp;$A123,배당편집!$M$2:$T$2710,8,FALSE)</f>
        <v>0.1486983549970351</v>
      </c>
      <c r="W123" s="5">
        <f>VLOOKUP(W$1&amp;$A123,배당편집!$M$2:$T$2710,8,FALSE)</f>
        <v>0.22865967908314722</v>
      </c>
      <c r="X123" s="5">
        <f>VLOOKUP(X$1&amp;$A123,배당편집!$M$2:$T$2710,8,FALSE)</f>
        <v>2.6552039741113198E-2</v>
      </c>
      <c r="Y123" s="5">
        <f>VLOOKUP(Y$1&amp;$A123,배당편집!$M$2:$T$2710,8,FALSE)</f>
        <v>0.35096003852061353</v>
      </c>
      <c r="Z123" s="5">
        <f>VLOOKUP(Z$1&amp;$A123,배당편집!$M$2:$T$2710,8,FALSE)</f>
        <v>3.8573773084258578E-2</v>
      </c>
      <c r="AA123" s="5">
        <f>VLOOKUP(AA$1&amp;$A123,배당편집!$M$2:$T$2710,8,FALSE)</f>
        <v>8.7597101915158015E-2</v>
      </c>
      <c r="AB123" s="5">
        <f>VLOOKUP(AB$1&amp;$A123,배당편집!$M$2:$T$2710,8,FALSE)</f>
        <v>0.10225948408254371</v>
      </c>
      <c r="AC123" s="5">
        <f>VLOOKUP(AC$1&amp;$A123,배당편집!$M$2:$T$2710,8,FALSE)</f>
        <v>1.6675858612995365E-2</v>
      </c>
      <c r="AD123" s="5">
        <f>VLOOKUP(AD$1&amp;$A123,배당편집!$M$2:$T$2710,8,FALSE)</f>
        <v>0.1142274459709316</v>
      </c>
      <c r="AE123" s="5">
        <f>VLOOKUP(AE$1&amp;$A123,배당편집!$M$2:$T$2710,8,FALSE)</f>
        <v>7.2145025900850923E-2</v>
      </c>
      <c r="AF123" s="5">
        <f>VLOOKUP(AF$1&amp;$A123,배당편집!$M$2:$T$2710,8,FALSE)</f>
        <v>0.1123149262024683</v>
      </c>
    </row>
    <row r="124" spans="1:32" ht="16.5" customHeight="1">
      <c r="A124" s="3">
        <v>2012</v>
      </c>
      <c r="B124" s="3">
        <v>3</v>
      </c>
      <c r="C124" s="5">
        <f>VLOOKUP(C$1&amp;$A124,배당편집!$M$2:$T$2710,8,FALSE)</f>
        <v>0.23758820930768176</v>
      </c>
      <c r="D124" s="5">
        <f>VLOOKUP(D$1&amp;$A124,배당편집!$M$2:$T$2710,8,FALSE)</f>
        <v>0.10494795379650301</v>
      </c>
      <c r="E124" s="5">
        <f>VLOOKUP(E$1&amp;$A124,배당편집!$M$2:$T$2710,8,FALSE)</f>
        <v>0.12474611314209483</v>
      </c>
      <c r="F124" s="5">
        <f>VLOOKUP(F$1&amp;$A124,배당편집!$M$2:$T$2710,8,FALSE)</f>
        <v>6.4467779836540062E-2</v>
      </c>
      <c r="G124" s="5">
        <f>VLOOKUP(G$1&amp;$A124,배당편집!$M$2:$T$2710,8,FALSE)</f>
        <v>7.9915005882233103E-2</v>
      </c>
      <c r="H124" s="5">
        <f>VLOOKUP(H$1&amp;$A124,배당편집!$M$2:$T$2710,8,FALSE)</f>
        <v>9.2688406103258902E-2</v>
      </c>
      <c r="I124" s="5">
        <f>VLOOKUP(I$1&amp;$A124,배당편집!$M$2:$T$2710,8,FALSE)</f>
        <v>1.7055286171035355E-2</v>
      </c>
      <c r="J124" s="5">
        <f>VLOOKUP(J$1&amp;$A124,배당편집!$M$2:$T$2710,8,FALSE)</f>
        <v>3.424021252947318E-2</v>
      </c>
      <c r="K124" s="5">
        <f>VLOOKUP(K$1&amp;$A124,배당편집!$M$2:$T$2710,8,FALSE)</f>
        <v>8.9249364912943774E-2</v>
      </c>
      <c r="L124" s="5">
        <f>VLOOKUP(L$1&amp;$A124,배당편집!$M$2:$T$2710,8,FALSE)</f>
        <v>0.20112443398143132</v>
      </c>
      <c r="M124" s="5">
        <f>VLOOKUP(M$1&amp;$A124,배당편집!$M$2:$T$2710,8,FALSE)</f>
        <v>0.11382417860287908</v>
      </c>
      <c r="N124" s="5">
        <f>VLOOKUP(N$1&amp;$A124,배당편집!$M$2:$T$2710,8,FALSE)</f>
        <v>8.7892885777757002E-2</v>
      </c>
      <c r="O124" s="5">
        <f>VLOOKUP(O$1&amp;$A124,배당편집!$M$2:$T$2710,8,FALSE)</f>
        <v>0.1098883056567086</v>
      </c>
      <c r="P124" s="5">
        <f>VLOOKUP(P$1&amp;$A124,배당편집!$M$2:$T$2710,8,FALSE)</f>
        <v>0.11111630819510987</v>
      </c>
      <c r="Q124" s="5">
        <f>VLOOKUP(Q$1&amp;$A124,배당편집!$M$2:$T$2710,8,FALSE)</f>
        <v>8.7348394571074905E-2</v>
      </c>
      <c r="R124" s="5">
        <f>VLOOKUP(R$1&amp;$A124,배당편집!$M$2:$T$2710,8,FALSE)</f>
        <v>1.5158425192600689E-2</v>
      </c>
      <c r="S124" s="5">
        <f>VLOOKUP(S$1&amp;$A124,배당편집!$M$2:$T$2710,8,FALSE)</f>
        <v>6.2826726454686233E-2</v>
      </c>
      <c r="T124" s="5">
        <f>VLOOKUP(T$1&amp;$A124,배당편집!$M$2:$T$2710,8,FALSE)</f>
        <v>0.15364982460731169</v>
      </c>
      <c r="U124" s="5">
        <f>VLOOKUP(U$1&amp;$A124,배당편집!$M$2:$T$2710,8,FALSE)</f>
        <v>-0.31744249630692689</v>
      </c>
      <c r="V124" s="5">
        <f>VLOOKUP(V$1&amp;$A124,배당편집!$M$2:$T$2710,8,FALSE)</f>
        <v>0.1486983549970351</v>
      </c>
      <c r="W124" s="5">
        <f>VLOOKUP(W$1&amp;$A124,배당편집!$M$2:$T$2710,8,FALSE)</f>
        <v>0.22865967908314722</v>
      </c>
      <c r="X124" s="5">
        <f>VLOOKUP(X$1&amp;$A124,배당편집!$M$2:$T$2710,8,FALSE)</f>
        <v>2.6552039741113198E-2</v>
      </c>
      <c r="Y124" s="5">
        <f>VLOOKUP(Y$1&amp;$A124,배당편집!$M$2:$T$2710,8,FALSE)</f>
        <v>0.35096003852061353</v>
      </c>
      <c r="Z124" s="5">
        <f>VLOOKUP(Z$1&amp;$A124,배당편집!$M$2:$T$2710,8,FALSE)</f>
        <v>3.8573773084258578E-2</v>
      </c>
      <c r="AA124" s="5">
        <f>VLOOKUP(AA$1&amp;$A124,배당편집!$M$2:$T$2710,8,FALSE)</f>
        <v>8.7597101915158015E-2</v>
      </c>
      <c r="AB124" s="5">
        <f>VLOOKUP(AB$1&amp;$A124,배당편집!$M$2:$T$2710,8,FALSE)</f>
        <v>0.10225948408254371</v>
      </c>
      <c r="AC124" s="5">
        <f>VLOOKUP(AC$1&amp;$A124,배당편집!$M$2:$T$2710,8,FALSE)</f>
        <v>1.6675858612995365E-2</v>
      </c>
      <c r="AD124" s="5">
        <f>VLOOKUP(AD$1&amp;$A124,배당편집!$M$2:$T$2710,8,FALSE)</f>
        <v>0.1142274459709316</v>
      </c>
      <c r="AE124" s="5">
        <f>VLOOKUP(AE$1&amp;$A124,배당편집!$M$2:$T$2710,8,FALSE)</f>
        <v>7.2145025900850923E-2</v>
      </c>
      <c r="AF124" s="5">
        <f>VLOOKUP(AF$1&amp;$A124,배당편집!$M$2:$T$2710,8,FALSE)</f>
        <v>0.1123149262024683</v>
      </c>
    </row>
    <row r="125" spans="1:32" ht="16.5" customHeight="1">
      <c r="A125" s="3">
        <v>2012</v>
      </c>
      <c r="B125" s="3">
        <v>4</v>
      </c>
      <c r="C125" s="5">
        <f>VLOOKUP(C$1&amp;$A125,배당편집!$M$2:$T$2710,8,FALSE)</f>
        <v>0.23758820930768176</v>
      </c>
      <c r="D125" s="5">
        <f>VLOOKUP(D$1&amp;$A125,배당편집!$M$2:$T$2710,8,FALSE)</f>
        <v>0.10494795379650301</v>
      </c>
      <c r="E125" s="5">
        <f>VLOOKUP(E$1&amp;$A125,배당편집!$M$2:$T$2710,8,FALSE)</f>
        <v>0.12474611314209483</v>
      </c>
      <c r="F125" s="5">
        <f>VLOOKUP(F$1&amp;$A125,배당편집!$M$2:$T$2710,8,FALSE)</f>
        <v>6.4467779836540062E-2</v>
      </c>
      <c r="G125" s="5">
        <f>VLOOKUP(G$1&amp;$A125,배당편집!$M$2:$T$2710,8,FALSE)</f>
        <v>7.9915005882233103E-2</v>
      </c>
      <c r="H125" s="5">
        <f>VLOOKUP(H$1&amp;$A125,배당편집!$M$2:$T$2710,8,FALSE)</f>
        <v>9.2688406103258902E-2</v>
      </c>
      <c r="I125" s="5">
        <f>VLOOKUP(I$1&amp;$A125,배당편집!$M$2:$T$2710,8,FALSE)</f>
        <v>1.7055286171035355E-2</v>
      </c>
      <c r="J125" s="5">
        <f>VLOOKUP(J$1&amp;$A125,배당편집!$M$2:$T$2710,8,FALSE)</f>
        <v>3.424021252947318E-2</v>
      </c>
      <c r="K125" s="5">
        <f>VLOOKUP(K$1&amp;$A125,배당편집!$M$2:$T$2710,8,FALSE)</f>
        <v>8.9249364912943774E-2</v>
      </c>
      <c r="L125" s="5">
        <f>VLOOKUP(L$1&amp;$A125,배당편집!$M$2:$T$2710,8,FALSE)</f>
        <v>0.20112443398143132</v>
      </c>
      <c r="M125" s="5">
        <f>VLOOKUP(M$1&amp;$A125,배당편집!$M$2:$T$2710,8,FALSE)</f>
        <v>0.11382417860287908</v>
      </c>
      <c r="N125" s="5">
        <f>VLOOKUP(N$1&amp;$A125,배당편집!$M$2:$T$2710,8,FALSE)</f>
        <v>8.7892885777757002E-2</v>
      </c>
      <c r="O125" s="5">
        <f>VLOOKUP(O$1&amp;$A125,배당편집!$M$2:$T$2710,8,FALSE)</f>
        <v>0.1098883056567086</v>
      </c>
      <c r="P125" s="5">
        <f>VLOOKUP(P$1&amp;$A125,배당편집!$M$2:$T$2710,8,FALSE)</f>
        <v>0.11111630819510987</v>
      </c>
      <c r="Q125" s="5">
        <f>VLOOKUP(Q$1&amp;$A125,배당편집!$M$2:$T$2710,8,FALSE)</f>
        <v>8.7348394571074905E-2</v>
      </c>
      <c r="R125" s="5">
        <f>VLOOKUP(R$1&amp;$A125,배당편집!$M$2:$T$2710,8,FALSE)</f>
        <v>1.5158425192600689E-2</v>
      </c>
      <c r="S125" s="5">
        <f>VLOOKUP(S$1&amp;$A125,배당편집!$M$2:$T$2710,8,FALSE)</f>
        <v>6.2826726454686233E-2</v>
      </c>
      <c r="T125" s="5">
        <f>VLOOKUP(T$1&amp;$A125,배당편집!$M$2:$T$2710,8,FALSE)</f>
        <v>0.15364982460731169</v>
      </c>
      <c r="U125" s="5">
        <f>VLOOKUP(U$1&amp;$A125,배당편집!$M$2:$T$2710,8,FALSE)</f>
        <v>-0.31744249630692689</v>
      </c>
      <c r="V125" s="5">
        <f>VLOOKUP(V$1&amp;$A125,배당편집!$M$2:$T$2710,8,FALSE)</f>
        <v>0.1486983549970351</v>
      </c>
      <c r="W125" s="5">
        <f>VLOOKUP(W$1&amp;$A125,배당편집!$M$2:$T$2710,8,FALSE)</f>
        <v>0.22865967908314722</v>
      </c>
      <c r="X125" s="5">
        <f>VLOOKUP(X$1&amp;$A125,배당편집!$M$2:$T$2710,8,FALSE)</f>
        <v>2.6552039741113198E-2</v>
      </c>
      <c r="Y125" s="5">
        <f>VLOOKUP(Y$1&amp;$A125,배당편집!$M$2:$T$2710,8,FALSE)</f>
        <v>0.35096003852061353</v>
      </c>
      <c r="Z125" s="5">
        <f>VLOOKUP(Z$1&amp;$A125,배당편집!$M$2:$T$2710,8,FALSE)</f>
        <v>3.8573773084258578E-2</v>
      </c>
      <c r="AA125" s="5">
        <f>VLOOKUP(AA$1&amp;$A125,배당편집!$M$2:$T$2710,8,FALSE)</f>
        <v>8.7597101915158015E-2</v>
      </c>
      <c r="AB125" s="5">
        <f>VLOOKUP(AB$1&amp;$A125,배당편집!$M$2:$T$2710,8,FALSE)</f>
        <v>0.10225948408254371</v>
      </c>
      <c r="AC125" s="5">
        <f>VLOOKUP(AC$1&amp;$A125,배당편집!$M$2:$T$2710,8,FALSE)</f>
        <v>1.6675858612995365E-2</v>
      </c>
      <c r="AD125" s="5">
        <f>VLOOKUP(AD$1&amp;$A125,배당편집!$M$2:$T$2710,8,FALSE)</f>
        <v>0.1142274459709316</v>
      </c>
      <c r="AE125" s="5">
        <f>VLOOKUP(AE$1&amp;$A125,배당편집!$M$2:$T$2710,8,FALSE)</f>
        <v>7.2145025900850923E-2</v>
      </c>
      <c r="AF125" s="5">
        <f>VLOOKUP(AF$1&amp;$A125,배당편집!$M$2:$T$2710,8,FALSE)</f>
        <v>0.1123149262024683</v>
      </c>
    </row>
    <row r="126" spans="1:32" ht="16.5" customHeight="1">
      <c r="A126" s="3">
        <v>2012</v>
      </c>
      <c r="B126" s="3">
        <v>5</v>
      </c>
      <c r="C126" s="5">
        <f>VLOOKUP(C$1&amp;$A126,배당편집!$M$2:$T$2710,8,FALSE)</f>
        <v>0.23758820930768176</v>
      </c>
      <c r="D126" s="5">
        <f>VLOOKUP(D$1&amp;$A126,배당편집!$M$2:$T$2710,8,FALSE)</f>
        <v>0.10494795379650301</v>
      </c>
      <c r="E126" s="5">
        <f>VLOOKUP(E$1&amp;$A126,배당편집!$M$2:$T$2710,8,FALSE)</f>
        <v>0.12474611314209483</v>
      </c>
      <c r="F126" s="5">
        <f>VLOOKUP(F$1&amp;$A126,배당편집!$M$2:$T$2710,8,FALSE)</f>
        <v>6.4467779836540062E-2</v>
      </c>
      <c r="G126" s="5">
        <f>VLOOKUP(G$1&amp;$A126,배당편집!$M$2:$T$2710,8,FALSE)</f>
        <v>7.9915005882233103E-2</v>
      </c>
      <c r="H126" s="5">
        <f>VLOOKUP(H$1&amp;$A126,배당편집!$M$2:$T$2710,8,FALSE)</f>
        <v>9.2688406103258902E-2</v>
      </c>
      <c r="I126" s="5">
        <f>VLOOKUP(I$1&amp;$A126,배당편집!$M$2:$T$2710,8,FALSE)</f>
        <v>1.7055286171035355E-2</v>
      </c>
      <c r="J126" s="5">
        <f>VLOOKUP(J$1&amp;$A126,배당편집!$M$2:$T$2710,8,FALSE)</f>
        <v>3.424021252947318E-2</v>
      </c>
      <c r="K126" s="5">
        <f>VLOOKUP(K$1&amp;$A126,배당편집!$M$2:$T$2710,8,FALSE)</f>
        <v>8.9249364912943774E-2</v>
      </c>
      <c r="L126" s="5">
        <f>VLOOKUP(L$1&amp;$A126,배당편집!$M$2:$T$2710,8,FALSE)</f>
        <v>0.20112443398143132</v>
      </c>
      <c r="M126" s="5">
        <f>VLOOKUP(M$1&amp;$A126,배당편집!$M$2:$T$2710,8,FALSE)</f>
        <v>0.11382417860287908</v>
      </c>
      <c r="N126" s="5">
        <f>VLOOKUP(N$1&amp;$A126,배당편집!$M$2:$T$2710,8,FALSE)</f>
        <v>8.7892885777757002E-2</v>
      </c>
      <c r="O126" s="5">
        <f>VLOOKUP(O$1&amp;$A126,배당편집!$M$2:$T$2710,8,FALSE)</f>
        <v>0.1098883056567086</v>
      </c>
      <c r="P126" s="5">
        <f>VLOOKUP(P$1&amp;$A126,배당편집!$M$2:$T$2710,8,FALSE)</f>
        <v>0.11111630819510987</v>
      </c>
      <c r="Q126" s="5">
        <f>VLOOKUP(Q$1&amp;$A126,배당편집!$M$2:$T$2710,8,FALSE)</f>
        <v>8.7348394571074905E-2</v>
      </c>
      <c r="R126" s="5">
        <f>VLOOKUP(R$1&amp;$A126,배당편집!$M$2:$T$2710,8,FALSE)</f>
        <v>1.5158425192600689E-2</v>
      </c>
      <c r="S126" s="5">
        <f>VLOOKUP(S$1&amp;$A126,배당편집!$M$2:$T$2710,8,FALSE)</f>
        <v>6.2826726454686233E-2</v>
      </c>
      <c r="T126" s="5">
        <f>VLOOKUP(T$1&amp;$A126,배당편집!$M$2:$T$2710,8,FALSE)</f>
        <v>0.15364982460731169</v>
      </c>
      <c r="U126" s="5">
        <f>VLOOKUP(U$1&amp;$A126,배당편집!$M$2:$T$2710,8,FALSE)</f>
        <v>-0.31744249630692689</v>
      </c>
      <c r="V126" s="5">
        <f>VLOOKUP(V$1&amp;$A126,배당편집!$M$2:$T$2710,8,FALSE)</f>
        <v>0.1486983549970351</v>
      </c>
      <c r="W126" s="5">
        <f>VLOOKUP(W$1&amp;$A126,배당편집!$M$2:$T$2710,8,FALSE)</f>
        <v>0.22865967908314722</v>
      </c>
      <c r="X126" s="5">
        <f>VLOOKUP(X$1&amp;$A126,배당편집!$M$2:$T$2710,8,FALSE)</f>
        <v>2.6552039741113198E-2</v>
      </c>
      <c r="Y126" s="5">
        <f>VLOOKUP(Y$1&amp;$A126,배당편집!$M$2:$T$2710,8,FALSE)</f>
        <v>0.35096003852061353</v>
      </c>
      <c r="Z126" s="5">
        <f>VLOOKUP(Z$1&amp;$A126,배당편집!$M$2:$T$2710,8,FALSE)</f>
        <v>3.8573773084258578E-2</v>
      </c>
      <c r="AA126" s="5">
        <f>VLOOKUP(AA$1&amp;$A126,배당편집!$M$2:$T$2710,8,FALSE)</f>
        <v>8.7597101915158015E-2</v>
      </c>
      <c r="AB126" s="5">
        <f>VLOOKUP(AB$1&amp;$A126,배당편집!$M$2:$T$2710,8,FALSE)</f>
        <v>0.10225948408254371</v>
      </c>
      <c r="AC126" s="5">
        <f>VLOOKUP(AC$1&amp;$A126,배당편집!$M$2:$T$2710,8,FALSE)</f>
        <v>1.6675858612995365E-2</v>
      </c>
      <c r="AD126" s="5">
        <f>VLOOKUP(AD$1&amp;$A126,배당편집!$M$2:$T$2710,8,FALSE)</f>
        <v>0.1142274459709316</v>
      </c>
      <c r="AE126" s="5">
        <f>VLOOKUP(AE$1&amp;$A126,배당편집!$M$2:$T$2710,8,FALSE)</f>
        <v>7.2145025900850923E-2</v>
      </c>
      <c r="AF126" s="5">
        <f>VLOOKUP(AF$1&amp;$A126,배당편집!$M$2:$T$2710,8,FALSE)</f>
        <v>0.1123149262024683</v>
      </c>
    </row>
    <row r="127" spans="1:32" ht="16.5" customHeight="1">
      <c r="A127" s="3">
        <v>2012</v>
      </c>
      <c r="B127" s="3">
        <v>6</v>
      </c>
      <c r="C127" s="5">
        <f>VLOOKUP(C$1&amp;$A127,배당편집!$M$2:$T$2710,8,FALSE)</f>
        <v>0.23758820930768176</v>
      </c>
      <c r="D127" s="5">
        <f>VLOOKUP(D$1&amp;$A127,배당편집!$M$2:$T$2710,8,FALSE)</f>
        <v>0.10494795379650301</v>
      </c>
      <c r="E127" s="5">
        <f>VLOOKUP(E$1&amp;$A127,배당편집!$M$2:$T$2710,8,FALSE)</f>
        <v>0.12474611314209483</v>
      </c>
      <c r="F127" s="5">
        <f>VLOOKUP(F$1&amp;$A127,배당편집!$M$2:$T$2710,8,FALSE)</f>
        <v>6.4467779836540062E-2</v>
      </c>
      <c r="G127" s="5">
        <f>VLOOKUP(G$1&amp;$A127,배당편집!$M$2:$T$2710,8,FALSE)</f>
        <v>7.9915005882233103E-2</v>
      </c>
      <c r="H127" s="5">
        <f>VLOOKUP(H$1&amp;$A127,배당편집!$M$2:$T$2710,8,FALSE)</f>
        <v>9.2688406103258902E-2</v>
      </c>
      <c r="I127" s="5">
        <f>VLOOKUP(I$1&amp;$A127,배당편집!$M$2:$T$2710,8,FALSE)</f>
        <v>1.7055286171035355E-2</v>
      </c>
      <c r="J127" s="5">
        <f>VLOOKUP(J$1&amp;$A127,배당편집!$M$2:$T$2710,8,FALSE)</f>
        <v>3.424021252947318E-2</v>
      </c>
      <c r="K127" s="5">
        <f>VLOOKUP(K$1&amp;$A127,배당편집!$M$2:$T$2710,8,FALSE)</f>
        <v>8.9249364912943774E-2</v>
      </c>
      <c r="L127" s="5">
        <f>VLOOKUP(L$1&amp;$A127,배당편집!$M$2:$T$2710,8,FALSE)</f>
        <v>0.20112443398143132</v>
      </c>
      <c r="M127" s="5">
        <f>VLOOKUP(M$1&amp;$A127,배당편집!$M$2:$T$2710,8,FALSE)</f>
        <v>0.11382417860287908</v>
      </c>
      <c r="N127" s="5">
        <f>VLOOKUP(N$1&amp;$A127,배당편집!$M$2:$T$2710,8,FALSE)</f>
        <v>8.7892885777757002E-2</v>
      </c>
      <c r="O127" s="5">
        <f>VLOOKUP(O$1&amp;$A127,배당편집!$M$2:$T$2710,8,FALSE)</f>
        <v>0.1098883056567086</v>
      </c>
      <c r="P127" s="5">
        <f>VLOOKUP(P$1&amp;$A127,배당편집!$M$2:$T$2710,8,FALSE)</f>
        <v>0.11111630819510987</v>
      </c>
      <c r="Q127" s="5">
        <f>VLOOKUP(Q$1&amp;$A127,배당편집!$M$2:$T$2710,8,FALSE)</f>
        <v>8.7348394571074905E-2</v>
      </c>
      <c r="R127" s="5">
        <f>VLOOKUP(R$1&amp;$A127,배당편집!$M$2:$T$2710,8,FALSE)</f>
        <v>1.5158425192600689E-2</v>
      </c>
      <c r="S127" s="5">
        <f>VLOOKUP(S$1&amp;$A127,배당편집!$M$2:$T$2710,8,FALSE)</f>
        <v>6.2826726454686233E-2</v>
      </c>
      <c r="T127" s="5">
        <f>VLOOKUP(T$1&amp;$A127,배당편집!$M$2:$T$2710,8,FALSE)</f>
        <v>0.15364982460731169</v>
      </c>
      <c r="U127" s="5">
        <f>VLOOKUP(U$1&amp;$A127,배당편집!$M$2:$T$2710,8,FALSE)</f>
        <v>-0.31744249630692689</v>
      </c>
      <c r="V127" s="5">
        <f>VLOOKUP(V$1&amp;$A127,배당편집!$M$2:$T$2710,8,FALSE)</f>
        <v>0.1486983549970351</v>
      </c>
      <c r="W127" s="5">
        <f>VLOOKUP(W$1&amp;$A127,배당편집!$M$2:$T$2710,8,FALSE)</f>
        <v>0.22865967908314722</v>
      </c>
      <c r="X127" s="5">
        <f>VLOOKUP(X$1&amp;$A127,배당편집!$M$2:$T$2710,8,FALSE)</f>
        <v>2.6552039741113198E-2</v>
      </c>
      <c r="Y127" s="5">
        <f>VLOOKUP(Y$1&amp;$A127,배당편집!$M$2:$T$2710,8,FALSE)</f>
        <v>0.35096003852061353</v>
      </c>
      <c r="Z127" s="5">
        <f>VLOOKUP(Z$1&amp;$A127,배당편집!$M$2:$T$2710,8,FALSE)</f>
        <v>3.8573773084258578E-2</v>
      </c>
      <c r="AA127" s="5">
        <f>VLOOKUP(AA$1&amp;$A127,배당편집!$M$2:$T$2710,8,FALSE)</f>
        <v>8.7597101915158015E-2</v>
      </c>
      <c r="AB127" s="5">
        <f>VLOOKUP(AB$1&amp;$A127,배당편집!$M$2:$T$2710,8,FALSE)</f>
        <v>0.10225948408254371</v>
      </c>
      <c r="AC127" s="5">
        <f>VLOOKUP(AC$1&amp;$A127,배당편집!$M$2:$T$2710,8,FALSE)</f>
        <v>1.6675858612995365E-2</v>
      </c>
      <c r="AD127" s="5">
        <f>VLOOKUP(AD$1&amp;$A127,배당편집!$M$2:$T$2710,8,FALSE)</f>
        <v>0.1142274459709316</v>
      </c>
      <c r="AE127" s="5">
        <f>VLOOKUP(AE$1&amp;$A127,배당편집!$M$2:$T$2710,8,FALSE)</f>
        <v>7.2145025900850923E-2</v>
      </c>
      <c r="AF127" s="5">
        <f>VLOOKUP(AF$1&amp;$A127,배당편집!$M$2:$T$2710,8,FALSE)</f>
        <v>0.1123149262024683</v>
      </c>
    </row>
    <row r="128" spans="1:32" ht="16.5" customHeight="1">
      <c r="A128" s="3">
        <v>2012</v>
      </c>
      <c r="B128" s="3">
        <v>7</v>
      </c>
      <c r="C128" s="5">
        <f>VLOOKUP(C$1&amp;$A128,배당편집!$M$2:$T$2710,8,FALSE)</f>
        <v>0.23758820930768176</v>
      </c>
      <c r="D128" s="5">
        <f>VLOOKUP(D$1&amp;$A128,배당편집!$M$2:$T$2710,8,FALSE)</f>
        <v>0.10494795379650301</v>
      </c>
      <c r="E128" s="5">
        <f>VLOOKUP(E$1&amp;$A128,배당편집!$M$2:$T$2710,8,FALSE)</f>
        <v>0.12474611314209483</v>
      </c>
      <c r="F128" s="5">
        <f>VLOOKUP(F$1&amp;$A128,배당편집!$M$2:$T$2710,8,FALSE)</f>
        <v>6.4467779836540062E-2</v>
      </c>
      <c r="G128" s="5">
        <f>VLOOKUP(G$1&amp;$A128,배당편집!$M$2:$T$2710,8,FALSE)</f>
        <v>7.9915005882233103E-2</v>
      </c>
      <c r="H128" s="5">
        <f>VLOOKUP(H$1&amp;$A128,배당편집!$M$2:$T$2710,8,FALSE)</f>
        <v>9.2688406103258902E-2</v>
      </c>
      <c r="I128" s="5">
        <f>VLOOKUP(I$1&amp;$A128,배당편집!$M$2:$T$2710,8,FALSE)</f>
        <v>1.7055286171035355E-2</v>
      </c>
      <c r="J128" s="5">
        <f>VLOOKUP(J$1&amp;$A128,배당편집!$M$2:$T$2710,8,FALSE)</f>
        <v>3.424021252947318E-2</v>
      </c>
      <c r="K128" s="5">
        <f>VLOOKUP(K$1&amp;$A128,배당편집!$M$2:$T$2710,8,FALSE)</f>
        <v>8.9249364912943774E-2</v>
      </c>
      <c r="L128" s="5">
        <f>VLOOKUP(L$1&amp;$A128,배당편집!$M$2:$T$2710,8,FALSE)</f>
        <v>0.20112443398143132</v>
      </c>
      <c r="M128" s="5">
        <f>VLOOKUP(M$1&amp;$A128,배당편집!$M$2:$T$2710,8,FALSE)</f>
        <v>0.11382417860287908</v>
      </c>
      <c r="N128" s="5">
        <f>VLOOKUP(N$1&amp;$A128,배당편집!$M$2:$T$2710,8,FALSE)</f>
        <v>8.7892885777757002E-2</v>
      </c>
      <c r="O128" s="5">
        <f>VLOOKUP(O$1&amp;$A128,배당편집!$M$2:$T$2710,8,FALSE)</f>
        <v>0.1098883056567086</v>
      </c>
      <c r="P128" s="5">
        <f>VLOOKUP(P$1&amp;$A128,배당편집!$M$2:$T$2710,8,FALSE)</f>
        <v>0.11111630819510987</v>
      </c>
      <c r="Q128" s="5">
        <f>VLOOKUP(Q$1&amp;$A128,배당편집!$M$2:$T$2710,8,FALSE)</f>
        <v>8.7348394571074905E-2</v>
      </c>
      <c r="R128" s="5">
        <f>VLOOKUP(R$1&amp;$A128,배당편집!$M$2:$T$2710,8,FALSE)</f>
        <v>1.5158425192600689E-2</v>
      </c>
      <c r="S128" s="5">
        <f>VLOOKUP(S$1&amp;$A128,배당편집!$M$2:$T$2710,8,FALSE)</f>
        <v>6.2826726454686233E-2</v>
      </c>
      <c r="T128" s="5">
        <f>VLOOKUP(T$1&amp;$A128,배당편집!$M$2:$T$2710,8,FALSE)</f>
        <v>0.15364982460731169</v>
      </c>
      <c r="U128" s="5">
        <f>VLOOKUP(U$1&amp;$A128,배당편집!$M$2:$T$2710,8,FALSE)</f>
        <v>-0.31744249630692689</v>
      </c>
      <c r="V128" s="5">
        <f>VLOOKUP(V$1&amp;$A128,배당편집!$M$2:$T$2710,8,FALSE)</f>
        <v>0.1486983549970351</v>
      </c>
      <c r="W128" s="5">
        <f>VLOOKUP(W$1&amp;$A128,배당편집!$M$2:$T$2710,8,FALSE)</f>
        <v>0.22865967908314722</v>
      </c>
      <c r="X128" s="5">
        <f>VLOOKUP(X$1&amp;$A128,배당편집!$M$2:$T$2710,8,FALSE)</f>
        <v>2.6552039741113198E-2</v>
      </c>
      <c r="Y128" s="5">
        <f>VLOOKUP(Y$1&amp;$A128,배당편집!$M$2:$T$2710,8,FALSE)</f>
        <v>0.35096003852061353</v>
      </c>
      <c r="Z128" s="5">
        <f>VLOOKUP(Z$1&amp;$A128,배당편집!$M$2:$T$2710,8,FALSE)</f>
        <v>3.8573773084258578E-2</v>
      </c>
      <c r="AA128" s="5">
        <f>VLOOKUP(AA$1&amp;$A128,배당편집!$M$2:$T$2710,8,FALSE)</f>
        <v>8.7597101915158015E-2</v>
      </c>
      <c r="AB128" s="5">
        <f>VLOOKUP(AB$1&amp;$A128,배당편집!$M$2:$T$2710,8,FALSE)</f>
        <v>0.10225948408254371</v>
      </c>
      <c r="AC128" s="5">
        <f>VLOOKUP(AC$1&amp;$A128,배당편집!$M$2:$T$2710,8,FALSE)</f>
        <v>1.6675858612995365E-2</v>
      </c>
      <c r="AD128" s="5">
        <f>VLOOKUP(AD$1&amp;$A128,배당편집!$M$2:$T$2710,8,FALSE)</f>
        <v>0.1142274459709316</v>
      </c>
      <c r="AE128" s="5">
        <f>VLOOKUP(AE$1&amp;$A128,배당편집!$M$2:$T$2710,8,FALSE)</f>
        <v>7.2145025900850923E-2</v>
      </c>
      <c r="AF128" s="5">
        <f>VLOOKUP(AF$1&amp;$A128,배당편집!$M$2:$T$2710,8,FALSE)</f>
        <v>0.1123149262024683</v>
      </c>
    </row>
    <row r="129" spans="1:32" ht="16.5" customHeight="1">
      <c r="A129" s="3">
        <v>2012</v>
      </c>
      <c r="B129" s="3">
        <v>8</v>
      </c>
      <c r="C129" s="5">
        <f>VLOOKUP(C$1&amp;$A129,배당편집!$M$2:$T$2710,8,FALSE)</f>
        <v>0.23758820930768176</v>
      </c>
      <c r="D129" s="5">
        <f>VLOOKUP(D$1&amp;$A129,배당편집!$M$2:$T$2710,8,FALSE)</f>
        <v>0.10494795379650301</v>
      </c>
      <c r="E129" s="5">
        <f>VLOOKUP(E$1&amp;$A129,배당편집!$M$2:$T$2710,8,FALSE)</f>
        <v>0.12474611314209483</v>
      </c>
      <c r="F129" s="5">
        <f>VLOOKUP(F$1&amp;$A129,배당편집!$M$2:$T$2710,8,FALSE)</f>
        <v>6.4467779836540062E-2</v>
      </c>
      <c r="G129" s="5">
        <f>VLOOKUP(G$1&amp;$A129,배당편집!$M$2:$T$2710,8,FALSE)</f>
        <v>7.9915005882233103E-2</v>
      </c>
      <c r="H129" s="5">
        <f>VLOOKUP(H$1&amp;$A129,배당편집!$M$2:$T$2710,8,FALSE)</f>
        <v>9.2688406103258902E-2</v>
      </c>
      <c r="I129" s="5">
        <f>VLOOKUP(I$1&amp;$A129,배당편집!$M$2:$T$2710,8,FALSE)</f>
        <v>1.7055286171035355E-2</v>
      </c>
      <c r="J129" s="5">
        <f>VLOOKUP(J$1&amp;$A129,배당편집!$M$2:$T$2710,8,FALSE)</f>
        <v>3.424021252947318E-2</v>
      </c>
      <c r="K129" s="5">
        <f>VLOOKUP(K$1&amp;$A129,배당편집!$M$2:$T$2710,8,FALSE)</f>
        <v>8.9249364912943774E-2</v>
      </c>
      <c r="L129" s="5">
        <f>VLOOKUP(L$1&amp;$A129,배당편집!$M$2:$T$2710,8,FALSE)</f>
        <v>0.20112443398143132</v>
      </c>
      <c r="M129" s="5">
        <f>VLOOKUP(M$1&amp;$A129,배당편집!$M$2:$T$2710,8,FALSE)</f>
        <v>0.11382417860287908</v>
      </c>
      <c r="N129" s="5">
        <f>VLOOKUP(N$1&amp;$A129,배당편집!$M$2:$T$2710,8,FALSE)</f>
        <v>8.7892885777757002E-2</v>
      </c>
      <c r="O129" s="5">
        <f>VLOOKUP(O$1&amp;$A129,배당편집!$M$2:$T$2710,8,FALSE)</f>
        <v>0.1098883056567086</v>
      </c>
      <c r="P129" s="5">
        <f>VLOOKUP(P$1&amp;$A129,배당편집!$M$2:$T$2710,8,FALSE)</f>
        <v>0.11111630819510987</v>
      </c>
      <c r="Q129" s="5">
        <f>VLOOKUP(Q$1&amp;$A129,배당편집!$M$2:$T$2710,8,FALSE)</f>
        <v>8.7348394571074905E-2</v>
      </c>
      <c r="R129" s="5">
        <f>VLOOKUP(R$1&amp;$A129,배당편집!$M$2:$T$2710,8,FALSE)</f>
        <v>1.5158425192600689E-2</v>
      </c>
      <c r="S129" s="5">
        <f>VLOOKUP(S$1&amp;$A129,배당편집!$M$2:$T$2710,8,FALSE)</f>
        <v>6.2826726454686233E-2</v>
      </c>
      <c r="T129" s="5">
        <f>VLOOKUP(T$1&amp;$A129,배당편집!$M$2:$T$2710,8,FALSE)</f>
        <v>0.15364982460731169</v>
      </c>
      <c r="U129" s="5">
        <f>VLOOKUP(U$1&amp;$A129,배당편집!$M$2:$T$2710,8,FALSE)</f>
        <v>-0.31744249630692689</v>
      </c>
      <c r="V129" s="5">
        <f>VLOOKUP(V$1&amp;$A129,배당편집!$M$2:$T$2710,8,FALSE)</f>
        <v>0.1486983549970351</v>
      </c>
      <c r="W129" s="5">
        <f>VLOOKUP(W$1&amp;$A129,배당편집!$M$2:$T$2710,8,FALSE)</f>
        <v>0.22865967908314722</v>
      </c>
      <c r="X129" s="5">
        <f>VLOOKUP(X$1&amp;$A129,배당편집!$M$2:$T$2710,8,FALSE)</f>
        <v>2.6552039741113198E-2</v>
      </c>
      <c r="Y129" s="5">
        <f>VLOOKUP(Y$1&amp;$A129,배당편집!$M$2:$T$2710,8,FALSE)</f>
        <v>0.35096003852061353</v>
      </c>
      <c r="Z129" s="5">
        <f>VLOOKUP(Z$1&amp;$A129,배당편집!$M$2:$T$2710,8,FALSE)</f>
        <v>3.8573773084258578E-2</v>
      </c>
      <c r="AA129" s="5">
        <f>VLOOKUP(AA$1&amp;$A129,배당편집!$M$2:$T$2710,8,FALSE)</f>
        <v>8.7597101915158015E-2</v>
      </c>
      <c r="AB129" s="5">
        <f>VLOOKUP(AB$1&amp;$A129,배당편집!$M$2:$T$2710,8,FALSE)</f>
        <v>0.10225948408254371</v>
      </c>
      <c r="AC129" s="5">
        <f>VLOOKUP(AC$1&amp;$A129,배당편집!$M$2:$T$2710,8,FALSE)</f>
        <v>1.6675858612995365E-2</v>
      </c>
      <c r="AD129" s="5">
        <f>VLOOKUP(AD$1&amp;$A129,배당편집!$M$2:$T$2710,8,FALSE)</f>
        <v>0.1142274459709316</v>
      </c>
      <c r="AE129" s="5">
        <f>VLOOKUP(AE$1&amp;$A129,배당편집!$M$2:$T$2710,8,FALSE)</f>
        <v>7.2145025900850923E-2</v>
      </c>
      <c r="AF129" s="5">
        <f>VLOOKUP(AF$1&amp;$A129,배당편집!$M$2:$T$2710,8,FALSE)</f>
        <v>0.1123149262024683</v>
      </c>
    </row>
    <row r="130" spans="1:32" ht="16.5" customHeight="1">
      <c r="A130" s="3">
        <v>2012</v>
      </c>
      <c r="B130" s="3">
        <v>9</v>
      </c>
      <c r="C130" s="5">
        <f>VLOOKUP(C$1&amp;$A130,배당편집!$M$2:$T$2710,8,FALSE)</f>
        <v>0.23758820930768176</v>
      </c>
      <c r="D130" s="5">
        <f>VLOOKUP(D$1&amp;$A130,배당편집!$M$2:$T$2710,8,FALSE)</f>
        <v>0.10494795379650301</v>
      </c>
      <c r="E130" s="5">
        <f>VLOOKUP(E$1&amp;$A130,배당편집!$M$2:$T$2710,8,FALSE)</f>
        <v>0.12474611314209483</v>
      </c>
      <c r="F130" s="5">
        <f>VLOOKUP(F$1&amp;$A130,배당편집!$M$2:$T$2710,8,FALSE)</f>
        <v>6.4467779836540062E-2</v>
      </c>
      <c r="G130" s="5">
        <f>VLOOKUP(G$1&amp;$A130,배당편집!$M$2:$T$2710,8,FALSE)</f>
        <v>7.9915005882233103E-2</v>
      </c>
      <c r="H130" s="5">
        <f>VLOOKUP(H$1&amp;$A130,배당편집!$M$2:$T$2710,8,FALSE)</f>
        <v>9.2688406103258902E-2</v>
      </c>
      <c r="I130" s="5">
        <f>VLOOKUP(I$1&amp;$A130,배당편집!$M$2:$T$2710,8,FALSE)</f>
        <v>1.7055286171035355E-2</v>
      </c>
      <c r="J130" s="5">
        <f>VLOOKUP(J$1&amp;$A130,배당편집!$M$2:$T$2710,8,FALSE)</f>
        <v>3.424021252947318E-2</v>
      </c>
      <c r="K130" s="5">
        <f>VLOOKUP(K$1&amp;$A130,배당편집!$M$2:$T$2710,8,FALSE)</f>
        <v>8.9249364912943774E-2</v>
      </c>
      <c r="L130" s="5">
        <f>VLOOKUP(L$1&amp;$A130,배당편집!$M$2:$T$2710,8,FALSE)</f>
        <v>0.20112443398143132</v>
      </c>
      <c r="M130" s="5">
        <f>VLOOKUP(M$1&amp;$A130,배당편집!$M$2:$T$2710,8,FALSE)</f>
        <v>0.11382417860287908</v>
      </c>
      <c r="N130" s="5">
        <f>VLOOKUP(N$1&amp;$A130,배당편집!$M$2:$T$2710,8,FALSE)</f>
        <v>8.7892885777757002E-2</v>
      </c>
      <c r="O130" s="5">
        <f>VLOOKUP(O$1&amp;$A130,배당편집!$M$2:$T$2710,8,FALSE)</f>
        <v>0.1098883056567086</v>
      </c>
      <c r="P130" s="5">
        <f>VLOOKUP(P$1&amp;$A130,배당편집!$M$2:$T$2710,8,FALSE)</f>
        <v>0.11111630819510987</v>
      </c>
      <c r="Q130" s="5">
        <f>VLOOKUP(Q$1&amp;$A130,배당편집!$M$2:$T$2710,8,FALSE)</f>
        <v>8.7348394571074905E-2</v>
      </c>
      <c r="R130" s="5">
        <f>VLOOKUP(R$1&amp;$A130,배당편집!$M$2:$T$2710,8,FALSE)</f>
        <v>1.5158425192600689E-2</v>
      </c>
      <c r="S130" s="5">
        <f>VLOOKUP(S$1&amp;$A130,배당편집!$M$2:$T$2710,8,FALSE)</f>
        <v>6.2826726454686233E-2</v>
      </c>
      <c r="T130" s="5">
        <f>VLOOKUP(T$1&amp;$A130,배당편집!$M$2:$T$2710,8,FALSE)</f>
        <v>0.15364982460731169</v>
      </c>
      <c r="U130" s="5">
        <f>VLOOKUP(U$1&amp;$A130,배당편집!$M$2:$T$2710,8,FALSE)</f>
        <v>-0.31744249630692689</v>
      </c>
      <c r="V130" s="5">
        <f>VLOOKUP(V$1&amp;$A130,배당편집!$M$2:$T$2710,8,FALSE)</f>
        <v>0.1486983549970351</v>
      </c>
      <c r="W130" s="5">
        <f>VLOOKUP(W$1&amp;$A130,배당편집!$M$2:$T$2710,8,FALSE)</f>
        <v>0.22865967908314722</v>
      </c>
      <c r="X130" s="5">
        <f>VLOOKUP(X$1&amp;$A130,배당편집!$M$2:$T$2710,8,FALSE)</f>
        <v>2.6552039741113198E-2</v>
      </c>
      <c r="Y130" s="5">
        <f>VLOOKUP(Y$1&amp;$A130,배당편집!$M$2:$T$2710,8,FALSE)</f>
        <v>0.35096003852061353</v>
      </c>
      <c r="Z130" s="5">
        <f>VLOOKUP(Z$1&amp;$A130,배당편집!$M$2:$T$2710,8,FALSE)</f>
        <v>3.8573773084258578E-2</v>
      </c>
      <c r="AA130" s="5">
        <f>VLOOKUP(AA$1&amp;$A130,배당편집!$M$2:$T$2710,8,FALSE)</f>
        <v>8.7597101915158015E-2</v>
      </c>
      <c r="AB130" s="5">
        <f>VLOOKUP(AB$1&amp;$A130,배당편집!$M$2:$T$2710,8,FALSE)</f>
        <v>0.10225948408254371</v>
      </c>
      <c r="AC130" s="5">
        <f>VLOOKUP(AC$1&amp;$A130,배당편집!$M$2:$T$2710,8,FALSE)</f>
        <v>1.6675858612995365E-2</v>
      </c>
      <c r="AD130" s="5">
        <f>VLOOKUP(AD$1&amp;$A130,배당편집!$M$2:$T$2710,8,FALSE)</f>
        <v>0.1142274459709316</v>
      </c>
      <c r="AE130" s="5">
        <f>VLOOKUP(AE$1&amp;$A130,배당편집!$M$2:$T$2710,8,FALSE)</f>
        <v>7.2145025900850923E-2</v>
      </c>
      <c r="AF130" s="5">
        <f>VLOOKUP(AF$1&amp;$A130,배당편집!$M$2:$T$2710,8,FALSE)</f>
        <v>0.1123149262024683</v>
      </c>
    </row>
    <row r="131" spans="1:32" ht="16.5" customHeight="1">
      <c r="A131" s="3">
        <v>2012</v>
      </c>
      <c r="B131" s="3">
        <v>10</v>
      </c>
      <c r="C131" s="5">
        <f>VLOOKUP(C$1&amp;$A131,배당편집!$M$2:$T$2710,8,FALSE)</f>
        <v>0.23758820930768176</v>
      </c>
      <c r="D131" s="5">
        <f>VLOOKUP(D$1&amp;$A131,배당편집!$M$2:$T$2710,8,FALSE)</f>
        <v>0.10494795379650301</v>
      </c>
      <c r="E131" s="5">
        <f>VLOOKUP(E$1&amp;$A131,배당편집!$M$2:$T$2710,8,FALSE)</f>
        <v>0.12474611314209483</v>
      </c>
      <c r="F131" s="5">
        <f>VLOOKUP(F$1&amp;$A131,배당편집!$M$2:$T$2710,8,FALSE)</f>
        <v>6.4467779836540062E-2</v>
      </c>
      <c r="G131" s="5">
        <f>VLOOKUP(G$1&amp;$A131,배당편집!$M$2:$T$2710,8,FALSE)</f>
        <v>7.9915005882233103E-2</v>
      </c>
      <c r="H131" s="5">
        <f>VLOOKUP(H$1&amp;$A131,배당편집!$M$2:$T$2710,8,FALSE)</f>
        <v>9.2688406103258902E-2</v>
      </c>
      <c r="I131" s="5">
        <f>VLOOKUP(I$1&amp;$A131,배당편집!$M$2:$T$2710,8,FALSE)</f>
        <v>1.7055286171035355E-2</v>
      </c>
      <c r="J131" s="5">
        <f>VLOOKUP(J$1&amp;$A131,배당편집!$M$2:$T$2710,8,FALSE)</f>
        <v>3.424021252947318E-2</v>
      </c>
      <c r="K131" s="5">
        <f>VLOOKUP(K$1&amp;$A131,배당편집!$M$2:$T$2710,8,FALSE)</f>
        <v>8.9249364912943774E-2</v>
      </c>
      <c r="L131" s="5">
        <f>VLOOKUP(L$1&amp;$A131,배당편집!$M$2:$T$2710,8,FALSE)</f>
        <v>0.20112443398143132</v>
      </c>
      <c r="M131" s="5">
        <f>VLOOKUP(M$1&amp;$A131,배당편집!$M$2:$T$2710,8,FALSE)</f>
        <v>0.11382417860287908</v>
      </c>
      <c r="N131" s="5">
        <f>VLOOKUP(N$1&amp;$A131,배당편집!$M$2:$T$2710,8,FALSE)</f>
        <v>8.7892885777757002E-2</v>
      </c>
      <c r="O131" s="5">
        <f>VLOOKUP(O$1&amp;$A131,배당편집!$M$2:$T$2710,8,FALSE)</f>
        <v>0.1098883056567086</v>
      </c>
      <c r="P131" s="5">
        <f>VLOOKUP(P$1&amp;$A131,배당편집!$M$2:$T$2710,8,FALSE)</f>
        <v>0.11111630819510987</v>
      </c>
      <c r="Q131" s="5">
        <f>VLOOKUP(Q$1&amp;$A131,배당편집!$M$2:$T$2710,8,FALSE)</f>
        <v>8.7348394571074905E-2</v>
      </c>
      <c r="R131" s="5">
        <f>VLOOKUP(R$1&amp;$A131,배당편집!$M$2:$T$2710,8,FALSE)</f>
        <v>1.5158425192600689E-2</v>
      </c>
      <c r="S131" s="5">
        <f>VLOOKUP(S$1&amp;$A131,배당편집!$M$2:$T$2710,8,FALSE)</f>
        <v>6.2826726454686233E-2</v>
      </c>
      <c r="T131" s="5">
        <f>VLOOKUP(T$1&amp;$A131,배당편집!$M$2:$T$2710,8,FALSE)</f>
        <v>0.15364982460731169</v>
      </c>
      <c r="U131" s="5">
        <f>VLOOKUP(U$1&amp;$A131,배당편집!$M$2:$T$2710,8,FALSE)</f>
        <v>-0.31744249630692689</v>
      </c>
      <c r="V131" s="5">
        <f>VLOOKUP(V$1&amp;$A131,배당편집!$M$2:$T$2710,8,FALSE)</f>
        <v>0.1486983549970351</v>
      </c>
      <c r="W131" s="5">
        <f>VLOOKUP(W$1&amp;$A131,배당편집!$M$2:$T$2710,8,FALSE)</f>
        <v>0.22865967908314722</v>
      </c>
      <c r="X131" s="5">
        <f>VLOOKUP(X$1&amp;$A131,배당편집!$M$2:$T$2710,8,FALSE)</f>
        <v>2.6552039741113198E-2</v>
      </c>
      <c r="Y131" s="5">
        <f>VLOOKUP(Y$1&amp;$A131,배당편집!$M$2:$T$2710,8,FALSE)</f>
        <v>0.35096003852061353</v>
      </c>
      <c r="Z131" s="5">
        <f>VLOOKUP(Z$1&amp;$A131,배당편집!$M$2:$T$2710,8,FALSE)</f>
        <v>3.8573773084258578E-2</v>
      </c>
      <c r="AA131" s="5">
        <f>VLOOKUP(AA$1&amp;$A131,배당편집!$M$2:$T$2710,8,FALSE)</f>
        <v>8.7597101915158015E-2</v>
      </c>
      <c r="AB131" s="5">
        <f>VLOOKUP(AB$1&amp;$A131,배당편집!$M$2:$T$2710,8,FALSE)</f>
        <v>0.10225948408254371</v>
      </c>
      <c r="AC131" s="5">
        <f>VLOOKUP(AC$1&amp;$A131,배당편집!$M$2:$T$2710,8,FALSE)</f>
        <v>1.6675858612995365E-2</v>
      </c>
      <c r="AD131" s="5">
        <f>VLOOKUP(AD$1&amp;$A131,배당편집!$M$2:$T$2710,8,FALSE)</f>
        <v>0.1142274459709316</v>
      </c>
      <c r="AE131" s="5">
        <f>VLOOKUP(AE$1&amp;$A131,배당편집!$M$2:$T$2710,8,FALSE)</f>
        <v>7.2145025900850923E-2</v>
      </c>
      <c r="AF131" s="5">
        <f>VLOOKUP(AF$1&amp;$A131,배당편집!$M$2:$T$2710,8,FALSE)</f>
        <v>0.1123149262024683</v>
      </c>
    </row>
    <row r="132" spans="1:32" ht="16.5" customHeight="1">
      <c r="A132" s="3">
        <v>2012</v>
      </c>
      <c r="B132" s="3">
        <v>11</v>
      </c>
      <c r="C132" s="5">
        <f>VLOOKUP(C$1&amp;$A132,배당편집!$M$2:$T$2710,8,FALSE)</f>
        <v>0.23758820930768176</v>
      </c>
      <c r="D132" s="5">
        <f>VLOOKUP(D$1&amp;$A132,배당편집!$M$2:$T$2710,8,FALSE)</f>
        <v>0.10494795379650301</v>
      </c>
      <c r="E132" s="5">
        <f>VLOOKUP(E$1&amp;$A132,배당편집!$M$2:$T$2710,8,FALSE)</f>
        <v>0.12474611314209483</v>
      </c>
      <c r="F132" s="5">
        <f>VLOOKUP(F$1&amp;$A132,배당편집!$M$2:$T$2710,8,FALSE)</f>
        <v>6.4467779836540062E-2</v>
      </c>
      <c r="G132" s="5">
        <f>VLOOKUP(G$1&amp;$A132,배당편집!$M$2:$T$2710,8,FALSE)</f>
        <v>7.9915005882233103E-2</v>
      </c>
      <c r="H132" s="5">
        <f>VLOOKUP(H$1&amp;$A132,배당편집!$M$2:$T$2710,8,FALSE)</f>
        <v>9.2688406103258902E-2</v>
      </c>
      <c r="I132" s="5">
        <f>VLOOKUP(I$1&amp;$A132,배당편집!$M$2:$T$2710,8,FALSE)</f>
        <v>1.7055286171035355E-2</v>
      </c>
      <c r="J132" s="5">
        <f>VLOOKUP(J$1&amp;$A132,배당편집!$M$2:$T$2710,8,FALSE)</f>
        <v>3.424021252947318E-2</v>
      </c>
      <c r="K132" s="5">
        <f>VLOOKUP(K$1&amp;$A132,배당편집!$M$2:$T$2710,8,FALSE)</f>
        <v>8.9249364912943774E-2</v>
      </c>
      <c r="L132" s="5">
        <f>VLOOKUP(L$1&amp;$A132,배당편집!$M$2:$T$2710,8,FALSE)</f>
        <v>0.20112443398143132</v>
      </c>
      <c r="M132" s="5">
        <f>VLOOKUP(M$1&amp;$A132,배당편집!$M$2:$T$2710,8,FALSE)</f>
        <v>0.11382417860287908</v>
      </c>
      <c r="N132" s="5">
        <f>VLOOKUP(N$1&amp;$A132,배당편집!$M$2:$T$2710,8,FALSE)</f>
        <v>8.7892885777757002E-2</v>
      </c>
      <c r="O132" s="5">
        <f>VLOOKUP(O$1&amp;$A132,배당편집!$M$2:$T$2710,8,FALSE)</f>
        <v>0.1098883056567086</v>
      </c>
      <c r="P132" s="5">
        <f>VLOOKUP(P$1&amp;$A132,배당편집!$M$2:$T$2710,8,FALSE)</f>
        <v>0.11111630819510987</v>
      </c>
      <c r="Q132" s="5">
        <f>VLOOKUP(Q$1&amp;$A132,배당편집!$M$2:$T$2710,8,FALSE)</f>
        <v>8.7348394571074905E-2</v>
      </c>
      <c r="R132" s="5">
        <f>VLOOKUP(R$1&amp;$A132,배당편집!$M$2:$T$2710,8,FALSE)</f>
        <v>1.5158425192600689E-2</v>
      </c>
      <c r="S132" s="5">
        <f>VLOOKUP(S$1&amp;$A132,배당편집!$M$2:$T$2710,8,FALSE)</f>
        <v>6.2826726454686233E-2</v>
      </c>
      <c r="T132" s="5">
        <f>VLOOKUP(T$1&amp;$A132,배당편집!$M$2:$T$2710,8,FALSE)</f>
        <v>0.15364982460731169</v>
      </c>
      <c r="U132" s="5">
        <f>VLOOKUP(U$1&amp;$A132,배당편집!$M$2:$T$2710,8,FALSE)</f>
        <v>-0.31744249630692689</v>
      </c>
      <c r="V132" s="5">
        <f>VLOOKUP(V$1&amp;$A132,배당편집!$M$2:$T$2710,8,FALSE)</f>
        <v>0.1486983549970351</v>
      </c>
      <c r="W132" s="5">
        <f>VLOOKUP(W$1&amp;$A132,배당편집!$M$2:$T$2710,8,FALSE)</f>
        <v>0.22865967908314722</v>
      </c>
      <c r="X132" s="5">
        <f>VLOOKUP(X$1&amp;$A132,배당편집!$M$2:$T$2710,8,FALSE)</f>
        <v>2.6552039741113198E-2</v>
      </c>
      <c r="Y132" s="5">
        <f>VLOOKUP(Y$1&amp;$A132,배당편집!$M$2:$T$2710,8,FALSE)</f>
        <v>0.35096003852061353</v>
      </c>
      <c r="Z132" s="5">
        <f>VLOOKUP(Z$1&amp;$A132,배당편집!$M$2:$T$2710,8,FALSE)</f>
        <v>3.8573773084258578E-2</v>
      </c>
      <c r="AA132" s="5">
        <f>VLOOKUP(AA$1&amp;$A132,배당편집!$M$2:$T$2710,8,FALSE)</f>
        <v>8.7597101915158015E-2</v>
      </c>
      <c r="AB132" s="5">
        <f>VLOOKUP(AB$1&amp;$A132,배당편집!$M$2:$T$2710,8,FALSE)</f>
        <v>0.10225948408254371</v>
      </c>
      <c r="AC132" s="5">
        <f>VLOOKUP(AC$1&amp;$A132,배당편집!$M$2:$T$2710,8,FALSE)</f>
        <v>1.6675858612995365E-2</v>
      </c>
      <c r="AD132" s="5">
        <f>VLOOKUP(AD$1&amp;$A132,배당편집!$M$2:$T$2710,8,FALSE)</f>
        <v>0.1142274459709316</v>
      </c>
      <c r="AE132" s="5">
        <f>VLOOKUP(AE$1&amp;$A132,배당편집!$M$2:$T$2710,8,FALSE)</f>
        <v>7.2145025900850923E-2</v>
      </c>
      <c r="AF132" s="5">
        <f>VLOOKUP(AF$1&amp;$A132,배당편집!$M$2:$T$2710,8,FALSE)</f>
        <v>0.1123149262024683</v>
      </c>
    </row>
    <row r="133" spans="1:32" ht="16.5" customHeight="1">
      <c r="A133" s="3">
        <v>2012</v>
      </c>
      <c r="B133" s="3">
        <v>12</v>
      </c>
      <c r="C133" s="5">
        <f>VLOOKUP(C$1&amp;$A133,배당편집!$M$2:$T$2710,8,FALSE)</f>
        <v>0.23758820930768176</v>
      </c>
      <c r="D133" s="5">
        <f>VLOOKUP(D$1&amp;$A133,배당편집!$M$2:$T$2710,8,FALSE)</f>
        <v>0.10494795379650301</v>
      </c>
      <c r="E133" s="5">
        <f>VLOOKUP(E$1&amp;$A133,배당편집!$M$2:$T$2710,8,FALSE)</f>
        <v>0.12474611314209483</v>
      </c>
      <c r="F133" s="5">
        <f>VLOOKUP(F$1&amp;$A133,배당편집!$M$2:$T$2710,8,FALSE)</f>
        <v>6.4467779836540062E-2</v>
      </c>
      <c r="G133" s="5">
        <f>VLOOKUP(G$1&amp;$A133,배당편집!$M$2:$T$2710,8,FALSE)</f>
        <v>7.9915005882233103E-2</v>
      </c>
      <c r="H133" s="5">
        <f>VLOOKUP(H$1&amp;$A133,배당편집!$M$2:$T$2710,8,FALSE)</f>
        <v>9.2688406103258902E-2</v>
      </c>
      <c r="I133" s="5">
        <f>VLOOKUP(I$1&amp;$A133,배당편집!$M$2:$T$2710,8,FALSE)</f>
        <v>1.7055286171035355E-2</v>
      </c>
      <c r="J133" s="5">
        <f>VLOOKUP(J$1&amp;$A133,배당편집!$M$2:$T$2710,8,FALSE)</f>
        <v>3.424021252947318E-2</v>
      </c>
      <c r="K133" s="5">
        <f>VLOOKUP(K$1&amp;$A133,배당편집!$M$2:$T$2710,8,FALSE)</f>
        <v>8.9249364912943774E-2</v>
      </c>
      <c r="L133" s="5">
        <f>VLOOKUP(L$1&amp;$A133,배당편집!$M$2:$T$2710,8,FALSE)</f>
        <v>0.20112443398143132</v>
      </c>
      <c r="M133" s="5">
        <f>VLOOKUP(M$1&amp;$A133,배당편집!$M$2:$T$2710,8,FALSE)</f>
        <v>0.11382417860287908</v>
      </c>
      <c r="N133" s="5">
        <f>VLOOKUP(N$1&amp;$A133,배당편집!$M$2:$T$2710,8,FALSE)</f>
        <v>8.7892885777757002E-2</v>
      </c>
      <c r="O133" s="5">
        <f>VLOOKUP(O$1&amp;$A133,배당편집!$M$2:$T$2710,8,FALSE)</f>
        <v>0.1098883056567086</v>
      </c>
      <c r="P133" s="5">
        <f>VLOOKUP(P$1&amp;$A133,배당편집!$M$2:$T$2710,8,FALSE)</f>
        <v>0.11111630819510987</v>
      </c>
      <c r="Q133" s="5">
        <f>VLOOKUP(Q$1&amp;$A133,배당편집!$M$2:$T$2710,8,FALSE)</f>
        <v>8.7348394571074905E-2</v>
      </c>
      <c r="R133" s="5">
        <f>VLOOKUP(R$1&amp;$A133,배당편집!$M$2:$T$2710,8,FALSE)</f>
        <v>1.5158425192600689E-2</v>
      </c>
      <c r="S133" s="5">
        <f>VLOOKUP(S$1&amp;$A133,배당편집!$M$2:$T$2710,8,FALSE)</f>
        <v>6.2826726454686233E-2</v>
      </c>
      <c r="T133" s="5">
        <f>VLOOKUP(T$1&amp;$A133,배당편집!$M$2:$T$2710,8,FALSE)</f>
        <v>0.15364982460731169</v>
      </c>
      <c r="U133" s="5">
        <f>VLOOKUP(U$1&amp;$A133,배당편집!$M$2:$T$2710,8,FALSE)</f>
        <v>-0.31744249630692689</v>
      </c>
      <c r="V133" s="5">
        <f>VLOOKUP(V$1&amp;$A133,배당편집!$M$2:$T$2710,8,FALSE)</f>
        <v>0.1486983549970351</v>
      </c>
      <c r="W133" s="5">
        <f>VLOOKUP(W$1&amp;$A133,배당편집!$M$2:$T$2710,8,FALSE)</f>
        <v>0.22865967908314722</v>
      </c>
      <c r="X133" s="5">
        <f>VLOOKUP(X$1&amp;$A133,배당편집!$M$2:$T$2710,8,FALSE)</f>
        <v>2.6552039741113198E-2</v>
      </c>
      <c r="Y133" s="5">
        <f>VLOOKUP(Y$1&amp;$A133,배당편집!$M$2:$T$2710,8,FALSE)</f>
        <v>0.35096003852061353</v>
      </c>
      <c r="Z133" s="5">
        <f>VLOOKUP(Z$1&amp;$A133,배당편집!$M$2:$T$2710,8,FALSE)</f>
        <v>3.8573773084258578E-2</v>
      </c>
      <c r="AA133" s="5">
        <f>VLOOKUP(AA$1&amp;$A133,배당편집!$M$2:$T$2710,8,FALSE)</f>
        <v>8.7597101915158015E-2</v>
      </c>
      <c r="AB133" s="5">
        <f>VLOOKUP(AB$1&amp;$A133,배당편집!$M$2:$T$2710,8,FALSE)</f>
        <v>0.10225948408254371</v>
      </c>
      <c r="AC133" s="5">
        <f>VLOOKUP(AC$1&amp;$A133,배당편집!$M$2:$T$2710,8,FALSE)</f>
        <v>1.6675858612995365E-2</v>
      </c>
      <c r="AD133" s="5">
        <f>VLOOKUP(AD$1&amp;$A133,배당편집!$M$2:$T$2710,8,FALSE)</f>
        <v>0.1142274459709316</v>
      </c>
      <c r="AE133" s="5">
        <f>VLOOKUP(AE$1&amp;$A133,배당편집!$M$2:$T$2710,8,FALSE)</f>
        <v>7.2145025900850923E-2</v>
      </c>
      <c r="AF133" s="5">
        <f>VLOOKUP(AF$1&amp;$A133,배당편집!$M$2:$T$2710,8,FALSE)</f>
        <v>0.1123149262024683</v>
      </c>
    </row>
    <row r="134" spans="1:32" ht="16.5" customHeight="1">
      <c r="A134" s="3">
        <v>2011</v>
      </c>
      <c r="B134" s="3">
        <v>1</v>
      </c>
      <c r="C134" s="5">
        <f>VLOOKUP(C$1&amp;$A134,배당편집!$M$2:$T$2710,8,FALSE)</f>
        <v>0.21905959874044001</v>
      </c>
      <c r="D134" s="5">
        <f>VLOOKUP(D$1&amp;$A134,배당편집!$M$2:$T$2710,8,FALSE)</f>
        <v>0.11032151746146002</v>
      </c>
      <c r="E134" s="5">
        <f>VLOOKUP(E$1&amp;$A134,배당편집!$M$2:$T$2710,8,FALSE)</f>
        <v>0.1486983549970351</v>
      </c>
      <c r="F134" s="5">
        <f>VLOOKUP(F$1&amp;$A134,배당편집!$M$2:$T$2710,8,FALSE)</f>
        <v>7.1709725300183047E-2</v>
      </c>
      <c r="G134" s="5">
        <f>VLOOKUP(G$1&amp;$A134,배당편집!$M$2:$T$2710,8,FALSE)</f>
        <v>6.5762756635474151E-2</v>
      </c>
      <c r="H134" s="5">
        <f>VLOOKUP(H$1&amp;$A134,배당편집!$M$2:$T$2710,8,FALSE)</f>
        <v>9.8560543306117632E-2</v>
      </c>
      <c r="I134" s="5">
        <f>VLOOKUP(I$1&amp;$A134,배당편집!$M$2:$T$2710,8,FALSE)</f>
        <v>2.0365544264411506E-2</v>
      </c>
      <c r="J134" s="5">
        <f>VLOOKUP(J$1&amp;$A134,배당편집!$M$2:$T$2710,8,FALSE)</f>
        <v>3.5342923413427263E-2</v>
      </c>
      <c r="K134" s="5">
        <f>VLOOKUP(K$1&amp;$A134,배당편집!$M$2:$T$2710,8,FALSE)</f>
        <v>0.11970220528043152</v>
      </c>
      <c r="L134" s="5">
        <f>VLOOKUP(L$1&amp;$A134,배당편집!$M$2:$T$2710,8,FALSE)</f>
        <v>0.20112443398143132</v>
      </c>
      <c r="M134" s="5">
        <f>VLOOKUP(M$1&amp;$A134,배당편집!$M$2:$T$2710,8,FALSE)</f>
        <v>0.15557728012426564</v>
      </c>
      <c r="N134" s="5">
        <f>VLOOKUP(N$1&amp;$A134,배당편집!$M$2:$T$2710,8,FALSE)</f>
        <v>9.1686188751501918E-2</v>
      </c>
      <c r="O134" s="5">
        <f>VLOOKUP(O$1&amp;$A134,배당편집!$M$2:$T$2710,8,FALSE)</f>
        <v>0.11273004664881792</v>
      </c>
      <c r="P134" s="5">
        <f>VLOOKUP(P$1&amp;$A134,배당편집!$M$2:$T$2710,8,FALSE)</f>
        <v>0.11465829649661785</v>
      </c>
      <c r="Q134" s="5">
        <f>VLOOKUP(Q$1&amp;$A134,배당편집!$M$2:$T$2710,8,FALSE)</f>
        <v>0.10350921459993478</v>
      </c>
      <c r="R134" s="5">
        <f>VLOOKUP(R$1&amp;$A134,배당편집!$M$2:$T$2710,8,FALSE)</f>
        <v>1.539184863075338E-2</v>
      </c>
      <c r="S134" s="5">
        <f>VLOOKUP(S$1&amp;$A134,배당편집!$M$2:$T$2710,8,FALSE)</f>
        <v>5.9223841048812176E-2</v>
      </c>
      <c r="T134" s="5">
        <f>VLOOKUP(T$1&amp;$A134,배당편집!$M$2:$T$2710,8,FALSE)</f>
        <v>0.15996225865400127</v>
      </c>
      <c r="U134" s="5">
        <f>VLOOKUP(U$1&amp;$A134,배당편집!$M$2:$T$2710,8,FALSE)</f>
        <v>-0.33039461244258228</v>
      </c>
      <c r="V134" s="5">
        <f>VLOOKUP(V$1&amp;$A134,배당편집!$M$2:$T$2710,8,FALSE)</f>
        <v>0.12741141818969504</v>
      </c>
      <c r="W134" s="5">
        <f>VLOOKUP(W$1&amp;$A134,배당편집!$M$2:$T$2710,8,FALSE)</f>
        <v>0.61539426620217808</v>
      </c>
      <c r="X134" s="5">
        <f>VLOOKUP(X$1&amp;$A134,배당편집!$M$2:$T$2710,8,FALSE)</f>
        <v>3.1936481988553256E-2</v>
      </c>
      <c r="Y134" s="5">
        <f>VLOOKUP(Y$1&amp;$A134,배당편집!$M$2:$T$2710,8,FALSE)</f>
        <v>0.33078739731121565</v>
      </c>
      <c r="Z134" s="5">
        <f>VLOOKUP(Z$1&amp;$A134,배당편집!$M$2:$T$2710,8,FALSE)</f>
        <v>4.9414522844583919E-2</v>
      </c>
      <c r="AA134" s="5">
        <f>VLOOKUP(AA$1&amp;$A134,배당편집!$M$2:$T$2710,8,FALSE)</f>
        <v>9.8560543306117854E-2</v>
      </c>
      <c r="AB134" s="5">
        <f>VLOOKUP(AB$1&amp;$A134,배당편집!$M$2:$T$2710,8,FALSE)</f>
        <v>9.8560543306117632E-2</v>
      </c>
      <c r="AC134" s="5">
        <f>VLOOKUP(AC$1&amp;$A134,배당편집!$M$2:$T$2710,8,FALSE)</f>
        <v>1.3541309573408933E-2</v>
      </c>
      <c r="AD134" s="5">
        <f>VLOOKUP(AD$1&amp;$A134,배당편집!$M$2:$T$2710,8,FALSE)</f>
        <v>0.14242093886584994</v>
      </c>
      <c r="AE134" s="5">
        <f>VLOOKUP(AE$1&amp;$A134,배당편집!$M$2:$T$2710,8,FALSE)</f>
        <v>9.0966078501449665E-2</v>
      </c>
      <c r="AF134" s="5">
        <f>VLOOKUP(AF$1&amp;$A134,배당편집!$M$2:$T$2710,8,FALSE)</f>
        <v>0.10097321782112156</v>
      </c>
    </row>
    <row r="135" spans="1:32" ht="16.5" customHeight="1">
      <c r="A135" s="3">
        <v>2011</v>
      </c>
      <c r="B135" s="3">
        <v>2</v>
      </c>
      <c r="C135" s="5">
        <f>VLOOKUP(C$1&amp;$A135,배당편집!$M$2:$T$2710,8,FALSE)</f>
        <v>0.21905959874044001</v>
      </c>
      <c r="D135" s="5">
        <f>VLOOKUP(D$1&amp;$A135,배당편집!$M$2:$T$2710,8,FALSE)</f>
        <v>0.11032151746146002</v>
      </c>
      <c r="E135" s="5">
        <f>VLOOKUP(E$1&amp;$A135,배당편집!$M$2:$T$2710,8,FALSE)</f>
        <v>0.1486983549970351</v>
      </c>
      <c r="F135" s="5">
        <f>VLOOKUP(F$1&amp;$A135,배당편집!$M$2:$T$2710,8,FALSE)</f>
        <v>7.1709725300183047E-2</v>
      </c>
      <c r="G135" s="5">
        <f>VLOOKUP(G$1&amp;$A135,배당편집!$M$2:$T$2710,8,FALSE)</f>
        <v>6.5762756635474151E-2</v>
      </c>
      <c r="H135" s="5">
        <f>VLOOKUP(H$1&amp;$A135,배당편집!$M$2:$T$2710,8,FALSE)</f>
        <v>9.8560543306117632E-2</v>
      </c>
      <c r="I135" s="5">
        <f>VLOOKUP(I$1&amp;$A135,배당편집!$M$2:$T$2710,8,FALSE)</f>
        <v>2.0365544264411506E-2</v>
      </c>
      <c r="J135" s="5">
        <f>VLOOKUP(J$1&amp;$A135,배당편집!$M$2:$T$2710,8,FALSE)</f>
        <v>3.5342923413427263E-2</v>
      </c>
      <c r="K135" s="5">
        <f>VLOOKUP(K$1&amp;$A135,배당편집!$M$2:$T$2710,8,FALSE)</f>
        <v>0.11970220528043152</v>
      </c>
      <c r="L135" s="5">
        <f>VLOOKUP(L$1&amp;$A135,배당편집!$M$2:$T$2710,8,FALSE)</f>
        <v>0.20112443398143132</v>
      </c>
      <c r="M135" s="5">
        <f>VLOOKUP(M$1&amp;$A135,배당편집!$M$2:$T$2710,8,FALSE)</f>
        <v>0.15557728012426564</v>
      </c>
      <c r="N135" s="5">
        <f>VLOOKUP(N$1&amp;$A135,배당편집!$M$2:$T$2710,8,FALSE)</f>
        <v>9.1686188751501918E-2</v>
      </c>
      <c r="O135" s="5">
        <f>VLOOKUP(O$1&amp;$A135,배당편집!$M$2:$T$2710,8,FALSE)</f>
        <v>0.11273004664881792</v>
      </c>
      <c r="P135" s="5">
        <f>VLOOKUP(P$1&amp;$A135,배당편집!$M$2:$T$2710,8,FALSE)</f>
        <v>0.11465829649661785</v>
      </c>
      <c r="Q135" s="5">
        <f>VLOOKUP(Q$1&amp;$A135,배당편집!$M$2:$T$2710,8,FALSE)</f>
        <v>0.10350921459993478</v>
      </c>
      <c r="R135" s="5">
        <f>VLOOKUP(R$1&amp;$A135,배당편집!$M$2:$T$2710,8,FALSE)</f>
        <v>1.539184863075338E-2</v>
      </c>
      <c r="S135" s="5">
        <f>VLOOKUP(S$1&amp;$A135,배당편집!$M$2:$T$2710,8,FALSE)</f>
        <v>5.9223841048812176E-2</v>
      </c>
      <c r="T135" s="5">
        <f>VLOOKUP(T$1&amp;$A135,배당편집!$M$2:$T$2710,8,FALSE)</f>
        <v>0.15996225865400127</v>
      </c>
      <c r="U135" s="5">
        <f>VLOOKUP(U$1&amp;$A135,배당편집!$M$2:$T$2710,8,FALSE)</f>
        <v>-0.33039461244258228</v>
      </c>
      <c r="V135" s="5">
        <f>VLOOKUP(V$1&amp;$A135,배당편집!$M$2:$T$2710,8,FALSE)</f>
        <v>0.12741141818969504</v>
      </c>
      <c r="W135" s="5">
        <f>VLOOKUP(W$1&amp;$A135,배당편집!$M$2:$T$2710,8,FALSE)</f>
        <v>0.61539426620217808</v>
      </c>
      <c r="X135" s="5">
        <f>VLOOKUP(X$1&amp;$A135,배당편집!$M$2:$T$2710,8,FALSE)</f>
        <v>3.1936481988553256E-2</v>
      </c>
      <c r="Y135" s="5">
        <f>VLOOKUP(Y$1&amp;$A135,배당편집!$M$2:$T$2710,8,FALSE)</f>
        <v>0.33078739731121565</v>
      </c>
      <c r="Z135" s="5">
        <f>VLOOKUP(Z$1&amp;$A135,배당편집!$M$2:$T$2710,8,FALSE)</f>
        <v>4.9414522844583919E-2</v>
      </c>
      <c r="AA135" s="5">
        <f>VLOOKUP(AA$1&amp;$A135,배당편집!$M$2:$T$2710,8,FALSE)</f>
        <v>9.8560543306117854E-2</v>
      </c>
      <c r="AB135" s="5">
        <f>VLOOKUP(AB$1&amp;$A135,배당편집!$M$2:$T$2710,8,FALSE)</f>
        <v>9.8560543306117632E-2</v>
      </c>
      <c r="AC135" s="5">
        <f>VLOOKUP(AC$1&amp;$A135,배당편집!$M$2:$T$2710,8,FALSE)</f>
        <v>1.3541309573408933E-2</v>
      </c>
      <c r="AD135" s="5">
        <f>VLOOKUP(AD$1&amp;$A135,배당편집!$M$2:$T$2710,8,FALSE)</f>
        <v>0.14242093886584994</v>
      </c>
      <c r="AE135" s="5">
        <f>VLOOKUP(AE$1&amp;$A135,배당편집!$M$2:$T$2710,8,FALSE)</f>
        <v>9.0966078501449665E-2</v>
      </c>
      <c r="AF135" s="5">
        <f>VLOOKUP(AF$1&amp;$A135,배당편집!$M$2:$T$2710,8,FALSE)</f>
        <v>0.10097321782112156</v>
      </c>
    </row>
    <row r="136" spans="1:32" ht="16.5" customHeight="1">
      <c r="A136" s="3">
        <v>2011</v>
      </c>
      <c r="B136" s="3">
        <v>3</v>
      </c>
      <c r="C136" s="5">
        <f>VLOOKUP(C$1&amp;$A136,배당편집!$M$2:$T$2710,8,FALSE)</f>
        <v>0.21905959874044001</v>
      </c>
      <c r="D136" s="5">
        <f>VLOOKUP(D$1&amp;$A136,배당편집!$M$2:$T$2710,8,FALSE)</f>
        <v>0.11032151746146002</v>
      </c>
      <c r="E136" s="5">
        <f>VLOOKUP(E$1&amp;$A136,배당편집!$M$2:$T$2710,8,FALSE)</f>
        <v>0.1486983549970351</v>
      </c>
      <c r="F136" s="5">
        <f>VLOOKUP(F$1&amp;$A136,배당편집!$M$2:$T$2710,8,FALSE)</f>
        <v>7.1709725300183047E-2</v>
      </c>
      <c r="G136" s="5">
        <f>VLOOKUP(G$1&amp;$A136,배당편집!$M$2:$T$2710,8,FALSE)</f>
        <v>6.5762756635474151E-2</v>
      </c>
      <c r="H136" s="5">
        <f>VLOOKUP(H$1&amp;$A136,배당편집!$M$2:$T$2710,8,FALSE)</f>
        <v>9.8560543306117632E-2</v>
      </c>
      <c r="I136" s="5">
        <f>VLOOKUP(I$1&amp;$A136,배당편집!$M$2:$T$2710,8,FALSE)</f>
        <v>2.0365544264411506E-2</v>
      </c>
      <c r="J136" s="5">
        <f>VLOOKUP(J$1&amp;$A136,배당편집!$M$2:$T$2710,8,FALSE)</f>
        <v>3.5342923413427263E-2</v>
      </c>
      <c r="K136" s="5">
        <f>VLOOKUP(K$1&amp;$A136,배당편집!$M$2:$T$2710,8,FALSE)</f>
        <v>0.11970220528043152</v>
      </c>
      <c r="L136" s="5">
        <f>VLOOKUP(L$1&amp;$A136,배당편집!$M$2:$T$2710,8,FALSE)</f>
        <v>0.20112443398143132</v>
      </c>
      <c r="M136" s="5">
        <f>VLOOKUP(M$1&amp;$A136,배당편집!$M$2:$T$2710,8,FALSE)</f>
        <v>0.15557728012426564</v>
      </c>
      <c r="N136" s="5">
        <f>VLOOKUP(N$1&amp;$A136,배당편집!$M$2:$T$2710,8,FALSE)</f>
        <v>9.1686188751501918E-2</v>
      </c>
      <c r="O136" s="5">
        <f>VLOOKUP(O$1&amp;$A136,배당편집!$M$2:$T$2710,8,FALSE)</f>
        <v>0.11273004664881792</v>
      </c>
      <c r="P136" s="5">
        <f>VLOOKUP(P$1&amp;$A136,배당편집!$M$2:$T$2710,8,FALSE)</f>
        <v>0.11465829649661785</v>
      </c>
      <c r="Q136" s="5">
        <f>VLOOKUP(Q$1&amp;$A136,배당편집!$M$2:$T$2710,8,FALSE)</f>
        <v>0.10350921459993478</v>
      </c>
      <c r="R136" s="5">
        <f>VLOOKUP(R$1&amp;$A136,배당편집!$M$2:$T$2710,8,FALSE)</f>
        <v>1.539184863075338E-2</v>
      </c>
      <c r="S136" s="5">
        <f>VLOOKUP(S$1&amp;$A136,배당편집!$M$2:$T$2710,8,FALSE)</f>
        <v>5.9223841048812176E-2</v>
      </c>
      <c r="T136" s="5">
        <f>VLOOKUP(T$1&amp;$A136,배당편집!$M$2:$T$2710,8,FALSE)</f>
        <v>0.15996225865400127</v>
      </c>
      <c r="U136" s="5">
        <f>VLOOKUP(U$1&amp;$A136,배당편집!$M$2:$T$2710,8,FALSE)</f>
        <v>-0.33039461244258228</v>
      </c>
      <c r="V136" s="5">
        <f>VLOOKUP(V$1&amp;$A136,배당편집!$M$2:$T$2710,8,FALSE)</f>
        <v>0.12741141818969504</v>
      </c>
      <c r="W136" s="5">
        <f>VLOOKUP(W$1&amp;$A136,배당편집!$M$2:$T$2710,8,FALSE)</f>
        <v>0.61539426620217808</v>
      </c>
      <c r="X136" s="5">
        <f>VLOOKUP(X$1&amp;$A136,배당편집!$M$2:$T$2710,8,FALSE)</f>
        <v>3.1936481988553256E-2</v>
      </c>
      <c r="Y136" s="5">
        <f>VLOOKUP(Y$1&amp;$A136,배당편집!$M$2:$T$2710,8,FALSE)</f>
        <v>0.33078739731121565</v>
      </c>
      <c r="Z136" s="5">
        <f>VLOOKUP(Z$1&amp;$A136,배당편집!$M$2:$T$2710,8,FALSE)</f>
        <v>4.9414522844583919E-2</v>
      </c>
      <c r="AA136" s="5">
        <f>VLOOKUP(AA$1&amp;$A136,배당편집!$M$2:$T$2710,8,FALSE)</f>
        <v>9.8560543306117854E-2</v>
      </c>
      <c r="AB136" s="5">
        <f>VLOOKUP(AB$1&amp;$A136,배당편집!$M$2:$T$2710,8,FALSE)</f>
        <v>9.8560543306117632E-2</v>
      </c>
      <c r="AC136" s="5">
        <f>VLOOKUP(AC$1&amp;$A136,배당편집!$M$2:$T$2710,8,FALSE)</f>
        <v>1.3541309573408933E-2</v>
      </c>
      <c r="AD136" s="5">
        <f>VLOOKUP(AD$1&amp;$A136,배당편집!$M$2:$T$2710,8,FALSE)</f>
        <v>0.14242093886584994</v>
      </c>
      <c r="AE136" s="5">
        <f>VLOOKUP(AE$1&amp;$A136,배당편집!$M$2:$T$2710,8,FALSE)</f>
        <v>9.0966078501449665E-2</v>
      </c>
      <c r="AF136" s="5">
        <f>VLOOKUP(AF$1&amp;$A136,배당편집!$M$2:$T$2710,8,FALSE)</f>
        <v>0.10097321782112156</v>
      </c>
    </row>
    <row r="137" spans="1:32" ht="16.5" customHeight="1">
      <c r="A137" s="3">
        <v>2011</v>
      </c>
      <c r="B137" s="3">
        <v>4</v>
      </c>
      <c r="C137" s="5">
        <f>VLOOKUP(C$1&amp;$A137,배당편집!$M$2:$T$2710,8,FALSE)</f>
        <v>0.21905959874044001</v>
      </c>
      <c r="D137" s="5">
        <f>VLOOKUP(D$1&amp;$A137,배당편집!$M$2:$T$2710,8,FALSE)</f>
        <v>0.11032151746146002</v>
      </c>
      <c r="E137" s="5">
        <f>VLOOKUP(E$1&amp;$A137,배당편집!$M$2:$T$2710,8,FALSE)</f>
        <v>0.1486983549970351</v>
      </c>
      <c r="F137" s="5">
        <f>VLOOKUP(F$1&amp;$A137,배당편집!$M$2:$T$2710,8,FALSE)</f>
        <v>7.1709725300183047E-2</v>
      </c>
      <c r="G137" s="5">
        <f>VLOOKUP(G$1&amp;$A137,배당편집!$M$2:$T$2710,8,FALSE)</f>
        <v>6.5762756635474151E-2</v>
      </c>
      <c r="H137" s="5">
        <f>VLOOKUP(H$1&amp;$A137,배당편집!$M$2:$T$2710,8,FALSE)</f>
        <v>9.8560543306117632E-2</v>
      </c>
      <c r="I137" s="5">
        <f>VLOOKUP(I$1&amp;$A137,배당편집!$M$2:$T$2710,8,FALSE)</f>
        <v>2.0365544264411506E-2</v>
      </c>
      <c r="J137" s="5">
        <f>VLOOKUP(J$1&amp;$A137,배당편집!$M$2:$T$2710,8,FALSE)</f>
        <v>3.5342923413427263E-2</v>
      </c>
      <c r="K137" s="5">
        <f>VLOOKUP(K$1&amp;$A137,배당편집!$M$2:$T$2710,8,FALSE)</f>
        <v>0.11970220528043152</v>
      </c>
      <c r="L137" s="5">
        <f>VLOOKUP(L$1&amp;$A137,배당편집!$M$2:$T$2710,8,FALSE)</f>
        <v>0.20112443398143132</v>
      </c>
      <c r="M137" s="5">
        <f>VLOOKUP(M$1&amp;$A137,배당편집!$M$2:$T$2710,8,FALSE)</f>
        <v>0.15557728012426564</v>
      </c>
      <c r="N137" s="5">
        <f>VLOOKUP(N$1&amp;$A137,배당편집!$M$2:$T$2710,8,FALSE)</f>
        <v>9.1686188751501918E-2</v>
      </c>
      <c r="O137" s="5">
        <f>VLOOKUP(O$1&amp;$A137,배당편집!$M$2:$T$2710,8,FALSE)</f>
        <v>0.11273004664881792</v>
      </c>
      <c r="P137" s="5">
        <f>VLOOKUP(P$1&amp;$A137,배당편집!$M$2:$T$2710,8,FALSE)</f>
        <v>0.11465829649661785</v>
      </c>
      <c r="Q137" s="5">
        <f>VLOOKUP(Q$1&amp;$A137,배당편집!$M$2:$T$2710,8,FALSE)</f>
        <v>0.10350921459993478</v>
      </c>
      <c r="R137" s="5">
        <f>VLOOKUP(R$1&amp;$A137,배당편집!$M$2:$T$2710,8,FALSE)</f>
        <v>1.539184863075338E-2</v>
      </c>
      <c r="S137" s="5">
        <f>VLOOKUP(S$1&amp;$A137,배당편집!$M$2:$T$2710,8,FALSE)</f>
        <v>5.9223841048812176E-2</v>
      </c>
      <c r="T137" s="5">
        <f>VLOOKUP(T$1&amp;$A137,배당편집!$M$2:$T$2710,8,FALSE)</f>
        <v>0.15996225865400127</v>
      </c>
      <c r="U137" s="5">
        <f>VLOOKUP(U$1&amp;$A137,배당편집!$M$2:$T$2710,8,FALSE)</f>
        <v>-0.33039461244258228</v>
      </c>
      <c r="V137" s="5">
        <f>VLOOKUP(V$1&amp;$A137,배당편집!$M$2:$T$2710,8,FALSE)</f>
        <v>0.12741141818969504</v>
      </c>
      <c r="W137" s="5">
        <f>VLOOKUP(W$1&amp;$A137,배당편집!$M$2:$T$2710,8,FALSE)</f>
        <v>0.61539426620217808</v>
      </c>
      <c r="X137" s="5">
        <f>VLOOKUP(X$1&amp;$A137,배당편집!$M$2:$T$2710,8,FALSE)</f>
        <v>3.1936481988553256E-2</v>
      </c>
      <c r="Y137" s="5">
        <f>VLOOKUP(Y$1&amp;$A137,배당편집!$M$2:$T$2710,8,FALSE)</f>
        <v>0.33078739731121565</v>
      </c>
      <c r="Z137" s="5">
        <f>VLOOKUP(Z$1&amp;$A137,배당편집!$M$2:$T$2710,8,FALSE)</f>
        <v>4.9414522844583919E-2</v>
      </c>
      <c r="AA137" s="5">
        <f>VLOOKUP(AA$1&amp;$A137,배당편집!$M$2:$T$2710,8,FALSE)</f>
        <v>9.8560543306117854E-2</v>
      </c>
      <c r="AB137" s="5">
        <f>VLOOKUP(AB$1&amp;$A137,배당편집!$M$2:$T$2710,8,FALSE)</f>
        <v>9.8560543306117632E-2</v>
      </c>
      <c r="AC137" s="5">
        <f>VLOOKUP(AC$1&amp;$A137,배당편집!$M$2:$T$2710,8,FALSE)</f>
        <v>1.3541309573408933E-2</v>
      </c>
      <c r="AD137" s="5">
        <f>VLOOKUP(AD$1&amp;$A137,배당편집!$M$2:$T$2710,8,FALSE)</f>
        <v>0.14242093886584994</v>
      </c>
      <c r="AE137" s="5">
        <f>VLOOKUP(AE$1&amp;$A137,배당편집!$M$2:$T$2710,8,FALSE)</f>
        <v>9.0966078501449665E-2</v>
      </c>
      <c r="AF137" s="5">
        <f>VLOOKUP(AF$1&amp;$A137,배당편집!$M$2:$T$2710,8,FALSE)</f>
        <v>0.10097321782112156</v>
      </c>
    </row>
    <row r="138" spans="1:32" ht="16.5" customHeight="1">
      <c r="A138" s="3">
        <v>2011</v>
      </c>
      <c r="B138" s="3">
        <v>5</v>
      </c>
      <c r="C138" s="5">
        <f>VLOOKUP(C$1&amp;$A138,배당편집!$M$2:$T$2710,8,FALSE)</f>
        <v>0.21905959874044001</v>
      </c>
      <c r="D138" s="5">
        <f>VLOOKUP(D$1&amp;$A138,배당편집!$M$2:$T$2710,8,FALSE)</f>
        <v>0.11032151746146002</v>
      </c>
      <c r="E138" s="5">
        <f>VLOOKUP(E$1&amp;$A138,배당편집!$M$2:$T$2710,8,FALSE)</f>
        <v>0.1486983549970351</v>
      </c>
      <c r="F138" s="5">
        <f>VLOOKUP(F$1&amp;$A138,배당편집!$M$2:$T$2710,8,FALSE)</f>
        <v>7.1709725300183047E-2</v>
      </c>
      <c r="G138" s="5">
        <f>VLOOKUP(G$1&amp;$A138,배당편집!$M$2:$T$2710,8,FALSE)</f>
        <v>6.5762756635474151E-2</v>
      </c>
      <c r="H138" s="5">
        <f>VLOOKUP(H$1&amp;$A138,배당편집!$M$2:$T$2710,8,FALSE)</f>
        <v>9.8560543306117632E-2</v>
      </c>
      <c r="I138" s="5">
        <f>VLOOKUP(I$1&amp;$A138,배당편집!$M$2:$T$2710,8,FALSE)</f>
        <v>2.0365544264411506E-2</v>
      </c>
      <c r="J138" s="5">
        <f>VLOOKUP(J$1&amp;$A138,배당편집!$M$2:$T$2710,8,FALSE)</f>
        <v>3.5342923413427263E-2</v>
      </c>
      <c r="K138" s="5">
        <f>VLOOKUP(K$1&amp;$A138,배당편집!$M$2:$T$2710,8,FALSE)</f>
        <v>0.11970220528043152</v>
      </c>
      <c r="L138" s="5">
        <f>VLOOKUP(L$1&amp;$A138,배당편집!$M$2:$T$2710,8,FALSE)</f>
        <v>0.20112443398143132</v>
      </c>
      <c r="M138" s="5">
        <f>VLOOKUP(M$1&amp;$A138,배당편집!$M$2:$T$2710,8,FALSE)</f>
        <v>0.15557728012426564</v>
      </c>
      <c r="N138" s="5">
        <f>VLOOKUP(N$1&amp;$A138,배당편집!$M$2:$T$2710,8,FALSE)</f>
        <v>9.1686188751501918E-2</v>
      </c>
      <c r="O138" s="5">
        <f>VLOOKUP(O$1&amp;$A138,배당편집!$M$2:$T$2710,8,FALSE)</f>
        <v>0.11273004664881792</v>
      </c>
      <c r="P138" s="5">
        <f>VLOOKUP(P$1&amp;$A138,배당편집!$M$2:$T$2710,8,FALSE)</f>
        <v>0.11465829649661785</v>
      </c>
      <c r="Q138" s="5">
        <f>VLOOKUP(Q$1&amp;$A138,배당편집!$M$2:$T$2710,8,FALSE)</f>
        <v>0.10350921459993478</v>
      </c>
      <c r="R138" s="5">
        <f>VLOOKUP(R$1&amp;$A138,배당편집!$M$2:$T$2710,8,FALSE)</f>
        <v>1.539184863075338E-2</v>
      </c>
      <c r="S138" s="5">
        <f>VLOOKUP(S$1&amp;$A138,배당편집!$M$2:$T$2710,8,FALSE)</f>
        <v>5.9223841048812176E-2</v>
      </c>
      <c r="T138" s="5">
        <f>VLOOKUP(T$1&amp;$A138,배당편집!$M$2:$T$2710,8,FALSE)</f>
        <v>0.15996225865400127</v>
      </c>
      <c r="U138" s="5">
        <f>VLOOKUP(U$1&amp;$A138,배당편집!$M$2:$T$2710,8,FALSE)</f>
        <v>-0.33039461244258228</v>
      </c>
      <c r="V138" s="5">
        <f>VLOOKUP(V$1&amp;$A138,배당편집!$M$2:$T$2710,8,FALSE)</f>
        <v>0.12741141818969504</v>
      </c>
      <c r="W138" s="5">
        <f>VLOOKUP(W$1&amp;$A138,배당편집!$M$2:$T$2710,8,FALSE)</f>
        <v>0.61539426620217808</v>
      </c>
      <c r="X138" s="5">
        <f>VLOOKUP(X$1&amp;$A138,배당편집!$M$2:$T$2710,8,FALSE)</f>
        <v>3.1936481988553256E-2</v>
      </c>
      <c r="Y138" s="5">
        <f>VLOOKUP(Y$1&amp;$A138,배당편집!$M$2:$T$2710,8,FALSE)</f>
        <v>0.33078739731121565</v>
      </c>
      <c r="Z138" s="5">
        <f>VLOOKUP(Z$1&amp;$A138,배당편집!$M$2:$T$2710,8,FALSE)</f>
        <v>4.9414522844583919E-2</v>
      </c>
      <c r="AA138" s="5">
        <f>VLOOKUP(AA$1&amp;$A138,배당편집!$M$2:$T$2710,8,FALSE)</f>
        <v>9.8560543306117854E-2</v>
      </c>
      <c r="AB138" s="5">
        <f>VLOOKUP(AB$1&amp;$A138,배당편집!$M$2:$T$2710,8,FALSE)</f>
        <v>9.8560543306117632E-2</v>
      </c>
      <c r="AC138" s="5">
        <f>VLOOKUP(AC$1&amp;$A138,배당편집!$M$2:$T$2710,8,FALSE)</f>
        <v>1.3541309573408933E-2</v>
      </c>
      <c r="AD138" s="5">
        <f>VLOOKUP(AD$1&amp;$A138,배당편집!$M$2:$T$2710,8,FALSE)</f>
        <v>0.14242093886584994</v>
      </c>
      <c r="AE138" s="5">
        <f>VLOOKUP(AE$1&amp;$A138,배당편집!$M$2:$T$2710,8,FALSE)</f>
        <v>9.0966078501449665E-2</v>
      </c>
      <c r="AF138" s="5">
        <f>VLOOKUP(AF$1&amp;$A138,배당편집!$M$2:$T$2710,8,FALSE)</f>
        <v>0.10097321782112156</v>
      </c>
    </row>
    <row r="139" spans="1:32" ht="16.5" customHeight="1">
      <c r="A139" s="3">
        <v>2011</v>
      </c>
      <c r="B139" s="3">
        <v>6</v>
      </c>
      <c r="C139" s="5">
        <f>VLOOKUP(C$1&amp;$A139,배당편집!$M$2:$T$2710,8,FALSE)</f>
        <v>0.21905959874044001</v>
      </c>
      <c r="D139" s="5">
        <f>VLOOKUP(D$1&amp;$A139,배당편집!$M$2:$T$2710,8,FALSE)</f>
        <v>0.11032151746146002</v>
      </c>
      <c r="E139" s="5">
        <f>VLOOKUP(E$1&amp;$A139,배당편집!$M$2:$T$2710,8,FALSE)</f>
        <v>0.1486983549970351</v>
      </c>
      <c r="F139" s="5">
        <f>VLOOKUP(F$1&amp;$A139,배당편집!$M$2:$T$2710,8,FALSE)</f>
        <v>7.1709725300183047E-2</v>
      </c>
      <c r="G139" s="5">
        <f>VLOOKUP(G$1&amp;$A139,배당편집!$M$2:$T$2710,8,FALSE)</f>
        <v>6.5762756635474151E-2</v>
      </c>
      <c r="H139" s="5">
        <f>VLOOKUP(H$1&amp;$A139,배당편집!$M$2:$T$2710,8,FALSE)</f>
        <v>9.8560543306117632E-2</v>
      </c>
      <c r="I139" s="5">
        <f>VLOOKUP(I$1&amp;$A139,배당편집!$M$2:$T$2710,8,FALSE)</f>
        <v>2.0365544264411506E-2</v>
      </c>
      <c r="J139" s="5">
        <f>VLOOKUP(J$1&amp;$A139,배당편집!$M$2:$T$2710,8,FALSE)</f>
        <v>3.5342923413427263E-2</v>
      </c>
      <c r="K139" s="5">
        <f>VLOOKUP(K$1&amp;$A139,배당편집!$M$2:$T$2710,8,FALSE)</f>
        <v>0.11970220528043152</v>
      </c>
      <c r="L139" s="5">
        <f>VLOOKUP(L$1&amp;$A139,배당편집!$M$2:$T$2710,8,FALSE)</f>
        <v>0.20112443398143132</v>
      </c>
      <c r="M139" s="5">
        <f>VLOOKUP(M$1&amp;$A139,배당편집!$M$2:$T$2710,8,FALSE)</f>
        <v>0.15557728012426564</v>
      </c>
      <c r="N139" s="5">
        <f>VLOOKUP(N$1&amp;$A139,배당편집!$M$2:$T$2710,8,FALSE)</f>
        <v>9.1686188751501918E-2</v>
      </c>
      <c r="O139" s="5">
        <f>VLOOKUP(O$1&amp;$A139,배당편집!$M$2:$T$2710,8,FALSE)</f>
        <v>0.11273004664881792</v>
      </c>
      <c r="P139" s="5">
        <f>VLOOKUP(P$1&amp;$A139,배당편집!$M$2:$T$2710,8,FALSE)</f>
        <v>0.11465829649661785</v>
      </c>
      <c r="Q139" s="5">
        <f>VLOOKUP(Q$1&amp;$A139,배당편집!$M$2:$T$2710,8,FALSE)</f>
        <v>0.10350921459993478</v>
      </c>
      <c r="R139" s="5">
        <f>VLOOKUP(R$1&amp;$A139,배당편집!$M$2:$T$2710,8,FALSE)</f>
        <v>1.539184863075338E-2</v>
      </c>
      <c r="S139" s="5">
        <f>VLOOKUP(S$1&amp;$A139,배당편집!$M$2:$T$2710,8,FALSE)</f>
        <v>5.9223841048812176E-2</v>
      </c>
      <c r="T139" s="5">
        <f>VLOOKUP(T$1&amp;$A139,배당편집!$M$2:$T$2710,8,FALSE)</f>
        <v>0.15996225865400127</v>
      </c>
      <c r="U139" s="5">
        <f>VLOOKUP(U$1&amp;$A139,배당편집!$M$2:$T$2710,8,FALSE)</f>
        <v>-0.33039461244258228</v>
      </c>
      <c r="V139" s="5">
        <f>VLOOKUP(V$1&amp;$A139,배당편집!$M$2:$T$2710,8,FALSE)</f>
        <v>0.12741141818969504</v>
      </c>
      <c r="W139" s="5">
        <f>VLOOKUP(W$1&amp;$A139,배당편집!$M$2:$T$2710,8,FALSE)</f>
        <v>0.61539426620217808</v>
      </c>
      <c r="X139" s="5">
        <f>VLOOKUP(X$1&amp;$A139,배당편집!$M$2:$T$2710,8,FALSE)</f>
        <v>3.1936481988553256E-2</v>
      </c>
      <c r="Y139" s="5">
        <f>VLOOKUP(Y$1&amp;$A139,배당편집!$M$2:$T$2710,8,FALSE)</f>
        <v>0.33078739731121565</v>
      </c>
      <c r="Z139" s="5">
        <f>VLOOKUP(Z$1&amp;$A139,배당편집!$M$2:$T$2710,8,FALSE)</f>
        <v>4.9414522844583919E-2</v>
      </c>
      <c r="AA139" s="5">
        <f>VLOOKUP(AA$1&amp;$A139,배당편집!$M$2:$T$2710,8,FALSE)</f>
        <v>9.8560543306117854E-2</v>
      </c>
      <c r="AB139" s="5">
        <f>VLOOKUP(AB$1&amp;$A139,배당편집!$M$2:$T$2710,8,FALSE)</f>
        <v>9.8560543306117632E-2</v>
      </c>
      <c r="AC139" s="5">
        <f>VLOOKUP(AC$1&amp;$A139,배당편집!$M$2:$T$2710,8,FALSE)</f>
        <v>1.3541309573408933E-2</v>
      </c>
      <c r="AD139" s="5">
        <f>VLOOKUP(AD$1&amp;$A139,배당편집!$M$2:$T$2710,8,FALSE)</f>
        <v>0.14242093886584994</v>
      </c>
      <c r="AE139" s="5">
        <f>VLOOKUP(AE$1&amp;$A139,배당편집!$M$2:$T$2710,8,FALSE)</f>
        <v>9.0966078501449665E-2</v>
      </c>
      <c r="AF139" s="5">
        <f>VLOOKUP(AF$1&amp;$A139,배당편집!$M$2:$T$2710,8,FALSE)</f>
        <v>0.10097321782112156</v>
      </c>
    </row>
    <row r="140" spans="1:32" ht="16.5" customHeight="1">
      <c r="A140" s="3">
        <v>2011</v>
      </c>
      <c r="B140" s="3">
        <v>7</v>
      </c>
      <c r="C140" s="5">
        <f>VLOOKUP(C$1&amp;$A140,배당편집!$M$2:$T$2710,8,FALSE)</f>
        <v>0.21905959874044001</v>
      </c>
      <c r="D140" s="5">
        <f>VLOOKUP(D$1&amp;$A140,배당편집!$M$2:$T$2710,8,FALSE)</f>
        <v>0.11032151746146002</v>
      </c>
      <c r="E140" s="5">
        <f>VLOOKUP(E$1&amp;$A140,배당편집!$M$2:$T$2710,8,FALSE)</f>
        <v>0.1486983549970351</v>
      </c>
      <c r="F140" s="5">
        <f>VLOOKUP(F$1&amp;$A140,배당편집!$M$2:$T$2710,8,FALSE)</f>
        <v>7.1709725300183047E-2</v>
      </c>
      <c r="G140" s="5">
        <f>VLOOKUP(G$1&amp;$A140,배당편집!$M$2:$T$2710,8,FALSE)</f>
        <v>6.5762756635474151E-2</v>
      </c>
      <c r="H140" s="5">
        <f>VLOOKUP(H$1&amp;$A140,배당편집!$M$2:$T$2710,8,FALSE)</f>
        <v>9.8560543306117632E-2</v>
      </c>
      <c r="I140" s="5">
        <f>VLOOKUP(I$1&amp;$A140,배당편집!$M$2:$T$2710,8,FALSE)</f>
        <v>2.0365544264411506E-2</v>
      </c>
      <c r="J140" s="5">
        <f>VLOOKUP(J$1&amp;$A140,배당편집!$M$2:$T$2710,8,FALSE)</f>
        <v>3.5342923413427263E-2</v>
      </c>
      <c r="K140" s="5">
        <f>VLOOKUP(K$1&amp;$A140,배당편집!$M$2:$T$2710,8,FALSE)</f>
        <v>0.11970220528043152</v>
      </c>
      <c r="L140" s="5">
        <f>VLOOKUP(L$1&amp;$A140,배당편집!$M$2:$T$2710,8,FALSE)</f>
        <v>0.20112443398143132</v>
      </c>
      <c r="M140" s="5">
        <f>VLOOKUP(M$1&amp;$A140,배당편집!$M$2:$T$2710,8,FALSE)</f>
        <v>0.15557728012426564</v>
      </c>
      <c r="N140" s="5">
        <f>VLOOKUP(N$1&amp;$A140,배당편집!$M$2:$T$2710,8,FALSE)</f>
        <v>9.1686188751501918E-2</v>
      </c>
      <c r="O140" s="5">
        <f>VLOOKUP(O$1&amp;$A140,배당편집!$M$2:$T$2710,8,FALSE)</f>
        <v>0.11273004664881792</v>
      </c>
      <c r="P140" s="5">
        <f>VLOOKUP(P$1&amp;$A140,배당편집!$M$2:$T$2710,8,FALSE)</f>
        <v>0.11465829649661785</v>
      </c>
      <c r="Q140" s="5">
        <f>VLOOKUP(Q$1&amp;$A140,배당편집!$M$2:$T$2710,8,FALSE)</f>
        <v>0.10350921459993478</v>
      </c>
      <c r="R140" s="5">
        <f>VLOOKUP(R$1&amp;$A140,배당편집!$M$2:$T$2710,8,FALSE)</f>
        <v>1.539184863075338E-2</v>
      </c>
      <c r="S140" s="5">
        <f>VLOOKUP(S$1&amp;$A140,배당편집!$M$2:$T$2710,8,FALSE)</f>
        <v>5.9223841048812176E-2</v>
      </c>
      <c r="T140" s="5">
        <f>VLOOKUP(T$1&amp;$A140,배당편집!$M$2:$T$2710,8,FALSE)</f>
        <v>0.15996225865400127</v>
      </c>
      <c r="U140" s="5">
        <f>VLOOKUP(U$1&amp;$A140,배당편집!$M$2:$T$2710,8,FALSE)</f>
        <v>-0.33039461244258228</v>
      </c>
      <c r="V140" s="5">
        <f>VLOOKUP(V$1&amp;$A140,배당편집!$M$2:$T$2710,8,FALSE)</f>
        <v>0.12741141818969504</v>
      </c>
      <c r="W140" s="5">
        <f>VLOOKUP(W$1&amp;$A140,배당편집!$M$2:$T$2710,8,FALSE)</f>
        <v>0.61539426620217808</v>
      </c>
      <c r="X140" s="5">
        <f>VLOOKUP(X$1&amp;$A140,배당편집!$M$2:$T$2710,8,FALSE)</f>
        <v>3.1936481988553256E-2</v>
      </c>
      <c r="Y140" s="5">
        <f>VLOOKUP(Y$1&amp;$A140,배당편집!$M$2:$T$2710,8,FALSE)</f>
        <v>0.33078739731121565</v>
      </c>
      <c r="Z140" s="5">
        <f>VLOOKUP(Z$1&amp;$A140,배당편집!$M$2:$T$2710,8,FALSE)</f>
        <v>4.9414522844583919E-2</v>
      </c>
      <c r="AA140" s="5">
        <f>VLOOKUP(AA$1&amp;$A140,배당편집!$M$2:$T$2710,8,FALSE)</f>
        <v>9.8560543306117854E-2</v>
      </c>
      <c r="AB140" s="5">
        <f>VLOOKUP(AB$1&amp;$A140,배당편집!$M$2:$T$2710,8,FALSE)</f>
        <v>9.8560543306117632E-2</v>
      </c>
      <c r="AC140" s="5">
        <f>VLOOKUP(AC$1&amp;$A140,배당편집!$M$2:$T$2710,8,FALSE)</f>
        <v>1.3541309573408933E-2</v>
      </c>
      <c r="AD140" s="5">
        <f>VLOOKUP(AD$1&amp;$A140,배당편집!$M$2:$T$2710,8,FALSE)</f>
        <v>0.14242093886584994</v>
      </c>
      <c r="AE140" s="5">
        <f>VLOOKUP(AE$1&amp;$A140,배당편집!$M$2:$T$2710,8,FALSE)</f>
        <v>9.0966078501449665E-2</v>
      </c>
      <c r="AF140" s="5">
        <f>VLOOKUP(AF$1&amp;$A140,배당편집!$M$2:$T$2710,8,FALSE)</f>
        <v>0.10097321782112156</v>
      </c>
    </row>
    <row r="141" spans="1:32" ht="16.5" customHeight="1">
      <c r="A141" s="3">
        <v>2011</v>
      </c>
      <c r="B141" s="3">
        <v>8</v>
      </c>
      <c r="C141" s="5">
        <f>VLOOKUP(C$1&amp;$A141,배당편집!$M$2:$T$2710,8,FALSE)</f>
        <v>0.21905959874044001</v>
      </c>
      <c r="D141" s="5">
        <f>VLOOKUP(D$1&amp;$A141,배당편집!$M$2:$T$2710,8,FALSE)</f>
        <v>0.11032151746146002</v>
      </c>
      <c r="E141" s="5">
        <f>VLOOKUP(E$1&amp;$A141,배당편집!$M$2:$T$2710,8,FALSE)</f>
        <v>0.1486983549970351</v>
      </c>
      <c r="F141" s="5">
        <f>VLOOKUP(F$1&amp;$A141,배당편집!$M$2:$T$2710,8,FALSE)</f>
        <v>7.1709725300183047E-2</v>
      </c>
      <c r="G141" s="5">
        <f>VLOOKUP(G$1&amp;$A141,배당편집!$M$2:$T$2710,8,FALSE)</f>
        <v>6.5762756635474151E-2</v>
      </c>
      <c r="H141" s="5">
        <f>VLOOKUP(H$1&amp;$A141,배당편집!$M$2:$T$2710,8,FALSE)</f>
        <v>9.8560543306117632E-2</v>
      </c>
      <c r="I141" s="5">
        <f>VLOOKUP(I$1&amp;$A141,배당편집!$M$2:$T$2710,8,FALSE)</f>
        <v>2.0365544264411506E-2</v>
      </c>
      <c r="J141" s="5">
        <f>VLOOKUP(J$1&amp;$A141,배당편집!$M$2:$T$2710,8,FALSE)</f>
        <v>3.5342923413427263E-2</v>
      </c>
      <c r="K141" s="5">
        <f>VLOOKUP(K$1&amp;$A141,배당편집!$M$2:$T$2710,8,FALSE)</f>
        <v>0.11970220528043152</v>
      </c>
      <c r="L141" s="5">
        <f>VLOOKUP(L$1&amp;$A141,배당편집!$M$2:$T$2710,8,FALSE)</f>
        <v>0.20112443398143132</v>
      </c>
      <c r="M141" s="5">
        <f>VLOOKUP(M$1&amp;$A141,배당편집!$M$2:$T$2710,8,FALSE)</f>
        <v>0.15557728012426564</v>
      </c>
      <c r="N141" s="5">
        <f>VLOOKUP(N$1&amp;$A141,배당편집!$M$2:$T$2710,8,FALSE)</f>
        <v>9.1686188751501918E-2</v>
      </c>
      <c r="O141" s="5">
        <f>VLOOKUP(O$1&amp;$A141,배당편집!$M$2:$T$2710,8,FALSE)</f>
        <v>0.11273004664881792</v>
      </c>
      <c r="P141" s="5">
        <f>VLOOKUP(P$1&amp;$A141,배당편집!$M$2:$T$2710,8,FALSE)</f>
        <v>0.11465829649661785</v>
      </c>
      <c r="Q141" s="5">
        <f>VLOOKUP(Q$1&amp;$A141,배당편집!$M$2:$T$2710,8,FALSE)</f>
        <v>0.10350921459993478</v>
      </c>
      <c r="R141" s="5">
        <f>VLOOKUP(R$1&amp;$A141,배당편집!$M$2:$T$2710,8,FALSE)</f>
        <v>1.539184863075338E-2</v>
      </c>
      <c r="S141" s="5">
        <f>VLOOKUP(S$1&amp;$A141,배당편집!$M$2:$T$2710,8,FALSE)</f>
        <v>5.9223841048812176E-2</v>
      </c>
      <c r="T141" s="5">
        <f>VLOOKUP(T$1&amp;$A141,배당편집!$M$2:$T$2710,8,FALSE)</f>
        <v>0.15996225865400127</v>
      </c>
      <c r="U141" s="5">
        <f>VLOOKUP(U$1&amp;$A141,배당편집!$M$2:$T$2710,8,FALSE)</f>
        <v>-0.33039461244258228</v>
      </c>
      <c r="V141" s="5">
        <f>VLOOKUP(V$1&amp;$A141,배당편집!$M$2:$T$2710,8,FALSE)</f>
        <v>0.12741141818969504</v>
      </c>
      <c r="W141" s="5">
        <f>VLOOKUP(W$1&amp;$A141,배당편집!$M$2:$T$2710,8,FALSE)</f>
        <v>0.61539426620217808</v>
      </c>
      <c r="X141" s="5">
        <f>VLOOKUP(X$1&amp;$A141,배당편집!$M$2:$T$2710,8,FALSE)</f>
        <v>3.1936481988553256E-2</v>
      </c>
      <c r="Y141" s="5">
        <f>VLOOKUP(Y$1&amp;$A141,배당편집!$M$2:$T$2710,8,FALSE)</f>
        <v>0.33078739731121565</v>
      </c>
      <c r="Z141" s="5">
        <f>VLOOKUP(Z$1&amp;$A141,배당편집!$M$2:$T$2710,8,FALSE)</f>
        <v>4.9414522844583919E-2</v>
      </c>
      <c r="AA141" s="5">
        <f>VLOOKUP(AA$1&amp;$A141,배당편집!$M$2:$T$2710,8,FALSE)</f>
        <v>9.8560543306117854E-2</v>
      </c>
      <c r="AB141" s="5">
        <f>VLOOKUP(AB$1&amp;$A141,배당편집!$M$2:$T$2710,8,FALSE)</f>
        <v>9.8560543306117632E-2</v>
      </c>
      <c r="AC141" s="5">
        <f>VLOOKUP(AC$1&amp;$A141,배당편집!$M$2:$T$2710,8,FALSE)</f>
        <v>1.3541309573408933E-2</v>
      </c>
      <c r="AD141" s="5">
        <f>VLOOKUP(AD$1&amp;$A141,배당편집!$M$2:$T$2710,8,FALSE)</f>
        <v>0.14242093886584994</v>
      </c>
      <c r="AE141" s="5">
        <f>VLOOKUP(AE$1&amp;$A141,배당편집!$M$2:$T$2710,8,FALSE)</f>
        <v>9.0966078501449665E-2</v>
      </c>
      <c r="AF141" s="5">
        <f>VLOOKUP(AF$1&amp;$A141,배당편집!$M$2:$T$2710,8,FALSE)</f>
        <v>0.10097321782112156</v>
      </c>
    </row>
    <row r="142" spans="1:32" ht="16.5" customHeight="1">
      <c r="A142" s="3">
        <v>2011</v>
      </c>
      <c r="B142" s="3">
        <v>9</v>
      </c>
      <c r="C142" s="5">
        <f>VLOOKUP(C$1&amp;$A142,배당편집!$M$2:$T$2710,8,FALSE)</f>
        <v>0.21905959874044001</v>
      </c>
      <c r="D142" s="5">
        <f>VLOOKUP(D$1&amp;$A142,배당편집!$M$2:$T$2710,8,FALSE)</f>
        <v>0.11032151746146002</v>
      </c>
      <c r="E142" s="5">
        <f>VLOOKUP(E$1&amp;$A142,배당편집!$M$2:$T$2710,8,FALSE)</f>
        <v>0.1486983549970351</v>
      </c>
      <c r="F142" s="5">
        <f>VLOOKUP(F$1&amp;$A142,배당편집!$M$2:$T$2710,8,FALSE)</f>
        <v>7.1709725300183047E-2</v>
      </c>
      <c r="G142" s="5">
        <f>VLOOKUP(G$1&amp;$A142,배당편집!$M$2:$T$2710,8,FALSE)</f>
        <v>6.5762756635474151E-2</v>
      </c>
      <c r="H142" s="5">
        <f>VLOOKUP(H$1&amp;$A142,배당편집!$M$2:$T$2710,8,FALSE)</f>
        <v>9.8560543306117632E-2</v>
      </c>
      <c r="I142" s="5">
        <f>VLOOKUP(I$1&amp;$A142,배당편집!$M$2:$T$2710,8,FALSE)</f>
        <v>2.0365544264411506E-2</v>
      </c>
      <c r="J142" s="5">
        <f>VLOOKUP(J$1&amp;$A142,배당편집!$M$2:$T$2710,8,FALSE)</f>
        <v>3.5342923413427263E-2</v>
      </c>
      <c r="K142" s="5">
        <f>VLOOKUP(K$1&amp;$A142,배당편집!$M$2:$T$2710,8,FALSE)</f>
        <v>0.11970220528043152</v>
      </c>
      <c r="L142" s="5">
        <f>VLOOKUP(L$1&amp;$A142,배당편집!$M$2:$T$2710,8,FALSE)</f>
        <v>0.20112443398143132</v>
      </c>
      <c r="M142" s="5">
        <f>VLOOKUP(M$1&amp;$A142,배당편집!$M$2:$T$2710,8,FALSE)</f>
        <v>0.15557728012426564</v>
      </c>
      <c r="N142" s="5">
        <f>VLOOKUP(N$1&amp;$A142,배당편집!$M$2:$T$2710,8,FALSE)</f>
        <v>9.1686188751501918E-2</v>
      </c>
      <c r="O142" s="5">
        <f>VLOOKUP(O$1&amp;$A142,배당편집!$M$2:$T$2710,8,FALSE)</f>
        <v>0.11273004664881792</v>
      </c>
      <c r="P142" s="5">
        <f>VLOOKUP(P$1&amp;$A142,배당편집!$M$2:$T$2710,8,FALSE)</f>
        <v>0.11465829649661785</v>
      </c>
      <c r="Q142" s="5">
        <f>VLOOKUP(Q$1&amp;$A142,배당편집!$M$2:$T$2710,8,FALSE)</f>
        <v>0.10350921459993478</v>
      </c>
      <c r="R142" s="5">
        <f>VLOOKUP(R$1&amp;$A142,배당편집!$M$2:$T$2710,8,FALSE)</f>
        <v>1.539184863075338E-2</v>
      </c>
      <c r="S142" s="5">
        <f>VLOOKUP(S$1&amp;$A142,배당편집!$M$2:$T$2710,8,FALSE)</f>
        <v>5.9223841048812176E-2</v>
      </c>
      <c r="T142" s="5">
        <f>VLOOKUP(T$1&amp;$A142,배당편집!$M$2:$T$2710,8,FALSE)</f>
        <v>0.15996225865400127</v>
      </c>
      <c r="U142" s="5">
        <f>VLOOKUP(U$1&amp;$A142,배당편집!$M$2:$T$2710,8,FALSE)</f>
        <v>-0.33039461244258228</v>
      </c>
      <c r="V142" s="5">
        <f>VLOOKUP(V$1&amp;$A142,배당편집!$M$2:$T$2710,8,FALSE)</f>
        <v>0.12741141818969504</v>
      </c>
      <c r="W142" s="5">
        <f>VLOOKUP(W$1&amp;$A142,배당편집!$M$2:$T$2710,8,FALSE)</f>
        <v>0.61539426620217808</v>
      </c>
      <c r="X142" s="5">
        <f>VLOOKUP(X$1&amp;$A142,배당편집!$M$2:$T$2710,8,FALSE)</f>
        <v>3.1936481988553256E-2</v>
      </c>
      <c r="Y142" s="5">
        <f>VLOOKUP(Y$1&amp;$A142,배당편집!$M$2:$T$2710,8,FALSE)</f>
        <v>0.33078739731121565</v>
      </c>
      <c r="Z142" s="5">
        <f>VLOOKUP(Z$1&amp;$A142,배당편집!$M$2:$T$2710,8,FALSE)</f>
        <v>4.9414522844583919E-2</v>
      </c>
      <c r="AA142" s="5">
        <f>VLOOKUP(AA$1&amp;$A142,배당편집!$M$2:$T$2710,8,FALSE)</f>
        <v>9.8560543306117854E-2</v>
      </c>
      <c r="AB142" s="5">
        <f>VLOOKUP(AB$1&amp;$A142,배당편집!$M$2:$T$2710,8,FALSE)</f>
        <v>9.8560543306117632E-2</v>
      </c>
      <c r="AC142" s="5">
        <f>VLOOKUP(AC$1&amp;$A142,배당편집!$M$2:$T$2710,8,FALSE)</f>
        <v>1.3541309573408933E-2</v>
      </c>
      <c r="AD142" s="5">
        <f>VLOOKUP(AD$1&amp;$A142,배당편집!$M$2:$T$2710,8,FALSE)</f>
        <v>0.14242093886584994</v>
      </c>
      <c r="AE142" s="5">
        <f>VLOOKUP(AE$1&amp;$A142,배당편집!$M$2:$T$2710,8,FALSE)</f>
        <v>9.0966078501449665E-2</v>
      </c>
      <c r="AF142" s="5">
        <f>VLOOKUP(AF$1&amp;$A142,배당편집!$M$2:$T$2710,8,FALSE)</f>
        <v>0.10097321782112156</v>
      </c>
    </row>
    <row r="143" spans="1:32" ht="16.5" customHeight="1">
      <c r="A143" s="3">
        <v>2011</v>
      </c>
      <c r="B143" s="3">
        <v>10</v>
      </c>
      <c r="C143" s="5">
        <f>VLOOKUP(C$1&amp;$A143,배당편집!$M$2:$T$2710,8,FALSE)</f>
        <v>0.21905959874044001</v>
      </c>
      <c r="D143" s="5">
        <f>VLOOKUP(D$1&amp;$A143,배당편집!$M$2:$T$2710,8,FALSE)</f>
        <v>0.11032151746146002</v>
      </c>
      <c r="E143" s="5">
        <f>VLOOKUP(E$1&amp;$A143,배당편집!$M$2:$T$2710,8,FALSE)</f>
        <v>0.1486983549970351</v>
      </c>
      <c r="F143" s="5">
        <f>VLOOKUP(F$1&amp;$A143,배당편집!$M$2:$T$2710,8,FALSE)</f>
        <v>7.1709725300183047E-2</v>
      </c>
      <c r="G143" s="5">
        <f>VLOOKUP(G$1&amp;$A143,배당편집!$M$2:$T$2710,8,FALSE)</f>
        <v>6.5762756635474151E-2</v>
      </c>
      <c r="H143" s="5">
        <f>VLOOKUP(H$1&amp;$A143,배당편집!$M$2:$T$2710,8,FALSE)</f>
        <v>9.8560543306117632E-2</v>
      </c>
      <c r="I143" s="5">
        <f>VLOOKUP(I$1&amp;$A143,배당편집!$M$2:$T$2710,8,FALSE)</f>
        <v>2.0365544264411506E-2</v>
      </c>
      <c r="J143" s="5">
        <f>VLOOKUP(J$1&amp;$A143,배당편집!$M$2:$T$2710,8,FALSE)</f>
        <v>3.5342923413427263E-2</v>
      </c>
      <c r="K143" s="5">
        <f>VLOOKUP(K$1&amp;$A143,배당편집!$M$2:$T$2710,8,FALSE)</f>
        <v>0.11970220528043152</v>
      </c>
      <c r="L143" s="5">
        <f>VLOOKUP(L$1&amp;$A143,배당편집!$M$2:$T$2710,8,FALSE)</f>
        <v>0.20112443398143132</v>
      </c>
      <c r="M143" s="5">
        <f>VLOOKUP(M$1&amp;$A143,배당편집!$M$2:$T$2710,8,FALSE)</f>
        <v>0.15557728012426564</v>
      </c>
      <c r="N143" s="5">
        <f>VLOOKUP(N$1&amp;$A143,배당편집!$M$2:$T$2710,8,FALSE)</f>
        <v>9.1686188751501918E-2</v>
      </c>
      <c r="O143" s="5">
        <f>VLOOKUP(O$1&amp;$A143,배당편집!$M$2:$T$2710,8,FALSE)</f>
        <v>0.11273004664881792</v>
      </c>
      <c r="P143" s="5">
        <f>VLOOKUP(P$1&amp;$A143,배당편집!$M$2:$T$2710,8,FALSE)</f>
        <v>0.11465829649661785</v>
      </c>
      <c r="Q143" s="5">
        <f>VLOOKUP(Q$1&amp;$A143,배당편집!$M$2:$T$2710,8,FALSE)</f>
        <v>0.10350921459993478</v>
      </c>
      <c r="R143" s="5">
        <f>VLOOKUP(R$1&amp;$A143,배당편집!$M$2:$T$2710,8,FALSE)</f>
        <v>1.539184863075338E-2</v>
      </c>
      <c r="S143" s="5">
        <f>VLOOKUP(S$1&amp;$A143,배당편집!$M$2:$T$2710,8,FALSE)</f>
        <v>5.9223841048812176E-2</v>
      </c>
      <c r="T143" s="5">
        <f>VLOOKUP(T$1&amp;$A143,배당편집!$M$2:$T$2710,8,FALSE)</f>
        <v>0.15996225865400127</v>
      </c>
      <c r="U143" s="5">
        <f>VLOOKUP(U$1&amp;$A143,배당편집!$M$2:$T$2710,8,FALSE)</f>
        <v>-0.33039461244258228</v>
      </c>
      <c r="V143" s="5">
        <f>VLOOKUP(V$1&amp;$A143,배당편집!$M$2:$T$2710,8,FALSE)</f>
        <v>0.12741141818969504</v>
      </c>
      <c r="W143" s="5">
        <f>VLOOKUP(W$1&amp;$A143,배당편집!$M$2:$T$2710,8,FALSE)</f>
        <v>0.61539426620217808</v>
      </c>
      <c r="X143" s="5">
        <f>VLOOKUP(X$1&amp;$A143,배당편집!$M$2:$T$2710,8,FALSE)</f>
        <v>3.1936481988553256E-2</v>
      </c>
      <c r="Y143" s="5">
        <f>VLOOKUP(Y$1&amp;$A143,배당편집!$M$2:$T$2710,8,FALSE)</f>
        <v>0.33078739731121565</v>
      </c>
      <c r="Z143" s="5">
        <f>VLOOKUP(Z$1&amp;$A143,배당편집!$M$2:$T$2710,8,FALSE)</f>
        <v>4.9414522844583919E-2</v>
      </c>
      <c r="AA143" s="5">
        <f>VLOOKUP(AA$1&amp;$A143,배당편집!$M$2:$T$2710,8,FALSE)</f>
        <v>9.8560543306117854E-2</v>
      </c>
      <c r="AB143" s="5">
        <f>VLOOKUP(AB$1&amp;$A143,배당편집!$M$2:$T$2710,8,FALSE)</f>
        <v>9.8560543306117632E-2</v>
      </c>
      <c r="AC143" s="5">
        <f>VLOOKUP(AC$1&amp;$A143,배당편집!$M$2:$T$2710,8,FALSE)</f>
        <v>1.3541309573408933E-2</v>
      </c>
      <c r="AD143" s="5">
        <f>VLOOKUP(AD$1&amp;$A143,배당편집!$M$2:$T$2710,8,FALSE)</f>
        <v>0.14242093886584994</v>
      </c>
      <c r="AE143" s="5">
        <f>VLOOKUP(AE$1&amp;$A143,배당편집!$M$2:$T$2710,8,FALSE)</f>
        <v>9.0966078501449665E-2</v>
      </c>
      <c r="AF143" s="5">
        <f>VLOOKUP(AF$1&amp;$A143,배당편집!$M$2:$T$2710,8,FALSE)</f>
        <v>0.10097321782112156</v>
      </c>
    </row>
    <row r="144" spans="1:32" ht="16.5" customHeight="1">
      <c r="A144" s="3">
        <v>2011</v>
      </c>
      <c r="B144" s="3">
        <v>11</v>
      </c>
      <c r="C144" s="5">
        <f>VLOOKUP(C$1&amp;$A144,배당편집!$M$2:$T$2710,8,FALSE)</f>
        <v>0.21905959874044001</v>
      </c>
      <c r="D144" s="5">
        <f>VLOOKUP(D$1&amp;$A144,배당편집!$M$2:$T$2710,8,FALSE)</f>
        <v>0.11032151746146002</v>
      </c>
      <c r="E144" s="5">
        <f>VLOOKUP(E$1&amp;$A144,배당편집!$M$2:$T$2710,8,FALSE)</f>
        <v>0.1486983549970351</v>
      </c>
      <c r="F144" s="5">
        <f>VLOOKUP(F$1&amp;$A144,배당편집!$M$2:$T$2710,8,FALSE)</f>
        <v>7.1709725300183047E-2</v>
      </c>
      <c r="G144" s="5">
        <f>VLOOKUP(G$1&amp;$A144,배당편집!$M$2:$T$2710,8,FALSE)</f>
        <v>6.5762756635474151E-2</v>
      </c>
      <c r="H144" s="5">
        <f>VLOOKUP(H$1&amp;$A144,배당편집!$M$2:$T$2710,8,FALSE)</f>
        <v>9.8560543306117632E-2</v>
      </c>
      <c r="I144" s="5">
        <f>VLOOKUP(I$1&amp;$A144,배당편집!$M$2:$T$2710,8,FALSE)</f>
        <v>2.0365544264411506E-2</v>
      </c>
      <c r="J144" s="5">
        <f>VLOOKUP(J$1&amp;$A144,배당편집!$M$2:$T$2710,8,FALSE)</f>
        <v>3.5342923413427263E-2</v>
      </c>
      <c r="K144" s="5">
        <f>VLOOKUP(K$1&amp;$A144,배당편집!$M$2:$T$2710,8,FALSE)</f>
        <v>0.11970220528043152</v>
      </c>
      <c r="L144" s="5">
        <f>VLOOKUP(L$1&amp;$A144,배당편집!$M$2:$T$2710,8,FALSE)</f>
        <v>0.20112443398143132</v>
      </c>
      <c r="M144" s="5">
        <f>VLOOKUP(M$1&amp;$A144,배당편집!$M$2:$T$2710,8,FALSE)</f>
        <v>0.15557728012426564</v>
      </c>
      <c r="N144" s="5">
        <f>VLOOKUP(N$1&amp;$A144,배당편집!$M$2:$T$2710,8,FALSE)</f>
        <v>9.1686188751501918E-2</v>
      </c>
      <c r="O144" s="5">
        <f>VLOOKUP(O$1&amp;$A144,배당편집!$M$2:$T$2710,8,FALSE)</f>
        <v>0.11273004664881792</v>
      </c>
      <c r="P144" s="5">
        <f>VLOOKUP(P$1&amp;$A144,배당편집!$M$2:$T$2710,8,FALSE)</f>
        <v>0.11465829649661785</v>
      </c>
      <c r="Q144" s="5">
        <f>VLOOKUP(Q$1&amp;$A144,배당편집!$M$2:$T$2710,8,FALSE)</f>
        <v>0.10350921459993478</v>
      </c>
      <c r="R144" s="5">
        <f>VLOOKUP(R$1&amp;$A144,배당편집!$M$2:$T$2710,8,FALSE)</f>
        <v>1.539184863075338E-2</v>
      </c>
      <c r="S144" s="5">
        <f>VLOOKUP(S$1&amp;$A144,배당편집!$M$2:$T$2710,8,FALSE)</f>
        <v>5.9223841048812176E-2</v>
      </c>
      <c r="T144" s="5">
        <f>VLOOKUP(T$1&amp;$A144,배당편집!$M$2:$T$2710,8,FALSE)</f>
        <v>0.15996225865400127</v>
      </c>
      <c r="U144" s="5">
        <f>VLOOKUP(U$1&amp;$A144,배당편집!$M$2:$T$2710,8,FALSE)</f>
        <v>-0.33039461244258228</v>
      </c>
      <c r="V144" s="5">
        <f>VLOOKUP(V$1&amp;$A144,배당편집!$M$2:$T$2710,8,FALSE)</f>
        <v>0.12741141818969504</v>
      </c>
      <c r="W144" s="5">
        <f>VLOOKUP(W$1&amp;$A144,배당편집!$M$2:$T$2710,8,FALSE)</f>
        <v>0.61539426620217808</v>
      </c>
      <c r="X144" s="5">
        <f>VLOOKUP(X$1&amp;$A144,배당편집!$M$2:$T$2710,8,FALSE)</f>
        <v>3.1936481988553256E-2</v>
      </c>
      <c r="Y144" s="5">
        <f>VLOOKUP(Y$1&amp;$A144,배당편집!$M$2:$T$2710,8,FALSE)</f>
        <v>0.33078739731121565</v>
      </c>
      <c r="Z144" s="5">
        <f>VLOOKUP(Z$1&amp;$A144,배당편집!$M$2:$T$2710,8,FALSE)</f>
        <v>4.9414522844583919E-2</v>
      </c>
      <c r="AA144" s="5">
        <f>VLOOKUP(AA$1&amp;$A144,배당편집!$M$2:$T$2710,8,FALSE)</f>
        <v>9.8560543306117854E-2</v>
      </c>
      <c r="AB144" s="5">
        <f>VLOOKUP(AB$1&amp;$A144,배당편집!$M$2:$T$2710,8,FALSE)</f>
        <v>9.8560543306117632E-2</v>
      </c>
      <c r="AC144" s="5">
        <f>VLOOKUP(AC$1&amp;$A144,배당편집!$M$2:$T$2710,8,FALSE)</f>
        <v>1.3541309573408933E-2</v>
      </c>
      <c r="AD144" s="5">
        <f>VLOOKUP(AD$1&amp;$A144,배당편집!$M$2:$T$2710,8,FALSE)</f>
        <v>0.14242093886584994</v>
      </c>
      <c r="AE144" s="5">
        <f>VLOOKUP(AE$1&amp;$A144,배당편집!$M$2:$T$2710,8,FALSE)</f>
        <v>9.0966078501449665E-2</v>
      </c>
      <c r="AF144" s="5">
        <f>VLOOKUP(AF$1&amp;$A144,배당편집!$M$2:$T$2710,8,FALSE)</f>
        <v>0.10097321782112156</v>
      </c>
    </row>
    <row r="145" spans="1:32" ht="16.5" customHeight="1">
      <c r="A145" s="3">
        <v>2011</v>
      </c>
      <c r="B145" s="3">
        <v>12</v>
      </c>
      <c r="C145" s="5">
        <f>VLOOKUP(C$1&amp;$A145,배당편집!$M$2:$T$2710,8,FALSE)</f>
        <v>0.21905959874044001</v>
      </c>
      <c r="D145" s="5">
        <f>VLOOKUP(D$1&amp;$A145,배당편집!$M$2:$T$2710,8,FALSE)</f>
        <v>0.11032151746146002</v>
      </c>
      <c r="E145" s="5">
        <f>VLOOKUP(E$1&amp;$A145,배당편집!$M$2:$T$2710,8,FALSE)</f>
        <v>0.1486983549970351</v>
      </c>
      <c r="F145" s="5">
        <f>VLOOKUP(F$1&amp;$A145,배당편집!$M$2:$T$2710,8,FALSE)</f>
        <v>7.1709725300183047E-2</v>
      </c>
      <c r="G145" s="5">
        <f>VLOOKUP(G$1&amp;$A145,배당편집!$M$2:$T$2710,8,FALSE)</f>
        <v>6.5762756635474151E-2</v>
      </c>
      <c r="H145" s="5">
        <f>VLOOKUP(H$1&amp;$A145,배당편집!$M$2:$T$2710,8,FALSE)</f>
        <v>9.8560543306117632E-2</v>
      </c>
      <c r="I145" s="5">
        <f>VLOOKUP(I$1&amp;$A145,배당편집!$M$2:$T$2710,8,FALSE)</f>
        <v>2.0365544264411506E-2</v>
      </c>
      <c r="J145" s="5">
        <f>VLOOKUP(J$1&amp;$A145,배당편집!$M$2:$T$2710,8,FALSE)</f>
        <v>3.5342923413427263E-2</v>
      </c>
      <c r="K145" s="5">
        <f>VLOOKUP(K$1&amp;$A145,배당편집!$M$2:$T$2710,8,FALSE)</f>
        <v>0.11970220528043152</v>
      </c>
      <c r="L145" s="5">
        <f>VLOOKUP(L$1&amp;$A145,배당편집!$M$2:$T$2710,8,FALSE)</f>
        <v>0.20112443398143132</v>
      </c>
      <c r="M145" s="5">
        <f>VLOOKUP(M$1&amp;$A145,배당편집!$M$2:$T$2710,8,FALSE)</f>
        <v>0.15557728012426564</v>
      </c>
      <c r="N145" s="5">
        <f>VLOOKUP(N$1&amp;$A145,배당편집!$M$2:$T$2710,8,FALSE)</f>
        <v>9.1686188751501918E-2</v>
      </c>
      <c r="O145" s="5">
        <f>VLOOKUP(O$1&amp;$A145,배당편집!$M$2:$T$2710,8,FALSE)</f>
        <v>0.11273004664881792</v>
      </c>
      <c r="P145" s="5">
        <f>VLOOKUP(P$1&amp;$A145,배당편집!$M$2:$T$2710,8,FALSE)</f>
        <v>0.11465829649661785</v>
      </c>
      <c r="Q145" s="5">
        <f>VLOOKUP(Q$1&amp;$A145,배당편집!$M$2:$T$2710,8,FALSE)</f>
        <v>0.10350921459993478</v>
      </c>
      <c r="R145" s="5">
        <f>VLOOKUP(R$1&amp;$A145,배당편집!$M$2:$T$2710,8,FALSE)</f>
        <v>1.539184863075338E-2</v>
      </c>
      <c r="S145" s="5">
        <f>VLOOKUP(S$1&amp;$A145,배당편집!$M$2:$T$2710,8,FALSE)</f>
        <v>5.9223841048812176E-2</v>
      </c>
      <c r="T145" s="5">
        <f>VLOOKUP(T$1&amp;$A145,배당편집!$M$2:$T$2710,8,FALSE)</f>
        <v>0.15996225865400127</v>
      </c>
      <c r="U145" s="5">
        <f>VLOOKUP(U$1&amp;$A145,배당편집!$M$2:$T$2710,8,FALSE)</f>
        <v>-0.33039461244258228</v>
      </c>
      <c r="V145" s="5">
        <f>VLOOKUP(V$1&amp;$A145,배당편집!$M$2:$T$2710,8,FALSE)</f>
        <v>0.12741141818969504</v>
      </c>
      <c r="W145" s="5">
        <f>VLOOKUP(W$1&amp;$A145,배당편집!$M$2:$T$2710,8,FALSE)</f>
        <v>0.61539426620217808</v>
      </c>
      <c r="X145" s="5">
        <f>VLOOKUP(X$1&amp;$A145,배당편집!$M$2:$T$2710,8,FALSE)</f>
        <v>3.1936481988553256E-2</v>
      </c>
      <c r="Y145" s="5">
        <f>VLOOKUP(Y$1&amp;$A145,배당편집!$M$2:$T$2710,8,FALSE)</f>
        <v>0.33078739731121565</v>
      </c>
      <c r="Z145" s="5">
        <f>VLOOKUP(Z$1&amp;$A145,배당편집!$M$2:$T$2710,8,FALSE)</f>
        <v>4.9414522844583919E-2</v>
      </c>
      <c r="AA145" s="5">
        <f>VLOOKUP(AA$1&amp;$A145,배당편집!$M$2:$T$2710,8,FALSE)</f>
        <v>9.8560543306117854E-2</v>
      </c>
      <c r="AB145" s="5">
        <f>VLOOKUP(AB$1&amp;$A145,배당편집!$M$2:$T$2710,8,FALSE)</f>
        <v>9.8560543306117632E-2</v>
      </c>
      <c r="AC145" s="5">
        <f>VLOOKUP(AC$1&amp;$A145,배당편집!$M$2:$T$2710,8,FALSE)</f>
        <v>1.3541309573408933E-2</v>
      </c>
      <c r="AD145" s="5">
        <f>VLOOKUP(AD$1&amp;$A145,배당편집!$M$2:$T$2710,8,FALSE)</f>
        <v>0.14242093886584994</v>
      </c>
      <c r="AE145" s="5">
        <f>VLOOKUP(AE$1&amp;$A145,배당편집!$M$2:$T$2710,8,FALSE)</f>
        <v>9.0966078501449665E-2</v>
      </c>
      <c r="AF145" s="5">
        <f>VLOOKUP(AF$1&amp;$A145,배당편집!$M$2:$T$2710,8,FALSE)</f>
        <v>0.10097321782112156</v>
      </c>
    </row>
    <row r="146" spans="1:32" ht="16.5" customHeight="1">
      <c r="A146" s="3">
        <v>2010</v>
      </c>
      <c r="B146" s="3">
        <v>1</v>
      </c>
      <c r="C146" s="5">
        <f>VLOOKUP(C$1&amp;$A146,배당편집!$M$2:$T$2710,8,FALSE)</f>
        <v>0.21235184842949906</v>
      </c>
      <c r="D146" s="5">
        <f>VLOOKUP(D$1&amp;$A146,배당편집!$M$2:$T$2710,8,FALSE)</f>
        <v>0.11628841548417412</v>
      </c>
      <c r="E146" s="5">
        <f>VLOOKUP(E$1&amp;$A146,배당편집!$M$2:$T$2710,8,FALSE)</f>
        <v>0.18466445254224406</v>
      </c>
      <c r="F146" s="5">
        <f>VLOOKUP(F$1&amp;$A146,배당편집!$M$2:$T$2710,8,FALSE)</f>
        <v>3.3406482938779236E-2</v>
      </c>
      <c r="G146" s="5">
        <f>VLOOKUP(G$1&amp;$A146,배당편집!$M$2:$T$2710,8,FALSE)</f>
        <v>9.2388464140372939E-2</v>
      </c>
      <c r="H146" s="5">
        <f>VLOOKUP(H$1&amp;$A146,배당편집!$M$2:$T$2710,8,FALSE)</f>
        <v>0.11196158593857897</v>
      </c>
      <c r="I146" s="5">
        <f>VLOOKUP(I$1&amp;$A146,배당편집!$M$2:$T$2710,8,FALSE)</f>
        <v>2.3836255539609663E-2</v>
      </c>
      <c r="J146" s="5">
        <f>VLOOKUP(J$1&amp;$A146,배당편집!$M$2:$T$2710,8,FALSE)</f>
        <v>3.6519209464036084E-2</v>
      </c>
      <c r="K146" s="5">
        <f>VLOOKUP(K$1&amp;$A146,배당편집!$M$2:$T$2710,8,FALSE)</f>
        <v>0.15424788082530827</v>
      </c>
      <c r="L146" s="5">
        <f>VLOOKUP(L$1&amp;$A146,배당편집!$M$2:$T$2710,8,FALSE)</f>
        <v>0.16271101521949816</v>
      </c>
      <c r="M146" s="5">
        <f>VLOOKUP(M$1&amp;$A146,배당편집!$M$2:$T$2710,8,FALSE)</f>
        <v>0.17232150472580798</v>
      </c>
      <c r="N146" s="5">
        <f>VLOOKUP(N$1&amp;$A146,배당편집!$M$2:$T$2710,8,FALSE)</f>
        <v>0.10053875638178189</v>
      </c>
      <c r="O146" s="5">
        <f>VLOOKUP(O$1&amp;$A146,배당편집!$M$2:$T$2710,8,FALSE)</f>
        <v>8.8953212241389856E-2</v>
      </c>
      <c r="P146" s="5">
        <f>VLOOKUP(P$1&amp;$A146,배당편집!$M$2:$T$2710,8,FALSE)</f>
        <v>0.11970220528043152</v>
      </c>
      <c r="Q146" s="5">
        <f>VLOOKUP(Q$1&amp;$A146,배당편집!$M$2:$T$2710,8,FALSE)</f>
        <v>0.11447477728186639</v>
      </c>
      <c r="R146" s="5">
        <f>VLOOKUP(R$1&amp;$A146,배당편집!$M$2:$T$2710,8,FALSE)</f>
        <v>1.5632576929179187E-2</v>
      </c>
      <c r="S146" s="5">
        <f>VLOOKUP(S$1&amp;$A146,배당편집!$M$2:$T$2710,8,FALSE)</f>
        <v>5.5812421240159171E-2</v>
      </c>
      <c r="T146" s="5">
        <f>VLOOKUP(T$1&amp;$A146,배당편집!$M$2:$T$2710,8,FALSE)</f>
        <v>0.16118714233316211</v>
      </c>
      <c r="U146" s="5">
        <f>VLOOKUP(U$1&amp;$A146,배당편집!$M$2:$T$2710,8,FALSE)</f>
        <v>-0.41139342933130763</v>
      </c>
      <c r="V146" s="5">
        <f>VLOOKUP(V$1&amp;$A146,배당편집!$M$2:$T$2710,8,FALSE)</f>
        <v>0.10066508085209658</v>
      </c>
      <c r="W146" s="5">
        <f>VLOOKUP(W$1&amp;$A146,배당편집!$M$2:$T$2710,8,FALSE)</f>
        <v>0.68293271816929924</v>
      </c>
      <c r="X146" s="5">
        <f>VLOOKUP(X$1&amp;$A146,배당편집!$M$2:$T$2710,8,FALSE)</f>
        <v>3.7137289336648172E-2</v>
      </c>
      <c r="Y146" s="5">
        <f>VLOOKUP(Y$1&amp;$A146,배당편집!$M$2:$T$2710,8,FALSE)</f>
        <v>0.30258554234867607</v>
      </c>
      <c r="Z146" s="5">
        <f>VLOOKUP(Z$1&amp;$A146,배당편집!$M$2:$T$2710,8,FALSE)</f>
        <v>5.1547496797280434E-2</v>
      </c>
      <c r="AA146" s="5">
        <f>VLOOKUP(AA$1&amp;$A146,배당편집!$M$2:$T$2710,8,FALSE)</f>
        <v>0.12030033714161736</v>
      </c>
      <c r="AB146" s="5">
        <f>VLOOKUP(AB$1&amp;$A146,배당편집!$M$2:$T$2710,8,FALSE)</f>
        <v>8.9976987048345336E-2</v>
      </c>
      <c r="AC146" s="5">
        <f>VLOOKUP(AC$1&amp;$A146,배당편집!$M$2:$T$2710,8,FALSE)</f>
        <v>8.621965815340138E-3</v>
      </c>
      <c r="AD146" s="5">
        <f>VLOOKUP(AD$1&amp;$A146,배당편집!$M$2:$T$2710,8,FALSE)</f>
        <v>0.17011741694575178</v>
      </c>
      <c r="AE146" s="5">
        <f>VLOOKUP(AE$1&amp;$A146,배당편집!$M$2:$T$2710,8,FALSE)</f>
        <v>4.9414522844583919E-2</v>
      </c>
      <c r="AF146" s="5">
        <f>VLOOKUP(AF$1&amp;$A146,배당편집!$M$2:$T$2710,8,FALSE)</f>
        <v>0.10197228772148015</v>
      </c>
    </row>
    <row r="147" spans="1:32" ht="16.5" customHeight="1">
      <c r="A147" s="3">
        <v>2010</v>
      </c>
      <c r="B147" s="3">
        <v>2</v>
      </c>
      <c r="C147" s="5">
        <f>VLOOKUP(C$1&amp;$A147,배당편집!$M$2:$T$2710,8,FALSE)</f>
        <v>0.21235184842949906</v>
      </c>
      <c r="D147" s="5">
        <f>VLOOKUP(D$1&amp;$A147,배당편집!$M$2:$T$2710,8,FALSE)</f>
        <v>0.11628841548417412</v>
      </c>
      <c r="E147" s="5">
        <f>VLOOKUP(E$1&amp;$A147,배당편집!$M$2:$T$2710,8,FALSE)</f>
        <v>0.18466445254224406</v>
      </c>
      <c r="F147" s="5">
        <f>VLOOKUP(F$1&amp;$A147,배당편집!$M$2:$T$2710,8,FALSE)</f>
        <v>3.3406482938779236E-2</v>
      </c>
      <c r="G147" s="5">
        <f>VLOOKUP(G$1&amp;$A147,배당편집!$M$2:$T$2710,8,FALSE)</f>
        <v>9.2388464140372939E-2</v>
      </c>
      <c r="H147" s="5">
        <f>VLOOKUP(H$1&amp;$A147,배당편집!$M$2:$T$2710,8,FALSE)</f>
        <v>0.11196158593857897</v>
      </c>
      <c r="I147" s="5">
        <f>VLOOKUP(I$1&amp;$A147,배당편집!$M$2:$T$2710,8,FALSE)</f>
        <v>2.3836255539609663E-2</v>
      </c>
      <c r="J147" s="5">
        <f>VLOOKUP(J$1&amp;$A147,배당편집!$M$2:$T$2710,8,FALSE)</f>
        <v>3.6519209464036084E-2</v>
      </c>
      <c r="K147" s="5">
        <f>VLOOKUP(K$1&amp;$A147,배당편집!$M$2:$T$2710,8,FALSE)</f>
        <v>0.15424788082530827</v>
      </c>
      <c r="L147" s="5">
        <f>VLOOKUP(L$1&amp;$A147,배당편집!$M$2:$T$2710,8,FALSE)</f>
        <v>0.16271101521949816</v>
      </c>
      <c r="M147" s="5">
        <f>VLOOKUP(M$1&amp;$A147,배당편집!$M$2:$T$2710,8,FALSE)</f>
        <v>0.17232150472580798</v>
      </c>
      <c r="N147" s="5">
        <f>VLOOKUP(N$1&amp;$A147,배당편집!$M$2:$T$2710,8,FALSE)</f>
        <v>0.10053875638178189</v>
      </c>
      <c r="O147" s="5">
        <f>VLOOKUP(O$1&amp;$A147,배당편집!$M$2:$T$2710,8,FALSE)</f>
        <v>8.8953212241389856E-2</v>
      </c>
      <c r="P147" s="5">
        <f>VLOOKUP(P$1&amp;$A147,배당편집!$M$2:$T$2710,8,FALSE)</f>
        <v>0.11970220528043152</v>
      </c>
      <c r="Q147" s="5">
        <f>VLOOKUP(Q$1&amp;$A147,배당편집!$M$2:$T$2710,8,FALSE)</f>
        <v>0.11447477728186639</v>
      </c>
      <c r="R147" s="5">
        <f>VLOOKUP(R$1&amp;$A147,배당편집!$M$2:$T$2710,8,FALSE)</f>
        <v>1.5632576929179187E-2</v>
      </c>
      <c r="S147" s="5">
        <f>VLOOKUP(S$1&amp;$A147,배당편집!$M$2:$T$2710,8,FALSE)</f>
        <v>5.5812421240159171E-2</v>
      </c>
      <c r="T147" s="5">
        <f>VLOOKUP(T$1&amp;$A147,배당편집!$M$2:$T$2710,8,FALSE)</f>
        <v>0.16118714233316211</v>
      </c>
      <c r="U147" s="5">
        <f>VLOOKUP(U$1&amp;$A147,배당편집!$M$2:$T$2710,8,FALSE)</f>
        <v>-0.41139342933130763</v>
      </c>
      <c r="V147" s="5">
        <f>VLOOKUP(V$1&amp;$A147,배당편집!$M$2:$T$2710,8,FALSE)</f>
        <v>0.10066508085209658</v>
      </c>
      <c r="W147" s="5">
        <f>VLOOKUP(W$1&amp;$A147,배당편집!$M$2:$T$2710,8,FALSE)</f>
        <v>0.68293271816929924</v>
      </c>
      <c r="X147" s="5">
        <f>VLOOKUP(X$1&amp;$A147,배당편집!$M$2:$T$2710,8,FALSE)</f>
        <v>3.7137289336648172E-2</v>
      </c>
      <c r="Y147" s="5">
        <f>VLOOKUP(Y$1&amp;$A147,배당편집!$M$2:$T$2710,8,FALSE)</f>
        <v>0.30258554234867607</v>
      </c>
      <c r="Z147" s="5">
        <f>VLOOKUP(Z$1&amp;$A147,배당편집!$M$2:$T$2710,8,FALSE)</f>
        <v>5.1547496797280434E-2</v>
      </c>
      <c r="AA147" s="5">
        <f>VLOOKUP(AA$1&amp;$A147,배당편집!$M$2:$T$2710,8,FALSE)</f>
        <v>0.12030033714161736</v>
      </c>
      <c r="AB147" s="5">
        <f>VLOOKUP(AB$1&amp;$A147,배당편집!$M$2:$T$2710,8,FALSE)</f>
        <v>8.9976987048345336E-2</v>
      </c>
      <c r="AC147" s="5">
        <f>VLOOKUP(AC$1&amp;$A147,배당편집!$M$2:$T$2710,8,FALSE)</f>
        <v>8.621965815340138E-3</v>
      </c>
      <c r="AD147" s="5">
        <f>VLOOKUP(AD$1&amp;$A147,배당편집!$M$2:$T$2710,8,FALSE)</f>
        <v>0.17011741694575178</v>
      </c>
      <c r="AE147" s="5">
        <f>VLOOKUP(AE$1&amp;$A147,배당편집!$M$2:$T$2710,8,FALSE)</f>
        <v>4.9414522844583919E-2</v>
      </c>
      <c r="AF147" s="5">
        <f>VLOOKUP(AF$1&amp;$A147,배당편집!$M$2:$T$2710,8,FALSE)</f>
        <v>0.10197228772148015</v>
      </c>
    </row>
    <row r="148" spans="1:32" ht="16.5" customHeight="1">
      <c r="A148" s="3">
        <v>2010</v>
      </c>
      <c r="B148" s="3">
        <v>3</v>
      </c>
      <c r="C148" s="5">
        <f>VLOOKUP(C$1&amp;$A148,배당편집!$M$2:$T$2710,8,FALSE)</f>
        <v>0.21235184842949906</v>
      </c>
      <c r="D148" s="5">
        <f>VLOOKUP(D$1&amp;$A148,배당편집!$M$2:$T$2710,8,FALSE)</f>
        <v>0.11628841548417412</v>
      </c>
      <c r="E148" s="5">
        <f>VLOOKUP(E$1&amp;$A148,배당편집!$M$2:$T$2710,8,FALSE)</f>
        <v>0.18466445254224406</v>
      </c>
      <c r="F148" s="5">
        <f>VLOOKUP(F$1&amp;$A148,배당편집!$M$2:$T$2710,8,FALSE)</f>
        <v>3.3406482938779236E-2</v>
      </c>
      <c r="G148" s="5">
        <f>VLOOKUP(G$1&amp;$A148,배당편집!$M$2:$T$2710,8,FALSE)</f>
        <v>9.2388464140372939E-2</v>
      </c>
      <c r="H148" s="5">
        <f>VLOOKUP(H$1&amp;$A148,배당편집!$M$2:$T$2710,8,FALSE)</f>
        <v>0.11196158593857897</v>
      </c>
      <c r="I148" s="5">
        <f>VLOOKUP(I$1&amp;$A148,배당편집!$M$2:$T$2710,8,FALSE)</f>
        <v>2.3836255539609663E-2</v>
      </c>
      <c r="J148" s="5">
        <f>VLOOKUP(J$1&amp;$A148,배당편집!$M$2:$T$2710,8,FALSE)</f>
        <v>3.6519209464036084E-2</v>
      </c>
      <c r="K148" s="5">
        <f>VLOOKUP(K$1&amp;$A148,배당편집!$M$2:$T$2710,8,FALSE)</f>
        <v>0.15424788082530827</v>
      </c>
      <c r="L148" s="5">
        <f>VLOOKUP(L$1&amp;$A148,배당편집!$M$2:$T$2710,8,FALSE)</f>
        <v>0.16271101521949816</v>
      </c>
      <c r="M148" s="5">
        <f>VLOOKUP(M$1&amp;$A148,배당편집!$M$2:$T$2710,8,FALSE)</f>
        <v>0.17232150472580798</v>
      </c>
      <c r="N148" s="5">
        <f>VLOOKUP(N$1&amp;$A148,배당편집!$M$2:$T$2710,8,FALSE)</f>
        <v>0.10053875638178189</v>
      </c>
      <c r="O148" s="5">
        <f>VLOOKUP(O$1&amp;$A148,배당편집!$M$2:$T$2710,8,FALSE)</f>
        <v>8.8953212241389856E-2</v>
      </c>
      <c r="P148" s="5">
        <f>VLOOKUP(P$1&amp;$A148,배당편집!$M$2:$T$2710,8,FALSE)</f>
        <v>0.11970220528043152</v>
      </c>
      <c r="Q148" s="5">
        <f>VLOOKUP(Q$1&amp;$A148,배당편집!$M$2:$T$2710,8,FALSE)</f>
        <v>0.11447477728186639</v>
      </c>
      <c r="R148" s="5">
        <f>VLOOKUP(R$1&amp;$A148,배당편집!$M$2:$T$2710,8,FALSE)</f>
        <v>1.5632576929179187E-2</v>
      </c>
      <c r="S148" s="5">
        <f>VLOOKUP(S$1&amp;$A148,배당편집!$M$2:$T$2710,8,FALSE)</f>
        <v>5.5812421240159171E-2</v>
      </c>
      <c r="T148" s="5">
        <f>VLOOKUP(T$1&amp;$A148,배당편집!$M$2:$T$2710,8,FALSE)</f>
        <v>0.16118714233316211</v>
      </c>
      <c r="U148" s="5">
        <f>VLOOKUP(U$1&amp;$A148,배당편집!$M$2:$T$2710,8,FALSE)</f>
        <v>-0.41139342933130763</v>
      </c>
      <c r="V148" s="5">
        <f>VLOOKUP(V$1&amp;$A148,배당편집!$M$2:$T$2710,8,FALSE)</f>
        <v>0.10066508085209658</v>
      </c>
      <c r="W148" s="5">
        <f>VLOOKUP(W$1&amp;$A148,배당편집!$M$2:$T$2710,8,FALSE)</f>
        <v>0.68293271816929924</v>
      </c>
      <c r="X148" s="5">
        <f>VLOOKUP(X$1&amp;$A148,배당편집!$M$2:$T$2710,8,FALSE)</f>
        <v>3.7137289336648172E-2</v>
      </c>
      <c r="Y148" s="5">
        <f>VLOOKUP(Y$1&amp;$A148,배당편집!$M$2:$T$2710,8,FALSE)</f>
        <v>0.30258554234867607</v>
      </c>
      <c r="Z148" s="5">
        <f>VLOOKUP(Z$1&amp;$A148,배당편집!$M$2:$T$2710,8,FALSE)</f>
        <v>5.1547496797280434E-2</v>
      </c>
      <c r="AA148" s="5">
        <f>VLOOKUP(AA$1&amp;$A148,배당편집!$M$2:$T$2710,8,FALSE)</f>
        <v>0.12030033714161736</v>
      </c>
      <c r="AB148" s="5">
        <f>VLOOKUP(AB$1&amp;$A148,배당편집!$M$2:$T$2710,8,FALSE)</f>
        <v>8.9976987048345336E-2</v>
      </c>
      <c r="AC148" s="5">
        <f>VLOOKUP(AC$1&amp;$A148,배당편집!$M$2:$T$2710,8,FALSE)</f>
        <v>8.621965815340138E-3</v>
      </c>
      <c r="AD148" s="5">
        <f>VLOOKUP(AD$1&amp;$A148,배당편집!$M$2:$T$2710,8,FALSE)</f>
        <v>0.17011741694575178</v>
      </c>
      <c r="AE148" s="5">
        <f>VLOOKUP(AE$1&amp;$A148,배당편집!$M$2:$T$2710,8,FALSE)</f>
        <v>4.9414522844583919E-2</v>
      </c>
      <c r="AF148" s="5">
        <f>VLOOKUP(AF$1&amp;$A148,배당편집!$M$2:$T$2710,8,FALSE)</f>
        <v>0.10197228772148015</v>
      </c>
    </row>
    <row r="149" spans="1:32" ht="16.5" customHeight="1">
      <c r="A149" s="3">
        <v>2010</v>
      </c>
      <c r="B149" s="3">
        <v>4</v>
      </c>
      <c r="C149" s="5">
        <f>VLOOKUP(C$1&amp;$A149,배당편집!$M$2:$T$2710,8,FALSE)</f>
        <v>0.21235184842949906</v>
      </c>
      <c r="D149" s="5">
        <f>VLOOKUP(D$1&amp;$A149,배당편집!$M$2:$T$2710,8,FALSE)</f>
        <v>0.11628841548417412</v>
      </c>
      <c r="E149" s="5">
        <f>VLOOKUP(E$1&amp;$A149,배당편집!$M$2:$T$2710,8,FALSE)</f>
        <v>0.18466445254224406</v>
      </c>
      <c r="F149" s="5">
        <f>VLOOKUP(F$1&amp;$A149,배당편집!$M$2:$T$2710,8,FALSE)</f>
        <v>3.3406482938779236E-2</v>
      </c>
      <c r="G149" s="5">
        <f>VLOOKUP(G$1&amp;$A149,배당편집!$M$2:$T$2710,8,FALSE)</f>
        <v>9.2388464140372939E-2</v>
      </c>
      <c r="H149" s="5">
        <f>VLOOKUP(H$1&amp;$A149,배당편집!$M$2:$T$2710,8,FALSE)</f>
        <v>0.11196158593857897</v>
      </c>
      <c r="I149" s="5">
        <f>VLOOKUP(I$1&amp;$A149,배당편집!$M$2:$T$2710,8,FALSE)</f>
        <v>2.3836255539609663E-2</v>
      </c>
      <c r="J149" s="5">
        <f>VLOOKUP(J$1&amp;$A149,배당편집!$M$2:$T$2710,8,FALSE)</f>
        <v>3.6519209464036084E-2</v>
      </c>
      <c r="K149" s="5">
        <f>VLOOKUP(K$1&amp;$A149,배당편집!$M$2:$T$2710,8,FALSE)</f>
        <v>0.15424788082530827</v>
      </c>
      <c r="L149" s="5">
        <f>VLOOKUP(L$1&amp;$A149,배당편집!$M$2:$T$2710,8,FALSE)</f>
        <v>0.16271101521949816</v>
      </c>
      <c r="M149" s="5">
        <f>VLOOKUP(M$1&amp;$A149,배당편집!$M$2:$T$2710,8,FALSE)</f>
        <v>0.17232150472580798</v>
      </c>
      <c r="N149" s="5">
        <f>VLOOKUP(N$1&amp;$A149,배당편집!$M$2:$T$2710,8,FALSE)</f>
        <v>0.10053875638178189</v>
      </c>
      <c r="O149" s="5">
        <f>VLOOKUP(O$1&amp;$A149,배당편집!$M$2:$T$2710,8,FALSE)</f>
        <v>8.8953212241389856E-2</v>
      </c>
      <c r="P149" s="5">
        <f>VLOOKUP(P$1&amp;$A149,배당편집!$M$2:$T$2710,8,FALSE)</f>
        <v>0.11970220528043152</v>
      </c>
      <c r="Q149" s="5">
        <f>VLOOKUP(Q$1&amp;$A149,배당편집!$M$2:$T$2710,8,FALSE)</f>
        <v>0.11447477728186639</v>
      </c>
      <c r="R149" s="5">
        <f>VLOOKUP(R$1&amp;$A149,배당편집!$M$2:$T$2710,8,FALSE)</f>
        <v>1.5632576929179187E-2</v>
      </c>
      <c r="S149" s="5">
        <f>VLOOKUP(S$1&amp;$A149,배당편집!$M$2:$T$2710,8,FALSE)</f>
        <v>5.5812421240159171E-2</v>
      </c>
      <c r="T149" s="5">
        <f>VLOOKUP(T$1&amp;$A149,배당편집!$M$2:$T$2710,8,FALSE)</f>
        <v>0.16118714233316211</v>
      </c>
      <c r="U149" s="5">
        <f>VLOOKUP(U$1&amp;$A149,배당편집!$M$2:$T$2710,8,FALSE)</f>
        <v>-0.41139342933130763</v>
      </c>
      <c r="V149" s="5">
        <f>VLOOKUP(V$1&amp;$A149,배당편집!$M$2:$T$2710,8,FALSE)</f>
        <v>0.10066508085209658</v>
      </c>
      <c r="W149" s="5">
        <f>VLOOKUP(W$1&amp;$A149,배당편집!$M$2:$T$2710,8,FALSE)</f>
        <v>0.68293271816929924</v>
      </c>
      <c r="X149" s="5">
        <f>VLOOKUP(X$1&amp;$A149,배당편집!$M$2:$T$2710,8,FALSE)</f>
        <v>3.7137289336648172E-2</v>
      </c>
      <c r="Y149" s="5">
        <f>VLOOKUP(Y$1&amp;$A149,배당편집!$M$2:$T$2710,8,FALSE)</f>
        <v>0.30258554234867607</v>
      </c>
      <c r="Z149" s="5">
        <f>VLOOKUP(Z$1&amp;$A149,배당편집!$M$2:$T$2710,8,FALSE)</f>
        <v>5.1547496797280434E-2</v>
      </c>
      <c r="AA149" s="5">
        <f>VLOOKUP(AA$1&amp;$A149,배당편집!$M$2:$T$2710,8,FALSE)</f>
        <v>0.12030033714161736</v>
      </c>
      <c r="AB149" s="5">
        <f>VLOOKUP(AB$1&amp;$A149,배당편집!$M$2:$T$2710,8,FALSE)</f>
        <v>8.9976987048345336E-2</v>
      </c>
      <c r="AC149" s="5">
        <f>VLOOKUP(AC$1&amp;$A149,배당편집!$M$2:$T$2710,8,FALSE)</f>
        <v>8.621965815340138E-3</v>
      </c>
      <c r="AD149" s="5">
        <f>VLOOKUP(AD$1&amp;$A149,배당편집!$M$2:$T$2710,8,FALSE)</f>
        <v>0.17011741694575178</v>
      </c>
      <c r="AE149" s="5">
        <f>VLOOKUP(AE$1&amp;$A149,배당편집!$M$2:$T$2710,8,FALSE)</f>
        <v>4.9414522844583919E-2</v>
      </c>
      <c r="AF149" s="5">
        <f>VLOOKUP(AF$1&amp;$A149,배당편집!$M$2:$T$2710,8,FALSE)</f>
        <v>0.10197228772148015</v>
      </c>
    </row>
    <row r="150" spans="1:32" ht="16.5" customHeight="1">
      <c r="A150" s="3">
        <v>2010</v>
      </c>
      <c r="B150" s="3">
        <v>5</v>
      </c>
      <c r="C150" s="5">
        <f>VLOOKUP(C$1&amp;$A150,배당편집!$M$2:$T$2710,8,FALSE)</f>
        <v>0.21235184842949906</v>
      </c>
      <c r="D150" s="5">
        <f>VLOOKUP(D$1&amp;$A150,배당편집!$M$2:$T$2710,8,FALSE)</f>
        <v>0.11628841548417412</v>
      </c>
      <c r="E150" s="5">
        <f>VLOOKUP(E$1&amp;$A150,배당편집!$M$2:$T$2710,8,FALSE)</f>
        <v>0.18466445254224406</v>
      </c>
      <c r="F150" s="5">
        <f>VLOOKUP(F$1&amp;$A150,배당편집!$M$2:$T$2710,8,FALSE)</f>
        <v>3.3406482938779236E-2</v>
      </c>
      <c r="G150" s="5">
        <f>VLOOKUP(G$1&amp;$A150,배당편집!$M$2:$T$2710,8,FALSE)</f>
        <v>9.2388464140372939E-2</v>
      </c>
      <c r="H150" s="5">
        <f>VLOOKUP(H$1&amp;$A150,배당편집!$M$2:$T$2710,8,FALSE)</f>
        <v>0.11196158593857897</v>
      </c>
      <c r="I150" s="5">
        <f>VLOOKUP(I$1&amp;$A150,배당편집!$M$2:$T$2710,8,FALSE)</f>
        <v>2.3836255539609663E-2</v>
      </c>
      <c r="J150" s="5">
        <f>VLOOKUP(J$1&amp;$A150,배당편집!$M$2:$T$2710,8,FALSE)</f>
        <v>3.6519209464036084E-2</v>
      </c>
      <c r="K150" s="5">
        <f>VLOOKUP(K$1&amp;$A150,배당편집!$M$2:$T$2710,8,FALSE)</f>
        <v>0.15424788082530827</v>
      </c>
      <c r="L150" s="5">
        <f>VLOOKUP(L$1&amp;$A150,배당편집!$M$2:$T$2710,8,FALSE)</f>
        <v>0.16271101521949816</v>
      </c>
      <c r="M150" s="5">
        <f>VLOOKUP(M$1&amp;$A150,배당편집!$M$2:$T$2710,8,FALSE)</f>
        <v>0.17232150472580798</v>
      </c>
      <c r="N150" s="5">
        <f>VLOOKUP(N$1&amp;$A150,배당편집!$M$2:$T$2710,8,FALSE)</f>
        <v>0.10053875638178189</v>
      </c>
      <c r="O150" s="5">
        <f>VLOOKUP(O$1&amp;$A150,배당편집!$M$2:$T$2710,8,FALSE)</f>
        <v>8.8953212241389856E-2</v>
      </c>
      <c r="P150" s="5">
        <f>VLOOKUP(P$1&amp;$A150,배당편집!$M$2:$T$2710,8,FALSE)</f>
        <v>0.11970220528043152</v>
      </c>
      <c r="Q150" s="5">
        <f>VLOOKUP(Q$1&amp;$A150,배당편집!$M$2:$T$2710,8,FALSE)</f>
        <v>0.11447477728186639</v>
      </c>
      <c r="R150" s="5">
        <f>VLOOKUP(R$1&amp;$A150,배당편집!$M$2:$T$2710,8,FALSE)</f>
        <v>1.5632576929179187E-2</v>
      </c>
      <c r="S150" s="5">
        <f>VLOOKUP(S$1&amp;$A150,배당편집!$M$2:$T$2710,8,FALSE)</f>
        <v>5.5812421240159171E-2</v>
      </c>
      <c r="T150" s="5">
        <f>VLOOKUP(T$1&amp;$A150,배당편집!$M$2:$T$2710,8,FALSE)</f>
        <v>0.16118714233316211</v>
      </c>
      <c r="U150" s="5">
        <f>VLOOKUP(U$1&amp;$A150,배당편집!$M$2:$T$2710,8,FALSE)</f>
        <v>-0.41139342933130763</v>
      </c>
      <c r="V150" s="5">
        <f>VLOOKUP(V$1&amp;$A150,배당편집!$M$2:$T$2710,8,FALSE)</f>
        <v>0.10066508085209658</v>
      </c>
      <c r="W150" s="5">
        <f>VLOOKUP(W$1&amp;$A150,배당편집!$M$2:$T$2710,8,FALSE)</f>
        <v>0.68293271816929924</v>
      </c>
      <c r="X150" s="5">
        <f>VLOOKUP(X$1&amp;$A150,배당편집!$M$2:$T$2710,8,FALSE)</f>
        <v>3.7137289336648172E-2</v>
      </c>
      <c r="Y150" s="5">
        <f>VLOOKUP(Y$1&amp;$A150,배당편집!$M$2:$T$2710,8,FALSE)</f>
        <v>0.30258554234867607</v>
      </c>
      <c r="Z150" s="5">
        <f>VLOOKUP(Z$1&amp;$A150,배당편집!$M$2:$T$2710,8,FALSE)</f>
        <v>5.1547496797280434E-2</v>
      </c>
      <c r="AA150" s="5">
        <f>VLOOKUP(AA$1&amp;$A150,배당편집!$M$2:$T$2710,8,FALSE)</f>
        <v>0.12030033714161736</v>
      </c>
      <c r="AB150" s="5">
        <f>VLOOKUP(AB$1&amp;$A150,배당편집!$M$2:$T$2710,8,FALSE)</f>
        <v>8.9976987048345336E-2</v>
      </c>
      <c r="AC150" s="5">
        <f>VLOOKUP(AC$1&amp;$A150,배당편집!$M$2:$T$2710,8,FALSE)</f>
        <v>8.621965815340138E-3</v>
      </c>
      <c r="AD150" s="5">
        <f>VLOOKUP(AD$1&amp;$A150,배당편집!$M$2:$T$2710,8,FALSE)</f>
        <v>0.17011741694575178</v>
      </c>
      <c r="AE150" s="5">
        <f>VLOOKUP(AE$1&amp;$A150,배당편집!$M$2:$T$2710,8,FALSE)</f>
        <v>4.9414522844583919E-2</v>
      </c>
      <c r="AF150" s="5">
        <f>VLOOKUP(AF$1&amp;$A150,배당편집!$M$2:$T$2710,8,FALSE)</f>
        <v>0.10197228772148015</v>
      </c>
    </row>
    <row r="151" spans="1:32" ht="16.5" customHeight="1">
      <c r="A151" s="3">
        <v>2010</v>
      </c>
      <c r="B151" s="3">
        <v>6</v>
      </c>
      <c r="C151" s="5">
        <f>VLOOKUP(C$1&amp;$A151,배당편집!$M$2:$T$2710,8,FALSE)</f>
        <v>0.21235184842949906</v>
      </c>
      <c r="D151" s="5">
        <f>VLOOKUP(D$1&amp;$A151,배당편집!$M$2:$T$2710,8,FALSE)</f>
        <v>0.11628841548417412</v>
      </c>
      <c r="E151" s="5">
        <f>VLOOKUP(E$1&amp;$A151,배당편집!$M$2:$T$2710,8,FALSE)</f>
        <v>0.18466445254224406</v>
      </c>
      <c r="F151" s="5">
        <f>VLOOKUP(F$1&amp;$A151,배당편집!$M$2:$T$2710,8,FALSE)</f>
        <v>3.3406482938779236E-2</v>
      </c>
      <c r="G151" s="5">
        <f>VLOOKUP(G$1&amp;$A151,배당편집!$M$2:$T$2710,8,FALSE)</f>
        <v>9.2388464140372939E-2</v>
      </c>
      <c r="H151" s="5">
        <f>VLOOKUP(H$1&amp;$A151,배당편집!$M$2:$T$2710,8,FALSE)</f>
        <v>0.11196158593857897</v>
      </c>
      <c r="I151" s="5">
        <f>VLOOKUP(I$1&amp;$A151,배당편집!$M$2:$T$2710,8,FALSE)</f>
        <v>2.3836255539609663E-2</v>
      </c>
      <c r="J151" s="5">
        <f>VLOOKUP(J$1&amp;$A151,배당편집!$M$2:$T$2710,8,FALSE)</f>
        <v>3.6519209464036084E-2</v>
      </c>
      <c r="K151" s="5">
        <f>VLOOKUP(K$1&amp;$A151,배당편집!$M$2:$T$2710,8,FALSE)</f>
        <v>0.15424788082530827</v>
      </c>
      <c r="L151" s="5">
        <f>VLOOKUP(L$1&amp;$A151,배당편집!$M$2:$T$2710,8,FALSE)</f>
        <v>0.16271101521949816</v>
      </c>
      <c r="M151" s="5">
        <f>VLOOKUP(M$1&amp;$A151,배당편집!$M$2:$T$2710,8,FALSE)</f>
        <v>0.17232150472580798</v>
      </c>
      <c r="N151" s="5">
        <f>VLOOKUP(N$1&amp;$A151,배당편집!$M$2:$T$2710,8,FALSE)</f>
        <v>0.10053875638178189</v>
      </c>
      <c r="O151" s="5">
        <f>VLOOKUP(O$1&amp;$A151,배당편집!$M$2:$T$2710,8,FALSE)</f>
        <v>8.8953212241389856E-2</v>
      </c>
      <c r="P151" s="5">
        <f>VLOOKUP(P$1&amp;$A151,배당편집!$M$2:$T$2710,8,FALSE)</f>
        <v>0.11970220528043152</v>
      </c>
      <c r="Q151" s="5">
        <f>VLOOKUP(Q$1&amp;$A151,배당편집!$M$2:$T$2710,8,FALSE)</f>
        <v>0.11447477728186639</v>
      </c>
      <c r="R151" s="5">
        <f>VLOOKUP(R$1&amp;$A151,배당편집!$M$2:$T$2710,8,FALSE)</f>
        <v>1.5632576929179187E-2</v>
      </c>
      <c r="S151" s="5">
        <f>VLOOKUP(S$1&amp;$A151,배당편집!$M$2:$T$2710,8,FALSE)</f>
        <v>5.5812421240159171E-2</v>
      </c>
      <c r="T151" s="5">
        <f>VLOOKUP(T$1&amp;$A151,배당편집!$M$2:$T$2710,8,FALSE)</f>
        <v>0.16118714233316211</v>
      </c>
      <c r="U151" s="5">
        <f>VLOOKUP(U$1&amp;$A151,배당편집!$M$2:$T$2710,8,FALSE)</f>
        <v>-0.41139342933130763</v>
      </c>
      <c r="V151" s="5">
        <f>VLOOKUP(V$1&amp;$A151,배당편집!$M$2:$T$2710,8,FALSE)</f>
        <v>0.10066508085209658</v>
      </c>
      <c r="W151" s="5">
        <f>VLOOKUP(W$1&amp;$A151,배당편집!$M$2:$T$2710,8,FALSE)</f>
        <v>0.68293271816929924</v>
      </c>
      <c r="X151" s="5">
        <f>VLOOKUP(X$1&amp;$A151,배당편집!$M$2:$T$2710,8,FALSE)</f>
        <v>3.7137289336648172E-2</v>
      </c>
      <c r="Y151" s="5">
        <f>VLOOKUP(Y$1&amp;$A151,배당편집!$M$2:$T$2710,8,FALSE)</f>
        <v>0.30258554234867607</v>
      </c>
      <c r="Z151" s="5">
        <f>VLOOKUP(Z$1&amp;$A151,배당편집!$M$2:$T$2710,8,FALSE)</f>
        <v>5.1547496797280434E-2</v>
      </c>
      <c r="AA151" s="5">
        <f>VLOOKUP(AA$1&amp;$A151,배당편집!$M$2:$T$2710,8,FALSE)</f>
        <v>0.12030033714161736</v>
      </c>
      <c r="AB151" s="5">
        <f>VLOOKUP(AB$1&amp;$A151,배당편집!$M$2:$T$2710,8,FALSE)</f>
        <v>8.9976987048345336E-2</v>
      </c>
      <c r="AC151" s="5">
        <f>VLOOKUP(AC$1&amp;$A151,배당편집!$M$2:$T$2710,8,FALSE)</f>
        <v>8.621965815340138E-3</v>
      </c>
      <c r="AD151" s="5">
        <f>VLOOKUP(AD$1&amp;$A151,배당편집!$M$2:$T$2710,8,FALSE)</f>
        <v>0.17011741694575178</v>
      </c>
      <c r="AE151" s="5">
        <f>VLOOKUP(AE$1&amp;$A151,배당편집!$M$2:$T$2710,8,FALSE)</f>
        <v>4.9414522844583919E-2</v>
      </c>
      <c r="AF151" s="5">
        <f>VLOOKUP(AF$1&amp;$A151,배당편집!$M$2:$T$2710,8,FALSE)</f>
        <v>0.10197228772148015</v>
      </c>
    </row>
    <row r="152" spans="1:32" ht="16.5" customHeight="1">
      <c r="A152" s="3">
        <v>2010</v>
      </c>
      <c r="B152" s="3">
        <v>7</v>
      </c>
      <c r="C152" s="5">
        <f>VLOOKUP(C$1&amp;$A152,배당편집!$M$2:$T$2710,8,FALSE)</f>
        <v>0.21235184842949906</v>
      </c>
      <c r="D152" s="5">
        <f>VLOOKUP(D$1&amp;$A152,배당편집!$M$2:$T$2710,8,FALSE)</f>
        <v>0.11628841548417412</v>
      </c>
      <c r="E152" s="5">
        <f>VLOOKUP(E$1&amp;$A152,배당편집!$M$2:$T$2710,8,FALSE)</f>
        <v>0.18466445254224406</v>
      </c>
      <c r="F152" s="5">
        <f>VLOOKUP(F$1&amp;$A152,배당편집!$M$2:$T$2710,8,FALSE)</f>
        <v>3.3406482938779236E-2</v>
      </c>
      <c r="G152" s="5">
        <f>VLOOKUP(G$1&amp;$A152,배당편집!$M$2:$T$2710,8,FALSE)</f>
        <v>9.2388464140372939E-2</v>
      </c>
      <c r="H152" s="5">
        <f>VLOOKUP(H$1&amp;$A152,배당편집!$M$2:$T$2710,8,FALSE)</f>
        <v>0.11196158593857897</v>
      </c>
      <c r="I152" s="5">
        <f>VLOOKUP(I$1&amp;$A152,배당편집!$M$2:$T$2710,8,FALSE)</f>
        <v>2.3836255539609663E-2</v>
      </c>
      <c r="J152" s="5">
        <f>VLOOKUP(J$1&amp;$A152,배당편집!$M$2:$T$2710,8,FALSE)</f>
        <v>3.6519209464036084E-2</v>
      </c>
      <c r="K152" s="5">
        <f>VLOOKUP(K$1&amp;$A152,배당편집!$M$2:$T$2710,8,FALSE)</f>
        <v>0.15424788082530827</v>
      </c>
      <c r="L152" s="5">
        <f>VLOOKUP(L$1&amp;$A152,배당편집!$M$2:$T$2710,8,FALSE)</f>
        <v>0.16271101521949816</v>
      </c>
      <c r="M152" s="5">
        <f>VLOOKUP(M$1&amp;$A152,배당편집!$M$2:$T$2710,8,FALSE)</f>
        <v>0.17232150472580798</v>
      </c>
      <c r="N152" s="5">
        <f>VLOOKUP(N$1&amp;$A152,배당편집!$M$2:$T$2710,8,FALSE)</f>
        <v>0.10053875638178189</v>
      </c>
      <c r="O152" s="5">
        <f>VLOOKUP(O$1&amp;$A152,배당편집!$M$2:$T$2710,8,FALSE)</f>
        <v>8.8953212241389856E-2</v>
      </c>
      <c r="P152" s="5">
        <f>VLOOKUP(P$1&amp;$A152,배당편집!$M$2:$T$2710,8,FALSE)</f>
        <v>0.11970220528043152</v>
      </c>
      <c r="Q152" s="5">
        <f>VLOOKUP(Q$1&amp;$A152,배당편집!$M$2:$T$2710,8,FALSE)</f>
        <v>0.11447477728186639</v>
      </c>
      <c r="R152" s="5">
        <f>VLOOKUP(R$1&amp;$A152,배당편집!$M$2:$T$2710,8,FALSE)</f>
        <v>1.5632576929179187E-2</v>
      </c>
      <c r="S152" s="5">
        <f>VLOOKUP(S$1&amp;$A152,배당편집!$M$2:$T$2710,8,FALSE)</f>
        <v>5.5812421240159171E-2</v>
      </c>
      <c r="T152" s="5">
        <f>VLOOKUP(T$1&amp;$A152,배당편집!$M$2:$T$2710,8,FALSE)</f>
        <v>0.16118714233316211</v>
      </c>
      <c r="U152" s="5">
        <f>VLOOKUP(U$1&amp;$A152,배당편집!$M$2:$T$2710,8,FALSE)</f>
        <v>-0.41139342933130763</v>
      </c>
      <c r="V152" s="5">
        <f>VLOOKUP(V$1&amp;$A152,배당편집!$M$2:$T$2710,8,FALSE)</f>
        <v>0.10066508085209658</v>
      </c>
      <c r="W152" s="5">
        <f>VLOOKUP(W$1&amp;$A152,배당편집!$M$2:$T$2710,8,FALSE)</f>
        <v>0.68293271816929924</v>
      </c>
      <c r="X152" s="5">
        <f>VLOOKUP(X$1&amp;$A152,배당편집!$M$2:$T$2710,8,FALSE)</f>
        <v>3.7137289336648172E-2</v>
      </c>
      <c r="Y152" s="5">
        <f>VLOOKUP(Y$1&amp;$A152,배당편집!$M$2:$T$2710,8,FALSE)</f>
        <v>0.30258554234867607</v>
      </c>
      <c r="Z152" s="5">
        <f>VLOOKUP(Z$1&amp;$A152,배당편집!$M$2:$T$2710,8,FALSE)</f>
        <v>5.1547496797280434E-2</v>
      </c>
      <c r="AA152" s="5">
        <f>VLOOKUP(AA$1&amp;$A152,배당편집!$M$2:$T$2710,8,FALSE)</f>
        <v>0.12030033714161736</v>
      </c>
      <c r="AB152" s="5">
        <f>VLOOKUP(AB$1&amp;$A152,배당편집!$M$2:$T$2710,8,FALSE)</f>
        <v>8.9976987048345336E-2</v>
      </c>
      <c r="AC152" s="5">
        <f>VLOOKUP(AC$1&amp;$A152,배당편집!$M$2:$T$2710,8,FALSE)</f>
        <v>8.621965815340138E-3</v>
      </c>
      <c r="AD152" s="5">
        <f>VLOOKUP(AD$1&amp;$A152,배당편집!$M$2:$T$2710,8,FALSE)</f>
        <v>0.17011741694575178</v>
      </c>
      <c r="AE152" s="5">
        <f>VLOOKUP(AE$1&amp;$A152,배당편집!$M$2:$T$2710,8,FALSE)</f>
        <v>4.9414522844583919E-2</v>
      </c>
      <c r="AF152" s="5">
        <f>VLOOKUP(AF$1&amp;$A152,배당편집!$M$2:$T$2710,8,FALSE)</f>
        <v>0.10197228772148015</v>
      </c>
    </row>
    <row r="153" spans="1:32" ht="16.5" customHeight="1">
      <c r="A153" s="3">
        <v>2010</v>
      </c>
      <c r="B153" s="3">
        <v>8</v>
      </c>
      <c r="C153" s="5">
        <f>VLOOKUP(C$1&amp;$A153,배당편집!$M$2:$T$2710,8,FALSE)</f>
        <v>0.21235184842949906</v>
      </c>
      <c r="D153" s="5">
        <f>VLOOKUP(D$1&amp;$A153,배당편집!$M$2:$T$2710,8,FALSE)</f>
        <v>0.11628841548417412</v>
      </c>
      <c r="E153" s="5">
        <f>VLOOKUP(E$1&amp;$A153,배당편집!$M$2:$T$2710,8,FALSE)</f>
        <v>0.18466445254224406</v>
      </c>
      <c r="F153" s="5">
        <f>VLOOKUP(F$1&amp;$A153,배당편집!$M$2:$T$2710,8,FALSE)</f>
        <v>3.3406482938779236E-2</v>
      </c>
      <c r="G153" s="5">
        <f>VLOOKUP(G$1&amp;$A153,배당편집!$M$2:$T$2710,8,FALSE)</f>
        <v>9.2388464140372939E-2</v>
      </c>
      <c r="H153" s="5">
        <f>VLOOKUP(H$1&amp;$A153,배당편집!$M$2:$T$2710,8,FALSE)</f>
        <v>0.11196158593857897</v>
      </c>
      <c r="I153" s="5">
        <f>VLOOKUP(I$1&amp;$A153,배당편집!$M$2:$T$2710,8,FALSE)</f>
        <v>2.3836255539609663E-2</v>
      </c>
      <c r="J153" s="5">
        <f>VLOOKUP(J$1&amp;$A153,배당편집!$M$2:$T$2710,8,FALSE)</f>
        <v>3.6519209464036084E-2</v>
      </c>
      <c r="K153" s="5">
        <f>VLOOKUP(K$1&amp;$A153,배당편집!$M$2:$T$2710,8,FALSE)</f>
        <v>0.15424788082530827</v>
      </c>
      <c r="L153" s="5">
        <f>VLOOKUP(L$1&amp;$A153,배당편집!$M$2:$T$2710,8,FALSE)</f>
        <v>0.16271101521949816</v>
      </c>
      <c r="M153" s="5">
        <f>VLOOKUP(M$1&amp;$A153,배당편집!$M$2:$T$2710,8,FALSE)</f>
        <v>0.17232150472580798</v>
      </c>
      <c r="N153" s="5">
        <f>VLOOKUP(N$1&amp;$A153,배당편집!$M$2:$T$2710,8,FALSE)</f>
        <v>0.10053875638178189</v>
      </c>
      <c r="O153" s="5">
        <f>VLOOKUP(O$1&amp;$A153,배당편집!$M$2:$T$2710,8,FALSE)</f>
        <v>8.8953212241389856E-2</v>
      </c>
      <c r="P153" s="5">
        <f>VLOOKUP(P$1&amp;$A153,배당편집!$M$2:$T$2710,8,FALSE)</f>
        <v>0.11970220528043152</v>
      </c>
      <c r="Q153" s="5">
        <f>VLOOKUP(Q$1&amp;$A153,배당편집!$M$2:$T$2710,8,FALSE)</f>
        <v>0.11447477728186639</v>
      </c>
      <c r="R153" s="5">
        <f>VLOOKUP(R$1&amp;$A153,배당편집!$M$2:$T$2710,8,FALSE)</f>
        <v>1.5632576929179187E-2</v>
      </c>
      <c r="S153" s="5">
        <f>VLOOKUP(S$1&amp;$A153,배당편집!$M$2:$T$2710,8,FALSE)</f>
        <v>5.5812421240159171E-2</v>
      </c>
      <c r="T153" s="5">
        <f>VLOOKUP(T$1&amp;$A153,배당편집!$M$2:$T$2710,8,FALSE)</f>
        <v>0.16118714233316211</v>
      </c>
      <c r="U153" s="5">
        <f>VLOOKUP(U$1&amp;$A153,배당편집!$M$2:$T$2710,8,FALSE)</f>
        <v>-0.41139342933130763</v>
      </c>
      <c r="V153" s="5">
        <f>VLOOKUP(V$1&amp;$A153,배당편집!$M$2:$T$2710,8,FALSE)</f>
        <v>0.10066508085209658</v>
      </c>
      <c r="W153" s="5">
        <f>VLOOKUP(W$1&amp;$A153,배당편집!$M$2:$T$2710,8,FALSE)</f>
        <v>0.68293271816929924</v>
      </c>
      <c r="X153" s="5">
        <f>VLOOKUP(X$1&amp;$A153,배당편집!$M$2:$T$2710,8,FALSE)</f>
        <v>3.7137289336648172E-2</v>
      </c>
      <c r="Y153" s="5">
        <f>VLOOKUP(Y$1&amp;$A153,배당편집!$M$2:$T$2710,8,FALSE)</f>
        <v>0.30258554234867607</v>
      </c>
      <c r="Z153" s="5">
        <f>VLOOKUP(Z$1&amp;$A153,배당편집!$M$2:$T$2710,8,FALSE)</f>
        <v>5.1547496797280434E-2</v>
      </c>
      <c r="AA153" s="5">
        <f>VLOOKUP(AA$1&amp;$A153,배당편집!$M$2:$T$2710,8,FALSE)</f>
        <v>0.12030033714161736</v>
      </c>
      <c r="AB153" s="5">
        <f>VLOOKUP(AB$1&amp;$A153,배당편집!$M$2:$T$2710,8,FALSE)</f>
        <v>8.9976987048345336E-2</v>
      </c>
      <c r="AC153" s="5">
        <f>VLOOKUP(AC$1&amp;$A153,배당편집!$M$2:$T$2710,8,FALSE)</f>
        <v>8.621965815340138E-3</v>
      </c>
      <c r="AD153" s="5">
        <f>VLOOKUP(AD$1&amp;$A153,배당편집!$M$2:$T$2710,8,FALSE)</f>
        <v>0.17011741694575178</v>
      </c>
      <c r="AE153" s="5">
        <f>VLOOKUP(AE$1&amp;$A153,배당편집!$M$2:$T$2710,8,FALSE)</f>
        <v>4.9414522844583919E-2</v>
      </c>
      <c r="AF153" s="5">
        <f>VLOOKUP(AF$1&amp;$A153,배당편집!$M$2:$T$2710,8,FALSE)</f>
        <v>0.10197228772148015</v>
      </c>
    </row>
    <row r="154" spans="1:32" ht="16.5" customHeight="1">
      <c r="A154" s="3">
        <v>2010</v>
      </c>
      <c r="B154" s="3">
        <v>9</v>
      </c>
      <c r="C154" s="5">
        <f>VLOOKUP(C$1&amp;$A154,배당편집!$M$2:$T$2710,8,FALSE)</f>
        <v>0.21235184842949906</v>
      </c>
      <c r="D154" s="5">
        <f>VLOOKUP(D$1&amp;$A154,배당편집!$M$2:$T$2710,8,FALSE)</f>
        <v>0.11628841548417412</v>
      </c>
      <c r="E154" s="5">
        <f>VLOOKUP(E$1&amp;$A154,배당편집!$M$2:$T$2710,8,FALSE)</f>
        <v>0.18466445254224406</v>
      </c>
      <c r="F154" s="5">
        <f>VLOOKUP(F$1&amp;$A154,배당편집!$M$2:$T$2710,8,FALSE)</f>
        <v>3.3406482938779236E-2</v>
      </c>
      <c r="G154" s="5">
        <f>VLOOKUP(G$1&amp;$A154,배당편집!$M$2:$T$2710,8,FALSE)</f>
        <v>9.2388464140372939E-2</v>
      </c>
      <c r="H154" s="5">
        <f>VLOOKUP(H$1&amp;$A154,배당편집!$M$2:$T$2710,8,FALSE)</f>
        <v>0.11196158593857897</v>
      </c>
      <c r="I154" s="5">
        <f>VLOOKUP(I$1&amp;$A154,배당편집!$M$2:$T$2710,8,FALSE)</f>
        <v>2.3836255539609663E-2</v>
      </c>
      <c r="J154" s="5">
        <f>VLOOKUP(J$1&amp;$A154,배당편집!$M$2:$T$2710,8,FALSE)</f>
        <v>3.6519209464036084E-2</v>
      </c>
      <c r="K154" s="5">
        <f>VLOOKUP(K$1&amp;$A154,배당편집!$M$2:$T$2710,8,FALSE)</f>
        <v>0.15424788082530827</v>
      </c>
      <c r="L154" s="5">
        <f>VLOOKUP(L$1&amp;$A154,배당편집!$M$2:$T$2710,8,FALSE)</f>
        <v>0.16271101521949816</v>
      </c>
      <c r="M154" s="5">
        <f>VLOOKUP(M$1&amp;$A154,배당편집!$M$2:$T$2710,8,FALSE)</f>
        <v>0.17232150472580798</v>
      </c>
      <c r="N154" s="5">
        <f>VLOOKUP(N$1&amp;$A154,배당편집!$M$2:$T$2710,8,FALSE)</f>
        <v>0.10053875638178189</v>
      </c>
      <c r="O154" s="5">
        <f>VLOOKUP(O$1&amp;$A154,배당편집!$M$2:$T$2710,8,FALSE)</f>
        <v>8.8953212241389856E-2</v>
      </c>
      <c r="P154" s="5">
        <f>VLOOKUP(P$1&amp;$A154,배당편집!$M$2:$T$2710,8,FALSE)</f>
        <v>0.11970220528043152</v>
      </c>
      <c r="Q154" s="5">
        <f>VLOOKUP(Q$1&amp;$A154,배당편집!$M$2:$T$2710,8,FALSE)</f>
        <v>0.11447477728186639</v>
      </c>
      <c r="R154" s="5">
        <f>VLOOKUP(R$1&amp;$A154,배당편집!$M$2:$T$2710,8,FALSE)</f>
        <v>1.5632576929179187E-2</v>
      </c>
      <c r="S154" s="5">
        <f>VLOOKUP(S$1&amp;$A154,배당편집!$M$2:$T$2710,8,FALSE)</f>
        <v>5.5812421240159171E-2</v>
      </c>
      <c r="T154" s="5">
        <f>VLOOKUP(T$1&amp;$A154,배당편집!$M$2:$T$2710,8,FALSE)</f>
        <v>0.16118714233316211</v>
      </c>
      <c r="U154" s="5">
        <f>VLOOKUP(U$1&amp;$A154,배당편집!$M$2:$T$2710,8,FALSE)</f>
        <v>-0.41139342933130763</v>
      </c>
      <c r="V154" s="5">
        <f>VLOOKUP(V$1&amp;$A154,배당편집!$M$2:$T$2710,8,FALSE)</f>
        <v>0.10066508085209658</v>
      </c>
      <c r="W154" s="5">
        <f>VLOOKUP(W$1&amp;$A154,배당편집!$M$2:$T$2710,8,FALSE)</f>
        <v>0.68293271816929924</v>
      </c>
      <c r="X154" s="5">
        <f>VLOOKUP(X$1&amp;$A154,배당편집!$M$2:$T$2710,8,FALSE)</f>
        <v>3.7137289336648172E-2</v>
      </c>
      <c r="Y154" s="5">
        <f>VLOOKUP(Y$1&amp;$A154,배당편집!$M$2:$T$2710,8,FALSE)</f>
        <v>0.30258554234867607</v>
      </c>
      <c r="Z154" s="5">
        <f>VLOOKUP(Z$1&amp;$A154,배당편집!$M$2:$T$2710,8,FALSE)</f>
        <v>5.1547496797280434E-2</v>
      </c>
      <c r="AA154" s="5">
        <f>VLOOKUP(AA$1&amp;$A154,배당편집!$M$2:$T$2710,8,FALSE)</f>
        <v>0.12030033714161736</v>
      </c>
      <c r="AB154" s="5">
        <f>VLOOKUP(AB$1&amp;$A154,배당편집!$M$2:$T$2710,8,FALSE)</f>
        <v>8.9976987048345336E-2</v>
      </c>
      <c r="AC154" s="5">
        <f>VLOOKUP(AC$1&amp;$A154,배당편집!$M$2:$T$2710,8,FALSE)</f>
        <v>8.621965815340138E-3</v>
      </c>
      <c r="AD154" s="5">
        <f>VLOOKUP(AD$1&amp;$A154,배당편집!$M$2:$T$2710,8,FALSE)</f>
        <v>0.17011741694575178</v>
      </c>
      <c r="AE154" s="5">
        <f>VLOOKUP(AE$1&amp;$A154,배당편집!$M$2:$T$2710,8,FALSE)</f>
        <v>4.9414522844583919E-2</v>
      </c>
      <c r="AF154" s="5">
        <f>VLOOKUP(AF$1&amp;$A154,배당편집!$M$2:$T$2710,8,FALSE)</f>
        <v>0.10197228772148015</v>
      </c>
    </row>
    <row r="155" spans="1:32" ht="16.5" customHeight="1">
      <c r="A155" s="3">
        <v>2010</v>
      </c>
      <c r="B155" s="3">
        <v>10</v>
      </c>
      <c r="C155" s="5">
        <f>VLOOKUP(C$1&amp;$A155,배당편집!$M$2:$T$2710,8,FALSE)</f>
        <v>0.21235184842949906</v>
      </c>
      <c r="D155" s="5">
        <f>VLOOKUP(D$1&amp;$A155,배당편집!$M$2:$T$2710,8,FALSE)</f>
        <v>0.11628841548417412</v>
      </c>
      <c r="E155" s="5">
        <f>VLOOKUP(E$1&amp;$A155,배당편집!$M$2:$T$2710,8,FALSE)</f>
        <v>0.18466445254224406</v>
      </c>
      <c r="F155" s="5">
        <f>VLOOKUP(F$1&amp;$A155,배당편집!$M$2:$T$2710,8,FALSE)</f>
        <v>3.3406482938779236E-2</v>
      </c>
      <c r="G155" s="5">
        <f>VLOOKUP(G$1&amp;$A155,배당편집!$M$2:$T$2710,8,FALSE)</f>
        <v>9.2388464140372939E-2</v>
      </c>
      <c r="H155" s="5">
        <f>VLOOKUP(H$1&amp;$A155,배당편집!$M$2:$T$2710,8,FALSE)</f>
        <v>0.11196158593857897</v>
      </c>
      <c r="I155" s="5">
        <f>VLOOKUP(I$1&amp;$A155,배당편집!$M$2:$T$2710,8,FALSE)</f>
        <v>2.3836255539609663E-2</v>
      </c>
      <c r="J155" s="5">
        <f>VLOOKUP(J$1&amp;$A155,배당편집!$M$2:$T$2710,8,FALSE)</f>
        <v>3.6519209464036084E-2</v>
      </c>
      <c r="K155" s="5">
        <f>VLOOKUP(K$1&amp;$A155,배당편집!$M$2:$T$2710,8,FALSE)</f>
        <v>0.15424788082530827</v>
      </c>
      <c r="L155" s="5">
        <f>VLOOKUP(L$1&amp;$A155,배당편집!$M$2:$T$2710,8,FALSE)</f>
        <v>0.16271101521949816</v>
      </c>
      <c r="M155" s="5">
        <f>VLOOKUP(M$1&amp;$A155,배당편집!$M$2:$T$2710,8,FALSE)</f>
        <v>0.17232150472580798</v>
      </c>
      <c r="N155" s="5">
        <f>VLOOKUP(N$1&amp;$A155,배당편집!$M$2:$T$2710,8,FALSE)</f>
        <v>0.10053875638178189</v>
      </c>
      <c r="O155" s="5">
        <f>VLOOKUP(O$1&amp;$A155,배당편집!$M$2:$T$2710,8,FALSE)</f>
        <v>8.8953212241389856E-2</v>
      </c>
      <c r="P155" s="5">
        <f>VLOOKUP(P$1&amp;$A155,배당편집!$M$2:$T$2710,8,FALSE)</f>
        <v>0.11970220528043152</v>
      </c>
      <c r="Q155" s="5">
        <f>VLOOKUP(Q$1&amp;$A155,배당편집!$M$2:$T$2710,8,FALSE)</f>
        <v>0.11447477728186639</v>
      </c>
      <c r="R155" s="5">
        <f>VLOOKUP(R$1&amp;$A155,배당편집!$M$2:$T$2710,8,FALSE)</f>
        <v>1.5632576929179187E-2</v>
      </c>
      <c r="S155" s="5">
        <f>VLOOKUP(S$1&amp;$A155,배당편집!$M$2:$T$2710,8,FALSE)</f>
        <v>5.5812421240159171E-2</v>
      </c>
      <c r="T155" s="5">
        <f>VLOOKUP(T$1&amp;$A155,배당편집!$M$2:$T$2710,8,FALSE)</f>
        <v>0.16118714233316211</v>
      </c>
      <c r="U155" s="5">
        <f>VLOOKUP(U$1&amp;$A155,배당편집!$M$2:$T$2710,8,FALSE)</f>
        <v>-0.41139342933130763</v>
      </c>
      <c r="V155" s="5">
        <f>VLOOKUP(V$1&amp;$A155,배당편집!$M$2:$T$2710,8,FALSE)</f>
        <v>0.10066508085209658</v>
      </c>
      <c r="W155" s="5">
        <f>VLOOKUP(W$1&amp;$A155,배당편집!$M$2:$T$2710,8,FALSE)</f>
        <v>0.68293271816929924</v>
      </c>
      <c r="X155" s="5">
        <f>VLOOKUP(X$1&amp;$A155,배당편집!$M$2:$T$2710,8,FALSE)</f>
        <v>3.7137289336648172E-2</v>
      </c>
      <c r="Y155" s="5">
        <f>VLOOKUP(Y$1&amp;$A155,배당편집!$M$2:$T$2710,8,FALSE)</f>
        <v>0.30258554234867607</v>
      </c>
      <c r="Z155" s="5">
        <f>VLOOKUP(Z$1&amp;$A155,배당편집!$M$2:$T$2710,8,FALSE)</f>
        <v>5.1547496797280434E-2</v>
      </c>
      <c r="AA155" s="5">
        <f>VLOOKUP(AA$1&amp;$A155,배당편집!$M$2:$T$2710,8,FALSE)</f>
        <v>0.12030033714161736</v>
      </c>
      <c r="AB155" s="5">
        <f>VLOOKUP(AB$1&amp;$A155,배당편집!$M$2:$T$2710,8,FALSE)</f>
        <v>8.9976987048345336E-2</v>
      </c>
      <c r="AC155" s="5">
        <f>VLOOKUP(AC$1&amp;$A155,배당편집!$M$2:$T$2710,8,FALSE)</f>
        <v>8.621965815340138E-3</v>
      </c>
      <c r="AD155" s="5">
        <f>VLOOKUP(AD$1&amp;$A155,배당편집!$M$2:$T$2710,8,FALSE)</f>
        <v>0.17011741694575178</v>
      </c>
      <c r="AE155" s="5">
        <f>VLOOKUP(AE$1&amp;$A155,배당편집!$M$2:$T$2710,8,FALSE)</f>
        <v>4.9414522844583919E-2</v>
      </c>
      <c r="AF155" s="5">
        <f>VLOOKUP(AF$1&amp;$A155,배당편집!$M$2:$T$2710,8,FALSE)</f>
        <v>0.10197228772148015</v>
      </c>
    </row>
    <row r="156" spans="1:32" ht="16.5" customHeight="1">
      <c r="A156" s="3">
        <v>2010</v>
      </c>
      <c r="B156" s="3">
        <v>11</v>
      </c>
      <c r="C156" s="5">
        <f>VLOOKUP(C$1&amp;$A156,배당편집!$M$2:$T$2710,8,FALSE)</f>
        <v>0.21235184842949906</v>
      </c>
      <c r="D156" s="5">
        <f>VLOOKUP(D$1&amp;$A156,배당편집!$M$2:$T$2710,8,FALSE)</f>
        <v>0.11628841548417412</v>
      </c>
      <c r="E156" s="5">
        <f>VLOOKUP(E$1&amp;$A156,배당편집!$M$2:$T$2710,8,FALSE)</f>
        <v>0.18466445254224406</v>
      </c>
      <c r="F156" s="5">
        <f>VLOOKUP(F$1&amp;$A156,배당편집!$M$2:$T$2710,8,FALSE)</f>
        <v>3.3406482938779236E-2</v>
      </c>
      <c r="G156" s="5">
        <f>VLOOKUP(G$1&amp;$A156,배당편집!$M$2:$T$2710,8,FALSE)</f>
        <v>9.2388464140372939E-2</v>
      </c>
      <c r="H156" s="5">
        <f>VLOOKUP(H$1&amp;$A156,배당편집!$M$2:$T$2710,8,FALSE)</f>
        <v>0.11196158593857897</v>
      </c>
      <c r="I156" s="5">
        <f>VLOOKUP(I$1&amp;$A156,배당편집!$M$2:$T$2710,8,FALSE)</f>
        <v>2.3836255539609663E-2</v>
      </c>
      <c r="J156" s="5">
        <f>VLOOKUP(J$1&amp;$A156,배당편집!$M$2:$T$2710,8,FALSE)</f>
        <v>3.6519209464036084E-2</v>
      </c>
      <c r="K156" s="5">
        <f>VLOOKUP(K$1&amp;$A156,배당편집!$M$2:$T$2710,8,FALSE)</f>
        <v>0.15424788082530827</v>
      </c>
      <c r="L156" s="5">
        <f>VLOOKUP(L$1&amp;$A156,배당편집!$M$2:$T$2710,8,FALSE)</f>
        <v>0.16271101521949816</v>
      </c>
      <c r="M156" s="5">
        <f>VLOOKUP(M$1&amp;$A156,배당편집!$M$2:$T$2710,8,FALSE)</f>
        <v>0.17232150472580798</v>
      </c>
      <c r="N156" s="5">
        <f>VLOOKUP(N$1&amp;$A156,배당편집!$M$2:$T$2710,8,FALSE)</f>
        <v>0.10053875638178189</v>
      </c>
      <c r="O156" s="5">
        <f>VLOOKUP(O$1&amp;$A156,배당편집!$M$2:$T$2710,8,FALSE)</f>
        <v>8.8953212241389856E-2</v>
      </c>
      <c r="P156" s="5">
        <f>VLOOKUP(P$1&amp;$A156,배당편집!$M$2:$T$2710,8,FALSE)</f>
        <v>0.11970220528043152</v>
      </c>
      <c r="Q156" s="5">
        <f>VLOOKUP(Q$1&amp;$A156,배당편집!$M$2:$T$2710,8,FALSE)</f>
        <v>0.11447477728186639</v>
      </c>
      <c r="R156" s="5">
        <f>VLOOKUP(R$1&amp;$A156,배당편집!$M$2:$T$2710,8,FALSE)</f>
        <v>1.5632576929179187E-2</v>
      </c>
      <c r="S156" s="5">
        <f>VLOOKUP(S$1&amp;$A156,배당편집!$M$2:$T$2710,8,FALSE)</f>
        <v>5.5812421240159171E-2</v>
      </c>
      <c r="T156" s="5">
        <f>VLOOKUP(T$1&amp;$A156,배당편집!$M$2:$T$2710,8,FALSE)</f>
        <v>0.16118714233316211</v>
      </c>
      <c r="U156" s="5">
        <f>VLOOKUP(U$1&amp;$A156,배당편집!$M$2:$T$2710,8,FALSE)</f>
        <v>-0.41139342933130763</v>
      </c>
      <c r="V156" s="5">
        <f>VLOOKUP(V$1&amp;$A156,배당편집!$M$2:$T$2710,8,FALSE)</f>
        <v>0.10066508085209658</v>
      </c>
      <c r="W156" s="5">
        <f>VLOOKUP(W$1&amp;$A156,배당편집!$M$2:$T$2710,8,FALSE)</f>
        <v>0.68293271816929924</v>
      </c>
      <c r="X156" s="5">
        <f>VLOOKUP(X$1&amp;$A156,배당편집!$M$2:$T$2710,8,FALSE)</f>
        <v>3.7137289336648172E-2</v>
      </c>
      <c r="Y156" s="5">
        <f>VLOOKUP(Y$1&amp;$A156,배당편집!$M$2:$T$2710,8,FALSE)</f>
        <v>0.30258554234867607</v>
      </c>
      <c r="Z156" s="5">
        <f>VLOOKUP(Z$1&amp;$A156,배당편집!$M$2:$T$2710,8,FALSE)</f>
        <v>5.1547496797280434E-2</v>
      </c>
      <c r="AA156" s="5">
        <f>VLOOKUP(AA$1&amp;$A156,배당편집!$M$2:$T$2710,8,FALSE)</f>
        <v>0.12030033714161736</v>
      </c>
      <c r="AB156" s="5">
        <f>VLOOKUP(AB$1&amp;$A156,배당편집!$M$2:$T$2710,8,FALSE)</f>
        <v>8.9976987048345336E-2</v>
      </c>
      <c r="AC156" s="5">
        <f>VLOOKUP(AC$1&amp;$A156,배당편집!$M$2:$T$2710,8,FALSE)</f>
        <v>8.621965815340138E-3</v>
      </c>
      <c r="AD156" s="5">
        <f>VLOOKUP(AD$1&amp;$A156,배당편집!$M$2:$T$2710,8,FALSE)</f>
        <v>0.17011741694575178</v>
      </c>
      <c r="AE156" s="5">
        <f>VLOOKUP(AE$1&amp;$A156,배당편집!$M$2:$T$2710,8,FALSE)</f>
        <v>4.9414522844583919E-2</v>
      </c>
      <c r="AF156" s="5">
        <f>VLOOKUP(AF$1&amp;$A156,배당편집!$M$2:$T$2710,8,FALSE)</f>
        <v>0.10197228772148015</v>
      </c>
    </row>
    <row r="157" spans="1:32" ht="16.5" customHeight="1">
      <c r="A157" s="3">
        <v>2010</v>
      </c>
      <c r="B157" s="3">
        <v>12</v>
      </c>
      <c r="C157" s="5">
        <f>VLOOKUP(C$1&amp;$A157,배당편집!$M$2:$T$2710,8,FALSE)</f>
        <v>0.21235184842949906</v>
      </c>
      <c r="D157" s="5">
        <f>VLOOKUP(D$1&amp;$A157,배당편집!$M$2:$T$2710,8,FALSE)</f>
        <v>0.11628841548417412</v>
      </c>
      <c r="E157" s="5">
        <f>VLOOKUP(E$1&amp;$A157,배당편집!$M$2:$T$2710,8,FALSE)</f>
        <v>0.18466445254224406</v>
      </c>
      <c r="F157" s="5">
        <f>VLOOKUP(F$1&amp;$A157,배당편집!$M$2:$T$2710,8,FALSE)</f>
        <v>3.3406482938779236E-2</v>
      </c>
      <c r="G157" s="5">
        <f>VLOOKUP(G$1&amp;$A157,배당편집!$M$2:$T$2710,8,FALSE)</f>
        <v>9.2388464140372939E-2</v>
      </c>
      <c r="H157" s="5">
        <f>VLOOKUP(H$1&amp;$A157,배당편집!$M$2:$T$2710,8,FALSE)</f>
        <v>0.11196158593857897</v>
      </c>
      <c r="I157" s="5">
        <f>VLOOKUP(I$1&amp;$A157,배당편집!$M$2:$T$2710,8,FALSE)</f>
        <v>2.3836255539609663E-2</v>
      </c>
      <c r="J157" s="5">
        <f>VLOOKUP(J$1&amp;$A157,배당편집!$M$2:$T$2710,8,FALSE)</f>
        <v>3.6519209464036084E-2</v>
      </c>
      <c r="K157" s="5">
        <f>VLOOKUP(K$1&amp;$A157,배당편집!$M$2:$T$2710,8,FALSE)</f>
        <v>0.15424788082530827</v>
      </c>
      <c r="L157" s="5">
        <f>VLOOKUP(L$1&amp;$A157,배당편집!$M$2:$T$2710,8,FALSE)</f>
        <v>0.16271101521949816</v>
      </c>
      <c r="M157" s="5">
        <f>VLOOKUP(M$1&amp;$A157,배당편집!$M$2:$T$2710,8,FALSE)</f>
        <v>0.17232150472580798</v>
      </c>
      <c r="N157" s="5">
        <f>VLOOKUP(N$1&amp;$A157,배당편집!$M$2:$T$2710,8,FALSE)</f>
        <v>0.10053875638178189</v>
      </c>
      <c r="O157" s="5">
        <f>VLOOKUP(O$1&amp;$A157,배당편집!$M$2:$T$2710,8,FALSE)</f>
        <v>8.8953212241389856E-2</v>
      </c>
      <c r="P157" s="5">
        <f>VLOOKUP(P$1&amp;$A157,배당편집!$M$2:$T$2710,8,FALSE)</f>
        <v>0.11970220528043152</v>
      </c>
      <c r="Q157" s="5">
        <f>VLOOKUP(Q$1&amp;$A157,배당편집!$M$2:$T$2710,8,FALSE)</f>
        <v>0.11447477728186639</v>
      </c>
      <c r="R157" s="5">
        <f>VLOOKUP(R$1&amp;$A157,배당편집!$M$2:$T$2710,8,FALSE)</f>
        <v>1.5632576929179187E-2</v>
      </c>
      <c r="S157" s="5">
        <f>VLOOKUP(S$1&amp;$A157,배당편집!$M$2:$T$2710,8,FALSE)</f>
        <v>5.5812421240159171E-2</v>
      </c>
      <c r="T157" s="5">
        <f>VLOOKUP(T$1&amp;$A157,배당편집!$M$2:$T$2710,8,FALSE)</f>
        <v>0.16118714233316211</v>
      </c>
      <c r="U157" s="5">
        <f>VLOOKUP(U$1&amp;$A157,배당편집!$M$2:$T$2710,8,FALSE)</f>
        <v>-0.41139342933130763</v>
      </c>
      <c r="V157" s="5">
        <f>VLOOKUP(V$1&amp;$A157,배당편집!$M$2:$T$2710,8,FALSE)</f>
        <v>0.10066508085209658</v>
      </c>
      <c r="W157" s="5">
        <f>VLOOKUP(W$1&amp;$A157,배당편집!$M$2:$T$2710,8,FALSE)</f>
        <v>0.68293271816929924</v>
      </c>
      <c r="X157" s="5">
        <f>VLOOKUP(X$1&amp;$A157,배당편집!$M$2:$T$2710,8,FALSE)</f>
        <v>3.7137289336648172E-2</v>
      </c>
      <c r="Y157" s="5">
        <f>VLOOKUP(Y$1&amp;$A157,배당편집!$M$2:$T$2710,8,FALSE)</f>
        <v>0.30258554234867607</v>
      </c>
      <c r="Z157" s="5">
        <f>VLOOKUP(Z$1&amp;$A157,배당편집!$M$2:$T$2710,8,FALSE)</f>
        <v>5.1547496797280434E-2</v>
      </c>
      <c r="AA157" s="5">
        <f>VLOOKUP(AA$1&amp;$A157,배당편집!$M$2:$T$2710,8,FALSE)</f>
        <v>0.12030033714161736</v>
      </c>
      <c r="AB157" s="5">
        <f>VLOOKUP(AB$1&amp;$A157,배당편집!$M$2:$T$2710,8,FALSE)</f>
        <v>8.9976987048345336E-2</v>
      </c>
      <c r="AC157" s="5">
        <f>VLOOKUP(AC$1&amp;$A157,배당편집!$M$2:$T$2710,8,FALSE)</f>
        <v>8.621965815340138E-3</v>
      </c>
      <c r="AD157" s="5">
        <f>VLOOKUP(AD$1&amp;$A157,배당편집!$M$2:$T$2710,8,FALSE)</f>
        <v>0.17011741694575178</v>
      </c>
      <c r="AE157" s="5">
        <f>VLOOKUP(AE$1&amp;$A157,배당편집!$M$2:$T$2710,8,FALSE)</f>
        <v>4.9414522844583919E-2</v>
      </c>
      <c r="AF157" s="5">
        <f>VLOOKUP(AF$1&amp;$A157,배당편집!$M$2:$T$2710,8,FALSE)</f>
        <v>0.10197228772148015</v>
      </c>
    </row>
    <row r="158" spans="1:32" ht="16.5" customHeight="1">
      <c r="A158" s="3">
        <v>2009</v>
      </c>
      <c r="B158" s="3">
        <v>1</v>
      </c>
      <c r="C158" s="5">
        <f>VLOOKUP(C$1&amp;$A158,배당편집!$M$2:$T$2710,8,FALSE)</f>
        <v>0.21142004089387845</v>
      </c>
      <c r="D158" s="5">
        <f>VLOOKUP(D$1&amp;$A158,배당편집!$M$2:$T$2710,8,FALSE)</f>
        <v>0.12295510705682089</v>
      </c>
      <c r="E158" s="5">
        <f>VLOOKUP(E$1&amp;$A158,배당편집!$M$2:$T$2710,8,FALSE)</f>
        <v>0.18466445254224406</v>
      </c>
      <c r="F158" s="5">
        <f>VLOOKUP(F$1&amp;$A158,배당편집!$M$2:$T$2710,8,FALSE)</f>
        <v>4.2402216277297899E-2</v>
      </c>
      <c r="G158" s="5">
        <f>VLOOKUP(G$1&amp;$A158,배당편집!$M$2:$T$2710,8,FALSE)</f>
        <v>9.8560543306117854E-2</v>
      </c>
      <c r="H158" s="5">
        <f>VLOOKUP(H$1&amp;$A158,배당편집!$M$2:$T$2710,8,FALSE)</f>
        <v>0.12233911375838735</v>
      </c>
      <c r="I158" s="5">
        <f>VLOOKUP(I$1&amp;$A158,배당편집!$M$2:$T$2710,8,FALSE)</f>
        <v>2.7479893060531335E-2</v>
      </c>
      <c r="J158" s="5">
        <f>VLOOKUP(J$1&amp;$A158,배당편집!$M$2:$T$2710,8,FALSE)</f>
        <v>3.7776708619957189E-2</v>
      </c>
      <c r="K158" s="5">
        <f>VLOOKUP(K$1&amp;$A158,배당편집!$M$2:$T$2710,8,FALSE)</f>
        <v>0.17819048858810449</v>
      </c>
      <c r="L158" s="5">
        <f>VLOOKUP(L$1&amp;$A158,배당편집!$M$2:$T$2710,8,FALSE)</f>
        <v>0.17978912471277986</v>
      </c>
      <c r="M158" s="5">
        <f>VLOOKUP(M$1&amp;$A158,배당편집!$M$2:$T$2710,8,FALSE)</f>
        <v>0.20902725032898983</v>
      </c>
      <c r="N158" s="5">
        <f>VLOOKUP(N$1&amp;$A158,배당편집!$M$2:$T$2710,8,FALSE)</f>
        <v>0.10534229649286941</v>
      </c>
      <c r="O158" s="5">
        <f>VLOOKUP(O$1&amp;$A158,배당편집!$M$2:$T$2710,8,FALSE)</f>
        <v>0.14366001004286111</v>
      </c>
      <c r="P158" s="5">
        <f>VLOOKUP(P$1&amp;$A158,배당편집!$M$2:$T$2710,8,FALSE)</f>
        <v>0.1194783991051851</v>
      </c>
      <c r="Q158" s="5">
        <f>VLOOKUP(Q$1&amp;$A158,배당편집!$M$2:$T$2710,8,FALSE)</f>
        <v>0.13896221858789914</v>
      </c>
      <c r="R158" s="5">
        <f>VLOOKUP(R$1&amp;$A158,배당편집!$M$2:$T$2710,8,FALSE)</f>
        <v>1.5880958611351526E-2</v>
      </c>
      <c r="S158" s="5">
        <f>VLOOKUP(S$1&amp;$A158,배당편집!$M$2:$T$2710,8,FALSE)</f>
        <v>5.9223841048812176E-2</v>
      </c>
      <c r="T158" s="5">
        <f>VLOOKUP(T$1&amp;$A158,배당편집!$M$2:$T$2710,8,FALSE)</f>
        <v>0.16947141871401028</v>
      </c>
      <c r="U158" s="5">
        <f>VLOOKUP(U$1&amp;$A158,배당편집!$M$2:$T$2710,8,FALSE)</f>
        <v>-0.41444336850104602</v>
      </c>
      <c r="V158" s="5">
        <f>VLOOKUP(V$1&amp;$A158,배당편집!$M$2:$T$2710,8,FALSE)</f>
        <v>0.11050422629436896</v>
      </c>
      <c r="W158" s="5">
        <f>VLOOKUP(W$1&amp;$A158,배당편집!$M$2:$T$2710,8,FALSE)</f>
        <v>0.76234034783231719</v>
      </c>
      <c r="X158" s="5">
        <f>VLOOKUP(X$1&amp;$A158,배당편집!$M$2:$T$2710,8,FALSE)</f>
        <v>3.7921811632987579E-2</v>
      </c>
      <c r="Y158" s="5">
        <f>VLOOKUP(Y$1&amp;$A158,배당편집!$M$2:$T$2710,8,FALSE)</f>
        <v>0.31601710017673601</v>
      </c>
      <c r="Z158" s="5">
        <f>VLOOKUP(Z$1&amp;$A158,배당편집!$M$2:$T$2710,8,FALSE)</f>
        <v>5.387395206178347E-2</v>
      </c>
      <c r="AA158" s="5">
        <f>VLOOKUP(AA$1&amp;$A158,배당편집!$M$2:$T$2710,8,FALSE)</f>
        <v>0.13295681060117071</v>
      </c>
      <c r="AB158" s="5">
        <f>VLOOKUP(AB$1&amp;$A158,배당편집!$M$2:$T$2710,8,FALSE)</f>
        <v>8.0008772924185401E-2</v>
      </c>
      <c r="AC158" s="5">
        <f>VLOOKUP(AC$1&amp;$A158,배당편집!$M$2:$T$2710,8,FALSE)</f>
        <v>8.6969618728141018E-3</v>
      </c>
      <c r="AD158" s="5">
        <f>VLOOKUP(AD$1&amp;$A158,배당편집!$M$2:$T$2710,8,FALSE)</f>
        <v>0.18707232699504717</v>
      </c>
      <c r="AE158" s="5">
        <f>VLOOKUP(AE$1&amp;$A158,배당편집!$M$2:$T$2710,8,FALSE)</f>
        <v>4.3640227150435917E-2</v>
      </c>
      <c r="AF158" s="5">
        <f>VLOOKUP(AF$1&amp;$A158,배당편집!$M$2:$T$2710,8,FALSE)</f>
        <v>0.10756634324829006</v>
      </c>
    </row>
    <row r="159" spans="1:32" ht="16.5" customHeight="1">
      <c r="A159" s="3">
        <v>2009</v>
      </c>
      <c r="B159" s="3">
        <v>2</v>
      </c>
      <c r="C159" s="5">
        <f>VLOOKUP(C$1&amp;$A159,배당편집!$M$2:$T$2710,8,FALSE)</f>
        <v>0.21142004089387845</v>
      </c>
      <c r="D159" s="5">
        <f>VLOOKUP(D$1&amp;$A159,배당편집!$M$2:$T$2710,8,FALSE)</f>
        <v>0.12295510705682089</v>
      </c>
      <c r="E159" s="5">
        <f>VLOOKUP(E$1&amp;$A159,배당편집!$M$2:$T$2710,8,FALSE)</f>
        <v>0.18466445254224406</v>
      </c>
      <c r="F159" s="5">
        <f>VLOOKUP(F$1&amp;$A159,배당편집!$M$2:$T$2710,8,FALSE)</f>
        <v>4.2402216277297899E-2</v>
      </c>
      <c r="G159" s="5">
        <f>VLOOKUP(G$1&amp;$A159,배당편집!$M$2:$T$2710,8,FALSE)</f>
        <v>9.8560543306117854E-2</v>
      </c>
      <c r="H159" s="5">
        <f>VLOOKUP(H$1&amp;$A159,배당편집!$M$2:$T$2710,8,FALSE)</f>
        <v>0.12233911375838735</v>
      </c>
      <c r="I159" s="5">
        <f>VLOOKUP(I$1&amp;$A159,배당편집!$M$2:$T$2710,8,FALSE)</f>
        <v>2.7479893060531335E-2</v>
      </c>
      <c r="J159" s="5">
        <f>VLOOKUP(J$1&amp;$A159,배당편집!$M$2:$T$2710,8,FALSE)</f>
        <v>3.7776708619957189E-2</v>
      </c>
      <c r="K159" s="5">
        <f>VLOOKUP(K$1&amp;$A159,배당편집!$M$2:$T$2710,8,FALSE)</f>
        <v>0.17819048858810449</v>
      </c>
      <c r="L159" s="5">
        <f>VLOOKUP(L$1&amp;$A159,배당편집!$M$2:$T$2710,8,FALSE)</f>
        <v>0.17978912471277986</v>
      </c>
      <c r="M159" s="5">
        <f>VLOOKUP(M$1&amp;$A159,배당편집!$M$2:$T$2710,8,FALSE)</f>
        <v>0.20902725032898983</v>
      </c>
      <c r="N159" s="5">
        <f>VLOOKUP(N$1&amp;$A159,배당편집!$M$2:$T$2710,8,FALSE)</f>
        <v>0.10534229649286941</v>
      </c>
      <c r="O159" s="5">
        <f>VLOOKUP(O$1&amp;$A159,배당편집!$M$2:$T$2710,8,FALSE)</f>
        <v>0.14366001004286111</v>
      </c>
      <c r="P159" s="5">
        <f>VLOOKUP(P$1&amp;$A159,배당편집!$M$2:$T$2710,8,FALSE)</f>
        <v>0.1194783991051851</v>
      </c>
      <c r="Q159" s="5">
        <f>VLOOKUP(Q$1&amp;$A159,배당편집!$M$2:$T$2710,8,FALSE)</f>
        <v>0.13896221858789914</v>
      </c>
      <c r="R159" s="5">
        <f>VLOOKUP(R$1&amp;$A159,배당편집!$M$2:$T$2710,8,FALSE)</f>
        <v>1.5880958611351526E-2</v>
      </c>
      <c r="S159" s="5">
        <f>VLOOKUP(S$1&amp;$A159,배당편집!$M$2:$T$2710,8,FALSE)</f>
        <v>5.9223841048812176E-2</v>
      </c>
      <c r="T159" s="5">
        <f>VLOOKUP(T$1&amp;$A159,배당편집!$M$2:$T$2710,8,FALSE)</f>
        <v>0.16947141871401028</v>
      </c>
      <c r="U159" s="5">
        <f>VLOOKUP(U$1&amp;$A159,배당편집!$M$2:$T$2710,8,FALSE)</f>
        <v>-0.41444336850104602</v>
      </c>
      <c r="V159" s="5">
        <f>VLOOKUP(V$1&amp;$A159,배당편집!$M$2:$T$2710,8,FALSE)</f>
        <v>0.11050422629436896</v>
      </c>
      <c r="W159" s="5">
        <f>VLOOKUP(W$1&amp;$A159,배당편집!$M$2:$T$2710,8,FALSE)</f>
        <v>0.76234034783231719</v>
      </c>
      <c r="X159" s="5">
        <f>VLOOKUP(X$1&amp;$A159,배당편집!$M$2:$T$2710,8,FALSE)</f>
        <v>3.7921811632987579E-2</v>
      </c>
      <c r="Y159" s="5">
        <f>VLOOKUP(Y$1&amp;$A159,배당편집!$M$2:$T$2710,8,FALSE)</f>
        <v>0.31601710017673601</v>
      </c>
      <c r="Z159" s="5">
        <f>VLOOKUP(Z$1&amp;$A159,배당편집!$M$2:$T$2710,8,FALSE)</f>
        <v>5.387395206178347E-2</v>
      </c>
      <c r="AA159" s="5">
        <f>VLOOKUP(AA$1&amp;$A159,배당편집!$M$2:$T$2710,8,FALSE)</f>
        <v>0.13295681060117071</v>
      </c>
      <c r="AB159" s="5">
        <f>VLOOKUP(AB$1&amp;$A159,배당편집!$M$2:$T$2710,8,FALSE)</f>
        <v>8.0008772924185401E-2</v>
      </c>
      <c r="AC159" s="5">
        <f>VLOOKUP(AC$1&amp;$A159,배당편집!$M$2:$T$2710,8,FALSE)</f>
        <v>8.6969618728141018E-3</v>
      </c>
      <c r="AD159" s="5">
        <f>VLOOKUP(AD$1&amp;$A159,배당편집!$M$2:$T$2710,8,FALSE)</f>
        <v>0.18707232699504717</v>
      </c>
      <c r="AE159" s="5">
        <f>VLOOKUP(AE$1&amp;$A159,배당편집!$M$2:$T$2710,8,FALSE)</f>
        <v>4.3640227150435917E-2</v>
      </c>
      <c r="AF159" s="5">
        <f>VLOOKUP(AF$1&amp;$A159,배당편집!$M$2:$T$2710,8,FALSE)</f>
        <v>0.10756634324829006</v>
      </c>
    </row>
    <row r="160" spans="1:32" ht="16.5" customHeight="1">
      <c r="A160" s="3">
        <v>2009</v>
      </c>
      <c r="B160" s="3">
        <v>3</v>
      </c>
      <c r="C160" s="5">
        <f>VLOOKUP(C$1&amp;$A160,배당편집!$M$2:$T$2710,8,FALSE)</f>
        <v>0.21142004089387845</v>
      </c>
      <c r="D160" s="5">
        <f>VLOOKUP(D$1&amp;$A160,배당편집!$M$2:$T$2710,8,FALSE)</f>
        <v>0.12295510705682089</v>
      </c>
      <c r="E160" s="5">
        <f>VLOOKUP(E$1&amp;$A160,배당편집!$M$2:$T$2710,8,FALSE)</f>
        <v>0.18466445254224406</v>
      </c>
      <c r="F160" s="5">
        <f>VLOOKUP(F$1&amp;$A160,배당편집!$M$2:$T$2710,8,FALSE)</f>
        <v>4.2402216277297899E-2</v>
      </c>
      <c r="G160" s="5">
        <f>VLOOKUP(G$1&amp;$A160,배당편집!$M$2:$T$2710,8,FALSE)</f>
        <v>9.8560543306117854E-2</v>
      </c>
      <c r="H160" s="5">
        <f>VLOOKUP(H$1&amp;$A160,배당편집!$M$2:$T$2710,8,FALSE)</f>
        <v>0.12233911375838735</v>
      </c>
      <c r="I160" s="5">
        <f>VLOOKUP(I$1&amp;$A160,배당편집!$M$2:$T$2710,8,FALSE)</f>
        <v>2.7479893060531335E-2</v>
      </c>
      <c r="J160" s="5">
        <f>VLOOKUP(J$1&amp;$A160,배당편집!$M$2:$T$2710,8,FALSE)</f>
        <v>3.7776708619957189E-2</v>
      </c>
      <c r="K160" s="5">
        <f>VLOOKUP(K$1&amp;$A160,배당편집!$M$2:$T$2710,8,FALSE)</f>
        <v>0.17819048858810449</v>
      </c>
      <c r="L160" s="5">
        <f>VLOOKUP(L$1&amp;$A160,배당편집!$M$2:$T$2710,8,FALSE)</f>
        <v>0.17978912471277986</v>
      </c>
      <c r="M160" s="5">
        <f>VLOOKUP(M$1&amp;$A160,배당편집!$M$2:$T$2710,8,FALSE)</f>
        <v>0.20902725032898983</v>
      </c>
      <c r="N160" s="5">
        <f>VLOOKUP(N$1&amp;$A160,배당편집!$M$2:$T$2710,8,FALSE)</f>
        <v>0.10534229649286941</v>
      </c>
      <c r="O160" s="5">
        <f>VLOOKUP(O$1&amp;$A160,배당편집!$M$2:$T$2710,8,FALSE)</f>
        <v>0.14366001004286111</v>
      </c>
      <c r="P160" s="5">
        <f>VLOOKUP(P$1&amp;$A160,배당편집!$M$2:$T$2710,8,FALSE)</f>
        <v>0.1194783991051851</v>
      </c>
      <c r="Q160" s="5">
        <f>VLOOKUP(Q$1&amp;$A160,배당편집!$M$2:$T$2710,8,FALSE)</f>
        <v>0.13896221858789914</v>
      </c>
      <c r="R160" s="5">
        <f>VLOOKUP(R$1&amp;$A160,배당편집!$M$2:$T$2710,8,FALSE)</f>
        <v>1.5880958611351526E-2</v>
      </c>
      <c r="S160" s="5">
        <f>VLOOKUP(S$1&amp;$A160,배당편집!$M$2:$T$2710,8,FALSE)</f>
        <v>5.9223841048812176E-2</v>
      </c>
      <c r="T160" s="5">
        <f>VLOOKUP(T$1&amp;$A160,배당편집!$M$2:$T$2710,8,FALSE)</f>
        <v>0.16947141871401028</v>
      </c>
      <c r="U160" s="5">
        <f>VLOOKUP(U$1&amp;$A160,배당편집!$M$2:$T$2710,8,FALSE)</f>
        <v>-0.41444336850104602</v>
      </c>
      <c r="V160" s="5">
        <f>VLOOKUP(V$1&amp;$A160,배당편집!$M$2:$T$2710,8,FALSE)</f>
        <v>0.11050422629436896</v>
      </c>
      <c r="W160" s="5">
        <f>VLOOKUP(W$1&amp;$A160,배당편집!$M$2:$T$2710,8,FALSE)</f>
        <v>0.76234034783231719</v>
      </c>
      <c r="X160" s="5">
        <f>VLOOKUP(X$1&amp;$A160,배당편집!$M$2:$T$2710,8,FALSE)</f>
        <v>3.7921811632987579E-2</v>
      </c>
      <c r="Y160" s="5">
        <f>VLOOKUP(Y$1&amp;$A160,배당편집!$M$2:$T$2710,8,FALSE)</f>
        <v>0.31601710017673601</v>
      </c>
      <c r="Z160" s="5">
        <f>VLOOKUP(Z$1&amp;$A160,배당편집!$M$2:$T$2710,8,FALSE)</f>
        <v>5.387395206178347E-2</v>
      </c>
      <c r="AA160" s="5">
        <f>VLOOKUP(AA$1&amp;$A160,배당편집!$M$2:$T$2710,8,FALSE)</f>
        <v>0.13295681060117071</v>
      </c>
      <c r="AB160" s="5">
        <f>VLOOKUP(AB$1&amp;$A160,배당편집!$M$2:$T$2710,8,FALSE)</f>
        <v>8.0008772924185401E-2</v>
      </c>
      <c r="AC160" s="5">
        <f>VLOOKUP(AC$1&amp;$A160,배당편집!$M$2:$T$2710,8,FALSE)</f>
        <v>8.6969618728141018E-3</v>
      </c>
      <c r="AD160" s="5">
        <f>VLOOKUP(AD$1&amp;$A160,배당편집!$M$2:$T$2710,8,FALSE)</f>
        <v>0.18707232699504717</v>
      </c>
      <c r="AE160" s="5">
        <f>VLOOKUP(AE$1&amp;$A160,배당편집!$M$2:$T$2710,8,FALSE)</f>
        <v>4.3640227150435917E-2</v>
      </c>
      <c r="AF160" s="5">
        <f>VLOOKUP(AF$1&amp;$A160,배당편집!$M$2:$T$2710,8,FALSE)</f>
        <v>0.10756634324829006</v>
      </c>
    </row>
    <row r="161" spans="1:32" ht="16.5" customHeight="1">
      <c r="A161" s="3">
        <v>2009</v>
      </c>
      <c r="B161" s="3">
        <v>4</v>
      </c>
      <c r="C161" s="5">
        <f>VLOOKUP(C$1&amp;$A161,배당편집!$M$2:$T$2710,8,FALSE)</f>
        <v>0.21142004089387845</v>
      </c>
      <c r="D161" s="5">
        <f>VLOOKUP(D$1&amp;$A161,배당편집!$M$2:$T$2710,8,FALSE)</f>
        <v>0.12295510705682089</v>
      </c>
      <c r="E161" s="5">
        <f>VLOOKUP(E$1&amp;$A161,배당편집!$M$2:$T$2710,8,FALSE)</f>
        <v>0.18466445254224406</v>
      </c>
      <c r="F161" s="5">
        <f>VLOOKUP(F$1&amp;$A161,배당편집!$M$2:$T$2710,8,FALSE)</f>
        <v>4.2402216277297899E-2</v>
      </c>
      <c r="G161" s="5">
        <f>VLOOKUP(G$1&amp;$A161,배당편집!$M$2:$T$2710,8,FALSE)</f>
        <v>9.8560543306117854E-2</v>
      </c>
      <c r="H161" s="5">
        <f>VLOOKUP(H$1&amp;$A161,배당편집!$M$2:$T$2710,8,FALSE)</f>
        <v>0.12233911375838735</v>
      </c>
      <c r="I161" s="5">
        <f>VLOOKUP(I$1&amp;$A161,배당편집!$M$2:$T$2710,8,FALSE)</f>
        <v>2.7479893060531335E-2</v>
      </c>
      <c r="J161" s="5">
        <f>VLOOKUP(J$1&amp;$A161,배당편집!$M$2:$T$2710,8,FALSE)</f>
        <v>3.7776708619957189E-2</v>
      </c>
      <c r="K161" s="5">
        <f>VLOOKUP(K$1&amp;$A161,배당편집!$M$2:$T$2710,8,FALSE)</f>
        <v>0.17819048858810449</v>
      </c>
      <c r="L161" s="5">
        <f>VLOOKUP(L$1&amp;$A161,배당편집!$M$2:$T$2710,8,FALSE)</f>
        <v>0.17978912471277986</v>
      </c>
      <c r="M161" s="5">
        <f>VLOOKUP(M$1&amp;$A161,배당편집!$M$2:$T$2710,8,FALSE)</f>
        <v>0.20902725032898983</v>
      </c>
      <c r="N161" s="5">
        <f>VLOOKUP(N$1&amp;$A161,배당편집!$M$2:$T$2710,8,FALSE)</f>
        <v>0.10534229649286941</v>
      </c>
      <c r="O161" s="5">
        <f>VLOOKUP(O$1&amp;$A161,배당편집!$M$2:$T$2710,8,FALSE)</f>
        <v>0.14366001004286111</v>
      </c>
      <c r="P161" s="5">
        <f>VLOOKUP(P$1&amp;$A161,배당편집!$M$2:$T$2710,8,FALSE)</f>
        <v>0.1194783991051851</v>
      </c>
      <c r="Q161" s="5">
        <f>VLOOKUP(Q$1&amp;$A161,배당편집!$M$2:$T$2710,8,FALSE)</f>
        <v>0.13896221858789914</v>
      </c>
      <c r="R161" s="5">
        <f>VLOOKUP(R$1&amp;$A161,배당편집!$M$2:$T$2710,8,FALSE)</f>
        <v>1.5880958611351526E-2</v>
      </c>
      <c r="S161" s="5">
        <f>VLOOKUP(S$1&amp;$A161,배당편집!$M$2:$T$2710,8,FALSE)</f>
        <v>5.9223841048812176E-2</v>
      </c>
      <c r="T161" s="5">
        <f>VLOOKUP(T$1&amp;$A161,배당편집!$M$2:$T$2710,8,FALSE)</f>
        <v>0.16947141871401028</v>
      </c>
      <c r="U161" s="5">
        <f>VLOOKUP(U$1&amp;$A161,배당편집!$M$2:$T$2710,8,FALSE)</f>
        <v>-0.41444336850104602</v>
      </c>
      <c r="V161" s="5">
        <f>VLOOKUP(V$1&amp;$A161,배당편집!$M$2:$T$2710,8,FALSE)</f>
        <v>0.11050422629436896</v>
      </c>
      <c r="W161" s="5">
        <f>VLOOKUP(W$1&amp;$A161,배당편집!$M$2:$T$2710,8,FALSE)</f>
        <v>0.76234034783231719</v>
      </c>
      <c r="X161" s="5">
        <f>VLOOKUP(X$1&amp;$A161,배당편집!$M$2:$T$2710,8,FALSE)</f>
        <v>3.7921811632987579E-2</v>
      </c>
      <c r="Y161" s="5">
        <f>VLOOKUP(Y$1&amp;$A161,배당편집!$M$2:$T$2710,8,FALSE)</f>
        <v>0.31601710017673601</v>
      </c>
      <c r="Z161" s="5">
        <f>VLOOKUP(Z$1&amp;$A161,배당편집!$M$2:$T$2710,8,FALSE)</f>
        <v>5.387395206178347E-2</v>
      </c>
      <c r="AA161" s="5">
        <f>VLOOKUP(AA$1&amp;$A161,배당편집!$M$2:$T$2710,8,FALSE)</f>
        <v>0.13295681060117071</v>
      </c>
      <c r="AB161" s="5">
        <f>VLOOKUP(AB$1&amp;$A161,배당편집!$M$2:$T$2710,8,FALSE)</f>
        <v>8.0008772924185401E-2</v>
      </c>
      <c r="AC161" s="5">
        <f>VLOOKUP(AC$1&amp;$A161,배당편집!$M$2:$T$2710,8,FALSE)</f>
        <v>8.6969618728141018E-3</v>
      </c>
      <c r="AD161" s="5">
        <f>VLOOKUP(AD$1&amp;$A161,배당편집!$M$2:$T$2710,8,FALSE)</f>
        <v>0.18707232699504717</v>
      </c>
      <c r="AE161" s="5">
        <f>VLOOKUP(AE$1&amp;$A161,배당편집!$M$2:$T$2710,8,FALSE)</f>
        <v>4.3640227150435917E-2</v>
      </c>
      <c r="AF161" s="5">
        <f>VLOOKUP(AF$1&amp;$A161,배당편집!$M$2:$T$2710,8,FALSE)</f>
        <v>0.10756634324829006</v>
      </c>
    </row>
    <row r="162" spans="1:32" ht="16.5" customHeight="1">
      <c r="A162" s="3">
        <v>2009</v>
      </c>
      <c r="B162" s="3">
        <v>5</v>
      </c>
      <c r="C162" s="5">
        <f>VLOOKUP(C$1&amp;$A162,배당편집!$M$2:$T$2710,8,FALSE)</f>
        <v>0.21142004089387845</v>
      </c>
      <c r="D162" s="5">
        <f>VLOOKUP(D$1&amp;$A162,배당편집!$M$2:$T$2710,8,FALSE)</f>
        <v>0.12295510705682089</v>
      </c>
      <c r="E162" s="5">
        <f>VLOOKUP(E$1&amp;$A162,배당편집!$M$2:$T$2710,8,FALSE)</f>
        <v>0.18466445254224406</v>
      </c>
      <c r="F162" s="5">
        <f>VLOOKUP(F$1&amp;$A162,배당편집!$M$2:$T$2710,8,FALSE)</f>
        <v>4.2402216277297899E-2</v>
      </c>
      <c r="G162" s="5">
        <f>VLOOKUP(G$1&amp;$A162,배당편집!$M$2:$T$2710,8,FALSE)</f>
        <v>9.8560543306117854E-2</v>
      </c>
      <c r="H162" s="5">
        <f>VLOOKUP(H$1&amp;$A162,배당편집!$M$2:$T$2710,8,FALSE)</f>
        <v>0.12233911375838735</v>
      </c>
      <c r="I162" s="5">
        <f>VLOOKUP(I$1&amp;$A162,배당편집!$M$2:$T$2710,8,FALSE)</f>
        <v>2.7479893060531335E-2</v>
      </c>
      <c r="J162" s="5">
        <f>VLOOKUP(J$1&amp;$A162,배당편집!$M$2:$T$2710,8,FALSE)</f>
        <v>3.7776708619957189E-2</v>
      </c>
      <c r="K162" s="5">
        <f>VLOOKUP(K$1&amp;$A162,배당편집!$M$2:$T$2710,8,FALSE)</f>
        <v>0.17819048858810449</v>
      </c>
      <c r="L162" s="5">
        <f>VLOOKUP(L$1&amp;$A162,배당편집!$M$2:$T$2710,8,FALSE)</f>
        <v>0.17978912471277986</v>
      </c>
      <c r="M162" s="5">
        <f>VLOOKUP(M$1&amp;$A162,배당편집!$M$2:$T$2710,8,FALSE)</f>
        <v>0.20902725032898983</v>
      </c>
      <c r="N162" s="5">
        <f>VLOOKUP(N$1&amp;$A162,배당편집!$M$2:$T$2710,8,FALSE)</f>
        <v>0.10534229649286941</v>
      </c>
      <c r="O162" s="5">
        <f>VLOOKUP(O$1&amp;$A162,배당편집!$M$2:$T$2710,8,FALSE)</f>
        <v>0.14366001004286111</v>
      </c>
      <c r="P162" s="5">
        <f>VLOOKUP(P$1&amp;$A162,배당편집!$M$2:$T$2710,8,FALSE)</f>
        <v>0.1194783991051851</v>
      </c>
      <c r="Q162" s="5">
        <f>VLOOKUP(Q$1&amp;$A162,배당편집!$M$2:$T$2710,8,FALSE)</f>
        <v>0.13896221858789914</v>
      </c>
      <c r="R162" s="5">
        <f>VLOOKUP(R$1&amp;$A162,배당편집!$M$2:$T$2710,8,FALSE)</f>
        <v>1.5880958611351526E-2</v>
      </c>
      <c r="S162" s="5">
        <f>VLOOKUP(S$1&amp;$A162,배당편집!$M$2:$T$2710,8,FALSE)</f>
        <v>5.9223841048812176E-2</v>
      </c>
      <c r="T162" s="5">
        <f>VLOOKUP(T$1&amp;$A162,배당편집!$M$2:$T$2710,8,FALSE)</f>
        <v>0.16947141871401028</v>
      </c>
      <c r="U162" s="5">
        <f>VLOOKUP(U$1&amp;$A162,배당편집!$M$2:$T$2710,8,FALSE)</f>
        <v>-0.41444336850104602</v>
      </c>
      <c r="V162" s="5">
        <f>VLOOKUP(V$1&amp;$A162,배당편집!$M$2:$T$2710,8,FALSE)</f>
        <v>0.11050422629436896</v>
      </c>
      <c r="W162" s="5">
        <f>VLOOKUP(W$1&amp;$A162,배당편집!$M$2:$T$2710,8,FALSE)</f>
        <v>0.76234034783231719</v>
      </c>
      <c r="X162" s="5">
        <f>VLOOKUP(X$1&amp;$A162,배당편집!$M$2:$T$2710,8,FALSE)</f>
        <v>3.7921811632987579E-2</v>
      </c>
      <c r="Y162" s="5">
        <f>VLOOKUP(Y$1&amp;$A162,배당편집!$M$2:$T$2710,8,FALSE)</f>
        <v>0.31601710017673601</v>
      </c>
      <c r="Z162" s="5">
        <f>VLOOKUP(Z$1&amp;$A162,배당편집!$M$2:$T$2710,8,FALSE)</f>
        <v>5.387395206178347E-2</v>
      </c>
      <c r="AA162" s="5">
        <f>VLOOKUP(AA$1&amp;$A162,배당편집!$M$2:$T$2710,8,FALSE)</f>
        <v>0.13295681060117071</v>
      </c>
      <c r="AB162" s="5">
        <f>VLOOKUP(AB$1&amp;$A162,배당편집!$M$2:$T$2710,8,FALSE)</f>
        <v>8.0008772924185401E-2</v>
      </c>
      <c r="AC162" s="5">
        <f>VLOOKUP(AC$1&amp;$A162,배당편집!$M$2:$T$2710,8,FALSE)</f>
        <v>8.6969618728141018E-3</v>
      </c>
      <c r="AD162" s="5">
        <f>VLOOKUP(AD$1&amp;$A162,배당편집!$M$2:$T$2710,8,FALSE)</f>
        <v>0.18707232699504717</v>
      </c>
      <c r="AE162" s="5">
        <f>VLOOKUP(AE$1&amp;$A162,배당편집!$M$2:$T$2710,8,FALSE)</f>
        <v>4.3640227150435917E-2</v>
      </c>
      <c r="AF162" s="5">
        <f>VLOOKUP(AF$1&amp;$A162,배당편집!$M$2:$T$2710,8,FALSE)</f>
        <v>0.10756634324829006</v>
      </c>
    </row>
    <row r="163" spans="1:32" ht="16.5" customHeight="1">
      <c r="A163" s="3">
        <v>2009</v>
      </c>
      <c r="B163" s="3">
        <v>6</v>
      </c>
      <c r="C163" s="5">
        <f>VLOOKUP(C$1&amp;$A163,배당편집!$M$2:$T$2710,8,FALSE)</f>
        <v>0.21142004089387845</v>
      </c>
      <c r="D163" s="5">
        <f>VLOOKUP(D$1&amp;$A163,배당편집!$M$2:$T$2710,8,FALSE)</f>
        <v>0.12295510705682089</v>
      </c>
      <c r="E163" s="5">
        <f>VLOOKUP(E$1&amp;$A163,배당편집!$M$2:$T$2710,8,FALSE)</f>
        <v>0.18466445254224406</v>
      </c>
      <c r="F163" s="5">
        <f>VLOOKUP(F$1&amp;$A163,배당편집!$M$2:$T$2710,8,FALSE)</f>
        <v>4.2402216277297899E-2</v>
      </c>
      <c r="G163" s="5">
        <f>VLOOKUP(G$1&amp;$A163,배당편집!$M$2:$T$2710,8,FALSE)</f>
        <v>9.8560543306117854E-2</v>
      </c>
      <c r="H163" s="5">
        <f>VLOOKUP(H$1&amp;$A163,배당편집!$M$2:$T$2710,8,FALSE)</f>
        <v>0.12233911375838735</v>
      </c>
      <c r="I163" s="5">
        <f>VLOOKUP(I$1&amp;$A163,배당편집!$M$2:$T$2710,8,FALSE)</f>
        <v>2.7479893060531335E-2</v>
      </c>
      <c r="J163" s="5">
        <f>VLOOKUP(J$1&amp;$A163,배당편집!$M$2:$T$2710,8,FALSE)</f>
        <v>3.7776708619957189E-2</v>
      </c>
      <c r="K163" s="5">
        <f>VLOOKUP(K$1&amp;$A163,배당편집!$M$2:$T$2710,8,FALSE)</f>
        <v>0.17819048858810449</v>
      </c>
      <c r="L163" s="5">
        <f>VLOOKUP(L$1&amp;$A163,배당편집!$M$2:$T$2710,8,FALSE)</f>
        <v>0.17978912471277986</v>
      </c>
      <c r="M163" s="5">
        <f>VLOOKUP(M$1&amp;$A163,배당편집!$M$2:$T$2710,8,FALSE)</f>
        <v>0.20902725032898983</v>
      </c>
      <c r="N163" s="5">
        <f>VLOOKUP(N$1&amp;$A163,배당편집!$M$2:$T$2710,8,FALSE)</f>
        <v>0.10534229649286941</v>
      </c>
      <c r="O163" s="5">
        <f>VLOOKUP(O$1&amp;$A163,배당편집!$M$2:$T$2710,8,FALSE)</f>
        <v>0.14366001004286111</v>
      </c>
      <c r="P163" s="5">
        <f>VLOOKUP(P$1&amp;$A163,배당편집!$M$2:$T$2710,8,FALSE)</f>
        <v>0.1194783991051851</v>
      </c>
      <c r="Q163" s="5">
        <f>VLOOKUP(Q$1&amp;$A163,배당편집!$M$2:$T$2710,8,FALSE)</f>
        <v>0.13896221858789914</v>
      </c>
      <c r="R163" s="5">
        <f>VLOOKUP(R$1&amp;$A163,배당편집!$M$2:$T$2710,8,FALSE)</f>
        <v>1.5880958611351526E-2</v>
      </c>
      <c r="S163" s="5">
        <f>VLOOKUP(S$1&amp;$A163,배당편집!$M$2:$T$2710,8,FALSE)</f>
        <v>5.9223841048812176E-2</v>
      </c>
      <c r="T163" s="5">
        <f>VLOOKUP(T$1&amp;$A163,배당편집!$M$2:$T$2710,8,FALSE)</f>
        <v>0.16947141871401028</v>
      </c>
      <c r="U163" s="5">
        <f>VLOOKUP(U$1&amp;$A163,배당편집!$M$2:$T$2710,8,FALSE)</f>
        <v>-0.41444336850104602</v>
      </c>
      <c r="V163" s="5">
        <f>VLOOKUP(V$1&amp;$A163,배당편집!$M$2:$T$2710,8,FALSE)</f>
        <v>0.11050422629436896</v>
      </c>
      <c r="W163" s="5">
        <f>VLOOKUP(W$1&amp;$A163,배당편집!$M$2:$T$2710,8,FALSE)</f>
        <v>0.76234034783231719</v>
      </c>
      <c r="X163" s="5">
        <f>VLOOKUP(X$1&amp;$A163,배당편집!$M$2:$T$2710,8,FALSE)</f>
        <v>3.7921811632987579E-2</v>
      </c>
      <c r="Y163" s="5">
        <f>VLOOKUP(Y$1&amp;$A163,배당편집!$M$2:$T$2710,8,FALSE)</f>
        <v>0.31601710017673601</v>
      </c>
      <c r="Z163" s="5">
        <f>VLOOKUP(Z$1&amp;$A163,배당편집!$M$2:$T$2710,8,FALSE)</f>
        <v>5.387395206178347E-2</v>
      </c>
      <c r="AA163" s="5">
        <f>VLOOKUP(AA$1&amp;$A163,배당편집!$M$2:$T$2710,8,FALSE)</f>
        <v>0.13295681060117071</v>
      </c>
      <c r="AB163" s="5">
        <f>VLOOKUP(AB$1&amp;$A163,배당편집!$M$2:$T$2710,8,FALSE)</f>
        <v>8.0008772924185401E-2</v>
      </c>
      <c r="AC163" s="5">
        <f>VLOOKUP(AC$1&amp;$A163,배당편집!$M$2:$T$2710,8,FALSE)</f>
        <v>8.6969618728141018E-3</v>
      </c>
      <c r="AD163" s="5">
        <f>VLOOKUP(AD$1&amp;$A163,배당편집!$M$2:$T$2710,8,FALSE)</f>
        <v>0.18707232699504717</v>
      </c>
      <c r="AE163" s="5">
        <f>VLOOKUP(AE$1&amp;$A163,배당편집!$M$2:$T$2710,8,FALSE)</f>
        <v>4.3640227150435917E-2</v>
      </c>
      <c r="AF163" s="5">
        <f>VLOOKUP(AF$1&amp;$A163,배당편집!$M$2:$T$2710,8,FALSE)</f>
        <v>0.10756634324829006</v>
      </c>
    </row>
    <row r="164" spans="1:32" ht="16.5" customHeight="1">
      <c r="A164" s="3">
        <v>2009</v>
      </c>
      <c r="B164" s="3">
        <v>7</v>
      </c>
      <c r="C164" s="5">
        <f>VLOOKUP(C$1&amp;$A164,배당편집!$M$2:$T$2710,8,FALSE)</f>
        <v>0.21142004089387845</v>
      </c>
      <c r="D164" s="5">
        <f>VLOOKUP(D$1&amp;$A164,배당편집!$M$2:$T$2710,8,FALSE)</f>
        <v>0.12295510705682089</v>
      </c>
      <c r="E164" s="5">
        <f>VLOOKUP(E$1&amp;$A164,배당편집!$M$2:$T$2710,8,FALSE)</f>
        <v>0.18466445254224406</v>
      </c>
      <c r="F164" s="5">
        <f>VLOOKUP(F$1&amp;$A164,배당편집!$M$2:$T$2710,8,FALSE)</f>
        <v>4.2402216277297899E-2</v>
      </c>
      <c r="G164" s="5">
        <f>VLOOKUP(G$1&amp;$A164,배당편집!$M$2:$T$2710,8,FALSE)</f>
        <v>9.8560543306117854E-2</v>
      </c>
      <c r="H164" s="5">
        <f>VLOOKUP(H$1&amp;$A164,배당편집!$M$2:$T$2710,8,FALSE)</f>
        <v>0.12233911375838735</v>
      </c>
      <c r="I164" s="5">
        <f>VLOOKUP(I$1&amp;$A164,배당편집!$M$2:$T$2710,8,FALSE)</f>
        <v>2.7479893060531335E-2</v>
      </c>
      <c r="J164" s="5">
        <f>VLOOKUP(J$1&amp;$A164,배당편집!$M$2:$T$2710,8,FALSE)</f>
        <v>3.7776708619957189E-2</v>
      </c>
      <c r="K164" s="5">
        <f>VLOOKUP(K$1&amp;$A164,배당편집!$M$2:$T$2710,8,FALSE)</f>
        <v>0.17819048858810449</v>
      </c>
      <c r="L164" s="5">
        <f>VLOOKUP(L$1&amp;$A164,배당편집!$M$2:$T$2710,8,FALSE)</f>
        <v>0.17978912471277986</v>
      </c>
      <c r="M164" s="5">
        <f>VLOOKUP(M$1&amp;$A164,배당편집!$M$2:$T$2710,8,FALSE)</f>
        <v>0.20902725032898983</v>
      </c>
      <c r="N164" s="5">
        <f>VLOOKUP(N$1&amp;$A164,배당편집!$M$2:$T$2710,8,FALSE)</f>
        <v>0.10534229649286941</v>
      </c>
      <c r="O164" s="5">
        <f>VLOOKUP(O$1&amp;$A164,배당편집!$M$2:$T$2710,8,FALSE)</f>
        <v>0.14366001004286111</v>
      </c>
      <c r="P164" s="5">
        <f>VLOOKUP(P$1&amp;$A164,배당편집!$M$2:$T$2710,8,FALSE)</f>
        <v>0.1194783991051851</v>
      </c>
      <c r="Q164" s="5">
        <f>VLOOKUP(Q$1&amp;$A164,배당편집!$M$2:$T$2710,8,FALSE)</f>
        <v>0.13896221858789914</v>
      </c>
      <c r="R164" s="5">
        <f>VLOOKUP(R$1&amp;$A164,배당편집!$M$2:$T$2710,8,FALSE)</f>
        <v>1.5880958611351526E-2</v>
      </c>
      <c r="S164" s="5">
        <f>VLOOKUP(S$1&amp;$A164,배당편집!$M$2:$T$2710,8,FALSE)</f>
        <v>5.9223841048812176E-2</v>
      </c>
      <c r="T164" s="5">
        <f>VLOOKUP(T$1&amp;$A164,배당편집!$M$2:$T$2710,8,FALSE)</f>
        <v>0.16947141871401028</v>
      </c>
      <c r="U164" s="5">
        <f>VLOOKUP(U$1&amp;$A164,배당편집!$M$2:$T$2710,8,FALSE)</f>
        <v>-0.41444336850104602</v>
      </c>
      <c r="V164" s="5">
        <f>VLOOKUP(V$1&amp;$A164,배당편집!$M$2:$T$2710,8,FALSE)</f>
        <v>0.11050422629436896</v>
      </c>
      <c r="W164" s="5">
        <f>VLOOKUP(W$1&amp;$A164,배당편집!$M$2:$T$2710,8,FALSE)</f>
        <v>0.76234034783231719</v>
      </c>
      <c r="X164" s="5">
        <f>VLOOKUP(X$1&amp;$A164,배당편집!$M$2:$T$2710,8,FALSE)</f>
        <v>3.7921811632987579E-2</v>
      </c>
      <c r="Y164" s="5">
        <f>VLOOKUP(Y$1&amp;$A164,배당편집!$M$2:$T$2710,8,FALSE)</f>
        <v>0.31601710017673601</v>
      </c>
      <c r="Z164" s="5">
        <f>VLOOKUP(Z$1&amp;$A164,배당편집!$M$2:$T$2710,8,FALSE)</f>
        <v>5.387395206178347E-2</v>
      </c>
      <c r="AA164" s="5">
        <f>VLOOKUP(AA$1&amp;$A164,배당편집!$M$2:$T$2710,8,FALSE)</f>
        <v>0.13295681060117071</v>
      </c>
      <c r="AB164" s="5">
        <f>VLOOKUP(AB$1&amp;$A164,배당편집!$M$2:$T$2710,8,FALSE)</f>
        <v>8.0008772924185401E-2</v>
      </c>
      <c r="AC164" s="5">
        <f>VLOOKUP(AC$1&amp;$A164,배당편집!$M$2:$T$2710,8,FALSE)</f>
        <v>8.6969618728141018E-3</v>
      </c>
      <c r="AD164" s="5">
        <f>VLOOKUP(AD$1&amp;$A164,배당편집!$M$2:$T$2710,8,FALSE)</f>
        <v>0.18707232699504717</v>
      </c>
      <c r="AE164" s="5">
        <f>VLOOKUP(AE$1&amp;$A164,배당편집!$M$2:$T$2710,8,FALSE)</f>
        <v>4.3640227150435917E-2</v>
      </c>
      <c r="AF164" s="5">
        <f>VLOOKUP(AF$1&amp;$A164,배당편집!$M$2:$T$2710,8,FALSE)</f>
        <v>0.10756634324829006</v>
      </c>
    </row>
    <row r="165" spans="1:32" ht="16.5" customHeight="1">
      <c r="A165" s="3">
        <v>2009</v>
      </c>
      <c r="B165" s="3">
        <v>8</v>
      </c>
      <c r="C165" s="5">
        <f>VLOOKUP(C$1&amp;$A165,배당편집!$M$2:$T$2710,8,FALSE)</f>
        <v>0.21142004089387845</v>
      </c>
      <c r="D165" s="5">
        <f>VLOOKUP(D$1&amp;$A165,배당편집!$M$2:$T$2710,8,FALSE)</f>
        <v>0.12295510705682089</v>
      </c>
      <c r="E165" s="5">
        <f>VLOOKUP(E$1&amp;$A165,배당편집!$M$2:$T$2710,8,FALSE)</f>
        <v>0.18466445254224406</v>
      </c>
      <c r="F165" s="5">
        <f>VLOOKUP(F$1&amp;$A165,배당편집!$M$2:$T$2710,8,FALSE)</f>
        <v>4.2402216277297899E-2</v>
      </c>
      <c r="G165" s="5">
        <f>VLOOKUP(G$1&amp;$A165,배당편집!$M$2:$T$2710,8,FALSE)</f>
        <v>9.8560543306117854E-2</v>
      </c>
      <c r="H165" s="5">
        <f>VLOOKUP(H$1&amp;$A165,배당편집!$M$2:$T$2710,8,FALSE)</f>
        <v>0.12233911375838735</v>
      </c>
      <c r="I165" s="5">
        <f>VLOOKUP(I$1&amp;$A165,배당편집!$M$2:$T$2710,8,FALSE)</f>
        <v>2.7479893060531335E-2</v>
      </c>
      <c r="J165" s="5">
        <f>VLOOKUP(J$1&amp;$A165,배당편집!$M$2:$T$2710,8,FALSE)</f>
        <v>3.7776708619957189E-2</v>
      </c>
      <c r="K165" s="5">
        <f>VLOOKUP(K$1&amp;$A165,배당편집!$M$2:$T$2710,8,FALSE)</f>
        <v>0.17819048858810449</v>
      </c>
      <c r="L165" s="5">
        <f>VLOOKUP(L$1&amp;$A165,배당편집!$M$2:$T$2710,8,FALSE)</f>
        <v>0.17978912471277986</v>
      </c>
      <c r="M165" s="5">
        <f>VLOOKUP(M$1&amp;$A165,배당편집!$M$2:$T$2710,8,FALSE)</f>
        <v>0.20902725032898983</v>
      </c>
      <c r="N165" s="5">
        <f>VLOOKUP(N$1&amp;$A165,배당편집!$M$2:$T$2710,8,FALSE)</f>
        <v>0.10534229649286941</v>
      </c>
      <c r="O165" s="5">
        <f>VLOOKUP(O$1&amp;$A165,배당편집!$M$2:$T$2710,8,FALSE)</f>
        <v>0.14366001004286111</v>
      </c>
      <c r="P165" s="5">
        <f>VLOOKUP(P$1&amp;$A165,배당편집!$M$2:$T$2710,8,FALSE)</f>
        <v>0.1194783991051851</v>
      </c>
      <c r="Q165" s="5">
        <f>VLOOKUP(Q$1&amp;$A165,배당편집!$M$2:$T$2710,8,FALSE)</f>
        <v>0.13896221858789914</v>
      </c>
      <c r="R165" s="5">
        <f>VLOOKUP(R$1&amp;$A165,배당편집!$M$2:$T$2710,8,FALSE)</f>
        <v>1.5880958611351526E-2</v>
      </c>
      <c r="S165" s="5">
        <f>VLOOKUP(S$1&amp;$A165,배당편집!$M$2:$T$2710,8,FALSE)</f>
        <v>5.9223841048812176E-2</v>
      </c>
      <c r="T165" s="5">
        <f>VLOOKUP(T$1&amp;$A165,배당편집!$M$2:$T$2710,8,FALSE)</f>
        <v>0.16947141871401028</v>
      </c>
      <c r="U165" s="5">
        <f>VLOOKUP(U$1&amp;$A165,배당편집!$M$2:$T$2710,8,FALSE)</f>
        <v>-0.41444336850104602</v>
      </c>
      <c r="V165" s="5">
        <f>VLOOKUP(V$1&amp;$A165,배당편집!$M$2:$T$2710,8,FALSE)</f>
        <v>0.11050422629436896</v>
      </c>
      <c r="W165" s="5">
        <f>VLOOKUP(W$1&amp;$A165,배당편집!$M$2:$T$2710,8,FALSE)</f>
        <v>0.76234034783231719</v>
      </c>
      <c r="X165" s="5">
        <f>VLOOKUP(X$1&amp;$A165,배당편집!$M$2:$T$2710,8,FALSE)</f>
        <v>3.7921811632987579E-2</v>
      </c>
      <c r="Y165" s="5">
        <f>VLOOKUP(Y$1&amp;$A165,배당편집!$M$2:$T$2710,8,FALSE)</f>
        <v>0.31601710017673601</v>
      </c>
      <c r="Z165" s="5">
        <f>VLOOKUP(Z$1&amp;$A165,배당편집!$M$2:$T$2710,8,FALSE)</f>
        <v>5.387395206178347E-2</v>
      </c>
      <c r="AA165" s="5">
        <f>VLOOKUP(AA$1&amp;$A165,배당편집!$M$2:$T$2710,8,FALSE)</f>
        <v>0.13295681060117071</v>
      </c>
      <c r="AB165" s="5">
        <f>VLOOKUP(AB$1&amp;$A165,배당편집!$M$2:$T$2710,8,FALSE)</f>
        <v>8.0008772924185401E-2</v>
      </c>
      <c r="AC165" s="5">
        <f>VLOOKUP(AC$1&amp;$A165,배당편집!$M$2:$T$2710,8,FALSE)</f>
        <v>8.6969618728141018E-3</v>
      </c>
      <c r="AD165" s="5">
        <f>VLOOKUP(AD$1&amp;$A165,배당편집!$M$2:$T$2710,8,FALSE)</f>
        <v>0.18707232699504717</v>
      </c>
      <c r="AE165" s="5">
        <f>VLOOKUP(AE$1&amp;$A165,배당편집!$M$2:$T$2710,8,FALSE)</f>
        <v>4.3640227150435917E-2</v>
      </c>
      <c r="AF165" s="5">
        <f>VLOOKUP(AF$1&amp;$A165,배당편집!$M$2:$T$2710,8,FALSE)</f>
        <v>0.10756634324829006</v>
      </c>
    </row>
    <row r="166" spans="1:32" ht="16.5" customHeight="1">
      <c r="A166" s="3">
        <v>2009</v>
      </c>
      <c r="B166" s="3">
        <v>9</v>
      </c>
      <c r="C166" s="5">
        <f>VLOOKUP(C$1&amp;$A166,배당편집!$M$2:$T$2710,8,FALSE)</f>
        <v>0.21142004089387845</v>
      </c>
      <c r="D166" s="5">
        <f>VLOOKUP(D$1&amp;$A166,배당편집!$M$2:$T$2710,8,FALSE)</f>
        <v>0.12295510705682089</v>
      </c>
      <c r="E166" s="5">
        <f>VLOOKUP(E$1&amp;$A166,배당편집!$M$2:$T$2710,8,FALSE)</f>
        <v>0.18466445254224406</v>
      </c>
      <c r="F166" s="5">
        <f>VLOOKUP(F$1&amp;$A166,배당편집!$M$2:$T$2710,8,FALSE)</f>
        <v>4.2402216277297899E-2</v>
      </c>
      <c r="G166" s="5">
        <f>VLOOKUP(G$1&amp;$A166,배당편집!$M$2:$T$2710,8,FALSE)</f>
        <v>9.8560543306117854E-2</v>
      </c>
      <c r="H166" s="5">
        <f>VLOOKUP(H$1&amp;$A166,배당편집!$M$2:$T$2710,8,FALSE)</f>
        <v>0.12233911375838735</v>
      </c>
      <c r="I166" s="5">
        <f>VLOOKUP(I$1&amp;$A166,배당편집!$M$2:$T$2710,8,FALSE)</f>
        <v>2.7479893060531335E-2</v>
      </c>
      <c r="J166" s="5">
        <f>VLOOKUP(J$1&amp;$A166,배당편집!$M$2:$T$2710,8,FALSE)</f>
        <v>3.7776708619957189E-2</v>
      </c>
      <c r="K166" s="5">
        <f>VLOOKUP(K$1&amp;$A166,배당편집!$M$2:$T$2710,8,FALSE)</f>
        <v>0.17819048858810449</v>
      </c>
      <c r="L166" s="5">
        <f>VLOOKUP(L$1&amp;$A166,배당편집!$M$2:$T$2710,8,FALSE)</f>
        <v>0.17978912471277986</v>
      </c>
      <c r="M166" s="5">
        <f>VLOOKUP(M$1&amp;$A166,배당편집!$M$2:$T$2710,8,FALSE)</f>
        <v>0.20902725032898983</v>
      </c>
      <c r="N166" s="5">
        <f>VLOOKUP(N$1&amp;$A166,배당편집!$M$2:$T$2710,8,FALSE)</f>
        <v>0.10534229649286941</v>
      </c>
      <c r="O166" s="5">
        <f>VLOOKUP(O$1&amp;$A166,배당편집!$M$2:$T$2710,8,FALSE)</f>
        <v>0.14366001004286111</v>
      </c>
      <c r="P166" s="5">
        <f>VLOOKUP(P$1&amp;$A166,배당편집!$M$2:$T$2710,8,FALSE)</f>
        <v>0.1194783991051851</v>
      </c>
      <c r="Q166" s="5">
        <f>VLOOKUP(Q$1&amp;$A166,배당편집!$M$2:$T$2710,8,FALSE)</f>
        <v>0.13896221858789914</v>
      </c>
      <c r="R166" s="5">
        <f>VLOOKUP(R$1&amp;$A166,배당편집!$M$2:$T$2710,8,FALSE)</f>
        <v>1.5880958611351526E-2</v>
      </c>
      <c r="S166" s="5">
        <f>VLOOKUP(S$1&amp;$A166,배당편집!$M$2:$T$2710,8,FALSE)</f>
        <v>5.9223841048812176E-2</v>
      </c>
      <c r="T166" s="5">
        <f>VLOOKUP(T$1&amp;$A166,배당편집!$M$2:$T$2710,8,FALSE)</f>
        <v>0.16947141871401028</v>
      </c>
      <c r="U166" s="5">
        <f>VLOOKUP(U$1&amp;$A166,배당편집!$M$2:$T$2710,8,FALSE)</f>
        <v>-0.41444336850104602</v>
      </c>
      <c r="V166" s="5">
        <f>VLOOKUP(V$1&amp;$A166,배당편집!$M$2:$T$2710,8,FALSE)</f>
        <v>0.11050422629436896</v>
      </c>
      <c r="W166" s="5">
        <f>VLOOKUP(W$1&amp;$A166,배당편집!$M$2:$T$2710,8,FALSE)</f>
        <v>0.76234034783231719</v>
      </c>
      <c r="X166" s="5">
        <f>VLOOKUP(X$1&amp;$A166,배당편집!$M$2:$T$2710,8,FALSE)</f>
        <v>3.7921811632987579E-2</v>
      </c>
      <c r="Y166" s="5">
        <f>VLOOKUP(Y$1&amp;$A166,배당편집!$M$2:$T$2710,8,FALSE)</f>
        <v>0.31601710017673601</v>
      </c>
      <c r="Z166" s="5">
        <f>VLOOKUP(Z$1&amp;$A166,배당편집!$M$2:$T$2710,8,FALSE)</f>
        <v>5.387395206178347E-2</v>
      </c>
      <c r="AA166" s="5">
        <f>VLOOKUP(AA$1&amp;$A166,배당편집!$M$2:$T$2710,8,FALSE)</f>
        <v>0.13295681060117071</v>
      </c>
      <c r="AB166" s="5">
        <f>VLOOKUP(AB$1&amp;$A166,배당편집!$M$2:$T$2710,8,FALSE)</f>
        <v>8.0008772924185401E-2</v>
      </c>
      <c r="AC166" s="5">
        <f>VLOOKUP(AC$1&amp;$A166,배당편집!$M$2:$T$2710,8,FALSE)</f>
        <v>8.6969618728141018E-3</v>
      </c>
      <c r="AD166" s="5">
        <f>VLOOKUP(AD$1&amp;$A166,배당편집!$M$2:$T$2710,8,FALSE)</f>
        <v>0.18707232699504717</v>
      </c>
      <c r="AE166" s="5">
        <f>VLOOKUP(AE$1&amp;$A166,배당편집!$M$2:$T$2710,8,FALSE)</f>
        <v>4.3640227150435917E-2</v>
      </c>
      <c r="AF166" s="5">
        <f>VLOOKUP(AF$1&amp;$A166,배당편집!$M$2:$T$2710,8,FALSE)</f>
        <v>0.10756634324829006</v>
      </c>
    </row>
    <row r="167" spans="1:32" ht="16.5" customHeight="1">
      <c r="A167" s="3">
        <v>2009</v>
      </c>
      <c r="B167" s="3">
        <v>10</v>
      </c>
      <c r="C167" s="5">
        <f>VLOOKUP(C$1&amp;$A167,배당편집!$M$2:$T$2710,8,FALSE)</f>
        <v>0.21142004089387845</v>
      </c>
      <c r="D167" s="5">
        <f>VLOOKUP(D$1&amp;$A167,배당편집!$M$2:$T$2710,8,FALSE)</f>
        <v>0.12295510705682089</v>
      </c>
      <c r="E167" s="5">
        <f>VLOOKUP(E$1&amp;$A167,배당편집!$M$2:$T$2710,8,FALSE)</f>
        <v>0.18466445254224406</v>
      </c>
      <c r="F167" s="5">
        <f>VLOOKUP(F$1&amp;$A167,배당편집!$M$2:$T$2710,8,FALSE)</f>
        <v>4.2402216277297899E-2</v>
      </c>
      <c r="G167" s="5">
        <f>VLOOKUP(G$1&amp;$A167,배당편집!$M$2:$T$2710,8,FALSE)</f>
        <v>9.8560543306117854E-2</v>
      </c>
      <c r="H167" s="5">
        <f>VLOOKUP(H$1&amp;$A167,배당편집!$M$2:$T$2710,8,FALSE)</f>
        <v>0.12233911375838735</v>
      </c>
      <c r="I167" s="5">
        <f>VLOOKUP(I$1&amp;$A167,배당편집!$M$2:$T$2710,8,FALSE)</f>
        <v>2.7479893060531335E-2</v>
      </c>
      <c r="J167" s="5">
        <f>VLOOKUP(J$1&amp;$A167,배당편집!$M$2:$T$2710,8,FALSE)</f>
        <v>3.7776708619957189E-2</v>
      </c>
      <c r="K167" s="5">
        <f>VLOOKUP(K$1&amp;$A167,배당편집!$M$2:$T$2710,8,FALSE)</f>
        <v>0.17819048858810449</v>
      </c>
      <c r="L167" s="5">
        <f>VLOOKUP(L$1&amp;$A167,배당편집!$M$2:$T$2710,8,FALSE)</f>
        <v>0.17978912471277986</v>
      </c>
      <c r="M167" s="5">
        <f>VLOOKUP(M$1&amp;$A167,배당편집!$M$2:$T$2710,8,FALSE)</f>
        <v>0.20902725032898983</v>
      </c>
      <c r="N167" s="5">
        <f>VLOOKUP(N$1&amp;$A167,배당편집!$M$2:$T$2710,8,FALSE)</f>
        <v>0.10534229649286941</v>
      </c>
      <c r="O167" s="5">
        <f>VLOOKUP(O$1&amp;$A167,배당편집!$M$2:$T$2710,8,FALSE)</f>
        <v>0.14366001004286111</v>
      </c>
      <c r="P167" s="5">
        <f>VLOOKUP(P$1&amp;$A167,배당편집!$M$2:$T$2710,8,FALSE)</f>
        <v>0.1194783991051851</v>
      </c>
      <c r="Q167" s="5">
        <f>VLOOKUP(Q$1&amp;$A167,배당편집!$M$2:$T$2710,8,FALSE)</f>
        <v>0.13896221858789914</v>
      </c>
      <c r="R167" s="5">
        <f>VLOOKUP(R$1&amp;$A167,배당편집!$M$2:$T$2710,8,FALSE)</f>
        <v>1.5880958611351526E-2</v>
      </c>
      <c r="S167" s="5">
        <f>VLOOKUP(S$1&amp;$A167,배당편집!$M$2:$T$2710,8,FALSE)</f>
        <v>5.9223841048812176E-2</v>
      </c>
      <c r="T167" s="5">
        <f>VLOOKUP(T$1&amp;$A167,배당편집!$M$2:$T$2710,8,FALSE)</f>
        <v>0.16947141871401028</v>
      </c>
      <c r="U167" s="5">
        <f>VLOOKUP(U$1&amp;$A167,배당편집!$M$2:$T$2710,8,FALSE)</f>
        <v>-0.41444336850104602</v>
      </c>
      <c r="V167" s="5">
        <f>VLOOKUP(V$1&amp;$A167,배당편집!$M$2:$T$2710,8,FALSE)</f>
        <v>0.11050422629436896</v>
      </c>
      <c r="W167" s="5">
        <f>VLOOKUP(W$1&amp;$A167,배당편집!$M$2:$T$2710,8,FALSE)</f>
        <v>0.76234034783231719</v>
      </c>
      <c r="X167" s="5">
        <f>VLOOKUP(X$1&amp;$A167,배당편집!$M$2:$T$2710,8,FALSE)</f>
        <v>3.7921811632987579E-2</v>
      </c>
      <c r="Y167" s="5">
        <f>VLOOKUP(Y$1&amp;$A167,배당편집!$M$2:$T$2710,8,FALSE)</f>
        <v>0.31601710017673601</v>
      </c>
      <c r="Z167" s="5">
        <f>VLOOKUP(Z$1&amp;$A167,배당편집!$M$2:$T$2710,8,FALSE)</f>
        <v>5.387395206178347E-2</v>
      </c>
      <c r="AA167" s="5">
        <f>VLOOKUP(AA$1&amp;$A167,배당편집!$M$2:$T$2710,8,FALSE)</f>
        <v>0.13295681060117071</v>
      </c>
      <c r="AB167" s="5">
        <f>VLOOKUP(AB$1&amp;$A167,배당편집!$M$2:$T$2710,8,FALSE)</f>
        <v>8.0008772924185401E-2</v>
      </c>
      <c r="AC167" s="5">
        <f>VLOOKUP(AC$1&amp;$A167,배당편집!$M$2:$T$2710,8,FALSE)</f>
        <v>8.6969618728141018E-3</v>
      </c>
      <c r="AD167" s="5">
        <f>VLOOKUP(AD$1&amp;$A167,배당편집!$M$2:$T$2710,8,FALSE)</f>
        <v>0.18707232699504717</v>
      </c>
      <c r="AE167" s="5">
        <f>VLOOKUP(AE$1&amp;$A167,배당편집!$M$2:$T$2710,8,FALSE)</f>
        <v>4.3640227150435917E-2</v>
      </c>
      <c r="AF167" s="5">
        <f>VLOOKUP(AF$1&amp;$A167,배당편집!$M$2:$T$2710,8,FALSE)</f>
        <v>0.10756634324829006</v>
      </c>
    </row>
    <row r="168" spans="1:32" ht="16.5" customHeight="1">
      <c r="A168" s="3">
        <v>2009</v>
      </c>
      <c r="B168" s="3">
        <v>11</v>
      </c>
      <c r="C168" s="5">
        <f>VLOOKUP(C$1&amp;$A168,배당편집!$M$2:$T$2710,8,FALSE)</f>
        <v>0.21142004089387845</v>
      </c>
      <c r="D168" s="5">
        <f>VLOOKUP(D$1&amp;$A168,배당편집!$M$2:$T$2710,8,FALSE)</f>
        <v>0.12295510705682089</v>
      </c>
      <c r="E168" s="5">
        <f>VLOOKUP(E$1&amp;$A168,배당편집!$M$2:$T$2710,8,FALSE)</f>
        <v>0.18466445254224406</v>
      </c>
      <c r="F168" s="5">
        <f>VLOOKUP(F$1&amp;$A168,배당편집!$M$2:$T$2710,8,FALSE)</f>
        <v>4.2402216277297899E-2</v>
      </c>
      <c r="G168" s="5">
        <f>VLOOKUP(G$1&amp;$A168,배당편집!$M$2:$T$2710,8,FALSE)</f>
        <v>9.8560543306117854E-2</v>
      </c>
      <c r="H168" s="5">
        <f>VLOOKUP(H$1&amp;$A168,배당편집!$M$2:$T$2710,8,FALSE)</f>
        <v>0.12233911375838735</v>
      </c>
      <c r="I168" s="5">
        <f>VLOOKUP(I$1&amp;$A168,배당편집!$M$2:$T$2710,8,FALSE)</f>
        <v>2.7479893060531335E-2</v>
      </c>
      <c r="J168" s="5">
        <f>VLOOKUP(J$1&amp;$A168,배당편집!$M$2:$T$2710,8,FALSE)</f>
        <v>3.7776708619957189E-2</v>
      </c>
      <c r="K168" s="5">
        <f>VLOOKUP(K$1&amp;$A168,배당편집!$M$2:$T$2710,8,FALSE)</f>
        <v>0.17819048858810449</v>
      </c>
      <c r="L168" s="5">
        <f>VLOOKUP(L$1&amp;$A168,배당편집!$M$2:$T$2710,8,FALSE)</f>
        <v>0.17978912471277986</v>
      </c>
      <c r="M168" s="5">
        <f>VLOOKUP(M$1&amp;$A168,배당편집!$M$2:$T$2710,8,FALSE)</f>
        <v>0.20902725032898983</v>
      </c>
      <c r="N168" s="5">
        <f>VLOOKUP(N$1&amp;$A168,배당편집!$M$2:$T$2710,8,FALSE)</f>
        <v>0.10534229649286941</v>
      </c>
      <c r="O168" s="5">
        <f>VLOOKUP(O$1&amp;$A168,배당편집!$M$2:$T$2710,8,FALSE)</f>
        <v>0.14366001004286111</v>
      </c>
      <c r="P168" s="5">
        <f>VLOOKUP(P$1&amp;$A168,배당편집!$M$2:$T$2710,8,FALSE)</f>
        <v>0.1194783991051851</v>
      </c>
      <c r="Q168" s="5">
        <f>VLOOKUP(Q$1&amp;$A168,배당편집!$M$2:$T$2710,8,FALSE)</f>
        <v>0.13896221858789914</v>
      </c>
      <c r="R168" s="5">
        <f>VLOOKUP(R$1&amp;$A168,배당편집!$M$2:$T$2710,8,FALSE)</f>
        <v>1.5880958611351526E-2</v>
      </c>
      <c r="S168" s="5">
        <f>VLOOKUP(S$1&amp;$A168,배당편집!$M$2:$T$2710,8,FALSE)</f>
        <v>5.9223841048812176E-2</v>
      </c>
      <c r="T168" s="5">
        <f>VLOOKUP(T$1&amp;$A168,배당편집!$M$2:$T$2710,8,FALSE)</f>
        <v>0.16947141871401028</v>
      </c>
      <c r="U168" s="5">
        <f>VLOOKUP(U$1&amp;$A168,배당편집!$M$2:$T$2710,8,FALSE)</f>
        <v>-0.41444336850104602</v>
      </c>
      <c r="V168" s="5">
        <f>VLOOKUP(V$1&amp;$A168,배당편집!$M$2:$T$2710,8,FALSE)</f>
        <v>0.11050422629436896</v>
      </c>
      <c r="W168" s="5">
        <f>VLOOKUP(W$1&amp;$A168,배당편집!$M$2:$T$2710,8,FALSE)</f>
        <v>0.76234034783231719</v>
      </c>
      <c r="X168" s="5">
        <f>VLOOKUP(X$1&amp;$A168,배당편집!$M$2:$T$2710,8,FALSE)</f>
        <v>3.7921811632987579E-2</v>
      </c>
      <c r="Y168" s="5">
        <f>VLOOKUP(Y$1&amp;$A168,배당편집!$M$2:$T$2710,8,FALSE)</f>
        <v>0.31601710017673601</v>
      </c>
      <c r="Z168" s="5">
        <f>VLOOKUP(Z$1&amp;$A168,배당편집!$M$2:$T$2710,8,FALSE)</f>
        <v>5.387395206178347E-2</v>
      </c>
      <c r="AA168" s="5">
        <f>VLOOKUP(AA$1&amp;$A168,배당편집!$M$2:$T$2710,8,FALSE)</f>
        <v>0.13295681060117071</v>
      </c>
      <c r="AB168" s="5">
        <f>VLOOKUP(AB$1&amp;$A168,배당편집!$M$2:$T$2710,8,FALSE)</f>
        <v>8.0008772924185401E-2</v>
      </c>
      <c r="AC168" s="5">
        <f>VLOOKUP(AC$1&amp;$A168,배당편집!$M$2:$T$2710,8,FALSE)</f>
        <v>8.6969618728141018E-3</v>
      </c>
      <c r="AD168" s="5">
        <f>VLOOKUP(AD$1&amp;$A168,배당편집!$M$2:$T$2710,8,FALSE)</f>
        <v>0.18707232699504717</v>
      </c>
      <c r="AE168" s="5">
        <f>VLOOKUP(AE$1&amp;$A168,배당편집!$M$2:$T$2710,8,FALSE)</f>
        <v>4.3640227150435917E-2</v>
      </c>
      <c r="AF168" s="5">
        <f>VLOOKUP(AF$1&amp;$A168,배당편집!$M$2:$T$2710,8,FALSE)</f>
        <v>0.10756634324829006</v>
      </c>
    </row>
    <row r="169" spans="1:32" ht="16.5" customHeight="1">
      <c r="A169" s="3">
        <v>2009</v>
      </c>
      <c r="B169" s="3">
        <v>12</v>
      </c>
      <c r="C169" s="5">
        <f>VLOOKUP(C$1&amp;$A169,배당편집!$M$2:$T$2710,8,FALSE)</f>
        <v>0.21142004089387845</v>
      </c>
      <c r="D169" s="5">
        <f>VLOOKUP(D$1&amp;$A169,배당편집!$M$2:$T$2710,8,FALSE)</f>
        <v>0.12295510705682089</v>
      </c>
      <c r="E169" s="5">
        <f>VLOOKUP(E$1&amp;$A169,배당편집!$M$2:$T$2710,8,FALSE)</f>
        <v>0.18466445254224406</v>
      </c>
      <c r="F169" s="5">
        <f>VLOOKUP(F$1&amp;$A169,배당편집!$M$2:$T$2710,8,FALSE)</f>
        <v>4.2402216277297899E-2</v>
      </c>
      <c r="G169" s="5">
        <f>VLOOKUP(G$1&amp;$A169,배당편집!$M$2:$T$2710,8,FALSE)</f>
        <v>9.8560543306117854E-2</v>
      </c>
      <c r="H169" s="5">
        <f>VLOOKUP(H$1&amp;$A169,배당편집!$M$2:$T$2710,8,FALSE)</f>
        <v>0.12233911375838735</v>
      </c>
      <c r="I169" s="5">
        <f>VLOOKUP(I$1&amp;$A169,배당편집!$M$2:$T$2710,8,FALSE)</f>
        <v>2.7479893060531335E-2</v>
      </c>
      <c r="J169" s="5">
        <f>VLOOKUP(J$1&amp;$A169,배당편집!$M$2:$T$2710,8,FALSE)</f>
        <v>3.7776708619957189E-2</v>
      </c>
      <c r="K169" s="5">
        <f>VLOOKUP(K$1&amp;$A169,배당편집!$M$2:$T$2710,8,FALSE)</f>
        <v>0.17819048858810449</v>
      </c>
      <c r="L169" s="5">
        <f>VLOOKUP(L$1&amp;$A169,배당편집!$M$2:$T$2710,8,FALSE)</f>
        <v>0.17978912471277986</v>
      </c>
      <c r="M169" s="5">
        <f>VLOOKUP(M$1&amp;$A169,배당편집!$M$2:$T$2710,8,FALSE)</f>
        <v>0.20902725032898983</v>
      </c>
      <c r="N169" s="5">
        <f>VLOOKUP(N$1&amp;$A169,배당편집!$M$2:$T$2710,8,FALSE)</f>
        <v>0.10534229649286941</v>
      </c>
      <c r="O169" s="5">
        <f>VLOOKUP(O$1&amp;$A169,배당편집!$M$2:$T$2710,8,FALSE)</f>
        <v>0.14366001004286111</v>
      </c>
      <c r="P169" s="5">
        <f>VLOOKUP(P$1&amp;$A169,배당편집!$M$2:$T$2710,8,FALSE)</f>
        <v>0.1194783991051851</v>
      </c>
      <c r="Q169" s="5">
        <f>VLOOKUP(Q$1&amp;$A169,배당편집!$M$2:$T$2710,8,FALSE)</f>
        <v>0.13896221858789914</v>
      </c>
      <c r="R169" s="5">
        <f>VLOOKUP(R$1&amp;$A169,배당편집!$M$2:$T$2710,8,FALSE)</f>
        <v>1.5880958611351526E-2</v>
      </c>
      <c r="S169" s="5">
        <f>VLOOKUP(S$1&amp;$A169,배당편집!$M$2:$T$2710,8,FALSE)</f>
        <v>5.9223841048812176E-2</v>
      </c>
      <c r="T169" s="5">
        <f>VLOOKUP(T$1&amp;$A169,배당편집!$M$2:$T$2710,8,FALSE)</f>
        <v>0.16947141871401028</v>
      </c>
      <c r="U169" s="5">
        <f>VLOOKUP(U$1&amp;$A169,배당편집!$M$2:$T$2710,8,FALSE)</f>
        <v>-0.41444336850104602</v>
      </c>
      <c r="V169" s="5">
        <f>VLOOKUP(V$1&amp;$A169,배당편집!$M$2:$T$2710,8,FALSE)</f>
        <v>0.11050422629436896</v>
      </c>
      <c r="W169" s="5">
        <f>VLOOKUP(W$1&amp;$A169,배당편집!$M$2:$T$2710,8,FALSE)</f>
        <v>0.76234034783231719</v>
      </c>
      <c r="X169" s="5">
        <f>VLOOKUP(X$1&amp;$A169,배당편집!$M$2:$T$2710,8,FALSE)</f>
        <v>3.7921811632987579E-2</v>
      </c>
      <c r="Y169" s="5">
        <f>VLOOKUP(Y$1&amp;$A169,배당편집!$M$2:$T$2710,8,FALSE)</f>
        <v>0.31601710017673601</v>
      </c>
      <c r="Z169" s="5">
        <f>VLOOKUP(Z$1&amp;$A169,배당편집!$M$2:$T$2710,8,FALSE)</f>
        <v>5.387395206178347E-2</v>
      </c>
      <c r="AA169" s="5">
        <f>VLOOKUP(AA$1&amp;$A169,배당편집!$M$2:$T$2710,8,FALSE)</f>
        <v>0.13295681060117071</v>
      </c>
      <c r="AB169" s="5">
        <f>VLOOKUP(AB$1&amp;$A169,배당편집!$M$2:$T$2710,8,FALSE)</f>
        <v>8.0008772924185401E-2</v>
      </c>
      <c r="AC169" s="5">
        <f>VLOOKUP(AC$1&amp;$A169,배당편집!$M$2:$T$2710,8,FALSE)</f>
        <v>8.6969618728141018E-3</v>
      </c>
      <c r="AD169" s="5">
        <f>VLOOKUP(AD$1&amp;$A169,배당편집!$M$2:$T$2710,8,FALSE)</f>
        <v>0.18707232699504717</v>
      </c>
      <c r="AE169" s="5">
        <f>VLOOKUP(AE$1&amp;$A169,배당편집!$M$2:$T$2710,8,FALSE)</f>
        <v>4.3640227150435917E-2</v>
      </c>
      <c r="AF169" s="5">
        <f>VLOOKUP(AF$1&amp;$A169,배당편집!$M$2:$T$2710,8,FALSE)</f>
        <v>0.10756634324829006</v>
      </c>
    </row>
    <row r="170" spans="1:32" ht="16.5" customHeight="1">
      <c r="A170" s="3">
        <v>2008</v>
      </c>
      <c r="B170" s="3">
        <v>1</v>
      </c>
      <c r="C170" s="5">
        <f>VLOOKUP(C$1&amp;$A170,배당편집!$M$2:$T$2710,8,FALSE)</f>
        <v>0.20431048521198436</v>
      </c>
      <c r="D170" s="5">
        <f>VLOOKUP(D$1&amp;$A170,배당편집!$M$2:$T$2710,8,FALSE)</f>
        <v>0.13972304907201583</v>
      </c>
      <c r="E170" s="5">
        <f>VLOOKUP(E$1&amp;$A170,배당편집!$M$2:$T$2710,8,FALSE)</f>
        <v>0.18466445254224406</v>
      </c>
      <c r="F170" s="5">
        <f>VLOOKUP(F$1&amp;$A170,배당편집!$M$2:$T$2710,8,FALSE)</f>
        <v>3.9834691942561395E-2</v>
      </c>
      <c r="G170" s="5">
        <f>VLOOKUP(G$1&amp;$A170,배당편집!$M$2:$T$2710,8,FALSE)</f>
        <v>8.7597101915158015E-2</v>
      </c>
      <c r="H170" s="5">
        <f>VLOOKUP(H$1&amp;$A170,배당편집!$M$2:$T$2710,8,FALSE)</f>
        <v>0.10629764994767821</v>
      </c>
      <c r="I170" s="5">
        <f>VLOOKUP(I$1&amp;$A170,배당편집!$M$2:$T$2710,8,FALSE)</f>
        <v>3.1310306477545069E-2</v>
      </c>
      <c r="J170" s="5">
        <f>VLOOKUP(J$1&amp;$A170,배당편집!$M$2:$T$2710,8,FALSE)</f>
        <v>3.5804203580214189E-2</v>
      </c>
      <c r="K170" s="5">
        <f>VLOOKUP(K$1&amp;$A170,배당편집!$M$2:$T$2710,8,FALSE)</f>
        <v>0.15518858939380853</v>
      </c>
      <c r="L170" s="5">
        <f>VLOOKUP(L$1&amp;$A170,배당편집!$M$2:$T$2710,8,FALSE)</f>
        <v>0.18466445254224406</v>
      </c>
      <c r="M170" s="5">
        <f>VLOOKUP(M$1&amp;$A170,배당편집!$M$2:$T$2710,8,FALSE)</f>
        <v>0.19479126317807505</v>
      </c>
      <c r="N170" s="5">
        <f>VLOOKUP(N$1&amp;$A170,배당편집!$M$2:$T$2710,8,FALSE)</f>
        <v>8.8584930158139841E-2</v>
      </c>
      <c r="O170" s="5">
        <f>VLOOKUP(O$1&amp;$A170,배당편집!$M$2:$T$2710,8,FALSE)</f>
        <v>0.15943572087062341</v>
      </c>
      <c r="P170" s="5">
        <f>VLOOKUP(P$1&amp;$A170,배당편집!$M$2:$T$2710,8,FALSE)</f>
        <v>0.11291715445268014</v>
      </c>
      <c r="Q170" s="5">
        <f>VLOOKUP(Q$1&amp;$A170,배당편집!$M$2:$T$2710,8,FALSE)</f>
        <v>0.15148649061198993</v>
      </c>
      <c r="R170" s="5">
        <f>VLOOKUP(R$1&amp;$A170,배당편집!$M$2:$T$2710,8,FALSE)</f>
        <v>1.6137364741595661E-2</v>
      </c>
      <c r="S170" s="5">
        <f>VLOOKUP(S$1&amp;$A170,배당편집!$M$2:$T$2710,8,FALSE)</f>
        <v>5.7422429529181418E-2</v>
      </c>
      <c r="T170" s="5">
        <f>VLOOKUP(T$1&amp;$A170,배당편집!$M$2:$T$2710,8,FALSE)</f>
        <v>0.14093616842292778</v>
      </c>
      <c r="U170" s="5" t="e">
        <f>VLOOKUP(U$1&amp;$A170,배당편집!$M$2:$T$2710,8,FALSE)</f>
        <v>#N/A</v>
      </c>
      <c r="V170" s="5">
        <f>VLOOKUP(V$1&amp;$A170,배당편집!$M$2:$T$2710,8,FALSE)</f>
        <v>0.11994446021554528</v>
      </c>
      <c r="W170" s="5">
        <f>VLOOKUP(W$1&amp;$A170,배당편집!$M$2:$T$2710,8,FALSE)</f>
        <v>0.80576090289486868</v>
      </c>
      <c r="X170" s="5">
        <f>VLOOKUP(X$1&amp;$A170,배당편집!$M$2:$T$2710,8,FALSE)</f>
        <v>3.8740291254288683E-2</v>
      </c>
      <c r="Y170" s="5">
        <f>VLOOKUP(Y$1&amp;$A170,배당편집!$M$2:$T$2710,8,FALSE)</f>
        <v>0.27091758752107387</v>
      </c>
      <c r="Z170" s="5">
        <f>VLOOKUP(Z$1&amp;$A170,배당편집!$M$2:$T$2710,8,FALSE)</f>
        <v>5.6421622299043017E-2</v>
      </c>
      <c r="AA170" s="5">
        <f>VLOOKUP(AA$1&amp;$A170,배당편집!$M$2:$T$2710,8,FALSE)</f>
        <v>0.16723531932969316</v>
      </c>
      <c r="AB170" s="5">
        <f>VLOOKUP(AB$1&amp;$A170,배당편집!$M$2:$T$2710,8,FALSE)</f>
        <v>6.699675773069802E-2</v>
      </c>
      <c r="AC170" s="5">
        <f>VLOOKUP(AC$1&amp;$A170,배당편집!$M$2:$T$2710,8,FALSE)</f>
        <v>7.8749885178921453E-3</v>
      </c>
      <c r="AD170" s="5">
        <f>VLOOKUP(AD$1&amp;$A170,배당편집!$M$2:$T$2710,8,FALSE)</f>
        <v>0.19300798468495173</v>
      </c>
      <c r="AE170" s="5">
        <f>VLOOKUP(AE$1&amp;$A170,배당편집!$M$2:$T$2710,8,FALSE)</f>
        <v>4.3640227150435917E-2</v>
      </c>
      <c r="AF170" s="5">
        <f>VLOOKUP(AF$1&amp;$A170,배당편집!$M$2:$T$2710,8,FALSE)</f>
        <v>8.1780741066402873E-2</v>
      </c>
    </row>
    <row r="171" spans="1:32" ht="16.5" customHeight="1">
      <c r="A171" s="3">
        <v>2008</v>
      </c>
      <c r="B171" s="3">
        <v>2</v>
      </c>
      <c r="C171" s="5">
        <f>VLOOKUP(C$1&amp;$A171,배당편집!$M$2:$T$2710,8,FALSE)</f>
        <v>0.20431048521198436</v>
      </c>
      <c r="D171" s="5">
        <f>VLOOKUP(D$1&amp;$A171,배당편집!$M$2:$T$2710,8,FALSE)</f>
        <v>0.13972304907201583</v>
      </c>
      <c r="E171" s="5">
        <f>VLOOKUP(E$1&amp;$A171,배당편집!$M$2:$T$2710,8,FALSE)</f>
        <v>0.18466445254224406</v>
      </c>
      <c r="F171" s="5">
        <f>VLOOKUP(F$1&amp;$A171,배당편집!$M$2:$T$2710,8,FALSE)</f>
        <v>3.9834691942561395E-2</v>
      </c>
      <c r="G171" s="5">
        <f>VLOOKUP(G$1&amp;$A171,배당편집!$M$2:$T$2710,8,FALSE)</f>
        <v>8.7597101915158015E-2</v>
      </c>
      <c r="H171" s="5">
        <f>VLOOKUP(H$1&amp;$A171,배당편집!$M$2:$T$2710,8,FALSE)</f>
        <v>0.10629764994767821</v>
      </c>
      <c r="I171" s="5">
        <f>VLOOKUP(I$1&amp;$A171,배당편집!$M$2:$T$2710,8,FALSE)</f>
        <v>3.1310306477545069E-2</v>
      </c>
      <c r="J171" s="5">
        <f>VLOOKUP(J$1&amp;$A171,배당편집!$M$2:$T$2710,8,FALSE)</f>
        <v>3.5804203580214189E-2</v>
      </c>
      <c r="K171" s="5">
        <f>VLOOKUP(K$1&amp;$A171,배당편집!$M$2:$T$2710,8,FALSE)</f>
        <v>0.15518858939380853</v>
      </c>
      <c r="L171" s="5">
        <f>VLOOKUP(L$1&amp;$A171,배당편집!$M$2:$T$2710,8,FALSE)</f>
        <v>0.18466445254224406</v>
      </c>
      <c r="M171" s="5">
        <f>VLOOKUP(M$1&amp;$A171,배당편집!$M$2:$T$2710,8,FALSE)</f>
        <v>0.19479126317807505</v>
      </c>
      <c r="N171" s="5">
        <f>VLOOKUP(N$1&amp;$A171,배당편집!$M$2:$T$2710,8,FALSE)</f>
        <v>8.8584930158139841E-2</v>
      </c>
      <c r="O171" s="5">
        <f>VLOOKUP(O$1&amp;$A171,배당편집!$M$2:$T$2710,8,FALSE)</f>
        <v>0.15943572087062341</v>
      </c>
      <c r="P171" s="5">
        <f>VLOOKUP(P$1&amp;$A171,배당편집!$M$2:$T$2710,8,FALSE)</f>
        <v>0.11291715445268014</v>
      </c>
      <c r="Q171" s="5">
        <f>VLOOKUP(Q$1&amp;$A171,배당편집!$M$2:$T$2710,8,FALSE)</f>
        <v>0.15148649061198993</v>
      </c>
      <c r="R171" s="5">
        <f>VLOOKUP(R$1&amp;$A171,배당편집!$M$2:$T$2710,8,FALSE)</f>
        <v>1.6137364741595661E-2</v>
      </c>
      <c r="S171" s="5">
        <f>VLOOKUP(S$1&amp;$A171,배당편집!$M$2:$T$2710,8,FALSE)</f>
        <v>5.7422429529181418E-2</v>
      </c>
      <c r="T171" s="5">
        <f>VLOOKUP(T$1&amp;$A171,배당편집!$M$2:$T$2710,8,FALSE)</f>
        <v>0.14093616842292778</v>
      </c>
      <c r="U171" s="5" t="e">
        <f>VLOOKUP(U$1&amp;$A171,배당편집!$M$2:$T$2710,8,FALSE)</f>
        <v>#N/A</v>
      </c>
      <c r="V171" s="5">
        <f>VLOOKUP(V$1&amp;$A171,배당편집!$M$2:$T$2710,8,FALSE)</f>
        <v>0.11994446021554528</v>
      </c>
      <c r="W171" s="5">
        <f>VLOOKUP(W$1&amp;$A171,배당편집!$M$2:$T$2710,8,FALSE)</f>
        <v>0.80576090289486868</v>
      </c>
      <c r="X171" s="5">
        <f>VLOOKUP(X$1&amp;$A171,배당편집!$M$2:$T$2710,8,FALSE)</f>
        <v>3.8740291254288683E-2</v>
      </c>
      <c r="Y171" s="5">
        <f>VLOOKUP(Y$1&amp;$A171,배당편집!$M$2:$T$2710,8,FALSE)</f>
        <v>0.27091758752107387</v>
      </c>
      <c r="Z171" s="5">
        <f>VLOOKUP(Z$1&amp;$A171,배당편집!$M$2:$T$2710,8,FALSE)</f>
        <v>5.6421622299043017E-2</v>
      </c>
      <c r="AA171" s="5">
        <f>VLOOKUP(AA$1&amp;$A171,배당편집!$M$2:$T$2710,8,FALSE)</f>
        <v>0.16723531932969316</v>
      </c>
      <c r="AB171" s="5">
        <f>VLOOKUP(AB$1&amp;$A171,배당편집!$M$2:$T$2710,8,FALSE)</f>
        <v>6.699675773069802E-2</v>
      </c>
      <c r="AC171" s="5">
        <f>VLOOKUP(AC$1&amp;$A171,배당편집!$M$2:$T$2710,8,FALSE)</f>
        <v>7.8749885178921453E-3</v>
      </c>
      <c r="AD171" s="5">
        <f>VLOOKUP(AD$1&amp;$A171,배당편집!$M$2:$T$2710,8,FALSE)</f>
        <v>0.19300798468495173</v>
      </c>
      <c r="AE171" s="5">
        <f>VLOOKUP(AE$1&amp;$A171,배당편집!$M$2:$T$2710,8,FALSE)</f>
        <v>4.3640227150435917E-2</v>
      </c>
      <c r="AF171" s="5">
        <f>VLOOKUP(AF$1&amp;$A171,배당편집!$M$2:$T$2710,8,FALSE)</f>
        <v>8.1780741066402873E-2</v>
      </c>
    </row>
    <row r="172" spans="1:32" ht="16.5" customHeight="1">
      <c r="A172" s="3">
        <v>2008</v>
      </c>
      <c r="B172" s="3">
        <v>3</v>
      </c>
      <c r="C172" s="5">
        <f>VLOOKUP(C$1&amp;$A172,배당편집!$M$2:$T$2710,8,FALSE)</f>
        <v>0.20431048521198436</v>
      </c>
      <c r="D172" s="5">
        <f>VLOOKUP(D$1&amp;$A172,배당편집!$M$2:$T$2710,8,FALSE)</f>
        <v>0.13972304907201583</v>
      </c>
      <c r="E172" s="5">
        <f>VLOOKUP(E$1&amp;$A172,배당편집!$M$2:$T$2710,8,FALSE)</f>
        <v>0.18466445254224406</v>
      </c>
      <c r="F172" s="5">
        <f>VLOOKUP(F$1&amp;$A172,배당편집!$M$2:$T$2710,8,FALSE)</f>
        <v>3.9834691942561395E-2</v>
      </c>
      <c r="G172" s="5">
        <f>VLOOKUP(G$1&amp;$A172,배당편집!$M$2:$T$2710,8,FALSE)</f>
        <v>8.7597101915158015E-2</v>
      </c>
      <c r="H172" s="5">
        <f>VLOOKUP(H$1&amp;$A172,배당편집!$M$2:$T$2710,8,FALSE)</f>
        <v>0.10629764994767821</v>
      </c>
      <c r="I172" s="5">
        <f>VLOOKUP(I$1&amp;$A172,배당편집!$M$2:$T$2710,8,FALSE)</f>
        <v>3.1310306477545069E-2</v>
      </c>
      <c r="J172" s="5">
        <f>VLOOKUP(J$1&amp;$A172,배당편집!$M$2:$T$2710,8,FALSE)</f>
        <v>3.5804203580214189E-2</v>
      </c>
      <c r="K172" s="5">
        <f>VLOOKUP(K$1&amp;$A172,배당편집!$M$2:$T$2710,8,FALSE)</f>
        <v>0.15518858939380853</v>
      </c>
      <c r="L172" s="5">
        <f>VLOOKUP(L$1&amp;$A172,배당편집!$M$2:$T$2710,8,FALSE)</f>
        <v>0.18466445254224406</v>
      </c>
      <c r="M172" s="5">
        <f>VLOOKUP(M$1&amp;$A172,배당편집!$M$2:$T$2710,8,FALSE)</f>
        <v>0.19479126317807505</v>
      </c>
      <c r="N172" s="5">
        <f>VLOOKUP(N$1&amp;$A172,배당편집!$M$2:$T$2710,8,FALSE)</f>
        <v>8.8584930158139841E-2</v>
      </c>
      <c r="O172" s="5">
        <f>VLOOKUP(O$1&amp;$A172,배당편집!$M$2:$T$2710,8,FALSE)</f>
        <v>0.15943572087062341</v>
      </c>
      <c r="P172" s="5">
        <f>VLOOKUP(P$1&amp;$A172,배당편집!$M$2:$T$2710,8,FALSE)</f>
        <v>0.11291715445268014</v>
      </c>
      <c r="Q172" s="5">
        <f>VLOOKUP(Q$1&amp;$A172,배당편집!$M$2:$T$2710,8,FALSE)</f>
        <v>0.15148649061198993</v>
      </c>
      <c r="R172" s="5">
        <f>VLOOKUP(R$1&amp;$A172,배당편집!$M$2:$T$2710,8,FALSE)</f>
        <v>1.6137364741595661E-2</v>
      </c>
      <c r="S172" s="5">
        <f>VLOOKUP(S$1&amp;$A172,배당편집!$M$2:$T$2710,8,FALSE)</f>
        <v>5.7422429529181418E-2</v>
      </c>
      <c r="T172" s="5">
        <f>VLOOKUP(T$1&amp;$A172,배당편집!$M$2:$T$2710,8,FALSE)</f>
        <v>0.14093616842292778</v>
      </c>
      <c r="U172" s="5" t="e">
        <f>VLOOKUP(U$1&amp;$A172,배당편집!$M$2:$T$2710,8,FALSE)</f>
        <v>#N/A</v>
      </c>
      <c r="V172" s="5">
        <f>VLOOKUP(V$1&amp;$A172,배당편집!$M$2:$T$2710,8,FALSE)</f>
        <v>0.11994446021554528</v>
      </c>
      <c r="W172" s="5">
        <f>VLOOKUP(W$1&amp;$A172,배당편집!$M$2:$T$2710,8,FALSE)</f>
        <v>0.80576090289486868</v>
      </c>
      <c r="X172" s="5">
        <f>VLOOKUP(X$1&amp;$A172,배당편집!$M$2:$T$2710,8,FALSE)</f>
        <v>3.8740291254288683E-2</v>
      </c>
      <c r="Y172" s="5">
        <f>VLOOKUP(Y$1&amp;$A172,배당편집!$M$2:$T$2710,8,FALSE)</f>
        <v>0.27091758752107387</v>
      </c>
      <c r="Z172" s="5">
        <f>VLOOKUP(Z$1&amp;$A172,배당편집!$M$2:$T$2710,8,FALSE)</f>
        <v>5.6421622299043017E-2</v>
      </c>
      <c r="AA172" s="5">
        <f>VLOOKUP(AA$1&amp;$A172,배당편집!$M$2:$T$2710,8,FALSE)</f>
        <v>0.16723531932969316</v>
      </c>
      <c r="AB172" s="5">
        <f>VLOOKUP(AB$1&amp;$A172,배당편집!$M$2:$T$2710,8,FALSE)</f>
        <v>6.699675773069802E-2</v>
      </c>
      <c r="AC172" s="5">
        <f>VLOOKUP(AC$1&amp;$A172,배당편집!$M$2:$T$2710,8,FALSE)</f>
        <v>7.8749885178921453E-3</v>
      </c>
      <c r="AD172" s="5">
        <f>VLOOKUP(AD$1&amp;$A172,배당편집!$M$2:$T$2710,8,FALSE)</f>
        <v>0.19300798468495173</v>
      </c>
      <c r="AE172" s="5">
        <f>VLOOKUP(AE$1&amp;$A172,배당편집!$M$2:$T$2710,8,FALSE)</f>
        <v>4.3640227150435917E-2</v>
      </c>
      <c r="AF172" s="5">
        <f>VLOOKUP(AF$1&amp;$A172,배당편집!$M$2:$T$2710,8,FALSE)</f>
        <v>8.1780741066402873E-2</v>
      </c>
    </row>
    <row r="173" spans="1:32" ht="16.5" customHeight="1">
      <c r="A173" s="3">
        <v>2008</v>
      </c>
      <c r="B173" s="3">
        <v>4</v>
      </c>
      <c r="C173" s="5">
        <f>VLOOKUP(C$1&amp;$A173,배당편집!$M$2:$T$2710,8,FALSE)</f>
        <v>0.20431048521198436</v>
      </c>
      <c r="D173" s="5">
        <f>VLOOKUP(D$1&amp;$A173,배당편집!$M$2:$T$2710,8,FALSE)</f>
        <v>0.13972304907201583</v>
      </c>
      <c r="E173" s="5">
        <f>VLOOKUP(E$1&amp;$A173,배당편집!$M$2:$T$2710,8,FALSE)</f>
        <v>0.18466445254224406</v>
      </c>
      <c r="F173" s="5">
        <f>VLOOKUP(F$1&amp;$A173,배당편집!$M$2:$T$2710,8,FALSE)</f>
        <v>3.9834691942561395E-2</v>
      </c>
      <c r="G173" s="5">
        <f>VLOOKUP(G$1&amp;$A173,배당편집!$M$2:$T$2710,8,FALSE)</f>
        <v>8.7597101915158015E-2</v>
      </c>
      <c r="H173" s="5">
        <f>VLOOKUP(H$1&amp;$A173,배당편집!$M$2:$T$2710,8,FALSE)</f>
        <v>0.10629764994767821</v>
      </c>
      <c r="I173" s="5">
        <f>VLOOKUP(I$1&amp;$A173,배당편집!$M$2:$T$2710,8,FALSE)</f>
        <v>3.1310306477545069E-2</v>
      </c>
      <c r="J173" s="5">
        <f>VLOOKUP(J$1&amp;$A173,배당편집!$M$2:$T$2710,8,FALSE)</f>
        <v>3.5804203580214189E-2</v>
      </c>
      <c r="K173" s="5">
        <f>VLOOKUP(K$1&amp;$A173,배당편집!$M$2:$T$2710,8,FALSE)</f>
        <v>0.15518858939380853</v>
      </c>
      <c r="L173" s="5">
        <f>VLOOKUP(L$1&amp;$A173,배당편집!$M$2:$T$2710,8,FALSE)</f>
        <v>0.18466445254224406</v>
      </c>
      <c r="M173" s="5">
        <f>VLOOKUP(M$1&amp;$A173,배당편집!$M$2:$T$2710,8,FALSE)</f>
        <v>0.19479126317807505</v>
      </c>
      <c r="N173" s="5">
        <f>VLOOKUP(N$1&amp;$A173,배당편집!$M$2:$T$2710,8,FALSE)</f>
        <v>8.8584930158139841E-2</v>
      </c>
      <c r="O173" s="5">
        <f>VLOOKUP(O$1&amp;$A173,배당편집!$M$2:$T$2710,8,FALSE)</f>
        <v>0.15943572087062341</v>
      </c>
      <c r="P173" s="5">
        <f>VLOOKUP(P$1&amp;$A173,배당편집!$M$2:$T$2710,8,FALSE)</f>
        <v>0.11291715445268014</v>
      </c>
      <c r="Q173" s="5">
        <f>VLOOKUP(Q$1&amp;$A173,배당편집!$M$2:$T$2710,8,FALSE)</f>
        <v>0.15148649061198993</v>
      </c>
      <c r="R173" s="5">
        <f>VLOOKUP(R$1&amp;$A173,배당편집!$M$2:$T$2710,8,FALSE)</f>
        <v>1.6137364741595661E-2</v>
      </c>
      <c r="S173" s="5">
        <f>VLOOKUP(S$1&amp;$A173,배당편집!$M$2:$T$2710,8,FALSE)</f>
        <v>5.7422429529181418E-2</v>
      </c>
      <c r="T173" s="5">
        <f>VLOOKUP(T$1&amp;$A173,배당편집!$M$2:$T$2710,8,FALSE)</f>
        <v>0.14093616842292778</v>
      </c>
      <c r="U173" s="5" t="e">
        <f>VLOOKUP(U$1&amp;$A173,배당편집!$M$2:$T$2710,8,FALSE)</f>
        <v>#N/A</v>
      </c>
      <c r="V173" s="5">
        <f>VLOOKUP(V$1&amp;$A173,배당편집!$M$2:$T$2710,8,FALSE)</f>
        <v>0.11994446021554528</v>
      </c>
      <c r="W173" s="5">
        <f>VLOOKUP(W$1&amp;$A173,배당편집!$M$2:$T$2710,8,FALSE)</f>
        <v>0.80576090289486868</v>
      </c>
      <c r="X173" s="5">
        <f>VLOOKUP(X$1&amp;$A173,배당편집!$M$2:$T$2710,8,FALSE)</f>
        <v>3.8740291254288683E-2</v>
      </c>
      <c r="Y173" s="5">
        <f>VLOOKUP(Y$1&amp;$A173,배당편집!$M$2:$T$2710,8,FALSE)</f>
        <v>0.27091758752107387</v>
      </c>
      <c r="Z173" s="5">
        <f>VLOOKUP(Z$1&amp;$A173,배당편집!$M$2:$T$2710,8,FALSE)</f>
        <v>5.6421622299043017E-2</v>
      </c>
      <c r="AA173" s="5">
        <f>VLOOKUP(AA$1&amp;$A173,배당편집!$M$2:$T$2710,8,FALSE)</f>
        <v>0.16723531932969316</v>
      </c>
      <c r="AB173" s="5">
        <f>VLOOKUP(AB$1&amp;$A173,배당편집!$M$2:$T$2710,8,FALSE)</f>
        <v>6.699675773069802E-2</v>
      </c>
      <c r="AC173" s="5">
        <f>VLOOKUP(AC$1&amp;$A173,배당편집!$M$2:$T$2710,8,FALSE)</f>
        <v>7.8749885178921453E-3</v>
      </c>
      <c r="AD173" s="5">
        <f>VLOOKUP(AD$1&amp;$A173,배당편집!$M$2:$T$2710,8,FALSE)</f>
        <v>0.19300798468495173</v>
      </c>
      <c r="AE173" s="5">
        <f>VLOOKUP(AE$1&amp;$A173,배당편집!$M$2:$T$2710,8,FALSE)</f>
        <v>4.3640227150435917E-2</v>
      </c>
      <c r="AF173" s="5">
        <f>VLOOKUP(AF$1&amp;$A173,배당편집!$M$2:$T$2710,8,FALSE)</f>
        <v>8.1780741066402873E-2</v>
      </c>
    </row>
    <row r="174" spans="1:32" ht="16.5" customHeight="1">
      <c r="A174" s="3">
        <v>2008</v>
      </c>
      <c r="B174" s="3">
        <v>5</v>
      </c>
      <c r="C174" s="5">
        <f>VLOOKUP(C$1&amp;$A174,배당편집!$M$2:$T$2710,8,FALSE)</f>
        <v>0.20431048521198436</v>
      </c>
      <c r="D174" s="5">
        <f>VLOOKUP(D$1&amp;$A174,배당편집!$M$2:$T$2710,8,FALSE)</f>
        <v>0.13972304907201583</v>
      </c>
      <c r="E174" s="5">
        <f>VLOOKUP(E$1&amp;$A174,배당편집!$M$2:$T$2710,8,FALSE)</f>
        <v>0.18466445254224406</v>
      </c>
      <c r="F174" s="5">
        <f>VLOOKUP(F$1&amp;$A174,배당편집!$M$2:$T$2710,8,FALSE)</f>
        <v>3.9834691942561395E-2</v>
      </c>
      <c r="G174" s="5">
        <f>VLOOKUP(G$1&amp;$A174,배당편집!$M$2:$T$2710,8,FALSE)</f>
        <v>8.7597101915158015E-2</v>
      </c>
      <c r="H174" s="5">
        <f>VLOOKUP(H$1&amp;$A174,배당편집!$M$2:$T$2710,8,FALSE)</f>
        <v>0.10629764994767821</v>
      </c>
      <c r="I174" s="5">
        <f>VLOOKUP(I$1&amp;$A174,배당편집!$M$2:$T$2710,8,FALSE)</f>
        <v>3.1310306477545069E-2</v>
      </c>
      <c r="J174" s="5">
        <f>VLOOKUP(J$1&amp;$A174,배당편집!$M$2:$T$2710,8,FALSE)</f>
        <v>3.5804203580214189E-2</v>
      </c>
      <c r="K174" s="5">
        <f>VLOOKUP(K$1&amp;$A174,배당편집!$M$2:$T$2710,8,FALSE)</f>
        <v>0.15518858939380853</v>
      </c>
      <c r="L174" s="5">
        <f>VLOOKUP(L$1&amp;$A174,배당편집!$M$2:$T$2710,8,FALSE)</f>
        <v>0.18466445254224406</v>
      </c>
      <c r="M174" s="5">
        <f>VLOOKUP(M$1&amp;$A174,배당편집!$M$2:$T$2710,8,FALSE)</f>
        <v>0.19479126317807505</v>
      </c>
      <c r="N174" s="5">
        <f>VLOOKUP(N$1&amp;$A174,배당편집!$M$2:$T$2710,8,FALSE)</f>
        <v>8.8584930158139841E-2</v>
      </c>
      <c r="O174" s="5">
        <f>VLOOKUP(O$1&amp;$A174,배당편집!$M$2:$T$2710,8,FALSE)</f>
        <v>0.15943572087062341</v>
      </c>
      <c r="P174" s="5">
        <f>VLOOKUP(P$1&amp;$A174,배당편집!$M$2:$T$2710,8,FALSE)</f>
        <v>0.11291715445268014</v>
      </c>
      <c r="Q174" s="5">
        <f>VLOOKUP(Q$1&amp;$A174,배당편집!$M$2:$T$2710,8,FALSE)</f>
        <v>0.15148649061198993</v>
      </c>
      <c r="R174" s="5">
        <f>VLOOKUP(R$1&amp;$A174,배당편집!$M$2:$T$2710,8,FALSE)</f>
        <v>1.6137364741595661E-2</v>
      </c>
      <c r="S174" s="5">
        <f>VLOOKUP(S$1&amp;$A174,배당편집!$M$2:$T$2710,8,FALSE)</f>
        <v>5.7422429529181418E-2</v>
      </c>
      <c r="T174" s="5">
        <f>VLOOKUP(T$1&amp;$A174,배당편집!$M$2:$T$2710,8,FALSE)</f>
        <v>0.14093616842292778</v>
      </c>
      <c r="U174" s="5" t="e">
        <f>VLOOKUP(U$1&amp;$A174,배당편집!$M$2:$T$2710,8,FALSE)</f>
        <v>#N/A</v>
      </c>
      <c r="V174" s="5">
        <f>VLOOKUP(V$1&amp;$A174,배당편집!$M$2:$T$2710,8,FALSE)</f>
        <v>0.11994446021554528</v>
      </c>
      <c r="W174" s="5">
        <f>VLOOKUP(W$1&amp;$A174,배당편집!$M$2:$T$2710,8,FALSE)</f>
        <v>0.80576090289486868</v>
      </c>
      <c r="X174" s="5">
        <f>VLOOKUP(X$1&amp;$A174,배당편집!$M$2:$T$2710,8,FALSE)</f>
        <v>3.8740291254288683E-2</v>
      </c>
      <c r="Y174" s="5">
        <f>VLOOKUP(Y$1&amp;$A174,배당편집!$M$2:$T$2710,8,FALSE)</f>
        <v>0.27091758752107387</v>
      </c>
      <c r="Z174" s="5">
        <f>VLOOKUP(Z$1&amp;$A174,배당편집!$M$2:$T$2710,8,FALSE)</f>
        <v>5.6421622299043017E-2</v>
      </c>
      <c r="AA174" s="5">
        <f>VLOOKUP(AA$1&amp;$A174,배당편집!$M$2:$T$2710,8,FALSE)</f>
        <v>0.16723531932969316</v>
      </c>
      <c r="AB174" s="5">
        <f>VLOOKUP(AB$1&amp;$A174,배당편집!$M$2:$T$2710,8,FALSE)</f>
        <v>6.699675773069802E-2</v>
      </c>
      <c r="AC174" s="5">
        <f>VLOOKUP(AC$1&amp;$A174,배당편집!$M$2:$T$2710,8,FALSE)</f>
        <v>7.8749885178921453E-3</v>
      </c>
      <c r="AD174" s="5">
        <f>VLOOKUP(AD$1&amp;$A174,배당편집!$M$2:$T$2710,8,FALSE)</f>
        <v>0.19300798468495173</v>
      </c>
      <c r="AE174" s="5">
        <f>VLOOKUP(AE$1&amp;$A174,배당편집!$M$2:$T$2710,8,FALSE)</f>
        <v>4.3640227150435917E-2</v>
      </c>
      <c r="AF174" s="5">
        <f>VLOOKUP(AF$1&amp;$A174,배당편집!$M$2:$T$2710,8,FALSE)</f>
        <v>8.1780741066402873E-2</v>
      </c>
    </row>
    <row r="175" spans="1:32" ht="16.5" customHeight="1">
      <c r="A175" s="3">
        <v>2008</v>
      </c>
      <c r="B175" s="3">
        <v>6</v>
      </c>
      <c r="C175" s="5">
        <f>VLOOKUP(C$1&amp;$A175,배당편집!$M$2:$T$2710,8,FALSE)</f>
        <v>0.20431048521198436</v>
      </c>
      <c r="D175" s="5">
        <f>VLOOKUP(D$1&amp;$A175,배당편집!$M$2:$T$2710,8,FALSE)</f>
        <v>0.13972304907201583</v>
      </c>
      <c r="E175" s="5">
        <f>VLOOKUP(E$1&amp;$A175,배당편집!$M$2:$T$2710,8,FALSE)</f>
        <v>0.18466445254224406</v>
      </c>
      <c r="F175" s="5">
        <f>VLOOKUP(F$1&amp;$A175,배당편집!$M$2:$T$2710,8,FALSE)</f>
        <v>3.9834691942561395E-2</v>
      </c>
      <c r="G175" s="5">
        <f>VLOOKUP(G$1&amp;$A175,배당편집!$M$2:$T$2710,8,FALSE)</f>
        <v>8.7597101915158015E-2</v>
      </c>
      <c r="H175" s="5">
        <f>VLOOKUP(H$1&amp;$A175,배당편집!$M$2:$T$2710,8,FALSE)</f>
        <v>0.10629764994767821</v>
      </c>
      <c r="I175" s="5">
        <f>VLOOKUP(I$1&amp;$A175,배당편집!$M$2:$T$2710,8,FALSE)</f>
        <v>3.1310306477545069E-2</v>
      </c>
      <c r="J175" s="5">
        <f>VLOOKUP(J$1&amp;$A175,배당편집!$M$2:$T$2710,8,FALSE)</f>
        <v>3.5804203580214189E-2</v>
      </c>
      <c r="K175" s="5">
        <f>VLOOKUP(K$1&amp;$A175,배당편집!$M$2:$T$2710,8,FALSE)</f>
        <v>0.15518858939380853</v>
      </c>
      <c r="L175" s="5">
        <f>VLOOKUP(L$1&amp;$A175,배당편집!$M$2:$T$2710,8,FALSE)</f>
        <v>0.18466445254224406</v>
      </c>
      <c r="M175" s="5">
        <f>VLOOKUP(M$1&amp;$A175,배당편집!$M$2:$T$2710,8,FALSE)</f>
        <v>0.19479126317807505</v>
      </c>
      <c r="N175" s="5">
        <f>VLOOKUP(N$1&amp;$A175,배당편집!$M$2:$T$2710,8,FALSE)</f>
        <v>8.8584930158139841E-2</v>
      </c>
      <c r="O175" s="5">
        <f>VLOOKUP(O$1&amp;$A175,배당편집!$M$2:$T$2710,8,FALSE)</f>
        <v>0.15943572087062341</v>
      </c>
      <c r="P175" s="5">
        <f>VLOOKUP(P$1&amp;$A175,배당편집!$M$2:$T$2710,8,FALSE)</f>
        <v>0.11291715445268014</v>
      </c>
      <c r="Q175" s="5">
        <f>VLOOKUP(Q$1&amp;$A175,배당편집!$M$2:$T$2710,8,FALSE)</f>
        <v>0.15148649061198993</v>
      </c>
      <c r="R175" s="5">
        <f>VLOOKUP(R$1&amp;$A175,배당편집!$M$2:$T$2710,8,FALSE)</f>
        <v>1.6137364741595661E-2</v>
      </c>
      <c r="S175" s="5">
        <f>VLOOKUP(S$1&amp;$A175,배당편집!$M$2:$T$2710,8,FALSE)</f>
        <v>5.7422429529181418E-2</v>
      </c>
      <c r="T175" s="5">
        <f>VLOOKUP(T$1&amp;$A175,배당편집!$M$2:$T$2710,8,FALSE)</f>
        <v>0.14093616842292778</v>
      </c>
      <c r="U175" s="5" t="e">
        <f>VLOOKUP(U$1&amp;$A175,배당편집!$M$2:$T$2710,8,FALSE)</f>
        <v>#N/A</v>
      </c>
      <c r="V175" s="5">
        <f>VLOOKUP(V$1&amp;$A175,배당편집!$M$2:$T$2710,8,FALSE)</f>
        <v>0.11994446021554528</v>
      </c>
      <c r="W175" s="5">
        <f>VLOOKUP(W$1&amp;$A175,배당편집!$M$2:$T$2710,8,FALSE)</f>
        <v>0.80576090289486868</v>
      </c>
      <c r="X175" s="5">
        <f>VLOOKUP(X$1&amp;$A175,배당편집!$M$2:$T$2710,8,FALSE)</f>
        <v>3.8740291254288683E-2</v>
      </c>
      <c r="Y175" s="5">
        <f>VLOOKUP(Y$1&amp;$A175,배당편집!$M$2:$T$2710,8,FALSE)</f>
        <v>0.27091758752107387</v>
      </c>
      <c r="Z175" s="5">
        <f>VLOOKUP(Z$1&amp;$A175,배당편집!$M$2:$T$2710,8,FALSE)</f>
        <v>5.6421622299043017E-2</v>
      </c>
      <c r="AA175" s="5">
        <f>VLOOKUP(AA$1&amp;$A175,배당편집!$M$2:$T$2710,8,FALSE)</f>
        <v>0.16723531932969316</v>
      </c>
      <c r="AB175" s="5">
        <f>VLOOKUP(AB$1&amp;$A175,배당편집!$M$2:$T$2710,8,FALSE)</f>
        <v>6.699675773069802E-2</v>
      </c>
      <c r="AC175" s="5">
        <f>VLOOKUP(AC$1&amp;$A175,배당편집!$M$2:$T$2710,8,FALSE)</f>
        <v>7.8749885178921453E-3</v>
      </c>
      <c r="AD175" s="5">
        <f>VLOOKUP(AD$1&amp;$A175,배당편집!$M$2:$T$2710,8,FALSE)</f>
        <v>0.19300798468495173</v>
      </c>
      <c r="AE175" s="5">
        <f>VLOOKUP(AE$1&amp;$A175,배당편집!$M$2:$T$2710,8,FALSE)</f>
        <v>4.3640227150435917E-2</v>
      </c>
      <c r="AF175" s="5">
        <f>VLOOKUP(AF$1&amp;$A175,배당편집!$M$2:$T$2710,8,FALSE)</f>
        <v>8.1780741066402873E-2</v>
      </c>
    </row>
    <row r="176" spans="1:32" ht="16.5" customHeight="1">
      <c r="A176" s="3">
        <v>2008</v>
      </c>
      <c r="B176" s="3">
        <v>7</v>
      </c>
      <c r="C176" s="5">
        <f>VLOOKUP(C$1&amp;$A176,배당편집!$M$2:$T$2710,8,FALSE)</f>
        <v>0.20431048521198436</v>
      </c>
      <c r="D176" s="5">
        <f>VLOOKUP(D$1&amp;$A176,배당편집!$M$2:$T$2710,8,FALSE)</f>
        <v>0.13972304907201583</v>
      </c>
      <c r="E176" s="5">
        <f>VLOOKUP(E$1&amp;$A176,배당편집!$M$2:$T$2710,8,FALSE)</f>
        <v>0.18466445254224406</v>
      </c>
      <c r="F176" s="5">
        <f>VLOOKUP(F$1&amp;$A176,배당편집!$M$2:$T$2710,8,FALSE)</f>
        <v>3.9834691942561395E-2</v>
      </c>
      <c r="G176" s="5">
        <f>VLOOKUP(G$1&amp;$A176,배당편집!$M$2:$T$2710,8,FALSE)</f>
        <v>8.7597101915158015E-2</v>
      </c>
      <c r="H176" s="5">
        <f>VLOOKUP(H$1&amp;$A176,배당편집!$M$2:$T$2710,8,FALSE)</f>
        <v>0.10629764994767821</v>
      </c>
      <c r="I176" s="5">
        <f>VLOOKUP(I$1&amp;$A176,배당편집!$M$2:$T$2710,8,FALSE)</f>
        <v>3.1310306477545069E-2</v>
      </c>
      <c r="J176" s="5">
        <f>VLOOKUP(J$1&amp;$A176,배당편집!$M$2:$T$2710,8,FALSE)</f>
        <v>3.5804203580214189E-2</v>
      </c>
      <c r="K176" s="5">
        <f>VLOOKUP(K$1&amp;$A176,배당편집!$M$2:$T$2710,8,FALSE)</f>
        <v>0.15518858939380853</v>
      </c>
      <c r="L176" s="5">
        <f>VLOOKUP(L$1&amp;$A176,배당편집!$M$2:$T$2710,8,FALSE)</f>
        <v>0.18466445254224406</v>
      </c>
      <c r="M176" s="5">
        <f>VLOOKUP(M$1&amp;$A176,배당편집!$M$2:$T$2710,8,FALSE)</f>
        <v>0.19479126317807505</v>
      </c>
      <c r="N176" s="5">
        <f>VLOOKUP(N$1&amp;$A176,배당편집!$M$2:$T$2710,8,FALSE)</f>
        <v>8.8584930158139841E-2</v>
      </c>
      <c r="O176" s="5">
        <f>VLOOKUP(O$1&amp;$A176,배당편집!$M$2:$T$2710,8,FALSE)</f>
        <v>0.15943572087062341</v>
      </c>
      <c r="P176" s="5">
        <f>VLOOKUP(P$1&amp;$A176,배당편집!$M$2:$T$2710,8,FALSE)</f>
        <v>0.11291715445268014</v>
      </c>
      <c r="Q176" s="5">
        <f>VLOOKUP(Q$1&amp;$A176,배당편집!$M$2:$T$2710,8,FALSE)</f>
        <v>0.15148649061198993</v>
      </c>
      <c r="R176" s="5">
        <f>VLOOKUP(R$1&amp;$A176,배당편집!$M$2:$T$2710,8,FALSE)</f>
        <v>1.6137364741595661E-2</v>
      </c>
      <c r="S176" s="5">
        <f>VLOOKUP(S$1&amp;$A176,배당편집!$M$2:$T$2710,8,FALSE)</f>
        <v>5.7422429529181418E-2</v>
      </c>
      <c r="T176" s="5">
        <f>VLOOKUP(T$1&amp;$A176,배당편집!$M$2:$T$2710,8,FALSE)</f>
        <v>0.14093616842292778</v>
      </c>
      <c r="U176" s="5" t="e">
        <f>VLOOKUP(U$1&amp;$A176,배당편집!$M$2:$T$2710,8,FALSE)</f>
        <v>#N/A</v>
      </c>
      <c r="V176" s="5">
        <f>VLOOKUP(V$1&amp;$A176,배당편집!$M$2:$T$2710,8,FALSE)</f>
        <v>0.11994446021554528</v>
      </c>
      <c r="W176" s="5">
        <f>VLOOKUP(W$1&amp;$A176,배당편집!$M$2:$T$2710,8,FALSE)</f>
        <v>0.80576090289486868</v>
      </c>
      <c r="X176" s="5">
        <f>VLOOKUP(X$1&amp;$A176,배당편집!$M$2:$T$2710,8,FALSE)</f>
        <v>3.8740291254288683E-2</v>
      </c>
      <c r="Y176" s="5">
        <f>VLOOKUP(Y$1&amp;$A176,배당편집!$M$2:$T$2710,8,FALSE)</f>
        <v>0.27091758752107387</v>
      </c>
      <c r="Z176" s="5">
        <f>VLOOKUP(Z$1&amp;$A176,배당편집!$M$2:$T$2710,8,FALSE)</f>
        <v>5.6421622299043017E-2</v>
      </c>
      <c r="AA176" s="5">
        <f>VLOOKUP(AA$1&amp;$A176,배당편집!$M$2:$T$2710,8,FALSE)</f>
        <v>0.16723531932969316</v>
      </c>
      <c r="AB176" s="5">
        <f>VLOOKUP(AB$1&amp;$A176,배당편집!$M$2:$T$2710,8,FALSE)</f>
        <v>6.699675773069802E-2</v>
      </c>
      <c r="AC176" s="5">
        <f>VLOOKUP(AC$1&amp;$A176,배당편집!$M$2:$T$2710,8,FALSE)</f>
        <v>7.8749885178921453E-3</v>
      </c>
      <c r="AD176" s="5">
        <f>VLOOKUP(AD$1&amp;$A176,배당편집!$M$2:$T$2710,8,FALSE)</f>
        <v>0.19300798468495173</v>
      </c>
      <c r="AE176" s="5">
        <f>VLOOKUP(AE$1&amp;$A176,배당편집!$M$2:$T$2710,8,FALSE)</f>
        <v>4.3640227150435917E-2</v>
      </c>
      <c r="AF176" s="5">
        <f>VLOOKUP(AF$1&amp;$A176,배당편집!$M$2:$T$2710,8,FALSE)</f>
        <v>8.1780741066402873E-2</v>
      </c>
    </row>
    <row r="177" spans="1:32" ht="16.5" customHeight="1">
      <c r="A177" s="3">
        <v>2008</v>
      </c>
      <c r="B177" s="3">
        <v>8</v>
      </c>
      <c r="C177" s="5">
        <f>VLOOKUP(C$1&amp;$A177,배당편집!$M$2:$T$2710,8,FALSE)</f>
        <v>0.20431048521198436</v>
      </c>
      <c r="D177" s="5">
        <f>VLOOKUP(D$1&amp;$A177,배당편집!$M$2:$T$2710,8,FALSE)</f>
        <v>0.13972304907201583</v>
      </c>
      <c r="E177" s="5">
        <f>VLOOKUP(E$1&amp;$A177,배당편집!$M$2:$T$2710,8,FALSE)</f>
        <v>0.18466445254224406</v>
      </c>
      <c r="F177" s="5">
        <f>VLOOKUP(F$1&amp;$A177,배당편집!$M$2:$T$2710,8,FALSE)</f>
        <v>3.9834691942561395E-2</v>
      </c>
      <c r="G177" s="5">
        <f>VLOOKUP(G$1&amp;$A177,배당편집!$M$2:$T$2710,8,FALSE)</f>
        <v>8.7597101915158015E-2</v>
      </c>
      <c r="H177" s="5">
        <f>VLOOKUP(H$1&amp;$A177,배당편집!$M$2:$T$2710,8,FALSE)</f>
        <v>0.10629764994767821</v>
      </c>
      <c r="I177" s="5">
        <f>VLOOKUP(I$1&amp;$A177,배당편집!$M$2:$T$2710,8,FALSE)</f>
        <v>3.1310306477545069E-2</v>
      </c>
      <c r="J177" s="5">
        <f>VLOOKUP(J$1&amp;$A177,배당편집!$M$2:$T$2710,8,FALSE)</f>
        <v>3.5804203580214189E-2</v>
      </c>
      <c r="K177" s="5">
        <f>VLOOKUP(K$1&amp;$A177,배당편집!$M$2:$T$2710,8,FALSE)</f>
        <v>0.15518858939380853</v>
      </c>
      <c r="L177" s="5">
        <f>VLOOKUP(L$1&amp;$A177,배당편집!$M$2:$T$2710,8,FALSE)</f>
        <v>0.18466445254224406</v>
      </c>
      <c r="M177" s="5">
        <f>VLOOKUP(M$1&amp;$A177,배당편집!$M$2:$T$2710,8,FALSE)</f>
        <v>0.19479126317807505</v>
      </c>
      <c r="N177" s="5">
        <f>VLOOKUP(N$1&amp;$A177,배당편집!$M$2:$T$2710,8,FALSE)</f>
        <v>8.8584930158139841E-2</v>
      </c>
      <c r="O177" s="5">
        <f>VLOOKUP(O$1&amp;$A177,배당편집!$M$2:$T$2710,8,FALSE)</f>
        <v>0.15943572087062341</v>
      </c>
      <c r="P177" s="5">
        <f>VLOOKUP(P$1&amp;$A177,배당편집!$M$2:$T$2710,8,FALSE)</f>
        <v>0.11291715445268014</v>
      </c>
      <c r="Q177" s="5">
        <f>VLOOKUP(Q$1&amp;$A177,배당편집!$M$2:$T$2710,8,FALSE)</f>
        <v>0.15148649061198993</v>
      </c>
      <c r="R177" s="5">
        <f>VLOOKUP(R$1&amp;$A177,배당편집!$M$2:$T$2710,8,FALSE)</f>
        <v>1.6137364741595661E-2</v>
      </c>
      <c r="S177" s="5">
        <f>VLOOKUP(S$1&amp;$A177,배당편집!$M$2:$T$2710,8,FALSE)</f>
        <v>5.7422429529181418E-2</v>
      </c>
      <c r="T177" s="5">
        <f>VLOOKUP(T$1&amp;$A177,배당편집!$M$2:$T$2710,8,FALSE)</f>
        <v>0.14093616842292778</v>
      </c>
      <c r="U177" s="5" t="e">
        <f>VLOOKUP(U$1&amp;$A177,배당편집!$M$2:$T$2710,8,FALSE)</f>
        <v>#N/A</v>
      </c>
      <c r="V177" s="5">
        <f>VLOOKUP(V$1&amp;$A177,배당편집!$M$2:$T$2710,8,FALSE)</f>
        <v>0.11994446021554528</v>
      </c>
      <c r="W177" s="5">
        <f>VLOOKUP(W$1&amp;$A177,배당편집!$M$2:$T$2710,8,FALSE)</f>
        <v>0.80576090289486868</v>
      </c>
      <c r="X177" s="5">
        <f>VLOOKUP(X$1&amp;$A177,배당편집!$M$2:$T$2710,8,FALSE)</f>
        <v>3.8740291254288683E-2</v>
      </c>
      <c r="Y177" s="5">
        <f>VLOOKUP(Y$1&amp;$A177,배당편집!$M$2:$T$2710,8,FALSE)</f>
        <v>0.27091758752107387</v>
      </c>
      <c r="Z177" s="5">
        <f>VLOOKUP(Z$1&amp;$A177,배당편집!$M$2:$T$2710,8,FALSE)</f>
        <v>5.6421622299043017E-2</v>
      </c>
      <c r="AA177" s="5">
        <f>VLOOKUP(AA$1&amp;$A177,배당편집!$M$2:$T$2710,8,FALSE)</f>
        <v>0.16723531932969316</v>
      </c>
      <c r="AB177" s="5">
        <f>VLOOKUP(AB$1&amp;$A177,배당편집!$M$2:$T$2710,8,FALSE)</f>
        <v>6.699675773069802E-2</v>
      </c>
      <c r="AC177" s="5">
        <f>VLOOKUP(AC$1&amp;$A177,배당편집!$M$2:$T$2710,8,FALSE)</f>
        <v>7.8749885178921453E-3</v>
      </c>
      <c r="AD177" s="5">
        <f>VLOOKUP(AD$1&amp;$A177,배당편집!$M$2:$T$2710,8,FALSE)</f>
        <v>0.19300798468495173</v>
      </c>
      <c r="AE177" s="5">
        <f>VLOOKUP(AE$1&amp;$A177,배당편집!$M$2:$T$2710,8,FALSE)</f>
        <v>4.3640227150435917E-2</v>
      </c>
      <c r="AF177" s="5">
        <f>VLOOKUP(AF$1&amp;$A177,배당편집!$M$2:$T$2710,8,FALSE)</f>
        <v>8.1780741066402873E-2</v>
      </c>
    </row>
    <row r="178" spans="1:32" ht="16.5" customHeight="1">
      <c r="A178" s="3">
        <v>2008</v>
      </c>
      <c r="B178" s="3">
        <v>9</v>
      </c>
      <c r="C178" s="5">
        <f>VLOOKUP(C$1&amp;$A178,배당편집!$M$2:$T$2710,8,FALSE)</f>
        <v>0.20431048521198436</v>
      </c>
      <c r="D178" s="5">
        <f>VLOOKUP(D$1&amp;$A178,배당편집!$M$2:$T$2710,8,FALSE)</f>
        <v>0.13972304907201583</v>
      </c>
      <c r="E178" s="5">
        <f>VLOOKUP(E$1&amp;$A178,배당편집!$M$2:$T$2710,8,FALSE)</f>
        <v>0.18466445254224406</v>
      </c>
      <c r="F178" s="5">
        <f>VLOOKUP(F$1&amp;$A178,배당편집!$M$2:$T$2710,8,FALSE)</f>
        <v>3.9834691942561395E-2</v>
      </c>
      <c r="G178" s="5">
        <f>VLOOKUP(G$1&amp;$A178,배당편집!$M$2:$T$2710,8,FALSE)</f>
        <v>8.7597101915158015E-2</v>
      </c>
      <c r="H178" s="5">
        <f>VLOOKUP(H$1&amp;$A178,배당편집!$M$2:$T$2710,8,FALSE)</f>
        <v>0.10629764994767821</v>
      </c>
      <c r="I178" s="5">
        <f>VLOOKUP(I$1&amp;$A178,배당편집!$M$2:$T$2710,8,FALSE)</f>
        <v>3.1310306477545069E-2</v>
      </c>
      <c r="J178" s="5">
        <f>VLOOKUP(J$1&amp;$A178,배당편집!$M$2:$T$2710,8,FALSE)</f>
        <v>3.5804203580214189E-2</v>
      </c>
      <c r="K178" s="5">
        <f>VLOOKUP(K$1&amp;$A178,배당편집!$M$2:$T$2710,8,FALSE)</f>
        <v>0.15518858939380853</v>
      </c>
      <c r="L178" s="5">
        <f>VLOOKUP(L$1&amp;$A178,배당편집!$M$2:$T$2710,8,FALSE)</f>
        <v>0.18466445254224406</v>
      </c>
      <c r="M178" s="5">
        <f>VLOOKUP(M$1&amp;$A178,배당편집!$M$2:$T$2710,8,FALSE)</f>
        <v>0.19479126317807505</v>
      </c>
      <c r="N178" s="5">
        <f>VLOOKUP(N$1&amp;$A178,배당편집!$M$2:$T$2710,8,FALSE)</f>
        <v>8.8584930158139841E-2</v>
      </c>
      <c r="O178" s="5">
        <f>VLOOKUP(O$1&amp;$A178,배당편집!$M$2:$T$2710,8,FALSE)</f>
        <v>0.15943572087062341</v>
      </c>
      <c r="P178" s="5">
        <f>VLOOKUP(P$1&amp;$A178,배당편집!$M$2:$T$2710,8,FALSE)</f>
        <v>0.11291715445268014</v>
      </c>
      <c r="Q178" s="5">
        <f>VLOOKUP(Q$1&amp;$A178,배당편집!$M$2:$T$2710,8,FALSE)</f>
        <v>0.15148649061198993</v>
      </c>
      <c r="R178" s="5">
        <f>VLOOKUP(R$1&amp;$A178,배당편집!$M$2:$T$2710,8,FALSE)</f>
        <v>1.6137364741595661E-2</v>
      </c>
      <c r="S178" s="5">
        <f>VLOOKUP(S$1&amp;$A178,배당편집!$M$2:$T$2710,8,FALSE)</f>
        <v>5.7422429529181418E-2</v>
      </c>
      <c r="T178" s="5">
        <f>VLOOKUP(T$1&amp;$A178,배당편집!$M$2:$T$2710,8,FALSE)</f>
        <v>0.14093616842292778</v>
      </c>
      <c r="U178" s="5" t="e">
        <f>VLOOKUP(U$1&amp;$A178,배당편집!$M$2:$T$2710,8,FALSE)</f>
        <v>#N/A</v>
      </c>
      <c r="V178" s="5">
        <f>VLOOKUP(V$1&amp;$A178,배당편집!$M$2:$T$2710,8,FALSE)</f>
        <v>0.11994446021554528</v>
      </c>
      <c r="W178" s="5">
        <f>VLOOKUP(W$1&amp;$A178,배당편집!$M$2:$T$2710,8,FALSE)</f>
        <v>0.80576090289486868</v>
      </c>
      <c r="X178" s="5">
        <f>VLOOKUP(X$1&amp;$A178,배당편집!$M$2:$T$2710,8,FALSE)</f>
        <v>3.8740291254288683E-2</v>
      </c>
      <c r="Y178" s="5">
        <f>VLOOKUP(Y$1&amp;$A178,배당편집!$M$2:$T$2710,8,FALSE)</f>
        <v>0.27091758752107387</v>
      </c>
      <c r="Z178" s="5">
        <f>VLOOKUP(Z$1&amp;$A178,배당편집!$M$2:$T$2710,8,FALSE)</f>
        <v>5.6421622299043017E-2</v>
      </c>
      <c r="AA178" s="5">
        <f>VLOOKUP(AA$1&amp;$A178,배당편집!$M$2:$T$2710,8,FALSE)</f>
        <v>0.16723531932969316</v>
      </c>
      <c r="AB178" s="5">
        <f>VLOOKUP(AB$1&amp;$A178,배당편집!$M$2:$T$2710,8,FALSE)</f>
        <v>6.699675773069802E-2</v>
      </c>
      <c r="AC178" s="5">
        <f>VLOOKUP(AC$1&amp;$A178,배당편집!$M$2:$T$2710,8,FALSE)</f>
        <v>7.8749885178921453E-3</v>
      </c>
      <c r="AD178" s="5">
        <f>VLOOKUP(AD$1&amp;$A178,배당편집!$M$2:$T$2710,8,FALSE)</f>
        <v>0.19300798468495173</v>
      </c>
      <c r="AE178" s="5">
        <f>VLOOKUP(AE$1&amp;$A178,배당편집!$M$2:$T$2710,8,FALSE)</f>
        <v>4.3640227150435917E-2</v>
      </c>
      <c r="AF178" s="5">
        <f>VLOOKUP(AF$1&amp;$A178,배당편집!$M$2:$T$2710,8,FALSE)</f>
        <v>8.1780741066402873E-2</v>
      </c>
    </row>
    <row r="179" spans="1:32" ht="16.5" customHeight="1">
      <c r="A179" s="3">
        <v>2008</v>
      </c>
      <c r="B179" s="3">
        <v>10</v>
      </c>
      <c r="C179" s="5">
        <f>VLOOKUP(C$1&amp;$A179,배당편집!$M$2:$T$2710,8,FALSE)</f>
        <v>0.20431048521198436</v>
      </c>
      <c r="D179" s="5">
        <f>VLOOKUP(D$1&amp;$A179,배당편집!$M$2:$T$2710,8,FALSE)</f>
        <v>0.13972304907201583</v>
      </c>
      <c r="E179" s="5">
        <f>VLOOKUP(E$1&amp;$A179,배당편집!$M$2:$T$2710,8,FALSE)</f>
        <v>0.18466445254224406</v>
      </c>
      <c r="F179" s="5">
        <f>VLOOKUP(F$1&amp;$A179,배당편집!$M$2:$T$2710,8,FALSE)</f>
        <v>3.9834691942561395E-2</v>
      </c>
      <c r="G179" s="5">
        <f>VLOOKUP(G$1&amp;$A179,배당편집!$M$2:$T$2710,8,FALSE)</f>
        <v>8.7597101915158015E-2</v>
      </c>
      <c r="H179" s="5">
        <f>VLOOKUP(H$1&amp;$A179,배당편집!$M$2:$T$2710,8,FALSE)</f>
        <v>0.10629764994767821</v>
      </c>
      <c r="I179" s="5">
        <f>VLOOKUP(I$1&amp;$A179,배당편집!$M$2:$T$2710,8,FALSE)</f>
        <v>3.1310306477545069E-2</v>
      </c>
      <c r="J179" s="5">
        <f>VLOOKUP(J$1&amp;$A179,배당편집!$M$2:$T$2710,8,FALSE)</f>
        <v>3.5804203580214189E-2</v>
      </c>
      <c r="K179" s="5">
        <f>VLOOKUP(K$1&amp;$A179,배당편집!$M$2:$T$2710,8,FALSE)</f>
        <v>0.15518858939380853</v>
      </c>
      <c r="L179" s="5">
        <f>VLOOKUP(L$1&amp;$A179,배당편집!$M$2:$T$2710,8,FALSE)</f>
        <v>0.18466445254224406</v>
      </c>
      <c r="M179" s="5">
        <f>VLOOKUP(M$1&amp;$A179,배당편집!$M$2:$T$2710,8,FALSE)</f>
        <v>0.19479126317807505</v>
      </c>
      <c r="N179" s="5">
        <f>VLOOKUP(N$1&amp;$A179,배당편집!$M$2:$T$2710,8,FALSE)</f>
        <v>8.8584930158139841E-2</v>
      </c>
      <c r="O179" s="5">
        <f>VLOOKUP(O$1&amp;$A179,배당편집!$M$2:$T$2710,8,FALSE)</f>
        <v>0.15943572087062341</v>
      </c>
      <c r="P179" s="5">
        <f>VLOOKUP(P$1&amp;$A179,배당편집!$M$2:$T$2710,8,FALSE)</f>
        <v>0.11291715445268014</v>
      </c>
      <c r="Q179" s="5">
        <f>VLOOKUP(Q$1&amp;$A179,배당편집!$M$2:$T$2710,8,FALSE)</f>
        <v>0.15148649061198993</v>
      </c>
      <c r="R179" s="5">
        <f>VLOOKUP(R$1&amp;$A179,배당편집!$M$2:$T$2710,8,FALSE)</f>
        <v>1.6137364741595661E-2</v>
      </c>
      <c r="S179" s="5">
        <f>VLOOKUP(S$1&amp;$A179,배당편집!$M$2:$T$2710,8,FALSE)</f>
        <v>5.7422429529181418E-2</v>
      </c>
      <c r="T179" s="5">
        <f>VLOOKUP(T$1&amp;$A179,배당편집!$M$2:$T$2710,8,FALSE)</f>
        <v>0.14093616842292778</v>
      </c>
      <c r="U179" s="5" t="e">
        <f>VLOOKUP(U$1&amp;$A179,배당편집!$M$2:$T$2710,8,FALSE)</f>
        <v>#N/A</v>
      </c>
      <c r="V179" s="5">
        <f>VLOOKUP(V$1&amp;$A179,배당편집!$M$2:$T$2710,8,FALSE)</f>
        <v>0.11994446021554528</v>
      </c>
      <c r="W179" s="5">
        <f>VLOOKUP(W$1&amp;$A179,배당편집!$M$2:$T$2710,8,FALSE)</f>
        <v>0.80576090289486868</v>
      </c>
      <c r="X179" s="5">
        <f>VLOOKUP(X$1&amp;$A179,배당편집!$M$2:$T$2710,8,FALSE)</f>
        <v>3.8740291254288683E-2</v>
      </c>
      <c r="Y179" s="5">
        <f>VLOOKUP(Y$1&amp;$A179,배당편집!$M$2:$T$2710,8,FALSE)</f>
        <v>0.27091758752107387</v>
      </c>
      <c r="Z179" s="5">
        <f>VLOOKUP(Z$1&amp;$A179,배당편집!$M$2:$T$2710,8,FALSE)</f>
        <v>5.6421622299043017E-2</v>
      </c>
      <c r="AA179" s="5">
        <f>VLOOKUP(AA$1&amp;$A179,배당편집!$M$2:$T$2710,8,FALSE)</f>
        <v>0.16723531932969316</v>
      </c>
      <c r="AB179" s="5">
        <f>VLOOKUP(AB$1&amp;$A179,배당편집!$M$2:$T$2710,8,FALSE)</f>
        <v>6.699675773069802E-2</v>
      </c>
      <c r="AC179" s="5">
        <f>VLOOKUP(AC$1&amp;$A179,배당편집!$M$2:$T$2710,8,FALSE)</f>
        <v>7.8749885178921453E-3</v>
      </c>
      <c r="AD179" s="5">
        <f>VLOOKUP(AD$1&amp;$A179,배당편집!$M$2:$T$2710,8,FALSE)</f>
        <v>0.19300798468495173</v>
      </c>
      <c r="AE179" s="5">
        <f>VLOOKUP(AE$1&amp;$A179,배당편집!$M$2:$T$2710,8,FALSE)</f>
        <v>4.3640227150435917E-2</v>
      </c>
      <c r="AF179" s="5">
        <f>VLOOKUP(AF$1&amp;$A179,배당편집!$M$2:$T$2710,8,FALSE)</f>
        <v>8.1780741066402873E-2</v>
      </c>
    </row>
    <row r="180" spans="1:32" ht="16.5" customHeight="1">
      <c r="A180" s="3">
        <v>2008</v>
      </c>
      <c r="B180" s="3">
        <v>11</v>
      </c>
      <c r="C180" s="5">
        <f>VLOOKUP(C$1&amp;$A180,배당편집!$M$2:$T$2710,8,FALSE)</f>
        <v>0.20431048521198436</v>
      </c>
      <c r="D180" s="5">
        <f>VLOOKUP(D$1&amp;$A180,배당편집!$M$2:$T$2710,8,FALSE)</f>
        <v>0.13972304907201583</v>
      </c>
      <c r="E180" s="5">
        <f>VLOOKUP(E$1&amp;$A180,배당편집!$M$2:$T$2710,8,FALSE)</f>
        <v>0.18466445254224406</v>
      </c>
      <c r="F180" s="5">
        <f>VLOOKUP(F$1&amp;$A180,배당편집!$M$2:$T$2710,8,FALSE)</f>
        <v>3.9834691942561395E-2</v>
      </c>
      <c r="G180" s="5">
        <f>VLOOKUP(G$1&amp;$A180,배당편집!$M$2:$T$2710,8,FALSE)</f>
        <v>8.7597101915158015E-2</v>
      </c>
      <c r="H180" s="5">
        <f>VLOOKUP(H$1&amp;$A180,배당편집!$M$2:$T$2710,8,FALSE)</f>
        <v>0.10629764994767821</v>
      </c>
      <c r="I180" s="5">
        <f>VLOOKUP(I$1&amp;$A180,배당편집!$M$2:$T$2710,8,FALSE)</f>
        <v>3.1310306477545069E-2</v>
      </c>
      <c r="J180" s="5">
        <f>VLOOKUP(J$1&amp;$A180,배당편집!$M$2:$T$2710,8,FALSE)</f>
        <v>3.5804203580214189E-2</v>
      </c>
      <c r="K180" s="5">
        <f>VLOOKUP(K$1&amp;$A180,배당편집!$M$2:$T$2710,8,FALSE)</f>
        <v>0.15518858939380853</v>
      </c>
      <c r="L180" s="5">
        <f>VLOOKUP(L$1&amp;$A180,배당편집!$M$2:$T$2710,8,FALSE)</f>
        <v>0.18466445254224406</v>
      </c>
      <c r="M180" s="5">
        <f>VLOOKUP(M$1&amp;$A180,배당편집!$M$2:$T$2710,8,FALSE)</f>
        <v>0.19479126317807505</v>
      </c>
      <c r="N180" s="5">
        <f>VLOOKUP(N$1&amp;$A180,배당편집!$M$2:$T$2710,8,FALSE)</f>
        <v>8.8584930158139841E-2</v>
      </c>
      <c r="O180" s="5">
        <f>VLOOKUP(O$1&amp;$A180,배당편집!$M$2:$T$2710,8,FALSE)</f>
        <v>0.15943572087062341</v>
      </c>
      <c r="P180" s="5">
        <f>VLOOKUP(P$1&amp;$A180,배당편집!$M$2:$T$2710,8,FALSE)</f>
        <v>0.11291715445268014</v>
      </c>
      <c r="Q180" s="5">
        <f>VLOOKUP(Q$1&amp;$A180,배당편집!$M$2:$T$2710,8,FALSE)</f>
        <v>0.15148649061198993</v>
      </c>
      <c r="R180" s="5">
        <f>VLOOKUP(R$1&amp;$A180,배당편집!$M$2:$T$2710,8,FALSE)</f>
        <v>1.6137364741595661E-2</v>
      </c>
      <c r="S180" s="5">
        <f>VLOOKUP(S$1&amp;$A180,배당편집!$M$2:$T$2710,8,FALSE)</f>
        <v>5.7422429529181418E-2</v>
      </c>
      <c r="T180" s="5">
        <f>VLOOKUP(T$1&amp;$A180,배당편집!$M$2:$T$2710,8,FALSE)</f>
        <v>0.14093616842292778</v>
      </c>
      <c r="U180" s="5" t="e">
        <f>VLOOKUP(U$1&amp;$A180,배당편집!$M$2:$T$2710,8,FALSE)</f>
        <v>#N/A</v>
      </c>
      <c r="V180" s="5">
        <f>VLOOKUP(V$1&amp;$A180,배당편집!$M$2:$T$2710,8,FALSE)</f>
        <v>0.11994446021554528</v>
      </c>
      <c r="W180" s="5">
        <f>VLOOKUP(W$1&amp;$A180,배당편집!$M$2:$T$2710,8,FALSE)</f>
        <v>0.80576090289486868</v>
      </c>
      <c r="X180" s="5">
        <f>VLOOKUP(X$1&amp;$A180,배당편집!$M$2:$T$2710,8,FALSE)</f>
        <v>3.8740291254288683E-2</v>
      </c>
      <c r="Y180" s="5">
        <f>VLOOKUP(Y$1&amp;$A180,배당편집!$M$2:$T$2710,8,FALSE)</f>
        <v>0.27091758752107387</v>
      </c>
      <c r="Z180" s="5">
        <f>VLOOKUP(Z$1&amp;$A180,배당편집!$M$2:$T$2710,8,FALSE)</f>
        <v>5.6421622299043017E-2</v>
      </c>
      <c r="AA180" s="5">
        <f>VLOOKUP(AA$1&amp;$A180,배당편집!$M$2:$T$2710,8,FALSE)</f>
        <v>0.16723531932969316</v>
      </c>
      <c r="AB180" s="5">
        <f>VLOOKUP(AB$1&amp;$A180,배당편집!$M$2:$T$2710,8,FALSE)</f>
        <v>6.699675773069802E-2</v>
      </c>
      <c r="AC180" s="5">
        <f>VLOOKUP(AC$1&amp;$A180,배당편집!$M$2:$T$2710,8,FALSE)</f>
        <v>7.8749885178921453E-3</v>
      </c>
      <c r="AD180" s="5">
        <f>VLOOKUP(AD$1&amp;$A180,배당편집!$M$2:$T$2710,8,FALSE)</f>
        <v>0.19300798468495173</v>
      </c>
      <c r="AE180" s="5">
        <f>VLOOKUP(AE$1&amp;$A180,배당편집!$M$2:$T$2710,8,FALSE)</f>
        <v>4.3640227150435917E-2</v>
      </c>
      <c r="AF180" s="5">
        <f>VLOOKUP(AF$1&amp;$A180,배당편집!$M$2:$T$2710,8,FALSE)</f>
        <v>8.1780741066402873E-2</v>
      </c>
    </row>
    <row r="181" spans="1:32" ht="16.5" customHeight="1">
      <c r="A181" s="3">
        <v>2008</v>
      </c>
      <c r="B181" s="3">
        <v>12</v>
      </c>
      <c r="C181" s="5">
        <f>VLOOKUP(C$1&amp;$A181,배당편집!$M$2:$T$2710,8,FALSE)</f>
        <v>0.20431048521198436</v>
      </c>
      <c r="D181" s="5">
        <f>VLOOKUP(D$1&amp;$A181,배당편집!$M$2:$T$2710,8,FALSE)</f>
        <v>0.13972304907201583</v>
      </c>
      <c r="E181" s="5">
        <f>VLOOKUP(E$1&amp;$A181,배당편집!$M$2:$T$2710,8,FALSE)</f>
        <v>0.18466445254224406</v>
      </c>
      <c r="F181" s="5">
        <f>VLOOKUP(F$1&amp;$A181,배당편집!$M$2:$T$2710,8,FALSE)</f>
        <v>3.9834691942561395E-2</v>
      </c>
      <c r="G181" s="5">
        <f>VLOOKUP(G$1&amp;$A181,배당편집!$M$2:$T$2710,8,FALSE)</f>
        <v>8.7597101915158015E-2</v>
      </c>
      <c r="H181" s="5">
        <f>VLOOKUP(H$1&amp;$A181,배당편집!$M$2:$T$2710,8,FALSE)</f>
        <v>0.10629764994767821</v>
      </c>
      <c r="I181" s="5">
        <f>VLOOKUP(I$1&amp;$A181,배당편집!$M$2:$T$2710,8,FALSE)</f>
        <v>3.1310306477545069E-2</v>
      </c>
      <c r="J181" s="5">
        <f>VLOOKUP(J$1&amp;$A181,배당편집!$M$2:$T$2710,8,FALSE)</f>
        <v>3.5804203580214189E-2</v>
      </c>
      <c r="K181" s="5">
        <f>VLOOKUP(K$1&amp;$A181,배당편집!$M$2:$T$2710,8,FALSE)</f>
        <v>0.15518858939380853</v>
      </c>
      <c r="L181" s="5">
        <f>VLOOKUP(L$1&amp;$A181,배당편집!$M$2:$T$2710,8,FALSE)</f>
        <v>0.18466445254224406</v>
      </c>
      <c r="M181" s="5">
        <f>VLOOKUP(M$1&amp;$A181,배당편집!$M$2:$T$2710,8,FALSE)</f>
        <v>0.19479126317807505</v>
      </c>
      <c r="N181" s="5">
        <f>VLOOKUP(N$1&amp;$A181,배당편집!$M$2:$T$2710,8,FALSE)</f>
        <v>8.8584930158139841E-2</v>
      </c>
      <c r="O181" s="5">
        <f>VLOOKUP(O$1&amp;$A181,배당편집!$M$2:$T$2710,8,FALSE)</f>
        <v>0.15943572087062341</v>
      </c>
      <c r="P181" s="5">
        <f>VLOOKUP(P$1&amp;$A181,배당편집!$M$2:$T$2710,8,FALSE)</f>
        <v>0.11291715445268014</v>
      </c>
      <c r="Q181" s="5">
        <f>VLOOKUP(Q$1&amp;$A181,배당편집!$M$2:$T$2710,8,FALSE)</f>
        <v>0.15148649061198993</v>
      </c>
      <c r="R181" s="5">
        <f>VLOOKUP(R$1&amp;$A181,배당편집!$M$2:$T$2710,8,FALSE)</f>
        <v>1.6137364741595661E-2</v>
      </c>
      <c r="S181" s="5">
        <f>VLOOKUP(S$1&amp;$A181,배당편집!$M$2:$T$2710,8,FALSE)</f>
        <v>5.7422429529181418E-2</v>
      </c>
      <c r="T181" s="5">
        <f>VLOOKUP(T$1&amp;$A181,배당편집!$M$2:$T$2710,8,FALSE)</f>
        <v>0.14093616842292778</v>
      </c>
      <c r="U181" s="5" t="e">
        <f>VLOOKUP(U$1&amp;$A181,배당편집!$M$2:$T$2710,8,FALSE)</f>
        <v>#N/A</v>
      </c>
      <c r="V181" s="5">
        <f>VLOOKUP(V$1&amp;$A181,배당편집!$M$2:$T$2710,8,FALSE)</f>
        <v>0.11994446021554528</v>
      </c>
      <c r="W181" s="5">
        <f>VLOOKUP(W$1&amp;$A181,배당편집!$M$2:$T$2710,8,FALSE)</f>
        <v>0.80576090289486868</v>
      </c>
      <c r="X181" s="5">
        <f>VLOOKUP(X$1&amp;$A181,배당편집!$M$2:$T$2710,8,FALSE)</f>
        <v>3.8740291254288683E-2</v>
      </c>
      <c r="Y181" s="5">
        <f>VLOOKUP(Y$1&amp;$A181,배당편집!$M$2:$T$2710,8,FALSE)</f>
        <v>0.27091758752107387</v>
      </c>
      <c r="Z181" s="5">
        <f>VLOOKUP(Z$1&amp;$A181,배당편집!$M$2:$T$2710,8,FALSE)</f>
        <v>5.6421622299043017E-2</v>
      </c>
      <c r="AA181" s="5">
        <f>VLOOKUP(AA$1&amp;$A181,배당편집!$M$2:$T$2710,8,FALSE)</f>
        <v>0.16723531932969316</v>
      </c>
      <c r="AB181" s="5">
        <f>VLOOKUP(AB$1&amp;$A181,배당편집!$M$2:$T$2710,8,FALSE)</f>
        <v>6.699675773069802E-2</v>
      </c>
      <c r="AC181" s="5">
        <f>VLOOKUP(AC$1&amp;$A181,배당편집!$M$2:$T$2710,8,FALSE)</f>
        <v>7.8749885178921453E-3</v>
      </c>
      <c r="AD181" s="5">
        <f>VLOOKUP(AD$1&amp;$A181,배당편집!$M$2:$T$2710,8,FALSE)</f>
        <v>0.19300798468495173</v>
      </c>
      <c r="AE181" s="5">
        <f>VLOOKUP(AE$1&amp;$A181,배당편집!$M$2:$T$2710,8,FALSE)</f>
        <v>4.3640227150435917E-2</v>
      </c>
      <c r="AF181" s="5">
        <f>VLOOKUP(AF$1&amp;$A181,배당편집!$M$2:$T$2710,8,FALSE)</f>
        <v>8.1780741066402873E-2</v>
      </c>
    </row>
    <row r="182" spans="1:32" ht="16.5" customHeight="1">
      <c r="A182" s="3">
        <v>2007</v>
      </c>
      <c r="B182" s="3">
        <v>1</v>
      </c>
      <c r="C182" s="5">
        <f>VLOOKUP(C$1&amp;$A182,배당편집!$M$2:$T$2710,8,FALSE)</f>
        <v>0.16412264748274419</v>
      </c>
      <c r="D182" s="5">
        <f>VLOOKUP(D$1&amp;$A182,배당편집!$M$2:$T$2710,8,FALSE)</f>
        <v>7.2145025900850923E-2</v>
      </c>
      <c r="E182" s="5">
        <f>VLOOKUP(E$1&amp;$A182,배당편집!$M$2:$T$2710,8,FALSE)</f>
        <v>0.20112443398143132</v>
      </c>
      <c r="F182" s="5">
        <f>VLOOKUP(F$1&amp;$A182,배당편집!$M$2:$T$2710,8,FALSE)</f>
        <v>4.5639552591273169E-2</v>
      </c>
      <c r="G182" s="5">
        <f>VLOOKUP(G$1&amp;$A182,배당편집!$M$2:$T$2710,8,FALSE)</f>
        <v>6.8278353688437932E-2</v>
      </c>
      <c r="H182" s="5">
        <f>VLOOKUP(H$1&amp;$A182,배당편집!$M$2:$T$2710,8,FALSE)</f>
        <v>8.2398196229486853E-2</v>
      </c>
      <c r="I182" s="5">
        <f>VLOOKUP(I$1&amp;$A182,배당편집!$M$2:$T$2710,8,FALSE)</f>
        <v>3.2324379535307868E-2</v>
      </c>
      <c r="J182" s="5">
        <f>VLOOKUP(J$1&amp;$A182,배당편집!$M$2:$T$2710,8,FALSE)</f>
        <v>3.5075369861429451E-2</v>
      </c>
      <c r="K182" s="5">
        <f>VLOOKUP(K$1&amp;$A182,배당편집!$M$2:$T$2710,8,FALSE)</f>
        <v>0.11382417860287908</v>
      </c>
      <c r="L182" s="5">
        <f>VLOOKUP(L$1&amp;$A182,배당편집!$M$2:$T$2710,8,FALSE)</f>
        <v>0.1486983549970351</v>
      </c>
      <c r="M182" s="5">
        <f>VLOOKUP(M$1&amp;$A182,배당편집!$M$2:$T$2710,8,FALSE)</f>
        <v>0.13806042630985371</v>
      </c>
      <c r="N182" s="5">
        <f>VLOOKUP(N$1&amp;$A182,배당편집!$M$2:$T$2710,8,FALSE)</f>
        <v>6.2618858899870622E-2</v>
      </c>
      <c r="O182" s="5">
        <f>VLOOKUP(O$1&amp;$A182,배당편집!$M$2:$T$2710,8,FALSE)</f>
        <v>0.13697448881013807</v>
      </c>
      <c r="P182" s="5">
        <f>VLOOKUP(P$1&amp;$A182,배당편집!$M$2:$T$2710,8,FALSE)</f>
        <v>0.10286313147852999</v>
      </c>
      <c r="Q182" s="5">
        <f>VLOOKUP(Q$1&amp;$A182,배당편집!$M$2:$T$2710,8,FALSE)</f>
        <v>0.15811517561929445</v>
      </c>
      <c r="R182" s="5">
        <f>VLOOKUP(R$1&amp;$A182,배당편집!$M$2:$T$2710,8,FALSE)</f>
        <v>1.6402190778280978E-2</v>
      </c>
      <c r="S182" s="5">
        <f>VLOOKUP(S$1&amp;$A182,배당편집!$M$2:$T$2710,8,FALSE)</f>
        <v>4.7077851775166879E-2</v>
      </c>
      <c r="T182" s="5">
        <f>VLOOKUP(T$1&amp;$A182,배당편집!$M$2:$T$2710,8,FALSE)</f>
        <v>0.10438362870438156</v>
      </c>
      <c r="U182" s="5" t="e">
        <f>VLOOKUP(U$1&amp;$A182,배당편집!$M$2:$T$2710,8,FALSE)</f>
        <v>#N/A</v>
      </c>
      <c r="V182" s="5">
        <f>VLOOKUP(V$1&amp;$A182,배당편집!$M$2:$T$2710,8,FALSE)</f>
        <v>8.9976987048345336E-2</v>
      </c>
      <c r="W182" s="5">
        <f>VLOOKUP(W$1&amp;$A182,배당편집!$M$2:$T$2710,8,FALSE)</f>
        <v>0.71877192758747888</v>
      </c>
      <c r="X182" s="5">
        <f>VLOOKUP(X$1&amp;$A182,배당편집!$M$2:$T$2710,8,FALSE)</f>
        <v>3.5485788455905221E-2</v>
      </c>
      <c r="Y182" s="5">
        <f>VLOOKUP(Y$1&amp;$A182,배당편집!$M$2:$T$2710,8,FALSE)</f>
        <v>7.6316922514810814E-2</v>
      </c>
      <c r="Z182" s="5">
        <f>VLOOKUP(Z$1&amp;$A182,배당편집!$M$2:$T$2710,8,FALSE)</f>
        <v>5.9223841048812176E-2</v>
      </c>
      <c r="AA182" s="5">
        <f>VLOOKUP(AA$1&amp;$A182,배당편집!$M$2:$T$2710,8,FALSE)</f>
        <v>0.18126018804310839</v>
      </c>
      <c r="AB182" s="5">
        <f>VLOOKUP(AB$1&amp;$A182,배당편집!$M$2:$T$2710,8,FALSE)</f>
        <v>7.0337013879057109E-2</v>
      </c>
      <c r="AC182" s="5">
        <f>VLOOKUP(AC$1&amp;$A182,배당편집!$M$2:$T$2710,8,FALSE)</f>
        <v>7.0429496933102076E-3</v>
      </c>
      <c r="AD182" s="5">
        <f>VLOOKUP(AD$1&amp;$A182,배당편집!$M$2:$T$2710,8,FALSE)</f>
        <v>0.1486983549970351</v>
      </c>
      <c r="AE182" s="5">
        <f>VLOOKUP(AE$1&amp;$A182,배당편집!$M$2:$T$2710,8,FALSE)</f>
        <v>3.7137289336648172E-2</v>
      </c>
      <c r="AF182" s="5">
        <f>VLOOKUP(AF$1&amp;$A182,배당편집!$M$2:$T$2710,8,FALSE)</f>
        <v>6.5044102740563714E-2</v>
      </c>
    </row>
    <row r="183" spans="1:32" ht="16.5" customHeight="1">
      <c r="A183" s="3">
        <v>2007</v>
      </c>
      <c r="B183" s="3">
        <v>2</v>
      </c>
      <c r="C183" s="5">
        <f>VLOOKUP(C$1&amp;$A183,배당편집!$M$2:$T$2710,8,FALSE)</f>
        <v>0.16412264748274419</v>
      </c>
      <c r="D183" s="5">
        <f>VLOOKUP(D$1&amp;$A183,배당편집!$M$2:$T$2710,8,FALSE)</f>
        <v>7.2145025900850923E-2</v>
      </c>
      <c r="E183" s="5">
        <f>VLOOKUP(E$1&amp;$A183,배당편집!$M$2:$T$2710,8,FALSE)</f>
        <v>0.20112443398143132</v>
      </c>
      <c r="F183" s="5">
        <f>VLOOKUP(F$1&amp;$A183,배당편집!$M$2:$T$2710,8,FALSE)</f>
        <v>4.5639552591273169E-2</v>
      </c>
      <c r="G183" s="5">
        <f>VLOOKUP(G$1&amp;$A183,배당편집!$M$2:$T$2710,8,FALSE)</f>
        <v>6.8278353688437932E-2</v>
      </c>
      <c r="H183" s="5">
        <f>VLOOKUP(H$1&amp;$A183,배당편집!$M$2:$T$2710,8,FALSE)</f>
        <v>8.2398196229486853E-2</v>
      </c>
      <c r="I183" s="5">
        <f>VLOOKUP(I$1&amp;$A183,배당편집!$M$2:$T$2710,8,FALSE)</f>
        <v>3.2324379535307868E-2</v>
      </c>
      <c r="J183" s="5">
        <f>VLOOKUP(J$1&amp;$A183,배당편집!$M$2:$T$2710,8,FALSE)</f>
        <v>3.5075369861429451E-2</v>
      </c>
      <c r="K183" s="5">
        <f>VLOOKUP(K$1&amp;$A183,배당편집!$M$2:$T$2710,8,FALSE)</f>
        <v>0.11382417860287908</v>
      </c>
      <c r="L183" s="5">
        <f>VLOOKUP(L$1&amp;$A183,배당편집!$M$2:$T$2710,8,FALSE)</f>
        <v>0.1486983549970351</v>
      </c>
      <c r="M183" s="5">
        <f>VLOOKUP(M$1&amp;$A183,배당편집!$M$2:$T$2710,8,FALSE)</f>
        <v>0.13806042630985371</v>
      </c>
      <c r="N183" s="5">
        <f>VLOOKUP(N$1&amp;$A183,배당편집!$M$2:$T$2710,8,FALSE)</f>
        <v>6.2618858899870622E-2</v>
      </c>
      <c r="O183" s="5">
        <f>VLOOKUP(O$1&amp;$A183,배당편집!$M$2:$T$2710,8,FALSE)</f>
        <v>0.13697448881013807</v>
      </c>
      <c r="P183" s="5">
        <f>VLOOKUP(P$1&amp;$A183,배당편집!$M$2:$T$2710,8,FALSE)</f>
        <v>0.10286313147852999</v>
      </c>
      <c r="Q183" s="5">
        <f>VLOOKUP(Q$1&amp;$A183,배당편집!$M$2:$T$2710,8,FALSE)</f>
        <v>0.15811517561929445</v>
      </c>
      <c r="R183" s="5">
        <f>VLOOKUP(R$1&amp;$A183,배당편집!$M$2:$T$2710,8,FALSE)</f>
        <v>1.6402190778280978E-2</v>
      </c>
      <c r="S183" s="5">
        <f>VLOOKUP(S$1&amp;$A183,배당편집!$M$2:$T$2710,8,FALSE)</f>
        <v>4.7077851775166879E-2</v>
      </c>
      <c r="T183" s="5">
        <f>VLOOKUP(T$1&amp;$A183,배당편집!$M$2:$T$2710,8,FALSE)</f>
        <v>0.10438362870438156</v>
      </c>
      <c r="U183" s="5" t="e">
        <f>VLOOKUP(U$1&amp;$A183,배당편집!$M$2:$T$2710,8,FALSE)</f>
        <v>#N/A</v>
      </c>
      <c r="V183" s="5">
        <f>VLOOKUP(V$1&amp;$A183,배당편집!$M$2:$T$2710,8,FALSE)</f>
        <v>8.9976987048345336E-2</v>
      </c>
      <c r="W183" s="5">
        <f>VLOOKUP(W$1&amp;$A183,배당편집!$M$2:$T$2710,8,FALSE)</f>
        <v>0.71877192758747888</v>
      </c>
      <c r="X183" s="5">
        <f>VLOOKUP(X$1&amp;$A183,배당편집!$M$2:$T$2710,8,FALSE)</f>
        <v>3.5485788455905221E-2</v>
      </c>
      <c r="Y183" s="5">
        <f>VLOOKUP(Y$1&amp;$A183,배당편집!$M$2:$T$2710,8,FALSE)</f>
        <v>7.6316922514810814E-2</v>
      </c>
      <c r="Z183" s="5">
        <f>VLOOKUP(Z$1&amp;$A183,배당편집!$M$2:$T$2710,8,FALSE)</f>
        <v>5.9223841048812176E-2</v>
      </c>
      <c r="AA183" s="5">
        <f>VLOOKUP(AA$1&amp;$A183,배당편집!$M$2:$T$2710,8,FALSE)</f>
        <v>0.18126018804310839</v>
      </c>
      <c r="AB183" s="5">
        <f>VLOOKUP(AB$1&amp;$A183,배당편집!$M$2:$T$2710,8,FALSE)</f>
        <v>7.0337013879057109E-2</v>
      </c>
      <c r="AC183" s="5">
        <f>VLOOKUP(AC$1&amp;$A183,배당편집!$M$2:$T$2710,8,FALSE)</f>
        <v>7.0429496933102076E-3</v>
      </c>
      <c r="AD183" s="5">
        <f>VLOOKUP(AD$1&amp;$A183,배당편집!$M$2:$T$2710,8,FALSE)</f>
        <v>0.1486983549970351</v>
      </c>
      <c r="AE183" s="5">
        <f>VLOOKUP(AE$1&amp;$A183,배당편집!$M$2:$T$2710,8,FALSE)</f>
        <v>3.7137289336648172E-2</v>
      </c>
      <c r="AF183" s="5">
        <f>VLOOKUP(AF$1&amp;$A183,배당편집!$M$2:$T$2710,8,FALSE)</f>
        <v>6.5044102740563714E-2</v>
      </c>
    </row>
    <row r="184" spans="1:32" ht="16.5" customHeight="1">
      <c r="A184" s="3">
        <v>2007</v>
      </c>
      <c r="B184" s="3">
        <v>3</v>
      </c>
      <c r="C184" s="5">
        <f>VLOOKUP(C$1&amp;$A184,배당편집!$M$2:$T$2710,8,FALSE)</f>
        <v>0.16412264748274419</v>
      </c>
      <c r="D184" s="5">
        <f>VLOOKUP(D$1&amp;$A184,배당편집!$M$2:$T$2710,8,FALSE)</f>
        <v>7.2145025900850923E-2</v>
      </c>
      <c r="E184" s="5">
        <f>VLOOKUP(E$1&amp;$A184,배당편집!$M$2:$T$2710,8,FALSE)</f>
        <v>0.20112443398143132</v>
      </c>
      <c r="F184" s="5">
        <f>VLOOKUP(F$1&amp;$A184,배당편집!$M$2:$T$2710,8,FALSE)</f>
        <v>4.5639552591273169E-2</v>
      </c>
      <c r="G184" s="5">
        <f>VLOOKUP(G$1&amp;$A184,배당편집!$M$2:$T$2710,8,FALSE)</f>
        <v>6.8278353688437932E-2</v>
      </c>
      <c r="H184" s="5">
        <f>VLOOKUP(H$1&amp;$A184,배당편집!$M$2:$T$2710,8,FALSE)</f>
        <v>8.2398196229486853E-2</v>
      </c>
      <c r="I184" s="5">
        <f>VLOOKUP(I$1&amp;$A184,배당편집!$M$2:$T$2710,8,FALSE)</f>
        <v>3.2324379535307868E-2</v>
      </c>
      <c r="J184" s="5">
        <f>VLOOKUP(J$1&amp;$A184,배당편집!$M$2:$T$2710,8,FALSE)</f>
        <v>3.5075369861429451E-2</v>
      </c>
      <c r="K184" s="5">
        <f>VLOOKUP(K$1&amp;$A184,배당편집!$M$2:$T$2710,8,FALSE)</f>
        <v>0.11382417860287908</v>
      </c>
      <c r="L184" s="5">
        <f>VLOOKUP(L$1&amp;$A184,배당편집!$M$2:$T$2710,8,FALSE)</f>
        <v>0.1486983549970351</v>
      </c>
      <c r="M184" s="5">
        <f>VLOOKUP(M$1&amp;$A184,배당편집!$M$2:$T$2710,8,FALSE)</f>
        <v>0.13806042630985371</v>
      </c>
      <c r="N184" s="5">
        <f>VLOOKUP(N$1&amp;$A184,배당편집!$M$2:$T$2710,8,FALSE)</f>
        <v>6.2618858899870622E-2</v>
      </c>
      <c r="O184" s="5">
        <f>VLOOKUP(O$1&amp;$A184,배당편집!$M$2:$T$2710,8,FALSE)</f>
        <v>0.13697448881013807</v>
      </c>
      <c r="P184" s="5">
        <f>VLOOKUP(P$1&amp;$A184,배당편집!$M$2:$T$2710,8,FALSE)</f>
        <v>0.10286313147852999</v>
      </c>
      <c r="Q184" s="5">
        <f>VLOOKUP(Q$1&amp;$A184,배당편집!$M$2:$T$2710,8,FALSE)</f>
        <v>0.15811517561929445</v>
      </c>
      <c r="R184" s="5">
        <f>VLOOKUP(R$1&amp;$A184,배당편집!$M$2:$T$2710,8,FALSE)</f>
        <v>1.6402190778280978E-2</v>
      </c>
      <c r="S184" s="5">
        <f>VLOOKUP(S$1&amp;$A184,배당편집!$M$2:$T$2710,8,FALSE)</f>
        <v>4.7077851775166879E-2</v>
      </c>
      <c r="T184" s="5">
        <f>VLOOKUP(T$1&amp;$A184,배당편집!$M$2:$T$2710,8,FALSE)</f>
        <v>0.10438362870438156</v>
      </c>
      <c r="U184" s="5" t="e">
        <f>VLOOKUP(U$1&amp;$A184,배당편집!$M$2:$T$2710,8,FALSE)</f>
        <v>#N/A</v>
      </c>
      <c r="V184" s="5">
        <f>VLOOKUP(V$1&amp;$A184,배당편집!$M$2:$T$2710,8,FALSE)</f>
        <v>8.9976987048345336E-2</v>
      </c>
      <c r="W184" s="5">
        <f>VLOOKUP(W$1&amp;$A184,배당편집!$M$2:$T$2710,8,FALSE)</f>
        <v>0.71877192758747888</v>
      </c>
      <c r="X184" s="5">
        <f>VLOOKUP(X$1&amp;$A184,배당편집!$M$2:$T$2710,8,FALSE)</f>
        <v>3.5485788455905221E-2</v>
      </c>
      <c r="Y184" s="5">
        <f>VLOOKUP(Y$1&amp;$A184,배당편집!$M$2:$T$2710,8,FALSE)</f>
        <v>7.6316922514810814E-2</v>
      </c>
      <c r="Z184" s="5">
        <f>VLOOKUP(Z$1&amp;$A184,배당편집!$M$2:$T$2710,8,FALSE)</f>
        <v>5.9223841048812176E-2</v>
      </c>
      <c r="AA184" s="5">
        <f>VLOOKUP(AA$1&amp;$A184,배당편집!$M$2:$T$2710,8,FALSE)</f>
        <v>0.18126018804310839</v>
      </c>
      <c r="AB184" s="5">
        <f>VLOOKUP(AB$1&amp;$A184,배당편집!$M$2:$T$2710,8,FALSE)</f>
        <v>7.0337013879057109E-2</v>
      </c>
      <c r="AC184" s="5">
        <f>VLOOKUP(AC$1&amp;$A184,배당편집!$M$2:$T$2710,8,FALSE)</f>
        <v>7.0429496933102076E-3</v>
      </c>
      <c r="AD184" s="5">
        <f>VLOOKUP(AD$1&amp;$A184,배당편집!$M$2:$T$2710,8,FALSE)</f>
        <v>0.1486983549970351</v>
      </c>
      <c r="AE184" s="5">
        <f>VLOOKUP(AE$1&amp;$A184,배당편집!$M$2:$T$2710,8,FALSE)</f>
        <v>3.7137289336648172E-2</v>
      </c>
      <c r="AF184" s="5">
        <f>VLOOKUP(AF$1&amp;$A184,배당편집!$M$2:$T$2710,8,FALSE)</f>
        <v>6.5044102740563714E-2</v>
      </c>
    </row>
    <row r="185" spans="1:32" ht="16.5" customHeight="1">
      <c r="A185" s="3">
        <v>2007</v>
      </c>
      <c r="B185" s="3">
        <v>4</v>
      </c>
      <c r="C185" s="5">
        <f>VLOOKUP(C$1&amp;$A185,배당편집!$M$2:$T$2710,8,FALSE)</f>
        <v>0.16412264748274419</v>
      </c>
      <c r="D185" s="5">
        <f>VLOOKUP(D$1&amp;$A185,배당편집!$M$2:$T$2710,8,FALSE)</f>
        <v>7.2145025900850923E-2</v>
      </c>
      <c r="E185" s="5">
        <f>VLOOKUP(E$1&amp;$A185,배당편집!$M$2:$T$2710,8,FALSE)</f>
        <v>0.20112443398143132</v>
      </c>
      <c r="F185" s="5">
        <f>VLOOKUP(F$1&amp;$A185,배당편집!$M$2:$T$2710,8,FALSE)</f>
        <v>4.5639552591273169E-2</v>
      </c>
      <c r="G185" s="5">
        <f>VLOOKUP(G$1&amp;$A185,배당편집!$M$2:$T$2710,8,FALSE)</f>
        <v>6.8278353688437932E-2</v>
      </c>
      <c r="H185" s="5">
        <f>VLOOKUP(H$1&amp;$A185,배당편집!$M$2:$T$2710,8,FALSE)</f>
        <v>8.2398196229486853E-2</v>
      </c>
      <c r="I185" s="5">
        <f>VLOOKUP(I$1&amp;$A185,배당편집!$M$2:$T$2710,8,FALSE)</f>
        <v>3.2324379535307868E-2</v>
      </c>
      <c r="J185" s="5">
        <f>VLOOKUP(J$1&amp;$A185,배당편집!$M$2:$T$2710,8,FALSE)</f>
        <v>3.5075369861429451E-2</v>
      </c>
      <c r="K185" s="5">
        <f>VLOOKUP(K$1&amp;$A185,배당편집!$M$2:$T$2710,8,FALSE)</f>
        <v>0.11382417860287908</v>
      </c>
      <c r="L185" s="5">
        <f>VLOOKUP(L$1&amp;$A185,배당편집!$M$2:$T$2710,8,FALSE)</f>
        <v>0.1486983549970351</v>
      </c>
      <c r="M185" s="5">
        <f>VLOOKUP(M$1&amp;$A185,배당편집!$M$2:$T$2710,8,FALSE)</f>
        <v>0.13806042630985371</v>
      </c>
      <c r="N185" s="5">
        <f>VLOOKUP(N$1&amp;$A185,배당편집!$M$2:$T$2710,8,FALSE)</f>
        <v>6.2618858899870622E-2</v>
      </c>
      <c r="O185" s="5">
        <f>VLOOKUP(O$1&amp;$A185,배당편집!$M$2:$T$2710,8,FALSE)</f>
        <v>0.13697448881013807</v>
      </c>
      <c r="P185" s="5">
        <f>VLOOKUP(P$1&amp;$A185,배당편집!$M$2:$T$2710,8,FALSE)</f>
        <v>0.10286313147852999</v>
      </c>
      <c r="Q185" s="5">
        <f>VLOOKUP(Q$1&amp;$A185,배당편집!$M$2:$T$2710,8,FALSE)</f>
        <v>0.15811517561929445</v>
      </c>
      <c r="R185" s="5">
        <f>VLOOKUP(R$1&amp;$A185,배당편집!$M$2:$T$2710,8,FALSE)</f>
        <v>1.6402190778280978E-2</v>
      </c>
      <c r="S185" s="5">
        <f>VLOOKUP(S$1&amp;$A185,배당편집!$M$2:$T$2710,8,FALSE)</f>
        <v>4.7077851775166879E-2</v>
      </c>
      <c r="T185" s="5">
        <f>VLOOKUP(T$1&amp;$A185,배당편집!$M$2:$T$2710,8,FALSE)</f>
        <v>0.10438362870438156</v>
      </c>
      <c r="U185" s="5" t="e">
        <f>VLOOKUP(U$1&amp;$A185,배당편집!$M$2:$T$2710,8,FALSE)</f>
        <v>#N/A</v>
      </c>
      <c r="V185" s="5">
        <f>VLOOKUP(V$1&amp;$A185,배당편집!$M$2:$T$2710,8,FALSE)</f>
        <v>8.9976987048345336E-2</v>
      </c>
      <c r="W185" s="5">
        <f>VLOOKUP(W$1&amp;$A185,배당편집!$M$2:$T$2710,8,FALSE)</f>
        <v>0.71877192758747888</v>
      </c>
      <c r="X185" s="5">
        <f>VLOOKUP(X$1&amp;$A185,배당편집!$M$2:$T$2710,8,FALSE)</f>
        <v>3.5485788455905221E-2</v>
      </c>
      <c r="Y185" s="5">
        <f>VLOOKUP(Y$1&amp;$A185,배당편집!$M$2:$T$2710,8,FALSE)</f>
        <v>7.6316922514810814E-2</v>
      </c>
      <c r="Z185" s="5">
        <f>VLOOKUP(Z$1&amp;$A185,배당편집!$M$2:$T$2710,8,FALSE)</f>
        <v>5.9223841048812176E-2</v>
      </c>
      <c r="AA185" s="5">
        <f>VLOOKUP(AA$1&amp;$A185,배당편집!$M$2:$T$2710,8,FALSE)</f>
        <v>0.18126018804310839</v>
      </c>
      <c r="AB185" s="5">
        <f>VLOOKUP(AB$1&amp;$A185,배당편집!$M$2:$T$2710,8,FALSE)</f>
        <v>7.0337013879057109E-2</v>
      </c>
      <c r="AC185" s="5">
        <f>VLOOKUP(AC$1&amp;$A185,배당편집!$M$2:$T$2710,8,FALSE)</f>
        <v>7.0429496933102076E-3</v>
      </c>
      <c r="AD185" s="5">
        <f>VLOOKUP(AD$1&amp;$A185,배당편집!$M$2:$T$2710,8,FALSE)</f>
        <v>0.1486983549970351</v>
      </c>
      <c r="AE185" s="5">
        <f>VLOOKUP(AE$1&amp;$A185,배당편집!$M$2:$T$2710,8,FALSE)</f>
        <v>3.7137289336648172E-2</v>
      </c>
      <c r="AF185" s="5">
        <f>VLOOKUP(AF$1&amp;$A185,배당편집!$M$2:$T$2710,8,FALSE)</f>
        <v>6.5044102740563714E-2</v>
      </c>
    </row>
    <row r="186" spans="1:32" ht="16.5" customHeight="1">
      <c r="A186" s="3">
        <v>2007</v>
      </c>
      <c r="B186" s="3">
        <v>5</v>
      </c>
      <c r="C186" s="5">
        <f>VLOOKUP(C$1&amp;$A186,배당편집!$M$2:$T$2710,8,FALSE)</f>
        <v>0.16412264748274419</v>
      </c>
      <c r="D186" s="5">
        <f>VLOOKUP(D$1&amp;$A186,배당편집!$M$2:$T$2710,8,FALSE)</f>
        <v>7.2145025900850923E-2</v>
      </c>
      <c r="E186" s="5">
        <f>VLOOKUP(E$1&amp;$A186,배당편집!$M$2:$T$2710,8,FALSE)</f>
        <v>0.20112443398143132</v>
      </c>
      <c r="F186" s="5">
        <f>VLOOKUP(F$1&amp;$A186,배당편집!$M$2:$T$2710,8,FALSE)</f>
        <v>4.5639552591273169E-2</v>
      </c>
      <c r="G186" s="5">
        <f>VLOOKUP(G$1&amp;$A186,배당편집!$M$2:$T$2710,8,FALSE)</f>
        <v>6.8278353688437932E-2</v>
      </c>
      <c r="H186" s="5">
        <f>VLOOKUP(H$1&amp;$A186,배당편집!$M$2:$T$2710,8,FALSE)</f>
        <v>8.2398196229486853E-2</v>
      </c>
      <c r="I186" s="5">
        <f>VLOOKUP(I$1&amp;$A186,배당편집!$M$2:$T$2710,8,FALSE)</f>
        <v>3.2324379535307868E-2</v>
      </c>
      <c r="J186" s="5">
        <f>VLOOKUP(J$1&amp;$A186,배당편집!$M$2:$T$2710,8,FALSE)</f>
        <v>3.5075369861429451E-2</v>
      </c>
      <c r="K186" s="5">
        <f>VLOOKUP(K$1&amp;$A186,배당편집!$M$2:$T$2710,8,FALSE)</f>
        <v>0.11382417860287908</v>
      </c>
      <c r="L186" s="5">
        <f>VLOOKUP(L$1&amp;$A186,배당편집!$M$2:$T$2710,8,FALSE)</f>
        <v>0.1486983549970351</v>
      </c>
      <c r="M186" s="5">
        <f>VLOOKUP(M$1&amp;$A186,배당편집!$M$2:$T$2710,8,FALSE)</f>
        <v>0.13806042630985371</v>
      </c>
      <c r="N186" s="5">
        <f>VLOOKUP(N$1&amp;$A186,배당편집!$M$2:$T$2710,8,FALSE)</f>
        <v>6.2618858899870622E-2</v>
      </c>
      <c r="O186" s="5">
        <f>VLOOKUP(O$1&amp;$A186,배당편집!$M$2:$T$2710,8,FALSE)</f>
        <v>0.13697448881013807</v>
      </c>
      <c r="P186" s="5">
        <f>VLOOKUP(P$1&amp;$A186,배당편집!$M$2:$T$2710,8,FALSE)</f>
        <v>0.10286313147852999</v>
      </c>
      <c r="Q186" s="5">
        <f>VLOOKUP(Q$1&amp;$A186,배당편집!$M$2:$T$2710,8,FALSE)</f>
        <v>0.15811517561929445</v>
      </c>
      <c r="R186" s="5">
        <f>VLOOKUP(R$1&amp;$A186,배당편집!$M$2:$T$2710,8,FALSE)</f>
        <v>1.6402190778280978E-2</v>
      </c>
      <c r="S186" s="5">
        <f>VLOOKUP(S$1&amp;$A186,배당편집!$M$2:$T$2710,8,FALSE)</f>
        <v>4.7077851775166879E-2</v>
      </c>
      <c r="T186" s="5">
        <f>VLOOKUP(T$1&amp;$A186,배당편집!$M$2:$T$2710,8,FALSE)</f>
        <v>0.10438362870438156</v>
      </c>
      <c r="U186" s="5" t="e">
        <f>VLOOKUP(U$1&amp;$A186,배당편집!$M$2:$T$2710,8,FALSE)</f>
        <v>#N/A</v>
      </c>
      <c r="V186" s="5">
        <f>VLOOKUP(V$1&amp;$A186,배당편집!$M$2:$T$2710,8,FALSE)</f>
        <v>8.9976987048345336E-2</v>
      </c>
      <c r="W186" s="5">
        <f>VLOOKUP(W$1&amp;$A186,배당편집!$M$2:$T$2710,8,FALSE)</f>
        <v>0.71877192758747888</v>
      </c>
      <c r="X186" s="5">
        <f>VLOOKUP(X$1&amp;$A186,배당편집!$M$2:$T$2710,8,FALSE)</f>
        <v>3.5485788455905221E-2</v>
      </c>
      <c r="Y186" s="5">
        <f>VLOOKUP(Y$1&amp;$A186,배당편집!$M$2:$T$2710,8,FALSE)</f>
        <v>7.6316922514810814E-2</v>
      </c>
      <c r="Z186" s="5">
        <f>VLOOKUP(Z$1&amp;$A186,배당편집!$M$2:$T$2710,8,FALSE)</f>
        <v>5.9223841048812176E-2</v>
      </c>
      <c r="AA186" s="5">
        <f>VLOOKUP(AA$1&amp;$A186,배당편집!$M$2:$T$2710,8,FALSE)</f>
        <v>0.18126018804310839</v>
      </c>
      <c r="AB186" s="5">
        <f>VLOOKUP(AB$1&amp;$A186,배당편집!$M$2:$T$2710,8,FALSE)</f>
        <v>7.0337013879057109E-2</v>
      </c>
      <c r="AC186" s="5">
        <f>VLOOKUP(AC$1&amp;$A186,배당편집!$M$2:$T$2710,8,FALSE)</f>
        <v>7.0429496933102076E-3</v>
      </c>
      <c r="AD186" s="5">
        <f>VLOOKUP(AD$1&amp;$A186,배당편집!$M$2:$T$2710,8,FALSE)</f>
        <v>0.1486983549970351</v>
      </c>
      <c r="AE186" s="5">
        <f>VLOOKUP(AE$1&amp;$A186,배당편집!$M$2:$T$2710,8,FALSE)</f>
        <v>3.7137289336648172E-2</v>
      </c>
      <c r="AF186" s="5">
        <f>VLOOKUP(AF$1&amp;$A186,배당편집!$M$2:$T$2710,8,FALSE)</f>
        <v>6.5044102740563714E-2</v>
      </c>
    </row>
    <row r="187" spans="1:32" ht="16.5" customHeight="1">
      <c r="A187" s="3">
        <v>2007</v>
      </c>
      <c r="B187" s="3">
        <v>6</v>
      </c>
      <c r="C187" s="5">
        <f>VLOOKUP(C$1&amp;$A187,배당편집!$M$2:$T$2710,8,FALSE)</f>
        <v>0.16412264748274419</v>
      </c>
      <c r="D187" s="5">
        <f>VLOOKUP(D$1&amp;$A187,배당편집!$M$2:$T$2710,8,FALSE)</f>
        <v>7.2145025900850923E-2</v>
      </c>
      <c r="E187" s="5">
        <f>VLOOKUP(E$1&amp;$A187,배당편집!$M$2:$T$2710,8,FALSE)</f>
        <v>0.20112443398143132</v>
      </c>
      <c r="F187" s="5">
        <f>VLOOKUP(F$1&amp;$A187,배당편집!$M$2:$T$2710,8,FALSE)</f>
        <v>4.5639552591273169E-2</v>
      </c>
      <c r="G187" s="5">
        <f>VLOOKUP(G$1&amp;$A187,배당편집!$M$2:$T$2710,8,FALSE)</f>
        <v>6.8278353688437932E-2</v>
      </c>
      <c r="H187" s="5">
        <f>VLOOKUP(H$1&amp;$A187,배당편집!$M$2:$T$2710,8,FALSE)</f>
        <v>8.2398196229486853E-2</v>
      </c>
      <c r="I187" s="5">
        <f>VLOOKUP(I$1&amp;$A187,배당편집!$M$2:$T$2710,8,FALSE)</f>
        <v>3.2324379535307868E-2</v>
      </c>
      <c r="J187" s="5">
        <f>VLOOKUP(J$1&amp;$A187,배당편집!$M$2:$T$2710,8,FALSE)</f>
        <v>3.5075369861429451E-2</v>
      </c>
      <c r="K187" s="5">
        <f>VLOOKUP(K$1&amp;$A187,배당편집!$M$2:$T$2710,8,FALSE)</f>
        <v>0.11382417860287908</v>
      </c>
      <c r="L187" s="5">
        <f>VLOOKUP(L$1&amp;$A187,배당편집!$M$2:$T$2710,8,FALSE)</f>
        <v>0.1486983549970351</v>
      </c>
      <c r="M187" s="5">
        <f>VLOOKUP(M$1&amp;$A187,배당편집!$M$2:$T$2710,8,FALSE)</f>
        <v>0.13806042630985371</v>
      </c>
      <c r="N187" s="5">
        <f>VLOOKUP(N$1&amp;$A187,배당편집!$M$2:$T$2710,8,FALSE)</f>
        <v>6.2618858899870622E-2</v>
      </c>
      <c r="O187" s="5">
        <f>VLOOKUP(O$1&amp;$A187,배당편집!$M$2:$T$2710,8,FALSE)</f>
        <v>0.13697448881013807</v>
      </c>
      <c r="P187" s="5">
        <f>VLOOKUP(P$1&amp;$A187,배당편집!$M$2:$T$2710,8,FALSE)</f>
        <v>0.10286313147852999</v>
      </c>
      <c r="Q187" s="5">
        <f>VLOOKUP(Q$1&amp;$A187,배당편집!$M$2:$T$2710,8,FALSE)</f>
        <v>0.15811517561929445</v>
      </c>
      <c r="R187" s="5">
        <f>VLOOKUP(R$1&amp;$A187,배당편집!$M$2:$T$2710,8,FALSE)</f>
        <v>1.6402190778280978E-2</v>
      </c>
      <c r="S187" s="5">
        <f>VLOOKUP(S$1&amp;$A187,배당편집!$M$2:$T$2710,8,FALSE)</f>
        <v>4.7077851775166879E-2</v>
      </c>
      <c r="T187" s="5">
        <f>VLOOKUP(T$1&amp;$A187,배당편집!$M$2:$T$2710,8,FALSE)</f>
        <v>0.10438362870438156</v>
      </c>
      <c r="U187" s="5" t="e">
        <f>VLOOKUP(U$1&amp;$A187,배당편집!$M$2:$T$2710,8,FALSE)</f>
        <v>#N/A</v>
      </c>
      <c r="V187" s="5">
        <f>VLOOKUP(V$1&amp;$A187,배당편집!$M$2:$T$2710,8,FALSE)</f>
        <v>8.9976987048345336E-2</v>
      </c>
      <c r="W187" s="5">
        <f>VLOOKUP(W$1&amp;$A187,배당편집!$M$2:$T$2710,8,FALSE)</f>
        <v>0.71877192758747888</v>
      </c>
      <c r="X187" s="5">
        <f>VLOOKUP(X$1&amp;$A187,배당편집!$M$2:$T$2710,8,FALSE)</f>
        <v>3.5485788455905221E-2</v>
      </c>
      <c r="Y187" s="5">
        <f>VLOOKUP(Y$1&amp;$A187,배당편집!$M$2:$T$2710,8,FALSE)</f>
        <v>7.6316922514810814E-2</v>
      </c>
      <c r="Z187" s="5">
        <f>VLOOKUP(Z$1&amp;$A187,배당편집!$M$2:$T$2710,8,FALSE)</f>
        <v>5.9223841048812176E-2</v>
      </c>
      <c r="AA187" s="5">
        <f>VLOOKUP(AA$1&amp;$A187,배당편집!$M$2:$T$2710,8,FALSE)</f>
        <v>0.18126018804310839</v>
      </c>
      <c r="AB187" s="5">
        <f>VLOOKUP(AB$1&amp;$A187,배당편집!$M$2:$T$2710,8,FALSE)</f>
        <v>7.0337013879057109E-2</v>
      </c>
      <c r="AC187" s="5">
        <f>VLOOKUP(AC$1&amp;$A187,배당편집!$M$2:$T$2710,8,FALSE)</f>
        <v>7.0429496933102076E-3</v>
      </c>
      <c r="AD187" s="5">
        <f>VLOOKUP(AD$1&amp;$A187,배당편집!$M$2:$T$2710,8,FALSE)</f>
        <v>0.1486983549970351</v>
      </c>
      <c r="AE187" s="5">
        <f>VLOOKUP(AE$1&amp;$A187,배당편집!$M$2:$T$2710,8,FALSE)</f>
        <v>3.7137289336648172E-2</v>
      </c>
      <c r="AF187" s="5">
        <f>VLOOKUP(AF$1&amp;$A187,배당편집!$M$2:$T$2710,8,FALSE)</f>
        <v>6.5044102740563714E-2</v>
      </c>
    </row>
    <row r="188" spans="1:32" ht="16.5" customHeight="1">
      <c r="A188" s="3">
        <v>2007</v>
      </c>
      <c r="B188" s="3">
        <v>7</v>
      </c>
      <c r="C188" s="5">
        <f>VLOOKUP(C$1&amp;$A188,배당편집!$M$2:$T$2710,8,FALSE)</f>
        <v>0.16412264748274419</v>
      </c>
      <c r="D188" s="5">
        <f>VLOOKUP(D$1&amp;$A188,배당편집!$M$2:$T$2710,8,FALSE)</f>
        <v>7.2145025900850923E-2</v>
      </c>
      <c r="E188" s="5">
        <f>VLOOKUP(E$1&amp;$A188,배당편집!$M$2:$T$2710,8,FALSE)</f>
        <v>0.20112443398143132</v>
      </c>
      <c r="F188" s="5">
        <f>VLOOKUP(F$1&amp;$A188,배당편집!$M$2:$T$2710,8,FALSE)</f>
        <v>4.5639552591273169E-2</v>
      </c>
      <c r="G188" s="5">
        <f>VLOOKUP(G$1&amp;$A188,배당편집!$M$2:$T$2710,8,FALSE)</f>
        <v>6.8278353688437932E-2</v>
      </c>
      <c r="H188" s="5">
        <f>VLOOKUP(H$1&amp;$A188,배당편집!$M$2:$T$2710,8,FALSE)</f>
        <v>8.2398196229486853E-2</v>
      </c>
      <c r="I188" s="5">
        <f>VLOOKUP(I$1&amp;$A188,배당편집!$M$2:$T$2710,8,FALSE)</f>
        <v>3.2324379535307868E-2</v>
      </c>
      <c r="J188" s="5">
        <f>VLOOKUP(J$1&amp;$A188,배당편집!$M$2:$T$2710,8,FALSE)</f>
        <v>3.5075369861429451E-2</v>
      </c>
      <c r="K188" s="5">
        <f>VLOOKUP(K$1&amp;$A188,배당편집!$M$2:$T$2710,8,FALSE)</f>
        <v>0.11382417860287908</v>
      </c>
      <c r="L188" s="5">
        <f>VLOOKUP(L$1&amp;$A188,배당편집!$M$2:$T$2710,8,FALSE)</f>
        <v>0.1486983549970351</v>
      </c>
      <c r="M188" s="5">
        <f>VLOOKUP(M$1&amp;$A188,배당편집!$M$2:$T$2710,8,FALSE)</f>
        <v>0.13806042630985371</v>
      </c>
      <c r="N188" s="5">
        <f>VLOOKUP(N$1&amp;$A188,배당편집!$M$2:$T$2710,8,FALSE)</f>
        <v>6.2618858899870622E-2</v>
      </c>
      <c r="O188" s="5">
        <f>VLOOKUP(O$1&amp;$A188,배당편집!$M$2:$T$2710,8,FALSE)</f>
        <v>0.13697448881013807</v>
      </c>
      <c r="P188" s="5">
        <f>VLOOKUP(P$1&amp;$A188,배당편집!$M$2:$T$2710,8,FALSE)</f>
        <v>0.10286313147852999</v>
      </c>
      <c r="Q188" s="5">
        <f>VLOOKUP(Q$1&amp;$A188,배당편집!$M$2:$T$2710,8,FALSE)</f>
        <v>0.15811517561929445</v>
      </c>
      <c r="R188" s="5">
        <f>VLOOKUP(R$1&amp;$A188,배당편집!$M$2:$T$2710,8,FALSE)</f>
        <v>1.6402190778280978E-2</v>
      </c>
      <c r="S188" s="5">
        <f>VLOOKUP(S$1&amp;$A188,배당편집!$M$2:$T$2710,8,FALSE)</f>
        <v>4.7077851775166879E-2</v>
      </c>
      <c r="T188" s="5">
        <f>VLOOKUP(T$1&amp;$A188,배당편집!$M$2:$T$2710,8,FALSE)</f>
        <v>0.10438362870438156</v>
      </c>
      <c r="U188" s="5" t="e">
        <f>VLOOKUP(U$1&amp;$A188,배당편집!$M$2:$T$2710,8,FALSE)</f>
        <v>#N/A</v>
      </c>
      <c r="V188" s="5">
        <f>VLOOKUP(V$1&amp;$A188,배당편집!$M$2:$T$2710,8,FALSE)</f>
        <v>8.9976987048345336E-2</v>
      </c>
      <c r="W188" s="5">
        <f>VLOOKUP(W$1&amp;$A188,배당편집!$M$2:$T$2710,8,FALSE)</f>
        <v>0.71877192758747888</v>
      </c>
      <c r="X188" s="5">
        <f>VLOOKUP(X$1&amp;$A188,배당편집!$M$2:$T$2710,8,FALSE)</f>
        <v>3.5485788455905221E-2</v>
      </c>
      <c r="Y188" s="5">
        <f>VLOOKUP(Y$1&amp;$A188,배당편집!$M$2:$T$2710,8,FALSE)</f>
        <v>7.6316922514810814E-2</v>
      </c>
      <c r="Z188" s="5">
        <f>VLOOKUP(Z$1&amp;$A188,배당편집!$M$2:$T$2710,8,FALSE)</f>
        <v>5.9223841048812176E-2</v>
      </c>
      <c r="AA188" s="5">
        <f>VLOOKUP(AA$1&amp;$A188,배당편집!$M$2:$T$2710,8,FALSE)</f>
        <v>0.18126018804310839</v>
      </c>
      <c r="AB188" s="5">
        <f>VLOOKUP(AB$1&amp;$A188,배당편집!$M$2:$T$2710,8,FALSE)</f>
        <v>7.0337013879057109E-2</v>
      </c>
      <c r="AC188" s="5">
        <f>VLOOKUP(AC$1&amp;$A188,배당편집!$M$2:$T$2710,8,FALSE)</f>
        <v>7.0429496933102076E-3</v>
      </c>
      <c r="AD188" s="5">
        <f>VLOOKUP(AD$1&amp;$A188,배당편집!$M$2:$T$2710,8,FALSE)</f>
        <v>0.1486983549970351</v>
      </c>
      <c r="AE188" s="5">
        <f>VLOOKUP(AE$1&amp;$A188,배당편집!$M$2:$T$2710,8,FALSE)</f>
        <v>3.7137289336648172E-2</v>
      </c>
      <c r="AF188" s="5">
        <f>VLOOKUP(AF$1&amp;$A188,배당편집!$M$2:$T$2710,8,FALSE)</f>
        <v>6.5044102740563714E-2</v>
      </c>
    </row>
    <row r="189" spans="1:32" ht="16.5" customHeight="1">
      <c r="A189" s="3">
        <v>2007</v>
      </c>
      <c r="B189" s="3">
        <v>8</v>
      </c>
      <c r="C189" s="5">
        <f>VLOOKUP(C$1&amp;$A189,배당편집!$M$2:$T$2710,8,FALSE)</f>
        <v>0.16412264748274419</v>
      </c>
      <c r="D189" s="5">
        <f>VLOOKUP(D$1&amp;$A189,배당편집!$M$2:$T$2710,8,FALSE)</f>
        <v>7.2145025900850923E-2</v>
      </c>
      <c r="E189" s="5">
        <f>VLOOKUP(E$1&amp;$A189,배당편집!$M$2:$T$2710,8,FALSE)</f>
        <v>0.20112443398143132</v>
      </c>
      <c r="F189" s="5">
        <f>VLOOKUP(F$1&amp;$A189,배당편집!$M$2:$T$2710,8,FALSE)</f>
        <v>4.5639552591273169E-2</v>
      </c>
      <c r="G189" s="5">
        <f>VLOOKUP(G$1&amp;$A189,배당편집!$M$2:$T$2710,8,FALSE)</f>
        <v>6.8278353688437932E-2</v>
      </c>
      <c r="H189" s="5">
        <f>VLOOKUP(H$1&amp;$A189,배당편집!$M$2:$T$2710,8,FALSE)</f>
        <v>8.2398196229486853E-2</v>
      </c>
      <c r="I189" s="5">
        <f>VLOOKUP(I$1&amp;$A189,배당편집!$M$2:$T$2710,8,FALSE)</f>
        <v>3.2324379535307868E-2</v>
      </c>
      <c r="J189" s="5">
        <f>VLOOKUP(J$1&amp;$A189,배당편집!$M$2:$T$2710,8,FALSE)</f>
        <v>3.5075369861429451E-2</v>
      </c>
      <c r="K189" s="5">
        <f>VLOOKUP(K$1&amp;$A189,배당편집!$M$2:$T$2710,8,FALSE)</f>
        <v>0.11382417860287908</v>
      </c>
      <c r="L189" s="5">
        <f>VLOOKUP(L$1&amp;$A189,배당편집!$M$2:$T$2710,8,FALSE)</f>
        <v>0.1486983549970351</v>
      </c>
      <c r="M189" s="5">
        <f>VLOOKUP(M$1&amp;$A189,배당편집!$M$2:$T$2710,8,FALSE)</f>
        <v>0.13806042630985371</v>
      </c>
      <c r="N189" s="5">
        <f>VLOOKUP(N$1&amp;$A189,배당편집!$M$2:$T$2710,8,FALSE)</f>
        <v>6.2618858899870622E-2</v>
      </c>
      <c r="O189" s="5">
        <f>VLOOKUP(O$1&amp;$A189,배당편집!$M$2:$T$2710,8,FALSE)</f>
        <v>0.13697448881013807</v>
      </c>
      <c r="P189" s="5">
        <f>VLOOKUP(P$1&amp;$A189,배당편집!$M$2:$T$2710,8,FALSE)</f>
        <v>0.10286313147852999</v>
      </c>
      <c r="Q189" s="5">
        <f>VLOOKUP(Q$1&amp;$A189,배당편집!$M$2:$T$2710,8,FALSE)</f>
        <v>0.15811517561929445</v>
      </c>
      <c r="R189" s="5">
        <f>VLOOKUP(R$1&amp;$A189,배당편집!$M$2:$T$2710,8,FALSE)</f>
        <v>1.6402190778280978E-2</v>
      </c>
      <c r="S189" s="5">
        <f>VLOOKUP(S$1&amp;$A189,배당편집!$M$2:$T$2710,8,FALSE)</f>
        <v>4.7077851775166879E-2</v>
      </c>
      <c r="T189" s="5">
        <f>VLOOKUP(T$1&amp;$A189,배당편집!$M$2:$T$2710,8,FALSE)</f>
        <v>0.10438362870438156</v>
      </c>
      <c r="U189" s="5" t="e">
        <f>VLOOKUP(U$1&amp;$A189,배당편집!$M$2:$T$2710,8,FALSE)</f>
        <v>#N/A</v>
      </c>
      <c r="V189" s="5">
        <f>VLOOKUP(V$1&amp;$A189,배당편집!$M$2:$T$2710,8,FALSE)</f>
        <v>8.9976987048345336E-2</v>
      </c>
      <c r="W189" s="5">
        <f>VLOOKUP(W$1&amp;$A189,배당편집!$M$2:$T$2710,8,FALSE)</f>
        <v>0.71877192758747888</v>
      </c>
      <c r="X189" s="5">
        <f>VLOOKUP(X$1&amp;$A189,배당편집!$M$2:$T$2710,8,FALSE)</f>
        <v>3.5485788455905221E-2</v>
      </c>
      <c r="Y189" s="5">
        <f>VLOOKUP(Y$1&amp;$A189,배당편집!$M$2:$T$2710,8,FALSE)</f>
        <v>7.6316922514810814E-2</v>
      </c>
      <c r="Z189" s="5">
        <f>VLOOKUP(Z$1&amp;$A189,배당편집!$M$2:$T$2710,8,FALSE)</f>
        <v>5.9223841048812176E-2</v>
      </c>
      <c r="AA189" s="5">
        <f>VLOOKUP(AA$1&amp;$A189,배당편집!$M$2:$T$2710,8,FALSE)</f>
        <v>0.18126018804310839</v>
      </c>
      <c r="AB189" s="5">
        <f>VLOOKUP(AB$1&amp;$A189,배당편집!$M$2:$T$2710,8,FALSE)</f>
        <v>7.0337013879057109E-2</v>
      </c>
      <c r="AC189" s="5">
        <f>VLOOKUP(AC$1&amp;$A189,배당편집!$M$2:$T$2710,8,FALSE)</f>
        <v>7.0429496933102076E-3</v>
      </c>
      <c r="AD189" s="5">
        <f>VLOOKUP(AD$1&amp;$A189,배당편집!$M$2:$T$2710,8,FALSE)</f>
        <v>0.1486983549970351</v>
      </c>
      <c r="AE189" s="5">
        <f>VLOOKUP(AE$1&amp;$A189,배당편집!$M$2:$T$2710,8,FALSE)</f>
        <v>3.7137289336648172E-2</v>
      </c>
      <c r="AF189" s="5">
        <f>VLOOKUP(AF$1&amp;$A189,배당편집!$M$2:$T$2710,8,FALSE)</f>
        <v>6.5044102740563714E-2</v>
      </c>
    </row>
    <row r="190" spans="1:32" ht="16.5" customHeight="1">
      <c r="A190" s="3">
        <v>2007</v>
      </c>
      <c r="B190" s="3">
        <v>9</v>
      </c>
      <c r="C190" s="5">
        <f>VLOOKUP(C$1&amp;$A190,배당편집!$M$2:$T$2710,8,FALSE)</f>
        <v>0.16412264748274419</v>
      </c>
      <c r="D190" s="5">
        <f>VLOOKUP(D$1&amp;$A190,배당편집!$M$2:$T$2710,8,FALSE)</f>
        <v>7.2145025900850923E-2</v>
      </c>
      <c r="E190" s="5">
        <f>VLOOKUP(E$1&amp;$A190,배당편집!$M$2:$T$2710,8,FALSE)</f>
        <v>0.20112443398143132</v>
      </c>
      <c r="F190" s="5">
        <f>VLOOKUP(F$1&amp;$A190,배당편집!$M$2:$T$2710,8,FALSE)</f>
        <v>4.5639552591273169E-2</v>
      </c>
      <c r="G190" s="5">
        <f>VLOOKUP(G$1&amp;$A190,배당편집!$M$2:$T$2710,8,FALSE)</f>
        <v>6.8278353688437932E-2</v>
      </c>
      <c r="H190" s="5">
        <f>VLOOKUP(H$1&amp;$A190,배당편집!$M$2:$T$2710,8,FALSE)</f>
        <v>8.2398196229486853E-2</v>
      </c>
      <c r="I190" s="5">
        <f>VLOOKUP(I$1&amp;$A190,배당편집!$M$2:$T$2710,8,FALSE)</f>
        <v>3.2324379535307868E-2</v>
      </c>
      <c r="J190" s="5">
        <f>VLOOKUP(J$1&amp;$A190,배당편집!$M$2:$T$2710,8,FALSE)</f>
        <v>3.5075369861429451E-2</v>
      </c>
      <c r="K190" s="5">
        <f>VLOOKUP(K$1&amp;$A190,배당편집!$M$2:$T$2710,8,FALSE)</f>
        <v>0.11382417860287908</v>
      </c>
      <c r="L190" s="5">
        <f>VLOOKUP(L$1&amp;$A190,배당편집!$M$2:$T$2710,8,FALSE)</f>
        <v>0.1486983549970351</v>
      </c>
      <c r="M190" s="5">
        <f>VLOOKUP(M$1&amp;$A190,배당편집!$M$2:$T$2710,8,FALSE)</f>
        <v>0.13806042630985371</v>
      </c>
      <c r="N190" s="5">
        <f>VLOOKUP(N$1&amp;$A190,배당편집!$M$2:$T$2710,8,FALSE)</f>
        <v>6.2618858899870622E-2</v>
      </c>
      <c r="O190" s="5">
        <f>VLOOKUP(O$1&amp;$A190,배당편집!$M$2:$T$2710,8,FALSE)</f>
        <v>0.13697448881013807</v>
      </c>
      <c r="P190" s="5">
        <f>VLOOKUP(P$1&amp;$A190,배당편집!$M$2:$T$2710,8,FALSE)</f>
        <v>0.10286313147852999</v>
      </c>
      <c r="Q190" s="5">
        <f>VLOOKUP(Q$1&amp;$A190,배당편집!$M$2:$T$2710,8,FALSE)</f>
        <v>0.15811517561929445</v>
      </c>
      <c r="R190" s="5">
        <f>VLOOKUP(R$1&amp;$A190,배당편집!$M$2:$T$2710,8,FALSE)</f>
        <v>1.6402190778280978E-2</v>
      </c>
      <c r="S190" s="5">
        <f>VLOOKUP(S$1&amp;$A190,배당편집!$M$2:$T$2710,8,FALSE)</f>
        <v>4.7077851775166879E-2</v>
      </c>
      <c r="T190" s="5">
        <f>VLOOKUP(T$1&amp;$A190,배당편집!$M$2:$T$2710,8,FALSE)</f>
        <v>0.10438362870438156</v>
      </c>
      <c r="U190" s="5" t="e">
        <f>VLOOKUP(U$1&amp;$A190,배당편집!$M$2:$T$2710,8,FALSE)</f>
        <v>#N/A</v>
      </c>
      <c r="V190" s="5">
        <f>VLOOKUP(V$1&amp;$A190,배당편집!$M$2:$T$2710,8,FALSE)</f>
        <v>8.9976987048345336E-2</v>
      </c>
      <c r="W190" s="5">
        <f>VLOOKUP(W$1&amp;$A190,배당편집!$M$2:$T$2710,8,FALSE)</f>
        <v>0.71877192758747888</v>
      </c>
      <c r="X190" s="5">
        <f>VLOOKUP(X$1&amp;$A190,배당편집!$M$2:$T$2710,8,FALSE)</f>
        <v>3.5485788455905221E-2</v>
      </c>
      <c r="Y190" s="5">
        <f>VLOOKUP(Y$1&amp;$A190,배당편집!$M$2:$T$2710,8,FALSE)</f>
        <v>7.6316922514810814E-2</v>
      </c>
      <c r="Z190" s="5">
        <f>VLOOKUP(Z$1&amp;$A190,배당편집!$M$2:$T$2710,8,FALSE)</f>
        <v>5.9223841048812176E-2</v>
      </c>
      <c r="AA190" s="5">
        <f>VLOOKUP(AA$1&amp;$A190,배당편집!$M$2:$T$2710,8,FALSE)</f>
        <v>0.18126018804310839</v>
      </c>
      <c r="AB190" s="5">
        <f>VLOOKUP(AB$1&amp;$A190,배당편집!$M$2:$T$2710,8,FALSE)</f>
        <v>7.0337013879057109E-2</v>
      </c>
      <c r="AC190" s="5">
        <f>VLOOKUP(AC$1&amp;$A190,배당편집!$M$2:$T$2710,8,FALSE)</f>
        <v>7.0429496933102076E-3</v>
      </c>
      <c r="AD190" s="5">
        <f>VLOOKUP(AD$1&amp;$A190,배당편집!$M$2:$T$2710,8,FALSE)</f>
        <v>0.1486983549970351</v>
      </c>
      <c r="AE190" s="5">
        <f>VLOOKUP(AE$1&amp;$A190,배당편집!$M$2:$T$2710,8,FALSE)</f>
        <v>3.7137289336648172E-2</v>
      </c>
      <c r="AF190" s="5">
        <f>VLOOKUP(AF$1&amp;$A190,배당편집!$M$2:$T$2710,8,FALSE)</f>
        <v>6.5044102740563714E-2</v>
      </c>
    </row>
    <row r="191" spans="1:32" ht="16.5" customHeight="1">
      <c r="A191" s="3">
        <v>2007</v>
      </c>
      <c r="B191" s="3">
        <v>10</v>
      </c>
      <c r="C191" s="5">
        <f>VLOOKUP(C$1&amp;$A191,배당편집!$M$2:$T$2710,8,FALSE)</f>
        <v>0.16412264748274419</v>
      </c>
      <c r="D191" s="5">
        <f>VLOOKUP(D$1&amp;$A191,배당편집!$M$2:$T$2710,8,FALSE)</f>
        <v>7.2145025900850923E-2</v>
      </c>
      <c r="E191" s="5">
        <f>VLOOKUP(E$1&amp;$A191,배당편집!$M$2:$T$2710,8,FALSE)</f>
        <v>0.20112443398143132</v>
      </c>
      <c r="F191" s="5">
        <f>VLOOKUP(F$1&amp;$A191,배당편집!$M$2:$T$2710,8,FALSE)</f>
        <v>4.5639552591273169E-2</v>
      </c>
      <c r="G191" s="5">
        <f>VLOOKUP(G$1&amp;$A191,배당편집!$M$2:$T$2710,8,FALSE)</f>
        <v>6.8278353688437932E-2</v>
      </c>
      <c r="H191" s="5">
        <f>VLOOKUP(H$1&amp;$A191,배당편집!$M$2:$T$2710,8,FALSE)</f>
        <v>8.2398196229486853E-2</v>
      </c>
      <c r="I191" s="5">
        <f>VLOOKUP(I$1&amp;$A191,배당편집!$M$2:$T$2710,8,FALSE)</f>
        <v>3.2324379535307868E-2</v>
      </c>
      <c r="J191" s="5">
        <f>VLOOKUP(J$1&amp;$A191,배당편집!$M$2:$T$2710,8,FALSE)</f>
        <v>3.5075369861429451E-2</v>
      </c>
      <c r="K191" s="5">
        <f>VLOOKUP(K$1&amp;$A191,배당편집!$M$2:$T$2710,8,FALSE)</f>
        <v>0.11382417860287908</v>
      </c>
      <c r="L191" s="5">
        <f>VLOOKUP(L$1&amp;$A191,배당편집!$M$2:$T$2710,8,FALSE)</f>
        <v>0.1486983549970351</v>
      </c>
      <c r="M191" s="5">
        <f>VLOOKUP(M$1&amp;$A191,배당편집!$M$2:$T$2710,8,FALSE)</f>
        <v>0.13806042630985371</v>
      </c>
      <c r="N191" s="5">
        <f>VLOOKUP(N$1&amp;$A191,배당편집!$M$2:$T$2710,8,FALSE)</f>
        <v>6.2618858899870622E-2</v>
      </c>
      <c r="O191" s="5">
        <f>VLOOKUP(O$1&amp;$A191,배당편집!$M$2:$T$2710,8,FALSE)</f>
        <v>0.13697448881013807</v>
      </c>
      <c r="P191" s="5">
        <f>VLOOKUP(P$1&amp;$A191,배당편집!$M$2:$T$2710,8,FALSE)</f>
        <v>0.10286313147852999</v>
      </c>
      <c r="Q191" s="5">
        <f>VLOOKUP(Q$1&amp;$A191,배당편집!$M$2:$T$2710,8,FALSE)</f>
        <v>0.15811517561929445</v>
      </c>
      <c r="R191" s="5">
        <f>VLOOKUP(R$1&amp;$A191,배당편집!$M$2:$T$2710,8,FALSE)</f>
        <v>1.6402190778280978E-2</v>
      </c>
      <c r="S191" s="5">
        <f>VLOOKUP(S$1&amp;$A191,배당편집!$M$2:$T$2710,8,FALSE)</f>
        <v>4.7077851775166879E-2</v>
      </c>
      <c r="T191" s="5">
        <f>VLOOKUP(T$1&amp;$A191,배당편집!$M$2:$T$2710,8,FALSE)</f>
        <v>0.10438362870438156</v>
      </c>
      <c r="U191" s="5" t="e">
        <f>VLOOKUP(U$1&amp;$A191,배당편집!$M$2:$T$2710,8,FALSE)</f>
        <v>#N/A</v>
      </c>
      <c r="V191" s="5">
        <f>VLOOKUP(V$1&amp;$A191,배당편집!$M$2:$T$2710,8,FALSE)</f>
        <v>8.9976987048345336E-2</v>
      </c>
      <c r="W191" s="5">
        <f>VLOOKUP(W$1&amp;$A191,배당편집!$M$2:$T$2710,8,FALSE)</f>
        <v>0.71877192758747888</v>
      </c>
      <c r="X191" s="5">
        <f>VLOOKUP(X$1&amp;$A191,배당편집!$M$2:$T$2710,8,FALSE)</f>
        <v>3.5485788455905221E-2</v>
      </c>
      <c r="Y191" s="5">
        <f>VLOOKUP(Y$1&amp;$A191,배당편집!$M$2:$T$2710,8,FALSE)</f>
        <v>7.6316922514810814E-2</v>
      </c>
      <c r="Z191" s="5">
        <f>VLOOKUP(Z$1&amp;$A191,배당편집!$M$2:$T$2710,8,FALSE)</f>
        <v>5.9223841048812176E-2</v>
      </c>
      <c r="AA191" s="5">
        <f>VLOOKUP(AA$1&amp;$A191,배당편집!$M$2:$T$2710,8,FALSE)</f>
        <v>0.18126018804310839</v>
      </c>
      <c r="AB191" s="5">
        <f>VLOOKUP(AB$1&amp;$A191,배당편집!$M$2:$T$2710,8,FALSE)</f>
        <v>7.0337013879057109E-2</v>
      </c>
      <c r="AC191" s="5">
        <f>VLOOKUP(AC$1&amp;$A191,배당편집!$M$2:$T$2710,8,FALSE)</f>
        <v>7.0429496933102076E-3</v>
      </c>
      <c r="AD191" s="5">
        <f>VLOOKUP(AD$1&amp;$A191,배당편집!$M$2:$T$2710,8,FALSE)</f>
        <v>0.1486983549970351</v>
      </c>
      <c r="AE191" s="5">
        <f>VLOOKUP(AE$1&amp;$A191,배당편집!$M$2:$T$2710,8,FALSE)</f>
        <v>3.7137289336648172E-2</v>
      </c>
      <c r="AF191" s="5">
        <f>VLOOKUP(AF$1&amp;$A191,배당편집!$M$2:$T$2710,8,FALSE)</f>
        <v>6.5044102740563714E-2</v>
      </c>
    </row>
    <row r="192" spans="1:32" ht="16.5" customHeight="1">
      <c r="A192" s="3">
        <v>2007</v>
      </c>
      <c r="B192" s="3">
        <v>11</v>
      </c>
      <c r="C192" s="5">
        <f>VLOOKUP(C$1&amp;$A192,배당편집!$M$2:$T$2710,8,FALSE)</f>
        <v>0.16412264748274419</v>
      </c>
      <c r="D192" s="5">
        <f>VLOOKUP(D$1&amp;$A192,배당편집!$M$2:$T$2710,8,FALSE)</f>
        <v>7.2145025900850923E-2</v>
      </c>
      <c r="E192" s="5">
        <f>VLOOKUP(E$1&amp;$A192,배당편집!$M$2:$T$2710,8,FALSE)</f>
        <v>0.20112443398143132</v>
      </c>
      <c r="F192" s="5">
        <f>VLOOKUP(F$1&amp;$A192,배당편집!$M$2:$T$2710,8,FALSE)</f>
        <v>4.5639552591273169E-2</v>
      </c>
      <c r="G192" s="5">
        <f>VLOOKUP(G$1&amp;$A192,배당편집!$M$2:$T$2710,8,FALSE)</f>
        <v>6.8278353688437932E-2</v>
      </c>
      <c r="H192" s="5">
        <f>VLOOKUP(H$1&amp;$A192,배당편집!$M$2:$T$2710,8,FALSE)</f>
        <v>8.2398196229486853E-2</v>
      </c>
      <c r="I192" s="5">
        <f>VLOOKUP(I$1&amp;$A192,배당편집!$M$2:$T$2710,8,FALSE)</f>
        <v>3.2324379535307868E-2</v>
      </c>
      <c r="J192" s="5">
        <f>VLOOKUP(J$1&amp;$A192,배당편집!$M$2:$T$2710,8,FALSE)</f>
        <v>3.5075369861429451E-2</v>
      </c>
      <c r="K192" s="5">
        <f>VLOOKUP(K$1&amp;$A192,배당편집!$M$2:$T$2710,8,FALSE)</f>
        <v>0.11382417860287908</v>
      </c>
      <c r="L192" s="5">
        <f>VLOOKUP(L$1&amp;$A192,배당편집!$M$2:$T$2710,8,FALSE)</f>
        <v>0.1486983549970351</v>
      </c>
      <c r="M192" s="5">
        <f>VLOOKUP(M$1&amp;$A192,배당편집!$M$2:$T$2710,8,FALSE)</f>
        <v>0.13806042630985371</v>
      </c>
      <c r="N192" s="5">
        <f>VLOOKUP(N$1&amp;$A192,배당편집!$M$2:$T$2710,8,FALSE)</f>
        <v>6.2618858899870622E-2</v>
      </c>
      <c r="O192" s="5">
        <f>VLOOKUP(O$1&amp;$A192,배당편집!$M$2:$T$2710,8,FALSE)</f>
        <v>0.13697448881013807</v>
      </c>
      <c r="P192" s="5">
        <f>VLOOKUP(P$1&amp;$A192,배당편집!$M$2:$T$2710,8,FALSE)</f>
        <v>0.10286313147852999</v>
      </c>
      <c r="Q192" s="5">
        <f>VLOOKUP(Q$1&amp;$A192,배당편집!$M$2:$T$2710,8,FALSE)</f>
        <v>0.15811517561929445</v>
      </c>
      <c r="R192" s="5">
        <f>VLOOKUP(R$1&amp;$A192,배당편집!$M$2:$T$2710,8,FALSE)</f>
        <v>1.6402190778280978E-2</v>
      </c>
      <c r="S192" s="5">
        <f>VLOOKUP(S$1&amp;$A192,배당편집!$M$2:$T$2710,8,FALSE)</f>
        <v>4.7077851775166879E-2</v>
      </c>
      <c r="T192" s="5">
        <f>VLOOKUP(T$1&amp;$A192,배당편집!$M$2:$T$2710,8,FALSE)</f>
        <v>0.10438362870438156</v>
      </c>
      <c r="U192" s="5" t="e">
        <f>VLOOKUP(U$1&amp;$A192,배당편집!$M$2:$T$2710,8,FALSE)</f>
        <v>#N/A</v>
      </c>
      <c r="V192" s="5">
        <f>VLOOKUP(V$1&amp;$A192,배당편집!$M$2:$T$2710,8,FALSE)</f>
        <v>8.9976987048345336E-2</v>
      </c>
      <c r="W192" s="5">
        <f>VLOOKUP(W$1&amp;$A192,배당편집!$M$2:$T$2710,8,FALSE)</f>
        <v>0.71877192758747888</v>
      </c>
      <c r="X192" s="5">
        <f>VLOOKUP(X$1&amp;$A192,배당편집!$M$2:$T$2710,8,FALSE)</f>
        <v>3.5485788455905221E-2</v>
      </c>
      <c r="Y192" s="5">
        <f>VLOOKUP(Y$1&amp;$A192,배당편집!$M$2:$T$2710,8,FALSE)</f>
        <v>7.6316922514810814E-2</v>
      </c>
      <c r="Z192" s="5">
        <f>VLOOKUP(Z$1&amp;$A192,배당편집!$M$2:$T$2710,8,FALSE)</f>
        <v>5.9223841048812176E-2</v>
      </c>
      <c r="AA192" s="5">
        <f>VLOOKUP(AA$1&amp;$A192,배당편집!$M$2:$T$2710,8,FALSE)</f>
        <v>0.18126018804310839</v>
      </c>
      <c r="AB192" s="5">
        <f>VLOOKUP(AB$1&amp;$A192,배당편집!$M$2:$T$2710,8,FALSE)</f>
        <v>7.0337013879057109E-2</v>
      </c>
      <c r="AC192" s="5">
        <f>VLOOKUP(AC$1&amp;$A192,배당편집!$M$2:$T$2710,8,FALSE)</f>
        <v>7.0429496933102076E-3</v>
      </c>
      <c r="AD192" s="5">
        <f>VLOOKUP(AD$1&amp;$A192,배당편집!$M$2:$T$2710,8,FALSE)</f>
        <v>0.1486983549970351</v>
      </c>
      <c r="AE192" s="5">
        <f>VLOOKUP(AE$1&amp;$A192,배당편집!$M$2:$T$2710,8,FALSE)</f>
        <v>3.7137289336648172E-2</v>
      </c>
      <c r="AF192" s="5">
        <f>VLOOKUP(AF$1&amp;$A192,배당편집!$M$2:$T$2710,8,FALSE)</f>
        <v>6.5044102740563714E-2</v>
      </c>
    </row>
    <row r="193" spans="1:32" ht="16.5" customHeight="1">
      <c r="A193" s="3">
        <v>2007</v>
      </c>
      <c r="B193" s="3">
        <v>12</v>
      </c>
      <c r="C193" s="5">
        <f>VLOOKUP(C$1&amp;$A193,배당편집!$M$2:$T$2710,8,FALSE)</f>
        <v>0.16412264748274419</v>
      </c>
      <c r="D193" s="5">
        <f>VLOOKUP(D$1&amp;$A193,배당편집!$M$2:$T$2710,8,FALSE)</f>
        <v>7.2145025900850923E-2</v>
      </c>
      <c r="E193" s="5">
        <f>VLOOKUP(E$1&amp;$A193,배당편집!$M$2:$T$2710,8,FALSE)</f>
        <v>0.20112443398143132</v>
      </c>
      <c r="F193" s="5">
        <f>VLOOKUP(F$1&amp;$A193,배당편집!$M$2:$T$2710,8,FALSE)</f>
        <v>4.5639552591273169E-2</v>
      </c>
      <c r="G193" s="5">
        <f>VLOOKUP(G$1&amp;$A193,배당편집!$M$2:$T$2710,8,FALSE)</f>
        <v>6.8278353688437932E-2</v>
      </c>
      <c r="H193" s="5">
        <f>VLOOKUP(H$1&amp;$A193,배당편집!$M$2:$T$2710,8,FALSE)</f>
        <v>8.2398196229486853E-2</v>
      </c>
      <c r="I193" s="5">
        <f>VLOOKUP(I$1&amp;$A193,배당편집!$M$2:$T$2710,8,FALSE)</f>
        <v>3.2324379535307868E-2</v>
      </c>
      <c r="J193" s="5">
        <f>VLOOKUP(J$1&amp;$A193,배당편집!$M$2:$T$2710,8,FALSE)</f>
        <v>3.5075369861429451E-2</v>
      </c>
      <c r="K193" s="5">
        <f>VLOOKUP(K$1&amp;$A193,배당편집!$M$2:$T$2710,8,FALSE)</f>
        <v>0.11382417860287908</v>
      </c>
      <c r="L193" s="5">
        <f>VLOOKUP(L$1&amp;$A193,배당편집!$M$2:$T$2710,8,FALSE)</f>
        <v>0.1486983549970351</v>
      </c>
      <c r="M193" s="5">
        <f>VLOOKUP(M$1&amp;$A193,배당편집!$M$2:$T$2710,8,FALSE)</f>
        <v>0.13806042630985371</v>
      </c>
      <c r="N193" s="5">
        <f>VLOOKUP(N$1&amp;$A193,배당편집!$M$2:$T$2710,8,FALSE)</f>
        <v>6.2618858899870622E-2</v>
      </c>
      <c r="O193" s="5">
        <f>VLOOKUP(O$1&amp;$A193,배당편집!$M$2:$T$2710,8,FALSE)</f>
        <v>0.13697448881013807</v>
      </c>
      <c r="P193" s="5">
        <f>VLOOKUP(P$1&amp;$A193,배당편집!$M$2:$T$2710,8,FALSE)</f>
        <v>0.10286313147852999</v>
      </c>
      <c r="Q193" s="5">
        <f>VLOOKUP(Q$1&amp;$A193,배당편집!$M$2:$T$2710,8,FALSE)</f>
        <v>0.15811517561929445</v>
      </c>
      <c r="R193" s="5">
        <f>VLOOKUP(R$1&amp;$A193,배당편집!$M$2:$T$2710,8,FALSE)</f>
        <v>1.6402190778280978E-2</v>
      </c>
      <c r="S193" s="5">
        <f>VLOOKUP(S$1&amp;$A193,배당편집!$M$2:$T$2710,8,FALSE)</f>
        <v>4.7077851775166879E-2</v>
      </c>
      <c r="T193" s="5">
        <f>VLOOKUP(T$1&amp;$A193,배당편집!$M$2:$T$2710,8,FALSE)</f>
        <v>0.10438362870438156</v>
      </c>
      <c r="U193" s="5" t="e">
        <f>VLOOKUP(U$1&amp;$A193,배당편집!$M$2:$T$2710,8,FALSE)</f>
        <v>#N/A</v>
      </c>
      <c r="V193" s="5">
        <f>VLOOKUP(V$1&amp;$A193,배당편집!$M$2:$T$2710,8,FALSE)</f>
        <v>8.9976987048345336E-2</v>
      </c>
      <c r="W193" s="5">
        <f>VLOOKUP(W$1&amp;$A193,배당편집!$M$2:$T$2710,8,FALSE)</f>
        <v>0.71877192758747888</v>
      </c>
      <c r="X193" s="5">
        <f>VLOOKUP(X$1&amp;$A193,배당편집!$M$2:$T$2710,8,FALSE)</f>
        <v>3.5485788455905221E-2</v>
      </c>
      <c r="Y193" s="5">
        <f>VLOOKUP(Y$1&amp;$A193,배당편집!$M$2:$T$2710,8,FALSE)</f>
        <v>7.6316922514810814E-2</v>
      </c>
      <c r="Z193" s="5">
        <f>VLOOKUP(Z$1&amp;$A193,배당편집!$M$2:$T$2710,8,FALSE)</f>
        <v>5.9223841048812176E-2</v>
      </c>
      <c r="AA193" s="5">
        <f>VLOOKUP(AA$1&amp;$A193,배당편집!$M$2:$T$2710,8,FALSE)</f>
        <v>0.18126018804310839</v>
      </c>
      <c r="AB193" s="5">
        <f>VLOOKUP(AB$1&amp;$A193,배당편집!$M$2:$T$2710,8,FALSE)</f>
        <v>7.0337013879057109E-2</v>
      </c>
      <c r="AC193" s="5">
        <f>VLOOKUP(AC$1&amp;$A193,배당편집!$M$2:$T$2710,8,FALSE)</f>
        <v>7.0429496933102076E-3</v>
      </c>
      <c r="AD193" s="5">
        <f>VLOOKUP(AD$1&amp;$A193,배당편집!$M$2:$T$2710,8,FALSE)</f>
        <v>0.1486983549970351</v>
      </c>
      <c r="AE193" s="5">
        <f>VLOOKUP(AE$1&amp;$A193,배당편집!$M$2:$T$2710,8,FALSE)</f>
        <v>3.7137289336648172E-2</v>
      </c>
      <c r="AF193" s="5">
        <f>VLOOKUP(AF$1&amp;$A193,배당편집!$M$2:$T$2710,8,FALSE)</f>
        <v>6.5044102740563714E-2</v>
      </c>
    </row>
    <row r="194" spans="1:32" ht="16.5" customHeight="1">
      <c r="A194" s="3">
        <v>2006</v>
      </c>
      <c r="B194" s="3">
        <v>1</v>
      </c>
      <c r="C194" s="5">
        <f>VLOOKUP(C$1&amp;$A194,배당편집!$M$2:$T$2710,8,FALSE)</f>
        <v>0.13179836563100178</v>
      </c>
      <c r="D194" s="5">
        <f>VLOOKUP(D$1&amp;$A194,배당편집!$M$2:$T$2710,8,FALSE)</f>
        <v>5.9223841048812176E-2</v>
      </c>
      <c r="E194" s="5">
        <f>VLOOKUP(E$1&amp;$A194,배당편집!$M$2:$T$2710,8,FALSE)</f>
        <v>0.3195079107728942</v>
      </c>
      <c r="F194" s="5">
        <f>VLOOKUP(F$1&amp;$A194,배당편집!$M$2:$T$2710,8,FALSE)</f>
        <v>4.7451763732829999E-2</v>
      </c>
      <c r="G194" s="5">
        <f>VLOOKUP(G$1&amp;$A194,배당편집!$M$2:$T$2710,8,FALSE)</f>
        <v>7.7818067712725814E-2</v>
      </c>
      <c r="H194" s="5">
        <f>VLOOKUP(H$1&amp;$A194,배당편집!$M$2:$T$2710,8,FALSE)</f>
        <v>6.7249181879538877E-2</v>
      </c>
      <c r="I194" s="5">
        <f>VLOOKUP(I$1&amp;$A194,배당편집!$M$2:$T$2710,8,FALSE)</f>
        <v>3.3406482938779236E-2</v>
      </c>
      <c r="J194" s="5">
        <f>VLOOKUP(J$1&amp;$A194,배당편집!$M$2:$T$2710,8,FALSE)</f>
        <v>3.8573773084258578E-2</v>
      </c>
      <c r="K194" s="5">
        <f>VLOOKUP(K$1&amp;$A194,배당편집!$M$2:$T$2710,8,FALSE)</f>
        <v>8.0185187303563499E-2</v>
      </c>
      <c r="L194" s="5">
        <f>VLOOKUP(L$1&amp;$A194,배당편집!$M$2:$T$2710,8,FALSE)</f>
        <v>0.12700920209792543</v>
      </c>
      <c r="M194" s="5">
        <f>VLOOKUP(M$1&amp;$A194,배당편집!$M$2:$T$2710,8,FALSE)</f>
        <v>0.10534229649286941</v>
      </c>
      <c r="N194" s="5">
        <f>VLOOKUP(N$1&amp;$A194,배당편집!$M$2:$T$2710,8,FALSE)</f>
        <v>3.0731893154231082E-2</v>
      </c>
      <c r="O194" s="5">
        <f>VLOOKUP(O$1&amp;$A194,배당편집!$M$2:$T$2710,8,FALSE)</f>
        <v>0.1234275325950922</v>
      </c>
      <c r="P194" s="5">
        <f>VLOOKUP(P$1&amp;$A194,배당편집!$M$2:$T$2710,8,FALSE)</f>
        <v>9.8560543306117854E-2</v>
      </c>
      <c r="Q194" s="5">
        <f>VLOOKUP(Q$1&amp;$A194,배당편집!$M$2:$T$2710,8,FALSE)</f>
        <v>0.15578962436501453</v>
      </c>
      <c r="R194" s="5">
        <f>VLOOKUP(R$1&amp;$A194,배당편집!$M$2:$T$2710,8,FALSE)</f>
        <v>1.6675858612995365E-2</v>
      </c>
      <c r="S194" s="5">
        <f>VLOOKUP(S$1&amp;$A194,배당편집!$M$2:$T$2710,8,FALSE)</f>
        <v>3.4393501436834395E-2</v>
      </c>
      <c r="T194" s="5">
        <f>VLOOKUP(T$1&amp;$A194,배당편집!$M$2:$T$2710,8,FALSE)</f>
        <v>8.9976987048345336E-2</v>
      </c>
      <c r="U194" s="5" t="e">
        <f>VLOOKUP(U$1&amp;$A194,배당편집!$M$2:$T$2710,8,FALSE)</f>
        <v>#N/A</v>
      </c>
      <c r="V194" s="5">
        <f>VLOOKUP(V$1&amp;$A194,배당편집!$M$2:$T$2710,8,FALSE)</f>
        <v>8.6418770759613572E-2</v>
      </c>
      <c r="W194" s="5">
        <f>VLOOKUP(W$1&amp;$A194,배당편집!$M$2:$T$2710,8,FALSE)</f>
        <v>0.27944800171705086</v>
      </c>
      <c r="X194" s="5">
        <f>VLOOKUP(X$1&amp;$A194,배당편집!$M$2:$T$2710,8,FALSE)</f>
        <v>2.2750530662123625E-2</v>
      </c>
      <c r="Y194" s="5">
        <f>VLOOKUP(Y$1&amp;$A194,배당편집!$M$2:$T$2710,8,FALSE)</f>
        <v>5.0246072638682637E-2</v>
      </c>
      <c r="Z194" s="5">
        <f>VLOOKUP(Z$1&amp;$A194,배당편집!$M$2:$T$2710,8,FALSE)</f>
        <v>5.9223841048812176E-2</v>
      </c>
      <c r="AA194" s="5">
        <f>VLOOKUP(AA$1&amp;$A194,배당편집!$M$2:$T$2710,8,FALSE)</f>
        <v>0.1486983549970351</v>
      </c>
      <c r="AB194" s="5">
        <f>VLOOKUP(AB$1&amp;$A194,배당편집!$M$2:$T$2710,8,FALSE)</f>
        <v>7.6752325943092448E-2</v>
      </c>
      <c r="AC194" s="5">
        <f>VLOOKUP(AC$1&amp;$A194,배당편집!$M$2:$T$2710,8,FALSE)</f>
        <v>6.2006524379343286E-3</v>
      </c>
      <c r="AD194" s="5">
        <f>VLOOKUP(AD$1&amp;$A194,배당편집!$M$2:$T$2710,8,FALSE)</f>
        <v>0.12535507187104278</v>
      </c>
      <c r="AE194" s="5">
        <f>VLOOKUP(AE$1&amp;$A194,배당편집!$M$2:$T$2710,8,FALSE)</f>
        <v>1.9244876491456564E-2</v>
      </c>
      <c r="AF194" s="5">
        <f>VLOOKUP(AF$1&amp;$A194,배당편집!$M$2:$T$2710,8,FALSE)</f>
        <v>6.342724238285391E-2</v>
      </c>
    </row>
    <row r="195" spans="1:32" ht="16.5" customHeight="1">
      <c r="A195" s="3">
        <v>2006</v>
      </c>
      <c r="B195" s="3">
        <v>2</v>
      </c>
      <c r="C195" s="5">
        <f>VLOOKUP(C$1&amp;$A195,배당편집!$M$2:$T$2710,8,FALSE)</f>
        <v>0.13179836563100178</v>
      </c>
      <c r="D195" s="5">
        <f>VLOOKUP(D$1&amp;$A195,배당편집!$M$2:$T$2710,8,FALSE)</f>
        <v>5.9223841048812176E-2</v>
      </c>
      <c r="E195" s="5">
        <f>VLOOKUP(E$1&amp;$A195,배당편집!$M$2:$T$2710,8,FALSE)</f>
        <v>0.3195079107728942</v>
      </c>
      <c r="F195" s="5">
        <f>VLOOKUP(F$1&amp;$A195,배당편집!$M$2:$T$2710,8,FALSE)</f>
        <v>4.7451763732829999E-2</v>
      </c>
      <c r="G195" s="5">
        <f>VLOOKUP(G$1&amp;$A195,배당편집!$M$2:$T$2710,8,FALSE)</f>
        <v>7.7818067712725814E-2</v>
      </c>
      <c r="H195" s="5">
        <f>VLOOKUP(H$1&amp;$A195,배당편집!$M$2:$T$2710,8,FALSE)</f>
        <v>6.7249181879538877E-2</v>
      </c>
      <c r="I195" s="5">
        <f>VLOOKUP(I$1&amp;$A195,배당편집!$M$2:$T$2710,8,FALSE)</f>
        <v>3.3406482938779236E-2</v>
      </c>
      <c r="J195" s="5">
        <f>VLOOKUP(J$1&amp;$A195,배당편집!$M$2:$T$2710,8,FALSE)</f>
        <v>3.8573773084258578E-2</v>
      </c>
      <c r="K195" s="5">
        <f>VLOOKUP(K$1&amp;$A195,배당편집!$M$2:$T$2710,8,FALSE)</f>
        <v>8.0185187303563499E-2</v>
      </c>
      <c r="L195" s="5">
        <f>VLOOKUP(L$1&amp;$A195,배당편집!$M$2:$T$2710,8,FALSE)</f>
        <v>0.12700920209792543</v>
      </c>
      <c r="M195" s="5">
        <f>VLOOKUP(M$1&amp;$A195,배당편집!$M$2:$T$2710,8,FALSE)</f>
        <v>0.10534229649286941</v>
      </c>
      <c r="N195" s="5">
        <f>VLOOKUP(N$1&amp;$A195,배당편집!$M$2:$T$2710,8,FALSE)</f>
        <v>3.0731893154231082E-2</v>
      </c>
      <c r="O195" s="5">
        <f>VLOOKUP(O$1&amp;$A195,배당편집!$M$2:$T$2710,8,FALSE)</f>
        <v>0.1234275325950922</v>
      </c>
      <c r="P195" s="5">
        <f>VLOOKUP(P$1&amp;$A195,배당편집!$M$2:$T$2710,8,FALSE)</f>
        <v>9.8560543306117854E-2</v>
      </c>
      <c r="Q195" s="5">
        <f>VLOOKUP(Q$1&amp;$A195,배당편집!$M$2:$T$2710,8,FALSE)</f>
        <v>0.15578962436501453</v>
      </c>
      <c r="R195" s="5">
        <f>VLOOKUP(R$1&amp;$A195,배당편집!$M$2:$T$2710,8,FALSE)</f>
        <v>1.6675858612995365E-2</v>
      </c>
      <c r="S195" s="5">
        <f>VLOOKUP(S$1&amp;$A195,배당편집!$M$2:$T$2710,8,FALSE)</f>
        <v>3.4393501436834395E-2</v>
      </c>
      <c r="T195" s="5">
        <f>VLOOKUP(T$1&amp;$A195,배당편집!$M$2:$T$2710,8,FALSE)</f>
        <v>8.9976987048345336E-2</v>
      </c>
      <c r="U195" s="5" t="e">
        <f>VLOOKUP(U$1&amp;$A195,배당편집!$M$2:$T$2710,8,FALSE)</f>
        <v>#N/A</v>
      </c>
      <c r="V195" s="5">
        <f>VLOOKUP(V$1&amp;$A195,배당편집!$M$2:$T$2710,8,FALSE)</f>
        <v>8.6418770759613572E-2</v>
      </c>
      <c r="W195" s="5">
        <f>VLOOKUP(W$1&amp;$A195,배당편집!$M$2:$T$2710,8,FALSE)</f>
        <v>0.27944800171705086</v>
      </c>
      <c r="X195" s="5">
        <f>VLOOKUP(X$1&amp;$A195,배당편집!$M$2:$T$2710,8,FALSE)</f>
        <v>2.2750530662123625E-2</v>
      </c>
      <c r="Y195" s="5">
        <f>VLOOKUP(Y$1&amp;$A195,배당편집!$M$2:$T$2710,8,FALSE)</f>
        <v>5.0246072638682637E-2</v>
      </c>
      <c r="Z195" s="5">
        <f>VLOOKUP(Z$1&amp;$A195,배당편집!$M$2:$T$2710,8,FALSE)</f>
        <v>5.9223841048812176E-2</v>
      </c>
      <c r="AA195" s="5">
        <f>VLOOKUP(AA$1&amp;$A195,배당편집!$M$2:$T$2710,8,FALSE)</f>
        <v>0.1486983549970351</v>
      </c>
      <c r="AB195" s="5">
        <f>VLOOKUP(AB$1&amp;$A195,배당편집!$M$2:$T$2710,8,FALSE)</f>
        <v>7.6752325943092448E-2</v>
      </c>
      <c r="AC195" s="5">
        <f>VLOOKUP(AC$1&amp;$A195,배당편집!$M$2:$T$2710,8,FALSE)</f>
        <v>6.2006524379343286E-3</v>
      </c>
      <c r="AD195" s="5">
        <f>VLOOKUP(AD$1&amp;$A195,배당편집!$M$2:$T$2710,8,FALSE)</f>
        <v>0.12535507187104278</v>
      </c>
      <c r="AE195" s="5">
        <f>VLOOKUP(AE$1&amp;$A195,배당편집!$M$2:$T$2710,8,FALSE)</f>
        <v>1.9244876491456564E-2</v>
      </c>
      <c r="AF195" s="5">
        <f>VLOOKUP(AF$1&amp;$A195,배당편집!$M$2:$T$2710,8,FALSE)</f>
        <v>6.342724238285391E-2</v>
      </c>
    </row>
    <row r="196" spans="1:32" ht="16.5" customHeight="1">
      <c r="A196" s="3">
        <v>2006</v>
      </c>
      <c r="B196" s="3">
        <v>3</v>
      </c>
      <c r="C196" s="5">
        <f>VLOOKUP(C$1&amp;$A196,배당편집!$M$2:$T$2710,8,FALSE)</f>
        <v>0.13179836563100178</v>
      </c>
      <c r="D196" s="5">
        <f>VLOOKUP(D$1&amp;$A196,배당편집!$M$2:$T$2710,8,FALSE)</f>
        <v>5.9223841048812176E-2</v>
      </c>
      <c r="E196" s="5">
        <f>VLOOKUP(E$1&amp;$A196,배당편집!$M$2:$T$2710,8,FALSE)</f>
        <v>0.3195079107728942</v>
      </c>
      <c r="F196" s="5">
        <f>VLOOKUP(F$1&amp;$A196,배당편집!$M$2:$T$2710,8,FALSE)</f>
        <v>4.7451763732829999E-2</v>
      </c>
      <c r="G196" s="5">
        <f>VLOOKUP(G$1&amp;$A196,배당편집!$M$2:$T$2710,8,FALSE)</f>
        <v>7.7818067712725814E-2</v>
      </c>
      <c r="H196" s="5">
        <f>VLOOKUP(H$1&amp;$A196,배당편집!$M$2:$T$2710,8,FALSE)</f>
        <v>6.7249181879538877E-2</v>
      </c>
      <c r="I196" s="5">
        <f>VLOOKUP(I$1&amp;$A196,배당편집!$M$2:$T$2710,8,FALSE)</f>
        <v>3.3406482938779236E-2</v>
      </c>
      <c r="J196" s="5">
        <f>VLOOKUP(J$1&amp;$A196,배당편집!$M$2:$T$2710,8,FALSE)</f>
        <v>3.8573773084258578E-2</v>
      </c>
      <c r="K196" s="5">
        <f>VLOOKUP(K$1&amp;$A196,배당편집!$M$2:$T$2710,8,FALSE)</f>
        <v>8.0185187303563499E-2</v>
      </c>
      <c r="L196" s="5">
        <f>VLOOKUP(L$1&amp;$A196,배당편집!$M$2:$T$2710,8,FALSE)</f>
        <v>0.12700920209792543</v>
      </c>
      <c r="M196" s="5">
        <f>VLOOKUP(M$1&amp;$A196,배당편집!$M$2:$T$2710,8,FALSE)</f>
        <v>0.10534229649286941</v>
      </c>
      <c r="N196" s="5">
        <f>VLOOKUP(N$1&amp;$A196,배당편집!$M$2:$T$2710,8,FALSE)</f>
        <v>3.0731893154231082E-2</v>
      </c>
      <c r="O196" s="5">
        <f>VLOOKUP(O$1&amp;$A196,배당편집!$M$2:$T$2710,8,FALSE)</f>
        <v>0.1234275325950922</v>
      </c>
      <c r="P196" s="5">
        <f>VLOOKUP(P$1&amp;$A196,배당편집!$M$2:$T$2710,8,FALSE)</f>
        <v>9.8560543306117854E-2</v>
      </c>
      <c r="Q196" s="5">
        <f>VLOOKUP(Q$1&amp;$A196,배당편집!$M$2:$T$2710,8,FALSE)</f>
        <v>0.15578962436501453</v>
      </c>
      <c r="R196" s="5">
        <f>VLOOKUP(R$1&amp;$A196,배당편집!$M$2:$T$2710,8,FALSE)</f>
        <v>1.6675858612995365E-2</v>
      </c>
      <c r="S196" s="5">
        <f>VLOOKUP(S$1&amp;$A196,배당편집!$M$2:$T$2710,8,FALSE)</f>
        <v>3.4393501436834395E-2</v>
      </c>
      <c r="T196" s="5">
        <f>VLOOKUP(T$1&amp;$A196,배당편집!$M$2:$T$2710,8,FALSE)</f>
        <v>8.9976987048345336E-2</v>
      </c>
      <c r="U196" s="5" t="e">
        <f>VLOOKUP(U$1&amp;$A196,배당편집!$M$2:$T$2710,8,FALSE)</f>
        <v>#N/A</v>
      </c>
      <c r="V196" s="5">
        <f>VLOOKUP(V$1&amp;$A196,배당편집!$M$2:$T$2710,8,FALSE)</f>
        <v>8.6418770759613572E-2</v>
      </c>
      <c r="W196" s="5">
        <f>VLOOKUP(W$1&amp;$A196,배당편집!$M$2:$T$2710,8,FALSE)</f>
        <v>0.27944800171705086</v>
      </c>
      <c r="X196" s="5">
        <f>VLOOKUP(X$1&amp;$A196,배당편집!$M$2:$T$2710,8,FALSE)</f>
        <v>2.2750530662123625E-2</v>
      </c>
      <c r="Y196" s="5">
        <f>VLOOKUP(Y$1&amp;$A196,배당편집!$M$2:$T$2710,8,FALSE)</f>
        <v>5.0246072638682637E-2</v>
      </c>
      <c r="Z196" s="5">
        <f>VLOOKUP(Z$1&amp;$A196,배당편집!$M$2:$T$2710,8,FALSE)</f>
        <v>5.9223841048812176E-2</v>
      </c>
      <c r="AA196" s="5">
        <f>VLOOKUP(AA$1&amp;$A196,배당편집!$M$2:$T$2710,8,FALSE)</f>
        <v>0.1486983549970351</v>
      </c>
      <c r="AB196" s="5">
        <f>VLOOKUP(AB$1&amp;$A196,배당편집!$M$2:$T$2710,8,FALSE)</f>
        <v>7.6752325943092448E-2</v>
      </c>
      <c r="AC196" s="5">
        <f>VLOOKUP(AC$1&amp;$A196,배당편집!$M$2:$T$2710,8,FALSE)</f>
        <v>6.2006524379343286E-3</v>
      </c>
      <c r="AD196" s="5">
        <f>VLOOKUP(AD$1&amp;$A196,배당편집!$M$2:$T$2710,8,FALSE)</f>
        <v>0.12535507187104278</v>
      </c>
      <c r="AE196" s="5">
        <f>VLOOKUP(AE$1&amp;$A196,배당편집!$M$2:$T$2710,8,FALSE)</f>
        <v>1.9244876491456564E-2</v>
      </c>
      <c r="AF196" s="5">
        <f>VLOOKUP(AF$1&amp;$A196,배당편집!$M$2:$T$2710,8,FALSE)</f>
        <v>6.342724238285391E-2</v>
      </c>
    </row>
    <row r="197" spans="1:32" ht="16.5" customHeight="1">
      <c r="A197" s="3">
        <v>2006</v>
      </c>
      <c r="B197" s="3">
        <v>4</v>
      </c>
      <c r="C197" s="5">
        <f>VLOOKUP(C$1&amp;$A197,배당편집!$M$2:$T$2710,8,FALSE)</f>
        <v>0.13179836563100178</v>
      </c>
      <c r="D197" s="5">
        <f>VLOOKUP(D$1&amp;$A197,배당편집!$M$2:$T$2710,8,FALSE)</f>
        <v>5.9223841048812176E-2</v>
      </c>
      <c r="E197" s="5">
        <f>VLOOKUP(E$1&amp;$A197,배당편집!$M$2:$T$2710,8,FALSE)</f>
        <v>0.3195079107728942</v>
      </c>
      <c r="F197" s="5">
        <f>VLOOKUP(F$1&amp;$A197,배당편집!$M$2:$T$2710,8,FALSE)</f>
        <v>4.7451763732829999E-2</v>
      </c>
      <c r="G197" s="5">
        <f>VLOOKUP(G$1&amp;$A197,배당편집!$M$2:$T$2710,8,FALSE)</f>
        <v>7.7818067712725814E-2</v>
      </c>
      <c r="H197" s="5">
        <f>VLOOKUP(H$1&amp;$A197,배당편집!$M$2:$T$2710,8,FALSE)</f>
        <v>6.7249181879538877E-2</v>
      </c>
      <c r="I197" s="5">
        <f>VLOOKUP(I$1&amp;$A197,배당편집!$M$2:$T$2710,8,FALSE)</f>
        <v>3.3406482938779236E-2</v>
      </c>
      <c r="J197" s="5">
        <f>VLOOKUP(J$1&amp;$A197,배당편집!$M$2:$T$2710,8,FALSE)</f>
        <v>3.8573773084258578E-2</v>
      </c>
      <c r="K197" s="5">
        <f>VLOOKUP(K$1&amp;$A197,배당편집!$M$2:$T$2710,8,FALSE)</f>
        <v>8.0185187303563499E-2</v>
      </c>
      <c r="L197" s="5">
        <f>VLOOKUP(L$1&amp;$A197,배당편집!$M$2:$T$2710,8,FALSE)</f>
        <v>0.12700920209792543</v>
      </c>
      <c r="M197" s="5">
        <f>VLOOKUP(M$1&amp;$A197,배당편집!$M$2:$T$2710,8,FALSE)</f>
        <v>0.10534229649286941</v>
      </c>
      <c r="N197" s="5">
        <f>VLOOKUP(N$1&amp;$A197,배당편집!$M$2:$T$2710,8,FALSE)</f>
        <v>3.0731893154231082E-2</v>
      </c>
      <c r="O197" s="5">
        <f>VLOOKUP(O$1&amp;$A197,배당편집!$M$2:$T$2710,8,FALSE)</f>
        <v>0.1234275325950922</v>
      </c>
      <c r="P197" s="5">
        <f>VLOOKUP(P$1&amp;$A197,배당편집!$M$2:$T$2710,8,FALSE)</f>
        <v>9.8560543306117854E-2</v>
      </c>
      <c r="Q197" s="5">
        <f>VLOOKUP(Q$1&amp;$A197,배당편집!$M$2:$T$2710,8,FALSE)</f>
        <v>0.15578962436501453</v>
      </c>
      <c r="R197" s="5">
        <f>VLOOKUP(R$1&amp;$A197,배당편집!$M$2:$T$2710,8,FALSE)</f>
        <v>1.6675858612995365E-2</v>
      </c>
      <c r="S197" s="5">
        <f>VLOOKUP(S$1&amp;$A197,배당편집!$M$2:$T$2710,8,FALSE)</f>
        <v>3.4393501436834395E-2</v>
      </c>
      <c r="T197" s="5">
        <f>VLOOKUP(T$1&amp;$A197,배당편집!$M$2:$T$2710,8,FALSE)</f>
        <v>8.9976987048345336E-2</v>
      </c>
      <c r="U197" s="5" t="e">
        <f>VLOOKUP(U$1&amp;$A197,배당편집!$M$2:$T$2710,8,FALSE)</f>
        <v>#N/A</v>
      </c>
      <c r="V197" s="5">
        <f>VLOOKUP(V$1&amp;$A197,배당편집!$M$2:$T$2710,8,FALSE)</f>
        <v>8.6418770759613572E-2</v>
      </c>
      <c r="W197" s="5">
        <f>VLOOKUP(W$1&amp;$A197,배당편집!$M$2:$T$2710,8,FALSE)</f>
        <v>0.27944800171705086</v>
      </c>
      <c r="X197" s="5">
        <f>VLOOKUP(X$1&amp;$A197,배당편집!$M$2:$T$2710,8,FALSE)</f>
        <v>2.2750530662123625E-2</v>
      </c>
      <c r="Y197" s="5">
        <f>VLOOKUP(Y$1&amp;$A197,배당편집!$M$2:$T$2710,8,FALSE)</f>
        <v>5.0246072638682637E-2</v>
      </c>
      <c r="Z197" s="5">
        <f>VLOOKUP(Z$1&amp;$A197,배당편집!$M$2:$T$2710,8,FALSE)</f>
        <v>5.9223841048812176E-2</v>
      </c>
      <c r="AA197" s="5">
        <f>VLOOKUP(AA$1&amp;$A197,배당편집!$M$2:$T$2710,8,FALSE)</f>
        <v>0.1486983549970351</v>
      </c>
      <c r="AB197" s="5">
        <f>VLOOKUP(AB$1&amp;$A197,배당편집!$M$2:$T$2710,8,FALSE)</f>
        <v>7.6752325943092448E-2</v>
      </c>
      <c r="AC197" s="5">
        <f>VLOOKUP(AC$1&amp;$A197,배당편집!$M$2:$T$2710,8,FALSE)</f>
        <v>6.2006524379343286E-3</v>
      </c>
      <c r="AD197" s="5">
        <f>VLOOKUP(AD$1&amp;$A197,배당편집!$M$2:$T$2710,8,FALSE)</f>
        <v>0.12535507187104278</v>
      </c>
      <c r="AE197" s="5">
        <f>VLOOKUP(AE$1&amp;$A197,배당편집!$M$2:$T$2710,8,FALSE)</f>
        <v>1.9244876491456564E-2</v>
      </c>
      <c r="AF197" s="5">
        <f>VLOOKUP(AF$1&amp;$A197,배당편집!$M$2:$T$2710,8,FALSE)</f>
        <v>6.342724238285391E-2</v>
      </c>
    </row>
    <row r="198" spans="1:32" ht="16.5" customHeight="1">
      <c r="A198" s="3">
        <v>2006</v>
      </c>
      <c r="B198" s="3">
        <v>5</v>
      </c>
      <c r="C198" s="5">
        <f>VLOOKUP(C$1&amp;$A198,배당편집!$M$2:$T$2710,8,FALSE)</f>
        <v>0.13179836563100178</v>
      </c>
      <c r="D198" s="5">
        <f>VLOOKUP(D$1&amp;$A198,배당편집!$M$2:$T$2710,8,FALSE)</f>
        <v>5.9223841048812176E-2</v>
      </c>
      <c r="E198" s="5">
        <f>VLOOKUP(E$1&amp;$A198,배당편집!$M$2:$T$2710,8,FALSE)</f>
        <v>0.3195079107728942</v>
      </c>
      <c r="F198" s="5">
        <f>VLOOKUP(F$1&amp;$A198,배당편집!$M$2:$T$2710,8,FALSE)</f>
        <v>4.7451763732829999E-2</v>
      </c>
      <c r="G198" s="5">
        <f>VLOOKUP(G$1&amp;$A198,배당편집!$M$2:$T$2710,8,FALSE)</f>
        <v>7.7818067712725814E-2</v>
      </c>
      <c r="H198" s="5">
        <f>VLOOKUP(H$1&amp;$A198,배당편집!$M$2:$T$2710,8,FALSE)</f>
        <v>6.7249181879538877E-2</v>
      </c>
      <c r="I198" s="5">
        <f>VLOOKUP(I$1&amp;$A198,배당편집!$M$2:$T$2710,8,FALSE)</f>
        <v>3.3406482938779236E-2</v>
      </c>
      <c r="J198" s="5">
        <f>VLOOKUP(J$1&amp;$A198,배당편집!$M$2:$T$2710,8,FALSE)</f>
        <v>3.8573773084258578E-2</v>
      </c>
      <c r="K198" s="5">
        <f>VLOOKUP(K$1&amp;$A198,배당편집!$M$2:$T$2710,8,FALSE)</f>
        <v>8.0185187303563499E-2</v>
      </c>
      <c r="L198" s="5">
        <f>VLOOKUP(L$1&amp;$A198,배당편집!$M$2:$T$2710,8,FALSE)</f>
        <v>0.12700920209792543</v>
      </c>
      <c r="M198" s="5">
        <f>VLOOKUP(M$1&amp;$A198,배당편집!$M$2:$T$2710,8,FALSE)</f>
        <v>0.10534229649286941</v>
      </c>
      <c r="N198" s="5">
        <f>VLOOKUP(N$1&amp;$A198,배당편집!$M$2:$T$2710,8,FALSE)</f>
        <v>3.0731893154231082E-2</v>
      </c>
      <c r="O198" s="5">
        <f>VLOOKUP(O$1&amp;$A198,배당편집!$M$2:$T$2710,8,FALSE)</f>
        <v>0.1234275325950922</v>
      </c>
      <c r="P198" s="5">
        <f>VLOOKUP(P$1&amp;$A198,배당편집!$M$2:$T$2710,8,FALSE)</f>
        <v>9.8560543306117854E-2</v>
      </c>
      <c r="Q198" s="5">
        <f>VLOOKUP(Q$1&amp;$A198,배당편집!$M$2:$T$2710,8,FALSE)</f>
        <v>0.15578962436501453</v>
      </c>
      <c r="R198" s="5">
        <f>VLOOKUP(R$1&amp;$A198,배당편집!$M$2:$T$2710,8,FALSE)</f>
        <v>1.6675858612995365E-2</v>
      </c>
      <c r="S198" s="5">
        <f>VLOOKUP(S$1&amp;$A198,배당편집!$M$2:$T$2710,8,FALSE)</f>
        <v>3.4393501436834395E-2</v>
      </c>
      <c r="T198" s="5">
        <f>VLOOKUP(T$1&amp;$A198,배당편집!$M$2:$T$2710,8,FALSE)</f>
        <v>8.9976987048345336E-2</v>
      </c>
      <c r="U198" s="5" t="e">
        <f>VLOOKUP(U$1&amp;$A198,배당편집!$M$2:$T$2710,8,FALSE)</f>
        <v>#N/A</v>
      </c>
      <c r="V198" s="5">
        <f>VLOOKUP(V$1&amp;$A198,배당편집!$M$2:$T$2710,8,FALSE)</f>
        <v>8.6418770759613572E-2</v>
      </c>
      <c r="W198" s="5">
        <f>VLOOKUP(W$1&amp;$A198,배당편집!$M$2:$T$2710,8,FALSE)</f>
        <v>0.27944800171705086</v>
      </c>
      <c r="X198" s="5">
        <f>VLOOKUP(X$1&amp;$A198,배당편집!$M$2:$T$2710,8,FALSE)</f>
        <v>2.2750530662123625E-2</v>
      </c>
      <c r="Y198" s="5">
        <f>VLOOKUP(Y$1&amp;$A198,배당편집!$M$2:$T$2710,8,FALSE)</f>
        <v>5.0246072638682637E-2</v>
      </c>
      <c r="Z198" s="5">
        <f>VLOOKUP(Z$1&amp;$A198,배당편집!$M$2:$T$2710,8,FALSE)</f>
        <v>5.9223841048812176E-2</v>
      </c>
      <c r="AA198" s="5">
        <f>VLOOKUP(AA$1&amp;$A198,배당편집!$M$2:$T$2710,8,FALSE)</f>
        <v>0.1486983549970351</v>
      </c>
      <c r="AB198" s="5">
        <f>VLOOKUP(AB$1&amp;$A198,배당편집!$M$2:$T$2710,8,FALSE)</f>
        <v>7.6752325943092448E-2</v>
      </c>
      <c r="AC198" s="5">
        <f>VLOOKUP(AC$1&amp;$A198,배당편집!$M$2:$T$2710,8,FALSE)</f>
        <v>6.2006524379343286E-3</v>
      </c>
      <c r="AD198" s="5">
        <f>VLOOKUP(AD$1&amp;$A198,배당편집!$M$2:$T$2710,8,FALSE)</f>
        <v>0.12535507187104278</v>
      </c>
      <c r="AE198" s="5">
        <f>VLOOKUP(AE$1&amp;$A198,배당편집!$M$2:$T$2710,8,FALSE)</f>
        <v>1.9244876491456564E-2</v>
      </c>
      <c r="AF198" s="5">
        <f>VLOOKUP(AF$1&amp;$A198,배당편집!$M$2:$T$2710,8,FALSE)</f>
        <v>6.342724238285391E-2</v>
      </c>
    </row>
    <row r="199" spans="1:32" ht="16.5" customHeight="1">
      <c r="A199" s="3">
        <v>2006</v>
      </c>
      <c r="B199" s="3">
        <v>6</v>
      </c>
      <c r="C199" s="5">
        <f>VLOOKUP(C$1&amp;$A199,배당편집!$M$2:$T$2710,8,FALSE)</f>
        <v>0.13179836563100178</v>
      </c>
      <c r="D199" s="5">
        <f>VLOOKUP(D$1&amp;$A199,배당편집!$M$2:$T$2710,8,FALSE)</f>
        <v>5.9223841048812176E-2</v>
      </c>
      <c r="E199" s="5">
        <f>VLOOKUP(E$1&amp;$A199,배당편집!$M$2:$T$2710,8,FALSE)</f>
        <v>0.3195079107728942</v>
      </c>
      <c r="F199" s="5">
        <f>VLOOKUP(F$1&amp;$A199,배당편집!$M$2:$T$2710,8,FALSE)</f>
        <v>4.7451763732829999E-2</v>
      </c>
      <c r="G199" s="5">
        <f>VLOOKUP(G$1&amp;$A199,배당편집!$M$2:$T$2710,8,FALSE)</f>
        <v>7.7818067712725814E-2</v>
      </c>
      <c r="H199" s="5">
        <f>VLOOKUP(H$1&amp;$A199,배당편집!$M$2:$T$2710,8,FALSE)</f>
        <v>6.7249181879538877E-2</v>
      </c>
      <c r="I199" s="5">
        <f>VLOOKUP(I$1&amp;$A199,배당편집!$M$2:$T$2710,8,FALSE)</f>
        <v>3.3406482938779236E-2</v>
      </c>
      <c r="J199" s="5">
        <f>VLOOKUP(J$1&amp;$A199,배당편집!$M$2:$T$2710,8,FALSE)</f>
        <v>3.8573773084258578E-2</v>
      </c>
      <c r="K199" s="5">
        <f>VLOOKUP(K$1&amp;$A199,배당편집!$M$2:$T$2710,8,FALSE)</f>
        <v>8.0185187303563499E-2</v>
      </c>
      <c r="L199" s="5">
        <f>VLOOKUP(L$1&amp;$A199,배당편집!$M$2:$T$2710,8,FALSE)</f>
        <v>0.12700920209792543</v>
      </c>
      <c r="M199" s="5">
        <f>VLOOKUP(M$1&amp;$A199,배당편집!$M$2:$T$2710,8,FALSE)</f>
        <v>0.10534229649286941</v>
      </c>
      <c r="N199" s="5">
        <f>VLOOKUP(N$1&amp;$A199,배당편집!$M$2:$T$2710,8,FALSE)</f>
        <v>3.0731893154231082E-2</v>
      </c>
      <c r="O199" s="5">
        <f>VLOOKUP(O$1&amp;$A199,배당편집!$M$2:$T$2710,8,FALSE)</f>
        <v>0.1234275325950922</v>
      </c>
      <c r="P199" s="5">
        <f>VLOOKUP(P$1&amp;$A199,배당편집!$M$2:$T$2710,8,FALSE)</f>
        <v>9.8560543306117854E-2</v>
      </c>
      <c r="Q199" s="5">
        <f>VLOOKUP(Q$1&amp;$A199,배당편집!$M$2:$T$2710,8,FALSE)</f>
        <v>0.15578962436501453</v>
      </c>
      <c r="R199" s="5">
        <f>VLOOKUP(R$1&amp;$A199,배당편집!$M$2:$T$2710,8,FALSE)</f>
        <v>1.6675858612995365E-2</v>
      </c>
      <c r="S199" s="5">
        <f>VLOOKUP(S$1&amp;$A199,배당편집!$M$2:$T$2710,8,FALSE)</f>
        <v>3.4393501436834395E-2</v>
      </c>
      <c r="T199" s="5">
        <f>VLOOKUP(T$1&amp;$A199,배당편집!$M$2:$T$2710,8,FALSE)</f>
        <v>8.9976987048345336E-2</v>
      </c>
      <c r="U199" s="5" t="e">
        <f>VLOOKUP(U$1&amp;$A199,배당편집!$M$2:$T$2710,8,FALSE)</f>
        <v>#N/A</v>
      </c>
      <c r="V199" s="5">
        <f>VLOOKUP(V$1&amp;$A199,배당편집!$M$2:$T$2710,8,FALSE)</f>
        <v>8.6418770759613572E-2</v>
      </c>
      <c r="W199" s="5">
        <f>VLOOKUP(W$1&amp;$A199,배당편집!$M$2:$T$2710,8,FALSE)</f>
        <v>0.27944800171705086</v>
      </c>
      <c r="X199" s="5">
        <f>VLOOKUP(X$1&amp;$A199,배당편집!$M$2:$T$2710,8,FALSE)</f>
        <v>2.2750530662123625E-2</v>
      </c>
      <c r="Y199" s="5">
        <f>VLOOKUP(Y$1&amp;$A199,배당편집!$M$2:$T$2710,8,FALSE)</f>
        <v>5.0246072638682637E-2</v>
      </c>
      <c r="Z199" s="5">
        <f>VLOOKUP(Z$1&amp;$A199,배당편집!$M$2:$T$2710,8,FALSE)</f>
        <v>5.9223841048812176E-2</v>
      </c>
      <c r="AA199" s="5">
        <f>VLOOKUP(AA$1&amp;$A199,배당편집!$M$2:$T$2710,8,FALSE)</f>
        <v>0.1486983549970351</v>
      </c>
      <c r="AB199" s="5">
        <f>VLOOKUP(AB$1&amp;$A199,배당편집!$M$2:$T$2710,8,FALSE)</f>
        <v>7.6752325943092448E-2</v>
      </c>
      <c r="AC199" s="5">
        <f>VLOOKUP(AC$1&amp;$A199,배당편집!$M$2:$T$2710,8,FALSE)</f>
        <v>6.2006524379343286E-3</v>
      </c>
      <c r="AD199" s="5">
        <f>VLOOKUP(AD$1&amp;$A199,배당편집!$M$2:$T$2710,8,FALSE)</f>
        <v>0.12535507187104278</v>
      </c>
      <c r="AE199" s="5">
        <f>VLOOKUP(AE$1&amp;$A199,배당편집!$M$2:$T$2710,8,FALSE)</f>
        <v>1.9244876491456564E-2</v>
      </c>
      <c r="AF199" s="5">
        <f>VLOOKUP(AF$1&amp;$A199,배당편집!$M$2:$T$2710,8,FALSE)</f>
        <v>6.342724238285391E-2</v>
      </c>
    </row>
    <row r="200" spans="1:32" ht="16.5" customHeight="1">
      <c r="A200" s="3">
        <v>2006</v>
      </c>
      <c r="B200" s="3">
        <v>7</v>
      </c>
      <c r="C200" s="5">
        <f>VLOOKUP(C$1&amp;$A200,배당편집!$M$2:$T$2710,8,FALSE)</f>
        <v>0.13179836563100178</v>
      </c>
      <c r="D200" s="5">
        <f>VLOOKUP(D$1&amp;$A200,배당편집!$M$2:$T$2710,8,FALSE)</f>
        <v>5.9223841048812176E-2</v>
      </c>
      <c r="E200" s="5">
        <f>VLOOKUP(E$1&amp;$A200,배당편집!$M$2:$T$2710,8,FALSE)</f>
        <v>0.3195079107728942</v>
      </c>
      <c r="F200" s="5">
        <f>VLOOKUP(F$1&amp;$A200,배당편집!$M$2:$T$2710,8,FALSE)</f>
        <v>4.7451763732829999E-2</v>
      </c>
      <c r="G200" s="5">
        <f>VLOOKUP(G$1&amp;$A200,배당편집!$M$2:$T$2710,8,FALSE)</f>
        <v>7.7818067712725814E-2</v>
      </c>
      <c r="H200" s="5">
        <f>VLOOKUP(H$1&amp;$A200,배당편집!$M$2:$T$2710,8,FALSE)</f>
        <v>6.7249181879538877E-2</v>
      </c>
      <c r="I200" s="5">
        <f>VLOOKUP(I$1&amp;$A200,배당편집!$M$2:$T$2710,8,FALSE)</f>
        <v>3.3406482938779236E-2</v>
      </c>
      <c r="J200" s="5">
        <f>VLOOKUP(J$1&amp;$A200,배당편집!$M$2:$T$2710,8,FALSE)</f>
        <v>3.8573773084258578E-2</v>
      </c>
      <c r="K200" s="5">
        <f>VLOOKUP(K$1&amp;$A200,배당편집!$M$2:$T$2710,8,FALSE)</f>
        <v>8.0185187303563499E-2</v>
      </c>
      <c r="L200" s="5">
        <f>VLOOKUP(L$1&amp;$A200,배당편집!$M$2:$T$2710,8,FALSE)</f>
        <v>0.12700920209792543</v>
      </c>
      <c r="M200" s="5">
        <f>VLOOKUP(M$1&amp;$A200,배당편집!$M$2:$T$2710,8,FALSE)</f>
        <v>0.10534229649286941</v>
      </c>
      <c r="N200" s="5">
        <f>VLOOKUP(N$1&amp;$A200,배당편집!$M$2:$T$2710,8,FALSE)</f>
        <v>3.0731893154231082E-2</v>
      </c>
      <c r="O200" s="5">
        <f>VLOOKUP(O$1&amp;$A200,배당편집!$M$2:$T$2710,8,FALSE)</f>
        <v>0.1234275325950922</v>
      </c>
      <c r="P200" s="5">
        <f>VLOOKUP(P$1&amp;$A200,배당편집!$M$2:$T$2710,8,FALSE)</f>
        <v>9.8560543306117854E-2</v>
      </c>
      <c r="Q200" s="5">
        <f>VLOOKUP(Q$1&amp;$A200,배당편집!$M$2:$T$2710,8,FALSE)</f>
        <v>0.15578962436501453</v>
      </c>
      <c r="R200" s="5">
        <f>VLOOKUP(R$1&amp;$A200,배당편집!$M$2:$T$2710,8,FALSE)</f>
        <v>1.6675858612995365E-2</v>
      </c>
      <c r="S200" s="5">
        <f>VLOOKUP(S$1&amp;$A200,배당편집!$M$2:$T$2710,8,FALSE)</f>
        <v>3.4393501436834395E-2</v>
      </c>
      <c r="T200" s="5">
        <f>VLOOKUP(T$1&amp;$A200,배당편집!$M$2:$T$2710,8,FALSE)</f>
        <v>8.9976987048345336E-2</v>
      </c>
      <c r="U200" s="5" t="e">
        <f>VLOOKUP(U$1&amp;$A200,배당편집!$M$2:$T$2710,8,FALSE)</f>
        <v>#N/A</v>
      </c>
      <c r="V200" s="5">
        <f>VLOOKUP(V$1&amp;$A200,배당편집!$M$2:$T$2710,8,FALSE)</f>
        <v>8.6418770759613572E-2</v>
      </c>
      <c r="W200" s="5">
        <f>VLOOKUP(W$1&amp;$A200,배당편집!$M$2:$T$2710,8,FALSE)</f>
        <v>0.27944800171705086</v>
      </c>
      <c r="X200" s="5">
        <f>VLOOKUP(X$1&amp;$A200,배당편집!$M$2:$T$2710,8,FALSE)</f>
        <v>2.2750530662123625E-2</v>
      </c>
      <c r="Y200" s="5">
        <f>VLOOKUP(Y$1&amp;$A200,배당편집!$M$2:$T$2710,8,FALSE)</f>
        <v>5.0246072638682637E-2</v>
      </c>
      <c r="Z200" s="5">
        <f>VLOOKUP(Z$1&amp;$A200,배당편집!$M$2:$T$2710,8,FALSE)</f>
        <v>5.9223841048812176E-2</v>
      </c>
      <c r="AA200" s="5">
        <f>VLOOKUP(AA$1&amp;$A200,배당편집!$M$2:$T$2710,8,FALSE)</f>
        <v>0.1486983549970351</v>
      </c>
      <c r="AB200" s="5">
        <f>VLOOKUP(AB$1&amp;$A200,배당편집!$M$2:$T$2710,8,FALSE)</f>
        <v>7.6752325943092448E-2</v>
      </c>
      <c r="AC200" s="5">
        <f>VLOOKUP(AC$1&amp;$A200,배당편집!$M$2:$T$2710,8,FALSE)</f>
        <v>6.2006524379343286E-3</v>
      </c>
      <c r="AD200" s="5">
        <f>VLOOKUP(AD$1&amp;$A200,배당편집!$M$2:$T$2710,8,FALSE)</f>
        <v>0.12535507187104278</v>
      </c>
      <c r="AE200" s="5">
        <f>VLOOKUP(AE$1&amp;$A200,배당편집!$M$2:$T$2710,8,FALSE)</f>
        <v>1.9244876491456564E-2</v>
      </c>
      <c r="AF200" s="5">
        <f>VLOOKUP(AF$1&amp;$A200,배당편집!$M$2:$T$2710,8,FALSE)</f>
        <v>6.342724238285391E-2</v>
      </c>
    </row>
    <row r="201" spans="1:32" ht="16.5" customHeight="1">
      <c r="A201" s="3">
        <v>2006</v>
      </c>
      <c r="B201" s="3">
        <v>8</v>
      </c>
      <c r="C201" s="5">
        <f>VLOOKUP(C$1&amp;$A201,배당편집!$M$2:$T$2710,8,FALSE)</f>
        <v>0.13179836563100178</v>
      </c>
      <c r="D201" s="5">
        <f>VLOOKUP(D$1&amp;$A201,배당편집!$M$2:$T$2710,8,FALSE)</f>
        <v>5.9223841048812176E-2</v>
      </c>
      <c r="E201" s="5">
        <f>VLOOKUP(E$1&amp;$A201,배당편집!$M$2:$T$2710,8,FALSE)</f>
        <v>0.3195079107728942</v>
      </c>
      <c r="F201" s="5">
        <f>VLOOKUP(F$1&amp;$A201,배당편집!$M$2:$T$2710,8,FALSE)</f>
        <v>4.7451763732829999E-2</v>
      </c>
      <c r="G201" s="5">
        <f>VLOOKUP(G$1&amp;$A201,배당편집!$M$2:$T$2710,8,FALSE)</f>
        <v>7.7818067712725814E-2</v>
      </c>
      <c r="H201" s="5">
        <f>VLOOKUP(H$1&amp;$A201,배당편집!$M$2:$T$2710,8,FALSE)</f>
        <v>6.7249181879538877E-2</v>
      </c>
      <c r="I201" s="5">
        <f>VLOOKUP(I$1&amp;$A201,배당편집!$M$2:$T$2710,8,FALSE)</f>
        <v>3.3406482938779236E-2</v>
      </c>
      <c r="J201" s="5">
        <f>VLOOKUP(J$1&amp;$A201,배당편집!$M$2:$T$2710,8,FALSE)</f>
        <v>3.8573773084258578E-2</v>
      </c>
      <c r="K201" s="5">
        <f>VLOOKUP(K$1&amp;$A201,배당편집!$M$2:$T$2710,8,FALSE)</f>
        <v>8.0185187303563499E-2</v>
      </c>
      <c r="L201" s="5">
        <f>VLOOKUP(L$1&amp;$A201,배당편집!$M$2:$T$2710,8,FALSE)</f>
        <v>0.12700920209792543</v>
      </c>
      <c r="M201" s="5">
        <f>VLOOKUP(M$1&amp;$A201,배당편집!$M$2:$T$2710,8,FALSE)</f>
        <v>0.10534229649286941</v>
      </c>
      <c r="N201" s="5">
        <f>VLOOKUP(N$1&amp;$A201,배당편집!$M$2:$T$2710,8,FALSE)</f>
        <v>3.0731893154231082E-2</v>
      </c>
      <c r="O201" s="5">
        <f>VLOOKUP(O$1&amp;$A201,배당편집!$M$2:$T$2710,8,FALSE)</f>
        <v>0.1234275325950922</v>
      </c>
      <c r="P201" s="5">
        <f>VLOOKUP(P$1&amp;$A201,배당편집!$M$2:$T$2710,8,FALSE)</f>
        <v>9.8560543306117854E-2</v>
      </c>
      <c r="Q201" s="5">
        <f>VLOOKUP(Q$1&amp;$A201,배당편집!$M$2:$T$2710,8,FALSE)</f>
        <v>0.15578962436501453</v>
      </c>
      <c r="R201" s="5">
        <f>VLOOKUP(R$1&amp;$A201,배당편집!$M$2:$T$2710,8,FALSE)</f>
        <v>1.6675858612995365E-2</v>
      </c>
      <c r="S201" s="5">
        <f>VLOOKUP(S$1&amp;$A201,배당편집!$M$2:$T$2710,8,FALSE)</f>
        <v>3.4393501436834395E-2</v>
      </c>
      <c r="T201" s="5">
        <f>VLOOKUP(T$1&amp;$A201,배당편집!$M$2:$T$2710,8,FALSE)</f>
        <v>8.9976987048345336E-2</v>
      </c>
      <c r="U201" s="5" t="e">
        <f>VLOOKUP(U$1&amp;$A201,배당편집!$M$2:$T$2710,8,FALSE)</f>
        <v>#N/A</v>
      </c>
      <c r="V201" s="5">
        <f>VLOOKUP(V$1&amp;$A201,배당편집!$M$2:$T$2710,8,FALSE)</f>
        <v>8.6418770759613572E-2</v>
      </c>
      <c r="W201" s="5">
        <f>VLOOKUP(W$1&amp;$A201,배당편집!$M$2:$T$2710,8,FALSE)</f>
        <v>0.27944800171705086</v>
      </c>
      <c r="X201" s="5">
        <f>VLOOKUP(X$1&amp;$A201,배당편집!$M$2:$T$2710,8,FALSE)</f>
        <v>2.2750530662123625E-2</v>
      </c>
      <c r="Y201" s="5">
        <f>VLOOKUP(Y$1&amp;$A201,배당편집!$M$2:$T$2710,8,FALSE)</f>
        <v>5.0246072638682637E-2</v>
      </c>
      <c r="Z201" s="5">
        <f>VLOOKUP(Z$1&amp;$A201,배당편집!$M$2:$T$2710,8,FALSE)</f>
        <v>5.9223841048812176E-2</v>
      </c>
      <c r="AA201" s="5">
        <f>VLOOKUP(AA$1&amp;$A201,배당편집!$M$2:$T$2710,8,FALSE)</f>
        <v>0.1486983549970351</v>
      </c>
      <c r="AB201" s="5">
        <f>VLOOKUP(AB$1&amp;$A201,배당편집!$M$2:$T$2710,8,FALSE)</f>
        <v>7.6752325943092448E-2</v>
      </c>
      <c r="AC201" s="5">
        <f>VLOOKUP(AC$1&amp;$A201,배당편집!$M$2:$T$2710,8,FALSE)</f>
        <v>6.2006524379343286E-3</v>
      </c>
      <c r="AD201" s="5">
        <f>VLOOKUP(AD$1&amp;$A201,배당편집!$M$2:$T$2710,8,FALSE)</f>
        <v>0.12535507187104278</v>
      </c>
      <c r="AE201" s="5">
        <f>VLOOKUP(AE$1&amp;$A201,배당편집!$M$2:$T$2710,8,FALSE)</f>
        <v>1.9244876491456564E-2</v>
      </c>
      <c r="AF201" s="5">
        <f>VLOOKUP(AF$1&amp;$A201,배당편집!$M$2:$T$2710,8,FALSE)</f>
        <v>6.342724238285391E-2</v>
      </c>
    </row>
    <row r="202" spans="1:32" ht="16.5" customHeight="1">
      <c r="A202" s="3">
        <v>2006</v>
      </c>
      <c r="B202" s="3">
        <v>9</v>
      </c>
      <c r="C202" s="5">
        <f>VLOOKUP(C$1&amp;$A202,배당편집!$M$2:$T$2710,8,FALSE)</f>
        <v>0.13179836563100178</v>
      </c>
      <c r="D202" s="5">
        <f>VLOOKUP(D$1&amp;$A202,배당편집!$M$2:$T$2710,8,FALSE)</f>
        <v>5.9223841048812176E-2</v>
      </c>
      <c r="E202" s="5">
        <f>VLOOKUP(E$1&amp;$A202,배당편집!$M$2:$T$2710,8,FALSE)</f>
        <v>0.3195079107728942</v>
      </c>
      <c r="F202" s="5">
        <f>VLOOKUP(F$1&amp;$A202,배당편집!$M$2:$T$2710,8,FALSE)</f>
        <v>4.7451763732829999E-2</v>
      </c>
      <c r="G202" s="5">
        <f>VLOOKUP(G$1&amp;$A202,배당편집!$M$2:$T$2710,8,FALSE)</f>
        <v>7.7818067712725814E-2</v>
      </c>
      <c r="H202" s="5">
        <f>VLOOKUP(H$1&amp;$A202,배당편집!$M$2:$T$2710,8,FALSE)</f>
        <v>6.7249181879538877E-2</v>
      </c>
      <c r="I202" s="5">
        <f>VLOOKUP(I$1&amp;$A202,배당편집!$M$2:$T$2710,8,FALSE)</f>
        <v>3.3406482938779236E-2</v>
      </c>
      <c r="J202" s="5">
        <f>VLOOKUP(J$1&amp;$A202,배당편집!$M$2:$T$2710,8,FALSE)</f>
        <v>3.8573773084258578E-2</v>
      </c>
      <c r="K202" s="5">
        <f>VLOOKUP(K$1&amp;$A202,배당편집!$M$2:$T$2710,8,FALSE)</f>
        <v>8.0185187303563499E-2</v>
      </c>
      <c r="L202" s="5">
        <f>VLOOKUP(L$1&amp;$A202,배당편집!$M$2:$T$2710,8,FALSE)</f>
        <v>0.12700920209792543</v>
      </c>
      <c r="M202" s="5">
        <f>VLOOKUP(M$1&amp;$A202,배당편집!$M$2:$T$2710,8,FALSE)</f>
        <v>0.10534229649286941</v>
      </c>
      <c r="N202" s="5">
        <f>VLOOKUP(N$1&amp;$A202,배당편집!$M$2:$T$2710,8,FALSE)</f>
        <v>3.0731893154231082E-2</v>
      </c>
      <c r="O202" s="5">
        <f>VLOOKUP(O$1&amp;$A202,배당편집!$M$2:$T$2710,8,FALSE)</f>
        <v>0.1234275325950922</v>
      </c>
      <c r="P202" s="5">
        <f>VLOOKUP(P$1&amp;$A202,배당편집!$M$2:$T$2710,8,FALSE)</f>
        <v>9.8560543306117854E-2</v>
      </c>
      <c r="Q202" s="5">
        <f>VLOOKUP(Q$1&amp;$A202,배당편집!$M$2:$T$2710,8,FALSE)</f>
        <v>0.15578962436501453</v>
      </c>
      <c r="R202" s="5">
        <f>VLOOKUP(R$1&amp;$A202,배당편집!$M$2:$T$2710,8,FALSE)</f>
        <v>1.6675858612995365E-2</v>
      </c>
      <c r="S202" s="5">
        <f>VLOOKUP(S$1&amp;$A202,배당편집!$M$2:$T$2710,8,FALSE)</f>
        <v>3.4393501436834395E-2</v>
      </c>
      <c r="T202" s="5">
        <f>VLOOKUP(T$1&amp;$A202,배당편집!$M$2:$T$2710,8,FALSE)</f>
        <v>8.9976987048345336E-2</v>
      </c>
      <c r="U202" s="5" t="e">
        <f>VLOOKUP(U$1&amp;$A202,배당편집!$M$2:$T$2710,8,FALSE)</f>
        <v>#N/A</v>
      </c>
      <c r="V202" s="5">
        <f>VLOOKUP(V$1&amp;$A202,배당편집!$M$2:$T$2710,8,FALSE)</f>
        <v>8.6418770759613572E-2</v>
      </c>
      <c r="W202" s="5">
        <f>VLOOKUP(W$1&amp;$A202,배당편집!$M$2:$T$2710,8,FALSE)</f>
        <v>0.27944800171705086</v>
      </c>
      <c r="X202" s="5">
        <f>VLOOKUP(X$1&amp;$A202,배당편집!$M$2:$T$2710,8,FALSE)</f>
        <v>2.2750530662123625E-2</v>
      </c>
      <c r="Y202" s="5">
        <f>VLOOKUP(Y$1&amp;$A202,배당편집!$M$2:$T$2710,8,FALSE)</f>
        <v>5.0246072638682637E-2</v>
      </c>
      <c r="Z202" s="5">
        <f>VLOOKUP(Z$1&amp;$A202,배당편집!$M$2:$T$2710,8,FALSE)</f>
        <v>5.9223841048812176E-2</v>
      </c>
      <c r="AA202" s="5">
        <f>VLOOKUP(AA$1&amp;$A202,배당편집!$M$2:$T$2710,8,FALSE)</f>
        <v>0.1486983549970351</v>
      </c>
      <c r="AB202" s="5">
        <f>VLOOKUP(AB$1&amp;$A202,배당편집!$M$2:$T$2710,8,FALSE)</f>
        <v>7.6752325943092448E-2</v>
      </c>
      <c r="AC202" s="5">
        <f>VLOOKUP(AC$1&amp;$A202,배당편집!$M$2:$T$2710,8,FALSE)</f>
        <v>6.2006524379343286E-3</v>
      </c>
      <c r="AD202" s="5">
        <f>VLOOKUP(AD$1&amp;$A202,배당편집!$M$2:$T$2710,8,FALSE)</f>
        <v>0.12535507187104278</v>
      </c>
      <c r="AE202" s="5">
        <f>VLOOKUP(AE$1&amp;$A202,배당편집!$M$2:$T$2710,8,FALSE)</f>
        <v>1.9244876491456564E-2</v>
      </c>
      <c r="AF202" s="5">
        <f>VLOOKUP(AF$1&amp;$A202,배당편집!$M$2:$T$2710,8,FALSE)</f>
        <v>6.342724238285391E-2</v>
      </c>
    </row>
    <row r="203" spans="1:32" ht="16.5" customHeight="1">
      <c r="A203" s="3">
        <v>2006</v>
      </c>
      <c r="B203" s="3">
        <v>10</v>
      </c>
      <c r="C203" s="5">
        <f>VLOOKUP(C$1&amp;$A203,배당편집!$M$2:$T$2710,8,FALSE)</f>
        <v>0.13179836563100178</v>
      </c>
      <c r="D203" s="5">
        <f>VLOOKUP(D$1&amp;$A203,배당편집!$M$2:$T$2710,8,FALSE)</f>
        <v>5.9223841048812176E-2</v>
      </c>
      <c r="E203" s="5">
        <f>VLOOKUP(E$1&amp;$A203,배당편집!$M$2:$T$2710,8,FALSE)</f>
        <v>0.3195079107728942</v>
      </c>
      <c r="F203" s="5">
        <f>VLOOKUP(F$1&amp;$A203,배당편집!$M$2:$T$2710,8,FALSE)</f>
        <v>4.7451763732829999E-2</v>
      </c>
      <c r="G203" s="5">
        <f>VLOOKUP(G$1&amp;$A203,배당편집!$M$2:$T$2710,8,FALSE)</f>
        <v>7.7818067712725814E-2</v>
      </c>
      <c r="H203" s="5">
        <f>VLOOKUP(H$1&amp;$A203,배당편집!$M$2:$T$2710,8,FALSE)</f>
        <v>6.7249181879538877E-2</v>
      </c>
      <c r="I203" s="5">
        <f>VLOOKUP(I$1&amp;$A203,배당편집!$M$2:$T$2710,8,FALSE)</f>
        <v>3.3406482938779236E-2</v>
      </c>
      <c r="J203" s="5">
        <f>VLOOKUP(J$1&amp;$A203,배당편집!$M$2:$T$2710,8,FALSE)</f>
        <v>3.8573773084258578E-2</v>
      </c>
      <c r="K203" s="5">
        <f>VLOOKUP(K$1&amp;$A203,배당편집!$M$2:$T$2710,8,FALSE)</f>
        <v>8.0185187303563499E-2</v>
      </c>
      <c r="L203" s="5">
        <f>VLOOKUP(L$1&amp;$A203,배당편집!$M$2:$T$2710,8,FALSE)</f>
        <v>0.12700920209792543</v>
      </c>
      <c r="M203" s="5">
        <f>VLOOKUP(M$1&amp;$A203,배당편집!$M$2:$T$2710,8,FALSE)</f>
        <v>0.10534229649286941</v>
      </c>
      <c r="N203" s="5">
        <f>VLOOKUP(N$1&amp;$A203,배당편집!$M$2:$T$2710,8,FALSE)</f>
        <v>3.0731893154231082E-2</v>
      </c>
      <c r="O203" s="5">
        <f>VLOOKUP(O$1&amp;$A203,배당편집!$M$2:$T$2710,8,FALSE)</f>
        <v>0.1234275325950922</v>
      </c>
      <c r="P203" s="5">
        <f>VLOOKUP(P$1&amp;$A203,배당편집!$M$2:$T$2710,8,FALSE)</f>
        <v>9.8560543306117854E-2</v>
      </c>
      <c r="Q203" s="5">
        <f>VLOOKUP(Q$1&amp;$A203,배당편집!$M$2:$T$2710,8,FALSE)</f>
        <v>0.15578962436501453</v>
      </c>
      <c r="R203" s="5">
        <f>VLOOKUP(R$1&amp;$A203,배당편집!$M$2:$T$2710,8,FALSE)</f>
        <v>1.6675858612995365E-2</v>
      </c>
      <c r="S203" s="5">
        <f>VLOOKUP(S$1&amp;$A203,배당편집!$M$2:$T$2710,8,FALSE)</f>
        <v>3.4393501436834395E-2</v>
      </c>
      <c r="T203" s="5">
        <f>VLOOKUP(T$1&amp;$A203,배당편집!$M$2:$T$2710,8,FALSE)</f>
        <v>8.9976987048345336E-2</v>
      </c>
      <c r="U203" s="5" t="e">
        <f>VLOOKUP(U$1&amp;$A203,배당편집!$M$2:$T$2710,8,FALSE)</f>
        <v>#N/A</v>
      </c>
      <c r="V203" s="5">
        <f>VLOOKUP(V$1&amp;$A203,배당편집!$M$2:$T$2710,8,FALSE)</f>
        <v>8.6418770759613572E-2</v>
      </c>
      <c r="W203" s="5">
        <f>VLOOKUP(W$1&amp;$A203,배당편집!$M$2:$T$2710,8,FALSE)</f>
        <v>0.27944800171705086</v>
      </c>
      <c r="X203" s="5">
        <f>VLOOKUP(X$1&amp;$A203,배당편집!$M$2:$T$2710,8,FALSE)</f>
        <v>2.2750530662123625E-2</v>
      </c>
      <c r="Y203" s="5">
        <f>VLOOKUP(Y$1&amp;$A203,배당편집!$M$2:$T$2710,8,FALSE)</f>
        <v>5.0246072638682637E-2</v>
      </c>
      <c r="Z203" s="5">
        <f>VLOOKUP(Z$1&amp;$A203,배당편집!$M$2:$T$2710,8,FALSE)</f>
        <v>5.9223841048812176E-2</v>
      </c>
      <c r="AA203" s="5">
        <f>VLOOKUP(AA$1&amp;$A203,배당편집!$M$2:$T$2710,8,FALSE)</f>
        <v>0.1486983549970351</v>
      </c>
      <c r="AB203" s="5">
        <f>VLOOKUP(AB$1&amp;$A203,배당편집!$M$2:$T$2710,8,FALSE)</f>
        <v>7.6752325943092448E-2</v>
      </c>
      <c r="AC203" s="5">
        <f>VLOOKUP(AC$1&amp;$A203,배당편집!$M$2:$T$2710,8,FALSE)</f>
        <v>6.2006524379343286E-3</v>
      </c>
      <c r="AD203" s="5">
        <f>VLOOKUP(AD$1&amp;$A203,배당편집!$M$2:$T$2710,8,FALSE)</f>
        <v>0.12535507187104278</v>
      </c>
      <c r="AE203" s="5">
        <f>VLOOKUP(AE$1&amp;$A203,배당편집!$M$2:$T$2710,8,FALSE)</f>
        <v>1.9244876491456564E-2</v>
      </c>
      <c r="AF203" s="5">
        <f>VLOOKUP(AF$1&amp;$A203,배당편집!$M$2:$T$2710,8,FALSE)</f>
        <v>6.342724238285391E-2</v>
      </c>
    </row>
    <row r="204" spans="1:32" ht="16.5" customHeight="1">
      <c r="A204" s="3">
        <v>2006</v>
      </c>
      <c r="B204" s="3">
        <v>11</v>
      </c>
      <c r="C204" s="5">
        <f>VLOOKUP(C$1&amp;$A204,배당편집!$M$2:$T$2710,8,FALSE)</f>
        <v>0.13179836563100178</v>
      </c>
      <c r="D204" s="5">
        <f>VLOOKUP(D$1&amp;$A204,배당편집!$M$2:$T$2710,8,FALSE)</f>
        <v>5.9223841048812176E-2</v>
      </c>
      <c r="E204" s="5">
        <f>VLOOKUP(E$1&amp;$A204,배당편집!$M$2:$T$2710,8,FALSE)</f>
        <v>0.3195079107728942</v>
      </c>
      <c r="F204" s="5">
        <f>VLOOKUP(F$1&amp;$A204,배당편집!$M$2:$T$2710,8,FALSE)</f>
        <v>4.7451763732829999E-2</v>
      </c>
      <c r="G204" s="5">
        <f>VLOOKUP(G$1&amp;$A204,배당편집!$M$2:$T$2710,8,FALSE)</f>
        <v>7.7818067712725814E-2</v>
      </c>
      <c r="H204" s="5">
        <f>VLOOKUP(H$1&amp;$A204,배당편집!$M$2:$T$2710,8,FALSE)</f>
        <v>6.7249181879538877E-2</v>
      </c>
      <c r="I204" s="5">
        <f>VLOOKUP(I$1&amp;$A204,배당편집!$M$2:$T$2710,8,FALSE)</f>
        <v>3.3406482938779236E-2</v>
      </c>
      <c r="J204" s="5">
        <f>VLOOKUP(J$1&amp;$A204,배당편집!$M$2:$T$2710,8,FALSE)</f>
        <v>3.8573773084258578E-2</v>
      </c>
      <c r="K204" s="5">
        <f>VLOOKUP(K$1&amp;$A204,배당편집!$M$2:$T$2710,8,FALSE)</f>
        <v>8.0185187303563499E-2</v>
      </c>
      <c r="L204" s="5">
        <f>VLOOKUP(L$1&amp;$A204,배당편집!$M$2:$T$2710,8,FALSE)</f>
        <v>0.12700920209792543</v>
      </c>
      <c r="M204" s="5">
        <f>VLOOKUP(M$1&amp;$A204,배당편집!$M$2:$T$2710,8,FALSE)</f>
        <v>0.10534229649286941</v>
      </c>
      <c r="N204" s="5">
        <f>VLOOKUP(N$1&amp;$A204,배당편집!$M$2:$T$2710,8,FALSE)</f>
        <v>3.0731893154231082E-2</v>
      </c>
      <c r="O204" s="5">
        <f>VLOOKUP(O$1&amp;$A204,배당편집!$M$2:$T$2710,8,FALSE)</f>
        <v>0.1234275325950922</v>
      </c>
      <c r="P204" s="5">
        <f>VLOOKUP(P$1&amp;$A204,배당편집!$M$2:$T$2710,8,FALSE)</f>
        <v>9.8560543306117854E-2</v>
      </c>
      <c r="Q204" s="5">
        <f>VLOOKUP(Q$1&amp;$A204,배당편집!$M$2:$T$2710,8,FALSE)</f>
        <v>0.15578962436501453</v>
      </c>
      <c r="R204" s="5">
        <f>VLOOKUP(R$1&amp;$A204,배당편집!$M$2:$T$2710,8,FALSE)</f>
        <v>1.6675858612995365E-2</v>
      </c>
      <c r="S204" s="5">
        <f>VLOOKUP(S$1&amp;$A204,배당편집!$M$2:$T$2710,8,FALSE)</f>
        <v>3.4393501436834395E-2</v>
      </c>
      <c r="T204" s="5">
        <f>VLOOKUP(T$1&amp;$A204,배당편집!$M$2:$T$2710,8,FALSE)</f>
        <v>8.9976987048345336E-2</v>
      </c>
      <c r="U204" s="5" t="e">
        <f>VLOOKUP(U$1&amp;$A204,배당편집!$M$2:$T$2710,8,FALSE)</f>
        <v>#N/A</v>
      </c>
      <c r="V204" s="5">
        <f>VLOOKUP(V$1&amp;$A204,배당편집!$M$2:$T$2710,8,FALSE)</f>
        <v>8.6418770759613572E-2</v>
      </c>
      <c r="W204" s="5">
        <f>VLOOKUP(W$1&amp;$A204,배당편집!$M$2:$T$2710,8,FALSE)</f>
        <v>0.27944800171705086</v>
      </c>
      <c r="X204" s="5">
        <f>VLOOKUP(X$1&amp;$A204,배당편집!$M$2:$T$2710,8,FALSE)</f>
        <v>2.2750530662123625E-2</v>
      </c>
      <c r="Y204" s="5">
        <f>VLOOKUP(Y$1&amp;$A204,배당편집!$M$2:$T$2710,8,FALSE)</f>
        <v>5.0246072638682637E-2</v>
      </c>
      <c r="Z204" s="5">
        <f>VLOOKUP(Z$1&amp;$A204,배당편집!$M$2:$T$2710,8,FALSE)</f>
        <v>5.9223841048812176E-2</v>
      </c>
      <c r="AA204" s="5">
        <f>VLOOKUP(AA$1&amp;$A204,배당편집!$M$2:$T$2710,8,FALSE)</f>
        <v>0.1486983549970351</v>
      </c>
      <c r="AB204" s="5">
        <f>VLOOKUP(AB$1&amp;$A204,배당편집!$M$2:$T$2710,8,FALSE)</f>
        <v>7.6752325943092448E-2</v>
      </c>
      <c r="AC204" s="5">
        <f>VLOOKUP(AC$1&amp;$A204,배당편집!$M$2:$T$2710,8,FALSE)</f>
        <v>6.2006524379343286E-3</v>
      </c>
      <c r="AD204" s="5">
        <f>VLOOKUP(AD$1&amp;$A204,배당편집!$M$2:$T$2710,8,FALSE)</f>
        <v>0.12535507187104278</v>
      </c>
      <c r="AE204" s="5">
        <f>VLOOKUP(AE$1&amp;$A204,배당편집!$M$2:$T$2710,8,FALSE)</f>
        <v>1.9244876491456564E-2</v>
      </c>
      <c r="AF204" s="5">
        <f>VLOOKUP(AF$1&amp;$A204,배당편집!$M$2:$T$2710,8,FALSE)</f>
        <v>6.342724238285391E-2</v>
      </c>
    </row>
    <row r="205" spans="1:32" ht="16.5" customHeight="1">
      <c r="A205" s="3">
        <v>2006</v>
      </c>
      <c r="B205" s="3">
        <v>12</v>
      </c>
      <c r="C205" s="5">
        <f>VLOOKUP(C$1&amp;$A205,배당편집!$M$2:$T$2710,8,FALSE)</f>
        <v>0.13179836563100178</v>
      </c>
      <c r="D205" s="5">
        <f>VLOOKUP(D$1&amp;$A205,배당편집!$M$2:$T$2710,8,FALSE)</f>
        <v>5.9223841048812176E-2</v>
      </c>
      <c r="E205" s="5">
        <f>VLOOKUP(E$1&amp;$A205,배당편집!$M$2:$T$2710,8,FALSE)</f>
        <v>0.3195079107728942</v>
      </c>
      <c r="F205" s="5">
        <f>VLOOKUP(F$1&amp;$A205,배당편집!$M$2:$T$2710,8,FALSE)</f>
        <v>4.7451763732829999E-2</v>
      </c>
      <c r="G205" s="5">
        <f>VLOOKUP(G$1&amp;$A205,배당편집!$M$2:$T$2710,8,FALSE)</f>
        <v>7.7818067712725814E-2</v>
      </c>
      <c r="H205" s="5">
        <f>VLOOKUP(H$1&amp;$A205,배당편집!$M$2:$T$2710,8,FALSE)</f>
        <v>6.7249181879538877E-2</v>
      </c>
      <c r="I205" s="5">
        <f>VLOOKUP(I$1&amp;$A205,배당편집!$M$2:$T$2710,8,FALSE)</f>
        <v>3.3406482938779236E-2</v>
      </c>
      <c r="J205" s="5">
        <f>VLOOKUP(J$1&amp;$A205,배당편집!$M$2:$T$2710,8,FALSE)</f>
        <v>3.8573773084258578E-2</v>
      </c>
      <c r="K205" s="5">
        <f>VLOOKUP(K$1&amp;$A205,배당편집!$M$2:$T$2710,8,FALSE)</f>
        <v>8.0185187303563499E-2</v>
      </c>
      <c r="L205" s="5">
        <f>VLOOKUP(L$1&amp;$A205,배당편집!$M$2:$T$2710,8,FALSE)</f>
        <v>0.12700920209792543</v>
      </c>
      <c r="M205" s="5">
        <f>VLOOKUP(M$1&amp;$A205,배당편집!$M$2:$T$2710,8,FALSE)</f>
        <v>0.10534229649286941</v>
      </c>
      <c r="N205" s="5">
        <f>VLOOKUP(N$1&amp;$A205,배당편집!$M$2:$T$2710,8,FALSE)</f>
        <v>3.0731893154231082E-2</v>
      </c>
      <c r="O205" s="5">
        <f>VLOOKUP(O$1&amp;$A205,배당편집!$M$2:$T$2710,8,FALSE)</f>
        <v>0.1234275325950922</v>
      </c>
      <c r="P205" s="5">
        <f>VLOOKUP(P$1&amp;$A205,배당편집!$M$2:$T$2710,8,FALSE)</f>
        <v>9.8560543306117854E-2</v>
      </c>
      <c r="Q205" s="5">
        <f>VLOOKUP(Q$1&amp;$A205,배당편집!$M$2:$T$2710,8,FALSE)</f>
        <v>0.15578962436501453</v>
      </c>
      <c r="R205" s="5">
        <f>VLOOKUP(R$1&amp;$A205,배당편집!$M$2:$T$2710,8,FALSE)</f>
        <v>1.6675858612995365E-2</v>
      </c>
      <c r="S205" s="5">
        <f>VLOOKUP(S$1&amp;$A205,배당편집!$M$2:$T$2710,8,FALSE)</f>
        <v>3.4393501436834395E-2</v>
      </c>
      <c r="T205" s="5">
        <f>VLOOKUP(T$1&amp;$A205,배당편집!$M$2:$T$2710,8,FALSE)</f>
        <v>8.9976987048345336E-2</v>
      </c>
      <c r="U205" s="5" t="e">
        <f>VLOOKUP(U$1&amp;$A205,배당편집!$M$2:$T$2710,8,FALSE)</f>
        <v>#N/A</v>
      </c>
      <c r="V205" s="5">
        <f>VLOOKUP(V$1&amp;$A205,배당편집!$M$2:$T$2710,8,FALSE)</f>
        <v>8.6418770759613572E-2</v>
      </c>
      <c r="W205" s="5">
        <f>VLOOKUP(W$1&amp;$A205,배당편집!$M$2:$T$2710,8,FALSE)</f>
        <v>0.27944800171705086</v>
      </c>
      <c r="X205" s="5">
        <f>VLOOKUP(X$1&amp;$A205,배당편집!$M$2:$T$2710,8,FALSE)</f>
        <v>2.2750530662123625E-2</v>
      </c>
      <c r="Y205" s="5">
        <f>VLOOKUP(Y$1&amp;$A205,배당편집!$M$2:$T$2710,8,FALSE)</f>
        <v>5.0246072638682637E-2</v>
      </c>
      <c r="Z205" s="5">
        <f>VLOOKUP(Z$1&amp;$A205,배당편집!$M$2:$T$2710,8,FALSE)</f>
        <v>5.9223841048812176E-2</v>
      </c>
      <c r="AA205" s="5">
        <f>VLOOKUP(AA$1&amp;$A205,배당편집!$M$2:$T$2710,8,FALSE)</f>
        <v>0.1486983549970351</v>
      </c>
      <c r="AB205" s="5">
        <f>VLOOKUP(AB$1&amp;$A205,배당편집!$M$2:$T$2710,8,FALSE)</f>
        <v>7.6752325943092448E-2</v>
      </c>
      <c r="AC205" s="5">
        <f>VLOOKUP(AC$1&amp;$A205,배당편집!$M$2:$T$2710,8,FALSE)</f>
        <v>6.2006524379343286E-3</v>
      </c>
      <c r="AD205" s="5">
        <f>VLOOKUP(AD$1&amp;$A205,배당편집!$M$2:$T$2710,8,FALSE)</f>
        <v>0.12535507187104278</v>
      </c>
      <c r="AE205" s="5">
        <f>VLOOKUP(AE$1&amp;$A205,배당편집!$M$2:$T$2710,8,FALSE)</f>
        <v>1.9244876491456564E-2</v>
      </c>
      <c r="AF205" s="5">
        <f>VLOOKUP(AF$1&amp;$A205,배당편집!$M$2:$T$2710,8,FALSE)</f>
        <v>6.342724238285391E-2</v>
      </c>
    </row>
    <row r="206" spans="1:32" ht="16.5" customHeight="1"/>
    <row r="207" spans="1:32" ht="16.5" customHeight="1"/>
    <row r="208" spans="1:32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981"/>
  <sheetViews>
    <sheetView zoomScale="73" zoomScaleNormal="73" workbookViewId="0">
      <selection activeCell="AD15" sqref="AD15"/>
    </sheetView>
  </sheetViews>
  <sheetFormatPr defaultColWidth="14.44140625" defaultRowHeight="15" customHeight="1"/>
  <cols>
    <col min="1" max="31" width="8.77734375" style="4" customWidth="1"/>
  </cols>
  <sheetData>
    <row r="1" spans="1:31" s="6" customFormat="1" ht="16.5" customHeight="1">
      <c r="A1" s="8" t="s">
        <v>1</v>
      </c>
      <c r="B1" s="8" t="s">
        <v>44</v>
      </c>
      <c r="C1" s="8" t="s">
        <v>38</v>
      </c>
      <c r="D1" s="8" t="s">
        <v>53</v>
      </c>
      <c r="E1" s="8" t="s">
        <v>29</v>
      </c>
      <c r="F1" s="8" t="s">
        <v>42</v>
      </c>
      <c r="G1" s="8" t="s">
        <v>36</v>
      </c>
      <c r="H1" s="8" t="s">
        <v>32</v>
      </c>
      <c r="I1" s="8" t="s">
        <v>33</v>
      </c>
      <c r="J1" s="8" t="s">
        <v>27</v>
      </c>
      <c r="K1" s="8" t="s">
        <v>41</v>
      </c>
      <c r="L1" s="8" t="s">
        <v>39</v>
      </c>
      <c r="M1" s="8" t="s">
        <v>26</v>
      </c>
      <c r="N1" s="8" t="s">
        <v>46</v>
      </c>
      <c r="O1" s="8" t="s">
        <v>28</v>
      </c>
      <c r="P1" s="8" t="s">
        <v>19</v>
      </c>
      <c r="Q1" s="8" t="s">
        <v>35</v>
      </c>
      <c r="R1" s="8" t="s">
        <v>47</v>
      </c>
      <c r="S1" s="8" t="s">
        <v>49</v>
      </c>
      <c r="T1" s="8" t="s">
        <v>52</v>
      </c>
      <c r="U1" s="8" t="s">
        <v>25</v>
      </c>
      <c r="V1" s="8" t="s">
        <v>34</v>
      </c>
      <c r="W1" s="8" t="s">
        <v>43</v>
      </c>
      <c r="X1" s="8" t="s">
        <v>31</v>
      </c>
      <c r="Y1" s="8" t="s">
        <v>48</v>
      </c>
      <c r="Z1" s="8" t="s">
        <v>51</v>
      </c>
      <c r="AA1" s="8" t="s">
        <v>45</v>
      </c>
      <c r="AB1" s="8" t="s">
        <v>37</v>
      </c>
      <c r="AC1" s="8" t="s">
        <v>30</v>
      </c>
      <c r="AD1" s="8" t="s">
        <v>50</v>
      </c>
      <c r="AE1" s="8" t="s">
        <v>40</v>
      </c>
    </row>
    <row r="2" spans="1:31" ht="16.5" customHeight="1">
      <c r="A2" s="3">
        <v>2022</v>
      </c>
      <c r="B2" s="3">
        <v>4.5211874684310223</v>
      </c>
      <c r="C2" s="3">
        <v>4.4865826541214471</v>
      </c>
      <c r="D2" s="3">
        <v>4.514340488039176</v>
      </c>
      <c r="E2" s="3">
        <v>4.7227978259606749</v>
      </c>
      <c r="F2" s="3">
        <v>4.3379435211970128</v>
      </c>
      <c r="G2" s="3">
        <v>4.4353018572602334</v>
      </c>
      <c r="H2" s="3">
        <v>4.5710161831329268</v>
      </c>
      <c r="I2" s="3">
        <v>4.526185470165272</v>
      </c>
      <c r="J2" s="3">
        <v>4.6737685245813569</v>
      </c>
      <c r="K2" s="3">
        <v>4.6878283504520333</v>
      </c>
      <c r="L2" s="3">
        <v>4.689480503720219</v>
      </c>
      <c r="M2" s="3">
        <v>4.6419987786684542</v>
      </c>
      <c r="N2" s="3">
        <v>4.700246578802056</v>
      </c>
      <c r="O2" s="3">
        <v>4.6359267393206309</v>
      </c>
      <c r="P2" s="3">
        <v>4.6469969872558661</v>
      </c>
      <c r="Q2" s="3">
        <v>4.70819237774736</v>
      </c>
      <c r="R2" s="3">
        <v>4.6107853667097558</v>
      </c>
      <c r="S2" s="3">
        <v>4.6927255270695802</v>
      </c>
      <c r="T2" s="3">
        <v>4.7777202610560581</v>
      </c>
      <c r="U2" s="3">
        <v>4.7291929123679592</v>
      </c>
      <c r="V2" s="3">
        <v>4.7836159413223447</v>
      </c>
      <c r="W2" s="3">
        <v>4.7716257572088052</v>
      </c>
      <c r="X2" s="3">
        <v>4.7746078710423143</v>
      </c>
      <c r="Y2" s="3">
        <v>4.7240782097676286</v>
      </c>
      <c r="Z2" s="3">
        <v>4.6192300076626296</v>
      </c>
      <c r="AA2" s="3">
        <v>4.7875958889350345</v>
      </c>
      <c r="AB2" s="3">
        <v>4.772486753527323</v>
      </c>
      <c r="AC2" s="3">
        <v>4.7266003342823497</v>
      </c>
      <c r="AD2" s="3">
        <v>4.814262953553091</v>
      </c>
      <c r="AE2" s="3">
        <v>4.7550549063890015</v>
      </c>
    </row>
    <row r="3" spans="1:31" ht="16.5" customHeight="1">
      <c r="A3" s="3">
        <v>2021</v>
      </c>
      <c r="B3" s="3">
        <v>4.5890231417024969</v>
      </c>
      <c r="C3" s="3">
        <v>4.5269069428487461</v>
      </c>
      <c r="D3" s="3">
        <v>4.5604587694303458</v>
      </c>
      <c r="E3" s="3">
        <v>4.7562359708438393</v>
      </c>
      <c r="F3" s="3">
        <v>4.3285597041431112</v>
      </c>
      <c r="G3" s="3">
        <v>4.4184000106433974</v>
      </c>
      <c r="H3" s="3">
        <v>4.5851129089752201</v>
      </c>
      <c r="I3" s="3">
        <v>4.53333161465914</v>
      </c>
      <c r="J3" s="3">
        <v>4.652874694907009</v>
      </c>
      <c r="K3" s="3">
        <v>4.6230164802314357</v>
      </c>
      <c r="L3" s="3">
        <v>4.7091900245922869</v>
      </c>
      <c r="M3" s="3">
        <v>4.6089123198777804</v>
      </c>
      <c r="N3" s="3">
        <v>4.7003141253968712</v>
      </c>
      <c r="O3" s="3">
        <v>4.6141386298873455</v>
      </c>
      <c r="P3" s="3">
        <v>4.6488334021138771</v>
      </c>
      <c r="Q3" s="3">
        <v>4.6994663414254401</v>
      </c>
      <c r="R3" s="3">
        <v>4.5961824407154133</v>
      </c>
      <c r="S3" s="3">
        <v>4.7066166171801376</v>
      </c>
      <c r="T3" s="3">
        <v>4.8005452115942058</v>
      </c>
      <c r="U3" s="3">
        <v>4.735863481507752</v>
      </c>
      <c r="V3" s="3">
        <v>4.7776005811819653</v>
      </c>
      <c r="W3" s="3">
        <v>4.7800917471236284</v>
      </c>
      <c r="X3" s="3">
        <v>4.7724104353456474</v>
      </c>
      <c r="Y3" s="3">
        <v>4.7292922340694874</v>
      </c>
      <c r="Z3" s="3">
        <v>4.5930300417332299</v>
      </c>
      <c r="AA3" s="3">
        <v>4.7709333833249614</v>
      </c>
      <c r="AB3" s="3">
        <v>4.7651660468664128</v>
      </c>
      <c r="AC3" s="3">
        <v>4.7286024997875904</v>
      </c>
      <c r="AD3" s="3">
        <v>4.8218896908073061</v>
      </c>
      <c r="AE3" s="3">
        <v>4.7372239758604762</v>
      </c>
    </row>
    <row r="4" spans="1:31" ht="16.5" customHeight="1">
      <c r="A4" s="3">
        <v>2020</v>
      </c>
      <c r="B4" s="3">
        <v>4.6393958587711079</v>
      </c>
      <c r="C4" s="3">
        <v>4.5488554732137745</v>
      </c>
      <c r="D4" s="3">
        <v>4.6347750026009411</v>
      </c>
      <c r="E4" s="3">
        <v>4.7461368893956184</v>
      </c>
      <c r="F4" s="3">
        <v>4.3923173950223431</v>
      </c>
      <c r="G4" s="3">
        <v>4.4362545117158669</v>
      </c>
      <c r="H4" s="3">
        <v>4.5963605849199736</v>
      </c>
      <c r="I4" s="3">
        <v>4.5417584946641201</v>
      </c>
      <c r="J4" s="3">
        <v>4.6105443061620202</v>
      </c>
      <c r="K4" s="3">
        <v>4.5796463298665904</v>
      </c>
      <c r="L4" s="3">
        <v>4.7105327292659753</v>
      </c>
      <c r="M4" s="3">
        <v>4.5679593120316246</v>
      </c>
      <c r="N4" s="3">
        <v>4.6893536780861549</v>
      </c>
      <c r="O4" s="3">
        <v>4.5929827475496277</v>
      </c>
      <c r="P4" s="3">
        <v>4.6417989183276793</v>
      </c>
      <c r="Q4" s="3">
        <v>4.7060607120573703</v>
      </c>
      <c r="R4" s="3">
        <v>4.5979316134413555</v>
      </c>
      <c r="S4" s="3">
        <v>4.7193334071854327</v>
      </c>
      <c r="T4" s="3">
        <v>4.8185470810706734</v>
      </c>
      <c r="U4" s="3">
        <v>4.76105330053415</v>
      </c>
      <c r="V4" s="3">
        <v>4.776859378790653</v>
      </c>
      <c r="W4" s="3">
        <v>4.7770572915478899</v>
      </c>
      <c r="X4" s="3">
        <v>4.7490160074393355</v>
      </c>
      <c r="Y4" s="3">
        <v>4.7246325603913117</v>
      </c>
      <c r="Z4" s="3">
        <v>4.5782952009291806</v>
      </c>
      <c r="AA4" s="3">
        <v>4.740314433697205</v>
      </c>
      <c r="AB4" s="3">
        <v>4.7404492053209948</v>
      </c>
      <c r="AC4" s="3">
        <v>4.7184915379861065</v>
      </c>
      <c r="AD4" s="3">
        <v>4.8164541901309086</v>
      </c>
      <c r="AE4" s="3">
        <v>4.7067474474328401</v>
      </c>
    </row>
    <row r="5" spans="1:31" ht="16.5" customHeight="1">
      <c r="A5" s="3">
        <v>2019</v>
      </c>
      <c r="B5" s="3">
        <v>4.7093995967588977</v>
      </c>
      <c r="C5" s="3">
        <v>4.5842306198043774</v>
      </c>
      <c r="D5" s="3">
        <v>4.7624901867181837</v>
      </c>
      <c r="E5" s="3">
        <v>4.7399358358083017</v>
      </c>
      <c r="F5" s="3">
        <v>4.4980546102999108</v>
      </c>
      <c r="G5" s="3">
        <v>4.4604853059763876</v>
      </c>
      <c r="H5" s="3">
        <v>4.592603149533157</v>
      </c>
      <c r="I5" s="3">
        <v>4.5792029452081922</v>
      </c>
      <c r="J5" s="3">
        <v>4.5949527639360861</v>
      </c>
      <c r="K5" s="3">
        <v>4.5743207054372537</v>
      </c>
      <c r="L5" s="3">
        <v>4.7232423150198111</v>
      </c>
      <c r="M5" s="3">
        <v>4.5613452152548115</v>
      </c>
      <c r="N5" s="3">
        <v>4.6800969137126405</v>
      </c>
      <c r="O5" s="3">
        <v>4.5764817396858639</v>
      </c>
      <c r="P5" s="3">
        <v>4.637918886922785</v>
      </c>
      <c r="Q5" s="3">
        <v>4.6917860246424654</v>
      </c>
      <c r="R5" s="3">
        <v>4.617484281266238</v>
      </c>
      <c r="S5" s="3">
        <v>4.7450253129547573</v>
      </c>
      <c r="T5" s="3">
        <v>4.8471032711354445</v>
      </c>
      <c r="U5" s="3">
        <v>4.7946669483105167</v>
      </c>
      <c r="V5" s="3">
        <v>4.7906604979665302</v>
      </c>
      <c r="W5" s="3">
        <v>4.7940297169506829</v>
      </c>
      <c r="X5" s="3">
        <v>4.7462095231798971</v>
      </c>
      <c r="Y5" s="3">
        <v>4.7269280863769785</v>
      </c>
      <c r="Z5" s="3">
        <v>4.6119126181430055</v>
      </c>
      <c r="AA5" s="3">
        <v>4.7268972187872373</v>
      </c>
      <c r="AB5" s="3">
        <v>4.709917985225923</v>
      </c>
      <c r="AC5" s="3">
        <v>4.7141489232659159</v>
      </c>
      <c r="AD5" s="3">
        <v>4.8200373867773409</v>
      </c>
      <c r="AE5" s="3">
        <v>4.6913042165884056</v>
      </c>
    </row>
    <row r="6" spans="1:31" ht="16.5" customHeight="1">
      <c r="A6" s="3">
        <v>2018</v>
      </c>
      <c r="B6" s="3">
        <v>4.7411460238848795</v>
      </c>
      <c r="C6" s="3">
        <v>4.5891872720697826</v>
      </c>
      <c r="D6" s="3">
        <v>4.843175112755306</v>
      </c>
      <c r="E6" s="3">
        <v>4.7308898784167033</v>
      </c>
      <c r="F6" s="3">
        <v>4.5487201814657654</v>
      </c>
      <c r="G6" s="3">
        <v>4.4783222150534145</v>
      </c>
      <c r="H6" s="3">
        <v>4.5880249889635207</v>
      </c>
      <c r="I6" s="3">
        <v>4.6112963632681696</v>
      </c>
      <c r="J6" s="3">
        <v>4.6059190633442428</v>
      </c>
      <c r="K6" s="3">
        <v>4.5902307904102386</v>
      </c>
      <c r="L6" s="3">
        <v>4.7315650305491603</v>
      </c>
      <c r="M6" s="3">
        <v>4.5735821538194497</v>
      </c>
      <c r="N6" s="3">
        <v>4.6788197039618309</v>
      </c>
      <c r="O6" s="3">
        <v>4.572412687282867</v>
      </c>
      <c r="P6" s="3">
        <v>4.6412156756296206</v>
      </c>
      <c r="Q6" s="3">
        <v>4.6671474893761005</v>
      </c>
      <c r="R6" s="3">
        <v>4.6320502884594452</v>
      </c>
      <c r="S6" s="3">
        <v>4.7488769481059663</v>
      </c>
      <c r="T6" s="3">
        <v>4.8686528527704418</v>
      </c>
      <c r="U6" s="3">
        <v>4.8263411219247923</v>
      </c>
      <c r="V6" s="3">
        <v>4.7987582400674524</v>
      </c>
      <c r="W6" s="3">
        <v>4.8031882801352976</v>
      </c>
      <c r="X6" s="3">
        <v>4.7542210561339537</v>
      </c>
      <c r="Y6" s="3">
        <v>4.7212454731882332</v>
      </c>
      <c r="Z6" s="3">
        <v>4.6621423111040086</v>
      </c>
      <c r="AA6" s="3">
        <v>4.7368800383143572</v>
      </c>
      <c r="AB6" s="3">
        <v>4.6745448891719965</v>
      </c>
      <c r="AC6" s="3">
        <v>4.699552863655744</v>
      </c>
      <c r="AD6" s="3">
        <v>4.824106149624785</v>
      </c>
      <c r="AE6" s="3">
        <v>4.7056625573823654</v>
      </c>
    </row>
    <row r="7" spans="1:31" ht="16.5" customHeight="1">
      <c r="A7" s="3">
        <v>2017</v>
      </c>
      <c r="B7" s="3">
        <v>4.7506349049970993</v>
      </c>
      <c r="C7" s="3">
        <v>4.5801204047333535</v>
      </c>
      <c r="D7" s="3">
        <v>4.9116913545547991</v>
      </c>
      <c r="E7" s="3">
        <v>4.7208296494706312</v>
      </c>
      <c r="F7" s="3">
        <v>4.5970781758068178</v>
      </c>
      <c r="G7" s="3">
        <v>4.5008164999623448</v>
      </c>
      <c r="H7" s="3">
        <v>4.5902253695203346</v>
      </c>
      <c r="I7" s="3">
        <v>4.6352002769989555</v>
      </c>
      <c r="J7" s="3">
        <v>4.6047133121486121</v>
      </c>
      <c r="K7" s="3">
        <v>4.6261883775191235</v>
      </c>
      <c r="L7" s="3">
        <v>4.7345471675516331</v>
      </c>
      <c r="M7" s="3">
        <v>4.5765457980907893</v>
      </c>
      <c r="N7" s="3">
        <v>4.6770109248667575</v>
      </c>
      <c r="O7" s="3">
        <v>4.5871882081922291</v>
      </c>
      <c r="P7" s="3">
        <v>4.6368273773121453</v>
      </c>
      <c r="Q7" s="3">
        <v>4.6358199572059426</v>
      </c>
      <c r="R7" s="3">
        <v>4.6398625798414441</v>
      </c>
      <c r="S7" s="3">
        <v>4.7174107342968723</v>
      </c>
      <c r="T7" s="3">
        <v>4.8754381953977175</v>
      </c>
      <c r="U7" s="3">
        <v>4.8563891389118261</v>
      </c>
      <c r="V7" s="3">
        <v>4.8038887179009881</v>
      </c>
      <c r="W7" s="3">
        <v>4.8042633527806657</v>
      </c>
      <c r="X7" s="3">
        <v>4.7584812193157893</v>
      </c>
      <c r="Y7" s="3">
        <v>4.7099033446710381</v>
      </c>
      <c r="Z7" s="3">
        <v>4.6848714120572135</v>
      </c>
      <c r="AA7" s="3">
        <v>4.7172425540550336</v>
      </c>
      <c r="AB7" s="3">
        <v>4.6414910419655824</v>
      </c>
      <c r="AC7" s="3">
        <v>4.690375168822448</v>
      </c>
      <c r="AD7" s="3">
        <v>4.8218355870787244</v>
      </c>
      <c r="AE7" s="3">
        <v>4.7191268677443325</v>
      </c>
    </row>
    <row r="8" spans="1:31" ht="16.5" customHeight="1">
      <c r="A8" s="3">
        <v>2016</v>
      </c>
      <c r="B8" s="3">
        <v>4.7427185262252216</v>
      </c>
      <c r="C8" s="3">
        <v>4.5327782774619196</v>
      </c>
      <c r="D8" s="3">
        <v>4.9526046698325308</v>
      </c>
      <c r="E8" s="3">
        <v>4.6978946269793029</v>
      </c>
      <c r="F8" s="3">
        <v>4.6333331855052489</v>
      </c>
      <c r="G8" s="3">
        <v>4.5278502948574619</v>
      </c>
      <c r="H8" s="3">
        <v>4.5466993729641967</v>
      </c>
      <c r="I8" s="3">
        <v>4.6359646684943971</v>
      </c>
      <c r="J8" s="3">
        <v>4.6305701549207088</v>
      </c>
      <c r="K8" s="3">
        <v>4.6800651458261964</v>
      </c>
      <c r="L8" s="3">
        <v>4.7145713521199202</v>
      </c>
      <c r="M8" s="3">
        <v>4.589368040689453</v>
      </c>
      <c r="N8" s="3">
        <v>4.666906071526788</v>
      </c>
      <c r="O8" s="3">
        <v>4.5891315672623465</v>
      </c>
      <c r="P8" s="3">
        <v>4.6120549780909199</v>
      </c>
      <c r="Q8" s="3">
        <v>4.584286424974878</v>
      </c>
      <c r="R8" s="3">
        <v>4.6419227112354404</v>
      </c>
      <c r="S8" s="3">
        <v>4.6902329043957982</v>
      </c>
      <c r="T8" s="3">
        <v>4.8680100409642391</v>
      </c>
      <c r="U8" s="3">
        <v>4.8829287617696568</v>
      </c>
      <c r="V8" s="3">
        <v>4.8047479446449017</v>
      </c>
      <c r="W8" s="3">
        <v>4.7858978869616857</v>
      </c>
      <c r="X8" s="3">
        <v>4.7598293464237118</v>
      </c>
      <c r="Y8" s="3">
        <v>4.679932210223499</v>
      </c>
      <c r="Z8" s="3">
        <v>4.7012314179080983</v>
      </c>
      <c r="AA8" s="3">
        <v>4.7013843561222641</v>
      </c>
      <c r="AB8" s="3">
        <v>4.6023932018189981</v>
      </c>
      <c r="AC8" s="3">
        <v>4.6756312418324937</v>
      </c>
      <c r="AD8" s="3">
        <v>4.8085709294773773</v>
      </c>
      <c r="AE8" s="3">
        <v>4.7245752898561832</v>
      </c>
    </row>
    <row r="9" spans="1:31" ht="16.5" customHeight="1">
      <c r="A9" s="3">
        <v>2015</v>
      </c>
      <c r="B9" s="3">
        <v>4.7500258400168525</v>
      </c>
      <c r="C9" s="3">
        <v>4.4818295888901094</v>
      </c>
      <c r="D9" s="3">
        <v>4.9680260591427672</v>
      </c>
      <c r="E9" s="3">
        <v>4.7006739066870242</v>
      </c>
      <c r="F9" s="3">
        <v>4.6611211362895828</v>
      </c>
      <c r="G9" s="3">
        <v>4.5646628218766692</v>
      </c>
      <c r="H9" s="3">
        <v>4.501834985036254</v>
      </c>
      <c r="I9" s="3">
        <v>4.6540384408273532</v>
      </c>
      <c r="J9" s="3">
        <v>4.6806769650266142</v>
      </c>
      <c r="K9" s="3">
        <v>4.7256984937557993</v>
      </c>
      <c r="L9" s="3">
        <v>4.6986466824781843</v>
      </c>
      <c r="M9" s="3">
        <v>4.6173660616581538</v>
      </c>
      <c r="N9" s="3">
        <v>4.6718101146055373</v>
      </c>
      <c r="O9" s="3">
        <v>4.5972203920529147</v>
      </c>
      <c r="P9" s="3">
        <v>4.5966592353220079</v>
      </c>
      <c r="Q9" s="3">
        <v>4.5367228073261066</v>
      </c>
      <c r="R9" s="3">
        <v>4.6312116428098351</v>
      </c>
      <c r="S9" s="3">
        <v>4.6797520436478575</v>
      </c>
      <c r="T9" s="3">
        <v>4.8768630731424993</v>
      </c>
      <c r="U9" s="3">
        <v>4.8952417093440532</v>
      </c>
      <c r="V9" s="3">
        <v>4.7982443080110571</v>
      </c>
      <c r="W9" s="3">
        <v>4.7561691447289487</v>
      </c>
      <c r="X9" s="3">
        <v>4.7850959949831084</v>
      </c>
      <c r="Y9" s="3">
        <v>4.6665722573492125</v>
      </c>
      <c r="Z9" s="3">
        <v>4.7274276973745453</v>
      </c>
      <c r="AA9" s="3">
        <v>4.6776995592267596</v>
      </c>
      <c r="AB9" s="3">
        <v>4.5792069423644328</v>
      </c>
      <c r="AC9" s="3">
        <v>4.664293058440375</v>
      </c>
      <c r="AD9" s="3">
        <v>4.8059185328052552</v>
      </c>
      <c r="AE9" s="3">
        <v>4.739229984585311</v>
      </c>
    </row>
    <row r="10" spans="1:31" ht="16.5" customHeight="1">
      <c r="A10" s="3">
        <v>2014</v>
      </c>
      <c r="B10" s="3">
        <v>4.7531700825348917</v>
      </c>
      <c r="C10" s="3">
        <v>4.4341578069900747</v>
      </c>
      <c r="D10" s="3">
        <v>4.9702414893522704</v>
      </c>
      <c r="E10" s="3">
        <v>4.693223858023857</v>
      </c>
      <c r="F10" s="3">
        <v>4.6750696329712502</v>
      </c>
      <c r="G10" s="3">
        <v>4.5831800335833739</v>
      </c>
      <c r="H10" s="3">
        <v>4.4656555313701389</v>
      </c>
      <c r="I10" s="3">
        <v>4.6657909847525474</v>
      </c>
      <c r="J10" s="3">
        <v>4.697500386827679</v>
      </c>
      <c r="K10" s="3">
        <v>4.7488307819481532</v>
      </c>
      <c r="L10" s="3">
        <v>4.6781662373559145</v>
      </c>
      <c r="M10" s="3">
        <v>4.6328445676835699</v>
      </c>
      <c r="N10" s="3">
        <v>4.6712245002963675</v>
      </c>
      <c r="O10" s="3">
        <v>4.6054955539020064</v>
      </c>
      <c r="P10" s="3">
        <v>4.5850794186708148</v>
      </c>
      <c r="Q10" s="3">
        <v>4.4850912497845634</v>
      </c>
      <c r="R10" s="3">
        <v>4.6018431514782598</v>
      </c>
      <c r="S10" s="3">
        <v>4.6662167946389372</v>
      </c>
      <c r="T10" s="3">
        <v>4.7777202610560581</v>
      </c>
      <c r="U10" s="3">
        <v>4.8886791811324253</v>
      </c>
      <c r="V10" s="3">
        <v>4.7832904188048611</v>
      </c>
      <c r="W10" s="3">
        <v>4.7027754161529396</v>
      </c>
      <c r="X10" s="3">
        <v>4.7887975964932528</v>
      </c>
      <c r="Y10" s="3">
        <v>4.6609100115073234</v>
      </c>
      <c r="Z10" s="3">
        <v>4.7313397396707666</v>
      </c>
      <c r="AA10" s="3">
        <v>4.6528097086640754</v>
      </c>
      <c r="AB10" s="3">
        <v>4.5684652212634731</v>
      </c>
      <c r="AC10" s="3">
        <v>4.6428576264717538</v>
      </c>
      <c r="AD10" s="3">
        <v>4.7893894075926662</v>
      </c>
      <c r="AE10" s="3">
        <v>4.7445173373080261</v>
      </c>
    </row>
    <row r="11" spans="1:31" ht="16.5" customHeight="1">
      <c r="A11" s="3">
        <v>2013</v>
      </c>
      <c r="B11" s="3">
        <v>4.7651332470009597</v>
      </c>
      <c r="C11" s="3">
        <v>4.3591043286302327</v>
      </c>
      <c r="D11" s="3">
        <v>4.9670673239034464</v>
      </c>
      <c r="E11" s="3">
        <v>4.6620086528045341</v>
      </c>
      <c r="F11" s="3">
        <v>4.6883024252196606</v>
      </c>
      <c r="G11" s="3">
        <v>4.5772590176026995</v>
      </c>
      <c r="H11" s="3">
        <v>4.3845219553437191</v>
      </c>
      <c r="I11" s="3">
        <v>4.6372991895551436</v>
      </c>
      <c r="J11" s="3">
        <v>4.6633119288238145</v>
      </c>
      <c r="K11" s="3">
        <v>4.776205696403073</v>
      </c>
      <c r="L11" s="3">
        <v>4.6482136440820447</v>
      </c>
      <c r="M11" s="3">
        <v>4.6126174432441349</v>
      </c>
      <c r="N11" s="3">
        <v>4.6606397496953882</v>
      </c>
      <c r="O11" s="3">
        <v>4.6108617904241544</v>
      </c>
      <c r="P11" s="3">
        <v>4.5737499127142049</v>
      </c>
      <c r="Q11" s="3">
        <v>4.4283512938479896</v>
      </c>
      <c r="R11" s="3">
        <v>4.5434230513260916</v>
      </c>
      <c r="S11" s="3">
        <v>4.6499435647531895</v>
      </c>
      <c r="T11" s="3">
        <v>4.8005452115942058</v>
      </c>
      <c r="U11" s="3">
        <v>4.8766491808483794</v>
      </c>
      <c r="V11" s="3">
        <v>4.7772945412749497</v>
      </c>
      <c r="W11" s="3">
        <v>4.6176595768006345</v>
      </c>
      <c r="X11" s="3">
        <v>4.7792120774957088</v>
      </c>
      <c r="Y11" s="3">
        <v>4.6481947780146147</v>
      </c>
      <c r="Z11" s="3">
        <v>4.7216754518813975</v>
      </c>
      <c r="AA11" s="3">
        <v>4.5988148385558638</v>
      </c>
      <c r="AB11" s="3">
        <v>4.5613225393192769</v>
      </c>
      <c r="AC11" s="3">
        <v>4.6196991741431344</v>
      </c>
      <c r="AD11" s="3">
        <v>4.748268172260075</v>
      </c>
      <c r="AE11" s="3">
        <v>4.7166847254114614</v>
      </c>
    </row>
    <row r="12" spans="1:31" ht="16.5" customHeight="1">
      <c r="A12" s="3">
        <v>2012</v>
      </c>
      <c r="B12" s="3">
        <v>4.788347902913757</v>
      </c>
      <c r="C12" s="3">
        <v>4.3632868791938124</v>
      </c>
      <c r="D12" s="3">
        <v>4.9685476162475988</v>
      </c>
      <c r="E12" s="3">
        <v>4.6385716792606591</v>
      </c>
      <c r="F12" s="3">
        <v>4.7002292889579342</v>
      </c>
      <c r="G12" s="3">
        <v>4.5830676861746467</v>
      </c>
      <c r="H12" s="3">
        <v>4.3573623694175341</v>
      </c>
      <c r="I12" s="3">
        <v>4.6199636645880977</v>
      </c>
      <c r="J12" s="3">
        <v>4.6606140046348541</v>
      </c>
      <c r="K12" s="3">
        <v>4.7968569250168231</v>
      </c>
      <c r="L12" s="3">
        <v>4.6523266911475245</v>
      </c>
      <c r="M12" s="3">
        <v>4.6212500174978173</v>
      </c>
      <c r="N12" s="3">
        <v>4.6718758011017121</v>
      </c>
      <c r="O12" s="3">
        <v>4.6329524904897417</v>
      </c>
      <c r="P12" s="3">
        <v>4.5804342574682559</v>
      </c>
      <c r="Q12" s="3">
        <v>4.3901831687990285</v>
      </c>
      <c r="R12" s="3">
        <v>4.5172059976045436</v>
      </c>
      <c r="S12" s="3">
        <v>4.7027233282860772</v>
      </c>
      <c r="T12" s="3">
        <v>4.8185470810706734</v>
      </c>
      <c r="U12" s="3">
        <v>4.8757891160425615</v>
      </c>
      <c r="V12" s="3">
        <v>4.791655877471765</v>
      </c>
      <c r="W12" s="3">
        <v>4.566446128071016</v>
      </c>
      <c r="X12" s="3">
        <v>4.8133009322526883</v>
      </c>
      <c r="Y12" s="3">
        <v>4.6499435647531895</v>
      </c>
      <c r="Z12" s="3">
        <v>4.7370977713129125</v>
      </c>
      <c r="AA12" s="3">
        <v>4.6041018131484099</v>
      </c>
      <c r="AB12" s="3">
        <v>4.5535266903297806</v>
      </c>
      <c r="AC12" s="3">
        <v>4.6231189890969784</v>
      </c>
      <c r="AD12" s="3">
        <v>4.7402186023654487</v>
      </c>
      <c r="AE12" s="3">
        <v>4.7063505853062084</v>
      </c>
    </row>
    <row r="13" spans="1:31" ht="16.5" customHeight="1">
      <c r="A13" s="3">
        <v>2011</v>
      </c>
      <c r="B13" s="3">
        <v>4.8305569967691104</v>
      </c>
      <c r="C13" s="3">
        <v>4.3967550771175592</v>
      </c>
      <c r="D13" s="3">
        <v>4.971529147319993</v>
      </c>
      <c r="E13" s="3">
        <v>4.648921673371877</v>
      </c>
      <c r="F13" s="3">
        <v>4.7153245808699502</v>
      </c>
      <c r="G13" s="3">
        <v>4.5960817971597132</v>
      </c>
      <c r="H13" s="3">
        <v>4.3854419560139908</v>
      </c>
      <c r="I13" s="3">
        <v>4.6246373277989301</v>
      </c>
      <c r="J13" s="3">
        <v>4.6765945935277839</v>
      </c>
      <c r="K13" s="3">
        <v>4.8267945161904917</v>
      </c>
      <c r="L13" s="3">
        <v>4.6854923367980694</v>
      </c>
      <c r="M13" s="3">
        <v>4.6458548922476943</v>
      </c>
      <c r="N13" s="3">
        <v>4.7038191181832811</v>
      </c>
      <c r="O13" s="3">
        <v>4.6637169711479309</v>
      </c>
      <c r="P13" s="3">
        <v>4.6125399629978867</v>
      </c>
      <c r="Q13" s="3">
        <v>4.3854941406530763</v>
      </c>
      <c r="R13" s="3">
        <v>4.5199800448423311</v>
      </c>
      <c r="S13" s="3">
        <v>4.7414126091927553</v>
      </c>
      <c r="T13" s="3">
        <v>4.8471032711354445</v>
      </c>
      <c r="U13" s="3">
        <v>4.8782879983299585</v>
      </c>
      <c r="V13" s="3">
        <v>4.8623439649469695</v>
      </c>
      <c r="W13" s="3">
        <v>4.5552666101940256</v>
      </c>
      <c r="X13" s="3">
        <v>4.8272623388219378</v>
      </c>
      <c r="Y13" s="3">
        <v>4.6759336933763951</v>
      </c>
      <c r="Z13" s="3">
        <v>4.7697210133032568</v>
      </c>
      <c r="AA13" s="3">
        <v>4.6233197960708861</v>
      </c>
      <c r="AB13" s="3">
        <v>4.5653733494788753</v>
      </c>
      <c r="AC13" s="3">
        <v>4.6524562094684629</v>
      </c>
      <c r="AD13" s="3">
        <v>4.7535284805366107</v>
      </c>
      <c r="AE13" s="3">
        <v>4.7168095977816042</v>
      </c>
    </row>
    <row r="14" spans="1:31" ht="16.5" customHeight="1">
      <c r="A14" s="3">
        <v>2010</v>
      </c>
      <c r="B14" s="3">
        <v>4.8599763734604275</v>
      </c>
      <c r="C14" s="3">
        <v>4.4463551698847423</v>
      </c>
      <c r="D14" s="3">
        <v>4.9747129812238375</v>
      </c>
      <c r="E14" s="3">
        <v>4.6350441645888631</v>
      </c>
      <c r="F14" s="3">
        <v>4.7327159581350671</v>
      </c>
      <c r="G14" s="3">
        <v>4.6002272308424743</v>
      </c>
      <c r="H14" s="3">
        <v>4.4098536772122134</v>
      </c>
      <c r="I14" s="3">
        <v>4.5987628187666356</v>
      </c>
      <c r="J14" s="3">
        <v>4.6939665796629875</v>
      </c>
      <c r="K14" s="3">
        <v>4.8503180859029795</v>
      </c>
      <c r="L14" s="3">
        <v>4.7190826904426588</v>
      </c>
      <c r="M14" s="3">
        <v>4.6619550774314016</v>
      </c>
      <c r="N14" s="3">
        <v>4.7109990437291396</v>
      </c>
      <c r="O14" s="3">
        <v>4.6911723880326148</v>
      </c>
      <c r="P14" s="3">
        <v>4.646631041667483</v>
      </c>
      <c r="Q14" s="3">
        <v>4.3781192877326474</v>
      </c>
      <c r="R14" s="3">
        <v>4.5240096370044247</v>
      </c>
      <c r="S14" s="3">
        <v>4.7722106664217323</v>
      </c>
      <c r="T14" s="3">
        <v>4.8686528527704418</v>
      </c>
      <c r="U14" s="3">
        <v>4.8771573942787905</v>
      </c>
      <c r="V14" s="3">
        <v>4.8937637438583446</v>
      </c>
      <c r="W14" s="3">
        <v>4.5488448278297877</v>
      </c>
      <c r="X14" s="3">
        <v>4.8326221082567518</v>
      </c>
      <c r="Y14" s="3">
        <v>4.6784856444883429</v>
      </c>
      <c r="Z14" s="3">
        <v>4.7989852977764569</v>
      </c>
      <c r="AA14" s="3">
        <v>4.6443494335428328</v>
      </c>
      <c r="AB14" s="3">
        <v>4.5735382382046126</v>
      </c>
      <c r="AC14" s="3">
        <v>4.689324828636332</v>
      </c>
      <c r="AD14" s="3">
        <v>4.7425823523717749</v>
      </c>
      <c r="AE14" s="3">
        <v>4.7308203699004325</v>
      </c>
    </row>
    <row r="15" spans="1:31" ht="16.5" customHeight="1">
      <c r="A15" s="3">
        <v>2009</v>
      </c>
      <c r="B15" s="3">
        <v>4.8899257613919014</v>
      </c>
      <c r="C15" s="3">
        <v>4.5023660661854148</v>
      </c>
      <c r="D15" s="3">
        <v>4.9769121424262295</v>
      </c>
      <c r="E15" s="3">
        <v>4.6359667418720143</v>
      </c>
      <c r="F15" s="3">
        <v>4.7511292213437768</v>
      </c>
      <c r="G15" s="3">
        <v>4.6178807926976235</v>
      </c>
      <c r="H15" s="3">
        <v>4.443305170295262</v>
      </c>
      <c r="I15" s="3">
        <v>4.5693091976213864</v>
      </c>
      <c r="J15" s="3">
        <v>4.7176285823927984</v>
      </c>
      <c r="K15" s="3">
        <v>4.8711168395703126</v>
      </c>
      <c r="L15" s="3">
        <v>4.7566569275275565</v>
      </c>
      <c r="M15" s="3">
        <v>4.6691327867701853</v>
      </c>
      <c r="N15" s="3">
        <v>4.7322764713731322</v>
      </c>
      <c r="O15" s="3">
        <v>4.7158992360175844</v>
      </c>
      <c r="P15" s="3">
        <v>4.6888090816407484</v>
      </c>
      <c r="Q15" s="3">
        <v>4.3837176337416492</v>
      </c>
      <c r="R15" s="3">
        <v>4.5492113215271024</v>
      </c>
      <c r="S15" s="3">
        <v>4.7977861214982083</v>
      </c>
      <c r="T15" s="3">
        <v>4.8754381953977175</v>
      </c>
      <c r="U15" s="3">
        <v>4.8823222463360452</v>
      </c>
      <c r="V15" s="3">
        <v>4.9211855468626924</v>
      </c>
      <c r="W15" s="3">
        <v>4.5579637687167729</v>
      </c>
      <c r="X15" s="3">
        <v>4.8404565974704745</v>
      </c>
      <c r="Y15" s="3">
        <v>4.6881561792949604</v>
      </c>
      <c r="Z15" s="3">
        <v>4.8140507353989284</v>
      </c>
      <c r="AA15" s="3">
        <v>4.6637165841236268</v>
      </c>
      <c r="AB15" s="3">
        <v>4.5753147068141118</v>
      </c>
      <c r="AC15" s="3">
        <v>4.7349879760300526</v>
      </c>
      <c r="AD15" s="3">
        <v>4.7328272435180496</v>
      </c>
      <c r="AE15" s="3">
        <v>4.7465112756763341</v>
      </c>
    </row>
    <row r="16" spans="1:31" ht="16.5" customHeight="1">
      <c r="A16" s="3">
        <v>2008</v>
      </c>
      <c r="B16" s="3">
        <v>4.9128911383064002</v>
      </c>
      <c r="C16" s="3">
        <v>4.6058875737690013</v>
      </c>
      <c r="D16" s="3">
        <v>4.9799305962216245</v>
      </c>
      <c r="E16" s="3">
        <v>4.6637065063354024</v>
      </c>
      <c r="F16" s="3">
        <v>4.7464934529088483</v>
      </c>
      <c r="G16" s="3">
        <v>4.6263385783370534</v>
      </c>
      <c r="H16" s="3">
        <v>4.4922163594278413</v>
      </c>
      <c r="I16" s="3">
        <v>4.5461835778121573</v>
      </c>
      <c r="J16" s="3">
        <v>4.7701652939594421</v>
      </c>
      <c r="K16" s="3">
        <v>4.8964173772410859</v>
      </c>
      <c r="L16" s="3">
        <v>4.8015845768057579</v>
      </c>
      <c r="M16" s="3">
        <v>4.6898849920051537</v>
      </c>
      <c r="N16" s="3">
        <v>4.7517376009984433</v>
      </c>
      <c r="O16" s="3">
        <v>4.743954301116287</v>
      </c>
      <c r="P16" s="3">
        <v>4.7251216405976022</v>
      </c>
      <c r="Q16" s="3">
        <v>4.3914962590180604</v>
      </c>
      <c r="R16" s="3">
        <v>4.5895880070689064</v>
      </c>
      <c r="S16" s="3">
        <v>4.8235692163000179</v>
      </c>
      <c r="T16" s="3">
        <v>4.8680100409642391</v>
      </c>
      <c r="U16" s="3">
        <v>4.8924107063066495</v>
      </c>
      <c r="V16" s="3">
        <v>4.9467423113379398</v>
      </c>
      <c r="W16" s="3">
        <v>4.5984892198868819</v>
      </c>
      <c r="X16" s="3">
        <v>4.8530276047265621</v>
      </c>
      <c r="Y16" s="3">
        <v>4.7075529892751407</v>
      </c>
      <c r="Z16" s="3">
        <v>4.8282277712184403</v>
      </c>
      <c r="AA16" s="3">
        <v>4.6794832958703934</v>
      </c>
      <c r="AB16" s="3">
        <v>4.5531187931916106</v>
      </c>
      <c r="AC16" s="3">
        <v>4.7850522525705061</v>
      </c>
      <c r="AD16" s="3">
        <v>4.7483019599606306</v>
      </c>
      <c r="AE16" s="3">
        <v>4.7785944634174822</v>
      </c>
    </row>
    <row r="17" spans="1:31" ht="16.5" customHeight="1">
      <c r="A17" s="3">
        <v>2007</v>
      </c>
      <c r="B17" s="3">
        <v>4.9285188590286779</v>
      </c>
      <c r="C17" s="3">
        <v>4.6519298107399791</v>
      </c>
      <c r="D17" s="3">
        <v>4.9814461622661161</v>
      </c>
      <c r="E17" s="3">
        <v>4.6495525922095036</v>
      </c>
      <c r="F17" s="3">
        <v>4.721095877561039</v>
      </c>
      <c r="G17" s="3">
        <v>4.5907450418078559</v>
      </c>
      <c r="H17" s="3">
        <v>4.4941500899967792</v>
      </c>
      <c r="I17" s="3">
        <v>4.5097160267411622</v>
      </c>
      <c r="J17" s="3">
        <v>4.7618868629248654</v>
      </c>
      <c r="K17" s="3">
        <v>4.9068312580066529</v>
      </c>
      <c r="L17" s="3">
        <v>4.8235096076738779</v>
      </c>
      <c r="M17" s="3">
        <v>4.6421108574638357</v>
      </c>
      <c r="N17" s="3">
        <v>4.7572653472684738</v>
      </c>
      <c r="O17" s="3">
        <v>4.750868966863262</v>
      </c>
      <c r="P17" s="3">
        <v>4.7512861639009767</v>
      </c>
      <c r="Q17" s="3">
        <v>4.3879085298604554</v>
      </c>
      <c r="R17" s="3">
        <v>4.5858620991038732</v>
      </c>
      <c r="S17" s="3">
        <v>4.8139251727148489</v>
      </c>
      <c r="T17" s="3">
        <v>4.8768630731424993</v>
      </c>
      <c r="U17" s="3">
        <v>4.8910326121793091</v>
      </c>
      <c r="V17" s="3">
        <v>4.9673526402993353</v>
      </c>
      <c r="W17" s="3">
        <v>4.602330323122831</v>
      </c>
      <c r="X17" s="3">
        <v>4.825064024661331</v>
      </c>
      <c r="Y17" s="3">
        <v>4.7057135886411103</v>
      </c>
      <c r="Z17" s="3">
        <v>4.8222815412686746</v>
      </c>
      <c r="AA17" s="3">
        <v>4.684227851430351</v>
      </c>
      <c r="AB17" s="3">
        <v>4.5308600057260717</v>
      </c>
      <c r="AC17" s="3">
        <v>4.8099419758671536</v>
      </c>
      <c r="AD17" s="3">
        <v>4.7317537113224555</v>
      </c>
      <c r="AE17" s="3">
        <v>4.7848884354644259</v>
      </c>
    </row>
    <row r="18" spans="1:31" ht="16.5" customHeight="1">
      <c r="A18" s="3">
        <v>2006</v>
      </c>
      <c r="B18" s="3">
        <v>4.9353847887064024</v>
      </c>
      <c r="C18" s="3">
        <v>4.6822316676941984</v>
      </c>
      <c r="D18" s="3">
        <v>4.9816366707307402</v>
      </c>
      <c r="E18" s="3">
        <v>4.6416345806389767</v>
      </c>
      <c r="F18" s="3">
        <v>4.7011901941949041</v>
      </c>
      <c r="G18" s="3">
        <v>4.5645840793066377</v>
      </c>
      <c r="H18" s="3">
        <v>4.4753524081452047</v>
      </c>
      <c r="I18" s="3">
        <v>4.4628977293612175</v>
      </c>
      <c r="J18" s="3">
        <v>4.7200993290135749</v>
      </c>
      <c r="K18" s="3">
        <v>4.911142209937859</v>
      </c>
      <c r="L18" s="3">
        <v>4.8252952806992067</v>
      </c>
      <c r="M18" s="3">
        <v>4.6212500174978173</v>
      </c>
      <c r="N18" s="3">
        <v>4.752045356110413</v>
      </c>
      <c r="O18" s="3">
        <v>4.7546617660645412</v>
      </c>
      <c r="P18" s="3">
        <v>4.7780088095260735</v>
      </c>
      <c r="Q18" s="3">
        <v>4.3651256126485167</v>
      </c>
      <c r="R18" s="3">
        <v>4.5683118476366626</v>
      </c>
      <c r="S18" s="3">
        <v>4.809918672534466</v>
      </c>
      <c r="T18" s="3">
        <v>4.8222815412686746</v>
      </c>
      <c r="U18" s="3">
        <v>4.8910153296062315</v>
      </c>
      <c r="V18" s="3">
        <v>4.968500934390141</v>
      </c>
      <c r="W18" s="3">
        <v>4.5846018824503325</v>
      </c>
      <c r="X18" s="3">
        <v>4.8076488938670492</v>
      </c>
      <c r="Y18" s="3">
        <v>4.6933722575907542</v>
      </c>
      <c r="Z18" s="3">
        <v>4.8092659499691246</v>
      </c>
      <c r="AA18" s="3">
        <v>4.6932005495413307</v>
      </c>
      <c r="AB18" s="3">
        <v>4.4885769455219338</v>
      </c>
      <c r="AC18" s="3">
        <v>4.8299599110486806</v>
      </c>
      <c r="AD18" s="3">
        <v>4.7039437032693829</v>
      </c>
      <c r="AE18" s="3">
        <v>4.783519091551212</v>
      </c>
    </row>
    <row r="19" spans="1:31" ht="16.5" customHeight="1"/>
    <row r="20" spans="1:31" ht="16.5" customHeight="1"/>
    <row r="21" spans="1:31" ht="16.5" customHeight="1">
      <c r="D21" s="3" t="s">
        <v>54</v>
      </c>
    </row>
    <row r="22" spans="1:31" ht="16.5" customHeight="1">
      <c r="D22" s="3" t="s">
        <v>54</v>
      </c>
    </row>
    <row r="23" spans="1:31" ht="16.5" customHeight="1">
      <c r="D23" s="3" t="s">
        <v>54</v>
      </c>
    </row>
    <row r="24" spans="1:31" ht="16.5" customHeight="1"/>
    <row r="25" spans="1:31" ht="16.5" customHeight="1">
      <c r="D25" s="3" t="s">
        <v>54</v>
      </c>
    </row>
    <row r="26" spans="1:31" ht="16.5" customHeight="1">
      <c r="D26" s="3" t="s">
        <v>54</v>
      </c>
    </row>
    <row r="27" spans="1:31" ht="16.5" customHeight="1">
      <c r="D27" s="3" t="s">
        <v>54</v>
      </c>
    </row>
    <row r="28" spans="1:31" ht="16.5" customHeight="1"/>
    <row r="29" spans="1:31" ht="16.5" customHeight="1">
      <c r="D29" s="3" t="s">
        <v>54</v>
      </c>
    </row>
    <row r="30" spans="1:31" ht="16.5" customHeight="1">
      <c r="D30" s="3" t="s">
        <v>54</v>
      </c>
    </row>
    <row r="31" spans="1:31" ht="16.5" customHeight="1">
      <c r="D31" s="3" t="s">
        <v>54</v>
      </c>
    </row>
    <row r="32" spans="1:31" ht="16.5" customHeight="1"/>
    <row r="33" spans="4:4" ht="16.5" customHeight="1">
      <c r="D33" s="3" t="s">
        <v>54</v>
      </c>
    </row>
    <row r="34" spans="4:4" ht="16.5" customHeight="1">
      <c r="D34" s="3" t="s">
        <v>54</v>
      </c>
    </row>
    <row r="35" spans="4:4" ht="16.5" customHeight="1">
      <c r="D35" s="3" t="s">
        <v>54</v>
      </c>
    </row>
    <row r="36" spans="4:4" ht="16.5" customHeight="1"/>
    <row r="37" spans="4:4" ht="16.5" customHeight="1"/>
    <row r="38" spans="4:4" ht="16.5" customHeight="1"/>
    <row r="39" spans="4:4" ht="16.5" customHeight="1"/>
    <row r="40" spans="4:4" ht="16.5" customHeight="1"/>
    <row r="41" spans="4:4" ht="16.5" customHeight="1"/>
    <row r="42" spans="4:4" ht="16.5" customHeight="1"/>
    <row r="43" spans="4:4" ht="16.5" customHeight="1"/>
    <row r="44" spans="4:4" ht="16.5" customHeight="1"/>
    <row r="45" spans="4:4" ht="16.5" customHeight="1"/>
    <row r="46" spans="4:4" ht="16.5" customHeight="1"/>
    <row r="47" spans="4:4" ht="16.5" customHeight="1"/>
    <row r="48" spans="4:4" ht="16.5" customHeight="1"/>
    <row r="49" spans="4:4" ht="16.5" customHeight="1"/>
    <row r="50" spans="4:4" ht="16.5" customHeight="1"/>
    <row r="51" spans="4:4" ht="16.5" customHeight="1"/>
    <row r="52" spans="4:4" ht="16.5" customHeight="1"/>
    <row r="53" spans="4:4" ht="16.5" customHeight="1"/>
    <row r="54" spans="4:4" ht="16.5" customHeight="1"/>
    <row r="55" spans="4:4" ht="16.5" customHeight="1"/>
    <row r="56" spans="4:4" ht="16.5" customHeight="1"/>
    <row r="57" spans="4:4" ht="16.5" customHeight="1"/>
    <row r="58" spans="4:4" ht="16.5" customHeight="1"/>
    <row r="59" spans="4:4" ht="16.5" customHeight="1"/>
    <row r="60" spans="4:4" ht="16.5" customHeight="1"/>
    <row r="61" spans="4:4" ht="16.5" customHeight="1"/>
    <row r="62" spans="4:4" ht="16.5" customHeight="1"/>
    <row r="63" spans="4:4" ht="16.5" customHeight="1">
      <c r="D63" s="3" t="s">
        <v>54</v>
      </c>
    </row>
    <row r="64" spans="4:4" ht="16.5" customHeight="1">
      <c r="D64" s="3" t="s">
        <v>54</v>
      </c>
    </row>
    <row r="65" spans="4:4" ht="16.5" customHeight="1">
      <c r="D65" s="3" t="s">
        <v>54</v>
      </c>
    </row>
    <row r="66" spans="4:4" ht="16.5" customHeight="1">
      <c r="D66" s="3" t="s">
        <v>54</v>
      </c>
    </row>
    <row r="67" spans="4:4" ht="16.5" customHeight="1">
      <c r="D67" s="3" t="s">
        <v>54</v>
      </c>
    </row>
    <row r="68" spans="4:4" ht="16.5" customHeight="1">
      <c r="D68" s="3" t="s">
        <v>54</v>
      </c>
    </row>
    <row r="69" spans="4:4" ht="16.5" customHeight="1">
      <c r="D69" s="3" t="s">
        <v>54</v>
      </c>
    </row>
    <row r="70" spans="4:4" ht="16.5" customHeight="1">
      <c r="D70" s="3" t="s">
        <v>54</v>
      </c>
    </row>
    <row r="71" spans="4:4" ht="16.5" customHeight="1"/>
    <row r="72" spans="4:4" ht="16.5" customHeight="1"/>
    <row r="73" spans="4:4" ht="16.5" customHeight="1"/>
    <row r="74" spans="4:4" ht="16.5" customHeight="1"/>
    <row r="75" spans="4:4" ht="16.5" customHeight="1"/>
    <row r="76" spans="4:4" ht="16.5" customHeight="1"/>
    <row r="77" spans="4:4" ht="16.5" customHeight="1"/>
    <row r="78" spans="4:4" ht="16.5" customHeight="1"/>
    <row r="79" spans="4:4" ht="16.5" customHeight="1"/>
    <row r="80" spans="4:4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0"/>
  <sheetViews>
    <sheetView zoomScale="72" zoomScaleNormal="72" workbookViewId="0">
      <selection activeCell="J4" sqref="J4"/>
    </sheetView>
  </sheetViews>
  <sheetFormatPr defaultColWidth="14.44140625" defaultRowHeight="15" customHeight="1"/>
  <cols>
    <col min="1" max="32" width="8.77734375" customWidth="1"/>
  </cols>
  <sheetData>
    <row r="1" spans="1:32" ht="16.5" customHeight="1">
      <c r="A1" s="8" t="s">
        <v>1</v>
      </c>
      <c r="B1" s="8" t="s">
        <v>2</v>
      </c>
      <c r="C1" s="8" t="s">
        <v>44</v>
      </c>
      <c r="D1" s="8" t="s">
        <v>38</v>
      </c>
      <c r="E1" s="8" t="s">
        <v>53</v>
      </c>
      <c r="F1" s="8" t="s">
        <v>29</v>
      </c>
      <c r="G1" s="8" t="s">
        <v>42</v>
      </c>
      <c r="H1" s="8" t="s">
        <v>36</v>
      </c>
      <c r="I1" s="8" t="s">
        <v>32</v>
      </c>
      <c r="J1" s="8" t="s">
        <v>33</v>
      </c>
      <c r="K1" s="8" t="s">
        <v>27</v>
      </c>
      <c r="L1" s="8" t="s">
        <v>41</v>
      </c>
      <c r="M1" s="8" t="s">
        <v>39</v>
      </c>
      <c r="N1" s="8" t="s">
        <v>26</v>
      </c>
      <c r="O1" s="8" t="s">
        <v>46</v>
      </c>
      <c r="P1" s="8" t="s">
        <v>28</v>
      </c>
      <c r="Q1" s="8" t="s">
        <v>19</v>
      </c>
      <c r="R1" s="8" t="s">
        <v>35</v>
      </c>
      <c r="S1" s="8" t="s">
        <v>47</v>
      </c>
      <c r="T1" s="8" t="s">
        <v>49</v>
      </c>
      <c r="U1" s="8" t="s">
        <v>52</v>
      </c>
      <c r="V1" s="8" t="s">
        <v>25</v>
      </c>
      <c r="W1" s="8" t="s">
        <v>34</v>
      </c>
      <c r="X1" s="8" t="s">
        <v>43</v>
      </c>
      <c r="Y1" s="8" t="s">
        <v>31</v>
      </c>
      <c r="Z1" s="8" t="s">
        <v>48</v>
      </c>
      <c r="AA1" s="8" t="s">
        <v>51</v>
      </c>
      <c r="AB1" s="8" t="s">
        <v>45</v>
      </c>
      <c r="AC1" s="8" t="s">
        <v>37</v>
      </c>
      <c r="AD1" s="8" t="s">
        <v>30</v>
      </c>
      <c r="AE1" s="8" t="s">
        <v>50</v>
      </c>
      <c r="AF1" s="8" t="s">
        <v>40</v>
      </c>
    </row>
    <row r="2" spans="1:32" ht="16.5" customHeight="1">
      <c r="A2" s="3">
        <v>2022</v>
      </c>
      <c r="B2" s="3">
        <v>1</v>
      </c>
      <c r="C2" s="3">
        <f>IFERROR(VLOOKUP(C$1&amp;$A2&amp;$B2,배당편집!$D$2:$N$2710,11,FALSE), 0)</f>
        <v>0</v>
      </c>
      <c r="D2" s="3">
        <f>IFERROR(VLOOKUP(D$1&amp;$A2&amp;$B2,배당편집!$D$2:$N$2710,11,FALSE), 0)</f>
        <v>0</v>
      </c>
      <c r="E2" s="3">
        <f>IFERROR(VLOOKUP(E$1&amp;$A2&amp;$B2,배당편집!$D$2:$N$2710,11,FALSE), 0)</f>
        <v>0</v>
      </c>
      <c r="F2" s="3">
        <f>IFERROR(VLOOKUP(F$1&amp;$A2&amp;$B2,배당편집!$D$2:$N$2710,11,FALSE), 0)</f>
        <v>0</v>
      </c>
      <c r="G2" s="3">
        <f>IFERROR(VLOOKUP(G$1&amp;$A2&amp;$B2,배당편집!$D$2:$N$2710,11,FALSE), 0)</f>
        <v>0</v>
      </c>
      <c r="H2" s="3">
        <f>IFERROR(VLOOKUP(H$1&amp;$A2&amp;$B2,배당편집!$D$2:$N$2710,11,FALSE), 0)</f>
        <v>0</v>
      </c>
      <c r="I2" s="3">
        <f>IFERROR(VLOOKUP(I$1&amp;$A2&amp;$B2,배당편집!$D$2:$N$2710,11,FALSE), 0)</f>
        <v>0</v>
      </c>
      <c r="J2" s="3">
        <f>IFERROR(VLOOKUP(J$1&amp;$A2&amp;$B2,배당편집!$D$2:$N$2710,11,FALSE), 0)</f>
        <v>0</v>
      </c>
      <c r="K2" s="3">
        <f>IFERROR(VLOOKUP(K$1&amp;$A2&amp;$B2,배당편집!$D$2:$N$2710,11,FALSE), 0)</f>
        <v>1.1100000000000001</v>
      </c>
      <c r="L2" s="3">
        <f>IFERROR(VLOOKUP(L$1&amp;$A2&amp;$B2,배당편집!$D$2:$N$2710,11,FALSE), 0)</f>
        <v>0</v>
      </c>
      <c r="M2" s="3">
        <f>IFERROR(VLOOKUP(M$1&amp;$A2&amp;$B2,배당편집!$D$2:$N$2710,11,FALSE), 0)</f>
        <v>0</v>
      </c>
      <c r="N2" s="3">
        <f>IFERROR(VLOOKUP(N$1&amp;$A2&amp;$B2,배당편집!$D$2:$N$2710,11,FALSE), 0)</f>
        <v>0</v>
      </c>
      <c r="O2" s="3">
        <f>IFERROR(VLOOKUP(O$1&amp;$A2&amp;$B2,배당편집!$D$2:$N$2710,11,FALSE), 0)</f>
        <v>0</v>
      </c>
      <c r="P2" s="3">
        <f>IFERROR(VLOOKUP(P$1&amp;$A2&amp;$B2,배당편집!$D$2:$N$2710,11,FALSE), 0)</f>
        <v>0.86980000000000002</v>
      </c>
      <c r="Q2" s="3">
        <f>IFERROR(VLOOKUP(Q$1&amp;$A2&amp;$B2,배당편집!$D$2:$N$2710,11,FALSE), 0)</f>
        <v>0</v>
      </c>
      <c r="R2" s="3">
        <f>IFERROR(VLOOKUP(R$1&amp;$A2&amp;$B2,배당편집!$D$2:$N$2710,11,FALSE), 0)</f>
        <v>0</v>
      </c>
      <c r="S2" s="3">
        <f>IFERROR(VLOOKUP(S$1&amp;$A2&amp;$B2,배당편집!$D$2:$N$2710,11,FALSE), 0)</f>
        <v>0</v>
      </c>
      <c r="T2" s="3">
        <f>IFERROR(VLOOKUP(T$1&amp;$A2&amp;$B2,배당편집!$D$2:$N$2710,11,FALSE), 0)</f>
        <v>1.19</v>
      </c>
      <c r="U2" s="3">
        <f>IFERROR(VLOOKUP(U$1&amp;$A2&amp;$B2,배당편집!$D$2:$N$2710,11,FALSE), 0)</f>
        <v>0.28000000000000003</v>
      </c>
      <c r="V2" s="3">
        <f>IFERROR(VLOOKUP(V$1&amp;$A2&amp;$B2,배당편집!$D$2:$N$2710,11,FALSE), 0)</f>
        <v>0.26</v>
      </c>
      <c r="W2" s="3">
        <f>IFERROR(VLOOKUP(W$1&amp;$A2&amp;$B2,배당편집!$D$2:$N$2710,11,FALSE), 0)</f>
        <v>0.8</v>
      </c>
      <c r="X2" s="3">
        <f>IFERROR(VLOOKUP(X$1&amp;$A2&amp;$B2,배당편집!$D$2:$N$2710,11,FALSE), 0)</f>
        <v>0</v>
      </c>
      <c r="Y2" s="3">
        <f>IFERROR(VLOOKUP(Y$1&amp;$A2&amp;$B2,배당편집!$D$2:$N$2710,11,FALSE), 0)</f>
        <v>0</v>
      </c>
      <c r="Z2" s="3">
        <f>IFERROR(VLOOKUP(Z$1&amp;$A2&amp;$B2,배당편집!$D$2:$N$2710,11,FALSE), 0)</f>
        <v>0.19500000000000001</v>
      </c>
      <c r="AA2" s="3">
        <f>IFERROR(VLOOKUP(AA$1&amp;$A2&amp;$B2,배당편집!$D$2:$N$2710,11,FALSE), 0)</f>
        <v>0</v>
      </c>
      <c r="AB2" s="3">
        <f>IFERROR(VLOOKUP(AB$1&amp;$A2&amp;$B2,배당편집!$D$2:$N$2710,11,FALSE), 0)</f>
        <v>0.47</v>
      </c>
      <c r="AC2" s="3">
        <f>IFERROR(VLOOKUP(AC$1&amp;$A2&amp;$B2,배당편집!$D$2:$N$2710,11,FALSE), 0)</f>
        <v>0</v>
      </c>
      <c r="AD2" s="3">
        <f>IFERROR(VLOOKUP(AD$1&amp;$A2&amp;$B2,배당편집!$D$2:$N$2710,11,FALSE), 0)</f>
        <v>0</v>
      </c>
      <c r="AE2" s="3">
        <f>IFERROR(VLOOKUP(AE$1&amp;$A2&amp;$B2,배당편집!$D$2:$N$2710,11,FALSE), 0)</f>
        <v>0</v>
      </c>
      <c r="AF2" s="3">
        <f>IFERROR(VLOOKUP(AF$1&amp;$A2&amp;$B2,배당편집!$D$2:$N$2710,11,FALSE), 0)</f>
        <v>0</v>
      </c>
    </row>
    <row r="3" spans="1:32" ht="16.5" customHeight="1">
      <c r="A3" s="3">
        <v>2022</v>
      </c>
      <c r="B3" s="3">
        <v>2</v>
      </c>
      <c r="C3" s="3">
        <f>IFERROR(VLOOKUP(C$1&amp;$A3&amp;$B3,배당편집!$D$2:$N$2710,11,FALSE), 0)</f>
        <v>0.47749999999999998</v>
      </c>
      <c r="D3" s="3">
        <f>IFERROR(VLOOKUP(D$1&amp;$A3&amp;$B3,배당편집!$D$2:$N$2710,11,FALSE), 0)</f>
        <v>0</v>
      </c>
      <c r="E3" s="3">
        <f>IFERROR(VLOOKUP(E$1&amp;$A3&amp;$B3,배당편집!$D$2:$N$2710,11,FALSE), 0)</f>
        <v>0</v>
      </c>
      <c r="F3" s="3">
        <f>IFERROR(VLOOKUP(F$1&amp;$A3&amp;$B3,배당편집!$D$2:$N$2710,11,FALSE), 0)</f>
        <v>0</v>
      </c>
      <c r="G3" s="3">
        <f>IFERROR(VLOOKUP(G$1&amp;$A3&amp;$B3,배당편집!$D$2:$N$2710,11,FALSE), 0)</f>
        <v>0.88</v>
      </c>
      <c r="H3" s="3">
        <f>IFERROR(VLOOKUP(H$1&amp;$A3&amp;$B3,배당편집!$D$2:$N$2710,11,FALSE), 0)</f>
        <v>1.42</v>
      </c>
      <c r="I3" s="3">
        <f>IFERROR(VLOOKUP(I$1&amp;$A3&amp;$B3,배당편집!$D$2:$N$2710,11,FALSE), 0)</f>
        <v>0.59499999999999997</v>
      </c>
      <c r="J3" s="3">
        <f>IFERROR(VLOOKUP(J$1&amp;$A3&amp;$B3,배당편집!$D$2:$N$2710,11,FALSE), 0)</f>
        <v>0</v>
      </c>
      <c r="K3" s="3">
        <f>IFERROR(VLOOKUP(K$1&amp;$A3&amp;$B3,배당편집!$D$2:$N$2710,11,FALSE), 0)</f>
        <v>0</v>
      </c>
      <c r="L3" s="3">
        <f>IFERROR(VLOOKUP(L$1&amp;$A3&amp;$B3,배당편집!$D$2:$N$2710,11,FALSE), 0)</f>
        <v>0.9</v>
      </c>
      <c r="M3" s="3">
        <f>IFERROR(VLOOKUP(M$1&amp;$A3&amp;$B3,배당편집!$D$2:$N$2710,11,FALSE), 0)</f>
        <v>0</v>
      </c>
      <c r="N3" s="3">
        <f>IFERROR(VLOOKUP(N$1&amp;$A3&amp;$B3,배당편집!$D$2:$N$2710,11,FALSE), 0)</f>
        <v>0.51500000000000001</v>
      </c>
      <c r="O3" s="3">
        <f>IFERROR(VLOOKUP(O$1&amp;$A3&amp;$B3,배당편집!$D$2:$N$2710,11,FALSE), 0)</f>
        <v>0</v>
      </c>
      <c r="P3" s="3">
        <f>IFERROR(VLOOKUP(P$1&amp;$A3&amp;$B3,배당편집!$D$2:$N$2710,11,FALSE), 0)</f>
        <v>0</v>
      </c>
      <c r="Q3" s="3">
        <f>IFERROR(VLOOKUP(Q$1&amp;$A3&amp;$B3,배당편집!$D$2:$N$2710,11,FALSE), 0)</f>
        <v>1.06</v>
      </c>
      <c r="R3" s="3">
        <f>IFERROR(VLOOKUP(R$1&amp;$A3&amp;$B3,배당편집!$D$2:$N$2710,11,FALSE), 0)</f>
        <v>0.68</v>
      </c>
      <c r="S3" s="3">
        <f>IFERROR(VLOOKUP(S$1&amp;$A3&amp;$B3,배당편집!$D$2:$N$2710,11,FALSE), 0)</f>
        <v>0</v>
      </c>
      <c r="T3" s="3">
        <f>IFERROR(VLOOKUP(T$1&amp;$A3&amp;$B3,배당편집!$D$2:$N$2710,11,FALSE), 0)</f>
        <v>0</v>
      </c>
      <c r="U3" s="3">
        <f>IFERROR(VLOOKUP(U$1&amp;$A3&amp;$B3,배당편집!$D$2:$N$2710,11,FALSE), 0)</f>
        <v>0</v>
      </c>
      <c r="V3" s="3">
        <f>IFERROR(VLOOKUP(V$1&amp;$A3&amp;$B3,배당편집!$D$2:$N$2710,11,FALSE), 0)</f>
        <v>0</v>
      </c>
      <c r="W3" s="3">
        <f>IFERROR(VLOOKUP(W$1&amp;$A3&amp;$B3,배당편집!$D$2:$N$2710,11,FALSE), 0)</f>
        <v>0</v>
      </c>
      <c r="X3" s="3">
        <f>IFERROR(VLOOKUP(X$1&amp;$A3&amp;$B3,배당편집!$D$2:$N$2710,11,FALSE), 0)</f>
        <v>0.59</v>
      </c>
      <c r="Y3" s="3">
        <f>IFERROR(VLOOKUP(Y$1&amp;$A3&amp;$B3,배당편집!$D$2:$N$2710,11,FALSE), 0)</f>
        <v>1.03</v>
      </c>
      <c r="Z3" s="3">
        <f>IFERROR(VLOOKUP(Z$1&amp;$A3&amp;$B3,배당편집!$D$2:$N$2710,11,FALSE), 0)</f>
        <v>0</v>
      </c>
      <c r="AA3" s="3">
        <f>IFERROR(VLOOKUP(AA$1&amp;$A3&amp;$B3,배당편집!$D$2:$N$2710,11,FALSE), 0)</f>
        <v>0.4</v>
      </c>
      <c r="AB3" s="3">
        <f>IFERROR(VLOOKUP(AB$1&amp;$A3&amp;$B3,배당편집!$D$2:$N$2710,11,FALSE), 0)</f>
        <v>0</v>
      </c>
      <c r="AC3" s="3">
        <f>IFERROR(VLOOKUP(AC$1&amp;$A3&amp;$B3,배당편집!$D$2:$N$2710,11,FALSE), 0)</f>
        <v>0.25</v>
      </c>
      <c r="AD3" s="3">
        <f>IFERROR(VLOOKUP(AD$1&amp;$A3&amp;$B3,배당편집!$D$2:$N$2710,11,FALSE), 0)</f>
        <v>0</v>
      </c>
      <c r="AE3" s="3">
        <f>IFERROR(VLOOKUP(AE$1&amp;$A3&amp;$B3,배당편집!$D$2:$N$2710,11,FALSE), 0)</f>
        <v>0</v>
      </c>
      <c r="AF3" s="3">
        <f>IFERROR(VLOOKUP(AF$1&amp;$A3&amp;$B3,배당편집!$D$2:$N$2710,11,FALSE), 0)</f>
        <v>0.5</v>
      </c>
    </row>
    <row r="4" spans="1:32" ht="16.5" customHeight="1">
      <c r="A4" s="3">
        <v>2022</v>
      </c>
      <c r="B4" s="3">
        <v>3</v>
      </c>
      <c r="C4" s="3">
        <f>IFERROR(VLOOKUP(C$1&amp;$A4&amp;$B4,배당편집!$D$2:$N$2710,11,FALSE), 0)</f>
        <v>0</v>
      </c>
      <c r="D4" s="3">
        <f>IFERROR(VLOOKUP(D$1&amp;$A4&amp;$B4,배당편집!$D$2:$N$2710,11,FALSE), 0)</f>
        <v>0.42</v>
      </c>
      <c r="E4" s="3">
        <f>IFERROR(VLOOKUP(E$1&amp;$A4&amp;$B4,배당편집!$D$2:$N$2710,11,FALSE), 0)</f>
        <v>0.28999999999999998</v>
      </c>
      <c r="F4" s="3">
        <f>IFERROR(VLOOKUP(F$1&amp;$A4&amp;$B4,배당편집!$D$2:$N$2710,11,FALSE), 0)</f>
        <v>0.79</v>
      </c>
      <c r="G4" s="3">
        <f>IFERROR(VLOOKUP(G$1&amp;$A4&amp;$B4,배당편집!$D$2:$N$2710,11,FALSE), 0)</f>
        <v>0</v>
      </c>
      <c r="H4" s="3">
        <f>IFERROR(VLOOKUP(H$1&amp;$A4&amp;$B4,배당편집!$D$2:$N$2710,11,FALSE), 0)</f>
        <v>0</v>
      </c>
      <c r="I4" s="3">
        <f>IFERROR(VLOOKUP(I$1&amp;$A4&amp;$B4,배당편집!$D$2:$N$2710,11,FALSE), 0)</f>
        <v>0</v>
      </c>
      <c r="J4" s="3">
        <f>IFERROR(VLOOKUP(J$1&amp;$A4&amp;$B4,배당편집!$D$2:$N$2710,11,FALSE), 0)</f>
        <v>0.45500000000000002</v>
      </c>
      <c r="K4" s="3">
        <f>IFERROR(VLOOKUP(K$1&amp;$A4&amp;$B4,배당편집!$D$2:$N$2710,11,FALSE), 0)</f>
        <v>0</v>
      </c>
      <c r="L4" s="3">
        <f>IFERROR(VLOOKUP(L$1&amp;$A4&amp;$B4,배당편집!$D$2:$N$2710,11,FALSE), 0)</f>
        <v>0</v>
      </c>
      <c r="M4" s="3">
        <f>IFERROR(VLOOKUP(M$1&amp;$A4&amp;$B4,배당편집!$D$2:$N$2710,11,FALSE), 0)</f>
        <v>1.22</v>
      </c>
      <c r="N4" s="3">
        <f>IFERROR(VLOOKUP(N$1&amp;$A4&amp;$B4,배당편집!$D$2:$N$2710,11,FALSE), 0)</f>
        <v>0</v>
      </c>
      <c r="O4" s="3">
        <f>IFERROR(VLOOKUP(O$1&amp;$A4&amp;$B4,배당편집!$D$2:$N$2710,11,FALSE), 0)</f>
        <v>1.62</v>
      </c>
      <c r="P4" s="3">
        <f>IFERROR(VLOOKUP(P$1&amp;$A4&amp;$B4,배당편집!$D$2:$N$2710,11,FALSE), 0)</f>
        <v>0</v>
      </c>
      <c r="Q4" s="3">
        <f>IFERROR(VLOOKUP(Q$1&amp;$A4&amp;$B4,배당편집!$D$2:$N$2710,11,FALSE), 0)</f>
        <v>0</v>
      </c>
      <c r="R4" s="3">
        <f>IFERROR(VLOOKUP(R$1&amp;$A4&amp;$B4,배당편집!$D$2:$N$2710,11,FALSE), 0)</f>
        <v>0</v>
      </c>
      <c r="S4" s="3">
        <f>IFERROR(VLOOKUP(S$1&amp;$A4&amp;$B4,배당편집!$D$2:$N$2710,11,FALSE), 0)</f>
        <v>0.89500000000000002</v>
      </c>
      <c r="T4" s="3">
        <f>IFERROR(VLOOKUP(T$1&amp;$A4&amp;$B4,배당편집!$D$2:$N$2710,11,FALSE), 0)</f>
        <v>0</v>
      </c>
      <c r="U4" s="3">
        <f>IFERROR(VLOOKUP(U$1&amp;$A4&amp;$B4,배당편집!$D$2:$N$2710,11,FALSE), 0)</f>
        <v>0</v>
      </c>
      <c r="V4" s="3">
        <f>IFERROR(VLOOKUP(V$1&amp;$A4&amp;$B4,배당편집!$D$2:$N$2710,11,FALSE), 0)</f>
        <v>0</v>
      </c>
      <c r="W4" s="3">
        <f>IFERROR(VLOOKUP(W$1&amp;$A4&amp;$B4,배당편집!$D$2:$N$2710,11,FALSE), 0)</f>
        <v>0</v>
      </c>
      <c r="X4" s="3">
        <f>IFERROR(VLOOKUP(X$1&amp;$A4&amp;$B4,배당편집!$D$2:$N$2710,11,FALSE), 0)</f>
        <v>0</v>
      </c>
      <c r="Y4" s="3">
        <f>IFERROR(VLOOKUP(Y$1&amp;$A4&amp;$B4,배당편집!$D$2:$N$2710,11,FALSE), 0)</f>
        <v>0</v>
      </c>
      <c r="Z4" s="3">
        <f>IFERROR(VLOOKUP(Z$1&amp;$A4&amp;$B4,배당편집!$D$2:$N$2710,11,FALSE), 0)</f>
        <v>0</v>
      </c>
      <c r="AA4" s="3">
        <f>IFERROR(VLOOKUP(AA$1&amp;$A4&amp;$B4,배당편집!$D$2:$N$2710,11,FALSE), 0)</f>
        <v>0</v>
      </c>
      <c r="AB4" s="3">
        <f>IFERROR(VLOOKUP(AB$1&amp;$A4&amp;$B4,배당편집!$D$2:$N$2710,11,FALSE), 0)</f>
        <v>0</v>
      </c>
      <c r="AC4" s="3">
        <f>IFERROR(VLOOKUP(AC$1&amp;$A4&amp;$B4,배당편집!$D$2:$N$2710,11,FALSE), 0)</f>
        <v>0</v>
      </c>
      <c r="AD4" s="3">
        <f>IFERROR(VLOOKUP(AD$1&amp;$A4&amp;$B4,배당편집!$D$2:$N$2710,11,FALSE), 0)</f>
        <v>1.04</v>
      </c>
      <c r="AE4" s="3">
        <f>IFERROR(VLOOKUP(AE$1&amp;$A4&amp;$B4,배당편집!$D$2:$N$2710,11,FALSE), 0)</f>
        <v>0.25</v>
      </c>
      <c r="AF4" s="3">
        <f>IFERROR(VLOOKUP(AF$1&amp;$A4&amp;$B4,배당편집!$D$2:$N$2710,11,FALSE), 0)</f>
        <v>0</v>
      </c>
    </row>
    <row r="5" spans="1:32" ht="16.5" customHeight="1">
      <c r="A5" s="3">
        <v>2022</v>
      </c>
      <c r="B5" s="3">
        <v>4</v>
      </c>
      <c r="C5" s="3">
        <f>IFERROR(VLOOKUP(C$1&amp;$A5&amp;$B5,배당편집!$D$2:$N$2710,11,FALSE), 0)</f>
        <v>0</v>
      </c>
      <c r="D5" s="3">
        <f>IFERROR(VLOOKUP(D$1&amp;$A5&amp;$B5,배당편집!$D$2:$N$2710,11,FALSE), 0)</f>
        <v>0</v>
      </c>
      <c r="E5" s="3">
        <f>IFERROR(VLOOKUP(E$1&amp;$A5&amp;$B5,배당편집!$D$2:$N$2710,11,FALSE), 0)</f>
        <v>0</v>
      </c>
      <c r="F5" s="3">
        <f>IFERROR(VLOOKUP(F$1&amp;$A5&amp;$B5,배당편집!$D$2:$N$2710,11,FALSE), 0)</f>
        <v>0</v>
      </c>
      <c r="G5" s="3">
        <f>IFERROR(VLOOKUP(G$1&amp;$A5&amp;$B5,배당편집!$D$2:$N$2710,11,FALSE), 0)</f>
        <v>0</v>
      </c>
      <c r="H5" s="3">
        <f>IFERROR(VLOOKUP(H$1&amp;$A5&amp;$B5,배당편집!$D$2:$N$2710,11,FALSE), 0)</f>
        <v>0</v>
      </c>
      <c r="I5" s="3">
        <f>IFERROR(VLOOKUP(I$1&amp;$A5&amp;$B5,배당편집!$D$2:$N$2710,11,FALSE), 0)</f>
        <v>0</v>
      </c>
      <c r="J5" s="3">
        <f>IFERROR(VLOOKUP(J$1&amp;$A5&amp;$B5,배당편집!$D$2:$N$2710,11,FALSE), 0)</f>
        <v>0</v>
      </c>
      <c r="K5" s="3">
        <f>IFERROR(VLOOKUP(K$1&amp;$A5&amp;$B5,배당편집!$D$2:$N$2710,11,FALSE), 0)</f>
        <v>1.1100000000000001</v>
      </c>
      <c r="L5" s="3">
        <f>IFERROR(VLOOKUP(L$1&amp;$A5&amp;$B5,배당편집!$D$2:$N$2710,11,FALSE), 0)</f>
        <v>0</v>
      </c>
      <c r="M5" s="3">
        <f>IFERROR(VLOOKUP(M$1&amp;$A5&amp;$B5,배당편집!$D$2:$N$2710,11,FALSE), 0)</f>
        <v>0</v>
      </c>
      <c r="N5" s="3">
        <f>IFERROR(VLOOKUP(N$1&amp;$A5&amp;$B5,배당편집!$D$2:$N$2710,11,FALSE), 0)</f>
        <v>0</v>
      </c>
      <c r="O5" s="3">
        <f>IFERROR(VLOOKUP(O$1&amp;$A5&amp;$B5,배당편집!$D$2:$N$2710,11,FALSE), 0)</f>
        <v>0</v>
      </c>
      <c r="P5" s="3">
        <f>IFERROR(VLOOKUP(P$1&amp;$A5&amp;$B5,배당편집!$D$2:$N$2710,11,FALSE), 0)</f>
        <v>0.9133</v>
      </c>
      <c r="Q5" s="3">
        <f>IFERROR(VLOOKUP(Q$1&amp;$A5&amp;$B5,배당편집!$D$2:$N$2710,11,FALSE), 0)</f>
        <v>0</v>
      </c>
      <c r="R5" s="3">
        <f>IFERROR(VLOOKUP(R$1&amp;$A5&amp;$B5,배당편집!$D$2:$N$2710,11,FALSE), 0)</f>
        <v>0</v>
      </c>
      <c r="S5" s="3">
        <f>IFERROR(VLOOKUP(S$1&amp;$A5&amp;$B5,배당편집!$D$2:$N$2710,11,FALSE), 0)</f>
        <v>0</v>
      </c>
      <c r="T5" s="3">
        <f>IFERROR(VLOOKUP(T$1&amp;$A5&amp;$B5,배당편집!$D$2:$N$2710,11,FALSE), 0)</f>
        <v>1.26</v>
      </c>
      <c r="U5" s="3">
        <f>IFERROR(VLOOKUP(U$1&amp;$A5&amp;$B5,배당편집!$D$2:$N$2710,11,FALSE), 0)</f>
        <v>0.28000000000000003</v>
      </c>
      <c r="V5" s="3">
        <f>IFERROR(VLOOKUP(V$1&amp;$A5&amp;$B5,배당편집!$D$2:$N$2710,11,FALSE), 0)</f>
        <v>0.26</v>
      </c>
      <c r="W5" s="3">
        <f>IFERROR(VLOOKUP(W$1&amp;$A5&amp;$B5,배당편집!$D$2:$N$2710,11,FALSE), 0)</f>
        <v>0.8</v>
      </c>
      <c r="X5" s="3">
        <f>IFERROR(VLOOKUP(X$1&amp;$A5&amp;$B5,배당편집!$D$2:$N$2710,11,FALSE), 0)</f>
        <v>0</v>
      </c>
      <c r="Y5" s="3">
        <f>IFERROR(VLOOKUP(Y$1&amp;$A5&amp;$B5,배당편집!$D$2:$N$2710,11,FALSE), 0)</f>
        <v>0</v>
      </c>
      <c r="Z5" s="3">
        <f>IFERROR(VLOOKUP(Z$1&amp;$A5&amp;$B5,배당편집!$D$2:$N$2710,11,FALSE), 0)</f>
        <v>0.19500000000000001</v>
      </c>
      <c r="AA5" s="3">
        <f>IFERROR(VLOOKUP(AA$1&amp;$A5&amp;$B5,배당편집!$D$2:$N$2710,11,FALSE), 0)</f>
        <v>0</v>
      </c>
      <c r="AB5" s="3">
        <f>IFERROR(VLOOKUP(AB$1&amp;$A5&amp;$B5,배당편집!$D$2:$N$2710,11,FALSE), 0)</f>
        <v>0.47</v>
      </c>
      <c r="AC5" s="3">
        <f>IFERROR(VLOOKUP(AC$1&amp;$A5&amp;$B5,배당편집!$D$2:$N$2710,11,FALSE), 0)</f>
        <v>0</v>
      </c>
      <c r="AD5" s="3">
        <f>IFERROR(VLOOKUP(AD$1&amp;$A5&amp;$B5,배당편집!$D$2:$N$2710,11,FALSE), 0)</f>
        <v>0</v>
      </c>
      <c r="AE5" s="3">
        <f>IFERROR(VLOOKUP(AE$1&amp;$A5&amp;$B5,배당편집!$D$2:$N$2710,11,FALSE), 0)</f>
        <v>0</v>
      </c>
      <c r="AF5" s="3">
        <f>IFERROR(VLOOKUP(AF$1&amp;$A5&amp;$B5,배당편집!$D$2:$N$2710,11,FALSE), 0)</f>
        <v>0</v>
      </c>
    </row>
    <row r="6" spans="1:32" ht="16.5" customHeight="1">
      <c r="A6" s="3">
        <v>2022</v>
      </c>
      <c r="B6" s="3">
        <v>5</v>
      </c>
      <c r="C6" s="3">
        <f>IFERROR(VLOOKUP(C$1&amp;$A6&amp;$B6,배당편집!$D$2:$N$2710,11,FALSE), 0)</f>
        <v>0.47749999999999998</v>
      </c>
      <c r="D6" s="3">
        <f>IFERROR(VLOOKUP(D$1&amp;$A6&amp;$B6,배당편집!$D$2:$N$2710,11,FALSE), 0)</f>
        <v>0</v>
      </c>
      <c r="E6" s="3">
        <f>IFERROR(VLOOKUP(E$1&amp;$A6&amp;$B6,배당편집!$D$2:$N$2710,11,FALSE), 0)</f>
        <v>0</v>
      </c>
      <c r="F6" s="3">
        <f>IFERROR(VLOOKUP(F$1&amp;$A6&amp;$B6,배당편집!$D$2:$N$2710,11,FALSE), 0)</f>
        <v>0</v>
      </c>
      <c r="G6" s="3">
        <f>IFERROR(VLOOKUP(G$1&amp;$A6&amp;$B6,배당편집!$D$2:$N$2710,11,FALSE), 0)</f>
        <v>0.88</v>
      </c>
      <c r="H6" s="3">
        <f>IFERROR(VLOOKUP(H$1&amp;$A6&amp;$B6,배당편집!$D$2:$N$2710,11,FALSE), 0)</f>
        <v>1.42</v>
      </c>
      <c r="I6" s="3">
        <f>IFERROR(VLOOKUP(I$1&amp;$A6&amp;$B6,배당편집!$D$2:$N$2710,11,FALSE), 0)</f>
        <v>0.59499999999999997</v>
      </c>
      <c r="J6" s="3">
        <f>IFERROR(VLOOKUP(J$1&amp;$A6&amp;$B6,배당편집!$D$2:$N$2710,11,FALSE), 0)</f>
        <v>0</v>
      </c>
      <c r="K6" s="3">
        <f>IFERROR(VLOOKUP(K$1&amp;$A6&amp;$B6,배당편집!$D$2:$N$2710,11,FALSE), 0)</f>
        <v>0</v>
      </c>
      <c r="L6" s="3">
        <f>IFERROR(VLOOKUP(L$1&amp;$A6&amp;$B6,배당편집!$D$2:$N$2710,11,FALSE), 0)</f>
        <v>0.9</v>
      </c>
      <c r="M6" s="3">
        <f>IFERROR(VLOOKUP(M$1&amp;$A6&amp;$B6,배당편집!$D$2:$N$2710,11,FALSE), 0)</f>
        <v>0</v>
      </c>
      <c r="N6" s="3">
        <f>IFERROR(VLOOKUP(N$1&amp;$A6&amp;$B6,배당편집!$D$2:$N$2710,11,FALSE), 0)</f>
        <v>0.51500000000000001</v>
      </c>
      <c r="O6" s="3">
        <f>IFERROR(VLOOKUP(O$1&amp;$A6&amp;$B6,배당편집!$D$2:$N$2710,11,FALSE), 0)</f>
        <v>0</v>
      </c>
      <c r="P6" s="3">
        <f>IFERROR(VLOOKUP(P$1&amp;$A6&amp;$B6,배당편집!$D$2:$N$2710,11,FALSE), 0)</f>
        <v>0</v>
      </c>
      <c r="Q6" s="3">
        <f>IFERROR(VLOOKUP(Q$1&amp;$A6&amp;$B6,배당편집!$D$2:$N$2710,11,FALSE), 0)</f>
        <v>1.1299999999999999</v>
      </c>
      <c r="R6" s="3">
        <f>IFERROR(VLOOKUP(R$1&amp;$A6&amp;$B6,배당편집!$D$2:$N$2710,11,FALSE), 0)</f>
        <v>0.68</v>
      </c>
      <c r="S6" s="3">
        <f>IFERROR(VLOOKUP(S$1&amp;$A6&amp;$B6,배당편집!$D$2:$N$2710,11,FALSE), 0)</f>
        <v>0</v>
      </c>
      <c r="T6" s="3">
        <f>IFERROR(VLOOKUP(T$1&amp;$A6&amp;$B6,배당편집!$D$2:$N$2710,11,FALSE), 0)</f>
        <v>0</v>
      </c>
      <c r="U6" s="3">
        <f>IFERROR(VLOOKUP(U$1&amp;$A6&amp;$B6,배당편집!$D$2:$N$2710,11,FALSE), 0)</f>
        <v>0</v>
      </c>
      <c r="V6" s="3">
        <f>IFERROR(VLOOKUP(V$1&amp;$A6&amp;$B6,배당편집!$D$2:$N$2710,11,FALSE), 0)</f>
        <v>0</v>
      </c>
      <c r="W6" s="3">
        <f>IFERROR(VLOOKUP(W$1&amp;$A6&amp;$B6,배당편집!$D$2:$N$2710,11,FALSE), 0)</f>
        <v>0</v>
      </c>
      <c r="X6" s="3">
        <f>IFERROR(VLOOKUP(X$1&amp;$A6&amp;$B6,배당편집!$D$2:$N$2710,11,FALSE), 0)</f>
        <v>0.59</v>
      </c>
      <c r="Y6" s="3">
        <f>IFERROR(VLOOKUP(Y$1&amp;$A6&amp;$B6,배당편집!$D$2:$N$2710,11,FALSE), 0)</f>
        <v>1.33</v>
      </c>
      <c r="Z6" s="3">
        <f>IFERROR(VLOOKUP(Z$1&amp;$A6&amp;$B6,배당편집!$D$2:$N$2710,11,FALSE), 0)</f>
        <v>0</v>
      </c>
      <c r="AA6" s="3">
        <f>IFERROR(VLOOKUP(AA$1&amp;$A6&amp;$B6,배당편집!$D$2:$N$2710,11,FALSE), 0)</f>
        <v>0.4</v>
      </c>
      <c r="AB6" s="3">
        <f>IFERROR(VLOOKUP(AB$1&amp;$A6&amp;$B6,배당편집!$D$2:$N$2710,11,FALSE), 0)</f>
        <v>0</v>
      </c>
      <c r="AC6" s="3">
        <f>IFERROR(VLOOKUP(AC$1&amp;$A6&amp;$B6,배당편집!$D$2:$N$2710,11,FALSE), 0)</f>
        <v>0.25</v>
      </c>
      <c r="AD6" s="3">
        <f>IFERROR(VLOOKUP(AD$1&amp;$A6&amp;$B6,배당편집!$D$2:$N$2710,11,FALSE), 0)</f>
        <v>0</v>
      </c>
      <c r="AE6" s="3">
        <f>IFERROR(VLOOKUP(AE$1&amp;$A6&amp;$B6,배당편집!$D$2:$N$2710,11,FALSE), 0)</f>
        <v>0.25</v>
      </c>
      <c r="AF6" s="3">
        <f>IFERROR(VLOOKUP(AF$1&amp;$A6&amp;$B6,배당편집!$D$2:$N$2710,11,FALSE), 0)</f>
        <v>0.5</v>
      </c>
    </row>
    <row r="7" spans="1:32" ht="16.5" customHeight="1">
      <c r="A7" s="3">
        <v>2022</v>
      </c>
      <c r="B7" s="3">
        <v>6</v>
      </c>
      <c r="C7" s="3">
        <f>IFERROR(VLOOKUP(C$1&amp;$A7&amp;$B7,배당편집!$D$2:$N$2710,11,FALSE), 0)</f>
        <v>0</v>
      </c>
      <c r="D7" s="3">
        <f>IFERROR(VLOOKUP(D$1&amp;$A7&amp;$B7,배당편집!$D$2:$N$2710,11,FALSE), 0)</f>
        <v>0.44</v>
      </c>
      <c r="E7" s="3">
        <f>IFERROR(VLOOKUP(E$1&amp;$A7&amp;$B7,배당편집!$D$2:$N$2710,11,FALSE), 0)</f>
        <v>0.28999999999999998</v>
      </c>
      <c r="F7" s="3">
        <f>IFERROR(VLOOKUP(F$1&amp;$A7&amp;$B7,배당편집!$D$2:$N$2710,11,FALSE), 0)</f>
        <v>0.79</v>
      </c>
      <c r="G7" s="3">
        <f>IFERROR(VLOOKUP(G$1&amp;$A7&amp;$B7,배당편집!$D$2:$N$2710,11,FALSE), 0)</f>
        <v>0</v>
      </c>
      <c r="H7" s="3">
        <f>IFERROR(VLOOKUP(H$1&amp;$A7&amp;$B7,배당편집!$D$2:$N$2710,11,FALSE), 0)</f>
        <v>0</v>
      </c>
      <c r="I7" s="3">
        <f>IFERROR(VLOOKUP(I$1&amp;$A7&amp;$B7,배당편집!$D$2:$N$2710,11,FALSE), 0)</f>
        <v>0</v>
      </c>
      <c r="J7" s="3">
        <f>IFERROR(VLOOKUP(J$1&amp;$A7&amp;$B7,배당편집!$D$2:$N$2710,11,FALSE), 0)</f>
        <v>0.47499999999999998</v>
      </c>
      <c r="K7" s="3">
        <f>IFERROR(VLOOKUP(K$1&amp;$A7&amp;$B7,배당편집!$D$2:$N$2710,11,FALSE), 0)</f>
        <v>0</v>
      </c>
      <c r="L7" s="3">
        <f>IFERROR(VLOOKUP(L$1&amp;$A7&amp;$B7,배당편집!$D$2:$N$2710,11,FALSE), 0)</f>
        <v>0</v>
      </c>
      <c r="M7" s="3">
        <f>IFERROR(VLOOKUP(M$1&amp;$A7&amp;$B7,배당편집!$D$2:$N$2710,11,FALSE), 0)</f>
        <v>1.22</v>
      </c>
      <c r="N7" s="3">
        <f>IFERROR(VLOOKUP(N$1&amp;$A7&amp;$B7,배당편집!$D$2:$N$2710,11,FALSE), 0)</f>
        <v>0</v>
      </c>
      <c r="O7" s="3">
        <f>IFERROR(VLOOKUP(O$1&amp;$A7&amp;$B7,배당편집!$D$2:$N$2710,11,FALSE), 0)</f>
        <v>1.62</v>
      </c>
      <c r="P7" s="3">
        <f>IFERROR(VLOOKUP(P$1&amp;$A7&amp;$B7,배당편집!$D$2:$N$2710,11,FALSE), 0)</f>
        <v>0</v>
      </c>
      <c r="Q7" s="3">
        <f>IFERROR(VLOOKUP(Q$1&amp;$A7&amp;$B7,배당편집!$D$2:$N$2710,11,FALSE), 0)</f>
        <v>0</v>
      </c>
      <c r="R7" s="3">
        <f>IFERROR(VLOOKUP(R$1&amp;$A7&amp;$B7,배당편집!$D$2:$N$2710,11,FALSE), 0)</f>
        <v>0</v>
      </c>
      <c r="S7" s="3">
        <f>IFERROR(VLOOKUP(S$1&amp;$A7&amp;$B7,배당편집!$D$2:$N$2710,11,FALSE), 0)</f>
        <v>0.89500000000000002</v>
      </c>
      <c r="T7" s="3">
        <f>IFERROR(VLOOKUP(T$1&amp;$A7&amp;$B7,배당편집!$D$2:$N$2710,11,FALSE), 0)</f>
        <v>1.26</v>
      </c>
      <c r="U7" s="3">
        <f>IFERROR(VLOOKUP(U$1&amp;$A7&amp;$B7,배당편집!$D$2:$N$2710,11,FALSE), 0)</f>
        <v>0</v>
      </c>
      <c r="V7" s="3">
        <f>IFERROR(VLOOKUP(V$1&amp;$A7&amp;$B7,배당편집!$D$2:$N$2710,11,FALSE), 0)</f>
        <v>0</v>
      </c>
      <c r="W7" s="3">
        <f>IFERROR(VLOOKUP(W$1&amp;$A7&amp;$B7,배당편집!$D$2:$N$2710,11,FALSE), 0)</f>
        <v>0</v>
      </c>
      <c r="X7" s="3">
        <f>IFERROR(VLOOKUP(X$1&amp;$A7&amp;$B7,배당편집!$D$2:$N$2710,11,FALSE), 0)</f>
        <v>0</v>
      </c>
      <c r="Y7" s="3">
        <f>IFERROR(VLOOKUP(Y$1&amp;$A7&amp;$B7,배당편집!$D$2:$N$2710,11,FALSE), 0)</f>
        <v>0</v>
      </c>
      <c r="Z7" s="3">
        <f>IFERROR(VLOOKUP(Z$1&amp;$A7&amp;$B7,배당편집!$D$2:$N$2710,11,FALSE), 0)</f>
        <v>0</v>
      </c>
      <c r="AA7" s="3">
        <f>IFERROR(VLOOKUP(AA$1&amp;$A7&amp;$B7,배당편집!$D$2:$N$2710,11,FALSE), 0)</f>
        <v>0</v>
      </c>
      <c r="AB7" s="3">
        <f>IFERROR(VLOOKUP(AB$1&amp;$A7&amp;$B7,배당편집!$D$2:$N$2710,11,FALSE), 0)</f>
        <v>0</v>
      </c>
      <c r="AC7" s="3">
        <f>IFERROR(VLOOKUP(AC$1&amp;$A7&amp;$B7,배당편집!$D$2:$N$2710,11,FALSE), 0)</f>
        <v>0</v>
      </c>
      <c r="AD7" s="3">
        <f>IFERROR(VLOOKUP(AD$1&amp;$A7&amp;$B7,배당편집!$D$2:$N$2710,11,FALSE), 0)</f>
        <v>1.04</v>
      </c>
      <c r="AE7" s="3">
        <f>IFERROR(VLOOKUP(AE$1&amp;$A7&amp;$B7,배당편집!$D$2:$N$2710,11,FALSE), 0)</f>
        <v>0</v>
      </c>
      <c r="AF7" s="3">
        <f>IFERROR(VLOOKUP(AF$1&amp;$A7&amp;$B7,배당편집!$D$2:$N$2710,11,FALSE), 0)</f>
        <v>0</v>
      </c>
    </row>
    <row r="8" spans="1:32" ht="16.5" customHeight="1">
      <c r="A8" s="3">
        <v>2022</v>
      </c>
      <c r="B8" s="3">
        <v>7</v>
      </c>
      <c r="C8" s="3">
        <f>IFERROR(VLOOKUP(C$1&amp;$A8&amp;$B8,배당편집!$D$2:$N$2710,11,FALSE), 0)</f>
        <v>0</v>
      </c>
      <c r="D8" s="3">
        <f>IFERROR(VLOOKUP(D$1&amp;$A8&amp;$B8,배당편집!$D$2:$N$2710,11,FALSE), 0)</f>
        <v>0</v>
      </c>
      <c r="E8" s="3">
        <f>IFERROR(VLOOKUP(E$1&amp;$A8&amp;$B8,배당편집!$D$2:$N$2710,11,FALSE), 0)</f>
        <v>0</v>
      </c>
      <c r="F8" s="3">
        <f>IFERROR(VLOOKUP(F$1&amp;$A8&amp;$B8,배당편집!$D$2:$N$2710,11,FALSE), 0)</f>
        <v>0</v>
      </c>
      <c r="G8" s="3">
        <f>IFERROR(VLOOKUP(G$1&amp;$A8&amp;$B8,배당편집!$D$2:$N$2710,11,FALSE), 0)</f>
        <v>0</v>
      </c>
      <c r="H8" s="3">
        <f>IFERROR(VLOOKUP(H$1&amp;$A8&amp;$B8,배당편집!$D$2:$N$2710,11,FALSE), 0)</f>
        <v>0</v>
      </c>
      <c r="I8" s="3">
        <f>IFERROR(VLOOKUP(I$1&amp;$A8&amp;$B8,배당편집!$D$2:$N$2710,11,FALSE), 0)</f>
        <v>0</v>
      </c>
      <c r="J8" s="3">
        <f>IFERROR(VLOOKUP(J$1&amp;$A8&amp;$B8,배당편집!$D$2:$N$2710,11,FALSE), 0)</f>
        <v>0</v>
      </c>
      <c r="K8" s="3">
        <f>IFERROR(VLOOKUP(K$1&amp;$A8&amp;$B8,배당편집!$D$2:$N$2710,11,FALSE), 0)</f>
        <v>1.2</v>
      </c>
      <c r="L8" s="3">
        <f>IFERROR(VLOOKUP(L$1&amp;$A8&amp;$B8,배당편집!$D$2:$N$2710,11,FALSE), 0)</f>
        <v>0</v>
      </c>
      <c r="M8" s="3">
        <f>IFERROR(VLOOKUP(M$1&amp;$A8&amp;$B8,배당편집!$D$2:$N$2710,11,FALSE), 0)</f>
        <v>0</v>
      </c>
      <c r="N8" s="3">
        <f>IFERROR(VLOOKUP(N$1&amp;$A8&amp;$B8,배당편집!$D$2:$N$2710,11,FALSE), 0)</f>
        <v>0</v>
      </c>
      <c r="O8" s="3">
        <f>IFERROR(VLOOKUP(O$1&amp;$A8&amp;$B8,배당편집!$D$2:$N$2710,11,FALSE), 0)</f>
        <v>0</v>
      </c>
      <c r="P8" s="3">
        <f>IFERROR(VLOOKUP(P$1&amp;$A8&amp;$B8,배당편집!$D$2:$N$2710,11,FALSE), 0)</f>
        <v>0.9133</v>
      </c>
      <c r="Q8" s="3">
        <f>IFERROR(VLOOKUP(Q$1&amp;$A8&amp;$B8,배당편집!$D$2:$N$2710,11,FALSE), 0)</f>
        <v>0</v>
      </c>
      <c r="R8" s="3">
        <f>IFERROR(VLOOKUP(R$1&amp;$A8&amp;$B8,배당편집!$D$2:$N$2710,11,FALSE), 0)</f>
        <v>0</v>
      </c>
      <c r="S8" s="3">
        <f>IFERROR(VLOOKUP(S$1&amp;$A8&amp;$B8,배당편집!$D$2:$N$2710,11,FALSE), 0)</f>
        <v>0</v>
      </c>
      <c r="T8" s="3">
        <f>IFERROR(VLOOKUP(T$1&amp;$A8&amp;$B8,배당편집!$D$2:$N$2710,11,FALSE), 0)</f>
        <v>0</v>
      </c>
      <c r="U8" s="3">
        <f>IFERROR(VLOOKUP(U$1&amp;$A8&amp;$B8,배당편집!$D$2:$N$2710,11,FALSE), 0)</f>
        <v>0.28000000000000003</v>
      </c>
      <c r="V8" s="3">
        <f>IFERROR(VLOOKUP(V$1&amp;$A8&amp;$B8,배당편집!$D$2:$N$2710,11,FALSE), 0)</f>
        <v>0.26</v>
      </c>
      <c r="W8" s="3">
        <f>IFERROR(VLOOKUP(W$1&amp;$A8&amp;$B8,배당편집!$D$2:$N$2710,11,FALSE), 0)</f>
        <v>1.05</v>
      </c>
      <c r="X8" s="3">
        <f>IFERROR(VLOOKUP(X$1&amp;$A8&amp;$B8,배당편집!$D$2:$N$2710,11,FALSE), 0)</f>
        <v>0</v>
      </c>
      <c r="Y8" s="3">
        <f>IFERROR(VLOOKUP(Y$1&amp;$A8&amp;$B8,배당편집!$D$2:$N$2710,11,FALSE), 0)</f>
        <v>0</v>
      </c>
      <c r="Z8" s="3">
        <f>IFERROR(VLOOKUP(Z$1&amp;$A8&amp;$B8,배당편집!$D$2:$N$2710,11,FALSE), 0)</f>
        <v>0.19500000000000001</v>
      </c>
      <c r="AA8" s="3">
        <f>IFERROR(VLOOKUP(AA$1&amp;$A8&amp;$B8,배당편집!$D$2:$N$2710,11,FALSE), 0)</f>
        <v>0</v>
      </c>
      <c r="AB8" s="3">
        <f>IFERROR(VLOOKUP(AB$1&amp;$A8&amp;$B8,배당편집!$D$2:$N$2710,11,FALSE), 0)</f>
        <v>0.47</v>
      </c>
      <c r="AC8" s="3">
        <f>IFERROR(VLOOKUP(AC$1&amp;$A8&amp;$B8,배당편집!$D$2:$N$2710,11,FALSE), 0)</f>
        <v>0</v>
      </c>
      <c r="AD8" s="3">
        <f>IFERROR(VLOOKUP(AD$1&amp;$A8&amp;$B8,배당편집!$D$2:$N$2710,11,FALSE), 0)</f>
        <v>0</v>
      </c>
      <c r="AE8" s="3">
        <f>IFERROR(VLOOKUP(AE$1&amp;$A8&amp;$B8,배당편집!$D$2:$N$2710,11,FALSE), 0)</f>
        <v>0</v>
      </c>
      <c r="AF8" s="3">
        <f>IFERROR(VLOOKUP(AF$1&amp;$A8&amp;$B8,배당편집!$D$2:$N$2710,11,FALSE), 0)</f>
        <v>0</v>
      </c>
    </row>
    <row r="9" spans="1:32" ht="16.5" customHeight="1">
      <c r="A9" s="3">
        <v>2022</v>
      </c>
      <c r="B9" s="3">
        <v>8</v>
      </c>
      <c r="C9" s="3">
        <f>IFERROR(VLOOKUP(C$1&amp;$A9&amp;$B9,배당편집!$D$2:$N$2710,11,FALSE), 0)</f>
        <v>0.48</v>
      </c>
      <c r="D9" s="3">
        <f>IFERROR(VLOOKUP(D$1&amp;$A9&amp;$B9,배당편집!$D$2:$N$2710,11,FALSE), 0)</f>
        <v>0</v>
      </c>
      <c r="E9" s="3">
        <f>IFERROR(VLOOKUP(E$1&amp;$A9&amp;$B9,배당편집!$D$2:$N$2710,11,FALSE), 0)</f>
        <v>0</v>
      </c>
      <c r="F9" s="3">
        <f>IFERROR(VLOOKUP(F$1&amp;$A9&amp;$B9,배당편집!$D$2:$N$2710,11,FALSE), 0)</f>
        <v>0</v>
      </c>
      <c r="G9" s="3">
        <f>IFERROR(VLOOKUP(G$1&amp;$A9&amp;$B9,배당편집!$D$2:$N$2710,11,FALSE), 0)</f>
        <v>0.88</v>
      </c>
      <c r="H9" s="3">
        <f>IFERROR(VLOOKUP(H$1&amp;$A9&amp;$B9,배당편집!$D$2:$N$2710,11,FALSE), 0)</f>
        <v>1.42</v>
      </c>
      <c r="I9" s="3">
        <f>IFERROR(VLOOKUP(I$1&amp;$A9&amp;$B9,배당편집!$D$2:$N$2710,11,FALSE), 0)</f>
        <v>0.59499999999999997</v>
      </c>
      <c r="J9" s="3">
        <f>IFERROR(VLOOKUP(J$1&amp;$A9&amp;$B9,배당편집!$D$2:$N$2710,11,FALSE), 0)</f>
        <v>0</v>
      </c>
      <c r="K9" s="3">
        <f>IFERROR(VLOOKUP(K$1&amp;$A9&amp;$B9,배당편집!$D$2:$N$2710,11,FALSE), 0)</f>
        <v>0</v>
      </c>
      <c r="L9" s="3">
        <f>IFERROR(VLOOKUP(L$1&amp;$A9&amp;$B9,배당편집!$D$2:$N$2710,11,FALSE), 0)</f>
        <v>1.08</v>
      </c>
      <c r="M9" s="3">
        <f>IFERROR(VLOOKUP(M$1&amp;$A9&amp;$B9,배당편집!$D$2:$N$2710,11,FALSE), 0)</f>
        <v>0</v>
      </c>
      <c r="N9" s="3">
        <f>IFERROR(VLOOKUP(N$1&amp;$A9&amp;$B9,배당편집!$D$2:$N$2710,11,FALSE), 0)</f>
        <v>0.51500000000000001</v>
      </c>
      <c r="O9" s="3">
        <f>IFERROR(VLOOKUP(O$1&amp;$A9&amp;$B9,배당편집!$D$2:$N$2710,11,FALSE), 0)</f>
        <v>0</v>
      </c>
      <c r="P9" s="3">
        <f>IFERROR(VLOOKUP(P$1&amp;$A9&amp;$B9,배당편집!$D$2:$N$2710,11,FALSE), 0)</f>
        <v>0</v>
      </c>
      <c r="Q9" s="3">
        <f>IFERROR(VLOOKUP(Q$1&amp;$A9&amp;$B9,배당편집!$D$2:$N$2710,11,FALSE), 0)</f>
        <v>1.1299999999999999</v>
      </c>
      <c r="R9" s="3">
        <f>IFERROR(VLOOKUP(R$1&amp;$A9&amp;$B9,배당편집!$D$2:$N$2710,11,FALSE), 0)</f>
        <v>0.68</v>
      </c>
      <c r="S9" s="3">
        <f>IFERROR(VLOOKUP(S$1&amp;$A9&amp;$B9,배당편집!$D$2:$N$2710,11,FALSE), 0)</f>
        <v>0</v>
      </c>
      <c r="T9" s="3">
        <f>IFERROR(VLOOKUP(T$1&amp;$A9&amp;$B9,배당편집!$D$2:$N$2710,11,FALSE), 0)</f>
        <v>0</v>
      </c>
      <c r="U9" s="3">
        <f>IFERROR(VLOOKUP(U$1&amp;$A9&amp;$B9,배당편집!$D$2:$N$2710,11,FALSE), 0)</f>
        <v>0</v>
      </c>
      <c r="V9" s="3">
        <f>IFERROR(VLOOKUP(V$1&amp;$A9&amp;$B9,배당편집!$D$2:$N$2710,11,FALSE), 0)</f>
        <v>0</v>
      </c>
      <c r="W9" s="3">
        <f>IFERROR(VLOOKUP(W$1&amp;$A9&amp;$B9,배당편집!$D$2:$N$2710,11,FALSE), 0)</f>
        <v>0</v>
      </c>
      <c r="X9" s="3">
        <f>IFERROR(VLOOKUP(X$1&amp;$A9&amp;$B9,배당편집!$D$2:$N$2710,11,FALSE), 0)</f>
        <v>0.62</v>
      </c>
      <c r="Y9" s="3">
        <f>IFERROR(VLOOKUP(Y$1&amp;$A9&amp;$B9,배당편집!$D$2:$N$2710,11,FALSE), 0)</f>
        <v>1.33</v>
      </c>
      <c r="Z9" s="3">
        <f>IFERROR(VLOOKUP(Z$1&amp;$A9&amp;$B9,배당편집!$D$2:$N$2710,11,FALSE), 0)</f>
        <v>0</v>
      </c>
      <c r="AA9" s="3">
        <f>IFERROR(VLOOKUP(AA$1&amp;$A9&amp;$B9,배당편집!$D$2:$N$2710,11,FALSE), 0)</f>
        <v>0.4</v>
      </c>
      <c r="AB9" s="3">
        <f>IFERROR(VLOOKUP(AB$1&amp;$A9&amp;$B9,배당편집!$D$2:$N$2710,11,FALSE), 0)</f>
        <v>0</v>
      </c>
      <c r="AC9" s="3">
        <f>IFERROR(VLOOKUP(AC$1&amp;$A9&amp;$B9,배당편집!$D$2:$N$2710,11,FALSE), 0)</f>
        <v>0.25</v>
      </c>
      <c r="AD9" s="3">
        <f>IFERROR(VLOOKUP(AD$1&amp;$A9&amp;$B9,배당편집!$D$2:$N$2710,11,FALSE), 0)</f>
        <v>0</v>
      </c>
      <c r="AE9" s="3">
        <f>IFERROR(VLOOKUP(AE$1&amp;$A9&amp;$B9,배당편집!$D$2:$N$2710,11,FALSE), 0)</f>
        <v>0.25</v>
      </c>
      <c r="AF9" s="3">
        <f>IFERROR(VLOOKUP(AF$1&amp;$A9&amp;$B9,배당편집!$D$2:$N$2710,11,FALSE), 0)</f>
        <v>0.505</v>
      </c>
    </row>
    <row r="10" spans="1:32" ht="16.5" customHeight="1">
      <c r="A10" s="3">
        <v>2022</v>
      </c>
      <c r="B10" s="3">
        <v>9</v>
      </c>
      <c r="C10" s="3">
        <f>IFERROR(VLOOKUP(C$1&amp;$A10&amp;$B10,배당편집!$D$2:$N$2710,11,FALSE), 0)</f>
        <v>0</v>
      </c>
      <c r="D10" s="3">
        <f>IFERROR(VLOOKUP(D$1&amp;$A10&amp;$B10,배당편집!$D$2:$N$2710,11,FALSE), 0)</f>
        <v>0.44</v>
      </c>
      <c r="E10" s="3">
        <f>IFERROR(VLOOKUP(E$1&amp;$A10&amp;$B10,배당편집!$D$2:$N$2710,11,FALSE), 0)</f>
        <v>0.28999999999999998</v>
      </c>
      <c r="F10" s="3">
        <f>IFERROR(VLOOKUP(F$1&amp;$A10&amp;$B10,배당편집!$D$2:$N$2710,11,FALSE), 0)</f>
        <v>0.8</v>
      </c>
      <c r="G10" s="3">
        <f>IFERROR(VLOOKUP(G$1&amp;$A10&amp;$B10,배당편집!$D$2:$N$2710,11,FALSE), 0)</f>
        <v>0</v>
      </c>
      <c r="H10" s="3">
        <f>IFERROR(VLOOKUP(H$1&amp;$A10&amp;$B10,배당편집!$D$2:$N$2710,11,FALSE), 0)</f>
        <v>0</v>
      </c>
      <c r="I10" s="3">
        <f>IFERROR(VLOOKUP(I$1&amp;$A10&amp;$B10,배당편집!$D$2:$N$2710,11,FALSE), 0)</f>
        <v>0</v>
      </c>
      <c r="J10" s="3">
        <f>IFERROR(VLOOKUP(J$1&amp;$A10&amp;$B10,배당편집!$D$2:$N$2710,11,FALSE), 0)</f>
        <v>0.47499999999999998</v>
      </c>
      <c r="K10" s="3">
        <f>IFERROR(VLOOKUP(K$1&amp;$A10&amp;$B10,배당편집!$D$2:$N$2710,11,FALSE), 0)</f>
        <v>0</v>
      </c>
      <c r="L10" s="3">
        <f>IFERROR(VLOOKUP(L$1&amp;$A10&amp;$B10,배당편집!$D$2:$N$2710,11,FALSE), 0)</f>
        <v>0</v>
      </c>
      <c r="M10" s="3">
        <f>IFERROR(VLOOKUP(M$1&amp;$A10&amp;$B10,배당편집!$D$2:$N$2710,11,FALSE), 0)</f>
        <v>1.31</v>
      </c>
      <c r="N10" s="3">
        <f>IFERROR(VLOOKUP(N$1&amp;$A10&amp;$B10,배당편집!$D$2:$N$2710,11,FALSE), 0)</f>
        <v>0</v>
      </c>
      <c r="O10" s="3">
        <f>IFERROR(VLOOKUP(O$1&amp;$A10&amp;$B10,배당편집!$D$2:$N$2710,11,FALSE), 0)</f>
        <v>1.62</v>
      </c>
      <c r="P10" s="3">
        <f>IFERROR(VLOOKUP(P$1&amp;$A10&amp;$B10,배당편집!$D$2:$N$2710,11,FALSE), 0)</f>
        <v>0</v>
      </c>
      <c r="Q10" s="3">
        <f>IFERROR(VLOOKUP(Q$1&amp;$A10&amp;$B10,배당편집!$D$2:$N$2710,11,FALSE), 0)</f>
        <v>0</v>
      </c>
      <c r="R10" s="3">
        <f>IFERROR(VLOOKUP(R$1&amp;$A10&amp;$B10,배당편집!$D$2:$N$2710,11,FALSE), 0)</f>
        <v>0</v>
      </c>
      <c r="S10" s="3">
        <f>IFERROR(VLOOKUP(S$1&amp;$A10&amp;$B10,배당편집!$D$2:$N$2710,11,FALSE), 0)</f>
        <v>0.89500000000000002</v>
      </c>
      <c r="T10" s="3">
        <f>IFERROR(VLOOKUP(T$1&amp;$A10&amp;$B10,배당편집!$D$2:$N$2710,11,FALSE), 0)</f>
        <v>0</v>
      </c>
      <c r="U10" s="3">
        <f>IFERROR(VLOOKUP(U$1&amp;$A10&amp;$B10,배당편집!$D$2:$N$2710,11,FALSE), 0)</f>
        <v>0</v>
      </c>
      <c r="V10" s="3">
        <f>IFERROR(VLOOKUP(V$1&amp;$A10&amp;$B10,배당편집!$D$2:$N$2710,11,FALSE), 0)</f>
        <v>0</v>
      </c>
      <c r="W10" s="3">
        <f>IFERROR(VLOOKUP(W$1&amp;$A10&amp;$B10,배당편집!$D$2:$N$2710,11,FALSE), 0)</f>
        <v>0</v>
      </c>
      <c r="X10" s="3">
        <f>IFERROR(VLOOKUP(X$1&amp;$A10&amp;$B10,배당편집!$D$2:$N$2710,11,FALSE), 0)</f>
        <v>0</v>
      </c>
      <c r="Y10" s="3">
        <f>IFERROR(VLOOKUP(Y$1&amp;$A10&amp;$B10,배당편집!$D$2:$N$2710,11,FALSE), 0)</f>
        <v>0</v>
      </c>
      <c r="Z10" s="3">
        <f>IFERROR(VLOOKUP(Z$1&amp;$A10&amp;$B10,배당편집!$D$2:$N$2710,11,FALSE), 0)</f>
        <v>0</v>
      </c>
      <c r="AA10" s="3">
        <f>IFERROR(VLOOKUP(AA$1&amp;$A10&amp;$B10,배당편집!$D$2:$N$2710,11,FALSE), 0)</f>
        <v>0</v>
      </c>
      <c r="AB10" s="3">
        <f>IFERROR(VLOOKUP(AB$1&amp;$A10&amp;$B10,배당편집!$D$2:$N$2710,11,FALSE), 0)</f>
        <v>0</v>
      </c>
      <c r="AC10" s="3">
        <f>IFERROR(VLOOKUP(AC$1&amp;$A10&amp;$B10,배당편집!$D$2:$N$2710,11,FALSE), 0)</f>
        <v>0</v>
      </c>
      <c r="AD10" s="3">
        <f>IFERROR(VLOOKUP(AD$1&amp;$A10&amp;$B10,배당편집!$D$2:$N$2710,11,FALSE), 0)</f>
        <v>1.04</v>
      </c>
      <c r="AE10" s="3">
        <f>IFERROR(VLOOKUP(AE$1&amp;$A10&amp;$B10,배당편집!$D$2:$N$2710,11,FALSE), 0)</f>
        <v>0</v>
      </c>
      <c r="AF10" s="3">
        <f>IFERROR(VLOOKUP(AF$1&amp;$A10&amp;$B10,배당편집!$D$2:$N$2710,11,FALSE), 0)</f>
        <v>0</v>
      </c>
    </row>
    <row r="11" spans="1:32" ht="16.5" customHeight="1">
      <c r="A11" s="3">
        <v>2022</v>
      </c>
      <c r="B11" s="3">
        <v>10</v>
      </c>
      <c r="C11" s="3">
        <f>IFERROR(VLOOKUP(C$1&amp;$A11&amp;$B11,배당편집!$D$2:$N$2710,11,FALSE), 0)</f>
        <v>0</v>
      </c>
      <c r="D11" s="3">
        <f>IFERROR(VLOOKUP(D$1&amp;$A11&amp;$B11,배당편집!$D$2:$N$2710,11,FALSE), 0)</f>
        <v>0</v>
      </c>
      <c r="E11" s="3">
        <f>IFERROR(VLOOKUP(E$1&amp;$A11&amp;$B11,배당편집!$D$2:$N$2710,11,FALSE), 0)</f>
        <v>0</v>
      </c>
      <c r="F11" s="3">
        <f>IFERROR(VLOOKUP(F$1&amp;$A11&amp;$B11,배당편집!$D$2:$N$2710,11,FALSE), 0)</f>
        <v>0</v>
      </c>
      <c r="G11" s="3">
        <f>IFERROR(VLOOKUP(G$1&amp;$A11&amp;$B11,배당편집!$D$2:$N$2710,11,FALSE), 0)</f>
        <v>0</v>
      </c>
      <c r="H11" s="3">
        <f>IFERROR(VLOOKUP(H$1&amp;$A11&amp;$B11,배당편집!$D$2:$N$2710,11,FALSE), 0)</f>
        <v>0</v>
      </c>
      <c r="I11" s="3">
        <f>IFERROR(VLOOKUP(I$1&amp;$A11&amp;$B11,배당편집!$D$2:$N$2710,11,FALSE), 0)</f>
        <v>0</v>
      </c>
      <c r="J11" s="3">
        <f>IFERROR(VLOOKUP(J$1&amp;$A11&amp;$B11,배당편집!$D$2:$N$2710,11,FALSE), 0)</f>
        <v>0</v>
      </c>
      <c r="K11" s="3">
        <f>IFERROR(VLOOKUP(K$1&amp;$A11&amp;$B11,배당편집!$D$2:$N$2710,11,FALSE), 0)</f>
        <v>1.2</v>
      </c>
      <c r="L11" s="3">
        <f>IFERROR(VLOOKUP(L$1&amp;$A11&amp;$B11,배당편집!$D$2:$N$2710,11,FALSE), 0)</f>
        <v>0</v>
      </c>
      <c r="M11" s="3">
        <f>IFERROR(VLOOKUP(M$1&amp;$A11&amp;$B11,배당편집!$D$2:$N$2710,11,FALSE), 0)</f>
        <v>0</v>
      </c>
      <c r="N11" s="3">
        <f>IFERROR(VLOOKUP(N$1&amp;$A11&amp;$B11,배당편집!$D$2:$N$2710,11,FALSE), 0)</f>
        <v>0</v>
      </c>
      <c r="O11" s="3">
        <f>IFERROR(VLOOKUP(O$1&amp;$A11&amp;$B11,배당편집!$D$2:$N$2710,11,FALSE), 0)</f>
        <v>0</v>
      </c>
      <c r="P11" s="3">
        <f>IFERROR(VLOOKUP(P$1&amp;$A11&amp;$B11,배당편집!$D$2:$N$2710,11,FALSE), 0)</f>
        <v>0.9133</v>
      </c>
      <c r="Q11" s="3">
        <f>IFERROR(VLOOKUP(Q$1&amp;$A11&amp;$B11,배당편집!$D$2:$N$2710,11,FALSE), 0)</f>
        <v>0</v>
      </c>
      <c r="R11" s="3">
        <f>IFERROR(VLOOKUP(R$1&amp;$A11&amp;$B11,배당편집!$D$2:$N$2710,11,FALSE), 0)</f>
        <v>0</v>
      </c>
      <c r="S11" s="3">
        <f>IFERROR(VLOOKUP(S$1&amp;$A11&amp;$B11,배당편집!$D$2:$N$2710,11,FALSE), 0)</f>
        <v>0</v>
      </c>
      <c r="T11" s="3">
        <f>IFERROR(VLOOKUP(T$1&amp;$A11&amp;$B11,배당편집!$D$2:$N$2710,11,FALSE), 0)</f>
        <v>1.26</v>
      </c>
      <c r="U11" s="3">
        <f>IFERROR(VLOOKUP(U$1&amp;$A11&amp;$B11,배당편집!$D$2:$N$2710,11,FALSE), 0)</f>
        <v>0.3</v>
      </c>
      <c r="V11" s="3">
        <f>IFERROR(VLOOKUP(V$1&amp;$A11&amp;$B11,배당편집!$D$2:$N$2710,11,FALSE), 0)</f>
        <v>0.26</v>
      </c>
      <c r="W11" s="3">
        <f>IFERROR(VLOOKUP(W$1&amp;$A11&amp;$B11,배당편집!$D$2:$N$2710,11,FALSE), 0)</f>
        <v>1.05</v>
      </c>
      <c r="X11" s="3">
        <f>IFERROR(VLOOKUP(X$1&amp;$A11&amp;$B11,배당편집!$D$2:$N$2710,11,FALSE), 0)</f>
        <v>0</v>
      </c>
      <c r="Y11" s="3">
        <f>IFERROR(VLOOKUP(Y$1&amp;$A11&amp;$B11,배당편집!$D$2:$N$2710,11,FALSE), 0)</f>
        <v>0</v>
      </c>
      <c r="Z11" s="3">
        <f>IFERROR(VLOOKUP(Z$1&amp;$A11&amp;$B11,배당편집!$D$2:$N$2710,11,FALSE), 0)</f>
        <v>0.19500000000000001</v>
      </c>
      <c r="AA11" s="3">
        <f>IFERROR(VLOOKUP(AA$1&amp;$A11&amp;$B11,배당편집!$D$2:$N$2710,11,FALSE), 0)</f>
        <v>0</v>
      </c>
      <c r="AB11" s="3">
        <f>IFERROR(VLOOKUP(AB$1&amp;$A11&amp;$B11,배당편집!$D$2:$N$2710,11,FALSE), 0)</f>
        <v>0.47</v>
      </c>
      <c r="AC11" s="3">
        <f>IFERROR(VLOOKUP(AC$1&amp;$A11&amp;$B11,배당편집!$D$2:$N$2710,11,FALSE), 0)</f>
        <v>0</v>
      </c>
      <c r="AD11" s="3">
        <f>IFERROR(VLOOKUP(AD$1&amp;$A11&amp;$B11,배당편집!$D$2:$N$2710,11,FALSE), 0)</f>
        <v>0</v>
      </c>
      <c r="AE11" s="3">
        <f>IFERROR(VLOOKUP(AE$1&amp;$A11&amp;$B11,배당편집!$D$2:$N$2710,11,FALSE), 0)</f>
        <v>0</v>
      </c>
      <c r="AF11" s="3">
        <f>IFERROR(VLOOKUP(AF$1&amp;$A11&amp;$B11,배당편집!$D$2:$N$2710,11,FALSE), 0)</f>
        <v>0</v>
      </c>
    </row>
    <row r="12" spans="1:32" ht="16.5" customHeight="1">
      <c r="A12" s="3">
        <v>2022</v>
      </c>
      <c r="B12" s="3">
        <v>11</v>
      </c>
      <c r="C12" s="3">
        <f>IFERROR(VLOOKUP(C$1&amp;$A12&amp;$B12,배당편집!$D$2:$N$2710,11,FALSE), 0)</f>
        <v>0.48</v>
      </c>
      <c r="D12" s="3">
        <f>IFERROR(VLOOKUP(D$1&amp;$A12&amp;$B12,배당편집!$D$2:$N$2710,11,FALSE), 0)</f>
        <v>0</v>
      </c>
      <c r="E12" s="3">
        <f>IFERROR(VLOOKUP(E$1&amp;$A12&amp;$B12,배당편집!$D$2:$N$2710,11,FALSE), 0)</f>
        <v>0</v>
      </c>
      <c r="F12" s="3">
        <f>IFERROR(VLOOKUP(F$1&amp;$A12&amp;$B12,배당편집!$D$2:$N$2710,11,FALSE), 0)</f>
        <v>0.8</v>
      </c>
      <c r="G12" s="3">
        <f>IFERROR(VLOOKUP(G$1&amp;$A12&amp;$B12,배당편집!$D$2:$N$2710,11,FALSE), 0)</f>
        <v>0</v>
      </c>
      <c r="H12" s="3">
        <f>IFERROR(VLOOKUP(H$1&amp;$A12&amp;$B12,배당편집!$D$2:$N$2710,11,FALSE), 0)</f>
        <v>1.42</v>
      </c>
      <c r="I12" s="3">
        <f>IFERROR(VLOOKUP(I$1&amp;$A12&amp;$B12,배당편집!$D$2:$N$2710,11,FALSE), 0)</f>
        <v>0.625</v>
      </c>
      <c r="J12" s="3">
        <f>IFERROR(VLOOKUP(J$1&amp;$A12&amp;$B12,배당편집!$D$2:$N$2710,11,FALSE), 0)</f>
        <v>0</v>
      </c>
      <c r="K12" s="3">
        <f>IFERROR(VLOOKUP(K$1&amp;$A12&amp;$B12,배당편집!$D$2:$N$2710,11,FALSE), 0)</f>
        <v>0</v>
      </c>
      <c r="L12" s="3">
        <f>IFERROR(VLOOKUP(L$1&amp;$A12&amp;$B12,배당편집!$D$2:$N$2710,11,FALSE), 0)</f>
        <v>1.08</v>
      </c>
      <c r="M12" s="3">
        <f>IFERROR(VLOOKUP(M$1&amp;$A12&amp;$B12,배당편집!$D$2:$N$2710,11,FALSE), 0)</f>
        <v>0</v>
      </c>
      <c r="N12" s="3">
        <f>IFERROR(VLOOKUP(N$1&amp;$A12&amp;$B12,배당편집!$D$2:$N$2710,11,FALSE), 0)</f>
        <v>0</v>
      </c>
      <c r="O12" s="3">
        <f>IFERROR(VLOOKUP(O$1&amp;$A12&amp;$B12,배당편집!$D$2:$N$2710,11,FALSE), 0)</f>
        <v>0</v>
      </c>
      <c r="P12" s="3">
        <f>IFERROR(VLOOKUP(P$1&amp;$A12&amp;$B12,배당편집!$D$2:$N$2710,11,FALSE), 0)</f>
        <v>0</v>
      </c>
      <c r="Q12" s="3">
        <f>IFERROR(VLOOKUP(Q$1&amp;$A12&amp;$B12,배당편집!$D$2:$N$2710,11,FALSE), 0)</f>
        <v>1.1299999999999999</v>
      </c>
      <c r="R12" s="3">
        <f>IFERROR(VLOOKUP(R$1&amp;$A12&amp;$B12,배당편집!$D$2:$N$2710,11,FALSE), 0)</f>
        <v>0</v>
      </c>
      <c r="S12" s="3">
        <f>IFERROR(VLOOKUP(S$1&amp;$A12&amp;$B12,배당편집!$D$2:$N$2710,11,FALSE), 0)</f>
        <v>0</v>
      </c>
      <c r="T12" s="3">
        <f>IFERROR(VLOOKUP(T$1&amp;$A12&amp;$B12,배당편집!$D$2:$N$2710,11,FALSE), 0)</f>
        <v>0</v>
      </c>
      <c r="U12" s="3">
        <f>IFERROR(VLOOKUP(U$1&amp;$A12&amp;$B12,배당편집!$D$2:$N$2710,11,FALSE), 0)</f>
        <v>0</v>
      </c>
      <c r="V12" s="3">
        <f>IFERROR(VLOOKUP(V$1&amp;$A12&amp;$B12,배당편집!$D$2:$N$2710,11,FALSE), 0)</f>
        <v>0</v>
      </c>
      <c r="W12" s="3">
        <f>IFERROR(VLOOKUP(W$1&amp;$A12&amp;$B12,배당편집!$D$2:$N$2710,11,FALSE), 0)</f>
        <v>0</v>
      </c>
      <c r="X12" s="3">
        <f>IFERROR(VLOOKUP(X$1&amp;$A12&amp;$B12,배당편집!$D$2:$N$2710,11,FALSE), 0)</f>
        <v>0.62</v>
      </c>
      <c r="Y12" s="3">
        <f>IFERROR(VLOOKUP(Y$1&amp;$A12&amp;$B12,배당편집!$D$2:$N$2710,11,FALSE), 0)</f>
        <v>1.33</v>
      </c>
      <c r="Z12" s="3">
        <f>IFERROR(VLOOKUP(Z$1&amp;$A12&amp;$B12,배당편집!$D$2:$N$2710,11,FALSE), 0)</f>
        <v>0</v>
      </c>
      <c r="AA12" s="3">
        <f>IFERROR(VLOOKUP(AA$1&amp;$A12&amp;$B12,배당편집!$D$2:$N$2710,11,FALSE), 0)</f>
        <v>0</v>
      </c>
      <c r="AB12" s="3">
        <f>IFERROR(VLOOKUP(AB$1&amp;$A12&amp;$B12,배당편집!$D$2:$N$2710,11,FALSE), 0)</f>
        <v>0</v>
      </c>
      <c r="AC12" s="3">
        <f>IFERROR(VLOOKUP(AC$1&amp;$A12&amp;$B12,배당편집!$D$2:$N$2710,11,FALSE), 0)</f>
        <v>0.25</v>
      </c>
      <c r="AD12" s="3">
        <f>IFERROR(VLOOKUP(AD$1&amp;$A12&amp;$B12,배당편집!$D$2:$N$2710,11,FALSE), 0)</f>
        <v>0</v>
      </c>
      <c r="AE12" s="3">
        <f>IFERROR(VLOOKUP(AE$1&amp;$A12&amp;$B12,배당편집!$D$2:$N$2710,11,FALSE), 0)</f>
        <v>0.26500000000000001</v>
      </c>
      <c r="AF12" s="3">
        <f>IFERROR(VLOOKUP(AF$1&amp;$A12&amp;$B12,배당편집!$D$2:$N$2710,11,FALSE), 0)</f>
        <v>0</v>
      </c>
    </row>
    <row r="13" spans="1:32" ht="16.5" customHeight="1">
      <c r="A13" s="3">
        <v>2022</v>
      </c>
      <c r="B13" s="3">
        <v>12</v>
      </c>
      <c r="C13" s="3">
        <f>IFERROR(VLOOKUP(C$1&amp;$A13&amp;$B13,배당편집!$D$2:$N$2710,11,FALSE), 0)</f>
        <v>0</v>
      </c>
      <c r="D13" s="3">
        <f>IFERROR(VLOOKUP(D$1&amp;$A13&amp;$B13,배당편집!$D$2:$N$2710,11,FALSE), 0)</f>
        <v>0</v>
      </c>
      <c r="E13" s="3">
        <f>IFERROR(VLOOKUP(E$1&amp;$A13&amp;$B13,배당편집!$D$2:$N$2710,11,FALSE), 0)</f>
        <v>0</v>
      </c>
      <c r="F13" s="3">
        <f>IFERROR(VLOOKUP(F$1&amp;$A13&amp;$B13,배당편집!$D$2:$N$2710,11,FALSE), 0)</f>
        <v>0</v>
      </c>
      <c r="G13" s="3">
        <f>IFERROR(VLOOKUP(G$1&amp;$A13&amp;$B13,배당편집!$D$2:$N$2710,11,FALSE), 0)</f>
        <v>0</v>
      </c>
      <c r="H13" s="3">
        <f>IFERROR(VLOOKUP(H$1&amp;$A13&amp;$B13,배당편집!$D$2:$N$2710,11,FALSE), 0)</f>
        <v>0</v>
      </c>
      <c r="I13" s="3">
        <f>IFERROR(VLOOKUP(I$1&amp;$A13&amp;$B13,배당편집!$D$2:$N$2710,11,FALSE), 0)</f>
        <v>0</v>
      </c>
      <c r="J13" s="3">
        <f>IFERROR(VLOOKUP(J$1&amp;$A13&amp;$B13,배당편집!$D$2:$N$2710,11,FALSE), 0)</f>
        <v>0</v>
      </c>
      <c r="K13" s="3">
        <f>IFERROR(VLOOKUP(K$1&amp;$A13&amp;$B13,배당편집!$D$2:$N$2710,11,FALSE), 0)</f>
        <v>0</v>
      </c>
      <c r="L13" s="3">
        <f>IFERROR(VLOOKUP(L$1&amp;$A13&amp;$B13,배당편집!$D$2:$N$2710,11,FALSE), 0)</f>
        <v>0</v>
      </c>
      <c r="M13" s="3">
        <f>IFERROR(VLOOKUP(M$1&amp;$A13&amp;$B13,배당편집!$D$2:$N$2710,11,FALSE), 0)</f>
        <v>1.31</v>
      </c>
      <c r="N13" s="3">
        <f>IFERROR(VLOOKUP(N$1&amp;$A13&amp;$B13,배당편집!$D$2:$N$2710,11,FALSE), 0)</f>
        <v>0</v>
      </c>
      <c r="O13" s="3">
        <f>IFERROR(VLOOKUP(O$1&amp;$A13&amp;$B13,배당편집!$D$2:$N$2710,11,FALSE), 0)</f>
        <v>0</v>
      </c>
      <c r="P13" s="3">
        <f>IFERROR(VLOOKUP(P$1&amp;$A13&amp;$B13,배당편집!$D$2:$N$2710,11,FALSE), 0)</f>
        <v>0</v>
      </c>
      <c r="Q13" s="3">
        <f>IFERROR(VLOOKUP(Q$1&amp;$A13&amp;$B13,배당편집!$D$2:$N$2710,11,FALSE), 0)</f>
        <v>0</v>
      </c>
      <c r="R13" s="3">
        <f>IFERROR(VLOOKUP(R$1&amp;$A13&amp;$B13,배당편집!$D$2:$N$2710,11,FALSE), 0)</f>
        <v>0</v>
      </c>
      <c r="S13" s="3">
        <f>IFERROR(VLOOKUP(S$1&amp;$A13&amp;$B13,배당편집!$D$2:$N$2710,11,FALSE), 0)</f>
        <v>0</v>
      </c>
      <c r="T13" s="3">
        <f>IFERROR(VLOOKUP(T$1&amp;$A13&amp;$B13,배당편집!$D$2:$N$2710,11,FALSE), 0)</f>
        <v>0</v>
      </c>
      <c r="U13" s="3">
        <f>IFERROR(VLOOKUP(U$1&amp;$A13&amp;$B13,배당편집!$D$2:$N$2710,11,FALSE), 0)</f>
        <v>0</v>
      </c>
      <c r="V13" s="3">
        <f>IFERROR(VLOOKUP(V$1&amp;$A13&amp;$B13,배당편집!$D$2:$N$2710,11,FALSE), 0)</f>
        <v>0</v>
      </c>
      <c r="W13" s="3">
        <f>IFERROR(VLOOKUP(W$1&amp;$A13&amp;$B13,배당편집!$D$2:$N$2710,11,FALSE), 0)</f>
        <v>0</v>
      </c>
      <c r="X13" s="3">
        <f>IFERROR(VLOOKUP(X$1&amp;$A13&amp;$B13,배당편집!$D$2:$N$2710,11,FALSE), 0)</f>
        <v>0</v>
      </c>
      <c r="Y13" s="3">
        <f>IFERROR(VLOOKUP(Y$1&amp;$A13&amp;$B13,배당편집!$D$2:$N$2710,11,FALSE), 0)</f>
        <v>0</v>
      </c>
      <c r="Z13" s="3">
        <f>IFERROR(VLOOKUP(Z$1&amp;$A13&amp;$B13,배당편집!$D$2:$N$2710,11,FALSE), 0)</f>
        <v>0</v>
      </c>
      <c r="AA13" s="3">
        <f>IFERROR(VLOOKUP(AA$1&amp;$A13&amp;$B13,배당편집!$D$2:$N$2710,11,FALSE), 0)</f>
        <v>0</v>
      </c>
      <c r="AB13" s="3">
        <f>IFERROR(VLOOKUP(AB$1&amp;$A13&amp;$B13,배당편집!$D$2:$N$2710,11,FALSE), 0)</f>
        <v>0</v>
      </c>
      <c r="AC13" s="3">
        <f>IFERROR(VLOOKUP(AC$1&amp;$A13&amp;$B13,배당편집!$D$2:$N$2710,11,FALSE), 0)</f>
        <v>0</v>
      </c>
      <c r="AD13" s="3">
        <f>IFERROR(VLOOKUP(AD$1&amp;$A13&amp;$B13,배당편집!$D$2:$N$2710,11,FALSE), 0)</f>
        <v>0</v>
      </c>
      <c r="AE13" s="3">
        <f>IFERROR(VLOOKUP(AE$1&amp;$A13&amp;$B13,배당편집!$D$2:$N$2710,11,FALSE), 0)</f>
        <v>0</v>
      </c>
      <c r="AF13" s="3">
        <f>IFERROR(VLOOKUP(AF$1&amp;$A13&amp;$B13,배당편집!$D$2:$N$2710,11,FALSE), 0)</f>
        <v>0</v>
      </c>
    </row>
    <row r="14" spans="1:32" ht="16.5" customHeight="1">
      <c r="A14" s="3">
        <v>2021</v>
      </c>
      <c r="B14" s="3">
        <v>1</v>
      </c>
      <c r="C14" s="3">
        <f>IFERROR(VLOOKUP(C$1&amp;$A14&amp;$B14,배당편집!$D$2:$N$2710,11,FALSE), 0)</f>
        <v>0</v>
      </c>
      <c r="D14" s="3">
        <f>IFERROR(VLOOKUP(D$1&amp;$A14&amp;$B14,배당편집!$D$2:$N$2710,11,FALSE), 0)</f>
        <v>0</v>
      </c>
      <c r="E14" s="3">
        <f>IFERROR(VLOOKUP(E$1&amp;$A14&amp;$B14,배당편집!$D$2:$N$2710,11,FALSE), 0)</f>
        <v>0</v>
      </c>
      <c r="F14" s="3">
        <f>IFERROR(VLOOKUP(F$1&amp;$A14&amp;$B14,배당편집!$D$2:$N$2710,11,FALSE), 0)</f>
        <v>0</v>
      </c>
      <c r="G14" s="3">
        <f>IFERROR(VLOOKUP(G$1&amp;$A14&amp;$B14,배당편집!$D$2:$N$2710,11,FALSE), 0)</f>
        <v>0</v>
      </c>
      <c r="H14" s="3">
        <f>IFERROR(VLOOKUP(H$1&amp;$A14&amp;$B14,배당편집!$D$2:$N$2710,11,FALSE), 0)</f>
        <v>0</v>
      </c>
      <c r="I14" s="3">
        <f>IFERROR(VLOOKUP(I$1&amp;$A14&amp;$B14,배당편집!$D$2:$N$2710,11,FALSE), 0)</f>
        <v>0</v>
      </c>
      <c r="J14" s="3">
        <f>IFERROR(VLOOKUP(J$1&amp;$A14&amp;$B14,배당편집!$D$2:$N$2710,11,FALSE), 0)</f>
        <v>0</v>
      </c>
      <c r="K14" s="3">
        <f>IFERROR(VLOOKUP(K$1&amp;$A14&amp;$B14,배당편집!$D$2:$N$2710,11,FALSE), 0)</f>
        <v>1.03</v>
      </c>
      <c r="L14" s="3">
        <f>IFERROR(VLOOKUP(L$1&amp;$A14&amp;$B14,배당편집!$D$2:$N$2710,11,FALSE), 0)</f>
        <v>0</v>
      </c>
      <c r="M14" s="3">
        <f>IFERROR(VLOOKUP(M$1&amp;$A14&amp;$B14,배당편집!$D$2:$N$2710,11,FALSE), 0)</f>
        <v>0</v>
      </c>
      <c r="N14" s="3">
        <f>IFERROR(VLOOKUP(N$1&amp;$A14&amp;$B14,배당편집!$D$2:$N$2710,11,FALSE), 0)</f>
        <v>0</v>
      </c>
      <c r="O14" s="3">
        <f>IFERROR(VLOOKUP(O$1&amp;$A14&amp;$B14,배당편집!$D$2:$N$2710,11,FALSE), 0)</f>
        <v>0</v>
      </c>
      <c r="P14" s="3">
        <f>IFERROR(VLOOKUP(P$1&amp;$A14&amp;$B14,배당편집!$D$2:$N$2710,11,FALSE), 0)</f>
        <v>0.79069999999999996</v>
      </c>
      <c r="Q14" s="3">
        <f>IFERROR(VLOOKUP(Q$1&amp;$A14&amp;$B14,배당편집!$D$2:$N$2710,11,FALSE), 0)</f>
        <v>0</v>
      </c>
      <c r="R14" s="3">
        <f>IFERROR(VLOOKUP(R$1&amp;$A14&amp;$B14,배당편집!$D$2:$N$2710,11,FALSE), 0)</f>
        <v>0</v>
      </c>
      <c r="S14" s="3">
        <f>IFERROR(VLOOKUP(S$1&amp;$A14&amp;$B14,배당편집!$D$2:$N$2710,11,FALSE), 0)</f>
        <v>0</v>
      </c>
      <c r="T14" s="3">
        <f>IFERROR(VLOOKUP(T$1&amp;$A14&amp;$B14,배당편집!$D$2:$N$2710,11,FALSE), 0)</f>
        <v>1.1000000000000001</v>
      </c>
      <c r="U14" s="3">
        <f>IFERROR(VLOOKUP(U$1&amp;$A14&amp;$B14,배당편집!$D$2:$N$2710,11,FALSE), 0)</f>
        <v>0.26</v>
      </c>
      <c r="V14" s="3">
        <f>IFERROR(VLOOKUP(V$1&amp;$A14&amp;$B14,배당편집!$D$2:$N$2710,11,FALSE), 0)</f>
        <v>0.245</v>
      </c>
      <c r="W14" s="3">
        <f>IFERROR(VLOOKUP(W$1&amp;$A14&amp;$B14,배당편집!$D$2:$N$2710,11,FALSE), 0)</f>
        <v>0.6</v>
      </c>
      <c r="X14" s="3">
        <f>IFERROR(VLOOKUP(X$1&amp;$A14&amp;$B14,배당편집!$D$2:$N$2710,11,FALSE), 0)</f>
        <v>0</v>
      </c>
      <c r="Y14" s="3">
        <f>IFERROR(VLOOKUP(Y$1&amp;$A14&amp;$B14,배당편집!$D$2:$N$2710,11,FALSE), 0)</f>
        <v>0</v>
      </c>
      <c r="Z14" s="3">
        <f>IFERROR(VLOOKUP(Z$1&amp;$A14&amp;$B14,배당편집!$D$2:$N$2710,11,FALSE), 0)</f>
        <v>0.19</v>
      </c>
      <c r="AA14" s="3">
        <f>IFERROR(VLOOKUP(AA$1&amp;$A14&amp;$B14,배당편집!$D$2:$N$2710,11,FALSE), 0)</f>
        <v>0</v>
      </c>
      <c r="AB14" s="3">
        <f>IFERROR(VLOOKUP(AB$1&amp;$A14&amp;$B14,배당편집!$D$2:$N$2710,11,FALSE), 0)</f>
        <v>0.45</v>
      </c>
      <c r="AC14" s="3">
        <f>IFERROR(VLOOKUP(AC$1&amp;$A14&amp;$B14,배당편집!$D$2:$N$2710,11,FALSE), 0)</f>
        <v>0</v>
      </c>
      <c r="AD14" s="3">
        <f>IFERROR(VLOOKUP(AD$1&amp;$A14&amp;$B14,배당편집!$D$2:$N$2710,11,FALSE), 0)</f>
        <v>0</v>
      </c>
      <c r="AE14" s="3">
        <f>IFERROR(VLOOKUP(AE$1&amp;$A14&amp;$B14,배당편집!$D$2:$N$2710,11,FALSE), 0)</f>
        <v>0</v>
      </c>
      <c r="AF14" s="3">
        <f>IFERROR(VLOOKUP(AF$1&amp;$A14&amp;$B14,배당편집!$D$2:$N$2710,11,FALSE), 0)</f>
        <v>0</v>
      </c>
    </row>
    <row r="15" spans="1:32" ht="16.5" customHeight="1">
      <c r="A15" s="3">
        <v>2021</v>
      </c>
      <c r="B15" s="3">
        <v>2</v>
      </c>
      <c r="C15" s="3">
        <f>IFERROR(VLOOKUP(C$1&amp;$A15&amp;$B15,배당편집!$D$2:$N$2710,11,FALSE), 0)</f>
        <v>0.46750000000000003</v>
      </c>
      <c r="D15" s="3">
        <f>IFERROR(VLOOKUP(D$1&amp;$A15&amp;$B15,배당편집!$D$2:$N$2710,11,FALSE), 0)</f>
        <v>0</v>
      </c>
      <c r="E15" s="3">
        <f>IFERROR(VLOOKUP(E$1&amp;$A15&amp;$B15,배당편집!$D$2:$N$2710,11,FALSE), 0)</f>
        <v>0</v>
      </c>
      <c r="F15" s="3">
        <f>IFERROR(VLOOKUP(F$1&amp;$A15&amp;$B15,배당편집!$D$2:$N$2710,11,FALSE), 0)</f>
        <v>0</v>
      </c>
      <c r="G15" s="3">
        <f>IFERROR(VLOOKUP(G$1&amp;$A15&amp;$B15,배당편집!$D$2:$N$2710,11,FALSE), 0)</f>
        <v>0.87</v>
      </c>
      <c r="H15" s="3">
        <f>IFERROR(VLOOKUP(H$1&amp;$A15&amp;$B15,배당편집!$D$2:$N$2710,11,FALSE), 0)</f>
        <v>1.29</v>
      </c>
      <c r="I15" s="3">
        <f>IFERROR(VLOOKUP(I$1&amp;$A15&amp;$B15,배당편집!$D$2:$N$2710,11,FALSE), 0)</f>
        <v>0.56499999999999995</v>
      </c>
      <c r="J15" s="3">
        <f>IFERROR(VLOOKUP(J$1&amp;$A15&amp;$B15,배당편집!$D$2:$N$2710,11,FALSE), 0)</f>
        <v>0</v>
      </c>
      <c r="K15" s="3">
        <f>IFERROR(VLOOKUP(K$1&amp;$A15&amp;$B15,배당편집!$D$2:$N$2710,11,FALSE), 0)</f>
        <v>0</v>
      </c>
      <c r="L15" s="3">
        <f>IFERROR(VLOOKUP(L$1&amp;$A15&amp;$B15,배당편집!$D$2:$N$2710,11,FALSE), 0)</f>
        <v>0.68</v>
      </c>
      <c r="M15" s="3">
        <f>IFERROR(VLOOKUP(M$1&amp;$A15&amp;$B15,배당편집!$D$2:$N$2710,11,FALSE), 0)</f>
        <v>0</v>
      </c>
      <c r="N15" s="3">
        <f>IFERROR(VLOOKUP(N$1&amp;$A15&amp;$B15,배당편집!$D$2:$N$2710,11,FALSE), 0)</f>
        <v>0.505</v>
      </c>
      <c r="O15" s="3">
        <f>IFERROR(VLOOKUP(O$1&amp;$A15&amp;$B15,배당편집!$D$2:$N$2710,11,FALSE), 0)</f>
        <v>0</v>
      </c>
      <c r="P15" s="3">
        <f>IFERROR(VLOOKUP(P$1&amp;$A15&amp;$B15,배당편집!$D$2:$N$2710,11,FALSE), 0)</f>
        <v>0</v>
      </c>
      <c r="Q15" s="3">
        <f>IFERROR(VLOOKUP(Q$1&amp;$A15&amp;$B15,배당편집!$D$2:$N$2710,11,FALSE), 0)</f>
        <v>1.01</v>
      </c>
      <c r="R15" s="3">
        <f>IFERROR(VLOOKUP(R$1&amp;$A15&amp;$B15,배당편집!$D$2:$N$2710,11,FALSE), 0)</f>
        <v>0.625</v>
      </c>
      <c r="S15" s="3">
        <f>IFERROR(VLOOKUP(S$1&amp;$A15&amp;$B15,배당편집!$D$2:$N$2710,11,FALSE), 0)</f>
        <v>0</v>
      </c>
      <c r="T15" s="3">
        <f>IFERROR(VLOOKUP(T$1&amp;$A15&amp;$B15,배당편집!$D$2:$N$2710,11,FALSE), 0)</f>
        <v>0</v>
      </c>
      <c r="U15" s="3">
        <f>IFERROR(VLOOKUP(U$1&amp;$A15&amp;$B15,배당편집!$D$2:$N$2710,11,FALSE), 0)</f>
        <v>0</v>
      </c>
      <c r="V15" s="3">
        <f>IFERROR(VLOOKUP(V$1&amp;$A15&amp;$B15,배당편집!$D$2:$N$2710,11,FALSE), 0)</f>
        <v>0</v>
      </c>
      <c r="W15" s="3">
        <f>IFERROR(VLOOKUP(W$1&amp;$A15&amp;$B15,배당편집!$D$2:$N$2710,11,FALSE), 0)</f>
        <v>0</v>
      </c>
      <c r="X15" s="3">
        <f>IFERROR(VLOOKUP(X$1&amp;$A15&amp;$B15,배당편집!$D$2:$N$2710,11,FALSE), 0)</f>
        <v>0.54</v>
      </c>
      <c r="Y15" s="3">
        <f>IFERROR(VLOOKUP(Y$1&amp;$A15&amp;$B15,배당편집!$D$2:$N$2710,11,FALSE), 0)</f>
        <v>0.88</v>
      </c>
      <c r="Z15" s="3">
        <f>IFERROR(VLOOKUP(Z$1&amp;$A15&amp;$B15,배당편집!$D$2:$N$2710,11,FALSE), 0)</f>
        <v>0</v>
      </c>
      <c r="AA15" s="3">
        <f>IFERROR(VLOOKUP(AA$1&amp;$A15&amp;$B15,배당편집!$D$2:$N$2710,11,FALSE), 0)</f>
        <v>0.37</v>
      </c>
      <c r="AB15" s="3">
        <f>IFERROR(VLOOKUP(AB$1&amp;$A15&amp;$B15,배당편집!$D$2:$N$2710,11,FALSE), 0)</f>
        <v>0</v>
      </c>
      <c r="AC15" s="3">
        <f>IFERROR(VLOOKUP(AC$1&amp;$A15&amp;$B15,배당편집!$D$2:$N$2710,11,FALSE), 0)</f>
        <v>0.23</v>
      </c>
      <c r="AD15" s="3">
        <f>IFERROR(VLOOKUP(AD$1&amp;$A15&amp;$B15,배당편집!$D$2:$N$2710,11,FALSE), 0)</f>
        <v>0</v>
      </c>
      <c r="AE15" s="3">
        <f>IFERROR(VLOOKUP(AE$1&amp;$A15&amp;$B15,배당편집!$D$2:$N$2710,11,FALSE), 0)</f>
        <v>0.23</v>
      </c>
      <c r="AF15" s="3">
        <f>IFERROR(VLOOKUP(AF$1&amp;$A15&amp;$B15,배당편집!$D$2:$N$2710,11,FALSE), 0)</f>
        <v>0.495</v>
      </c>
    </row>
    <row r="16" spans="1:32" ht="16.5" customHeight="1">
      <c r="A16" s="3">
        <v>2021</v>
      </c>
      <c r="B16" s="3">
        <v>3</v>
      </c>
      <c r="C16" s="3">
        <f>IFERROR(VLOOKUP(C$1&amp;$A16&amp;$B16,배당편집!$D$2:$N$2710,11,FALSE), 0)</f>
        <v>0</v>
      </c>
      <c r="D16" s="3">
        <f>IFERROR(VLOOKUP(D$1&amp;$A16&amp;$B16,배당편집!$D$2:$N$2710,11,FALSE), 0)</f>
        <v>0.4</v>
      </c>
      <c r="E16" s="3">
        <f>IFERROR(VLOOKUP(E$1&amp;$A16&amp;$B16,배당편집!$D$2:$N$2710,11,FALSE), 0)</f>
        <v>0.28000000000000003</v>
      </c>
      <c r="F16" s="3">
        <f>IFERROR(VLOOKUP(F$1&amp;$A16&amp;$B16,배당편집!$D$2:$N$2710,11,FALSE), 0)</f>
        <v>0.7</v>
      </c>
      <c r="G16" s="3">
        <f>IFERROR(VLOOKUP(G$1&amp;$A16&amp;$B16,배당편집!$D$2:$N$2710,11,FALSE), 0)</f>
        <v>0</v>
      </c>
      <c r="H16" s="3">
        <f>IFERROR(VLOOKUP(H$1&amp;$A16&amp;$B16,배당편집!$D$2:$N$2710,11,FALSE), 0)</f>
        <v>0</v>
      </c>
      <c r="I16" s="3">
        <f>IFERROR(VLOOKUP(I$1&amp;$A16&amp;$B16,배당편집!$D$2:$N$2710,11,FALSE), 0)</f>
        <v>0</v>
      </c>
      <c r="J16" s="3">
        <f>IFERROR(VLOOKUP(J$1&amp;$A16&amp;$B16,배당편집!$D$2:$N$2710,11,FALSE), 0)</f>
        <v>0.44500000000000001</v>
      </c>
      <c r="K16" s="3">
        <f>IFERROR(VLOOKUP(K$1&amp;$A16&amp;$B16,배당편집!$D$2:$N$2710,11,FALSE), 0)</f>
        <v>0</v>
      </c>
      <c r="L16" s="3">
        <f>IFERROR(VLOOKUP(L$1&amp;$A16&amp;$B16,배당편집!$D$2:$N$2710,11,FALSE), 0)</f>
        <v>0</v>
      </c>
      <c r="M16" s="3">
        <f>IFERROR(VLOOKUP(M$1&amp;$A16&amp;$B16,배당편집!$D$2:$N$2710,11,FALSE), 0)</f>
        <v>1.1399999999999999</v>
      </c>
      <c r="N16" s="3">
        <f>IFERROR(VLOOKUP(N$1&amp;$A16&amp;$B16,배당편집!$D$2:$N$2710,11,FALSE), 0)</f>
        <v>0</v>
      </c>
      <c r="O16" s="3">
        <f>IFERROR(VLOOKUP(O$1&amp;$A16&amp;$B16,배당편집!$D$2:$N$2710,11,FALSE), 0)</f>
        <v>1.5</v>
      </c>
      <c r="P16" s="3">
        <f>IFERROR(VLOOKUP(P$1&amp;$A16&amp;$B16,배당편집!$D$2:$N$2710,11,FALSE), 0)</f>
        <v>0</v>
      </c>
      <c r="Q16" s="3">
        <f>IFERROR(VLOOKUP(Q$1&amp;$A16&amp;$B16,배당편집!$D$2:$N$2710,11,FALSE), 0)</f>
        <v>0</v>
      </c>
      <c r="R16" s="3">
        <f>IFERROR(VLOOKUP(R$1&amp;$A16&amp;$B16,배당편집!$D$2:$N$2710,11,FALSE), 0)</f>
        <v>0</v>
      </c>
      <c r="S16" s="3">
        <f>IFERROR(VLOOKUP(S$1&amp;$A16&amp;$B16,배당편집!$D$2:$N$2710,11,FALSE), 0)</f>
        <v>0.81499999999999995</v>
      </c>
      <c r="T16" s="3">
        <f>IFERROR(VLOOKUP(T$1&amp;$A16&amp;$B16,배당편집!$D$2:$N$2710,11,FALSE), 0)</f>
        <v>0</v>
      </c>
      <c r="U16" s="3">
        <f>IFERROR(VLOOKUP(U$1&amp;$A16&amp;$B16,배당편집!$D$2:$N$2710,11,FALSE), 0)</f>
        <v>0</v>
      </c>
      <c r="V16" s="3">
        <f>IFERROR(VLOOKUP(V$1&amp;$A16&amp;$B16,배당편집!$D$2:$N$2710,11,FALSE), 0)</f>
        <v>0</v>
      </c>
      <c r="W16" s="3">
        <f>IFERROR(VLOOKUP(W$1&amp;$A16&amp;$B16,배당편집!$D$2:$N$2710,11,FALSE), 0)</f>
        <v>0</v>
      </c>
      <c r="X16" s="3">
        <f>IFERROR(VLOOKUP(X$1&amp;$A16&amp;$B16,배당편집!$D$2:$N$2710,11,FALSE), 0)</f>
        <v>0</v>
      </c>
      <c r="Y16" s="3">
        <f>IFERROR(VLOOKUP(Y$1&amp;$A16&amp;$B16,배당편집!$D$2:$N$2710,11,FALSE), 0)</f>
        <v>0</v>
      </c>
      <c r="Z16" s="3">
        <f>IFERROR(VLOOKUP(Z$1&amp;$A16&amp;$B16,배당편집!$D$2:$N$2710,11,FALSE), 0)</f>
        <v>0.19</v>
      </c>
      <c r="AA16" s="3">
        <f>IFERROR(VLOOKUP(AA$1&amp;$A16&amp;$B16,배당편집!$D$2:$N$2710,11,FALSE), 0)</f>
        <v>0</v>
      </c>
      <c r="AB16" s="3">
        <f>IFERROR(VLOOKUP(AB$1&amp;$A16&amp;$B16,배당편집!$D$2:$N$2710,11,FALSE), 0)</f>
        <v>0</v>
      </c>
      <c r="AC16" s="3">
        <f>IFERROR(VLOOKUP(AC$1&amp;$A16&amp;$B16,배당편집!$D$2:$N$2710,11,FALSE), 0)</f>
        <v>0</v>
      </c>
      <c r="AD16" s="3">
        <f>IFERROR(VLOOKUP(AD$1&amp;$A16&amp;$B16,배당편집!$D$2:$N$2710,11,FALSE), 0)</f>
        <v>0.93</v>
      </c>
      <c r="AE16" s="3">
        <f>IFERROR(VLOOKUP(AE$1&amp;$A16&amp;$B16,배당편집!$D$2:$N$2710,11,FALSE), 0)</f>
        <v>0</v>
      </c>
      <c r="AF16" s="3">
        <f>IFERROR(VLOOKUP(AF$1&amp;$A16&amp;$B16,배당편집!$D$2:$N$2710,11,FALSE), 0)</f>
        <v>0</v>
      </c>
    </row>
    <row r="17" spans="1:32" ht="16.5" customHeight="1">
      <c r="A17" s="3">
        <v>2021</v>
      </c>
      <c r="B17" s="3">
        <v>4</v>
      </c>
      <c r="C17" s="3">
        <f>IFERROR(VLOOKUP(C$1&amp;$A17&amp;$B17,배당편집!$D$2:$N$2710,11,FALSE), 0)</f>
        <v>0</v>
      </c>
      <c r="D17" s="3">
        <f>IFERROR(VLOOKUP(D$1&amp;$A17&amp;$B17,배당편집!$D$2:$N$2710,11,FALSE), 0)</f>
        <v>0</v>
      </c>
      <c r="E17" s="3">
        <f>IFERROR(VLOOKUP(E$1&amp;$A17&amp;$B17,배당편집!$D$2:$N$2710,11,FALSE), 0)</f>
        <v>0</v>
      </c>
      <c r="F17" s="3">
        <f>IFERROR(VLOOKUP(F$1&amp;$A17&amp;$B17,배당편집!$D$2:$N$2710,11,FALSE), 0)</f>
        <v>0</v>
      </c>
      <c r="G17" s="3">
        <f>IFERROR(VLOOKUP(G$1&amp;$A17&amp;$B17,배당편집!$D$2:$N$2710,11,FALSE), 0)</f>
        <v>0</v>
      </c>
      <c r="H17" s="3">
        <f>IFERROR(VLOOKUP(H$1&amp;$A17&amp;$B17,배당편집!$D$2:$N$2710,11,FALSE), 0)</f>
        <v>0</v>
      </c>
      <c r="I17" s="3">
        <f>IFERROR(VLOOKUP(I$1&amp;$A17&amp;$B17,배당편집!$D$2:$N$2710,11,FALSE), 0)</f>
        <v>0</v>
      </c>
      <c r="J17" s="3">
        <f>IFERROR(VLOOKUP(J$1&amp;$A17&amp;$B17,배당편집!$D$2:$N$2710,11,FALSE), 0)</f>
        <v>0</v>
      </c>
      <c r="K17" s="3">
        <f>IFERROR(VLOOKUP(K$1&amp;$A17&amp;$B17,배당편집!$D$2:$N$2710,11,FALSE), 0)</f>
        <v>1.03</v>
      </c>
      <c r="L17" s="3">
        <f>IFERROR(VLOOKUP(L$1&amp;$A17&amp;$B17,배당편집!$D$2:$N$2710,11,FALSE), 0)</f>
        <v>0</v>
      </c>
      <c r="M17" s="3">
        <f>IFERROR(VLOOKUP(M$1&amp;$A17&amp;$B17,배당편집!$D$2:$N$2710,11,FALSE), 0)</f>
        <v>0</v>
      </c>
      <c r="N17" s="3">
        <f>IFERROR(VLOOKUP(N$1&amp;$A17&amp;$B17,배당편집!$D$2:$N$2710,11,FALSE), 0)</f>
        <v>0</v>
      </c>
      <c r="O17" s="3">
        <f>IFERROR(VLOOKUP(O$1&amp;$A17&amp;$B17,배당편집!$D$2:$N$2710,11,FALSE), 0)</f>
        <v>0</v>
      </c>
      <c r="P17" s="3">
        <f>IFERROR(VLOOKUP(P$1&amp;$A17&amp;$B17,배당편집!$D$2:$N$2710,11,FALSE), 0)</f>
        <v>0.86980000000000002</v>
      </c>
      <c r="Q17" s="3">
        <f>IFERROR(VLOOKUP(Q$1&amp;$A17&amp;$B17,배당편집!$D$2:$N$2710,11,FALSE), 0)</f>
        <v>0</v>
      </c>
      <c r="R17" s="3">
        <f>IFERROR(VLOOKUP(R$1&amp;$A17&amp;$B17,배당편집!$D$2:$N$2710,11,FALSE), 0)</f>
        <v>0</v>
      </c>
      <c r="S17" s="3">
        <f>IFERROR(VLOOKUP(S$1&amp;$A17&amp;$B17,배당편집!$D$2:$N$2710,11,FALSE), 0)</f>
        <v>0</v>
      </c>
      <c r="T17" s="3">
        <f>IFERROR(VLOOKUP(T$1&amp;$A17&amp;$B17,배당편집!$D$2:$N$2710,11,FALSE), 0)</f>
        <v>1.19</v>
      </c>
      <c r="U17" s="3">
        <f>IFERROR(VLOOKUP(U$1&amp;$A17&amp;$B17,배당편집!$D$2:$N$2710,11,FALSE), 0)</f>
        <v>0.26</v>
      </c>
      <c r="V17" s="3">
        <f>IFERROR(VLOOKUP(V$1&amp;$A17&amp;$B17,배당편집!$D$2:$N$2710,11,FALSE), 0)</f>
        <v>0.245</v>
      </c>
      <c r="W17" s="3">
        <f>IFERROR(VLOOKUP(W$1&amp;$A17&amp;$B17,배당편집!$D$2:$N$2710,11,FALSE), 0)</f>
        <v>0.6</v>
      </c>
      <c r="X17" s="3">
        <f>IFERROR(VLOOKUP(X$1&amp;$A17&amp;$B17,배당편집!$D$2:$N$2710,11,FALSE), 0)</f>
        <v>0</v>
      </c>
      <c r="Y17" s="3">
        <f>IFERROR(VLOOKUP(Y$1&amp;$A17&amp;$B17,배당편집!$D$2:$N$2710,11,FALSE), 0)</f>
        <v>0</v>
      </c>
      <c r="Z17" s="3">
        <f>IFERROR(VLOOKUP(Z$1&amp;$A17&amp;$B17,배당편집!$D$2:$N$2710,11,FALSE), 0)</f>
        <v>0</v>
      </c>
      <c r="AA17" s="3">
        <f>IFERROR(VLOOKUP(AA$1&amp;$A17&amp;$B17,배당편집!$D$2:$N$2710,11,FALSE), 0)</f>
        <v>0</v>
      </c>
      <c r="AB17" s="3">
        <f>IFERROR(VLOOKUP(AB$1&amp;$A17&amp;$B17,배당편집!$D$2:$N$2710,11,FALSE), 0)</f>
        <v>0.45</v>
      </c>
      <c r="AC17" s="3">
        <f>IFERROR(VLOOKUP(AC$1&amp;$A17&amp;$B17,배당편집!$D$2:$N$2710,11,FALSE), 0)</f>
        <v>0</v>
      </c>
      <c r="AD17" s="3">
        <f>IFERROR(VLOOKUP(AD$1&amp;$A17&amp;$B17,배당편집!$D$2:$N$2710,11,FALSE), 0)</f>
        <v>0</v>
      </c>
      <c r="AE17" s="3">
        <f>IFERROR(VLOOKUP(AE$1&amp;$A17&amp;$B17,배당편집!$D$2:$N$2710,11,FALSE), 0)</f>
        <v>0</v>
      </c>
      <c r="AF17" s="3">
        <f>IFERROR(VLOOKUP(AF$1&amp;$A17&amp;$B17,배당편집!$D$2:$N$2710,11,FALSE), 0)</f>
        <v>0</v>
      </c>
    </row>
    <row r="18" spans="1:32" ht="16.5" customHeight="1">
      <c r="A18" s="3">
        <v>2021</v>
      </c>
      <c r="B18" s="3">
        <v>5</v>
      </c>
      <c r="C18" s="3">
        <f>IFERROR(VLOOKUP(C$1&amp;$A18&amp;$B18,배당편집!$D$2:$N$2710,11,FALSE), 0)</f>
        <v>0.46750000000000003</v>
      </c>
      <c r="D18" s="3">
        <f>IFERROR(VLOOKUP(D$1&amp;$A18&amp;$B18,배당편집!$D$2:$N$2710,11,FALSE), 0)</f>
        <v>0</v>
      </c>
      <c r="E18" s="3">
        <f>IFERROR(VLOOKUP(E$1&amp;$A18&amp;$B18,배당편집!$D$2:$N$2710,11,FALSE), 0)</f>
        <v>0</v>
      </c>
      <c r="F18" s="3">
        <f>IFERROR(VLOOKUP(F$1&amp;$A18&amp;$B18,배당편집!$D$2:$N$2710,11,FALSE), 0)</f>
        <v>0</v>
      </c>
      <c r="G18" s="3">
        <f>IFERROR(VLOOKUP(G$1&amp;$A18&amp;$B18,배당편집!$D$2:$N$2710,11,FALSE), 0)</f>
        <v>0.87</v>
      </c>
      <c r="H18" s="3">
        <f>IFERROR(VLOOKUP(H$1&amp;$A18&amp;$B18,배당편집!$D$2:$N$2710,11,FALSE), 0)</f>
        <v>1.34</v>
      </c>
      <c r="I18" s="3">
        <f>IFERROR(VLOOKUP(I$1&amp;$A18&amp;$B18,배당편집!$D$2:$N$2710,11,FALSE), 0)</f>
        <v>0.56499999999999995</v>
      </c>
      <c r="J18" s="3">
        <f>IFERROR(VLOOKUP(J$1&amp;$A18&amp;$B18,배당편집!$D$2:$N$2710,11,FALSE), 0)</f>
        <v>0</v>
      </c>
      <c r="K18" s="3">
        <f>IFERROR(VLOOKUP(K$1&amp;$A18&amp;$B18,배당편집!$D$2:$N$2710,11,FALSE), 0)</f>
        <v>0</v>
      </c>
      <c r="L18" s="3">
        <f>IFERROR(VLOOKUP(L$1&amp;$A18&amp;$B18,배당편집!$D$2:$N$2710,11,FALSE), 0)</f>
        <v>0.68</v>
      </c>
      <c r="M18" s="3">
        <f>IFERROR(VLOOKUP(M$1&amp;$A18&amp;$B18,배당편집!$D$2:$N$2710,11,FALSE), 0)</f>
        <v>0</v>
      </c>
      <c r="N18" s="3">
        <f>IFERROR(VLOOKUP(N$1&amp;$A18&amp;$B18,배당편집!$D$2:$N$2710,11,FALSE), 0)</f>
        <v>0.505</v>
      </c>
      <c r="O18" s="3">
        <f>IFERROR(VLOOKUP(O$1&amp;$A18&amp;$B18,배당편집!$D$2:$N$2710,11,FALSE), 0)</f>
        <v>0</v>
      </c>
      <c r="P18" s="3">
        <f>IFERROR(VLOOKUP(P$1&amp;$A18&amp;$B18,배당편집!$D$2:$N$2710,11,FALSE), 0)</f>
        <v>0</v>
      </c>
      <c r="Q18" s="3">
        <f>IFERROR(VLOOKUP(Q$1&amp;$A18&amp;$B18,배당편집!$D$2:$N$2710,11,FALSE), 0)</f>
        <v>1.06</v>
      </c>
      <c r="R18" s="3">
        <f>IFERROR(VLOOKUP(R$1&amp;$A18&amp;$B18,배당편집!$D$2:$N$2710,11,FALSE), 0)</f>
        <v>0.625</v>
      </c>
      <c r="S18" s="3">
        <f>IFERROR(VLOOKUP(S$1&amp;$A18&amp;$B18,배당편집!$D$2:$N$2710,11,FALSE), 0)</f>
        <v>0</v>
      </c>
      <c r="T18" s="3">
        <f>IFERROR(VLOOKUP(T$1&amp;$A18&amp;$B18,배당편집!$D$2:$N$2710,11,FALSE), 0)</f>
        <v>0</v>
      </c>
      <c r="U18" s="3">
        <f>IFERROR(VLOOKUP(U$1&amp;$A18&amp;$B18,배당편집!$D$2:$N$2710,11,FALSE), 0)</f>
        <v>0</v>
      </c>
      <c r="V18" s="3">
        <f>IFERROR(VLOOKUP(V$1&amp;$A18&amp;$B18,배당편집!$D$2:$N$2710,11,FALSE), 0)</f>
        <v>0</v>
      </c>
      <c r="W18" s="3">
        <f>IFERROR(VLOOKUP(W$1&amp;$A18&amp;$B18,배당편집!$D$2:$N$2710,11,FALSE), 0)</f>
        <v>0</v>
      </c>
      <c r="X18" s="3">
        <f>IFERROR(VLOOKUP(X$1&amp;$A18&amp;$B18,배당편집!$D$2:$N$2710,11,FALSE), 0)</f>
        <v>0.54</v>
      </c>
      <c r="Y18" s="3">
        <f>IFERROR(VLOOKUP(Y$1&amp;$A18&amp;$B18,배당편집!$D$2:$N$2710,11,FALSE), 0)</f>
        <v>1.03</v>
      </c>
      <c r="Z18" s="3">
        <f>IFERROR(VLOOKUP(Z$1&amp;$A18&amp;$B18,배당편집!$D$2:$N$2710,11,FALSE), 0)</f>
        <v>0</v>
      </c>
      <c r="AA18" s="3">
        <f>IFERROR(VLOOKUP(AA$1&amp;$A18&amp;$B18,배당편집!$D$2:$N$2710,11,FALSE), 0)</f>
        <v>0.37</v>
      </c>
      <c r="AB18" s="3">
        <f>IFERROR(VLOOKUP(AB$1&amp;$A18&amp;$B18,배당편집!$D$2:$N$2710,11,FALSE), 0)</f>
        <v>0</v>
      </c>
      <c r="AC18" s="3">
        <f>IFERROR(VLOOKUP(AC$1&amp;$A18&amp;$B18,배당편집!$D$2:$N$2710,11,FALSE), 0)</f>
        <v>0.23</v>
      </c>
      <c r="AD18" s="3">
        <f>IFERROR(VLOOKUP(AD$1&amp;$A18&amp;$B18,배당편집!$D$2:$N$2710,11,FALSE), 0)</f>
        <v>0</v>
      </c>
      <c r="AE18" s="3">
        <f>IFERROR(VLOOKUP(AE$1&amp;$A18&amp;$B18,배당편집!$D$2:$N$2710,11,FALSE), 0)</f>
        <v>0.23</v>
      </c>
      <c r="AF18" s="3">
        <f>IFERROR(VLOOKUP(AF$1&amp;$A18&amp;$B18,배당편집!$D$2:$N$2710,11,FALSE), 0)</f>
        <v>0.495</v>
      </c>
    </row>
    <row r="19" spans="1:32" ht="16.5" customHeight="1">
      <c r="A19" s="3">
        <v>2021</v>
      </c>
      <c r="B19" s="3">
        <v>6</v>
      </c>
      <c r="C19" s="3">
        <f>IFERROR(VLOOKUP(C$1&amp;$A19&amp;$B19,배당편집!$D$2:$N$2710,11,FALSE), 0)</f>
        <v>0</v>
      </c>
      <c r="D19" s="3">
        <f>IFERROR(VLOOKUP(D$1&amp;$A19&amp;$B19,배당편집!$D$2:$N$2710,11,FALSE), 0)</f>
        <v>0.42</v>
      </c>
      <c r="E19" s="3">
        <f>IFERROR(VLOOKUP(E$1&amp;$A19&amp;$B19,배당편집!$D$2:$N$2710,11,FALSE), 0)</f>
        <v>0.28000000000000003</v>
      </c>
      <c r="F19" s="3">
        <f>IFERROR(VLOOKUP(F$1&amp;$A19&amp;$B19,배당편집!$D$2:$N$2710,11,FALSE), 0)</f>
        <v>0.7</v>
      </c>
      <c r="G19" s="3">
        <f>IFERROR(VLOOKUP(G$1&amp;$A19&amp;$B19,배당편집!$D$2:$N$2710,11,FALSE), 0)</f>
        <v>0</v>
      </c>
      <c r="H19" s="3">
        <f>IFERROR(VLOOKUP(H$1&amp;$A19&amp;$B19,배당편집!$D$2:$N$2710,11,FALSE), 0)</f>
        <v>0</v>
      </c>
      <c r="I19" s="3">
        <f>IFERROR(VLOOKUP(I$1&amp;$A19&amp;$B19,배당편집!$D$2:$N$2710,11,FALSE), 0)</f>
        <v>0</v>
      </c>
      <c r="J19" s="3">
        <f>IFERROR(VLOOKUP(J$1&amp;$A19&amp;$B19,배당편집!$D$2:$N$2710,11,FALSE), 0)</f>
        <v>0.45500000000000002</v>
      </c>
      <c r="K19" s="3">
        <f>IFERROR(VLOOKUP(K$1&amp;$A19&amp;$B19,배당편집!$D$2:$N$2710,11,FALSE), 0)</f>
        <v>0</v>
      </c>
      <c r="L19" s="3">
        <f>IFERROR(VLOOKUP(L$1&amp;$A19&amp;$B19,배당편집!$D$2:$N$2710,11,FALSE), 0)</f>
        <v>0</v>
      </c>
      <c r="M19" s="3">
        <f>IFERROR(VLOOKUP(M$1&amp;$A19&amp;$B19,배당편집!$D$2:$N$2710,11,FALSE), 0)</f>
        <v>1.1399999999999999</v>
      </c>
      <c r="N19" s="3">
        <f>IFERROR(VLOOKUP(N$1&amp;$A19&amp;$B19,배당편집!$D$2:$N$2710,11,FALSE), 0)</f>
        <v>0</v>
      </c>
      <c r="O19" s="3">
        <f>IFERROR(VLOOKUP(O$1&amp;$A19&amp;$B19,배당편집!$D$2:$N$2710,11,FALSE), 0)</f>
        <v>1.5</v>
      </c>
      <c r="P19" s="3">
        <f>IFERROR(VLOOKUP(P$1&amp;$A19&amp;$B19,배당편집!$D$2:$N$2710,11,FALSE), 0)</f>
        <v>0</v>
      </c>
      <c r="Q19" s="3">
        <f>IFERROR(VLOOKUP(Q$1&amp;$A19&amp;$B19,배당편집!$D$2:$N$2710,11,FALSE), 0)</f>
        <v>0</v>
      </c>
      <c r="R19" s="3">
        <f>IFERROR(VLOOKUP(R$1&amp;$A19&amp;$B19,배당편집!$D$2:$N$2710,11,FALSE), 0)</f>
        <v>0</v>
      </c>
      <c r="S19" s="3">
        <f>IFERROR(VLOOKUP(S$1&amp;$A19&amp;$B19,배당편집!$D$2:$N$2710,11,FALSE), 0)</f>
        <v>0.81499999999999995</v>
      </c>
      <c r="T19" s="3">
        <f>IFERROR(VLOOKUP(T$1&amp;$A19&amp;$B19,배당편집!$D$2:$N$2710,11,FALSE), 0)</f>
        <v>0</v>
      </c>
      <c r="U19" s="3">
        <f>IFERROR(VLOOKUP(U$1&amp;$A19&amp;$B19,배당편집!$D$2:$N$2710,11,FALSE), 0)</f>
        <v>0</v>
      </c>
      <c r="V19" s="3">
        <f>IFERROR(VLOOKUP(V$1&amp;$A19&amp;$B19,배당편집!$D$2:$N$2710,11,FALSE), 0)</f>
        <v>0</v>
      </c>
      <c r="W19" s="3">
        <f>IFERROR(VLOOKUP(W$1&amp;$A19&amp;$B19,배당편집!$D$2:$N$2710,11,FALSE), 0)</f>
        <v>0</v>
      </c>
      <c r="X19" s="3">
        <f>IFERROR(VLOOKUP(X$1&amp;$A19&amp;$B19,배당편집!$D$2:$N$2710,11,FALSE), 0)</f>
        <v>0</v>
      </c>
      <c r="Y19" s="3">
        <f>IFERROR(VLOOKUP(Y$1&amp;$A19&amp;$B19,배당편집!$D$2:$N$2710,11,FALSE), 0)</f>
        <v>0</v>
      </c>
      <c r="Z19" s="3">
        <f>IFERROR(VLOOKUP(Z$1&amp;$A19&amp;$B19,배당편집!$D$2:$N$2710,11,FALSE), 0)</f>
        <v>0.19</v>
      </c>
      <c r="AA19" s="3">
        <f>IFERROR(VLOOKUP(AA$1&amp;$A19&amp;$B19,배당편집!$D$2:$N$2710,11,FALSE), 0)</f>
        <v>0</v>
      </c>
      <c r="AB19" s="3">
        <f>IFERROR(VLOOKUP(AB$1&amp;$A19&amp;$B19,배당편집!$D$2:$N$2710,11,FALSE), 0)</f>
        <v>0</v>
      </c>
      <c r="AC19" s="3">
        <f>IFERROR(VLOOKUP(AC$1&amp;$A19&amp;$B19,배당편집!$D$2:$N$2710,11,FALSE), 0)</f>
        <v>0</v>
      </c>
      <c r="AD19" s="3">
        <f>IFERROR(VLOOKUP(AD$1&amp;$A19&amp;$B19,배당편집!$D$2:$N$2710,11,FALSE), 0)</f>
        <v>0.93</v>
      </c>
      <c r="AE19" s="3">
        <f>IFERROR(VLOOKUP(AE$1&amp;$A19&amp;$B19,배당편집!$D$2:$N$2710,11,FALSE), 0)</f>
        <v>0</v>
      </c>
      <c r="AF19" s="3">
        <f>IFERROR(VLOOKUP(AF$1&amp;$A19&amp;$B19,배당편집!$D$2:$N$2710,11,FALSE), 0)</f>
        <v>0</v>
      </c>
    </row>
    <row r="20" spans="1:32" ht="16.5" customHeight="1">
      <c r="A20" s="3">
        <v>2021</v>
      </c>
      <c r="B20" s="3">
        <v>7</v>
      </c>
      <c r="C20" s="3">
        <f>IFERROR(VLOOKUP(C$1&amp;$A20&amp;$B20,배당편집!$D$2:$N$2710,11,FALSE), 0)</f>
        <v>0</v>
      </c>
      <c r="D20" s="3">
        <f>IFERROR(VLOOKUP(D$1&amp;$A20&amp;$B20,배당편집!$D$2:$N$2710,11,FALSE), 0)</f>
        <v>0</v>
      </c>
      <c r="E20" s="3">
        <f>IFERROR(VLOOKUP(E$1&amp;$A20&amp;$B20,배당편집!$D$2:$N$2710,11,FALSE), 0)</f>
        <v>0</v>
      </c>
      <c r="F20" s="3">
        <f>IFERROR(VLOOKUP(F$1&amp;$A20&amp;$B20,배당편집!$D$2:$N$2710,11,FALSE), 0)</f>
        <v>0</v>
      </c>
      <c r="G20" s="3">
        <f>IFERROR(VLOOKUP(G$1&amp;$A20&amp;$B20,배당편집!$D$2:$N$2710,11,FALSE), 0)</f>
        <v>0</v>
      </c>
      <c r="H20" s="3">
        <f>IFERROR(VLOOKUP(H$1&amp;$A20&amp;$B20,배당편집!$D$2:$N$2710,11,FALSE), 0)</f>
        <v>0</v>
      </c>
      <c r="I20" s="3">
        <f>IFERROR(VLOOKUP(I$1&amp;$A20&amp;$B20,배당편집!$D$2:$N$2710,11,FALSE), 0)</f>
        <v>0</v>
      </c>
      <c r="J20" s="3">
        <f>IFERROR(VLOOKUP(J$1&amp;$A20&amp;$B20,배당편집!$D$2:$N$2710,11,FALSE), 0)</f>
        <v>0</v>
      </c>
      <c r="K20" s="3">
        <f>IFERROR(VLOOKUP(K$1&amp;$A20&amp;$B20,배당편집!$D$2:$N$2710,11,FALSE), 0)</f>
        <v>1.1100000000000001</v>
      </c>
      <c r="L20" s="3">
        <f>IFERROR(VLOOKUP(L$1&amp;$A20&amp;$B20,배당편집!$D$2:$N$2710,11,FALSE), 0)</f>
        <v>0</v>
      </c>
      <c r="M20" s="3">
        <f>IFERROR(VLOOKUP(M$1&amp;$A20&amp;$B20,배당편집!$D$2:$N$2710,11,FALSE), 0)</f>
        <v>0</v>
      </c>
      <c r="N20" s="3">
        <f>IFERROR(VLOOKUP(N$1&amp;$A20&amp;$B20,배당편집!$D$2:$N$2710,11,FALSE), 0)</f>
        <v>0</v>
      </c>
      <c r="O20" s="3">
        <f>IFERROR(VLOOKUP(O$1&amp;$A20&amp;$B20,배당편집!$D$2:$N$2710,11,FALSE), 0)</f>
        <v>0</v>
      </c>
      <c r="P20" s="3">
        <f>IFERROR(VLOOKUP(P$1&amp;$A20&amp;$B20,배당편집!$D$2:$N$2710,11,FALSE), 0)</f>
        <v>0.86980000000000002</v>
      </c>
      <c r="Q20" s="3">
        <f>IFERROR(VLOOKUP(Q$1&amp;$A20&amp;$B20,배당편집!$D$2:$N$2710,11,FALSE), 0)</f>
        <v>0</v>
      </c>
      <c r="R20" s="3">
        <f>IFERROR(VLOOKUP(R$1&amp;$A20&amp;$B20,배당편집!$D$2:$N$2710,11,FALSE), 0)</f>
        <v>0</v>
      </c>
      <c r="S20" s="3">
        <f>IFERROR(VLOOKUP(S$1&amp;$A20&amp;$B20,배당편집!$D$2:$N$2710,11,FALSE), 0)</f>
        <v>0</v>
      </c>
      <c r="T20" s="3">
        <f>IFERROR(VLOOKUP(T$1&amp;$A20&amp;$B20,배당편집!$D$2:$N$2710,11,FALSE), 0)</f>
        <v>1.19</v>
      </c>
      <c r="U20" s="3">
        <f>IFERROR(VLOOKUP(U$1&amp;$A20&amp;$B20,배당편집!$D$2:$N$2710,11,FALSE), 0)</f>
        <v>0.26</v>
      </c>
      <c r="V20" s="3">
        <f>IFERROR(VLOOKUP(V$1&amp;$A20&amp;$B20,배당편집!$D$2:$N$2710,11,FALSE), 0)</f>
        <v>0.245</v>
      </c>
      <c r="W20" s="3">
        <f>IFERROR(VLOOKUP(W$1&amp;$A20&amp;$B20,배당편집!$D$2:$N$2710,11,FALSE), 0)</f>
        <v>0.8</v>
      </c>
      <c r="X20" s="3">
        <f>IFERROR(VLOOKUP(X$1&amp;$A20&amp;$B20,배당편집!$D$2:$N$2710,11,FALSE), 0)</f>
        <v>0</v>
      </c>
      <c r="Y20" s="3">
        <f>IFERROR(VLOOKUP(Y$1&amp;$A20&amp;$B20,배당편집!$D$2:$N$2710,11,FALSE), 0)</f>
        <v>0</v>
      </c>
      <c r="Z20" s="3">
        <f>IFERROR(VLOOKUP(Z$1&amp;$A20&amp;$B20,배당편집!$D$2:$N$2710,11,FALSE), 0)</f>
        <v>0</v>
      </c>
      <c r="AA20" s="3">
        <f>IFERROR(VLOOKUP(AA$1&amp;$A20&amp;$B20,배당편집!$D$2:$N$2710,11,FALSE), 0)</f>
        <v>0</v>
      </c>
      <c r="AB20" s="3">
        <f>IFERROR(VLOOKUP(AB$1&amp;$A20&amp;$B20,배당편집!$D$2:$N$2710,11,FALSE), 0)</f>
        <v>0.45</v>
      </c>
      <c r="AC20" s="3">
        <f>IFERROR(VLOOKUP(AC$1&amp;$A20&amp;$B20,배당편집!$D$2:$N$2710,11,FALSE), 0)</f>
        <v>0</v>
      </c>
      <c r="AD20" s="3">
        <f>IFERROR(VLOOKUP(AD$1&amp;$A20&amp;$B20,배당편집!$D$2:$N$2710,11,FALSE), 0)</f>
        <v>0</v>
      </c>
      <c r="AE20" s="3">
        <f>IFERROR(VLOOKUP(AE$1&amp;$A20&amp;$B20,배당편집!$D$2:$N$2710,11,FALSE), 0)</f>
        <v>0</v>
      </c>
      <c r="AF20" s="3">
        <f>IFERROR(VLOOKUP(AF$1&amp;$A20&amp;$B20,배당편집!$D$2:$N$2710,11,FALSE), 0)</f>
        <v>0</v>
      </c>
    </row>
    <row r="21" spans="1:32" ht="16.5" customHeight="1">
      <c r="A21" s="3">
        <v>2021</v>
      </c>
      <c r="B21" s="3">
        <v>8</v>
      </c>
      <c r="C21" s="3">
        <f>IFERROR(VLOOKUP(C$1&amp;$A21&amp;$B21,배당편집!$D$2:$N$2710,11,FALSE), 0)</f>
        <v>0.47749999999999998</v>
      </c>
      <c r="D21" s="3">
        <f>IFERROR(VLOOKUP(D$1&amp;$A21&amp;$B21,배당편집!$D$2:$N$2710,11,FALSE), 0)</f>
        <v>0</v>
      </c>
      <c r="E21" s="3">
        <f>IFERROR(VLOOKUP(E$1&amp;$A21&amp;$B21,배당편집!$D$2:$N$2710,11,FALSE), 0)</f>
        <v>0</v>
      </c>
      <c r="F21" s="3">
        <f>IFERROR(VLOOKUP(F$1&amp;$A21&amp;$B21,배당편집!$D$2:$N$2710,11,FALSE), 0)</f>
        <v>0</v>
      </c>
      <c r="G21" s="3">
        <f>IFERROR(VLOOKUP(G$1&amp;$A21&amp;$B21,배당편집!$D$2:$N$2710,11,FALSE), 0)</f>
        <v>0.87</v>
      </c>
      <c r="H21" s="3">
        <f>IFERROR(VLOOKUP(H$1&amp;$A21&amp;$B21,배당편집!$D$2:$N$2710,11,FALSE), 0)</f>
        <v>1.34</v>
      </c>
      <c r="I21" s="3">
        <f>IFERROR(VLOOKUP(I$1&amp;$A21&amp;$B21,배당편집!$D$2:$N$2710,11,FALSE), 0)</f>
        <v>0.56499999999999995</v>
      </c>
      <c r="J21" s="3">
        <f>IFERROR(VLOOKUP(J$1&amp;$A21&amp;$B21,배당편집!$D$2:$N$2710,11,FALSE), 0)</f>
        <v>0</v>
      </c>
      <c r="K21" s="3">
        <f>IFERROR(VLOOKUP(K$1&amp;$A21&amp;$B21,배당편집!$D$2:$N$2710,11,FALSE), 0)</f>
        <v>0</v>
      </c>
      <c r="L21" s="3">
        <f>IFERROR(VLOOKUP(L$1&amp;$A21&amp;$B21,배당편집!$D$2:$N$2710,11,FALSE), 0)</f>
        <v>0.9</v>
      </c>
      <c r="M21" s="3">
        <f>IFERROR(VLOOKUP(M$1&amp;$A21&amp;$B21,배당편집!$D$2:$N$2710,11,FALSE), 0)</f>
        <v>0</v>
      </c>
      <c r="N21" s="3">
        <f>IFERROR(VLOOKUP(N$1&amp;$A21&amp;$B21,배당편집!$D$2:$N$2710,11,FALSE), 0)</f>
        <v>0.505</v>
      </c>
      <c r="O21" s="3">
        <f>IFERROR(VLOOKUP(O$1&amp;$A21&amp;$B21,배당편집!$D$2:$N$2710,11,FALSE), 0)</f>
        <v>0</v>
      </c>
      <c r="P21" s="3">
        <f>IFERROR(VLOOKUP(P$1&amp;$A21&amp;$B21,배당편집!$D$2:$N$2710,11,FALSE), 0)</f>
        <v>0</v>
      </c>
      <c r="Q21" s="3">
        <f>IFERROR(VLOOKUP(Q$1&amp;$A21&amp;$B21,배당편집!$D$2:$N$2710,11,FALSE), 0)</f>
        <v>1.06</v>
      </c>
      <c r="R21" s="3">
        <f>IFERROR(VLOOKUP(R$1&amp;$A21&amp;$B21,배당편집!$D$2:$N$2710,11,FALSE), 0)</f>
        <v>0.625</v>
      </c>
      <c r="S21" s="3">
        <f>IFERROR(VLOOKUP(S$1&amp;$A21&amp;$B21,배당편집!$D$2:$N$2710,11,FALSE), 0)</f>
        <v>0</v>
      </c>
      <c r="T21" s="3">
        <f>IFERROR(VLOOKUP(T$1&amp;$A21&amp;$B21,배당편집!$D$2:$N$2710,11,FALSE), 0)</f>
        <v>0</v>
      </c>
      <c r="U21" s="3">
        <f>IFERROR(VLOOKUP(U$1&amp;$A21&amp;$B21,배당편집!$D$2:$N$2710,11,FALSE), 0)</f>
        <v>0</v>
      </c>
      <c r="V21" s="3">
        <f>IFERROR(VLOOKUP(V$1&amp;$A21&amp;$B21,배당편집!$D$2:$N$2710,11,FALSE), 0)</f>
        <v>0</v>
      </c>
      <c r="W21" s="3">
        <f>IFERROR(VLOOKUP(W$1&amp;$A21&amp;$B21,배당편집!$D$2:$N$2710,11,FALSE), 0)</f>
        <v>0</v>
      </c>
      <c r="X21" s="3">
        <f>IFERROR(VLOOKUP(X$1&amp;$A21&amp;$B21,배당편집!$D$2:$N$2710,11,FALSE), 0)</f>
        <v>0.59</v>
      </c>
      <c r="Y21" s="3">
        <f>IFERROR(VLOOKUP(Y$1&amp;$A21&amp;$B21,배당편집!$D$2:$N$2710,11,FALSE), 0)</f>
        <v>1.03</v>
      </c>
      <c r="Z21" s="3">
        <f>IFERROR(VLOOKUP(Z$1&amp;$A21&amp;$B21,배당편집!$D$2:$N$2710,11,FALSE), 0)</f>
        <v>0</v>
      </c>
      <c r="AA21" s="3">
        <f>IFERROR(VLOOKUP(AA$1&amp;$A21&amp;$B21,배당편집!$D$2:$N$2710,11,FALSE), 0)</f>
        <v>0.37</v>
      </c>
      <c r="AB21" s="3">
        <f>IFERROR(VLOOKUP(AB$1&amp;$A21&amp;$B21,배당편집!$D$2:$N$2710,11,FALSE), 0)</f>
        <v>0</v>
      </c>
      <c r="AC21" s="3">
        <f>IFERROR(VLOOKUP(AC$1&amp;$A21&amp;$B21,배당편집!$D$2:$N$2710,11,FALSE), 0)</f>
        <v>0.23</v>
      </c>
      <c r="AD21" s="3">
        <f>IFERROR(VLOOKUP(AD$1&amp;$A21&amp;$B21,배당편집!$D$2:$N$2710,11,FALSE), 0)</f>
        <v>0</v>
      </c>
      <c r="AE21" s="3">
        <f>IFERROR(VLOOKUP(AE$1&amp;$A21&amp;$B21,배당편집!$D$2:$N$2710,11,FALSE), 0)</f>
        <v>0.23</v>
      </c>
      <c r="AF21" s="3">
        <f>IFERROR(VLOOKUP(AF$1&amp;$A21&amp;$B21,배당편집!$D$2:$N$2710,11,FALSE), 0)</f>
        <v>0.5</v>
      </c>
    </row>
    <row r="22" spans="1:32" ht="16.5" customHeight="1">
      <c r="A22" s="3">
        <v>2021</v>
      </c>
      <c r="B22" s="3">
        <v>9</v>
      </c>
      <c r="C22" s="3">
        <f>IFERROR(VLOOKUP(C$1&amp;$A22&amp;$B22,배당편집!$D$2:$N$2710,11,FALSE), 0)</f>
        <v>0</v>
      </c>
      <c r="D22" s="3">
        <f>IFERROR(VLOOKUP(D$1&amp;$A22&amp;$B22,배당편집!$D$2:$N$2710,11,FALSE), 0)</f>
        <v>0.42</v>
      </c>
      <c r="E22" s="3">
        <f>IFERROR(VLOOKUP(E$1&amp;$A22&amp;$B22,배당편집!$D$2:$N$2710,11,FALSE), 0)</f>
        <v>0.28000000000000003</v>
      </c>
      <c r="F22" s="3">
        <f>IFERROR(VLOOKUP(F$1&amp;$A22&amp;$B22,배당편집!$D$2:$N$2710,11,FALSE), 0)</f>
        <v>0.79</v>
      </c>
      <c r="G22" s="3">
        <f>IFERROR(VLOOKUP(G$1&amp;$A22&amp;$B22,배당편집!$D$2:$N$2710,11,FALSE), 0)</f>
        <v>0</v>
      </c>
      <c r="H22" s="3">
        <f>IFERROR(VLOOKUP(H$1&amp;$A22&amp;$B22,배당편집!$D$2:$N$2710,11,FALSE), 0)</f>
        <v>0</v>
      </c>
      <c r="I22" s="3">
        <f>IFERROR(VLOOKUP(I$1&amp;$A22&amp;$B22,배당편집!$D$2:$N$2710,11,FALSE), 0)</f>
        <v>0</v>
      </c>
      <c r="J22" s="3">
        <f>IFERROR(VLOOKUP(J$1&amp;$A22&amp;$B22,배당편집!$D$2:$N$2710,11,FALSE), 0)</f>
        <v>0.45500000000000002</v>
      </c>
      <c r="K22" s="3">
        <f>IFERROR(VLOOKUP(K$1&amp;$A22&amp;$B22,배당편집!$D$2:$N$2710,11,FALSE), 0)</f>
        <v>0</v>
      </c>
      <c r="L22" s="3">
        <f>IFERROR(VLOOKUP(L$1&amp;$A22&amp;$B22,배당편집!$D$2:$N$2710,11,FALSE), 0)</f>
        <v>0</v>
      </c>
      <c r="M22" s="3">
        <f>IFERROR(VLOOKUP(M$1&amp;$A22&amp;$B22,배당편집!$D$2:$N$2710,11,FALSE), 0)</f>
        <v>1.22</v>
      </c>
      <c r="N22" s="3">
        <f>IFERROR(VLOOKUP(N$1&amp;$A22&amp;$B22,배당편집!$D$2:$N$2710,11,FALSE), 0)</f>
        <v>0</v>
      </c>
      <c r="O22" s="3">
        <f>IFERROR(VLOOKUP(O$1&amp;$A22&amp;$B22,배당편집!$D$2:$N$2710,11,FALSE), 0)</f>
        <v>1.5</v>
      </c>
      <c r="P22" s="3">
        <f>IFERROR(VLOOKUP(P$1&amp;$A22&amp;$B22,배당편집!$D$2:$N$2710,11,FALSE), 0)</f>
        <v>0</v>
      </c>
      <c r="Q22" s="3">
        <f>IFERROR(VLOOKUP(Q$1&amp;$A22&amp;$B22,배당편집!$D$2:$N$2710,11,FALSE), 0)</f>
        <v>0</v>
      </c>
      <c r="R22" s="3">
        <f>IFERROR(VLOOKUP(R$1&amp;$A22&amp;$B22,배당편집!$D$2:$N$2710,11,FALSE), 0)</f>
        <v>0</v>
      </c>
      <c r="S22" s="3">
        <f>IFERROR(VLOOKUP(S$1&amp;$A22&amp;$B22,배당편집!$D$2:$N$2710,11,FALSE), 0)</f>
        <v>0.81499999999999995</v>
      </c>
      <c r="T22" s="3">
        <f>IFERROR(VLOOKUP(T$1&amp;$A22&amp;$B22,배당편집!$D$2:$N$2710,11,FALSE), 0)</f>
        <v>0</v>
      </c>
      <c r="U22" s="3">
        <f>IFERROR(VLOOKUP(U$1&amp;$A22&amp;$B22,배당편집!$D$2:$N$2710,11,FALSE), 0)</f>
        <v>0</v>
      </c>
      <c r="V22" s="3">
        <f>IFERROR(VLOOKUP(V$1&amp;$A22&amp;$B22,배당편집!$D$2:$N$2710,11,FALSE), 0)</f>
        <v>0</v>
      </c>
      <c r="W22" s="3">
        <f>IFERROR(VLOOKUP(W$1&amp;$A22&amp;$B22,배당편집!$D$2:$N$2710,11,FALSE), 0)</f>
        <v>0</v>
      </c>
      <c r="X22" s="3">
        <f>IFERROR(VLOOKUP(X$1&amp;$A22&amp;$B22,배당편집!$D$2:$N$2710,11,FALSE), 0)</f>
        <v>0</v>
      </c>
      <c r="Y22" s="3">
        <f>IFERROR(VLOOKUP(Y$1&amp;$A22&amp;$B22,배당편집!$D$2:$N$2710,11,FALSE), 0)</f>
        <v>0</v>
      </c>
      <c r="Z22" s="3">
        <f>IFERROR(VLOOKUP(Z$1&amp;$A22&amp;$B22,배당편집!$D$2:$N$2710,11,FALSE), 0)</f>
        <v>0</v>
      </c>
      <c r="AA22" s="3">
        <f>IFERROR(VLOOKUP(AA$1&amp;$A22&amp;$B22,배당편집!$D$2:$N$2710,11,FALSE), 0)</f>
        <v>0</v>
      </c>
      <c r="AB22" s="3">
        <f>IFERROR(VLOOKUP(AB$1&amp;$A22&amp;$B22,배당편집!$D$2:$N$2710,11,FALSE), 0)</f>
        <v>0</v>
      </c>
      <c r="AC22" s="3">
        <f>IFERROR(VLOOKUP(AC$1&amp;$A22&amp;$B22,배당편집!$D$2:$N$2710,11,FALSE), 0)</f>
        <v>0</v>
      </c>
      <c r="AD22" s="3">
        <f>IFERROR(VLOOKUP(AD$1&amp;$A22&amp;$B22,배당편집!$D$2:$N$2710,11,FALSE), 0)</f>
        <v>0.93</v>
      </c>
      <c r="AE22" s="3">
        <f>IFERROR(VLOOKUP(AE$1&amp;$A22&amp;$B22,배당편집!$D$2:$N$2710,11,FALSE), 0)</f>
        <v>0</v>
      </c>
      <c r="AF22" s="3">
        <f>IFERROR(VLOOKUP(AF$1&amp;$A22&amp;$B22,배당편집!$D$2:$N$2710,11,FALSE), 0)</f>
        <v>0</v>
      </c>
    </row>
    <row r="23" spans="1:32" ht="16.5" customHeight="1">
      <c r="A23" s="3">
        <v>2021</v>
      </c>
      <c r="B23" s="3">
        <v>10</v>
      </c>
      <c r="C23" s="3">
        <f>IFERROR(VLOOKUP(C$1&amp;$A23&amp;$B23,배당편집!$D$2:$N$2710,11,FALSE), 0)</f>
        <v>0</v>
      </c>
      <c r="D23" s="3">
        <f>IFERROR(VLOOKUP(D$1&amp;$A23&amp;$B23,배당편집!$D$2:$N$2710,11,FALSE), 0)</f>
        <v>0</v>
      </c>
      <c r="E23" s="3">
        <f>IFERROR(VLOOKUP(E$1&amp;$A23&amp;$B23,배당편집!$D$2:$N$2710,11,FALSE), 0)</f>
        <v>0</v>
      </c>
      <c r="F23" s="3">
        <f>IFERROR(VLOOKUP(F$1&amp;$A23&amp;$B23,배당편집!$D$2:$N$2710,11,FALSE), 0)</f>
        <v>0</v>
      </c>
      <c r="G23" s="3">
        <f>IFERROR(VLOOKUP(G$1&amp;$A23&amp;$B23,배당편집!$D$2:$N$2710,11,FALSE), 0)</f>
        <v>0</v>
      </c>
      <c r="H23" s="3">
        <f>IFERROR(VLOOKUP(H$1&amp;$A23&amp;$B23,배당편집!$D$2:$N$2710,11,FALSE), 0)</f>
        <v>0</v>
      </c>
      <c r="I23" s="3">
        <f>IFERROR(VLOOKUP(I$1&amp;$A23&amp;$B23,배당편집!$D$2:$N$2710,11,FALSE), 0)</f>
        <v>0</v>
      </c>
      <c r="J23" s="3">
        <f>IFERROR(VLOOKUP(J$1&amp;$A23&amp;$B23,배당편집!$D$2:$N$2710,11,FALSE), 0)</f>
        <v>0</v>
      </c>
      <c r="K23" s="3">
        <f>IFERROR(VLOOKUP(K$1&amp;$A23&amp;$B23,배당편집!$D$2:$N$2710,11,FALSE), 0)</f>
        <v>1.1100000000000001</v>
      </c>
      <c r="L23" s="3">
        <f>IFERROR(VLOOKUP(L$1&amp;$A23&amp;$B23,배당편집!$D$2:$N$2710,11,FALSE), 0)</f>
        <v>0</v>
      </c>
      <c r="M23" s="3">
        <f>IFERROR(VLOOKUP(M$1&amp;$A23&amp;$B23,배당편집!$D$2:$N$2710,11,FALSE), 0)</f>
        <v>0</v>
      </c>
      <c r="N23" s="3">
        <f>IFERROR(VLOOKUP(N$1&amp;$A23&amp;$B23,배당편집!$D$2:$N$2710,11,FALSE), 0)</f>
        <v>0</v>
      </c>
      <c r="O23" s="3">
        <f>IFERROR(VLOOKUP(O$1&amp;$A23&amp;$B23,배당편집!$D$2:$N$2710,11,FALSE), 0)</f>
        <v>0</v>
      </c>
      <c r="P23" s="3">
        <f>IFERROR(VLOOKUP(P$1&amp;$A23&amp;$B23,배당편집!$D$2:$N$2710,11,FALSE), 0)</f>
        <v>0.86980000000000002</v>
      </c>
      <c r="Q23" s="3">
        <f>IFERROR(VLOOKUP(Q$1&amp;$A23&amp;$B23,배당편집!$D$2:$N$2710,11,FALSE), 0)</f>
        <v>0</v>
      </c>
      <c r="R23" s="3">
        <f>IFERROR(VLOOKUP(R$1&amp;$A23&amp;$B23,배당편집!$D$2:$N$2710,11,FALSE), 0)</f>
        <v>0</v>
      </c>
      <c r="S23" s="3">
        <f>IFERROR(VLOOKUP(S$1&amp;$A23&amp;$B23,배당편집!$D$2:$N$2710,11,FALSE), 0)</f>
        <v>0</v>
      </c>
      <c r="T23" s="3">
        <f>IFERROR(VLOOKUP(T$1&amp;$A23&amp;$B23,배당편집!$D$2:$N$2710,11,FALSE), 0)</f>
        <v>1.19</v>
      </c>
      <c r="U23" s="3">
        <f>IFERROR(VLOOKUP(U$1&amp;$A23&amp;$B23,배당편집!$D$2:$N$2710,11,FALSE), 0)</f>
        <v>0.28000000000000003</v>
      </c>
      <c r="V23" s="3">
        <f>IFERROR(VLOOKUP(V$1&amp;$A23&amp;$B23,배당편집!$D$2:$N$2710,11,FALSE), 0)</f>
        <v>0.245</v>
      </c>
      <c r="W23" s="3">
        <f>IFERROR(VLOOKUP(W$1&amp;$A23&amp;$B23,배당편집!$D$2:$N$2710,11,FALSE), 0)</f>
        <v>0.8</v>
      </c>
      <c r="X23" s="3">
        <f>IFERROR(VLOOKUP(X$1&amp;$A23&amp;$B23,배당편집!$D$2:$N$2710,11,FALSE), 0)</f>
        <v>0</v>
      </c>
      <c r="Y23" s="3">
        <f>IFERROR(VLOOKUP(Y$1&amp;$A23&amp;$B23,배당편집!$D$2:$N$2710,11,FALSE), 0)</f>
        <v>0</v>
      </c>
      <c r="Z23" s="3">
        <f>IFERROR(VLOOKUP(Z$1&amp;$A23&amp;$B23,배당편집!$D$2:$N$2710,11,FALSE), 0)</f>
        <v>0.19</v>
      </c>
      <c r="AA23" s="3">
        <f>IFERROR(VLOOKUP(AA$1&amp;$A23&amp;$B23,배당편집!$D$2:$N$2710,11,FALSE), 0)</f>
        <v>0</v>
      </c>
      <c r="AB23" s="3">
        <f>IFERROR(VLOOKUP(AB$1&amp;$A23&amp;$B23,배당편집!$D$2:$N$2710,11,FALSE), 0)</f>
        <v>0.45</v>
      </c>
      <c r="AC23" s="3">
        <f>IFERROR(VLOOKUP(AC$1&amp;$A23&amp;$B23,배당편집!$D$2:$N$2710,11,FALSE), 0)</f>
        <v>0</v>
      </c>
      <c r="AD23" s="3">
        <f>IFERROR(VLOOKUP(AD$1&amp;$A23&amp;$B23,배당편집!$D$2:$N$2710,11,FALSE), 0)</f>
        <v>0</v>
      </c>
      <c r="AE23" s="3">
        <f>IFERROR(VLOOKUP(AE$1&amp;$A23&amp;$B23,배당편집!$D$2:$N$2710,11,FALSE), 0)</f>
        <v>0</v>
      </c>
      <c r="AF23" s="3">
        <f>IFERROR(VLOOKUP(AF$1&amp;$A23&amp;$B23,배당편집!$D$2:$N$2710,11,FALSE), 0)</f>
        <v>0</v>
      </c>
    </row>
    <row r="24" spans="1:32" ht="16.5" customHeight="1">
      <c r="A24" s="3">
        <v>2021</v>
      </c>
      <c r="B24" s="3">
        <v>11</v>
      </c>
      <c r="C24" s="3">
        <f>IFERROR(VLOOKUP(C$1&amp;$A24&amp;$B24,배당편집!$D$2:$N$2710,11,FALSE), 0)</f>
        <v>0.47749999999999998</v>
      </c>
      <c r="D24" s="3">
        <f>IFERROR(VLOOKUP(D$1&amp;$A24&amp;$B24,배당편집!$D$2:$N$2710,11,FALSE), 0)</f>
        <v>0</v>
      </c>
      <c r="E24" s="3">
        <f>IFERROR(VLOOKUP(E$1&amp;$A24&amp;$B24,배당편집!$D$2:$N$2710,11,FALSE), 0)</f>
        <v>0</v>
      </c>
      <c r="F24" s="3">
        <f>IFERROR(VLOOKUP(F$1&amp;$A24&amp;$B24,배당편집!$D$2:$N$2710,11,FALSE), 0)</f>
        <v>0.79</v>
      </c>
      <c r="G24" s="3">
        <f>IFERROR(VLOOKUP(G$1&amp;$A24&amp;$B24,배당편집!$D$2:$N$2710,11,FALSE), 0)</f>
        <v>0.88</v>
      </c>
      <c r="H24" s="3">
        <f>IFERROR(VLOOKUP(H$1&amp;$A24&amp;$B24,배당편집!$D$2:$N$2710,11,FALSE), 0)</f>
        <v>1.34</v>
      </c>
      <c r="I24" s="3">
        <f>IFERROR(VLOOKUP(I$1&amp;$A24&amp;$B24,배당편집!$D$2:$N$2710,11,FALSE), 0)</f>
        <v>0.59499999999999997</v>
      </c>
      <c r="J24" s="3">
        <f>IFERROR(VLOOKUP(J$1&amp;$A24&amp;$B24,배당편집!$D$2:$N$2710,11,FALSE), 0)</f>
        <v>0</v>
      </c>
      <c r="K24" s="3">
        <f>IFERROR(VLOOKUP(K$1&amp;$A24&amp;$B24,배당편집!$D$2:$N$2710,11,FALSE), 0)</f>
        <v>0</v>
      </c>
      <c r="L24" s="3">
        <f>IFERROR(VLOOKUP(L$1&amp;$A24&amp;$B24,배당편집!$D$2:$N$2710,11,FALSE), 0)</f>
        <v>0.9</v>
      </c>
      <c r="M24" s="3">
        <f>IFERROR(VLOOKUP(M$1&amp;$A24&amp;$B24,배당편집!$D$2:$N$2710,11,FALSE), 0)</f>
        <v>0</v>
      </c>
      <c r="N24" s="3">
        <f>IFERROR(VLOOKUP(N$1&amp;$A24&amp;$B24,배당편집!$D$2:$N$2710,11,FALSE), 0)</f>
        <v>0.51500000000000001</v>
      </c>
      <c r="O24" s="3">
        <f>IFERROR(VLOOKUP(O$1&amp;$A24&amp;$B24,배당편집!$D$2:$N$2710,11,FALSE), 0)</f>
        <v>0</v>
      </c>
      <c r="P24" s="3">
        <f>IFERROR(VLOOKUP(P$1&amp;$A24&amp;$B24,배당편집!$D$2:$N$2710,11,FALSE), 0)</f>
        <v>0</v>
      </c>
      <c r="Q24" s="3">
        <f>IFERROR(VLOOKUP(Q$1&amp;$A24&amp;$B24,배당편집!$D$2:$N$2710,11,FALSE), 0)</f>
        <v>1.06</v>
      </c>
      <c r="R24" s="3">
        <f>IFERROR(VLOOKUP(R$1&amp;$A24&amp;$B24,배당편집!$D$2:$N$2710,11,FALSE), 0)</f>
        <v>0.68</v>
      </c>
      <c r="S24" s="3">
        <f>IFERROR(VLOOKUP(S$1&amp;$A24&amp;$B24,배당편집!$D$2:$N$2710,11,FALSE), 0)</f>
        <v>0</v>
      </c>
      <c r="T24" s="3">
        <f>IFERROR(VLOOKUP(T$1&amp;$A24&amp;$B24,배당편집!$D$2:$N$2710,11,FALSE), 0)</f>
        <v>0</v>
      </c>
      <c r="U24" s="3">
        <f>IFERROR(VLOOKUP(U$1&amp;$A24&amp;$B24,배당편집!$D$2:$N$2710,11,FALSE), 0)</f>
        <v>0</v>
      </c>
      <c r="V24" s="3">
        <f>IFERROR(VLOOKUP(V$1&amp;$A24&amp;$B24,배당편집!$D$2:$N$2710,11,FALSE), 0)</f>
        <v>0</v>
      </c>
      <c r="W24" s="3">
        <f>IFERROR(VLOOKUP(W$1&amp;$A24&amp;$B24,배당편집!$D$2:$N$2710,11,FALSE), 0)</f>
        <v>0</v>
      </c>
      <c r="X24" s="3">
        <f>IFERROR(VLOOKUP(X$1&amp;$A24&amp;$B24,배당편집!$D$2:$N$2710,11,FALSE), 0)</f>
        <v>0.59</v>
      </c>
      <c r="Y24" s="3">
        <f>IFERROR(VLOOKUP(Y$1&amp;$A24&amp;$B24,배당편집!$D$2:$N$2710,11,FALSE), 0)</f>
        <v>1.03</v>
      </c>
      <c r="Z24" s="3">
        <f>IFERROR(VLOOKUP(Z$1&amp;$A24&amp;$B24,배당편집!$D$2:$N$2710,11,FALSE), 0)</f>
        <v>0</v>
      </c>
      <c r="AA24" s="3">
        <f>IFERROR(VLOOKUP(AA$1&amp;$A24&amp;$B24,배당편집!$D$2:$N$2710,11,FALSE), 0)</f>
        <v>0.37</v>
      </c>
      <c r="AB24" s="3">
        <f>IFERROR(VLOOKUP(AB$1&amp;$A24&amp;$B24,배당편집!$D$2:$N$2710,11,FALSE), 0)</f>
        <v>0</v>
      </c>
      <c r="AC24" s="3">
        <f>IFERROR(VLOOKUP(AC$1&amp;$A24&amp;$B24,배당편집!$D$2:$N$2710,11,FALSE), 0)</f>
        <v>0.23</v>
      </c>
      <c r="AD24" s="3">
        <f>IFERROR(VLOOKUP(AD$1&amp;$A24&amp;$B24,배당편집!$D$2:$N$2710,11,FALSE), 0)</f>
        <v>0</v>
      </c>
      <c r="AE24" s="3">
        <f>IFERROR(VLOOKUP(AE$1&amp;$A24&amp;$B24,배당편집!$D$2:$N$2710,11,FALSE), 0)</f>
        <v>0.25</v>
      </c>
      <c r="AF24" s="3">
        <f>IFERROR(VLOOKUP(AF$1&amp;$A24&amp;$B24,배당편집!$D$2:$N$2710,11,FALSE), 0)</f>
        <v>0.5</v>
      </c>
    </row>
    <row r="25" spans="1:32" ht="16.5" customHeight="1">
      <c r="A25" s="3">
        <v>2021</v>
      </c>
      <c r="B25" s="3">
        <v>12</v>
      </c>
      <c r="C25" s="3">
        <f>IFERROR(VLOOKUP(C$1&amp;$A25&amp;$B25,배당편집!$D$2:$N$2710,11,FALSE), 0)</f>
        <v>0</v>
      </c>
      <c r="D25" s="3">
        <f>IFERROR(VLOOKUP(D$1&amp;$A25&amp;$B25,배당편집!$D$2:$N$2710,11,FALSE), 0)</f>
        <v>0.42</v>
      </c>
      <c r="E25" s="3">
        <f>IFERROR(VLOOKUP(E$1&amp;$A25&amp;$B25,배당편집!$D$2:$N$2710,11,FALSE), 0)</f>
        <v>0.28999999999999998</v>
      </c>
      <c r="F25" s="3">
        <f>IFERROR(VLOOKUP(F$1&amp;$A25&amp;$B25,배당편집!$D$2:$N$2710,11,FALSE), 0)</f>
        <v>0</v>
      </c>
      <c r="G25" s="3">
        <f>IFERROR(VLOOKUP(G$1&amp;$A25&amp;$B25,배당편집!$D$2:$N$2710,11,FALSE), 0)</f>
        <v>0</v>
      </c>
      <c r="H25" s="3">
        <f>IFERROR(VLOOKUP(H$1&amp;$A25&amp;$B25,배당편집!$D$2:$N$2710,11,FALSE), 0)</f>
        <v>0</v>
      </c>
      <c r="I25" s="3">
        <f>IFERROR(VLOOKUP(I$1&amp;$A25&amp;$B25,배당편집!$D$2:$N$2710,11,FALSE), 0)</f>
        <v>0</v>
      </c>
      <c r="J25" s="3">
        <f>IFERROR(VLOOKUP(J$1&amp;$A25&amp;$B25,배당편집!$D$2:$N$2710,11,FALSE), 0)</f>
        <v>0.45500000000000002</v>
      </c>
      <c r="K25" s="3">
        <f>IFERROR(VLOOKUP(K$1&amp;$A25&amp;$B25,배당편집!$D$2:$N$2710,11,FALSE), 0)</f>
        <v>0</v>
      </c>
      <c r="L25" s="3">
        <f>IFERROR(VLOOKUP(L$1&amp;$A25&amp;$B25,배당편집!$D$2:$N$2710,11,FALSE), 0)</f>
        <v>0</v>
      </c>
      <c r="M25" s="3">
        <f>IFERROR(VLOOKUP(M$1&amp;$A25&amp;$B25,배당편집!$D$2:$N$2710,11,FALSE), 0)</f>
        <v>1.22</v>
      </c>
      <c r="N25" s="3">
        <f>IFERROR(VLOOKUP(N$1&amp;$A25&amp;$B25,배당편집!$D$2:$N$2710,11,FALSE), 0)</f>
        <v>0</v>
      </c>
      <c r="O25" s="3">
        <f>IFERROR(VLOOKUP(O$1&amp;$A25&amp;$B25,배당편집!$D$2:$N$2710,11,FALSE), 0)</f>
        <v>1.5</v>
      </c>
      <c r="P25" s="3">
        <f>IFERROR(VLOOKUP(P$1&amp;$A25&amp;$B25,배당편집!$D$2:$N$2710,11,FALSE), 0)</f>
        <v>0</v>
      </c>
      <c r="Q25" s="3">
        <f>IFERROR(VLOOKUP(Q$1&amp;$A25&amp;$B25,배당편집!$D$2:$N$2710,11,FALSE), 0)</f>
        <v>0</v>
      </c>
      <c r="R25" s="3">
        <f>IFERROR(VLOOKUP(R$1&amp;$A25&amp;$B25,배당편집!$D$2:$N$2710,11,FALSE), 0)</f>
        <v>0</v>
      </c>
      <c r="S25" s="3">
        <f>IFERROR(VLOOKUP(S$1&amp;$A25&amp;$B25,배당편집!$D$2:$N$2710,11,FALSE), 0)</f>
        <v>0.81499999999999995</v>
      </c>
      <c r="T25" s="3">
        <f>IFERROR(VLOOKUP(T$1&amp;$A25&amp;$B25,배당편집!$D$2:$N$2710,11,FALSE), 0)</f>
        <v>0</v>
      </c>
      <c r="U25" s="3">
        <f>IFERROR(VLOOKUP(U$1&amp;$A25&amp;$B25,배당편집!$D$2:$N$2710,11,FALSE), 0)</f>
        <v>0</v>
      </c>
      <c r="V25" s="3">
        <f>IFERROR(VLOOKUP(V$1&amp;$A25&amp;$B25,배당편집!$D$2:$N$2710,11,FALSE), 0)</f>
        <v>0</v>
      </c>
      <c r="W25" s="3">
        <f>IFERROR(VLOOKUP(W$1&amp;$A25&amp;$B25,배당편집!$D$2:$N$2710,11,FALSE), 0)</f>
        <v>0</v>
      </c>
      <c r="X25" s="3">
        <f>IFERROR(VLOOKUP(X$1&amp;$A25&amp;$B25,배당편집!$D$2:$N$2710,11,FALSE), 0)</f>
        <v>0</v>
      </c>
      <c r="Y25" s="3">
        <f>IFERROR(VLOOKUP(Y$1&amp;$A25&amp;$B25,배당편집!$D$2:$N$2710,11,FALSE), 0)</f>
        <v>0</v>
      </c>
      <c r="Z25" s="3">
        <f>IFERROR(VLOOKUP(Z$1&amp;$A25&amp;$B25,배당편집!$D$2:$N$2710,11,FALSE), 0)</f>
        <v>0</v>
      </c>
      <c r="AA25" s="3">
        <f>IFERROR(VLOOKUP(AA$1&amp;$A25&amp;$B25,배당편집!$D$2:$N$2710,11,FALSE), 0)</f>
        <v>0</v>
      </c>
      <c r="AB25" s="3">
        <f>IFERROR(VLOOKUP(AB$1&amp;$A25&amp;$B25,배당편집!$D$2:$N$2710,11,FALSE), 0)</f>
        <v>0</v>
      </c>
      <c r="AC25" s="3">
        <f>IFERROR(VLOOKUP(AC$1&amp;$A25&amp;$B25,배당편집!$D$2:$N$2710,11,FALSE), 0)</f>
        <v>0</v>
      </c>
      <c r="AD25" s="3">
        <f>IFERROR(VLOOKUP(AD$1&amp;$A25&amp;$B25,배당편집!$D$2:$N$2710,11,FALSE), 0)</f>
        <v>1.04</v>
      </c>
      <c r="AE25" s="3">
        <f>IFERROR(VLOOKUP(AE$1&amp;$A25&amp;$B25,배당편집!$D$2:$N$2710,11,FALSE), 0)</f>
        <v>0</v>
      </c>
      <c r="AF25" s="3">
        <f>IFERROR(VLOOKUP(AF$1&amp;$A25&amp;$B25,배당편집!$D$2:$N$2710,11,FALSE), 0)</f>
        <v>0</v>
      </c>
    </row>
    <row r="26" spans="1:32" ht="16.5" customHeight="1">
      <c r="A26" s="3">
        <v>2020</v>
      </c>
      <c r="B26" s="3">
        <v>1</v>
      </c>
      <c r="C26" s="3">
        <f>IFERROR(VLOOKUP(C$1&amp;$A26&amp;$B26,배당편집!$D$2:$N$2710,11,FALSE), 0)</f>
        <v>0</v>
      </c>
      <c r="D26" s="3">
        <f>IFERROR(VLOOKUP(D$1&amp;$A26&amp;$B26,배당편집!$D$2:$N$2710,11,FALSE), 0)</f>
        <v>0</v>
      </c>
      <c r="E26" s="3">
        <f>IFERROR(VLOOKUP(E$1&amp;$A26&amp;$B26,배당편집!$D$2:$N$2710,11,FALSE), 0)</f>
        <v>0</v>
      </c>
      <c r="F26" s="3">
        <f>IFERROR(VLOOKUP(F$1&amp;$A26&amp;$B26,배당편집!$D$2:$N$2710,11,FALSE), 0)</f>
        <v>0</v>
      </c>
      <c r="G26" s="3">
        <f>IFERROR(VLOOKUP(G$1&amp;$A26&amp;$B26,배당편집!$D$2:$N$2710,11,FALSE), 0)</f>
        <v>0</v>
      </c>
      <c r="H26" s="3">
        <f>IFERROR(VLOOKUP(H$1&amp;$A26&amp;$B26,배당편집!$D$2:$N$2710,11,FALSE), 0)</f>
        <v>0</v>
      </c>
      <c r="I26" s="3">
        <f>IFERROR(VLOOKUP(I$1&amp;$A26&amp;$B26,배당편집!$D$2:$N$2710,11,FALSE), 0)</f>
        <v>0</v>
      </c>
      <c r="J26" s="3">
        <f>IFERROR(VLOOKUP(J$1&amp;$A26&amp;$B26,배당편집!$D$2:$N$2710,11,FALSE), 0)</f>
        <v>0</v>
      </c>
      <c r="K26" s="3">
        <f>IFERROR(VLOOKUP(K$1&amp;$A26&amp;$B26,배당편집!$D$2:$N$2710,11,FALSE), 0)</f>
        <v>1.03</v>
      </c>
      <c r="L26" s="3">
        <f>IFERROR(VLOOKUP(L$1&amp;$A26&amp;$B26,배당편집!$D$2:$N$2710,11,FALSE), 0)</f>
        <v>0</v>
      </c>
      <c r="M26" s="3">
        <f>IFERROR(VLOOKUP(M$1&amp;$A26&amp;$B26,배당편집!$D$2:$N$2710,11,FALSE), 0)</f>
        <v>0</v>
      </c>
      <c r="N26" s="3">
        <f>IFERROR(VLOOKUP(N$1&amp;$A26&amp;$B26,배당편집!$D$2:$N$2710,11,FALSE), 0)</f>
        <v>0</v>
      </c>
      <c r="O26" s="3">
        <f>IFERROR(VLOOKUP(O$1&amp;$A26&amp;$B26,배당편집!$D$2:$N$2710,11,FALSE), 0)</f>
        <v>0</v>
      </c>
      <c r="P26" s="3">
        <f>IFERROR(VLOOKUP(P$1&amp;$A26&amp;$B26,배당편집!$D$2:$N$2710,11,FALSE), 0)</f>
        <v>0.74590000000000001</v>
      </c>
      <c r="Q26" s="3">
        <f>IFERROR(VLOOKUP(Q$1&amp;$A26&amp;$B26,배당편집!$D$2:$N$2710,11,FALSE), 0)</f>
        <v>0</v>
      </c>
      <c r="R26" s="3">
        <f>IFERROR(VLOOKUP(R$1&amp;$A26&amp;$B26,배당편집!$D$2:$N$2710,11,FALSE), 0)</f>
        <v>0</v>
      </c>
      <c r="S26" s="3">
        <f>IFERROR(VLOOKUP(S$1&amp;$A26&amp;$B26,배당편집!$D$2:$N$2710,11,FALSE), 0)</f>
        <v>0</v>
      </c>
      <c r="T26" s="3">
        <f>IFERROR(VLOOKUP(T$1&amp;$A26&amp;$B26,배당편집!$D$2:$N$2710,11,FALSE), 0)</f>
        <v>1.02</v>
      </c>
      <c r="U26" s="3">
        <f>IFERROR(VLOOKUP(U$1&amp;$A26&amp;$B26,배당편집!$D$2:$N$2710,11,FALSE), 0)</f>
        <v>0.24</v>
      </c>
      <c r="V26" s="3">
        <f>IFERROR(VLOOKUP(V$1&amp;$A26&amp;$B26,배당편집!$D$2:$N$2710,11,FALSE), 0)</f>
        <v>0.23250000000000001</v>
      </c>
      <c r="W26" s="3">
        <f>IFERROR(VLOOKUP(W$1&amp;$A26&amp;$B26,배당편집!$D$2:$N$2710,11,FALSE), 0)</f>
        <v>0.55000000000000004</v>
      </c>
      <c r="X26" s="3">
        <f>IFERROR(VLOOKUP(X$1&amp;$A26&amp;$B26,배당편집!$D$2:$N$2710,11,FALSE), 0)</f>
        <v>0</v>
      </c>
      <c r="Y26" s="3">
        <f>IFERROR(VLOOKUP(Y$1&amp;$A26&amp;$B26,배당편집!$D$2:$N$2710,11,FALSE), 0)</f>
        <v>0</v>
      </c>
      <c r="Z26" s="3">
        <f>IFERROR(VLOOKUP(Z$1&amp;$A26&amp;$B26,배당편집!$D$2:$N$2710,11,FALSE), 0)</f>
        <v>0</v>
      </c>
      <c r="AA26" s="3">
        <f>IFERROR(VLOOKUP(AA$1&amp;$A26&amp;$B26,배당편집!$D$2:$N$2710,11,FALSE), 0)</f>
        <v>0</v>
      </c>
      <c r="AB26" s="3">
        <f>IFERROR(VLOOKUP(AB$1&amp;$A26&amp;$B26,배당편집!$D$2:$N$2710,11,FALSE), 0)</f>
        <v>0.36</v>
      </c>
      <c r="AC26" s="3">
        <f>IFERROR(VLOOKUP(AC$1&amp;$A26&amp;$B26,배당편집!$D$2:$N$2710,11,FALSE), 0)</f>
        <v>0</v>
      </c>
      <c r="AD26" s="3">
        <f>IFERROR(VLOOKUP(AD$1&amp;$A26&amp;$B26,배당편집!$D$2:$N$2710,11,FALSE), 0)</f>
        <v>0</v>
      </c>
      <c r="AE26" s="3">
        <f>IFERROR(VLOOKUP(AE$1&amp;$A26&amp;$B26,배당편집!$D$2:$N$2710,11,FALSE), 0)</f>
        <v>0</v>
      </c>
      <c r="AF26" s="3">
        <f>IFERROR(VLOOKUP(AF$1&amp;$A26&amp;$B26,배당편집!$D$2:$N$2710,11,FALSE), 0)</f>
        <v>0</v>
      </c>
    </row>
    <row r="27" spans="1:32" ht="16.5" customHeight="1">
      <c r="A27" s="3">
        <v>2020</v>
      </c>
      <c r="B27" s="3">
        <v>2</v>
      </c>
      <c r="C27" s="3">
        <f>IFERROR(VLOOKUP(C$1&amp;$A27&amp;$B27,배당편집!$D$2:$N$2710,11,FALSE), 0)</f>
        <v>0.45750000000000002</v>
      </c>
      <c r="D27" s="3">
        <f>IFERROR(VLOOKUP(D$1&amp;$A27&amp;$B27,배당편집!$D$2:$N$2710,11,FALSE), 0)</f>
        <v>0</v>
      </c>
      <c r="E27" s="3">
        <f>IFERROR(VLOOKUP(E$1&amp;$A27&amp;$B27,배당편집!$D$2:$N$2710,11,FALSE), 0)</f>
        <v>0</v>
      </c>
      <c r="F27" s="3">
        <f>IFERROR(VLOOKUP(F$1&amp;$A27&amp;$B27,배당편집!$D$2:$N$2710,11,FALSE), 0)</f>
        <v>0</v>
      </c>
      <c r="G27" s="3">
        <f>IFERROR(VLOOKUP(G$1&amp;$A27&amp;$B27,배당편집!$D$2:$N$2710,11,FALSE), 0)</f>
        <v>0.87</v>
      </c>
      <c r="H27" s="3">
        <f>IFERROR(VLOOKUP(H$1&amp;$A27&amp;$B27,배당편집!$D$2:$N$2710,11,FALSE), 0)</f>
        <v>1.29</v>
      </c>
      <c r="I27" s="3">
        <f>IFERROR(VLOOKUP(I$1&amp;$A27&amp;$B27,배당편집!$D$2:$N$2710,11,FALSE), 0)</f>
        <v>0.53500000000000003</v>
      </c>
      <c r="J27" s="3">
        <f>IFERROR(VLOOKUP(J$1&amp;$A27&amp;$B27,배당편집!$D$2:$N$2710,11,FALSE), 0)</f>
        <v>0</v>
      </c>
      <c r="K27" s="3">
        <f>IFERROR(VLOOKUP(K$1&amp;$A27&amp;$B27,배당편집!$D$2:$N$2710,11,FALSE), 0)</f>
        <v>0</v>
      </c>
      <c r="L27" s="3">
        <f>IFERROR(VLOOKUP(L$1&amp;$A27&amp;$B27,배당편집!$D$2:$N$2710,11,FALSE), 0)</f>
        <v>0.66</v>
      </c>
      <c r="M27" s="3">
        <f>IFERROR(VLOOKUP(M$1&amp;$A27&amp;$B27,배당편집!$D$2:$N$2710,11,FALSE), 0)</f>
        <v>0</v>
      </c>
      <c r="N27" s="3">
        <f>IFERROR(VLOOKUP(N$1&amp;$A27&amp;$B27,배당편집!$D$2:$N$2710,11,FALSE), 0)</f>
        <v>0.5</v>
      </c>
      <c r="O27" s="3">
        <f>IFERROR(VLOOKUP(O$1&amp;$A27&amp;$B27,배당편집!$D$2:$N$2710,11,FALSE), 0)</f>
        <v>0</v>
      </c>
      <c r="P27" s="3">
        <f>IFERROR(VLOOKUP(P$1&amp;$A27&amp;$B27,배당편집!$D$2:$N$2710,11,FALSE), 0)</f>
        <v>0</v>
      </c>
      <c r="Q27" s="3">
        <f>IFERROR(VLOOKUP(Q$1&amp;$A27&amp;$B27,배당편집!$D$2:$N$2710,11,FALSE), 0)</f>
        <v>0.95</v>
      </c>
      <c r="R27" s="3">
        <f>IFERROR(VLOOKUP(R$1&amp;$A27&amp;$B27,배당편집!$D$2:$N$2710,11,FALSE), 0)</f>
        <v>0.57499999999999996</v>
      </c>
      <c r="S27" s="3">
        <f>IFERROR(VLOOKUP(S$1&amp;$A27&amp;$B27,배당편집!$D$2:$N$2710,11,FALSE), 0)</f>
        <v>0</v>
      </c>
      <c r="T27" s="3">
        <f>IFERROR(VLOOKUP(T$1&amp;$A27&amp;$B27,배당편집!$D$2:$N$2710,11,FALSE), 0)</f>
        <v>0</v>
      </c>
      <c r="U27" s="3">
        <f>IFERROR(VLOOKUP(U$1&amp;$A27&amp;$B27,배당편집!$D$2:$N$2710,11,FALSE), 0)</f>
        <v>0</v>
      </c>
      <c r="V27" s="3">
        <f>IFERROR(VLOOKUP(V$1&amp;$A27&amp;$B27,배당편집!$D$2:$N$2710,11,FALSE), 0)</f>
        <v>0</v>
      </c>
      <c r="W27" s="3">
        <f>IFERROR(VLOOKUP(W$1&amp;$A27&amp;$B27,배당편집!$D$2:$N$2710,11,FALSE), 0)</f>
        <v>0</v>
      </c>
      <c r="X27" s="3">
        <f>IFERROR(VLOOKUP(X$1&amp;$A27&amp;$B27,배당편집!$D$2:$N$2710,11,FALSE), 0)</f>
        <v>0.51</v>
      </c>
      <c r="Y27" s="3">
        <f>IFERROR(VLOOKUP(Y$1&amp;$A27&amp;$B27,배당편집!$D$2:$N$2710,11,FALSE), 0)</f>
        <v>0.88</v>
      </c>
      <c r="Z27" s="3">
        <f>IFERROR(VLOOKUP(Z$1&amp;$A27&amp;$B27,배당편집!$D$2:$N$2710,11,FALSE), 0)</f>
        <v>0</v>
      </c>
      <c r="AA27" s="3">
        <f>IFERROR(VLOOKUP(AA$1&amp;$A27&amp;$B27,배당편집!$D$2:$N$2710,11,FALSE), 0)</f>
        <v>0.36</v>
      </c>
      <c r="AB27" s="3">
        <f>IFERROR(VLOOKUP(AB$1&amp;$A27&amp;$B27,배당편집!$D$2:$N$2710,11,FALSE), 0)</f>
        <v>0</v>
      </c>
      <c r="AC27" s="3">
        <f>IFERROR(VLOOKUP(AC$1&amp;$A27&amp;$B27,배당편집!$D$2:$N$2710,11,FALSE), 0)</f>
        <v>0.21249999999999999</v>
      </c>
      <c r="AD27" s="3">
        <f>IFERROR(VLOOKUP(AD$1&amp;$A27&amp;$B27,배당편집!$D$2:$N$2710,11,FALSE), 0)</f>
        <v>0</v>
      </c>
      <c r="AE27" s="3">
        <f>IFERROR(VLOOKUP(AE$1&amp;$A27&amp;$B27,배당편집!$D$2:$N$2710,11,FALSE), 0)</f>
        <v>0.22</v>
      </c>
      <c r="AF27" s="3">
        <f>IFERROR(VLOOKUP(AF$1&amp;$A27&amp;$B27,배당편집!$D$2:$N$2710,11,FALSE), 0)</f>
        <v>0.49</v>
      </c>
    </row>
    <row r="28" spans="1:32" ht="16.5" customHeight="1">
      <c r="A28" s="3">
        <v>2020</v>
      </c>
      <c r="B28" s="3">
        <v>3</v>
      </c>
      <c r="C28" s="3">
        <f>IFERROR(VLOOKUP(C$1&amp;$A28&amp;$B28,배당편집!$D$2:$N$2710,11,FALSE), 0)</f>
        <v>0</v>
      </c>
      <c r="D28" s="3">
        <f>IFERROR(VLOOKUP(D$1&amp;$A28&amp;$B28,배당편집!$D$2:$N$2710,11,FALSE), 0)</f>
        <v>0.4</v>
      </c>
      <c r="E28" s="3">
        <f>IFERROR(VLOOKUP(E$1&amp;$A28&amp;$B28,배당편집!$D$2:$N$2710,11,FALSE), 0)</f>
        <v>0.27</v>
      </c>
      <c r="F28" s="3">
        <f>IFERROR(VLOOKUP(F$1&amp;$A28&amp;$B28,배당편집!$D$2:$N$2710,11,FALSE), 0)</f>
        <v>0.69</v>
      </c>
      <c r="G28" s="3">
        <f>IFERROR(VLOOKUP(G$1&amp;$A28&amp;$B28,배당편집!$D$2:$N$2710,11,FALSE), 0)</f>
        <v>0</v>
      </c>
      <c r="H28" s="3">
        <f>IFERROR(VLOOKUP(H$1&amp;$A28&amp;$B28,배당편집!$D$2:$N$2710,11,FALSE), 0)</f>
        <v>0</v>
      </c>
      <c r="I28" s="3">
        <f>IFERROR(VLOOKUP(I$1&amp;$A28&amp;$B28,배당편집!$D$2:$N$2710,11,FALSE), 0)</f>
        <v>0</v>
      </c>
      <c r="J28" s="3">
        <f>IFERROR(VLOOKUP(J$1&amp;$A28&amp;$B28,배당편집!$D$2:$N$2710,11,FALSE), 0)</f>
        <v>0.435</v>
      </c>
      <c r="K28" s="3">
        <f>IFERROR(VLOOKUP(K$1&amp;$A28&amp;$B28,배당편집!$D$2:$N$2710,11,FALSE), 0)</f>
        <v>0</v>
      </c>
      <c r="L28" s="3">
        <f>IFERROR(VLOOKUP(L$1&amp;$A28&amp;$B28,배당편집!$D$2:$N$2710,11,FALSE), 0)</f>
        <v>0</v>
      </c>
      <c r="M28" s="3">
        <f>IFERROR(VLOOKUP(M$1&amp;$A28&amp;$B28,배당편집!$D$2:$N$2710,11,FALSE), 0)</f>
        <v>1.07</v>
      </c>
      <c r="N28" s="3">
        <f>IFERROR(VLOOKUP(N$1&amp;$A28&amp;$B28,배당편집!$D$2:$N$2710,11,FALSE), 0)</f>
        <v>0</v>
      </c>
      <c r="O28" s="3">
        <f>IFERROR(VLOOKUP(O$1&amp;$A28&amp;$B28,배당편집!$D$2:$N$2710,11,FALSE), 0)</f>
        <v>1.34</v>
      </c>
      <c r="P28" s="3">
        <f>IFERROR(VLOOKUP(P$1&amp;$A28&amp;$B28,배당편집!$D$2:$N$2710,11,FALSE), 0)</f>
        <v>0</v>
      </c>
      <c r="Q28" s="3">
        <f>IFERROR(VLOOKUP(Q$1&amp;$A28&amp;$B28,배당편집!$D$2:$N$2710,11,FALSE), 0)</f>
        <v>0</v>
      </c>
      <c r="R28" s="3">
        <f>IFERROR(VLOOKUP(R$1&amp;$A28&amp;$B28,배당편집!$D$2:$N$2710,11,FALSE), 0)</f>
        <v>0</v>
      </c>
      <c r="S28" s="3">
        <f>IFERROR(VLOOKUP(S$1&amp;$A28&amp;$B28,배당편집!$D$2:$N$2710,11,FALSE), 0)</f>
        <v>0.79</v>
      </c>
      <c r="T28" s="3">
        <f>IFERROR(VLOOKUP(T$1&amp;$A28&amp;$B28,배당편집!$D$2:$N$2710,11,FALSE), 0)</f>
        <v>0</v>
      </c>
      <c r="U28" s="3">
        <f>IFERROR(VLOOKUP(U$1&amp;$A28&amp;$B28,배당편집!$D$2:$N$2710,11,FALSE), 0)</f>
        <v>0</v>
      </c>
      <c r="V28" s="3">
        <f>IFERROR(VLOOKUP(V$1&amp;$A28&amp;$B28,배당편집!$D$2:$N$2710,11,FALSE), 0)</f>
        <v>0</v>
      </c>
      <c r="W28" s="3">
        <f>IFERROR(VLOOKUP(W$1&amp;$A28&amp;$B28,배당편집!$D$2:$N$2710,11,FALSE), 0)</f>
        <v>0</v>
      </c>
      <c r="X28" s="3">
        <f>IFERROR(VLOOKUP(X$1&amp;$A28&amp;$B28,배당편집!$D$2:$N$2710,11,FALSE), 0)</f>
        <v>0</v>
      </c>
      <c r="Y28" s="3">
        <f>IFERROR(VLOOKUP(Y$1&amp;$A28&amp;$B28,배당편집!$D$2:$N$2710,11,FALSE), 0)</f>
        <v>0</v>
      </c>
      <c r="Z28" s="3">
        <f>IFERROR(VLOOKUP(Z$1&amp;$A28&amp;$B28,배당편집!$D$2:$N$2710,11,FALSE), 0)</f>
        <v>0</v>
      </c>
      <c r="AA28" s="3">
        <f>IFERROR(VLOOKUP(AA$1&amp;$A28&amp;$B28,배당편집!$D$2:$N$2710,11,FALSE), 0)</f>
        <v>0</v>
      </c>
      <c r="AB28" s="3">
        <f>IFERROR(VLOOKUP(AB$1&amp;$A28&amp;$B28,배당편집!$D$2:$N$2710,11,FALSE), 0)</f>
        <v>0</v>
      </c>
      <c r="AC28" s="3">
        <f>IFERROR(VLOOKUP(AC$1&amp;$A28&amp;$B28,배당편집!$D$2:$N$2710,11,FALSE), 0)</f>
        <v>0</v>
      </c>
      <c r="AD28" s="3">
        <f>IFERROR(VLOOKUP(AD$1&amp;$A28&amp;$B28,배당편집!$D$2:$N$2710,11,FALSE), 0)</f>
        <v>0.91</v>
      </c>
      <c r="AE28" s="3">
        <f>IFERROR(VLOOKUP(AE$1&amp;$A28&amp;$B28,배당편집!$D$2:$N$2710,11,FALSE), 0)</f>
        <v>0</v>
      </c>
      <c r="AF28" s="3">
        <f>IFERROR(VLOOKUP(AF$1&amp;$A28&amp;$B28,배당편집!$D$2:$N$2710,11,FALSE), 0)</f>
        <v>0</v>
      </c>
    </row>
    <row r="29" spans="1:32" ht="16.5" customHeight="1">
      <c r="A29" s="3">
        <v>2020</v>
      </c>
      <c r="B29" s="3">
        <v>4</v>
      </c>
      <c r="C29" s="3">
        <f>IFERROR(VLOOKUP(C$1&amp;$A29&amp;$B29,배당편집!$D$2:$N$2710,11,FALSE), 0)</f>
        <v>0</v>
      </c>
      <c r="D29" s="3">
        <f>IFERROR(VLOOKUP(D$1&amp;$A29&amp;$B29,배당편집!$D$2:$N$2710,11,FALSE), 0)</f>
        <v>0</v>
      </c>
      <c r="E29" s="3">
        <f>IFERROR(VLOOKUP(E$1&amp;$A29&amp;$B29,배당편집!$D$2:$N$2710,11,FALSE), 0)</f>
        <v>0</v>
      </c>
      <c r="F29" s="3">
        <f>IFERROR(VLOOKUP(F$1&amp;$A29&amp;$B29,배당편집!$D$2:$N$2710,11,FALSE), 0)</f>
        <v>0</v>
      </c>
      <c r="G29" s="3">
        <f>IFERROR(VLOOKUP(G$1&amp;$A29&amp;$B29,배당편집!$D$2:$N$2710,11,FALSE), 0)</f>
        <v>0</v>
      </c>
      <c r="H29" s="3">
        <f>IFERROR(VLOOKUP(H$1&amp;$A29&amp;$B29,배당편집!$D$2:$N$2710,11,FALSE), 0)</f>
        <v>0</v>
      </c>
      <c r="I29" s="3">
        <f>IFERROR(VLOOKUP(I$1&amp;$A29&amp;$B29,배당편집!$D$2:$N$2710,11,FALSE), 0)</f>
        <v>0</v>
      </c>
      <c r="J29" s="3">
        <f>IFERROR(VLOOKUP(J$1&amp;$A29&amp;$B29,배당편집!$D$2:$N$2710,11,FALSE), 0)</f>
        <v>0</v>
      </c>
      <c r="K29" s="3">
        <f>IFERROR(VLOOKUP(K$1&amp;$A29&amp;$B29,배당편집!$D$2:$N$2710,11,FALSE), 0)</f>
        <v>1.03</v>
      </c>
      <c r="L29" s="3">
        <f>IFERROR(VLOOKUP(L$1&amp;$A29&amp;$B29,배당편집!$D$2:$N$2710,11,FALSE), 0)</f>
        <v>0</v>
      </c>
      <c r="M29" s="3">
        <f>IFERROR(VLOOKUP(M$1&amp;$A29&amp;$B29,배당편집!$D$2:$N$2710,11,FALSE), 0)</f>
        <v>0</v>
      </c>
      <c r="N29" s="3">
        <f>IFERROR(VLOOKUP(N$1&amp;$A29&amp;$B29,배당편집!$D$2:$N$2710,11,FALSE), 0)</f>
        <v>0</v>
      </c>
      <c r="O29" s="3">
        <f>IFERROR(VLOOKUP(O$1&amp;$A29&amp;$B29,배당편집!$D$2:$N$2710,11,FALSE), 0)</f>
        <v>0</v>
      </c>
      <c r="P29" s="3">
        <f>IFERROR(VLOOKUP(P$1&amp;$A29&amp;$B29,배당편집!$D$2:$N$2710,11,FALSE), 0)</f>
        <v>0.79069999999999996</v>
      </c>
      <c r="Q29" s="3">
        <f>IFERROR(VLOOKUP(Q$1&amp;$A29&amp;$B29,배당편집!$D$2:$N$2710,11,FALSE), 0)</f>
        <v>0</v>
      </c>
      <c r="R29" s="3">
        <f>IFERROR(VLOOKUP(R$1&amp;$A29&amp;$B29,배당편집!$D$2:$N$2710,11,FALSE), 0)</f>
        <v>0</v>
      </c>
      <c r="S29" s="3">
        <f>IFERROR(VLOOKUP(S$1&amp;$A29&amp;$B29,배당편집!$D$2:$N$2710,11,FALSE), 0)</f>
        <v>0</v>
      </c>
      <c r="T29" s="3">
        <f>IFERROR(VLOOKUP(T$1&amp;$A29&amp;$B29,배당편집!$D$2:$N$2710,11,FALSE), 0)</f>
        <v>1.1000000000000001</v>
      </c>
      <c r="U29" s="3">
        <f>IFERROR(VLOOKUP(U$1&amp;$A29&amp;$B29,배당편집!$D$2:$N$2710,11,FALSE), 0)</f>
        <v>0.24</v>
      </c>
      <c r="V29" s="3">
        <f>IFERROR(VLOOKUP(V$1&amp;$A29&amp;$B29,배당편집!$D$2:$N$2710,11,FALSE), 0)</f>
        <v>0.23250000000000001</v>
      </c>
      <c r="W29" s="3">
        <f>IFERROR(VLOOKUP(W$1&amp;$A29&amp;$B29,배당편집!$D$2:$N$2710,11,FALSE), 0)</f>
        <v>0.55000000000000004</v>
      </c>
      <c r="X29" s="3">
        <f>IFERROR(VLOOKUP(X$1&amp;$A29&amp;$B29,배당편집!$D$2:$N$2710,11,FALSE), 0)</f>
        <v>0</v>
      </c>
      <c r="Y29" s="3">
        <f>IFERROR(VLOOKUP(Y$1&amp;$A29&amp;$B29,배당편집!$D$2:$N$2710,11,FALSE), 0)</f>
        <v>0</v>
      </c>
      <c r="Z29" s="3">
        <f>IFERROR(VLOOKUP(Z$1&amp;$A29&amp;$B29,배당편집!$D$2:$N$2710,11,FALSE), 0)</f>
        <v>0.185</v>
      </c>
      <c r="AA29" s="3">
        <f>IFERROR(VLOOKUP(AA$1&amp;$A29&amp;$B29,배당편집!$D$2:$N$2710,11,FALSE), 0)</f>
        <v>0</v>
      </c>
      <c r="AB29" s="3">
        <f>IFERROR(VLOOKUP(AB$1&amp;$A29&amp;$B29,배당편집!$D$2:$N$2710,11,FALSE), 0)</f>
        <v>0.36</v>
      </c>
      <c r="AC29" s="3">
        <f>IFERROR(VLOOKUP(AC$1&amp;$A29&amp;$B29,배당편집!$D$2:$N$2710,11,FALSE), 0)</f>
        <v>0</v>
      </c>
      <c r="AD29" s="3">
        <f>IFERROR(VLOOKUP(AD$1&amp;$A29&amp;$B29,배당편집!$D$2:$N$2710,11,FALSE), 0)</f>
        <v>0</v>
      </c>
      <c r="AE29" s="3">
        <f>IFERROR(VLOOKUP(AE$1&amp;$A29&amp;$B29,배당편집!$D$2:$N$2710,11,FALSE), 0)</f>
        <v>0</v>
      </c>
      <c r="AF29" s="3">
        <f>IFERROR(VLOOKUP(AF$1&amp;$A29&amp;$B29,배당편집!$D$2:$N$2710,11,FALSE), 0)</f>
        <v>0</v>
      </c>
    </row>
    <row r="30" spans="1:32" ht="16.5" customHeight="1">
      <c r="A30" s="3">
        <v>2020</v>
      </c>
      <c r="B30" s="3">
        <v>5</v>
      </c>
      <c r="C30" s="3">
        <f>IFERROR(VLOOKUP(C$1&amp;$A30&amp;$B30,배당편집!$D$2:$N$2710,11,FALSE), 0)</f>
        <v>0.45750000000000002</v>
      </c>
      <c r="D30" s="3">
        <f>IFERROR(VLOOKUP(D$1&amp;$A30&amp;$B30,배당편집!$D$2:$N$2710,11,FALSE), 0)</f>
        <v>0</v>
      </c>
      <c r="E30" s="3">
        <f>IFERROR(VLOOKUP(E$1&amp;$A30&amp;$B30,배당편집!$D$2:$N$2710,11,FALSE), 0)</f>
        <v>0</v>
      </c>
      <c r="F30" s="3">
        <f>IFERROR(VLOOKUP(F$1&amp;$A30&amp;$B30,배당편집!$D$2:$N$2710,11,FALSE), 0)</f>
        <v>0</v>
      </c>
      <c r="G30" s="3">
        <f>IFERROR(VLOOKUP(G$1&amp;$A30&amp;$B30,배당편집!$D$2:$N$2710,11,FALSE), 0)</f>
        <v>0.87</v>
      </c>
      <c r="H30" s="3">
        <f>IFERROR(VLOOKUP(H$1&amp;$A30&amp;$B30,배당편집!$D$2:$N$2710,11,FALSE), 0)</f>
        <v>1.29</v>
      </c>
      <c r="I30" s="3">
        <f>IFERROR(VLOOKUP(I$1&amp;$A30&amp;$B30,배당편집!$D$2:$N$2710,11,FALSE), 0)</f>
        <v>0.53500000000000003</v>
      </c>
      <c r="J30" s="3">
        <f>IFERROR(VLOOKUP(J$1&amp;$A30&amp;$B30,배당편집!$D$2:$N$2710,11,FALSE), 0)</f>
        <v>0</v>
      </c>
      <c r="K30" s="3">
        <f>IFERROR(VLOOKUP(K$1&amp;$A30&amp;$B30,배당편집!$D$2:$N$2710,11,FALSE), 0)</f>
        <v>0</v>
      </c>
      <c r="L30" s="3">
        <f>IFERROR(VLOOKUP(L$1&amp;$A30&amp;$B30,배당편집!$D$2:$N$2710,11,FALSE), 0)</f>
        <v>0.66</v>
      </c>
      <c r="M30" s="3">
        <f>IFERROR(VLOOKUP(M$1&amp;$A30&amp;$B30,배당편집!$D$2:$N$2710,11,FALSE), 0)</f>
        <v>0</v>
      </c>
      <c r="N30" s="3">
        <f>IFERROR(VLOOKUP(N$1&amp;$A30&amp;$B30,배당편집!$D$2:$N$2710,11,FALSE), 0)</f>
        <v>0.5</v>
      </c>
      <c r="O30" s="3">
        <f>IFERROR(VLOOKUP(O$1&amp;$A30&amp;$B30,배당편집!$D$2:$N$2710,11,FALSE), 0)</f>
        <v>0</v>
      </c>
      <c r="P30" s="3">
        <f>IFERROR(VLOOKUP(P$1&amp;$A30&amp;$B30,배당편집!$D$2:$N$2710,11,FALSE), 0)</f>
        <v>0</v>
      </c>
      <c r="Q30" s="3">
        <f>IFERROR(VLOOKUP(Q$1&amp;$A30&amp;$B30,배당편집!$D$2:$N$2710,11,FALSE), 0)</f>
        <v>1.01</v>
      </c>
      <c r="R30" s="3">
        <f>IFERROR(VLOOKUP(R$1&amp;$A30&amp;$B30,배당편집!$D$2:$N$2710,11,FALSE), 0)</f>
        <v>0.57499999999999996</v>
      </c>
      <c r="S30" s="3">
        <f>IFERROR(VLOOKUP(S$1&amp;$A30&amp;$B30,배당편집!$D$2:$N$2710,11,FALSE), 0)</f>
        <v>0</v>
      </c>
      <c r="T30" s="3">
        <f>IFERROR(VLOOKUP(T$1&amp;$A30&amp;$B30,배당편집!$D$2:$N$2710,11,FALSE), 0)</f>
        <v>0</v>
      </c>
      <c r="U30" s="3">
        <f>IFERROR(VLOOKUP(U$1&amp;$A30&amp;$B30,배당편집!$D$2:$N$2710,11,FALSE), 0)</f>
        <v>0</v>
      </c>
      <c r="V30" s="3">
        <f>IFERROR(VLOOKUP(V$1&amp;$A30&amp;$B30,배당편집!$D$2:$N$2710,11,FALSE), 0)</f>
        <v>0</v>
      </c>
      <c r="W30" s="3">
        <f>IFERROR(VLOOKUP(W$1&amp;$A30&amp;$B30,배당편집!$D$2:$N$2710,11,FALSE), 0)</f>
        <v>0</v>
      </c>
      <c r="X30" s="3">
        <f>IFERROR(VLOOKUP(X$1&amp;$A30&amp;$B30,배당편집!$D$2:$N$2710,11,FALSE), 0)</f>
        <v>0.51</v>
      </c>
      <c r="Y30" s="3">
        <f>IFERROR(VLOOKUP(Y$1&amp;$A30&amp;$B30,배당편집!$D$2:$N$2710,11,FALSE), 0)</f>
        <v>0.88</v>
      </c>
      <c r="Z30" s="3">
        <f>IFERROR(VLOOKUP(Z$1&amp;$A30&amp;$B30,배당편집!$D$2:$N$2710,11,FALSE), 0)</f>
        <v>0</v>
      </c>
      <c r="AA30" s="3">
        <f>IFERROR(VLOOKUP(AA$1&amp;$A30&amp;$B30,배당편집!$D$2:$N$2710,11,FALSE), 0)</f>
        <v>0.36</v>
      </c>
      <c r="AB30" s="3">
        <f>IFERROR(VLOOKUP(AB$1&amp;$A30&amp;$B30,배당편집!$D$2:$N$2710,11,FALSE), 0)</f>
        <v>0</v>
      </c>
      <c r="AC30" s="3">
        <f>IFERROR(VLOOKUP(AC$1&amp;$A30&amp;$B30,배당편집!$D$2:$N$2710,11,FALSE), 0)</f>
        <v>0.21249999999999999</v>
      </c>
      <c r="AD30" s="3">
        <f>IFERROR(VLOOKUP(AD$1&amp;$A30&amp;$B30,배당편집!$D$2:$N$2710,11,FALSE), 0)</f>
        <v>0</v>
      </c>
      <c r="AE30" s="3">
        <f>IFERROR(VLOOKUP(AE$1&amp;$A30&amp;$B30,배당편집!$D$2:$N$2710,11,FALSE), 0)</f>
        <v>0.22</v>
      </c>
      <c r="AF30" s="3">
        <f>IFERROR(VLOOKUP(AF$1&amp;$A30&amp;$B30,배당편집!$D$2:$N$2710,11,FALSE), 0)</f>
        <v>0.49</v>
      </c>
    </row>
    <row r="31" spans="1:32" ht="16.5" customHeight="1">
      <c r="A31" s="3">
        <v>2020</v>
      </c>
      <c r="B31" s="3">
        <v>6</v>
      </c>
      <c r="C31" s="3">
        <f>IFERROR(VLOOKUP(C$1&amp;$A31&amp;$B31,배당편집!$D$2:$N$2710,11,FALSE), 0)</f>
        <v>0</v>
      </c>
      <c r="D31" s="3">
        <f>IFERROR(VLOOKUP(D$1&amp;$A31&amp;$B31,배당편집!$D$2:$N$2710,11,FALSE), 0)</f>
        <v>0.4</v>
      </c>
      <c r="E31" s="3">
        <f>IFERROR(VLOOKUP(E$1&amp;$A31&amp;$B31,배당편집!$D$2:$N$2710,11,FALSE), 0)</f>
        <v>0</v>
      </c>
      <c r="F31" s="3">
        <f>IFERROR(VLOOKUP(F$1&amp;$A31&amp;$B31,배당편집!$D$2:$N$2710,11,FALSE), 0)</f>
        <v>0.69</v>
      </c>
      <c r="G31" s="3">
        <f>IFERROR(VLOOKUP(G$1&amp;$A31&amp;$B31,배당편집!$D$2:$N$2710,11,FALSE), 0)</f>
        <v>0</v>
      </c>
      <c r="H31" s="3">
        <f>IFERROR(VLOOKUP(H$1&amp;$A31&amp;$B31,배당편집!$D$2:$N$2710,11,FALSE), 0)</f>
        <v>0</v>
      </c>
      <c r="I31" s="3">
        <f>IFERROR(VLOOKUP(I$1&amp;$A31&amp;$B31,배당편집!$D$2:$N$2710,11,FALSE), 0)</f>
        <v>0</v>
      </c>
      <c r="J31" s="3">
        <f>IFERROR(VLOOKUP(J$1&amp;$A31&amp;$B31,배당편집!$D$2:$N$2710,11,FALSE), 0)</f>
        <v>0.44500000000000001</v>
      </c>
      <c r="K31" s="3">
        <f>IFERROR(VLOOKUP(K$1&amp;$A31&amp;$B31,배당편집!$D$2:$N$2710,11,FALSE), 0)</f>
        <v>0</v>
      </c>
      <c r="L31" s="3">
        <f>IFERROR(VLOOKUP(L$1&amp;$A31&amp;$B31,배당편집!$D$2:$N$2710,11,FALSE), 0)</f>
        <v>0</v>
      </c>
      <c r="M31" s="3">
        <f>IFERROR(VLOOKUP(M$1&amp;$A31&amp;$B31,배당편집!$D$2:$N$2710,11,FALSE), 0)</f>
        <v>1.07</v>
      </c>
      <c r="N31" s="3">
        <f>IFERROR(VLOOKUP(N$1&amp;$A31&amp;$B31,배당편집!$D$2:$N$2710,11,FALSE), 0)</f>
        <v>0</v>
      </c>
      <c r="O31" s="3">
        <f>IFERROR(VLOOKUP(O$1&amp;$A31&amp;$B31,배당편집!$D$2:$N$2710,11,FALSE), 0)</f>
        <v>1.34</v>
      </c>
      <c r="P31" s="3">
        <f>IFERROR(VLOOKUP(P$1&amp;$A31&amp;$B31,배당편집!$D$2:$N$2710,11,FALSE), 0)</f>
        <v>0</v>
      </c>
      <c r="Q31" s="3">
        <f>IFERROR(VLOOKUP(Q$1&amp;$A31&amp;$B31,배당편집!$D$2:$N$2710,11,FALSE), 0)</f>
        <v>0</v>
      </c>
      <c r="R31" s="3">
        <f>IFERROR(VLOOKUP(R$1&amp;$A31&amp;$B31,배당편집!$D$2:$N$2710,11,FALSE), 0)</f>
        <v>0</v>
      </c>
      <c r="S31" s="3">
        <f>IFERROR(VLOOKUP(S$1&amp;$A31&amp;$B31,배당편집!$D$2:$N$2710,11,FALSE), 0)</f>
        <v>0.79</v>
      </c>
      <c r="T31" s="3">
        <f>IFERROR(VLOOKUP(T$1&amp;$A31&amp;$B31,배당편집!$D$2:$N$2710,11,FALSE), 0)</f>
        <v>0</v>
      </c>
      <c r="U31" s="3">
        <f>IFERROR(VLOOKUP(U$1&amp;$A31&amp;$B31,배당편집!$D$2:$N$2710,11,FALSE), 0)</f>
        <v>0</v>
      </c>
      <c r="V31" s="3">
        <f>IFERROR(VLOOKUP(V$1&amp;$A31&amp;$B31,배당편집!$D$2:$N$2710,11,FALSE), 0)</f>
        <v>0</v>
      </c>
      <c r="W31" s="3">
        <f>IFERROR(VLOOKUP(W$1&amp;$A31&amp;$B31,배당편집!$D$2:$N$2710,11,FALSE), 0)</f>
        <v>0</v>
      </c>
      <c r="X31" s="3">
        <f>IFERROR(VLOOKUP(X$1&amp;$A31&amp;$B31,배당편집!$D$2:$N$2710,11,FALSE), 0)</f>
        <v>0</v>
      </c>
      <c r="Y31" s="3">
        <f>IFERROR(VLOOKUP(Y$1&amp;$A31&amp;$B31,배당편집!$D$2:$N$2710,11,FALSE), 0)</f>
        <v>0</v>
      </c>
      <c r="Z31" s="3">
        <f>IFERROR(VLOOKUP(Z$1&amp;$A31&amp;$B31,배당편집!$D$2:$N$2710,11,FALSE), 0)</f>
        <v>0</v>
      </c>
      <c r="AA31" s="3">
        <f>IFERROR(VLOOKUP(AA$1&amp;$A31&amp;$B31,배당편집!$D$2:$N$2710,11,FALSE), 0)</f>
        <v>0</v>
      </c>
      <c r="AB31" s="3">
        <f>IFERROR(VLOOKUP(AB$1&amp;$A31&amp;$B31,배당편집!$D$2:$N$2710,11,FALSE), 0)</f>
        <v>0</v>
      </c>
      <c r="AC31" s="3">
        <f>IFERROR(VLOOKUP(AC$1&amp;$A31&amp;$B31,배당편집!$D$2:$N$2710,11,FALSE), 0)</f>
        <v>0</v>
      </c>
      <c r="AD31" s="3">
        <f>IFERROR(VLOOKUP(AD$1&amp;$A31&amp;$B31,배당편집!$D$2:$N$2710,11,FALSE), 0)</f>
        <v>0.91</v>
      </c>
      <c r="AE31" s="3">
        <f>IFERROR(VLOOKUP(AE$1&amp;$A31&amp;$B31,배당편집!$D$2:$N$2710,11,FALSE), 0)</f>
        <v>0</v>
      </c>
      <c r="AF31" s="3">
        <f>IFERROR(VLOOKUP(AF$1&amp;$A31&amp;$B31,배당편집!$D$2:$N$2710,11,FALSE), 0)</f>
        <v>0</v>
      </c>
    </row>
    <row r="32" spans="1:32" ht="16.5" customHeight="1">
      <c r="A32" s="3">
        <v>2020</v>
      </c>
      <c r="B32" s="3">
        <v>7</v>
      </c>
      <c r="C32" s="3">
        <f>IFERROR(VLOOKUP(C$1&amp;$A32&amp;$B32,배당편집!$D$2:$N$2710,11,FALSE), 0)</f>
        <v>0</v>
      </c>
      <c r="D32" s="3">
        <f>IFERROR(VLOOKUP(D$1&amp;$A32&amp;$B32,배당편집!$D$2:$N$2710,11,FALSE), 0)</f>
        <v>0</v>
      </c>
      <c r="E32" s="3">
        <f>IFERROR(VLOOKUP(E$1&amp;$A32&amp;$B32,배당편집!$D$2:$N$2710,11,FALSE), 0)</f>
        <v>0.27</v>
      </c>
      <c r="F32" s="3">
        <f>IFERROR(VLOOKUP(F$1&amp;$A32&amp;$B32,배당편집!$D$2:$N$2710,11,FALSE), 0)</f>
        <v>0</v>
      </c>
      <c r="G32" s="3">
        <f>IFERROR(VLOOKUP(G$1&amp;$A32&amp;$B32,배당편집!$D$2:$N$2710,11,FALSE), 0)</f>
        <v>0</v>
      </c>
      <c r="H32" s="3">
        <f>IFERROR(VLOOKUP(H$1&amp;$A32&amp;$B32,배당편집!$D$2:$N$2710,11,FALSE), 0)</f>
        <v>0</v>
      </c>
      <c r="I32" s="3">
        <f>IFERROR(VLOOKUP(I$1&amp;$A32&amp;$B32,배당편집!$D$2:$N$2710,11,FALSE), 0)</f>
        <v>0</v>
      </c>
      <c r="J32" s="3">
        <f>IFERROR(VLOOKUP(J$1&amp;$A32&amp;$B32,배당편집!$D$2:$N$2710,11,FALSE), 0)</f>
        <v>0</v>
      </c>
      <c r="K32" s="3">
        <f>IFERROR(VLOOKUP(K$1&amp;$A32&amp;$B32,배당편집!$D$2:$N$2710,11,FALSE), 0)</f>
        <v>1.03</v>
      </c>
      <c r="L32" s="3">
        <f>IFERROR(VLOOKUP(L$1&amp;$A32&amp;$B32,배당편집!$D$2:$N$2710,11,FALSE), 0)</f>
        <v>0</v>
      </c>
      <c r="M32" s="3">
        <f>IFERROR(VLOOKUP(M$1&amp;$A32&amp;$B32,배당편집!$D$2:$N$2710,11,FALSE), 0)</f>
        <v>0</v>
      </c>
      <c r="N32" s="3">
        <f>IFERROR(VLOOKUP(N$1&amp;$A32&amp;$B32,배당편집!$D$2:$N$2710,11,FALSE), 0)</f>
        <v>0</v>
      </c>
      <c r="O32" s="3">
        <f>IFERROR(VLOOKUP(O$1&amp;$A32&amp;$B32,배당편집!$D$2:$N$2710,11,FALSE), 0)</f>
        <v>0</v>
      </c>
      <c r="P32" s="3">
        <f>IFERROR(VLOOKUP(P$1&amp;$A32&amp;$B32,배당편집!$D$2:$N$2710,11,FALSE), 0)</f>
        <v>0.79069999999999996</v>
      </c>
      <c r="Q32" s="3">
        <f>IFERROR(VLOOKUP(Q$1&amp;$A32&amp;$B32,배당편집!$D$2:$N$2710,11,FALSE), 0)</f>
        <v>0</v>
      </c>
      <c r="R32" s="3">
        <f>IFERROR(VLOOKUP(R$1&amp;$A32&amp;$B32,배당편집!$D$2:$N$2710,11,FALSE), 0)</f>
        <v>0</v>
      </c>
      <c r="S32" s="3">
        <f>IFERROR(VLOOKUP(S$1&amp;$A32&amp;$B32,배당편집!$D$2:$N$2710,11,FALSE), 0)</f>
        <v>0</v>
      </c>
      <c r="T32" s="3">
        <f>IFERROR(VLOOKUP(T$1&amp;$A32&amp;$B32,배당편집!$D$2:$N$2710,11,FALSE), 0)</f>
        <v>1.1000000000000001</v>
      </c>
      <c r="U32" s="3">
        <f>IFERROR(VLOOKUP(U$1&amp;$A32&amp;$B32,배당편집!$D$2:$N$2710,11,FALSE), 0)</f>
        <v>0.24</v>
      </c>
      <c r="V32" s="3">
        <f>IFERROR(VLOOKUP(V$1&amp;$A32&amp;$B32,배당편집!$D$2:$N$2710,11,FALSE), 0)</f>
        <v>0.23250000000000001</v>
      </c>
      <c r="W32" s="3">
        <f>IFERROR(VLOOKUP(W$1&amp;$A32&amp;$B32,배당편집!$D$2:$N$2710,11,FALSE), 0)</f>
        <v>0.55000000000000004</v>
      </c>
      <c r="X32" s="3">
        <f>IFERROR(VLOOKUP(X$1&amp;$A32&amp;$B32,배당편집!$D$2:$N$2710,11,FALSE), 0)</f>
        <v>0</v>
      </c>
      <c r="Y32" s="3">
        <f>IFERROR(VLOOKUP(Y$1&amp;$A32&amp;$B32,배당편집!$D$2:$N$2710,11,FALSE), 0)</f>
        <v>0</v>
      </c>
      <c r="Z32" s="3">
        <f>IFERROR(VLOOKUP(Z$1&amp;$A32&amp;$B32,배당편집!$D$2:$N$2710,11,FALSE), 0)</f>
        <v>0.185</v>
      </c>
      <c r="AA32" s="3">
        <f>IFERROR(VLOOKUP(AA$1&amp;$A32&amp;$B32,배당편집!$D$2:$N$2710,11,FALSE), 0)</f>
        <v>0</v>
      </c>
      <c r="AB32" s="3">
        <f>IFERROR(VLOOKUP(AB$1&amp;$A32&amp;$B32,배당편집!$D$2:$N$2710,11,FALSE), 0)</f>
        <v>0.36</v>
      </c>
      <c r="AC32" s="3">
        <f>IFERROR(VLOOKUP(AC$1&amp;$A32&amp;$B32,배당편집!$D$2:$N$2710,11,FALSE), 0)</f>
        <v>0</v>
      </c>
      <c r="AD32" s="3">
        <f>IFERROR(VLOOKUP(AD$1&amp;$A32&amp;$B32,배당편집!$D$2:$N$2710,11,FALSE), 0)</f>
        <v>0</v>
      </c>
      <c r="AE32" s="3">
        <f>IFERROR(VLOOKUP(AE$1&amp;$A32&amp;$B32,배당편집!$D$2:$N$2710,11,FALSE), 0)</f>
        <v>0</v>
      </c>
      <c r="AF32" s="3">
        <f>IFERROR(VLOOKUP(AF$1&amp;$A32&amp;$B32,배당편집!$D$2:$N$2710,11,FALSE), 0)</f>
        <v>0</v>
      </c>
    </row>
    <row r="33" spans="1:32" ht="16.5" customHeight="1">
      <c r="A33" s="3">
        <v>2020</v>
      </c>
      <c r="B33" s="3">
        <v>8</v>
      </c>
      <c r="C33" s="3">
        <f>IFERROR(VLOOKUP(C$1&amp;$A33&amp;$B33,배당편집!$D$2:$N$2710,11,FALSE), 0)</f>
        <v>0.46750000000000003</v>
      </c>
      <c r="D33" s="3">
        <f>IFERROR(VLOOKUP(D$1&amp;$A33&amp;$B33,배당편집!$D$2:$N$2710,11,FALSE), 0)</f>
        <v>0</v>
      </c>
      <c r="E33" s="3">
        <f>IFERROR(VLOOKUP(E$1&amp;$A33&amp;$B33,배당편집!$D$2:$N$2710,11,FALSE), 0)</f>
        <v>0</v>
      </c>
      <c r="F33" s="3">
        <f>IFERROR(VLOOKUP(F$1&amp;$A33&amp;$B33,배당편집!$D$2:$N$2710,11,FALSE), 0)</f>
        <v>0.7</v>
      </c>
      <c r="G33" s="3">
        <f>IFERROR(VLOOKUP(G$1&amp;$A33&amp;$B33,배당편집!$D$2:$N$2710,11,FALSE), 0)</f>
        <v>0.87</v>
      </c>
      <c r="H33" s="3">
        <f>IFERROR(VLOOKUP(H$1&amp;$A33&amp;$B33,배당편집!$D$2:$N$2710,11,FALSE), 0)</f>
        <v>1.29</v>
      </c>
      <c r="I33" s="3">
        <f>IFERROR(VLOOKUP(I$1&amp;$A33&amp;$B33,배당편집!$D$2:$N$2710,11,FALSE), 0)</f>
        <v>0.53500000000000003</v>
      </c>
      <c r="J33" s="3">
        <f>IFERROR(VLOOKUP(J$1&amp;$A33&amp;$B33,배당편집!$D$2:$N$2710,11,FALSE), 0)</f>
        <v>0</v>
      </c>
      <c r="K33" s="3">
        <f>IFERROR(VLOOKUP(K$1&amp;$A33&amp;$B33,배당편집!$D$2:$N$2710,11,FALSE), 0)</f>
        <v>0</v>
      </c>
      <c r="L33" s="3">
        <f>IFERROR(VLOOKUP(L$1&amp;$A33&amp;$B33,배당편집!$D$2:$N$2710,11,FALSE), 0)</f>
        <v>0.68</v>
      </c>
      <c r="M33" s="3">
        <f>IFERROR(VLOOKUP(M$1&amp;$A33&amp;$B33,배당편집!$D$2:$N$2710,11,FALSE), 0)</f>
        <v>0</v>
      </c>
      <c r="N33" s="3">
        <f>IFERROR(VLOOKUP(N$1&amp;$A33&amp;$B33,배당편집!$D$2:$N$2710,11,FALSE), 0)</f>
        <v>0.5</v>
      </c>
      <c r="O33" s="3">
        <f>IFERROR(VLOOKUP(O$1&amp;$A33&amp;$B33,배당편집!$D$2:$N$2710,11,FALSE), 0)</f>
        <v>0</v>
      </c>
      <c r="P33" s="3">
        <f>IFERROR(VLOOKUP(P$1&amp;$A33&amp;$B33,배당편집!$D$2:$N$2710,11,FALSE), 0)</f>
        <v>0</v>
      </c>
      <c r="Q33" s="3">
        <f>IFERROR(VLOOKUP(Q$1&amp;$A33&amp;$B33,배당편집!$D$2:$N$2710,11,FALSE), 0)</f>
        <v>1.01</v>
      </c>
      <c r="R33" s="3">
        <f>IFERROR(VLOOKUP(R$1&amp;$A33&amp;$B33,배당편집!$D$2:$N$2710,11,FALSE), 0)</f>
        <v>0.57499999999999996</v>
      </c>
      <c r="S33" s="3">
        <f>IFERROR(VLOOKUP(S$1&amp;$A33&amp;$B33,배당편집!$D$2:$N$2710,11,FALSE), 0)</f>
        <v>0</v>
      </c>
      <c r="T33" s="3">
        <f>IFERROR(VLOOKUP(T$1&amp;$A33&amp;$B33,배당편집!$D$2:$N$2710,11,FALSE), 0)</f>
        <v>0</v>
      </c>
      <c r="U33" s="3">
        <f>IFERROR(VLOOKUP(U$1&amp;$A33&amp;$B33,배당편집!$D$2:$N$2710,11,FALSE), 0)</f>
        <v>0</v>
      </c>
      <c r="V33" s="3">
        <f>IFERROR(VLOOKUP(V$1&amp;$A33&amp;$B33,배당편집!$D$2:$N$2710,11,FALSE), 0)</f>
        <v>0</v>
      </c>
      <c r="W33" s="3">
        <f>IFERROR(VLOOKUP(W$1&amp;$A33&amp;$B33,배당편집!$D$2:$N$2710,11,FALSE), 0)</f>
        <v>0</v>
      </c>
      <c r="X33" s="3">
        <f>IFERROR(VLOOKUP(X$1&amp;$A33&amp;$B33,배당편집!$D$2:$N$2710,11,FALSE), 0)</f>
        <v>0.54</v>
      </c>
      <c r="Y33" s="3">
        <f>IFERROR(VLOOKUP(Y$1&amp;$A33&amp;$B33,배당편집!$D$2:$N$2710,11,FALSE), 0)</f>
        <v>0.88</v>
      </c>
      <c r="Z33" s="3">
        <f>IFERROR(VLOOKUP(Z$1&amp;$A33&amp;$B33,배당편집!$D$2:$N$2710,11,FALSE), 0)</f>
        <v>0</v>
      </c>
      <c r="AA33" s="3">
        <f>IFERROR(VLOOKUP(AA$1&amp;$A33&amp;$B33,배당편집!$D$2:$N$2710,11,FALSE), 0)</f>
        <v>0.36</v>
      </c>
      <c r="AB33" s="3">
        <f>IFERROR(VLOOKUP(AB$1&amp;$A33&amp;$B33,배당편집!$D$2:$N$2710,11,FALSE), 0)</f>
        <v>0</v>
      </c>
      <c r="AC33" s="3">
        <f>IFERROR(VLOOKUP(AC$1&amp;$A33&amp;$B33,배당편집!$D$2:$N$2710,11,FALSE), 0)</f>
        <v>0.21249999999999999</v>
      </c>
      <c r="AD33" s="3">
        <f>IFERROR(VLOOKUP(AD$1&amp;$A33&amp;$B33,배당편집!$D$2:$N$2710,11,FALSE), 0)</f>
        <v>0</v>
      </c>
      <c r="AE33" s="3">
        <f>IFERROR(VLOOKUP(AE$1&amp;$A33&amp;$B33,배당편집!$D$2:$N$2710,11,FALSE), 0)</f>
        <v>0.22</v>
      </c>
      <c r="AF33" s="3">
        <f>IFERROR(VLOOKUP(AF$1&amp;$A33&amp;$B33,배당편집!$D$2:$N$2710,11,FALSE), 0)</f>
        <v>0.495</v>
      </c>
    </row>
    <row r="34" spans="1:32" ht="16.5" customHeight="1">
      <c r="A34" s="3">
        <v>2020</v>
      </c>
      <c r="B34" s="3">
        <v>9</v>
      </c>
      <c r="C34" s="3">
        <f>IFERROR(VLOOKUP(C$1&amp;$A34&amp;$B34,배당편집!$D$2:$N$2710,11,FALSE), 0)</f>
        <v>0</v>
      </c>
      <c r="D34" s="3">
        <f>IFERROR(VLOOKUP(D$1&amp;$A34&amp;$B34,배당편집!$D$2:$N$2710,11,FALSE), 0)</f>
        <v>0.4</v>
      </c>
      <c r="E34" s="3">
        <f>IFERROR(VLOOKUP(E$1&amp;$A34&amp;$B34,배당편집!$D$2:$N$2710,11,FALSE), 0)</f>
        <v>0.27</v>
      </c>
      <c r="F34" s="3">
        <f>IFERROR(VLOOKUP(F$1&amp;$A34&amp;$B34,배당편집!$D$2:$N$2710,11,FALSE), 0)</f>
        <v>0</v>
      </c>
      <c r="G34" s="3">
        <f>IFERROR(VLOOKUP(G$1&amp;$A34&amp;$B34,배당편집!$D$2:$N$2710,11,FALSE), 0)</f>
        <v>0</v>
      </c>
      <c r="H34" s="3">
        <f>IFERROR(VLOOKUP(H$1&amp;$A34&amp;$B34,배당편집!$D$2:$N$2710,11,FALSE), 0)</f>
        <v>0</v>
      </c>
      <c r="I34" s="3">
        <f>IFERROR(VLOOKUP(I$1&amp;$A34&amp;$B34,배당편집!$D$2:$N$2710,11,FALSE), 0)</f>
        <v>0</v>
      </c>
      <c r="J34" s="3">
        <f>IFERROR(VLOOKUP(J$1&amp;$A34&amp;$B34,배당편집!$D$2:$N$2710,11,FALSE), 0)</f>
        <v>0.44500000000000001</v>
      </c>
      <c r="K34" s="3">
        <f>IFERROR(VLOOKUP(K$1&amp;$A34&amp;$B34,배당편집!$D$2:$N$2710,11,FALSE), 0)</f>
        <v>0</v>
      </c>
      <c r="L34" s="3">
        <f>IFERROR(VLOOKUP(L$1&amp;$A34&amp;$B34,배당편집!$D$2:$N$2710,11,FALSE), 0)</f>
        <v>0</v>
      </c>
      <c r="M34" s="3">
        <f>IFERROR(VLOOKUP(M$1&amp;$A34&amp;$B34,배당편집!$D$2:$N$2710,11,FALSE), 0)</f>
        <v>1.1399999999999999</v>
      </c>
      <c r="N34" s="3">
        <f>IFERROR(VLOOKUP(N$1&amp;$A34&amp;$B34,배당편집!$D$2:$N$2710,11,FALSE), 0)</f>
        <v>0</v>
      </c>
      <c r="O34" s="3">
        <f>IFERROR(VLOOKUP(O$1&amp;$A34&amp;$B34,배당편집!$D$2:$N$2710,11,FALSE), 0)</f>
        <v>1.34</v>
      </c>
      <c r="P34" s="3">
        <f>IFERROR(VLOOKUP(P$1&amp;$A34&amp;$B34,배당편집!$D$2:$N$2710,11,FALSE), 0)</f>
        <v>0</v>
      </c>
      <c r="Q34" s="3">
        <f>IFERROR(VLOOKUP(Q$1&amp;$A34&amp;$B34,배당편집!$D$2:$N$2710,11,FALSE), 0)</f>
        <v>0</v>
      </c>
      <c r="R34" s="3">
        <f>IFERROR(VLOOKUP(R$1&amp;$A34&amp;$B34,배당편집!$D$2:$N$2710,11,FALSE), 0)</f>
        <v>0</v>
      </c>
      <c r="S34" s="3">
        <f>IFERROR(VLOOKUP(S$1&amp;$A34&amp;$B34,배당편집!$D$2:$N$2710,11,FALSE), 0)</f>
        <v>0.79</v>
      </c>
      <c r="T34" s="3">
        <f>IFERROR(VLOOKUP(T$1&amp;$A34&amp;$B34,배당편집!$D$2:$N$2710,11,FALSE), 0)</f>
        <v>0</v>
      </c>
      <c r="U34" s="3">
        <f>IFERROR(VLOOKUP(U$1&amp;$A34&amp;$B34,배당편집!$D$2:$N$2710,11,FALSE), 0)</f>
        <v>0</v>
      </c>
      <c r="V34" s="3">
        <f>IFERROR(VLOOKUP(V$1&amp;$A34&amp;$B34,배당편집!$D$2:$N$2710,11,FALSE), 0)</f>
        <v>0</v>
      </c>
      <c r="W34" s="3">
        <f>IFERROR(VLOOKUP(W$1&amp;$A34&amp;$B34,배당편집!$D$2:$N$2710,11,FALSE), 0)</f>
        <v>0</v>
      </c>
      <c r="X34" s="3">
        <f>IFERROR(VLOOKUP(X$1&amp;$A34&amp;$B34,배당편집!$D$2:$N$2710,11,FALSE), 0)</f>
        <v>0</v>
      </c>
      <c r="Y34" s="3">
        <f>IFERROR(VLOOKUP(Y$1&amp;$A34&amp;$B34,배당편집!$D$2:$N$2710,11,FALSE), 0)</f>
        <v>0</v>
      </c>
      <c r="Z34" s="3">
        <f>IFERROR(VLOOKUP(Z$1&amp;$A34&amp;$B34,배당편집!$D$2:$N$2710,11,FALSE), 0)</f>
        <v>0.185</v>
      </c>
      <c r="AA34" s="3">
        <f>IFERROR(VLOOKUP(AA$1&amp;$A34&amp;$B34,배당편집!$D$2:$N$2710,11,FALSE), 0)</f>
        <v>0</v>
      </c>
      <c r="AB34" s="3">
        <f>IFERROR(VLOOKUP(AB$1&amp;$A34&amp;$B34,배당편집!$D$2:$N$2710,11,FALSE), 0)</f>
        <v>0</v>
      </c>
      <c r="AC34" s="3">
        <f>IFERROR(VLOOKUP(AC$1&amp;$A34&amp;$B34,배당편집!$D$2:$N$2710,11,FALSE), 0)</f>
        <v>0</v>
      </c>
      <c r="AD34" s="3">
        <f>IFERROR(VLOOKUP(AD$1&amp;$A34&amp;$B34,배당편집!$D$2:$N$2710,11,FALSE), 0)</f>
        <v>0.91</v>
      </c>
      <c r="AE34" s="3">
        <f>IFERROR(VLOOKUP(AE$1&amp;$A34&amp;$B34,배당편집!$D$2:$N$2710,11,FALSE), 0)</f>
        <v>0</v>
      </c>
      <c r="AF34" s="3">
        <f>IFERROR(VLOOKUP(AF$1&amp;$A34&amp;$B34,배당편집!$D$2:$N$2710,11,FALSE), 0)</f>
        <v>0</v>
      </c>
    </row>
    <row r="35" spans="1:32" ht="16.5" customHeight="1">
      <c r="A35" s="3">
        <v>2020</v>
      </c>
      <c r="B35" s="3">
        <v>10</v>
      </c>
      <c r="C35" s="3">
        <f>IFERROR(VLOOKUP(C$1&amp;$A35&amp;$B35,배당편집!$D$2:$N$2710,11,FALSE), 0)</f>
        <v>0</v>
      </c>
      <c r="D35" s="3">
        <f>IFERROR(VLOOKUP(D$1&amp;$A35&amp;$B35,배당편집!$D$2:$N$2710,11,FALSE), 0)</f>
        <v>0</v>
      </c>
      <c r="E35" s="3">
        <f>IFERROR(VLOOKUP(E$1&amp;$A35&amp;$B35,배당편집!$D$2:$N$2710,11,FALSE), 0)</f>
        <v>0</v>
      </c>
      <c r="F35" s="3">
        <f>IFERROR(VLOOKUP(F$1&amp;$A35&amp;$B35,배당편집!$D$2:$N$2710,11,FALSE), 0)</f>
        <v>0</v>
      </c>
      <c r="G35" s="3">
        <f>IFERROR(VLOOKUP(G$1&amp;$A35&amp;$B35,배당편집!$D$2:$N$2710,11,FALSE), 0)</f>
        <v>0</v>
      </c>
      <c r="H35" s="3">
        <f>IFERROR(VLOOKUP(H$1&amp;$A35&amp;$B35,배당편집!$D$2:$N$2710,11,FALSE), 0)</f>
        <v>0</v>
      </c>
      <c r="I35" s="3">
        <f>IFERROR(VLOOKUP(I$1&amp;$A35&amp;$B35,배당편집!$D$2:$N$2710,11,FALSE), 0)</f>
        <v>0</v>
      </c>
      <c r="J35" s="3">
        <f>IFERROR(VLOOKUP(J$1&amp;$A35&amp;$B35,배당편집!$D$2:$N$2710,11,FALSE), 0)</f>
        <v>0</v>
      </c>
      <c r="K35" s="3">
        <f>IFERROR(VLOOKUP(K$1&amp;$A35&amp;$B35,배당편집!$D$2:$N$2710,11,FALSE), 0)</f>
        <v>1.03</v>
      </c>
      <c r="L35" s="3">
        <f>IFERROR(VLOOKUP(L$1&amp;$A35&amp;$B35,배당편집!$D$2:$N$2710,11,FALSE), 0)</f>
        <v>0</v>
      </c>
      <c r="M35" s="3">
        <f>IFERROR(VLOOKUP(M$1&amp;$A35&amp;$B35,배당편집!$D$2:$N$2710,11,FALSE), 0)</f>
        <v>0</v>
      </c>
      <c r="N35" s="3">
        <f>IFERROR(VLOOKUP(N$1&amp;$A35&amp;$B35,배당편집!$D$2:$N$2710,11,FALSE), 0)</f>
        <v>0</v>
      </c>
      <c r="O35" s="3">
        <f>IFERROR(VLOOKUP(O$1&amp;$A35&amp;$B35,배당편집!$D$2:$N$2710,11,FALSE), 0)</f>
        <v>0</v>
      </c>
      <c r="P35" s="3">
        <f>IFERROR(VLOOKUP(P$1&amp;$A35&amp;$B35,배당편집!$D$2:$N$2710,11,FALSE), 0)</f>
        <v>0.79069999999999996</v>
      </c>
      <c r="Q35" s="3">
        <f>IFERROR(VLOOKUP(Q$1&amp;$A35&amp;$B35,배당편집!$D$2:$N$2710,11,FALSE), 0)</f>
        <v>0</v>
      </c>
      <c r="R35" s="3">
        <f>IFERROR(VLOOKUP(R$1&amp;$A35&amp;$B35,배당편집!$D$2:$N$2710,11,FALSE), 0)</f>
        <v>0</v>
      </c>
      <c r="S35" s="3">
        <f>IFERROR(VLOOKUP(S$1&amp;$A35&amp;$B35,배당편집!$D$2:$N$2710,11,FALSE), 0)</f>
        <v>0</v>
      </c>
      <c r="T35" s="3">
        <f>IFERROR(VLOOKUP(T$1&amp;$A35&amp;$B35,배당편집!$D$2:$N$2710,11,FALSE), 0)</f>
        <v>1.1000000000000001</v>
      </c>
      <c r="U35" s="3">
        <f>IFERROR(VLOOKUP(U$1&amp;$A35&amp;$B35,배당편집!$D$2:$N$2710,11,FALSE), 0)</f>
        <v>0.26</v>
      </c>
      <c r="V35" s="3">
        <f>IFERROR(VLOOKUP(V$1&amp;$A35&amp;$B35,배당편집!$D$2:$N$2710,11,FALSE), 0)</f>
        <v>0.23250000000000001</v>
      </c>
      <c r="W35" s="3">
        <f>IFERROR(VLOOKUP(W$1&amp;$A35&amp;$B35,배당편집!$D$2:$N$2710,11,FALSE), 0)</f>
        <v>0.6</v>
      </c>
      <c r="X35" s="3">
        <f>IFERROR(VLOOKUP(X$1&amp;$A35&amp;$B35,배당편집!$D$2:$N$2710,11,FALSE), 0)</f>
        <v>0</v>
      </c>
      <c r="Y35" s="3">
        <f>IFERROR(VLOOKUP(Y$1&amp;$A35&amp;$B35,배당편집!$D$2:$N$2710,11,FALSE), 0)</f>
        <v>0</v>
      </c>
      <c r="Z35" s="3">
        <f>IFERROR(VLOOKUP(Z$1&amp;$A35&amp;$B35,배당편집!$D$2:$N$2710,11,FALSE), 0)</f>
        <v>0</v>
      </c>
      <c r="AA35" s="3">
        <f>IFERROR(VLOOKUP(AA$1&amp;$A35&amp;$B35,배당편집!$D$2:$N$2710,11,FALSE), 0)</f>
        <v>0</v>
      </c>
      <c r="AB35" s="3">
        <f>IFERROR(VLOOKUP(AB$1&amp;$A35&amp;$B35,배당편집!$D$2:$N$2710,11,FALSE), 0)</f>
        <v>0.36</v>
      </c>
      <c r="AC35" s="3">
        <f>IFERROR(VLOOKUP(AC$1&amp;$A35&amp;$B35,배당편집!$D$2:$N$2710,11,FALSE), 0)</f>
        <v>0</v>
      </c>
      <c r="AD35" s="3">
        <f>IFERROR(VLOOKUP(AD$1&amp;$A35&amp;$B35,배당편집!$D$2:$N$2710,11,FALSE), 0)</f>
        <v>0</v>
      </c>
      <c r="AE35" s="3">
        <f>IFERROR(VLOOKUP(AE$1&amp;$A35&amp;$B35,배당편집!$D$2:$N$2710,11,FALSE), 0)</f>
        <v>0</v>
      </c>
      <c r="AF35" s="3">
        <f>IFERROR(VLOOKUP(AF$1&amp;$A35&amp;$B35,배당편집!$D$2:$N$2710,11,FALSE), 0)</f>
        <v>0</v>
      </c>
    </row>
    <row r="36" spans="1:32" ht="16.5" customHeight="1">
      <c r="A36" s="3">
        <v>2020</v>
      </c>
      <c r="B36" s="3">
        <v>11</v>
      </c>
      <c r="C36" s="3">
        <f>IFERROR(VLOOKUP(C$1&amp;$A36&amp;$B36,배당편집!$D$2:$N$2710,11,FALSE), 0)</f>
        <v>0.46750000000000003</v>
      </c>
      <c r="D36" s="3">
        <f>IFERROR(VLOOKUP(D$1&amp;$A36&amp;$B36,배당편집!$D$2:$N$2710,11,FALSE), 0)</f>
        <v>0</v>
      </c>
      <c r="E36" s="3">
        <f>IFERROR(VLOOKUP(E$1&amp;$A36&amp;$B36,배당편집!$D$2:$N$2710,11,FALSE), 0)</f>
        <v>0</v>
      </c>
      <c r="F36" s="3">
        <f>IFERROR(VLOOKUP(F$1&amp;$A36&amp;$B36,배당편집!$D$2:$N$2710,11,FALSE), 0)</f>
        <v>0.7</v>
      </c>
      <c r="G36" s="3">
        <f>IFERROR(VLOOKUP(G$1&amp;$A36&amp;$B36,배당편집!$D$2:$N$2710,11,FALSE), 0)</f>
        <v>0.87</v>
      </c>
      <c r="H36" s="3">
        <f>IFERROR(VLOOKUP(H$1&amp;$A36&amp;$B36,배당편집!$D$2:$N$2710,11,FALSE), 0)</f>
        <v>1.29</v>
      </c>
      <c r="I36" s="3">
        <f>IFERROR(VLOOKUP(I$1&amp;$A36&amp;$B36,배당편집!$D$2:$N$2710,11,FALSE), 0)</f>
        <v>0.56499999999999995</v>
      </c>
      <c r="J36" s="3">
        <f>IFERROR(VLOOKUP(J$1&amp;$A36&amp;$B36,배당편집!$D$2:$N$2710,11,FALSE), 0)</f>
        <v>0</v>
      </c>
      <c r="K36" s="3">
        <f>IFERROR(VLOOKUP(K$1&amp;$A36&amp;$B36,배당편집!$D$2:$N$2710,11,FALSE), 0)</f>
        <v>0</v>
      </c>
      <c r="L36" s="3">
        <f>IFERROR(VLOOKUP(L$1&amp;$A36&amp;$B36,배당편집!$D$2:$N$2710,11,FALSE), 0)</f>
        <v>0.68</v>
      </c>
      <c r="M36" s="3">
        <f>IFERROR(VLOOKUP(M$1&amp;$A36&amp;$B36,배당편집!$D$2:$N$2710,11,FALSE), 0)</f>
        <v>0</v>
      </c>
      <c r="N36" s="3">
        <f>IFERROR(VLOOKUP(N$1&amp;$A36&amp;$B36,배당편집!$D$2:$N$2710,11,FALSE), 0)</f>
        <v>0.505</v>
      </c>
      <c r="O36" s="3">
        <f>IFERROR(VLOOKUP(O$1&amp;$A36&amp;$B36,배당편집!$D$2:$N$2710,11,FALSE), 0)</f>
        <v>0</v>
      </c>
      <c r="P36" s="3">
        <f>IFERROR(VLOOKUP(P$1&amp;$A36&amp;$B36,배당편집!$D$2:$N$2710,11,FALSE), 0)</f>
        <v>0</v>
      </c>
      <c r="Q36" s="3">
        <f>IFERROR(VLOOKUP(Q$1&amp;$A36&amp;$B36,배당편집!$D$2:$N$2710,11,FALSE), 0)</f>
        <v>1.01</v>
      </c>
      <c r="R36" s="3">
        <f>IFERROR(VLOOKUP(R$1&amp;$A36&amp;$B36,배당편집!$D$2:$N$2710,11,FALSE), 0)</f>
        <v>0.625</v>
      </c>
      <c r="S36" s="3">
        <f>IFERROR(VLOOKUP(S$1&amp;$A36&amp;$B36,배당편집!$D$2:$N$2710,11,FALSE), 0)</f>
        <v>0</v>
      </c>
      <c r="T36" s="3">
        <f>IFERROR(VLOOKUP(T$1&amp;$A36&amp;$B36,배당편집!$D$2:$N$2710,11,FALSE), 0)</f>
        <v>0</v>
      </c>
      <c r="U36" s="3">
        <f>IFERROR(VLOOKUP(U$1&amp;$A36&amp;$B36,배당편집!$D$2:$N$2710,11,FALSE), 0)</f>
        <v>0</v>
      </c>
      <c r="V36" s="3">
        <f>IFERROR(VLOOKUP(V$1&amp;$A36&amp;$B36,배당편집!$D$2:$N$2710,11,FALSE), 0)</f>
        <v>0</v>
      </c>
      <c r="W36" s="3">
        <f>IFERROR(VLOOKUP(W$1&amp;$A36&amp;$B36,배당편집!$D$2:$N$2710,11,FALSE), 0)</f>
        <v>0</v>
      </c>
      <c r="X36" s="3">
        <f>IFERROR(VLOOKUP(X$1&amp;$A36&amp;$B36,배당편집!$D$2:$N$2710,11,FALSE), 0)</f>
        <v>0.54</v>
      </c>
      <c r="Y36" s="3">
        <f>IFERROR(VLOOKUP(Y$1&amp;$A36&amp;$B36,배당편집!$D$2:$N$2710,11,FALSE), 0)</f>
        <v>0.88</v>
      </c>
      <c r="Z36" s="3">
        <f>IFERROR(VLOOKUP(Z$1&amp;$A36&amp;$B36,배당편집!$D$2:$N$2710,11,FALSE), 0)</f>
        <v>0</v>
      </c>
      <c r="AA36" s="3">
        <f>IFERROR(VLOOKUP(AA$1&amp;$A36&amp;$B36,배당편집!$D$2:$N$2710,11,FALSE), 0)</f>
        <v>0.36</v>
      </c>
      <c r="AB36" s="3">
        <f>IFERROR(VLOOKUP(AB$1&amp;$A36&amp;$B36,배당편집!$D$2:$N$2710,11,FALSE), 0)</f>
        <v>0</v>
      </c>
      <c r="AC36" s="3">
        <f>IFERROR(VLOOKUP(AC$1&amp;$A36&amp;$B36,배당편집!$D$2:$N$2710,11,FALSE), 0)</f>
        <v>0.21249999999999999</v>
      </c>
      <c r="AD36" s="3">
        <f>IFERROR(VLOOKUP(AD$1&amp;$A36&amp;$B36,배당편집!$D$2:$N$2710,11,FALSE), 0)</f>
        <v>0</v>
      </c>
      <c r="AE36" s="3">
        <f>IFERROR(VLOOKUP(AE$1&amp;$A36&amp;$B36,배당편집!$D$2:$N$2710,11,FALSE), 0)</f>
        <v>0.23</v>
      </c>
      <c r="AF36" s="3">
        <f>IFERROR(VLOOKUP(AF$1&amp;$A36&amp;$B36,배당편집!$D$2:$N$2710,11,FALSE), 0)</f>
        <v>0.495</v>
      </c>
    </row>
    <row r="37" spans="1:32" ht="16.5" customHeight="1">
      <c r="A37" s="3">
        <v>2020</v>
      </c>
      <c r="B37" s="3">
        <v>12</v>
      </c>
      <c r="C37" s="3">
        <f>IFERROR(VLOOKUP(C$1&amp;$A37&amp;$B37,배당편집!$D$2:$N$2710,11,FALSE), 0)</f>
        <v>0</v>
      </c>
      <c r="D37" s="3">
        <f>IFERROR(VLOOKUP(D$1&amp;$A37&amp;$B37,배당편집!$D$2:$N$2710,11,FALSE), 0)</f>
        <v>0.4</v>
      </c>
      <c r="E37" s="3">
        <f>IFERROR(VLOOKUP(E$1&amp;$A37&amp;$B37,배당편집!$D$2:$N$2710,11,FALSE), 0)</f>
        <v>0.28000000000000003</v>
      </c>
      <c r="F37" s="3">
        <f>IFERROR(VLOOKUP(F$1&amp;$A37&amp;$B37,배당편집!$D$2:$N$2710,11,FALSE), 0)</f>
        <v>0</v>
      </c>
      <c r="G37" s="3">
        <f>IFERROR(VLOOKUP(G$1&amp;$A37&amp;$B37,배당편집!$D$2:$N$2710,11,FALSE), 0)</f>
        <v>0</v>
      </c>
      <c r="H37" s="3">
        <f>IFERROR(VLOOKUP(H$1&amp;$A37&amp;$B37,배당편집!$D$2:$N$2710,11,FALSE), 0)</f>
        <v>0</v>
      </c>
      <c r="I37" s="3">
        <f>IFERROR(VLOOKUP(I$1&amp;$A37&amp;$B37,배당편집!$D$2:$N$2710,11,FALSE), 0)</f>
        <v>0</v>
      </c>
      <c r="J37" s="3">
        <f>IFERROR(VLOOKUP(J$1&amp;$A37&amp;$B37,배당편집!$D$2:$N$2710,11,FALSE), 0)</f>
        <v>0.44500000000000001</v>
      </c>
      <c r="K37" s="3">
        <f>IFERROR(VLOOKUP(K$1&amp;$A37&amp;$B37,배당편집!$D$2:$N$2710,11,FALSE), 0)</f>
        <v>0</v>
      </c>
      <c r="L37" s="3">
        <f>IFERROR(VLOOKUP(L$1&amp;$A37&amp;$B37,배당편집!$D$2:$N$2710,11,FALSE), 0)</f>
        <v>0</v>
      </c>
      <c r="M37" s="3">
        <f>IFERROR(VLOOKUP(M$1&amp;$A37&amp;$B37,배당편집!$D$2:$N$2710,11,FALSE), 0)</f>
        <v>1.1399999999999999</v>
      </c>
      <c r="N37" s="3">
        <f>IFERROR(VLOOKUP(N$1&amp;$A37&amp;$B37,배당편집!$D$2:$N$2710,11,FALSE), 0)</f>
        <v>0</v>
      </c>
      <c r="O37" s="3">
        <f>IFERROR(VLOOKUP(O$1&amp;$A37&amp;$B37,배당편집!$D$2:$N$2710,11,FALSE), 0)</f>
        <v>1.34</v>
      </c>
      <c r="P37" s="3">
        <f>IFERROR(VLOOKUP(P$1&amp;$A37&amp;$B37,배당편집!$D$2:$N$2710,11,FALSE), 0)</f>
        <v>0</v>
      </c>
      <c r="Q37" s="3">
        <f>IFERROR(VLOOKUP(Q$1&amp;$A37&amp;$B37,배당편집!$D$2:$N$2710,11,FALSE), 0)</f>
        <v>0</v>
      </c>
      <c r="R37" s="3">
        <f>IFERROR(VLOOKUP(R$1&amp;$A37&amp;$B37,배당편집!$D$2:$N$2710,11,FALSE), 0)</f>
        <v>0</v>
      </c>
      <c r="S37" s="3">
        <f>IFERROR(VLOOKUP(S$1&amp;$A37&amp;$B37,배당편집!$D$2:$N$2710,11,FALSE), 0)</f>
        <v>0.79</v>
      </c>
      <c r="T37" s="3">
        <f>IFERROR(VLOOKUP(T$1&amp;$A37&amp;$B37,배당편집!$D$2:$N$2710,11,FALSE), 0)</f>
        <v>0</v>
      </c>
      <c r="U37" s="3">
        <f>IFERROR(VLOOKUP(U$1&amp;$A37&amp;$B37,배당편집!$D$2:$N$2710,11,FALSE), 0)</f>
        <v>0</v>
      </c>
      <c r="V37" s="3">
        <f>IFERROR(VLOOKUP(V$1&amp;$A37&amp;$B37,배당편집!$D$2:$N$2710,11,FALSE), 0)</f>
        <v>0</v>
      </c>
      <c r="W37" s="3">
        <f>IFERROR(VLOOKUP(W$1&amp;$A37&amp;$B37,배당편집!$D$2:$N$2710,11,FALSE), 0)</f>
        <v>0</v>
      </c>
      <c r="X37" s="3">
        <f>IFERROR(VLOOKUP(X$1&amp;$A37&amp;$B37,배당편집!$D$2:$N$2710,11,FALSE), 0)</f>
        <v>0</v>
      </c>
      <c r="Y37" s="3">
        <f>IFERROR(VLOOKUP(Y$1&amp;$A37&amp;$B37,배당편집!$D$2:$N$2710,11,FALSE), 0)</f>
        <v>0</v>
      </c>
      <c r="Z37" s="3">
        <f>IFERROR(VLOOKUP(Z$1&amp;$A37&amp;$B37,배당편집!$D$2:$N$2710,11,FALSE), 0)</f>
        <v>0</v>
      </c>
      <c r="AA37" s="3">
        <f>IFERROR(VLOOKUP(AA$1&amp;$A37&amp;$B37,배당편집!$D$2:$N$2710,11,FALSE), 0)</f>
        <v>0</v>
      </c>
      <c r="AB37" s="3">
        <f>IFERROR(VLOOKUP(AB$1&amp;$A37&amp;$B37,배당편집!$D$2:$N$2710,11,FALSE), 0)</f>
        <v>0</v>
      </c>
      <c r="AC37" s="3">
        <f>IFERROR(VLOOKUP(AC$1&amp;$A37&amp;$B37,배당편집!$D$2:$N$2710,11,FALSE), 0)</f>
        <v>0</v>
      </c>
      <c r="AD37" s="3">
        <f>IFERROR(VLOOKUP(AD$1&amp;$A37&amp;$B37,배당편집!$D$2:$N$2710,11,FALSE), 0)</f>
        <v>0.93</v>
      </c>
      <c r="AE37" s="3">
        <f>IFERROR(VLOOKUP(AE$1&amp;$A37&amp;$B37,배당편집!$D$2:$N$2710,11,FALSE), 0)</f>
        <v>0</v>
      </c>
      <c r="AF37" s="3">
        <f>IFERROR(VLOOKUP(AF$1&amp;$A37&amp;$B37,배당편집!$D$2:$N$2710,11,FALSE), 0)</f>
        <v>0</v>
      </c>
    </row>
    <row r="38" spans="1:32" ht="16.5" customHeight="1">
      <c r="A38" s="3">
        <v>2019</v>
      </c>
      <c r="B38" s="3">
        <v>1</v>
      </c>
      <c r="C38" s="3">
        <f>IFERROR(VLOOKUP(C$1&amp;$A38&amp;$B38,배당편집!$D$2:$N$2710,11,FALSE), 0)</f>
        <v>0</v>
      </c>
      <c r="D38" s="3">
        <f>IFERROR(VLOOKUP(D$1&amp;$A38&amp;$B38,배당편집!$D$2:$N$2710,11,FALSE), 0)</f>
        <v>0</v>
      </c>
      <c r="E38" s="3">
        <f>IFERROR(VLOOKUP(E$1&amp;$A38&amp;$B38,배당편집!$D$2:$N$2710,11,FALSE), 0)</f>
        <v>0</v>
      </c>
      <c r="F38" s="3">
        <f>IFERROR(VLOOKUP(F$1&amp;$A38&amp;$B38,배당편집!$D$2:$N$2710,11,FALSE), 0)</f>
        <v>0</v>
      </c>
      <c r="G38" s="3">
        <f>IFERROR(VLOOKUP(G$1&amp;$A38&amp;$B38,배당편집!$D$2:$N$2710,11,FALSE), 0)</f>
        <v>0</v>
      </c>
      <c r="H38" s="3">
        <f>IFERROR(VLOOKUP(H$1&amp;$A38&amp;$B38,배당편집!$D$2:$N$2710,11,FALSE), 0)</f>
        <v>0</v>
      </c>
      <c r="I38" s="3">
        <f>IFERROR(VLOOKUP(I$1&amp;$A38&amp;$B38,배당편집!$D$2:$N$2710,11,FALSE), 0)</f>
        <v>0</v>
      </c>
      <c r="J38" s="3">
        <f>IFERROR(VLOOKUP(J$1&amp;$A38&amp;$B38,배당편집!$D$2:$N$2710,11,FALSE), 0)</f>
        <v>0</v>
      </c>
      <c r="K38" s="3">
        <f>IFERROR(VLOOKUP(K$1&amp;$A38&amp;$B38,배당편집!$D$2:$N$2710,11,FALSE), 0)</f>
        <v>0.86</v>
      </c>
      <c r="L38" s="3">
        <f>IFERROR(VLOOKUP(L$1&amp;$A38&amp;$B38,배당편집!$D$2:$N$2710,11,FALSE), 0)</f>
        <v>0</v>
      </c>
      <c r="M38" s="3">
        <f>IFERROR(VLOOKUP(M$1&amp;$A38&amp;$B38,배당편집!$D$2:$N$2710,11,FALSE), 0)</f>
        <v>0</v>
      </c>
      <c r="N38" s="3">
        <f>IFERROR(VLOOKUP(N$1&amp;$A38&amp;$B38,배당편집!$D$2:$N$2710,11,FALSE), 0)</f>
        <v>0</v>
      </c>
      <c r="O38" s="3">
        <f>IFERROR(VLOOKUP(O$1&amp;$A38&amp;$B38,배당편집!$D$2:$N$2710,11,FALSE), 0)</f>
        <v>0</v>
      </c>
      <c r="P38" s="3">
        <f>IFERROR(VLOOKUP(P$1&amp;$A38&amp;$B38,배당편집!$D$2:$N$2710,11,FALSE), 0)</f>
        <v>0.71719999999999995</v>
      </c>
      <c r="Q38" s="3">
        <f>IFERROR(VLOOKUP(Q$1&amp;$A38&amp;$B38,배당편집!$D$2:$N$2710,11,FALSE), 0)</f>
        <v>0</v>
      </c>
      <c r="R38" s="3">
        <f>IFERROR(VLOOKUP(R$1&amp;$A38&amp;$B38,배당편집!$D$2:$N$2710,11,FALSE), 0)</f>
        <v>0</v>
      </c>
      <c r="S38" s="3">
        <f>IFERROR(VLOOKUP(S$1&amp;$A38&amp;$B38,배당편집!$D$2:$N$2710,11,FALSE), 0)</f>
        <v>0</v>
      </c>
      <c r="T38" s="3">
        <f>IFERROR(VLOOKUP(T$1&amp;$A38&amp;$B38,배당편집!$D$2:$N$2710,11,FALSE), 0)</f>
        <v>0.93</v>
      </c>
      <c r="U38" s="3">
        <f>IFERROR(VLOOKUP(U$1&amp;$A38&amp;$B38,배당편집!$D$2:$N$2710,11,FALSE), 0)</f>
        <v>0.22</v>
      </c>
      <c r="V38" s="3">
        <f>IFERROR(VLOOKUP(V$1&amp;$A38&amp;$B38,배당편집!$D$2:$N$2710,11,FALSE), 0)</f>
        <v>0.21</v>
      </c>
      <c r="W38" s="3">
        <f>IFERROR(VLOOKUP(W$1&amp;$A38&amp;$B38,배당편집!$D$2:$N$2710,11,FALSE), 0)</f>
        <v>0.48</v>
      </c>
      <c r="X38" s="3">
        <f>IFERROR(VLOOKUP(X$1&amp;$A38&amp;$B38,배당편집!$D$2:$N$2710,11,FALSE), 0)</f>
        <v>0</v>
      </c>
      <c r="Y38" s="3">
        <f>IFERROR(VLOOKUP(Y$1&amp;$A38&amp;$B38,배당편집!$D$2:$N$2710,11,FALSE), 0)</f>
        <v>0</v>
      </c>
      <c r="Z38" s="3">
        <f>IFERROR(VLOOKUP(Z$1&amp;$A38&amp;$B38,배당편집!$D$2:$N$2710,11,FALSE), 0)</f>
        <v>0.18</v>
      </c>
      <c r="AA38" s="3">
        <f>IFERROR(VLOOKUP(AA$1&amp;$A38&amp;$B38,배당편집!$D$2:$N$2710,11,FALSE), 0)</f>
        <v>0</v>
      </c>
      <c r="AB38" s="3">
        <f>IFERROR(VLOOKUP(AB$1&amp;$A38&amp;$B38,배당편집!$D$2:$N$2710,11,FALSE), 0)</f>
        <v>0.32</v>
      </c>
      <c r="AC38" s="3">
        <f>IFERROR(VLOOKUP(AC$1&amp;$A38&amp;$B38,배당편집!$D$2:$N$2710,11,FALSE), 0)</f>
        <v>0</v>
      </c>
      <c r="AD38" s="3">
        <f>IFERROR(VLOOKUP(AD$1&amp;$A38&amp;$B38,배당편집!$D$2:$N$2710,11,FALSE), 0)</f>
        <v>0</v>
      </c>
      <c r="AE38" s="3">
        <f>IFERROR(VLOOKUP(AE$1&amp;$A38&amp;$B38,배당편집!$D$2:$N$2710,11,FALSE), 0)</f>
        <v>0</v>
      </c>
      <c r="AF38" s="3">
        <f>IFERROR(VLOOKUP(AF$1&amp;$A38&amp;$B38,배당편집!$D$2:$N$2710,11,FALSE), 0)</f>
        <v>0</v>
      </c>
    </row>
    <row r="39" spans="1:32" ht="16.5" customHeight="1">
      <c r="A39" s="3">
        <v>2019</v>
      </c>
      <c r="B39" s="3">
        <v>2</v>
      </c>
      <c r="C39" s="3">
        <f>IFERROR(VLOOKUP(C$1&amp;$A39&amp;$B39,배당편집!$D$2:$N$2710,11,FALSE), 0)</f>
        <v>0.44</v>
      </c>
      <c r="D39" s="3">
        <f>IFERROR(VLOOKUP(D$1&amp;$A39&amp;$B39,배당편집!$D$2:$N$2710,11,FALSE), 0)</f>
        <v>0</v>
      </c>
      <c r="E39" s="3">
        <f>IFERROR(VLOOKUP(E$1&amp;$A39&amp;$B39,배당편집!$D$2:$N$2710,11,FALSE), 0)</f>
        <v>0</v>
      </c>
      <c r="F39" s="3">
        <f>IFERROR(VLOOKUP(F$1&amp;$A39&amp;$B39,배당편집!$D$2:$N$2710,11,FALSE), 0)</f>
        <v>0</v>
      </c>
      <c r="G39" s="3">
        <f>IFERROR(VLOOKUP(G$1&amp;$A39&amp;$B39,배당편집!$D$2:$N$2710,11,FALSE), 0)</f>
        <v>0.82</v>
      </c>
      <c r="H39" s="3">
        <f>IFERROR(VLOOKUP(H$1&amp;$A39&amp;$B39,배당편집!$D$2:$N$2710,11,FALSE), 0)</f>
        <v>1.19</v>
      </c>
      <c r="I39" s="3">
        <f>IFERROR(VLOOKUP(I$1&amp;$A39&amp;$B39,배당편집!$D$2:$N$2710,11,FALSE), 0)</f>
        <v>0.505</v>
      </c>
      <c r="J39" s="3">
        <f>IFERROR(VLOOKUP(J$1&amp;$A39&amp;$B39,배당편집!$D$2:$N$2710,11,FALSE), 0)</f>
        <v>0</v>
      </c>
      <c r="K39" s="3">
        <f>IFERROR(VLOOKUP(K$1&amp;$A39&amp;$B39,배당편집!$D$2:$N$2710,11,FALSE), 0)</f>
        <v>0</v>
      </c>
      <c r="L39" s="3">
        <f>IFERROR(VLOOKUP(L$1&amp;$A39&amp;$B39,배당편집!$D$2:$N$2710,11,FALSE), 0)</f>
        <v>0.64</v>
      </c>
      <c r="M39" s="3">
        <f>IFERROR(VLOOKUP(M$1&amp;$A39&amp;$B39,배당편집!$D$2:$N$2710,11,FALSE), 0)</f>
        <v>0</v>
      </c>
      <c r="N39" s="3">
        <f>IFERROR(VLOOKUP(N$1&amp;$A39&amp;$B39,배당편집!$D$2:$N$2710,11,FALSE), 0)</f>
        <v>0.49</v>
      </c>
      <c r="O39" s="3">
        <f>IFERROR(VLOOKUP(O$1&amp;$A39&amp;$B39,배당편집!$D$2:$N$2710,11,FALSE), 0)</f>
        <v>0</v>
      </c>
      <c r="P39" s="3">
        <f>IFERROR(VLOOKUP(P$1&amp;$A39&amp;$B39,배당편집!$D$2:$N$2710,11,FALSE), 0)</f>
        <v>0</v>
      </c>
      <c r="Q39" s="3">
        <f>IFERROR(VLOOKUP(Q$1&amp;$A39&amp;$B39,배당편집!$D$2:$N$2710,11,FALSE), 0)</f>
        <v>0.9</v>
      </c>
      <c r="R39" s="3">
        <f>IFERROR(VLOOKUP(R$1&amp;$A39&amp;$B39,배당편집!$D$2:$N$2710,11,FALSE), 0)</f>
        <v>0.52500000000000002</v>
      </c>
      <c r="S39" s="3">
        <f>IFERROR(VLOOKUP(S$1&amp;$A39&amp;$B39,배당편집!$D$2:$N$2710,11,FALSE), 0)</f>
        <v>0</v>
      </c>
      <c r="T39" s="3">
        <f>IFERROR(VLOOKUP(T$1&amp;$A39&amp;$B39,배당편집!$D$2:$N$2710,11,FALSE), 0)</f>
        <v>0</v>
      </c>
      <c r="U39" s="3">
        <f>IFERROR(VLOOKUP(U$1&amp;$A39&amp;$B39,배당편집!$D$2:$N$2710,11,FALSE), 0)</f>
        <v>0</v>
      </c>
      <c r="V39" s="3">
        <f>IFERROR(VLOOKUP(V$1&amp;$A39&amp;$B39,배당편집!$D$2:$N$2710,11,FALSE), 0)</f>
        <v>0</v>
      </c>
      <c r="W39" s="3">
        <f>IFERROR(VLOOKUP(W$1&amp;$A39&amp;$B39,배당편집!$D$2:$N$2710,11,FALSE), 0)</f>
        <v>0</v>
      </c>
      <c r="X39" s="3">
        <f>IFERROR(VLOOKUP(X$1&amp;$A39&amp;$B39,배당편집!$D$2:$N$2710,11,FALSE), 0)</f>
        <v>0.48</v>
      </c>
      <c r="Y39" s="3">
        <f>IFERROR(VLOOKUP(Y$1&amp;$A39&amp;$B39,배당편집!$D$2:$N$2710,11,FALSE), 0)</f>
        <v>0.76</v>
      </c>
      <c r="Z39" s="3">
        <f>IFERROR(VLOOKUP(Z$1&amp;$A39&amp;$B39,배당편집!$D$2:$N$2710,11,FALSE), 0)</f>
        <v>0</v>
      </c>
      <c r="AA39" s="3">
        <f>IFERROR(VLOOKUP(AA$1&amp;$A39&amp;$B39,배당편집!$D$2:$N$2710,11,FALSE), 0)</f>
        <v>0.35</v>
      </c>
      <c r="AB39" s="3">
        <f>IFERROR(VLOOKUP(AB$1&amp;$A39&amp;$B39,배당편집!$D$2:$N$2710,11,FALSE), 0)</f>
        <v>0</v>
      </c>
      <c r="AC39" s="3">
        <f>IFERROR(VLOOKUP(AC$1&amp;$A39&amp;$B39,배당편집!$D$2:$N$2710,11,FALSE), 0)</f>
        <v>0.19750000000000001</v>
      </c>
      <c r="AD39" s="3">
        <f>IFERROR(VLOOKUP(AD$1&amp;$A39&amp;$B39,배당편집!$D$2:$N$2710,11,FALSE), 0)</f>
        <v>0</v>
      </c>
      <c r="AE39" s="3">
        <f>IFERROR(VLOOKUP(AE$1&amp;$A39&amp;$B39,배당편집!$D$2:$N$2710,11,FALSE), 0)</f>
        <v>0.22</v>
      </c>
      <c r="AF39" s="3">
        <f>IFERROR(VLOOKUP(AF$1&amp;$A39&amp;$B39,배당편집!$D$2:$N$2710,11,FALSE), 0)</f>
        <v>0.48</v>
      </c>
    </row>
    <row r="40" spans="1:32" ht="16.5" customHeight="1">
      <c r="A40" s="3">
        <v>2019</v>
      </c>
      <c r="B40" s="3">
        <v>3</v>
      </c>
      <c r="C40" s="3">
        <f>IFERROR(VLOOKUP(C$1&amp;$A40&amp;$B40,배당편집!$D$2:$N$2710,11,FALSE), 0)</f>
        <v>0</v>
      </c>
      <c r="D40" s="3">
        <f>IFERROR(VLOOKUP(D$1&amp;$A40&amp;$B40,배당편집!$D$2:$N$2710,11,FALSE), 0)</f>
        <v>0.38</v>
      </c>
      <c r="E40" s="3">
        <f>IFERROR(VLOOKUP(E$1&amp;$A40&amp;$B40,배당편집!$D$2:$N$2710,11,FALSE), 0)</f>
        <v>0.26</v>
      </c>
      <c r="F40" s="3">
        <f>IFERROR(VLOOKUP(F$1&amp;$A40&amp;$B40,배당편집!$D$2:$N$2710,11,FALSE), 0)</f>
        <v>0.66</v>
      </c>
      <c r="G40" s="3">
        <f>IFERROR(VLOOKUP(G$1&amp;$A40&amp;$B40,배당편집!$D$2:$N$2710,11,FALSE), 0)</f>
        <v>0</v>
      </c>
      <c r="H40" s="3">
        <f>IFERROR(VLOOKUP(H$1&amp;$A40&amp;$B40,배당편집!$D$2:$N$2710,11,FALSE), 0)</f>
        <v>0</v>
      </c>
      <c r="I40" s="3">
        <f>IFERROR(VLOOKUP(I$1&amp;$A40&amp;$B40,배당편집!$D$2:$N$2710,11,FALSE), 0)</f>
        <v>0</v>
      </c>
      <c r="J40" s="3">
        <f>IFERROR(VLOOKUP(J$1&amp;$A40&amp;$B40,배당편집!$D$2:$N$2710,11,FALSE), 0)</f>
        <v>0.42499999999999999</v>
      </c>
      <c r="K40" s="3">
        <f>IFERROR(VLOOKUP(K$1&amp;$A40&amp;$B40,배당편집!$D$2:$N$2710,11,FALSE), 0)</f>
        <v>0</v>
      </c>
      <c r="L40" s="3">
        <f>IFERROR(VLOOKUP(L$1&amp;$A40&amp;$B40,배당편집!$D$2:$N$2710,11,FALSE), 0)</f>
        <v>0</v>
      </c>
      <c r="M40" s="3">
        <f>IFERROR(VLOOKUP(M$1&amp;$A40&amp;$B40,배당편집!$D$2:$N$2710,11,FALSE), 0)</f>
        <v>1</v>
      </c>
      <c r="N40" s="3">
        <f>IFERROR(VLOOKUP(N$1&amp;$A40&amp;$B40,배당편집!$D$2:$N$2710,11,FALSE), 0)</f>
        <v>0</v>
      </c>
      <c r="O40" s="3">
        <f>IFERROR(VLOOKUP(O$1&amp;$A40&amp;$B40,배당편집!$D$2:$N$2710,11,FALSE), 0)</f>
        <v>1.1599999999999999</v>
      </c>
      <c r="P40" s="3">
        <f>IFERROR(VLOOKUP(P$1&amp;$A40&amp;$B40,배당편집!$D$2:$N$2710,11,FALSE), 0)</f>
        <v>0</v>
      </c>
      <c r="Q40" s="3">
        <f>IFERROR(VLOOKUP(Q$1&amp;$A40&amp;$B40,배당편집!$D$2:$N$2710,11,FALSE), 0)</f>
        <v>0</v>
      </c>
      <c r="R40" s="3">
        <f>IFERROR(VLOOKUP(R$1&amp;$A40&amp;$B40,배당편집!$D$2:$N$2710,11,FALSE), 0)</f>
        <v>0</v>
      </c>
      <c r="S40" s="3">
        <f>IFERROR(VLOOKUP(S$1&amp;$A40&amp;$B40,배당편집!$D$2:$N$2710,11,FALSE), 0)</f>
        <v>0.76249999999999996</v>
      </c>
      <c r="T40" s="3">
        <f>IFERROR(VLOOKUP(T$1&amp;$A40&amp;$B40,배당편집!$D$2:$N$2710,11,FALSE), 0)</f>
        <v>0</v>
      </c>
      <c r="U40" s="3">
        <f>IFERROR(VLOOKUP(U$1&amp;$A40&amp;$B40,배당편집!$D$2:$N$2710,11,FALSE), 0)</f>
        <v>0</v>
      </c>
      <c r="V40" s="3">
        <f>IFERROR(VLOOKUP(V$1&amp;$A40&amp;$B40,배당편집!$D$2:$N$2710,11,FALSE), 0)</f>
        <v>0</v>
      </c>
      <c r="W40" s="3">
        <f>IFERROR(VLOOKUP(W$1&amp;$A40&amp;$B40,배당편집!$D$2:$N$2710,11,FALSE), 0)</f>
        <v>0</v>
      </c>
      <c r="X40" s="3">
        <f>IFERROR(VLOOKUP(X$1&amp;$A40&amp;$B40,배당편집!$D$2:$N$2710,11,FALSE), 0)</f>
        <v>0</v>
      </c>
      <c r="Y40" s="3">
        <f>IFERROR(VLOOKUP(Y$1&amp;$A40&amp;$B40,배당편집!$D$2:$N$2710,11,FALSE), 0)</f>
        <v>0</v>
      </c>
      <c r="Z40" s="3">
        <f>IFERROR(VLOOKUP(Z$1&amp;$A40&amp;$B40,배당편집!$D$2:$N$2710,11,FALSE), 0)</f>
        <v>0</v>
      </c>
      <c r="AA40" s="3">
        <f>IFERROR(VLOOKUP(AA$1&amp;$A40&amp;$B40,배당편집!$D$2:$N$2710,11,FALSE), 0)</f>
        <v>0</v>
      </c>
      <c r="AB40" s="3">
        <f>IFERROR(VLOOKUP(AB$1&amp;$A40&amp;$B40,배당편집!$D$2:$N$2710,11,FALSE), 0)</f>
        <v>0</v>
      </c>
      <c r="AC40" s="3">
        <f>IFERROR(VLOOKUP(AC$1&amp;$A40&amp;$B40,배당편집!$D$2:$N$2710,11,FALSE), 0)</f>
        <v>0</v>
      </c>
      <c r="AD40" s="3">
        <f>IFERROR(VLOOKUP(AD$1&amp;$A40&amp;$B40,배당편집!$D$2:$N$2710,11,FALSE), 0)</f>
        <v>0.79</v>
      </c>
      <c r="AE40" s="3">
        <f>IFERROR(VLOOKUP(AE$1&amp;$A40&amp;$B40,배당편집!$D$2:$N$2710,11,FALSE), 0)</f>
        <v>0</v>
      </c>
      <c r="AF40" s="3">
        <f>IFERROR(VLOOKUP(AF$1&amp;$A40&amp;$B40,배당편집!$D$2:$N$2710,11,FALSE), 0)</f>
        <v>0</v>
      </c>
    </row>
    <row r="41" spans="1:32" ht="16.5" customHeight="1">
      <c r="A41" s="3">
        <v>2019</v>
      </c>
      <c r="B41" s="3">
        <v>4</v>
      </c>
      <c r="C41" s="3">
        <f>IFERROR(VLOOKUP(C$1&amp;$A41&amp;$B41,배당편집!$D$2:$N$2710,11,FALSE), 0)</f>
        <v>0</v>
      </c>
      <c r="D41" s="3">
        <f>IFERROR(VLOOKUP(D$1&amp;$A41&amp;$B41,배당편집!$D$2:$N$2710,11,FALSE), 0)</f>
        <v>0</v>
      </c>
      <c r="E41" s="3">
        <f>IFERROR(VLOOKUP(E$1&amp;$A41&amp;$B41,배당편집!$D$2:$N$2710,11,FALSE), 0)</f>
        <v>0</v>
      </c>
      <c r="F41" s="3">
        <f>IFERROR(VLOOKUP(F$1&amp;$A41&amp;$B41,배당편집!$D$2:$N$2710,11,FALSE), 0)</f>
        <v>0</v>
      </c>
      <c r="G41" s="3">
        <f>IFERROR(VLOOKUP(G$1&amp;$A41&amp;$B41,배당편집!$D$2:$N$2710,11,FALSE), 0)</f>
        <v>0</v>
      </c>
      <c r="H41" s="3">
        <f>IFERROR(VLOOKUP(H$1&amp;$A41&amp;$B41,배당편집!$D$2:$N$2710,11,FALSE), 0)</f>
        <v>0</v>
      </c>
      <c r="I41" s="3">
        <f>IFERROR(VLOOKUP(I$1&amp;$A41&amp;$B41,배당편집!$D$2:$N$2710,11,FALSE), 0)</f>
        <v>0</v>
      </c>
      <c r="J41" s="3">
        <f>IFERROR(VLOOKUP(J$1&amp;$A41&amp;$B41,배당편집!$D$2:$N$2710,11,FALSE), 0)</f>
        <v>0</v>
      </c>
      <c r="K41" s="3">
        <f>IFERROR(VLOOKUP(K$1&amp;$A41&amp;$B41,배당편집!$D$2:$N$2710,11,FALSE), 0)</f>
        <v>0.86</v>
      </c>
      <c r="L41" s="3">
        <f>IFERROR(VLOOKUP(L$1&amp;$A41&amp;$B41,배당편집!$D$2:$N$2710,11,FALSE), 0)</f>
        <v>0</v>
      </c>
      <c r="M41" s="3">
        <f>IFERROR(VLOOKUP(M$1&amp;$A41&amp;$B41,배당편집!$D$2:$N$2710,11,FALSE), 0)</f>
        <v>0</v>
      </c>
      <c r="N41" s="3">
        <f>IFERROR(VLOOKUP(N$1&amp;$A41&amp;$B41,배당편집!$D$2:$N$2710,11,FALSE), 0)</f>
        <v>0</v>
      </c>
      <c r="O41" s="3">
        <f>IFERROR(VLOOKUP(O$1&amp;$A41&amp;$B41,배당편집!$D$2:$N$2710,11,FALSE), 0)</f>
        <v>0</v>
      </c>
      <c r="P41" s="3">
        <f>IFERROR(VLOOKUP(P$1&amp;$A41&amp;$B41,배당편집!$D$2:$N$2710,11,FALSE), 0)</f>
        <v>0.74590000000000001</v>
      </c>
      <c r="Q41" s="3">
        <f>IFERROR(VLOOKUP(Q$1&amp;$A41&amp;$B41,배당편집!$D$2:$N$2710,11,FALSE), 0)</f>
        <v>0</v>
      </c>
      <c r="R41" s="3">
        <f>IFERROR(VLOOKUP(R$1&amp;$A41&amp;$B41,배당편집!$D$2:$N$2710,11,FALSE), 0)</f>
        <v>0</v>
      </c>
      <c r="S41" s="3">
        <f>IFERROR(VLOOKUP(S$1&amp;$A41&amp;$B41,배당편집!$D$2:$N$2710,11,FALSE), 0)</f>
        <v>0</v>
      </c>
      <c r="T41" s="3">
        <f>IFERROR(VLOOKUP(T$1&amp;$A41&amp;$B41,배당편집!$D$2:$N$2710,11,FALSE), 0)</f>
        <v>1.02</v>
      </c>
      <c r="U41" s="3">
        <f>IFERROR(VLOOKUP(U$1&amp;$A41&amp;$B41,배당편집!$D$2:$N$2710,11,FALSE), 0)</f>
        <v>0.22</v>
      </c>
      <c r="V41" s="3">
        <f>IFERROR(VLOOKUP(V$1&amp;$A41&amp;$B41,배당편집!$D$2:$N$2710,11,FALSE), 0)</f>
        <v>0.21</v>
      </c>
      <c r="W41" s="3">
        <f>IFERROR(VLOOKUP(W$1&amp;$A41&amp;$B41,배당편집!$D$2:$N$2710,11,FALSE), 0)</f>
        <v>0.48</v>
      </c>
      <c r="X41" s="3">
        <f>IFERROR(VLOOKUP(X$1&amp;$A41&amp;$B41,배당편집!$D$2:$N$2710,11,FALSE), 0)</f>
        <v>0</v>
      </c>
      <c r="Y41" s="3">
        <f>IFERROR(VLOOKUP(Y$1&amp;$A41&amp;$B41,배당편집!$D$2:$N$2710,11,FALSE), 0)</f>
        <v>0</v>
      </c>
      <c r="Z41" s="3">
        <f>IFERROR(VLOOKUP(Z$1&amp;$A41&amp;$B41,배당편집!$D$2:$N$2710,11,FALSE), 0)</f>
        <v>0.18</v>
      </c>
      <c r="AA41" s="3">
        <f>IFERROR(VLOOKUP(AA$1&amp;$A41&amp;$B41,배당편집!$D$2:$N$2710,11,FALSE), 0)</f>
        <v>0</v>
      </c>
      <c r="AB41" s="3">
        <f>IFERROR(VLOOKUP(AB$1&amp;$A41&amp;$B41,배당편집!$D$2:$N$2710,11,FALSE), 0)</f>
        <v>0.32</v>
      </c>
      <c r="AC41" s="3">
        <f>IFERROR(VLOOKUP(AC$1&amp;$A41&amp;$B41,배당편집!$D$2:$N$2710,11,FALSE), 0)</f>
        <v>0</v>
      </c>
      <c r="AD41" s="3">
        <f>IFERROR(VLOOKUP(AD$1&amp;$A41&amp;$B41,배당편집!$D$2:$N$2710,11,FALSE), 0)</f>
        <v>0</v>
      </c>
      <c r="AE41" s="3">
        <f>IFERROR(VLOOKUP(AE$1&amp;$A41&amp;$B41,배당편집!$D$2:$N$2710,11,FALSE), 0)</f>
        <v>0</v>
      </c>
      <c r="AF41" s="3">
        <f>IFERROR(VLOOKUP(AF$1&amp;$A41&amp;$B41,배당편집!$D$2:$N$2710,11,FALSE), 0)</f>
        <v>0</v>
      </c>
    </row>
    <row r="42" spans="1:32" ht="16.5" customHeight="1">
      <c r="A42" s="3">
        <v>2019</v>
      </c>
      <c r="B42" s="3">
        <v>5</v>
      </c>
      <c r="C42" s="3">
        <f>IFERROR(VLOOKUP(C$1&amp;$A42&amp;$B42,배당편집!$D$2:$N$2710,11,FALSE), 0)</f>
        <v>0.44</v>
      </c>
      <c r="D42" s="3">
        <f>IFERROR(VLOOKUP(D$1&amp;$A42&amp;$B42,배당편집!$D$2:$N$2710,11,FALSE), 0)</f>
        <v>0</v>
      </c>
      <c r="E42" s="3">
        <f>IFERROR(VLOOKUP(E$1&amp;$A42&amp;$B42,배당편집!$D$2:$N$2710,11,FALSE), 0)</f>
        <v>0</v>
      </c>
      <c r="F42" s="3">
        <f>IFERROR(VLOOKUP(F$1&amp;$A42&amp;$B42,배당편집!$D$2:$N$2710,11,FALSE), 0)</f>
        <v>0</v>
      </c>
      <c r="G42" s="3">
        <f>IFERROR(VLOOKUP(G$1&amp;$A42&amp;$B42,배당편집!$D$2:$N$2710,11,FALSE), 0)</f>
        <v>0.87</v>
      </c>
      <c r="H42" s="3">
        <f>IFERROR(VLOOKUP(H$1&amp;$A42&amp;$B42,배당편집!$D$2:$N$2710,11,FALSE), 0)</f>
        <v>1.19</v>
      </c>
      <c r="I42" s="3">
        <f>IFERROR(VLOOKUP(I$1&amp;$A42&amp;$B42,배당편집!$D$2:$N$2710,11,FALSE), 0)</f>
        <v>0.505</v>
      </c>
      <c r="J42" s="3">
        <f>IFERROR(VLOOKUP(J$1&amp;$A42&amp;$B42,배당편집!$D$2:$N$2710,11,FALSE), 0)</f>
        <v>0</v>
      </c>
      <c r="K42" s="3">
        <f>IFERROR(VLOOKUP(K$1&amp;$A42&amp;$B42,배당편집!$D$2:$N$2710,11,FALSE), 0)</f>
        <v>0</v>
      </c>
      <c r="L42" s="3">
        <f>IFERROR(VLOOKUP(L$1&amp;$A42&amp;$B42,배당편집!$D$2:$N$2710,11,FALSE), 0)</f>
        <v>0.64</v>
      </c>
      <c r="M42" s="3">
        <f>IFERROR(VLOOKUP(M$1&amp;$A42&amp;$B42,배당편집!$D$2:$N$2710,11,FALSE), 0)</f>
        <v>0</v>
      </c>
      <c r="N42" s="3">
        <f>IFERROR(VLOOKUP(N$1&amp;$A42&amp;$B42,배당편집!$D$2:$N$2710,11,FALSE), 0)</f>
        <v>0.49</v>
      </c>
      <c r="O42" s="3">
        <f>IFERROR(VLOOKUP(O$1&amp;$A42&amp;$B42,배당편집!$D$2:$N$2710,11,FALSE), 0)</f>
        <v>0</v>
      </c>
      <c r="P42" s="3">
        <f>IFERROR(VLOOKUP(P$1&amp;$A42&amp;$B42,배당편집!$D$2:$N$2710,11,FALSE), 0)</f>
        <v>0</v>
      </c>
      <c r="Q42" s="3">
        <f>IFERROR(VLOOKUP(Q$1&amp;$A42&amp;$B42,배당편집!$D$2:$N$2710,11,FALSE), 0)</f>
        <v>0.95</v>
      </c>
      <c r="R42" s="3">
        <f>IFERROR(VLOOKUP(R$1&amp;$A42&amp;$B42,배당편집!$D$2:$N$2710,11,FALSE), 0)</f>
        <v>0.52500000000000002</v>
      </c>
      <c r="S42" s="3">
        <f>IFERROR(VLOOKUP(S$1&amp;$A42&amp;$B42,배당편집!$D$2:$N$2710,11,FALSE), 0)</f>
        <v>0</v>
      </c>
      <c r="T42" s="3">
        <f>IFERROR(VLOOKUP(T$1&amp;$A42&amp;$B42,배당편집!$D$2:$N$2710,11,FALSE), 0)</f>
        <v>0</v>
      </c>
      <c r="U42" s="3">
        <f>IFERROR(VLOOKUP(U$1&amp;$A42&amp;$B42,배당편집!$D$2:$N$2710,11,FALSE), 0)</f>
        <v>0</v>
      </c>
      <c r="V42" s="3">
        <f>IFERROR(VLOOKUP(V$1&amp;$A42&amp;$B42,배당편집!$D$2:$N$2710,11,FALSE), 0)</f>
        <v>0</v>
      </c>
      <c r="W42" s="3">
        <f>IFERROR(VLOOKUP(W$1&amp;$A42&amp;$B42,배당편집!$D$2:$N$2710,11,FALSE), 0)</f>
        <v>0</v>
      </c>
      <c r="X42" s="3">
        <f>IFERROR(VLOOKUP(X$1&amp;$A42&amp;$B42,배당편집!$D$2:$N$2710,11,FALSE), 0)</f>
        <v>0.48</v>
      </c>
      <c r="Y42" s="3">
        <f>IFERROR(VLOOKUP(Y$1&amp;$A42&amp;$B42,배당편집!$D$2:$N$2710,11,FALSE), 0)</f>
        <v>0.88</v>
      </c>
      <c r="Z42" s="3">
        <f>IFERROR(VLOOKUP(Z$1&amp;$A42&amp;$B42,배당편집!$D$2:$N$2710,11,FALSE), 0)</f>
        <v>0</v>
      </c>
      <c r="AA42" s="3">
        <f>IFERROR(VLOOKUP(AA$1&amp;$A42&amp;$B42,배당편집!$D$2:$N$2710,11,FALSE), 0)</f>
        <v>0.35</v>
      </c>
      <c r="AB42" s="3">
        <f>IFERROR(VLOOKUP(AB$1&amp;$A42&amp;$B42,배당편집!$D$2:$N$2710,11,FALSE), 0)</f>
        <v>0</v>
      </c>
      <c r="AC42" s="3">
        <f>IFERROR(VLOOKUP(AC$1&amp;$A42&amp;$B42,배당편집!$D$2:$N$2710,11,FALSE), 0)</f>
        <v>0.19750000000000001</v>
      </c>
      <c r="AD42" s="3">
        <f>IFERROR(VLOOKUP(AD$1&amp;$A42&amp;$B42,배당편집!$D$2:$N$2710,11,FALSE), 0)</f>
        <v>0</v>
      </c>
      <c r="AE42" s="3">
        <f>IFERROR(VLOOKUP(AE$1&amp;$A42&amp;$B42,배당편집!$D$2:$N$2710,11,FALSE), 0)</f>
        <v>0.22</v>
      </c>
      <c r="AF42" s="3">
        <f>IFERROR(VLOOKUP(AF$1&amp;$A42&amp;$B42,배당편집!$D$2:$N$2710,11,FALSE), 0)</f>
        <v>0.48</v>
      </c>
    </row>
    <row r="43" spans="1:32" ht="16.5" customHeight="1">
      <c r="A43" s="3">
        <v>2019</v>
      </c>
      <c r="B43" s="3">
        <v>6</v>
      </c>
      <c r="C43" s="3">
        <f>IFERROR(VLOOKUP(C$1&amp;$A43&amp;$B43,배당편집!$D$2:$N$2710,11,FALSE), 0)</f>
        <v>0</v>
      </c>
      <c r="D43" s="3">
        <f>IFERROR(VLOOKUP(D$1&amp;$A43&amp;$B43,배당편집!$D$2:$N$2710,11,FALSE), 0)</f>
        <v>0.4</v>
      </c>
      <c r="E43" s="3">
        <f>IFERROR(VLOOKUP(E$1&amp;$A43&amp;$B43,배당편집!$D$2:$N$2710,11,FALSE), 0)</f>
        <v>0.26</v>
      </c>
      <c r="F43" s="3">
        <f>IFERROR(VLOOKUP(F$1&amp;$A43&amp;$B43,배당편집!$D$2:$N$2710,11,FALSE), 0)</f>
        <v>0.66</v>
      </c>
      <c r="G43" s="3">
        <f>IFERROR(VLOOKUP(G$1&amp;$A43&amp;$B43,배당편집!$D$2:$N$2710,11,FALSE), 0)</f>
        <v>0</v>
      </c>
      <c r="H43" s="3">
        <f>IFERROR(VLOOKUP(H$1&amp;$A43&amp;$B43,배당편집!$D$2:$N$2710,11,FALSE), 0)</f>
        <v>0</v>
      </c>
      <c r="I43" s="3">
        <f>IFERROR(VLOOKUP(I$1&amp;$A43&amp;$B43,배당편집!$D$2:$N$2710,11,FALSE), 0)</f>
        <v>0</v>
      </c>
      <c r="J43" s="3">
        <f>IFERROR(VLOOKUP(J$1&amp;$A43&amp;$B43,배당편집!$D$2:$N$2710,11,FALSE), 0)</f>
        <v>0.435</v>
      </c>
      <c r="K43" s="3">
        <f>IFERROR(VLOOKUP(K$1&amp;$A43&amp;$B43,배당편집!$D$2:$N$2710,11,FALSE), 0)</f>
        <v>0</v>
      </c>
      <c r="L43" s="3">
        <f>IFERROR(VLOOKUP(L$1&amp;$A43&amp;$B43,배당편집!$D$2:$N$2710,11,FALSE), 0)</f>
        <v>0</v>
      </c>
      <c r="M43" s="3">
        <f>IFERROR(VLOOKUP(M$1&amp;$A43&amp;$B43,배당편집!$D$2:$N$2710,11,FALSE), 0)</f>
        <v>1</v>
      </c>
      <c r="N43" s="3">
        <f>IFERROR(VLOOKUP(N$1&amp;$A43&amp;$B43,배당편집!$D$2:$N$2710,11,FALSE), 0)</f>
        <v>0</v>
      </c>
      <c r="O43" s="3">
        <f>IFERROR(VLOOKUP(O$1&amp;$A43&amp;$B43,배당편집!$D$2:$N$2710,11,FALSE), 0)</f>
        <v>1.1599999999999999</v>
      </c>
      <c r="P43" s="3">
        <f>IFERROR(VLOOKUP(P$1&amp;$A43&amp;$B43,배당편집!$D$2:$N$2710,11,FALSE), 0)</f>
        <v>0</v>
      </c>
      <c r="Q43" s="3">
        <f>IFERROR(VLOOKUP(Q$1&amp;$A43&amp;$B43,배당편집!$D$2:$N$2710,11,FALSE), 0)</f>
        <v>0</v>
      </c>
      <c r="R43" s="3">
        <f>IFERROR(VLOOKUP(R$1&amp;$A43&amp;$B43,배당편집!$D$2:$N$2710,11,FALSE), 0)</f>
        <v>0</v>
      </c>
      <c r="S43" s="3">
        <f>IFERROR(VLOOKUP(S$1&amp;$A43&amp;$B43,배당편집!$D$2:$N$2710,11,FALSE), 0)</f>
        <v>0.76249999999999996</v>
      </c>
      <c r="T43" s="3">
        <f>IFERROR(VLOOKUP(T$1&amp;$A43&amp;$B43,배당편집!$D$2:$N$2710,11,FALSE), 0)</f>
        <v>0</v>
      </c>
      <c r="U43" s="3">
        <f>IFERROR(VLOOKUP(U$1&amp;$A43&amp;$B43,배당편집!$D$2:$N$2710,11,FALSE), 0)</f>
        <v>0</v>
      </c>
      <c r="V43" s="3">
        <f>IFERROR(VLOOKUP(V$1&amp;$A43&amp;$B43,배당편집!$D$2:$N$2710,11,FALSE), 0)</f>
        <v>0</v>
      </c>
      <c r="W43" s="3">
        <f>IFERROR(VLOOKUP(W$1&amp;$A43&amp;$B43,배당편집!$D$2:$N$2710,11,FALSE), 0)</f>
        <v>0</v>
      </c>
      <c r="X43" s="3">
        <f>IFERROR(VLOOKUP(X$1&amp;$A43&amp;$B43,배당편집!$D$2:$N$2710,11,FALSE), 0)</f>
        <v>0</v>
      </c>
      <c r="Y43" s="3">
        <f>IFERROR(VLOOKUP(Y$1&amp;$A43&amp;$B43,배당편집!$D$2:$N$2710,11,FALSE), 0)</f>
        <v>0</v>
      </c>
      <c r="Z43" s="3">
        <f>IFERROR(VLOOKUP(Z$1&amp;$A43&amp;$B43,배당편집!$D$2:$N$2710,11,FALSE), 0)</f>
        <v>0</v>
      </c>
      <c r="AA43" s="3">
        <f>IFERROR(VLOOKUP(AA$1&amp;$A43&amp;$B43,배당편집!$D$2:$N$2710,11,FALSE), 0)</f>
        <v>0</v>
      </c>
      <c r="AB43" s="3">
        <f>IFERROR(VLOOKUP(AB$1&amp;$A43&amp;$B43,배당편집!$D$2:$N$2710,11,FALSE), 0)</f>
        <v>0</v>
      </c>
      <c r="AC43" s="3">
        <f>IFERROR(VLOOKUP(AC$1&amp;$A43&amp;$B43,배당편집!$D$2:$N$2710,11,FALSE), 0)</f>
        <v>0</v>
      </c>
      <c r="AD43" s="3">
        <f>IFERROR(VLOOKUP(AD$1&amp;$A43&amp;$B43,배당편집!$D$2:$N$2710,11,FALSE), 0)</f>
        <v>0.79</v>
      </c>
      <c r="AE43" s="3">
        <f>IFERROR(VLOOKUP(AE$1&amp;$A43&amp;$B43,배당편집!$D$2:$N$2710,11,FALSE), 0)</f>
        <v>0</v>
      </c>
      <c r="AF43" s="3">
        <f>IFERROR(VLOOKUP(AF$1&amp;$A43&amp;$B43,배당편집!$D$2:$N$2710,11,FALSE), 0)</f>
        <v>0</v>
      </c>
    </row>
    <row r="44" spans="1:32" ht="16.5" customHeight="1">
      <c r="A44" s="3">
        <v>2019</v>
      </c>
      <c r="B44" s="3">
        <v>7</v>
      </c>
      <c r="C44" s="3">
        <f>IFERROR(VLOOKUP(C$1&amp;$A44&amp;$B44,배당편집!$D$2:$N$2710,11,FALSE), 0)</f>
        <v>0</v>
      </c>
      <c r="D44" s="3">
        <f>IFERROR(VLOOKUP(D$1&amp;$A44&amp;$B44,배당편집!$D$2:$N$2710,11,FALSE), 0)</f>
        <v>0</v>
      </c>
      <c r="E44" s="3">
        <f>IFERROR(VLOOKUP(E$1&amp;$A44&amp;$B44,배당편집!$D$2:$N$2710,11,FALSE), 0)</f>
        <v>0</v>
      </c>
      <c r="F44" s="3">
        <f>IFERROR(VLOOKUP(F$1&amp;$A44&amp;$B44,배당편집!$D$2:$N$2710,11,FALSE), 0)</f>
        <v>0</v>
      </c>
      <c r="G44" s="3">
        <f>IFERROR(VLOOKUP(G$1&amp;$A44&amp;$B44,배당편집!$D$2:$N$2710,11,FALSE), 0)</f>
        <v>0</v>
      </c>
      <c r="H44" s="3">
        <f>IFERROR(VLOOKUP(H$1&amp;$A44&amp;$B44,배당편집!$D$2:$N$2710,11,FALSE), 0)</f>
        <v>0</v>
      </c>
      <c r="I44" s="3">
        <f>IFERROR(VLOOKUP(I$1&amp;$A44&amp;$B44,배당편집!$D$2:$N$2710,11,FALSE), 0)</f>
        <v>0</v>
      </c>
      <c r="J44" s="3">
        <f>IFERROR(VLOOKUP(J$1&amp;$A44&amp;$B44,배당편집!$D$2:$N$2710,11,FALSE), 0)</f>
        <v>0</v>
      </c>
      <c r="K44" s="3">
        <f>IFERROR(VLOOKUP(K$1&amp;$A44&amp;$B44,배당편집!$D$2:$N$2710,11,FALSE), 0)</f>
        <v>1.03</v>
      </c>
      <c r="L44" s="3">
        <f>IFERROR(VLOOKUP(L$1&amp;$A44&amp;$B44,배당편집!$D$2:$N$2710,11,FALSE), 0)</f>
        <v>0</v>
      </c>
      <c r="M44" s="3">
        <f>IFERROR(VLOOKUP(M$1&amp;$A44&amp;$B44,배당편집!$D$2:$N$2710,11,FALSE), 0)</f>
        <v>0</v>
      </c>
      <c r="N44" s="3">
        <f>IFERROR(VLOOKUP(N$1&amp;$A44&amp;$B44,배당편집!$D$2:$N$2710,11,FALSE), 0)</f>
        <v>0</v>
      </c>
      <c r="O44" s="3">
        <f>IFERROR(VLOOKUP(O$1&amp;$A44&amp;$B44,배당편집!$D$2:$N$2710,11,FALSE), 0)</f>
        <v>0</v>
      </c>
      <c r="P44" s="3">
        <f>IFERROR(VLOOKUP(P$1&amp;$A44&amp;$B44,배당편집!$D$2:$N$2710,11,FALSE), 0)</f>
        <v>0.74590000000000001</v>
      </c>
      <c r="Q44" s="3">
        <f>IFERROR(VLOOKUP(Q$1&amp;$A44&amp;$B44,배당편집!$D$2:$N$2710,11,FALSE), 0)</f>
        <v>0</v>
      </c>
      <c r="R44" s="3">
        <f>IFERROR(VLOOKUP(R$1&amp;$A44&amp;$B44,배당편집!$D$2:$N$2710,11,FALSE), 0)</f>
        <v>0</v>
      </c>
      <c r="S44" s="3">
        <f>IFERROR(VLOOKUP(S$1&amp;$A44&amp;$B44,배당편집!$D$2:$N$2710,11,FALSE), 0)</f>
        <v>0</v>
      </c>
      <c r="T44" s="3">
        <f>IFERROR(VLOOKUP(T$1&amp;$A44&amp;$B44,배당편집!$D$2:$N$2710,11,FALSE), 0)</f>
        <v>1.02</v>
      </c>
      <c r="U44" s="3">
        <f>IFERROR(VLOOKUP(U$1&amp;$A44&amp;$B44,배당편집!$D$2:$N$2710,11,FALSE), 0)</f>
        <v>0.22</v>
      </c>
      <c r="V44" s="3">
        <f>IFERROR(VLOOKUP(V$1&amp;$A44&amp;$B44,배당편집!$D$2:$N$2710,11,FALSE), 0)</f>
        <v>0.21</v>
      </c>
      <c r="W44" s="3">
        <f>IFERROR(VLOOKUP(W$1&amp;$A44&amp;$B44,배당편집!$D$2:$N$2710,11,FALSE), 0)</f>
        <v>0.55000000000000004</v>
      </c>
      <c r="X44" s="3">
        <f>IFERROR(VLOOKUP(X$1&amp;$A44&amp;$B44,배당편집!$D$2:$N$2710,11,FALSE), 0)</f>
        <v>0</v>
      </c>
      <c r="Y44" s="3">
        <f>IFERROR(VLOOKUP(Y$1&amp;$A44&amp;$B44,배당편집!$D$2:$N$2710,11,FALSE), 0)</f>
        <v>0</v>
      </c>
      <c r="Z44" s="3">
        <f>IFERROR(VLOOKUP(Z$1&amp;$A44&amp;$B44,배당편집!$D$2:$N$2710,11,FALSE), 0)</f>
        <v>0.18</v>
      </c>
      <c r="AA44" s="3">
        <f>IFERROR(VLOOKUP(AA$1&amp;$A44&amp;$B44,배당편집!$D$2:$N$2710,11,FALSE), 0)</f>
        <v>0</v>
      </c>
      <c r="AB44" s="3">
        <f>IFERROR(VLOOKUP(AB$1&amp;$A44&amp;$B44,배당편집!$D$2:$N$2710,11,FALSE), 0)</f>
        <v>0.32</v>
      </c>
      <c r="AC44" s="3">
        <f>IFERROR(VLOOKUP(AC$1&amp;$A44&amp;$B44,배당편집!$D$2:$N$2710,11,FALSE), 0)</f>
        <v>0</v>
      </c>
      <c r="AD44" s="3">
        <f>IFERROR(VLOOKUP(AD$1&amp;$A44&amp;$B44,배당편집!$D$2:$N$2710,11,FALSE), 0)</f>
        <v>0</v>
      </c>
      <c r="AE44" s="3">
        <f>IFERROR(VLOOKUP(AE$1&amp;$A44&amp;$B44,배당편집!$D$2:$N$2710,11,FALSE), 0)</f>
        <v>0</v>
      </c>
      <c r="AF44" s="3">
        <f>IFERROR(VLOOKUP(AF$1&amp;$A44&amp;$B44,배당편집!$D$2:$N$2710,11,FALSE), 0)</f>
        <v>0</v>
      </c>
    </row>
    <row r="45" spans="1:32" ht="16.5" customHeight="1">
      <c r="A45" s="3">
        <v>2019</v>
      </c>
      <c r="B45" s="3">
        <v>8</v>
      </c>
      <c r="C45" s="3">
        <f>IFERROR(VLOOKUP(C$1&amp;$A45&amp;$B45,배당편집!$D$2:$N$2710,11,FALSE), 0)</f>
        <v>0.45750000000000002</v>
      </c>
      <c r="D45" s="3">
        <f>IFERROR(VLOOKUP(D$1&amp;$A45&amp;$B45,배당편집!$D$2:$N$2710,11,FALSE), 0)</f>
        <v>0</v>
      </c>
      <c r="E45" s="3">
        <f>IFERROR(VLOOKUP(E$1&amp;$A45&amp;$B45,배당편집!$D$2:$N$2710,11,FALSE), 0)</f>
        <v>0</v>
      </c>
      <c r="F45" s="3">
        <f>IFERROR(VLOOKUP(F$1&amp;$A45&amp;$B45,배당편집!$D$2:$N$2710,11,FALSE), 0)</f>
        <v>0.69</v>
      </c>
      <c r="G45" s="3">
        <f>IFERROR(VLOOKUP(G$1&amp;$A45&amp;$B45,배당편집!$D$2:$N$2710,11,FALSE), 0)</f>
        <v>0.87</v>
      </c>
      <c r="H45" s="3">
        <f>IFERROR(VLOOKUP(H$1&amp;$A45&amp;$B45,배당편집!$D$2:$N$2710,11,FALSE), 0)</f>
        <v>1.19</v>
      </c>
      <c r="I45" s="3">
        <f>IFERROR(VLOOKUP(I$1&amp;$A45&amp;$B45,배당편집!$D$2:$N$2710,11,FALSE), 0)</f>
        <v>0.505</v>
      </c>
      <c r="J45" s="3">
        <f>IFERROR(VLOOKUP(J$1&amp;$A45&amp;$B45,배당편집!$D$2:$N$2710,11,FALSE), 0)</f>
        <v>0</v>
      </c>
      <c r="K45" s="3">
        <f>IFERROR(VLOOKUP(K$1&amp;$A45&amp;$B45,배당편집!$D$2:$N$2710,11,FALSE), 0)</f>
        <v>0</v>
      </c>
      <c r="L45" s="3">
        <f>IFERROR(VLOOKUP(L$1&amp;$A45&amp;$B45,배당편집!$D$2:$N$2710,11,FALSE), 0)</f>
        <v>0.66</v>
      </c>
      <c r="M45" s="3">
        <f>IFERROR(VLOOKUP(M$1&amp;$A45&amp;$B45,배당편집!$D$2:$N$2710,11,FALSE), 0)</f>
        <v>0</v>
      </c>
      <c r="N45" s="3">
        <f>IFERROR(VLOOKUP(N$1&amp;$A45&amp;$B45,배당편집!$D$2:$N$2710,11,FALSE), 0)</f>
        <v>0.49</v>
      </c>
      <c r="O45" s="3">
        <f>IFERROR(VLOOKUP(O$1&amp;$A45&amp;$B45,배당편집!$D$2:$N$2710,11,FALSE), 0)</f>
        <v>0</v>
      </c>
      <c r="P45" s="3">
        <f>IFERROR(VLOOKUP(P$1&amp;$A45&amp;$B45,배당편집!$D$2:$N$2710,11,FALSE), 0)</f>
        <v>0</v>
      </c>
      <c r="Q45" s="3">
        <f>IFERROR(VLOOKUP(Q$1&amp;$A45&amp;$B45,배당편집!$D$2:$N$2710,11,FALSE), 0)</f>
        <v>0.95</v>
      </c>
      <c r="R45" s="3">
        <f>IFERROR(VLOOKUP(R$1&amp;$A45&amp;$B45,배당편집!$D$2:$N$2710,11,FALSE), 0)</f>
        <v>0.52500000000000002</v>
      </c>
      <c r="S45" s="3">
        <f>IFERROR(VLOOKUP(S$1&amp;$A45&amp;$B45,배당편집!$D$2:$N$2710,11,FALSE), 0)</f>
        <v>0</v>
      </c>
      <c r="T45" s="3">
        <f>IFERROR(VLOOKUP(T$1&amp;$A45&amp;$B45,배당편집!$D$2:$N$2710,11,FALSE), 0)</f>
        <v>0</v>
      </c>
      <c r="U45" s="3">
        <f>IFERROR(VLOOKUP(U$1&amp;$A45&amp;$B45,배당편집!$D$2:$N$2710,11,FALSE), 0)</f>
        <v>0</v>
      </c>
      <c r="V45" s="3">
        <f>IFERROR(VLOOKUP(V$1&amp;$A45&amp;$B45,배당편집!$D$2:$N$2710,11,FALSE), 0)</f>
        <v>0</v>
      </c>
      <c r="W45" s="3">
        <f>IFERROR(VLOOKUP(W$1&amp;$A45&amp;$B45,배당편집!$D$2:$N$2710,11,FALSE), 0)</f>
        <v>0</v>
      </c>
      <c r="X45" s="3">
        <f>IFERROR(VLOOKUP(X$1&amp;$A45&amp;$B45,배당편집!$D$2:$N$2710,11,FALSE), 0)</f>
        <v>0.51</v>
      </c>
      <c r="Y45" s="3">
        <f>IFERROR(VLOOKUP(Y$1&amp;$A45&amp;$B45,배당편집!$D$2:$N$2710,11,FALSE), 0)</f>
        <v>0.88</v>
      </c>
      <c r="Z45" s="3">
        <f>IFERROR(VLOOKUP(Z$1&amp;$A45&amp;$B45,배당편집!$D$2:$N$2710,11,FALSE), 0)</f>
        <v>0</v>
      </c>
      <c r="AA45" s="3">
        <f>IFERROR(VLOOKUP(AA$1&amp;$A45&amp;$B45,배당편집!$D$2:$N$2710,11,FALSE), 0)</f>
        <v>0.35</v>
      </c>
      <c r="AB45" s="3">
        <f>IFERROR(VLOOKUP(AB$1&amp;$A45&amp;$B45,배당편집!$D$2:$N$2710,11,FALSE), 0)</f>
        <v>0</v>
      </c>
      <c r="AC45" s="3">
        <f>IFERROR(VLOOKUP(AC$1&amp;$A45&amp;$B45,배당편집!$D$2:$N$2710,11,FALSE), 0)</f>
        <v>0.19750000000000001</v>
      </c>
      <c r="AD45" s="3">
        <f>IFERROR(VLOOKUP(AD$1&amp;$A45&amp;$B45,배당편집!$D$2:$N$2710,11,FALSE), 0)</f>
        <v>0</v>
      </c>
      <c r="AE45" s="3">
        <f>IFERROR(VLOOKUP(AE$1&amp;$A45&amp;$B45,배당편집!$D$2:$N$2710,11,FALSE), 0)</f>
        <v>0.22</v>
      </c>
      <c r="AF45" s="3">
        <f>IFERROR(VLOOKUP(AF$1&amp;$A45&amp;$B45,배당편집!$D$2:$N$2710,11,FALSE), 0)</f>
        <v>0.49</v>
      </c>
    </row>
    <row r="46" spans="1:32" ht="16.5" customHeight="1">
      <c r="A46" s="3">
        <v>2019</v>
      </c>
      <c r="B46" s="3">
        <v>9</v>
      </c>
      <c r="C46" s="3">
        <f>IFERROR(VLOOKUP(C$1&amp;$A46&amp;$B46,배당편집!$D$2:$N$2710,11,FALSE), 0)</f>
        <v>0</v>
      </c>
      <c r="D46" s="3">
        <f>IFERROR(VLOOKUP(D$1&amp;$A46&amp;$B46,배당편집!$D$2:$N$2710,11,FALSE), 0)</f>
        <v>0.4</v>
      </c>
      <c r="E46" s="3">
        <f>IFERROR(VLOOKUP(E$1&amp;$A46&amp;$B46,배당편집!$D$2:$N$2710,11,FALSE), 0)</f>
        <v>0.26</v>
      </c>
      <c r="F46" s="3">
        <f>IFERROR(VLOOKUP(F$1&amp;$A46&amp;$B46,배당편집!$D$2:$N$2710,11,FALSE), 0)</f>
        <v>0</v>
      </c>
      <c r="G46" s="3">
        <f>IFERROR(VLOOKUP(G$1&amp;$A46&amp;$B46,배당편집!$D$2:$N$2710,11,FALSE), 0)</f>
        <v>0</v>
      </c>
      <c r="H46" s="3">
        <f>IFERROR(VLOOKUP(H$1&amp;$A46&amp;$B46,배당편집!$D$2:$N$2710,11,FALSE), 0)</f>
        <v>0</v>
      </c>
      <c r="I46" s="3">
        <f>IFERROR(VLOOKUP(I$1&amp;$A46&amp;$B46,배당편집!$D$2:$N$2710,11,FALSE), 0)</f>
        <v>0</v>
      </c>
      <c r="J46" s="3">
        <f>IFERROR(VLOOKUP(J$1&amp;$A46&amp;$B46,배당편집!$D$2:$N$2710,11,FALSE), 0)</f>
        <v>0.435</v>
      </c>
      <c r="K46" s="3">
        <f>IFERROR(VLOOKUP(K$1&amp;$A46&amp;$B46,배당편집!$D$2:$N$2710,11,FALSE), 0)</f>
        <v>0</v>
      </c>
      <c r="L46" s="3">
        <f>IFERROR(VLOOKUP(L$1&amp;$A46&amp;$B46,배당편집!$D$2:$N$2710,11,FALSE), 0)</f>
        <v>0</v>
      </c>
      <c r="M46" s="3">
        <f>IFERROR(VLOOKUP(M$1&amp;$A46&amp;$B46,배당편집!$D$2:$N$2710,11,FALSE), 0)</f>
        <v>1.07</v>
      </c>
      <c r="N46" s="3">
        <f>IFERROR(VLOOKUP(N$1&amp;$A46&amp;$B46,배당편집!$D$2:$N$2710,11,FALSE), 0)</f>
        <v>0</v>
      </c>
      <c r="O46" s="3">
        <f>IFERROR(VLOOKUP(O$1&amp;$A46&amp;$B46,배당편집!$D$2:$N$2710,11,FALSE), 0)</f>
        <v>1.1599999999999999</v>
      </c>
      <c r="P46" s="3">
        <f>IFERROR(VLOOKUP(P$1&amp;$A46&amp;$B46,배당편집!$D$2:$N$2710,11,FALSE), 0)</f>
        <v>0</v>
      </c>
      <c r="Q46" s="3">
        <f>IFERROR(VLOOKUP(Q$1&amp;$A46&amp;$B46,배당편집!$D$2:$N$2710,11,FALSE), 0)</f>
        <v>0</v>
      </c>
      <c r="R46" s="3">
        <f>IFERROR(VLOOKUP(R$1&amp;$A46&amp;$B46,배당편집!$D$2:$N$2710,11,FALSE), 0)</f>
        <v>0</v>
      </c>
      <c r="S46" s="3">
        <f>IFERROR(VLOOKUP(S$1&amp;$A46&amp;$B46,배당편집!$D$2:$N$2710,11,FALSE), 0)</f>
        <v>0.76249999999999996</v>
      </c>
      <c r="T46" s="3">
        <f>IFERROR(VLOOKUP(T$1&amp;$A46&amp;$B46,배당편집!$D$2:$N$2710,11,FALSE), 0)</f>
        <v>0</v>
      </c>
      <c r="U46" s="3">
        <f>IFERROR(VLOOKUP(U$1&amp;$A46&amp;$B46,배당편집!$D$2:$N$2710,11,FALSE), 0)</f>
        <v>0</v>
      </c>
      <c r="V46" s="3">
        <f>IFERROR(VLOOKUP(V$1&amp;$A46&amp;$B46,배당편집!$D$2:$N$2710,11,FALSE), 0)</f>
        <v>0</v>
      </c>
      <c r="W46" s="3">
        <f>IFERROR(VLOOKUP(W$1&amp;$A46&amp;$B46,배당편집!$D$2:$N$2710,11,FALSE), 0)</f>
        <v>0</v>
      </c>
      <c r="X46" s="3">
        <f>IFERROR(VLOOKUP(X$1&amp;$A46&amp;$B46,배당편집!$D$2:$N$2710,11,FALSE), 0)</f>
        <v>0</v>
      </c>
      <c r="Y46" s="3">
        <f>IFERROR(VLOOKUP(Y$1&amp;$A46&amp;$B46,배당편집!$D$2:$N$2710,11,FALSE), 0)</f>
        <v>0</v>
      </c>
      <c r="Z46" s="3">
        <f>IFERROR(VLOOKUP(Z$1&amp;$A46&amp;$B46,배당편집!$D$2:$N$2710,11,FALSE), 0)</f>
        <v>0</v>
      </c>
      <c r="AA46" s="3">
        <f>IFERROR(VLOOKUP(AA$1&amp;$A46&amp;$B46,배당편집!$D$2:$N$2710,11,FALSE), 0)</f>
        <v>0</v>
      </c>
      <c r="AB46" s="3">
        <f>IFERROR(VLOOKUP(AB$1&amp;$A46&amp;$B46,배당편집!$D$2:$N$2710,11,FALSE), 0)</f>
        <v>0</v>
      </c>
      <c r="AC46" s="3">
        <f>IFERROR(VLOOKUP(AC$1&amp;$A46&amp;$B46,배당편집!$D$2:$N$2710,11,FALSE), 0)</f>
        <v>0</v>
      </c>
      <c r="AD46" s="3">
        <f>IFERROR(VLOOKUP(AD$1&amp;$A46&amp;$B46,배당편집!$D$2:$N$2710,11,FALSE), 0)</f>
        <v>0.79</v>
      </c>
      <c r="AE46" s="3">
        <f>IFERROR(VLOOKUP(AE$1&amp;$A46&amp;$B46,배당편집!$D$2:$N$2710,11,FALSE), 0)</f>
        <v>0</v>
      </c>
      <c r="AF46" s="3">
        <f>IFERROR(VLOOKUP(AF$1&amp;$A46&amp;$B46,배당편집!$D$2:$N$2710,11,FALSE), 0)</f>
        <v>0</v>
      </c>
    </row>
    <row r="47" spans="1:32" ht="16.5" customHeight="1">
      <c r="A47" s="3">
        <v>2019</v>
      </c>
      <c r="B47" s="3">
        <v>10</v>
      </c>
      <c r="C47" s="3">
        <f>IFERROR(VLOOKUP(C$1&amp;$A47&amp;$B47,배당편집!$D$2:$N$2710,11,FALSE), 0)</f>
        <v>0</v>
      </c>
      <c r="D47" s="3">
        <f>IFERROR(VLOOKUP(D$1&amp;$A47&amp;$B47,배당편집!$D$2:$N$2710,11,FALSE), 0)</f>
        <v>0</v>
      </c>
      <c r="E47" s="3">
        <f>IFERROR(VLOOKUP(E$1&amp;$A47&amp;$B47,배당편집!$D$2:$N$2710,11,FALSE), 0)</f>
        <v>0</v>
      </c>
      <c r="F47" s="3">
        <f>IFERROR(VLOOKUP(F$1&amp;$A47&amp;$B47,배당편집!$D$2:$N$2710,11,FALSE), 0)</f>
        <v>0</v>
      </c>
      <c r="G47" s="3">
        <f>IFERROR(VLOOKUP(G$1&amp;$A47&amp;$B47,배당편집!$D$2:$N$2710,11,FALSE), 0)</f>
        <v>0</v>
      </c>
      <c r="H47" s="3">
        <f>IFERROR(VLOOKUP(H$1&amp;$A47&amp;$B47,배당편집!$D$2:$N$2710,11,FALSE), 0)</f>
        <v>0</v>
      </c>
      <c r="I47" s="3">
        <f>IFERROR(VLOOKUP(I$1&amp;$A47&amp;$B47,배당편집!$D$2:$N$2710,11,FALSE), 0)</f>
        <v>0</v>
      </c>
      <c r="J47" s="3">
        <f>IFERROR(VLOOKUP(J$1&amp;$A47&amp;$B47,배당편집!$D$2:$N$2710,11,FALSE), 0)</f>
        <v>0</v>
      </c>
      <c r="K47" s="3">
        <f>IFERROR(VLOOKUP(K$1&amp;$A47&amp;$B47,배당편집!$D$2:$N$2710,11,FALSE), 0)</f>
        <v>1.03</v>
      </c>
      <c r="L47" s="3">
        <f>IFERROR(VLOOKUP(L$1&amp;$A47&amp;$B47,배당편집!$D$2:$N$2710,11,FALSE), 0)</f>
        <v>0</v>
      </c>
      <c r="M47" s="3">
        <f>IFERROR(VLOOKUP(M$1&amp;$A47&amp;$B47,배당편집!$D$2:$N$2710,11,FALSE), 0)</f>
        <v>0</v>
      </c>
      <c r="N47" s="3">
        <f>IFERROR(VLOOKUP(N$1&amp;$A47&amp;$B47,배당편집!$D$2:$N$2710,11,FALSE), 0)</f>
        <v>0</v>
      </c>
      <c r="O47" s="3">
        <f>IFERROR(VLOOKUP(O$1&amp;$A47&amp;$B47,배당편집!$D$2:$N$2710,11,FALSE), 0)</f>
        <v>0</v>
      </c>
      <c r="P47" s="3">
        <f>IFERROR(VLOOKUP(P$1&amp;$A47&amp;$B47,배당편집!$D$2:$N$2710,11,FALSE), 0)</f>
        <v>0.74590000000000001</v>
      </c>
      <c r="Q47" s="3">
        <f>IFERROR(VLOOKUP(Q$1&amp;$A47&amp;$B47,배당편집!$D$2:$N$2710,11,FALSE), 0)</f>
        <v>0</v>
      </c>
      <c r="R47" s="3">
        <f>IFERROR(VLOOKUP(R$1&amp;$A47&amp;$B47,배당편집!$D$2:$N$2710,11,FALSE), 0)</f>
        <v>0</v>
      </c>
      <c r="S47" s="3">
        <f>IFERROR(VLOOKUP(S$1&amp;$A47&amp;$B47,배당편집!$D$2:$N$2710,11,FALSE), 0)</f>
        <v>0</v>
      </c>
      <c r="T47" s="3">
        <f>IFERROR(VLOOKUP(T$1&amp;$A47&amp;$B47,배당편집!$D$2:$N$2710,11,FALSE), 0)</f>
        <v>1.02</v>
      </c>
      <c r="U47" s="3">
        <f>IFERROR(VLOOKUP(U$1&amp;$A47&amp;$B47,배당편집!$D$2:$N$2710,11,FALSE), 0)</f>
        <v>0.24</v>
      </c>
      <c r="V47" s="3">
        <f>IFERROR(VLOOKUP(V$1&amp;$A47&amp;$B47,배당편집!$D$2:$N$2710,11,FALSE), 0)</f>
        <v>0.21</v>
      </c>
      <c r="W47" s="3">
        <f>IFERROR(VLOOKUP(W$1&amp;$A47&amp;$B47,배당편집!$D$2:$N$2710,11,FALSE), 0)</f>
        <v>0.55000000000000004</v>
      </c>
      <c r="X47" s="3">
        <f>IFERROR(VLOOKUP(X$1&amp;$A47&amp;$B47,배당편집!$D$2:$N$2710,11,FALSE), 0)</f>
        <v>0</v>
      </c>
      <c r="Y47" s="3">
        <f>IFERROR(VLOOKUP(Y$1&amp;$A47&amp;$B47,배당편집!$D$2:$N$2710,11,FALSE), 0)</f>
        <v>0</v>
      </c>
      <c r="Z47" s="3">
        <f>IFERROR(VLOOKUP(Z$1&amp;$A47&amp;$B47,배당편집!$D$2:$N$2710,11,FALSE), 0)</f>
        <v>0.18</v>
      </c>
      <c r="AA47" s="3">
        <f>IFERROR(VLOOKUP(AA$1&amp;$A47&amp;$B47,배당편집!$D$2:$N$2710,11,FALSE), 0)</f>
        <v>0</v>
      </c>
      <c r="AB47" s="3">
        <f>IFERROR(VLOOKUP(AB$1&amp;$A47&amp;$B47,배당편집!$D$2:$N$2710,11,FALSE), 0)</f>
        <v>0.32</v>
      </c>
      <c r="AC47" s="3">
        <f>IFERROR(VLOOKUP(AC$1&amp;$A47&amp;$B47,배당편집!$D$2:$N$2710,11,FALSE), 0)</f>
        <v>0</v>
      </c>
      <c r="AD47" s="3">
        <f>IFERROR(VLOOKUP(AD$1&amp;$A47&amp;$B47,배당편집!$D$2:$N$2710,11,FALSE), 0)</f>
        <v>0</v>
      </c>
      <c r="AE47" s="3">
        <f>IFERROR(VLOOKUP(AE$1&amp;$A47&amp;$B47,배당편집!$D$2:$N$2710,11,FALSE), 0)</f>
        <v>0</v>
      </c>
      <c r="AF47" s="3">
        <f>IFERROR(VLOOKUP(AF$1&amp;$A47&amp;$B47,배당편집!$D$2:$N$2710,11,FALSE), 0)</f>
        <v>0</v>
      </c>
    </row>
    <row r="48" spans="1:32" ht="16.5" customHeight="1">
      <c r="A48" s="3">
        <v>2019</v>
      </c>
      <c r="B48" s="3">
        <v>11</v>
      </c>
      <c r="C48" s="3">
        <f>IFERROR(VLOOKUP(C$1&amp;$A48&amp;$B48,배당편집!$D$2:$N$2710,11,FALSE), 0)</f>
        <v>0.45750000000000002</v>
      </c>
      <c r="D48" s="3">
        <f>IFERROR(VLOOKUP(D$1&amp;$A48&amp;$B48,배당편집!$D$2:$N$2710,11,FALSE), 0)</f>
        <v>0</v>
      </c>
      <c r="E48" s="3">
        <f>IFERROR(VLOOKUP(E$1&amp;$A48&amp;$B48,배당편집!$D$2:$N$2710,11,FALSE), 0)</f>
        <v>0</v>
      </c>
      <c r="F48" s="3">
        <f>IFERROR(VLOOKUP(F$1&amp;$A48&amp;$B48,배당편집!$D$2:$N$2710,11,FALSE), 0)</f>
        <v>0.69</v>
      </c>
      <c r="G48" s="3">
        <f>IFERROR(VLOOKUP(G$1&amp;$A48&amp;$B48,배당편집!$D$2:$N$2710,11,FALSE), 0)</f>
        <v>0.87</v>
      </c>
      <c r="H48" s="3">
        <f>IFERROR(VLOOKUP(H$1&amp;$A48&amp;$B48,배당편집!$D$2:$N$2710,11,FALSE), 0)</f>
        <v>1.19</v>
      </c>
      <c r="I48" s="3">
        <f>IFERROR(VLOOKUP(I$1&amp;$A48&amp;$B48,배당편집!$D$2:$N$2710,11,FALSE), 0)</f>
        <v>0.53500000000000003</v>
      </c>
      <c r="J48" s="3">
        <f>IFERROR(VLOOKUP(J$1&amp;$A48&amp;$B48,배당편집!$D$2:$N$2710,11,FALSE), 0)</f>
        <v>0</v>
      </c>
      <c r="K48" s="3">
        <f>IFERROR(VLOOKUP(K$1&amp;$A48&amp;$B48,배당편집!$D$2:$N$2710,11,FALSE), 0)</f>
        <v>0</v>
      </c>
      <c r="L48" s="3">
        <f>IFERROR(VLOOKUP(L$1&amp;$A48&amp;$B48,배당편집!$D$2:$N$2710,11,FALSE), 0)</f>
        <v>0.66</v>
      </c>
      <c r="M48" s="3">
        <f>IFERROR(VLOOKUP(M$1&amp;$A48&amp;$B48,배당편집!$D$2:$N$2710,11,FALSE), 0)</f>
        <v>0</v>
      </c>
      <c r="N48" s="3">
        <f>IFERROR(VLOOKUP(N$1&amp;$A48&amp;$B48,배당편집!$D$2:$N$2710,11,FALSE), 0)</f>
        <v>0.5</v>
      </c>
      <c r="O48" s="3">
        <f>IFERROR(VLOOKUP(O$1&amp;$A48&amp;$B48,배당편집!$D$2:$N$2710,11,FALSE), 0)</f>
        <v>0</v>
      </c>
      <c r="P48" s="3">
        <f>IFERROR(VLOOKUP(P$1&amp;$A48&amp;$B48,배당편집!$D$2:$N$2710,11,FALSE), 0)</f>
        <v>0</v>
      </c>
      <c r="Q48" s="3">
        <f>IFERROR(VLOOKUP(Q$1&amp;$A48&amp;$B48,배당편집!$D$2:$N$2710,11,FALSE), 0)</f>
        <v>0.95</v>
      </c>
      <c r="R48" s="3">
        <f>IFERROR(VLOOKUP(R$1&amp;$A48&amp;$B48,배당편집!$D$2:$N$2710,11,FALSE), 0)</f>
        <v>0.57499999999999996</v>
      </c>
      <c r="S48" s="3">
        <f>IFERROR(VLOOKUP(S$1&amp;$A48&amp;$B48,배당편집!$D$2:$N$2710,11,FALSE), 0)</f>
        <v>0</v>
      </c>
      <c r="T48" s="3">
        <f>IFERROR(VLOOKUP(T$1&amp;$A48&amp;$B48,배당편집!$D$2:$N$2710,11,FALSE), 0)</f>
        <v>0</v>
      </c>
      <c r="U48" s="3">
        <f>IFERROR(VLOOKUP(U$1&amp;$A48&amp;$B48,배당편집!$D$2:$N$2710,11,FALSE), 0)</f>
        <v>0</v>
      </c>
      <c r="V48" s="3">
        <f>IFERROR(VLOOKUP(V$1&amp;$A48&amp;$B48,배당편집!$D$2:$N$2710,11,FALSE), 0)</f>
        <v>0</v>
      </c>
      <c r="W48" s="3">
        <f>IFERROR(VLOOKUP(W$1&amp;$A48&amp;$B48,배당편집!$D$2:$N$2710,11,FALSE), 0)</f>
        <v>0</v>
      </c>
      <c r="X48" s="3">
        <f>IFERROR(VLOOKUP(X$1&amp;$A48&amp;$B48,배당편집!$D$2:$N$2710,11,FALSE), 0)</f>
        <v>0.51</v>
      </c>
      <c r="Y48" s="3">
        <f>IFERROR(VLOOKUP(Y$1&amp;$A48&amp;$B48,배당편집!$D$2:$N$2710,11,FALSE), 0)</f>
        <v>0.88</v>
      </c>
      <c r="Z48" s="3">
        <f>IFERROR(VLOOKUP(Z$1&amp;$A48&amp;$B48,배당편집!$D$2:$N$2710,11,FALSE), 0)</f>
        <v>0</v>
      </c>
      <c r="AA48" s="3">
        <f>IFERROR(VLOOKUP(AA$1&amp;$A48&amp;$B48,배당편집!$D$2:$N$2710,11,FALSE), 0)</f>
        <v>0.35</v>
      </c>
      <c r="AB48" s="3">
        <f>IFERROR(VLOOKUP(AB$1&amp;$A48&amp;$B48,배당편집!$D$2:$N$2710,11,FALSE), 0)</f>
        <v>0</v>
      </c>
      <c r="AC48" s="3">
        <f>IFERROR(VLOOKUP(AC$1&amp;$A48&amp;$B48,배당편집!$D$2:$N$2710,11,FALSE), 0)</f>
        <v>0.19750000000000001</v>
      </c>
      <c r="AD48" s="3">
        <f>IFERROR(VLOOKUP(AD$1&amp;$A48&amp;$B48,배당편집!$D$2:$N$2710,11,FALSE), 0)</f>
        <v>0</v>
      </c>
      <c r="AE48" s="3">
        <f>IFERROR(VLOOKUP(AE$1&amp;$A48&amp;$B48,배당편집!$D$2:$N$2710,11,FALSE), 0)</f>
        <v>0.22</v>
      </c>
      <c r="AF48" s="3">
        <f>IFERROR(VLOOKUP(AF$1&amp;$A48&amp;$B48,배당편집!$D$2:$N$2710,11,FALSE), 0)</f>
        <v>0.49</v>
      </c>
    </row>
    <row r="49" spans="1:32" ht="16.5" customHeight="1">
      <c r="A49" s="3">
        <v>2019</v>
      </c>
      <c r="B49" s="3">
        <v>12</v>
      </c>
      <c r="C49" s="3">
        <f>IFERROR(VLOOKUP(C$1&amp;$A49&amp;$B49,배당편집!$D$2:$N$2710,11,FALSE), 0)</f>
        <v>0</v>
      </c>
      <c r="D49" s="3">
        <f>IFERROR(VLOOKUP(D$1&amp;$A49&amp;$B49,배당편집!$D$2:$N$2710,11,FALSE), 0)</f>
        <v>0.4</v>
      </c>
      <c r="E49" s="3">
        <f>IFERROR(VLOOKUP(E$1&amp;$A49&amp;$B49,배당편집!$D$2:$N$2710,11,FALSE), 0)</f>
        <v>0.27</v>
      </c>
      <c r="F49" s="3">
        <f>IFERROR(VLOOKUP(F$1&amp;$A49&amp;$B49,배당편집!$D$2:$N$2710,11,FALSE), 0)</f>
        <v>0</v>
      </c>
      <c r="G49" s="3">
        <f>IFERROR(VLOOKUP(G$1&amp;$A49&amp;$B49,배당편집!$D$2:$N$2710,11,FALSE), 0)</f>
        <v>0</v>
      </c>
      <c r="H49" s="3">
        <f>IFERROR(VLOOKUP(H$1&amp;$A49&amp;$B49,배당편집!$D$2:$N$2710,11,FALSE), 0)</f>
        <v>0</v>
      </c>
      <c r="I49" s="3">
        <f>IFERROR(VLOOKUP(I$1&amp;$A49&amp;$B49,배당편집!$D$2:$N$2710,11,FALSE), 0)</f>
        <v>0</v>
      </c>
      <c r="J49" s="3">
        <f>IFERROR(VLOOKUP(J$1&amp;$A49&amp;$B49,배당편집!$D$2:$N$2710,11,FALSE), 0)</f>
        <v>0.435</v>
      </c>
      <c r="K49" s="3">
        <f>IFERROR(VLOOKUP(K$1&amp;$A49&amp;$B49,배당편집!$D$2:$N$2710,11,FALSE), 0)</f>
        <v>0</v>
      </c>
      <c r="L49" s="3">
        <f>IFERROR(VLOOKUP(L$1&amp;$A49&amp;$B49,배당편집!$D$2:$N$2710,11,FALSE), 0)</f>
        <v>0</v>
      </c>
      <c r="M49" s="3">
        <f>IFERROR(VLOOKUP(M$1&amp;$A49&amp;$B49,배당편집!$D$2:$N$2710,11,FALSE), 0)</f>
        <v>1.07</v>
      </c>
      <c r="N49" s="3">
        <f>IFERROR(VLOOKUP(N$1&amp;$A49&amp;$B49,배당편집!$D$2:$N$2710,11,FALSE), 0)</f>
        <v>0</v>
      </c>
      <c r="O49" s="3">
        <f>IFERROR(VLOOKUP(O$1&amp;$A49&amp;$B49,배당편집!$D$2:$N$2710,11,FALSE), 0)</f>
        <v>1.1599999999999999</v>
      </c>
      <c r="P49" s="3">
        <f>IFERROR(VLOOKUP(P$1&amp;$A49&amp;$B49,배당편집!$D$2:$N$2710,11,FALSE), 0)</f>
        <v>0</v>
      </c>
      <c r="Q49" s="3">
        <f>IFERROR(VLOOKUP(Q$1&amp;$A49&amp;$B49,배당편집!$D$2:$N$2710,11,FALSE), 0)</f>
        <v>0</v>
      </c>
      <c r="R49" s="3">
        <f>IFERROR(VLOOKUP(R$1&amp;$A49&amp;$B49,배당편집!$D$2:$N$2710,11,FALSE), 0)</f>
        <v>0</v>
      </c>
      <c r="S49" s="3">
        <f>IFERROR(VLOOKUP(S$1&amp;$A49&amp;$B49,배당편집!$D$2:$N$2710,11,FALSE), 0)</f>
        <v>0.76249999999999996</v>
      </c>
      <c r="T49" s="3">
        <f>IFERROR(VLOOKUP(T$1&amp;$A49&amp;$B49,배당편집!$D$2:$N$2710,11,FALSE), 0)</f>
        <v>0</v>
      </c>
      <c r="U49" s="3">
        <f>IFERROR(VLOOKUP(U$1&amp;$A49&amp;$B49,배당편집!$D$2:$N$2710,11,FALSE), 0)</f>
        <v>0</v>
      </c>
      <c r="V49" s="3">
        <f>IFERROR(VLOOKUP(V$1&amp;$A49&amp;$B49,배당편집!$D$2:$N$2710,11,FALSE), 0)</f>
        <v>0</v>
      </c>
      <c r="W49" s="3">
        <f>IFERROR(VLOOKUP(W$1&amp;$A49&amp;$B49,배당편집!$D$2:$N$2710,11,FALSE), 0)</f>
        <v>0</v>
      </c>
      <c r="X49" s="3">
        <f>IFERROR(VLOOKUP(X$1&amp;$A49&amp;$B49,배당편집!$D$2:$N$2710,11,FALSE), 0)</f>
        <v>0</v>
      </c>
      <c r="Y49" s="3">
        <f>IFERROR(VLOOKUP(Y$1&amp;$A49&amp;$B49,배당편집!$D$2:$N$2710,11,FALSE), 0)</f>
        <v>0</v>
      </c>
      <c r="Z49" s="3">
        <f>IFERROR(VLOOKUP(Z$1&amp;$A49&amp;$B49,배당편집!$D$2:$N$2710,11,FALSE), 0)</f>
        <v>0.185</v>
      </c>
      <c r="AA49" s="3">
        <f>IFERROR(VLOOKUP(AA$1&amp;$A49&amp;$B49,배당편집!$D$2:$N$2710,11,FALSE), 0)</f>
        <v>0</v>
      </c>
      <c r="AB49" s="3">
        <f>IFERROR(VLOOKUP(AB$1&amp;$A49&amp;$B49,배당편집!$D$2:$N$2710,11,FALSE), 0)</f>
        <v>0</v>
      </c>
      <c r="AC49" s="3">
        <f>IFERROR(VLOOKUP(AC$1&amp;$A49&amp;$B49,배당편집!$D$2:$N$2710,11,FALSE), 0)</f>
        <v>0</v>
      </c>
      <c r="AD49" s="3">
        <f>IFERROR(VLOOKUP(AD$1&amp;$A49&amp;$B49,배당편집!$D$2:$N$2710,11,FALSE), 0)</f>
        <v>0.91</v>
      </c>
      <c r="AE49" s="3">
        <f>IFERROR(VLOOKUP(AE$1&amp;$A49&amp;$B49,배당편집!$D$2:$N$2710,11,FALSE), 0)</f>
        <v>0</v>
      </c>
      <c r="AF49" s="3">
        <f>IFERROR(VLOOKUP(AF$1&amp;$A49&amp;$B49,배당편집!$D$2:$N$2710,11,FALSE), 0)</f>
        <v>0</v>
      </c>
    </row>
    <row r="50" spans="1:32" ht="16.5" customHeight="1">
      <c r="A50" s="3">
        <v>2018</v>
      </c>
      <c r="B50" s="3">
        <v>1</v>
      </c>
      <c r="C50" s="3">
        <f>IFERROR(VLOOKUP(C$1&amp;$A50&amp;$B50,배당편집!$D$2:$N$2710,11,FALSE), 0)</f>
        <v>0</v>
      </c>
      <c r="D50" s="3">
        <f>IFERROR(VLOOKUP(D$1&amp;$A50&amp;$B50,배당편집!$D$2:$N$2710,11,FALSE), 0)</f>
        <v>0</v>
      </c>
      <c r="E50" s="3">
        <f>IFERROR(VLOOKUP(E$1&amp;$A50&amp;$B50,배당편집!$D$2:$N$2710,11,FALSE), 0)</f>
        <v>0</v>
      </c>
      <c r="F50" s="3">
        <f>IFERROR(VLOOKUP(F$1&amp;$A50&amp;$B50,배당편집!$D$2:$N$2710,11,FALSE), 0)</f>
        <v>0</v>
      </c>
      <c r="G50" s="3">
        <f>IFERROR(VLOOKUP(G$1&amp;$A50&amp;$B50,배당편집!$D$2:$N$2710,11,FALSE), 0)</f>
        <v>0</v>
      </c>
      <c r="H50" s="3">
        <f>IFERROR(VLOOKUP(H$1&amp;$A50&amp;$B50,배당편집!$D$2:$N$2710,11,FALSE), 0)</f>
        <v>0</v>
      </c>
      <c r="I50" s="3">
        <f>IFERROR(VLOOKUP(I$1&amp;$A50&amp;$B50,배당편집!$D$2:$N$2710,11,FALSE), 0)</f>
        <v>0</v>
      </c>
      <c r="J50" s="3">
        <f>IFERROR(VLOOKUP(J$1&amp;$A50&amp;$B50,배당편집!$D$2:$N$2710,11,FALSE), 0)</f>
        <v>0</v>
      </c>
      <c r="K50" s="3">
        <f>IFERROR(VLOOKUP(K$1&amp;$A50&amp;$B50,배당편집!$D$2:$N$2710,11,FALSE), 0)</f>
        <v>0.78</v>
      </c>
      <c r="L50" s="3">
        <f>IFERROR(VLOOKUP(L$1&amp;$A50&amp;$B50,배당편집!$D$2:$N$2710,11,FALSE), 0)</f>
        <v>0</v>
      </c>
      <c r="M50" s="3">
        <f>IFERROR(VLOOKUP(M$1&amp;$A50&amp;$B50,배당편집!$D$2:$N$2710,11,FALSE), 0)</f>
        <v>0</v>
      </c>
      <c r="N50" s="3">
        <f>IFERROR(VLOOKUP(N$1&amp;$A50&amp;$B50,배당편집!$D$2:$N$2710,11,FALSE), 0)</f>
        <v>0</v>
      </c>
      <c r="O50" s="3">
        <f>IFERROR(VLOOKUP(O$1&amp;$A50&amp;$B50,배당편집!$D$2:$N$2710,11,FALSE), 0)</f>
        <v>0</v>
      </c>
      <c r="P50" s="3">
        <f>IFERROR(VLOOKUP(P$1&amp;$A50&amp;$B50,배당편집!$D$2:$N$2710,11,FALSE), 0)</f>
        <v>0.68959999999999999</v>
      </c>
      <c r="Q50" s="3">
        <f>IFERROR(VLOOKUP(Q$1&amp;$A50&amp;$B50,배당편집!$D$2:$N$2710,11,FALSE), 0)</f>
        <v>0</v>
      </c>
      <c r="R50" s="3">
        <f>IFERROR(VLOOKUP(R$1&amp;$A50&amp;$B50,배당편집!$D$2:$N$2710,11,FALSE), 0)</f>
        <v>0</v>
      </c>
      <c r="S50" s="3">
        <f>IFERROR(VLOOKUP(S$1&amp;$A50&amp;$B50,배당편집!$D$2:$N$2710,11,FALSE), 0)</f>
        <v>0</v>
      </c>
      <c r="T50" s="3">
        <f>IFERROR(VLOOKUP(T$1&amp;$A50&amp;$B50,배당편집!$D$2:$N$2710,11,FALSE), 0)</f>
        <v>0.84</v>
      </c>
      <c r="U50" s="3">
        <f>IFERROR(VLOOKUP(U$1&amp;$A50&amp;$B50,배당편집!$D$2:$N$2710,11,FALSE), 0)</f>
        <v>0.18</v>
      </c>
      <c r="V50" s="3">
        <f>IFERROR(VLOOKUP(V$1&amp;$A50&amp;$B50,배당편집!$D$2:$N$2710,11,FALSE), 0)</f>
        <v>0.1875</v>
      </c>
      <c r="W50" s="3">
        <f>IFERROR(VLOOKUP(W$1&amp;$A50&amp;$B50,배당편집!$D$2:$N$2710,11,FALSE), 0)</f>
        <v>0.41</v>
      </c>
      <c r="X50" s="3">
        <f>IFERROR(VLOOKUP(X$1&amp;$A50&amp;$B50,배당편집!$D$2:$N$2710,11,FALSE), 0)</f>
        <v>0</v>
      </c>
      <c r="Y50" s="3">
        <f>IFERROR(VLOOKUP(Y$1&amp;$A50&amp;$B50,배당편집!$D$2:$N$2710,11,FALSE), 0)</f>
        <v>0</v>
      </c>
      <c r="Z50" s="3">
        <f>IFERROR(VLOOKUP(Z$1&amp;$A50&amp;$B50,배당편집!$D$2:$N$2710,11,FALSE), 0)</f>
        <v>0.17499999999999999</v>
      </c>
      <c r="AA50" s="3">
        <f>IFERROR(VLOOKUP(AA$1&amp;$A50&amp;$B50,배당편집!$D$2:$N$2710,11,FALSE), 0)</f>
        <v>0</v>
      </c>
      <c r="AB50" s="3">
        <f>IFERROR(VLOOKUP(AB$1&amp;$A50&amp;$B50,배당편집!$D$2:$N$2710,11,FALSE), 0)</f>
        <v>0.28000000000000003</v>
      </c>
      <c r="AC50" s="3">
        <f>IFERROR(VLOOKUP(AC$1&amp;$A50&amp;$B50,배당편집!$D$2:$N$2710,11,FALSE), 0)</f>
        <v>0</v>
      </c>
      <c r="AD50" s="3">
        <f>IFERROR(VLOOKUP(AD$1&amp;$A50&amp;$B50,배당편집!$D$2:$N$2710,11,FALSE), 0)</f>
        <v>0</v>
      </c>
      <c r="AE50" s="3">
        <f>IFERROR(VLOOKUP(AE$1&amp;$A50&amp;$B50,배당편집!$D$2:$N$2710,11,FALSE), 0)</f>
        <v>0</v>
      </c>
      <c r="AF50" s="3">
        <f>IFERROR(VLOOKUP(AF$1&amp;$A50&amp;$B50,배당편집!$D$2:$N$2710,11,FALSE), 0)</f>
        <v>0</v>
      </c>
    </row>
    <row r="51" spans="1:32" ht="16.5" customHeight="1">
      <c r="A51" s="3">
        <v>2018</v>
      </c>
      <c r="B51" s="3">
        <v>2</v>
      </c>
      <c r="C51" s="3">
        <f>IFERROR(VLOOKUP(C$1&amp;$A51&amp;$B51,배당편집!$D$2:$N$2710,11,FALSE), 0)</f>
        <v>0.4</v>
      </c>
      <c r="D51" s="3">
        <f>IFERROR(VLOOKUP(D$1&amp;$A51&amp;$B51,배당편집!$D$2:$N$2710,11,FALSE), 0)</f>
        <v>0</v>
      </c>
      <c r="E51" s="3">
        <f>IFERROR(VLOOKUP(E$1&amp;$A51&amp;$B51,배당편집!$D$2:$N$2710,11,FALSE), 0)</f>
        <v>0</v>
      </c>
      <c r="F51" s="3">
        <f>IFERROR(VLOOKUP(F$1&amp;$A51&amp;$B51,배당편집!$D$2:$N$2710,11,FALSE), 0)</f>
        <v>0</v>
      </c>
      <c r="G51" s="3">
        <f>IFERROR(VLOOKUP(G$1&amp;$A51&amp;$B51,배당편집!$D$2:$N$2710,11,FALSE), 0)</f>
        <v>0.77</v>
      </c>
      <c r="H51" s="3">
        <f>IFERROR(VLOOKUP(H$1&amp;$A51&amp;$B51,배당편집!$D$2:$N$2710,11,FALSE), 0)</f>
        <v>1.1200000000000001</v>
      </c>
      <c r="I51" s="3">
        <f>IFERROR(VLOOKUP(I$1&amp;$A51&amp;$B51,배당편집!$D$2:$N$2710,11,FALSE), 0)</f>
        <v>0.47499999999999998</v>
      </c>
      <c r="J51" s="3">
        <f>IFERROR(VLOOKUP(J$1&amp;$A51&amp;$B51,배당편집!$D$2:$N$2710,11,FALSE), 0)</f>
        <v>0</v>
      </c>
      <c r="K51" s="3">
        <f>IFERROR(VLOOKUP(K$1&amp;$A51&amp;$B51,배당편집!$D$2:$N$2710,11,FALSE), 0)</f>
        <v>0</v>
      </c>
      <c r="L51" s="3">
        <f>IFERROR(VLOOKUP(L$1&amp;$A51&amp;$B51,배당편집!$D$2:$N$2710,11,FALSE), 0)</f>
        <v>0.62</v>
      </c>
      <c r="M51" s="3">
        <f>IFERROR(VLOOKUP(M$1&amp;$A51&amp;$B51,배당편집!$D$2:$N$2710,11,FALSE), 0)</f>
        <v>0</v>
      </c>
      <c r="N51" s="3">
        <f>IFERROR(VLOOKUP(N$1&amp;$A51&amp;$B51,배당편집!$D$2:$N$2710,11,FALSE), 0)</f>
        <v>0.48499999999999999</v>
      </c>
      <c r="O51" s="3">
        <f>IFERROR(VLOOKUP(O$1&amp;$A51&amp;$B51,배당편집!$D$2:$N$2710,11,FALSE), 0)</f>
        <v>0</v>
      </c>
      <c r="P51" s="3">
        <f>IFERROR(VLOOKUP(P$1&amp;$A51&amp;$B51,배당편집!$D$2:$N$2710,11,FALSE), 0)</f>
        <v>0</v>
      </c>
      <c r="Q51" s="3">
        <f>IFERROR(VLOOKUP(Q$1&amp;$A51&amp;$B51,배당편집!$D$2:$N$2710,11,FALSE), 0)</f>
        <v>0.84</v>
      </c>
      <c r="R51" s="3">
        <f>IFERROR(VLOOKUP(R$1&amp;$A51&amp;$B51,배당편집!$D$2:$N$2710,11,FALSE), 0)</f>
        <v>0.48499999999999999</v>
      </c>
      <c r="S51" s="3">
        <f>IFERROR(VLOOKUP(S$1&amp;$A51&amp;$B51,배당편집!$D$2:$N$2710,11,FALSE), 0)</f>
        <v>0</v>
      </c>
      <c r="T51" s="3">
        <f>IFERROR(VLOOKUP(T$1&amp;$A51&amp;$B51,배당편집!$D$2:$N$2710,11,FALSE), 0)</f>
        <v>0</v>
      </c>
      <c r="U51" s="3">
        <f>IFERROR(VLOOKUP(U$1&amp;$A51&amp;$B51,배당편집!$D$2:$N$2710,11,FALSE), 0)</f>
        <v>0</v>
      </c>
      <c r="V51" s="3">
        <f>IFERROR(VLOOKUP(V$1&amp;$A51&amp;$B51,배당편집!$D$2:$N$2710,11,FALSE), 0)</f>
        <v>0</v>
      </c>
      <c r="W51" s="3">
        <f>IFERROR(VLOOKUP(W$1&amp;$A51&amp;$B51,배당편집!$D$2:$N$2710,11,FALSE), 0)</f>
        <v>0</v>
      </c>
      <c r="X51" s="3">
        <f>IFERROR(VLOOKUP(X$1&amp;$A51&amp;$B51,배당편집!$D$2:$N$2710,11,FALSE), 0)</f>
        <v>0.45</v>
      </c>
      <c r="Y51" s="3">
        <f>IFERROR(VLOOKUP(Y$1&amp;$A51&amp;$B51,배당편집!$D$2:$N$2710,11,FALSE), 0)</f>
        <v>0.66</v>
      </c>
      <c r="Z51" s="3">
        <f>IFERROR(VLOOKUP(Z$1&amp;$A51&amp;$B51,배당편집!$D$2:$N$2710,11,FALSE), 0)</f>
        <v>0</v>
      </c>
      <c r="AA51" s="3">
        <f>IFERROR(VLOOKUP(AA$1&amp;$A51&amp;$B51,배당편집!$D$2:$N$2710,11,FALSE), 0)</f>
        <v>0.33500000000000002</v>
      </c>
      <c r="AB51" s="3">
        <f>IFERROR(VLOOKUP(AB$1&amp;$A51&amp;$B51,배당편집!$D$2:$N$2710,11,FALSE), 0)</f>
        <v>0</v>
      </c>
      <c r="AC51" s="3">
        <f>IFERROR(VLOOKUP(AC$1&amp;$A51&amp;$B51,배당편집!$D$2:$N$2710,11,FALSE), 0)</f>
        <v>0.1875</v>
      </c>
      <c r="AD51" s="3">
        <f>IFERROR(VLOOKUP(AD$1&amp;$A51&amp;$B51,배당편집!$D$2:$N$2710,11,FALSE), 0)</f>
        <v>0</v>
      </c>
      <c r="AE51" s="3">
        <f>IFERROR(VLOOKUP(AE$1&amp;$A51&amp;$B51,배당편집!$D$2:$N$2710,11,FALSE), 0)</f>
        <v>0.21</v>
      </c>
      <c r="AF51" s="3">
        <f>IFERROR(VLOOKUP(AF$1&amp;$A51&amp;$B51,배당편집!$D$2:$N$2710,11,FALSE), 0)</f>
        <v>0.47</v>
      </c>
    </row>
    <row r="52" spans="1:32" ht="16.5" customHeight="1">
      <c r="A52" s="3">
        <v>2018</v>
      </c>
      <c r="B52" s="3">
        <v>3</v>
      </c>
      <c r="C52" s="3">
        <f>IFERROR(VLOOKUP(C$1&amp;$A52&amp;$B52,배당편집!$D$2:$N$2710,11,FALSE), 0)</f>
        <v>0</v>
      </c>
      <c r="D52" s="3">
        <f>IFERROR(VLOOKUP(D$1&amp;$A52&amp;$B52,배당편집!$D$2:$N$2710,11,FALSE), 0)</f>
        <v>0.36</v>
      </c>
      <c r="E52" s="3">
        <f>IFERROR(VLOOKUP(E$1&amp;$A52&amp;$B52,배당편집!$D$2:$N$2710,11,FALSE), 0)</f>
        <v>0.23</v>
      </c>
      <c r="F52" s="3">
        <f>IFERROR(VLOOKUP(F$1&amp;$A52&amp;$B52,배당편집!$D$2:$N$2710,11,FALSE), 0)</f>
        <v>0.63</v>
      </c>
      <c r="G52" s="3">
        <f>IFERROR(VLOOKUP(G$1&amp;$A52&amp;$B52,배당편집!$D$2:$N$2710,11,FALSE), 0)</f>
        <v>0</v>
      </c>
      <c r="H52" s="3">
        <f>IFERROR(VLOOKUP(H$1&amp;$A52&amp;$B52,배당편집!$D$2:$N$2710,11,FALSE), 0)</f>
        <v>0</v>
      </c>
      <c r="I52" s="3">
        <f>IFERROR(VLOOKUP(I$1&amp;$A52&amp;$B52,배당편집!$D$2:$N$2710,11,FALSE), 0)</f>
        <v>0</v>
      </c>
      <c r="J52" s="3">
        <f>IFERROR(VLOOKUP(J$1&amp;$A52&amp;$B52,배당편집!$D$2:$N$2710,11,FALSE), 0)</f>
        <v>0.41499999999999998</v>
      </c>
      <c r="K52" s="3">
        <f>IFERROR(VLOOKUP(K$1&amp;$A52&amp;$B52,배당편집!$D$2:$N$2710,11,FALSE), 0)</f>
        <v>0</v>
      </c>
      <c r="L52" s="3">
        <f>IFERROR(VLOOKUP(L$1&amp;$A52&amp;$B52,배당편집!$D$2:$N$2710,11,FALSE), 0)</f>
        <v>0</v>
      </c>
      <c r="M52" s="3">
        <f>IFERROR(VLOOKUP(M$1&amp;$A52&amp;$B52,배당편집!$D$2:$N$2710,11,FALSE), 0)</f>
        <v>0.78</v>
      </c>
      <c r="N52" s="3">
        <f>IFERROR(VLOOKUP(N$1&amp;$A52&amp;$B52,배당편집!$D$2:$N$2710,11,FALSE), 0)</f>
        <v>0</v>
      </c>
      <c r="O52" s="3">
        <f>IFERROR(VLOOKUP(O$1&amp;$A52&amp;$B52,배당편집!$D$2:$N$2710,11,FALSE), 0)</f>
        <v>1.1000000000000001</v>
      </c>
      <c r="P52" s="3">
        <f>IFERROR(VLOOKUP(P$1&amp;$A52&amp;$B52,배당편집!$D$2:$N$2710,11,FALSE), 0)</f>
        <v>0</v>
      </c>
      <c r="Q52" s="3">
        <f>IFERROR(VLOOKUP(Q$1&amp;$A52&amp;$B52,배당편집!$D$2:$N$2710,11,FALSE), 0)</f>
        <v>0</v>
      </c>
      <c r="R52" s="3">
        <f>IFERROR(VLOOKUP(R$1&amp;$A52&amp;$B52,배당편집!$D$2:$N$2710,11,FALSE), 0)</f>
        <v>0</v>
      </c>
      <c r="S52" s="3">
        <f>IFERROR(VLOOKUP(S$1&amp;$A52&amp;$B52,배당편집!$D$2:$N$2710,11,FALSE), 0)</f>
        <v>0.72</v>
      </c>
      <c r="T52" s="3">
        <f>IFERROR(VLOOKUP(T$1&amp;$A52&amp;$B52,배당편집!$D$2:$N$2710,11,FALSE), 0)</f>
        <v>0</v>
      </c>
      <c r="U52" s="3">
        <f>IFERROR(VLOOKUP(U$1&amp;$A52&amp;$B52,배당편집!$D$2:$N$2710,11,FALSE), 0)</f>
        <v>0</v>
      </c>
      <c r="V52" s="3">
        <f>IFERROR(VLOOKUP(V$1&amp;$A52&amp;$B52,배당편집!$D$2:$N$2710,11,FALSE), 0)</f>
        <v>0</v>
      </c>
      <c r="W52" s="3">
        <f>IFERROR(VLOOKUP(W$1&amp;$A52&amp;$B52,배당편집!$D$2:$N$2710,11,FALSE), 0)</f>
        <v>0</v>
      </c>
      <c r="X52" s="3">
        <f>IFERROR(VLOOKUP(X$1&amp;$A52&amp;$B52,배당편집!$D$2:$N$2710,11,FALSE), 0)</f>
        <v>0</v>
      </c>
      <c r="Y52" s="3">
        <f>IFERROR(VLOOKUP(Y$1&amp;$A52&amp;$B52,배당편집!$D$2:$N$2710,11,FALSE), 0)</f>
        <v>0</v>
      </c>
      <c r="Z52" s="3">
        <f>IFERROR(VLOOKUP(Z$1&amp;$A52&amp;$B52,배당편집!$D$2:$N$2710,11,FALSE), 0)</f>
        <v>0</v>
      </c>
      <c r="AA52" s="3">
        <f>IFERROR(VLOOKUP(AA$1&amp;$A52&amp;$B52,배당편집!$D$2:$N$2710,11,FALSE), 0)</f>
        <v>0</v>
      </c>
      <c r="AB52" s="3">
        <f>IFERROR(VLOOKUP(AB$1&amp;$A52&amp;$B52,배당편집!$D$2:$N$2710,11,FALSE), 0)</f>
        <v>0</v>
      </c>
      <c r="AC52" s="3">
        <f>IFERROR(VLOOKUP(AC$1&amp;$A52&amp;$B52,배당편집!$D$2:$N$2710,11,FALSE), 0)</f>
        <v>0</v>
      </c>
      <c r="AD52" s="3">
        <f>IFERROR(VLOOKUP(AD$1&amp;$A52&amp;$B52,배당편집!$D$2:$N$2710,11,FALSE), 0)</f>
        <v>0.63</v>
      </c>
      <c r="AE52" s="3">
        <f>IFERROR(VLOOKUP(AE$1&amp;$A52&amp;$B52,배당편집!$D$2:$N$2710,11,FALSE), 0)</f>
        <v>0</v>
      </c>
      <c r="AF52" s="3">
        <f>IFERROR(VLOOKUP(AF$1&amp;$A52&amp;$B52,배당편집!$D$2:$N$2710,11,FALSE), 0)</f>
        <v>0</v>
      </c>
    </row>
    <row r="53" spans="1:32" ht="16.5" customHeight="1">
      <c r="A53" s="3">
        <v>2018</v>
      </c>
      <c r="B53" s="3">
        <v>4</v>
      </c>
      <c r="C53" s="3">
        <f>IFERROR(VLOOKUP(C$1&amp;$A53&amp;$B53,배당편집!$D$2:$N$2710,11,FALSE), 0)</f>
        <v>0</v>
      </c>
      <c r="D53" s="3">
        <f>IFERROR(VLOOKUP(D$1&amp;$A53&amp;$B53,배당편집!$D$2:$N$2710,11,FALSE), 0)</f>
        <v>0</v>
      </c>
      <c r="E53" s="3">
        <f>IFERROR(VLOOKUP(E$1&amp;$A53&amp;$B53,배당편집!$D$2:$N$2710,11,FALSE), 0)</f>
        <v>0</v>
      </c>
      <c r="F53" s="3">
        <f>IFERROR(VLOOKUP(F$1&amp;$A53&amp;$B53,배당편집!$D$2:$N$2710,11,FALSE), 0)</f>
        <v>0</v>
      </c>
      <c r="G53" s="3">
        <f>IFERROR(VLOOKUP(G$1&amp;$A53&amp;$B53,배당편집!$D$2:$N$2710,11,FALSE), 0)</f>
        <v>0</v>
      </c>
      <c r="H53" s="3">
        <f>IFERROR(VLOOKUP(H$1&amp;$A53&amp;$B53,배당편집!$D$2:$N$2710,11,FALSE), 0)</f>
        <v>0</v>
      </c>
      <c r="I53" s="3">
        <f>IFERROR(VLOOKUP(I$1&amp;$A53&amp;$B53,배당편집!$D$2:$N$2710,11,FALSE), 0)</f>
        <v>0</v>
      </c>
      <c r="J53" s="3">
        <f>IFERROR(VLOOKUP(J$1&amp;$A53&amp;$B53,배당편집!$D$2:$N$2710,11,FALSE), 0)</f>
        <v>0</v>
      </c>
      <c r="K53" s="3">
        <f>IFERROR(VLOOKUP(K$1&amp;$A53&amp;$B53,배당편집!$D$2:$N$2710,11,FALSE), 0)</f>
        <v>0.78</v>
      </c>
      <c r="L53" s="3">
        <f>IFERROR(VLOOKUP(L$1&amp;$A53&amp;$B53,배당편집!$D$2:$N$2710,11,FALSE), 0)</f>
        <v>0</v>
      </c>
      <c r="M53" s="3">
        <f>IFERROR(VLOOKUP(M$1&amp;$A53&amp;$B53,배당편집!$D$2:$N$2710,11,FALSE), 0)</f>
        <v>0</v>
      </c>
      <c r="N53" s="3">
        <f>IFERROR(VLOOKUP(N$1&amp;$A53&amp;$B53,배당편집!$D$2:$N$2710,11,FALSE), 0)</f>
        <v>0</v>
      </c>
      <c r="O53" s="3">
        <f>IFERROR(VLOOKUP(O$1&amp;$A53&amp;$B53,배당편집!$D$2:$N$2710,11,FALSE), 0)</f>
        <v>0</v>
      </c>
      <c r="P53" s="3">
        <f>IFERROR(VLOOKUP(P$1&amp;$A53&amp;$B53,배당편집!$D$2:$N$2710,11,FALSE), 0)</f>
        <v>0.71719999999999995</v>
      </c>
      <c r="Q53" s="3">
        <f>IFERROR(VLOOKUP(Q$1&amp;$A53&amp;$B53,배당편집!$D$2:$N$2710,11,FALSE), 0)</f>
        <v>0</v>
      </c>
      <c r="R53" s="3">
        <f>IFERROR(VLOOKUP(R$1&amp;$A53&amp;$B53,배당편집!$D$2:$N$2710,11,FALSE), 0)</f>
        <v>0</v>
      </c>
      <c r="S53" s="3">
        <f>IFERROR(VLOOKUP(S$1&amp;$A53&amp;$B53,배당편집!$D$2:$N$2710,11,FALSE), 0)</f>
        <v>0</v>
      </c>
      <c r="T53" s="3">
        <f>IFERROR(VLOOKUP(T$1&amp;$A53&amp;$B53,배당편집!$D$2:$N$2710,11,FALSE), 0)</f>
        <v>0.93</v>
      </c>
      <c r="U53" s="3">
        <f>IFERROR(VLOOKUP(U$1&amp;$A53&amp;$B53,배당편집!$D$2:$N$2710,11,FALSE), 0)</f>
        <v>0.18</v>
      </c>
      <c r="V53" s="3">
        <f>IFERROR(VLOOKUP(V$1&amp;$A53&amp;$B53,배당편집!$D$2:$N$2710,11,FALSE), 0)</f>
        <v>0.1875</v>
      </c>
      <c r="W53" s="3">
        <f>IFERROR(VLOOKUP(W$1&amp;$A53&amp;$B53,배당편집!$D$2:$N$2710,11,FALSE), 0)</f>
        <v>0.41</v>
      </c>
      <c r="X53" s="3">
        <f>IFERROR(VLOOKUP(X$1&amp;$A53&amp;$B53,배당편집!$D$2:$N$2710,11,FALSE), 0)</f>
        <v>0</v>
      </c>
      <c r="Y53" s="3">
        <f>IFERROR(VLOOKUP(Y$1&amp;$A53&amp;$B53,배당편집!$D$2:$N$2710,11,FALSE), 0)</f>
        <v>0</v>
      </c>
      <c r="Z53" s="3">
        <f>IFERROR(VLOOKUP(Z$1&amp;$A53&amp;$B53,배당편집!$D$2:$N$2710,11,FALSE), 0)</f>
        <v>0.17499999999999999</v>
      </c>
      <c r="AA53" s="3">
        <f>IFERROR(VLOOKUP(AA$1&amp;$A53&amp;$B53,배당편집!$D$2:$N$2710,11,FALSE), 0)</f>
        <v>0</v>
      </c>
      <c r="AB53" s="3">
        <f>IFERROR(VLOOKUP(AB$1&amp;$A53&amp;$B53,배당편집!$D$2:$N$2710,11,FALSE), 0)</f>
        <v>0.28000000000000003</v>
      </c>
      <c r="AC53" s="3">
        <f>IFERROR(VLOOKUP(AC$1&amp;$A53&amp;$B53,배당편집!$D$2:$N$2710,11,FALSE), 0)</f>
        <v>0</v>
      </c>
      <c r="AD53" s="3">
        <f>IFERROR(VLOOKUP(AD$1&amp;$A53&amp;$B53,배당편집!$D$2:$N$2710,11,FALSE), 0)</f>
        <v>0</v>
      </c>
      <c r="AE53" s="3">
        <f>IFERROR(VLOOKUP(AE$1&amp;$A53&amp;$B53,배당편집!$D$2:$N$2710,11,FALSE), 0)</f>
        <v>0</v>
      </c>
      <c r="AF53" s="3">
        <f>IFERROR(VLOOKUP(AF$1&amp;$A53&amp;$B53,배당편집!$D$2:$N$2710,11,FALSE), 0)</f>
        <v>0</v>
      </c>
    </row>
    <row r="54" spans="1:32" ht="16.5" customHeight="1">
      <c r="A54" s="3">
        <v>2018</v>
      </c>
      <c r="B54" s="3">
        <v>5</v>
      </c>
      <c r="C54" s="3">
        <f>IFERROR(VLOOKUP(C$1&amp;$A54&amp;$B54,배당편집!$D$2:$N$2710,11,FALSE), 0)</f>
        <v>0.4</v>
      </c>
      <c r="D54" s="3">
        <f>IFERROR(VLOOKUP(D$1&amp;$A54&amp;$B54,배당편집!$D$2:$N$2710,11,FALSE), 0)</f>
        <v>0</v>
      </c>
      <c r="E54" s="3">
        <f>IFERROR(VLOOKUP(E$1&amp;$A54&amp;$B54,배당편집!$D$2:$N$2710,11,FALSE), 0)</f>
        <v>0</v>
      </c>
      <c r="F54" s="3">
        <f>IFERROR(VLOOKUP(F$1&amp;$A54&amp;$B54,배당편집!$D$2:$N$2710,11,FALSE), 0)</f>
        <v>0</v>
      </c>
      <c r="G54" s="3">
        <f>IFERROR(VLOOKUP(G$1&amp;$A54&amp;$B54,배당편집!$D$2:$N$2710,11,FALSE), 0)</f>
        <v>0.82</v>
      </c>
      <c r="H54" s="3">
        <f>IFERROR(VLOOKUP(H$1&amp;$A54&amp;$B54,배당편집!$D$2:$N$2710,11,FALSE), 0)</f>
        <v>1.1200000000000001</v>
      </c>
      <c r="I54" s="3">
        <f>IFERROR(VLOOKUP(I$1&amp;$A54&amp;$B54,배당편집!$D$2:$N$2710,11,FALSE), 0)</f>
        <v>0.47499999999999998</v>
      </c>
      <c r="J54" s="3">
        <f>IFERROR(VLOOKUP(J$1&amp;$A54&amp;$B54,배당편집!$D$2:$N$2710,11,FALSE), 0)</f>
        <v>0</v>
      </c>
      <c r="K54" s="3">
        <f>IFERROR(VLOOKUP(K$1&amp;$A54&amp;$B54,배당편집!$D$2:$N$2710,11,FALSE), 0)</f>
        <v>0</v>
      </c>
      <c r="L54" s="3">
        <f>IFERROR(VLOOKUP(L$1&amp;$A54&amp;$B54,배당편집!$D$2:$N$2710,11,FALSE), 0)</f>
        <v>0.62</v>
      </c>
      <c r="M54" s="3">
        <f>IFERROR(VLOOKUP(M$1&amp;$A54&amp;$B54,배당편집!$D$2:$N$2710,11,FALSE), 0)</f>
        <v>0</v>
      </c>
      <c r="N54" s="3">
        <f>IFERROR(VLOOKUP(N$1&amp;$A54&amp;$B54,배당편집!$D$2:$N$2710,11,FALSE), 0)</f>
        <v>0.48499999999999999</v>
      </c>
      <c r="O54" s="3">
        <f>IFERROR(VLOOKUP(O$1&amp;$A54&amp;$B54,배당편집!$D$2:$N$2710,11,FALSE), 0)</f>
        <v>0</v>
      </c>
      <c r="P54" s="3">
        <f>IFERROR(VLOOKUP(P$1&amp;$A54&amp;$B54,배당편집!$D$2:$N$2710,11,FALSE), 0)</f>
        <v>0</v>
      </c>
      <c r="Q54" s="3">
        <f>IFERROR(VLOOKUP(Q$1&amp;$A54&amp;$B54,배당편집!$D$2:$N$2710,11,FALSE), 0)</f>
        <v>0.9</v>
      </c>
      <c r="R54" s="3">
        <f>IFERROR(VLOOKUP(R$1&amp;$A54&amp;$B54,배당편집!$D$2:$N$2710,11,FALSE), 0)</f>
        <v>0.48499999999999999</v>
      </c>
      <c r="S54" s="3">
        <f>IFERROR(VLOOKUP(S$1&amp;$A54&amp;$B54,배당편집!$D$2:$N$2710,11,FALSE), 0)</f>
        <v>0</v>
      </c>
      <c r="T54" s="3">
        <f>IFERROR(VLOOKUP(T$1&amp;$A54&amp;$B54,배당편집!$D$2:$N$2710,11,FALSE), 0)</f>
        <v>0</v>
      </c>
      <c r="U54" s="3">
        <f>IFERROR(VLOOKUP(U$1&amp;$A54&amp;$B54,배당편집!$D$2:$N$2710,11,FALSE), 0)</f>
        <v>0</v>
      </c>
      <c r="V54" s="3">
        <f>IFERROR(VLOOKUP(V$1&amp;$A54&amp;$B54,배당편집!$D$2:$N$2710,11,FALSE), 0)</f>
        <v>0</v>
      </c>
      <c r="W54" s="3">
        <f>IFERROR(VLOOKUP(W$1&amp;$A54&amp;$B54,배당편집!$D$2:$N$2710,11,FALSE), 0)</f>
        <v>0</v>
      </c>
      <c r="X54" s="3">
        <f>IFERROR(VLOOKUP(X$1&amp;$A54&amp;$B54,배당편집!$D$2:$N$2710,11,FALSE), 0)</f>
        <v>0.45</v>
      </c>
      <c r="Y54" s="3">
        <f>IFERROR(VLOOKUP(Y$1&amp;$A54&amp;$B54,배당편집!$D$2:$N$2710,11,FALSE), 0)</f>
        <v>0.76</v>
      </c>
      <c r="Z54" s="3">
        <f>IFERROR(VLOOKUP(Z$1&amp;$A54&amp;$B54,배당편집!$D$2:$N$2710,11,FALSE), 0)</f>
        <v>0</v>
      </c>
      <c r="AA54" s="3">
        <f>IFERROR(VLOOKUP(AA$1&amp;$A54&amp;$B54,배당편집!$D$2:$N$2710,11,FALSE), 0)</f>
        <v>0.33500000000000002</v>
      </c>
      <c r="AB54" s="3">
        <f>IFERROR(VLOOKUP(AB$1&amp;$A54&amp;$B54,배당편집!$D$2:$N$2710,11,FALSE), 0)</f>
        <v>0</v>
      </c>
      <c r="AC54" s="3">
        <f>IFERROR(VLOOKUP(AC$1&amp;$A54&amp;$B54,배당편집!$D$2:$N$2710,11,FALSE), 0)</f>
        <v>0.1875</v>
      </c>
      <c r="AD54" s="3">
        <f>IFERROR(VLOOKUP(AD$1&amp;$A54&amp;$B54,배당편집!$D$2:$N$2710,11,FALSE), 0)</f>
        <v>0</v>
      </c>
      <c r="AE54" s="3">
        <f>IFERROR(VLOOKUP(AE$1&amp;$A54&amp;$B54,배당편집!$D$2:$N$2710,11,FALSE), 0)</f>
        <v>0.21</v>
      </c>
      <c r="AF54" s="3">
        <f>IFERROR(VLOOKUP(AF$1&amp;$A54&amp;$B54,배당편집!$D$2:$N$2710,11,FALSE), 0)</f>
        <v>0.47</v>
      </c>
    </row>
    <row r="55" spans="1:32" ht="16.5" customHeight="1">
      <c r="A55" s="3">
        <v>2018</v>
      </c>
      <c r="B55" s="3">
        <v>6</v>
      </c>
      <c r="C55" s="3">
        <f>IFERROR(VLOOKUP(C$1&amp;$A55&amp;$B55,배당편집!$D$2:$N$2710,11,FALSE), 0)</f>
        <v>0</v>
      </c>
      <c r="D55" s="3">
        <f>IFERROR(VLOOKUP(D$1&amp;$A55&amp;$B55,배당편집!$D$2:$N$2710,11,FALSE), 0)</f>
        <v>0.38</v>
      </c>
      <c r="E55" s="3">
        <f>IFERROR(VLOOKUP(E$1&amp;$A55&amp;$B55,배당편집!$D$2:$N$2710,11,FALSE), 0)</f>
        <v>0.23</v>
      </c>
      <c r="F55" s="3">
        <f>IFERROR(VLOOKUP(F$1&amp;$A55&amp;$B55,배당편집!$D$2:$N$2710,11,FALSE), 0)</f>
        <v>0.63</v>
      </c>
      <c r="G55" s="3">
        <f>IFERROR(VLOOKUP(G$1&amp;$A55&amp;$B55,배당편집!$D$2:$N$2710,11,FALSE), 0)</f>
        <v>0</v>
      </c>
      <c r="H55" s="3">
        <f>IFERROR(VLOOKUP(H$1&amp;$A55&amp;$B55,배당편집!$D$2:$N$2710,11,FALSE), 0)</f>
        <v>0</v>
      </c>
      <c r="I55" s="3">
        <f>IFERROR(VLOOKUP(I$1&amp;$A55&amp;$B55,배당편집!$D$2:$N$2710,11,FALSE), 0)</f>
        <v>0</v>
      </c>
      <c r="J55" s="3">
        <f>IFERROR(VLOOKUP(J$1&amp;$A55&amp;$B55,배당편집!$D$2:$N$2710,11,FALSE), 0)</f>
        <v>0.42499999999999999</v>
      </c>
      <c r="K55" s="3">
        <f>IFERROR(VLOOKUP(K$1&amp;$A55&amp;$B55,배당편집!$D$2:$N$2710,11,FALSE), 0)</f>
        <v>0</v>
      </c>
      <c r="L55" s="3">
        <f>IFERROR(VLOOKUP(L$1&amp;$A55&amp;$B55,배당편집!$D$2:$N$2710,11,FALSE), 0)</f>
        <v>0</v>
      </c>
      <c r="M55" s="3">
        <f>IFERROR(VLOOKUP(M$1&amp;$A55&amp;$B55,배당편집!$D$2:$N$2710,11,FALSE), 0)</f>
        <v>0.78</v>
      </c>
      <c r="N55" s="3">
        <f>IFERROR(VLOOKUP(N$1&amp;$A55&amp;$B55,배당편집!$D$2:$N$2710,11,FALSE), 0)</f>
        <v>0</v>
      </c>
      <c r="O55" s="3">
        <f>IFERROR(VLOOKUP(O$1&amp;$A55&amp;$B55,배당편집!$D$2:$N$2710,11,FALSE), 0)</f>
        <v>1.1000000000000001</v>
      </c>
      <c r="P55" s="3">
        <f>IFERROR(VLOOKUP(P$1&amp;$A55&amp;$B55,배당편집!$D$2:$N$2710,11,FALSE), 0)</f>
        <v>0</v>
      </c>
      <c r="Q55" s="3">
        <f>IFERROR(VLOOKUP(Q$1&amp;$A55&amp;$B55,배당편집!$D$2:$N$2710,11,FALSE), 0)</f>
        <v>0</v>
      </c>
      <c r="R55" s="3">
        <f>IFERROR(VLOOKUP(R$1&amp;$A55&amp;$B55,배당편집!$D$2:$N$2710,11,FALSE), 0)</f>
        <v>0</v>
      </c>
      <c r="S55" s="3">
        <f>IFERROR(VLOOKUP(S$1&amp;$A55&amp;$B55,배당편집!$D$2:$N$2710,11,FALSE), 0)</f>
        <v>0.72</v>
      </c>
      <c r="T55" s="3">
        <f>IFERROR(VLOOKUP(T$1&amp;$A55&amp;$B55,배당편집!$D$2:$N$2710,11,FALSE), 0)</f>
        <v>0</v>
      </c>
      <c r="U55" s="3">
        <f>IFERROR(VLOOKUP(U$1&amp;$A55&amp;$B55,배당편집!$D$2:$N$2710,11,FALSE), 0)</f>
        <v>0</v>
      </c>
      <c r="V55" s="3">
        <f>IFERROR(VLOOKUP(V$1&amp;$A55&amp;$B55,배당편집!$D$2:$N$2710,11,FALSE), 0)</f>
        <v>0</v>
      </c>
      <c r="W55" s="3">
        <f>IFERROR(VLOOKUP(W$1&amp;$A55&amp;$B55,배당편집!$D$2:$N$2710,11,FALSE), 0)</f>
        <v>0</v>
      </c>
      <c r="X55" s="3">
        <f>IFERROR(VLOOKUP(X$1&amp;$A55&amp;$B55,배당편집!$D$2:$N$2710,11,FALSE), 0)</f>
        <v>0</v>
      </c>
      <c r="Y55" s="3">
        <f>IFERROR(VLOOKUP(Y$1&amp;$A55&amp;$B55,배당편집!$D$2:$N$2710,11,FALSE), 0)</f>
        <v>0</v>
      </c>
      <c r="Z55" s="3">
        <f>IFERROR(VLOOKUP(Z$1&amp;$A55&amp;$B55,배당편집!$D$2:$N$2710,11,FALSE), 0)</f>
        <v>0</v>
      </c>
      <c r="AA55" s="3">
        <f>IFERROR(VLOOKUP(AA$1&amp;$A55&amp;$B55,배당편집!$D$2:$N$2710,11,FALSE), 0)</f>
        <v>0</v>
      </c>
      <c r="AB55" s="3">
        <f>IFERROR(VLOOKUP(AB$1&amp;$A55&amp;$B55,배당편집!$D$2:$N$2710,11,FALSE), 0)</f>
        <v>0</v>
      </c>
      <c r="AC55" s="3">
        <f>IFERROR(VLOOKUP(AC$1&amp;$A55&amp;$B55,배당편집!$D$2:$N$2710,11,FALSE), 0)</f>
        <v>0</v>
      </c>
      <c r="AD55" s="3">
        <f>IFERROR(VLOOKUP(AD$1&amp;$A55&amp;$B55,배당편집!$D$2:$N$2710,11,FALSE), 0)</f>
        <v>0.69</v>
      </c>
      <c r="AE55" s="3">
        <f>IFERROR(VLOOKUP(AE$1&amp;$A55&amp;$B55,배당편집!$D$2:$N$2710,11,FALSE), 0)</f>
        <v>0</v>
      </c>
      <c r="AF55" s="3">
        <f>IFERROR(VLOOKUP(AF$1&amp;$A55&amp;$B55,배당편집!$D$2:$N$2710,11,FALSE), 0)</f>
        <v>0</v>
      </c>
    </row>
    <row r="56" spans="1:32" ht="16.5" customHeight="1">
      <c r="A56" s="3">
        <v>2018</v>
      </c>
      <c r="B56" s="3">
        <v>7</v>
      </c>
      <c r="C56" s="3">
        <f>IFERROR(VLOOKUP(C$1&amp;$A56&amp;$B56,배당편집!$D$2:$N$2710,11,FALSE), 0)</f>
        <v>0</v>
      </c>
      <c r="D56" s="3">
        <f>IFERROR(VLOOKUP(D$1&amp;$A56&amp;$B56,배당편집!$D$2:$N$2710,11,FALSE), 0)</f>
        <v>0</v>
      </c>
      <c r="E56" s="3">
        <f>IFERROR(VLOOKUP(E$1&amp;$A56&amp;$B56,배당편집!$D$2:$N$2710,11,FALSE), 0)</f>
        <v>0</v>
      </c>
      <c r="F56" s="3">
        <f>IFERROR(VLOOKUP(F$1&amp;$A56&amp;$B56,배당편집!$D$2:$N$2710,11,FALSE), 0)</f>
        <v>0</v>
      </c>
      <c r="G56" s="3">
        <f>IFERROR(VLOOKUP(G$1&amp;$A56&amp;$B56,배당편집!$D$2:$N$2710,11,FALSE), 0)</f>
        <v>0</v>
      </c>
      <c r="H56" s="3">
        <f>IFERROR(VLOOKUP(H$1&amp;$A56&amp;$B56,배당편집!$D$2:$N$2710,11,FALSE), 0)</f>
        <v>0</v>
      </c>
      <c r="I56" s="3">
        <f>IFERROR(VLOOKUP(I$1&amp;$A56&amp;$B56,배당편집!$D$2:$N$2710,11,FALSE), 0)</f>
        <v>0</v>
      </c>
      <c r="J56" s="3">
        <f>IFERROR(VLOOKUP(J$1&amp;$A56&amp;$B56,배당편집!$D$2:$N$2710,11,FALSE), 0)</f>
        <v>0</v>
      </c>
      <c r="K56" s="3">
        <f>IFERROR(VLOOKUP(K$1&amp;$A56&amp;$B56,배당편집!$D$2:$N$2710,11,FALSE), 0)</f>
        <v>0.86</v>
      </c>
      <c r="L56" s="3">
        <f>IFERROR(VLOOKUP(L$1&amp;$A56&amp;$B56,배당편집!$D$2:$N$2710,11,FALSE), 0)</f>
        <v>0</v>
      </c>
      <c r="M56" s="3">
        <f>IFERROR(VLOOKUP(M$1&amp;$A56&amp;$B56,배당편집!$D$2:$N$2710,11,FALSE), 0)</f>
        <v>0</v>
      </c>
      <c r="N56" s="3">
        <f>IFERROR(VLOOKUP(N$1&amp;$A56&amp;$B56,배당편집!$D$2:$N$2710,11,FALSE), 0)</f>
        <v>0</v>
      </c>
      <c r="O56" s="3">
        <f>IFERROR(VLOOKUP(O$1&amp;$A56&amp;$B56,배당편집!$D$2:$N$2710,11,FALSE), 0)</f>
        <v>0</v>
      </c>
      <c r="P56" s="3">
        <f>IFERROR(VLOOKUP(P$1&amp;$A56&amp;$B56,배당편집!$D$2:$N$2710,11,FALSE), 0)</f>
        <v>0.71719999999999995</v>
      </c>
      <c r="Q56" s="3">
        <f>IFERROR(VLOOKUP(Q$1&amp;$A56&amp;$B56,배당편집!$D$2:$N$2710,11,FALSE), 0)</f>
        <v>0</v>
      </c>
      <c r="R56" s="3">
        <f>IFERROR(VLOOKUP(R$1&amp;$A56&amp;$B56,배당편집!$D$2:$N$2710,11,FALSE), 0)</f>
        <v>0</v>
      </c>
      <c r="S56" s="3">
        <f>IFERROR(VLOOKUP(S$1&amp;$A56&amp;$B56,배당편집!$D$2:$N$2710,11,FALSE), 0)</f>
        <v>0</v>
      </c>
      <c r="T56" s="3">
        <f>IFERROR(VLOOKUP(T$1&amp;$A56&amp;$B56,배당편집!$D$2:$N$2710,11,FALSE), 0)</f>
        <v>0.93</v>
      </c>
      <c r="U56" s="3">
        <f>IFERROR(VLOOKUP(U$1&amp;$A56&amp;$B56,배당편집!$D$2:$N$2710,11,FALSE), 0)</f>
        <v>0.18</v>
      </c>
      <c r="V56" s="3">
        <f>IFERROR(VLOOKUP(V$1&amp;$A56&amp;$B56,배당편집!$D$2:$N$2710,11,FALSE), 0)</f>
        <v>0.1875</v>
      </c>
      <c r="W56" s="3">
        <f>IFERROR(VLOOKUP(W$1&amp;$A56&amp;$B56,배당편집!$D$2:$N$2710,11,FALSE), 0)</f>
        <v>0.48</v>
      </c>
      <c r="X56" s="3">
        <f>IFERROR(VLOOKUP(X$1&amp;$A56&amp;$B56,배당편집!$D$2:$N$2710,11,FALSE), 0)</f>
        <v>0</v>
      </c>
      <c r="Y56" s="3">
        <f>IFERROR(VLOOKUP(Y$1&amp;$A56&amp;$B56,배당편집!$D$2:$N$2710,11,FALSE), 0)</f>
        <v>0</v>
      </c>
      <c r="Z56" s="3">
        <f>IFERROR(VLOOKUP(Z$1&amp;$A56&amp;$B56,배당편집!$D$2:$N$2710,11,FALSE), 0)</f>
        <v>0.17499999999999999</v>
      </c>
      <c r="AA56" s="3">
        <f>IFERROR(VLOOKUP(AA$1&amp;$A56&amp;$B56,배당편집!$D$2:$N$2710,11,FALSE), 0)</f>
        <v>0</v>
      </c>
      <c r="AB56" s="3">
        <f>IFERROR(VLOOKUP(AB$1&amp;$A56&amp;$B56,배당편집!$D$2:$N$2710,11,FALSE), 0)</f>
        <v>0.28000000000000003</v>
      </c>
      <c r="AC56" s="3">
        <f>IFERROR(VLOOKUP(AC$1&amp;$A56&amp;$B56,배당편집!$D$2:$N$2710,11,FALSE), 0)</f>
        <v>0</v>
      </c>
      <c r="AD56" s="3">
        <f>IFERROR(VLOOKUP(AD$1&amp;$A56&amp;$B56,배당편집!$D$2:$N$2710,11,FALSE), 0)</f>
        <v>0</v>
      </c>
      <c r="AE56" s="3">
        <f>IFERROR(VLOOKUP(AE$1&amp;$A56&amp;$B56,배당편집!$D$2:$N$2710,11,FALSE), 0)</f>
        <v>0</v>
      </c>
      <c r="AF56" s="3">
        <f>IFERROR(VLOOKUP(AF$1&amp;$A56&amp;$B56,배당편집!$D$2:$N$2710,11,FALSE), 0)</f>
        <v>0</v>
      </c>
    </row>
    <row r="57" spans="1:32" ht="16.5" customHeight="1">
      <c r="A57" s="3">
        <v>2018</v>
      </c>
      <c r="B57" s="3">
        <v>8</v>
      </c>
      <c r="C57" s="3">
        <f>IFERROR(VLOOKUP(C$1&amp;$A57&amp;$B57,배당편집!$D$2:$N$2710,11,FALSE), 0)</f>
        <v>0.44</v>
      </c>
      <c r="D57" s="3">
        <f>IFERROR(VLOOKUP(D$1&amp;$A57&amp;$B57,배당편집!$D$2:$N$2710,11,FALSE), 0)</f>
        <v>0</v>
      </c>
      <c r="E57" s="3">
        <f>IFERROR(VLOOKUP(E$1&amp;$A57&amp;$B57,배당편집!$D$2:$N$2710,11,FALSE), 0)</f>
        <v>0</v>
      </c>
      <c r="F57" s="3">
        <f>IFERROR(VLOOKUP(F$1&amp;$A57&amp;$B57,배당편집!$D$2:$N$2710,11,FALSE), 0)</f>
        <v>0</v>
      </c>
      <c r="G57" s="3">
        <f>IFERROR(VLOOKUP(G$1&amp;$A57&amp;$B57,배당편집!$D$2:$N$2710,11,FALSE), 0)</f>
        <v>0.82</v>
      </c>
      <c r="H57" s="3">
        <f>IFERROR(VLOOKUP(H$1&amp;$A57&amp;$B57,배당편집!$D$2:$N$2710,11,FALSE), 0)</f>
        <v>1.1200000000000001</v>
      </c>
      <c r="I57" s="3">
        <f>IFERROR(VLOOKUP(I$1&amp;$A57&amp;$B57,배당편집!$D$2:$N$2710,11,FALSE), 0)</f>
        <v>0.47499999999999998</v>
      </c>
      <c r="J57" s="3">
        <f>IFERROR(VLOOKUP(J$1&amp;$A57&amp;$B57,배당편집!$D$2:$N$2710,11,FALSE), 0)</f>
        <v>0</v>
      </c>
      <c r="K57" s="3">
        <f>IFERROR(VLOOKUP(K$1&amp;$A57&amp;$B57,배당편집!$D$2:$N$2710,11,FALSE), 0)</f>
        <v>0</v>
      </c>
      <c r="L57" s="3">
        <f>IFERROR(VLOOKUP(L$1&amp;$A57&amp;$B57,배당편집!$D$2:$N$2710,11,FALSE), 0)</f>
        <v>0.64</v>
      </c>
      <c r="M57" s="3">
        <f>IFERROR(VLOOKUP(M$1&amp;$A57&amp;$B57,배당편집!$D$2:$N$2710,11,FALSE), 0)</f>
        <v>0</v>
      </c>
      <c r="N57" s="3">
        <f>IFERROR(VLOOKUP(N$1&amp;$A57&amp;$B57,배당편집!$D$2:$N$2710,11,FALSE), 0)</f>
        <v>0.48499999999999999</v>
      </c>
      <c r="O57" s="3">
        <f>IFERROR(VLOOKUP(O$1&amp;$A57&amp;$B57,배당편집!$D$2:$N$2710,11,FALSE), 0)</f>
        <v>0</v>
      </c>
      <c r="P57" s="3">
        <f>IFERROR(VLOOKUP(P$1&amp;$A57&amp;$B57,배당편집!$D$2:$N$2710,11,FALSE), 0)</f>
        <v>0</v>
      </c>
      <c r="Q57" s="3">
        <f>IFERROR(VLOOKUP(Q$1&amp;$A57&amp;$B57,배당편집!$D$2:$N$2710,11,FALSE), 0)</f>
        <v>0.9</v>
      </c>
      <c r="R57" s="3">
        <f>IFERROR(VLOOKUP(R$1&amp;$A57&amp;$B57,배당편집!$D$2:$N$2710,11,FALSE), 0)</f>
        <v>0.48499999999999999</v>
      </c>
      <c r="S57" s="3">
        <f>IFERROR(VLOOKUP(S$1&amp;$A57&amp;$B57,배당편집!$D$2:$N$2710,11,FALSE), 0)</f>
        <v>0</v>
      </c>
      <c r="T57" s="3">
        <f>IFERROR(VLOOKUP(T$1&amp;$A57&amp;$B57,배당편집!$D$2:$N$2710,11,FALSE), 0)</f>
        <v>0</v>
      </c>
      <c r="U57" s="3">
        <f>IFERROR(VLOOKUP(U$1&amp;$A57&amp;$B57,배당편집!$D$2:$N$2710,11,FALSE), 0)</f>
        <v>0</v>
      </c>
      <c r="V57" s="3">
        <f>IFERROR(VLOOKUP(V$1&amp;$A57&amp;$B57,배당편집!$D$2:$N$2710,11,FALSE), 0)</f>
        <v>0</v>
      </c>
      <c r="W57" s="3">
        <f>IFERROR(VLOOKUP(W$1&amp;$A57&amp;$B57,배당편집!$D$2:$N$2710,11,FALSE), 0)</f>
        <v>0</v>
      </c>
      <c r="X57" s="3">
        <f>IFERROR(VLOOKUP(X$1&amp;$A57&amp;$B57,배당편집!$D$2:$N$2710,11,FALSE), 0)</f>
        <v>0.48</v>
      </c>
      <c r="Y57" s="3">
        <f>IFERROR(VLOOKUP(Y$1&amp;$A57&amp;$B57,배당편집!$D$2:$N$2710,11,FALSE), 0)</f>
        <v>0.76</v>
      </c>
      <c r="Z57" s="3">
        <f>IFERROR(VLOOKUP(Z$1&amp;$A57&amp;$B57,배당편집!$D$2:$N$2710,11,FALSE), 0)</f>
        <v>0</v>
      </c>
      <c r="AA57" s="3">
        <f>IFERROR(VLOOKUP(AA$1&amp;$A57&amp;$B57,배당편집!$D$2:$N$2710,11,FALSE), 0)</f>
        <v>0.33500000000000002</v>
      </c>
      <c r="AB57" s="3">
        <f>IFERROR(VLOOKUP(AB$1&amp;$A57&amp;$B57,배당편집!$D$2:$N$2710,11,FALSE), 0)</f>
        <v>0</v>
      </c>
      <c r="AC57" s="3">
        <f>IFERROR(VLOOKUP(AC$1&amp;$A57&amp;$B57,배당편집!$D$2:$N$2710,11,FALSE), 0)</f>
        <v>0.1875</v>
      </c>
      <c r="AD57" s="3">
        <f>IFERROR(VLOOKUP(AD$1&amp;$A57&amp;$B57,배당편집!$D$2:$N$2710,11,FALSE), 0)</f>
        <v>0</v>
      </c>
      <c r="AE57" s="3">
        <f>IFERROR(VLOOKUP(AE$1&amp;$A57&amp;$B57,배당편집!$D$2:$N$2710,11,FALSE), 0)</f>
        <v>0.21</v>
      </c>
      <c r="AF57" s="3">
        <f>IFERROR(VLOOKUP(AF$1&amp;$A57&amp;$B57,배당편집!$D$2:$N$2710,11,FALSE), 0)</f>
        <v>0.48</v>
      </c>
    </row>
    <row r="58" spans="1:32" ht="16.5" customHeight="1">
      <c r="A58" s="3">
        <v>2018</v>
      </c>
      <c r="B58" s="3">
        <v>9</v>
      </c>
      <c r="C58" s="3">
        <f>IFERROR(VLOOKUP(C$1&amp;$A58&amp;$B58,배당편집!$D$2:$N$2710,11,FALSE), 0)</f>
        <v>0</v>
      </c>
      <c r="D58" s="3">
        <f>IFERROR(VLOOKUP(D$1&amp;$A58&amp;$B58,배당편집!$D$2:$N$2710,11,FALSE), 0)</f>
        <v>0.38</v>
      </c>
      <c r="E58" s="3">
        <f>IFERROR(VLOOKUP(E$1&amp;$A58&amp;$B58,배당편집!$D$2:$N$2710,11,FALSE), 0)</f>
        <v>0.23</v>
      </c>
      <c r="F58" s="3">
        <f>IFERROR(VLOOKUP(F$1&amp;$A58&amp;$B58,배당편집!$D$2:$N$2710,11,FALSE), 0)</f>
        <v>0.66</v>
      </c>
      <c r="G58" s="3">
        <f>IFERROR(VLOOKUP(G$1&amp;$A58&amp;$B58,배당편집!$D$2:$N$2710,11,FALSE), 0)</f>
        <v>0</v>
      </c>
      <c r="H58" s="3">
        <f>IFERROR(VLOOKUP(H$1&amp;$A58&amp;$B58,배당편집!$D$2:$N$2710,11,FALSE), 0)</f>
        <v>0</v>
      </c>
      <c r="I58" s="3">
        <f>IFERROR(VLOOKUP(I$1&amp;$A58&amp;$B58,배당편집!$D$2:$N$2710,11,FALSE), 0)</f>
        <v>0</v>
      </c>
      <c r="J58" s="3">
        <f>IFERROR(VLOOKUP(J$1&amp;$A58&amp;$B58,배당편집!$D$2:$N$2710,11,FALSE), 0)</f>
        <v>0.42499999999999999</v>
      </c>
      <c r="K58" s="3">
        <f>IFERROR(VLOOKUP(K$1&amp;$A58&amp;$B58,배당편집!$D$2:$N$2710,11,FALSE), 0)</f>
        <v>0</v>
      </c>
      <c r="L58" s="3">
        <f>IFERROR(VLOOKUP(L$1&amp;$A58&amp;$B58,배당편집!$D$2:$N$2710,11,FALSE), 0)</f>
        <v>0</v>
      </c>
      <c r="M58" s="3">
        <f>IFERROR(VLOOKUP(M$1&amp;$A58&amp;$B58,배당편집!$D$2:$N$2710,11,FALSE), 0)</f>
        <v>1</v>
      </c>
      <c r="N58" s="3">
        <f>IFERROR(VLOOKUP(N$1&amp;$A58&amp;$B58,배당편집!$D$2:$N$2710,11,FALSE), 0)</f>
        <v>0</v>
      </c>
      <c r="O58" s="3">
        <f>IFERROR(VLOOKUP(O$1&amp;$A58&amp;$B58,배당편집!$D$2:$N$2710,11,FALSE), 0)</f>
        <v>1.1000000000000001</v>
      </c>
      <c r="P58" s="3">
        <f>IFERROR(VLOOKUP(P$1&amp;$A58&amp;$B58,배당편집!$D$2:$N$2710,11,FALSE), 0)</f>
        <v>0</v>
      </c>
      <c r="Q58" s="3">
        <f>IFERROR(VLOOKUP(Q$1&amp;$A58&amp;$B58,배당편집!$D$2:$N$2710,11,FALSE), 0)</f>
        <v>0</v>
      </c>
      <c r="R58" s="3">
        <f>IFERROR(VLOOKUP(R$1&amp;$A58&amp;$B58,배당편집!$D$2:$N$2710,11,FALSE), 0)</f>
        <v>0</v>
      </c>
      <c r="S58" s="3">
        <f>IFERROR(VLOOKUP(S$1&amp;$A58&amp;$B58,배당편집!$D$2:$N$2710,11,FALSE), 0)</f>
        <v>0.72</v>
      </c>
      <c r="T58" s="3">
        <f>IFERROR(VLOOKUP(T$1&amp;$A58&amp;$B58,배당편집!$D$2:$N$2710,11,FALSE), 0)</f>
        <v>0</v>
      </c>
      <c r="U58" s="3">
        <f>IFERROR(VLOOKUP(U$1&amp;$A58&amp;$B58,배당편집!$D$2:$N$2710,11,FALSE), 0)</f>
        <v>0</v>
      </c>
      <c r="V58" s="3">
        <f>IFERROR(VLOOKUP(V$1&amp;$A58&amp;$B58,배당편집!$D$2:$N$2710,11,FALSE), 0)</f>
        <v>0</v>
      </c>
      <c r="W58" s="3">
        <f>IFERROR(VLOOKUP(W$1&amp;$A58&amp;$B58,배당편집!$D$2:$N$2710,11,FALSE), 0)</f>
        <v>0</v>
      </c>
      <c r="X58" s="3">
        <f>IFERROR(VLOOKUP(X$1&amp;$A58&amp;$B58,배당편집!$D$2:$N$2710,11,FALSE), 0)</f>
        <v>0</v>
      </c>
      <c r="Y58" s="3">
        <f>IFERROR(VLOOKUP(Y$1&amp;$A58&amp;$B58,배당편집!$D$2:$N$2710,11,FALSE), 0)</f>
        <v>0</v>
      </c>
      <c r="Z58" s="3">
        <f>IFERROR(VLOOKUP(Z$1&amp;$A58&amp;$B58,배당편집!$D$2:$N$2710,11,FALSE), 0)</f>
        <v>0</v>
      </c>
      <c r="AA58" s="3">
        <f>IFERROR(VLOOKUP(AA$1&amp;$A58&amp;$B58,배당편집!$D$2:$N$2710,11,FALSE), 0)</f>
        <v>0</v>
      </c>
      <c r="AB58" s="3">
        <f>IFERROR(VLOOKUP(AB$1&amp;$A58&amp;$B58,배당편집!$D$2:$N$2710,11,FALSE), 0)</f>
        <v>0</v>
      </c>
      <c r="AC58" s="3">
        <f>IFERROR(VLOOKUP(AC$1&amp;$A58&amp;$B58,배당편집!$D$2:$N$2710,11,FALSE), 0)</f>
        <v>0</v>
      </c>
      <c r="AD58" s="3">
        <f>IFERROR(VLOOKUP(AD$1&amp;$A58&amp;$B58,배당편집!$D$2:$N$2710,11,FALSE), 0)</f>
        <v>0.69</v>
      </c>
      <c r="AE58" s="3">
        <f>IFERROR(VLOOKUP(AE$1&amp;$A58&amp;$B58,배당편집!$D$2:$N$2710,11,FALSE), 0)</f>
        <v>0</v>
      </c>
      <c r="AF58" s="3">
        <f>IFERROR(VLOOKUP(AF$1&amp;$A58&amp;$B58,배당편집!$D$2:$N$2710,11,FALSE), 0)</f>
        <v>0</v>
      </c>
    </row>
    <row r="59" spans="1:32" ht="16.5" customHeight="1">
      <c r="A59" s="3">
        <v>2018</v>
      </c>
      <c r="B59" s="3">
        <v>10</v>
      </c>
      <c r="C59" s="3">
        <f>IFERROR(VLOOKUP(C$1&amp;$A59&amp;$B59,배당편집!$D$2:$N$2710,11,FALSE), 0)</f>
        <v>0</v>
      </c>
      <c r="D59" s="3">
        <f>IFERROR(VLOOKUP(D$1&amp;$A59&amp;$B59,배당편집!$D$2:$N$2710,11,FALSE), 0)</f>
        <v>0</v>
      </c>
      <c r="E59" s="3">
        <f>IFERROR(VLOOKUP(E$1&amp;$A59&amp;$B59,배당편집!$D$2:$N$2710,11,FALSE), 0)</f>
        <v>0</v>
      </c>
      <c r="F59" s="3">
        <f>IFERROR(VLOOKUP(F$1&amp;$A59&amp;$B59,배당편집!$D$2:$N$2710,11,FALSE), 0)</f>
        <v>0</v>
      </c>
      <c r="G59" s="3">
        <f>IFERROR(VLOOKUP(G$1&amp;$A59&amp;$B59,배당편집!$D$2:$N$2710,11,FALSE), 0)</f>
        <v>0</v>
      </c>
      <c r="H59" s="3">
        <f>IFERROR(VLOOKUP(H$1&amp;$A59&amp;$B59,배당편집!$D$2:$N$2710,11,FALSE), 0)</f>
        <v>0</v>
      </c>
      <c r="I59" s="3">
        <f>IFERROR(VLOOKUP(I$1&amp;$A59&amp;$B59,배당편집!$D$2:$N$2710,11,FALSE), 0)</f>
        <v>0</v>
      </c>
      <c r="J59" s="3">
        <f>IFERROR(VLOOKUP(J$1&amp;$A59&amp;$B59,배당편집!$D$2:$N$2710,11,FALSE), 0)</f>
        <v>0</v>
      </c>
      <c r="K59" s="3">
        <f>IFERROR(VLOOKUP(K$1&amp;$A59&amp;$B59,배당편집!$D$2:$N$2710,11,FALSE), 0)</f>
        <v>0.86</v>
      </c>
      <c r="L59" s="3">
        <f>IFERROR(VLOOKUP(L$1&amp;$A59&amp;$B59,배당편집!$D$2:$N$2710,11,FALSE), 0)</f>
        <v>0</v>
      </c>
      <c r="M59" s="3">
        <f>IFERROR(VLOOKUP(M$1&amp;$A59&amp;$B59,배당편집!$D$2:$N$2710,11,FALSE), 0)</f>
        <v>0</v>
      </c>
      <c r="N59" s="3">
        <f>IFERROR(VLOOKUP(N$1&amp;$A59&amp;$B59,배당편집!$D$2:$N$2710,11,FALSE), 0)</f>
        <v>0</v>
      </c>
      <c r="O59" s="3">
        <f>IFERROR(VLOOKUP(O$1&amp;$A59&amp;$B59,배당편집!$D$2:$N$2710,11,FALSE), 0)</f>
        <v>0</v>
      </c>
      <c r="P59" s="3">
        <f>IFERROR(VLOOKUP(P$1&amp;$A59&amp;$B59,배당편집!$D$2:$N$2710,11,FALSE), 0)</f>
        <v>0.71719999999999995</v>
      </c>
      <c r="Q59" s="3">
        <f>IFERROR(VLOOKUP(Q$1&amp;$A59&amp;$B59,배당편집!$D$2:$N$2710,11,FALSE), 0)</f>
        <v>0</v>
      </c>
      <c r="R59" s="3">
        <f>IFERROR(VLOOKUP(R$1&amp;$A59&amp;$B59,배당편집!$D$2:$N$2710,11,FALSE), 0)</f>
        <v>0</v>
      </c>
      <c r="S59" s="3">
        <f>IFERROR(VLOOKUP(S$1&amp;$A59&amp;$B59,배당편집!$D$2:$N$2710,11,FALSE), 0)</f>
        <v>0</v>
      </c>
      <c r="T59" s="3">
        <f>IFERROR(VLOOKUP(T$1&amp;$A59&amp;$B59,배당편집!$D$2:$N$2710,11,FALSE), 0)</f>
        <v>0.93</v>
      </c>
      <c r="U59" s="3">
        <f>IFERROR(VLOOKUP(U$1&amp;$A59&amp;$B59,배당편집!$D$2:$N$2710,11,FALSE), 0)</f>
        <v>0.22</v>
      </c>
      <c r="V59" s="3">
        <f>IFERROR(VLOOKUP(V$1&amp;$A59&amp;$B59,배당편집!$D$2:$N$2710,11,FALSE), 0)</f>
        <v>0.1875</v>
      </c>
      <c r="W59" s="3">
        <f>IFERROR(VLOOKUP(W$1&amp;$A59&amp;$B59,배당편집!$D$2:$N$2710,11,FALSE), 0)</f>
        <v>0.48</v>
      </c>
      <c r="X59" s="3">
        <f>IFERROR(VLOOKUP(X$1&amp;$A59&amp;$B59,배당편집!$D$2:$N$2710,11,FALSE), 0)</f>
        <v>0</v>
      </c>
      <c r="Y59" s="3">
        <f>IFERROR(VLOOKUP(Y$1&amp;$A59&amp;$B59,배당편집!$D$2:$N$2710,11,FALSE), 0)</f>
        <v>0</v>
      </c>
      <c r="Z59" s="3">
        <f>IFERROR(VLOOKUP(Z$1&amp;$A59&amp;$B59,배당편집!$D$2:$N$2710,11,FALSE), 0)</f>
        <v>0.17499999999999999</v>
      </c>
      <c r="AA59" s="3">
        <f>IFERROR(VLOOKUP(AA$1&amp;$A59&amp;$B59,배당편집!$D$2:$N$2710,11,FALSE), 0)</f>
        <v>0</v>
      </c>
      <c r="AB59" s="3">
        <f>IFERROR(VLOOKUP(AB$1&amp;$A59&amp;$B59,배당편집!$D$2:$N$2710,11,FALSE), 0)</f>
        <v>0.28000000000000003</v>
      </c>
      <c r="AC59" s="3">
        <f>IFERROR(VLOOKUP(AC$1&amp;$A59&amp;$B59,배당편집!$D$2:$N$2710,11,FALSE), 0)</f>
        <v>0</v>
      </c>
      <c r="AD59" s="3">
        <f>IFERROR(VLOOKUP(AD$1&amp;$A59&amp;$B59,배당편집!$D$2:$N$2710,11,FALSE), 0)</f>
        <v>0</v>
      </c>
      <c r="AE59" s="3">
        <f>IFERROR(VLOOKUP(AE$1&amp;$A59&amp;$B59,배당편집!$D$2:$N$2710,11,FALSE), 0)</f>
        <v>0</v>
      </c>
      <c r="AF59" s="3">
        <f>IFERROR(VLOOKUP(AF$1&amp;$A59&amp;$B59,배당편집!$D$2:$N$2710,11,FALSE), 0)</f>
        <v>0</v>
      </c>
    </row>
    <row r="60" spans="1:32" ht="16.5" customHeight="1">
      <c r="A60" s="3">
        <v>2018</v>
      </c>
      <c r="B60" s="3">
        <v>11</v>
      </c>
      <c r="C60" s="3">
        <f>IFERROR(VLOOKUP(C$1&amp;$A60&amp;$B60,배당편집!$D$2:$N$2710,11,FALSE), 0)</f>
        <v>0.44</v>
      </c>
      <c r="D60" s="3">
        <f>IFERROR(VLOOKUP(D$1&amp;$A60&amp;$B60,배당편집!$D$2:$N$2710,11,FALSE), 0)</f>
        <v>0</v>
      </c>
      <c r="E60" s="3">
        <f>IFERROR(VLOOKUP(E$1&amp;$A60&amp;$B60,배당편집!$D$2:$N$2710,11,FALSE), 0)</f>
        <v>0</v>
      </c>
      <c r="F60" s="3">
        <f>IFERROR(VLOOKUP(F$1&amp;$A60&amp;$B60,배당편집!$D$2:$N$2710,11,FALSE), 0)</f>
        <v>0.66</v>
      </c>
      <c r="G60" s="3">
        <f>IFERROR(VLOOKUP(G$1&amp;$A60&amp;$B60,배당편집!$D$2:$N$2710,11,FALSE), 0)</f>
        <v>0.82</v>
      </c>
      <c r="H60" s="3">
        <f>IFERROR(VLOOKUP(H$1&amp;$A60&amp;$B60,배당편집!$D$2:$N$2710,11,FALSE), 0)</f>
        <v>1.1200000000000001</v>
      </c>
      <c r="I60" s="3">
        <f>IFERROR(VLOOKUP(I$1&amp;$A60&amp;$B60,배당편집!$D$2:$N$2710,11,FALSE), 0)</f>
        <v>0.505</v>
      </c>
      <c r="J60" s="3">
        <f>IFERROR(VLOOKUP(J$1&amp;$A60&amp;$B60,배당편집!$D$2:$N$2710,11,FALSE), 0)</f>
        <v>0</v>
      </c>
      <c r="K60" s="3">
        <f>IFERROR(VLOOKUP(K$1&amp;$A60&amp;$B60,배당편집!$D$2:$N$2710,11,FALSE), 0)</f>
        <v>0</v>
      </c>
      <c r="L60" s="3">
        <f>IFERROR(VLOOKUP(L$1&amp;$A60&amp;$B60,배당편집!$D$2:$N$2710,11,FALSE), 0)</f>
        <v>0.64</v>
      </c>
      <c r="M60" s="3">
        <f>IFERROR(VLOOKUP(M$1&amp;$A60&amp;$B60,배당편집!$D$2:$N$2710,11,FALSE), 0)</f>
        <v>0</v>
      </c>
      <c r="N60" s="3">
        <f>IFERROR(VLOOKUP(N$1&amp;$A60&amp;$B60,배당편집!$D$2:$N$2710,11,FALSE), 0)</f>
        <v>0.49</v>
      </c>
      <c r="O60" s="3">
        <f>IFERROR(VLOOKUP(O$1&amp;$A60&amp;$B60,배당편집!$D$2:$N$2710,11,FALSE), 0)</f>
        <v>0</v>
      </c>
      <c r="P60" s="3">
        <f>IFERROR(VLOOKUP(P$1&amp;$A60&amp;$B60,배당편집!$D$2:$N$2710,11,FALSE), 0)</f>
        <v>0</v>
      </c>
      <c r="Q60" s="3">
        <f>IFERROR(VLOOKUP(Q$1&amp;$A60&amp;$B60,배당편집!$D$2:$N$2710,11,FALSE), 0)</f>
        <v>0.9</v>
      </c>
      <c r="R60" s="3">
        <f>IFERROR(VLOOKUP(R$1&amp;$A60&amp;$B60,배당편집!$D$2:$N$2710,11,FALSE), 0)</f>
        <v>0.52500000000000002</v>
      </c>
      <c r="S60" s="3">
        <f>IFERROR(VLOOKUP(S$1&amp;$A60&amp;$B60,배당편집!$D$2:$N$2710,11,FALSE), 0)</f>
        <v>0</v>
      </c>
      <c r="T60" s="3">
        <f>IFERROR(VLOOKUP(T$1&amp;$A60&amp;$B60,배당편집!$D$2:$N$2710,11,FALSE), 0)</f>
        <v>0</v>
      </c>
      <c r="U60" s="3">
        <f>IFERROR(VLOOKUP(U$1&amp;$A60&amp;$B60,배당편집!$D$2:$N$2710,11,FALSE), 0)</f>
        <v>0</v>
      </c>
      <c r="V60" s="3">
        <f>IFERROR(VLOOKUP(V$1&amp;$A60&amp;$B60,배당편집!$D$2:$N$2710,11,FALSE), 0)</f>
        <v>0</v>
      </c>
      <c r="W60" s="3">
        <f>IFERROR(VLOOKUP(W$1&amp;$A60&amp;$B60,배당편집!$D$2:$N$2710,11,FALSE), 0)</f>
        <v>0</v>
      </c>
      <c r="X60" s="3">
        <f>IFERROR(VLOOKUP(X$1&amp;$A60&amp;$B60,배당편집!$D$2:$N$2710,11,FALSE), 0)</f>
        <v>0.48</v>
      </c>
      <c r="Y60" s="3">
        <f>IFERROR(VLOOKUP(Y$1&amp;$A60&amp;$B60,배당편집!$D$2:$N$2710,11,FALSE), 0)</f>
        <v>0.76</v>
      </c>
      <c r="Z60" s="3">
        <f>IFERROR(VLOOKUP(Z$1&amp;$A60&amp;$B60,배당편집!$D$2:$N$2710,11,FALSE), 0)</f>
        <v>0</v>
      </c>
      <c r="AA60" s="3">
        <f>IFERROR(VLOOKUP(AA$1&amp;$A60&amp;$B60,배당편집!$D$2:$N$2710,11,FALSE), 0)</f>
        <v>0.33500000000000002</v>
      </c>
      <c r="AB60" s="3">
        <f>IFERROR(VLOOKUP(AB$1&amp;$A60&amp;$B60,배당편집!$D$2:$N$2710,11,FALSE), 0)</f>
        <v>0</v>
      </c>
      <c r="AC60" s="3">
        <f>IFERROR(VLOOKUP(AC$1&amp;$A60&amp;$B60,배당편집!$D$2:$N$2710,11,FALSE), 0)</f>
        <v>0.1875</v>
      </c>
      <c r="AD60" s="3">
        <f>IFERROR(VLOOKUP(AD$1&amp;$A60&amp;$B60,배당편집!$D$2:$N$2710,11,FALSE), 0)</f>
        <v>0</v>
      </c>
      <c r="AE60" s="3">
        <f>IFERROR(VLOOKUP(AE$1&amp;$A60&amp;$B60,배당편집!$D$2:$N$2710,11,FALSE), 0)</f>
        <v>0.22</v>
      </c>
      <c r="AF60" s="3">
        <f>IFERROR(VLOOKUP(AF$1&amp;$A60&amp;$B60,배당편집!$D$2:$N$2710,11,FALSE), 0)</f>
        <v>0.48</v>
      </c>
    </row>
    <row r="61" spans="1:32" ht="16.5" customHeight="1">
      <c r="A61" s="3">
        <v>2018</v>
      </c>
      <c r="B61" s="3">
        <v>12</v>
      </c>
      <c r="C61" s="3">
        <f>IFERROR(VLOOKUP(C$1&amp;$A61&amp;$B61,배당편집!$D$2:$N$2710,11,FALSE), 0)</f>
        <v>0</v>
      </c>
      <c r="D61" s="3">
        <f>IFERROR(VLOOKUP(D$1&amp;$A61&amp;$B61,배당편집!$D$2:$N$2710,11,FALSE), 0)</f>
        <v>0.38</v>
      </c>
      <c r="E61" s="3">
        <f>IFERROR(VLOOKUP(E$1&amp;$A61&amp;$B61,배당편집!$D$2:$N$2710,11,FALSE), 0)</f>
        <v>0.26</v>
      </c>
      <c r="F61" s="3">
        <f>IFERROR(VLOOKUP(F$1&amp;$A61&amp;$B61,배당편집!$D$2:$N$2710,11,FALSE), 0)</f>
        <v>0</v>
      </c>
      <c r="G61" s="3">
        <f>IFERROR(VLOOKUP(G$1&amp;$A61&amp;$B61,배당편집!$D$2:$N$2710,11,FALSE), 0)</f>
        <v>0</v>
      </c>
      <c r="H61" s="3">
        <f>IFERROR(VLOOKUP(H$1&amp;$A61&amp;$B61,배당편집!$D$2:$N$2710,11,FALSE), 0)</f>
        <v>0</v>
      </c>
      <c r="I61" s="3">
        <f>IFERROR(VLOOKUP(I$1&amp;$A61&amp;$B61,배당편집!$D$2:$N$2710,11,FALSE), 0)</f>
        <v>0</v>
      </c>
      <c r="J61" s="3">
        <f>IFERROR(VLOOKUP(J$1&amp;$A61&amp;$B61,배당편집!$D$2:$N$2710,11,FALSE), 0)</f>
        <v>0.42499999999999999</v>
      </c>
      <c r="K61" s="3">
        <f>IFERROR(VLOOKUP(K$1&amp;$A61&amp;$B61,배당편집!$D$2:$N$2710,11,FALSE), 0)</f>
        <v>0</v>
      </c>
      <c r="L61" s="3">
        <f>IFERROR(VLOOKUP(L$1&amp;$A61&amp;$B61,배당편집!$D$2:$N$2710,11,FALSE), 0)</f>
        <v>0</v>
      </c>
      <c r="M61" s="3">
        <f>IFERROR(VLOOKUP(M$1&amp;$A61&amp;$B61,배당편집!$D$2:$N$2710,11,FALSE), 0)</f>
        <v>1</v>
      </c>
      <c r="N61" s="3">
        <f>IFERROR(VLOOKUP(N$1&amp;$A61&amp;$B61,배당편집!$D$2:$N$2710,11,FALSE), 0)</f>
        <v>0</v>
      </c>
      <c r="O61" s="3">
        <f>IFERROR(VLOOKUP(O$1&amp;$A61&amp;$B61,배당편집!$D$2:$N$2710,11,FALSE), 0)</f>
        <v>1.1000000000000001</v>
      </c>
      <c r="P61" s="3">
        <f>IFERROR(VLOOKUP(P$1&amp;$A61&amp;$B61,배당편집!$D$2:$N$2710,11,FALSE), 0)</f>
        <v>0</v>
      </c>
      <c r="Q61" s="3">
        <f>IFERROR(VLOOKUP(Q$1&amp;$A61&amp;$B61,배당편집!$D$2:$N$2710,11,FALSE), 0)</f>
        <v>0</v>
      </c>
      <c r="R61" s="3">
        <f>IFERROR(VLOOKUP(R$1&amp;$A61&amp;$B61,배당편집!$D$2:$N$2710,11,FALSE), 0)</f>
        <v>0</v>
      </c>
      <c r="S61" s="3">
        <f>IFERROR(VLOOKUP(S$1&amp;$A61&amp;$B61,배당편집!$D$2:$N$2710,11,FALSE), 0)</f>
        <v>0.72</v>
      </c>
      <c r="T61" s="3">
        <f>IFERROR(VLOOKUP(T$1&amp;$A61&amp;$B61,배당편집!$D$2:$N$2710,11,FALSE), 0)</f>
        <v>0</v>
      </c>
      <c r="U61" s="3">
        <f>IFERROR(VLOOKUP(U$1&amp;$A61&amp;$B61,배당편집!$D$2:$N$2710,11,FALSE), 0)</f>
        <v>0</v>
      </c>
      <c r="V61" s="3">
        <f>IFERROR(VLOOKUP(V$1&amp;$A61&amp;$B61,배당편집!$D$2:$N$2710,11,FALSE), 0)</f>
        <v>0</v>
      </c>
      <c r="W61" s="3">
        <f>IFERROR(VLOOKUP(W$1&amp;$A61&amp;$B61,배당편집!$D$2:$N$2710,11,FALSE), 0)</f>
        <v>0</v>
      </c>
      <c r="X61" s="3">
        <f>IFERROR(VLOOKUP(X$1&amp;$A61&amp;$B61,배당편집!$D$2:$N$2710,11,FALSE), 0)</f>
        <v>0</v>
      </c>
      <c r="Y61" s="3">
        <f>IFERROR(VLOOKUP(Y$1&amp;$A61&amp;$B61,배당편집!$D$2:$N$2710,11,FALSE), 0)</f>
        <v>0</v>
      </c>
      <c r="Z61" s="3">
        <f>IFERROR(VLOOKUP(Z$1&amp;$A61&amp;$B61,배당편집!$D$2:$N$2710,11,FALSE), 0)</f>
        <v>0</v>
      </c>
      <c r="AA61" s="3">
        <f>IFERROR(VLOOKUP(AA$1&amp;$A61&amp;$B61,배당편집!$D$2:$N$2710,11,FALSE), 0)</f>
        <v>0</v>
      </c>
      <c r="AB61" s="3">
        <f>IFERROR(VLOOKUP(AB$1&amp;$A61&amp;$B61,배당편집!$D$2:$N$2710,11,FALSE), 0)</f>
        <v>0</v>
      </c>
      <c r="AC61" s="3">
        <f>IFERROR(VLOOKUP(AC$1&amp;$A61&amp;$B61,배당편집!$D$2:$N$2710,11,FALSE), 0)</f>
        <v>0</v>
      </c>
      <c r="AD61" s="3">
        <f>IFERROR(VLOOKUP(AD$1&amp;$A61&amp;$B61,배당편집!$D$2:$N$2710,11,FALSE), 0)</f>
        <v>0.79</v>
      </c>
      <c r="AE61" s="3">
        <f>IFERROR(VLOOKUP(AE$1&amp;$A61&amp;$B61,배당편집!$D$2:$N$2710,11,FALSE), 0)</f>
        <v>0</v>
      </c>
      <c r="AF61" s="3">
        <f>IFERROR(VLOOKUP(AF$1&amp;$A61&amp;$B61,배당편집!$D$2:$N$2710,11,FALSE), 0)</f>
        <v>0</v>
      </c>
    </row>
    <row r="62" spans="1:32" ht="16.5" customHeight="1">
      <c r="A62" s="3">
        <v>2017</v>
      </c>
      <c r="B62" s="3">
        <v>1</v>
      </c>
      <c r="C62" s="3">
        <f>IFERROR(VLOOKUP(C$1&amp;$A62&amp;$B62,배당편집!$D$2:$N$2710,11,FALSE), 0)</f>
        <v>0</v>
      </c>
      <c r="D62" s="3">
        <f>IFERROR(VLOOKUP(D$1&amp;$A62&amp;$B62,배당편집!$D$2:$N$2710,11,FALSE), 0)</f>
        <v>0</v>
      </c>
      <c r="E62" s="3">
        <f>IFERROR(VLOOKUP(E$1&amp;$A62&amp;$B62,배당편집!$D$2:$N$2710,11,FALSE), 0)</f>
        <v>0</v>
      </c>
      <c r="F62" s="3">
        <f>IFERROR(VLOOKUP(F$1&amp;$A62&amp;$B62,배당편집!$D$2:$N$2710,11,FALSE), 0)</f>
        <v>0</v>
      </c>
      <c r="G62" s="3">
        <f>IFERROR(VLOOKUP(G$1&amp;$A62&amp;$B62,배당편집!$D$2:$N$2710,11,FALSE), 0)</f>
        <v>0</v>
      </c>
      <c r="H62" s="3">
        <f>IFERROR(VLOOKUP(H$1&amp;$A62&amp;$B62,배당편집!$D$2:$N$2710,11,FALSE), 0)</f>
        <v>0</v>
      </c>
      <c r="I62" s="3">
        <f>IFERROR(VLOOKUP(I$1&amp;$A62&amp;$B62,배당편집!$D$2:$N$2710,11,FALSE), 0)</f>
        <v>0</v>
      </c>
      <c r="J62" s="3">
        <f>IFERROR(VLOOKUP(J$1&amp;$A62&amp;$B62,배당편집!$D$2:$N$2710,11,FALSE), 0)</f>
        <v>0</v>
      </c>
      <c r="K62" s="3">
        <f>IFERROR(VLOOKUP(K$1&amp;$A62&amp;$B62,배당편집!$D$2:$N$2710,11,FALSE), 0)</f>
        <v>0.77</v>
      </c>
      <c r="L62" s="3">
        <f>IFERROR(VLOOKUP(L$1&amp;$A62&amp;$B62,배당편집!$D$2:$N$2710,11,FALSE), 0)</f>
        <v>0</v>
      </c>
      <c r="M62" s="3">
        <f>IFERROR(VLOOKUP(M$1&amp;$A62&amp;$B62,배당편집!$D$2:$N$2710,11,FALSE), 0)</f>
        <v>0</v>
      </c>
      <c r="N62" s="3">
        <f>IFERROR(VLOOKUP(N$1&amp;$A62&amp;$B62,배당편집!$D$2:$N$2710,11,FALSE), 0)</f>
        <v>0</v>
      </c>
      <c r="O62" s="3">
        <f>IFERROR(VLOOKUP(O$1&amp;$A62&amp;$B62,배당편집!$D$2:$N$2710,11,FALSE), 0)</f>
        <v>0</v>
      </c>
      <c r="P62" s="3">
        <f>IFERROR(VLOOKUP(P$1&amp;$A62&amp;$B62,배당편집!$D$2:$N$2710,11,FALSE), 0)</f>
        <v>0.66949999999999998</v>
      </c>
      <c r="Q62" s="3">
        <f>IFERROR(VLOOKUP(Q$1&amp;$A62&amp;$B62,배당편집!$D$2:$N$2710,11,FALSE), 0)</f>
        <v>0</v>
      </c>
      <c r="R62" s="3">
        <f>IFERROR(VLOOKUP(R$1&amp;$A62&amp;$B62,배당편집!$D$2:$N$2710,11,FALSE), 0)</f>
        <v>0</v>
      </c>
      <c r="S62" s="3">
        <f>IFERROR(VLOOKUP(S$1&amp;$A62&amp;$B62,배당편집!$D$2:$N$2710,11,FALSE), 0)</f>
        <v>0</v>
      </c>
      <c r="T62" s="3">
        <f>IFERROR(VLOOKUP(T$1&amp;$A62&amp;$B62,배당편집!$D$2:$N$2710,11,FALSE), 0)</f>
        <v>0.76</v>
      </c>
      <c r="U62" s="3">
        <f>IFERROR(VLOOKUP(U$1&amp;$A62&amp;$B62,배당편집!$D$2:$N$2710,11,FALSE), 0)</f>
        <v>0.14000000000000001</v>
      </c>
      <c r="V62" s="3">
        <f>IFERROR(VLOOKUP(V$1&amp;$A62&amp;$B62,배당편집!$D$2:$N$2710,11,FALSE), 0)</f>
        <v>0.17</v>
      </c>
      <c r="W62" s="3">
        <f>IFERROR(VLOOKUP(W$1&amp;$A62&amp;$B62,배당편집!$D$2:$N$2710,11,FALSE), 0)</f>
        <v>0.35</v>
      </c>
      <c r="X62" s="3">
        <f>IFERROR(VLOOKUP(X$1&amp;$A62&amp;$B62,배당편집!$D$2:$N$2710,11,FALSE), 0)</f>
        <v>0</v>
      </c>
      <c r="Y62" s="3">
        <f>IFERROR(VLOOKUP(Y$1&amp;$A62&amp;$B62,배당편집!$D$2:$N$2710,11,FALSE), 0)</f>
        <v>0</v>
      </c>
      <c r="Z62" s="3">
        <f>IFERROR(VLOOKUP(Z$1&amp;$A62&amp;$B62,배당편집!$D$2:$N$2710,11,FALSE), 0)</f>
        <v>0.17</v>
      </c>
      <c r="AA62" s="3">
        <f>IFERROR(VLOOKUP(AA$1&amp;$A62&amp;$B62,배당편집!$D$2:$N$2710,11,FALSE), 0)</f>
        <v>0</v>
      </c>
      <c r="AB62" s="3">
        <f>IFERROR(VLOOKUP(AB$1&amp;$A62&amp;$B62,배당편집!$D$2:$N$2710,11,FALSE), 0)</f>
        <v>0.26500000000000001</v>
      </c>
      <c r="AC62" s="3">
        <f>IFERROR(VLOOKUP(AC$1&amp;$A62&amp;$B62,배당편집!$D$2:$N$2710,11,FALSE), 0)</f>
        <v>0</v>
      </c>
      <c r="AD62" s="3">
        <f>IFERROR(VLOOKUP(AD$1&amp;$A62&amp;$B62,배당편집!$D$2:$N$2710,11,FALSE), 0)</f>
        <v>0</v>
      </c>
      <c r="AE62" s="3">
        <f>IFERROR(VLOOKUP(AE$1&amp;$A62&amp;$B62,배당편집!$D$2:$N$2710,11,FALSE), 0)</f>
        <v>0</v>
      </c>
      <c r="AF62" s="3">
        <f>IFERROR(VLOOKUP(AF$1&amp;$A62&amp;$B62,배당편집!$D$2:$N$2710,11,FALSE), 0)</f>
        <v>0</v>
      </c>
    </row>
    <row r="63" spans="1:32" ht="16.5" customHeight="1">
      <c r="A63" s="3">
        <v>2017</v>
      </c>
      <c r="B63" s="3">
        <v>2</v>
      </c>
      <c r="C63" s="3">
        <f>IFERROR(VLOOKUP(C$1&amp;$A63&amp;$B63,배당편집!$D$2:$N$2710,11,FALSE), 0)</f>
        <v>0.375</v>
      </c>
      <c r="D63" s="3">
        <f>IFERROR(VLOOKUP(D$1&amp;$A63&amp;$B63,배당편집!$D$2:$N$2710,11,FALSE), 0)</f>
        <v>0</v>
      </c>
      <c r="E63" s="3">
        <f>IFERROR(VLOOKUP(E$1&amp;$A63&amp;$B63,배당편집!$D$2:$N$2710,11,FALSE), 0)</f>
        <v>0</v>
      </c>
      <c r="F63" s="3">
        <f>IFERROR(VLOOKUP(F$1&amp;$A63&amp;$B63,배당편집!$D$2:$N$2710,11,FALSE), 0)</f>
        <v>0.57999999999999996</v>
      </c>
      <c r="G63" s="3">
        <f>IFERROR(VLOOKUP(G$1&amp;$A63&amp;$B63,배당편집!$D$2:$N$2710,11,FALSE), 0)</f>
        <v>0.75</v>
      </c>
      <c r="H63" s="3">
        <f>IFERROR(VLOOKUP(H$1&amp;$A63&amp;$B63,배당편집!$D$2:$N$2710,11,FALSE), 0)</f>
        <v>1.08</v>
      </c>
      <c r="I63" s="3">
        <f>IFERROR(VLOOKUP(I$1&amp;$A63&amp;$B63,배당편집!$D$2:$N$2710,11,FALSE), 0)</f>
        <v>0.44500000000000001</v>
      </c>
      <c r="J63" s="3">
        <f>IFERROR(VLOOKUP(J$1&amp;$A63&amp;$B63,배당편집!$D$2:$N$2710,11,FALSE), 0)</f>
        <v>0</v>
      </c>
      <c r="K63" s="3">
        <f>IFERROR(VLOOKUP(K$1&amp;$A63&amp;$B63,배당편집!$D$2:$N$2710,11,FALSE), 0)</f>
        <v>0</v>
      </c>
      <c r="L63" s="3">
        <f>IFERROR(VLOOKUP(L$1&amp;$A63&amp;$B63,배당편집!$D$2:$N$2710,11,FALSE), 0)</f>
        <v>0.6</v>
      </c>
      <c r="M63" s="3">
        <f>IFERROR(VLOOKUP(M$1&amp;$A63&amp;$B63,배당편집!$D$2:$N$2710,11,FALSE), 0)</f>
        <v>0</v>
      </c>
      <c r="N63" s="3">
        <f>IFERROR(VLOOKUP(N$1&amp;$A63&amp;$B63,배당편집!$D$2:$N$2710,11,FALSE), 0)</f>
        <v>0.48</v>
      </c>
      <c r="O63" s="3">
        <f>IFERROR(VLOOKUP(O$1&amp;$A63&amp;$B63,배당편집!$D$2:$N$2710,11,FALSE), 0)</f>
        <v>0</v>
      </c>
      <c r="P63" s="3">
        <f>IFERROR(VLOOKUP(P$1&amp;$A63&amp;$B63,배당편집!$D$2:$N$2710,11,FALSE), 0)</f>
        <v>0</v>
      </c>
      <c r="Q63" s="3">
        <f>IFERROR(VLOOKUP(Q$1&amp;$A63&amp;$B63,배당편집!$D$2:$N$2710,11,FALSE), 0)</f>
        <v>0.8</v>
      </c>
      <c r="R63" s="3">
        <f>IFERROR(VLOOKUP(R$1&amp;$A63&amp;$B63,배당편집!$D$2:$N$2710,11,FALSE), 0)</f>
        <v>0.45</v>
      </c>
      <c r="S63" s="3">
        <f>IFERROR(VLOOKUP(S$1&amp;$A63&amp;$B63,배당편집!$D$2:$N$2710,11,FALSE), 0)</f>
        <v>0</v>
      </c>
      <c r="T63" s="3">
        <f>IFERROR(VLOOKUP(T$1&amp;$A63&amp;$B63,배당편집!$D$2:$N$2710,11,FALSE), 0)</f>
        <v>0</v>
      </c>
      <c r="U63" s="3">
        <f>IFERROR(VLOOKUP(U$1&amp;$A63&amp;$B63,배당편집!$D$2:$N$2710,11,FALSE), 0)</f>
        <v>0</v>
      </c>
      <c r="V63" s="3">
        <f>IFERROR(VLOOKUP(V$1&amp;$A63&amp;$B63,배당편집!$D$2:$N$2710,11,FALSE), 0)</f>
        <v>0</v>
      </c>
      <c r="W63" s="3">
        <f>IFERROR(VLOOKUP(W$1&amp;$A63&amp;$B63,배당편집!$D$2:$N$2710,11,FALSE), 0)</f>
        <v>0</v>
      </c>
      <c r="X63" s="3">
        <f>IFERROR(VLOOKUP(X$1&amp;$A63&amp;$B63,배당편집!$D$2:$N$2710,11,FALSE), 0)</f>
        <v>0.4</v>
      </c>
      <c r="Y63" s="3">
        <f>IFERROR(VLOOKUP(Y$1&amp;$A63&amp;$B63,배당편집!$D$2:$N$2710,11,FALSE), 0)</f>
        <v>0.66</v>
      </c>
      <c r="Z63" s="3">
        <f>IFERROR(VLOOKUP(Z$1&amp;$A63&amp;$B63,배당편집!$D$2:$N$2710,11,FALSE), 0)</f>
        <v>0</v>
      </c>
      <c r="AA63" s="3">
        <f>IFERROR(VLOOKUP(AA$1&amp;$A63&amp;$B63,배당편집!$D$2:$N$2710,11,FALSE), 0)</f>
        <v>0.32</v>
      </c>
      <c r="AB63" s="3">
        <f>IFERROR(VLOOKUP(AB$1&amp;$A63&amp;$B63,배당편집!$D$2:$N$2710,11,FALSE), 0)</f>
        <v>0</v>
      </c>
      <c r="AC63" s="3">
        <f>IFERROR(VLOOKUP(AC$1&amp;$A63&amp;$B63,배당편집!$D$2:$N$2710,11,FALSE), 0)</f>
        <v>0.18</v>
      </c>
      <c r="AD63" s="3">
        <f>IFERROR(VLOOKUP(AD$1&amp;$A63&amp;$B63,배당편집!$D$2:$N$2710,11,FALSE), 0)</f>
        <v>0</v>
      </c>
      <c r="AE63" s="3">
        <f>IFERROR(VLOOKUP(AE$1&amp;$A63&amp;$B63,배당편집!$D$2:$N$2710,11,FALSE), 0)</f>
        <v>0.21</v>
      </c>
      <c r="AF63" s="3">
        <f>IFERROR(VLOOKUP(AF$1&amp;$A63&amp;$B63,배당편집!$D$2:$N$2710,11,FALSE), 0)</f>
        <v>0.44</v>
      </c>
    </row>
    <row r="64" spans="1:32" ht="16.5" customHeight="1">
      <c r="A64" s="3">
        <v>2017</v>
      </c>
      <c r="B64" s="3">
        <v>3</v>
      </c>
      <c r="C64" s="3">
        <f>IFERROR(VLOOKUP(C$1&amp;$A64&amp;$B64,배당편집!$D$2:$N$2710,11,FALSE), 0)</f>
        <v>0</v>
      </c>
      <c r="D64" s="3">
        <f>IFERROR(VLOOKUP(D$1&amp;$A64&amp;$B64,배당편집!$D$2:$N$2710,11,FALSE), 0)</f>
        <v>0.34</v>
      </c>
      <c r="E64" s="3">
        <f>IFERROR(VLOOKUP(E$1&amp;$A64&amp;$B64,배당편집!$D$2:$N$2710,11,FALSE), 0)</f>
        <v>0.2</v>
      </c>
      <c r="F64" s="3">
        <f>IFERROR(VLOOKUP(F$1&amp;$A64&amp;$B64,배당편집!$D$2:$N$2710,11,FALSE), 0)</f>
        <v>0</v>
      </c>
      <c r="G64" s="3">
        <f>IFERROR(VLOOKUP(G$1&amp;$A64&amp;$B64,배당편집!$D$2:$N$2710,11,FALSE), 0)</f>
        <v>0</v>
      </c>
      <c r="H64" s="3">
        <f>IFERROR(VLOOKUP(H$1&amp;$A64&amp;$B64,배당편집!$D$2:$N$2710,11,FALSE), 0)</f>
        <v>0</v>
      </c>
      <c r="I64" s="3">
        <f>IFERROR(VLOOKUP(I$1&amp;$A64&amp;$B64,배당편집!$D$2:$N$2710,11,FALSE), 0)</f>
        <v>0</v>
      </c>
      <c r="J64" s="3">
        <f>IFERROR(VLOOKUP(J$1&amp;$A64&amp;$B64,배당편집!$D$2:$N$2710,11,FALSE), 0)</f>
        <v>0.40500000000000003</v>
      </c>
      <c r="K64" s="3">
        <f>IFERROR(VLOOKUP(K$1&amp;$A64&amp;$B64,배당편집!$D$2:$N$2710,11,FALSE), 0)</f>
        <v>0</v>
      </c>
      <c r="L64" s="3">
        <f>IFERROR(VLOOKUP(L$1&amp;$A64&amp;$B64,배당편집!$D$2:$N$2710,11,FALSE), 0)</f>
        <v>0</v>
      </c>
      <c r="M64" s="3">
        <f>IFERROR(VLOOKUP(M$1&amp;$A64&amp;$B64,배당편집!$D$2:$N$2710,11,FALSE), 0)</f>
        <v>0.65</v>
      </c>
      <c r="N64" s="3">
        <f>IFERROR(VLOOKUP(N$1&amp;$A64&amp;$B64,배당편집!$D$2:$N$2710,11,FALSE), 0)</f>
        <v>0</v>
      </c>
      <c r="O64" s="3">
        <f>IFERROR(VLOOKUP(O$1&amp;$A64&amp;$B64,배당편집!$D$2:$N$2710,11,FALSE), 0)</f>
        <v>0.95</v>
      </c>
      <c r="P64" s="3">
        <f>IFERROR(VLOOKUP(P$1&amp;$A64&amp;$B64,배당편집!$D$2:$N$2710,11,FALSE), 0)</f>
        <v>0</v>
      </c>
      <c r="Q64" s="3">
        <f>IFERROR(VLOOKUP(Q$1&amp;$A64&amp;$B64,배당편집!$D$2:$N$2710,11,FALSE), 0)</f>
        <v>0</v>
      </c>
      <c r="R64" s="3">
        <f>IFERROR(VLOOKUP(R$1&amp;$A64&amp;$B64,배당편집!$D$2:$N$2710,11,FALSE), 0)</f>
        <v>0</v>
      </c>
      <c r="S64" s="3">
        <f>IFERROR(VLOOKUP(S$1&amp;$A64&amp;$B64,배당편집!$D$2:$N$2710,11,FALSE), 0)</f>
        <v>0.67500000000000004</v>
      </c>
      <c r="T64" s="3">
        <f>IFERROR(VLOOKUP(T$1&amp;$A64&amp;$B64,배당편집!$D$2:$N$2710,11,FALSE), 0)</f>
        <v>0</v>
      </c>
      <c r="U64" s="3">
        <f>IFERROR(VLOOKUP(U$1&amp;$A64&amp;$B64,배당편집!$D$2:$N$2710,11,FALSE), 0)</f>
        <v>0</v>
      </c>
      <c r="V64" s="3">
        <f>IFERROR(VLOOKUP(V$1&amp;$A64&amp;$B64,배당편집!$D$2:$N$2710,11,FALSE), 0)</f>
        <v>0</v>
      </c>
      <c r="W64" s="3">
        <f>IFERROR(VLOOKUP(W$1&amp;$A64&amp;$B64,배당편집!$D$2:$N$2710,11,FALSE), 0)</f>
        <v>0</v>
      </c>
      <c r="X64" s="3">
        <f>IFERROR(VLOOKUP(X$1&amp;$A64&amp;$B64,배당편집!$D$2:$N$2710,11,FALSE), 0)</f>
        <v>0</v>
      </c>
      <c r="Y64" s="3">
        <f>IFERROR(VLOOKUP(Y$1&amp;$A64&amp;$B64,배당편집!$D$2:$N$2710,11,FALSE), 0)</f>
        <v>0</v>
      </c>
      <c r="Z64" s="3">
        <f>IFERROR(VLOOKUP(Z$1&amp;$A64&amp;$B64,배당편집!$D$2:$N$2710,11,FALSE), 0)</f>
        <v>0</v>
      </c>
      <c r="AA64" s="3">
        <f>IFERROR(VLOOKUP(AA$1&amp;$A64&amp;$B64,배당편집!$D$2:$N$2710,11,FALSE), 0)</f>
        <v>0</v>
      </c>
      <c r="AB64" s="3">
        <f>IFERROR(VLOOKUP(AB$1&amp;$A64&amp;$B64,배당편집!$D$2:$N$2710,11,FALSE), 0)</f>
        <v>0</v>
      </c>
      <c r="AC64" s="3">
        <f>IFERROR(VLOOKUP(AC$1&amp;$A64&amp;$B64,배당편집!$D$2:$N$2710,11,FALSE), 0)</f>
        <v>0</v>
      </c>
      <c r="AD64" s="3">
        <f>IFERROR(VLOOKUP(AD$1&amp;$A64&amp;$B64,배당편집!$D$2:$N$2710,11,FALSE), 0)</f>
        <v>0.56999999999999995</v>
      </c>
      <c r="AE64" s="3">
        <f>IFERROR(VLOOKUP(AE$1&amp;$A64&amp;$B64,배당편집!$D$2:$N$2710,11,FALSE), 0)</f>
        <v>0</v>
      </c>
      <c r="AF64" s="3">
        <f>IFERROR(VLOOKUP(AF$1&amp;$A64&amp;$B64,배당편집!$D$2:$N$2710,11,FALSE), 0)</f>
        <v>0</v>
      </c>
    </row>
    <row r="65" spans="1:32" ht="16.5" customHeight="1">
      <c r="A65" s="3">
        <v>2017</v>
      </c>
      <c r="B65" s="3">
        <v>4</v>
      </c>
      <c r="C65" s="3">
        <f>IFERROR(VLOOKUP(C$1&amp;$A65&amp;$B65,배당편집!$D$2:$N$2710,11,FALSE), 0)</f>
        <v>0</v>
      </c>
      <c r="D65" s="3">
        <f>IFERROR(VLOOKUP(D$1&amp;$A65&amp;$B65,배당편집!$D$2:$N$2710,11,FALSE), 0)</f>
        <v>0</v>
      </c>
      <c r="E65" s="3">
        <f>IFERROR(VLOOKUP(E$1&amp;$A65&amp;$B65,배당편집!$D$2:$N$2710,11,FALSE), 0)</f>
        <v>0</v>
      </c>
      <c r="F65" s="3">
        <f>IFERROR(VLOOKUP(F$1&amp;$A65&amp;$B65,배당편집!$D$2:$N$2710,11,FALSE), 0)</f>
        <v>0</v>
      </c>
      <c r="G65" s="3">
        <f>IFERROR(VLOOKUP(G$1&amp;$A65&amp;$B65,배당편집!$D$2:$N$2710,11,FALSE), 0)</f>
        <v>0</v>
      </c>
      <c r="H65" s="3">
        <f>IFERROR(VLOOKUP(H$1&amp;$A65&amp;$B65,배당편집!$D$2:$N$2710,11,FALSE), 0)</f>
        <v>0</v>
      </c>
      <c r="I65" s="3">
        <f>IFERROR(VLOOKUP(I$1&amp;$A65&amp;$B65,배당편집!$D$2:$N$2710,11,FALSE), 0)</f>
        <v>0</v>
      </c>
      <c r="J65" s="3">
        <f>IFERROR(VLOOKUP(J$1&amp;$A65&amp;$B65,배당편집!$D$2:$N$2710,11,FALSE), 0)</f>
        <v>0</v>
      </c>
      <c r="K65" s="3">
        <f>IFERROR(VLOOKUP(K$1&amp;$A65&amp;$B65,배당편집!$D$2:$N$2710,11,FALSE), 0)</f>
        <v>0.77</v>
      </c>
      <c r="L65" s="3">
        <f>IFERROR(VLOOKUP(L$1&amp;$A65&amp;$B65,배당편집!$D$2:$N$2710,11,FALSE), 0)</f>
        <v>0</v>
      </c>
      <c r="M65" s="3">
        <f>IFERROR(VLOOKUP(M$1&amp;$A65&amp;$B65,배당편집!$D$2:$N$2710,11,FALSE), 0)</f>
        <v>0</v>
      </c>
      <c r="N65" s="3">
        <f>IFERROR(VLOOKUP(N$1&amp;$A65&amp;$B65,배당편집!$D$2:$N$2710,11,FALSE), 0)</f>
        <v>0</v>
      </c>
      <c r="O65" s="3">
        <f>IFERROR(VLOOKUP(O$1&amp;$A65&amp;$B65,배당편집!$D$2:$N$2710,11,FALSE), 0)</f>
        <v>0</v>
      </c>
      <c r="P65" s="3">
        <f>IFERROR(VLOOKUP(P$1&amp;$A65&amp;$B65,배당편집!$D$2:$N$2710,11,FALSE), 0)</f>
        <v>0.68959999999999999</v>
      </c>
      <c r="Q65" s="3">
        <f>IFERROR(VLOOKUP(Q$1&amp;$A65&amp;$B65,배당편집!$D$2:$N$2710,11,FALSE), 0)</f>
        <v>0</v>
      </c>
      <c r="R65" s="3">
        <f>IFERROR(VLOOKUP(R$1&amp;$A65&amp;$B65,배당편집!$D$2:$N$2710,11,FALSE), 0)</f>
        <v>0</v>
      </c>
      <c r="S65" s="3">
        <f>IFERROR(VLOOKUP(S$1&amp;$A65&amp;$B65,배당편집!$D$2:$N$2710,11,FALSE), 0)</f>
        <v>0</v>
      </c>
      <c r="T65" s="3">
        <f>IFERROR(VLOOKUP(T$1&amp;$A65&amp;$B65,배당편집!$D$2:$N$2710,11,FALSE), 0)</f>
        <v>0.84</v>
      </c>
      <c r="U65" s="3">
        <f>IFERROR(VLOOKUP(U$1&amp;$A65&amp;$B65,배당편집!$D$2:$N$2710,11,FALSE), 0)</f>
        <v>0.14000000000000001</v>
      </c>
      <c r="V65" s="3">
        <f>IFERROR(VLOOKUP(V$1&amp;$A65&amp;$B65,배당편집!$D$2:$N$2710,11,FALSE), 0)</f>
        <v>0.17</v>
      </c>
      <c r="W65" s="3">
        <f>IFERROR(VLOOKUP(W$1&amp;$A65&amp;$B65,배당편집!$D$2:$N$2710,11,FALSE), 0)</f>
        <v>0.35</v>
      </c>
      <c r="X65" s="3">
        <f>IFERROR(VLOOKUP(X$1&amp;$A65&amp;$B65,배당편집!$D$2:$N$2710,11,FALSE), 0)</f>
        <v>0</v>
      </c>
      <c r="Y65" s="3">
        <f>IFERROR(VLOOKUP(Y$1&amp;$A65&amp;$B65,배당편집!$D$2:$N$2710,11,FALSE), 0)</f>
        <v>0</v>
      </c>
      <c r="Z65" s="3">
        <f>IFERROR(VLOOKUP(Z$1&amp;$A65&amp;$B65,배당편집!$D$2:$N$2710,11,FALSE), 0)</f>
        <v>0.17</v>
      </c>
      <c r="AA65" s="3">
        <f>IFERROR(VLOOKUP(AA$1&amp;$A65&amp;$B65,배당편집!$D$2:$N$2710,11,FALSE), 0)</f>
        <v>0</v>
      </c>
      <c r="AB65" s="3">
        <f>IFERROR(VLOOKUP(AB$1&amp;$A65&amp;$B65,배당편집!$D$2:$N$2710,11,FALSE), 0)</f>
        <v>0.26500000000000001</v>
      </c>
      <c r="AC65" s="3">
        <f>IFERROR(VLOOKUP(AC$1&amp;$A65&amp;$B65,배당편집!$D$2:$N$2710,11,FALSE), 0)</f>
        <v>0</v>
      </c>
      <c r="AD65" s="3">
        <f>IFERROR(VLOOKUP(AD$1&amp;$A65&amp;$B65,배당편집!$D$2:$N$2710,11,FALSE), 0)</f>
        <v>0</v>
      </c>
      <c r="AE65" s="3">
        <f>IFERROR(VLOOKUP(AE$1&amp;$A65&amp;$B65,배당편집!$D$2:$N$2710,11,FALSE), 0)</f>
        <v>0</v>
      </c>
      <c r="AF65" s="3">
        <f>IFERROR(VLOOKUP(AF$1&amp;$A65&amp;$B65,배당편집!$D$2:$N$2710,11,FALSE), 0)</f>
        <v>0</v>
      </c>
    </row>
    <row r="66" spans="1:32" ht="16.5" customHeight="1">
      <c r="A66" s="3">
        <v>2017</v>
      </c>
      <c r="B66" s="3">
        <v>5</v>
      </c>
      <c r="C66" s="3">
        <f>IFERROR(VLOOKUP(C$1&amp;$A66&amp;$B66,배당편집!$D$2:$N$2710,11,FALSE), 0)</f>
        <v>0.375</v>
      </c>
      <c r="D66" s="3">
        <f>IFERROR(VLOOKUP(D$1&amp;$A66&amp;$B66,배당편집!$D$2:$N$2710,11,FALSE), 0)</f>
        <v>0</v>
      </c>
      <c r="E66" s="3">
        <f>IFERROR(VLOOKUP(E$1&amp;$A66&amp;$B66,배당편집!$D$2:$N$2710,11,FALSE), 0)</f>
        <v>0</v>
      </c>
      <c r="F66" s="3">
        <f>IFERROR(VLOOKUP(F$1&amp;$A66&amp;$B66,배당편집!$D$2:$N$2710,11,FALSE), 0)</f>
        <v>0</v>
      </c>
      <c r="G66" s="3">
        <f>IFERROR(VLOOKUP(G$1&amp;$A66&amp;$B66,배당편집!$D$2:$N$2710,11,FALSE), 0)</f>
        <v>0.77</v>
      </c>
      <c r="H66" s="3">
        <f>IFERROR(VLOOKUP(H$1&amp;$A66&amp;$B66,배당편집!$D$2:$N$2710,11,FALSE), 0)</f>
        <v>1.08</v>
      </c>
      <c r="I66" s="3">
        <f>IFERROR(VLOOKUP(I$1&amp;$A66&amp;$B66,배당편집!$D$2:$N$2710,11,FALSE), 0)</f>
        <v>0.44500000000000001</v>
      </c>
      <c r="J66" s="3">
        <f>IFERROR(VLOOKUP(J$1&amp;$A66&amp;$B66,배당편집!$D$2:$N$2710,11,FALSE), 0)</f>
        <v>0</v>
      </c>
      <c r="K66" s="3">
        <f>IFERROR(VLOOKUP(K$1&amp;$A66&amp;$B66,배당편집!$D$2:$N$2710,11,FALSE), 0)</f>
        <v>0</v>
      </c>
      <c r="L66" s="3">
        <f>IFERROR(VLOOKUP(L$1&amp;$A66&amp;$B66,배당편집!$D$2:$N$2710,11,FALSE), 0)</f>
        <v>0.6</v>
      </c>
      <c r="M66" s="3">
        <f>IFERROR(VLOOKUP(M$1&amp;$A66&amp;$B66,배당편집!$D$2:$N$2710,11,FALSE), 0)</f>
        <v>0</v>
      </c>
      <c r="N66" s="3">
        <f>IFERROR(VLOOKUP(N$1&amp;$A66&amp;$B66,배당편집!$D$2:$N$2710,11,FALSE), 0)</f>
        <v>0.48</v>
      </c>
      <c r="O66" s="3">
        <f>IFERROR(VLOOKUP(O$1&amp;$A66&amp;$B66,배당편집!$D$2:$N$2710,11,FALSE), 0)</f>
        <v>0</v>
      </c>
      <c r="P66" s="3">
        <f>IFERROR(VLOOKUP(P$1&amp;$A66&amp;$B66,배당편집!$D$2:$N$2710,11,FALSE), 0)</f>
        <v>0</v>
      </c>
      <c r="Q66" s="3">
        <f>IFERROR(VLOOKUP(Q$1&amp;$A66&amp;$B66,배당편집!$D$2:$N$2710,11,FALSE), 0)</f>
        <v>0.84</v>
      </c>
      <c r="R66" s="3">
        <f>IFERROR(VLOOKUP(R$1&amp;$A66&amp;$B66,배당편집!$D$2:$N$2710,11,FALSE), 0)</f>
        <v>0.45</v>
      </c>
      <c r="S66" s="3">
        <f>IFERROR(VLOOKUP(S$1&amp;$A66&amp;$B66,배당편집!$D$2:$N$2710,11,FALSE), 0)</f>
        <v>0</v>
      </c>
      <c r="T66" s="3">
        <f>IFERROR(VLOOKUP(T$1&amp;$A66&amp;$B66,배당편집!$D$2:$N$2710,11,FALSE), 0)</f>
        <v>0</v>
      </c>
      <c r="U66" s="3">
        <f>IFERROR(VLOOKUP(U$1&amp;$A66&amp;$B66,배당편집!$D$2:$N$2710,11,FALSE), 0)</f>
        <v>0</v>
      </c>
      <c r="V66" s="3">
        <f>IFERROR(VLOOKUP(V$1&amp;$A66&amp;$B66,배당편집!$D$2:$N$2710,11,FALSE), 0)</f>
        <v>0</v>
      </c>
      <c r="W66" s="3">
        <f>IFERROR(VLOOKUP(W$1&amp;$A66&amp;$B66,배당편집!$D$2:$N$2710,11,FALSE), 0)</f>
        <v>0</v>
      </c>
      <c r="X66" s="3">
        <f>IFERROR(VLOOKUP(X$1&amp;$A66&amp;$B66,배당편집!$D$2:$N$2710,11,FALSE), 0)</f>
        <v>0.4</v>
      </c>
      <c r="Y66" s="3">
        <f>IFERROR(VLOOKUP(Y$1&amp;$A66&amp;$B66,배당편집!$D$2:$N$2710,11,FALSE), 0)</f>
        <v>0.66</v>
      </c>
      <c r="Z66" s="3">
        <f>IFERROR(VLOOKUP(Z$1&amp;$A66&amp;$B66,배당편집!$D$2:$N$2710,11,FALSE), 0)</f>
        <v>0</v>
      </c>
      <c r="AA66" s="3">
        <f>IFERROR(VLOOKUP(AA$1&amp;$A66&amp;$B66,배당편집!$D$2:$N$2710,11,FALSE), 0)</f>
        <v>0.32</v>
      </c>
      <c r="AB66" s="3">
        <f>IFERROR(VLOOKUP(AB$1&amp;$A66&amp;$B66,배당편집!$D$2:$N$2710,11,FALSE), 0)</f>
        <v>0</v>
      </c>
      <c r="AC66" s="3">
        <f>IFERROR(VLOOKUP(AC$1&amp;$A66&amp;$B66,배당편집!$D$2:$N$2710,11,FALSE), 0)</f>
        <v>0.18</v>
      </c>
      <c r="AD66" s="3">
        <f>IFERROR(VLOOKUP(AD$1&amp;$A66&amp;$B66,배당편집!$D$2:$N$2710,11,FALSE), 0)</f>
        <v>0</v>
      </c>
      <c r="AE66" s="3">
        <f>IFERROR(VLOOKUP(AE$1&amp;$A66&amp;$B66,배당편집!$D$2:$N$2710,11,FALSE), 0)</f>
        <v>0.21</v>
      </c>
      <c r="AF66" s="3">
        <f>IFERROR(VLOOKUP(AF$1&amp;$A66&amp;$B66,배당편집!$D$2:$N$2710,11,FALSE), 0)</f>
        <v>0.44</v>
      </c>
    </row>
    <row r="67" spans="1:32" ht="16.5" customHeight="1">
      <c r="A67" s="3">
        <v>2017</v>
      </c>
      <c r="B67" s="3">
        <v>6</v>
      </c>
      <c r="C67" s="3">
        <f>IFERROR(VLOOKUP(C$1&amp;$A67&amp;$B67,배당편집!$D$2:$N$2710,11,FALSE), 0)</f>
        <v>0</v>
      </c>
      <c r="D67" s="3">
        <f>IFERROR(VLOOKUP(D$1&amp;$A67&amp;$B67,배당편집!$D$2:$N$2710,11,FALSE), 0)</f>
        <v>0.36</v>
      </c>
      <c r="E67" s="3">
        <f>IFERROR(VLOOKUP(E$1&amp;$A67&amp;$B67,배당편집!$D$2:$N$2710,11,FALSE), 0)</f>
        <v>0.2</v>
      </c>
      <c r="F67" s="3">
        <f>IFERROR(VLOOKUP(F$1&amp;$A67&amp;$B67,배당편집!$D$2:$N$2710,11,FALSE), 0)</f>
        <v>0.57999999999999996</v>
      </c>
      <c r="G67" s="3">
        <f>IFERROR(VLOOKUP(G$1&amp;$A67&amp;$B67,배당편집!$D$2:$N$2710,11,FALSE), 0)</f>
        <v>0</v>
      </c>
      <c r="H67" s="3">
        <f>IFERROR(VLOOKUP(H$1&amp;$A67&amp;$B67,배당편집!$D$2:$N$2710,11,FALSE), 0)</f>
        <v>0</v>
      </c>
      <c r="I67" s="3">
        <f>IFERROR(VLOOKUP(I$1&amp;$A67&amp;$B67,배당편집!$D$2:$N$2710,11,FALSE), 0)</f>
        <v>0</v>
      </c>
      <c r="J67" s="3">
        <f>IFERROR(VLOOKUP(J$1&amp;$A67&amp;$B67,배당편집!$D$2:$N$2710,11,FALSE), 0)</f>
        <v>0.41499999999999998</v>
      </c>
      <c r="K67" s="3">
        <f>IFERROR(VLOOKUP(K$1&amp;$A67&amp;$B67,배당편집!$D$2:$N$2710,11,FALSE), 0)</f>
        <v>0</v>
      </c>
      <c r="L67" s="3">
        <f>IFERROR(VLOOKUP(L$1&amp;$A67&amp;$B67,배당편집!$D$2:$N$2710,11,FALSE), 0)</f>
        <v>0</v>
      </c>
      <c r="M67" s="3">
        <f>IFERROR(VLOOKUP(M$1&amp;$A67&amp;$B67,배당편집!$D$2:$N$2710,11,FALSE), 0)</f>
        <v>0.65</v>
      </c>
      <c r="N67" s="3">
        <f>IFERROR(VLOOKUP(N$1&amp;$A67&amp;$B67,배당편집!$D$2:$N$2710,11,FALSE), 0)</f>
        <v>0</v>
      </c>
      <c r="O67" s="3">
        <f>IFERROR(VLOOKUP(O$1&amp;$A67&amp;$B67,배당편집!$D$2:$N$2710,11,FALSE), 0)</f>
        <v>0.95</v>
      </c>
      <c r="P67" s="3">
        <f>IFERROR(VLOOKUP(P$1&amp;$A67&amp;$B67,배당편집!$D$2:$N$2710,11,FALSE), 0)</f>
        <v>0</v>
      </c>
      <c r="Q67" s="3">
        <f>IFERROR(VLOOKUP(Q$1&amp;$A67&amp;$B67,배당편집!$D$2:$N$2710,11,FALSE), 0)</f>
        <v>0</v>
      </c>
      <c r="R67" s="3">
        <f>IFERROR(VLOOKUP(R$1&amp;$A67&amp;$B67,배당편집!$D$2:$N$2710,11,FALSE), 0)</f>
        <v>0</v>
      </c>
      <c r="S67" s="3">
        <f>IFERROR(VLOOKUP(S$1&amp;$A67&amp;$B67,배당편집!$D$2:$N$2710,11,FALSE), 0)</f>
        <v>0.67500000000000004</v>
      </c>
      <c r="T67" s="3">
        <f>IFERROR(VLOOKUP(T$1&amp;$A67&amp;$B67,배당편집!$D$2:$N$2710,11,FALSE), 0)</f>
        <v>0</v>
      </c>
      <c r="U67" s="3">
        <f>IFERROR(VLOOKUP(U$1&amp;$A67&amp;$B67,배당편집!$D$2:$N$2710,11,FALSE), 0)</f>
        <v>0</v>
      </c>
      <c r="V67" s="3">
        <f>IFERROR(VLOOKUP(V$1&amp;$A67&amp;$B67,배당편집!$D$2:$N$2710,11,FALSE), 0)</f>
        <v>0</v>
      </c>
      <c r="W67" s="3">
        <f>IFERROR(VLOOKUP(W$1&amp;$A67&amp;$B67,배당편집!$D$2:$N$2710,11,FALSE), 0)</f>
        <v>0</v>
      </c>
      <c r="X67" s="3">
        <f>IFERROR(VLOOKUP(X$1&amp;$A67&amp;$B67,배당편집!$D$2:$N$2710,11,FALSE), 0)</f>
        <v>0</v>
      </c>
      <c r="Y67" s="3">
        <f>IFERROR(VLOOKUP(Y$1&amp;$A67&amp;$B67,배당편집!$D$2:$N$2710,11,FALSE), 0)</f>
        <v>0</v>
      </c>
      <c r="Z67" s="3">
        <f>IFERROR(VLOOKUP(Z$1&amp;$A67&amp;$B67,배당편집!$D$2:$N$2710,11,FALSE), 0)</f>
        <v>0</v>
      </c>
      <c r="AA67" s="3">
        <f>IFERROR(VLOOKUP(AA$1&amp;$A67&amp;$B67,배당편집!$D$2:$N$2710,11,FALSE), 0)</f>
        <v>0</v>
      </c>
      <c r="AB67" s="3">
        <f>IFERROR(VLOOKUP(AB$1&amp;$A67&amp;$B67,배당편집!$D$2:$N$2710,11,FALSE), 0)</f>
        <v>0</v>
      </c>
      <c r="AC67" s="3">
        <f>IFERROR(VLOOKUP(AC$1&amp;$A67&amp;$B67,배당편집!$D$2:$N$2710,11,FALSE), 0)</f>
        <v>0</v>
      </c>
      <c r="AD67" s="3">
        <f>IFERROR(VLOOKUP(AD$1&amp;$A67&amp;$B67,배당편집!$D$2:$N$2710,11,FALSE), 0)</f>
        <v>0.56999999999999995</v>
      </c>
      <c r="AE67" s="3">
        <f>IFERROR(VLOOKUP(AE$1&amp;$A67&amp;$B67,배당편집!$D$2:$N$2710,11,FALSE), 0)</f>
        <v>0</v>
      </c>
      <c r="AF67" s="3">
        <f>IFERROR(VLOOKUP(AF$1&amp;$A67&amp;$B67,배당편집!$D$2:$N$2710,11,FALSE), 0)</f>
        <v>0</v>
      </c>
    </row>
    <row r="68" spans="1:32" ht="16.5" customHeight="1">
      <c r="A68" s="3">
        <v>2017</v>
      </c>
      <c r="B68" s="3">
        <v>7</v>
      </c>
      <c r="C68" s="3">
        <f>IFERROR(VLOOKUP(C$1&amp;$A68&amp;$B68,배당편집!$D$2:$N$2710,11,FALSE), 0)</f>
        <v>0</v>
      </c>
      <c r="D68" s="3">
        <f>IFERROR(VLOOKUP(D$1&amp;$A68&amp;$B68,배당편집!$D$2:$N$2710,11,FALSE), 0)</f>
        <v>0</v>
      </c>
      <c r="E68" s="3">
        <f>IFERROR(VLOOKUP(E$1&amp;$A68&amp;$B68,배당편집!$D$2:$N$2710,11,FALSE), 0)</f>
        <v>0</v>
      </c>
      <c r="F68" s="3">
        <f>IFERROR(VLOOKUP(F$1&amp;$A68&amp;$B68,배당편집!$D$2:$N$2710,11,FALSE), 0)</f>
        <v>0</v>
      </c>
      <c r="G68" s="3">
        <f>IFERROR(VLOOKUP(G$1&amp;$A68&amp;$B68,배당편집!$D$2:$N$2710,11,FALSE), 0)</f>
        <v>0</v>
      </c>
      <c r="H68" s="3">
        <f>IFERROR(VLOOKUP(H$1&amp;$A68&amp;$B68,배당편집!$D$2:$N$2710,11,FALSE), 0)</f>
        <v>0</v>
      </c>
      <c r="I68" s="3">
        <f>IFERROR(VLOOKUP(I$1&amp;$A68&amp;$B68,배당편집!$D$2:$N$2710,11,FALSE), 0)</f>
        <v>0</v>
      </c>
      <c r="J68" s="3">
        <f>IFERROR(VLOOKUP(J$1&amp;$A68&amp;$B68,배당편집!$D$2:$N$2710,11,FALSE), 0)</f>
        <v>0</v>
      </c>
      <c r="K68" s="3">
        <f>IFERROR(VLOOKUP(K$1&amp;$A68&amp;$B68,배당편집!$D$2:$N$2710,11,FALSE), 0)</f>
        <v>0.78</v>
      </c>
      <c r="L68" s="3">
        <f>IFERROR(VLOOKUP(L$1&amp;$A68&amp;$B68,배당편집!$D$2:$N$2710,11,FALSE), 0)</f>
        <v>0</v>
      </c>
      <c r="M68" s="3">
        <f>IFERROR(VLOOKUP(M$1&amp;$A68&amp;$B68,배당편집!$D$2:$N$2710,11,FALSE), 0)</f>
        <v>0</v>
      </c>
      <c r="N68" s="3">
        <f>IFERROR(VLOOKUP(N$1&amp;$A68&amp;$B68,배당편집!$D$2:$N$2710,11,FALSE), 0)</f>
        <v>0</v>
      </c>
      <c r="O68" s="3">
        <f>IFERROR(VLOOKUP(O$1&amp;$A68&amp;$B68,배당편집!$D$2:$N$2710,11,FALSE), 0)</f>
        <v>0</v>
      </c>
      <c r="P68" s="3">
        <f>IFERROR(VLOOKUP(P$1&amp;$A68&amp;$B68,배당편집!$D$2:$N$2710,11,FALSE), 0)</f>
        <v>0.68959999999999999</v>
      </c>
      <c r="Q68" s="3">
        <f>IFERROR(VLOOKUP(Q$1&amp;$A68&amp;$B68,배당편집!$D$2:$N$2710,11,FALSE), 0)</f>
        <v>0</v>
      </c>
      <c r="R68" s="3">
        <f>IFERROR(VLOOKUP(R$1&amp;$A68&amp;$B68,배당편집!$D$2:$N$2710,11,FALSE), 0)</f>
        <v>0</v>
      </c>
      <c r="S68" s="3">
        <f>IFERROR(VLOOKUP(S$1&amp;$A68&amp;$B68,배당편집!$D$2:$N$2710,11,FALSE), 0)</f>
        <v>0</v>
      </c>
      <c r="T68" s="3">
        <f>IFERROR(VLOOKUP(T$1&amp;$A68&amp;$B68,배당편집!$D$2:$N$2710,11,FALSE), 0)</f>
        <v>0.84</v>
      </c>
      <c r="U68" s="3">
        <f>IFERROR(VLOOKUP(U$1&amp;$A68&amp;$B68,배당편집!$D$2:$N$2710,11,FALSE), 0)</f>
        <v>0.14000000000000001</v>
      </c>
      <c r="V68" s="3">
        <f>IFERROR(VLOOKUP(V$1&amp;$A68&amp;$B68,배당편집!$D$2:$N$2710,11,FALSE), 0)</f>
        <v>0.17</v>
      </c>
      <c r="W68" s="3">
        <f>IFERROR(VLOOKUP(W$1&amp;$A68&amp;$B68,배당편집!$D$2:$N$2710,11,FALSE), 0)</f>
        <v>0.41</v>
      </c>
      <c r="X68" s="3">
        <f>IFERROR(VLOOKUP(X$1&amp;$A68&amp;$B68,배당편집!$D$2:$N$2710,11,FALSE), 0)</f>
        <v>0</v>
      </c>
      <c r="Y68" s="3">
        <f>IFERROR(VLOOKUP(Y$1&amp;$A68&amp;$B68,배당편집!$D$2:$N$2710,11,FALSE), 0)</f>
        <v>0</v>
      </c>
      <c r="Z68" s="3">
        <f>IFERROR(VLOOKUP(Z$1&amp;$A68&amp;$B68,배당편집!$D$2:$N$2710,11,FALSE), 0)</f>
        <v>0.17</v>
      </c>
      <c r="AA68" s="3">
        <f>IFERROR(VLOOKUP(AA$1&amp;$A68&amp;$B68,배당편집!$D$2:$N$2710,11,FALSE), 0)</f>
        <v>0</v>
      </c>
      <c r="AB68" s="3">
        <f>IFERROR(VLOOKUP(AB$1&amp;$A68&amp;$B68,배당편집!$D$2:$N$2710,11,FALSE), 0)</f>
        <v>0.26500000000000001</v>
      </c>
      <c r="AC68" s="3">
        <f>IFERROR(VLOOKUP(AC$1&amp;$A68&amp;$B68,배당편집!$D$2:$N$2710,11,FALSE), 0)</f>
        <v>0</v>
      </c>
      <c r="AD68" s="3">
        <f>IFERROR(VLOOKUP(AD$1&amp;$A68&amp;$B68,배당편집!$D$2:$N$2710,11,FALSE), 0)</f>
        <v>0</v>
      </c>
      <c r="AE68" s="3">
        <f>IFERROR(VLOOKUP(AE$1&amp;$A68&amp;$B68,배당편집!$D$2:$N$2710,11,FALSE), 0)</f>
        <v>0</v>
      </c>
      <c r="AF68" s="3">
        <f>IFERROR(VLOOKUP(AF$1&amp;$A68&amp;$B68,배당편집!$D$2:$N$2710,11,FALSE), 0)</f>
        <v>0</v>
      </c>
    </row>
    <row r="69" spans="1:32" ht="16.5" customHeight="1">
      <c r="A69" s="3">
        <v>2017</v>
      </c>
      <c r="B69" s="3">
        <v>8</v>
      </c>
      <c r="C69" s="3">
        <f>IFERROR(VLOOKUP(C$1&amp;$A69&amp;$B69,배당편집!$D$2:$N$2710,11,FALSE), 0)</f>
        <v>0.4</v>
      </c>
      <c r="D69" s="3">
        <f>IFERROR(VLOOKUP(D$1&amp;$A69&amp;$B69,배당편집!$D$2:$N$2710,11,FALSE), 0)</f>
        <v>0</v>
      </c>
      <c r="E69" s="3">
        <f>IFERROR(VLOOKUP(E$1&amp;$A69&amp;$B69,배당편집!$D$2:$N$2710,11,FALSE), 0)</f>
        <v>0</v>
      </c>
      <c r="F69" s="3">
        <f>IFERROR(VLOOKUP(F$1&amp;$A69&amp;$B69,배당편집!$D$2:$N$2710,11,FALSE), 0)</f>
        <v>0.63</v>
      </c>
      <c r="G69" s="3">
        <f>IFERROR(VLOOKUP(G$1&amp;$A69&amp;$B69,배당편집!$D$2:$N$2710,11,FALSE), 0)</f>
        <v>0.77</v>
      </c>
      <c r="H69" s="3">
        <f>IFERROR(VLOOKUP(H$1&amp;$A69&amp;$B69,배당편집!$D$2:$N$2710,11,FALSE), 0)</f>
        <v>1.08</v>
      </c>
      <c r="I69" s="3">
        <f>IFERROR(VLOOKUP(I$1&amp;$A69&amp;$B69,배당편집!$D$2:$N$2710,11,FALSE), 0)</f>
        <v>0.44500000000000001</v>
      </c>
      <c r="J69" s="3">
        <f>IFERROR(VLOOKUP(J$1&amp;$A69&amp;$B69,배당편집!$D$2:$N$2710,11,FALSE), 0)</f>
        <v>0</v>
      </c>
      <c r="K69" s="3">
        <f>IFERROR(VLOOKUP(K$1&amp;$A69&amp;$B69,배당편집!$D$2:$N$2710,11,FALSE), 0)</f>
        <v>0</v>
      </c>
      <c r="L69" s="3">
        <f>IFERROR(VLOOKUP(L$1&amp;$A69&amp;$B69,배당편집!$D$2:$N$2710,11,FALSE), 0)</f>
        <v>0.62</v>
      </c>
      <c r="M69" s="3">
        <f>IFERROR(VLOOKUP(M$1&amp;$A69&amp;$B69,배당편집!$D$2:$N$2710,11,FALSE), 0)</f>
        <v>0</v>
      </c>
      <c r="N69" s="3">
        <f>IFERROR(VLOOKUP(N$1&amp;$A69&amp;$B69,배당편집!$D$2:$N$2710,11,FALSE), 0)</f>
        <v>0.48</v>
      </c>
      <c r="O69" s="3">
        <f>IFERROR(VLOOKUP(O$1&amp;$A69&amp;$B69,배당편집!$D$2:$N$2710,11,FALSE), 0)</f>
        <v>0</v>
      </c>
      <c r="P69" s="3">
        <f>IFERROR(VLOOKUP(P$1&amp;$A69&amp;$B69,배당편집!$D$2:$N$2710,11,FALSE), 0)</f>
        <v>0</v>
      </c>
      <c r="Q69" s="3">
        <f>IFERROR(VLOOKUP(Q$1&amp;$A69&amp;$B69,배당편집!$D$2:$N$2710,11,FALSE), 0)</f>
        <v>0.84</v>
      </c>
      <c r="R69" s="3">
        <f>IFERROR(VLOOKUP(R$1&amp;$A69&amp;$B69,배당편집!$D$2:$N$2710,11,FALSE), 0)</f>
        <v>0.45</v>
      </c>
      <c r="S69" s="3">
        <f>IFERROR(VLOOKUP(S$1&amp;$A69&amp;$B69,배당편집!$D$2:$N$2710,11,FALSE), 0)</f>
        <v>0</v>
      </c>
      <c r="T69" s="3">
        <f>IFERROR(VLOOKUP(T$1&amp;$A69&amp;$B69,배당편집!$D$2:$N$2710,11,FALSE), 0)</f>
        <v>0</v>
      </c>
      <c r="U69" s="3">
        <f>IFERROR(VLOOKUP(U$1&amp;$A69&amp;$B69,배당편집!$D$2:$N$2710,11,FALSE), 0)</f>
        <v>0</v>
      </c>
      <c r="V69" s="3">
        <f>IFERROR(VLOOKUP(V$1&amp;$A69&amp;$B69,배당편집!$D$2:$N$2710,11,FALSE), 0)</f>
        <v>0</v>
      </c>
      <c r="W69" s="3">
        <f>IFERROR(VLOOKUP(W$1&amp;$A69&amp;$B69,배당편집!$D$2:$N$2710,11,FALSE), 0)</f>
        <v>0</v>
      </c>
      <c r="X69" s="3">
        <f>IFERROR(VLOOKUP(X$1&amp;$A69&amp;$B69,배당편집!$D$2:$N$2710,11,FALSE), 0)</f>
        <v>0.45</v>
      </c>
      <c r="Y69" s="3">
        <f>IFERROR(VLOOKUP(Y$1&amp;$A69&amp;$B69,배당편집!$D$2:$N$2710,11,FALSE), 0)</f>
        <v>0.66</v>
      </c>
      <c r="Z69" s="3">
        <f>IFERROR(VLOOKUP(Z$1&amp;$A69&amp;$B69,배당편집!$D$2:$N$2710,11,FALSE), 0)</f>
        <v>0</v>
      </c>
      <c r="AA69" s="3">
        <f>IFERROR(VLOOKUP(AA$1&amp;$A69&amp;$B69,배당편집!$D$2:$N$2710,11,FALSE), 0)</f>
        <v>0.32</v>
      </c>
      <c r="AB69" s="3">
        <f>IFERROR(VLOOKUP(AB$1&amp;$A69&amp;$B69,배당편집!$D$2:$N$2710,11,FALSE), 0)</f>
        <v>0</v>
      </c>
      <c r="AC69" s="3">
        <f>IFERROR(VLOOKUP(AC$1&amp;$A69&amp;$B69,배당편집!$D$2:$N$2710,11,FALSE), 0)</f>
        <v>0.18</v>
      </c>
      <c r="AD69" s="3">
        <f>IFERROR(VLOOKUP(AD$1&amp;$A69&amp;$B69,배당편집!$D$2:$N$2710,11,FALSE), 0)</f>
        <v>0</v>
      </c>
      <c r="AE69" s="3">
        <f>IFERROR(VLOOKUP(AE$1&amp;$A69&amp;$B69,배당편집!$D$2:$N$2710,11,FALSE), 0)</f>
        <v>0.21</v>
      </c>
      <c r="AF69" s="3">
        <f>IFERROR(VLOOKUP(AF$1&amp;$A69&amp;$B69,배당편집!$D$2:$N$2710,11,FALSE), 0)</f>
        <v>0.47</v>
      </c>
    </row>
    <row r="70" spans="1:32" ht="16.5" customHeight="1">
      <c r="A70" s="3">
        <v>2017</v>
      </c>
      <c r="B70" s="3">
        <v>9</v>
      </c>
      <c r="C70" s="3">
        <f>IFERROR(VLOOKUP(C$1&amp;$A70&amp;$B70,배당편집!$D$2:$N$2710,11,FALSE), 0)</f>
        <v>0</v>
      </c>
      <c r="D70" s="3">
        <f>IFERROR(VLOOKUP(D$1&amp;$A70&amp;$B70,배당편집!$D$2:$N$2710,11,FALSE), 0)</f>
        <v>0.36</v>
      </c>
      <c r="E70" s="3">
        <f>IFERROR(VLOOKUP(E$1&amp;$A70&amp;$B70,배당편집!$D$2:$N$2710,11,FALSE), 0)</f>
        <v>0.2</v>
      </c>
      <c r="F70" s="3">
        <f>IFERROR(VLOOKUP(F$1&amp;$A70&amp;$B70,배당편집!$D$2:$N$2710,11,FALSE), 0)</f>
        <v>0</v>
      </c>
      <c r="G70" s="3">
        <f>IFERROR(VLOOKUP(G$1&amp;$A70&amp;$B70,배당편집!$D$2:$N$2710,11,FALSE), 0)</f>
        <v>0</v>
      </c>
      <c r="H70" s="3">
        <f>IFERROR(VLOOKUP(H$1&amp;$A70&amp;$B70,배당편집!$D$2:$N$2710,11,FALSE), 0)</f>
        <v>0</v>
      </c>
      <c r="I70" s="3">
        <f>IFERROR(VLOOKUP(I$1&amp;$A70&amp;$B70,배당편집!$D$2:$N$2710,11,FALSE), 0)</f>
        <v>0</v>
      </c>
      <c r="J70" s="3">
        <f>IFERROR(VLOOKUP(J$1&amp;$A70&amp;$B70,배당편집!$D$2:$N$2710,11,FALSE), 0)</f>
        <v>0.41499999999999998</v>
      </c>
      <c r="K70" s="3">
        <f>IFERROR(VLOOKUP(K$1&amp;$A70&amp;$B70,배당편집!$D$2:$N$2710,11,FALSE), 0)</f>
        <v>0</v>
      </c>
      <c r="L70" s="3">
        <f>IFERROR(VLOOKUP(L$1&amp;$A70&amp;$B70,배당편집!$D$2:$N$2710,11,FALSE), 0)</f>
        <v>0</v>
      </c>
      <c r="M70" s="3">
        <f>IFERROR(VLOOKUP(M$1&amp;$A70&amp;$B70,배당편집!$D$2:$N$2710,11,FALSE), 0)</f>
        <v>0.78</v>
      </c>
      <c r="N70" s="3">
        <f>IFERROR(VLOOKUP(N$1&amp;$A70&amp;$B70,배당편집!$D$2:$N$2710,11,FALSE), 0)</f>
        <v>0</v>
      </c>
      <c r="O70" s="3">
        <f>IFERROR(VLOOKUP(O$1&amp;$A70&amp;$B70,배당편집!$D$2:$N$2710,11,FALSE), 0)</f>
        <v>0</v>
      </c>
      <c r="P70" s="3">
        <f>IFERROR(VLOOKUP(P$1&amp;$A70&amp;$B70,배당편집!$D$2:$N$2710,11,FALSE), 0)</f>
        <v>0</v>
      </c>
      <c r="Q70" s="3">
        <f>IFERROR(VLOOKUP(Q$1&amp;$A70&amp;$B70,배당편집!$D$2:$N$2710,11,FALSE), 0)</f>
        <v>0</v>
      </c>
      <c r="R70" s="3">
        <f>IFERROR(VLOOKUP(R$1&amp;$A70&amp;$B70,배당편집!$D$2:$N$2710,11,FALSE), 0)</f>
        <v>0</v>
      </c>
      <c r="S70" s="3">
        <f>IFERROR(VLOOKUP(S$1&amp;$A70&amp;$B70,배당편집!$D$2:$N$2710,11,FALSE), 0)</f>
        <v>0.67500000000000004</v>
      </c>
      <c r="T70" s="3">
        <f>IFERROR(VLOOKUP(T$1&amp;$A70&amp;$B70,배당편집!$D$2:$N$2710,11,FALSE), 0)</f>
        <v>0</v>
      </c>
      <c r="U70" s="3">
        <f>IFERROR(VLOOKUP(U$1&amp;$A70&amp;$B70,배당편집!$D$2:$N$2710,11,FALSE), 0)</f>
        <v>0</v>
      </c>
      <c r="V70" s="3">
        <f>IFERROR(VLOOKUP(V$1&amp;$A70&amp;$B70,배당편집!$D$2:$N$2710,11,FALSE), 0)</f>
        <v>0</v>
      </c>
      <c r="W70" s="3">
        <f>IFERROR(VLOOKUP(W$1&amp;$A70&amp;$B70,배당편집!$D$2:$N$2710,11,FALSE), 0)</f>
        <v>0</v>
      </c>
      <c r="X70" s="3">
        <f>IFERROR(VLOOKUP(X$1&amp;$A70&amp;$B70,배당편집!$D$2:$N$2710,11,FALSE), 0)</f>
        <v>0</v>
      </c>
      <c r="Y70" s="3">
        <f>IFERROR(VLOOKUP(Y$1&amp;$A70&amp;$B70,배당편집!$D$2:$N$2710,11,FALSE), 0)</f>
        <v>0</v>
      </c>
      <c r="Z70" s="3">
        <f>IFERROR(VLOOKUP(Z$1&amp;$A70&amp;$B70,배당편집!$D$2:$N$2710,11,FALSE), 0)</f>
        <v>0</v>
      </c>
      <c r="AA70" s="3">
        <f>IFERROR(VLOOKUP(AA$1&amp;$A70&amp;$B70,배당편집!$D$2:$N$2710,11,FALSE), 0)</f>
        <v>0</v>
      </c>
      <c r="AB70" s="3">
        <f>IFERROR(VLOOKUP(AB$1&amp;$A70&amp;$B70,배당편집!$D$2:$N$2710,11,FALSE), 0)</f>
        <v>0</v>
      </c>
      <c r="AC70" s="3">
        <f>IFERROR(VLOOKUP(AC$1&amp;$A70&amp;$B70,배당편집!$D$2:$N$2710,11,FALSE), 0)</f>
        <v>0</v>
      </c>
      <c r="AD70" s="3">
        <f>IFERROR(VLOOKUP(AD$1&amp;$A70&amp;$B70,배당편집!$D$2:$N$2710,11,FALSE), 0)</f>
        <v>0.56999999999999995</v>
      </c>
      <c r="AE70" s="3">
        <f>IFERROR(VLOOKUP(AE$1&amp;$A70&amp;$B70,배당편집!$D$2:$N$2710,11,FALSE), 0)</f>
        <v>0</v>
      </c>
      <c r="AF70" s="3">
        <f>IFERROR(VLOOKUP(AF$1&amp;$A70&amp;$B70,배당편집!$D$2:$N$2710,11,FALSE), 0)</f>
        <v>0</v>
      </c>
    </row>
    <row r="71" spans="1:32" ht="16.5" customHeight="1">
      <c r="A71" s="3">
        <v>2017</v>
      </c>
      <c r="B71" s="3">
        <v>10</v>
      </c>
      <c r="C71" s="3">
        <f>IFERROR(VLOOKUP(C$1&amp;$A71&amp;$B71,배당편집!$D$2:$N$2710,11,FALSE), 0)</f>
        <v>0</v>
      </c>
      <c r="D71" s="3">
        <f>IFERROR(VLOOKUP(D$1&amp;$A71&amp;$B71,배당편집!$D$2:$N$2710,11,FALSE), 0)</f>
        <v>0</v>
      </c>
      <c r="E71" s="3">
        <f>IFERROR(VLOOKUP(E$1&amp;$A71&amp;$B71,배당편집!$D$2:$N$2710,11,FALSE), 0)</f>
        <v>0</v>
      </c>
      <c r="F71" s="3">
        <f>IFERROR(VLOOKUP(F$1&amp;$A71&amp;$B71,배당편집!$D$2:$N$2710,11,FALSE), 0)</f>
        <v>0</v>
      </c>
      <c r="G71" s="3">
        <f>IFERROR(VLOOKUP(G$1&amp;$A71&amp;$B71,배당편집!$D$2:$N$2710,11,FALSE), 0)</f>
        <v>0</v>
      </c>
      <c r="H71" s="3">
        <f>IFERROR(VLOOKUP(H$1&amp;$A71&amp;$B71,배당편집!$D$2:$N$2710,11,FALSE), 0)</f>
        <v>0</v>
      </c>
      <c r="I71" s="3">
        <f>IFERROR(VLOOKUP(I$1&amp;$A71&amp;$B71,배당편집!$D$2:$N$2710,11,FALSE), 0)</f>
        <v>0</v>
      </c>
      <c r="J71" s="3">
        <f>IFERROR(VLOOKUP(J$1&amp;$A71&amp;$B71,배당편집!$D$2:$N$2710,11,FALSE), 0)</f>
        <v>0</v>
      </c>
      <c r="K71" s="3">
        <f>IFERROR(VLOOKUP(K$1&amp;$A71&amp;$B71,배당편집!$D$2:$N$2710,11,FALSE), 0)</f>
        <v>0.78</v>
      </c>
      <c r="L71" s="3">
        <f>IFERROR(VLOOKUP(L$1&amp;$A71&amp;$B71,배당편집!$D$2:$N$2710,11,FALSE), 0)</f>
        <v>0</v>
      </c>
      <c r="M71" s="3">
        <f>IFERROR(VLOOKUP(M$1&amp;$A71&amp;$B71,배당편집!$D$2:$N$2710,11,FALSE), 0)</f>
        <v>0</v>
      </c>
      <c r="N71" s="3">
        <f>IFERROR(VLOOKUP(N$1&amp;$A71&amp;$B71,배당편집!$D$2:$N$2710,11,FALSE), 0)</f>
        <v>0</v>
      </c>
      <c r="O71" s="3">
        <f>IFERROR(VLOOKUP(O$1&amp;$A71&amp;$B71,배당편집!$D$2:$N$2710,11,FALSE), 0)</f>
        <v>0.95</v>
      </c>
      <c r="P71" s="3">
        <f>IFERROR(VLOOKUP(P$1&amp;$A71&amp;$B71,배당편집!$D$2:$N$2710,11,FALSE), 0)</f>
        <v>0.68959999999999999</v>
      </c>
      <c r="Q71" s="3">
        <f>IFERROR(VLOOKUP(Q$1&amp;$A71&amp;$B71,배당편집!$D$2:$N$2710,11,FALSE), 0)</f>
        <v>0</v>
      </c>
      <c r="R71" s="3">
        <f>IFERROR(VLOOKUP(R$1&amp;$A71&amp;$B71,배당편집!$D$2:$N$2710,11,FALSE), 0)</f>
        <v>0</v>
      </c>
      <c r="S71" s="3">
        <f>IFERROR(VLOOKUP(S$1&amp;$A71&amp;$B71,배당편집!$D$2:$N$2710,11,FALSE), 0)</f>
        <v>0</v>
      </c>
      <c r="T71" s="3">
        <f>IFERROR(VLOOKUP(T$1&amp;$A71&amp;$B71,배당편집!$D$2:$N$2710,11,FALSE), 0)</f>
        <v>0.84</v>
      </c>
      <c r="U71" s="3">
        <f>IFERROR(VLOOKUP(U$1&amp;$A71&amp;$B71,배당편집!$D$2:$N$2710,11,FALSE), 0)</f>
        <v>0.14000000000000001</v>
      </c>
      <c r="V71" s="3">
        <f>IFERROR(VLOOKUP(V$1&amp;$A71&amp;$B71,배당편집!$D$2:$N$2710,11,FALSE), 0)</f>
        <v>0.17</v>
      </c>
      <c r="W71" s="3">
        <f>IFERROR(VLOOKUP(W$1&amp;$A71&amp;$B71,배당편집!$D$2:$N$2710,11,FALSE), 0)</f>
        <v>0.41</v>
      </c>
      <c r="X71" s="3">
        <f>IFERROR(VLOOKUP(X$1&amp;$A71&amp;$B71,배당편집!$D$2:$N$2710,11,FALSE), 0)</f>
        <v>0</v>
      </c>
      <c r="Y71" s="3">
        <f>IFERROR(VLOOKUP(Y$1&amp;$A71&amp;$B71,배당편집!$D$2:$N$2710,11,FALSE), 0)</f>
        <v>0</v>
      </c>
      <c r="Z71" s="3">
        <f>IFERROR(VLOOKUP(Z$1&amp;$A71&amp;$B71,배당편집!$D$2:$N$2710,11,FALSE), 0)</f>
        <v>0.17</v>
      </c>
      <c r="AA71" s="3">
        <f>IFERROR(VLOOKUP(AA$1&amp;$A71&amp;$B71,배당편집!$D$2:$N$2710,11,FALSE), 0)</f>
        <v>0</v>
      </c>
      <c r="AB71" s="3">
        <f>IFERROR(VLOOKUP(AB$1&amp;$A71&amp;$B71,배당편집!$D$2:$N$2710,11,FALSE), 0)</f>
        <v>0.26500000000000001</v>
      </c>
      <c r="AC71" s="3">
        <f>IFERROR(VLOOKUP(AC$1&amp;$A71&amp;$B71,배당편집!$D$2:$N$2710,11,FALSE), 0)</f>
        <v>0</v>
      </c>
      <c r="AD71" s="3">
        <f>IFERROR(VLOOKUP(AD$1&amp;$A71&amp;$B71,배당편집!$D$2:$N$2710,11,FALSE), 0)</f>
        <v>0</v>
      </c>
      <c r="AE71" s="3">
        <f>IFERROR(VLOOKUP(AE$1&amp;$A71&amp;$B71,배당편집!$D$2:$N$2710,11,FALSE), 0)</f>
        <v>0</v>
      </c>
      <c r="AF71" s="3">
        <f>IFERROR(VLOOKUP(AF$1&amp;$A71&amp;$B71,배당편집!$D$2:$N$2710,11,FALSE), 0)</f>
        <v>0</v>
      </c>
    </row>
    <row r="72" spans="1:32" ht="16.5" customHeight="1">
      <c r="A72" s="3">
        <v>2017</v>
      </c>
      <c r="B72" s="3">
        <v>11</v>
      </c>
      <c r="C72" s="3">
        <f>IFERROR(VLOOKUP(C$1&amp;$A72&amp;$B72,배당편집!$D$2:$N$2710,11,FALSE), 0)</f>
        <v>0.4</v>
      </c>
      <c r="D72" s="3">
        <f>IFERROR(VLOOKUP(D$1&amp;$A72&amp;$B72,배당편집!$D$2:$N$2710,11,FALSE), 0)</f>
        <v>0</v>
      </c>
      <c r="E72" s="3">
        <f>IFERROR(VLOOKUP(E$1&amp;$A72&amp;$B72,배당편집!$D$2:$N$2710,11,FALSE), 0)</f>
        <v>0</v>
      </c>
      <c r="F72" s="3">
        <f>IFERROR(VLOOKUP(F$1&amp;$A72&amp;$B72,배당편집!$D$2:$N$2710,11,FALSE), 0)</f>
        <v>0.63</v>
      </c>
      <c r="G72" s="3">
        <f>IFERROR(VLOOKUP(G$1&amp;$A72&amp;$B72,배당편집!$D$2:$N$2710,11,FALSE), 0)</f>
        <v>0.77</v>
      </c>
      <c r="H72" s="3">
        <f>IFERROR(VLOOKUP(H$1&amp;$A72&amp;$B72,배당편집!$D$2:$N$2710,11,FALSE), 0)</f>
        <v>1.08</v>
      </c>
      <c r="I72" s="3">
        <f>IFERROR(VLOOKUP(I$1&amp;$A72&amp;$B72,배당편집!$D$2:$N$2710,11,FALSE), 0)</f>
        <v>0.47499999999999998</v>
      </c>
      <c r="J72" s="3">
        <f>IFERROR(VLOOKUP(J$1&amp;$A72&amp;$B72,배당편집!$D$2:$N$2710,11,FALSE), 0)</f>
        <v>0</v>
      </c>
      <c r="K72" s="3">
        <f>IFERROR(VLOOKUP(K$1&amp;$A72&amp;$B72,배당편집!$D$2:$N$2710,11,FALSE), 0)</f>
        <v>0</v>
      </c>
      <c r="L72" s="3">
        <f>IFERROR(VLOOKUP(L$1&amp;$A72&amp;$B72,배당편집!$D$2:$N$2710,11,FALSE), 0)</f>
        <v>0.62</v>
      </c>
      <c r="M72" s="3">
        <f>IFERROR(VLOOKUP(M$1&amp;$A72&amp;$B72,배당편집!$D$2:$N$2710,11,FALSE), 0)</f>
        <v>0</v>
      </c>
      <c r="N72" s="3">
        <f>IFERROR(VLOOKUP(N$1&amp;$A72&amp;$B72,배당편집!$D$2:$N$2710,11,FALSE), 0)</f>
        <v>0.48499999999999999</v>
      </c>
      <c r="O72" s="3">
        <f>IFERROR(VLOOKUP(O$1&amp;$A72&amp;$B72,배당편집!$D$2:$N$2710,11,FALSE), 0)</f>
        <v>0</v>
      </c>
      <c r="P72" s="3">
        <f>IFERROR(VLOOKUP(P$1&amp;$A72&amp;$B72,배당편집!$D$2:$N$2710,11,FALSE), 0)</f>
        <v>0</v>
      </c>
      <c r="Q72" s="3">
        <f>IFERROR(VLOOKUP(Q$1&amp;$A72&amp;$B72,배당편집!$D$2:$N$2710,11,FALSE), 0)</f>
        <v>0.84</v>
      </c>
      <c r="R72" s="3">
        <f>IFERROR(VLOOKUP(R$1&amp;$A72&amp;$B72,배당편집!$D$2:$N$2710,11,FALSE), 0)</f>
        <v>0.48499999999999999</v>
      </c>
      <c r="S72" s="3">
        <f>IFERROR(VLOOKUP(S$1&amp;$A72&amp;$B72,배당편집!$D$2:$N$2710,11,FALSE), 0)</f>
        <v>0</v>
      </c>
      <c r="T72" s="3">
        <f>IFERROR(VLOOKUP(T$1&amp;$A72&amp;$B72,배당편집!$D$2:$N$2710,11,FALSE), 0)</f>
        <v>0</v>
      </c>
      <c r="U72" s="3">
        <f>IFERROR(VLOOKUP(U$1&amp;$A72&amp;$B72,배당편집!$D$2:$N$2710,11,FALSE), 0)</f>
        <v>0</v>
      </c>
      <c r="V72" s="3">
        <f>IFERROR(VLOOKUP(V$1&amp;$A72&amp;$B72,배당편집!$D$2:$N$2710,11,FALSE), 0)</f>
        <v>0</v>
      </c>
      <c r="W72" s="3">
        <f>IFERROR(VLOOKUP(W$1&amp;$A72&amp;$B72,배당편집!$D$2:$N$2710,11,FALSE), 0)</f>
        <v>0</v>
      </c>
      <c r="X72" s="3">
        <f>IFERROR(VLOOKUP(X$1&amp;$A72&amp;$B72,배당편집!$D$2:$N$2710,11,FALSE), 0)</f>
        <v>0.45</v>
      </c>
      <c r="Y72" s="3">
        <f>IFERROR(VLOOKUP(Y$1&amp;$A72&amp;$B72,배당편집!$D$2:$N$2710,11,FALSE), 0)</f>
        <v>0.66</v>
      </c>
      <c r="Z72" s="3">
        <f>IFERROR(VLOOKUP(Z$1&amp;$A72&amp;$B72,배당편집!$D$2:$N$2710,11,FALSE), 0)</f>
        <v>0</v>
      </c>
      <c r="AA72" s="3">
        <f>IFERROR(VLOOKUP(AA$1&amp;$A72&amp;$B72,배당편집!$D$2:$N$2710,11,FALSE), 0)</f>
        <v>0.32</v>
      </c>
      <c r="AB72" s="3">
        <f>IFERROR(VLOOKUP(AB$1&amp;$A72&amp;$B72,배당편집!$D$2:$N$2710,11,FALSE), 0)</f>
        <v>0</v>
      </c>
      <c r="AC72" s="3">
        <f>IFERROR(VLOOKUP(AC$1&amp;$A72&amp;$B72,배당편집!$D$2:$N$2710,11,FALSE), 0)</f>
        <v>0.18</v>
      </c>
      <c r="AD72" s="3">
        <f>IFERROR(VLOOKUP(AD$1&amp;$A72&amp;$B72,배당편집!$D$2:$N$2710,11,FALSE), 0)</f>
        <v>0</v>
      </c>
      <c r="AE72" s="3">
        <f>IFERROR(VLOOKUP(AE$1&amp;$A72&amp;$B72,배당편집!$D$2:$N$2710,11,FALSE), 0)</f>
        <v>0.21</v>
      </c>
      <c r="AF72" s="3">
        <f>IFERROR(VLOOKUP(AF$1&amp;$A72&amp;$B72,배당편집!$D$2:$N$2710,11,FALSE), 0)</f>
        <v>0.47</v>
      </c>
    </row>
    <row r="73" spans="1:32" ht="16.5" customHeight="1">
      <c r="A73" s="3">
        <v>2017</v>
      </c>
      <c r="B73" s="3">
        <v>12</v>
      </c>
      <c r="C73" s="3">
        <f>IFERROR(VLOOKUP(C$1&amp;$A73&amp;$B73,배당편집!$D$2:$N$2710,11,FALSE), 0)</f>
        <v>0</v>
      </c>
      <c r="D73" s="3">
        <f>IFERROR(VLOOKUP(D$1&amp;$A73&amp;$B73,배당편집!$D$2:$N$2710,11,FALSE), 0)</f>
        <v>0.36</v>
      </c>
      <c r="E73" s="3">
        <f>IFERROR(VLOOKUP(E$1&amp;$A73&amp;$B73,배당편집!$D$2:$N$2710,11,FALSE), 0)</f>
        <v>0.23</v>
      </c>
      <c r="F73" s="3">
        <f>IFERROR(VLOOKUP(F$1&amp;$A73&amp;$B73,배당편집!$D$2:$N$2710,11,FALSE), 0)</f>
        <v>0</v>
      </c>
      <c r="G73" s="3">
        <f>IFERROR(VLOOKUP(G$1&amp;$A73&amp;$B73,배당편집!$D$2:$N$2710,11,FALSE), 0)</f>
        <v>0</v>
      </c>
      <c r="H73" s="3">
        <f>IFERROR(VLOOKUP(H$1&amp;$A73&amp;$B73,배당편집!$D$2:$N$2710,11,FALSE), 0)</f>
        <v>0</v>
      </c>
      <c r="I73" s="3">
        <f>IFERROR(VLOOKUP(I$1&amp;$A73&amp;$B73,배당편집!$D$2:$N$2710,11,FALSE), 0)</f>
        <v>0</v>
      </c>
      <c r="J73" s="3">
        <f>IFERROR(VLOOKUP(J$1&amp;$A73&amp;$B73,배당편집!$D$2:$N$2710,11,FALSE), 0)</f>
        <v>0.41499999999999998</v>
      </c>
      <c r="K73" s="3">
        <f>IFERROR(VLOOKUP(K$1&amp;$A73&amp;$B73,배당편집!$D$2:$N$2710,11,FALSE), 0)</f>
        <v>0</v>
      </c>
      <c r="L73" s="3">
        <f>IFERROR(VLOOKUP(L$1&amp;$A73&amp;$B73,배당편집!$D$2:$N$2710,11,FALSE), 0)</f>
        <v>0</v>
      </c>
      <c r="M73" s="3">
        <f>IFERROR(VLOOKUP(M$1&amp;$A73&amp;$B73,배당편집!$D$2:$N$2710,11,FALSE), 0)</f>
        <v>0.78</v>
      </c>
      <c r="N73" s="3">
        <f>IFERROR(VLOOKUP(N$1&amp;$A73&amp;$B73,배당편집!$D$2:$N$2710,11,FALSE), 0)</f>
        <v>0</v>
      </c>
      <c r="O73" s="3">
        <f>IFERROR(VLOOKUP(O$1&amp;$A73&amp;$B73,배당편집!$D$2:$N$2710,11,FALSE), 0)</f>
        <v>0.95</v>
      </c>
      <c r="P73" s="3">
        <f>IFERROR(VLOOKUP(P$1&amp;$A73&amp;$B73,배당편집!$D$2:$N$2710,11,FALSE), 0)</f>
        <v>0</v>
      </c>
      <c r="Q73" s="3">
        <f>IFERROR(VLOOKUP(Q$1&amp;$A73&amp;$B73,배당편집!$D$2:$N$2710,11,FALSE), 0)</f>
        <v>0</v>
      </c>
      <c r="R73" s="3">
        <f>IFERROR(VLOOKUP(R$1&amp;$A73&amp;$B73,배당편집!$D$2:$N$2710,11,FALSE), 0)</f>
        <v>0</v>
      </c>
      <c r="S73" s="3">
        <f>IFERROR(VLOOKUP(S$1&amp;$A73&amp;$B73,배당편집!$D$2:$N$2710,11,FALSE), 0)</f>
        <v>0.67500000000000004</v>
      </c>
      <c r="T73" s="3">
        <f>IFERROR(VLOOKUP(T$1&amp;$A73&amp;$B73,배당편집!$D$2:$N$2710,11,FALSE), 0)</f>
        <v>0</v>
      </c>
      <c r="U73" s="3">
        <f>IFERROR(VLOOKUP(U$1&amp;$A73&amp;$B73,배당편집!$D$2:$N$2710,11,FALSE), 0)</f>
        <v>0</v>
      </c>
      <c r="V73" s="3">
        <f>IFERROR(VLOOKUP(V$1&amp;$A73&amp;$B73,배당편집!$D$2:$N$2710,11,FALSE), 0)</f>
        <v>0</v>
      </c>
      <c r="W73" s="3">
        <f>IFERROR(VLOOKUP(W$1&amp;$A73&amp;$B73,배당편집!$D$2:$N$2710,11,FALSE), 0)</f>
        <v>0</v>
      </c>
      <c r="X73" s="3">
        <f>IFERROR(VLOOKUP(X$1&amp;$A73&amp;$B73,배당편집!$D$2:$N$2710,11,FALSE), 0)</f>
        <v>0</v>
      </c>
      <c r="Y73" s="3">
        <f>IFERROR(VLOOKUP(Y$1&amp;$A73&amp;$B73,배당편집!$D$2:$N$2710,11,FALSE), 0)</f>
        <v>0</v>
      </c>
      <c r="Z73" s="3">
        <f>IFERROR(VLOOKUP(Z$1&amp;$A73&amp;$B73,배당편집!$D$2:$N$2710,11,FALSE), 0)</f>
        <v>0</v>
      </c>
      <c r="AA73" s="3">
        <f>IFERROR(VLOOKUP(AA$1&amp;$A73&amp;$B73,배당편집!$D$2:$N$2710,11,FALSE), 0)</f>
        <v>0</v>
      </c>
      <c r="AB73" s="3">
        <f>IFERROR(VLOOKUP(AB$1&amp;$A73&amp;$B73,배당편집!$D$2:$N$2710,11,FALSE), 0)</f>
        <v>0</v>
      </c>
      <c r="AC73" s="3">
        <f>IFERROR(VLOOKUP(AC$1&amp;$A73&amp;$B73,배당편집!$D$2:$N$2710,11,FALSE), 0)</f>
        <v>0</v>
      </c>
      <c r="AD73" s="3">
        <f>IFERROR(VLOOKUP(AD$1&amp;$A73&amp;$B73,배당편집!$D$2:$N$2710,11,FALSE), 0)</f>
        <v>0.63</v>
      </c>
      <c r="AE73" s="3">
        <f>IFERROR(VLOOKUP(AE$1&amp;$A73&amp;$B73,배당편집!$D$2:$N$2710,11,FALSE), 0)</f>
        <v>0</v>
      </c>
      <c r="AF73" s="3">
        <f>IFERROR(VLOOKUP(AF$1&amp;$A73&amp;$B73,배당편집!$D$2:$N$2710,11,FALSE), 0)</f>
        <v>0</v>
      </c>
    </row>
    <row r="74" spans="1:32" ht="16.5" customHeight="1">
      <c r="A74" s="3">
        <v>2016</v>
      </c>
      <c r="B74" s="3">
        <v>1</v>
      </c>
      <c r="C74" s="3">
        <f>IFERROR(VLOOKUP(C$1&amp;$A74&amp;$B74,배당편집!$D$2:$N$2710,11,FALSE), 0)</f>
        <v>0</v>
      </c>
      <c r="D74" s="3">
        <f>IFERROR(VLOOKUP(D$1&amp;$A74&amp;$B74,배당편집!$D$2:$N$2710,11,FALSE), 0)</f>
        <v>0</v>
      </c>
      <c r="E74" s="3">
        <f>IFERROR(VLOOKUP(E$1&amp;$A74&amp;$B74,배당편집!$D$2:$N$2710,11,FALSE), 0)</f>
        <v>0</v>
      </c>
      <c r="F74" s="3">
        <f>IFERROR(VLOOKUP(F$1&amp;$A74&amp;$B74,배당편집!$D$2:$N$2710,11,FALSE), 0)</f>
        <v>0</v>
      </c>
      <c r="G74" s="3">
        <f>IFERROR(VLOOKUP(G$1&amp;$A74&amp;$B74,배당편집!$D$2:$N$2710,11,FALSE), 0)</f>
        <v>0</v>
      </c>
      <c r="H74" s="3">
        <f>IFERROR(VLOOKUP(H$1&amp;$A74&amp;$B74,배당편집!$D$2:$N$2710,11,FALSE), 0)</f>
        <v>0</v>
      </c>
      <c r="I74" s="3">
        <f>IFERROR(VLOOKUP(I$1&amp;$A74&amp;$B74,배당편집!$D$2:$N$2710,11,FALSE), 0)</f>
        <v>0</v>
      </c>
      <c r="J74" s="3">
        <f>IFERROR(VLOOKUP(J$1&amp;$A74&amp;$B74,배당편집!$D$2:$N$2710,11,FALSE), 0)</f>
        <v>0</v>
      </c>
      <c r="K74" s="3">
        <f>IFERROR(VLOOKUP(K$1&amp;$A74&amp;$B74,배당편집!$D$2:$N$2710,11,FALSE), 0)</f>
        <v>0.77</v>
      </c>
      <c r="L74" s="3">
        <f>IFERROR(VLOOKUP(L$1&amp;$A74&amp;$B74,배당편집!$D$2:$N$2710,11,FALSE), 0)</f>
        <v>0</v>
      </c>
      <c r="M74" s="3">
        <f>IFERROR(VLOOKUP(M$1&amp;$A74&amp;$B74,배당편집!$D$2:$N$2710,11,FALSE), 0)</f>
        <v>0</v>
      </c>
      <c r="N74" s="3">
        <f>IFERROR(VLOOKUP(N$1&amp;$A74&amp;$B74,배당편집!$D$2:$N$2710,11,FALSE), 0)</f>
        <v>0</v>
      </c>
      <c r="O74" s="3">
        <f>IFERROR(VLOOKUP(O$1&amp;$A74&amp;$B74,배당편집!$D$2:$N$2710,11,FALSE), 0)</f>
        <v>0</v>
      </c>
      <c r="P74" s="3">
        <f>IFERROR(VLOOKUP(P$1&amp;$A74&amp;$B74,배당편집!$D$2:$N$2710,11,FALSE), 0)</f>
        <v>0.66290000000000004</v>
      </c>
      <c r="Q74" s="3">
        <f>IFERROR(VLOOKUP(Q$1&amp;$A74&amp;$B74,배당편집!$D$2:$N$2710,11,FALSE), 0)</f>
        <v>0</v>
      </c>
      <c r="R74" s="3">
        <f>IFERROR(VLOOKUP(R$1&amp;$A74&amp;$B74,배당편집!$D$2:$N$2710,11,FALSE), 0)</f>
        <v>0</v>
      </c>
      <c r="S74" s="3">
        <f>IFERROR(VLOOKUP(S$1&amp;$A74&amp;$B74,배당편집!$D$2:$N$2710,11,FALSE), 0)</f>
        <v>0</v>
      </c>
      <c r="T74" s="3">
        <f>IFERROR(VLOOKUP(T$1&amp;$A74&amp;$B74,배당편집!$D$2:$N$2710,11,FALSE), 0)</f>
        <v>0.69</v>
      </c>
      <c r="U74" s="3">
        <f>IFERROR(VLOOKUP(U$1&amp;$A74&amp;$B74,배당편집!$D$2:$N$2710,11,FALSE), 0)</f>
        <v>0</v>
      </c>
      <c r="V74" s="3">
        <f>IFERROR(VLOOKUP(V$1&amp;$A74&amp;$B74,배당편집!$D$2:$N$2710,11,FALSE), 0)</f>
        <v>0.14499999999999999</v>
      </c>
      <c r="W74" s="3">
        <f>IFERROR(VLOOKUP(W$1&amp;$A74&amp;$B74,배당편집!$D$2:$N$2710,11,FALSE), 0)</f>
        <v>0.28000000000000003</v>
      </c>
      <c r="X74" s="3">
        <f>IFERROR(VLOOKUP(X$1&amp;$A74&amp;$B74,배당편집!$D$2:$N$2710,11,FALSE), 0)</f>
        <v>0</v>
      </c>
      <c r="Y74" s="3">
        <f>IFERROR(VLOOKUP(Y$1&amp;$A74&amp;$B74,배당편집!$D$2:$N$2710,11,FALSE), 0)</f>
        <v>0</v>
      </c>
      <c r="Z74" s="3">
        <f>IFERROR(VLOOKUP(Z$1&amp;$A74&amp;$B74,배당편집!$D$2:$N$2710,11,FALSE), 0)</f>
        <v>0.16500000000000001</v>
      </c>
      <c r="AA74" s="3">
        <f>IFERROR(VLOOKUP(AA$1&amp;$A74&amp;$B74,배당편집!$D$2:$N$2710,11,FALSE), 0)</f>
        <v>0</v>
      </c>
      <c r="AB74" s="3">
        <f>IFERROR(VLOOKUP(AB$1&amp;$A74&amp;$B74,배당편집!$D$2:$N$2710,11,FALSE), 0)</f>
        <v>0.26</v>
      </c>
      <c r="AC74" s="3">
        <f>IFERROR(VLOOKUP(AC$1&amp;$A74&amp;$B74,배당편집!$D$2:$N$2710,11,FALSE), 0)</f>
        <v>0</v>
      </c>
      <c r="AD74" s="3">
        <f>IFERROR(VLOOKUP(AD$1&amp;$A74&amp;$B74,배당편집!$D$2:$N$2710,11,FALSE), 0)</f>
        <v>0</v>
      </c>
      <c r="AE74" s="3">
        <f>IFERROR(VLOOKUP(AE$1&amp;$A74&amp;$B74,배당편집!$D$2:$N$2710,11,FALSE), 0)</f>
        <v>0</v>
      </c>
      <c r="AF74" s="3">
        <f>IFERROR(VLOOKUP(AF$1&amp;$A74&amp;$B74,배당편집!$D$2:$N$2710,11,FALSE), 0)</f>
        <v>0</v>
      </c>
    </row>
    <row r="75" spans="1:32" ht="16.5" customHeight="1">
      <c r="A75" s="3">
        <v>2016</v>
      </c>
      <c r="B75" s="3">
        <v>2</v>
      </c>
      <c r="C75" s="3">
        <f>IFERROR(VLOOKUP(C$1&amp;$A75&amp;$B75,배당편집!$D$2:$N$2710,11,FALSE), 0)</f>
        <v>0.36</v>
      </c>
      <c r="D75" s="3">
        <f>IFERROR(VLOOKUP(D$1&amp;$A75&amp;$B75,배당편집!$D$2:$N$2710,11,FALSE), 0)</f>
        <v>0</v>
      </c>
      <c r="E75" s="3">
        <f>IFERROR(VLOOKUP(E$1&amp;$A75&amp;$B75,배당편집!$D$2:$N$2710,11,FALSE), 0)</f>
        <v>0</v>
      </c>
      <c r="F75" s="3">
        <f>IFERROR(VLOOKUP(F$1&amp;$A75&amp;$B75,배당편집!$D$2:$N$2710,11,FALSE), 0)</f>
        <v>0.55000000000000004</v>
      </c>
      <c r="G75" s="3">
        <f>IFERROR(VLOOKUP(G$1&amp;$A75&amp;$B75,배당편집!$D$2:$N$2710,11,FALSE), 0)</f>
        <v>0.73</v>
      </c>
      <c r="H75" s="3">
        <f>IFERROR(VLOOKUP(H$1&amp;$A75&amp;$B75,배당편집!$D$2:$N$2710,11,FALSE), 0)</f>
        <v>1.07</v>
      </c>
      <c r="I75" s="3">
        <f>IFERROR(VLOOKUP(I$1&amp;$A75&amp;$B75,배당편집!$D$2:$N$2710,11,FALSE), 0)</f>
        <v>0.42</v>
      </c>
      <c r="J75" s="3">
        <f>IFERROR(VLOOKUP(J$1&amp;$A75&amp;$B75,배당편집!$D$2:$N$2710,11,FALSE), 0)</f>
        <v>0</v>
      </c>
      <c r="K75" s="3">
        <f>IFERROR(VLOOKUP(K$1&amp;$A75&amp;$B75,배당편집!$D$2:$N$2710,11,FALSE), 0)</f>
        <v>0</v>
      </c>
      <c r="L75" s="3">
        <f>IFERROR(VLOOKUP(L$1&amp;$A75&amp;$B75,배당편집!$D$2:$N$2710,11,FALSE), 0)</f>
        <v>0.56000000000000005</v>
      </c>
      <c r="M75" s="3">
        <f>IFERROR(VLOOKUP(M$1&amp;$A75&amp;$B75,배당편집!$D$2:$N$2710,11,FALSE), 0)</f>
        <v>0</v>
      </c>
      <c r="N75" s="3">
        <f>IFERROR(VLOOKUP(N$1&amp;$A75&amp;$B75,배당편집!$D$2:$N$2710,11,FALSE), 0)</f>
        <v>0.47499999999999998</v>
      </c>
      <c r="O75" s="3">
        <f>IFERROR(VLOOKUP(O$1&amp;$A75&amp;$B75,배당편집!$D$2:$N$2710,11,FALSE), 0)</f>
        <v>0</v>
      </c>
      <c r="P75" s="3">
        <f>IFERROR(VLOOKUP(P$1&amp;$A75&amp;$B75,배당편집!$D$2:$N$2710,11,FALSE), 0)</f>
        <v>0</v>
      </c>
      <c r="Q75" s="3">
        <f>IFERROR(VLOOKUP(Q$1&amp;$A75&amp;$B75,배당편집!$D$2:$N$2710,11,FALSE), 0)</f>
        <v>0.75</v>
      </c>
      <c r="R75" s="3">
        <f>IFERROR(VLOOKUP(R$1&amp;$A75&amp;$B75,배당편집!$D$2:$N$2710,11,FALSE), 0)</f>
        <v>0.42</v>
      </c>
      <c r="S75" s="3">
        <f>IFERROR(VLOOKUP(S$1&amp;$A75&amp;$B75,배당편집!$D$2:$N$2710,11,FALSE), 0)</f>
        <v>0</v>
      </c>
      <c r="T75" s="3">
        <f>IFERROR(VLOOKUP(T$1&amp;$A75&amp;$B75,배당편집!$D$2:$N$2710,11,FALSE), 0)</f>
        <v>0</v>
      </c>
      <c r="U75" s="3">
        <f>IFERROR(VLOOKUP(U$1&amp;$A75&amp;$B75,배당편집!$D$2:$N$2710,11,FALSE), 0)</f>
        <v>0.12</v>
      </c>
      <c r="V75" s="3">
        <f>IFERROR(VLOOKUP(V$1&amp;$A75&amp;$B75,배당편집!$D$2:$N$2710,11,FALSE), 0)</f>
        <v>0</v>
      </c>
      <c r="W75" s="3">
        <f>IFERROR(VLOOKUP(W$1&amp;$A75&amp;$B75,배당편집!$D$2:$N$2710,11,FALSE), 0)</f>
        <v>0</v>
      </c>
      <c r="X75" s="3">
        <f>IFERROR(VLOOKUP(X$1&amp;$A75&amp;$B75,배당편집!$D$2:$N$2710,11,FALSE), 0)</f>
        <v>0.36</v>
      </c>
      <c r="Y75" s="3">
        <f>IFERROR(VLOOKUP(Y$1&amp;$A75&amp;$B75,배당편집!$D$2:$N$2710,11,FALSE), 0)</f>
        <v>0.63</v>
      </c>
      <c r="Z75" s="3">
        <f>IFERROR(VLOOKUP(Z$1&amp;$A75&amp;$B75,배당편집!$D$2:$N$2710,11,FALSE), 0)</f>
        <v>0</v>
      </c>
      <c r="AA75" s="3">
        <f>IFERROR(VLOOKUP(AA$1&amp;$A75&amp;$B75,배당편집!$D$2:$N$2710,11,FALSE), 0)</f>
        <v>0.3</v>
      </c>
      <c r="AB75" s="3">
        <f>IFERROR(VLOOKUP(AB$1&amp;$A75&amp;$B75,배당편집!$D$2:$N$2710,11,FALSE), 0)</f>
        <v>0</v>
      </c>
      <c r="AC75" s="3">
        <f>IFERROR(VLOOKUP(AC$1&amp;$A75&amp;$B75,배당편집!$D$2:$N$2710,11,FALSE), 0)</f>
        <v>0.17249999999999999</v>
      </c>
      <c r="AD75" s="3">
        <f>IFERROR(VLOOKUP(AD$1&amp;$A75&amp;$B75,배당편집!$D$2:$N$2710,11,FALSE), 0)</f>
        <v>0</v>
      </c>
      <c r="AE75" s="3">
        <f>IFERROR(VLOOKUP(AE$1&amp;$A75&amp;$B75,배당편집!$D$2:$N$2710,11,FALSE), 0)</f>
        <v>0.2</v>
      </c>
      <c r="AF75" s="3">
        <f>IFERROR(VLOOKUP(AF$1&amp;$A75&amp;$B75,배당편집!$D$2:$N$2710,11,FALSE), 0)</f>
        <v>0.42</v>
      </c>
    </row>
    <row r="76" spans="1:32" ht="16.5" customHeight="1">
      <c r="A76" s="3">
        <v>2016</v>
      </c>
      <c r="B76" s="3">
        <v>3</v>
      </c>
      <c r="C76" s="3">
        <f>IFERROR(VLOOKUP(C$1&amp;$A76&amp;$B76,배당편집!$D$2:$N$2710,11,FALSE), 0)</f>
        <v>0</v>
      </c>
      <c r="D76" s="3">
        <f>IFERROR(VLOOKUP(D$1&amp;$A76&amp;$B76,배당편집!$D$2:$N$2710,11,FALSE), 0)</f>
        <v>0.32</v>
      </c>
      <c r="E76" s="3">
        <f>IFERROR(VLOOKUP(E$1&amp;$A76&amp;$B76,배당편집!$D$2:$N$2710,11,FALSE), 0)</f>
        <v>0.18</v>
      </c>
      <c r="F76" s="3">
        <f>IFERROR(VLOOKUP(F$1&amp;$A76&amp;$B76,배당편집!$D$2:$N$2710,11,FALSE), 0)</f>
        <v>0</v>
      </c>
      <c r="G76" s="3">
        <f>IFERROR(VLOOKUP(G$1&amp;$A76&amp;$B76,배당편집!$D$2:$N$2710,11,FALSE), 0)</f>
        <v>0</v>
      </c>
      <c r="H76" s="3">
        <f>IFERROR(VLOOKUP(H$1&amp;$A76&amp;$B76,배당편집!$D$2:$N$2710,11,FALSE), 0)</f>
        <v>0</v>
      </c>
      <c r="I76" s="3">
        <f>IFERROR(VLOOKUP(I$1&amp;$A76&amp;$B76,배당편집!$D$2:$N$2710,11,FALSE), 0)</f>
        <v>0</v>
      </c>
      <c r="J76" s="3">
        <f>IFERROR(VLOOKUP(J$1&amp;$A76&amp;$B76,배당편집!$D$2:$N$2710,11,FALSE), 0)</f>
        <v>0.39500000000000002</v>
      </c>
      <c r="K76" s="3">
        <f>IFERROR(VLOOKUP(K$1&amp;$A76&amp;$B76,배당편집!$D$2:$N$2710,11,FALSE), 0)</f>
        <v>0</v>
      </c>
      <c r="L76" s="3">
        <f>IFERROR(VLOOKUP(L$1&amp;$A76&amp;$B76,배당편집!$D$2:$N$2710,11,FALSE), 0)</f>
        <v>0</v>
      </c>
      <c r="M76" s="3">
        <f>IFERROR(VLOOKUP(M$1&amp;$A76&amp;$B76,배당편집!$D$2:$N$2710,11,FALSE), 0)</f>
        <v>0.55000000000000004</v>
      </c>
      <c r="N76" s="3">
        <f>IFERROR(VLOOKUP(N$1&amp;$A76&amp;$B76,배당편집!$D$2:$N$2710,11,FALSE), 0)</f>
        <v>0</v>
      </c>
      <c r="O76" s="3">
        <f>IFERROR(VLOOKUP(O$1&amp;$A76&amp;$B76,배당편집!$D$2:$N$2710,11,FALSE), 0)</f>
        <v>0.86</v>
      </c>
      <c r="P76" s="3">
        <f>IFERROR(VLOOKUP(P$1&amp;$A76&amp;$B76,배당편집!$D$2:$N$2710,11,FALSE), 0)</f>
        <v>0</v>
      </c>
      <c r="Q76" s="3">
        <f>IFERROR(VLOOKUP(Q$1&amp;$A76&amp;$B76,배당편집!$D$2:$N$2710,11,FALSE), 0)</f>
        <v>0</v>
      </c>
      <c r="R76" s="3">
        <f>IFERROR(VLOOKUP(R$1&amp;$A76&amp;$B76,배당편집!$D$2:$N$2710,11,FALSE), 0)</f>
        <v>0</v>
      </c>
      <c r="S76" s="3">
        <f>IFERROR(VLOOKUP(S$1&amp;$A76&amp;$B76,배당편집!$D$2:$N$2710,11,FALSE), 0)</f>
        <v>0.65749999999999997</v>
      </c>
      <c r="T76" s="3">
        <f>IFERROR(VLOOKUP(T$1&amp;$A76&amp;$B76,배당편집!$D$2:$N$2710,11,FALSE), 0)</f>
        <v>0</v>
      </c>
      <c r="U76" s="3">
        <f>IFERROR(VLOOKUP(U$1&amp;$A76&amp;$B76,배당편집!$D$2:$N$2710,11,FALSE), 0)</f>
        <v>0</v>
      </c>
      <c r="V76" s="3">
        <f>IFERROR(VLOOKUP(V$1&amp;$A76&amp;$B76,배당편집!$D$2:$N$2710,11,FALSE), 0)</f>
        <v>0</v>
      </c>
      <c r="W76" s="3">
        <f>IFERROR(VLOOKUP(W$1&amp;$A76&amp;$B76,배당편집!$D$2:$N$2710,11,FALSE), 0)</f>
        <v>0</v>
      </c>
      <c r="X76" s="3">
        <f>IFERROR(VLOOKUP(X$1&amp;$A76&amp;$B76,배당편집!$D$2:$N$2710,11,FALSE), 0)</f>
        <v>0</v>
      </c>
      <c r="Y76" s="3">
        <f>IFERROR(VLOOKUP(Y$1&amp;$A76&amp;$B76,배당편집!$D$2:$N$2710,11,FALSE), 0)</f>
        <v>0</v>
      </c>
      <c r="Z76" s="3">
        <f>IFERROR(VLOOKUP(Z$1&amp;$A76&amp;$B76,배당편집!$D$2:$N$2710,11,FALSE), 0)</f>
        <v>0</v>
      </c>
      <c r="AA76" s="3">
        <f>IFERROR(VLOOKUP(AA$1&amp;$A76&amp;$B76,배당편집!$D$2:$N$2710,11,FALSE), 0)</f>
        <v>0</v>
      </c>
      <c r="AB76" s="3">
        <f>IFERROR(VLOOKUP(AB$1&amp;$A76&amp;$B76,배당편집!$D$2:$N$2710,11,FALSE), 0)</f>
        <v>0</v>
      </c>
      <c r="AC76" s="3">
        <f>IFERROR(VLOOKUP(AC$1&amp;$A76&amp;$B76,배당편집!$D$2:$N$2710,11,FALSE), 0)</f>
        <v>0</v>
      </c>
      <c r="AD76" s="3">
        <f>IFERROR(VLOOKUP(AD$1&amp;$A76&amp;$B76,배당편집!$D$2:$N$2710,11,FALSE), 0)</f>
        <v>0.53</v>
      </c>
      <c r="AE76" s="3">
        <f>IFERROR(VLOOKUP(AE$1&amp;$A76&amp;$B76,배당편집!$D$2:$N$2710,11,FALSE), 0)</f>
        <v>0</v>
      </c>
      <c r="AF76" s="3">
        <f>IFERROR(VLOOKUP(AF$1&amp;$A76&amp;$B76,배당편집!$D$2:$N$2710,11,FALSE), 0)</f>
        <v>0</v>
      </c>
    </row>
    <row r="77" spans="1:32" ht="16.5" customHeight="1">
      <c r="A77" s="3">
        <v>2016</v>
      </c>
      <c r="B77" s="3">
        <v>4</v>
      </c>
      <c r="C77" s="3">
        <f>IFERROR(VLOOKUP(C$1&amp;$A77&amp;$B77,배당편집!$D$2:$N$2710,11,FALSE), 0)</f>
        <v>0</v>
      </c>
      <c r="D77" s="3">
        <f>IFERROR(VLOOKUP(D$1&amp;$A77&amp;$B77,배당편집!$D$2:$N$2710,11,FALSE), 0)</f>
        <v>0</v>
      </c>
      <c r="E77" s="3">
        <f>IFERROR(VLOOKUP(E$1&amp;$A77&amp;$B77,배당편집!$D$2:$N$2710,11,FALSE), 0)</f>
        <v>0</v>
      </c>
      <c r="F77" s="3">
        <f>IFERROR(VLOOKUP(F$1&amp;$A77&amp;$B77,배당편집!$D$2:$N$2710,11,FALSE), 0)</f>
        <v>0</v>
      </c>
      <c r="G77" s="3">
        <f>IFERROR(VLOOKUP(G$1&amp;$A77&amp;$B77,배당편집!$D$2:$N$2710,11,FALSE), 0)</f>
        <v>0</v>
      </c>
      <c r="H77" s="3">
        <f>IFERROR(VLOOKUP(H$1&amp;$A77&amp;$B77,배당편집!$D$2:$N$2710,11,FALSE), 0)</f>
        <v>0</v>
      </c>
      <c r="I77" s="3">
        <f>IFERROR(VLOOKUP(I$1&amp;$A77&amp;$B77,배당편집!$D$2:$N$2710,11,FALSE), 0)</f>
        <v>0</v>
      </c>
      <c r="J77" s="3">
        <f>IFERROR(VLOOKUP(J$1&amp;$A77&amp;$B77,배당편집!$D$2:$N$2710,11,FALSE), 0)</f>
        <v>0</v>
      </c>
      <c r="K77" s="3">
        <f>IFERROR(VLOOKUP(K$1&amp;$A77&amp;$B77,배당편집!$D$2:$N$2710,11,FALSE), 0)</f>
        <v>0.77</v>
      </c>
      <c r="L77" s="3">
        <f>IFERROR(VLOOKUP(L$1&amp;$A77&amp;$B77,배당편집!$D$2:$N$2710,11,FALSE), 0)</f>
        <v>0</v>
      </c>
      <c r="M77" s="3">
        <f>IFERROR(VLOOKUP(M$1&amp;$A77&amp;$B77,배당편집!$D$2:$N$2710,11,FALSE), 0)</f>
        <v>0</v>
      </c>
      <c r="N77" s="3">
        <f>IFERROR(VLOOKUP(N$1&amp;$A77&amp;$B77,배당편집!$D$2:$N$2710,11,FALSE), 0)</f>
        <v>0</v>
      </c>
      <c r="O77" s="3">
        <f>IFERROR(VLOOKUP(O$1&amp;$A77&amp;$B77,배당편집!$D$2:$N$2710,11,FALSE), 0)</f>
        <v>0</v>
      </c>
      <c r="P77" s="3">
        <f>IFERROR(VLOOKUP(P$1&amp;$A77&amp;$B77,배당편집!$D$2:$N$2710,11,FALSE), 0)</f>
        <v>0.66949999999999998</v>
      </c>
      <c r="Q77" s="3">
        <f>IFERROR(VLOOKUP(Q$1&amp;$A77&amp;$B77,배당편집!$D$2:$N$2710,11,FALSE), 0)</f>
        <v>0</v>
      </c>
      <c r="R77" s="3">
        <f>IFERROR(VLOOKUP(R$1&amp;$A77&amp;$B77,배당편집!$D$2:$N$2710,11,FALSE), 0)</f>
        <v>0</v>
      </c>
      <c r="S77" s="3">
        <f>IFERROR(VLOOKUP(S$1&amp;$A77&amp;$B77,배당편집!$D$2:$N$2710,11,FALSE), 0)</f>
        <v>0</v>
      </c>
      <c r="T77" s="3">
        <f>IFERROR(VLOOKUP(T$1&amp;$A77&amp;$B77,배당편집!$D$2:$N$2710,11,FALSE), 0)</f>
        <v>0.76</v>
      </c>
      <c r="U77" s="3">
        <f>IFERROR(VLOOKUP(U$1&amp;$A77&amp;$B77,배당편집!$D$2:$N$2710,11,FALSE), 0)</f>
        <v>0.12</v>
      </c>
      <c r="V77" s="3">
        <f>IFERROR(VLOOKUP(V$1&amp;$A77&amp;$B77,배당편집!$D$2:$N$2710,11,FALSE), 0)</f>
        <v>0.14499999999999999</v>
      </c>
      <c r="W77" s="3">
        <f>IFERROR(VLOOKUP(W$1&amp;$A77&amp;$B77,배당편집!$D$2:$N$2710,11,FALSE), 0)</f>
        <v>0.28000000000000003</v>
      </c>
      <c r="X77" s="3">
        <f>IFERROR(VLOOKUP(X$1&amp;$A77&amp;$B77,배당편집!$D$2:$N$2710,11,FALSE), 0)</f>
        <v>0</v>
      </c>
      <c r="Y77" s="3">
        <f>IFERROR(VLOOKUP(Y$1&amp;$A77&amp;$B77,배당편집!$D$2:$N$2710,11,FALSE), 0)</f>
        <v>0</v>
      </c>
      <c r="Z77" s="3">
        <f>IFERROR(VLOOKUP(Z$1&amp;$A77&amp;$B77,배당편집!$D$2:$N$2710,11,FALSE), 0)</f>
        <v>0.16500000000000001</v>
      </c>
      <c r="AA77" s="3">
        <f>IFERROR(VLOOKUP(AA$1&amp;$A77&amp;$B77,배당편집!$D$2:$N$2710,11,FALSE), 0)</f>
        <v>0</v>
      </c>
      <c r="AB77" s="3">
        <f>IFERROR(VLOOKUP(AB$1&amp;$A77&amp;$B77,배당편집!$D$2:$N$2710,11,FALSE), 0)</f>
        <v>0.26</v>
      </c>
      <c r="AC77" s="3">
        <f>IFERROR(VLOOKUP(AC$1&amp;$A77&amp;$B77,배당편집!$D$2:$N$2710,11,FALSE), 0)</f>
        <v>0</v>
      </c>
      <c r="AD77" s="3">
        <f>IFERROR(VLOOKUP(AD$1&amp;$A77&amp;$B77,배당편집!$D$2:$N$2710,11,FALSE), 0)</f>
        <v>0</v>
      </c>
      <c r="AE77" s="3">
        <f>IFERROR(VLOOKUP(AE$1&amp;$A77&amp;$B77,배당편집!$D$2:$N$2710,11,FALSE), 0)</f>
        <v>0</v>
      </c>
      <c r="AF77" s="3">
        <f>IFERROR(VLOOKUP(AF$1&amp;$A77&amp;$B77,배당편집!$D$2:$N$2710,11,FALSE), 0)</f>
        <v>0</v>
      </c>
    </row>
    <row r="78" spans="1:32" ht="16.5" customHeight="1">
      <c r="A78" s="3">
        <v>2016</v>
      </c>
      <c r="B78" s="3">
        <v>5</v>
      </c>
      <c r="C78" s="3">
        <f>IFERROR(VLOOKUP(C$1&amp;$A78&amp;$B78,배당편집!$D$2:$N$2710,11,FALSE), 0)</f>
        <v>0.36</v>
      </c>
      <c r="D78" s="3">
        <f>IFERROR(VLOOKUP(D$1&amp;$A78&amp;$B78,배당편집!$D$2:$N$2710,11,FALSE), 0)</f>
        <v>0</v>
      </c>
      <c r="E78" s="3">
        <f>IFERROR(VLOOKUP(E$1&amp;$A78&amp;$B78,배당편집!$D$2:$N$2710,11,FALSE), 0)</f>
        <v>0</v>
      </c>
      <c r="F78" s="3">
        <f>IFERROR(VLOOKUP(F$1&amp;$A78&amp;$B78,배당편집!$D$2:$N$2710,11,FALSE), 0)</f>
        <v>0.55000000000000004</v>
      </c>
      <c r="G78" s="3">
        <f>IFERROR(VLOOKUP(G$1&amp;$A78&amp;$B78,배당편집!$D$2:$N$2710,11,FALSE), 0)</f>
        <v>0.75</v>
      </c>
      <c r="H78" s="3">
        <f>IFERROR(VLOOKUP(H$1&amp;$A78&amp;$B78,배당편집!$D$2:$N$2710,11,FALSE), 0)</f>
        <v>1.07</v>
      </c>
      <c r="I78" s="3">
        <f>IFERROR(VLOOKUP(I$1&amp;$A78&amp;$B78,배당편집!$D$2:$N$2710,11,FALSE), 0)</f>
        <v>0.42</v>
      </c>
      <c r="J78" s="3">
        <f>IFERROR(VLOOKUP(J$1&amp;$A78&amp;$B78,배당편집!$D$2:$N$2710,11,FALSE), 0)</f>
        <v>0</v>
      </c>
      <c r="K78" s="3">
        <f>IFERROR(VLOOKUP(K$1&amp;$A78&amp;$B78,배당편집!$D$2:$N$2710,11,FALSE), 0)</f>
        <v>0</v>
      </c>
      <c r="L78" s="3">
        <f>IFERROR(VLOOKUP(L$1&amp;$A78&amp;$B78,배당편집!$D$2:$N$2710,11,FALSE), 0)</f>
        <v>0.56000000000000005</v>
      </c>
      <c r="M78" s="3">
        <f>IFERROR(VLOOKUP(M$1&amp;$A78&amp;$B78,배당편집!$D$2:$N$2710,11,FALSE), 0)</f>
        <v>0</v>
      </c>
      <c r="N78" s="3">
        <f>IFERROR(VLOOKUP(N$1&amp;$A78&amp;$B78,배당편집!$D$2:$N$2710,11,FALSE), 0)</f>
        <v>0.47499999999999998</v>
      </c>
      <c r="O78" s="3">
        <f>IFERROR(VLOOKUP(O$1&amp;$A78&amp;$B78,배당편집!$D$2:$N$2710,11,FALSE), 0)</f>
        <v>0</v>
      </c>
      <c r="P78" s="3">
        <f>IFERROR(VLOOKUP(P$1&amp;$A78&amp;$B78,배당편집!$D$2:$N$2710,11,FALSE), 0)</f>
        <v>0</v>
      </c>
      <c r="Q78" s="3">
        <f>IFERROR(VLOOKUP(Q$1&amp;$A78&amp;$B78,배당편집!$D$2:$N$2710,11,FALSE), 0)</f>
        <v>0.8</v>
      </c>
      <c r="R78" s="3">
        <f>IFERROR(VLOOKUP(R$1&amp;$A78&amp;$B78,배당편집!$D$2:$N$2710,11,FALSE), 0)</f>
        <v>0.42</v>
      </c>
      <c r="S78" s="3">
        <f>IFERROR(VLOOKUP(S$1&amp;$A78&amp;$B78,배당편집!$D$2:$N$2710,11,FALSE), 0)</f>
        <v>0</v>
      </c>
      <c r="T78" s="3">
        <f>IFERROR(VLOOKUP(T$1&amp;$A78&amp;$B78,배당편집!$D$2:$N$2710,11,FALSE), 0)</f>
        <v>0</v>
      </c>
      <c r="U78" s="3">
        <f>IFERROR(VLOOKUP(U$1&amp;$A78&amp;$B78,배당편집!$D$2:$N$2710,11,FALSE), 0)</f>
        <v>0</v>
      </c>
      <c r="V78" s="3">
        <f>IFERROR(VLOOKUP(V$1&amp;$A78&amp;$B78,배당편집!$D$2:$N$2710,11,FALSE), 0)</f>
        <v>0</v>
      </c>
      <c r="W78" s="3">
        <f>IFERROR(VLOOKUP(W$1&amp;$A78&amp;$B78,배당편집!$D$2:$N$2710,11,FALSE), 0)</f>
        <v>0</v>
      </c>
      <c r="X78" s="3">
        <f>IFERROR(VLOOKUP(X$1&amp;$A78&amp;$B78,배당편집!$D$2:$N$2710,11,FALSE), 0)</f>
        <v>0.4</v>
      </c>
      <c r="Y78" s="3">
        <f>IFERROR(VLOOKUP(Y$1&amp;$A78&amp;$B78,배당편집!$D$2:$N$2710,11,FALSE), 0)</f>
        <v>0.63</v>
      </c>
      <c r="Z78" s="3">
        <f>IFERROR(VLOOKUP(Z$1&amp;$A78&amp;$B78,배당편집!$D$2:$N$2710,11,FALSE), 0)</f>
        <v>0</v>
      </c>
      <c r="AA78" s="3">
        <f>IFERROR(VLOOKUP(AA$1&amp;$A78&amp;$B78,배당편집!$D$2:$N$2710,11,FALSE), 0)</f>
        <v>0.3</v>
      </c>
      <c r="AB78" s="3">
        <f>IFERROR(VLOOKUP(AB$1&amp;$A78&amp;$B78,배당편집!$D$2:$N$2710,11,FALSE), 0)</f>
        <v>0</v>
      </c>
      <c r="AC78" s="3">
        <f>IFERROR(VLOOKUP(AC$1&amp;$A78&amp;$B78,배당편집!$D$2:$N$2710,11,FALSE), 0)</f>
        <v>0.17249999999999999</v>
      </c>
      <c r="AD78" s="3">
        <f>IFERROR(VLOOKUP(AD$1&amp;$A78&amp;$B78,배당편집!$D$2:$N$2710,11,FALSE), 0)</f>
        <v>0</v>
      </c>
      <c r="AE78" s="3">
        <f>IFERROR(VLOOKUP(AE$1&amp;$A78&amp;$B78,배당편집!$D$2:$N$2710,11,FALSE), 0)</f>
        <v>0.2</v>
      </c>
      <c r="AF78" s="3">
        <f>IFERROR(VLOOKUP(AF$1&amp;$A78&amp;$B78,배당편집!$D$2:$N$2710,11,FALSE), 0)</f>
        <v>0.42</v>
      </c>
    </row>
    <row r="79" spans="1:32" ht="16.5" customHeight="1">
      <c r="A79" s="3">
        <v>2016</v>
      </c>
      <c r="B79" s="3">
        <v>6</v>
      </c>
      <c r="C79" s="3">
        <f>IFERROR(VLOOKUP(C$1&amp;$A79&amp;$B79,배당편집!$D$2:$N$2710,11,FALSE), 0)</f>
        <v>0</v>
      </c>
      <c r="D79" s="3">
        <f>IFERROR(VLOOKUP(D$1&amp;$A79&amp;$B79,배당편집!$D$2:$N$2710,11,FALSE), 0)</f>
        <v>0.34</v>
      </c>
      <c r="E79" s="3">
        <f>IFERROR(VLOOKUP(E$1&amp;$A79&amp;$B79,배당편집!$D$2:$N$2710,11,FALSE), 0)</f>
        <v>0.18</v>
      </c>
      <c r="F79" s="3">
        <f>IFERROR(VLOOKUP(F$1&amp;$A79&amp;$B79,배당편집!$D$2:$N$2710,11,FALSE), 0)</f>
        <v>0</v>
      </c>
      <c r="G79" s="3">
        <f>IFERROR(VLOOKUP(G$1&amp;$A79&amp;$B79,배당편집!$D$2:$N$2710,11,FALSE), 0)</f>
        <v>0</v>
      </c>
      <c r="H79" s="3">
        <f>IFERROR(VLOOKUP(H$1&amp;$A79&amp;$B79,배당편집!$D$2:$N$2710,11,FALSE), 0)</f>
        <v>0</v>
      </c>
      <c r="I79" s="3">
        <f>IFERROR(VLOOKUP(I$1&amp;$A79&amp;$B79,배당편집!$D$2:$N$2710,11,FALSE), 0)</f>
        <v>0</v>
      </c>
      <c r="J79" s="3">
        <f>IFERROR(VLOOKUP(J$1&amp;$A79&amp;$B79,배당편집!$D$2:$N$2710,11,FALSE), 0)</f>
        <v>0.40500000000000003</v>
      </c>
      <c r="K79" s="3">
        <f>IFERROR(VLOOKUP(K$1&amp;$A79&amp;$B79,배당편집!$D$2:$N$2710,11,FALSE), 0)</f>
        <v>0</v>
      </c>
      <c r="L79" s="3">
        <f>IFERROR(VLOOKUP(L$1&amp;$A79&amp;$B79,배당편집!$D$2:$N$2710,11,FALSE), 0)</f>
        <v>0</v>
      </c>
      <c r="M79" s="3">
        <f>IFERROR(VLOOKUP(M$1&amp;$A79&amp;$B79,배당편집!$D$2:$N$2710,11,FALSE), 0)</f>
        <v>0.55000000000000004</v>
      </c>
      <c r="N79" s="3">
        <f>IFERROR(VLOOKUP(N$1&amp;$A79&amp;$B79,배당편집!$D$2:$N$2710,11,FALSE), 0)</f>
        <v>0</v>
      </c>
      <c r="O79" s="3">
        <f>IFERROR(VLOOKUP(O$1&amp;$A79&amp;$B79,배당편집!$D$2:$N$2710,11,FALSE), 0)</f>
        <v>0.86</v>
      </c>
      <c r="P79" s="3">
        <f>IFERROR(VLOOKUP(P$1&amp;$A79&amp;$B79,배당편집!$D$2:$N$2710,11,FALSE), 0)</f>
        <v>0</v>
      </c>
      <c r="Q79" s="3">
        <f>IFERROR(VLOOKUP(Q$1&amp;$A79&amp;$B79,배당편집!$D$2:$N$2710,11,FALSE), 0)</f>
        <v>0</v>
      </c>
      <c r="R79" s="3">
        <f>IFERROR(VLOOKUP(R$1&amp;$A79&amp;$B79,배당편집!$D$2:$N$2710,11,FALSE), 0)</f>
        <v>0</v>
      </c>
      <c r="S79" s="3">
        <f>IFERROR(VLOOKUP(S$1&amp;$A79&amp;$B79,배당편집!$D$2:$N$2710,11,FALSE), 0)</f>
        <v>0.65749999999999997</v>
      </c>
      <c r="T79" s="3">
        <f>IFERROR(VLOOKUP(T$1&amp;$A79&amp;$B79,배당편집!$D$2:$N$2710,11,FALSE), 0)</f>
        <v>0.76</v>
      </c>
      <c r="U79" s="3">
        <f>IFERROR(VLOOKUP(U$1&amp;$A79&amp;$B79,배당편집!$D$2:$N$2710,11,FALSE), 0)</f>
        <v>0</v>
      </c>
      <c r="V79" s="3">
        <f>IFERROR(VLOOKUP(V$1&amp;$A79&amp;$B79,배당편집!$D$2:$N$2710,11,FALSE), 0)</f>
        <v>0</v>
      </c>
      <c r="W79" s="3">
        <f>IFERROR(VLOOKUP(W$1&amp;$A79&amp;$B79,배당편집!$D$2:$N$2710,11,FALSE), 0)</f>
        <v>0</v>
      </c>
      <c r="X79" s="3">
        <f>IFERROR(VLOOKUP(X$1&amp;$A79&amp;$B79,배당편집!$D$2:$N$2710,11,FALSE), 0)</f>
        <v>0</v>
      </c>
      <c r="Y79" s="3">
        <f>IFERROR(VLOOKUP(Y$1&amp;$A79&amp;$B79,배당편집!$D$2:$N$2710,11,FALSE), 0)</f>
        <v>0</v>
      </c>
      <c r="Z79" s="3">
        <f>IFERROR(VLOOKUP(Z$1&amp;$A79&amp;$B79,배당편집!$D$2:$N$2710,11,FALSE), 0)</f>
        <v>0</v>
      </c>
      <c r="AA79" s="3">
        <f>IFERROR(VLOOKUP(AA$1&amp;$A79&amp;$B79,배당편집!$D$2:$N$2710,11,FALSE), 0)</f>
        <v>0</v>
      </c>
      <c r="AB79" s="3">
        <f>IFERROR(VLOOKUP(AB$1&amp;$A79&amp;$B79,배당편집!$D$2:$N$2710,11,FALSE), 0)</f>
        <v>0</v>
      </c>
      <c r="AC79" s="3">
        <f>IFERROR(VLOOKUP(AC$1&amp;$A79&amp;$B79,배당편집!$D$2:$N$2710,11,FALSE), 0)</f>
        <v>0</v>
      </c>
      <c r="AD79" s="3">
        <f>IFERROR(VLOOKUP(AD$1&amp;$A79&amp;$B79,배당편집!$D$2:$N$2710,11,FALSE), 0)</f>
        <v>0.53</v>
      </c>
      <c r="AE79" s="3">
        <f>IFERROR(VLOOKUP(AE$1&amp;$A79&amp;$B79,배당편집!$D$2:$N$2710,11,FALSE), 0)</f>
        <v>0</v>
      </c>
      <c r="AF79" s="3">
        <f>IFERROR(VLOOKUP(AF$1&amp;$A79&amp;$B79,배당편집!$D$2:$N$2710,11,FALSE), 0)</f>
        <v>0</v>
      </c>
    </row>
    <row r="80" spans="1:32" ht="16.5" customHeight="1">
      <c r="A80" s="3">
        <v>2016</v>
      </c>
      <c r="B80" s="3">
        <v>7</v>
      </c>
      <c r="C80" s="3">
        <f>IFERROR(VLOOKUP(C$1&amp;$A80&amp;$B80,배당편집!$D$2:$N$2710,11,FALSE), 0)</f>
        <v>0</v>
      </c>
      <c r="D80" s="3">
        <f>IFERROR(VLOOKUP(D$1&amp;$A80&amp;$B80,배당편집!$D$2:$N$2710,11,FALSE), 0)</f>
        <v>0</v>
      </c>
      <c r="E80" s="3">
        <f>IFERROR(VLOOKUP(E$1&amp;$A80&amp;$B80,배당편집!$D$2:$N$2710,11,FALSE), 0)</f>
        <v>0</v>
      </c>
      <c r="F80" s="3">
        <f>IFERROR(VLOOKUP(F$1&amp;$A80&amp;$B80,배당편집!$D$2:$N$2710,11,FALSE), 0)</f>
        <v>0</v>
      </c>
      <c r="G80" s="3">
        <f>IFERROR(VLOOKUP(G$1&amp;$A80&amp;$B80,배당편집!$D$2:$N$2710,11,FALSE), 0)</f>
        <v>0</v>
      </c>
      <c r="H80" s="3">
        <f>IFERROR(VLOOKUP(H$1&amp;$A80&amp;$B80,배당편집!$D$2:$N$2710,11,FALSE), 0)</f>
        <v>0</v>
      </c>
      <c r="I80" s="3">
        <f>IFERROR(VLOOKUP(I$1&amp;$A80&amp;$B80,배당편집!$D$2:$N$2710,11,FALSE), 0)</f>
        <v>0</v>
      </c>
      <c r="J80" s="3">
        <f>IFERROR(VLOOKUP(J$1&amp;$A80&amp;$B80,배당편집!$D$2:$N$2710,11,FALSE), 0)</f>
        <v>0</v>
      </c>
      <c r="K80" s="3">
        <f>IFERROR(VLOOKUP(K$1&amp;$A80&amp;$B80,배당편집!$D$2:$N$2710,11,FALSE), 0)</f>
        <v>0.77</v>
      </c>
      <c r="L80" s="3">
        <f>IFERROR(VLOOKUP(L$1&amp;$A80&amp;$B80,배당편집!$D$2:$N$2710,11,FALSE), 0)</f>
        <v>0</v>
      </c>
      <c r="M80" s="3">
        <f>IFERROR(VLOOKUP(M$1&amp;$A80&amp;$B80,배당편집!$D$2:$N$2710,11,FALSE), 0)</f>
        <v>0</v>
      </c>
      <c r="N80" s="3">
        <f>IFERROR(VLOOKUP(N$1&amp;$A80&amp;$B80,배당편집!$D$2:$N$2710,11,FALSE), 0)</f>
        <v>0</v>
      </c>
      <c r="O80" s="3">
        <f>IFERROR(VLOOKUP(O$1&amp;$A80&amp;$B80,배당편집!$D$2:$N$2710,11,FALSE), 0)</f>
        <v>0</v>
      </c>
      <c r="P80" s="3">
        <f>IFERROR(VLOOKUP(P$1&amp;$A80&amp;$B80,배당편집!$D$2:$N$2710,11,FALSE), 0)</f>
        <v>0.66949999999999998</v>
      </c>
      <c r="Q80" s="3">
        <f>IFERROR(VLOOKUP(Q$1&amp;$A80&amp;$B80,배당편집!$D$2:$N$2710,11,FALSE), 0)</f>
        <v>0</v>
      </c>
      <c r="R80" s="3">
        <f>IFERROR(VLOOKUP(R$1&amp;$A80&amp;$B80,배당편집!$D$2:$N$2710,11,FALSE), 0)</f>
        <v>0</v>
      </c>
      <c r="S80" s="3">
        <f>IFERROR(VLOOKUP(S$1&amp;$A80&amp;$B80,배당편집!$D$2:$N$2710,11,FALSE), 0)</f>
        <v>0</v>
      </c>
      <c r="T80" s="3">
        <f>IFERROR(VLOOKUP(T$1&amp;$A80&amp;$B80,배당편집!$D$2:$N$2710,11,FALSE), 0)</f>
        <v>0</v>
      </c>
      <c r="U80" s="3">
        <f>IFERROR(VLOOKUP(U$1&amp;$A80&amp;$B80,배당편집!$D$2:$N$2710,11,FALSE), 0)</f>
        <v>0.12</v>
      </c>
      <c r="V80" s="3">
        <f>IFERROR(VLOOKUP(V$1&amp;$A80&amp;$B80,배당편집!$D$2:$N$2710,11,FALSE), 0)</f>
        <v>0.14499999999999999</v>
      </c>
      <c r="W80" s="3">
        <f>IFERROR(VLOOKUP(W$1&amp;$A80&amp;$B80,배당편집!$D$2:$N$2710,11,FALSE), 0)</f>
        <v>0.35</v>
      </c>
      <c r="X80" s="3">
        <f>IFERROR(VLOOKUP(X$1&amp;$A80&amp;$B80,배당편집!$D$2:$N$2710,11,FALSE), 0)</f>
        <v>0</v>
      </c>
      <c r="Y80" s="3">
        <f>IFERROR(VLOOKUP(Y$1&amp;$A80&amp;$B80,배당편집!$D$2:$N$2710,11,FALSE), 0)</f>
        <v>0</v>
      </c>
      <c r="Z80" s="3">
        <f>IFERROR(VLOOKUP(Z$1&amp;$A80&amp;$B80,배당편집!$D$2:$N$2710,11,FALSE), 0)</f>
        <v>0.16500000000000001</v>
      </c>
      <c r="AA80" s="3">
        <f>IFERROR(VLOOKUP(AA$1&amp;$A80&amp;$B80,배당편집!$D$2:$N$2710,11,FALSE), 0)</f>
        <v>0</v>
      </c>
      <c r="AB80" s="3">
        <f>IFERROR(VLOOKUP(AB$1&amp;$A80&amp;$B80,배당편집!$D$2:$N$2710,11,FALSE), 0)</f>
        <v>0.26</v>
      </c>
      <c r="AC80" s="3">
        <f>IFERROR(VLOOKUP(AC$1&amp;$A80&amp;$B80,배당편집!$D$2:$N$2710,11,FALSE), 0)</f>
        <v>0</v>
      </c>
      <c r="AD80" s="3">
        <f>IFERROR(VLOOKUP(AD$1&amp;$A80&amp;$B80,배당편집!$D$2:$N$2710,11,FALSE), 0)</f>
        <v>0</v>
      </c>
      <c r="AE80" s="3">
        <f>IFERROR(VLOOKUP(AE$1&amp;$A80&amp;$B80,배당편집!$D$2:$N$2710,11,FALSE), 0)</f>
        <v>0</v>
      </c>
      <c r="AF80" s="3">
        <f>IFERROR(VLOOKUP(AF$1&amp;$A80&amp;$B80,배당편집!$D$2:$N$2710,11,FALSE), 0)</f>
        <v>0</v>
      </c>
    </row>
    <row r="81" spans="1:32" ht="16.5" customHeight="1">
      <c r="A81" s="3">
        <v>2016</v>
      </c>
      <c r="B81" s="3">
        <v>8</v>
      </c>
      <c r="C81" s="3">
        <f>IFERROR(VLOOKUP(C$1&amp;$A81&amp;$B81,배당편집!$D$2:$N$2710,11,FALSE), 0)</f>
        <v>0.375</v>
      </c>
      <c r="D81" s="3">
        <f>IFERROR(VLOOKUP(D$1&amp;$A81&amp;$B81,배당편집!$D$2:$N$2710,11,FALSE), 0)</f>
        <v>0</v>
      </c>
      <c r="E81" s="3">
        <f>IFERROR(VLOOKUP(E$1&amp;$A81&amp;$B81,배당편집!$D$2:$N$2710,11,FALSE), 0)</f>
        <v>0</v>
      </c>
      <c r="F81" s="3">
        <f>IFERROR(VLOOKUP(F$1&amp;$A81&amp;$B81,배당편집!$D$2:$N$2710,11,FALSE), 0)</f>
        <v>0.57999999999999996</v>
      </c>
      <c r="G81" s="3">
        <f>IFERROR(VLOOKUP(G$1&amp;$A81&amp;$B81,배당편집!$D$2:$N$2710,11,FALSE), 0)</f>
        <v>0.75</v>
      </c>
      <c r="H81" s="3">
        <f>IFERROR(VLOOKUP(H$1&amp;$A81&amp;$B81,배당편집!$D$2:$N$2710,11,FALSE), 0)</f>
        <v>1.07</v>
      </c>
      <c r="I81" s="3">
        <f>IFERROR(VLOOKUP(I$1&amp;$A81&amp;$B81,배당편집!$D$2:$N$2710,11,FALSE), 0)</f>
        <v>0.42</v>
      </c>
      <c r="J81" s="3">
        <f>IFERROR(VLOOKUP(J$1&amp;$A81&amp;$B81,배당편집!$D$2:$N$2710,11,FALSE), 0)</f>
        <v>0</v>
      </c>
      <c r="K81" s="3">
        <f>IFERROR(VLOOKUP(K$1&amp;$A81&amp;$B81,배당편집!$D$2:$N$2710,11,FALSE), 0)</f>
        <v>0</v>
      </c>
      <c r="L81" s="3">
        <f>IFERROR(VLOOKUP(L$1&amp;$A81&amp;$B81,배당편집!$D$2:$N$2710,11,FALSE), 0)</f>
        <v>0.6</v>
      </c>
      <c r="M81" s="3">
        <f>IFERROR(VLOOKUP(M$1&amp;$A81&amp;$B81,배당편집!$D$2:$N$2710,11,FALSE), 0)</f>
        <v>0</v>
      </c>
      <c r="N81" s="3">
        <f>IFERROR(VLOOKUP(N$1&amp;$A81&amp;$B81,배당편집!$D$2:$N$2710,11,FALSE), 0)</f>
        <v>0.47499999999999998</v>
      </c>
      <c r="O81" s="3">
        <f>IFERROR(VLOOKUP(O$1&amp;$A81&amp;$B81,배당편집!$D$2:$N$2710,11,FALSE), 0)</f>
        <v>0</v>
      </c>
      <c r="P81" s="3">
        <f>IFERROR(VLOOKUP(P$1&amp;$A81&amp;$B81,배당편집!$D$2:$N$2710,11,FALSE), 0)</f>
        <v>0</v>
      </c>
      <c r="Q81" s="3">
        <f>IFERROR(VLOOKUP(Q$1&amp;$A81&amp;$B81,배당편집!$D$2:$N$2710,11,FALSE), 0)</f>
        <v>0.8</v>
      </c>
      <c r="R81" s="3">
        <f>IFERROR(VLOOKUP(R$1&amp;$A81&amp;$B81,배당편집!$D$2:$N$2710,11,FALSE), 0)</f>
        <v>0.42</v>
      </c>
      <c r="S81" s="3">
        <f>IFERROR(VLOOKUP(S$1&amp;$A81&amp;$B81,배당편집!$D$2:$N$2710,11,FALSE), 0)</f>
        <v>0</v>
      </c>
      <c r="T81" s="3">
        <f>IFERROR(VLOOKUP(T$1&amp;$A81&amp;$B81,배당편집!$D$2:$N$2710,11,FALSE), 0)</f>
        <v>0</v>
      </c>
      <c r="U81" s="3">
        <f>IFERROR(VLOOKUP(U$1&amp;$A81&amp;$B81,배당편집!$D$2:$N$2710,11,FALSE), 0)</f>
        <v>0</v>
      </c>
      <c r="V81" s="3">
        <f>IFERROR(VLOOKUP(V$1&amp;$A81&amp;$B81,배당편집!$D$2:$N$2710,11,FALSE), 0)</f>
        <v>0</v>
      </c>
      <c r="W81" s="3">
        <f>IFERROR(VLOOKUP(W$1&amp;$A81&amp;$B81,배당편집!$D$2:$N$2710,11,FALSE), 0)</f>
        <v>0</v>
      </c>
      <c r="X81" s="3">
        <f>IFERROR(VLOOKUP(X$1&amp;$A81&amp;$B81,배당편집!$D$2:$N$2710,11,FALSE), 0)</f>
        <v>0.4</v>
      </c>
      <c r="Y81" s="3">
        <f>IFERROR(VLOOKUP(Y$1&amp;$A81&amp;$B81,배당편집!$D$2:$N$2710,11,FALSE), 0)</f>
        <v>0.63</v>
      </c>
      <c r="Z81" s="3">
        <f>IFERROR(VLOOKUP(Z$1&amp;$A81&amp;$B81,배당편집!$D$2:$N$2710,11,FALSE), 0)</f>
        <v>0</v>
      </c>
      <c r="AA81" s="3">
        <f>IFERROR(VLOOKUP(AA$1&amp;$A81&amp;$B81,배당편집!$D$2:$N$2710,11,FALSE), 0)</f>
        <v>0.3</v>
      </c>
      <c r="AB81" s="3">
        <f>IFERROR(VLOOKUP(AB$1&amp;$A81&amp;$B81,배당편집!$D$2:$N$2710,11,FALSE), 0)</f>
        <v>0</v>
      </c>
      <c r="AC81" s="3">
        <f>IFERROR(VLOOKUP(AC$1&amp;$A81&amp;$B81,배당편집!$D$2:$N$2710,11,FALSE), 0)</f>
        <v>0.17249999999999999</v>
      </c>
      <c r="AD81" s="3">
        <f>IFERROR(VLOOKUP(AD$1&amp;$A81&amp;$B81,배당편집!$D$2:$N$2710,11,FALSE), 0)</f>
        <v>0</v>
      </c>
      <c r="AE81" s="3">
        <f>IFERROR(VLOOKUP(AE$1&amp;$A81&amp;$B81,배당편집!$D$2:$N$2710,11,FALSE), 0)</f>
        <v>0.2</v>
      </c>
      <c r="AF81" s="3">
        <f>IFERROR(VLOOKUP(AF$1&amp;$A81&amp;$B81,배당편집!$D$2:$N$2710,11,FALSE), 0)</f>
        <v>0.44</v>
      </c>
    </row>
    <row r="82" spans="1:32" ht="16.5" customHeight="1">
      <c r="A82" s="3">
        <v>2016</v>
      </c>
      <c r="B82" s="3">
        <v>9</v>
      </c>
      <c r="C82" s="3">
        <f>IFERROR(VLOOKUP(C$1&amp;$A82&amp;$B82,배당편집!$D$2:$N$2710,11,FALSE), 0)</f>
        <v>0</v>
      </c>
      <c r="D82" s="3">
        <f>IFERROR(VLOOKUP(D$1&amp;$A82&amp;$B82,배당편집!$D$2:$N$2710,11,FALSE), 0)</f>
        <v>0.34</v>
      </c>
      <c r="E82" s="3">
        <f>IFERROR(VLOOKUP(E$1&amp;$A82&amp;$B82,배당편집!$D$2:$N$2710,11,FALSE), 0)</f>
        <v>0.18</v>
      </c>
      <c r="F82" s="3">
        <f>IFERROR(VLOOKUP(F$1&amp;$A82&amp;$B82,배당편집!$D$2:$N$2710,11,FALSE), 0)</f>
        <v>0</v>
      </c>
      <c r="G82" s="3">
        <f>IFERROR(VLOOKUP(G$1&amp;$A82&amp;$B82,배당편집!$D$2:$N$2710,11,FALSE), 0)</f>
        <v>0</v>
      </c>
      <c r="H82" s="3">
        <f>IFERROR(VLOOKUP(H$1&amp;$A82&amp;$B82,배당편집!$D$2:$N$2710,11,FALSE), 0)</f>
        <v>0</v>
      </c>
      <c r="I82" s="3">
        <f>IFERROR(VLOOKUP(I$1&amp;$A82&amp;$B82,배당편집!$D$2:$N$2710,11,FALSE), 0)</f>
        <v>0</v>
      </c>
      <c r="J82" s="3">
        <f>IFERROR(VLOOKUP(J$1&amp;$A82&amp;$B82,배당편집!$D$2:$N$2710,11,FALSE), 0)</f>
        <v>0.40500000000000003</v>
      </c>
      <c r="K82" s="3">
        <f>IFERROR(VLOOKUP(K$1&amp;$A82&amp;$B82,배당편집!$D$2:$N$2710,11,FALSE), 0)</f>
        <v>0</v>
      </c>
      <c r="L82" s="3">
        <f>IFERROR(VLOOKUP(L$1&amp;$A82&amp;$B82,배당편집!$D$2:$N$2710,11,FALSE), 0)</f>
        <v>0</v>
      </c>
      <c r="M82" s="3">
        <f>IFERROR(VLOOKUP(M$1&amp;$A82&amp;$B82,배당편집!$D$2:$N$2710,11,FALSE), 0)</f>
        <v>0.65</v>
      </c>
      <c r="N82" s="3">
        <f>IFERROR(VLOOKUP(N$1&amp;$A82&amp;$B82,배당편집!$D$2:$N$2710,11,FALSE), 0)</f>
        <v>0</v>
      </c>
      <c r="O82" s="3">
        <f>IFERROR(VLOOKUP(O$1&amp;$A82&amp;$B82,배당편집!$D$2:$N$2710,11,FALSE), 0)</f>
        <v>0</v>
      </c>
      <c r="P82" s="3">
        <f>IFERROR(VLOOKUP(P$1&amp;$A82&amp;$B82,배당편집!$D$2:$N$2710,11,FALSE), 0)</f>
        <v>0</v>
      </c>
      <c r="Q82" s="3">
        <f>IFERROR(VLOOKUP(Q$1&amp;$A82&amp;$B82,배당편집!$D$2:$N$2710,11,FALSE), 0)</f>
        <v>0</v>
      </c>
      <c r="R82" s="3">
        <f>IFERROR(VLOOKUP(R$1&amp;$A82&amp;$B82,배당편집!$D$2:$N$2710,11,FALSE), 0)</f>
        <v>0</v>
      </c>
      <c r="S82" s="3">
        <f>IFERROR(VLOOKUP(S$1&amp;$A82&amp;$B82,배당편집!$D$2:$N$2710,11,FALSE), 0)</f>
        <v>0.65749999999999997</v>
      </c>
      <c r="T82" s="3">
        <f>IFERROR(VLOOKUP(T$1&amp;$A82&amp;$B82,배당편집!$D$2:$N$2710,11,FALSE), 0)</f>
        <v>0</v>
      </c>
      <c r="U82" s="3">
        <f>IFERROR(VLOOKUP(U$1&amp;$A82&amp;$B82,배당편집!$D$2:$N$2710,11,FALSE), 0)</f>
        <v>0</v>
      </c>
      <c r="V82" s="3">
        <f>IFERROR(VLOOKUP(V$1&amp;$A82&amp;$B82,배당편집!$D$2:$N$2710,11,FALSE), 0)</f>
        <v>0</v>
      </c>
      <c r="W82" s="3">
        <f>IFERROR(VLOOKUP(W$1&amp;$A82&amp;$B82,배당편집!$D$2:$N$2710,11,FALSE), 0)</f>
        <v>0</v>
      </c>
      <c r="X82" s="3">
        <f>IFERROR(VLOOKUP(X$1&amp;$A82&amp;$B82,배당편집!$D$2:$N$2710,11,FALSE), 0)</f>
        <v>0</v>
      </c>
      <c r="Y82" s="3">
        <f>IFERROR(VLOOKUP(Y$1&amp;$A82&amp;$B82,배당편집!$D$2:$N$2710,11,FALSE), 0)</f>
        <v>0</v>
      </c>
      <c r="Z82" s="3">
        <f>IFERROR(VLOOKUP(Z$1&amp;$A82&amp;$B82,배당편집!$D$2:$N$2710,11,FALSE), 0)</f>
        <v>0</v>
      </c>
      <c r="AA82" s="3">
        <f>IFERROR(VLOOKUP(AA$1&amp;$A82&amp;$B82,배당편집!$D$2:$N$2710,11,FALSE), 0)</f>
        <v>0</v>
      </c>
      <c r="AB82" s="3">
        <f>IFERROR(VLOOKUP(AB$1&amp;$A82&amp;$B82,배당편집!$D$2:$N$2710,11,FALSE), 0)</f>
        <v>0</v>
      </c>
      <c r="AC82" s="3">
        <f>IFERROR(VLOOKUP(AC$1&amp;$A82&amp;$B82,배당편집!$D$2:$N$2710,11,FALSE), 0)</f>
        <v>0</v>
      </c>
      <c r="AD82" s="3">
        <f>IFERROR(VLOOKUP(AD$1&amp;$A82&amp;$B82,배당편집!$D$2:$N$2710,11,FALSE), 0)</f>
        <v>0.53</v>
      </c>
      <c r="AE82" s="3">
        <f>IFERROR(VLOOKUP(AE$1&amp;$A82&amp;$B82,배당편집!$D$2:$N$2710,11,FALSE), 0)</f>
        <v>0</v>
      </c>
      <c r="AF82" s="3">
        <f>IFERROR(VLOOKUP(AF$1&amp;$A82&amp;$B82,배당편집!$D$2:$N$2710,11,FALSE), 0)</f>
        <v>0</v>
      </c>
    </row>
    <row r="83" spans="1:32" ht="16.5" customHeight="1">
      <c r="A83" s="3">
        <v>2016</v>
      </c>
      <c r="B83" s="3">
        <v>10</v>
      </c>
      <c r="C83" s="3">
        <f>IFERROR(VLOOKUP(C$1&amp;$A83&amp;$B83,배당편집!$D$2:$N$2710,11,FALSE), 0)</f>
        <v>0</v>
      </c>
      <c r="D83" s="3">
        <f>IFERROR(VLOOKUP(D$1&amp;$A83&amp;$B83,배당편집!$D$2:$N$2710,11,FALSE), 0)</f>
        <v>0</v>
      </c>
      <c r="E83" s="3">
        <f>IFERROR(VLOOKUP(E$1&amp;$A83&amp;$B83,배당편집!$D$2:$N$2710,11,FALSE), 0)</f>
        <v>0</v>
      </c>
      <c r="F83" s="3">
        <f>IFERROR(VLOOKUP(F$1&amp;$A83&amp;$B83,배당편집!$D$2:$N$2710,11,FALSE), 0)</f>
        <v>0</v>
      </c>
      <c r="G83" s="3">
        <f>IFERROR(VLOOKUP(G$1&amp;$A83&amp;$B83,배당편집!$D$2:$N$2710,11,FALSE), 0)</f>
        <v>0</v>
      </c>
      <c r="H83" s="3">
        <f>IFERROR(VLOOKUP(H$1&amp;$A83&amp;$B83,배당편집!$D$2:$N$2710,11,FALSE), 0)</f>
        <v>0</v>
      </c>
      <c r="I83" s="3">
        <f>IFERROR(VLOOKUP(I$1&amp;$A83&amp;$B83,배당편집!$D$2:$N$2710,11,FALSE), 0)</f>
        <v>0</v>
      </c>
      <c r="J83" s="3">
        <f>IFERROR(VLOOKUP(J$1&amp;$A83&amp;$B83,배당편집!$D$2:$N$2710,11,FALSE), 0)</f>
        <v>0</v>
      </c>
      <c r="K83" s="3">
        <f>IFERROR(VLOOKUP(K$1&amp;$A83&amp;$B83,배당편집!$D$2:$N$2710,11,FALSE), 0)</f>
        <v>0.77</v>
      </c>
      <c r="L83" s="3">
        <f>IFERROR(VLOOKUP(L$1&amp;$A83&amp;$B83,배당편집!$D$2:$N$2710,11,FALSE), 0)</f>
        <v>0</v>
      </c>
      <c r="M83" s="3">
        <f>IFERROR(VLOOKUP(M$1&amp;$A83&amp;$B83,배당편집!$D$2:$N$2710,11,FALSE), 0)</f>
        <v>0</v>
      </c>
      <c r="N83" s="3">
        <f>IFERROR(VLOOKUP(N$1&amp;$A83&amp;$B83,배당편집!$D$2:$N$2710,11,FALSE), 0)</f>
        <v>0</v>
      </c>
      <c r="O83" s="3">
        <f>IFERROR(VLOOKUP(O$1&amp;$A83&amp;$B83,배당편집!$D$2:$N$2710,11,FALSE), 0)</f>
        <v>0.86</v>
      </c>
      <c r="P83" s="3">
        <f>IFERROR(VLOOKUP(P$1&amp;$A83&amp;$B83,배당편집!$D$2:$N$2710,11,FALSE), 0)</f>
        <v>0.66949999999999998</v>
      </c>
      <c r="Q83" s="3">
        <f>IFERROR(VLOOKUP(Q$1&amp;$A83&amp;$B83,배당편집!$D$2:$N$2710,11,FALSE), 0)</f>
        <v>0</v>
      </c>
      <c r="R83" s="3">
        <f>IFERROR(VLOOKUP(R$1&amp;$A83&amp;$B83,배당편집!$D$2:$N$2710,11,FALSE), 0)</f>
        <v>0</v>
      </c>
      <c r="S83" s="3">
        <f>IFERROR(VLOOKUP(S$1&amp;$A83&amp;$B83,배당편집!$D$2:$N$2710,11,FALSE), 0)</f>
        <v>0</v>
      </c>
      <c r="T83" s="3">
        <f>IFERROR(VLOOKUP(T$1&amp;$A83&amp;$B83,배당편집!$D$2:$N$2710,11,FALSE), 0)</f>
        <v>0.76</v>
      </c>
      <c r="U83" s="3">
        <f>IFERROR(VLOOKUP(U$1&amp;$A83&amp;$B83,배당편집!$D$2:$N$2710,11,FALSE), 0)</f>
        <v>0.12</v>
      </c>
      <c r="V83" s="3">
        <f>IFERROR(VLOOKUP(V$1&amp;$A83&amp;$B83,배당편집!$D$2:$N$2710,11,FALSE), 0)</f>
        <v>0.14499999999999999</v>
      </c>
      <c r="W83" s="3">
        <f>IFERROR(VLOOKUP(W$1&amp;$A83&amp;$B83,배당편집!$D$2:$N$2710,11,FALSE), 0)</f>
        <v>0.35</v>
      </c>
      <c r="X83" s="3">
        <f>IFERROR(VLOOKUP(X$1&amp;$A83&amp;$B83,배당편집!$D$2:$N$2710,11,FALSE), 0)</f>
        <v>0</v>
      </c>
      <c r="Y83" s="3">
        <f>IFERROR(VLOOKUP(Y$1&amp;$A83&amp;$B83,배당편집!$D$2:$N$2710,11,FALSE), 0)</f>
        <v>0</v>
      </c>
      <c r="Z83" s="3">
        <f>IFERROR(VLOOKUP(Z$1&amp;$A83&amp;$B83,배당편집!$D$2:$N$2710,11,FALSE), 0)</f>
        <v>0.16500000000000001</v>
      </c>
      <c r="AA83" s="3">
        <f>IFERROR(VLOOKUP(AA$1&amp;$A83&amp;$B83,배당편집!$D$2:$N$2710,11,FALSE), 0)</f>
        <v>0</v>
      </c>
      <c r="AB83" s="3">
        <f>IFERROR(VLOOKUP(AB$1&amp;$A83&amp;$B83,배당편집!$D$2:$N$2710,11,FALSE), 0)</f>
        <v>0.26</v>
      </c>
      <c r="AC83" s="3">
        <f>IFERROR(VLOOKUP(AC$1&amp;$A83&amp;$B83,배당편집!$D$2:$N$2710,11,FALSE), 0)</f>
        <v>0</v>
      </c>
      <c r="AD83" s="3">
        <f>IFERROR(VLOOKUP(AD$1&amp;$A83&amp;$B83,배당편집!$D$2:$N$2710,11,FALSE), 0)</f>
        <v>0</v>
      </c>
      <c r="AE83" s="3">
        <f>IFERROR(VLOOKUP(AE$1&amp;$A83&amp;$B83,배당편집!$D$2:$N$2710,11,FALSE), 0)</f>
        <v>0</v>
      </c>
      <c r="AF83" s="3">
        <f>IFERROR(VLOOKUP(AF$1&amp;$A83&amp;$B83,배당편집!$D$2:$N$2710,11,FALSE), 0)</f>
        <v>0</v>
      </c>
    </row>
    <row r="84" spans="1:32" ht="16.5" customHeight="1">
      <c r="A84" s="3">
        <v>2016</v>
      </c>
      <c r="B84" s="3">
        <v>11</v>
      </c>
      <c r="C84" s="3">
        <f>IFERROR(VLOOKUP(C$1&amp;$A84&amp;$B84,배당편집!$D$2:$N$2710,11,FALSE), 0)</f>
        <v>0.375</v>
      </c>
      <c r="D84" s="3">
        <f>IFERROR(VLOOKUP(D$1&amp;$A84&amp;$B84,배당편집!$D$2:$N$2710,11,FALSE), 0)</f>
        <v>0</v>
      </c>
      <c r="E84" s="3">
        <f>IFERROR(VLOOKUP(E$1&amp;$A84&amp;$B84,배당편집!$D$2:$N$2710,11,FALSE), 0)</f>
        <v>0</v>
      </c>
      <c r="F84" s="3">
        <f>IFERROR(VLOOKUP(F$1&amp;$A84&amp;$B84,배당편집!$D$2:$N$2710,11,FALSE), 0)</f>
        <v>0.57999999999999996</v>
      </c>
      <c r="G84" s="3">
        <f>IFERROR(VLOOKUP(G$1&amp;$A84&amp;$B84,배당편집!$D$2:$N$2710,11,FALSE), 0)</f>
        <v>0.75</v>
      </c>
      <c r="H84" s="3">
        <f>IFERROR(VLOOKUP(H$1&amp;$A84&amp;$B84,배당편집!$D$2:$N$2710,11,FALSE), 0)</f>
        <v>1.08</v>
      </c>
      <c r="I84" s="3">
        <f>IFERROR(VLOOKUP(I$1&amp;$A84&amp;$B84,배당편집!$D$2:$N$2710,11,FALSE), 0)</f>
        <v>0.42</v>
      </c>
      <c r="J84" s="3">
        <f>IFERROR(VLOOKUP(J$1&amp;$A84&amp;$B84,배당편집!$D$2:$N$2710,11,FALSE), 0)</f>
        <v>0</v>
      </c>
      <c r="K84" s="3">
        <f>IFERROR(VLOOKUP(K$1&amp;$A84&amp;$B84,배당편집!$D$2:$N$2710,11,FALSE), 0)</f>
        <v>0</v>
      </c>
      <c r="L84" s="3">
        <f>IFERROR(VLOOKUP(L$1&amp;$A84&amp;$B84,배당편집!$D$2:$N$2710,11,FALSE), 0)</f>
        <v>0.6</v>
      </c>
      <c r="M84" s="3">
        <f>IFERROR(VLOOKUP(M$1&amp;$A84&amp;$B84,배당편집!$D$2:$N$2710,11,FALSE), 0)</f>
        <v>0</v>
      </c>
      <c r="N84" s="3">
        <f>IFERROR(VLOOKUP(N$1&amp;$A84&amp;$B84,배당편집!$D$2:$N$2710,11,FALSE), 0)</f>
        <v>0.48</v>
      </c>
      <c r="O84" s="3">
        <f>IFERROR(VLOOKUP(O$1&amp;$A84&amp;$B84,배당편집!$D$2:$N$2710,11,FALSE), 0)</f>
        <v>0</v>
      </c>
      <c r="P84" s="3">
        <f>IFERROR(VLOOKUP(P$1&amp;$A84&amp;$B84,배당편집!$D$2:$N$2710,11,FALSE), 0)</f>
        <v>0</v>
      </c>
      <c r="Q84" s="3">
        <f>IFERROR(VLOOKUP(Q$1&amp;$A84&amp;$B84,배당편집!$D$2:$N$2710,11,FALSE), 0)</f>
        <v>0.8</v>
      </c>
      <c r="R84" s="3">
        <f>IFERROR(VLOOKUP(R$1&amp;$A84&amp;$B84,배당편집!$D$2:$N$2710,11,FALSE), 0)</f>
        <v>0.45</v>
      </c>
      <c r="S84" s="3">
        <f>IFERROR(VLOOKUP(S$1&amp;$A84&amp;$B84,배당편집!$D$2:$N$2710,11,FALSE), 0)</f>
        <v>0</v>
      </c>
      <c r="T84" s="3">
        <f>IFERROR(VLOOKUP(T$1&amp;$A84&amp;$B84,배당편집!$D$2:$N$2710,11,FALSE), 0)</f>
        <v>0</v>
      </c>
      <c r="U84" s="3">
        <f>IFERROR(VLOOKUP(U$1&amp;$A84&amp;$B84,배당편집!$D$2:$N$2710,11,FALSE), 0)</f>
        <v>0</v>
      </c>
      <c r="V84" s="3">
        <f>IFERROR(VLOOKUP(V$1&amp;$A84&amp;$B84,배당편집!$D$2:$N$2710,11,FALSE), 0)</f>
        <v>0</v>
      </c>
      <c r="W84" s="3">
        <f>IFERROR(VLOOKUP(W$1&amp;$A84&amp;$B84,배당편집!$D$2:$N$2710,11,FALSE), 0)</f>
        <v>0</v>
      </c>
      <c r="X84" s="3">
        <f>IFERROR(VLOOKUP(X$1&amp;$A84&amp;$B84,배당편집!$D$2:$N$2710,11,FALSE), 0)</f>
        <v>0.4</v>
      </c>
      <c r="Y84" s="3">
        <f>IFERROR(VLOOKUP(Y$1&amp;$A84&amp;$B84,배당편집!$D$2:$N$2710,11,FALSE), 0)</f>
        <v>0.63</v>
      </c>
      <c r="Z84" s="3">
        <f>IFERROR(VLOOKUP(Z$1&amp;$A84&amp;$B84,배당편집!$D$2:$N$2710,11,FALSE), 0)</f>
        <v>0</v>
      </c>
      <c r="AA84" s="3">
        <f>IFERROR(VLOOKUP(AA$1&amp;$A84&amp;$B84,배당편집!$D$2:$N$2710,11,FALSE), 0)</f>
        <v>0.3</v>
      </c>
      <c r="AB84" s="3">
        <f>IFERROR(VLOOKUP(AB$1&amp;$A84&amp;$B84,배당편집!$D$2:$N$2710,11,FALSE), 0)</f>
        <v>0</v>
      </c>
      <c r="AC84" s="3">
        <f>IFERROR(VLOOKUP(AC$1&amp;$A84&amp;$B84,배당편집!$D$2:$N$2710,11,FALSE), 0)</f>
        <v>0.17249999999999999</v>
      </c>
      <c r="AD84" s="3">
        <f>IFERROR(VLOOKUP(AD$1&amp;$A84&amp;$B84,배당편집!$D$2:$N$2710,11,FALSE), 0)</f>
        <v>0</v>
      </c>
      <c r="AE84" s="3">
        <f>IFERROR(VLOOKUP(AE$1&amp;$A84&amp;$B84,배당편집!$D$2:$N$2710,11,FALSE), 0)</f>
        <v>0.21</v>
      </c>
      <c r="AF84" s="3">
        <f>IFERROR(VLOOKUP(AF$1&amp;$A84&amp;$B84,배당편집!$D$2:$N$2710,11,FALSE), 0)</f>
        <v>0.44</v>
      </c>
    </row>
    <row r="85" spans="1:32" ht="16.5" customHeight="1">
      <c r="A85" s="3">
        <v>2016</v>
      </c>
      <c r="B85" s="3">
        <v>12</v>
      </c>
      <c r="C85" s="3">
        <f>IFERROR(VLOOKUP(C$1&amp;$A85&amp;$B85,배당편집!$D$2:$N$2710,11,FALSE), 0)</f>
        <v>0</v>
      </c>
      <c r="D85" s="3">
        <f>IFERROR(VLOOKUP(D$1&amp;$A85&amp;$B85,배당편집!$D$2:$N$2710,11,FALSE), 0)</f>
        <v>0.34</v>
      </c>
      <c r="E85" s="3">
        <f>IFERROR(VLOOKUP(E$1&amp;$A85&amp;$B85,배당편집!$D$2:$N$2710,11,FALSE), 0)</f>
        <v>0.2</v>
      </c>
      <c r="F85" s="3">
        <f>IFERROR(VLOOKUP(F$1&amp;$A85&amp;$B85,배당편집!$D$2:$N$2710,11,FALSE), 0)</f>
        <v>0</v>
      </c>
      <c r="G85" s="3">
        <f>IFERROR(VLOOKUP(G$1&amp;$A85&amp;$B85,배당편집!$D$2:$N$2710,11,FALSE), 0)</f>
        <v>0</v>
      </c>
      <c r="H85" s="3">
        <f>IFERROR(VLOOKUP(H$1&amp;$A85&amp;$B85,배당편집!$D$2:$N$2710,11,FALSE), 0)</f>
        <v>0</v>
      </c>
      <c r="I85" s="3">
        <f>IFERROR(VLOOKUP(I$1&amp;$A85&amp;$B85,배당편집!$D$2:$N$2710,11,FALSE), 0)</f>
        <v>0</v>
      </c>
      <c r="J85" s="3">
        <f>IFERROR(VLOOKUP(J$1&amp;$A85&amp;$B85,배당편집!$D$2:$N$2710,11,FALSE), 0)</f>
        <v>0.40500000000000003</v>
      </c>
      <c r="K85" s="3">
        <f>IFERROR(VLOOKUP(K$1&amp;$A85&amp;$B85,배당편집!$D$2:$N$2710,11,FALSE), 0)</f>
        <v>0</v>
      </c>
      <c r="L85" s="3">
        <f>IFERROR(VLOOKUP(L$1&amp;$A85&amp;$B85,배당편집!$D$2:$N$2710,11,FALSE), 0)</f>
        <v>0</v>
      </c>
      <c r="M85" s="3">
        <f>IFERROR(VLOOKUP(M$1&amp;$A85&amp;$B85,배당편집!$D$2:$N$2710,11,FALSE), 0)</f>
        <v>0.65</v>
      </c>
      <c r="N85" s="3">
        <f>IFERROR(VLOOKUP(N$1&amp;$A85&amp;$B85,배당편집!$D$2:$N$2710,11,FALSE), 0)</f>
        <v>0</v>
      </c>
      <c r="O85" s="3">
        <f>IFERROR(VLOOKUP(O$1&amp;$A85&amp;$B85,배당편집!$D$2:$N$2710,11,FALSE), 0)</f>
        <v>0.86</v>
      </c>
      <c r="P85" s="3">
        <f>IFERROR(VLOOKUP(P$1&amp;$A85&amp;$B85,배당편집!$D$2:$N$2710,11,FALSE), 0)</f>
        <v>0</v>
      </c>
      <c r="Q85" s="3">
        <f>IFERROR(VLOOKUP(Q$1&amp;$A85&amp;$B85,배당편집!$D$2:$N$2710,11,FALSE), 0)</f>
        <v>0</v>
      </c>
      <c r="R85" s="3">
        <f>IFERROR(VLOOKUP(R$1&amp;$A85&amp;$B85,배당편집!$D$2:$N$2710,11,FALSE), 0)</f>
        <v>0</v>
      </c>
      <c r="S85" s="3">
        <f>IFERROR(VLOOKUP(S$1&amp;$A85&amp;$B85,배당편집!$D$2:$N$2710,11,FALSE), 0)</f>
        <v>0.65749999999999997</v>
      </c>
      <c r="T85" s="3">
        <f>IFERROR(VLOOKUP(T$1&amp;$A85&amp;$B85,배당편집!$D$2:$N$2710,11,FALSE), 0)</f>
        <v>0</v>
      </c>
      <c r="U85" s="3">
        <f>IFERROR(VLOOKUP(U$1&amp;$A85&amp;$B85,배당편집!$D$2:$N$2710,11,FALSE), 0)</f>
        <v>0</v>
      </c>
      <c r="V85" s="3">
        <f>IFERROR(VLOOKUP(V$1&amp;$A85&amp;$B85,배당편집!$D$2:$N$2710,11,FALSE), 0)</f>
        <v>0</v>
      </c>
      <c r="W85" s="3">
        <f>IFERROR(VLOOKUP(W$1&amp;$A85&amp;$B85,배당편집!$D$2:$N$2710,11,FALSE), 0)</f>
        <v>0</v>
      </c>
      <c r="X85" s="3">
        <f>IFERROR(VLOOKUP(X$1&amp;$A85&amp;$B85,배당편집!$D$2:$N$2710,11,FALSE), 0)</f>
        <v>0</v>
      </c>
      <c r="Y85" s="3">
        <f>IFERROR(VLOOKUP(Y$1&amp;$A85&amp;$B85,배당편집!$D$2:$N$2710,11,FALSE), 0)</f>
        <v>0</v>
      </c>
      <c r="Z85" s="3">
        <f>IFERROR(VLOOKUP(Z$1&amp;$A85&amp;$B85,배당편집!$D$2:$N$2710,11,FALSE), 0)</f>
        <v>0</v>
      </c>
      <c r="AA85" s="3">
        <f>IFERROR(VLOOKUP(AA$1&amp;$A85&amp;$B85,배당편집!$D$2:$N$2710,11,FALSE), 0)</f>
        <v>0</v>
      </c>
      <c r="AB85" s="3">
        <f>IFERROR(VLOOKUP(AB$1&amp;$A85&amp;$B85,배당편집!$D$2:$N$2710,11,FALSE), 0)</f>
        <v>0</v>
      </c>
      <c r="AC85" s="3">
        <f>IFERROR(VLOOKUP(AC$1&amp;$A85&amp;$B85,배당편집!$D$2:$N$2710,11,FALSE), 0)</f>
        <v>0</v>
      </c>
      <c r="AD85" s="3">
        <f>IFERROR(VLOOKUP(AD$1&amp;$A85&amp;$B85,배당편집!$D$2:$N$2710,11,FALSE), 0)</f>
        <v>0.56999999999999995</v>
      </c>
      <c r="AE85" s="3">
        <f>IFERROR(VLOOKUP(AE$1&amp;$A85&amp;$B85,배당편집!$D$2:$N$2710,11,FALSE), 0)</f>
        <v>0</v>
      </c>
      <c r="AF85" s="3">
        <f>IFERROR(VLOOKUP(AF$1&amp;$A85&amp;$B85,배당편집!$D$2:$N$2710,11,FALSE), 0)</f>
        <v>0</v>
      </c>
    </row>
    <row r="86" spans="1:32" ht="16.5" customHeight="1">
      <c r="A86" s="3">
        <v>2015</v>
      </c>
      <c r="B86" s="3">
        <v>1</v>
      </c>
      <c r="C86" s="3">
        <f>IFERROR(VLOOKUP(C$1&amp;$A86&amp;$B86,배당편집!$D$2:$N$2710,11,FALSE), 0)</f>
        <v>0</v>
      </c>
      <c r="D86" s="3">
        <f>IFERROR(VLOOKUP(D$1&amp;$A86&amp;$B86,배당편집!$D$2:$N$2710,11,FALSE), 0)</f>
        <v>0</v>
      </c>
      <c r="E86" s="3">
        <f>IFERROR(VLOOKUP(E$1&amp;$A86&amp;$B86,배당편집!$D$2:$N$2710,11,FALSE), 0)</f>
        <v>0</v>
      </c>
      <c r="F86" s="3">
        <f>IFERROR(VLOOKUP(F$1&amp;$A86&amp;$B86,배당편집!$D$2:$N$2710,11,FALSE), 0)</f>
        <v>0</v>
      </c>
      <c r="G86" s="3">
        <f>IFERROR(VLOOKUP(G$1&amp;$A86&amp;$B86,배당편집!$D$2:$N$2710,11,FALSE), 0)</f>
        <v>0</v>
      </c>
      <c r="H86" s="3">
        <f>IFERROR(VLOOKUP(H$1&amp;$A86&amp;$B86,배당편집!$D$2:$N$2710,11,FALSE), 0)</f>
        <v>0</v>
      </c>
      <c r="I86" s="3">
        <f>IFERROR(VLOOKUP(I$1&amp;$A86&amp;$B86,배당편집!$D$2:$N$2710,11,FALSE), 0)</f>
        <v>0</v>
      </c>
      <c r="J86" s="3">
        <f>IFERROR(VLOOKUP(J$1&amp;$A86&amp;$B86,배당편집!$D$2:$N$2710,11,FALSE), 0)</f>
        <v>0</v>
      </c>
      <c r="K86" s="3">
        <f>IFERROR(VLOOKUP(K$1&amp;$A86&amp;$B86,배당편집!$D$2:$N$2710,11,FALSE), 0)</f>
        <v>0.7</v>
      </c>
      <c r="L86" s="3">
        <f>IFERROR(VLOOKUP(L$1&amp;$A86&amp;$B86,배당편집!$D$2:$N$2710,11,FALSE), 0)</f>
        <v>0</v>
      </c>
      <c r="M86" s="3">
        <f>IFERROR(VLOOKUP(M$1&amp;$A86&amp;$B86,배당편집!$D$2:$N$2710,11,FALSE), 0)</f>
        <v>0</v>
      </c>
      <c r="N86" s="3">
        <f>IFERROR(VLOOKUP(N$1&amp;$A86&amp;$B86,배당편집!$D$2:$N$2710,11,FALSE), 0)</f>
        <v>0</v>
      </c>
      <c r="O86" s="3">
        <f>IFERROR(VLOOKUP(O$1&amp;$A86&amp;$B86,배당편집!$D$2:$N$2710,11,FALSE), 0)</f>
        <v>0</v>
      </c>
      <c r="P86" s="3">
        <f>IFERROR(VLOOKUP(P$1&amp;$A86&amp;$B86,배당편집!$D$2:$N$2710,11,FALSE), 0)</f>
        <v>0.64359999999999995</v>
      </c>
      <c r="Q86" s="3">
        <f>IFERROR(VLOOKUP(Q$1&amp;$A86&amp;$B86,배당편집!$D$2:$N$2710,11,FALSE), 0)</f>
        <v>0</v>
      </c>
      <c r="R86" s="3">
        <f>IFERROR(VLOOKUP(R$1&amp;$A86&amp;$B86,배당편집!$D$2:$N$2710,11,FALSE), 0)</f>
        <v>0</v>
      </c>
      <c r="S86" s="3">
        <f>IFERROR(VLOOKUP(S$1&amp;$A86&amp;$B86,배당편집!$D$2:$N$2710,11,FALSE), 0)</f>
        <v>0</v>
      </c>
      <c r="T86" s="3">
        <f>IFERROR(VLOOKUP(T$1&amp;$A86&amp;$B86,배당편집!$D$2:$N$2710,11,FALSE), 0)</f>
        <v>0.62</v>
      </c>
      <c r="U86" s="3">
        <f>IFERROR(VLOOKUP(U$1&amp;$A86&amp;$B86,배당편집!$D$2:$N$2710,11,FALSE), 0)</f>
        <v>0</v>
      </c>
      <c r="V86" s="3">
        <f>IFERROR(VLOOKUP(V$1&amp;$A86&amp;$B86,배당편집!$D$2:$N$2710,11,FALSE), 0)</f>
        <v>0.125</v>
      </c>
      <c r="W86" s="3">
        <f>IFERROR(VLOOKUP(W$1&amp;$A86&amp;$B86,배당편집!$D$2:$N$2710,11,FALSE), 0)</f>
        <v>0.23</v>
      </c>
      <c r="X86" s="3">
        <f>IFERROR(VLOOKUP(X$1&amp;$A86&amp;$B86,배당편집!$D$2:$N$2710,11,FALSE), 0)</f>
        <v>0</v>
      </c>
      <c r="Y86" s="3">
        <f>IFERROR(VLOOKUP(Y$1&amp;$A86&amp;$B86,배당편집!$D$2:$N$2710,11,FALSE), 0)</f>
        <v>0</v>
      </c>
      <c r="Z86" s="3">
        <f>IFERROR(VLOOKUP(Z$1&amp;$A86&amp;$B86,배당편집!$D$2:$N$2710,11,FALSE), 0)</f>
        <v>0</v>
      </c>
      <c r="AA86" s="3">
        <f>IFERROR(VLOOKUP(AA$1&amp;$A86&amp;$B86,배당편집!$D$2:$N$2710,11,FALSE), 0)</f>
        <v>0</v>
      </c>
      <c r="AB86" s="3">
        <f>IFERROR(VLOOKUP(AB$1&amp;$A86&amp;$B86,배당편집!$D$2:$N$2710,11,FALSE), 0)</f>
        <v>0.24</v>
      </c>
      <c r="AC86" s="3">
        <f>IFERROR(VLOOKUP(AC$1&amp;$A86&amp;$B86,배당편집!$D$2:$N$2710,11,FALSE), 0)</f>
        <v>0</v>
      </c>
      <c r="AD86" s="3">
        <f>IFERROR(VLOOKUP(AD$1&amp;$A86&amp;$B86,배당편집!$D$2:$N$2710,11,FALSE), 0)</f>
        <v>0</v>
      </c>
      <c r="AE86" s="3">
        <f>IFERROR(VLOOKUP(AE$1&amp;$A86&amp;$B86,배당편집!$D$2:$N$2710,11,FALSE), 0)</f>
        <v>0</v>
      </c>
      <c r="AF86" s="3">
        <f>IFERROR(VLOOKUP(AF$1&amp;$A86&amp;$B86,배당편집!$D$2:$N$2710,11,FALSE), 0)</f>
        <v>0</v>
      </c>
    </row>
    <row r="87" spans="1:32" ht="16.5" customHeight="1">
      <c r="A87" s="3">
        <v>2015</v>
      </c>
      <c r="B87" s="3">
        <v>2</v>
      </c>
      <c r="C87" s="3">
        <f>IFERROR(VLOOKUP(C$1&amp;$A87&amp;$B87,배당편집!$D$2:$N$2710,11,FALSE), 0)</f>
        <v>0.33750000000000002</v>
      </c>
      <c r="D87" s="3">
        <f>IFERROR(VLOOKUP(D$1&amp;$A87&amp;$B87,배당편집!$D$2:$N$2710,11,FALSE), 0)</f>
        <v>0</v>
      </c>
      <c r="E87" s="3">
        <f>IFERROR(VLOOKUP(E$1&amp;$A87&amp;$B87,배당편집!$D$2:$N$2710,11,FALSE), 0)</f>
        <v>0</v>
      </c>
      <c r="F87" s="3">
        <f>IFERROR(VLOOKUP(F$1&amp;$A87&amp;$B87,배당편집!$D$2:$N$2710,11,FALSE), 0)</f>
        <v>0</v>
      </c>
      <c r="G87" s="3">
        <f>IFERROR(VLOOKUP(G$1&amp;$A87&amp;$B87,배당편집!$D$2:$N$2710,11,FALSE), 0)</f>
        <v>0.69</v>
      </c>
      <c r="H87" s="3">
        <f>IFERROR(VLOOKUP(H$1&amp;$A87&amp;$B87,배당편집!$D$2:$N$2710,11,FALSE), 0)</f>
        <v>1.07</v>
      </c>
      <c r="I87" s="3">
        <f>IFERROR(VLOOKUP(I$1&amp;$A87&amp;$B87,배당편집!$D$2:$N$2710,11,FALSE), 0)</f>
        <v>0.40500000000000003</v>
      </c>
      <c r="J87" s="3">
        <f>IFERROR(VLOOKUP(J$1&amp;$A87&amp;$B87,배당편집!$D$2:$N$2710,11,FALSE), 0)</f>
        <v>0</v>
      </c>
      <c r="K87" s="3">
        <f>IFERROR(VLOOKUP(K$1&amp;$A87&amp;$B87,배당편집!$D$2:$N$2710,11,FALSE), 0)</f>
        <v>0</v>
      </c>
      <c r="L87" s="3">
        <f>IFERROR(VLOOKUP(L$1&amp;$A87&amp;$B87,배당편집!$D$2:$N$2710,11,FALSE), 0)</f>
        <v>0.52</v>
      </c>
      <c r="M87" s="3">
        <f>IFERROR(VLOOKUP(M$1&amp;$A87&amp;$B87,배당편집!$D$2:$N$2710,11,FALSE), 0)</f>
        <v>0</v>
      </c>
      <c r="N87" s="3">
        <f>IFERROR(VLOOKUP(N$1&amp;$A87&amp;$B87,배당편집!$D$2:$N$2710,11,FALSE), 0)</f>
        <v>0.47</v>
      </c>
      <c r="O87" s="3">
        <f>IFERROR(VLOOKUP(O$1&amp;$A87&amp;$B87,배당편집!$D$2:$N$2710,11,FALSE), 0)</f>
        <v>0</v>
      </c>
      <c r="P87" s="3">
        <f>IFERROR(VLOOKUP(P$1&amp;$A87&amp;$B87,배당편집!$D$2:$N$2710,11,FALSE), 0)</f>
        <v>0</v>
      </c>
      <c r="Q87" s="3">
        <f>IFERROR(VLOOKUP(Q$1&amp;$A87&amp;$B87,배당편집!$D$2:$N$2710,11,FALSE), 0)</f>
        <v>0.7</v>
      </c>
      <c r="R87" s="3">
        <f>IFERROR(VLOOKUP(R$1&amp;$A87&amp;$B87,배당편집!$D$2:$N$2710,11,FALSE), 0)</f>
        <v>0.39</v>
      </c>
      <c r="S87" s="3">
        <f>IFERROR(VLOOKUP(S$1&amp;$A87&amp;$B87,배당편집!$D$2:$N$2710,11,FALSE), 0)</f>
        <v>0</v>
      </c>
      <c r="T87" s="3">
        <f>IFERROR(VLOOKUP(T$1&amp;$A87&amp;$B87,배당편집!$D$2:$N$2710,11,FALSE), 0)</f>
        <v>0</v>
      </c>
      <c r="U87" s="3">
        <f>IFERROR(VLOOKUP(U$1&amp;$A87&amp;$B87,배당편집!$D$2:$N$2710,11,FALSE), 0)</f>
        <v>9.5000000000000001E-2</v>
      </c>
      <c r="V87" s="3">
        <f>IFERROR(VLOOKUP(V$1&amp;$A87&amp;$B87,배당편집!$D$2:$N$2710,11,FALSE), 0)</f>
        <v>0</v>
      </c>
      <c r="W87" s="3">
        <f>IFERROR(VLOOKUP(W$1&amp;$A87&amp;$B87,배당편집!$D$2:$N$2710,11,FALSE), 0)</f>
        <v>0</v>
      </c>
      <c r="X87" s="3">
        <f>IFERROR(VLOOKUP(X$1&amp;$A87&amp;$B87,배당편집!$D$2:$N$2710,11,FALSE), 0)</f>
        <v>0.33500000000000002</v>
      </c>
      <c r="Y87" s="3">
        <f>IFERROR(VLOOKUP(Y$1&amp;$A87&amp;$B87,배당편집!$D$2:$N$2710,11,FALSE), 0)</f>
        <v>0.63</v>
      </c>
      <c r="Z87" s="3">
        <f>IFERROR(VLOOKUP(Z$1&amp;$A87&amp;$B87,배당편집!$D$2:$N$2710,11,FALSE), 0)</f>
        <v>0</v>
      </c>
      <c r="AA87" s="3">
        <f>IFERROR(VLOOKUP(AA$1&amp;$A87&amp;$B87,배당편집!$D$2:$N$2710,11,FALSE), 0)</f>
        <v>0.28000000000000003</v>
      </c>
      <c r="AB87" s="3">
        <f>IFERROR(VLOOKUP(AB$1&amp;$A87&amp;$B87,배당편집!$D$2:$N$2710,11,FALSE), 0)</f>
        <v>0</v>
      </c>
      <c r="AC87" s="3">
        <f>IFERROR(VLOOKUP(AC$1&amp;$A87&amp;$B87,배당편집!$D$2:$N$2710,11,FALSE), 0)</f>
        <v>0.16750000000000001</v>
      </c>
      <c r="AD87" s="3">
        <f>IFERROR(VLOOKUP(AD$1&amp;$A87&amp;$B87,배당편집!$D$2:$N$2710,11,FALSE), 0)</f>
        <v>0</v>
      </c>
      <c r="AE87" s="3">
        <f>IFERROR(VLOOKUP(AE$1&amp;$A87&amp;$B87,배당편집!$D$2:$N$2710,11,FALSE), 0)</f>
        <v>0.2</v>
      </c>
      <c r="AF87" s="3">
        <f>IFERROR(VLOOKUP(AF$1&amp;$A87&amp;$B87,배당편집!$D$2:$N$2710,11,FALSE), 0)</f>
        <v>0.4</v>
      </c>
    </row>
    <row r="88" spans="1:32" ht="16.5" customHeight="1">
      <c r="A88" s="3">
        <v>2015</v>
      </c>
      <c r="B88" s="3">
        <v>3</v>
      </c>
      <c r="C88" s="3">
        <f>IFERROR(VLOOKUP(C$1&amp;$A88&amp;$B88,배당편집!$D$2:$N$2710,11,FALSE), 0)</f>
        <v>0</v>
      </c>
      <c r="D88" s="3">
        <f>IFERROR(VLOOKUP(D$1&amp;$A88&amp;$B88,배당편집!$D$2:$N$2710,11,FALSE), 0)</f>
        <v>0.31</v>
      </c>
      <c r="E88" s="3">
        <f>IFERROR(VLOOKUP(E$1&amp;$A88&amp;$B88,배당편집!$D$2:$N$2710,11,FALSE), 0)</f>
        <v>0.15</v>
      </c>
      <c r="F88" s="3">
        <f>IFERROR(VLOOKUP(F$1&amp;$A88&amp;$B88,배당편집!$D$2:$N$2710,11,FALSE), 0)</f>
        <v>0.52</v>
      </c>
      <c r="G88" s="3">
        <f>IFERROR(VLOOKUP(G$1&amp;$A88&amp;$B88,배당편집!$D$2:$N$2710,11,FALSE), 0)</f>
        <v>0</v>
      </c>
      <c r="H88" s="3">
        <f>IFERROR(VLOOKUP(H$1&amp;$A88&amp;$B88,배당편집!$D$2:$N$2710,11,FALSE), 0)</f>
        <v>0</v>
      </c>
      <c r="I88" s="3">
        <f>IFERROR(VLOOKUP(I$1&amp;$A88&amp;$B88,배당편집!$D$2:$N$2710,11,FALSE), 0)</f>
        <v>0</v>
      </c>
      <c r="J88" s="3">
        <f>IFERROR(VLOOKUP(J$1&amp;$A88&amp;$B88,배당편집!$D$2:$N$2710,11,FALSE), 0)</f>
        <v>0.38500000000000001</v>
      </c>
      <c r="K88" s="3">
        <f>IFERROR(VLOOKUP(K$1&amp;$A88&amp;$B88,배당편집!$D$2:$N$2710,11,FALSE), 0)</f>
        <v>0</v>
      </c>
      <c r="L88" s="3">
        <f>IFERROR(VLOOKUP(L$1&amp;$A88&amp;$B88,배당편집!$D$2:$N$2710,11,FALSE), 0)</f>
        <v>0</v>
      </c>
      <c r="M88" s="3">
        <f>IFERROR(VLOOKUP(M$1&amp;$A88&amp;$B88,배당편집!$D$2:$N$2710,11,FALSE), 0)</f>
        <v>0.48499999999999999</v>
      </c>
      <c r="N88" s="3">
        <f>IFERROR(VLOOKUP(N$1&amp;$A88&amp;$B88,배당편집!$D$2:$N$2710,11,FALSE), 0)</f>
        <v>0</v>
      </c>
      <c r="O88" s="3">
        <f>IFERROR(VLOOKUP(O$1&amp;$A88&amp;$B88,배당편집!$D$2:$N$2710,11,FALSE), 0)</f>
        <v>0.81</v>
      </c>
      <c r="P88" s="3">
        <f>IFERROR(VLOOKUP(P$1&amp;$A88&amp;$B88,배당편집!$D$2:$N$2710,11,FALSE), 0)</f>
        <v>0</v>
      </c>
      <c r="Q88" s="3">
        <f>IFERROR(VLOOKUP(Q$1&amp;$A88&amp;$B88,배당편집!$D$2:$N$2710,11,FALSE), 0)</f>
        <v>0</v>
      </c>
      <c r="R88" s="3">
        <f>IFERROR(VLOOKUP(R$1&amp;$A88&amp;$B88,배당편집!$D$2:$N$2710,11,FALSE), 0)</f>
        <v>0</v>
      </c>
      <c r="S88" s="3">
        <f>IFERROR(VLOOKUP(S$1&amp;$A88&amp;$B88,배당편집!$D$2:$N$2710,11,FALSE), 0)</f>
        <v>0.61499999999999999</v>
      </c>
      <c r="T88" s="3">
        <f>IFERROR(VLOOKUP(T$1&amp;$A88&amp;$B88,배당편집!$D$2:$N$2710,11,FALSE), 0)</f>
        <v>0</v>
      </c>
      <c r="U88" s="3">
        <f>IFERROR(VLOOKUP(U$1&amp;$A88&amp;$B88,배당편집!$D$2:$N$2710,11,FALSE), 0)</f>
        <v>0</v>
      </c>
      <c r="V88" s="3">
        <f>IFERROR(VLOOKUP(V$1&amp;$A88&amp;$B88,배당편집!$D$2:$N$2710,11,FALSE), 0)</f>
        <v>0</v>
      </c>
      <c r="W88" s="3">
        <f>IFERROR(VLOOKUP(W$1&amp;$A88&amp;$B88,배당편집!$D$2:$N$2710,11,FALSE), 0)</f>
        <v>0</v>
      </c>
      <c r="X88" s="3">
        <f>IFERROR(VLOOKUP(X$1&amp;$A88&amp;$B88,배당편집!$D$2:$N$2710,11,FALSE), 0)</f>
        <v>0</v>
      </c>
      <c r="Y88" s="3">
        <f>IFERROR(VLOOKUP(Y$1&amp;$A88&amp;$B88,배당편집!$D$2:$N$2710,11,FALSE), 0)</f>
        <v>0</v>
      </c>
      <c r="Z88" s="3">
        <f>IFERROR(VLOOKUP(Z$1&amp;$A88&amp;$B88,배당편집!$D$2:$N$2710,11,FALSE), 0)</f>
        <v>0.16</v>
      </c>
      <c r="AA88" s="3">
        <f>IFERROR(VLOOKUP(AA$1&amp;$A88&amp;$B88,배당편집!$D$2:$N$2710,11,FALSE), 0)</f>
        <v>0</v>
      </c>
      <c r="AB88" s="3">
        <f>IFERROR(VLOOKUP(AB$1&amp;$A88&amp;$B88,배당편집!$D$2:$N$2710,11,FALSE), 0)</f>
        <v>0</v>
      </c>
      <c r="AC88" s="3">
        <f>IFERROR(VLOOKUP(AC$1&amp;$A88&amp;$B88,배당편집!$D$2:$N$2710,11,FALSE), 0)</f>
        <v>0</v>
      </c>
      <c r="AD88" s="3">
        <f>IFERROR(VLOOKUP(AD$1&amp;$A88&amp;$B88,배당편집!$D$2:$N$2710,11,FALSE), 0)</f>
        <v>0.49</v>
      </c>
      <c r="AE88" s="3">
        <f>IFERROR(VLOOKUP(AE$1&amp;$A88&amp;$B88,배당편집!$D$2:$N$2710,11,FALSE), 0)</f>
        <v>0</v>
      </c>
      <c r="AF88" s="3">
        <f>IFERROR(VLOOKUP(AF$1&amp;$A88&amp;$B88,배당편집!$D$2:$N$2710,11,FALSE), 0)</f>
        <v>0</v>
      </c>
    </row>
    <row r="89" spans="1:32" ht="16.5" customHeight="1">
      <c r="A89" s="3">
        <v>2015</v>
      </c>
      <c r="B89" s="3">
        <v>4</v>
      </c>
      <c r="C89" s="3">
        <f>IFERROR(VLOOKUP(C$1&amp;$A89&amp;$B89,배당편집!$D$2:$N$2710,11,FALSE), 0)</f>
        <v>0</v>
      </c>
      <c r="D89" s="3">
        <f>IFERROR(VLOOKUP(D$1&amp;$A89&amp;$B89,배당편집!$D$2:$N$2710,11,FALSE), 0)</f>
        <v>0</v>
      </c>
      <c r="E89" s="3">
        <f>IFERROR(VLOOKUP(E$1&amp;$A89&amp;$B89,배당편집!$D$2:$N$2710,11,FALSE), 0)</f>
        <v>0</v>
      </c>
      <c r="F89" s="3">
        <f>IFERROR(VLOOKUP(F$1&amp;$A89&amp;$B89,배당편집!$D$2:$N$2710,11,FALSE), 0)</f>
        <v>0</v>
      </c>
      <c r="G89" s="3">
        <f>IFERROR(VLOOKUP(G$1&amp;$A89&amp;$B89,배당편집!$D$2:$N$2710,11,FALSE), 0)</f>
        <v>0</v>
      </c>
      <c r="H89" s="3">
        <f>IFERROR(VLOOKUP(H$1&amp;$A89&amp;$B89,배당편집!$D$2:$N$2710,11,FALSE), 0)</f>
        <v>0</v>
      </c>
      <c r="I89" s="3">
        <f>IFERROR(VLOOKUP(I$1&amp;$A89&amp;$B89,배당편집!$D$2:$N$2710,11,FALSE), 0)</f>
        <v>0</v>
      </c>
      <c r="J89" s="3">
        <f>IFERROR(VLOOKUP(J$1&amp;$A89&amp;$B89,배당편집!$D$2:$N$2710,11,FALSE), 0)</f>
        <v>0</v>
      </c>
      <c r="K89" s="3">
        <f>IFERROR(VLOOKUP(K$1&amp;$A89&amp;$B89,배당편집!$D$2:$N$2710,11,FALSE), 0)</f>
        <v>0.7</v>
      </c>
      <c r="L89" s="3">
        <f>IFERROR(VLOOKUP(L$1&amp;$A89&amp;$B89,배당편집!$D$2:$N$2710,11,FALSE), 0)</f>
        <v>0</v>
      </c>
      <c r="M89" s="3">
        <f>IFERROR(VLOOKUP(M$1&amp;$A89&amp;$B89,배당편집!$D$2:$N$2710,11,FALSE), 0)</f>
        <v>0</v>
      </c>
      <c r="N89" s="3">
        <f>IFERROR(VLOOKUP(N$1&amp;$A89&amp;$B89,배당편집!$D$2:$N$2710,11,FALSE), 0)</f>
        <v>0</v>
      </c>
      <c r="O89" s="3">
        <f>IFERROR(VLOOKUP(O$1&amp;$A89&amp;$B89,배당편집!$D$2:$N$2710,11,FALSE), 0)</f>
        <v>0</v>
      </c>
      <c r="P89" s="3">
        <f>IFERROR(VLOOKUP(P$1&amp;$A89&amp;$B89,배당편집!$D$2:$N$2710,11,FALSE), 0)</f>
        <v>0.66290000000000004</v>
      </c>
      <c r="Q89" s="3">
        <f>IFERROR(VLOOKUP(Q$1&amp;$A89&amp;$B89,배당편집!$D$2:$N$2710,11,FALSE), 0)</f>
        <v>0</v>
      </c>
      <c r="R89" s="3">
        <f>IFERROR(VLOOKUP(R$1&amp;$A89&amp;$B89,배당편집!$D$2:$N$2710,11,FALSE), 0)</f>
        <v>0</v>
      </c>
      <c r="S89" s="3">
        <f>IFERROR(VLOOKUP(S$1&amp;$A89&amp;$B89,배당편집!$D$2:$N$2710,11,FALSE), 0)</f>
        <v>0</v>
      </c>
      <c r="T89" s="3">
        <f>IFERROR(VLOOKUP(T$1&amp;$A89&amp;$B89,배당편집!$D$2:$N$2710,11,FALSE), 0)</f>
        <v>0.69</v>
      </c>
      <c r="U89" s="3">
        <f>IFERROR(VLOOKUP(U$1&amp;$A89&amp;$B89,배당편집!$D$2:$N$2710,11,FALSE), 0)</f>
        <v>9.5000000000000001E-2</v>
      </c>
      <c r="V89" s="3">
        <f>IFERROR(VLOOKUP(V$1&amp;$A89&amp;$B89,배당편집!$D$2:$N$2710,11,FALSE), 0)</f>
        <v>0.125</v>
      </c>
      <c r="W89" s="3">
        <f>IFERROR(VLOOKUP(W$1&amp;$A89&amp;$B89,배당편집!$D$2:$N$2710,11,FALSE), 0)</f>
        <v>0.23</v>
      </c>
      <c r="X89" s="3">
        <f>IFERROR(VLOOKUP(X$1&amp;$A89&amp;$B89,배당편집!$D$2:$N$2710,11,FALSE), 0)</f>
        <v>0</v>
      </c>
      <c r="Y89" s="3">
        <f>IFERROR(VLOOKUP(Y$1&amp;$A89&amp;$B89,배당편집!$D$2:$N$2710,11,FALSE), 0)</f>
        <v>0</v>
      </c>
      <c r="Z89" s="3">
        <f>IFERROR(VLOOKUP(Z$1&amp;$A89&amp;$B89,배당편집!$D$2:$N$2710,11,FALSE), 0)</f>
        <v>0</v>
      </c>
      <c r="AA89" s="3">
        <f>IFERROR(VLOOKUP(AA$1&amp;$A89&amp;$B89,배당편집!$D$2:$N$2710,11,FALSE), 0)</f>
        <v>0</v>
      </c>
      <c r="AB89" s="3">
        <f>IFERROR(VLOOKUP(AB$1&amp;$A89&amp;$B89,배당편집!$D$2:$N$2710,11,FALSE), 0)</f>
        <v>0.24</v>
      </c>
      <c r="AC89" s="3">
        <f>IFERROR(VLOOKUP(AC$1&amp;$A89&amp;$B89,배당편집!$D$2:$N$2710,11,FALSE), 0)</f>
        <v>0</v>
      </c>
      <c r="AD89" s="3">
        <f>IFERROR(VLOOKUP(AD$1&amp;$A89&amp;$B89,배당편집!$D$2:$N$2710,11,FALSE), 0)</f>
        <v>0</v>
      </c>
      <c r="AE89" s="3">
        <f>IFERROR(VLOOKUP(AE$1&amp;$A89&amp;$B89,배당편집!$D$2:$N$2710,11,FALSE), 0)</f>
        <v>0</v>
      </c>
      <c r="AF89" s="3">
        <f>IFERROR(VLOOKUP(AF$1&amp;$A89&amp;$B89,배당편집!$D$2:$N$2710,11,FALSE), 0)</f>
        <v>0</v>
      </c>
    </row>
    <row r="90" spans="1:32" ht="16.5" customHeight="1">
      <c r="A90" s="3">
        <v>2015</v>
      </c>
      <c r="B90" s="3">
        <v>5</v>
      </c>
      <c r="C90" s="3">
        <f>IFERROR(VLOOKUP(C$1&amp;$A90&amp;$B90,배당편집!$D$2:$N$2710,11,FALSE), 0)</f>
        <v>0.33750000000000002</v>
      </c>
      <c r="D90" s="3">
        <f>IFERROR(VLOOKUP(D$1&amp;$A90&amp;$B90,배당편집!$D$2:$N$2710,11,FALSE), 0)</f>
        <v>0</v>
      </c>
      <c r="E90" s="3">
        <f>IFERROR(VLOOKUP(E$1&amp;$A90&amp;$B90,배당편집!$D$2:$N$2710,11,FALSE), 0)</f>
        <v>0</v>
      </c>
      <c r="F90" s="3">
        <f>IFERROR(VLOOKUP(F$1&amp;$A90&amp;$B90,배당편집!$D$2:$N$2710,11,FALSE), 0)</f>
        <v>0</v>
      </c>
      <c r="G90" s="3">
        <f>IFERROR(VLOOKUP(G$1&amp;$A90&amp;$B90,배당편집!$D$2:$N$2710,11,FALSE), 0)</f>
        <v>0.73</v>
      </c>
      <c r="H90" s="3">
        <f>IFERROR(VLOOKUP(H$1&amp;$A90&amp;$B90,배당편집!$D$2:$N$2710,11,FALSE), 0)</f>
        <v>1.07</v>
      </c>
      <c r="I90" s="3">
        <f>IFERROR(VLOOKUP(I$1&amp;$A90&amp;$B90,배당편집!$D$2:$N$2710,11,FALSE), 0)</f>
        <v>0.40500000000000003</v>
      </c>
      <c r="J90" s="3">
        <f>IFERROR(VLOOKUP(J$1&amp;$A90&amp;$B90,배당편집!$D$2:$N$2710,11,FALSE), 0)</f>
        <v>0</v>
      </c>
      <c r="K90" s="3">
        <f>IFERROR(VLOOKUP(K$1&amp;$A90&amp;$B90,배당편집!$D$2:$N$2710,11,FALSE), 0)</f>
        <v>0</v>
      </c>
      <c r="L90" s="3">
        <f>IFERROR(VLOOKUP(L$1&amp;$A90&amp;$B90,배당편집!$D$2:$N$2710,11,FALSE), 0)</f>
        <v>0.52</v>
      </c>
      <c r="M90" s="3">
        <f>IFERROR(VLOOKUP(M$1&amp;$A90&amp;$B90,배당편집!$D$2:$N$2710,11,FALSE), 0)</f>
        <v>0</v>
      </c>
      <c r="N90" s="3">
        <f>IFERROR(VLOOKUP(N$1&amp;$A90&amp;$B90,배당편집!$D$2:$N$2710,11,FALSE), 0)</f>
        <v>0.47</v>
      </c>
      <c r="O90" s="3">
        <f>IFERROR(VLOOKUP(O$1&amp;$A90&amp;$B90,배당편집!$D$2:$N$2710,11,FALSE), 0)</f>
        <v>0</v>
      </c>
      <c r="P90" s="3">
        <f>IFERROR(VLOOKUP(P$1&amp;$A90&amp;$B90,배당편집!$D$2:$N$2710,11,FALSE), 0)</f>
        <v>0</v>
      </c>
      <c r="Q90" s="3">
        <f>IFERROR(VLOOKUP(Q$1&amp;$A90&amp;$B90,배당편집!$D$2:$N$2710,11,FALSE), 0)</f>
        <v>0.75</v>
      </c>
      <c r="R90" s="3">
        <f>IFERROR(VLOOKUP(R$1&amp;$A90&amp;$B90,배당편집!$D$2:$N$2710,11,FALSE), 0)</f>
        <v>0.39</v>
      </c>
      <c r="S90" s="3">
        <f>IFERROR(VLOOKUP(S$1&amp;$A90&amp;$B90,배당편집!$D$2:$N$2710,11,FALSE), 0)</f>
        <v>0</v>
      </c>
      <c r="T90" s="3">
        <f>IFERROR(VLOOKUP(T$1&amp;$A90&amp;$B90,배당편집!$D$2:$N$2710,11,FALSE), 0)</f>
        <v>0</v>
      </c>
      <c r="U90" s="3">
        <f>IFERROR(VLOOKUP(U$1&amp;$A90&amp;$B90,배당편집!$D$2:$N$2710,11,FALSE), 0)</f>
        <v>0</v>
      </c>
      <c r="V90" s="3">
        <f>IFERROR(VLOOKUP(V$1&amp;$A90&amp;$B90,배당편집!$D$2:$N$2710,11,FALSE), 0)</f>
        <v>0</v>
      </c>
      <c r="W90" s="3">
        <f>IFERROR(VLOOKUP(W$1&amp;$A90&amp;$B90,배당편집!$D$2:$N$2710,11,FALSE), 0)</f>
        <v>0</v>
      </c>
      <c r="X90" s="3">
        <f>IFERROR(VLOOKUP(X$1&amp;$A90&amp;$B90,배당편집!$D$2:$N$2710,11,FALSE), 0)</f>
        <v>0.36</v>
      </c>
      <c r="Y90" s="3">
        <f>IFERROR(VLOOKUP(Y$1&amp;$A90&amp;$B90,배당편집!$D$2:$N$2710,11,FALSE), 0)</f>
        <v>0.63</v>
      </c>
      <c r="Z90" s="3">
        <f>IFERROR(VLOOKUP(Z$1&amp;$A90&amp;$B90,배당편집!$D$2:$N$2710,11,FALSE), 0)</f>
        <v>0</v>
      </c>
      <c r="AA90" s="3">
        <f>IFERROR(VLOOKUP(AA$1&amp;$A90&amp;$B90,배당편집!$D$2:$N$2710,11,FALSE), 0)</f>
        <v>0.28000000000000003</v>
      </c>
      <c r="AB90" s="3">
        <f>IFERROR(VLOOKUP(AB$1&amp;$A90&amp;$B90,배당편집!$D$2:$N$2710,11,FALSE), 0)</f>
        <v>0</v>
      </c>
      <c r="AC90" s="3">
        <f>IFERROR(VLOOKUP(AC$1&amp;$A90&amp;$B90,배당편집!$D$2:$N$2710,11,FALSE), 0)</f>
        <v>0.16750000000000001</v>
      </c>
      <c r="AD90" s="3">
        <f>IFERROR(VLOOKUP(AD$1&amp;$A90&amp;$B90,배당편집!$D$2:$N$2710,11,FALSE), 0)</f>
        <v>0</v>
      </c>
      <c r="AE90" s="3">
        <f>IFERROR(VLOOKUP(AE$1&amp;$A90&amp;$B90,배당편집!$D$2:$N$2710,11,FALSE), 0)</f>
        <v>0.2</v>
      </c>
      <c r="AF90" s="3">
        <f>IFERROR(VLOOKUP(AF$1&amp;$A90&amp;$B90,배당편집!$D$2:$N$2710,11,FALSE), 0)</f>
        <v>0.4</v>
      </c>
    </row>
    <row r="91" spans="1:32" ht="16.5" customHeight="1">
      <c r="A91" s="3">
        <v>2015</v>
      </c>
      <c r="B91" s="3">
        <v>6</v>
      </c>
      <c r="C91" s="3">
        <f>IFERROR(VLOOKUP(C$1&amp;$A91&amp;$B91,배당편집!$D$2:$N$2710,11,FALSE), 0)</f>
        <v>0</v>
      </c>
      <c r="D91" s="3">
        <f>IFERROR(VLOOKUP(D$1&amp;$A91&amp;$B91,배당편집!$D$2:$N$2710,11,FALSE), 0)</f>
        <v>0.31</v>
      </c>
      <c r="E91" s="3">
        <f>IFERROR(VLOOKUP(E$1&amp;$A91&amp;$B91,배당편집!$D$2:$N$2710,11,FALSE), 0)</f>
        <v>0.15</v>
      </c>
      <c r="F91" s="3">
        <f>IFERROR(VLOOKUP(F$1&amp;$A91&amp;$B91,배당편집!$D$2:$N$2710,11,FALSE), 0)</f>
        <v>0.52</v>
      </c>
      <c r="G91" s="3">
        <f>IFERROR(VLOOKUP(G$1&amp;$A91&amp;$B91,배당편집!$D$2:$N$2710,11,FALSE), 0)</f>
        <v>0</v>
      </c>
      <c r="H91" s="3">
        <f>IFERROR(VLOOKUP(H$1&amp;$A91&amp;$B91,배당편집!$D$2:$N$2710,11,FALSE), 0)</f>
        <v>0</v>
      </c>
      <c r="I91" s="3">
        <f>IFERROR(VLOOKUP(I$1&amp;$A91&amp;$B91,배당편집!$D$2:$N$2710,11,FALSE), 0)</f>
        <v>0</v>
      </c>
      <c r="J91" s="3">
        <f>IFERROR(VLOOKUP(J$1&amp;$A91&amp;$B91,배당편집!$D$2:$N$2710,11,FALSE), 0)</f>
        <v>0.39500000000000002</v>
      </c>
      <c r="K91" s="3">
        <f>IFERROR(VLOOKUP(K$1&amp;$A91&amp;$B91,배당편집!$D$2:$N$2710,11,FALSE), 0)</f>
        <v>0</v>
      </c>
      <c r="L91" s="3">
        <f>IFERROR(VLOOKUP(L$1&amp;$A91&amp;$B91,배당편집!$D$2:$N$2710,11,FALSE), 0)</f>
        <v>0</v>
      </c>
      <c r="M91" s="3">
        <f>IFERROR(VLOOKUP(M$1&amp;$A91&amp;$B91,배당편집!$D$2:$N$2710,11,FALSE), 0)</f>
        <v>0.48499999999999999</v>
      </c>
      <c r="N91" s="3">
        <f>IFERROR(VLOOKUP(N$1&amp;$A91&amp;$B91,배당편집!$D$2:$N$2710,11,FALSE), 0)</f>
        <v>0</v>
      </c>
      <c r="O91" s="3">
        <f>IFERROR(VLOOKUP(O$1&amp;$A91&amp;$B91,배당편집!$D$2:$N$2710,11,FALSE), 0)</f>
        <v>0.81</v>
      </c>
      <c r="P91" s="3">
        <f>IFERROR(VLOOKUP(P$1&amp;$A91&amp;$B91,배당편집!$D$2:$N$2710,11,FALSE), 0)</f>
        <v>0</v>
      </c>
      <c r="Q91" s="3">
        <f>IFERROR(VLOOKUP(Q$1&amp;$A91&amp;$B91,배당편집!$D$2:$N$2710,11,FALSE), 0)</f>
        <v>0</v>
      </c>
      <c r="R91" s="3">
        <f>IFERROR(VLOOKUP(R$1&amp;$A91&amp;$B91,배당편집!$D$2:$N$2710,11,FALSE), 0)</f>
        <v>0</v>
      </c>
      <c r="S91" s="3">
        <f>IFERROR(VLOOKUP(S$1&amp;$A91&amp;$B91,배당편집!$D$2:$N$2710,11,FALSE), 0)</f>
        <v>0.61499999999999999</v>
      </c>
      <c r="T91" s="3">
        <f>IFERROR(VLOOKUP(T$1&amp;$A91&amp;$B91,배당편집!$D$2:$N$2710,11,FALSE), 0)</f>
        <v>0.69</v>
      </c>
      <c r="U91" s="3">
        <f>IFERROR(VLOOKUP(U$1&amp;$A91&amp;$B91,배당편집!$D$2:$N$2710,11,FALSE), 0)</f>
        <v>0</v>
      </c>
      <c r="V91" s="3">
        <f>IFERROR(VLOOKUP(V$1&amp;$A91&amp;$B91,배당편집!$D$2:$N$2710,11,FALSE), 0)</f>
        <v>0</v>
      </c>
      <c r="W91" s="3">
        <f>IFERROR(VLOOKUP(W$1&amp;$A91&amp;$B91,배당편집!$D$2:$N$2710,11,FALSE), 0)</f>
        <v>0</v>
      </c>
      <c r="X91" s="3">
        <f>IFERROR(VLOOKUP(X$1&amp;$A91&amp;$B91,배당편집!$D$2:$N$2710,11,FALSE), 0)</f>
        <v>0</v>
      </c>
      <c r="Y91" s="3">
        <f>IFERROR(VLOOKUP(Y$1&amp;$A91&amp;$B91,배당편집!$D$2:$N$2710,11,FALSE), 0)</f>
        <v>0</v>
      </c>
      <c r="Z91" s="3">
        <f>IFERROR(VLOOKUP(Z$1&amp;$A91&amp;$B91,배당편집!$D$2:$N$2710,11,FALSE), 0)</f>
        <v>0.16</v>
      </c>
      <c r="AA91" s="3">
        <f>IFERROR(VLOOKUP(AA$1&amp;$A91&amp;$B91,배당편집!$D$2:$N$2710,11,FALSE), 0)</f>
        <v>0</v>
      </c>
      <c r="AB91" s="3">
        <f>IFERROR(VLOOKUP(AB$1&amp;$A91&amp;$B91,배당편집!$D$2:$N$2710,11,FALSE), 0)</f>
        <v>0</v>
      </c>
      <c r="AC91" s="3">
        <f>IFERROR(VLOOKUP(AC$1&amp;$A91&amp;$B91,배당편집!$D$2:$N$2710,11,FALSE), 0)</f>
        <v>0</v>
      </c>
      <c r="AD91" s="3">
        <f>IFERROR(VLOOKUP(AD$1&amp;$A91&amp;$B91,배당편집!$D$2:$N$2710,11,FALSE), 0)</f>
        <v>0.49</v>
      </c>
      <c r="AE91" s="3">
        <f>IFERROR(VLOOKUP(AE$1&amp;$A91&amp;$B91,배당편집!$D$2:$N$2710,11,FALSE), 0)</f>
        <v>0</v>
      </c>
      <c r="AF91" s="3">
        <f>IFERROR(VLOOKUP(AF$1&amp;$A91&amp;$B91,배당편집!$D$2:$N$2710,11,FALSE), 0)</f>
        <v>0</v>
      </c>
    </row>
    <row r="92" spans="1:32" ht="16.5" customHeight="1">
      <c r="A92" s="3">
        <v>2015</v>
      </c>
      <c r="B92" s="3">
        <v>7</v>
      </c>
      <c r="C92" s="3">
        <f>IFERROR(VLOOKUP(C$1&amp;$A92&amp;$B92,배당편집!$D$2:$N$2710,11,FALSE), 0)</f>
        <v>0</v>
      </c>
      <c r="D92" s="3">
        <f>IFERROR(VLOOKUP(D$1&amp;$A92&amp;$B92,배당편집!$D$2:$N$2710,11,FALSE), 0)</f>
        <v>0</v>
      </c>
      <c r="E92" s="3">
        <f>IFERROR(VLOOKUP(E$1&amp;$A92&amp;$B92,배당편집!$D$2:$N$2710,11,FALSE), 0)</f>
        <v>0</v>
      </c>
      <c r="F92" s="3">
        <f>IFERROR(VLOOKUP(F$1&amp;$A92&amp;$B92,배당편집!$D$2:$N$2710,11,FALSE), 0)</f>
        <v>0</v>
      </c>
      <c r="G92" s="3">
        <f>IFERROR(VLOOKUP(G$1&amp;$A92&amp;$B92,배당편집!$D$2:$N$2710,11,FALSE), 0)</f>
        <v>0</v>
      </c>
      <c r="H92" s="3">
        <f>IFERROR(VLOOKUP(H$1&amp;$A92&amp;$B92,배당편집!$D$2:$N$2710,11,FALSE), 0)</f>
        <v>0</v>
      </c>
      <c r="I92" s="3">
        <f>IFERROR(VLOOKUP(I$1&amp;$A92&amp;$B92,배당편집!$D$2:$N$2710,11,FALSE), 0)</f>
        <v>0</v>
      </c>
      <c r="J92" s="3">
        <f>IFERROR(VLOOKUP(J$1&amp;$A92&amp;$B92,배당편집!$D$2:$N$2710,11,FALSE), 0)</f>
        <v>0</v>
      </c>
      <c r="K92" s="3">
        <f>IFERROR(VLOOKUP(K$1&amp;$A92&amp;$B92,배당편집!$D$2:$N$2710,11,FALSE), 0)</f>
        <v>0.77</v>
      </c>
      <c r="L92" s="3">
        <f>IFERROR(VLOOKUP(L$1&amp;$A92&amp;$B92,배당편집!$D$2:$N$2710,11,FALSE), 0)</f>
        <v>0</v>
      </c>
      <c r="M92" s="3">
        <f>IFERROR(VLOOKUP(M$1&amp;$A92&amp;$B92,배당편집!$D$2:$N$2710,11,FALSE), 0)</f>
        <v>0</v>
      </c>
      <c r="N92" s="3">
        <f>IFERROR(VLOOKUP(N$1&amp;$A92&amp;$B92,배당편집!$D$2:$N$2710,11,FALSE), 0)</f>
        <v>0</v>
      </c>
      <c r="O92" s="3">
        <f>IFERROR(VLOOKUP(O$1&amp;$A92&amp;$B92,배당편집!$D$2:$N$2710,11,FALSE), 0)</f>
        <v>0</v>
      </c>
      <c r="P92" s="3">
        <f>IFERROR(VLOOKUP(P$1&amp;$A92&amp;$B92,배당편집!$D$2:$N$2710,11,FALSE), 0)</f>
        <v>0.66290000000000004</v>
      </c>
      <c r="Q92" s="3">
        <f>IFERROR(VLOOKUP(Q$1&amp;$A92&amp;$B92,배당편집!$D$2:$N$2710,11,FALSE), 0)</f>
        <v>0</v>
      </c>
      <c r="R92" s="3">
        <f>IFERROR(VLOOKUP(R$1&amp;$A92&amp;$B92,배당편집!$D$2:$N$2710,11,FALSE), 0)</f>
        <v>0</v>
      </c>
      <c r="S92" s="3">
        <f>IFERROR(VLOOKUP(S$1&amp;$A92&amp;$B92,배당편집!$D$2:$N$2710,11,FALSE), 0)</f>
        <v>0</v>
      </c>
      <c r="T92" s="3">
        <f>IFERROR(VLOOKUP(T$1&amp;$A92&amp;$B92,배당편집!$D$2:$N$2710,11,FALSE), 0)</f>
        <v>0</v>
      </c>
      <c r="U92" s="3">
        <f>IFERROR(VLOOKUP(U$1&amp;$A92&amp;$B92,배당편집!$D$2:$N$2710,11,FALSE), 0)</f>
        <v>9.5000000000000001E-2</v>
      </c>
      <c r="V92" s="3">
        <f>IFERROR(VLOOKUP(V$1&amp;$A92&amp;$B92,배당편집!$D$2:$N$2710,11,FALSE), 0)</f>
        <v>0.125</v>
      </c>
      <c r="W92" s="3">
        <f>IFERROR(VLOOKUP(W$1&amp;$A92&amp;$B92,배당편집!$D$2:$N$2710,11,FALSE), 0)</f>
        <v>0.28000000000000003</v>
      </c>
      <c r="X92" s="3">
        <f>IFERROR(VLOOKUP(X$1&amp;$A92&amp;$B92,배당편집!$D$2:$N$2710,11,FALSE), 0)</f>
        <v>0</v>
      </c>
      <c r="Y92" s="3">
        <f>IFERROR(VLOOKUP(Y$1&amp;$A92&amp;$B92,배당편집!$D$2:$N$2710,11,FALSE), 0)</f>
        <v>0</v>
      </c>
      <c r="Z92" s="3">
        <f>IFERROR(VLOOKUP(Z$1&amp;$A92&amp;$B92,배당편집!$D$2:$N$2710,11,FALSE), 0)</f>
        <v>0</v>
      </c>
      <c r="AA92" s="3">
        <f>IFERROR(VLOOKUP(AA$1&amp;$A92&amp;$B92,배당편집!$D$2:$N$2710,11,FALSE), 0)</f>
        <v>0</v>
      </c>
      <c r="AB92" s="3">
        <f>IFERROR(VLOOKUP(AB$1&amp;$A92&amp;$B92,배당편집!$D$2:$N$2710,11,FALSE), 0)</f>
        <v>0.24</v>
      </c>
      <c r="AC92" s="3">
        <f>IFERROR(VLOOKUP(AC$1&amp;$A92&amp;$B92,배당편집!$D$2:$N$2710,11,FALSE), 0)</f>
        <v>0</v>
      </c>
      <c r="AD92" s="3">
        <f>IFERROR(VLOOKUP(AD$1&amp;$A92&amp;$B92,배당편집!$D$2:$N$2710,11,FALSE), 0)</f>
        <v>0</v>
      </c>
      <c r="AE92" s="3">
        <f>IFERROR(VLOOKUP(AE$1&amp;$A92&amp;$B92,배당편집!$D$2:$N$2710,11,FALSE), 0)</f>
        <v>0</v>
      </c>
      <c r="AF92" s="3">
        <f>IFERROR(VLOOKUP(AF$1&amp;$A92&amp;$B92,배당편집!$D$2:$N$2710,11,FALSE), 0)</f>
        <v>0</v>
      </c>
    </row>
    <row r="93" spans="1:32" ht="16.5" customHeight="1">
      <c r="A93" s="3">
        <v>2015</v>
      </c>
      <c r="B93" s="3">
        <v>8</v>
      </c>
      <c r="C93" s="3">
        <f>IFERROR(VLOOKUP(C$1&amp;$A93&amp;$B93,배당편집!$D$2:$N$2710,11,FALSE), 0)</f>
        <v>0.36</v>
      </c>
      <c r="D93" s="3">
        <f>IFERROR(VLOOKUP(D$1&amp;$A93&amp;$B93,배당편집!$D$2:$N$2710,11,FALSE), 0)</f>
        <v>0</v>
      </c>
      <c r="E93" s="3">
        <f>IFERROR(VLOOKUP(E$1&amp;$A93&amp;$B93,배당편집!$D$2:$N$2710,11,FALSE), 0)</f>
        <v>0</v>
      </c>
      <c r="F93" s="3">
        <f>IFERROR(VLOOKUP(F$1&amp;$A93&amp;$B93,배당편집!$D$2:$N$2710,11,FALSE), 0)</f>
        <v>0</v>
      </c>
      <c r="G93" s="3">
        <f>IFERROR(VLOOKUP(G$1&amp;$A93&amp;$B93,배당편집!$D$2:$N$2710,11,FALSE), 0)</f>
        <v>0.73</v>
      </c>
      <c r="H93" s="3">
        <f>IFERROR(VLOOKUP(H$1&amp;$A93&amp;$B93,배당편집!$D$2:$N$2710,11,FALSE), 0)</f>
        <v>1.07</v>
      </c>
      <c r="I93" s="3">
        <f>IFERROR(VLOOKUP(I$1&amp;$A93&amp;$B93,배당편집!$D$2:$N$2710,11,FALSE), 0)</f>
        <v>0.40500000000000003</v>
      </c>
      <c r="J93" s="3">
        <f>IFERROR(VLOOKUP(J$1&amp;$A93&amp;$B93,배당편집!$D$2:$N$2710,11,FALSE), 0)</f>
        <v>0</v>
      </c>
      <c r="K93" s="3">
        <f>IFERROR(VLOOKUP(K$1&amp;$A93&amp;$B93,배당편집!$D$2:$N$2710,11,FALSE), 0)</f>
        <v>0</v>
      </c>
      <c r="L93" s="3">
        <f>IFERROR(VLOOKUP(L$1&amp;$A93&amp;$B93,배당편집!$D$2:$N$2710,11,FALSE), 0)</f>
        <v>0.56000000000000005</v>
      </c>
      <c r="M93" s="3">
        <f>IFERROR(VLOOKUP(M$1&amp;$A93&amp;$B93,배당편집!$D$2:$N$2710,11,FALSE), 0)</f>
        <v>0</v>
      </c>
      <c r="N93" s="3">
        <f>IFERROR(VLOOKUP(N$1&amp;$A93&amp;$B93,배당편집!$D$2:$N$2710,11,FALSE), 0)</f>
        <v>0.47</v>
      </c>
      <c r="O93" s="3">
        <f>IFERROR(VLOOKUP(O$1&amp;$A93&amp;$B93,배당편집!$D$2:$N$2710,11,FALSE), 0)</f>
        <v>0</v>
      </c>
      <c r="P93" s="3">
        <f>IFERROR(VLOOKUP(P$1&amp;$A93&amp;$B93,배당편집!$D$2:$N$2710,11,FALSE), 0)</f>
        <v>0</v>
      </c>
      <c r="Q93" s="3">
        <f>IFERROR(VLOOKUP(Q$1&amp;$A93&amp;$B93,배당편집!$D$2:$N$2710,11,FALSE), 0)</f>
        <v>0.75</v>
      </c>
      <c r="R93" s="3">
        <f>IFERROR(VLOOKUP(R$1&amp;$A93&amp;$B93,배당편집!$D$2:$N$2710,11,FALSE), 0)</f>
        <v>0.39</v>
      </c>
      <c r="S93" s="3">
        <f>IFERROR(VLOOKUP(S$1&amp;$A93&amp;$B93,배당편집!$D$2:$N$2710,11,FALSE), 0)</f>
        <v>0</v>
      </c>
      <c r="T93" s="3">
        <f>IFERROR(VLOOKUP(T$1&amp;$A93&amp;$B93,배당편집!$D$2:$N$2710,11,FALSE), 0)</f>
        <v>0</v>
      </c>
      <c r="U93" s="3">
        <f>IFERROR(VLOOKUP(U$1&amp;$A93&amp;$B93,배당편집!$D$2:$N$2710,11,FALSE), 0)</f>
        <v>0</v>
      </c>
      <c r="V93" s="3">
        <f>IFERROR(VLOOKUP(V$1&amp;$A93&amp;$B93,배당편집!$D$2:$N$2710,11,FALSE), 0)</f>
        <v>0</v>
      </c>
      <c r="W93" s="3">
        <f>IFERROR(VLOOKUP(W$1&amp;$A93&amp;$B93,배당편집!$D$2:$N$2710,11,FALSE), 0)</f>
        <v>0</v>
      </c>
      <c r="X93" s="3">
        <f>IFERROR(VLOOKUP(X$1&amp;$A93&amp;$B93,배당편집!$D$2:$N$2710,11,FALSE), 0)</f>
        <v>0.36</v>
      </c>
      <c r="Y93" s="3">
        <f>IFERROR(VLOOKUP(Y$1&amp;$A93&amp;$B93,배당편집!$D$2:$N$2710,11,FALSE), 0)</f>
        <v>0.63</v>
      </c>
      <c r="Z93" s="3">
        <f>IFERROR(VLOOKUP(Z$1&amp;$A93&amp;$B93,배당편집!$D$2:$N$2710,11,FALSE), 0)</f>
        <v>0</v>
      </c>
      <c r="AA93" s="3">
        <f>IFERROR(VLOOKUP(AA$1&amp;$A93&amp;$B93,배당편집!$D$2:$N$2710,11,FALSE), 0)</f>
        <v>0.28000000000000003</v>
      </c>
      <c r="AB93" s="3">
        <f>IFERROR(VLOOKUP(AB$1&amp;$A93&amp;$B93,배당편집!$D$2:$N$2710,11,FALSE), 0)</f>
        <v>0</v>
      </c>
      <c r="AC93" s="3">
        <f>IFERROR(VLOOKUP(AC$1&amp;$A93&amp;$B93,배당편집!$D$2:$N$2710,11,FALSE), 0)</f>
        <v>0.16750000000000001</v>
      </c>
      <c r="AD93" s="3">
        <f>IFERROR(VLOOKUP(AD$1&amp;$A93&amp;$B93,배당편집!$D$2:$N$2710,11,FALSE), 0)</f>
        <v>0</v>
      </c>
      <c r="AE93" s="3">
        <f>IFERROR(VLOOKUP(AE$1&amp;$A93&amp;$B93,배당편집!$D$2:$N$2710,11,FALSE), 0)</f>
        <v>0.2</v>
      </c>
      <c r="AF93" s="3">
        <f>IFERROR(VLOOKUP(AF$1&amp;$A93&amp;$B93,배당편집!$D$2:$N$2710,11,FALSE), 0)</f>
        <v>0.42</v>
      </c>
    </row>
    <row r="94" spans="1:32" ht="16.5" customHeight="1">
      <c r="A94" s="3">
        <v>2015</v>
      </c>
      <c r="B94" s="3">
        <v>9</v>
      </c>
      <c r="C94" s="3">
        <f>IFERROR(VLOOKUP(C$1&amp;$A94&amp;$B94,배당편집!$D$2:$N$2710,11,FALSE), 0)</f>
        <v>0</v>
      </c>
      <c r="D94" s="3">
        <f>IFERROR(VLOOKUP(D$1&amp;$A94&amp;$B94,배당편집!$D$2:$N$2710,11,FALSE), 0)</f>
        <v>0.32</v>
      </c>
      <c r="E94" s="3">
        <f>IFERROR(VLOOKUP(E$1&amp;$A94&amp;$B94,배당편집!$D$2:$N$2710,11,FALSE), 0)</f>
        <v>0.15</v>
      </c>
      <c r="F94" s="3">
        <f>IFERROR(VLOOKUP(F$1&amp;$A94&amp;$B94,배당편집!$D$2:$N$2710,11,FALSE), 0)</f>
        <v>0.55000000000000004</v>
      </c>
      <c r="G94" s="3">
        <f>IFERROR(VLOOKUP(G$1&amp;$A94&amp;$B94,배당편집!$D$2:$N$2710,11,FALSE), 0)</f>
        <v>0</v>
      </c>
      <c r="H94" s="3">
        <f>IFERROR(VLOOKUP(H$1&amp;$A94&amp;$B94,배당편집!$D$2:$N$2710,11,FALSE), 0)</f>
        <v>0</v>
      </c>
      <c r="I94" s="3">
        <f>IFERROR(VLOOKUP(I$1&amp;$A94&amp;$B94,배당편집!$D$2:$N$2710,11,FALSE), 0)</f>
        <v>0</v>
      </c>
      <c r="J94" s="3">
        <f>IFERROR(VLOOKUP(J$1&amp;$A94&amp;$B94,배당편집!$D$2:$N$2710,11,FALSE), 0)</f>
        <v>0.39500000000000002</v>
      </c>
      <c r="K94" s="3">
        <f>IFERROR(VLOOKUP(K$1&amp;$A94&amp;$B94,배당편집!$D$2:$N$2710,11,FALSE), 0)</f>
        <v>0</v>
      </c>
      <c r="L94" s="3">
        <f>IFERROR(VLOOKUP(L$1&amp;$A94&amp;$B94,배당편집!$D$2:$N$2710,11,FALSE), 0)</f>
        <v>0</v>
      </c>
      <c r="M94" s="3">
        <f>IFERROR(VLOOKUP(M$1&amp;$A94&amp;$B94,배당편집!$D$2:$N$2710,11,FALSE), 0)</f>
        <v>0.55000000000000004</v>
      </c>
      <c r="N94" s="3">
        <f>IFERROR(VLOOKUP(N$1&amp;$A94&amp;$B94,배당편집!$D$2:$N$2710,11,FALSE), 0)</f>
        <v>0</v>
      </c>
      <c r="O94" s="3">
        <f>IFERROR(VLOOKUP(O$1&amp;$A94&amp;$B94,배당편집!$D$2:$N$2710,11,FALSE), 0)</f>
        <v>0.81</v>
      </c>
      <c r="P94" s="3">
        <f>IFERROR(VLOOKUP(P$1&amp;$A94&amp;$B94,배당편집!$D$2:$N$2710,11,FALSE), 0)</f>
        <v>0</v>
      </c>
      <c r="Q94" s="3">
        <f>IFERROR(VLOOKUP(Q$1&amp;$A94&amp;$B94,배당편집!$D$2:$N$2710,11,FALSE), 0)</f>
        <v>0</v>
      </c>
      <c r="R94" s="3">
        <f>IFERROR(VLOOKUP(R$1&amp;$A94&amp;$B94,배당편집!$D$2:$N$2710,11,FALSE), 0)</f>
        <v>0</v>
      </c>
      <c r="S94" s="3">
        <f>IFERROR(VLOOKUP(S$1&amp;$A94&amp;$B94,배당편집!$D$2:$N$2710,11,FALSE), 0)</f>
        <v>0.61499999999999999</v>
      </c>
      <c r="T94" s="3">
        <f>IFERROR(VLOOKUP(T$1&amp;$A94&amp;$B94,배당편집!$D$2:$N$2710,11,FALSE), 0)</f>
        <v>0</v>
      </c>
      <c r="U94" s="3">
        <f>IFERROR(VLOOKUP(U$1&amp;$A94&amp;$B94,배당편집!$D$2:$N$2710,11,FALSE), 0)</f>
        <v>0</v>
      </c>
      <c r="V94" s="3">
        <f>IFERROR(VLOOKUP(V$1&amp;$A94&amp;$B94,배당편집!$D$2:$N$2710,11,FALSE), 0)</f>
        <v>0</v>
      </c>
      <c r="W94" s="3">
        <f>IFERROR(VLOOKUP(W$1&amp;$A94&amp;$B94,배당편집!$D$2:$N$2710,11,FALSE), 0)</f>
        <v>0</v>
      </c>
      <c r="X94" s="3">
        <f>IFERROR(VLOOKUP(X$1&amp;$A94&amp;$B94,배당편집!$D$2:$N$2710,11,FALSE), 0)</f>
        <v>0</v>
      </c>
      <c r="Y94" s="3">
        <f>IFERROR(VLOOKUP(Y$1&amp;$A94&amp;$B94,배당편집!$D$2:$N$2710,11,FALSE), 0)</f>
        <v>0</v>
      </c>
      <c r="Z94" s="3">
        <f>IFERROR(VLOOKUP(Z$1&amp;$A94&amp;$B94,배당편집!$D$2:$N$2710,11,FALSE), 0)</f>
        <v>0.16</v>
      </c>
      <c r="AA94" s="3">
        <f>IFERROR(VLOOKUP(AA$1&amp;$A94&amp;$B94,배당편집!$D$2:$N$2710,11,FALSE), 0)</f>
        <v>0</v>
      </c>
      <c r="AB94" s="3">
        <f>IFERROR(VLOOKUP(AB$1&amp;$A94&amp;$B94,배당편집!$D$2:$N$2710,11,FALSE), 0)</f>
        <v>0</v>
      </c>
      <c r="AC94" s="3">
        <f>IFERROR(VLOOKUP(AC$1&amp;$A94&amp;$B94,배당편집!$D$2:$N$2710,11,FALSE), 0)</f>
        <v>0</v>
      </c>
      <c r="AD94" s="3">
        <f>IFERROR(VLOOKUP(AD$1&amp;$A94&amp;$B94,배당편집!$D$2:$N$2710,11,FALSE), 0)</f>
        <v>0.49</v>
      </c>
      <c r="AE94" s="3">
        <f>IFERROR(VLOOKUP(AE$1&amp;$A94&amp;$B94,배당편집!$D$2:$N$2710,11,FALSE), 0)</f>
        <v>0</v>
      </c>
      <c r="AF94" s="3">
        <f>IFERROR(VLOOKUP(AF$1&amp;$A94&amp;$B94,배당편집!$D$2:$N$2710,11,FALSE), 0)</f>
        <v>0</v>
      </c>
    </row>
    <row r="95" spans="1:32" ht="16.5" customHeight="1">
      <c r="A95" s="3">
        <v>2015</v>
      </c>
      <c r="B95" s="3">
        <v>10</v>
      </c>
      <c r="C95" s="3">
        <f>IFERROR(VLOOKUP(C$1&amp;$A95&amp;$B95,배당편집!$D$2:$N$2710,11,FALSE), 0)</f>
        <v>0</v>
      </c>
      <c r="D95" s="3">
        <f>IFERROR(VLOOKUP(D$1&amp;$A95&amp;$B95,배당편집!$D$2:$N$2710,11,FALSE), 0)</f>
        <v>0</v>
      </c>
      <c r="E95" s="3">
        <f>IFERROR(VLOOKUP(E$1&amp;$A95&amp;$B95,배당편집!$D$2:$N$2710,11,FALSE), 0)</f>
        <v>0</v>
      </c>
      <c r="F95" s="3">
        <f>IFERROR(VLOOKUP(F$1&amp;$A95&amp;$B95,배당편집!$D$2:$N$2710,11,FALSE), 0)</f>
        <v>0</v>
      </c>
      <c r="G95" s="3">
        <f>IFERROR(VLOOKUP(G$1&amp;$A95&amp;$B95,배당편집!$D$2:$N$2710,11,FALSE), 0)</f>
        <v>0</v>
      </c>
      <c r="H95" s="3">
        <f>IFERROR(VLOOKUP(H$1&amp;$A95&amp;$B95,배당편집!$D$2:$N$2710,11,FALSE), 0)</f>
        <v>0</v>
      </c>
      <c r="I95" s="3">
        <f>IFERROR(VLOOKUP(I$1&amp;$A95&amp;$B95,배당편집!$D$2:$N$2710,11,FALSE), 0)</f>
        <v>0</v>
      </c>
      <c r="J95" s="3">
        <f>IFERROR(VLOOKUP(J$1&amp;$A95&amp;$B95,배당편집!$D$2:$N$2710,11,FALSE), 0)</f>
        <v>0</v>
      </c>
      <c r="K95" s="3">
        <f>IFERROR(VLOOKUP(K$1&amp;$A95&amp;$B95,배당편집!$D$2:$N$2710,11,FALSE), 0)</f>
        <v>0.77</v>
      </c>
      <c r="L95" s="3">
        <f>IFERROR(VLOOKUP(L$1&amp;$A95&amp;$B95,배당편집!$D$2:$N$2710,11,FALSE), 0)</f>
        <v>0</v>
      </c>
      <c r="M95" s="3">
        <f>IFERROR(VLOOKUP(M$1&amp;$A95&amp;$B95,배당편집!$D$2:$N$2710,11,FALSE), 0)</f>
        <v>0</v>
      </c>
      <c r="N95" s="3">
        <f>IFERROR(VLOOKUP(N$1&amp;$A95&amp;$B95,배당편집!$D$2:$N$2710,11,FALSE), 0)</f>
        <v>0</v>
      </c>
      <c r="O95" s="3">
        <f>IFERROR(VLOOKUP(O$1&amp;$A95&amp;$B95,배당편집!$D$2:$N$2710,11,FALSE), 0)</f>
        <v>0</v>
      </c>
      <c r="P95" s="3">
        <f>IFERROR(VLOOKUP(P$1&amp;$A95&amp;$B95,배당편집!$D$2:$N$2710,11,FALSE), 0)</f>
        <v>0.66290000000000004</v>
      </c>
      <c r="Q95" s="3">
        <f>IFERROR(VLOOKUP(Q$1&amp;$A95&amp;$B95,배당편집!$D$2:$N$2710,11,FALSE), 0)</f>
        <v>0</v>
      </c>
      <c r="R95" s="3">
        <f>IFERROR(VLOOKUP(R$1&amp;$A95&amp;$B95,배당편집!$D$2:$N$2710,11,FALSE), 0)</f>
        <v>0</v>
      </c>
      <c r="S95" s="3">
        <f>IFERROR(VLOOKUP(S$1&amp;$A95&amp;$B95,배당편집!$D$2:$N$2710,11,FALSE), 0)</f>
        <v>0</v>
      </c>
      <c r="T95" s="3">
        <f>IFERROR(VLOOKUP(T$1&amp;$A95&amp;$B95,배당편집!$D$2:$N$2710,11,FALSE), 0)</f>
        <v>0.69</v>
      </c>
      <c r="U95" s="3">
        <f>IFERROR(VLOOKUP(U$1&amp;$A95&amp;$B95,배당편집!$D$2:$N$2710,11,FALSE), 0)</f>
        <v>9.5000000000000001E-2</v>
      </c>
      <c r="V95" s="3">
        <f>IFERROR(VLOOKUP(V$1&amp;$A95&amp;$B95,배당편집!$D$2:$N$2710,11,FALSE), 0)</f>
        <v>0.125</v>
      </c>
      <c r="W95" s="3">
        <f>IFERROR(VLOOKUP(W$1&amp;$A95&amp;$B95,배당편집!$D$2:$N$2710,11,FALSE), 0)</f>
        <v>0.28000000000000003</v>
      </c>
      <c r="X95" s="3">
        <f>IFERROR(VLOOKUP(X$1&amp;$A95&amp;$B95,배당편집!$D$2:$N$2710,11,FALSE), 0)</f>
        <v>0</v>
      </c>
      <c r="Y95" s="3">
        <f>IFERROR(VLOOKUP(Y$1&amp;$A95&amp;$B95,배당편집!$D$2:$N$2710,11,FALSE), 0)</f>
        <v>0</v>
      </c>
      <c r="Z95" s="3">
        <f>IFERROR(VLOOKUP(Z$1&amp;$A95&amp;$B95,배당편집!$D$2:$N$2710,11,FALSE), 0)</f>
        <v>0</v>
      </c>
      <c r="AA95" s="3">
        <f>IFERROR(VLOOKUP(AA$1&amp;$A95&amp;$B95,배당편집!$D$2:$N$2710,11,FALSE), 0)</f>
        <v>0</v>
      </c>
      <c r="AB95" s="3">
        <f>IFERROR(VLOOKUP(AB$1&amp;$A95&amp;$B95,배당편집!$D$2:$N$2710,11,FALSE), 0)</f>
        <v>0.24</v>
      </c>
      <c r="AC95" s="3">
        <f>IFERROR(VLOOKUP(AC$1&amp;$A95&amp;$B95,배당편집!$D$2:$N$2710,11,FALSE), 0)</f>
        <v>0</v>
      </c>
      <c r="AD95" s="3">
        <f>IFERROR(VLOOKUP(AD$1&amp;$A95&amp;$B95,배당편집!$D$2:$N$2710,11,FALSE), 0)</f>
        <v>0</v>
      </c>
      <c r="AE95" s="3">
        <f>IFERROR(VLOOKUP(AE$1&amp;$A95&amp;$B95,배당편집!$D$2:$N$2710,11,FALSE), 0)</f>
        <v>0</v>
      </c>
      <c r="AF95" s="3">
        <f>IFERROR(VLOOKUP(AF$1&amp;$A95&amp;$B95,배당편집!$D$2:$N$2710,11,FALSE), 0)</f>
        <v>0</v>
      </c>
    </row>
    <row r="96" spans="1:32" ht="16.5" customHeight="1">
      <c r="A96" s="3">
        <v>2015</v>
      </c>
      <c r="B96" s="3">
        <v>11</v>
      </c>
      <c r="C96" s="3">
        <f>IFERROR(VLOOKUP(C$1&amp;$A96&amp;$B96,배당편집!$D$2:$N$2710,11,FALSE), 0)</f>
        <v>0.36</v>
      </c>
      <c r="D96" s="3">
        <f>IFERROR(VLOOKUP(D$1&amp;$A96&amp;$B96,배당편집!$D$2:$N$2710,11,FALSE), 0)</f>
        <v>0</v>
      </c>
      <c r="E96" s="3">
        <f>IFERROR(VLOOKUP(E$1&amp;$A96&amp;$B96,배당편집!$D$2:$N$2710,11,FALSE), 0)</f>
        <v>0</v>
      </c>
      <c r="F96" s="3">
        <f>IFERROR(VLOOKUP(F$1&amp;$A96&amp;$B96,배당편집!$D$2:$N$2710,11,FALSE), 0)</f>
        <v>0</v>
      </c>
      <c r="G96" s="3">
        <f>IFERROR(VLOOKUP(G$1&amp;$A96&amp;$B96,배당편집!$D$2:$N$2710,11,FALSE), 0)</f>
        <v>0.73</v>
      </c>
      <c r="H96" s="3">
        <f>IFERROR(VLOOKUP(H$1&amp;$A96&amp;$B96,배당편집!$D$2:$N$2710,11,FALSE), 0)</f>
        <v>1.07</v>
      </c>
      <c r="I96" s="3">
        <f>IFERROR(VLOOKUP(I$1&amp;$A96&amp;$B96,배당편집!$D$2:$N$2710,11,FALSE), 0)</f>
        <v>0.40500000000000003</v>
      </c>
      <c r="J96" s="3">
        <f>IFERROR(VLOOKUP(J$1&amp;$A96&amp;$B96,배당편집!$D$2:$N$2710,11,FALSE), 0)</f>
        <v>0</v>
      </c>
      <c r="K96" s="3">
        <f>IFERROR(VLOOKUP(K$1&amp;$A96&amp;$B96,배당편집!$D$2:$N$2710,11,FALSE), 0)</f>
        <v>0</v>
      </c>
      <c r="L96" s="3">
        <f>IFERROR(VLOOKUP(L$1&amp;$A96&amp;$B96,배당편집!$D$2:$N$2710,11,FALSE), 0)</f>
        <v>0.56000000000000005</v>
      </c>
      <c r="M96" s="3">
        <f>IFERROR(VLOOKUP(M$1&amp;$A96&amp;$B96,배당편집!$D$2:$N$2710,11,FALSE), 0)</f>
        <v>0</v>
      </c>
      <c r="N96" s="3">
        <f>IFERROR(VLOOKUP(N$1&amp;$A96&amp;$B96,배당편집!$D$2:$N$2710,11,FALSE), 0)</f>
        <v>0.47499999999999998</v>
      </c>
      <c r="O96" s="3">
        <f>IFERROR(VLOOKUP(O$1&amp;$A96&amp;$B96,배당편집!$D$2:$N$2710,11,FALSE), 0)</f>
        <v>0</v>
      </c>
      <c r="P96" s="3">
        <f>IFERROR(VLOOKUP(P$1&amp;$A96&amp;$B96,배당편집!$D$2:$N$2710,11,FALSE), 0)</f>
        <v>0</v>
      </c>
      <c r="Q96" s="3">
        <f>IFERROR(VLOOKUP(Q$1&amp;$A96&amp;$B96,배당편집!$D$2:$N$2710,11,FALSE), 0)</f>
        <v>0.75</v>
      </c>
      <c r="R96" s="3">
        <f>IFERROR(VLOOKUP(R$1&amp;$A96&amp;$B96,배당편집!$D$2:$N$2710,11,FALSE), 0)</f>
        <v>0.42</v>
      </c>
      <c r="S96" s="3">
        <f>IFERROR(VLOOKUP(S$1&amp;$A96&amp;$B96,배당편집!$D$2:$N$2710,11,FALSE), 0)</f>
        <v>0</v>
      </c>
      <c r="T96" s="3">
        <f>IFERROR(VLOOKUP(T$1&amp;$A96&amp;$B96,배당편집!$D$2:$N$2710,11,FALSE), 0)</f>
        <v>0</v>
      </c>
      <c r="U96" s="3">
        <f>IFERROR(VLOOKUP(U$1&amp;$A96&amp;$B96,배당편집!$D$2:$N$2710,11,FALSE), 0)</f>
        <v>0</v>
      </c>
      <c r="V96" s="3">
        <f>IFERROR(VLOOKUP(V$1&amp;$A96&amp;$B96,배당편집!$D$2:$N$2710,11,FALSE), 0)</f>
        <v>0</v>
      </c>
      <c r="W96" s="3">
        <f>IFERROR(VLOOKUP(W$1&amp;$A96&amp;$B96,배당편집!$D$2:$N$2710,11,FALSE), 0)</f>
        <v>0</v>
      </c>
      <c r="X96" s="3">
        <f>IFERROR(VLOOKUP(X$1&amp;$A96&amp;$B96,배당편집!$D$2:$N$2710,11,FALSE), 0)</f>
        <v>0.36</v>
      </c>
      <c r="Y96" s="3">
        <f>IFERROR(VLOOKUP(Y$1&amp;$A96&amp;$B96,배당편집!$D$2:$N$2710,11,FALSE), 0)</f>
        <v>0.63</v>
      </c>
      <c r="Z96" s="3">
        <f>IFERROR(VLOOKUP(Z$1&amp;$A96&amp;$B96,배당편집!$D$2:$N$2710,11,FALSE), 0)</f>
        <v>0</v>
      </c>
      <c r="AA96" s="3">
        <f>IFERROR(VLOOKUP(AA$1&amp;$A96&amp;$B96,배당편집!$D$2:$N$2710,11,FALSE), 0)</f>
        <v>0.28000000000000003</v>
      </c>
      <c r="AB96" s="3">
        <f>IFERROR(VLOOKUP(AB$1&amp;$A96&amp;$B96,배당편집!$D$2:$N$2710,11,FALSE), 0)</f>
        <v>0</v>
      </c>
      <c r="AC96" s="3">
        <f>IFERROR(VLOOKUP(AC$1&amp;$A96&amp;$B96,배당편집!$D$2:$N$2710,11,FALSE), 0)</f>
        <v>0.16750000000000001</v>
      </c>
      <c r="AD96" s="3">
        <f>IFERROR(VLOOKUP(AD$1&amp;$A96&amp;$B96,배당편집!$D$2:$N$2710,11,FALSE), 0)</f>
        <v>0</v>
      </c>
      <c r="AE96" s="3">
        <f>IFERROR(VLOOKUP(AE$1&amp;$A96&amp;$B96,배당편집!$D$2:$N$2710,11,FALSE), 0)</f>
        <v>0.2</v>
      </c>
      <c r="AF96" s="3">
        <f>IFERROR(VLOOKUP(AF$1&amp;$A96&amp;$B96,배당편집!$D$2:$N$2710,11,FALSE), 0)</f>
        <v>0.42</v>
      </c>
    </row>
    <row r="97" spans="1:32" ht="16.5" customHeight="1">
      <c r="A97" s="3">
        <v>2015</v>
      </c>
      <c r="B97" s="3">
        <v>12</v>
      </c>
      <c r="C97" s="3">
        <f>IFERROR(VLOOKUP(C$1&amp;$A97&amp;$B97,배당편집!$D$2:$N$2710,11,FALSE), 0)</f>
        <v>0</v>
      </c>
      <c r="D97" s="3">
        <f>IFERROR(VLOOKUP(D$1&amp;$A97&amp;$B97,배당편집!$D$2:$N$2710,11,FALSE), 0)</f>
        <v>0.32</v>
      </c>
      <c r="E97" s="3">
        <f>IFERROR(VLOOKUP(E$1&amp;$A97&amp;$B97,배당편집!$D$2:$N$2710,11,FALSE), 0)</f>
        <v>0.18</v>
      </c>
      <c r="F97" s="3">
        <f>IFERROR(VLOOKUP(F$1&amp;$A97&amp;$B97,배당편집!$D$2:$N$2710,11,FALSE), 0)</f>
        <v>0.55000000000000004</v>
      </c>
      <c r="G97" s="3">
        <f>IFERROR(VLOOKUP(G$1&amp;$A97&amp;$B97,배당편집!$D$2:$N$2710,11,FALSE), 0)</f>
        <v>0</v>
      </c>
      <c r="H97" s="3">
        <f>IFERROR(VLOOKUP(H$1&amp;$A97&amp;$B97,배당편집!$D$2:$N$2710,11,FALSE), 0)</f>
        <v>0</v>
      </c>
      <c r="I97" s="3">
        <f>IFERROR(VLOOKUP(I$1&amp;$A97&amp;$B97,배당편집!$D$2:$N$2710,11,FALSE), 0)</f>
        <v>0</v>
      </c>
      <c r="J97" s="3">
        <f>IFERROR(VLOOKUP(J$1&amp;$A97&amp;$B97,배당편집!$D$2:$N$2710,11,FALSE), 0)</f>
        <v>0.39500000000000002</v>
      </c>
      <c r="K97" s="3">
        <f>IFERROR(VLOOKUP(K$1&amp;$A97&amp;$B97,배당편집!$D$2:$N$2710,11,FALSE), 0)</f>
        <v>0</v>
      </c>
      <c r="L97" s="3">
        <f>IFERROR(VLOOKUP(L$1&amp;$A97&amp;$B97,배당편집!$D$2:$N$2710,11,FALSE), 0)</f>
        <v>0</v>
      </c>
      <c r="M97" s="3">
        <f>IFERROR(VLOOKUP(M$1&amp;$A97&amp;$B97,배당편집!$D$2:$N$2710,11,FALSE), 0)</f>
        <v>0.55000000000000004</v>
      </c>
      <c r="N97" s="3">
        <f>IFERROR(VLOOKUP(N$1&amp;$A97&amp;$B97,배당편집!$D$2:$N$2710,11,FALSE), 0)</f>
        <v>0</v>
      </c>
      <c r="O97" s="3">
        <f>IFERROR(VLOOKUP(O$1&amp;$A97&amp;$B97,배당편집!$D$2:$N$2710,11,FALSE), 0)</f>
        <v>0.81</v>
      </c>
      <c r="P97" s="3">
        <f>IFERROR(VLOOKUP(P$1&amp;$A97&amp;$B97,배당편집!$D$2:$N$2710,11,FALSE), 0)</f>
        <v>0</v>
      </c>
      <c r="Q97" s="3">
        <f>IFERROR(VLOOKUP(Q$1&amp;$A97&amp;$B97,배당편집!$D$2:$N$2710,11,FALSE), 0)</f>
        <v>0</v>
      </c>
      <c r="R97" s="3">
        <f>IFERROR(VLOOKUP(R$1&amp;$A97&amp;$B97,배당편집!$D$2:$N$2710,11,FALSE), 0)</f>
        <v>0</v>
      </c>
      <c r="S97" s="3">
        <f>IFERROR(VLOOKUP(S$1&amp;$A97&amp;$B97,배당편집!$D$2:$N$2710,11,FALSE), 0)</f>
        <v>0.61499999999999999</v>
      </c>
      <c r="T97" s="3">
        <f>IFERROR(VLOOKUP(T$1&amp;$A97&amp;$B97,배당편집!$D$2:$N$2710,11,FALSE), 0)</f>
        <v>0</v>
      </c>
      <c r="U97" s="3">
        <f>IFERROR(VLOOKUP(U$1&amp;$A97&amp;$B97,배당편집!$D$2:$N$2710,11,FALSE), 0)</f>
        <v>0</v>
      </c>
      <c r="V97" s="3">
        <f>IFERROR(VLOOKUP(V$1&amp;$A97&amp;$B97,배당편집!$D$2:$N$2710,11,FALSE), 0)</f>
        <v>0</v>
      </c>
      <c r="W97" s="3">
        <f>IFERROR(VLOOKUP(W$1&amp;$A97&amp;$B97,배당편집!$D$2:$N$2710,11,FALSE), 0)</f>
        <v>0</v>
      </c>
      <c r="X97" s="3">
        <f>IFERROR(VLOOKUP(X$1&amp;$A97&amp;$B97,배당편집!$D$2:$N$2710,11,FALSE), 0)</f>
        <v>0</v>
      </c>
      <c r="Y97" s="3">
        <f>IFERROR(VLOOKUP(Y$1&amp;$A97&amp;$B97,배당편집!$D$2:$N$2710,11,FALSE), 0)</f>
        <v>0</v>
      </c>
      <c r="Z97" s="3">
        <f>IFERROR(VLOOKUP(Z$1&amp;$A97&amp;$B97,배당편집!$D$2:$N$2710,11,FALSE), 0)</f>
        <v>0</v>
      </c>
      <c r="AA97" s="3">
        <f>IFERROR(VLOOKUP(AA$1&amp;$A97&amp;$B97,배당편집!$D$2:$N$2710,11,FALSE), 0)</f>
        <v>0</v>
      </c>
      <c r="AB97" s="3">
        <f>IFERROR(VLOOKUP(AB$1&amp;$A97&amp;$B97,배당편집!$D$2:$N$2710,11,FALSE), 0)</f>
        <v>0</v>
      </c>
      <c r="AC97" s="3">
        <f>IFERROR(VLOOKUP(AC$1&amp;$A97&amp;$B97,배당편집!$D$2:$N$2710,11,FALSE), 0)</f>
        <v>0</v>
      </c>
      <c r="AD97" s="3">
        <f>IFERROR(VLOOKUP(AD$1&amp;$A97&amp;$B97,배당편집!$D$2:$N$2710,11,FALSE), 0)</f>
        <v>0.53</v>
      </c>
      <c r="AE97" s="3">
        <f>IFERROR(VLOOKUP(AE$1&amp;$A97&amp;$B97,배당편집!$D$2:$N$2710,11,FALSE), 0)</f>
        <v>0</v>
      </c>
      <c r="AF97" s="3">
        <f>IFERROR(VLOOKUP(AF$1&amp;$A97&amp;$B97,배당편집!$D$2:$N$2710,11,FALSE), 0)</f>
        <v>0</v>
      </c>
    </row>
    <row r="98" spans="1:32" ht="16.5" customHeight="1">
      <c r="A98" s="3">
        <v>2014</v>
      </c>
      <c r="B98" s="3">
        <v>1</v>
      </c>
      <c r="C98" s="3">
        <f>IFERROR(VLOOKUP(C$1&amp;$A98&amp;$B98,배당편집!$D$2:$N$2710,11,FALSE), 0)</f>
        <v>0</v>
      </c>
      <c r="D98" s="3">
        <f>IFERROR(VLOOKUP(D$1&amp;$A98&amp;$B98,배당편집!$D$2:$N$2710,11,FALSE), 0)</f>
        <v>0</v>
      </c>
      <c r="E98" s="3">
        <f>IFERROR(VLOOKUP(E$1&amp;$A98&amp;$B98,배당편집!$D$2:$N$2710,11,FALSE), 0)</f>
        <v>0</v>
      </c>
      <c r="F98" s="3">
        <f>IFERROR(VLOOKUP(F$1&amp;$A98&amp;$B98,배당편집!$D$2:$N$2710,11,FALSE), 0)</f>
        <v>0</v>
      </c>
      <c r="G98" s="3">
        <f>IFERROR(VLOOKUP(G$1&amp;$A98&amp;$B98,배당편집!$D$2:$N$2710,11,FALSE), 0)</f>
        <v>0</v>
      </c>
      <c r="H98" s="3">
        <f>IFERROR(VLOOKUP(H$1&amp;$A98&amp;$B98,배당편집!$D$2:$N$2710,11,FALSE), 0)</f>
        <v>0</v>
      </c>
      <c r="I98" s="3">
        <f>IFERROR(VLOOKUP(I$1&amp;$A98&amp;$B98,배당편집!$D$2:$N$2710,11,FALSE), 0)</f>
        <v>0</v>
      </c>
      <c r="J98" s="3">
        <f>IFERROR(VLOOKUP(J$1&amp;$A98&amp;$B98,배당편집!$D$2:$N$2710,11,FALSE), 0)</f>
        <v>0</v>
      </c>
      <c r="K98" s="3">
        <f>IFERROR(VLOOKUP(K$1&amp;$A98&amp;$B98,배당편집!$D$2:$N$2710,11,FALSE), 0)</f>
        <v>0.6</v>
      </c>
      <c r="L98" s="3">
        <f>IFERROR(VLOOKUP(L$1&amp;$A98&amp;$B98,배당편집!$D$2:$N$2710,11,FALSE), 0)</f>
        <v>0</v>
      </c>
      <c r="M98" s="3">
        <f>IFERROR(VLOOKUP(M$1&amp;$A98&amp;$B98,배당편집!$D$2:$N$2710,11,FALSE), 0)</f>
        <v>0</v>
      </c>
      <c r="N98" s="3">
        <f>IFERROR(VLOOKUP(N$1&amp;$A98&amp;$B98,배당편집!$D$2:$N$2710,11,FALSE), 0)</f>
        <v>0</v>
      </c>
      <c r="O98" s="3">
        <f>IFERROR(VLOOKUP(O$1&amp;$A98&amp;$B98,배당편집!$D$2:$N$2710,11,FALSE), 0)</f>
        <v>0</v>
      </c>
      <c r="P98" s="3">
        <f>IFERROR(VLOOKUP(P$1&amp;$A98&amp;$B98,배당편집!$D$2:$N$2710,11,FALSE), 0)</f>
        <v>0.60150000000000003</v>
      </c>
      <c r="Q98" s="3">
        <f>IFERROR(VLOOKUP(Q$1&amp;$A98&amp;$B98,배당편집!$D$2:$N$2710,11,FALSE), 0)</f>
        <v>0</v>
      </c>
      <c r="R98" s="3">
        <f>IFERROR(VLOOKUP(R$1&amp;$A98&amp;$B98,배당편집!$D$2:$N$2710,11,FALSE), 0)</f>
        <v>0</v>
      </c>
      <c r="S98" s="3">
        <f>IFERROR(VLOOKUP(S$1&amp;$A98&amp;$B98,배당편집!$D$2:$N$2710,11,FALSE), 0)</f>
        <v>0</v>
      </c>
      <c r="T98" s="3">
        <f>IFERROR(VLOOKUP(T$1&amp;$A98&amp;$B98,배당편집!$D$2:$N$2710,11,FALSE), 0)</f>
        <v>0.56000000000000005</v>
      </c>
      <c r="U98" s="3">
        <f>IFERROR(VLOOKUP(U$1&amp;$A98&amp;$B98,배당편집!$D$2:$N$2710,11,FALSE), 0)</f>
        <v>0</v>
      </c>
      <c r="V98" s="3">
        <f>IFERROR(VLOOKUP(V$1&amp;$A98&amp;$B98,배당편집!$D$2:$N$2710,11,FALSE), 0)</f>
        <v>0.1</v>
      </c>
      <c r="W98" s="3">
        <f>IFERROR(VLOOKUP(W$1&amp;$A98&amp;$B98,배당편집!$D$2:$N$2710,11,FALSE), 0)</f>
        <v>0.18</v>
      </c>
      <c r="X98" s="3">
        <f>IFERROR(VLOOKUP(X$1&amp;$A98&amp;$B98,배당편집!$D$2:$N$2710,11,FALSE), 0)</f>
        <v>0</v>
      </c>
      <c r="Y98" s="3">
        <f>IFERROR(VLOOKUP(Y$1&amp;$A98&amp;$B98,배당편집!$D$2:$N$2710,11,FALSE), 0)</f>
        <v>0</v>
      </c>
      <c r="Z98" s="3">
        <f>IFERROR(VLOOKUP(Z$1&amp;$A98&amp;$B98,배당편집!$D$2:$N$2710,11,FALSE), 0)</f>
        <v>0</v>
      </c>
      <c r="AA98" s="3">
        <f>IFERROR(VLOOKUP(AA$1&amp;$A98&amp;$B98,배당편집!$D$2:$N$2710,11,FALSE), 0)</f>
        <v>0</v>
      </c>
      <c r="AB98" s="3">
        <f>IFERROR(VLOOKUP(AB$1&amp;$A98&amp;$B98,배당편집!$D$2:$N$2710,11,FALSE), 0)</f>
        <v>0.22</v>
      </c>
      <c r="AC98" s="3">
        <f>IFERROR(VLOOKUP(AC$1&amp;$A98&amp;$B98,배당편집!$D$2:$N$2710,11,FALSE), 0)</f>
        <v>0</v>
      </c>
      <c r="AD98" s="3">
        <f>IFERROR(VLOOKUP(AD$1&amp;$A98&amp;$B98,배당편집!$D$2:$N$2710,11,FALSE), 0)</f>
        <v>0</v>
      </c>
      <c r="AE98" s="3">
        <f>IFERROR(VLOOKUP(AE$1&amp;$A98&amp;$B98,배당편집!$D$2:$N$2710,11,FALSE), 0)</f>
        <v>0</v>
      </c>
      <c r="AF98" s="3">
        <f>IFERROR(VLOOKUP(AF$1&amp;$A98&amp;$B98,배당편집!$D$2:$N$2710,11,FALSE), 0)</f>
        <v>0</v>
      </c>
    </row>
    <row r="99" spans="1:32" ht="16.5" customHeight="1">
      <c r="A99" s="3">
        <v>2014</v>
      </c>
      <c r="B99" s="3">
        <v>2</v>
      </c>
      <c r="C99" s="3">
        <f>IFERROR(VLOOKUP(C$1&amp;$A99&amp;$B99,배당편집!$D$2:$N$2710,11,FALSE), 0)</f>
        <v>0.315</v>
      </c>
      <c r="D99" s="3">
        <f>IFERROR(VLOOKUP(D$1&amp;$A99&amp;$B99,배당편집!$D$2:$N$2710,11,FALSE), 0)</f>
        <v>0</v>
      </c>
      <c r="E99" s="3">
        <f>IFERROR(VLOOKUP(E$1&amp;$A99&amp;$B99,배당편집!$D$2:$N$2710,11,FALSE), 0)</f>
        <v>0</v>
      </c>
      <c r="F99" s="3">
        <f>IFERROR(VLOOKUP(F$1&amp;$A99&amp;$B99,배당편집!$D$2:$N$2710,11,FALSE), 0)</f>
        <v>0</v>
      </c>
      <c r="G99" s="3">
        <f>IFERROR(VLOOKUP(G$1&amp;$A99&amp;$B99,배당편집!$D$2:$N$2710,11,FALSE), 0)</f>
        <v>0.63</v>
      </c>
      <c r="H99" s="3">
        <f>IFERROR(VLOOKUP(H$1&amp;$A99&amp;$B99,배당편집!$D$2:$N$2710,11,FALSE), 0)</f>
        <v>1</v>
      </c>
      <c r="I99" s="3">
        <f>IFERROR(VLOOKUP(I$1&amp;$A99&amp;$B99,배당편집!$D$2:$N$2710,11,FALSE), 0)</f>
        <v>0.39</v>
      </c>
      <c r="J99" s="3">
        <f>IFERROR(VLOOKUP(J$1&amp;$A99&amp;$B99,배당편집!$D$2:$N$2710,11,FALSE), 0)</f>
        <v>0</v>
      </c>
      <c r="K99" s="3">
        <f>IFERROR(VLOOKUP(K$1&amp;$A99&amp;$B99,배당편집!$D$2:$N$2710,11,FALSE), 0)</f>
        <v>0</v>
      </c>
      <c r="L99" s="3">
        <f>IFERROR(VLOOKUP(L$1&amp;$A99&amp;$B99,배당편집!$D$2:$N$2710,11,FALSE), 0)</f>
        <v>0.43</v>
      </c>
      <c r="M99" s="3">
        <f>IFERROR(VLOOKUP(M$1&amp;$A99&amp;$B99,배당편집!$D$2:$N$2710,11,FALSE), 0)</f>
        <v>0</v>
      </c>
      <c r="N99" s="3">
        <f>IFERROR(VLOOKUP(N$1&amp;$A99&amp;$B99,배당편집!$D$2:$N$2710,11,FALSE), 0)</f>
        <v>0.43</v>
      </c>
      <c r="O99" s="3">
        <f>IFERROR(VLOOKUP(O$1&amp;$A99&amp;$B99,배당편집!$D$2:$N$2710,11,FALSE), 0)</f>
        <v>0</v>
      </c>
      <c r="P99" s="3">
        <f>IFERROR(VLOOKUP(P$1&amp;$A99&amp;$B99,배당편집!$D$2:$N$2710,11,FALSE), 0)</f>
        <v>0</v>
      </c>
      <c r="Q99" s="3">
        <f>IFERROR(VLOOKUP(Q$1&amp;$A99&amp;$B99,배당편집!$D$2:$N$2710,11,FALSE), 0)</f>
        <v>0.66</v>
      </c>
      <c r="R99" s="3">
        <f>IFERROR(VLOOKUP(R$1&amp;$A99&amp;$B99,배당편집!$D$2:$N$2710,11,FALSE), 0)</f>
        <v>0.37</v>
      </c>
      <c r="S99" s="3">
        <f>IFERROR(VLOOKUP(S$1&amp;$A99&amp;$B99,배당편집!$D$2:$N$2710,11,FALSE), 0)</f>
        <v>0</v>
      </c>
      <c r="T99" s="3">
        <f>IFERROR(VLOOKUP(T$1&amp;$A99&amp;$B99,배당편집!$D$2:$N$2710,11,FALSE), 0)</f>
        <v>0</v>
      </c>
      <c r="U99" s="3">
        <f>IFERROR(VLOOKUP(U$1&amp;$A99&amp;$B99,배당편집!$D$2:$N$2710,11,FALSE), 0)</f>
        <v>7.4999999999999997E-2</v>
      </c>
      <c r="V99" s="3">
        <f>IFERROR(VLOOKUP(V$1&amp;$A99&amp;$B99,배당편집!$D$2:$N$2710,11,FALSE), 0)</f>
        <v>0</v>
      </c>
      <c r="W99" s="3">
        <f>IFERROR(VLOOKUP(W$1&amp;$A99&amp;$B99,배당편집!$D$2:$N$2710,11,FALSE), 0)</f>
        <v>0</v>
      </c>
      <c r="X99" s="3">
        <f>IFERROR(VLOOKUP(X$1&amp;$A99&amp;$B99,배당편집!$D$2:$N$2710,11,FALSE), 0)</f>
        <v>0.30499999999999999</v>
      </c>
      <c r="Y99" s="3">
        <f>IFERROR(VLOOKUP(Y$1&amp;$A99&amp;$B99,배당편집!$D$2:$N$2710,11,FALSE), 0)</f>
        <v>0.48</v>
      </c>
      <c r="Z99" s="3">
        <f>IFERROR(VLOOKUP(Z$1&amp;$A99&amp;$B99,배당편집!$D$2:$N$2710,11,FALSE), 0)</f>
        <v>0</v>
      </c>
      <c r="AA99" s="3">
        <f>IFERROR(VLOOKUP(AA$1&amp;$A99&amp;$B99,배당편집!$D$2:$N$2710,11,FALSE), 0)</f>
        <v>0.24</v>
      </c>
      <c r="AB99" s="3">
        <f>IFERROR(VLOOKUP(AB$1&amp;$A99&amp;$B99,배당편집!$D$2:$N$2710,11,FALSE), 0)</f>
        <v>0</v>
      </c>
      <c r="AC99" s="3">
        <f>IFERROR(VLOOKUP(AC$1&amp;$A99&amp;$B99,배당편집!$D$2:$N$2710,11,FALSE), 0)</f>
        <v>0.16250000000000001</v>
      </c>
      <c r="AD99" s="3">
        <f>IFERROR(VLOOKUP(AD$1&amp;$A99&amp;$B99,배당편집!$D$2:$N$2710,11,FALSE), 0)</f>
        <v>0</v>
      </c>
      <c r="AE99" s="3">
        <f>IFERROR(VLOOKUP(AE$1&amp;$A99&amp;$B99,배당편집!$D$2:$N$2710,11,FALSE), 0)</f>
        <v>0.18</v>
      </c>
      <c r="AF99" s="3">
        <f>IFERROR(VLOOKUP(AF$1&amp;$A99&amp;$B99,배당편집!$D$2:$N$2710,11,FALSE), 0)</f>
        <v>0</v>
      </c>
    </row>
    <row r="100" spans="1:32" ht="16.5" customHeight="1">
      <c r="A100" s="3">
        <v>2014</v>
      </c>
      <c r="B100" s="3">
        <v>3</v>
      </c>
      <c r="C100" s="3">
        <f>IFERROR(VLOOKUP(C$1&amp;$A100&amp;$B100,배당편집!$D$2:$N$2710,11,FALSE), 0)</f>
        <v>0</v>
      </c>
      <c r="D100" s="3">
        <f>IFERROR(VLOOKUP(D$1&amp;$A100&amp;$B100,배당편집!$D$2:$N$2710,11,FALSE), 0)</f>
        <v>0.3</v>
      </c>
      <c r="E100" s="3">
        <f>IFERROR(VLOOKUP(E$1&amp;$A100&amp;$B100,배당편집!$D$2:$N$2710,11,FALSE), 0)</f>
        <v>0.12</v>
      </c>
      <c r="F100" s="3">
        <f>IFERROR(VLOOKUP(F$1&amp;$A100&amp;$B100,배당편집!$D$2:$N$2710,11,FALSE), 0)</f>
        <v>0.5</v>
      </c>
      <c r="G100" s="3">
        <f>IFERROR(VLOOKUP(G$1&amp;$A100&amp;$B100,배당편집!$D$2:$N$2710,11,FALSE), 0)</f>
        <v>0</v>
      </c>
      <c r="H100" s="3">
        <f>IFERROR(VLOOKUP(H$1&amp;$A100&amp;$B100,배당편집!$D$2:$N$2710,11,FALSE), 0)</f>
        <v>0</v>
      </c>
      <c r="I100" s="3">
        <f>IFERROR(VLOOKUP(I$1&amp;$A100&amp;$B100,배당편집!$D$2:$N$2710,11,FALSE), 0)</f>
        <v>0</v>
      </c>
      <c r="J100" s="3">
        <f>IFERROR(VLOOKUP(J$1&amp;$A100&amp;$B100,배당편집!$D$2:$N$2710,11,FALSE), 0)</f>
        <v>0.375</v>
      </c>
      <c r="K100" s="3">
        <f>IFERROR(VLOOKUP(K$1&amp;$A100&amp;$B100,배당편집!$D$2:$N$2710,11,FALSE), 0)</f>
        <v>0</v>
      </c>
      <c r="L100" s="3">
        <f>IFERROR(VLOOKUP(L$1&amp;$A100&amp;$B100,배당편집!$D$2:$N$2710,11,FALSE), 0)</f>
        <v>0</v>
      </c>
      <c r="M100" s="3">
        <f>IFERROR(VLOOKUP(M$1&amp;$A100&amp;$B100,배당편집!$D$2:$N$2710,11,FALSE), 0)</f>
        <v>0.42</v>
      </c>
      <c r="N100" s="3">
        <f>IFERROR(VLOOKUP(N$1&amp;$A100&amp;$B100,배당편집!$D$2:$N$2710,11,FALSE), 0)</f>
        <v>0</v>
      </c>
      <c r="O100" s="3">
        <f>IFERROR(VLOOKUP(O$1&amp;$A100&amp;$B100,배당편집!$D$2:$N$2710,11,FALSE), 0)</f>
        <v>0.77</v>
      </c>
      <c r="P100" s="3">
        <f>IFERROR(VLOOKUP(P$1&amp;$A100&amp;$B100,배당편집!$D$2:$N$2710,11,FALSE), 0)</f>
        <v>0</v>
      </c>
      <c r="Q100" s="3">
        <f>IFERROR(VLOOKUP(Q$1&amp;$A100&amp;$B100,배당편집!$D$2:$N$2710,11,FALSE), 0)</f>
        <v>0</v>
      </c>
      <c r="R100" s="3">
        <f>IFERROR(VLOOKUP(R$1&amp;$A100&amp;$B100,배당편집!$D$2:$N$2710,11,FALSE), 0)</f>
        <v>0</v>
      </c>
      <c r="S100" s="3">
        <f>IFERROR(VLOOKUP(S$1&amp;$A100&amp;$B100,배당편집!$D$2:$N$2710,11,FALSE), 0)</f>
        <v>0.57499999999999996</v>
      </c>
      <c r="T100" s="3">
        <f>IFERROR(VLOOKUP(T$1&amp;$A100&amp;$B100,배당편집!$D$2:$N$2710,11,FALSE), 0)</f>
        <v>0</v>
      </c>
      <c r="U100" s="3">
        <f>IFERROR(VLOOKUP(U$1&amp;$A100&amp;$B100,배당편집!$D$2:$N$2710,11,FALSE), 0)</f>
        <v>0</v>
      </c>
      <c r="V100" s="3">
        <f>IFERROR(VLOOKUP(V$1&amp;$A100&amp;$B100,배당편집!$D$2:$N$2710,11,FALSE), 0)</f>
        <v>0</v>
      </c>
      <c r="W100" s="3">
        <f>IFERROR(VLOOKUP(W$1&amp;$A100&amp;$B100,배당편집!$D$2:$N$2710,11,FALSE), 0)</f>
        <v>0</v>
      </c>
      <c r="X100" s="3">
        <f>IFERROR(VLOOKUP(X$1&amp;$A100&amp;$B100,배당편집!$D$2:$N$2710,11,FALSE), 0)</f>
        <v>0</v>
      </c>
      <c r="Y100" s="3">
        <f>IFERROR(VLOOKUP(Y$1&amp;$A100&amp;$B100,배당편집!$D$2:$N$2710,11,FALSE), 0)</f>
        <v>0</v>
      </c>
      <c r="Z100" s="3">
        <f>IFERROR(VLOOKUP(Z$1&amp;$A100&amp;$B100,배당편집!$D$2:$N$2710,11,FALSE), 0)</f>
        <v>0</v>
      </c>
      <c r="AA100" s="3">
        <f>IFERROR(VLOOKUP(AA$1&amp;$A100&amp;$B100,배당편집!$D$2:$N$2710,11,FALSE), 0)</f>
        <v>0</v>
      </c>
      <c r="AB100" s="3">
        <f>IFERROR(VLOOKUP(AB$1&amp;$A100&amp;$B100,배당편집!$D$2:$N$2710,11,FALSE), 0)</f>
        <v>0</v>
      </c>
      <c r="AC100" s="3">
        <f>IFERROR(VLOOKUP(AC$1&amp;$A100&amp;$B100,배당편집!$D$2:$N$2710,11,FALSE), 0)</f>
        <v>0</v>
      </c>
      <c r="AD100" s="3">
        <f>IFERROR(VLOOKUP(AD$1&amp;$A100&amp;$B100,배당편집!$D$2:$N$2710,11,FALSE), 0)</f>
        <v>0.48</v>
      </c>
      <c r="AE100" s="3">
        <f>IFERROR(VLOOKUP(AE$1&amp;$A100&amp;$B100,배당편집!$D$2:$N$2710,11,FALSE), 0)</f>
        <v>0</v>
      </c>
      <c r="AF100" s="3">
        <f>IFERROR(VLOOKUP(AF$1&amp;$A100&amp;$B100,배당편집!$D$2:$N$2710,11,FALSE), 0)</f>
        <v>0.375</v>
      </c>
    </row>
    <row r="101" spans="1:32" ht="16.5" customHeight="1">
      <c r="A101" s="3">
        <v>2014</v>
      </c>
      <c r="B101" s="3">
        <v>4</v>
      </c>
      <c r="C101" s="3">
        <f>IFERROR(VLOOKUP(C$1&amp;$A101&amp;$B101,배당편집!$D$2:$N$2710,11,FALSE), 0)</f>
        <v>0</v>
      </c>
      <c r="D101" s="3">
        <f>IFERROR(VLOOKUP(D$1&amp;$A101&amp;$B101,배당편집!$D$2:$N$2710,11,FALSE), 0)</f>
        <v>0</v>
      </c>
      <c r="E101" s="3">
        <f>IFERROR(VLOOKUP(E$1&amp;$A101&amp;$B101,배당편집!$D$2:$N$2710,11,FALSE), 0)</f>
        <v>0</v>
      </c>
      <c r="F101" s="3">
        <f>IFERROR(VLOOKUP(F$1&amp;$A101&amp;$B101,배당편집!$D$2:$N$2710,11,FALSE), 0)</f>
        <v>0</v>
      </c>
      <c r="G101" s="3">
        <f>IFERROR(VLOOKUP(G$1&amp;$A101&amp;$B101,배당편집!$D$2:$N$2710,11,FALSE), 0)</f>
        <v>0</v>
      </c>
      <c r="H101" s="3">
        <f>IFERROR(VLOOKUP(H$1&amp;$A101&amp;$B101,배당편집!$D$2:$N$2710,11,FALSE), 0)</f>
        <v>0</v>
      </c>
      <c r="I101" s="3">
        <f>IFERROR(VLOOKUP(I$1&amp;$A101&amp;$B101,배당편집!$D$2:$N$2710,11,FALSE), 0)</f>
        <v>0</v>
      </c>
      <c r="J101" s="3">
        <f>IFERROR(VLOOKUP(J$1&amp;$A101&amp;$B101,배당편집!$D$2:$N$2710,11,FALSE), 0)</f>
        <v>0</v>
      </c>
      <c r="K101" s="3">
        <f>IFERROR(VLOOKUP(K$1&amp;$A101&amp;$B101,배당편집!$D$2:$N$2710,11,FALSE), 0)</f>
        <v>0.6</v>
      </c>
      <c r="L101" s="3">
        <f>IFERROR(VLOOKUP(L$1&amp;$A101&amp;$B101,배당편집!$D$2:$N$2710,11,FALSE), 0)</f>
        <v>0</v>
      </c>
      <c r="M101" s="3">
        <f>IFERROR(VLOOKUP(M$1&amp;$A101&amp;$B101,배당편집!$D$2:$N$2710,11,FALSE), 0)</f>
        <v>0</v>
      </c>
      <c r="N101" s="3">
        <f>IFERROR(VLOOKUP(N$1&amp;$A101&amp;$B101,배당편집!$D$2:$N$2710,11,FALSE), 0)</f>
        <v>0</v>
      </c>
      <c r="O101" s="3">
        <f>IFERROR(VLOOKUP(O$1&amp;$A101&amp;$B101,배당편집!$D$2:$N$2710,11,FALSE), 0)</f>
        <v>0</v>
      </c>
      <c r="P101" s="3">
        <f>IFERROR(VLOOKUP(P$1&amp;$A101&amp;$B101,배당편집!$D$2:$N$2710,11,FALSE), 0)</f>
        <v>0.64359999999999995</v>
      </c>
      <c r="Q101" s="3">
        <f>IFERROR(VLOOKUP(Q$1&amp;$A101&amp;$B101,배당편집!$D$2:$N$2710,11,FALSE), 0)</f>
        <v>0</v>
      </c>
      <c r="R101" s="3">
        <f>IFERROR(VLOOKUP(R$1&amp;$A101&amp;$B101,배당편집!$D$2:$N$2710,11,FALSE), 0)</f>
        <v>0</v>
      </c>
      <c r="S101" s="3">
        <f>IFERROR(VLOOKUP(S$1&amp;$A101&amp;$B101,배당편집!$D$2:$N$2710,11,FALSE), 0)</f>
        <v>0</v>
      </c>
      <c r="T101" s="3">
        <f>IFERROR(VLOOKUP(T$1&amp;$A101&amp;$B101,배당편집!$D$2:$N$2710,11,FALSE), 0)</f>
        <v>0.62</v>
      </c>
      <c r="U101" s="3">
        <f>IFERROR(VLOOKUP(U$1&amp;$A101&amp;$B101,배당편집!$D$2:$N$2710,11,FALSE), 0)</f>
        <v>7.4999999999999997E-2</v>
      </c>
      <c r="V101" s="3">
        <f>IFERROR(VLOOKUP(V$1&amp;$A101&amp;$B101,배당편집!$D$2:$N$2710,11,FALSE), 0)</f>
        <v>0.1</v>
      </c>
      <c r="W101" s="3">
        <f>IFERROR(VLOOKUP(W$1&amp;$A101&amp;$B101,배당편집!$D$2:$N$2710,11,FALSE), 0)</f>
        <v>0.18</v>
      </c>
      <c r="X101" s="3">
        <f>IFERROR(VLOOKUP(X$1&amp;$A101&amp;$B101,배당편집!$D$2:$N$2710,11,FALSE), 0)</f>
        <v>0</v>
      </c>
      <c r="Y101" s="3">
        <f>IFERROR(VLOOKUP(Y$1&amp;$A101&amp;$B101,배당편집!$D$2:$N$2710,11,FALSE), 0)</f>
        <v>0</v>
      </c>
      <c r="Z101" s="3">
        <f>IFERROR(VLOOKUP(Z$1&amp;$A101&amp;$B101,배당편집!$D$2:$N$2710,11,FALSE), 0)</f>
        <v>0.155</v>
      </c>
      <c r="AA101" s="3">
        <f>IFERROR(VLOOKUP(AA$1&amp;$A101&amp;$B101,배당편집!$D$2:$N$2710,11,FALSE), 0)</f>
        <v>0</v>
      </c>
      <c r="AB101" s="3">
        <f>IFERROR(VLOOKUP(AB$1&amp;$A101&amp;$B101,배당편집!$D$2:$N$2710,11,FALSE), 0)</f>
        <v>0.22</v>
      </c>
      <c r="AC101" s="3">
        <f>IFERROR(VLOOKUP(AC$1&amp;$A101&amp;$B101,배당편집!$D$2:$N$2710,11,FALSE), 0)</f>
        <v>0</v>
      </c>
      <c r="AD101" s="3">
        <f>IFERROR(VLOOKUP(AD$1&amp;$A101&amp;$B101,배당편집!$D$2:$N$2710,11,FALSE), 0)</f>
        <v>0</v>
      </c>
      <c r="AE101" s="3">
        <f>IFERROR(VLOOKUP(AE$1&amp;$A101&amp;$B101,배당편집!$D$2:$N$2710,11,FALSE), 0)</f>
        <v>0</v>
      </c>
      <c r="AF101" s="3">
        <f>IFERROR(VLOOKUP(AF$1&amp;$A101&amp;$B101,배당편집!$D$2:$N$2710,11,FALSE), 0)</f>
        <v>0</v>
      </c>
    </row>
    <row r="102" spans="1:32" ht="16.5" customHeight="1">
      <c r="A102" s="3">
        <v>2014</v>
      </c>
      <c r="B102" s="3">
        <v>5</v>
      </c>
      <c r="C102" s="3">
        <f>IFERROR(VLOOKUP(C$1&amp;$A102&amp;$B102,배당편집!$D$2:$N$2710,11,FALSE), 0)</f>
        <v>0.315</v>
      </c>
      <c r="D102" s="3">
        <f>IFERROR(VLOOKUP(D$1&amp;$A102&amp;$B102,배당편집!$D$2:$N$2710,11,FALSE), 0)</f>
        <v>0</v>
      </c>
      <c r="E102" s="3">
        <f>IFERROR(VLOOKUP(E$1&amp;$A102&amp;$B102,배당편집!$D$2:$N$2710,11,FALSE), 0)</f>
        <v>0</v>
      </c>
      <c r="F102" s="3">
        <f>IFERROR(VLOOKUP(F$1&amp;$A102&amp;$B102,배당편집!$D$2:$N$2710,11,FALSE), 0)</f>
        <v>0</v>
      </c>
      <c r="G102" s="3">
        <f>IFERROR(VLOOKUP(G$1&amp;$A102&amp;$B102,배당편집!$D$2:$N$2710,11,FALSE), 0)</f>
        <v>0.69</v>
      </c>
      <c r="H102" s="3">
        <f>IFERROR(VLOOKUP(H$1&amp;$A102&amp;$B102,배당편집!$D$2:$N$2710,11,FALSE), 0)</f>
        <v>1.07</v>
      </c>
      <c r="I102" s="3">
        <f>IFERROR(VLOOKUP(I$1&amp;$A102&amp;$B102,배당편집!$D$2:$N$2710,11,FALSE), 0)</f>
        <v>0.39</v>
      </c>
      <c r="J102" s="3">
        <f>IFERROR(VLOOKUP(J$1&amp;$A102&amp;$B102,배당편집!$D$2:$N$2710,11,FALSE), 0)</f>
        <v>0</v>
      </c>
      <c r="K102" s="3">
        <f>IFERROR(VLOOKUP(K$1&amp;$A102&amp;$B102,배당편집!$D$2:$N$2710,11,FALSE), 0)</f>
        <v>0</v>
      </c>
      <c r="L102" s="3">
        <f>IFERROR(VLOOKUP(L$1&amp;$A102&amp;$B102,배당편집!$D$2:$N$2710,11,FALSE), 0)</f>
        <v>0.43</v>
      </c>
      <c r="M102" s="3">
        <f>IFERROR(VLOOKUP(M$1&amp;$A102&amp;$B102,배당편집!$D$2:$N$2710,11,FALSE), 0)</f>
        <v>0</v>
      </c>
      <c r="N102" s="3">
        <f>IFERROR(VLOOKUP(N$1&amp;$A102&amp;$B102,배당편집!$D$2:$N$2710,11,FALSE), 0)</f>
        <v>0.43</v>
      </c>
      <c r="O102" s="3">
        <f>IFERROR(VLOOKUP(O$1&amp;$A102&amp;$B102,배당편집!$D$2:$N$2710,11,FALSE), 0)</f>
        <v>0</v>
      </c>
      <c r="P102" s="3">
        <f>IFERROR(VLOOKUP(P$1&amp;$A102&amp;$B102,배당편집!$D$2:$N$2710,11,FALSE), 0)</f>
        <v>0</v>
      </c>
      <c r="Q102" s="3">
        <f>IFERROR(VLOOKUP(Q$1&amp;$A102&amp;$B102,배당편집!$D$2:$N$2710,11,FALSE), 0)</f>
        <v>0.7</v>
      </c>
      <c r="R102" s="3">
        <f>IFERROR(VLOOKUP(R$1&amp;$A102&amp;$B102,배당편집!$D$2:$N$2710,11,FALSE), 0)</f>
        <v>0.37</v>
      </c>
      <c r="S102" s="3">
        <f>IFERROR(VLOOKUP(S$1&amp;$A102&amp;$B102,배당편집!$D$2:$N$2710,11,FALSE), 0)</f>
        <v>0</v>
      </c>
      <c r="T102" s="3">
        <f>IFERROR(VLOOKUP(T$1&amp;$A102&amp;$B102,배당편집!$D$2:$N$2710,11,FALSE), 0)</f>
        <v>0</v>
      </c>
      <c r="U102" s="3">
        <f>IFERROR(VLOOKUP(U$1&amp;$A102&amp;$B102,배당편집!$D$2:$N$2710,11,FALSE), 0)</f>
        <v>0</v>
      </c>
      <c r="V102" s="3">
        <f>IFERROR(VLOOKUP(V$1&amp;$A102&amp;$B102,배당편집!$D$2:$N$2710,11,FALSE), 0)</f>
        <v>0</v>
      </c>
      <c r="W102" s="3">
        <f>IFERROR(VLOOKUP(W$1&amp;$A102&amp;$B102,배당편집!$D$2:$N$2710,11,FALSE), 0)</f>
        <v>0</v>
      </c>
      <c r="X102" s="3">
        <f>IFERROR(VLOOKUP(X$1&amp;$A102&amp;$B102,배당편집!$D$2:$N$2710,11,FALSE), 0)</f>
        <v>0.33500000000000002</v>
      </c>
      <c r="Y102" s="3">
        <f>IFERROR(VLOOKUP(Y$1&amp;$A102&amp;$B102,배당편집!$D$2:$N$2710,11,FALSE), 0)</f>
        <v>0.48</v>
      </c>
      <c r="Z102" s="3">
        <f>IFERROR(VLOOKUP(Z$1&amp;$A102&amp;$B102,배당편집!$D$2:$N$2710,11,FALSE), 0)</f>
        <v>0</v>
      </c>
      <c r="AA102" s="3">
        <f>IFERROR(VLOOKUP(AA$1&amp;$A102&amp;$B102,배당편집!$D$2:$N$2710,11,FALSE), 0)</f>
        <v>0.24</v>
      </c>
      <c r="AB102" s="3">
        <f>IFERROR(VLOOKUP(AB$1&amp;$A102&amp;$B102,배당편집!$D$2:$N$2710,11,FALSE), 0)</f>
        <v>0</v>
      </c>
      <c r="AC102" s="3">
        <f>IFERROR(VLOOKUP(AC$1&amp;$A102&amp;$B102,배당편집!$D$2:$N$2710,11,FALSE), 0)</f>
        <v>0.16250000000000001</v>
      </c>
      <c r="AD102" s="3">
        <f>IFERROR(VLOOKUP(AD$1&amp;$A102&amp;$B102,배당편집!$D$2:$N$2710,11,FALSE), 0)</f>
        <v>0</v>
      </c>
      <c r="AE102" s="3">
        <f>IFERROR(VLOOKUP(AE$1&amp;$A102&amp;$B102,배당편집!$D$2:$N$2710,11,FALSE), 0)</f>
        <v>0.2</v>
      </c>
      <c r="AF102" s="3">
        <f>IFERROR(VLOOKUP(AF$1&amp;$A102&amp;$B102,배당편집!$D$2:$N$2710,11,FALSE), 0)</f>
        <v>0.375</v>
      </c>
    </row>
    <row r="103" spans="1:32" ht="16.5" customHeight="1">
      <c r="A103" s="3">
        <v>2014</v>
      </c>
      <c r="B103" s="3">
        <v>6</v>
      </c>
      <c r="C103" s="3">
        <f>IFERROR(VLOOKUP(C$1&amp;$A103&amp;$B103,배당편집!$D$2:$N$2710,11,FALSE), 0)</f>
        <v>0</v>
      </c>
      <c r="D103" s="3">
        <f>IFERROR(VLOOKUP(D$1&amp;$A103&amp;$B103,배당편집!$D$2:$N$2710,11,FALSE), 0)</f>
        <v>0.3</v>
      </c>
      <c r="E103" s="3">
        <f>IFERROR(VLOOKUP(E$1&amp;$A103&amp;$B103,배당편집!$D$2:$N$2710,11,FALSE), 0)</f>
        <v>0.12</v>
      </c>
      <c r="F103" s="3">
        <f>IFERROR(VLOOKUP(F$1&amp;$A103&amp;$B103,배당편집!$D$2:$N$2710,11,FALSE), 0)</f>
        <v>0.5</v>
      </c>
      <c r="G103" s="3">
        <f>IFERROR(VLOOKUP(G$1&amp;$A103&amp;$B103,배당편집!$D$2:$N$2710,11,FALSE), 0)</f>
        <v>0</v>
      </c>
      <c r="H103" s="3">
        <f>IFERROR(VLOOKUP(H$1&amp;$A103&amp;$B103,배당편집!$D$2:$N$2710,11,FALSE), 0)</f>
        <v>0</v>
      </c>
      <c r="I103" s="3">
        <f>IFERROR(VLOOKUP(I$1&amp;$A103&amp;$B103,배당편집!$D$2:$N$2710,11,FALSE), 0)</f>
        <v>0</v>
      </c>
      <c r="J103" s="3">
        <f>IFERROR(VLOOKUP(J$1&amp;$A103&amp;$B103,배당편집!$D$2:$N$2710,11,FALSE), 0)</f>
        <v>0.38500000000000001</v>
      </c>
      <c r="K103" s="3">
        <f>IFERROR(VLOOKUP(K$1&amp;$A103&amp;$B103,배당편집!$D$2:$N$2710,11,FALSE), 0)</f>
        <v>0</v>
      </c>
      <c r="L103" s="3">
        <f>IFERROR(VLOOKUP(L$1&amp;$A103&amp;$B103,배당편집!$D$2:$N$2710,11,FALSE), 0)</f>
        <v>0</v>
      </c>
      <c r="M103" s="3">
        <f>IFERROR(VLOOKUP(M$1&amp;$A103&amp;$B103,배당편집!$D$2:$N$2710,11,FALSE), 0)</f>
        <v>0.42</v>
      </c>
      <c r="N103" s="3">
        <f>IFERROR(VLOOKUP(N$1&amp;$A103&amp;$B103,배당편집!$D$2:$N$2710,11,FALSE), 0)</f>
        <v>0</v>
      </c>
      <c r="O103" s="3">
        <f>IFERROR(VLOOKUP(O$1&amp;$A103&amp;$B103,배당편집!$D$2:$N$2710,11,FALSE), 0)</f>
        <v>0.77</v>
      </c>
      <c r="P103" s="3">
        <f>IFERROR(VLOOKUP(P$1&amp;$A103&amp;$B103,배당편집!$D$2:$N$2710,11,FALSE), 0)</f>
        <v>0</v>
      </c>
      <c r="Q103" s="3">
        <f>IFERROR(VLOOKUP(Q$1&amp;$A103&amp;$B103,배당편집!$D$2:$N$2710,11,FALSE), 0)</f>
        <v>0</v>
      </c>
      <c r="R103" s="3">
        <f>IFERROR(VLOOKUP(R$1&amp;$A103&amp;$B103,배당편집!$D$2:$N$2710,11,FALSE), 0)</f>
        <v>0</v>
      </c>
      <c r="S103" s="3">
        <f>IFERROR(VLOOKUP(S$1&amp;$A103&amp;$B103,배당편집!$D$2:$N$2710,11,FALSE), 0)</f>
        <v>0.57499999999999996</v>
      </c>
      <c r="T103" s="3">
        <f>IFERROR(VLOOKUP(T$1&amp;$A103&amp;$B103,배당편집!$D$2:$N$2710,11,FALSE), 0)</f>
        <v>0</v>
      </c>
      <c r="U103" s="3">
        <f>IFERROR(VLOOKUP(U$1&amp;$A103&amp;$B103,배당편집!$D$2:$N$2710,11,FALSE), 0)</f>
        <v>0</v>
      </c>
      <c r="V103" s="3">
        <f>IFERROR(VLOOKUP(V$1&amp;$A103&amp;$B103,배당편집!$D$2:$N$2710,11,FALSE), 0)</f>
        <v>0</v>
      </c>
      <c r="W103" s="3">
        <f>IFERROR(VLOOKUP(W$1&amp;$A103&amp;$B103,배당편집!$D$2:$N$2710,11,FALSE), 0)</f>
        <v>0</v>
      </c>
      <c r="X103" s="3">
        <f>IFERROR(VLOOKUP(X$1&amp;$A103&amp;$B103,배당편집!$D$2:$N$2710,11,FALSE), 0)</f>
        <v>0</v>
      </c>
      <c r="Y103" s="3">
        <f>IFERROR(VLOOKUP(Y$1&amp;$A103&amp;$B103,배당편집!$D$2:$N$2710,11,FALSE), 0)</f>
        <v>0</v>
      </c>
      <c r="Z103" s="3">
        <f>IFERROR(VLOOKUP(Z$1&amp;$A103&amp;$B103,배당편집!$D$2:$N$2710,11,FALSE), 0)</f>
        <v>0</v>
      </c>
      <c r="AA103" s="3">
        <f>IFERROR(VLOOKUP(AA$1&amp;$A103&amp;$B103,배당편집!$D$2:$N$2710,11,FALSE), 0)</f>
        <v>0</v>
      </c>
      <c r="AB103" s="3">
        <f>IFERROR(VLOOKUP(AB$1&amp;$A103&amp;$B103,배당편집!$D$2:$N$2710,11,FALSE), 0)</f>
        <v>0</v>
      </c>
      <c r="AC103" s="3">
        <f>IFERROR(VLOOKUP(AC$1&amp;$A103&amp;$B103,배당편집!$D$2:$N$2710,11,FALSE), 0)</f>
        <v>0</v>
      </c>
      <c r="AD103" s="3">
        <f>IFERROR(VLOOKUP(AD$1&amp;$A103&amp;$B103,배당편집!$D$2:$N$2710,11,FALSE), 0)</f>
        <v>0.48</v>
      </c>
      <c r="AE103" s="3">
        <f>IFERROR(VLOOKUP(AE$1&amp;$A103&amp;$B103,배당편집!$D$2:$N$2710,11,FALSE), 0)</f>
        <v>0</v>
      </c>
      <c r="AF103" s="3">
        <f>IFERROR(VLOOKUP(AF$1&amp;$A103&amp;$B103,배당편집!$D$2:$N$2710,11,FALSE), 0)</f>
        <v>0</v>
      </c>
    </row>
    <row r="104" spans="1:32" ht="16.5" customHeight="1">
      <c r="A104" s="3">
        <v>2014</v>
      </c>
      <c r="B104" s="3">
        <v>7</v>
      </c>
      <c r="C104" s="3">
        <f>IFERROR(VLOOKUP(C$1&amp;$A104&amp;$B104,배당편집!$D$2:$N$2710,11,FALSE), 0)</f>
        <v>0</v>
      </c>
      <c r="D104" s="3">
        <f>IFERROR(VLOOKUP(D$1&amp;$A104&amp;$B104,배당편집!$D$2:$N$2710,11,FALSE), 0)</f>
        <v>0</v>
      </c>
      <c r="E104" s="3">
        <f>IFERROR(VLOOKUP(E$1&amp;$A104&amp;$B104,배당편집!$D$2:$N$2710,11,FALSE), 0)</f>
        <v>0</v>
      </c>
      <c r="F104" s="3">
        <f>IFERROR(VLOOKUP(F$1&amp;$A104&amp;$B104,배당편집!$D$2:$N$2710,11,FALSE), 0)</f>
        <v>0</v>
      </c>
      <c r="G104" s="3">
        <f>IFERROR(VLOOKUP(G$1&amp;$A104&amp;$B104,배당편집!$D$2:$N$2710,11,FALSE), 0)</f>
        <v>0</v>
      </c>
      <c r="H104" s="3">
        <f>IFERROR(VLOOKUP(H$1&amp;$A104&amp;$B104,배당편집!$D$2:$N$2710,11,FALSE), 0)</f>
        <v>0</v>
      </c>
      <c r="I104" s="3">
        <f>IFERROR(VLOOKUP(I$1&amp;$A104&amp;$B104,배당편집!$D$2:$N$2710,11,FALSE), 0)</f>
        <v>0</v>
      </c>
      <c r="J104" s="3">
        <f>IFERROR(VLOOKUP(J$1&amp;$A104&amp;$B104,배당편집!$D$2:$N$2710,11,FALSE), 0)</f>
        <v>0</v>
      </c>
      <c r="K104" s="3">
        <f>IFERROR(VLOOKUP(K$1&amp;$A104&amp;$B104,배당편집!$D$2:$N$2710,11,FALSE), 0)</f>
        <v>0.7</v>
      </c>
      <c r="L104" s="3">
        <f>IFERROR(VLOOKUP(L$1&amp;$A104&amp;$B104,배당편집!$D$2:$N$2710,11,FALSE), 0)</f>
        <v>0</v>
      </c>
      <c r="M104" s="3">
        <f>IFERROR(VLOOKUP(M$1&amp;$A104&amp;$B104,배당편집!$D$2:$N$2710,11,FALSE), 0)</f>
        <v>0</v>
      </c>
      <c r="N104" s="3">
        <f>IFERROR(VLOOKUP(N$1&amp;$A104&amp;$B104,배당편집!$D$2:$N$2710,11,FALSE), 0)</f>
        <v>0</v>
      </c>
      <c r="O104" s="3">
        <f>IFERROR(VLOOKUP(O$1&amp;$A104&amp;$B104,배당편집!$D$2:$N$2710,11,FALSE), 0)</f>
        <v>0</v>
      </c>
      <c r="P104" s="3">
        <f>IFERROR(VLOOKUP(P$1&amp;$A104&amp;$B104,배당편집!$D$2:$N$2710,11,FALSE), 0)</f>
        <v>0.64359999999999995</v>
      </c>
      <c r="Q104" s="3">
        <f>IFERROR(VLOOKUP(Q$1&amp;$A104&amp;$B104,배당편집!$D$2:$N$2710,11,FALSE), 0)</f>
        <v>0</v>
      </c>
      <c r="R104" s="3">
        <f>IFERROR(VLOOKUP(R$1&amp;$A104&amp;$B104,배당편집!$D$2:$N$2710,11,FALSE), 0)</f>
        <v>0</v>
      </c>
      <c r="S104" s="3">
        <f>IFERROR(VLOOKUP(S$1&amp;$A104&amp;$B104,배당편집!$D$2:$N$2710,11,FALSE), 0)</f>
        <v>0</v>
      </c>
      <c r="T104" s="3">
        <f>IFERROR(VLOOKUP(T$1&amp;$A104&amp;$B104,배당편집!$D$2:$N$2710,11,FALSE), 0)</f>
        <v>0.62</v>
      </c>
      <c r="U104" s="3">
        <f>IFERROR(VLOOKUP(U$1&amp;$A104&amp;$B104,배당편집!$D$2:$N$2710,11,FALSE), 0)</f>
        <v>7.4999999999999997E-2</v>
      </c>
      <c r="V104" s="3">
        <f>IFERROR(VLOOKUP(V$1&amp;$A104&amp;$B104,배당편집!$D$2:$N$2710,11,FALSE), 0)</f>
        <v>0.1</v>
      </c>
      <c r="W104" s="3">
        <f>IFERROR(VLOOKUP(W$1&amp;$A104&amp;$B104,배당편집!$D$2:$N$2710,11,FALSE), 0)</f>
        <v>0.23</v>
      </c>
      <c r="X104" s="3">
        <f>IFERROR(VLOOKUP(X$1&amp;$A104&amp;$B104,배당편집!$D$2:$N$2710,11,FALSE), 0)</f>
        <v>0</v>
      </c>
      <c r="Y104" s="3">
        <f>IFERROR(VLOOKUP(Y$1&amp;$A104&amp;$B104,배당편집!$D$2:$N$2710,11,FALSE), 0)</f>
        <v>0</v>
      </c>
      <c r="Z104" s="3">
        <f>IFERROR(VLOOKUP(Z$1&amp;$A104&amp;$B104,배당편집!$D$2:$N$2710,11,FALSE), 0)</f>
        <v>0.155</v>
      </c>
      <c r="AA104" s="3">
        <f>IFERROR(VLOOKUP(AA$1&amp;$A104&amp;$B104,배당편집!$D$2:$N$2710,11,FALSE), 0)</f>
        <v>0</v>
      </c>
      <c r="AB104" s="3">
        <f>IFERROR(VLOOKUP(AB$1&amp;$A104&amp;$B104,배당편집!$D$2:$N$2710,11,FALSE), 0)</f>
        <v>0.22</v>
      </c>
      <c r="AC104" s="3">
        <f>IFERROR(VLOOKUP(AC$1&amp;$A104&amp;$B104,배당편집!$D$2:$N$2710,11,FALSE), 0)</f>
        <v>0</v>
      </c>
      <c r="AD104" s="3">
        <f>IFERROR(VLOOKUP(AD$1&amp;$A104&amp;$B104,배당편집!$D$2:$N$2710,11,FALSE), 0)</f>
        <v>0</v>
      </c>
      <c r="AE104" s="3">
        <f>IFERROR(VLOOKUP(AE$1&amp;$A104&amp;$B104,배당편집!$D$2:$N$2710,11,FALSE), 0)</f>
        <v>0</v>
      </c>
      <c r="AF104" s="3">
        <f>IFERROR(VLOOKUP(AF$1&amp;$A104&amp;$B104,배당편집!$D$2:$N$2710,11,FALSE), 0)</f>
        <v>0</v>
      </c>
    </row>
    <row r="105" spans="1:32" ht="16.5" customHeight="1">
      <c r="A105" s="3">
        <v>2014</v>
      </c>
      <c r="B105" s="3">
        <v>8</v>
      </c>
      <c r="C105" s="3">
        <f>IFERROR(VLOOKUP(C$1&amp;$A105&amp;$B105,배당편집!$D$2:$N$2710,11,FALSE), 0)</f>
        <v>0.33750000000000002</v>
      </c>
      <c r="D105" s="3">
        <f>IFERROR(VLOOKUP(D$1&amp;$A105&amp;$B105,배당편집!$D$2:$N$2710,11,FALSE), 0)</f>
        <v>0</v>
      </c>
      <c r="E105" s="3">
        <f>IFERROR(VLOOKUP(E$1&amp;$A105&amp;$B105,배당편집!$D$2:$N$2710,11,FALSE), 0)</f>
        <v>0</v>
      </c>
      <c r="F105" s="3">
        <f>IFERROR(VLOOKUP(F$1&amp;$A105&amp;$B105,배당편집!$D$2:$N$2710,11,FALSE), 0)</f>
        <v>0</v>
      </c>
      <c r="G105" s="3">
        <f>IFERROR(VLOOKUP(G$1&amp;$A105&amp;$B105,배당편집!$D$2:$N$2710,11,FALSE), 0)</f>
        <v>0.69</v>
      </c>
      <c r="H105" s="3">
        <f>IFERROR(VLOOKUP(H$1&amp;$A105&amp;$B105,배당편집!$D$2:$N$2710,11,FALSE), 0)</f>
        <v>1.07</v>
      </c>
      <c r="I105" s="3">
        <f>IFERROR(VLOOKUP(I$1&amp;$A105&amp;$B105,배당편집!$D$2:$N$2710,11,FALSE), 0)</f>
        <v>0.39</v>
      </c>
      <c r="J105" s="3">
        <f>IFERROR(VLOOKUP(J$1&amp;$A105&amp;$B105,배당편집!$D$2:$N$2710,11,FALSE), 0)</f>
        <v>0</v>
      </c>
      <c r="K105" s="3">
        <f>IFERROR(VLOOKUP(K$1&amp;$A105&amp;$B105,배당편집!$D$2:$N$2710,11,FALSE), 0)</f>
        <v>0</v>
      </c>
      <c r="L105" s="3">
        <f>IFERROR(VLOOKUP(L$1&amp;$A105&amp;$B105,배당편집!$D$2:$N$2710,11,FALSE), 0)</f>
        <v>0.52</v>
      </c>
      <c r="M105" s="3">
        <f>IFERROR(VLOOKUP(M$1&amp;$A105&amp;$B105,배당편집!$D$2:$N$2710,11,FALSE), 0)</f>
        <v>0</v>
      </c>
      <c r="N105" s="3">
        <f>IFERROR(VLOOKUP(N$1&amp;$A105&amp;$B105,배당편집!$D$2:$N$2710,11,FALSE), 0)</f>
        <v>0.43</v>
      </c>
      <c r="O105" s="3">
        <f>IFERROR(VLOOKUP(O$1&amp;$A105&amp;$B105,배당편집!$D$2:$N$2710,11,FALSE), 0)</f>
        <v>0</v>
      </c>
      <c r="P105" s="3">
        <f>IFERROR(VLOOKUP(P$1&amp;$A105&amp;$B105,배당편집!$D$2:$N$2710,11,FALSE), 0)</f>
        <v>0</v>
      </c>
      <c r="Q105" s="3">
        <f>IFERROR(VLOOKUP(Q$1&amp;$A105&amp;$B105,배당편집!$D$2:$N$2710,11,FALSE), 0)</f>
        <v>0.7</v>
      </c>
      <c r="R105" s="3">
        <f>IFERROR(VLOOKUP(R$1&amp;$A105&amp;$B105,배당편집!$D$2:$N$2710,11,FALSE), 0)</f>
        <v>0.37</v>
      </c>
      <c r="S105" s="3">
        <f>IFERROR(VLOOKUP(S$1&amp;$A105&amp;$B105,배당편집!$D$2:$N$2710,11,FALSE), 0)</f>
        <v>0</v>
      </c>
      <c r="T105" s="3">
        <f>IFERROR(VLOOKUP(T$1&amp;$A105&amp;$B105,배당편집!$D$2:$N$2710,11,FALSE), 0)</f>
        <v>0</v>
      </c>
      <c r="U105" s="3">
        <f>IFERROR(VLOOKUP(U$1&amp;$A105&amp;$B105,배당편집!$D$2:$N$2710,11,FALSE), 0)</f>
        <v>0</v>
      </c>
      <c r="V105" s="3">
        <f>IFERROR(VLOOKUP(V$1&amp;$A105&amp;$B105,배당편집!$D$2:$N$2710,11,FALSE), 0)</f>
        <v>0</v>
      </c>
      <c r="W105" s="3">
        <f>IFERROR(VLOOKUP(W$1&amp;$A105&amp;$B105,배당편집!$D$2:$N$2710,11,FALSE), 0)</f>
        <v>0</v>
      </c>
      <c r="X105" s="3">
        <f>IFERROR(VLOOKUP(X$1&amp;$A105&amp;$B105,배당편집!$D$2:$N$2710,11,FALSE), 0)</f>
        <v>0.33500000000000002</v>
      </c>
      <c r="Y105" s="3">
        <f>IFERROR(VLOOKUP(Y$1&amp;$A105&amp;$B105,배당편집!$D$2:$N$2710,11,FALSE), 0)</f>
        <v>0.48</v>
      </c>
      <c r="Z105" s="3">
        <f>IFERROR(VLOOKUP(Z$1&amp;$A105&amp;$B105,배당편집!$D$2:$N$2710,11,FALSE), 0)</f>
        <v>0</v>
      </c>
      <c r="AA105" s="3">
        <f>IFERROR(VLOOKUP(AA$1&amp;$A105&amp;$B105,배당편집!$D$2:$N$2710,11,FALSE), 0)</f>
        <v>0.24</v>
      </c>
      <c r="AB105" s="3">
        <f>IFERROR(VLOOKUP(AB$1&amp;$A105&amp;$B105,배당편집!$D$2:$N$2710,11,FALSE), 0)</f>
        <v>0</v>
      </c>
      <c r="AC105" s="3">
        <f>IFERROR(VLOOKUP(AC$1&amp;$A105&amp;$B105,배당편집!$D$2:$N$2710,11,FALSE), 0)</f>
        <v>0.16250000000000001</v>
      </c>
      <c r="AD105" s="3">
        <f>IFERROR(VLOOKUP(AD$1&amp;$A105&amp;$B105,배당편집!$D$2:$N$2710,11,FALSE), 0)</f>
        <v>0</v>
      </c>
      <c r="AE105" s="3">
        <f>IFERROR(VLOOKUP(AE$1&amp;$A105&amp;$B105,배당편집!$D$2:$N$2710,11,FALSE), 0)</f>
        <v>0.2</v>
      </c>
      <c r="AF105" s="3">
        <f>IFERROR(VLOOKUP(AF$1&amp;$A105&amp;$B105,배당편집!$D$2:$N$2710,11,FALSE), 0)</f>
        <v>0.4</v>
      </c>
    </row>
    <row r="106" spans="1:32" ht="16.5" customHeight="1">
      <c r="A106" s="3">
        <v>2014</v>
      </c>
      <c r="B106" s="3">
        <v>9</v>
      </c>
      <c r="C106" s="3">
        <f>IFERROR(VLOOKUP(C$1&amp;$A106&amp;$B106,배당편집!$D$2:$N$2710,11,FALSE), 0)</f>
        <v>0</v>
      </c>
      <c r="D106" s="3">
        <f>IFERROR(VLOOKUP(D$1&amp;$A106&amp;$B106,배당편집!$D$2:$N$2710,11,FALSE), 0)</f>
        <v>0.31</v>
      </c>
      <c r="E106" s="3">
        <f>IFERROR(VLOOKUP(E$1&amp;$A106&amp;$B106,배당편집!$D$2:$N$2710,11,FALSE), 0)</f>
        <v>0.12</v>
      </c>
      <c r="F106" s="3">
        <f>IFERROR(VLOOKUP(F$1&amp;$A106&amp;$B106,배당편집!$D$2:$N$2710,11,FALSE), 0)</f>
        <v>0.52</v>
      </c>
      <c r="G106" s="3">
        <f>IFERROR(VLOOKUP(G$1&amp;$A106&amp;$B106,배당편집!$D$2:$N$2710,11,FALSE), 0)</f>
        <v>0</v>
      </c>
      <c r="H106" s="3">
        <f>IFERROR(VLOOKUP(H$1&amp;$A106&amp;$B106,배당편집!$D$2:$N$2710,11,FALSE), 0)</f>
        <v>0</v>
      </c>
      <c r="I106" s="3">
        <f>IFERROR(VLOOKUP(I$1&amp;$A106&amp;$B106,배당편집!$D$2:$N$2710,11,FALSE), 0)</f>
        <v>0</v>
      </c>
      <c r="J106" s="3">
        <f>IFERROR(VLOOKUP(J$1&amp;$A106&amp;$B106,배당편집!$D$2:$N$2710,11,FALSE), 0)</f>
        <v>0.38500000000000001</v>
      </c>
      <c r="K106" s="3">
        <f>IFERROR(VLOOKUP(K$1&amp;$A106&amp;$B106,배당편집!$D$2:$N$2710,11,FALSE), 0)</f>
        <v>0</v>
      </c>
      <c r="L106" s="3">
        <f>IFERROR(VLOOKUP(L$1&amp;$A106&amp;$B106,배당편집!$D$2:$N$2710,11,FALSE), 0)</f>
        <v>0</v>
      </c>
      <c r="M106" s="3">
        <f>IFERROR(VLOOKUP(M$1&amp;$A106&amp;$B106,배당편집!$D$2:$N$2710,11,FALSE), 0)</f>
        <v>0.48499999999999999</v>
      </c>
      <c r="N106" s="3">
        <f>IFERROR(VLOOKUP(N$1&amp;$A106&amp;$B106,배당편집!$D$2:$N$2710,11,FALSE), 0)</f>
        <v>0</v>
      </c>
      <c r="O106" s="3">
        <f>IFERROR(VLOOKUP(O$1&amp;$A106&amp;$B106,배당편집!$D$2:$N$2710,11,FALSE), 0)</f>
        <v>0.77</v>
      </c>
      <c r="P106" s="3">
        <f>IFERROR(VLOOKUP(P$1&amp;$A106&amp;$B106,배당편집!$D$2:$N$2710,11,FALSE), 0)</f>
        <v>0</v>
      </c>
      <c r="Q106" s="3">
        <f>IFERROR(VLOOKUP(Q$1&amp;$A106&amp;$B106,배당편집!$D$2:$N$2710,11,FALSE), 0)</f>
        <v>0</v>
      </c>
      <c r="R106" s="3">
        <f>IFERROR(VLOOKUP(R$1&amp;$A106&amp;$B106,배당편집!$D$2:$N$2710,11,FALSE), 0)</f>
        <v>0</v>
      </c>
      <c r="S106" s="3">
        <f>IFERROR(VLOOKUP(S$1&amp;$A106&amp;$B106,배당편집!$D$2:$N$2710,11,FALSE), 0)</f>
        <v>0.57499999999999996</v>
      </c>
      <c r="T106" s="3">
        <f>IFERROR(VLOOKUP(T$1&amp;$A106&amp;$B106,배당편집!$D$2:$N$2710,11,FALSE), 0)</f>
        <v>0</v>
      </c>
      <c r="U106" s="3">
        <f>IFERROR(VLOOKUP(U$1&amp;$A106&amp;$B106,배당편집!$D$2:$N$2710,11,FALSE), 0)</f>
        <v>0</v>
      </c>
      <c r="V106" s="3">
        <f>IFERROR(VLOOKUP(V$1&amp;$A106&amp;$B106,배당편집!$D$2:$N$2710,11,FALSE), 0)</f>
        <v>0</v>
      </c>
      <c r="W106" s="3">
        <f>IFERROR(VLOOKUP(W$1&amp;$A106&amp;$B106,배당편집!$D$2:$N$2710,11,FALSE), 0)</f>
        <v>0</v>
      </c>
      <c r="X106" s="3">
        <f>IFERROR(VLOOKUP(X$1&amp;$A106&amp;$B106,배당편집!$D$2:$N$2710,11,FALSE), 0)</f>
        <v>0</v>
      </c>
      <c r="Y106" s="3">
        <f>IFERROR(VLOOKUP(Y$1&amp;$A106&amp;$B106,배당편집!$D$2:$N$2710,11,FALSE), 0)</f>
        <v>0</v>
      </c>
      <c r="Z106" s="3">
        <f>IFERROR(VLOOKUP(Z$1&amp;$A106&amp;$B106,배당편집!$D$2:$N$2710,11,FALSE), 0)</f>
        <v>0.155</v>
      </c>
      <c r="AA106" s="3">
        <f>IFERROR(VLOOKUP(AA$1&amp;$A106&amp;$B106,배당편집!$D$2:$N$2710,11,FALSE), 0)</f>
        <v>0</v>
      </c>
      <c r="AB106" s="3">
        <f>IFERROR(VLOOKUP(AB$1&amp;$A106&amp;$B106,배당편집!$D$2:$N$2710,11,FALSE), 0)</f>
        <v>0</v>
      </c>
      <c r="AC106" s="3">
        <f>IFERROR(VLOOKUP(AC$1&amp;$A106&amp;$B106,배당편집!$D$2:$N$2710,11,FALSE), 0)</f>
        <v>0</v>
      </c>
      <c r="AD106" s="3">
        <f>IFERROR(VLOOKUP(AD$1&amp;$A106&amp;$B106,배당편집!$D$2:$N$2710,11,FALSE), 0)</f>
        <v>0.48</v>
      </c>
      <c r="AE106" s="3">
        <f>IFERROR(VLOOKUP(AE$1&amp;$A106&amp;$B106,배당편집!$D$2:$N$2710,11,FALSE), 0)</f>
        <v>0</v>
      </c>
      <c r="AF106" s="3">
        <f>IFERROR(VLOOKUP(AF$1&amp;$A106&amp;$B106,배당편집!$D$2:$N$2710,11,FALSE), 0)</f>
        <v>0</v>
      </c>
    </row>
    <row r="107" spans="1:32" ht="16.5" customHeight="1">
      <c r="A107" s="3">
        <v>2014</v>
      </c>
      <c r="B107" s="3">
        <v>10</v>
      </c>
      <c r="C107" s="3">
        <f>IFERROR(VLOOKUP(C$1&amp;$A107&amp;$B107,배당편집!$D$2:$N$2710,11,FALSE), 0)</f>
        <v>0</v>
      </c>
      <c r="D107" s="3">
        <f>IFERROR(VLOOKUP(D$1&amp;$A107&amp;$B107,배당편집!$D$2:$N$2710,11,FALSE), 0)</f>
        <v>0</v>
      </c>
      <c r="E107" s="3">
        <f>IFERROR(VLOOKUP(E$1&amp;$A107&amp;$B107,배당편집!$D$2:$N$2710,11,FALSE), 0)</f>
        <v>0</v>
      </c>
      <c r="F107" s="3">
        <f>IFERROR(VLOOKUP(F$1&amp;$A107&amp;$B107,배당편집!$D$2:$N$2710,11,FALSE), 0)</f>
        <v>0</v>
      </c>
      <c r="G107" s="3">
        <f>IFERROR(VLOOKUP(G$1&amp;$A107&amp;$B107,배당편집!$D$2:$N$2710,11,FALSE), 0)</f>
        <v>0</v>
      </c>
      <c r="H107" s="3">
        <f>IFERROR(VLOOKUP(H$1&amp;$A107&amp;$B107,배당편집!$D$2:$N$2710,11,FALSE), 0)</f>
        <v>0</v>
      </c>
      <c r="I107" s="3">
        <f>IFERROR(VLOOKUP(I$1&amp;$A107&amp;$B107,배당편집!$D$2:$N$2710,11,FALSE), 0)</f>
        <v>0</v>
      </c>
      <c r="J107" s="3">
        <f>IFERROR(VLOOKUP(J$1&amp;$A107&amp;$B107,배당편집!$D$2:$N$2710,11,FALSE), 0)</f>
        <v>0</v>
      </c>
      <c r="K107" s="3">
        <f>IFERROR(VLOOKUP(K$1&amp;$A107&amp;$B107,배당편집!$D$2:$N$2710,11,FALSE), 0)</f>
        <v>0.7</v>
      </c>
      <c r="L107" s="3">
        <f>IFERROR(VLOOKUP(L$1&amp;$A107&amp;$B107,배당편집!$D$2:$N$2710,11,FALSE), 0)</f>
        <v>0</v>
      </c>
      <c r="M107" s="3">
        <f>IFERROR(VLOOKUP(M$1&amp;$A107&amp;$B107,배당편집!$D$2:$N$2710,11,FALSE), 0)</f>
        <v>0</v>
      </c>
      <c r="N107" s="3">
        <f>IFERROR(VLOOKUP(N$1&amp;$A107&amp;$B107,배당편집!$D$2:$N$2710,11,FALSE), 0)</f>
        <v>0</v>
      </c>
      <c r="O107" s="3">
        <f>IFERROR(VLOOKUP(O$1&amp;$A107&amp;$B107,배당편집!$D$2:$N$2710,11,FALSE), 0)</f>
        <v>0</v>
      </c>
      <c r="P107" s="3">
        <f>IFERROR(VLOOKUP(P$1&amp;$A107&amp;$B107,배당편집!$D$2:$N$2710,11,FALSE), 0)</f>
        <v>0.64359999999999995</v>
      </c>
      <c r="Q107" s="3">
        <f>IFERROR(VLOOKUP(Q$1&amp;$A107&amp;$B107,배당편집!$D$2:$N$2710,11,FALSE), 0)</f>
        <v>0</v>
      </c>
      <c r="R107" s="3">
        <f>IFERROR(VLOOKUP(R$1&amp;$A107&amp;$B107,배당편집!$D$2:$N$2710,11,FALSE), 0)</f>
        <v>0</v>
      </c>
      <c r="S107" s="3">
        <f>IFERROR(VLOOKUP(S$1&amp;$A107&amp;$B107,배당편집!$D$2:$N$2710,11,FALSE), 0)</f>
        <v>0</v>
      </c>
      <c r="T107" s="3">
        <f>IFERROR(VLOOKUP(T$1&amp;$A107&amp;$B107,배당편집!$D$2:$N$2710,11,FALSE), 0)</f>
        <v>0.62</v>
      </c>
      <c r="U107" s="3">
        <f>IFERROR(VLOOKUP(U$1&amp;$A107&amp;$B107,배당편집!$D$2:$N$2710,11,FALSE), 0)</f>
        <v>7.4999999999999997E-2</v>
      </c>
      <c r="V107" s="3">
        <f>IFERROR(VLOOKUP(V$1&amp;$A107&amp;$B107,배당편집!$D$2:$N$2710,11,FALSE), 0)</f>
        <v>0.1</v>
      </c>
      <c r="W107" s="3">
        <f>IFERROR(VLOOKUP(W$1&amp;$A107&amp;$B107,배당편집!$D$2:$N$2710,11,FALSE), 0)</f>
        <v>0.23</v>
      </c>
      <c r="X107" s="3">
        <f>IFERROR(VLOOKUP(X$1&amp;$A107&amp;$B107,배당편집!$D$2:$N$2710,11,FALSE), 0)</f>
        <v>0</v>
      </c>
      <c r="Y107" s="3">
        <f>IFERROR(VLOOKUP(Y$1&amp;$A107&amp;$B107,배당편집!$D$2:$N$2710,11,FALSE), 0)</f>
        <v>0</v>
      </c>
      <c r="Z107" s="3">
        <f>IFERROR(VLOOKUP(Z$1&amp;$A107&amp;$B107,배당편집!$D$2:$N$2710,11,FALSE), 0)</f>
        <v>0</v>
      </c>
      <c r="AA107" s="3">
        <f>IFERROR(VLOOKUP(AA$1&amp;$A107&amp;$B107,배당편집!$D$2:$N$2710,11,FALSE), 0)</f>
        <v>0</v>
      </c>
      <c r="AB107" s="3">
        <f>IFERROR(VLOOKUP(AB$1&amp;$A107&amp;$B107,배당편집!$D$2:$N$2710,11,FALSE), 0)</f>
        <v>0.22</v>
      </c>
      <c r="AC107" s="3">
        <f>IFERROR(VLOOKUP(AC$1&amp;$A107&amp;$B107,배당편집!$D$2:$N$2710,11,FALSE), 0)</f>
        <v>0</v>
      </c>
      <c r="AD107" s="3">
        <f>IFERROR(VLOOKUP(AD$1&amp;$A107&amp;$B107,배당편집!$D$2:$N$2710,11,FALSE), 0)</f>
        <v>0</v>
      </c>
      <c r="AE107" s="3">
        <f>IFERROR(VLOOKUP(AE$1&amp;$A107&amp;$B107,배당편집!$D$2:$N$2710,11,FALSE), 0)</f>
        <v>0</v>
      </c>
      <c r="AF107" s="3">
        <f>IFERROR(VLOOKUP(AF$1&amp;$A107&amp;$B107,배당편집!$D$2:$N$2710,11,FALSE), 0)</f>
        <v>0</v>
      </c>
    </row>
    <row r="108" spans="1:32" ht="16.5" customHeight="1">
      <c r="A108" s="3">
        <v>2014</v>
      </c>
      <c r="B108" s="3">
        <v>11</v>
      </c>
      <c r="C108" s="3">
        <f>IFERROR(VLOOKUP(C$1&amp;$A108&amp;$B108,배당편집!$D$2:$N$2710,11,FALSE), 0)</f>
        <v>0.33750000000000002</v>
      </c>
      <c r="D108" s="3">
        <f>IFERROR(VLOOKUP(D$1&amp;$A108&amp;$B108,배당편집!$D$2:$N$2710,11,FALSE), 0)</f>
        <v>0</v>
      </c>
      <c r="E108" s="3">
        <f>IFERROR(VLOOKUP(E$1&amp;$A108&amp;$B108,배당편집!$D$2:$N$2710,11,FALSE), 0)</f>
        <v>0</v>
      </c>
      <c r="F108" s="3">
        <f>IFERROR(VLOOKUP(F$1&amp;$A108&amp;$B108,배당편집!$D$2:$N$2710,11,FALSE), 0)</f>
        <v>0</v>
      </c>
      <c r="G108" s="3">
        <f>IFERROR(VLOOKUP(G$1&amp;$A108&amp;$B108,배당편집!$D$2:$N$2710,11,FALSE), 0)</f>
        <v>0.69</v>
      </c>
      <c r="H108" s="3">
        <f>IFERROR(VLOOKUP(H$1&amp;$A108&amp;$B108,배당편집!$D$2:$N$2710,11,FALSE), 0)</f>
        <v>1.07</v>
      </c>
      <c r="I108" s="3">
        <f>IFERROR(VLOOKUP(I$1&amp;$A108&amp;$B108,배당편집!$D$2:$N$2710,11,FALSE), 0)</f>
        <v>0.39</v>
      </c>
      <c r="J108" s="3">
        <f>IFERROR(VLOOKUP(J$1&amp;$A108&amp;$B108,배당편집!$D$2:$N$2710,11,FALSE), 0)</f>
        <v>0</v>
      </c>
      <c r="K108" s="3">
        <f>IFERROR(VLOOKUP(K$1&amp;$A108&amp;$B108,배당편집!$D$2:$N$2710,11,FALSE), 0)</f>
        <v>0</v>
      </c>
      <c r="L108" s="3">
        <f>IFERROR(VLOOKUP(L$1&amp;$A108&amp;$B108,배당편집!$D$2:$N$2710,11,FALSE), 0)</f>
        <v>0.52</v>
      </c>
      <c r="M108" s="3">
        <f>IFERROR(VLOOKUP(M$1&amp;$A108&amp;$B108,배당편집!$D$2:$N$2710,11,FALSE), 0)</f>
        <v>0</v>
      </c>
      <c r="N108" s="3">
        <f>IFERROR(VLOOKUP(N$1&amp;$A108&amp;$B108,배당편집!$D$2:$N$2710,11,FALSE), 0)</f>
        <v>0.47</v>
      </c>
      <c r="O108" s="3">
        <f>IFERROR(VLOOKUP(O$1&amp;$A108&amp;$B108,배당편집!$D$2:$N$2710,11,FALSE), 0)</f>
        <v>0</v>
      </c>
      <c r="P108" s="3">
        <f>IFERROR(VLOOKUP(P$1&amp;$A108&amp;$B108,배당편집!$D$2:$N$2710,11,FALSE), 0)</f>
        <v>0</v>
      </c>
      <c r="Q108" s="3">
        <f>IFERROR(VLOOKUP(Q$1&amp;$A108&amp;$B108,배당편집!$D$2:$N$2710,11,FALSE), 0)</f>
        <v>0.7</v>
      </c>
      <c r="R108" s="3">
        <f>IFERROR(VLOOKUP(R$1&amp;$A108&amp;$B108,배당편집!$D$2:$N$2710,11,FALSE), 0)</f>
        <v>0.39</v>
      </c>
      <c r="S108" s="3">
        <f>IFERROR(VLOOKUP(S$1&amp;$A108&amp;$B108,배당편집!$D$2:$N$2710,11,FALSE), 0)</f>
        <v>0</v>
      </c>
      <c r="T108" s="3">
        <f>IFERROR(VLOOKUP(T$1&amp;$A108&amp;$B108,배당편집!$D$2:$N$2710,11,FALSE), 0)</f>
        <v>0</v>
      </c>
      <c r="U108" s="3">
        <f>IFERROR(VLOOKUP(U$1&amp;$A108&amp;$B108,배당편집!$D$2:$N$2710,11,FALSE), 0)</f>
        <v>0</v>
      </c>
      <c r="V108" s="3">
        <f>IFERROR(VLOOKUP(V$1&amp;$A108&amp;$B108,배당편집!$D$2:$N$2710,11,FALSE), 0)</f>
        <v>0</v>
      </c>
      <c r="W108" s="3">
        <f>IFERROR(VLOOKUP(W$1&amp;$A108&amp;$B108,배당편집!$D$2:$N$2710,11,FALSE), 0)</f>
        <v>0</v>
      </c>
      <c r="X108" s="3">
        <f>IFERROR(VLOOKUP(X$1&amp;$A108&amp;$B108,배당편집!$D$2:$N$2710,11,FALSE), 0)</f>
        <v>0.33500000000000002</v>
      </c>
      <c r="Y108" s="3">
        <f>IFERROR(VLOOKUP(Y$1&amp;$A108&amp;$B108,배당편집!$D$2:$N$2710,11,FALSE), 0)</f>
        <v>0.63</v>
      </c>
      <c r="Z108" s="3">
        <f>IFERROR(VLOOKUP(Z$1&amp;$A108&amp;$B108,배당편집!$D$2:$N$2710,11,FALSE), 0)</f>
        <v>0</v>
      </c>
      <c r="AA108" s="3">
        <f>IFERROR(VLOOKUP(AA$1&amp;$A108&amp;$B108,배당편집!$D$2:$N$2710,11,FALSE), 0)</f>
        <v>0.24</v>
      </c>
      <c r="AB108" s="3">
        <f>IFERROR(VLOOKUP(AB$1&amp;$A108&amp;$B108,배당편집!$D$2:$N$2710,11,FALSE), 0)</f>
        <v>0</v>
      </c>
      <c r="AC108" s="3">
        <f>IFERROR(VLOOKUP(AC$1&amp;$A108&amp;$B108,배당편집!$D$2:$N$2710,11,FALSE), 0)</f>
        <v>0.16250000000000001</v>
      </c>
      <c r="AD108" s="3">
        <f>IFERROR(VLOOKUP(AD$1&amp;$A108&amp;$B108,배당편집!$D$2:$N$2710,11,FALSE), 0)</f>
        <v>0</v>
      </c>
      <c r="AE108" s="3">
        <f>IFERROR(VLOOKUP(AE$1&amp;$A108&amp;$B108,배당편집!$D$2:$N$2710,11,FALSE), 0)</f>
        <v>0.2</v>
      </c>
      <c r="AF108" s="3">
        <f>IFERROR(VLOOKUP(AF$1&amp;$A108&amp;$B108,배당편집!$D$2:$N$2710,11,FALSE), 0)</f>
        <v>0.4</v>
      </c>
    </row>
    <row r="109" spans="1:32" ht="16.5" customHeight="1">
      <c r="A109" s="3">
        <v>2014</v>
      </c>
      <c r="B109" s="3">
        <v>12</v>
      </c>
      <c r="C109" s="3">
        <f>IFERROR(VLOOKUP(C$1&amp;$A109&amp;$B109,배당편집!$D$2:$N$2710,11,FALSE), 0)</f>
        <v>0</v>
      </c>
      <c r="D109" s="3">
        <f>IFERROR(VLOOKUP(D$1&amp;$A109&amp;$B109,배당편집!$D$2:$N$2710,11,FALSE), 0)</f>
        <v>0.31</v>
      </c>
      <c r="E109" s="3">
        <f>IFERROR(VLOOKUP(E$1&amp;$A109&amp;$B109,배당편집!$D$2:$N$2710,11,FALSE), 0)</f>
        <v>0</v>
      </c>
      <c r="F109" s="3">
        <f>IFERROR(VLOOKUP(F$1&amp;$A109&amp;$B109,배당편집!$D$2:$N$2710,11,FALSE), 0)</f>
        <v>0.52</v>
      </c>
      <c r="G109" s="3">
        <f>IFERROR(VLOOKUP(G$1&amp;$A109&amp;$B109,배당편집!$D$2:$N$2710,11,FALSE), 0)</f>
        <v>0</v>
      </c>
      <c r="H109" s="3">
        <f>IFERROR(VLOOKUP(H$1&amp;$A109&amp;$B109,배당편집!$D$2:$N$2710,11,FALSE), 0)</f>
        <v>0</v>
      </c>
      <c r="I109" s="3">
        <f>IFERROR(VLOOKUP(I$1&amp;$A109&amp;$B109,배당편집!$D$2:$N$2710,11,FALSE), 0)</f>
        <v>0</v>
      </c>
      <c r="J109" s="3">
        <f>IFERROR(VLOOKUP(J$1&amp;$A109&amp;$B109,배당편집!$D$2:$N$2710,11,FALSE), 0)</f>
        <v>0.38500000000000001</v>
      </c>
      <c r="K109" s="3">
        <f>IFERROR(VLOOKUP(K$1&amp;$A109&amp;$B109,배당편집!$D$2:$N$2710,11,FALSE), 0)</f>
        <v>0</v>
      </c>
      <c r="L109" s="3">
        <f>IFERROR(VLOOKUP(L$1&amp;$A109&amp;$B109,배당편집!$D$2:$N$2710,11,FALSE), 0)</f>
        <v>0</v>
      </c>
      <c r="M109" s="3">
        <f>IFERROR(VLOOKUP(M$1&amp;$A109&amp;$B109,배당편집!$D$2:$N$2710,11,FALSE), 0)</f>
        <v>0.48499999999999999</v>
      </c>
      <c r="N109" s="3">
        <f>IFERROR(VLOOKUP(N$1&amp;$A109&amp;$B109,배당편집!$D$2:$N$2710,11,FALSE), 0)</f>
        <v>0</v>
      </c>
      <c r="O109" s="3">
        <f>IFERROR(VLOOKUP(O$1&amp;$A109&amp;$B109,배당편집!$D$2:$N$2710,11,FALSE), 0)</f>
        <v>0.77</v>
      </c>
      <c r="P109" s="3">
        <f>IFERROR(VLOOKUP(P$1&amp;$A109&amp;$B109,배당편집!$D$2:$N$2710,11,FALSE), 0)</f>
        <v>0</v>
      </c>
      <c r="Q109" s="3">
        <f>IFERROR(VLOOKUP(Q$1&amp;$A109&amp;$B109,배당편집!$D$2:$N$2710,11,FALSE), 0)</f>
        <v>0</v>
      </c>
      <c r="R109" s="3">
        <f>IFERROR(VLOOKUP(R$1&amp;$A109&amp;$B109,배당편집!$D$2:$N$2710,11,FALSE), 0)</f>
        <v>0</v>
      </c>
      <c r="S109" s="3">
        <f>IFERROR(VLOOKUP(S$1&amp;$A109&amp;$B109,배당편집!$D$2:$N$2710,11,FALSE), 0)</f>
        <v>0.57499999999999996</v>
      </c>
      <c r="T109" s="3">
        <f>IFERROR(VLOOKUP(T$1&amp;$A109&amp;$B109,배당편집!$D$2:$N$2710,11,FALSE), 0)</f>
        <v>0</v>
      </c>
      <c r="U109" s="3">
        <f>IFERROR(VLOOKUP(U$1&amp;$A109&amp;$B109,배당편집!$D$2:$N$2710,11,FALSE), 0)</f>
        <v>0</v>
      </c>
      <c r="V109" s="3">
        <f>IFERROR(VLOOKUP(V$1&amp;$A109&amp;$B109,배당편집!$D$2:$N$2710,11,FALSE), 0)</f>
        <v>0</v>
      </c>
      <c r="W109" s="3">
        <f>IFERROR(VLOOKUP(W$1&amp;$A109&amp;$B109,배당편집!$D$2:$N$2710,11,FALSE), 0)</f>
        <v>0</v>
      </c>
      <c r="X109" s="3">
        <f>IFERROR(VLOOKUP(X$1&amp;$A109&amp;$B109,배당편집!$D$2:$N$2710,11,FALSE), 0)</f>
        <v>0</v>
      </c>
      <c r="Y109" s="3">
        <f>IFERROR(VLOOKUP(Y$1&amp;$A109&amp;$B109,배당편집!$D$2:$N$2710,11,FALSE), 0)</f>
        <v>0</v>
      </c>
      <c r="Z109" s="3">
        <f>IFERROR(VLOOKUP(Z$1&amp;$A109&amp;$B109,배당편집!$D$2:$N$2710,11,FALSE), 0)</f>
        <v>0.16</v>
      </c>
      <c r="AA109" s="3">
        <f>IFERROR(VLOOKUP(AA$1&amp;$A109&amp;$B109,배당편집!$D$2:$N$2710,11,FALSE), 0)</f>
        <v>0</v>
      </c>
      <c r="AB109" s="3">
        <f>IFERROR(VLOOKUP(AB$1&amp;$A109&amp;$B109,배당편집!$D$2:$N$2710,11,FALSE), 0)</f>
        <v>0</v>
      </c>
      <c r="AC109" s="3">
        <f>IFERROR(VLOOKUP(AC$1&amp;$A109&amp;$B109,배당편집!$D$2:$N$2710,11,FALSE), 0)</f>
        <v>0</v>
      </c>
      <c r="AD109" s="3">
        <f>IFERROR(VLOOKUP(AD$1&amp;$A109&amp;$B109,배당편집!$D$2:$N$2710,11,FALSE), 0)</f>
        <v>0.49</v>
      </c>
      <c r="AE109" s="3">
        <f>IFERROR(VLOOKUP(AE$1&amp;$A109&amp;$B109,배당편집!$D$2:$N$2710,11,FALSE), 0)</f>
        <v>0</v>
      </c>
      <c r="AF109" s="3">
        <f>IFERROR(VLOOKUP(AF$1&amp;$A109&amp;$B109,배당편집!$D$2:$N$2710,11,FALSE), 0)</f>
        <v>0</v>
      </c>
    </row>
    <row r="110" spans="1:32" ht="16.5" customHeight="1">
      <c r="A110" s="3">
        <v>2013</v>
      </c>
      <c r="B110" s="3">
        <v>1</v>
      </c>
      <c r="C110" s="3">
        <f>IFERROR(VLOOKUP(C$1&amp;$A110&amp;$B110,배당편집!$D$2:$N$2710,11,FALSE), 0)</f>
        <v>0</v>
      </c>
      <c r="D110" s="3">
        <f>IFERROR(VLOOKUP(D$1&amp;$A110&amp;$B110,배당편집!$D$2:$N$2710,11,FALSE), 0)</f>
        <v>0</v>
      </c>
      <c r="E110" s="3">
        <f>IFERROR(VLOOKUP(E$1&amp;$A110&amp;$B110,배당편집!$D$2:$N$2710,11,FALSE), 0)</f>
        <v>0</v>
      </c>
      <c r="F110" s="3">
        <f>IFERROR(VLOOKUP(F$1&amp;$A110&amp;$B110,배당편집!$D$2:$N$2710,11,FALSE), 0)</f>
        <v>0</v>
      </c>
      <c r="G110" s="3">
        <f>IFERROR(VLOOKUP(G$1&amp;$A110&amp;$B110,배당편집!$D$2:$N$2710,11,FALSE), 0)</f>
        <v>0</v>
      </c>
      <c r="H110" s="3">
        <f>IFERROR(VLOOKUP(H$1&amp;$A110&amp;$B110,배당편집!$D$2:$N$2710,11,FALSE), 0)</f>
        <v>0</v>
      </c>
      <c r="I110" s="3">
        <f>IFERROR(VLOOKUP(I$1&amp;$A110&amp;$B110,배당편집!$D$2:$N$2710,11,FALSE), 0)</f>
        <v>0</v>
      </c>
      <c r="J110" s="3">
        <f>IFERROR(VLOOKUP(J$1&amp;$A110&amp;$B110,배당편집!$D$2:$N$2710,11,FALSE), 0)</f>
        <v>0</v>
      </c>
      <c r="K110" s="3">
        <f>IFERROR(VLOOKUP(K$1&amp;$A110&amp;$B110,배당편집!$D$2:$N$2710,11,FALSE), 0)</f>
        <v>0</v>
      </c>
      <c r="L110" s="3">
        <f>IFERROR(VLOOKUP(L$1&amp;$A110&amp;$B110,배당편집!$D$2:$N$2710,11,FALSE), 0)</f>
        <v>0</v>
      </c>
      <c r="M110" s="3">
        <f>IFERROR(VLOOKUP(M$1&amp;$A110&amp;$B110,배당편집!$D$2:$N$2710,11,FALSE), 0)</f>
        <v>0</v>
      </c>
      <c r="N110" s="3">
        <f>IFERROR(VLOOKUP(N$1&amp;$A110&amp;$B110,배당편집!$D$2:$N$2710,11,FALSE), 0)</f>
        <v>0</v>
      </c>
      <c r="O110" s="3">
        <f>IFERROR(VLOOKUP(O$1&amp;$A110&amp;$B110,배당편집!$D$2:$N$2710,11,FALSE), 0)</f>
        <v>0</v>
      </c>
      <c r="P110" s="3">
        <f>IFERROR(VLOOKUP(P$1&amp;$A110&amp;$B110,배당편집!$D$2:$N$2710,11,FALSE), 0)</f>
        <v>0.56200000000000006</v>
      </c>
      <c r="Q110" s="3">
        <f>IFERROR(VLOOKUP(Q$1&amp;$A110&amp;$B110,배당편집!$D$2:$N$2710,11,FALSE), 0)</f>
        <v>0</v>
      </c>
      <c r="R110" s="3">
        <f>IFERROR(VLOOKUP(R$1&amp;$A110&amp;$B110,배당편집!$D$2:$N$2710,11,FALSE), 0)</f>
        <v>0</v>
      </c>
      <c r="S110" s="3">
        <f>IFERROR(VLOOKUP(S$1&amp;$A110&amp;$B110,배당편집!$D$2:$N$2710,11,FALSE), 0)</f>
        <v>0</v>
      </c>
      <c r="T110" s="3">
        <f>IFERROR(VLOOKUP(T$1&amp;$A110&amp;$B110,배당편집!$D$2:$N$2710,11,FALSE), 0)</f>
        <v>0</v>
      </c>
      <c r="U110" s="3">
        <f>IFERROR(VLOOKUP(U$1&amp;$A110&amp;$B110,배당편집!$D$2:$N$2710,11,FALSE), 0)</f>
        <v>0.05</v>
      </c>
      <c r="V110" s="3">
        <f>IFERROR(VLOOKUP(V$1&amp;$A110&amp;$B110,배당편집!$D$2:$N$2710,11,FALSE), 0)</f>
        <v>8.5000000000000006E-2</v>
      </c>
      <c r="W110" s="3">
        <f>IFERROR(VLOOKUP(W$1&amp;$A110&amp;$B110,배당편집!$D$2:$N$2710,11,FALSE), 0)</f>
        <v>0.16</v>
      </c>
      <c r="X110" s="3">
        <f>IFERROR(VLOOKUP(X$1&amp;$A110&amp;$B110,배당편집!$D$2:$N$2710,11,FALSE), 0)</f>
        <v>0</v>
      </c>
      <c r="Y110" s="3">
        <f>IFERROR(VLOOKUP(Y$1&amp;$A110&amp;$B110,배당편집!$D$2:$N$2710,11,FALSE), 0)</f>
        <v>0</v>
      </c>
      <c r="Z110" s="3">
        <f>IFERROR(VLOOKUP(Z$1&amp;$A110&amp;$B110,배당편집!$D$2:$N$2710,11,FALSE), 0)</f>
        <v>0</v>
      </c>
      <c r="AA110" s="3">
        <f>IFERROR(VLOOKUP(AA$1&amp;$A110&amp;$B110,배당편집!$D$2:$N$2710,11,FALSE), 0)</f>
        <v>0</v>
      </c>
      <c r="AB110" s="3">
        <f>IFERROR(VLOOKUP(AB$1&amp;$A110&amp;$B110,배당편집!$D$2:$N$2710,11,FALSE), 0)</f>
        <v>0.14000000000000001</v>
      </c>
      <c r="AC110" s="3">
        <f>IFERROR(VLOOKUP(AC$1&amp;$A110&amp;$B110,배당편집!$D$2:$N$2710,11,FALSE), 0)</f>
        <v>0</v>
      </c>
      <c r="AD110" s="3">
        <f>IFERROR(VLOOKUP(AD$1&amp;$A110&amp;$B110,배당편집!$D$2:$N$2710,11,FALSE), 0)</f>
        <v>0</v>
      </c>
      <c r="AE110" s="3">
        <f>IFERROR(VLOOKUP(AE$1&amp;$A110&amp;$B110,배당편집!$D$2:$N$2710,11,FALSE), 0)</f>
        <v>0</v>
      </c>
      <c r="AF110" s="3">
        <f>IFERROR(VLOOKUP(AF$1&amp;$A110&amp;$B110,배당편집!$D$2:$N$2710,11,FALSE), 0)</f>
        <v>0</v>
      </c>
    </row>
    <row r="111" spans="1:32" ht="16.5" customHeight="1">
      <c r="A111" s="3">
        <v>2013</v>
      </c>
      <c r="B111" s="3">
        <v>2</v>
      </c>
      <c r="C111" s="3">
        <f>IFERROR(VLOOKUP(C$1&amp;$A111&amp;$B111,배당편집!$D$2:$N$2710,11,FALSE), 0)</f>
        <v>0.27500000000000002</v>
      </c>
      <c r="D111" s="3">
        <f>IFERROR(VLOOKUP(D$1&amp;$A111&amp;$B111,배당편집!$D$2:$N$2710,11,FALSE), 0)</f>
        <v>0</v>
      </c>
      <c r="E111" s="3">
        <f>IFERROR(VLOOKUP(E$1&amp;$A111&amp;$B111,배당편집!$D$2:$N$2710,11,FALSE), 0)</f>
        <v>0</v>
      </c>
      <c r="F111" s="3">
        <f>IFERROR(VLOOKUP(F$1&amp;$A111&amp;$B111,배당편집!$D$2:$N$2710,11,FALSE), 0)</f>
        <v>0</v>
      </c>
      <c r="G111" s="3">
        <f>IFERROR(VLOOKUP(G$1&amp;$A111&amp;$B111,배당편집!$D$2:$N$2710,11,FALSE), 0)</f>
        <v>0.56999999999999995</v>
      </c>
      <c r="H111" s="3">
        <f>IFERROR(VLOOKUP(H$1&amp;$A111&amp;$B111,배당편집!$D$2:$N$2710,11,FALSE), 0)</f>
        <v>0.9</v>
      </c>
      <c r="I111" s="3">
        <f>IFERROR(VLOOKUP(I$1&amp;$A111&amp;$B111,배당편집!$D$2:$N$2710,11,FALSE), 0)</f>
        <v>0.38</v>
      </c>
      <c r="J111" s="3">
        <f>IFERROR(VLOOKUP(J$1&amp;$A111&amp;$B111,배당편집!$D$2:$N$2710,11,FALSE), 0)</f>
        <v>0</v>
      </c>
      <c r="K111" s="3">
        <f>IFERROR(VLOOKUP(K$1&amp;$A111&amp;$B111,배당편집!$D$2:$N$2710,11,FALSE), 0)</f>
        <v>0</v>
      </c>
      <c r="L111" s="3">
        <f>IFERROR(VLOOKUP(L$1&amp;$A111&amp;$B111,배당편집!$D$2:$N$2710,11,FALSE), 0)</f>
        <v>0.36</v>
      </c>
      <c r="M111" s="3">
        <f>IFERROR(VLOOKUP(M$1&amp;$A111&amp;$B111,배당편집!$D$2:$N$2710,11,FALSE), 0)</f>
        <v>0</v>
      </c>
      <c r="N111" s="3">
        <f>IFERROR(VLOOKUP(N$1&amp;$A111&amp;$B111,배당편집!$D$2:$N$2710,11,FALSE), 0)</f>
        <v>0.41</v>
      </c>
      <c r="O111" s="3">
        <f>IFERROR(VLOOKUP(O$1&amp;$A111&amp;$B111,배당편집!$D$2:$N$2710,11,FALSE), 0)</f>
        <v>0</v>
      </c>
      <c r="P111" s="3">
        <f>IFERROR(VLOOKUP(P$1&amp;$A111&amp;$B111,배당편집!$D$2:$N$2710,11,FALSE), 0)</f>
        <v>0</v>
      </c>
      <c r="Q111" s="3">
        <f>IFERROR(VLOOKUP(Q$1&amp;$A111&amp;$B111,배당편집!$D$2:$N$2710,11,FALSE), 0)</f>
        <v>0.61</v>
      </c>
      <c r="R111" s="3">
        <f>IFERROR(VLOOKUP(R$1&amp;$A111&amp;$B111,배당편집!$D$2:$N$2710,11,FALSE), 0)</f>
        <v>0.35</v>
      </c>
      <c r="S111" s="3">
        <f>IFERROR(VLOOKUP(S$1&amp;$A111&amp;$B111,배당편집!$D$2:$N$2710,11,FALSE), 0)</f>
        <v>0</v>
      </c>
      <c r="T111" s="3">
        <f>IFERROR(VLOOKUP(T$1&amp;$A111&amp;$B111,배당편집!$D$2:$N$2710,11,FALSE), 0)</f>
        <v>0</v>
      </c>
      <c r="U111" s="3">
        <f>IFERROR(VLOOKUP(U$1&amp;$A111&amp;$B111,배당편집!$D$2:$N$2710,11,FALSE), 0)</f>
        <v>0</v>
      </c>
      <c r="V111" s="3">
        <f>IFERROR(VLOOKUP(V$1&amp;$A111&amp;$B111,배당편집!$D$2:$N$2710,11,FALSE), 0)</f>
        <v>0</v>
      </c>
      <c r="W111" s="3">
        <f>IFERROR(VLOOKUP(W$1&amp;$A111&amp;$B111,배당편집!$D$2:$N$2710,11,FALSE), 0)</f>
        <v>0</v>
      </c>
      <c r="X111" s="3">
        <f>IFERROR(VLOOKUP(X$1&amp;$A111&amp;$B111,배당편집!$D$2:$N$2710,11,FALSE), 0)</f>
        <v>0.29499999999999998</v>
      </c>
      <c r="Y111" s="3">
        <f>IFERROR(VLOOKUP(Y$1&amp;$A111&amp;$B111,배당편집!$D$2:$N$2710,11,FALSE), 0)</f>
        <v>0.43</v>
      </c>
      <c r="Z111" s="3">
        <f>IFERROR(VLOOKUP(Z$1&amp;$A111&amp;$B111,배당편집!$D$2:$N$2710,11,FALSE), 0)</f>
        <v>0</v>
      </c>
      <c r="AA111" s="3">
        <f>IFERROR(VLOOKUP(AA$1&amp;$A111&amp;$B111,배당편집!$D$2:$N$2710,11,FALSE), 0)</f>
        <v>0.19</v>
      </c>
      <c r="AB111" s="3">
        <f>IFERROR(VLOOKUP(AB$1&amp;$A111&amp;$B111,배당편집!$D$2:$N$2710,11,FALSE), 0)</f>
        <v>0</v>
      </c>
      <c r="AC111" s="3">
        <f>IFERROR(VLOOKUP(AC$1&amp;$A111&amp;$B111,배당편집!$D$2:$N$2710,11,FALSE), 0)</f>
        <v>0.16</v>
      </c>
      <c r="AD111" s="3">
        <f>IFERROR(VLOOKUP(AD$1&amp;$A111&amp;$B111,배당편집!$D$2:$N$2710,11,FALSE), 0)</f>
        <v>0</v>
      </c>
      <c r="AE111" s="3">
        <f>IFERROR(VLOOKUP(AE$1&amp;$A111&amp;$B111,배당편집!$D$2:$N$2710,11,FALSE), 0)</f>
        <v>0.18</v>
      </c>
      <c r="AF111" s="3">
        <f>IFERROR(VLOOKUP(AF$1&amp;$A111&amp;$B111,배당편집!$D$2:$N$2710,11,FALSE), 0)</f>
        <v>0.35</v>
      </c>
    </row>
    <row r="112" spans="1:32" ht="16.5" customHeight="1">
      <c r="A112" s="3">
        <v>2013</v>
      </c>
      <c r="B112" s="3">
        <v>3</v>
      </c>
      <c r="C112" s="3">
        <f>IFERROR(VLOOKUP(C$1&amp;$A112&amp;$B112,배당편집!$D$2:$N$2710,11,FALSE), 0)</f>
        <v>0</v>
      </c>
      <c r="D112" s="3">
        <f>IFERROR(VLOOKUP(D$1&amp;$A112&amp;$B112,배당편집!$D$2:$N$2710,11,FALSE), 0)</f>
        <v>0.28999999999999998</v>
      </c>
      <c r="E112" s="3">
        <f>IFERROR(VLOOKUP(E$1&amp;$A112&amp;$B112,배당편집!$D$2:$N$2710,11,FALSE), 0)</f>
        <v>0.1</v>
      </c>
      <c r="F112" s="3">
        <f>IFERROR(VLOOKUP(F$1&amp;$A112&amp;$B112,배당편집!$D$2:$N$2710,11,FALSE), 0)</f>
        <v>0.49</v>
      </c>
      <c r="G112" s="3">
        <f>IFERROR(VLOOKUP(G$1&amp;$A112&amp;$B112,배당편집!$D$2:$N$2710,11,FALSE), 0)</f>
        <v>0</v>
      </c>
      <c r="H112" s="3">
        <f>IFERROR(VLOOKUP(H$1&amp;$A112&amp;$B112,배당편집!$D$2:$N$2710,11,FALSE), 0)</f>
        <v>0</v>
      </c>
      <c r="I112" s="3">
        <f>IFERROR(VLOOKUP(I$1&amp;$A112&amp;$B112,배당편집!$D$2:$N$2710,11,FALSE), 0)</f>
        <v>0</v>
      </c>
      <c r="J112" s="3">
        <f>IFERROR(VLOOKUP(J$1&amp;$A112&amp;$B112,배당편집!$D$2:$N$2710,11,FALSE), 0)</f>
        <v>0.36499999999999999</v>
      </c>
      <c r="K112" s="3">
        <f>IFERROR(VLOOKUP(K$1&amp;$A112&amp;$B112,배당편집!$D$2:$N$2710,11,FALSE), 0)</f>
        <v>0</v>
      </c>
      <c r="L112" s="3">
        <f>IFERROR(VLOOKUP(L$1&amp;$A112&amp;$B112,배당편집!$D$2:$N$2710,11,FALSE), 0)</f>
        <v>0</v>
      </c>
      <c r="M112" s="3">
        <f>IFERROR(VLOOKUP(M$1&amp;$A112&amp;$B112,배당편집!$D$2:$N$2710,11,FALSE), 0)</f>
        <v>0.38</v>
      </c>
      <c r="N112" s="3">
        <f>IFERROR(VLOOKUP(N$1&amp;$A112&amp;$B112,배당편집!$D$2:$N$2710,11,FALSE), 0)</f>
        <v>0</v>
      </c>
      <c r="O112" s="3">
        <f>IFERROR(VLOOKUP(O$1&amp;$A112&amp;$B112,배당편집!$D$2:$N$2710,11,FALSE), 0)</f>
        <v>0.71</v>
      </c>
      <c r="P112" s="3">
        <f>IFERROR(VLOOKUP(P$1&amp;$A112&amp;$B112,배당편집!$D$2:$N$2710,11,FALSE), 0)</f>
        <v>0</v>
      </c>
      <c r="Q112" s="3">
        <f>IFERROR(VLOOKUP(Q$1&amp;$A112&amp;$B112,배당편집!$D$2:$N$2710,11,FALSE), 0)</f>
        <v>0</v>
      </c>
      <c r="R112" s="3">
        <f>IFERROR(VLOOKUP(R$1&amp;$A112&amp;$B112,배당편집!$D$2:$N$2710,11,FALSE), 0)</f>
        <v>0</v>
      </c>
      <c r="S112" s="3">
        <f>IFERROR(VLOOKUP(S$1&amp;$A112&amp;$B112,배당편집!$D$2:$N$2710,11,FALSE), 0)</f>
        <v>0.53749999999999998</v>
      </c>
      <c r="T112" s="3">
        <f>IFERROR(VLOOKUP(T$1&amp;$A112&amp;$B112,배당편집!$D$2:$N$2710,11,FALSE), 0)</f>
        <v>0</v>
      </c>
      <c r="U112" s="3">
        <f>IFERROR(VLOOKUP(U$1&amp;$A112&amp;$B112,배당편집!$D$2:$N$2710,11,FALSE), 0)</f>
        <v>0</v>
      </c>
      <c r="V112" s="3">
        <f>IFERROR(VLOOKUP(V$1&amp;$A112&amp;$B112,배당편집!$D$2:$N$2710,11,FALSE), 0)</f>
        <v>0</v>
      </c>
      <c r="W112" s="3">
        <f>IFERROR(VLOOKUP(W$1&amp;$A112&amp;$B112,배당편집!$D$2:$N$2710,11,FALSE), 0)</f>
        <v>0</v>
      </c>
      <c r="X112" s="3">
        <f>IFERROR(VLOOKUP(X$1&amp;$A112&amp;$B112,배당편집!$D$2:$N$2710,11,FALSE), 0)</f>
        <v>0</v>
      </c>
      <c r="Y112" s="3">
        <f>IFERROR(VLOOKUP(Y$1&amp;$A112&amp;$B112,배당편집!$D$2:$N$2710,11,FALSE), 0)</f>
        <v>0</v>
      </c>
      <c r="Z112" s="3">
        <f>IFERROR(VLOOKUP(Z$1&amp;$A112&amp;$B112,배당편집!$D$2:$N$2710,11,FALSE), 0)</f>
        <v>0</v>
      </c>
      <c r="AA112" s="3">
        <f>IFERROR(VLOOKUP(AA$1&amp;$A112&amp;$B112,배당편집!$D$2:$N$2710,11,FALSE), 0)</f>
        <v>0</v>
      </c>
      <c r="AB112" s="3">
        <f>IFERROR(VLOOKUP(AB$1&amp;$A112&amp;$B112,배당편집!$D$2:$N$2710,11,FALSE), 0)</f>
        <v>0</v>
      </c>
      <c r="AC112" s="3">
        <f>IFERROR(VLOOKUP(AC$1&amp;$A112&amp;$B112,배당편집!$D$2:$N$2710,11,FALSE), 0)</f>
        <v>0</v>
      </c>
      <c r="AD112" s="3">
        <f>IFERROR(VLOOKUP(AD$1&amp;$A112&amp;$B112,배당편집!$D$2:$N$2710,11,FALSE), 0)</f>
        <v>0.435</v>
      </c>
      <c r="AE112" s="3">
        <f>IFERROR(VLOOKUP(AE$1&amp;$A112&amp;$B112,배당편집!$D$2:$N$2710,11,FALSE), 0)</f>
        <v>0</v>
      </c>
      <c r="AF112" s="3">
        <f>IFERROR(VLOOKUP(AF$1&amp;$A112&amp;$B112,배당편집!$D$2:$N$2710,11,FALSE), 0)</f>
        <v>0</v>
      </c>
    </row>
    <row r="113" spans="1:32" ht="16.5" customHeight="1">
      <c r="A113" s="3">
        <v>2013</v>
      </c>
      <c r="B113" s="3">
        <v>4</v>
      </c>
      <c r="C113" s="3">
        <f>IFERROR(VLOOKUP(C$1&amp;$A113&amp;$B113,배당편집!$D$2:$N$2710,11,FALSE), 0)</f>
        <v>0</v>
      </c>
      <c r="D113" s="3">
        <f>IFERROR(VLOOKUP(D$1&amp;$A113&amp;$B113,배당편집!$D$2:$N$2710,11,FALSE), 0)</f>
        <v>0</v>
      </c>
      <c r="E113" s="3">
        <f>IFERROR(VLOOKUP(E$1&amp;$A113&amp;$B113,배당편집!$D$2:$N$2710,11,FALSE), 0)</f>
        <v>0</v>
      </c>
      <c r="F113" s="3">
        <f>IFERROR(VLOOKUP(F$1&amp;$A113&amp;$B113,배당편집!$D$2:$N$2710,11,FALSE), 0)</f>
        <v>0</v>
      </c>
      <c r="G113" s="3">
        <f>IFERROR(VLOOKUP(G$1&amp;$A113&amp;$B113,배당편집!$D$2:$N$2710,11,FALSE), 0)</f>
        <v>0</v>
      </c>
      <c r="H113" s="3">
        <f>IFERROR(VLOOKUP(H$1&amp;$A113&amp;$B113,배당편집!$D$2:$N$2710,11,FALSE), 0)</f>
        <v>0</v>
      </c>
      <c r="I113" s="3">
        <f>IFERROR(VLOOKUP(I$1&amp;$A113&amp;$B113,배당편집!$D$2:$N$2710,11,FALSE), 0)</f>
        <v>0</v>
      </c>
      <c r="J113" s="3">
        <f>IFERROR(VLOOKUP(J$1&amp;$A113&amp;$B113,배당편집!$D$2:$N$2710,11,FALSE), 0)</f>
        <v>0</v>
      </c>
      <c r="K113" s="3">
        <f>IFERROR(VLOOKUP(K$1&amp;$A113&amp;$B113,배당편집!$D$2:$N$2710,11,FALSE), 0)</f>
        <v>0.52</v>
      </c>
      <c r="L113" s="3">
        <f>IFERROR(VLOOKUP(L$1&amp;$A113&amp;$B113,배당편집!$D$2:$N$2710,11,FALSE), 0)</f>
        <v>0</v>
      </c>
      <c r="M113" s="3">
        <f>IFERROR(VLOOKUP(M$1&amp;$A113&amp;$B113,배당편집!$D$2:$N$2710,11,FALSE), 0)</f>
        <v>0</v>
      </c>
      <c r="N113" s="3">
        <f>IFERROR(VLOOKUP(N$1&amp;$A113&amp;$B113,배당편집!$D$2:$N$2710,11,FALSE), 0)</f>
        <v>0</v>
      </c>
      <c r="O113" s="3">
        <f>IFERROR(VLOOKUP(O$1&amp;$A113&amp;$B113,배당편집!$D$2:$N$2710,11,FALSE), 0)</f>
        <v>0</v>
      </c>
      <c r="P113" s="3">
        <f>IFERROR(VLOOKUP(P$1&amp;$A113&amp;$B113,배당편집!$D$2:$N$2710,11,FALSE), 0)</f>
        <v>0.60150000000000003</v>
      </c>
      <c r="Q113" s="3">
        <f>IFERROR(VLOOKUP(Q$1&amp;$A113&amp;$B113,배당편집!$D$2:$N$2710,11,FALSE), 0)</f>
        <v>0</v>
      </c>
      <c r="R113" s="3">
        <f>IFERROR(VLOOKUP(R$1&amp;$A113&amp;$B113,배당편집!$D$2:$N$2710,11,FALSE), 0)</f>
        <v>0</v>
      </c>
      <c r="S113" s="3">
        <f>IFERROR(VLOOKUP(S$1&amp;$A113&amp;$B113,배당편집!$D$2:$N$2710,11,FALSE), 0)</f>
        <v>0</v>
      </c>
      <c r="T113" s="3">
        <f>IFERROR(VLOOKUP(T$1&amp;$A113&amp;$B113,배당편집!$D$2:$N$2710,11,FALSE), 0)</f>
        <v>0.56000000000000005</v>
      </c>
      <c r="U113" s="3">
        <f>IFERROR(VLOOKUP(U$1&amp;$A113&amp;$B113,배당편집!$D$2:$N$2710,11,FALSE), 0)</f>
        <v>0.06</v>
      </c>
      <c r="V113" s="3">
        <f>IFERROR(VLOOKUP(V$1&amp;$A113&amp;$B113,배당편집!$D$2:$N$2710,11,FALSE), 0)</f>
        <v>8.5000000000000006E-2</v>
      </c>
      <c r="W113" s="3">
        <f>IFERROR(VLOOKUP(W$1&amp;$A113&amp;$B113,배당편집!$D$2:$N$2710,11,FALSE), 0)</f>
        <v>0.16</v>
      </c>
      <c r="X113" s="3">
        <f>IFERROR(VLOOKUP(X$1&amp;$A113&amp;$B113,배당편집!$D$2:$N$2710,11,FALSE), 0)</f>
        <v>0</v>
      </c>
      <c r="Y113" s="3">
        <f>IFERROR(VLOOKUP(Y$1&amp;$A113&amp;$B113,배당편집!$D$2:$N$2710,11,FALSE), 0)</f>
        <v>0</v>
      </c>
      <c r="Z113" s="3">
        <f>IFERROR(VLOOKUP(Z$1&amp;$A113&amp;$B113,배당편집!$D$2:$N$2710,11,FALSE), 0)</f>
        <v>0.15</v>
      </c>
      <c r="AA113" s="3">
        <f>IFERROR(VLOOKUP(AA$1&amp;$A113&amp;$B113,배당편집!$D$2:$N$2710,11,FALSE), 0)</f>
        <v>0</v>
      </c>
      <c r="AB113" s="3">
        <f>IFERROR(VLOOKUP(AB$1&amp;$A113&amp;$B113,배당편집!$D$2:$N$2710,11,FALSE), 0)</f>
        <v>0.14000000000000001</v>
      </c>
      <c r="AC113" s="3">
        <f>IFERROR(VLOOKUP(AC$1&amp;$A113&amp;$B113,배당편집!$D$2:$N$2710,11,FALSE), 0)</f>
        <v>0</v>
      </c>
      <c r="AD113" s="3">
        <f>IFERROR(VLOOKUP(AD$1&amp;$A113&amp;$B113,배당편집!$D$2:$N$2710,11,FALSE), 0)</f>
        <v>0</v>
      </c>
      <c r="AE113" s="3">
        <f>IFERROR(VLOOKUP(AE$1&amp;$A113&amp;$B113,배당편집!$D$2:$N$2710,11,FALSE), 0)</f>
        <v>0</v>
      </c>
      <c r="AF113" s="3">
        <f>IFERROR(VLOOKUP(AF$1&amp;$A113&amp;$B113,배당편집!$D$2:$N$2710,11,FALSE), 0)</f>
        <v>0</v>
      </c>
    </row>
    <row r="114" spans="1:32" ht="16.5" customHeight="1">
      <c r="A114" s="3">
        <v>2013</v>
      </c>
      <c r="B114" s="3">
        <v>5</v>
      </c>
      <c r="C114" s="3">
        <f>IFERROR(VLOOKUP(C$1&amp;$A114&amp;$B114,배당편집!$D$2:$N$2710,11,FALSE), 0)</f>
        <v>0.27500000000000002</v>
      </c>
      <c r="D114" s="3">
        <f>IFERROR(VLOOKUP(D$1&amp;$A114&amp;$B114,배당편집!$D$2:$N$2710,11,FALSE), 0)</f>
        <v>0</v>
      </c>
      <c r="E114" s="3">
        <f>IFERROR(VLOOKUP(E$1&amp;$A114&amp;$B114,배당편집!$D$2:$N$2710,11,FALSE), 0)</f>
        <v>0</v>
      </c>
      <c r="F114" s="3">
        <f>IFERROR(VLOOKUP(F$1&amp;$A114&amp;$B114,배당편집!$D$2:$N$2710,11,FALSE), 0)</f>
        <v>0</v>
      </c>
      <c r="G114" s="3">
        <f>IFERROR(VLOOKUP(G$1&amp;$A114&amp;$B114,배당편집!$D$2:$N$2710,11,FALSE), 0)</f>
        <v>0.63</v>
      </c>
      <c r="H114" s="3">
        <f>IFERROR(VLOOKUP(H$1&amp;$A114&amp;$B114,배당편집!$D$2:$N$2710,11,FALSE), 0)</f>
        <v>1</v>
      </c>
      <c r="I114" s="3">
        <f>IFERROR(VLOOKUP(I$1&amp;$A114&amp;$B114,배당편집!$D$2:$N$2710,11,FALSE), 0)</f>
        <v>0.38</v>
      </c>
      <c r="J114" s="3">
        <f>IFERROR(VLOOKUP(J$1&amp;$A114&amp;$B114,배당편집!$D$2:$N$2710,11,FALSE), 0)</f>
        <v>0</v>
      </c>
      <c r="K114" s="3">
        <f>IFERROR(VLOOKUP(K$1&amp;$A114&amp;$B114,배당편집!$D$2:$N$2710,11,FALSE), 0)</f>
        <v>0</v>
      </c>
      <c r="L114" s="3">
        <f>IFERROR(VLOOKUP(L$1&amp;$A114&amp;$B114,배당편집!$D$2:$N$2710,11,FALSE), 0)</f>
        <v>0.36</v>
      </c>
      <c r="M114" s="3">
        <f>IFERROR(VLOOKUP(M$1&amp;$A114&amp;$B114,배당편집!$D$2:$N$2710,11,FALSE), 0)</f>
        <v>0</v>
      </c>
      <c r="N114" s="3">
        <f>IFERROR(VLOOKUP(N$1&amp;$A114&amp;$B114,배당편집!$D$2:$N$2710,11,FALSE), 0)</f>
        <v>0.41</v>
      </c>
      <c r="O114" s="3">
        <f>IFERROR(VLOOKUP(O$1&amp;$A114&amp;$B114,배당편집!$D$2:$N$2710,11,FALSE), 0)</f>
        <v>0</v>
      </c>
      <c r="P114" s="3">
        <f>IFERROR(VLOOKUP(P$1&amp;$A114&amp;$B114,배당편집!$D$2:$N$2710,11,FALSE), 0)</f>
        <v>0</v>
      </c>
      <c r="Q114" s="3">
        <f>IFERROR(VLOOKUP(Q$1&amp;$A114&amp;$B114,배당편집!$D$2:$N$2710,11,FALSE), 0)</f>
        <v>0.66</v>
      </c>
      <c r="R114" s="3">
        <f>IFERROR(VLOOKUP(R$1&amp;$A114&amp;$B114,배당편집!$D$2:$N$2710,11,FALSE), 0)</f>
        <v>0.35</v>
      </c>
      <c r="S114" s="3">
        <f>IFERROR(VLOOKUP(S$1&amp;$A114&amp;$B114,배당편집!$D$2:$N$2710,11,FALSE), 0)</f>
        <v>0</v>
      </c>
      <c r="T114" s="3">
        <f>IFERROR(VLOOKUP(T$1&amp;$A114&amp;$B114,배당편집!$D$2:$N$2710,11,FALSE), 0)</f>
        <v>0</v>
      </c>
      <c r="U114" s="3">
        <f>IFERROR(VLOOKUP(U$1&amp;$A114&amp;$B114,배당편집!$D$2:$N$2710,11,FALSE), 0)</f>
        <v>0</v>
      </c>
      <c r="V114" s="3">
        <f>IFERROR(VLOOKUP(V$1&amp;$A114&amp;$B114,배당편집!$D$2:$N$2710,11,FALSE), 0)</f>
        <v>0</v>
      </c>
      <c r="W114" s="3">
        <f>IFERROR(VLOOKUP(W$1&amp;$A114&amp;$B114,배당편집!$D$2:$N$2710,11,FALSE), 0)</f>
        <v>0</v>
      </c>
      <c r="X114" s="3">
        <f>IFERROR(VLOOKUP(X$1&amp;$A114&amp;$B114,배당편집!$D$2:$N$2710,11,FALSE), 0)</f>
        <v>0.30499999999999999</v>
      </c>
      <c r="Y114" s="3">
        <f>IFERROR(VLOOKUP(Y$1&amp;$A114&amp;$B114,배당편집!$D$2:$N$2710,11,FALSE), 0)</f>
        <v>0.45</v>
      </c>
      <c r="Z114" s="3">
        <f>IFERROR(VLOOKUP(Z$1&amp;$A114&amp;$B114,배당편집!$D$2:$N$2710,11,FALSE), 0)</f>
        <v>0</v>
      </c>
      <c r="AA114" s="3">
        <f>IFERROR(VLOOKUP(AA$1&amp;$A114&amp;$B114,배당편집!$D$2:$N$2710,11,FALSE), 0)</f>
        <v>0.19</v>
      </c>
      <c r="AB114" s="3">
        <f>IFERROR(VLOOKUP(AB$1&amp;$A114&amp;$B114,배당편집!$D$2:$N$2710,11,FALSE), 0)</f>
        <v>0</v>
      </c>
      <c r="AC114" s="3">
        <f>IFERROR(VLOOKUP(AC$1&amp;$A114&amp;$B114,배당편집!$D$2:$N$2710,11,FALSE), 0)</f>
        <v>0.16</v>
      </c>
      <c r="AD114" s="3">
        <f>IFERROR(VLOOKUP(AD$1&amp;$A114&amp;$B114,배당편집!$D$2:$N$2710,11,FALSE), 0)</f>
        <v>0</v>
      </c>
      <c r="AE114" s="3">
        <f>IFERROR(VLOOKUP(AE$1&amp;$A114&amp;$B114,배당편집!$D$2:$N$2710,11,FALSE), 0)</f>
        <v>0.18</v>
      </c>
      <c r="AF114" s="3">
        <f>IFERROR(VLOOKUP(AF$1&amp;$A114&amp;$B114,배당편집!$D$2:$N$2710,11,FALSE), 0)</f>
        <v>0.35</v>
      </c>
    </row>
    <row r="115" spans="1:32" ht="16.5" customHeight="1">
      <c r="A115" s="3">
        <v>2013</v>
      </c>
      <c r="B115" s="3">
        <v>6</v>
      </c>
      <c r="C115" s="3">
        <f>IFERROR(VLOOKUP(C$1&amp;$A115&amp;$B115,배당편집!$D$2:$N$2710,11,FALSE), 0)</f>
        <v>0</v>
      </c>
      <c r="D115" s="3">
        <f>IFERROR(VLOOKUP(D$1&amp;$A115&amp;$B115,배당편집!$D$2:$N$2710,11,FALSE), 0)</f>
        <v>0.28999999999999998</v>
      </c>
      <c r="E115" s="3">
        <f>IFERROR(VLOOKUP(E$1&amp;$A115&amp;$B115,배당편집!$D$2:$N$2710,11,FALSE), 0)</f>
        <v>0.1</v>
      </c>
      <c r="F115" s="3">
        <f>IFERROR(VLOOKUP(F$1&amp;$A115&amp;$B115,배당편집!$D$2:$N$2710,11,FALSE), 0)</f>
        <v>0.49</v>
      </c>
      <c r="G115" s="3">
        <f>IFERROR(VLOOKUP(G$1&amp;$A115&amp;$B115,배당편집!$D$2:$N$2710,11,FALSE), 0)</f>
        <v>0</v>
      </c>
      <c r="H115" s="3">
        <f>IFERROR(VLOOKUP(H$1&amp;$A115&amp;$B115,배당편집!$D$2:$N$2710,11,FALSE), 0)</f>
        <v>0</v>
      </c>
      <c r="I115" s="3">
        <f>IFERROR(VLOOKUP(I$1&amp;$A115&amp;$B115,배당편집!$D$2:$N$2710,11,FALSE), 0)</f>
        <v>0</v>
      </c>
      <c r="J115" s="3">
        <f>IFERROR(VLOOKUP(J$1&amp;$A115&amp;$B115,배당편집!$D$2:$N$2710,11,FALSE), 0)</f>
        <v>0.375</v>
      </c>
      <c r="K115" s="3">
        <f>IFERROR(VLOOKUP(K$1&amp;$A115&amp;$B115,배당편집!$D$2:$N$2710,11,FALSE), 0)</f>
        <v>0</v>
      </c>
      <c r="L115" s="3">
        <f>IFERROR(VLOOKUP(L$1&amp;$A115&amp;$B115,배당편집!$D$2:$N$2710,11,FALSE), 0)</f>
        <v>0</v>
      </c>
      <c r="M115" s="3">
        <f>IFERROR(VLOOKUP(M$1&amp;$A115&amp;$B115,배당편집!$D$2:$N$2710,11,FALSE), 0)</f>
        <v>0.38</v>
      </c>
      <c r="N115" s="3">
        <f>IFERROR(VLOOKUP(N$1&amp;$A115&amp;$B115,배당편집!$D$2:$N$2710,11,FALSE), 0)</f>
        <v>0</v>
      </c>
      <c r="O115" s="3">
        <f>IFERROR(VLOOKUP(O$1&amp;$A115&amp;$B115,배당편집!$D$2:$N$2710,11,FALSE), 0)</f>
        <v>0.71</v>
      </c>
      <c r="P115" s="3">
        <f>IFERROR(VLOOKUP(P$1&amp;$A115&amp;$B115,배당편집!$D$2:$N$2710,11,FALSE), 0)</f>
        <v>0</v>
      </c>
      <c r="Q115" s="3">
        <f>IFERROR(VLOOKUP(Q$1&amp;$A115&amp;$B115,배당편집!$D$2:$N$2710,11,FALSE), 0)</f>
        <v>0</v>
      </c>
      <c r="R115" s="3">
        <f>IFERROR(VLOOKUP(R$1&amp;$A115&amp;$B115,배당편집!$D$2:$N$2710,11,FALSE), 0)</f>
        <v>0</v>
      </c>
      <c r="S115" s="3">
        <f>IFERROR(VLOOKUP(S$1&amp;$A115&amp;$B115,배당편집!$D$2:$N$2710,11,FALSE), 0)</f>
        <v>0.53749999999999998</v>
      </c>
      <c r="T115" s="3">
        <f>IFERROR(VLOOKUP(T$1&amp;$A115&amp;$B115,배당편집!$D$2:$N$2710,11,FALSE), 0)</f>
        <v>0</v>
      </c>
      <c r="U115" s="3">
        <f>IFERROR(VLOOKUP(U$1&amp;$A115&amp;$B115,배당편집!$D$2:$N$2710,11,FALSE), 0)</f>
        <v>0</v>
      </c>
      <c r="V115" s="3">
        <f>IFERROR(VLOOKUP(V$1&amp;$A115&amp;$B115,배당편집!$D$2:$N$2710,11,FALSE), 0)</f>
        <v>0</v>
      </c>
      <c r="W115" s="3">
        <f>IFERROR(VLOOKUP(W$1&amp;$A115&amp;$B115,배당편집!$D$2:$N$2710,11,FALSE), 0)</f>
        <v>0</v>
      </c>
      <c r="X115" s="3">
        <f>IFERROR(VLOOKUP(X$1&amp;$A115&amp;$B115,배당편집!$D$2:$N$2710,11,FALSE), 0)</f>
        <v>0</v>
      </c>
      <c r="Y115" s="3">
        <f>IFERROR(VLOOKUP(Y$1&amp;$A115&amp;$B115,배당편집!$D$2:$N$2710,11,FALSE), 0)</f>
        <v>0</v>
      </c>
      <c r="Z115" s="3">
        <f>IFERROR(VLOOKUP(Z$1&amp;$A115&amp;$B115,배당편집!$D$2:$N$2710,11,FALSE), 0)</f>
        <v>0</v>
      </c>
      <c r="AA115" s="3">
        <f>IFERROR(VLOOKUP(AA$1&amp;$A115&amp;$B115,배당편집!$D$2:$N$2710,11,FALSE), 0)</f>
        <v>0</v>
      </c>
      <c r="AB115" s="3">
        <f>IFERROR(VLOOKUP(AB$1&amp;$A115&amp;$B115,배당편집!$D$2:$N$2710,11,FALSE), 0)</f>
        <v>0</v>
      </c>
      <c r="AC115" s="3">
        <f>IFERROR(VLOOKUP(AC$1&amp;$A115&amp;$B115,배당편집!$D$2:$N$2710,11,FALSE), 0)</f>
        <v>0</v>
      </c>
      <c r="AD115" s="3">
        <f>IFERROR(VLOOKUP(AD$1&amp;$A115&amp;$B115,배당편집!$D$2:$N$2710,11,FALSE), 0)</f>
        <v>0.435</v>
      </c>
      <c r="AE115" s="3">
        <f>IFERROR(VLOOKUP(AE$1&amp;$A115&amp;$B115,배당편집!$D$2:$N$2710,11,FALSE), 0)</f>
        <v>0</v>
      </c>
      <c r="AF115" s="3">
        <f>IFERROR(VLOOKUP(AF$1&amp;$A115&amp;$B115,배당편집!$D$2:$N$2710,11,FALSE), 0)</f>
        <v>0</v>
      </c>
    </row>
    <row r="116" spans="1:32" ht="16.5" customHeight="1">
      <c r="A116" s="3">
        <v>2013</v>
      </c>
      <c r="B116" s="3">
        <v>7</v>
      </c>
      <c r="C116" s="3">
        <f>IFERROR(VLOOKUP(C$1&amp;$A116&amp;$B116,배당편집!$D$2:$N$2710,11,FALSE), 0)</f>
        <v>0</v>
      </c>
      <c r="D116" s="3">
        <f>IFERROR(VLOOKUP(D$1&amp;$A116&amp;$B116,배당편집!$D$2:$N$2710,11,FALSE), 0)</f>
        <v>0</v>
      </c>
      <c r="E116" s="3">
        <f>IFERROR(VLOOKUP(E$1&amp;$A116&amp;$B116,배당편집!$D$2:$N$2710,11,FALSE), 0)</f>
        <v>0</v>
      </c>
      <c r="F116" s="3">
        <f>IFERROR(VLOOKUP(F$1&amp;$A116&amp;$B116,배당편집!$D$2:$N$2710,11,FALSE), 0)</f>
        <v>0</v>
      </c>
      <c r="G116" s="3">
        <f>IFERROR(VLOOKUP(G$1&amp;$A116&amp;$B116,배당편집!$D$2:$N$2710,11,FALSE), 0)</f>
        <v>0</v>
      </c>
      <c r="H116" s="3">
        <f>IFERROR(VLOOKUP(H$1&amp;$A116&amp;$B116,배당편집!$D$2:$N$2710,11,FALSE), 0)</f>
        <v>0</v>
      </c>
      <c r="I116" s="3">
        <f>IFERROR(VLOOKUP(I$1&amp;$A116&amp;$B116,배당편집!$D$2:$N$2710,11,FALSE), 0)</f>
        <v>0</v>
      </c>
      <c r="J116" s="3">
        <f>IFERROR(VLOOKUP(J$1&amp;$A116&amp;$B116,배당편집!$D$2:$N$2710,11,FALSE), 0)</f>
        <v>0</v>
      </c>
      <c r="K116" s="3">
        <f>IFERROR(VLOOKUP(K$1&amp;$A116&amp;$B116,배당편집!$D$2:$N$2710,11,FALSE), 0)</f>
        <v>0.6</v>
      </c>
      <c r="L116" s="3">
        <f>IFERROR(VLOOKUP(L$1&amp;$A116&amp;$B116,배당편집!$D$2:$N$2710,11,FALSE), 0)</f>
        <v>0</v>
      </c>
      <c r="M116" s="3">
        <f>IFERROR(VLOOKUP(M$1&amp;$A116&amp;$B116,배당편집!$D$2:$N$2710,11,FALSE), 0)</f>
        <v>0</v>
      </c>
      <c r="N116" s="3">
        <f>IFERROR(VLOOKUP(N$1&amp;$A116&amp;$B116,배당편집!$D$2:$N$2710,11,FALSE), 0)</f>
        <v>0</v>
      </c>
      <c r="O116" s="3">
        <f>IFERROR(VLOOKUP(O$1&amp;$A116&amp;$B116,배당편집!$D$2:$N$2710,11,FALSE), 0)</f>
        <v>0</v>
      </c>
      <c r="P116" s="3">
        <f>IFERROR(VLOOKUP(P$1&amp;$A116&amp;$B116,배당편집!$D$2:$N$2710,11,FALSE), 0)</f>
        <v>0.60150000000000003</v>
      </c>
      <c r="Q116" s="3">
        <f>IFERROR(VLOOKUP(Q$1&amp;$A116&amp;$B116,배당편집!$D$2:$N$2710,11,FALSE), 0)</f>
        <v>0</v>
      </c>
      <c r="R116" s="3">
        <f>IFERROR(VLOOKUP(R$1&amp;$A116&amp;$B116,배당편집!$D$2:$N$2710,11,FALSE), 0)</f>
        <v>0</v>
      </c>
      <c r="S116" s="3">
        <f>IFERROR(VLOOKUP(S$1&amp;$A116&amp;$B116,배당편집!$D$2:$N$2710,11,FALSE), 0)</f>
        <v>0</v>
      </c>
      <c r="T116" s="3">
        <f>IFERROR(VLOOKUP(T$1&amp;$A116&amp;$B116,배당편집!$D$2:$N$2710,11,FALSE), 0)</f>
        <v>0.56000000000000005</v>
      </c>
      <c r="U116" s="3">
        <f>IFERROR(VLOOKUP(U$1&amp;$A116&amp;$B116,배당편집!$D$2:$N$2710,11,FALSE), 0)</f>
        <v>0.06</v>
      </c>
      <c r="V116" s="3">
        <f>IFERROR(VLOOKUP(V$1&amp;$A116&amp;$B116,배당편집!$D$2:$N$2710,11,FALSE), 0)</f>
        <v>8.5000000000000006E-2</v>
      </c>
      <c r="W116" s="3">
        <f>IFERROR(VLOOKUP(W$1&amp;$A116&amp;$B116,배당편집!$D$2:$N$2710,11,FALSE), 0)</f>
        <v>0.18</v>
      </c>
      <c r="X116" s="3">
        <f>IFERROR(VLOOKUP(X$1&amp;$A116&amp;$B116,배당편집!$D$2:$N$2710,11,FALSE), 0)</f>
        <v>0</v>
      </c>
      <c r="Y116" s="3">
        <f>IFERROR(VLOOKUP(Y$1&amp;$A116&amp;$B116,배당편집!$D$2:$N$2710,11,FALSE), 0)</f>
        <v>0</v>
      </c>
      <c r="Z116" s="3">
        <f>IFERROR(VLOOKUP(Z$1&amp;$A116&amp;$B116,배당편집!$D$2:$N$2710,11,FALSE), 0)</f>
        <v>0.15</v>
      </c>
      <c r="AA116" s="3">
        <f>IFERROR(VLOOKUP(AA$1&amp;$A116&amp;$B116,배당편집!$D$2:$N$2710,11,FALSE), 0)</f>
        <v>0</v>
      </c>
      <c r="AB116" s="3">
        <f>IFERROR(VLOOKUP(AB$1&amp;$A116&amp;$B116,배당편집!$D$2:$N$2710,11,FALSE), 0)</f>
        <v>0.14000000000000001</v>
      </c>
      <c r="AC116" s="3">
        <f>IFERROR(VLOOKUP(AC$1&amp;$A116&amp;$B116,배당편집!$D$2:$N$2710,11,FALSE), 0)</f>
        <v>0</v>
      </c>
      <c r="AD116" s="3">
        <f>IFERROR(VLOOKUP(AD$1&amp;$A116&amp;$B116,배당편집!$D$2:$N$2710,11,FALSE), 0)</f>
        <v>0</v>
      </c>
      <c r="AE116" s="3">
        <f>IFERROR(VLOOKUP(AE$1&amp;$A116&amp;$B116,배당편집!$D$2:$N$2710,11,FALSE), 0)</f>
        <v>0</v>
      </c>
      <c r="AF116" s="3">
        <f>IFERROR(VLOOKUP(AF$1&amp;$A116&amp;$B116,배당편집!$D$2:$N$2710,11,FALSE), 0)</f>
        <v>0</v>
      </c>
    </row>
    <row r="117" spans="1:32" ht="16.5" customHeight="1">
      <c r="A117" s="3">
        <v>2013</v>
      </c>
      <c r="B117" s="3">
        <v>8</v>
      </c>
      <c r="C117" s="3">
        <f>IFERROR(VLOOKUP(C$1&amp;$A117&amp;$B117,배당편집!$D$2:$N$2710,11,FALSE), 0)</f>
        <v>0.315</v>
      </c>
      <c r="D117" s="3">
        <f>IFERROR(VLOOKUP(D$1&amp;$A117&amp;$B117,배당편집!$D$2:$N$2710,11,FALSE), 0)</f>
        <v>0</v>
      </c>
      <c r="E117" s="3">
        <f>IFERROR(VLOOKUP(E$1&amp;$A117&amp;$B117,배당편집!$D$2:$N$2710,11,FALSE), 0)</f>
        <v>0</v>
      </c>
      <c r="F117" s="3">
        <f>IFERROR(VLOOKUP(F$1&amp;$A117&amp;$B117,배당편집!$D$2:$N$2710,11,FALSE), 0)</f>
        <v>0</v>
      </c>
      <c r="G117" s="3">
        <f>IFERROR(VLOOKUP(G$1&amp;$A117&amp;$B117,배당편집!$D$2:$N$2710,11,FALSE), 0)</f>
        <v>0.63</v>
      </c>
      <c r="H117" s="3">
        <f>IFERROR(VLOOKUP(H$1&amp;$A117&amp;$B117,배당편집!$D$2:$N$2710,11,FALSE), 0)</f>
        <v>1</v>
      </c>
      <c r="I117" s="3">
        <f>IFERROR(VLOOKUP(I$1&amp;$A117&amp;$B117,배당편집!$D$2:$N$2710,11,FALSE), 0)</f>
        <v>0.38</v>
      </c>
      <c r="J117" s="3">
        <f>IFERROR(VLOOKUP(J$1&amp;$A117&amp;$B117,배당편집!$D$2:$N$2710,11,FALSE), 0)</f>
        <v>0</v>
      </c>
      <c r="K117" s="3">
        <f>IFERROR(VLOOKUP(K$1&amp;$A117&amp;$B117,배당편집!$D$2:$N$2710,11,FALSE), 0)</f>
        <v>0</v>
      </c>
      <c r="L117" s="3">
        <f>IFERROR(VLOOKUP(L$1&amp;$A117&amp;$B117,배당편집!$D$2:$N$2710,11,FALSE), 0)</f>
        <v>0.43</v>
      </c>
      <c r="M117" s="3">
        <f>IFERROR(VLOOKUP(M$1&amp;$A117&amp;$B117,배당편집!$D$2:$N$2710,11,FALSE), 0)</f>
        <v>0</v>
      </c>
      <c r="N117" s="3">
        <f>IFERROR(VLOOKUP(N$1&amp;$A117&amp;$B117,배당편집!$D$2:$N$2710,11,FALSE), 0)</f>
        <v>0.41</v>
      </c>
      <c r="O117" s="3">
        <f>IFERROR(VLOOKUP(O$1&amp;$A117&amp;$B117,배당편집!$D$2:$N$2710,11,FALSE), 0)</f>
        <v>0</v>
      </c>
      <c r="P117" s="3">
        <f>IFERROR(VLOOKUP(P$1&amp;$A117&amp;$B117,배당편집!$D$2:$N$2710,11,FALSE), 0)</f>
        <v>0</v>
      </c>
      <c r="Q117" s="3">
        <f>IFERROR(VLOOKUP(Q$1&amp;$A117&amp;$B117,배당편집!$D$2:$N$2710,11,FALSE), 0)</f>
        <v>0.66</v>
      </c>
      <c r="R117" s="3">
        <f>IFERROR(VLOOKUP(R$1&amp;$A117&amp;$B117,배당편집!$D$2:$N$2710,11,FALSE), 0)</f>
        <v>0.35</v>
      </c>
      <c r="S117" s="3">
        <f>IFERROR(VLOOKUP(S$1&amp;$A117&amp;$B117,배당편집!$D$2:$N$2710,11,FALSE), 0)</f>
        <v>0</v>
      </c>
      <c r="T117" s="3">
        <f>IFERROR(VLOOKUP(T$1&amp;$A117&amp;$B117,배당편집!$D$2:$N$2710,11,FALSE), 0)</f>
        <v>0</v>
      </c>
      <c r="U117" s="3">
        <f>IFERROR(VLOOKUP(U$1&amp;$A117&amp;$B117,배당편집!$D$2:$N$2710,11,FALSE), 0)</f>
        <v>0</v>
      </c>
      <c r="V117" s="3">
        <f>IFERROR(VLOOKUP(V$1&amp;$A117&amp;$B117,배당편집!$D$2:$N$2710,11,FALSE), 0)</f>
        <v>0</v>
      </c>
      <c r="W117" s="3">
        <f>IFERROR(VLOOKUP(W$1&amp;$A117&amp;$B117,배당편집!$D$2:$N$2710,11,FALSE), 0)</f>
        <v>0</v>
      </c>
      <c r="X117" s="3">
        <f>IFERROR(VLOOKUP(X$1&amp;$A117&amp;$B117,배당편집!$D$2:$N$2710,11,FALSE), 0)</f>
        <v>0.30499999999999999</v>
      </c>
      <c r="Y117" s="3">
        <f>IFERROR(VLOOKUP(Y$1&amp;$A117&amp;$B117,배당편집!$D$2:$N$2710,11,FALSE), 0)</f>
        <v>0.45</v>
      </c>
      <c r="Z117" s="3">
        <f>IFERROR(VLOOKUP(Z$1&amp;$A117&amp;$B117,배당편집!$D$2:$N$2710,11,FALSE), 0)</f>
        <v>0</v>
      </c>
      <c r="AA117" s="3">
        <f>IFERROR(VLOOKUP(AA$1&amp;$A117&amp;$B117,배당편집!$D$2:$N$2710,11,FALSE), 0)</f>
        <v>0.19</v>
      </c>
      <c r="AB117" s="3">
        <f>IFERROR(VLOOKUP(AB$1&amp;$A117&amp;$B117,배당편집!$D$2:$N$2710,11,FALSE), 0)</f>
        <v>0</v>
      </c>
      <c r="AC117" s="3">
        <f>IFERROR(VLOOKUP(AC$1&amp;$A117&amp;$B117,배당편집!$D$2:$N$2710,11,FALSE), 0)</f>
        <v>0.16</v>
      </c>
      <c r="AD117" s="3">
        <f>IFERROR(VLOOKUP(AD$1&amp;$A117&amp;$B117,배당편집!$D$2:$N$2710,11,FALSE), 0)</f>
        <v>0</v>
      </c>
      <c r="AE117" s="3">
        <f>IFERROR(VLOOKUP(AE$1&amp;$A117&amp;$B117,배당편집!$D$2:$N$2710,11,FALSE), 0)</f>
        <v>0.18</v>
      </c>
      <c r="AF117" s="3">
        <f>IFERROR(VLOOKUP(AF$1&amp;$A117&amp;$B117,배당편집!$D$2:$N$2710,11,FALSE), 0)</f>
        <v>0.375</v>
      </c>
    </row>
    <row r="118" spans="1:32" ht="16.5" customHeight="1">
      <c r="A118" s="3">
        <v>2013</v>
      </c>
      <c r="B118" s="3">
        <v>9</v>
      </c>
      <c r="C118" s="3">
        <f>IFERROR(VLOOKUP(C$1&amp;$A118&amp;$B118,배당편집!$D$2:$N$2710,11,FALSE), 0)</f>
        <v>0</v>
      </c>
      <c r="D118" s="3">
        <f>IFERROR(VLOOKUP(D$1&amp;$A118&amp;$B118,배당편집!$D$2:$N$2710,11,FALSE), 0)</f>
        <v>0.3</v>
      </c>
      <c r="E118" s="3">
        <f>IFERROR(VLOOKUP(E$1&amp;$A118&amp;$B118,배당편집!$D$2:$N$2710,11,FALSE), 0)</f>
        <v>0.1</v>
      </c>
      <c r="F118" s="3">
        <f>IFERROR(VLOOKUP(F$1&amp;$A118&amp;$B118,배당편집!$D$2:$N$2710,11,FALSE), 0)</f>
        <v>0.5</v>
      </c>
      <c r="G118" s="3">
        <f>IFERROR(VLOOKUP(G$1&amp;$A118&amp;$B118,배당편집!$D$2:$N$2710,11,FALSE), 0)</f>
        <v>0</v>
      </c>
      <c r="H118" s="3">
        <f>IFERROR(VLOOKUP(H$1&amp;$A118&amp;$B118,배당편집!$D$2:$N$2710,11,FALSE), 0)</f>
        <v>0</v>
      </c>
      <c r="I118" s="3">
        <f>IFERROR(VLOOKUP(I$1&amp;$A118&amp;$B118,배당편집!$D$2:$N$2710,11,FALSE), 0)</f>
        <v>0</v>
      </c>
      <c r="J118" s="3">
        <f>IFERROR(VLOOKUP(J$1&amp;$A118&amp;$B118,배당편집!$D$2:$N$2710,11,FALSE), 0)</f>
        <v>0.375</v>
      </c>
      <c r="K118" s="3">
        <f>IFERROR(VLOOKUP(K$1&amp;$A118&amp;$B118,배당편집!$D$2:$N$2710,11,FALSE), 0)</f>
        <v>0</v>
      </c>
      <c r="L118" s="3">
        <f>IFERROR(VLOOKUP(L$1&amp;$A118&amp;$B118,배당편집!$D$2:$N$2710,11,FALSE), 0)</f>
        <v>0</v>
      </c>
      <c r="M118" s="3">
        <f>IFERROR(VLOOKUP(M$1&amp;$A118&amp;$B118,배당편집!$D$2:$N$2710,11,FALSE), 0)</f>
        <v>0.42</v>
      </c>
      <c r="N118" s="3">
        <f>IFERROR(VLOOKUP(N$1&amp;$A118&amp;$B118,배당편집!$D$2:$N$2710,11,FALSE), 0)</f>
        <v>0</v>
      </c>
      <c r="O118" s="3">
        <f>IFERROR(VLOOKUP(O$1&amp;$A118&amp;$B118,배당편집!$D$2:$N$2710,11,FALSE), 0)</f>
        <v>0.71</v>
      </c>
      <c r="P118" s="3">
        <f>IFERROR(VLOOKUP(P$1&amp;$A118&amp;$B118,배당편집!$D$2:$N$2710,11,FALSE), 0)</f>
        <v>0</v>
      </c>
      <c r="Q118" s="3">
        <f>IFERROR(VLOOKUP(Q$1&amp;$A118&amp;$B118,배당편집!$D$2:$N$2710,11,FALSE), 0)</f>
        <v>0</v>
      </c>
      <c r="R118" s="3">
        <f>IFERROR(VLOOKUP(R$1&amp;$A118&amp;$B118,배당편집!$D$2:$N$2710,11,FALSE), 0)</f>
        <v>0</v>
      </c>
      <c r="S118" s="3">
        <f>IFERROR(VLOOKUP(S$1&amp;$A118&amp;$B118,배당편집!$D$2:$N$2710,11,FALSE), 0)</f>
        <v>0.53749999999999998</v>
      </c>
      <c r="T118" s="3">
        <f>IFERROR(VLOOKUP(T$1&amp;$A118&amp;$B118,배당편집!$D$2:$N$2710,11,FALSE), 0)</f>
        <v>0</v>
      </c>
      <c r="U118" s="3">
        <f>IFERROR(VLOOKUP(U$1&amp;$A118&amp;$B118,배당편집!$D$2:$N$2710,11,FALSE), 0)</f>
        <v>0</v>
      </c>
      <c r="V118" s="3">
        <f>IFERROR(VLOOKUP(V$1&amp;$A118&amp;$B118,배당편집!$D$2:$N$2710,11,FALSE), 0)</f>
        <v>0</v>
      </c>
      <c r="W118" s="3">
        <f>IFERROR(VLOOKUP(W$1&amp;$A118&amp;$B118,배당편집!$D$2:$N$2710,11,FALSE), 0)</f>
        <v>0</v>
      </c>
      <c r="X118" s="3">
        <f>IFERROR(VLOOKUP(X$1&amp;$A118&amp;$B118,배당편집!$D$2:$N$2710,11,FALSE), 0)</f>
        <v>0</v>
      </c>
      <c r="Y118" s="3">
        <f>IFERROR(VLOOKUP(Y$1&amp;$A118&amp;$B118,배당편집!$D$2:$N$2710,11,FALSE), 0)</f>
        <v>0</v>
      </c>
      <c r="Z118" s="3">
        <f>IFERROR(VLOOKUP(Z$1&amp;$A118&amp;$B118,배당편집!$D$2:$N$2710,11,FALSE), 0)</f>
        <v>0</v>
      </c>
      <c r="AA118" s="3">
        <f>IFERROR(VLOOKUP(AA$1&amp;$A118&amp;$B118,배당편집!$D$2:$N$2710,11,FALSE), 0)</f>
        <v>0</v>
      </c>
      <c r="AB118" s="3">
        <f>IFERROR(VLOOKUP(AB$1&amp;$A118&amp;$B118,배당편집!$D$2:$N$2710,11,FALSE), 0)</f>
        <v>0</v>
      </c>
      <c r="AC118" s="3">
        <f>IFERROR(VLOOKUP(AC$1&amp;$A118&amp;$B118,배당편집!$D$2:$N$2710,11,FALSE), 0)</f>
        <v>0</v>
      </c>
      <c r="AD118" s="3">
        <f>IFERROR(VLOOKUP(AD$1&amp;$A118&amp;$B118,배당편집!$D$2:$N$2710,11,FALSE), 0)</f>
        <v>0.435</v>
      </c>
      <c r="AE118" s="3">
        <f>IFERROR(VLOOKUP(AE$1&amp;$A118&amp;$B118,배당편집!$D$2:$N$2710,11,FALSE), 0)</f>
        <v>0</v>
      </c>
      <c r="AF118" s="3">
        <f>IFERROR(VLOOKUP(AF$1&amp;$A118&amp;$B118,배당편집!$D$2:$N$2710,11,FALSE), 0)</f>
        <v>0</v>
      </c>
    </row>
    <row r="119" spans="1:32" ht="16.5" customHeight="1">
      <c r="A119" s="3">
        <v>2013</v>
      </c>
      <c r="B119" s="3">
        <v>10</v>
      </c>
      <c r="C119" s="3">
        <f>IFERROR(VLOOKUP(C$1&amp;$A119&amp;$B119,배당편집!$D$2:$N$2710,11,FALSE), 0)</f>
        <v>0</v>
      </c>
      <c r="D119" s="3">
        <f>IFERROR(VLOOKUP(D$1&amp;$A119&amp;$B119,배당편집!$D$2:$N$2710,11,FALSE), 0)</f>
        <v>0</v>
      </c>
      <c r="E119" s="3">
        <f>IFERROR(VLOOKUP(E$1&amp;$A119&amp;$B119,배당편집!$D$2:$N$2710,11,FALSE), 0)</f>
        <v>0</v>
      </c>
      <c r="F119" s="3">
        <f>IFERROR(VLOOKUP(F$1&amp;$A119&amp;$B119,배당편집!$D$2:$N$2710,11,FALSE), 0)</f>
        <v>0</v>
      </c>
      <c r="G119" s="3">
        <f>IFERROR(VLOOKUP(G$1&amp;$A119&amp;$B119,배당편집!$D$2:$N$2710,11,FALSE), 0)</f>
        <v>0</v>
      </c>
      <c r="H119" s="3">
        <f>IFERROR(VLOOKUP(H$1&amp;$A119&amp;$B119,배당편집!$D$2:$N$2710,11,FALSE), 0)</f>
        <v>0</v>
      </c>
      <c r="I119" s="3">
        <f>IFERROR(VLOOKUP(I$1&amp;$A119&amp;$B119,배당편집!$D$2:$N$2710,11,FALSE), 0)</f>
        <v>0</v>
      </c>
      <c r="J119" s="3">
        <f>IFERROR(VLOOKUP(J$1&amp;$A119&amp;$B119,배당편집!$D$2:$N$2710,11,FALSE), 0)</f>
        <v>0</v>
      </c>
      <c r="K119" s="3">
        <f>IFERROR(VLOOKUP(K$1&amp;$A119&amp;$B119,배당편집!$D$2:$N$2710,11,FALSE), 0)</f>
        <v>0.6</v>
      </c>
      <c r="L119" s="3">
        <f>IFERROR(VLOOKUP(L$1&amp;$A119&amp;$B119,배당편집!$D$2:$N$2710,11,FALSE), 0)</f>
        <v>0</v>
      </c>
      <c r="M119" s="3">
        <f>IFERROR(VLOOKUP(M$1&amp;$A119&amp;$B119,배당편집!$D$2:$N$2710,11,FALSE), 0)</f>
        <v>0</v>
      </c>
      <c r="N119" s="3">
        <f>IFERROR(VLOOKUP(N$1&amp;$A119&amp;$B119,배당편집!$D$2:$N$2710,11,FALSE), 0)</f>
        <v>0</v>
      </c>
      <c r="O119" s="3">
        <f>IFERROR(VLOOKUP(O$1&amp;$A119&amp;$B119,배당편집!$D$2:$N$2710,11,FALSE), 0)</f>
        <v>0</v>
      </c>
      <c r="P119" s="3">
        <f>IFERROR(VLOOKUP(P$1&amp;$A119&amp;$B119,배당편집!$D$2:$N$2710,11,FALSE), 0)</f>
        <v>0.60150000000000003</v>
      </c>
      <c r="Q119" s="3">
        <f>IFERROR(VLOOKUP(Q$1&amp;$A119&amp;$B119,배당편집!$D$2:$N$2710,11,FALSE), 0)</f>
        <v>0</v>
      </c>
      <c r="R119" s="3">
        <f>IFERROR(VLOOKUP(R$1&amp;$A119&amp;$B119,배당편집!$D$2:$N$2710,11,FALSE), 0)</f>
        <v>0</v>
      </c>
      <c r="S119" s="3">
        <f>IFERROR(VLOOKUP(S$1&amp;$A119&amp;$B119,배당편집!$D$2:$N$2710,11,FALSE), 0)</f>
        <v>0</v>
      </c>
      <c r="T119" s="3">
        <f>IFERROR(VLOOKUP(T$1&amp;$A119&amp;$B119,배당편집!$D$2:$N$2710,11,FALSE), 0)</f>
        <v>0.56000000000000005</v>
      </c>
      <c r="U119" s="3">
        <f>IFERROR(VLOOKUP(U$1&amp;$A119&amp;$B119,배당편집!$D$2:$N$2710,11,FALSE), 0)</f>
        <v>0.06</v>
      </c>
      <c r="V119" s="3">
        <f>IFERROR(VLOOKUP(V$1&amp;$A119&amp;$B119,배당편집!$D$2:$N$2710,11,FALSE), 0)</f>
        <v>8.5000000000000006E-2</v>
      </c>
      <c r="W119" s="3">
        <f>IFERROR(VLOOKUP(W$1&amp;$A119&amp;$B119,배당편집!$D$2:$N$2710,11,FALSE), 0)</f>
        <v>0.18</v>
      </c>
      <c r="X119" s="3">
        <f>IFERROR(VLOOKUP(X$1&amp;$A119&amp;$B119,배당편집!$D$2:$N$2710,11,FALSE), 0)</f>
        <v>0</v>
      </c>
      <c r="Y119" s="3">
        <f>IFERROR(VLOOKUP(Y$1&amp;$A119&amp;$B119,배당편집!$D$2:$N$2710,11,FALSE), 0)</f>
        <v>0</v>
      </c>
      <c r="Z119" s="3">
        <f>IFERROR(VLOOKUP(Z$1&amp;$A119&amp;$B119,배당편집!$D$2:$N$2710,11,FALSE), 0)</f>
        <v>0.15</v>
      </c>
      <c r="AA119" s="3">
        <f>IFERROR(VLOOKUP(AA$1&amp;$A119&amp;$B119,배당편집!$D$2:$N$2710,11,FALSE), 0)</f>
        <v>0</v>
      </c>
      <c r="AB119" s="3">
        <f>IFERROR(VLOOKUP(AB$1&amp;$A119&amp;$B119,배당편집!$D$2:$N$2710,11,FALSE), 0)</f>
        <v>0.14000000000000001</v>
      </c>
      <c r="AC119" s="3">
        <f>IFERROR(VLOOKUP(AC$1&amp;$A119&amp;$B119,배당편집!$D$2:$N$2710,11,FALSE), 0)</f>
        <v>0</v>
      </c>
      <c r="AD119" s="3">
        <f>IFERROR(VLOOKUP(AD$1&amp;$A119&amp;$B119,배당편집!$D$2:$N$2710,11,FALSE), 0)</f>
        <v>0</v>
      </c>
      <c r="AE119" s="3">
        <f>IFERROR(VLOOKUP(AE$1&amp;$A119&amp;$B119,배당편집!$D$2:$N$2710,11,FALSE), 0)</f>
        <v>0</v>
      </c>
      <c r="AF119" s="3">
        <f>IFERROR(VLOOKUP(AF$1&amp;$A119&amp;$B119,배당편집!$D$2:$N$2710,11,FALSE), 0)</f>
        <v>0</v>
      </c>
    </row>
    <row r="120" spans="1:32" ht="16.5" customHeight="1">
      <c r="A120" s="3">
        <v>2013</v>
      </c>
      <c r="B120" s="3">
        <v>11</v>
      </c>
      <c r="C120" s="3">
        <f>IFERROR(VLOOKUP(C$1&amp;$A120&amp;$B120,배당편집!$D$2:$N$2710,11,FALSE), 0)</f>
        <v>0.315</v>
      </c>
      <c r="D120" s="3">
        <f>IFERROR(VLOOKUP(D$1&amp;$A120&amp;$B120,배당편집!$D$2:$N$2710,11,FALSE), 0)</f>
        <v>0</v>
      </c>
      <c r="E120" s="3">
        <f>IFERROR(VLOOKUP(E$1&amp;$A120&amp;$B120,배당편집!$D$2:$N$2710,11,FALSE), 0)</f>
        <v>0</v>
      </c>
      <c r="F120" s="3">
        <f>IFERROR(VLOOKUP(F$1&amp;$A120&amp;$B120,배당편집!$D$2:$N$2710,11,FALSE), 0)</f>
        <v>0</v>
      </c>
      <c r="G120" s="3">
        <f>IFERROR(VLOOKUP(G$1&amp;$A120&amp;$B120,배당편집!$D$2:$N$2710,11,FALSE), 0)</f>
        <v>0.63</v>
      </c>
      <c r="H120" s="3">
        <f>IFERROR(VLOOKUP(H$1&amp;$A120&amp;$B120,배당편집!$D$2:$N$2710,11,FALSE), 0)</f>
        <v>1</v>
      </c>
      <c r="I120" s="3">
        <f>IFERROR(VLOOKUP(I$1&amp;$A120&amp;$B120,배당편집!$D$2:$N$2710,11,FALSE), 0)</f>
        <v>0.38</v>
      </c>
      <c r="J120" s="3">
        <f>IFERROR(VLOOKUP(J$1&amp;$A120&amp;$B120,배당편집!$D$2:$N$2710,11,FALSE), 0)</f>
        <v>0</v>
      </c>
      <c r="K120" s="3">
        <f>IFERROR(VLOOKUP(K$1&amp;$A120&amp;$B120,배당편집!$D$2:$N$2710,11,FALSE), 0)</f>
        <v>0</v>
      </c>
      <c r="L120" s="3">
        <f>IFERROR(VLOOKUP(L$1&amp;$A120&amp;$B120,배당편집!$D$2:$N$2710,11,FALSE), 0)</f>
        <v>0.43</v>
      </c>
      <c r="M120" s="3">
        <f>IFERROR(VLOOKUP(M$1&amp;$A120&amp;$B120,배당편집!$D$2:$N$2710,11,FALSE), 0)</f>
        <v>0</v>
      </c>
      <c r="N120" s="3">
        <f>IFERROR(VLOOKUP(N$1&amp;$A120&amp;$B120,배당편집!$D$2:$N$2710,11,FALSE), 0)</f>
        <v>0.43</v>
      </c>
      <c r="O120" s="3">
        <f>IFERROR(VLOOKUP(O$1&amp;$A120&amp;$B120,배당편집!$D$2:$N$2710,11,FALSE), 0)</f>
        <v>0</v>
      </c>
      <c r="P120" s="3">
        <f>IFERROR(VLOOKUP(P$1&amp;$A120&amp;$B120,배당편집!$D$2:$N$2710,11,FALSE), 0)</f>
        <v>0</v>
      </c>
      <c r="Q120" s="3">
        <f>IFERROR(VLOOKUP(Q$1&amp;$A120&amp;$B120,배당편집!$D$2:$N$2710,11,FALSE), 0)</f>
        <v>0.66</v>
      </c>
      <c r="R120" s="3">
        <f>IFERROR(VLOOKUP(R$1&amp;$A120&amp;$B120,배당편집!$D$2:$N$2710,11,FALSE), 0)</f>
        <v>0.37</v>
      </c>
      <c r="S120" s="3">
        <f>IFERROR(VLOOKUP(S$1&amp;$A120&amp;$B120,배당편집!$D$2:$N$2710,11,FALSE), 0)</f>
        <v>0</v>
      </c>
      <c r="T120" s="3">
        <f>IFERROR(VLOOKUP(T$1&amp;$A120&amp;$B120,배당편집!$D$2:$N$2710,11,FALSE), 0)</f>
        <v>0</v>
      </c>
      <c r="U120" s="3">
        <f>IFERROR(VLOOKUP(U$1&amp;$A120&amp;$B120,배당편집!$D$2:$N$2710,11,FALSE), 0)</f>
        <v>0</v>
      </c>
      <c r="V120" s="3">
        <f>IFERROR(VLOOKUP(V$1&amp;$A120&amp;$B120,배당편집!$D$2:$N$2710,11,FALSE), 0)</f>
        <v>0</v>
      </c>
      <c r="W120" s="3">
        <f>IFERROR(VLOOKUP(W$1&amp;$A120&amp;$B120,배당편집!$D$2:$N$2710,11,FALSE), 0)</f>
        <v>0</v>
      </c>
      <c r="X120" s="3">
        <f>IFERROR(VLOOKUP(X$1&amp;$A120&amp;$B120,배당편집!$D$2:$N$2710,11,FALSE), 0)</f>
        <v>0.30499999999999999</v>
      </c>
      <c r="Y120" s="3">
        <f>IFERROR(VLOOKUP(Y$1&amp;$A120&amp;$B120,배당편집!$D$2:$N$2710,11,FALSE), 0)</f>
        <v>0.45</v>
      </c>
      <c r="Z120" s="3">
        <f>IFERROR(VLOOKUP(Z$1&amp;$A120&amp;$B120,배당편집!$D$2:$N$2710,11,FALSE), 0)</f>
        <v>0</v>
      </c>
      <c r="AA120" s="3">
        <f>IFERROR(VLOOKUP(AA$1&amp;$A120&amp;$B120,배당편집!$D$2:$N$2710,11,FALSE), 0)</f>
        <v>0.19</v>
      </c>
      <c r="AB120" s="3">
        <f>IFERROR(VLOOKUP(AB$1&amp;$A120&amp;$B120,배당편집!$D$2:$N$2710,11,FALSE), 0)</f>
        <v>0</v>
      </c>
      <c r="AC120" s="3">
        <f>IFERROR(VLOOKUP(AC$1&amp;$A120&amp;$B120,배당편집!$D$2:$N$2710,11,FALSE), 0)</f>
        <v>0.16</v>
      </c>
      <c r="AD120" s="3">
        <f>IFERROR(VLOOKUP(AD$1&amp;$A120&amp;$B120,배당편집!$D$2:$N$2710,11,FALSE), 0)</f>
        <v>0</v>
      </c>
      <c r="AE120" s="3">
        <f>IFERROR(VLOOKUP(AE$1&amp;$A120&amp;$B120,배당편집!$D$2:$N$2710,11,FALSE), 0)</f>
        <v>0.18</v>
      </c>
      <c r="AF120" s="3">
        <f>IFERROR(VLOOKUP(AF$1&amp;$A120&amp;$B120,배당편집!$D$2:$N$2710,11,FALSE), 0)</f>
        <v>0.375</v>
      </c>
    </row>
    <row r="121" spans="1:32" ht="16.5" customHeight="1">
      <c r="A121" s="3">
        <v>2013</v>
      </c>
      <c r="B121" s="3">
        <v>12</v>
      </c>
      <c r="C121" s="3">
        <f>IFERROR(VLOOKUP(C$1&amp;$A121&amp;$B121,배당편집!$D$2:$N$2710,11,FALSE), 0)</f>
        <v>0</v>
      </c>
      <c r="D121" s="3">
        <f>IFERROR(VLOOKUP(D$1&amp;$A121&amp;$B121,배당편집!$D$2:$N$2710,11,FALSE), 0)</f>
        <v>0.3</v>
      </c>
      <c r="E121" s="3">
        <f>IFERROR(VLOOKUP(E$1&amp;$A121&amp;$B121,배당편집!$D$2:$N$2710,11,FALSE), 0)</f>
        <v>0.12</v>
      </c>
      <c r="F121" s="3">
        <f>IFERROR(VLOOKUP(F$1&amp;$A121&amp;$B121,배당편집!$D$2:$N$2710,11,FALSE), 0)</f>
        <v>0.5</v>
      </c>
      <c r="G121" s="3">
        <f>IFERROR(VLOOKUP(G$1&amp;$A121&amp;$B121,배당편집!$D$2:$N$2710,11,FALSE), 0)</f>
        <v>0</v>
      </c>
      <c r="H121" s="3">
        <f>IFERROR(VLOOKUP(H$1&amp;$A121&amp;$B121,배당편집!$D$2:$N$2710,11,FALSE), 0)</f>
        <v>0</v>
      </c>
      <c r="I121" s="3">
        <f>IFERROR(VLOOKUP(I$1&amp;$A121&amp;$B121,배당편집!$D$2:$N$2710,11,FALSE), 0)</f>
        <v>0</v>
      </c>
      <c r="J121" s="3">
        <f>IFERROR(VLOOKUP(J$1&amp;$A121&amp;$B121,배당편집!$D$2:$N$2710,11,FALSE), 0)</f>
        <v>0.375</v>
      </c>
      <c r="K121" s="3">
        <f>IFERROR(VLOOKUP(K$1&amp;$A121&amp;$B121,배당편집!$D$2:$N$2710,11,FALSE), 0)</f>
        <v>0</v>
      </c>
      <c r="L121" s="3">
        <f>IFERROR(VLOOKUP(L$1&amp;$A121&amp;$B121,배당편집!$D$2:$N$2710,11,FALSE), 0)</f>
        <v>0</v>
      </c>
      <c r="M121" s="3">
        <f>IFERROR(VLOOKUP(M$1&amp;$A121&amp;$B121,배당편집!$D$2:$N$2710,11,FALSE), 0)</f>
        <v>0.42</v>
      </c>
      <c r="N121" s="3">
        <f>IFERROR(VLOOKUP(N$1&amp;$A121&amp;$B121,배당편집!$D$2:$N$2710,11,FALSE), 0)</f>
        <v>0</v>
      </c>
      <c r="O121" s="3">
        <f>IFERROR(VLOOKUP(O$1&amp;$A121&amp;$B121,배당편집!$D$2:$N$2710,11,FALSE), 0)</f>
        <v>0.71</v>
      </c>
      <c r="P121" s="3">
        <f>IFERROR(VLOOKUP(P$1&amp;$A121&amp;$B121,배당편집!$D$2:$N$2710,11,FALSE), 0)</f>
        <v>0</v>
      </c>
      <c r="Q121" s="3">
        <f>IFERROR(VLOOKUP(Q$1&amp;$A121&amp;$B121,배당편집!$D$2:$N$2710,11,FALSE), 0)</f>
        <v>0</v>
      </c>
      <c r="R121" s="3">
        <f>IFERROR(VLOOKUP(R$1&amp;$A121&amp;$B121,배당편집!$D$2:$N$2710,11,FALSE), 0)</f>
        <v>0</v>
      </c>
      <c r="S121" s="3">
        <f>IFERROR(VLOOKUP(S$1&amp;$A121&amp;$B121,배당편집!$D$2:$N$2710,11,FALSE), 0)</f>
        <v>0.53749999999999998</v>
      </c>
      <c r="T121" s="3">
        <f>IFERROR(VLOOKUP(T$1&amp;$A121&amp;$B121,배당편집!$D$2:$N$2710,11,FALSE), 0)</f>
        <v>0</v>
      </c>
      <c r="U121" s="3">
        <f>IFERROR(VLOOKUP(U$1&amp;$A121&amp;$B121,배당편집!$D$2:$N$2710,11,FALSE), 0)</f>
        <v>0</v>
      </c>
      <c r="V121" s="3">
        <f>IFERROR(VLOOKUP(V$1&amp;$A121&amp;$B121,배당편집!$D$2:$N$2710,11,FALSE), 0)</f>
        <v>0</v>
      </c>
      <c r="W121" s="3">
        <f>IFERROR(VLOOKUP(W$1&amp;$A121&amp;$B121,배당편집!$D$2:$N$2710,11,FALSE), 0)</f>
        <v>0</v>
      </c>
      <c r="X121" s="3">
        <f>IFERROR(VLOOKUP(X$1&amp;$A121&amp;$B121,배당편집!$D$2:$N$2710,11,FALSE), 0)</f>
        <v>0</v>
      </c>
      <c r="Y121" s="3">
        <f>IFERROR(VLOOKUP(Y$1&amp;$A121&amp;$B121,배당편집!$D$2:$N$2710,11,FALSE), 0)</f>
        <v>0</v>
      </c>
      <c r="Z121" s="3">
        <f>IFERROR(VLOOKUP(Z$1&amp;$A121&amp;$B121,배당편집!$D$2:$N$2710,11,FALSE), 0)</f>
        <v>0.155</v>
      </c>
      <c r="AA121" s="3">
        <f>IFERROR(VLOOKUP(AA$1&amp;$A121&amp;$B121,배당편집!$D$2:$N$2710,11,FALSE), 0)</f>
        <v>0</v>
      </c>
      <c r="AB121" s="3">
        <f>IFERROR(VLOOKUP(AB$1&amp;$A121&amp;$B121,배당편집!$D$2:$N$2710,11,FALSE), 0)</f>
        <v>0</v>
      </c>
      <c r="AC121" s="3">
        <f>IFERROR(VLOOKUP(AC$1&amp;$A121&amp;$B121,배당편집!$D$2:$N$2710,11,FALSE), 0)</f>
        <v>0</v>
      </c>
      <c r="AD121" s="3">
        <f>IFERROR(VLOOKUP(AD$1&amp;$A121&amp;$B121,배당편집!$D$2:$N$2710,11,FALSE), 0)</f>
        <v>0.48</v>
      </c>
      <c r="AE121" s="3">
        <f>IFERROR(VLOOKUP(AE$1&amp;$A121&amp;$B121,배당편집!$D$2:$N$2710,11,FALSE), 0)</f>
        <v>0</v>
      </c>
      <c r="AF121" s="3">
        <f>IFERROR(VLOOKUP(AF$1&amp;$A121&amp;$B121,배당편집!$D$2:$N$2710,11,FALSE), 0)</f>
        <v>0</v>
      </c>
    </row>
    <row r="122" spans="1:32" ht="16.5" customHeight="1">
      <c r="A122" s="3">
        <v>2012</v>
      </c>
      <c r="B122" s="3">
        <v>1</v>
      </c>
      <c r="C122" s="3">
        <f>IFERROR(VLOOKUP(C$1&amp;$A122&amp;$B122,배당편집!$D$2:$N$2710,11,FALSE), 0)</f>
        <v>0</v>
      </c>
      <c r="D122" s="3">
        <f>IFERROR(VLOOKUP(D$1&amp;$A122&amp;$B122,배당편집!$D$2:$N$2710,11,FALSE), 0)</f>
        <v>0</v>
      </c>
      <c r="E122" s="3">
        <f>IFERROR(VLOOKUP(E$1&amp;$A122&amp;$B122,배당편집!$D$2:$N$2710,11,FALSE), 0)</f>
        <v>0</v>
      </c>
      <c r="F122" s="3">
        <f>IFERROR(VLOOKUP(F$1&amp;$A122&amp;$B122,배당편집!$D$2:$N$2710,11,FALSE), 0)</f>
        <v>0</v>
      </c>
      <c r="G122" s="3">
        <f>IFERROR(VLOOKUP(G$1&amp;$A122&amp;$B122,배당편집!$D$2:$N$2710,11,FALSE), 0)</f>
        <v>0</v>
      </c>
      <c r="H122" s="3">
        <f>IFERROR(VLOOKUP(H$1&amp;$A122&amp;$B122,배당편집!$D$2:$N$2710,11,FALSE), 0)</f>
        <v>0</v>
      </c>
      <c r="I122" s="3">
        <f>IFERROR(VLOOKUP(I$1&amp;$A122&amp;$B122,배당편집!$D$2:$N$2710,11,FALSE), 0)</f>
        <v>0</v>
      </c>
      <c r="J122" s="3">
        <f>IFERROR(VLOOKUP(J$1&amp;$A122&amp;$B122,배당편집!$D$2:$N$2710,11,FALSE), 0)</f>
        <v>0</v>
      </c>
      <c r="K122" s="3">
        <f>IFERROR(VLOOKUP(K$1&amp;$A122&amp;$B122,배당편집!$D$2:$N$2710,11,FALSE), 0)</f>
        <v>0.46</v>
      </c>
      <c r="L122" s="3">
        <f>IFERROR(VLOOKUP(L$1&amp;$A122&amp;$B122,배당편집!$D$2:$N$2710,11,FALSE), 0)</f>
        <v>0</v>
      </c>
      <c r="M122" s="3">
        <f>IFERROR(VLOOKUP(M$1&amp;$A122&amp;$B122,배당편집!$D$2:$N$2710,11,FALSE), 0)</f>
        <v>0</v>
      </c>
      <c r="N122" s="3">
        <f>IFERROR(VLOOKUP(N$1&amp;$A122&amp;$B122,배당편집!$D$2:$N$2710,11,FALSE), 0)</f>
        <v>0</v>
      </c>
      <c r="O122" s="3">
        <f>IFERROR(VLOOKUP(O$1&amp;$A122&amp;$B122,배당편집!$D$2:$N$2710,11,FALSE), 0)</f>
        <v>0</v>
      </c>
      <c r="P122" s="3">
        <f>IFERROR(VLOOKUP(P$1&amp;$A122&amp;$B122,배당편집!$D$2:$N$2710,11,FALSE), 0)</f>
        <v>0.52500000000000002</v>
      </c>
      <c r="Q122" s="3">
        <f>IFERROR(VLOOKUP(Q$1&amp;$A122&amp;$B122,배당편집!$D$2:$N$2710,11,FALSE), 0)</f>
        <v>0</v>
      </c>
      <c r="R122" s="3">
        <f>IFERROR(VLOOKUP(R$1&amp;$A122&amp;$B122,배당편집!$D$2:$N$2710,11,FALSE), 0)</f>
        <v>0</v>
      </c>
      <c r="S122" s="3">
        <f>IFERROR(VLOOKUP(S$1&amp;$A122&amp;$B122,배당편집!$D$2:$N$2710,11,FALSE), 0)</f>
        <v>0</v>
      </c>
      <c r="T122" s="3">
        <f>IFERROR(VLOOKUP(T$1&amp;$A122&amp;$B122,배당편집!$D$2:$N$2710,11,FALSE), 0)</f>
        <v>0.47</v>
      </c>
      <c r="U122" s="3">
        <f>IFERROR(VLOOKUP(U$1&amp;$A122&amp;$B122,배당편집!$D$2:$N$2710,11,FALSE), 0)</f>
        <v>0.04</v>
      </c>
      <c r="V122" s="3">
        <f>IFERROR(VLOOKUP(V$1&amp;$A122&amp;$B122,배당편집!$D$2:$N$2710,11,FALSE), 0)</f>
        <v>7.4999999999999997E-2</v>
      </c>
      <c r="W122" s="3">
        <f>IFERROR(VLOOKUP(W$1&amp;$A122&amp;$B122,배당편집!$D$2:$N$2710,11,FALSE), 0)</f>
        <v>0.14000000000000001</v>
      </c>
      <c r="X122" s="3">
        <f>IFERROR(VLOOKUP(X$1&amp;$A122&amp;$B122,배당편집!$D$2:$N$2710,11,FALSE), 0)</f>
        <v>0</v>
      </c>
      <c r="Y122" s="3">
        <f>IFERROR(VLOOKUP(Y$1&amp;$A122&amp;$B122,배당편집!$D$2:$N$2710,11,FALSE), 0)</f>
        <v>0</v>
      </c>
      <c r="Z122" s="3">
        <f>IFERROR(VLOOKUP(Z$1&amp;$A122&amp;$B122,배당편집!$D$2:$N$2710,11,FALSE), 0)</f>
        <v>0.14499999999999999</v>
      </c>
      <c r="AA122" s="3">
        <f>IFERROR(VLOOKUP(AA$1&amp;$A122&amp;$B122,배당편집!$D$2:$N$2710,11,FALSE), 0)</f>
        <v>0</v>
      </c>
      <c r="AB122" s="3">
        <f>IFERROR(VLOOKUP(AB$1&amp;$A122&amp;$B122,배당편집!$D$2:$N$2710,11,FALSE), 0)</f>
        <v>0.12</v>
      </c>
      <c r="AC122" s="3">
        <f>IFERROR(VLOOKUP(AC$1&amp;$A122&amp;$B122,배당편집!$D$2:$N$2710,11,FALSE), 0)</f>
        <v>0</v>
      </c>
      <c r="AD122" s="3">
        <f>IFERROR(VLOOKUP(AD$1&amp;$A122&amp;$B122,배당편집!$D$2:$N$2710,11,FALSE), 0)</f>
        <v>0</v>
      </c>
      <c r="AE122" s="3">
        <f>IFERROR(VLOOKUP(AE$1&amp;$A122&amp;$B122,배당편집!$D$2:$N$2710,11,FALSE), 0)</f>
        <v>0</v>
      </c>
      <c r="AF122" s="3">
        <f>IFERROR(VLOOKUP(AF$1&amp;$A122&amp;$B122,배당편집!$D$2:$N$2710,11,FALSE), 0)</f>
        <v>0</v>
      </c>
    </row>
    <row r="123" spans="1:32" ht="16.5" customHeight="1">
      <c r="A123" s="3">
        <v>2012</v>
      </c>
      <c r="B123" s="3">
        <v>2</v>
      </c>
      <c r="C123" s="3">
        <f>IFERROR(VLOOKUP(C$1&amp;$A123&amp;$B123,배당편집!$D$2:$N$2710,11,FALSE), 0)</f>
        <v>0.22500000000000001</v>
      </c>
      <c r="D123" s="3">
        <f>IFERROR(VLOOKUP(D$1&amp;$A123&amp;$B123,배당편집!$D$2:$N$2710,11,FALSE), 0)</f>
        <v>0</v>
      </c>
      <c r="E123" s="3">
        <f>IFERROR(VLOOKUP(E$1&amp;$A123&amp;$B123,배당편집!$D$2:$N$2710,11,FALSE), 0)</f>
        <v>0</v>
      </c>
      <c r="F123" s="3">
        <f>IFERROR(VLOOKUP(F$1&amp;$A123&amp;$B123,배당편집!$D$2:$N$2710,11,FALSE), 0)</f>
        <v>0</v>
      </c>
      <c r="G123" s="3">
        <f>IFERROR(VLOOKUP(G$1&amp;$A123&amp;$B123,배당편집!$D$2:$N$2710,11,FALSE), 0)</f>
        <v>0.47</v>
      </c>
      <c r="H123" s="3">
        <f>IFERROR(VLOOKUP(H$1&amp;$A123&amp;$B123,배당편집!$D$2:$N$2710,11,FALSE), 0)</f>
        <v>0.81</v>
      </c>
      <c r="I123" s="3">
        <f>IFERROR(VLOOKUP(I$1&amp;$A123&amp;$B123,배당편집!$D$2:$N$2710,11,FALSE), 0)</f>
        <v>0.37</v>
      </c>
      <c r="J123" s="3">
        <f>IFERROR(VLOOKUP(J$1&amp;$A123&amp;$B123,배당편집!$D$2:$N$2710,11,FALSE), 0)</f>
        <v>0</v>
      </c>
      <c r="K123" s="3">
        <f>IFERROR(VLOOKUP(K$1&amp;$A123&amp;$B123,배당편집!$D$2:$N$2710,11,FALSE), 0)</f>
        <v>0</v>
      </c>
      <c r="L123" s="3">
        <f>IFERROR(VLOOKUP(L$1&amp;$A123&amp;$B123,배당편집!$D$2:$N$2710,11,FALSE), 0)</f>
        <v>0.3</v>
      </c>
      <c r="M123" s="3">
        <f>IFERROR(VLOOKUP(M$1&amp;$A123&amp;$B123,배당편집!$D$2:$N$2710,11,FALSE), 0)</f>
        <v>0</v>
      </c>
      <c r="N123" s="3">
        <f>IFERROR(VLOOKUP(N$1&amp;$A123&amp;$B123,배당편집!$D$2:$N$2710,11,FALSE), 0)</f>
        <v>0.4</v>
      </c>
      <c r="O123" s="3">
        <f>IFERROR(VLOOKUP(O$1&amp;$A123&amp;$B123,배당편집!$D$2:$N$2710,11,FALSE), 0)</f>
        <v>0</v>
      </c>
      <c r="P123" s="3">
        <f>IFERROR(VLOOKUP(P$1&amp;$A123&amp;$B123,배당편집!$D$2:$N$2710,11,FALSE), 0)</f>
        <v>0</v>
      </c>
      <c r="Q123" s="3">
        <f>IFERROR(VLOOKUP(Q$1&amp;$A123&amp;$B123,배당편집!$D$2:$N$2710,11,FALSE), 0)</f>
        <v>0.56999999999999995</v>
      </c>
      <c r="R123" s="3">
        <f>IFERROR(VLOOKUP(R$1&amp;$A123&amp;$B123,배당편집!$D$2:$N$2710,11,FALSE), 0)</f>
        <v>0.34499999999999997</v>
      </c>
      <c r="S123" s="3">
        <f>IFERROR(VLOOKUP(S$1&amp;$A123&amp;$B123,배당편집!$D$2:$N$2710,11,FALSE), 0)</f>
        <v>0</v>
      </c>
      <c r="T123" s="3">
        <f>IFERROR(VLOOKUP(T$1&amp;$A123&amp;$B123,배당편집!$D$2:$N$2710,11,FALSE), 0)</f>
        <v>0</v>
      </c>
      <c r="U123" s="3">
        <f>IFERROR(VLOOKUP(U$1&amp;$A123&amp;$B123,배당편집!$D$2:$N$2710,11,FALSE), 0)</f>
        <v>0</v>
      </c>
      <c r="V123" s="3">
        <f>IFERROR(VLOOKUP(V$1&amp;$A123&amp;$B123,배당편집!$D$2:$N$2710,11,FALSE), 0)</f>
        <v>0</v>
      </c>
      <c r="W123" s="3">
        <f>IFERROR(VLOOKUP(W$1&amp;$A123&amp;$B123,배당편집!$D$2:$N$2710,11,FALSE), 0)</f>
        <v>0</v>
      </c>
      <c r="X123" s="3">
        <f>IFERROR(VLOOKUP(X$1&amp;$A123&amp;$B123,배당편집!$D$2:$N$2710,11,FALSE), 0)</f>
        <v>0.28499999999999998</v>
      </c>
      <c r="Y123" s="3">
        <f>IFERROR(VLOOKUP(Y$1&amp;$A123&amp;$B123,배당편집!$D$2:$N$2710,11,FALSE), 0)</f>
        <v>0.39</v>
      </c>
      <c r="Z123" s="3">
        <f>IFERROR(VLOOKUP(Z$1&amp;$A123&amp;$B123,배당편집!$D$2:$N$2710,11,FALSE), 0)</f>
        <v>0</v>
      </c>
      <c r="AA123" s="3">
        <f>IFERROR(VLOOKUP(AA$1&amp;$A123&amp;$B123,배당편집!$D$2:$N$2710,11,FALSE), 0)</f>
        <v>0.17499999999999999</v>
      </c>
      <c r="AB123" s="3">
        <f>IFERROR(VLOOKUP(AB$1&amp;$A123&amp;$B123,배당편집!$D$2:$N$2710,11,FALSE), 0)</f>
        <v>0</v>
      </c>
      <c r="AC123" s="3">
        <f>IFERROR(VLOOKUP(AC$1&amp;$A123&amp;$B123,배당편집!$D$2:$N$2710,11,FALSE), 0)</f>
        <v>0.1575</v>
      </c>
      <c r="AD123" s="3">
        <f>IFERROR(VLOOKUP(AD$1&amp;$A123&amp;$B123,배당편집!$D$2:$N$2710,11,FALSE), 0)</f>
        <v>0</v>
      </c>
      <c r="AE123" s="3">
        <f>IFERROR(VLOOKUP(AE$1&amp;$A123&amp;$B123,배당편집!$D$2:$N$2710,11,FALSE), 0)</f>
        <v>0.17</v>
      </c>
      <c r="AF123" s="3">
        <f>IFERROR(VLOOKUP(AF$1&amp;$A123&amp;$B123,배당편집!$D$2:$N$2710,11,FALSE), 0)</f>
        <v>0.315</v>
      </c>
    </row>
    <row r="124" spans="1:32" ht="16.5" customHeight="1">
      <c r="A124" s="3">
        <v>2012</v>
      </c>
      <c r="B124" s="3">
        <v>3</v>
      </c>
      <c r="C124" s="3">
        <f>IFERROR(VLOOKUP(C$1&amp;$A124&amp;$B124,배당편집!$D$2:$N$2710,11,FALSE), 0)</f>
        <v>0</v>
      </c>
      <c r="D124" s="3">
        <f>IFERROR(VLOOKUP(D$1&amp;$A124&amp;$B124,배당편집!$D$2:$N$2710,11,FALSE), 0)</f>
        <v>0.28000000000000003</v>
      </c>
      <c r="E124" s="3">
        <f>IFERROR(VLOOKUP(E$1&amp;$A124&amp;$B124,배당편집!$D$2:$N$2710,11,FALSE), 0)</f>
        <v>0.09</v>
      </c>
      <c r="F124" s="3">
        <f>IFERROR(VLOOKUP(F$1&amp;$A124&amp;$B124,배당편집!$D$2:$N$2710,11,FALSE), 0)</f>
        <v>0.41</v>
      </c>
      <c r="G124" s="3">
        <f>IFERROR(VLOOKUP(G$1&amp;$A124&amp;$B124,배당편집!$D$2:$N$2710,11,FALSE), 0)</f>
        <v>0</v>
      </c>
      <c r="H124" s="3">
        <f>IFERROR(VLOOKUP(H$1&amp;$A124&amp;$B124,배당편집!$D$2:$N$2710,11,FALSE), 0)</f>
        <v>0</v>
      </c>
      <c r="I124" s="3">
        <f>IFERROR(VLOOKUP(I$1&amp;$A124&amp;$B124,배당편집!$D$2:$N$2710,11,FALSE), 0)</f>
        <v>0</v>
      </c>
      <c r="J124" s="3">
        <f>IFERROR(VLOOKUP(J$1&amp;$A124&amp;$B124,배당편집!$D$2:$N$2710,11,FALSE), 0)</f>
        <v>0.35499999999999998</v>
      </c>
      <c r="K124" s="3">
        <f>IFERROR(VLOOKUP(K$1&amp;$A124&amp;$B124,배당편집!$D$2:$N$2710,11,FALSE), 0)</f>
        <v>0</v>
      </c>
      <c r="L124" s="3">
        <f>IFERROR(VLOOKUP(L$1&amp;$A124&amp;$B124,배당편집!$D$2:$N$2710,11,FALSE), 0)</f>
        <v>0</v>
      </c>
      <c r="M124" s="3">
        <f>IFERROR(VLOOKUP(M$1&amp;$A124&amp;$B124,배당편집!$D$2:$N$2710,11,FALSE), 0)</f>
        <v>0.36</v>
      </c>
      <c r="N124" s="3">
        <f>IFERROR(VLOOKUP(N$1&amp;$A124&amp;$B124,배당편집!$D$2:$N$2710,11,FALSE), 0)</f>
        <v>0</v>
      </c>
      <c r="O124" s="3">
        <f>IFERROR(VLOOKUP(O$1&amp;$A124&amp;$B124,배당편집!$D$2:$N$2710,11,FALSE), 0)</f>
        <v>0.64</v>
      </c>
      <c r="P124" s="3">
        <f>IFERROR(VLOOKUP(P$1&amp;$A124&amp;$B124,배당편집!$D$2:$N$2710,11,FALSE), 0)</f>
        <v>0</v>
      </c>
      <c r="Q124" s="3">
        <f>IFERROR(VLOOKUP(Q$1&amp;$A124&amp;$B124,배당편집!$D$2:$N$2710,11,FALSE), 0)</f>
        <v>0</v>
      </c>
      <c r="R124" s="3">
        <f>IFERROR(VLOOKUP(R$1&amp;$A124&amp;$B124,배당편집!$D$2:$N$2710,11,FALSE), 0)</f>
        <v>0</v>
      </c>
      <c r="S124" s="3">
        <f>IFERROR(VLOOKUP(S$1&amp;$A124&amp;$B124,배당편집!$D$2:$N$2710,11,FALSE), 0)</f>
        <v>0.495</v>
      </c>
      <c r="T124" s="3">
        <f>IFERROR(VLOOKUP(T$1&amp;$A124&amp;$B124,배당편집!$D$2:$N$2710,11,FALSE), 0)</f>
        <v>0</v>
      </c>
      <c r="U124" s="3">
        <f>IFERROR(VLOOKUP(U$1&amp;$A124&amp;$B124,배당편집!$D$2:$N$2710,11,FALSE), 0)</f>
        <v>0</v>
      </c>
      <c r="V124" s="3">
        <f>IFERROR(VLOOKUP(V$1&amp;$A124&amp;$B124,배당편집!$D$2:$N$2710,11,FALSE), 0)</f>
        <v>0</v>
      </c>
      <c r="W124" s="3">
        <f>IFERROR(VLOOKUP(W$1&amp;$A124&amp;$B124,배당편집!$D$2:$N$2710,11,FALSE), 0)</f>
        <v>0</v>
      </c>
      <c r="X124" s="3">
        <f>IFERROR(VLOOKUP(X$1&amp;$A124&amp;$B124,배당편집!$D$2:$N$2710,11,FALSE), 0)</f>
        <v>0</v>
      </c>
      <c r="Y124" s="3">
        <f>IFERROR(VLOOKUP(Y$1&amp;$A124&amp;$B124,배당편집!$D$2:$N$2710,11,FALSE), 0)</f>
        <v>0</v>
      </c>
      <c r="Z124" s="3">
        <f>IFERROR(VLOOKUP(Z$1&amp;$A124&amp;$B124,배당편집!$D$2:$N$2710,11,FALSE), 0)</f>
        <v>0</v>
      </c>
      <c r="AA124" s="3">
        <f>IFERROR(VLOOKUP(AA$1&amp;$A124&amp;$B124,배당편집!$D$2:$N$2710,11,FALSE), 0)</f>
        <v>0</v>
      </c>
      <c r="AB124" s="3">
        <f>IFERROR(VLOOKUP(AB$1&amp;$A124&amp;$B124,배당편집!$D$2:$N$2710,11,FALSE), 0)</f>
        <v>0</v>
      </c>
      <c r="AC124" s="3">
        <f>IFERROR(VLOOKUP(AC$1&amp;$A124&amp;$B124,배당편집!$D$2:$N$2710,11,FALSE), 0)</f>
        <v>0</v>
      </c>
      <c r="AD124" s="3">
        <f>IFERROR(VLOOKUP(AD$1&amp;$A124&amp;$B124,배당편집!$D$2:$N$2710,11,FALSE), 0)</f>
        <v>0.39500000000000002</v>
      </c>
      <c r="AE124" s="3">
        <f>IFERROR(VLOOKUP(AE$1&amp;$A124&amp;$B124,배당편집!$D$2:$N$2710,11,FALSE), 0)</f>
        <v>0</v>
      </c>
      <c r="AF124" s="3">
        <f>IFERROR(VLOOKUP(AF$1&amp;$A124&amp;$B124,배당편집!$D$2:$N$2710,11,FALSE), 0)</f>
        <v>0</v>
      </c>
    </row>
    <row r="125" spans="1:32" ht="16.5" customHeight="1">
      <c r="A125" s="3">
        <v>2012</v>
      </c>
      <c r="B125" s="3">
        <v>4</v>
      </c>
      <c r="C125" s="3">
        <f>IFERROR(VLOOKUP(C$1&amp;$A125&amp;$B125,배당편집!$D$2:$N$2710,11,FALSE), 0)</f>
        <v>0</v>
      </c>
      <c r="D125" s="3">
        <f>IFERROR(VLOOKUP(D$1&amp;$A125&amp;$B125,배당편집!$D$2:$N$2710,11,FALSE), 0)</f>
        <v>0</v>
      </c>
      <c r="E125" s="3">
        <f>IFERROR(VLOOKUP(E$1&amp;$A125&amp;$B125,배당편집!$D$2:$N$2710,11,FALSE), 0)</f>
        <v>0</v>
      </c>
      <c r="F125" s="3">
        <f>IFERROR(VLOOKUP(F$1&amp;$A125&amp;$B125,배당편집!$D$2:$N$2710,11,FALSE), 0)</f>
        <v>0</v>
      </c>
      <c r="G125" s="3">
        <f>IFERROR(VLOOKUP(G$1&amp;$A125&amp;$B125,배당편집!$D$2:$N$2710,11,FALSE), 0)</f>
        <v>0</v>
      </c>
      <c r="H125" s="3">
        <f>IFERROR(VLOOKUP(H$1&amp;$A125&amp;$B125,배당편집!$D$2:$N$2710,11,FALSE), 0)</f>
        <v>0</v>
      </c>
      <c r="I125" s="3">
        <f>IFERROR(VLOOKUP(I$1&amp;$A125&amp;$B125,배당편집!$D$2:$N$2710,11,FALSE), 0)</f>
        <v>0</v>
      </c>
      <c r="J125" s="3">
        <f>IFERROR(VLOOKUP(J$1&amp;$A125&amp;$B125,배당편집!$D$2:$N$2710,11,FALSE), 0)</f>
        <v>0</v>
      </c>
      <c r="K125" s="3">
        <f>IFERROR(VLOOKUP(K$1&amp;$A125&amp;$B125,배당편집!$D$2:$N$2710,11,FALSE), 0)</f>
        <v>0.46</v>
      </c>
      <c r="L125" s="3">
        <f>IFERROR(VLOOKUP(L$1&amp;$A125&amp;$B125,배당편집!$D$2:$N$2710,11,FALSE), 0)</f>
        <v>0</v>
      </c>
      <c r="M125" s="3">
        <f>IFERROR(VLOOKUP(M$1&amp;$A125&amp;$B125,배당편집!$D$2:$N$2710,11,FALSE), 0)</f>
        <v>0</v>
      </c>
      <c r="N125" s="3">
        <f>IFERROR(VLOOKUP(N$1&amp;$A125&amp;$B125,배당편집!$D$2:$N$2710,11,FALSE), 0)</f>
        <v>0</v>
      </c>
      <c r="O125" s="3">
        <f>IFERROR(VLOOKUP(O$1&amp;$A125&amp;$B125,배당편집!$D$2:$N$2710,11,FALSE), 0)</f>
        <v>0</v>
      </c>
      <c r="P125" s="3">
        <f>IFERROR(VLOOKUP(P$1&amp;$A125&amp;$B125,배당편집!$D$2:$N$2710,11,FALSE), 0)</f>
        <v>0.56200000000000006</v>
      </c>
      <c r="Q125" s="3">
        <f>IFERROR(VLOOKUP(Q$1&amp;$A125&amp;$B125,배당편집!$D$2:$N$2710,11,FALSE), 0)</f>
        <v>0</v>
      </c>
      <c r="R125" s="3">
        <f>IFERROR(VLOOKUP(R$1&amp;$A125&amp;$B125,배당편집!$D$2:$N$2710,11,FALSE), 0)</f>
        <v>0</v>
      </c>
      <c r="S125" s="3">
        <f>IFERROR(VLOOKUP(S$1&amp;$A125&amp;$B125,배당편집!$D$2:$N$2710,11,FALSE), 0)</f>
        <v>0</v>
      </c>
      <c r="T125" s="3">
        <f>IFERROR(VLOOKUP(T$1&amp;$A125&amp;$B125,배당편집!$D$2:$N$2710,11,FALSE), 0)</f>
        <v>0.51</v>
      </c>
      <c r="U125" s="3">
        <f>IFERROR(VLOOKUP(U$1&amp;$A125&amp;$B125,배당편집!$D$2:$N$2710,11,FALSE), 0)</f>
        <v>0.04</v>
      </c>
      <c r="V125" s="3">
        <f>IFERROR(VLOOKUP(V$1&amp;$A125&amp;$B125,배당편집!$D$2:$N$2710,11,FALSE), 0)</f>
        <v>7.4999999999999997E-2</v>
      </c>
      <c r="W125" s="3">
        <f>IFERROR(VLOOKUP(W$1&amp;$A125&amp;$B125,배당편집!$D$2:$N$2710,11,FALSE), 0)</f>
        <v>0.14000000000000001</v>
      </c>
      <c r="X125" s="3">
        <f>IFERROR(VLOOKUP(X$1&amp;$A125&amp;$B125,배당편집!$D$2:$N$2710,11,FALSE), 0)</f>
        <v>0</v>
      </c>
      <c r="Y125" s="3">
        <f>IFERROR(VLOOKUP(Y$1&amp;$A125&amp;$B125,배당편집!$D$2:$N$2710,11,FALSE), 0)</f>
        <v>0</v>
      </c>
      <c r="Z125" s="3">
        <f>IFERROR(VLOOKUP(Z$1&amp;$A125&amp;$B125,배당편집!$D$2:$N$2710,11,FALSE), 0)</f>
        <v>0.14499999999999999</v>
      </c>
      <c r="AA125" s="3">
        <f>IFERROR(VLOOKUP(AA$1&amp;$A125&amp;$B125,배당편집!$D$2:$N$2710,11,FALSE), 0)</f>
        <v>0</v>
      </c>
      <c r="AB125" s="3">
        <f>IFERROR(VLOOKUP(AB$1&amp;$A125&amp;$B125,배당편집!$D$2:$N$2710,11,FALSE), 0)</f>
        <v>0.1275</v>
      </c>
      <c r="AC125" s="3">
        <f>IFERROR(VLOOKUP(AC$1&amp;$A125&amp;$B125,배당편집!$D$2:$N$2710,11,FALSE), 0)</f>
        <v>0</v>
      </c>
      <c r="AD125" s="3">
        <f>IFERROR(VLOOKUP(AD$1&amp;$A125&amp;$B125,배당편집!$D$2:$N$2710,11,FALSE), 0)</f>
        <v>0</v>
      </c>
      <c r="AE125" s="3">
        <f>IFERROR(VLOOKUP(AE$1&amp;$A125&amp;$B125,배당편집!$D$2:$N$2710,11,FALSE), 0)</f>
        <v>0</v>
      </c>
      <c r="AF125" s="3">
        <f>IFERROR(VLOOKUP(AF$1&amp;$A125&amp;$B125,배당편집!$D$2:$N$2710,11,FALSE), 0)</f>
        <v>0</v>
      </c>
    </row>
    <row r="126" spans="1:32" ht="16.5" customHeight="1">
      <c r="A126" s="3">
        <v>2012</v>
      </c>
      <c r="B126" s="3">
        <v>5</v>
      </c>
      <c r="C126" s="3">
        <f>IFERROR(VLOOKUP(C$1&amp;$A126&amp;$B126,배당편집!$D$2:$N$2710,11,FALSE), 0)</f>
        <v>0.22500000000000001</v>
      </c>
      <c r="D126" s="3">
        <f>IFERROR(VLOOKUP(D$1&amp;$A126&amp;$B126,배당편집!$D$2:$N$2710,11,FALSE), 0)</f>
        <v>0</v>
      </c>
      <c r="E126" s="3">
        <f>IFERROR(VLOOKUP(E$1&amp;$A126&amp;$B126,배당편집!$D$2:$N$2710,11,FALSE), 0)</f>
        <v>0</v>
      </c>
      <c r="F126" s="3">
        <f>IFERROR(VLOOKUP(F$1&amp;$A126&amp;$B126,배당편집!$D$2:$N$2710,11,FALSE), 0)</f>
        <v>0</v>
      </c>
      <c r="G126" s="3">
        <f>IFERROR(VLOOKUP(G$1&amp;$A126&amp;$B126,배당편집!$D$2:$N$2710,11,FALSE), 0)</f>
        <v>0.56999999999999995</v>
      </c>
      <c r="H126" s="3">
        <f>IFERROR(VLOOKUP(H$1&amp;$A126&amp;$B126,배당편집!$D$2:$N$2710,11,FALSE), 0)</f>
        <v>0.9</v>
      </c>
      <c r="I126" s="3">
        <f>IFERROR(VLOOKUP(I$1&amp;$A126&amp;$B126,배당편집!$D$2:$N$2710,11,FALSE), 0)</f>
        <v>0.37</v>
      </c>
      <c r="J126" s="3">
        <f>IFERROR(VLOOKUP(J$1&amp;$A126&amp;$B126,배당편집!$D$2:$N$2710,11,FALSE), 0)</f>
        <v>0</v>
      </c>
      <c r="K126" s="3">
        <f>IFERROR(VLOOKUP(K$1&amp;$A126&amp;$B126,배당편집!$D$2:$N$2710,11,FALSE), 0)</f>
        <v>0</v>
      </c>
      <c r="L126" s="3">
        <f>IFERROR(VLOOKUP(L$1&amp;$A126&amp;$B126,배당편집!$D$2:$N$2710,11,FALSE), 0)</f>
        <v>0.3</v>
      </c>
      <c r="M126" s="3">
        <f>IFERROR(VLOOKUP(M$1&amp;$A126&amp;$B126,배당편집!$D$2:$N$2710,11,FALSE), 0)</f>
        <v>0</v>
      </c>
      <c r="N126" s="3">
        <f>IFERROR(VLOOKUP(N$1&amp;$A126&amp;$B126,배당편집!$D$2:$N$2710,11,FALSE), 0)</f>
        <v>0.4</v>
      </c>
      <c r="O126" s="3">
        <f>IFERROR(VLOOKUP(O$1&amp;$A126&amp;$B126,배당편집!$D$2:$N$2710,11,FALSE), 0)</f>
        <v>0</v>
      </c>
      <c r="P126" s="3">
        <f>IFERROR(VLOOKUP(P$1&amp;$A126&amp;$B126,배당편집!$D$2:$N$2710,11,FALSE), 0)</f>
        <v>0</v>
      </c>
      <c r="Q126" s="3">
        <f>IFERROR(VLOOKUP(Q$1&amp;$A126&amp;$B126,배당편집!$D$2:$N$2710,11,FALSE), 0)</f>
        <v>0.61</v>
      </c>
      <c r="R126" s="3">
        <f>IFERROR(VLOOKUP(R$1&amp;$A126&amp;$B126,배당편집!$D$2:$N$2710,11,FALSE), 0)</f>
        <v>0.34499999999999997</v>
      </c>
      <c r="S126" s="3">
        <f>IFERROR(VLOOKUP(S$1&amp;$A126&amp;$B126,배당편집!$D$2:$N$2710,11,FALSE), 0)</f>
        <v>0</v>
      </c>
      <c r="T126" s="3">
        <f>IFERROR(VLOOKUP(T$1&amp;$A126&amp;$B126,배당편집!$D$2:$N$2710,11,FALSE), 0)</f>
        <v>0</v>
      </c>
      <c r="U126" s="3">
        <f>IFERROR(VLOOKUP(U$1&amp;$A126&amp;$B126,배당편집!$D$2:$N$2710,11,FALSE), 0)</f>
        <v>0</v>
      </c>
      <c r="V126" s="3">
        <f>IFERROR(VLOOKUP(V$1&amp;$A126&amp;$B126,배당편집!$D$2:$N$2710,11,FALSE), 0)</f>
        <v>0</v>
      </c>
      <c r="W126" s="3">
        <f>IFERROR(VLOOKUP(W$1&amp;$A126&amp;$B126,배당편집!$D$2:$N$2710,11,FALSE), 0)</f>
        <v>0</v>
      </c>
      <c r="X126" s="3">
        <f>IFERROR(VLOOKUP(X$1&amp;$A126&amp;$B126,배당편집!$D$2:$N$2710,11,FALSE), 0)</f>
        <v>0.29499999999999998</v>
      </c>
      <c r="Y126" s="3">
        <f>IFERROR(VLOOKUP(Y$1&amp;$A126&amp;$B126,배당편집!$D$2:$N$2710,11,FALSE), 0)</f>
        <v>0.41</v>
      </c>
      <c r="Z126" s="3">
        <f>IFERROR(VLOOKUP(Z$1&amp;$A126&amp;$B126,배당편집!$D$2:$N$2710,11,FALSE), 0)</f>
        <v>0</v>
      </c>
      <c r="AA126" s="3">
        <f>IFERROR(VLOOKUP(AA$1&amp;$A126&amp;$B126,배당편집!$D$2:$N$2710,11,FALSE), 0)</f>
        <v>0.17499999999999999</v>
      </c>
      <c r="AB126" s="3">
        <f>IFERROR(VLOOKUP(AB$1&amp;$A126&amp;$B126,배당편집!$D$2:$N$2710,11,FALSE), 0)</f>
        <v>0</v>
      </c>
      <c r="AC126" s="3">
        <f>IFERROR(VLOOKUP(AC$1&amp;$A126&amp;$B126,배당편집!$D$2:$N$2710,11,FALSE), 0)</f>
        <v>0.1575</v>
      </c>
      <c r="AD126" s="3">
        <f>IFERROR(VLOOKUP(AD$1&amp;$A126&amp;$B126,배당편집!$D$2:$N$2710,11,FALSE), 0)</f>
        <v>0</v>
      </c>
      <c r="AE126" s="3">
        <f>IFERROR(VLOOKUP(AE$1&amp;$A126&amp;$B126,배당편집!$D$2:$N$2710,11,FALSE), 0)</f>
        <v>0.17</v>
      </c>
      <c r="AF126" s="3">
        <f>IFERROR(VLOOKUP(AF$1&amp;$A126&amp;$B126,배당편집!$D$2:$N$2710,11,FALSE), 0)</f>
        <v>0.315</v>
      </c>
    </row>
    <row r="127" spans="1:32" ht="16.5" customHeight="1">
      <c r="A127" s="3">
        <v>2012</v>
      </c>
      <c r="B127" s="3">
        <v>6</v>
      </c>
      <c r="C127" s="3">
        <f>IFERROR(VLOOKUP(C$1&amp;$A127&amp;$B127,배당편집!$D$2:$N$2710,11,FALSE), 0)</f>
        <v>0</v>
      </c>
      <c r="D127" s="3">
        <f>IFERROR(VLOOKUP(D$1&amp;$A127&amp;$B127,배당편집!$D$2:$N$2710,11,FALSE), 0)</f>
        <v>0.28000000000000003</v>
      </c>
      <c r="E127" s="3">
        <f>IFERROR(VLOOKUP(E$1&amp;$A127&amp;$B127,배당편집!$D$2:$N$2710,11,FALSE), 0)</f>
        <v>0.09</v>
      </c>
      <c r="F127" s="3">
        <f>IFERROR(VLOOKUP(F$1&amp;$A127&amp;$B127,배당편집!$D$2:$N$2710,11,FALSE), 0)</f>
        <v>0.41</v>
      </c>
      <c r="G127" s="3">
        <f>IFERROR(VLOOKUP(G$1&amp;$A127&amp;$B127,배당편집!$D$2:$N$2710,11,FALSE), 0)</f>
        <v>0</v>
      </c>
      <c r="H127" s="3">
        <f>IFERROR(VLOOKUP(H$1&amp;$A127&amp;$B127,배당편집!$D$2:$N$2710,11,FALSE), 0)</f>
        <v>0</v>
      </c>
      <c r="I127" s="3">
        <f>IFERROR(VLOOKUP(I$1&amp;$A127&amp;$B127,배당편집!$D$2:$N$2710,11,FALSE), 0)</f>
        <v>0</v>
      </c>
      <c r="J127" s="3">
        <f>IFERROR(VLOOKUP(J$1&amp;$A127&amp;$B127,배당편집!$D$2:$N$2710,11,FALSE), 0)</f>
        <v>0.36499999999999999</v>
      </c>
      <c r="K127" s="3">
        <f>IFERROR(VLOOKUP(K$1&amp;$A127&amp;$B127,배당편집!$D$2:$N$2710,11,FALSE), 0)</f>
        <v>0</v>
      </c>
      <c r="L127" s="3">
        <f>IFERROR(VLOOKUP(L$1&amp;$A127&amp;$B127,배당편집!$D$2:$N$2710,11,FALSE), 0)</f>
        <v>0</v>
      </c>
      <c r="M127" s="3">
        <f>IFERROR(VLOOKUP(M$1&amp;$A127&amp;$B127,배당편집!$D$2:$N$2710,11,FALSE), 0)</f>
        <v>0.36</v>
      </c>
      <c r="N127" s="3">
        <f>IFERROR(VLOOKUP(N$1&amp;$A127&amp;$B127,배당편집!$D$2:$N$2710,11,FALSE), 0)</f>
        <v>0</v>
      </c>
      <c r="O127" s="3">
        <f>IFERROR(VLOOKUP(O$1&amp;$A127&amp;$B127,배당편집!$D$2:$N$2710,11,FALSE), 0)</f>
        <v>0.64</v>
      </c>
      <c r="P127" s="3">
        <f>IFERROR(VLOOKUP(P$1&amp;$A127&amp;$B127,배당편집!$D$2:$N$2710,11,FALSE), 0)</f>
        <v>0</v>
      </c>
      <c r="Q127" s="3">
        <f>IFERROR(VLOOKUP(Q$1&amp;$A127&amp;$B127,배당편집!$D$2:$N$2710,11,FALSE), 0)</f>
        <v>0</v>
      </c>
      <c r="R127" s="3">
        <f>IFERROR(VLOOKUP(R$1&amp;$A127&amp;$B127,배당편집!$D$2:$N$2710,11,FALSE), 0)</f>
        <v>0</v>
      </c>
      <c r="S127" s="3">
        <f>IFERROR(VLOOKUP(S$1&amp;$A127&amp;$B127,배당편집!$D$2:$N$2710,11,FALSE), 0)</f>
        <v>0.495</v>
      </c>
      <c r="T127" s="3">
        <f>IFERROR(VLOOKUP(T$1&amp;$A127&amp;$B127,배당편집!$D$2:$N$2710,11,FALSE), 0)</f>
        <v>0</v>
      </c>
      <c r="U127" s="3">
        <f>IFERROR(VLOOKUP(U$1&amp;$A127&amp;$B127,배당편집!$D$2:$N$2710,11,FALSE), 0)</f>
        <v>0</v>
      </c>
      <c r="V127" s="3">
        <f>IFERROR(VLOOKUP(V$1&amp;$A127&amp;$B127,배당편집!$D$2:$N$2710,11,FALSE), 0)</f>
        <v>0</v>
      </c>
      <c r="W127" s="3">
        <f>IFERROR(VLOOKUP(W$1&amp;$A127&amp;$B127,배당편집!$D$2:$N$2710,11,FALSE), 0)</f>
        <v>0</v>
      </c>
      <c r="X127" s="3">
        <f>IFERROR(VLOOKUP(X$1&amp;$A127&amp;$B127,배당편집!$D$2:$N$2710,11,FALSE), 0)</f>
        <v>0</v>
      </c>
      <c r="Y127" s="3">
        <f>IFERROR(VLOOKUP(Y$1&amp;$A127&amp;$B127,배당편집!$D$2:$N$2710,11,FALSE), 0)</f>
        <v>0</v>
      </c>
      <c r="Z127" s="3">
        <f>IFERROR(VLOOKUP(Z$1&amp;$A127&amp;$B127,배당편집!$D$2:$N$2710,11,FALSE), 0)</f>
        <v>0</v>
      </c>
      <c r="AA127" s="3">
        <f>IFERROR(VLOOKUP(AA$1&amp;$A127&amp;$B127,배당편집!$D$2:$N$2710,11,FALSE), 0)</f>
        <v>0</v>
      </c>
      <c r="AB127" s="3">
        <f>IFERROR(VLOOKUP(AB$1&amp;$A127&amp;$B127,배당편집!$D$2:$N$2710,11,FALSE), 0)</f>
        <v>0</v>
      </c>
      <c r="AC127" s="3">
        <f>IFERROR(VLOOKUP(AC$1&amp;$A127&amp;$B127,배당편집!$D$2:$N$2710,11,FALSE), 0)</f>
        <v>0</v>
      </c>
      <c r="AD127" s="3">
        <f>IFERROR(VLOOKUP(AD$1&amp;$A127&amp;$B127,배당편집!$D$2:$N$2710,11,FALSE), 0)</f>
        <v>0.39500000000000002</v>
      </c>
      <c r="AE127" s="3">
        <f>IFERROR(VLOOKUP(AE$1&amp;$A127&amp;$B127,배당편집!$D$2:$N$2710,11,FALSE), 0)</f>
        <v>0</v>
      </c>
      <c r="AF127" s="3">
        <f>IFERROR(VLOOKUP(AF$1&amp;$A127&amp;$B127,배당편집!$D$2:$N$2710,11,FALSE), 0)</f>
        <v>0</v>
      </c>
    </row>
    <row r="128" spans="1:32" ht="16.5" customHeight="1">
      <c r="A128" s="3">
        <v>2012</v>
      </c>
      <c r="B128" s="3">
        <v>7</v>
      </c>
      <c r="C128" s="3">
        <f>IFERROR(VLOOKUP(C$1&amp;$A128&amp;$B128,배당편집!$D$2:$N$2710,11,FALSE), 0)</f>
        <v>0</v>
      </c>
      <c r="D128" s="3">
        <f>IFERROR(VLOOKUP(D$1&amp;$A128&amp;$B128,배당편집!$D$2:$N$2710,11,FALSE), 0)</f>
        <v>0</v>
      </c>
      <c r="E128" s="3">
        <f>IFERROR(VLOOKUP(E$1&amp;$A128&amp;$B128,배당편집!$D$2:$N$2710,11,FALSE), 0)</f>
        <v>0</v>
      </c>
      <c r="F128" s="3">
        <f>IFERROR(VLOOKUP(F$1&amp;$A128&amp;$B128,배당편집!$D$2:$N$2710,11,FALSE), 0)</f>
        <v>0</v>
      </c>
      <c r="G128" s="3">
        <f>IFERROR(VLOOKUP(G$1&amp;$A128&amp;$B128,배당편집!$D$2:$N$2710,11,FALSE), 0)</f>
        <v>0</v>
      </c>
      <c r="H128" s="3">
        <f>IFERROR(VLOOKUP(H$1&amp;$A128&amp;$B128,배당편집!$D$2:$N$2710,11,FALSE), 0)</f>
        <v>0</v>
      </c>
      <c r="I128" s="3">
        <f>IFERROR(VLOOKUP(I$1&amp;$A128&amp;$B128,배당편집!$D$2:$N$2710,11,FALSE), 0)</f>
        <v>0</v>
      </c>
      <c r="J128" s="3">
        <f>IFERROR(VLOOKUP(J$1&amp;$A128&amp;$B128,배당편집!$D$2:$N$2710,11,FALSE), 0)</f>
        <v>0</v>
      </c>
      <c r="K128" s="3">
        <f>IFERROR(VLOOKUP(K$1&amp;$A128&amp;$B128,배당편집!$D$2:$N$2710,11,FALSE), 0)</f>
        <v>0.52</v>
      </c>
      <c r="L128" s="3">
        <f>IFERROR(VLOOKUP(L$1&amp;$A128&amp;$B128,배당편집!$D$2:$N$2710,11,FALSE), 0)</f>
        <v>0</v>
      </c>
      <c r="M128" s="3">
        <f>IFERROR(VLOOKUP(M$1&amp;$A128&amp;$B128,배당편집!$D$2:$N$2710,11,FALSE), 0)</f>
        <v>0</v>
      </c>
      <c r="N128" s="3">
        <f>IFERROR(VLOOKUP(N$1&amp;$A128&amp;$B128,배당편집!$D$2:$N$2710,11,FALSE), 0)</f>
        <v>0</v>
      </c>
      <c r="O128" s="3">
        <f>IFERROR(VLOOKUP(O$1&amp;$A128&amp;$B128,배당편집!$D$2:$N$2710,11,FALSE), 0)</f>
        <v>0</v>
      </c>
      <c r="P128" s="3">
        <f>IFERROR(VLOOKUP(P$1&amp;$A128&amp;$B128,배당편집!$D$2:$N$2710,11,FALSE), 0)</f>
        <v>0.56200000000000006</v>
      </c>
      <c r="Q128" s="3">
        <f>IFERROR(VLOOKUP(Q$1&amp;$A128&amp;$B128,배당편집!$D$2:$N$2710,11,FALSE), 0)</f>
        <v>0</v>
      </c>
      <c r="R128" s="3">
        <f>IFERROR(VLOOKUP(R$1&amp;$A128&amp;$B128,배당편집!$D$2:$N$2710,11,FALSE), 0)</f>
        <v>0</v>
      </c>
      <c r="S128" s="3">
        <f>IFERROR(VLOOKUP(S$1&amp;$A128&amp;$B128,배당편집!$D$2:$N$2710,11,FALSE), 0)</f>
        <v>0</v>
      </c>
      <c r="T128" s="3">
        <f>IFERROR(VLOOKUP(T$1&amp;$A128&amp;$B128,배당편집!$D$2:$N$2710,11,FALSE), 0)</f>
        <v>0.51</v>
      </c>
      <c r="U128" s="3">
        <f>IFERROR(VLOOKUP(U$1&amp;$A128&amp;$B128,배당편집!$D$2:$N$2710,11,FALSE), 0)</f>
        <v>0.05</v>
      </c>
      <c r="V128" s="3">
        <f>IFERROR(VLOOKUP(V$1&amp;$A128&amp;$B128,배당편집!$D$2:$N$2710,11,FALSE), 0)</f>
        <v>7.4999999999999997E-2</v>
      </c>
      <c r="W128" s="3">
        <f>IFERROR(VLOOKUP(W$1&amp;$A128&amp;$B128,배당편집!$D$2:$N$2710,11,FALSE), 0)</f>
        <v>0.16</v>
      </c>
      <c r="X128" s="3">
        <f>IFERROR(VLOOKUP(X$1&amp;$A128&amp;$B128,배당편집!$D$2:$N$2710,11,FALSE), 0)</f>
        <v>0</v>
      </c>
      <c r="Y128" s="3">
        <f>IFERROR(VLOOKUP(Y$1&amp;$A128&amp;$B128,배당편집!$D$2:$N$2710,11,FALSE), 0)</f>
        <v>0</v>
      </c>
      <c r="Z128" s="3">
        <f>IFERROR(VLOOKUP(Z$1&amp;$A128&amp;$B128,배당편집!$D$2:$N$2710,11,FALSE), 0)</f>
        <v>0.14499999999999999</v>
      </c>
      <c r="AA128" s="3">
        <f>IFERROR(VLOOKUP(AA$1&amp;$A128&amp;$B128,배당편집!$D$2:$N$2710,11,FALSE), 0)</f>
        <v>0</v>
      </c>
      <c r="AB128" s="3">
        <f>IFERROR(VLOOKUP(AB$1&amp;$A128&amp;$B128,배당편집!$D$2:$N$2710,11,FALSE), 0)</f>
        <v>0.1275</v>
      </c>
      <c r="AC128" s="3">
        <f>IFERROR(VLOOKUP(AC$1&amp;$A128&amp;$B128,배당편집!$D$2:$N$2710,11,FALSE), 0)</f>
        <v>0</v>
      </c>
      <c r="AD128" s="3">
        <f>IFERROR(VLOOKUP(AD$1&amp;$A128&amp;$B128,배당편집!$D$2:$N$2710,11,FALSE), 0)</f>
        <v>0</v>
      </c>
      <c r="AE128" s="3">
        <f>IFERROR(VLOOKUP(AE$1&amp;$A128&amp;$B128,배당편집!$D$2:$N$2710,11,FALSE), 0)</f>
        <v>0</v>
      </c>
      <c r="AF128" s="3">
        <f>IFERROR(VLOOKUP(AF$1&amp;$A128&amp;$B128,배당편집!$D$2:$N$2710,11,FALSE), 0)</f>
        <v>0</v>
      </c>
    </row>
    <row r="129" spans="1:32" ht="16.5" customHeight="1">
      <c r="A129" s="3">
        <v>2012</v>
      </c>
      <c r="B129" s="3">
        <v>8</v>
      </c>
      <c r="C129" s="3">
        <f>IFERROR(VLOOKUP(C$1&amp;$A129&amp;$B129,배당편집!$D$2:$N$2710,11,FALSE), 0)</f>
        <v>0.27500000000000002</v>
      </c>
      <c r="D129" s="3">
        <f>IFERROR(VLOOKUP(D$1&amp;$A129&amp;$B129,배당편집!$D$2:$N$2710,11,FALSE), 0)</f>
        <v>0</v>
      </c>
      <c r="E129" s="3">
        <f>IFERROR(VLOOKUP(E$1&amp;$A129&amp;$B129,배당편집!$D$2:$N$2710,11,FALSE), 0)</f>
        <v>0</v>
      </c>
      <c r="F129" s="3">
        <f>IFERROR(VLOOKUP(F$1&amp;$A129&amp;$B129,배당편집!$D$2:$N$2710,11,FALSE), 0)</f>
        <v>0</v>
      </c>
      <c r="G129" s="3">
        <f>IFERROR(VLOOKUP(G$1&amp;$A129&amp;$B129,배당편집!$D$2:$N$2710,11,FALSE), 0)</f>
        <v>0.56999999999999995</v>
      </c>
      <c r="H129" s="3">
        <f>IFERROR(VLOOKUP(H$1&amp;$A129&amp;$B129,배당편집!$D$2:$N$2710,11,FALSE), 0)</f>
        <v>0.9</v>
      </c>
      <c r="I129" s="3">
        <f>IFERROR(VLOOKUP(I$1&amp;$A129&amp;$B129,배당편집!$D$2:$N$2710,11,FALSE), 0)</f>
        <v>0.37</v>
      </c>
      <c r="J129" s="3">
        <f>IFERROR(VLOOKUP(J$1&amp;$A129&amp;$B129,배당편집!$D$2:$N$2710,11,FALSE), 0)</f>
        <v>0</v>
      </c>
      <c r="K129" s="3">
        <f>IFERROR(VLOOKUP(K$1&amp;$A129&amp;$B129,배당편집!$D$2:$N$2710,11,FALSE), 0)</f>
        <v>0</v>
      </c>
      <c r="L129" s="3">
        <f>IFERROR(VLOOKUP(L$1&amp;$A129&amp;$B129,배당편집!$D$2:$N$2710,11,FALSE), 0)</f>
        <v>0.36</v>
      </c>
      <c r="M129" s="3">
        <f>IFERROR(VLOOKUP(M$1&amp;$A129&amp;$B129,배당편집!$D$2:$N$2710,11,FALSE), 0)</f>
        <v>0</v>
      </c>
      <c r="N129" s="3">
        <f>IFERROR(VLOOKUP(N$1&amp;$A129&amp;$B129,배당편집!$D$2:$N$2710,11,FALSE), 0)</f>
        <v>0.4</v>
      </c>
      <c r="O129" s="3">
        <f>IFERROR(VLOOKUP(O$1&amp;$A129&amp;$B129,배당편집!$D$2:$N$2710,11,FALSE), 0)</f>
        <v>0</v>
      </c>
      <c r="P129" s="3">
        <f>IFERROR(VLOOKUP(P$1&amp;$A129&amp;$B129,배당편집!$D$2:$N$2710,11,FALSE), 0)</f>
        <v>0</v>
      </c>
      <c r="Q129" s="3">
        <f>IFERROR(VLOOKUP(Q$1&amp;$A129&amp;$B129,배당편집!$D$2:$N$2710,11,FALSE), 0)</f>
        <v>0.61</v>
      </c>
      <c r="R129" s="3">
        <f>IFERROR(VLOOKUP(R$1&amp;$A129&amp;$B129,배당편집!$D$2:$N$2710,11,FALSE), 0)</f>
        <v>0.34499999999999997</v>
      </c>
      <c r="S129" s="3">
        <f>IFERROR(VLOOKUP(S$1&amp;$A129&amp;$B129,배당편집!$D$2:$N$2710,11,FALSE), 0)</f>
        <v>0</v>
      </c>
      <c r="T129" s="3">
        <f>IFERROR(VLOOKUP(T$1&amp;$A129&amp;$B129,배당편집!$D$2:$N$2710,11,FALSE), 0)</f>
        <v>0</v>
      </c>
      <c r="U129" s="3">
        <f>IFERROR(VLOOKUP(U$1&amp;$A129&amp;$B129,배당편집!$D$2:$N$2710,11,FALSE), 0)</f>
        <v>0</v>
      </c>
      <c r="V129" s="3">
        <f>IFERROR(VLOOKUP(V$1&amp;$A129&amp;$B129,배당편집!$D$2:$N$2710,11,FALSE), 0)</f>
        <v>0</v>
      </c>
      <c r="W129" s="3">
        <f>IFERROR(VLOOKUP(W$1&amp;$A129&amp;$B129,배당편집!$D$2:$N$2710,11,FALSE), 0)</f>
        <v>0</v>
      </c>
      <c r="X129" s="3">
        <f>IFERROR(VLOOKUP(X$1&amp;$A129&amp;$B129,배당편집!$D$2:$N$2710,11,FALSE), 0)</f>
        <v>0.29499999999999998</v>
      </c>
      <c r="Y129" s="3">
        <f>IFERROR(VLOOKUP(Y$1&amp;$A129&amp;$B129,배당편집!$D$2:$N$2710,11,FALSE), 0)</f>
        <v>0.41</v>
      </c>
      <c r="Z129" s="3">
        <f>IFERROR(VLOOKUP(Z$1&amp;$A129&amp;$B129,배당편집!$D$2:$N$2710,11,FALSE), 0)</f>
        <v>0</v>
      </c>
      <c r="AA129" s="3">
        <f>IFERROR(VLOOKUP(AA$1&amp;$A129&amp;$B129,배당편집!$D$2:$N$2710,11,FALSE), 0)</f>
        <v>0.17499999999999999</v>
      </c>
      <c r="AB129" s="3">
        <f>IFERROR(VLOOKUP(AB$1&amp;$A129&amp;$B129,배당편집!$D$2:$N$2710,11,FALSE), 0)</f>
        <v>0</v>
      </c>
      <c r="AC129" s="3">
        <f>IFERROR(VLOOKUP(AC$1&amp;$A129&amp;$B129,배당편집!$D$2:$N$2710,11,FALSE), 0)</f>
        <v>0.1575</v>
      </c>
      <c r="AD129" s="3">
        <f>IFERROR(VLOOKUP(AD$1&amp;$A129&amp;$B129,배당편집!$D$2:$N$2710,11,FALSE), 0)</f>
        <v>0</v>
      </c>
      <c r="AE129" s="3">
        <f>IFERROR(VLOOKUP(AE$1&amp;$A129&amp;$B129,배당편집!$D$2:$N$2710,11,FALSE), 0)</f>
        <v>0.17</v>
      </c>
      <c r="AF129" s="3">
        <f>IFERROR(VLOOKUP(AF$1&amp;$A129&amp;$B129,배당편집!$D$2:$N$2710,11,FALSE), 0)</f>
        <v>0.35</v>
      </c>
    </row>
    <row r="130" spans="1:32" ht="16.5" customHeight="1">
      <c r="A130" s="3">
        <v>2012</v>
      </c>
      <c r="B130" s="3">
        <v>9</v>
      </c>
      <c r="C130" s="3">
        <f>IFERROR(VLOOKUP(C$1&amp;$A130&amp;$B130,배당편집!$D$2:$N$2710,11,FALSE), 0)</f>
        <v>0</v>
      </c>
      <c r="D130" s="3">
        <f>IFERROR(VLOOKUP(D$1&amp;$A130&amp;$B130,배당편집!$D$2:$N$2710,11,FALSE), 0)</f>
        <v>0.28999999999999998</v>
      </c>
      <c r="E130" s="3">
        <f>IFERROR(VLOOKUP(E$1&amp;$A130&amp;$B130,배당편집!$D$2:$N$2710,11,FALSE), 0)</f>
        <v>0.09</v>
      </c>
      <c r="F130" s="3">
        <f>IFERROR(VLOOKUP(F$1&amp;$A130&amp;$B130,배당편집!$D$2:$N$2710,11,FALSE), 0)</f>
        <v>0.49</v>
      </c>
      <c r="G130" s="3">
        <f>IFERROR(VLOOKUP(G$1&amp;$A130&amp;$B130,배당편집!$D$2:$N$2710,11,FALSE), 0)</f>
        <v>0</v>
      </c>
      <c r="H130" s="3">
        <f>IFERROR(VLOOKUP(H$1&amp;$A130&amp;$B130,배당편집!$D$2:$N$2710,11,FALSE), 0)</f>
        <v>0</v>
      </c>
      <c r="I130" s="3">
        <f>IFERROR(VLOOKUP(I$1&amp;$A130&amp;$B130,배당편집!$D$2:$N$2710,11,FALSE), 0)</f>
        <v>0</v>
      </c>
      <c r="J130" s="3">
        <f>IFERROR(VLOOKUP(J$1&amp;$A130&amp;$B130,배당편집!$D$2:$N$2710,11,FALSE), 0)</f>
        <v>0.36499999999999999</v>
      </c>
      <c r="K130" s="3">
        <f>IFERROR(VLOOKUP(K$1&amp;$A130&amp;$B130,배당편집!$D$2:$N$2710,11,FALSE), 0)</f>
        <v>0</v>
      </c>
      <c r="L130" s="3">
        <f>IFERROR(VLOOKUP(L$1&amp;$A130&amp;$B130,배당편집!$D$2:$N$2710,11,FALSE), 0)</f>
        <v>0</v>
      </c>
      <c r="M130" s="3">
        <f>IFERROR(VLOOKUP(M$1&amp;$A130&amp;$B130,배당편집!$D$2:$N$2710,11,FALSE), 0)</f>
        <v>0.38</v>
      </c>
      <c r="N130" s="3">
        <f>IFERROR(VLOOKUP(N$1&amp;$A130&amp;$B130,배당편집!$D$2:$N$2710,11,FALSE), 0)</f>
        <v>0</v>
      </c>
      <c r="O130" s="3">
        <f>IFERROR(VLOOKUP(O$1&amp;$A130&amp;$B130,배당편집!$D$2:$N$2710,11,FALSE), 0)</f>
        <v>0.64</v>
      </c>
      <c r="P130" s="3">
        <f>IFERROR(VLOOKUP(P$1&amp;$A130&amp;$B130,배당편집!$D$2:$N$2710,11,FALSE), 0)</f>
        <v>0</v>
      </c>
      <c r="Q130" s="3">
        <f>IFERROR(VLOOKUP(Q$1&amp;$A130&amp;$B130,배당편집!$D$2:$N$2710,11,FALSE), 0)</f>
        <v>0</v>
      </c>
      <c r="R130" s="3">
        <f>IFERROR(VLOOKUP(R$1&amp;$A130&amp;$B130,배당편집!$D$2:$N$2710,11,FALSE), 0)</f>
        <v>0</v>
      </c>
      <c r="S130" s="3">
        <f>IFERROR(VLOOKUP(S$1&amp;$A130&amp;$B130,배당편집!$D$2:$N$2710,11,FALSE), 0)</f>
        <v>0.495</v>
      </c>
      <c r="T130" s="3">
        <f>IFERROR(VLOOKUP(T$1&amp;$A130&amp;$B130,배당편집!$D$2:$N$2710,11,FALSE), 0)</f>
        <v>0</v>
      </c>
      <c r="U130" s="3">
        <f>IFERROR(VLOOKUP(U$1&amp;$A130&amp;$B130,배당편집!$D$2:$N$2710,11,FALSE), 0)</f>
        <v>0</v>
      </c>
      <c r="V130" s="3">
        <f>IFERROR(VLOOKUP(V$1&amp;$A130&amp;$B130,배당편집!$D$2:$N$2710,11,FALSE), 0)</f>
        <v>0</v>
      </c>
      <c r="W130" s="3">
        <f>IFERROR(VLOOKUP(W$1&amp;$A130&amp;$B130,배당편집!$D$2:$N$2710,11,FALSE), 0)</f>
        <v>0</v>
      </c>
      <c r="X130" s="3">
        <f>IFERROR(VLOOKUP(X$1&amp;$A130&amp;$B130,배당편집!$D$2:$N$2710,11,FALSE), 0)</f>
        <v>0</v>
      </c>
      <c r="Y130" s="3">
        <f>IFERROR(VLOOKUP(Y$1&amp;$A130&amp;$B130,배당편집!$D$2:$N$2710,11,FALSE), 0)</f>
        <v>0</v>
      </c>
      <c r="Z130" s="3">
        <f>IFERROR(VLOOKUP(Z$1&amp;$A130&amp;$B130,배당편집!$D$2:$N$2710,11,FALSE), 0)</f>
        <v>0</v>
      </c>
      <c r="AA130" s="3">
        <f>IFERROR(VLOOKUP(AA$1&amp;$A130&amp;$B130,배당편집!$D$2:$N$2710,11,FALSE), 0)</f>
        <v>0</v>
      </c>
      <c r="AB130" s="3">
        <f>IFERROR(VLOOKUP(AB$1&amp;$A130&amp;$B130,배당편집!$D$2:$N$2710,11,FALSE), 0)</f>
        <v>0</v>
      </c>
      <c r="AC130" s="3">
        <f>IFERROR(VLOOKUP(AC$1&amp;$A130&amp;$B130,배당편집!$D$2:$N$2710,11,FALSE), 0)</f>
        <v>0</v>
      </c>
      <c r="AD130" s="3">
        <f>IFERROR(VLOOKUP(AD$1&amp;$A130&amp;$B130,배당편집!$D$2:$N$2710,11,FALSE), 0)</f>
        <v>0.39500000000000002</v>
      </c>
      <c r="AE130" s="3">
        <f>IFERROR(VLOOKUP(AE$1&amp;$A130&amp;$B130,배당편집!$D$2:$N$2710,11,FALSE), 0)</f>
        <v>0</v>
      </c>
      <c r="AF130" s="3">
        <f>IFERROR(VLOOKUP(AF$1&amp;$A130&amp;$B130,배당편집!$D$2:$N$2710,11,FALSE), 0)</f>
        <v>0</v>
      </c>
    </row>
    <row r="131" spans="1:32" ht="16.5" customHeight="1">
      <c r="A131" s="3">
        <v>2012</v>
      </c>
      <c r="B131" s="3">
        <v>10</v>
      </c>
      <c r="C131" s="3">
        <f>IFERROR(VLOOKUP(C$1&amp;$A131&amp;$B131,배당편집!$D$2:$N$2710,11,FALSE), 0)</f>
        <v>0</v>
      </c>
      <c r="D131" s="3">
        <f>IFERROR(VLOOKUP(D$1&amp;$A131&amp;$B131,배당편집!$D$2:$N$2710,11,FALSE), 0)</f>
        <v>0</v>
      </c>
      <c r="E131" s="3">
        <f>IFERROR(VLOOKUP(E$1&amp;$A131&amp;$B131,배당편집!$D$2:$N$2710,11,FALSE), 0)</f>
        <v>0</v>
      </c>
      <c r="F131" s="3">
        <f>IFERROR(VLOOKUP(F$1&amp;$A131&amp;$B131,배당편집!$D$2:$N$2710,11,FALSE), 0)</f>
        <v>0</v>
      </c>
      <c r="G131" s="3">
        <f>IFERROR(VLOOKUP(G$1&amp;$A131&amp;$B131,배당편집!$D$2:$N$2710,11,FALSE), 0)</f>
        <v>0</v>
      </c>
      <c r="H131" s="3">
        <f>IFERROR(VLOOKUP(H$1&amp;$A131&amp;$B131,배당편집!$D$2:$N$2710,11,FALSE), 0)</f>
        <v>0</v>
      </c>
      <c r="I131" s="3">
        <f>IFERROR(VLOOKUP(I$1&amp;$A131&amp;$B131,배당편집!$D$2:$N$2710,11,FALSE), 0)</f>
        <v>0</v>
      </c>
      <c r="J131" s="3">
        <f>IFERROR(VLOOKUP(J$1&amp;$A131&amp;$B131,배당편집!$D$2:$N$2710,11,FALSE), 0)</f>
        <v>0</v>
      </c>
      <c r="K131" s="3">
        <f>IFERROR(VLOOKUP(K$1&amp;$A131&amp;$B131,배당편집!$D$2:$N$2710,11,FALSE), 0)</f>
        <v>0.52</v>
      </c>
      <c r="L131" s="3">
        <f>IFERROR(VLOOKUP(L$1&amp;$A131&amp;$B131,배당편집!$D$2:$N$2710,11,FALSE), 0)</f>
        <v>0</v>
      </c>
      <c r="M131" s="3">
        <f>IFERROR(VLOOKUP(M$1&amp;$A131&amp;$B131,배당편집!$D$2:$N$2710,11,FALSE), 0)</f>
        <v>0</v>
      </c>
      <c r="N131" s="3">
        <f>IFERROR(VLOOKUP(N$1&amp;$A131&amp;$B131,배당편집!$D$2:$N$2710,11,FALSE), 0)</f>
        <v>0</v>
      </c>
      <c r="O131" s="3">
        <f>IFERROR(VLOOKUP(O$1&amp;$A131&amp;$B131,배당편집!$D$2:$N$2710,11,FALSE), 0)</f>
        <v>0</v>
      </c>
      <c r="P131" s="3">
        <f>IFERROR(VLOOKUP(P$1&amp;$A131&amp;$B131,배당편집!$D$2:$N$2710,11,FALSE), 0)</f>
        <v>0.56200000000000006</v>
      </c>
      <c r="Q131" s="3">
        <f>IFERROR(VLOOKUP(Q$1&amp;$A131&amp;$B131,배당편집!$D$2:$N$2710,11,FALSE), 0)</f>
        <v>0</v>
      </c>
      <c r="R131" s="3">
        <f>IFERROR(VLOOKUP(R$1&amp;$A131&amp;$B131,배당편집!$D$2:$N$2710,11,FALSE), 0)</f>
        <v>0</v>
      </c>
      <c r="S131" s="3">
        <f>IFERROR(VLOOKUP(S$1&amp;$A131&amp;$B131,배당편집!$D$2:$N$2710,11,FALSE), 0)</f>
        <v>0</v>
      </c>
      <c r="T131" s="3">
        <f>IFERROR(VLOOKUP(T$1&amp;$A131&amp;$B131,배당편집!$D$2:$N$2710,11,FALSE), 0)</f>
        <v>0.51</v>
      </c>
      <c r="U131" s="3">
        <f>IFERROR(VLOOKUP(U$1&amp;$A131&amp;$B131,배당편집!$D$2:$N$2710,11,FALSE), 0)</f>
        <v>0.05</v>
      </c>
      <c r="V131" s="3">
        <f>IFERROR(VLOOKUP(V$1&amp;$A131&amp;$B131,배당편집!$D$2:$N$2710,11,FALSE), 0)</f>
        <v>7.4999999999999997E-2</v>
      </c>
      <c r="W131" s="3">
        <f>IFERROR(VLOOKUP(W$1&amp;$A131&amp;$B131,배당편집!$D$2:$N$2710,11,FALSE), 0)</f>
        <v>0.16</v>
      </c>
      <c r="X131" s="3">
        <f>IFERROR(VLOOKUP(X$1&amp;$A131&amp;$B131,배당편집!$D$2:$N$2710,11,FALSE), 0)</f>
        <v>0</v>
      </c>
      <c r="Y131" s="3">
        <f>IFERROR(VLOOKUP(Y$1&amp;$A131&amp;$B131,배당편집!$D$2:$N$2710,11,FALSE), 0)</f>
        <v>0</v>
      </c>
      <c r="Z131" s="3">
        <f>IFERROR(VLOOKUP(Z$1&amp;$A131&amp;$B131,배당편집!$D$2:$N$2710,11,FALSE), 0)</f>
        <v>0.14499999999999999</v>
      </c>
      <c r="AA131" s="3">
        <f>IFERROR(VLOOKUP(AA$1&amp;$A131&amp;$B131,배당편집!$D$2:$N$2710,11,FALSE), 0)</f>
        <v>0</v>
      </c>
      <c r="AB131" s="3">
        <f>IFERROR(VLOOKUP(AB$1&amp;$A131&amp;$B131,배당편집!$D$2:$N$2710,11,FALSE), 0)</f>
        <v>0.1275</v>
      </c>
      <c r="AC131" s="3">
        <f>IFERROR(VLOOKUP(AC$1&amp;$A131&amp;$B131,배당편집!$D$2:$N$2710,11,FALSE), 0)</f>
        <v>0</v>
      </c>
      <c r="AD131" s="3">
        <f>IFERROR(VLOOKUP(AD$1&amp;$A131&amp;$B131,배당편집!$D$2:$N$2710,11,FALSE), 0)</f>
        <v>0</v>
      </c>
      <c r="AE131" s="3">
        <f>IFERROR(VLOOKUP(AE$1&amp;$A131&amp;$B131,배당편집!$D$2:$N$2710,11,FALSE), 0)</f>
        <v>0</v>
      </c>
      <c r="AF131" s="3">
        <f>IFERROR(VLOOKUP(AF$1&amp;$A131&amp;$B131,배당편집!$D$2:$N$2710,11,FALSE), 0)</f>
        <v>0</v>
      </c>
    </row>
    <row r="132" spans="1:32" ht="16.5" customHeight="1">
      <c r="A132" s="3">
        <v>2012</v>
      </c>
      <c r="B132" s="3">
        <v>11</v>
      </c>
      <c r="C132" s="3">
        <f>IFERROR(VLOOKUP(C$1&amp;$A132&amp;$B132,배당편집!$D$2:$N$2710,11,FALSE), 0)</f>
        <v>0.27500000000000002</v>
      </c>
      <c r="D132" s="3">
        <f>IFERROR(VLOOKUP(D$1&amp;$A132&amp;$B132,배당편집!$D$2:$N$2710,11,FALSE), 0)</f>
        <v>0</v>
      </c>
      <c r="E132" s="3">
        <f>IFERROR(VLOOKUP(E$1&amp;$A132&amp;$B132,배당편집!$D$2:$N$2710,11,FALSE), 0)</f>
        <v>0</v>
      </c>
      <c r="F132" s="3">
        <f>IFERROR(VLOOKUP(F$1&amp;$A132&amp;$B132,배당편집!$D$2:$N$2710,11,FALSE), 0)</f>
        <v>0</v>
      </c>
      <c r="G132" s="3">
        <f>IFERROR(VLOOKUP(G$1&amp;$A132&amp;$B132,배당편집!$D$2:$N$2710,11,FALSE), 0)</f>
        <v>0.56999999999999995</v>
      </c>
      <c r="H132" s="3">
        <f>IFERROR(VLOOKUP(H$1&amp;$A132&amp;$B132,배당편집!$D$2:$N$2710,11,FALSE), 0)</f>
        <v>0.9</v>
      </c>
      <c r="I132" s="3">
        <f>IFERROR(VLOOKUP(I$1&amp;$A132&amp;$B132,배당편집!$D$2:$N$2710,11,FALSE), 0)</f>
        <v>0.37</v>
      </c>
      <c r="J132" s="3">
        <f>IFERROR(VLOOKUP(J$1&amp;$A132&amp;$B132,배당편집!$D$2:$N$2710,11,FALSE), 0)</f>
        <v>0</v>
      </c>
      <c r="K132" s="3">
        <f>IFERROR(VLOOKUP(K$1&amp;$A132&amp;$B132,배당편집!$D$2:$N$2710,11,FALSE), 0)</f>
        <v>0</v>
      </c>
      <c r="L132" s="3">
        <f>IFERROR(VLOOKUP(L$1&amp;$A132&amp;$B132,배당편집!$D$2:$N$2710,11,FALSE), 0)</f>
        <v>0.36</v>
      </c>
      <c r="M132" s="3">
        <f>IFERROR(VLOOKUP(M$1&amp;$A132&amp;$B132,배당편집!$D$2:$N$2710,11,FALSE), 0)</f>
        <v>0</v>
      </c>
      <c r="N132" s="3">
        <f>IFERROR(VLOOKUP(N$1&amp;$A132&amp;$B132,배당편집!$D$2:$N$2710,11,FALSE), 0)</f>
        <v>0.41</v>
      </c>
      <c r="O132" s="3">
        <f>IFERROR(VLOOKUP(O$1&amp;$A132&amp;$B132,배당편집!$D$2:$N$2710,11,FALSE), 0)</f>
        <v>0</v>
      </c>
      <c r="P132" s="3">
        <f>IFERROR(VLOOKUP(P$1&amp;$A132&amp;$B132,배당편집!$D$2:$N$2710,11,FALSE), 0)</f>
        <v>0</v>
      </c>
      <c r="Q132" s="3">
        <f>IFERROR(VLOOKUP(Q$1&amp;$A132&amp;$B132,배당편집!$D$2:$N$2710,11,FALSE), 0)</f>
        <v>0.61</v>
      </c>
      <c r="R132" s="3">
        <f>IFERROR(VLOOKUP(R$1&amp;$A132&amp;$B132,배당편집!$D$2:$N$2710,11,FALSE), 0)</f>
        <v>0.35</v>
      </c>
      <c r="S132" s="3">
        <f>IFERROR(VLOOKUP(S$1&amp;$A132&amp;$B132,배당편집!$D$2:$N$2710,11,FALSE), 0)</f>
        <v>0</v>
      </c>
      <c r="T132" s="3">
        <f>IFERROR(VLOOKUP(T$1&amp;$A132&amp;$B132,배당편집!$D$2:$N$2710,11,FALSE), 0)</f>
        <v>0</v>
      </c>
      <c r="U132" s="3">
        <f>IFERROR(VLOOKUP(U$1&amp;$A132&amp;$B132,배당편집!$D$2:$N$2710,11,FALSE), 0)</f>
        <v>0</v>
      </c>
      <c r="V132" s="3">
        <f>IFERROR(VLOOKUP(V$1&amp;$A132&amp;$B132,배당편집!$D$2:$N$2710,11,FALSE), 0)</f>
        <v>0</v>
      </c>
      <c r="W132" s="3">
        <f>IFERROR(VLOOKUP(W$1&amp;$A132&amp;$B132,배당편집!$D$2:$N$2710,11,FALSE), 0)</f>
        <v>0</v>
      </c>
      <c r="X132" s="3">
        <f>IFERROR(VLOOKUP(X$1&amp;$A132&amp;$B132,배당편집!$D$2:$N$2710,11,FALSE), 0)</f>
        <v>0.29499999999999998</v>
      </c>
      <c r="Y132" s="3">
        <f>IFERROR(VLOOKUP(Y$1&amp;$A132&amp;$B132,배당편집!$D$2:$N$2710,11,FALSE), 0)</f>
        <v>0.41</v>
      </c>
      <c r="Z132" s="3">
        <f>IFERROR(VLOOKUP(Z$1&amp;$A132&amp;$B132,배당편집!$D$2:$N$2710,11,FALSE), 0)</f>
        <v>0</v>
      </c>
      <c r="AA132" s="3">
        <f>IFERROR(VLOOKUP(AA$1&amp;$A132&amp;$B132,배당편집!$D$2:$N$2710,11,FALSE), 0)</f>
        <v>0.17499999999999999</v>
      </c>
      <c r="AB132" s="3">
        <f>IFERROR(VLOOKUP(AB$1&amp;$A132&amp;$B132,배당편집!$D$2:$N$2710,11,FALSE), 0)</f>
        <v>0</v>
      </c>
      <c r="AC132" s="3">
        <f>IFERROR(VLOOKUP(AC$1&amp;$A132&amp;$B132,배당편집!$D$2:$N$2710,11,FALSE), 0)</f>
        <v>0.1575</v>
      </c>
      <c r="AD132" s="3">
        <f>IFERROR(VLOOKUP(AD$1&amp;$A132&amp;$B132,배당편집!$D$2:$N$2710,11,FALSE), 0)</f>
        <v>0</v>
      </c>
      <c r="AE132" s="3">
        <f>IFERROR(VLOOKUP(AE$1&amp;$A132&amp;$B132,배당편집!$D$2:$N$2710,11,FALSE), 0)</f>
        <v>0.18</v>
      </c>
      <c r="AF132" s="3">
        <f>IFERROR(VLOOKUP(AF$1&amp;$A132&amp;$B132,배당편집!$D$2:$N$2710,11,FALSE), 0)</f>
        <v>0.35</v>
      </c>
    </row>
    <row r="133" spans="1:32" ht="16.5" customHeight="1">
      <c r="A133" s="3">
        <v>2012</v>
      </c>
      <c r="B133" s="3">
        <v>12</v>
      </c>
      <c r="C133" s="3">
        <f>IFERROR(VLOOKUP(C$1&amp;$A133&amp;$B133,배당편집!$D$2:$N$2710,11,FALSE), 0)</f>
        <v>0</v>
      </c>
      <c r="D133" s="3">
        <f>IFERROR(VLOOKUP(D$1&amp;$A133&amp;$B133,배당편집!$D$2:$N$2710,11,FALSE), 0)</f>
        <v>0.28999999999999998</v>
      </c>
      <c r="E133" s="3">
        <f>IFERROR(VLOOKUP(E$1&amp;$A133&amp;$B133,배당편집!$D$2:$N$2710,11,FALSE), 0)</f>
        <v>0.1</v>
      </c>
      <c r="F133" s="3">
        <f>IFERROR(VLOOKUP(F$1&amp;$A133&amp;$B133,배당편집!$D$2:$N$2710,11,FALSE), 0)</f>
        <v>0.49</v>
      </c>
      <c r="G133" s="3">
        <f>IFERROR(VLOOKUP(G$1&amp;$A133&amp;$B133,배당편집!$D$2:$N$2710,11,FALSE), 0)</f>
        <v>0</v>
      </c>
      <c r="H133" s="3">
        <f>IFERROR(VLOOKUP(H$1&amp;$A133&amp;$B133,배당편집!$D$2:$N$2710,11,FALSE), 0)</f>
        <v>0</v>
      </c>
      <c r="I133" s="3">
        <f>IFERROR(VLOOKUP(I$1&amp;$A133&amp;$B133,배당편집!$D$2:$N$2710,11,FALSE), 0)</f>
        <v>0</v>
      </c>
      <c r="J133" s="3">
        <f>IFERROR(VLOOKUP(J$1&amp;$A133&amp;$B133,배당편집!$D$2:$N$2710,11,FALSE), 0)</f>
        <v>0.36499999999999999</v>
      </c>
      <c r="K133" s="3">
        <f>IFERROR(VLOOKUP(K$1&amp;$A133&amp;$B133,배당편집!$D$2:$N$2710,11,FALSE), 0)</f>
        <v>0.52</v>
      </c>
      <c r="L133" s="3">
        <f>IFERROR(VLOOKUP(L$1&amp;$A133&amp;$B133,배당편집!$D$2:$N$2710,11,FALSE), 0)</f>
        <v>0</v>
      </c>
      <c r="M133" s="3">
        <f>IFERROR(VLOOKUP(M$1&amp;$A133&amp;$B133,배당편집!$D$2:$N$2710,11,FALSE), 0)</f>
        <v>0.38</v>
      </c>
      <c r="N133" s="3">
        <f>IFERROR(VLOOKUP(N$1&amp;$A133&amp;$B133,배당편집!$D$2:$N$2710,11,FALSE), 0)</f>
        <v>0</v>
      </c>
      <c r="O133" s="3">
        <f>IFERROR(VLOOKUP(O$1&amp;$A133&amp;$B133,배당편집!$D$2:$N$2710,11,FALSE), 0)</f>
        <v>0.64</v>
      </c>
      <c r="P133" s="3">
        <f>IFERROR(VLOOKUP(P$1&amp;$A133&amp;$B133,배당편집!$D$2:$N$2710,11,FALSE), 0)</f>
        <v>0</v>
      </c>
      <c r="Q133" s="3">
        <f>IFERROR(VLOOKUP(Q$1&amp;$A133&amp;$B133,배당편집!$D$2:$N$2710,11,FALSE), 0)</f>
        <v>0</v>
      </c>
      <c r="R133" s="3">
        <f>IFERROR(VLOOKUP(R$1&amp;$A133&amp;$B133,배당편집!$D$2:$N$2710,11,FALSE), 0)</f>
        <v>0</v>
      </c>
      <c r="S133" s="3">
        <f>IFERROR(VLOOKUP(S$1&amp;$A133&amp;$B133,배당편집!$D$2:$N$2710,11,FALSE), 0)</f>
        <v>0.495</v>
      </c>
      <c r="T133" s="3">
        <f>IFERROR(VLOOKUP(T$1&amp;$A133&amp;$B133,배당편집!$D$2:$N$2710,11,FALSE), 0)</f>
        <v>0.51</v>
      </c>
      <c r="U133" s="3">
        <f>IFERROR(VLOOKUP(U$1&amp;$A133&amp;$B133,배당편집!$D$2:$N$2710,11,FALSE), 0)</f>
        <v>0</v>
      </c>
      <c r="V133" s="3">
        <f>IFERROR(VLOOKUP(V$1&amp;$A133&amp;$B133,배당편집!$D$2:$N$2710,11,FALSE), 0)</f>
        <v>0</v>
      </c>
      <c r="W133" s="3">
        <f>IFERROR(VLOOKUP(W$1&amp;$A133&amp;$B133,배당편집!$D$2:$N$2710,11,FALSE), 0)</f>
        <v>0</v>
      </c>
      <c r="X133" s="3">
        <f>IFERROR(VLOOKUP(X$1&amp;$A133&amp;$B133,배당편집!$D$2:$N$2710,11,FALSE), 0)</f>
        <v>0</v>
      </c>
      <c r="Y133" s="3">
        <f>IFERROR(VLOOKUP(Y$1&amp;$A133&amp;$B133,배당편집!$D$2:$N$2710,11,FALSE), 0)</f>
        <v>0</v>
      </c>
      <c r="Z133" s="3">
        <f>IFERROR(VLOOKUP(Z$1&amp;$A133&amp;$B133,배당편집!$D$2:$N$2710,11,FALSE), 0)</f>
        <v>0.15</v>
      </c>
      <c r="AA133" s="3">
        <f>IFERROR(VLOOKUP(AA$1&amp;$A133&amp;$B133,배당편집!$D$2:$N$2710,11,FALSE), 0)</f>
        <v>0</v>
      </c>
      <c r="AB133" s="3">
        <f>IFERROR(VLOOKUP(AB$1&amp;$A133&amp;$B133,배당편집!$D$2:$N$2710,11,FALSE), 0)</f>
        <v>0</v>
      </c>
      <c r="AC133" s="3">
        <f>IFERROR(VLOOKUP(AC$1&amp;$A133&amp;$B133,배당편집!$D$2:$N$2710,11,FALSE), 0)</f>
        <v>0</v>
      </c>
      <c r="AD133" s="3">
        <f>IFERROR(VLOOKUP(AD$1&amp;$A133&amp;$B133,배당편집!$D$2:$N$2710,11,FALSE), 0)</f>
        <v>0.435</v>
      </c>
      <c r="AE133" s="3">
        <f>IFERROR(VLOOKUP(AE$1&amp;$A133&amp;$B133,배당편집!$D$2:$N$2710,11,FALSE), 0)</f>
        <v>0</v>
      </c>
      <c r="AF133" s="3">
        <f>IFERROR(VLOOKUP(AF$1&amp;$A133&amp;$B133,배당편집!$D$2:$N$2710,11,FALSE), 0)</f>
        <v>0</v>
      </c>
    </row>
    <row r="134" spans="1:32" ht="16.5" customHeight="1">
      <c r="A134" s="3">
        <v>2011</v>
      </c>
      <c r="B134" s="3">
        <v>1</v>
      </c>
      <c r="C134" s="3">
        <f>IFERROR(VLOOKUP(C$1&amp;$A134&amp;$B134,배당편집!$D$2:$N$2710,11,FALSE), 0)</f>
        <v>0</v>
      </c>
      <c r="D134" s="3">
        <f>IFERROR(VLOOKUP(D$1&amp;$A134&amp;$B134,배당편집!$D$2:$N$2710,11,FALSE), 0)</f>
        <v>0</v>
      </c>
      <c r="E134" s="3">
        <f>IFERROR(VLOOKUP(E$1&amp;$A134&amp;$B134,배당편집!$D$2:$N$2710,11,FALSE), 0)</f>
        <v>0</v>
      </c>
      <c r="F134" s="3">
        <f>IFERROR(VLOOKUP(F$1&amp;$A134&amp;$B134,배당편집!$D$2:$N$2710,11,FALSE), 0)</f>
        <v>0</v>
      </c>
      <c r="G134" s="3">
        <f>IFERROR(VLOOKUP(G$1&amp;$A134&amp;$B134,배당편집!$D$2:$N$2710,11,FALSE), 0)</f>
        <v>0</v>
      </c>
      <c r="H134" s="3">
        <f>IFERROR(VLOOKUP(H$1&amp;$A134&amp;$B134,배당편집!$D$2:$N$2710,11,FALSE), 0)</f>
        <v>0</v>
      </c>
      <c r="I134" s="3">
        <f>IFERROR(VLOOKUP(I$1&amp;$A134&amp;$B134,배당편집!$D$2:$N$2710,11,FALSE), 0)</f>
        <v>0</v>
      </c>
      <c r="J134" s="3">
        <f>IFERROR(VLOOKUP(J$1&amp;$A134&amp;$B134,배당편집!$D$2:$N$2710,11,FALSE), 0)</f>
        <v>0</v>
      </c>
      <c r="K134" s="3">
        <f>IFERROR(VLOOKUP(K$1&amp;$A134&amp;$B134,배당편집!$D$2:$N$2710,11,FALSE), 0)</f>
        <v>0.44</v>
      </c>
      <c r="L134" s="3">
        <f>IFERROR(VLOOKUP(L$1&amp;$A134&amp;$B134,배당편집!$D$2:$N$2710,11,FALSE), 0)</f>
        <v>0</v>
      </c>
      <c r="M134" s="3">
        <f>IFERROR(VLOOKUP(M$1&amp;$A134&amp;$B134,배당편집!$D$2:$N$2710,11,FALSE), 0)</f>
        <v>0</v>
      </c>
      <c r="N134" s="3">
        <f>IFERROR(VLOOKUP(N$1&amp;$A134&amp;$B134,배당편집!$D$2:$N$2710,11,FALSE), 0)</f>
        <v>0</v>
      </c>
      <c r="O134" s="3">
        <f>IFERROR(VLOOKUP(O$1&amp;$A134&amp;$B134,배당편집!$D$2:$N$2710,11,FALSE), 0)</f>
        <v>0</v>
      </c>
      <c r="P134" s="3">
        <f>IFERROR(VLOOKUP(P$1&amp;$A134&amp;$B134,배당편집!$D$2:$N$2710,11,FALSE), 0)</f>
        <v>0.48180000000000001</v>
      </c>
      <c r="Q134" s="3">
        <f>IFERROR(VLOOKUP(Q$1&amp;$A134&amp;$B134,배당편집!$D$2:$N$2710,11,FALSE), 0)</f>
        <v>0</v>
      </c>
      <c r="R134" s="3">
        <f>IFERROR(VLOOKUP(R$1&amp;$A134&amp;$B134,배당편집!$D$2:$N$2710,11,FALSE), 0)</f>
        <v>0</v>
      </c>
      <c r="S134" s="3">
        <f>IFERROR(VLOOKUP(S$1&amp;$A134&amp;$B134,배당편집!$D$2:$N$2710,11,FALSE), 0)</f>
        <v>0</v>
      </c>
      <c r="T134" s="3">
        <f>IFERROR(VLOOKUP(T$1&amp;$A134&amp;$B134,배당편집!$D$2:$N$2710,11,FALSE), 0)</f>
        <v>0.42</v>
      </c>
      <c r="U134" s="3">
        <f>IFERROR(VLOOKUP(U$1&amp;$A134&amp;$B134,배당편집!$D$2:$N$2710,11,FALSE), 0)</f>
        <v>3.5000000000000003E-2</v>
      </c>
      <c r="V134" s="3">
        <f>IFERROR(VLOOKUP(V$1&amp;$A134&amp;$B134,배당편집!$D$2:$N$2710,11,FALSE), 0)</f>
        <v>6.3750000000000001E-2</v>
      </c>
      <c r="W134" s="3">
        <f>IFERROR(VLOOKUP(W$1&amp;$A134&amp;$B134,배당편집!$D$2:$N$2710,11,FALSE), 0)</f>
        <v>0.11</v>
      </c>
      <c r="X134" s="3">
        <f>IFERROR(VLOOKUP(X$1&amp;$A134&amp;$B134,배당편집!$D$2:$N$2710,11,FALSE), 0)</f>
        <v>0</v>
      </c>
      <c r="Y134" s="3">
        <f>IFERROR(VLOOKUP(Y$1&amp;$A134&amp;$B134,배당편집!$D$2:$N$2710,11,FALSE), 0)</f>
        <v>0</v>
      </c>
      <c r="Z134" s="3">
        <f>IFERROR(VLOOKUP(Z$1&amp;$A134&amp;$B134,배당편집!$D$2:$N$2710,11,FALSE), 0)</f>
        <v>0.14000000000000001</v>
      </c>
      <c r="AA134" s="3">
        <f>IFERROR(VLOOKUP(AA$1&amp;$A134&amp;$B134,배당편집!$D$2:$N$2710,11,FALSE), 0)</f>
        <v>0</v>
      </c>
      <c r="AB134" s="3">
        <f>IFERROR(VLOOKUP(AB$1&amp;$A134&amp;$B134,배당편집!$D$2:$N$2710,11,FALSE), 0)</f>
        <v>0.11</v>
      </c>
      <c r="AC134" s="3">
        <f>IFERROR(VLOOKUP(AC$1&amp;$A134&amp;$B134,배당편집!$D$2:$N$2710,11,FALSE), 0)</f>
        <v>0</v>
      </c>
      <c r="AD134" s="3">
        <f>IFERROR(VLOOKUP(AD$1&amp;$A134&amp;$B134,배당편집!$D$2:$N$2710,11,FALSE), 0)</f>
        <v>0</v>
      </c>
      <c r="AE134" s="3">
        <f>IFERROR(VLOOKUP(AE$1&amp;$A134&amp;$B134,배당편집!$D$2:$N$2710,11,FALSE), 0)</f>
        <v>0</v>
      </c>
      <c r="AF134" s="3">
        <f>IFERROR(VLOOKUP(AF$1&amp;$A134&amp;$B134,배당편집!$D$2:$N$2710,11,FALSE), 0)</f>
        <v>0</v>
      </c>
    </row>
    <row r="135" spans="1:32" ht="16.5" customHeight="1">
      <c r="A135" s="3">
        <v>2011</v>
      </c>
      <c r="B135" s="3">
        <v>2</v>
      </c>
      <c r="C135" s="3">
        <f>IFERROR(VLOOKUP(C$1&amp;$A135&amp;$B135,배당편집!$D$2:$N$2710,11,FALSE), 0)</f>
        <v>0.17499999999999999</v>
      </c>
      <c r="D135" s="3">
        <f>IFERROR(VLOOKUP(D$1&amp;$A135&amp;$B135,배당편집!$D$2:$N$2710,11,FALSE), 0)</f>
        <v>0</v>
      </c>
      <c r="E135" s="3">
        <f>IFERROR(VLOOKUP(E$1&amp;$A135&amp;$B135,배당편집!$D$2:$N$2710,11,FALSE), 0)</f>
        <v>0</v>
      </c>
      <c r="F135" s="3">
        <f>IFERROR(VLOOKUP(F$1&amp;$A135&amp;$B135,배당편집!$D$2:$N$2710,11,FALSE), 0)</f>
        <v>0.41</v>
      </c>
      <c r="G135" s="3">
        <f>IFERROR(VLOOKUP(G$1&amp;$A135&amp;$B135,배당편집!$D$2:$N$2710,11,FALSE), 0)</f>
        <v>0.44</v>
      </c>
      <c r="H135" s="3">
        <f>IFERROR(VLOOKUP(H$1&amp;$A135&amp;$B135,배당편집!$D$2:$N$2710,11,FALSE), 0)</f>
        <v>0.72</v>
      </c>
      <c r="I135" s="3">
        <f>IFERROR(VLOOKUP(I$1&amp;$A135&amp;$B135,배당편집!$D$2:$N$2710,11,FALSE), 0)</f>
        <v>0.36499999999999999</v>
      </c>
      <c r="J135" s="3">
        <f>IFERROR(VLOOKUP(J$1&amp;$A135&amp;$B135,배당편집!$D$2:$N$2710,11,FALSE), 0)</f>
        <v>0</v>
      </c>
      <c r="K135" s="3">
        <f>IFERROR(VLOOKUP(K$1&amp;$A135&amp;$B135,배당편집!$D$2:$N$2710,11,FALSE), 0)</f>
        <v>0</v>
      </c>
      <c r="L135" s="3">
        <f>IFERROR(VLOOKUP(L$1&amp;$A135&amp;$B135,배당편집!$D$2:$N$2710,11,FALSE), 0)</f>
        <v>0.25</v>
      </c>
      <c r="M135" s="3">
        <f>IFERROR(VLOOKUP(M$1&amp;$A135&amp;$B135,배당편집!$D$2:$N$2710,11,FALSE), 0)</f>
        <v>0</v>
      </c>
      <c r="N135" s="3">
        <f>IFERROR(VLOOKUP(N$1&amp;$A135&amp;$B135,배당편집!$D$2:$N$2710,11,FALSE), 0)</f>
        <v>0.34499999999999997</v>
      </c>
      <c r="O135" s="3">
        <f>IFERROR(VLOOKUP(O$1&amp;$A135&amp;$B135,배당편집!$D$2:$N$2710,11,FALSE), 0)</f>
        <v>0</v>
      </c>
      <c r="P135" s="3">
        <f>IFERROR(VLOOKUP(P$1&amp;$A135&amp;$B135,배당편집!$D$2:$N$2710,11,FALSE), 0)</f>
        <v>0</v>
      </c>
      <c r="Q135" s="3">
        <f>IFERROR(VLOOKUP(Q$1&amp;$A135&amp;$B135,배당편집!$D$2:$N$2710,11,FALSE), 0)</f>
        <v>0.54</v>
      </c>
      <c r="R135" s="3">
        <f>IFERROR(VLOOKUP(R$1&amp;$A135&amp;$B135,배당편집!$D$2:$N$2710,11,FALSE), 0)</f>
        <v>0.34</v>
      </c>
      <c r="S135" s="3">
        <f>IFERROR(VLOOKUP(S$1&amp;$A135&amp;$B135,배당편집!$D$2:$N$2710,11,FALSE), 0)</f>
        <v>0</v>
      </c>
      <c r="T135" s="3">
        <f>IFERROR(VLOOKUP(T$1&amp;$A135&amp;$B135,배당편집!$D$2:$N$2710,11,FALSE), 0)</f>
        <v>0</v>
      </c>
      <c r="U135" s="3">
        <f>IFERROR(VLOOKUP(U$1&amp;$A135&amp;$B135,배당편집!$D$2:$N$2710,11,FALSE), 0)</f>
        <v>0</v>
      </c>
      <c r="V135" s="3">
        <f>IFERROR(VLOOKUP(V$1&amp;$A135&amp;$B135,배당편집!$D$2:$N$2710,11,FALSE), 0)</f>
        <v>0</v>
      </c>
      <c r="W135" s="3">
        <f>IFERROR(VLOOKUP(W$1&amp;$A135&amp;$B135,배당편집!$D$2:$N$2710,11,FALSE), 0)</f>
        <v>0</v>
      </c>
      <c r="X135" s="3">
        <f>IFERROR(VLOOKUP(X$1&amp;$A135&amp;$B135,배당편집!$D$2:$N$2710,11,FALSE), 0)</f>
        <v>0.27500000000000002</v>
      </c>
      <c r="Y135" s="3">
        <f>IFERROR(VLOOKUP(Y$1&amp;$A135&amp;$B135,배당편집!$D$2:$N$2710,11,FALSE), 0)</f>
        <v>0.32</v>
      </c>
      <c r="Z135" s="3">
        <f>IFERROR(VLOOKUP(Z$1&amp;$A135&amp;$B135,배당편집!$D$2:$N$2710,11,FALSE), 0)</f>
        <v>0</v>
      </c>
      <c r="AA135" s="3">
        <f>IFERROR(VLOOKUP(AA$1&amp;$A135&amp;$B135,배당편집!$D$2:$N$2710,11,FALSE), 0)</f>
        <v>0.16</v>
      </c>
      <c r="AB135" s="3">
        <f>IFERROR(VLOOKUP(AB$1&amp;$A135&amp;$B135,배당편집!$D$2:$N$2710,11,FALSE), 0)</f>
        <v>0</v>
      </c>
      <c r="AC135" s="3">
        <f>IFERROR(VLOOKUP(AC$1&amp;$A135&amp;$B135,배당편집!$D$2:$N$2710,11,FALSE), 0)</f>
        <v>0.15375</v>
      </c>
      <c r="AD135" s="3">
        <f>IFERROR(VLOOKUP(AD$1&amp;$A135&amp;$B135,배당편집!$D$2:$N$2710,11,FALSE), 0)</f>
        <v>0</v>
      </c>
      <c r="AE135" s="3">
        <f>IFERROR(VLOOKUP(AE$1&amp;$A135&amp;$B135,배당편집!$D$2:$N$2710,11,FALSE), 0)</f>
        <v>0.17</v>
      </c>
      <c r="AF135" s="3">
        <f>IFERROR(VLOOKUP(AF$1&amp;$A135&amp;$B135,배당편집!$D$2:$N$2710,11,FALSE), 0)</f>
        <v>0.27500000000000002</v>
      </c>
    </row>
    <row r="136" spans="1:32" ht="16.5" customHeight="1">
      <c r="A136" s="3">
        <v>2011</v>
      </c>
      <c r="B136" s="3">
        <v>3</v>
      </c>
      <c r="C136" s="3">
        <f>IFERROR(VLOOKUP(C$1&amp;$A136&amp;$B136,배당편집!$D$2:$N$2710,11,FALSE), 0)</f>
        <v>0</v>
      </c>
      <c r="D136" s="3">
        <f>IFERROR(VLOOKUP(D$1&amp;$A136&amp;$B136,배당편집!$D$2:$N$2710,11,FALSE), 0)</f>
        <v>0.27</v>
      </c>
      <c r="E136" s="3">
        <f>IFERROR(VLOOKUP(E$1&amp;$A136&amp;$B136,배당편집!$D$2:$N$2710,11,FALSE), 0)</f>
        <v>0.08</v>
      </c>
      <c r="F136" s="3">
        <f>IFERROR(VLOOKUP(F$1&amp;$A136&amp;$B136,배당편집!$D$2:$N$2710,11,FALSE), 0)</f>
        <v>0</v>
      </c>
      <c r="G136" s="3">
        <f>IFERROR(VLOOKUP(G$1&amp;$A136&amp;$B136,배당편집!$D$2:$N$2710,11,FALSE), 0)</f>
        <v>0</v>
      </c>
      <c r="H136" s="3">
        <f>IFERROR(VLOOKUP(H$1&amp;$A136&amp;$B136,배당편집!$D$2:$N$2710,11,FALSE), 0)</f>
        <v>0</v>
      </c>
      <c r="I136" s="3">
        <f>IFERROR(VLOOKUP(I$1&amp;$A136&amp;$B136,배당편집!$D$2:$N$2710,11,FALSE), 0)</f>
        <v>0</v>
      </c>
      <c r="J136" s="3">
        <f>IFERROR(VLOOKUP(J$1&amp;$A136&amp;$B136,배당편집!$D$2:$N$2710,11,FALSE), 0)</f>
        <v>0.34499999999999997</v>
      </c>
      <c r="K136" s="3">
        <f>IFERROR(VLOOKUP(K$1&amp;$A136&amp;$B136,배당편집!$D$2:$N$2710,11,FALSE), 0)</f>
        <v>0</v>
      </c>
      <c r="L136" s="3">
        <f>IFERROR(VLOOKUP(L$1&amp;$A136&amp;$B136,배당편집!$D$2:$N$2710,11,FALSE), 0)</f>
        <v>0</v>
      </c>
      <c r="M136" s="3">
        <f>IFERROR(VLOOKUP(M$1&amp;$A136&amp;$B136,배당편집!$D$2:$N$2710,11,FALSE), 0)</f>
        <v>0.34</v>
      </c>
      <c r="N136" s="3">
        <f>IFERROR(VLOOKUP(N$1&amp;$A136&amp;$B136,배당편집!$D$2:$N$2710,11,FALSE), 0)</f>
        <v>0</v>
      </c>
      <c r="O136" s="3">
        <f>IFERROR(VLOOKUP(O$1&amp;$A136&amp;$B136,배당편집!$D$2:$N$2710,11,FALSE), 0)</f>
        <v>0.57999999999999996</v>
      </c>
      <c r="P136" s="3">
        <f>IFERROR(VLOOKUP(P$1&amp;$A136&amp;$B136,배당편집!$D$2:$N$2710,11,FALSE), 0)</f>
        <v>0</v>
      </c>
      <c r="Q136" s="3">
        <f>IFERROR(VLOOKUP(Q$1&amp;$A136&amp;$B136,배당편집!$D$2:$N$2710,11,FALSE), 0)</f>
        <v>0</v>
      </c>
      <c r="R136" s="3">
        <f>IFERROR(VLOOKUP(R$1&amp;$A136&amp;$B136,배당편집!$D$2:$N$2710,11,FALSE), 0)</f>
        <v>0</v>
      </c>
      <c r="S136" s="3">
        <f>IFERROR(VLOOKUP(S$1&amp;$A136&amp;$B136,배당편집!$D$2:$N$2710,11,FALSE), 0)</f>
        <v>0.45</v>
      </c>
      <c r="T136" s="3">
        <f>IFERROR(VLOOKUP(T$1&amp;$A136&amp;$B136,배당편집!$D$2:$N$2710,11,FALSE), 0)</f>
        <v>0</v>
      </c>
      <c r="U136" s="3">
        <f>IFERROR(VLOOKUP(U$1&amp;$A136&amp;$B136,배당편집!$D$2:$N$2710,11,FALSE), 0)</f>
        <v>0</v>
      </c>
      <c r="V136" s="3">
        <f>IFERROR(VLOOKUP(V$1&amp;$A136&amp;$B136,배당편집!$D$2:$N$2710,11,FALSE), 0)</f>
        <v>0</v>
      </c>
      <c r="W136" s="3">
        <f>IFERROR(VLOOKUP(W$1&amp;$A136&amp;$B136,배당편집!$D$2:$N$2710,11,FALSE), 0)</f>
        <v>0</v>
      </c>
      <c r="X136" s="3">
        <f>IFERROR(VLOOKUP(X$1&amp;$A136&amp;$B136,배당편집!$D$2:$N$2710,11,FALSE), 0)</f>
        <v>0</v>
      </c>
      <c r="Y136" s="3">
        <f>IFERROR(VLOOKUP(Y$1&amp;$A136&amp;$B136,배당편집!$D$2:$N$2710,11,FALSE), 0)</f>
        <v>0</v>
      </c>
      <c r="Z136" s="3">
        <f>IFERROR(VLOOKUP(Z$1&amp;$A136&amp;$B136,배당편집!$D$2:$N$2710,11,FALSE), 0)</f>
        <v>0</v>
      </c>
      <c r="AA136" s="3">
        <f>IFERROR(VLOOKUP(AA$1&amp;$A136&amp;$B136,배당편집!$D$2:$N$2710,11,FALSE), 0)</f>
        <v>0</v>
      </c>
      <c r="AB136" s="3">
        <f>IFERROR(VLOOKUP(AB$1&amp;$A136&amp;$B136,배당편집!$D$2:$N$2710,11,FALSE), 0)</f>
        <v>0</v>
      </c>
      <c r="AC136" s="3">
        <f>IFERROR(VLOOKUP(AC$1&amp;$A136&amp;$B136,배당편집!$D$2:$N$2710,11,FALSE), 0)</f>
        <v>0</v>
      </c>
      <c r="AD136" s="3">
        <f>IFERROR(VLOOKUP(AD$1&amp;$A136&amp;$B136,배당편집!$D$2:$N$2710,11,FALSE), 0)</f>
        <v>0.36</v>
      </c>
      <c r="AE136" s="3">
        <f>IFERROR(VLOOKUP(AE$1&amp;$A136&amp;$B136,배당편집!$D$2:$N$2710,11,FALSE), 0)</f>
        <v>0</v>
      </c>
      <c r="AF136" s="3">
        <f>IFERROR(VLOOKUP(AF$1&amp;$A136&amp;$B136,배당편집!$D$2:$N$2710,11,FALSE), 0)</f>
        <v>0</v>
      </c>
    </row>
    <row r="137" spans="1:32" ht="16.5" customHeight="1">
      <c r="A137" s="3">
        <v>2011</v>
      </c>
      <c r="B137" s="3">
        <v>4</v>
      </c>
      <c r="C137" s="3">
        <f>IFERROR(VLOOKUP(C$1&amp;$A137&amp;$B137,배당편집!$D$2:$N$2710,11,FALSE), 0)</f>
        <v>0</v>
      </c>
      <c r="D137" s="3">
        <f>IFERROR(VLOOKUP(D$1&amp;$A137&amp;$B137,배당편집!$D$2:$N$2710,11,FALSE), 0)</f>
        <v>0</v>
      </c>
      <c r="E137" s="3">
        <f>IFERROR(VLOOKUP(E$1&amp;$A137&amp;$B137,배당편집!$D$2:$N$2710,11,FALSE), 0)</f>
        <v>0</v>
      </c>
      <c r="F137" s="3">
        <f>IFERROR(VLOOKUP(F$1&amp;$A137&amp;$B137,배당편집!$D$2:$N$2710,11,FALSE), 0)</f>
        <v>0</v>
      </c>
      <c r="G137" s="3">
        <f>IFERROR(VLOOKUP(G$1&amp;$A137&amp;$B137,배당편집!$D$2:$N$2710,11,FALSE), 0)</f>
        <v>0</v>
      </c>
      <c r="H137" s="3">
        <f>IFERROR(VLOOKUP(H$1&amp;$A137&amp;$B137,배당편집!$D$2:$N$2710,11,FALSE), 0)</f>
        <v>0</v>
      </c>
      <c r="I137" s="3">
        <f>IFERROR(VLOOKUP(I$1&amp;$A137&amp;$B137,배당편집!$D$2:$N$2710,11,FALSE), 0)</f>
        <v>0</v>
      </c>
      <c r="J137" s="3">
        <f>IFERROR(VLOOKUP(J$1&amp;$A137&amp;$B137,배당편집!$D$2:$N$2710,11,FALSE), 0)</f>
        <v>0</v>
      </c>
      <c r="K137" s="3">
        <f>IFERROR(VLOOKUP(K$1&amp;$A137&amp;$B137,배당편집!$D$2:$N$2710,11,FALSE), 0)</f>
        <v>0.44</v>
      </c>
      <c r="L137" s="3">
        <f>IFERROR(VLOOKUP(L$1&amp;$A137&amp;$B137,배당편집!$D$2:$N$2710,11,FALSE), 0)</f>
        <v>0</v>
      </c>
      <c r="M137" s="3">
        <f>IFERROR(VLOOKUP(M$1&amp;$A137&amp;$B137,배당편집!$D$2:$N$2710,11,FALSE), 0)</f>
        <v>0</v>
      </c>
      <c r="N137" s="3">
        <f>IFERROR(VLOOKUP(N$1&amp;$A137&amp;$B137,배당편집!$D$2:$N$2710,11,FALSE), 0)</f>
        <v>0</v>
      </c>
      <c r="O137" s="3">
        <f>IFERROR(VLOOKUP(O$1&amp;$A137&amp;$B137,배당편집!$D$2:$N$2710,11,FALSE), 0)</f>
        <v>0</v>
      </c>
      <c r="P137" s="3">
        <f>IFERROR(VLOOKUP(P$1&amp;$A137&amp;$B137,배당편집!$D$2:$N$2710,11,FALSE), 0)</f>
        <v>0.52500000000000002</v>
      </c>
      <c r="Q137" s="3">
        <f>IFERROR(VLOOKUP(Q$1&amp;$A137&amp;$B137,배당편집!$D$2:$N$2710,11,FALSE), 0)</f>
        <v>0</v>
      </c>
      <c r="R137" s="3">
        <f>IFERROR(VLOOKUP(R$1&amp;$A137&amp;$B137,배당편집!$D$2:$N$2710,11,FALSE), 0)</f>
        <v>0</v>
      </c>
      <c r="S137" s="3">
        <f>IFERROR(VLOOKUP(S$1&amp;$A137&amp;$B137,배당편집!$D$2:$N$2710,11,FALSE), 0)</f>
        <v>0</v>
      </c>
      <c r="T137" s="3">
        <f>IFERROR(VLOOKUP(T$1&amp;$A137&amp;$B137,배당편집!$D$2:$N$2710,11,FALSE), 0)</f>
        <v>0.47</v>
      </c>
      <c r="U137" s="3">
        <f>IFERROR(VLOOKUP(U$1&amp;$A137&amp;$B137,배당편집!$D$2:$N$2710,11,FALSE), 0)</f>
        <v>3.5000000000000003E-2</v>
      </c>
      <c r="V137" s="3">
        <f>IFERROR(VLOOKUP(V$1&amp;$A137&amp;$B137,배당편집!$D$2:$N$2710,11,FALSE), 0)</f>
        <v>6.3750000000000001E-2</v>
      </c>
      <c r="W137" s="3">
        <f>IFERROR(VLOOKUP(W$1&amp;$A137&amp;$B137,배당편집!$D$2:$N$2710,11,FALSE), 0)</f>
        <v>0.11</v>
      </c>
      <c r="X137" s="3">
        <f>IFERROR(VLOOKUP(X$1&amp;$A137&amp;$B137,배당편집!$D$2:$N$2710,11,FALSE), 0)</f>
        <v>0</v>
      </c>
      <c r="Y137" s="3">
        <f>IFERROR(VLOOKUP(Y$1&amp;$A137&amp;$B137,배당편집!$D$2:$N$2710,11,FALSE), 0)</f>
        <v>0</v>
      </c>
      <c r="Z137" s="3">
        <f>IFERROR(VLOOKUP(Z$1&amp;$A137&amp;$B137,배당편집!$D$2:$N$2710,11,FALSE), 0)</f>
        <v>0.14000000000000001</v>
      </c>
      <c r="AA137" s="3">
        <f>IFERROR(VLOOKUP(AA$1&amp;$A137&amp;$B137,배당편집!$D$2:$N$2710,11,FALSE), 0)</f>
        <v>0</v>
      </c>
      <c r="AB137" s="3">
        <f>IFERROR(VLOOKUP(AB$1&amp;$A137&amp;$B137,배당편집!$D$2:$N$2710,11,FALSE), 0)</f>
        <v>0.12</v>
      </c>
      <c r="AC137" s="3">
        <f>IFERROR(VLOOKUP(AC$1&amp;$A137&amp;$B137,배당편집!$D$2:$N$2710,11,FALSE), 0)</f>
        <v>0</v>
      </c>
      <c r="AD137" s="3">
        <f>IFERROR(VLOOKUP(AD$1&amp;$A137&amp;$B137,배당편집!$D$2:$N$2710,11,FALSE), 0)</f>
        <v>0</v>
      </c>
      <c r="AE137" s="3">
        <f>IFERROR(VLOOKUP(AE$1&amp;$A137&amp;$B137,배당편집!$D$2:$N$2710,11,FALSE), 0)</f>
        <v>0</v>
      </c>
      <c r="AF137" s="3">
        <f>IFERROR(VLOOKUP(AF$1&amp;$A137&amp;$B137,배당편집!$D$2:$N$2710,11,FALSE), 0)</f>
        <v>0</v>
      </c>
    </row>
    <row r="138" spans="1:32" ht="16.5" customHeight="1">
      <c r="A138" s="3">
        <v>2011</v>
      </c>
      <c r="B138" s="3">
        <v>5</v>
      </c>
      <c r="C138" s="3">
        <f>IFERROR(VLOOKUP(C$1&amp;$A138&amp;$B138,배당편집!$D$2:$N$2710,11,FALSE), 0)</f>
        <v>0.17499999999999999</v>
      </c>
      <c r="D138" s="3">
        <f>IFERROR(VLOOKUP(D$1&amp;$A138&amp;$B138,배당편집!$D$2:$N$2710,11,FALSE), 0)</f>
        <v>0</v>
      </c>
      <c r="E138" s="3">
        <f>IFERROR(VLOOKUP(E$1&amp;$A138&amp;$B138,배당편집!$D$2:$N$2710,11,FALSE), 0)</f>
        <v>0</v>
      </c>
      <c r="F138" s="3">
        <f>IFERROR(VLOOKUP(F$1&amp;$A138&amp;$B138,배당편집!$D$2:$N$2710,11,FALSE), 0)</f>
        <v>0.41</v>
      </c>
      <c r="G138" s="3">
        <f>IFERROR(VLOOKUP(G$1&amp;$A138&amp;$B138,배당편집!$D$2:$N$2710,11,FALSE), 0)</f>
        <v>0.47</v>
      </c>
      <c r="H138" s="3">
        <f>IFERROR(VLOOKUP(H$1&amp;$A138&amp;$B138,배당편집!$D$2:$N$2710,11,FALSE), 0)</f>
        <v>0.78</v>
      </c>
      <c r="I138" s="3">
        <f>IFERROR(VLOOKUP(I$1&amp;$A138&amp;$B138,배당편집!$D$2:$N$2710,11,FALSE), 0)</f>
        <v>0.36499999999999999</v>
      </c>
      <c r="J138" s="3">
        <f>IFERROR(VLOOKUP(J$1&amp;$A138&amp;$B138,배당편집!$D$2:$N$2710,11,FALSE), 0)</f>
        <v>0</v>
      </c>
      <c r="K138" s="3">
        <f>IFERROR(VLOOKUP(K$1&amp;$A138&amp;$B138,배당편집!$D$2:$N$2710,11,FALSE), 0)</f>
        <v>0</v>
      </c>
      <c r="L138" s="3">
        <f>IFERROR(VLOOKUP(L$1&amp;$A138&amp;$B138,배당편집!$D$2:$N$2710,11,FALSE), 0)</f>
        <v>0.25</v>
      </c>
      <c r="M138" s="3">
        <f>IFERROR(VLOOKUP(M$1&amp;$A138&amp;$B138,배당편집!$D$2:$N$2710,11,FALSE), 0)</f>
        <v>0</v>
      </c>
      <c r="N138" s="3">
        <f>IFERROR(VLOOKUP(N$1&amp;$A138&amp;$B138,배당편집!$D$2:$N$2710,11,FALSE), 0)</f>
        <v>0.34499999999999997</v>
      </c>
      <c r="O138" s="3">
        <f>IFERROR(VLOOKUP(O$1&amp;$A138&amp;$B138,배당편집!$D$2:$N$2710,11,FALSE), 0)</f>
        <v>0</v>
      </c>
      <c r="P138" s="3">
        <f>IFERROR(VLOOKUP(P$1&amp;$A138&amp;$B138,배당편집!$D$2:$N$2710,11,FALSE), 0)</f>
        <v>0</v>
      </c>
      <c r="Q138" s="3">
        <f>IFERROR(VLOOKUP(Q$1&amp;$A138&amp;$B138,배당편집!$D$2:$N$2710,11,FALSE), 0)</f>
        <v>0.56999999999999995</v>
      </c>
      <c r="R138" s="3">
        <f>IFERROR(VLOOKUP(R$1&amp;$A138&amp;$B138,배당편집!$D$2:$N$2710,11,FALSE), 0)</f>
        <v>0.34</v>
      </c>
      <c r="S138" s="3">
        <f>IFERROR(VLOOKUP(S$1&amp;$A138&amp;$B138,배당편집!$D$2:$N$2710,11,FALSE), 0)</f>
        <v>0</v>
      </c>
      <c r="T138" s="3">
        <f>IFERROR(VLOOKUP(T$1&amp;$A138&amp;$B138,배당편집!$D$2:$N$2710,11,FALSE), 0)</f>
        <v>0</v>
      </c>
      <c r="U138" s="3">
        <f>IFERROR(VLOOKUP(U$1&amp;$A138&amp;$B138,배당편집!$D$2:$N$2710,11,FALSE), 0)</f>
        <v>0</v>
      </c>
      <c r="V138" s="3">
        <f>IFERROR(VLOOKUP(V$1&amp;$A138&amp;$B138,배당편집!$D$2:$N$2710,11,FALSE), 0)</f>
        <v>0</v>
      </c>
      <c r="W138" s="3">
        <f>IFERROR(VLOOKUP(W$1&amp;$A138&amp;$B138,배당편집!$D$2:$N$2710,11,FALSE), 0)</f>
        <v>0</v>
      </c>
      <c r="X138" s="3">
        <f>IFERROR(VLOOKUP(X$1&amp;$A138&amp;$B138,배당편집!$D$2:$N$2710,11,FALSE), 0)</f>
        <v>0.28499999999999998</v>
      </c>
      <c r="Y138" s="3">
        <f>IFERROR(VLOOKUP(Y$1&amp;$A138&amp;$B138,배당편집!$D$2:$N$2710,11,FALSE), 0)</f>
        <v>0.37</v>
      </c>
      <c r="Z138" s="3">
        <f>IFERROR(VLOOKUP(Z$1&amp;$A138&amp;$B138,배당편집!$D$2:$N$2710,11,FALSE), 0)</f>
        <v>0</v>
      </c>
      <c r="AA138" s="3">
        <f>IFERROR(VLOOKUP(AA$1&amp;$A138&amp;$B138,배당편집!$D$2:$N$2710,11,FALSE), 0)</f>
        <v>0.16</v>
      </c>
      <c r="AB138" s="3">
        <f>IFERROR(VLOOKUP(AB$1&amp;$A138&amp;$B138,배당편집!$D$2:$N$2710,11,FALSE), 0)</f>
        <v>0</v>
      </c>
      <c r="AC138" s="3">
        <f>IFERROR(VLOOKUP(AC$1&amp;$A138&amp;$B138,배당편집!$D$2:$N$2710,11,FALSE), 0)</f>
        <v>0.15375</v>
      </c>
      <c r="AD138" s="3">
        <f>IFERROR(VLOOKUP(AD$1&amp;$A138&amp;$B138,배당편집!$D$2:$N$2710,11,FALSE), 0)</f>
        <v>0</v>
      </c>
      <c r="AE138" s="3">
        <f>IFERROR(VLOOKUP(AE$1&amp;$A138&amp;$B138,배당편집!$D$2:$N$2710,11,FALSE), 0)</f>
        <v>0.17</v>
      </c>
      <c r="AF138" s="3">
        <f>IFERROR(VLOOKUP(AF$1&amp;$A138&amp;$B138,배당편집!$D$2:$N$2710,11,FALSE), 0)</f>
        <v>0.27500000000000002</v>
      </c>
    </row>
    <row r="139" spans="1:32" ht="16.5" customHeight="1">
      <c r="A139" s="3">
        <v>2011</v>
      </c>
      <c r="B139" s="3">
        <v>6</v>
      </c>
      <c r="C139" s="3">
        <f>IFERROR(VLOOKUP(C$1&amp;$A139&amp;$B139,배당편집!$D$2:$N$2710,11,FALSE), 0)</f>
        <v>0</v>
      </c>
      <c r="D139" s="3">
        <f>IFERROR(VLOOKUP(D$1&amp;$A139&amp;$B139,배당편집!$D$2:$N$2710,11,FALSE), 0)</f>
        <v>0.27</v>
      </c>
      <c r="E139" s="3">
        <f>IFERROR(VLOOKUP(E$1&amp;$A139&amp;$B139,배당편집!$D$2:$N$2710,11,FALSE), 0)</f>
        <v>0.08</v>
      </c>
      <c r="F139" s="3">
        <f>IFERROR(VLOOKUP(F$1&amp;$A139&amp;$B139,배당편집!$D$2:$N$2710,11,FALSE), 0)</f>
        <v>0</v>
      </c>
      <c r="G139" s="3">
        <f>IFERROR(VLOOKUP(G$1&amp;$A139&amp;$B139,배당편집!$D$2:$N$2710,11,FALSE), 0)</f>
        <v>0</v>
      </c>
      <c r="H139" s="3">
        <f>IFERROR(VLOOKUP(H$1&amp;$A139&amp;$B139,배당편집!$D$2:$N$2710,11,FALSE), 0)</f>
        <v>0</v>
      </c>
      <c r="I139" s="3">
        <f>IFERROR(VLOOKUP(I$1&amp;$A139&amp;$B139,배당편집!$D$2:$N$2710,11,FALSE), 0)</f>
        <v>0</v>
      </c>
      <c r="J139" s="3">
        <f>IFERROR(VLOOKUP(J$1&amp;$A139&amp;$B139,배당편집!$D$2:$N$2710,11,FALSE), 0)</f>
        <v>0.35499999999999998</v>
      </c>
      <c r="K139" s="3">
        <f>IFERROR(VLOOKUP(K$1&amp;$A139&amp;$B139,배당편집!$D$2:$N$2710,11,FALSE), 0)</f>
        <v>0</v>
      </c>
      <c r="L139" s="3">
        <f>IFERROR(VLOOKUP(L$1&amp;$A139&amp;$B139,배당편집!$D$2:$N$2710,11,FALSE), 0)</f>
        <v>0</v>
      </c>
      <c r="M139" s="3">
        <f>IFERROR(VLOOKUP(M$1&amp;$A139&amp;$B139,배당편집!$D$2:$N$2710,11,FALSE), 0)</f>
        <v>0.34</v>
      </c>
      <c r="N139" s="3">
        <f>IFERROR(VLOOKUP(N$1&amp;$A139&amp;$B139,배당편집!$D$2:$N$2710,11,FALSE), 0)</f>
        <v>0</v>
      </c>
      <c r="O139" s="3">
        <f>IFERROR(VLOOKUP(O$1&amp;$A139&amp;$B139,배당편집!$D$2:$N$2710,11,FALSE), 0)</f>
        <v>0.57999999999999996</v>
      </c>
      <c r="P139" s="3">
        <f>IFERROR(VLOOKUP(P$1&amp;$A139&amp;$B139,배당편집!$D$2:$N$2710,11,FALSE), 0)</f>
        <v>0</v>
      </c>
      <c r="Q139" s="3">
        <f>IFERROR(VLOOKUP(Q$1&amp;$A139&amp;$B139,배당편집!$D$2:$N$2710,11,FALSE), 0)</f>
        <v>0</v>
      </c>
      <c r="R139" s="3">
        <f>IFERROR(VLOOKUP(R$1&amp;$A139&amp;$B139,배당편집!$D$2:$N$2710,11,FALSE), 0)</f>
        <v>0</v>
      </c>
      <c r="S139" s="3">
        <f>IFERROR(VLOOKUP(S$1&amp;$A139&amp;$B139,배당편집!$D$2:$N$2710,11,FALSE), 0)</f>
        <v>0.45</v>
      </c>
      <c r="T139" s="3">
        <f>IFERROR(VLOOKUP(T$1&amp;$A139&amp;$B139,배당편집!$D$2:$N$2710,11,FALSE), 0)</f>
        <v>0.47</v>
      </c>
      <c r="U139" s="3">
        <f>IFERROR(VLOOKUP(U$1&amp;$A139&amp;$B139,배당편집!$D$2:$N$2710,11,FALSE), 0)</f>
        <v>0</v>
      </c>
      <c r="V139" s="3">
        <f>IFERROR(VLOOKUP(V$1&amp;$A139&amp;$B139,배당편집!$D$2:$N$2710,11,FALSE), 0)</f>
        <v>0</v>
      </c>
      <c r="W139" s="3">
        <f>IFERROR(VLOOKUP(W$1&amp;$A139&amp;$B139,배당편집!$D$2:$N$2710,11,FALSE), 0)</f>
        <v>0</v>
      </c>
      <c r="X139" s="3">
        <f>IFERROR(VLOOKUP(X$1&amp;$A139&amp;$B139,배당편집!$D$2:$N$2710,11,FALSE), 0)</f>
        <v>0</v>
      </c>
      <c r="Y139" s="3">
        <f>IFERROR(VLOOKUP(Y$1&amp;$A139&amp;$B139,배당편집!$D$2:$N$2710,11,FALSE), 0)</f>
        <v>0</v>
      </c>
      <c r="Z139" s="3">
        <f>IFERROR(VLOOKUP(Z$1&amp;$A139&amp;$B139,배당편집!$D$2:$N$2710,11,FALSE), 0)</f>
        <v>0</v>
      </c>
      <c r="AA139" s="3">
        <f>IFERROR(VLOOKUP(AA$1&amp;$A139&amp;$B139,배당편집!$D$2:$N$2710,11,FALSE), 0)</f>
        <v>0</v>
      </c>
      <c r="AB139" s="3">
        <f>IFERROR(VLOOKUP(AB$1&amp;$A139&amp;$B139,배당편집!$D$2:$N$2710,11,FALSE), 0)</f>
        <v>0</v>
      </c>
      <c r="AC139" s="3">
        <f>IFERROR(VLOOKUP(AC$1&amp;$A139&amp;$B139,배당편집!$D$2:$N$2710,11,FALSE), 0)</f>
        <v>0</v>
      </c>
      <c r="AD139" s="3">
        <f>IFERROR(VLOOKUP(AD$1&amp;$A139&amp;$B139,배당편집!$D$2:$N$2710,11,FALSE), 0)</f>
        <v>0.36</v>
      </c>
      <c r="AE139" s="3">
        <f>IFERROR(VLOOKUP(AE$1&amp;$A139&amp;$B139,배당편집!$D$2:$N$2710,11,FALSE), 0)</f>
        <v>0</v>
      </c>
      <c r="AF139" s="3">
        <f>IFERROR(VLOOKUP(AF$1&amp;$A139&amp;$B139,배당편집!$D$2:$N$2710,11,FALSE), 0)</f>
        <v>0</v>
      </c>
    </row>
    <row r="140" spans="1:32" ht="16.5" customHeight="1">
      <c r="A140" s="3">
        <v>2011</v>
      </c>
      <c r="B140" s="3">
        <v>7</v>
      </c>
      <c r="C140" s="3">
        <f>IFERROR(VLOOKUP(C$1&amp;$A140&amp;$B140,배당편집!$D$2:$N$2710,11,FALSE), 0)</f>
        <v>0</v>
      </c>
      <c r="D140" s="3">
        <f>IFERROR(VLOOKUP(D$1&amp;$A140&amp;$B140,배당편집!$D$2:$N$2710,11,FALSE), 0)</f>
        <v>0</v>
      </c>
      <c r="E140" s="3">
        <f>IFERROR(VLOOKUP(E$1&amp;$A140&amp;$B140,배당편집!$D$2:$N$2710,11,FALSE), 0)</f>
        <v>0</v>
      </c>
      <c r="F140" s="3">
        <f>IFERROR(VLOOKUP(F$1&amp;$A140&amp;$B140,배당편집!$D$2:$N$2710,11,FALSE), 0)</f>
        <v>0</v>
      </c>
      <c r="G140" s="3">
        <f>IFERROR(VLOOKUP(G$1&amp;$A140&amp;$B140,배당편집!$D$2:$N$2710,11,FALSE), 0)</f>
        <v>0</v>
      </c>
      <c r="H140" s="3">
        <f>IFERROR(VLOOKUP(H$1&amp;$A140&amp;$B140,배당편집!$D$2:$N$2710,11,FALSE), 0)</f>
        <v>0</v>
      </c>
      <c r="I140" s="3">
        <f>IFERROR(VLOOKUP(I$1&amp;$A140&amp;$B140,배당편집!$D$2:$N$2710,11,FALSE), 0)</f>
        <v>0</v>
      </c>
      <c r="J140" s="3">
        <f>IFERROR(VLOOKUP(J$1&amp;$A140&amp;$B140,배당편집!$D$2:$N$2710,11,FALSE), 0)</f>
        <v>0</v>
      </c>
      <c r="K140" s="3">
        <f>IFERROR(VLOOKUP(K$1&amp;$A140&amp;$B140,배당편집!$D$2:$N$2710,11,FALSE), 0)</f>
        <v>0.46</v>
      </c>
      <c r="L140" s="3">
        <f>IFERROR(VLOOKUP(L$1&amp;$A140&amp;$B140,배당편집!$D$2:$N$2710,11,FALSE), 0)</f>
        <v>0</v>
      </c>
      <c r="M140" s="3">
        <f>IFERROR(VLOOKUP(M$1&amp;$A140&amp;$B140,배당편집!$D$2:$N$2710,11,FALSE), 0)</f>
        <v>0</v>
      </c>
      <c r="N140" s="3">
        <f>IFERROR(VLOOKUP(N$1&amp;$A140&amp;$B140,배당편집!$D$2:$N$2710,11,FALSE), 0)</f>
        <v>0</v>
      </c>
      <c r="O140" s="3">
        <f>IFERROR(VLOOKUP(O$1&amp;$A140&amp;$B140,배당편집!$D$2:$N$2710,11,FALSE), 0)</f>
        <v>0</v>
      </c>
      <c r="P140" s="3">
        <f>IFERROR(VLOOKUP(P$1&amp;$A140&amp;$B140,배당편집!$D$2:$N$2710,11,FALSE), 0)</f>
        <v>0.52500000000000002</v>
      </c>
      <c r="Q140" s="3">
        <f>IFERROR(VLOOKUP(Q$1&amp;$A140&amp;$B140,배당편집!$D$2:$N$2710,11,FALSE), 0)</f>
        <v>0</v>
      </c>
      <c r="R140" s="3">
        <f>IFERROR(VLOOKUP(R$1&amp;$A140&amp;$B140,배당편집!$D$2:$N$2710,11,FALSE), 0)</f>
        <v>0</v>
      </c>
      <c r="S140" s="3">
        <f>IFERROR(VLOOKUP(S$1&amp;$A140&amp;$B140,배당편집!$D$2:$N$2710,11,FALSE), 0)</f>
        <v>0</v>
      </c>
      <c r="T140" s="3">
        <f>IFERROR(VLOOKUP(T$1&amp;$A140&amp;$B140,배당편집!$D$2:$N$2710,11,FALSE), 0)</f>
        <v>0</v>
      </c>
      <c r="U140" s="3">
        <f>IFERROR(VLOOKUP(U$1&amp;$A140&amp;$B140,배당편집!$D$2:$N$2710,11,FALSE), 0)</f>
        <v>0.04</v>
      </c>
      <c r="V140" s="3">
        <f>IFERROR(VLOOKUP(V$1&amp;$A140&amp;$B140,배당편집!$D$2:$N$2710,11,FALSE), 0)</f>
        <v>6.3750000000000001E-2</v>
      </c>
      <c r="W140" s="3">
        <f>IFERROR(VLOOKUP(W$1&amp;$A140&amp;$B140,배당편집!$D$2:$N$2710,11,FALSE), 0)</f>
        <v>0.14000000000000001</v>
      </c>
      <c r="X140" s="3">
        <f>IFERROR(VLOOKUP(X$1&amp;$A140&amp;$B140,배당편집!$D$2:$N$2710,11,FALSE), 0)</f>
        <v>0</v>
      </c>
      <c r="Y140" s="3">
        <f>IFERROR(VLOOKUP(Y$1&amp;$A140&amp;$B140,배당편집!$D$2:$N$2710,11,FALSE), 0)</f>
        <v>0</v>
      </c>
      <c r="Z140" s="3">
        <f>IFERROR(VLOOKUP(Z$1&amp;$A140&amp;$B140,배당편집!$D$2:$N$2710,11,FALSE), 0)</f>
        <v>0.14000000000000001</v>
      </c>
      <c r="AA140" s="3">
        <f>IFERROR(VLOOKUP(AA$1&amp;$A140&amp;$B140,배당편집!$D$2:$N$2710,11,FALSE), 0)</f>
        <v>0</v>
      </c>
      <c r="AB140" s="3">
        <f>IFERROR(VLOOKUP(AB$1&amp;$A140&amp;$B140,배당편집!$D$2:$N$2710,11,FALSE), 0)</f>
        <v>0.12</v>
      </c>
      <c r="AC140" s="3">
        <f>IFERROR(VLOOKUP(AC$1&amp;$A140&amp;$B140,배당편집!$D$2:$N$2710,11,FALSE), 0)</f>
        <v>0</v>
      </c>
      <c r="AD140" s="3">
        <f>IFERROR(VLOOKUP(AD$1&amp;$A140&amp;$B140,배당편집!$D$2:$N$2710,11,FALSE), 0)</f>
        <v>0</v>
      </c>
      <c r="AE140" s="3">
        <f>IFERROR(VLOOKUP(AE$1&amp;$A140&amp;$B140,배당편집!$D$2:$N$2710,11,FALSE), 0)</f>
        <v>0</v>
      </c>
      <c r="AF140" s="3">
        <f>IFERROR(VLOOKUP(AF$1&amp;$A140&amp;$B140,배당편집!$D$2:$N$2710,11,FALSE), 0)</f>
        <v>0</v>
      </c>
    </row>
    <row r="141" spans="1:32" ht="16.5" customHeight="1">
      <c r="A141" s="3">
        <v>2011</v>
      </c>
      <c r="B141" s="3">
        <v>8</v>
      </c>
      <c r="C141" s="3">
        <f>IFERROR(VLOOKUP(C$1&amp;$A141&amp;$B141,배당편집!$D$2:$N$2710,11,FALSE), 0)</f>
        <v>0.22500000000000001</v>
      </c>
      <c r="D141" s="3">
        <f>IFERROR(VLOOKUP(D$1&amp;$A141&amp;$B141,배당편집!$D$2:$N$2710,11,FALSE), 0)</f>
        <v>0</v>
      </c>
      <c r="E141" s="3">
        <f>IFERROR(VLOOKUP(E$1&amp;$A141&amp;$B141,배당편집!$D$2:$N$2710,11,FALSE), 0)</f>
        <v>0</v>
      </c>
      <c r="F141" s="3">
        <f>IFERROR(VLOOKUP(F$1&amp;$A141&amp;$B141,배당편집!$D$2:$N$2710,11,FALSE), 0)</f>
        <v>0.41</v>
      </c>
      <c r="G141" s="3">
        <f>IFERROR(VLOOKUP(G$1&amp;$A141&amp;$B141,배당편집!$D$2:$N$2710,11,FALSE), 0)</f>
        <v>0.47</v>
      </c>
      <c r="H141" s="3">
        <f>IFERROR(VLOOKUP(H$1&amp;$A141&amp;$B141,배당편집!$D$2:$N$2710,11,FALSE), 0)</f>
        <v>0.78</v>
      </c>
      <c r="I141" s="3">
        <f>IFERROR(VLOOKUP(I$1&amp;$A141&amp;$B141,배당편집!$D$2:$N$2710,11,FALSE), 0)</f>
        <v>0.36499999999999999</v>
      </c>
      <c r="J141" s="3">
        <f>IFERROR(VLOOKUP(J$1&amp;$A141&amp;$B141,배당편집!$D$2:$N$2710,11,FALSE), 0)</f>
        <v>0</v>
      </c>
      <c r="K141" s="3">
        <f>IFERROR(VLOOKUP(K$1&amp;$A141&amp;$B141,배당편집!$D$2:$N$2710,11,FALSE), 0)</f>
        <v>0</v>
      </c>
      <c r="L141" s="3">
        <f>IFERROR(VLOOKUP(L$1&amp;$A141&amp;$B141,배당편집!$D$2:$N$2710,11,FALSE), 0)</f>
        <v>0.3</v>
      </c>
      <c r="M141" s="3">
        <f>IFERROR(VLOOKUP(M$1&amp;$A141&amp;$B141,배당편집!$D$2:$N$2710,11,FALSE), 0)</f>
        <v>0</v>
      </c>
      <c r="N141" s="3">
        <f>IFERROR(VLOOKUP(N$1&amp;$A141&amp;$B141,배당편집!$D$2:$N$2710,11,FALSE), 0)</f>
        <v>0.34499999999999997</v>
      </c>
      <c r="O141" s="3">
        <f>IFERROR(VLOOKUP(O$1&amp;$A141&amp;$B141,배당편집!$D$2:$N$2710,11,FALSE), 0)</f>
        <v>0</v>
      </c>
      <c r="P141" s="3">
        <f>IFERROR(VLOOKUP(P$1&amp;$A141&amp;$B141,배당편집!$D$2:$N$2710,11,FALSE), 0)</f>
        <v>0</v>
      </c>
      <c r="Q141" s="3">
        <f>IFERROR(VLOOKUP(Q$1&amp;$A141&amp;$B141,배당편집!$D$2:$N$2710,11,FALSE), 0)</f>
        <v>0.56999999999999995</v>
      </c>
      <c r="R141" s="3">
        <f>IFERROR(VLOOKUP(R$1&amp;$A141&amp;$B141,배당편집!$D$2:$N$2710,11,FALSE), 0)</f>
        <v>0.34</v>
      </c>
      <c r="S141" s="3">
        <f>IFERROR(VLOOKUP(S$1&amp;$A141&amp;$B141,배당편집!$D$2:$N$2710,11,FALSE), 0)</f>
        <v>0</v>
      </c>
      <c r="T141" s="3">
        <f>IFERROR(VLOOKUP(T$1&amp;$A141&amp;$B141,배당편집!$D$2:$N$2710,11,FALSE), 0)</f>
        <v>0</v>
      </c>
      <c r="U141" s="3">
        <f>IFERROR(VLOOKUP(U$1&amp;$A141&amp;$B141,배당편집!$D$2:$N$2710,11,FALSE), 0)</f>
        <v>0</v>
      </c>
      <c r="V141" s="3">
        <f>IFERROR(VLOOKUP(V$1&amp;$A141&amp;$B141,배당편집!$D$2:$N$2710,11,FALSE), 0)</f>
        <v>0</v>
      </c>
      <c r="W141" s="3">
        <f>IFERROR(VLOOKUP(W$1&amp;$A141&amp;$B141,배당편집!$D$2:$N$2710,11,FALSE), 0)</f>
        <v>0</v>
      </c>
      <c r="X141" s="3">
        <f>IFERROR(VLOOKUP(X$1&amp;$A141&amp;$B141,배당편집!$D$2:$N$2710,11,FALSE), 0)</f>
        <v>0.28499999999999998</v>
      </c>
      <c r="Y141" s="3">
        <f>IFERROR(VLOOKUP(Y$1&amp;$A141&amp;$B141,배당편집!$D$2:$N$2710,11,FALSE), 0)</f>
        <v>0.37</v>
      </c>
      <c r="Z141" s="3">
        <f>IFERROR(VLOOKUP(Z$1&amp;$A141&amp;$B141,배당편집!$D$2:$N$2710,11,FALSE), 0)</f>
        <v>0</v>
      </c>
      <c r="AA141" s="3">
        <f>IFERROR(VLOOKUP(AA$1&amp;$A141&amp;$B141,배당편집!$D$2:$N$2710,11,FALSE), 0)</f>
        <v>0.16</v>
      </c>
      <c r="AB141" s="3">
        <f>IFERROR(VLOOKUP(AB$1&amp;$A141&amp;$B141,배당편집!$D$2:$N$2710,11,FALSE), 0)</f>
        <v>0</v>
      </c>
      <c r="AC141" s="3">
        <f>IFERROR(VLOOKUP(AC$1&amp;$A141&amp;$B141,배당편집!$D$2:$N$2710,11,FALSE), 0)</f>
        <v>0.15375</v>
      </c>
      <c r="AD141" s="3">
        <f>IFERROR(VLOOKUP(AD$1&amp;$A141&amp;$B141,배당편집!$D$2:$N$2710,11,FALSE), 0)</f>
        <v>0</v>
      </c>
      <c r="AE141" s="3">
        <f>IFERROR(VLOOKUP(AE$1&amp;$A141&amp;$B141,배당편집!$D$2:$N$2710,11,FALSE), 0)</f>
        <v>0.17</v>
      </c>
      <c r="AF141" s="3">
        <f>IFERROR(VLOOKUP(AF$1&amp;$A141&amp;$B141,배당편집!$D$2:$N$2710,11,FALSE), 0)</f>
        <v>0.315</v>
      </c>
    </row>
    <row r="142" spans="1:32" ht="16.5" customHeight="1">
      <c r="A142" s="3">
        <v>2011</v>
      </c>
      <c r="B142" s="3">
        <v>9</v>
      </c>
      <c r="C142" s="3">
        <f>IFERROR(VLOOKUP(C$1&amp;$A142&amp;$B142,배당편집!$D$2:$N$2710,11,FALSE), 0)</f>
        <v>0</v>
      </c>
      <c r="D142" s="3">
        <f>IFERROR(VLOOKUP(D$1&amp;$A142&amp;$B142,배당편집!$D$2:$N$2710,11,FALSE), 0)</f>
        <v>0.28000000000000003</v>
      </c>
      <c r="E142" s="3">
        <f>IFERROR(VLOOKUP(E$1&amp;$A142&amp;$B142,배당편집!$D$2:$N$2710,11,FALSE), 0)</f>
        <v>0.08</v>
      </c>
      <c r="F142" s="3">
        <f>IFERROR(VLOOKUP(F$1&amp;$A142&amp;$B142,배당편집!$D$2:$N$2710,11,FALSE), 0)</f>
        <v>0</v>
      </c>
      <c r="G142" s="3">
        <f>IFERROR(VLOOKUP(G$1&amp;$A142&amp;$B142,배당편집!$D$2:$N$2710,11,FALSE), 0)</f>
        <v>0</v>
      </c>
      <c r="H142" s="3">
        <f>IFERROR(VLOOKUP(H$1&amp;$A142&amp;$B142,배당편집!$D$2:$N$2710,11,FALSE), 0)</f>
        <v>0</v>
      </c>
      <c r="I142" s="3">
        <f>IFERROR(VLOOKUP(I$1&amp;$A142&amp;$B142,배당편집!$D$2:$N$2710,11,FALSE), 0)</f>
        <v>0</v>
      </c>
      <c r="J142" s="3">
        <f>IFERROR(VLOOKUP(J$1&amp;$A142&amp;$B142,배당편집!$D$2:$N$2710,11,FALSE), 0)</f>
        <v>0.35499999999999998</v>
      </c>
      <c r="K142" s="3">
        <f>IFERROR(VLOOKUP(K$1&amp;$A142&amp;$B142,배당편집!$D$2:$N$2710,11,FALSE), 0)</f>
        <v>0</v>
      </c>
      <c r="L142" s="3">
        <f>IFERROR(VLOOKUP(L$1&amp;$A142&amp;$B142,배당편집!$D$2:$N$2710,11,FALSE), 0)</f>
        <v>0</v>
      </c>
      <c r="M142" s="3">
        <f>IFERROR(VLOOKUP(M$1&amp;$A142&amp;$B142,배당편집!$D$2:$N$2710,11,FALSE), 0)</f>
        <v>0.36</v>
      </c>
      <c r="N142" s="3">
        <f>IFERROR(VLOOKUP(N$1&amp;$A142&amp;$B142,배당편집!$D$2:$N$2710,11,FALSE), 0)</f>
        <v>0</v>
      </c>
      <c r="O142" s="3">
        <f>IFERROR(VLOOKUP(O$1&amp;$A142&amp;$B142,배당편집!$D$2:$N$2710,11,FALSE), 0)</f>
        <v>0.57999999999999996</v>
      </c>
      <c r="P142" s="3">
        <f>IFERROR(VLOOKUP(P$1&amp;$A142&amp;$B142,배당편집!$D$2:$N$2710,11,FALSE), 0)</f>
        <v>0</v>
      </c>
      <c r="Q142" s="3">
        <f>IFERROR(VLOOKUP(Q$1&amp;$A142&amp;$B142,배당편집!$D$2:$N$2710,11,FALSE), 0)</f>
        <v>0</v>
      </c>
      <c r="R142" s="3">
        <f>IFERROR(VLOOKUP(R$1&amp;$A142&amp;$B142,배당편집!$D$2:$N$2710,11,FALSE), 0)</f>
        <v>0</v>
      </c>
      <c r="S142" s="3">
        <f>IFERROR(VLOOKUP(S$1&amp;$A142&amp;$B142,배당편집!$D$2:$N$2710,11,FALSE), 0)</f>
        <v>0.45</v>
      </c>
      <c r="T142" s="3">
        <f>IFERROR(VLOOKUP(T$1&amp;$A142&amp;$B142,배당편집!$D$2:$N$2710,11,FALSE), 0)</f>
        <v>0</v>
      </c>
      <c r="U142" s="3">
        <f>IFERROR(VLOOKUP(U$1&amp;$A142&amp;$B142,배당편집!$D$2:$N$2710,11,FALSE), 0)</f>
        <v>0</v>
      </c>
      <c r="V142" s="3">
        <f>IFERROR(VLOOKUP(V$1&amp;$A142&amp;$B142,배당편집!$D$2:$N$2710,11,FALSE), 0)</f>
        <v>0</v>
      </c>
      <c r="W142" s="3">
        <f>IFERROR(VLOOKUP(W$1&amp;$A142&amp;$B142,배당편집!$D$2:$N$2710,11,FALSE), 0)</f>
        <v>0</v>
      </c>
      <c r="X142" s="3">
        <f>IFERROR(VLOOKUP(X$1&amp;$A142&amp;$B142,배당편집!$D$2:$N$2710,11,FALSE), 0)</f>
        <v>0</v>
      </c>
      <c r="Y142" s="3">
        <f>IFERROR(VLOOKUP(Y$1&amp;$A142&amp;$B142,배당편집!$D$2:$N$2710,11,FALSE), 0)</f>
        <v>0</v>
      </c>
      <c r="Z142" s="3">
        <f>IFERROR(VLOOKUP(Z$1&amp;$A142&amp;$B142,배당편집!$D$2:$N$2710,11,FALSE), 0)</f>
        <v>0</v>
      </c>
      <c r="AA142" s="3">
        <f>IFERROR(VLOOKUP(AA$1&amp;$A142&amp;$B142,배당편집!$D$2:$N$2710,11,FALSE), 0)</f>
        <v>0</v>
      </c>
      <c r="AB142" s="3">
        <f>IFERROR(VLOOKUP(AB$1&amp;$A142&amp;$B142,배당편집!$D$2:$N$2710,11,FALSE), 0)</f>
        <v>0</v>
      </c>
      <c r="AC142" s="3">
        <f>IFERROR(VLOOKUP(AC$1&amp;$A142&amp;$B142,배당편집!$D$2:$N$2710,11,FALSE), 0)</f>
        <v>0</v>
      </c>
      <c r="AD142" s="3">
        <f>IFERROR(VLOOKUP(AD$1&amp;$A142&amp;$B142,배당편집!$D$2:$N$2710,11,FALSE), 0)</f>
        <v>0.36</v>
      </c>
      <c r="AE142" s="3">
        <f>IFERROR(VLOOKUP(AE$1&amp;$A142&amp;$B142,배당편집!$D$2:$N$2710,11,FALSE), 0)</f>
        <v>0</v>
      </c>
      <c r="AF142" s="3">
        <f>IFERROR(VLOOKUP(AF$1&amp;$A142&amp;$B142,배당편집!$D$2:$N$2710,11,FALSE), 0)</f>
        <v>0</v>
      </c>
    </row>
    <row r="143" spans="1:32" ht="16.5" customHeight="1">
      <c r="A143" s="3">
        <v>2011</v>
      </c>
      <c r="B143" s="3">
        <v>10</v>
      </c>
      <c r="C143" s="3">
        <f>IFERROR(VLOOKUP(C$1&amp;$A143&amp;$B143,배당편집!$D$2:$N$2710,11,FALSE), 0)</f>
        <v>0</v>
      </c>
      <c r="D143" s="3">
        <f>IFERROR(VLOOKUP(D$1&amp;$A143&amp;$B143,배당편집!$D$2:$N$2710,11,FALSE), 0)</f>
        <v>0</v>
      </c>
      <c r="E143" s="3">
        <f>IFERROR(VLOOKUP(E$1&amp;$A143&amp;$B143,배당편집!$D$2:$N$2710,11,FALSE), 0)</f>
        <v>0</v>
      </c>
      <c r="F143" s="3">
        <f>IFERROR(VLOOKUP(F$1&amp;$A143&amp;$B143,배당편집!$D$2:$N$2710,11,FALSE), 0)</f>
        <v>0</v>
      </c>
      <c r="G143" s="3">
        <f>IFERROR(VLOOKUP(G$1&amp;$A143&amp;$B143,배당편집!$D$2:$N$2710,11,FALSE), 0)</f>
        <v>0</v>
      </c>
      <c r="H143" s="3">
        <f>IFERROR(VLOOKUP(H$1&amp;$A143&amp;$B143,배당편집!$D$2:$N$2710,11,FALSE), 0)</f>
        <v>0</v>
      </c>
      <c r="I143" s="3">
        <f>IFERROR(VLOOKUP(I$1&amp;$A143&amp;$B143,배당편집!$D$2:$N$2710,11,FALSE), 0)</f>
        <v>0</v>
      </c>
      <c r="J143" s="3">
        <f>IFERROR(VLOOKUP(J$1&amp;$A143&amp;$B143,배당편집!$D$2:$N$2710,11,FALSE), 0)</f>
        <v>0</v>
      </c>
      <c r="K143" s="3">
        <f>IFERROR(VLOOKUP(K$1&amp;$A143&amp;$B143,배당편집!$D$2:$N$2710,11,FALSE), 0)</f>
        <v>0.46</v>
      </c>
      <c r="L143" s="3">
        <f>IFERROR(VLOOKUP(L$1&amp;$A143&amp;$B143,배당편집!$D$2:$N$2710,11,FALSE), 0)</f>
        <v>0</v>
      </c>
      <c r="M143" s="3">
        <f>IFERROR(VLOOKUP(M$1&amp;$A143&amp;$B143,배당편집!$D$2:$N$2710,11,FALSE), 0)</f>
        <v>0</v>
      </c>
      <c r="N143" s="3">
        <f>IFERROR(VLOOKUP(N$1&amp;$A143&amp;$B143,배당편집!$D$2:$N$2710,11,FALSE), 0)</f>
        <v>0</v>
      </c>
      <c r="O143" s="3">
        <f>IFERROR(VLOOKUP(O$1&amp;$A143&amp;$B143,배당편집!$D$2:$N$2710,11,FALSE), 0)</f>
        <v>0</v>
      </c>
      <c r="P143" s="3">
        <f>IFERROR(VLOOKUP(P$1&amp;$A143&amp;$B143,배당편집!$D$2:$N$2710,11,FALSE), 0)</f>
        <v>0.52500000000000002</v>
      </c>
      <c r="Q143" s="3">
        <f>IFERROR(VLOOKUP(Q$1&amp;$A143&amp;$B143,배당편집!$D$2:$N$2710,11,FALSE), 0)</f>
        <v>0</v>
      </c>
      <c r="R143" s="3">
        <f>IFERROR(VLOOKUP(R$1&amp;$A143&amp;$B143,배당편집!$D$2:$N$2710,11,FALSE), 0)</f>
        <v>0</v>
      </c>
      <c r="S143" s="3">
        <f>IFERROR(VLOOKUP(S$1&amp;$A143&amp;$B143,배당편집!$D$2:$N$2710,11,FALSE), 0)</f>
        <v>0</v>
      </c>
      <c r="T143" s="3">
        <f>IFERROR(VLOOKUP(T$1&amp;$A143&amp;$B143,배당편집!$D$2:$N$2710,11,FALSE), 0)</f>
        <v>0.47</v>
      </c>
      <c r="U143" s="3">
        <f>IFERROR(VLOOKUP(U$1&amp;$A143&amp;$B143,배당편집!$D$2:$N$2710,11,FALSE), 0)</f>
        <v>0.04</v>
      </c>
      <c r="V143" s="3">
        <f>IFERROR(VLOOKUP(V$1&amp;$A143&amp;$B143,배당편집!$D$2:$N$2710,11,FALSE), 0)</f>
        <v>6.3750000000000001E-2</v>
      </c>
      <c r="W143" s="3">
        <f>IFERROR(VLOOKUP(W$1&amp;$A143&amp;$B143,배당편집!$D$2:$N$2710,11,FALSE), 0)</f>
        <v>0.14000000000000001</v>
      </c>
      <c r="X143" s="3">
        <f>IFERROR(VLOOKUP(X$1&amp;$A143&amp;$B143,배당편집!$D$2:$N$2710,11,FALSE), 0)</f>
        <v>0</v>
      </c>
      <c r="Y143" s="3">
        <f>IFERROR(VLOOKUP(Y$1&amp;$A143&amp;$B143,배당편집!$D$2:$N$2710,11,FALSE), 0)</f>
        <v>0</v>
      </c>
      <c r="Z143" s="3">
        <f>IFERROR(VLOOKUP(Z$1&amp;$A143&amp;$B143,배당편집!$D$2:$N$2710,11,FALSE), 0)</f>
        <v>0.14000000000000001</v>
      </c>
      <c r="AA143" s="3">
        <f>IFERROR(VLOOKUP(AA$1&amp;$A143&amp;$B143,배당편집!$D$2:$N$2710,11,FALSE), 0)</f>
        <v>0</v>
      </c>
      <c r="AB143" s="3">
        <f>IFERROR(VLOOKUP(AB$1&amp;$A143&amp;$B143,배당편집!$D$2:$N$2710,11,FALSE), 0)</f>
        <v>0.12</v>
      </c>
      <c r="AC143" s="3">
        <f>IFERROR(VLOOKUP(AC$1&amp;$A143&amp;$B143,배당편집!$D$2:$N$2710,11,FALSE), 0)</f>
        <v>0</v>
      </c>
      <c r="AD143" s="3">
        <f>IFERROR(VLOOKUP(AD$1&amp;$A143&amp;$B143,배당편집!$D$2:$N$2710,11,FALSE), 0)</f>
        <v>0</v>
      </c>
      <c r="AE143" s="3">
        <f>IFERROR(VLOOKUP(AE$1&amp;$A143&amp;$B143,배당편집!$D$2:$N$2710,11,FALSE), 0)</f>
        <v>0</v>
      </c>
      <c r="AF143" s="3">
        <f>IFERROR(VLOOKUP(AF$1&amp;$A143&amp;$B143,배당편집!$D$2:$N$2710,11,FALSE), 0)</f>
        <v>0</v>
      </c>
    </row>
    <row r="144" spans="1:32" ht="16.5" customHeight="1">
      <c r="A144" s="3">
        <v>2011</v>
      </c>
      <c r="B144" s="3">
        <v>11</v>
      </c>
      <c r="C144" s="3">
        <f>IFERROR(VLOOKUP(C$1&amp;$A144&amp;$B144,배당편집!$D$2:$N$2710,11,FALSE), 0)</f>
        <v>0.22500000000000001</v>
      </c>
      <c r="D144" s="3">
        <f>IFERROR(VLOOKUP(D$1&amp;$A144&amp;$B144,배당편집!$D$2:$N$2710,11,FALSE), 0)</f>
        <v>0</v>
      </c>
      <c r="E144" s="3">
        <f>IFERROR(VLOOKUP(E$1&amp;$A144&amp;$B144,배당편집!$D$2:$N$2710,11,FALSE), 0)</f>
        <v>0</v>
      </c>
      <c r="F144" s="3">
        <f>IFERROR(VLOOKUP(F$1&amp;$A144&amp;$B144,배당편집!$D$2:$N$2710,11,FALSE), 0)</f>
        <v>0.41</v>
      </c>
      <c r="G144" s="3">
        <f>IFERROR(VLOOKUP(G$1&amp;$A144&amp;$B144,배당편집!$D$2:$N$2710,11,FALSE), 0)</f>
        <v>0.47</v>
      </c>
      <c r="H144" s="3">
        <f>IFERROR(VLOOKUP(H$1&amp;$A144&amp;$B144,배당편집!$D$2:$N$2710,11,FALSE), 0)</f>
        <v>0.81</v>
      </c>
      <c r="I144" s="3">
        <f>IFERROR(VLOOKUP(I$1&amp;$A144&amp;$B144,배당편집!$D$2:$N$2710,11,FALSE), 0)</f>
        <v>0.36499999999999999</v>
      </c>
      <c r="J144" s="3">
        <f>IFERROR(VLOOKUP(J$1&amp;$A144&amp;$B144,배당편집!$D$2:$N$2710,11,FALSE), 0)</f>
        <v>0</v>
      </c>
      <c r="K144" s="3">
        <f>IFERROR(VLOOKUP(K$1&amp;$A144&amp;$B144,배당편집!$D$2:$N$2710,11,FALSE), 0)</f>
        <v>0</v>
      </c>
      <c r="L144" s="3">
        <f>IFERROR(VLOOKUP(L$1&amp;$A144&amp;$B144,배당편집!$D$2:$N$2710,11,FALSE), 0)</f>
        <v>0.3</v>
      </c>
      <c r="M144" s="3">
        <f>IFERROR(VLOOKUP(M$1&amp;$A144&amp;$B144,배당편집!$D$2:$N$2710,11,FALSE), 0)</f>
        <v>0</v>
      </c>
      <c r="N144" s="3">
        <f>IFERROR(VLOOKUP(N$1&amp;$A144&amp;$B144,배당편집!$D$2:$N$2710,11,FALSE), 0)</f>
        <v>0.4</v>
      </c>
      <c r="O144" s="3">
        <f>IFERROR(VLOOKUP(O$1&amp;$A144&amp;$B144,배당편집!$D$2:$N$2710,11,FALSE), 0)</f>
        <v>0</v>
      </c>
      <c r="P144" s="3">
        <f>IFERROR(VLOOKUP(P$1&amp;$A144&amp;$B144,배당편집!$D$2:$N$2710,11,FALSE), 0)</f>
        <v>0</v>
      </c>
      <c r="Q144" s="3">
        <f>IFERROR(VLOOKUP(Q$1&amp;$A144&amp;$B144,배당편집!$D$2:$N$2710,11,FALSE), 0)</f>
        <v>0.56999999999999995</v>
      </c>
      <c r="R144" s="3">
        <f>IFERROR(VLOOKUP(R$1&amp;$A144&amp;$B144,배당편집!$D$2:$N$2710,11,FALSE), 0)</f>
        <v>0.34499999999999997</v>
      </c>
      <c r="S144" s="3">
        <f>IFERROR(VLOOKUP(S$1&amp;$A144&amp;$B144,배당편집!$D$2:$N$2710,11,FALSE), 0)</f>
        <v>0</v>
      </c>
      <c r="T144" s="3">
        <f>IFERROR(VLOOKUP(T$1&amp;$A144&amp;$B144,배당편집!$D$2:$N$2710,11,FALSE), 0)</f>
        <v>0</v>
      </c>
      <c r="U144" s="3">
        <f>IFERROR(VLOOKUP(U$1&amp;$A144&amp;$B144,배당편집!$D$2:$N$2710,11,FALSE), 0)</f>
        <v>0</v>
      </c>
      <c r="V144" s="3">
        <f>IFERROR(VLOOKUP(V$1&amp;$A144&amp;$B144,배당편집!$D$2:$N$2710,11,FALSE), 0)</f>
        <v>0</v>
      </c>
      <c r="W144" s="3">
        <f>IFERROR(VLOOKUP(W$1&amp;$A144&amp;$B144,배당편집!$D$2:$N$2710,11,FALSE), 0)</f>
        <v>0</v>
      </c>
      <c r="X144" s="3">
        <f>IFERROR(VLOOKUP(X$1&amp;$A144&amp;$B144,배당편집!$D$2:$N$2710,11,FALSE), 0)</f>
        <v>0.28499999999999998</v>
      </c>
      <c r="Y144" s="3">
        <f>IFERROR(VLOOKUP(Y$1&amp;$A144&amp;$B144,배당편집!$D$2:$N$2710,11,FALSE), 0)</f>
        <v>0.37</v>
      </c>
      <c r="Z144" s="3">
        <f>IFERROR(VLOOKUP(Z$1&amp;$A144&amp;$B144,배당편집!$D$2:$N$2710,11,FALSE), 0)</f>
        <v>0</v>
      </c>
      <c r="AA144" s="3">
        <f>IFERROR(VLOOKUP(AA$1&amp;$A144&amp;$B144,배당편집!$D$2:$N$2710,11,FALSE), 0)</f>
        <v>0.17499999999999999</v>
      </c>
      <c r="AB144" s="3">
        <f>IFERROR(VLOOKUP(AB$1&amp;$A144&amp;$B144,배당편집!$D$2:$N$2710,11,FALSE), 0)</f>
        <v>0</v>
      </c>
      <c r="AC144" s="3">
        <f>IFERROR(VLOOKUP(AC$1&amp;$A144&amp;$B144,배당편집!$D$2:$N$2710,11,FALSE), 0)</f>
        <v>0.15375</v>
      </c>
      <c r="AD144" s="3">
        <f>IFERROR(VLOOKUP(AD$1&amp;$A144&amp;$B144,배당편집!$D$2:$N$2710,11,FALSE), 0)</f>
        <v>0</v>
      </c>
      <c r="AE144" s="3">
        <f>IFERROR(VLOOKUP(AE$1&amp;$A144&amp;$B144,배당편집!$D$2:$N$2710,11,FALSE), 0)</f>
        <v>0.17</v>
      </c>
      <c r="AF144" s="3">
        <f>IFERROR(VLOOKUP(AF$1&amp;$A144&amp;$B144,배당편집!$D$2:$N$2710,11,FALSE), 0)</f>
        <v>0.315</v>
      </c>
    </row>
    <row r="145" spans="1:32" ht="16.5" customHeight="1">
      <c r="A145" s="3">
        <v>2011</v>
      </c>
      <c r="B145" s="3">
        <v>12</v>
      </c>
      <c r="C145" s="3">
        <f>IFERROR(VLOOKUP(C$1&amp;$A145&amp;$B145,배당편집!$D$2:$N$2710,11,FALSE), 0)</f>
        <v>0</v>
      </c>
      <c r="D145" s="3">
        <f>IFERROR(VLOOKUP(D$1&amp;$A145&amp;$B145,배당편집!$D$2:$N$2710,11,FALSE), 0)</f>
        <v>0.28000000000000003</v>
      </c>
      <c r="E145" s="3">
        <f>IFERROR(VLOOKUP(E$1&amp;$A145&amp;$B145,배당편집!$D$2:$N$2710,11,FALSE), 0)</f>
        <v>0</v>
      </c>
      <c r="F145" s="3">
        <f>IFERROR(VLOOKUP(F$1&amp;$A145&amp;$B145,배당편집!$D$2:$N$2710,11,FALSE), 0)</f>
        <v>0</v>
      </c>
      <c r="G145" s="3">
        <f>IFERROR(VLOOKUP(G$1&amp;$A145&amp;$B145,배당편집!$D$2:$N$2710,11,FALSE), 0)</f>
        <v>0</v>
      </c>
      <c r="H145" s="3">
        <f>IFERROR(VLOOKUP(H$1&amp;$A145&amp;$B145,배당편집!$D$2:$N$2710,11,FALSE), 0)</f>
        <v>0</v>
      </c>
      <c r="I145" s="3">
        <f>IFERROR(VLOOKUP(I$1&amp;$A145&amp;$B145,배당편집!$D$2:$N$2710,11,FALSE), 0)</f>
        <v>0</v>
      </c>
      <c r="J145" s="3">
        <f>IFERROR(VLOOKUP(J$1&amp;$A145&amp;$B145,배당편집!$D$2:$N$2710,11,FALSE), 0)</f>
        <v>0.35499999999999998</v>
      </c>
      <c r="K145" s="3">
        <f>IFERROR(VLOOKUP(K$1&amp;$A145&amp;$B145,배당편집!$D$2:$N$2710,11,FALSE), 0)</f>
        <v>0</v>
      </c>
      <c r="L145" s="3">
        <f>IFERROR(VLOOKUP(L$1&amp;$A145&amp;$B145,배당편집!$D$2:$N$2710,11,FALSE), 0)</f>
        <v>0</v>
      </c>
      <c r="M145" s="3">
        <f>IFERROR(VLOOKUP(M$1&amp;$A145&amp;$B145,배당편집!$D$2:$N$2710,11,FALSE), 0)</f>
        <v>0.36</v>
      </c>
      <c r="N145" s="3">
        <f>IFERROR(VLOOKUP(N$1&amp;$A145&amp;$B145,배당편집!$D$2:$N$2710,11,FALSE), 0)</f>
        <v>0</v>
      </c>
      <c r="O145" s="3">
        <f>IFERROR(VLOOKUP(O$1&amp;$A145&amp;$B145,배당편집!$D$2:$N$2710,11,FALSE), 0)</f>
        <v>0.57999999999999996</v>
      </c>
      <c r="P145" s="3">
        <f>IFERROR(VLOOKUP(P$1&amp;$A145&amp;$B145,배당편집!$D$2:$N$2710,11,FALSE), 0)</f>
        <v>0</v>
      </c>
      <c r="Q145" s="3">
        <f>IFERROR(VLOOKUP(Q$1&amp;$A145&amp;$B145,배당편집!$D$2:$N$2710,11,FALSE), 0)</f>
        <v>0</v>
      </c>
      <c r="R145" s="3">
        <f>IFERROR(VLOOKUP(R$1&amp;$A145&amp;$B145,배당편집!$D$2:$N$2710,11,FALSE), 0)</f>
        <v>0</v>
      </c>
      <c r="S145" s="3">
        <f>IFERROR(VLOOKUP(S$1&amp;$A145&amp;$B145,배당편집!$D$2:$N$2710,11,FALSE), 0)</f>
        <v>0.45</v>
      </c>
      <c r="T145" s="3">
        <f>IFERROR(VLOOKUP(T$1&amp;$A145&amp;$B145,배당편집!$D$2:$N$2710,11,FALSE), 0)</f>
        <v>0</v>
      </c>
      <c r="U145" s="3">
        <f>IFERROR(VLOOKUP(U$1&amp;$A145&amp;$B145,배당편집!$D$2:$N$2710,11,FALSE), 0)</f>
        <v>0</v>
      </c>
      <c r="V145" s="3">
        <f>IFERROR(VLOOKUP(V$1&amp;$A145&amp;$B145,배당편집!$D$2:$N$2710,11,FALSE), 0)</f>
        <v>0</v>
      </c>
      <c r="W145" s="3">
        <f>IFERROR(VLOOKUP(W$1&amp;$A145&amp;$B145,배당편집!$D$2:$N$2710,11,FALSE), 0)</f>
        <v>0</v>
      </c>
      <c r="X145" s="3">
        <f>IFERROR(VLOOKUP(X$1&amp;$A145&amp;$B145,배당편집!$D$2:$N$2710,11,FALSE), 0)</f>
        <v>0</v>
      </c>
      <c r="Y145" s="3">
        <f>IFERROR(VLOOKUP(Y$1&amp;$A145&amp;$B145,배당편집!$D$2:$N$2710,11,FALSE), 0)</f>
        <v>0</v>
      </c>
      <c r="Z145" s="3">
        <f>IFERROR(VLOOKUP(Z$1&amp;$A145&amp;$B145,배당편집!$D$2:$N$2710,11,FALSE), 0)</f>
        <v>0</v>
      </c>
      <c r="AA145" s="3">
        <f>IFERROR(VLOOKUP(AA$1&amp;$A145&amp;$B145,배당편집!$D$2:$N$2710,11,FALSE), 0)</f>
        <v>0</v>
      </c>
      <c r="AB145" s="3">
        <f>IFERROR(VLOOKUP(AB$1&amp;$A145&amp;$B145,배당편집!$D$2:$N$2710,11,FALSE), 0)</f>
        <v>0</v>
      </c>
      <c r="AC145" s="3">
        <f>IFERROR(VLOOKUP(AC$1&amp;$A145&amp;$B145,배당편집!$D$2:$N$2710,11,FALSE), 0)</f>
        <v>0</v>
      </c>
      <c r="AD145" s="3">
        <f>IFERROR(VLOOKUP(AD$1&amp;$A145&amp;$B145,배당편집!$D$2:$N$2710,11,FALSE), 0)</f>
        <v>0.39500000000000002</v>
      </c>
      <c r="AE145" s="3">
        <f>IFERROR(VLOOKUP(AE$1&amp;$A145&amp;$B145,배당편집!$D$2:$N$2710,11,FALSE), 0)</f>
        <v>0</v>
      </c>
      <c r="AF145" s="3">
        <f>IFERROR(VLOOKUP(AF$1&amp;$A145&amp;$B145,배당편집!$D$2:$N$2710,11,FALSE), 0)</f>
        <v>0</v>
      </c>
    </row>
    <row r="146" spans="1:32" ht="16.5" customHeight="1">
      <c r="A146" s="3">
        <v>2010</v>
      </c>
      <c r="B146" s="3">
        <v>1</v>
      </c>
      <c r="C146" s="3">
        <f>IFERROR(VLOOKUP(C$1&amp;$A146&amp;$B146,배당편집!$D$2:$N$2710,11,FALSE), 0)</f>
        <v>0</v>
      </c>
      <c r="D146" s="3">
        <f>IFERROR(VLOOKUP(D$1&amp;$A146&amp;$B146,배당편집!$D$2:$N$2710,11,FALSE), 0)</f>
        <v>0</v>
      </c>
      <c r="E146" s="3">
        <f>IFERROR(VLOOKUP(E$1&amp;$A146&amp;$B146,배당편집!$D$2:$N$2710,11,FALSE), 0)</f>
        <v>0</v>
      </c>
      <c r="F146" s="3">
        <f>IFERROR(VLOOKUP(F$1&amp;$A146&amp;$B146,배당편집!$D$2:$N$2710,11,FALSE), 0)</f>
        <v>0</v>
      </c>
      <c r="G146" s="3">
        <f>IFERROR(VLOOKUP(G$1&amp;$A146&amp;$B146,배당편집!$D$2:$N$2710,11,FALSE), 0)</f>
        <v>0</v>
      </c>
      <c r="H146" s="3">
        <f>IFERROR(VLOOKUP(H$1&amp;$A146&amp;$B146,배당편집!$D$2:$N$2710,11,FALSE), 0)</f>
        <v>0</v>
      </c>
      <c r="I146" s="3">
        <f>IFERROR(VLOOKUP(I$1&amp;$A146&amp;$B146,배당편집!$D$2:$N$2710,11,FALSE), 0)</f>
        <v>0</v>
      </c>
      <c r="J146" s="3">
        <f>IFERROR(VLOOKUP(J$1&amp;$A146&amp;$B146,배당편집!$D$2:$N$2710,11,FALSE), 0)</f>
        <v>0</v>
      </c>
      <c r="K146" s="3">
        <f>IFERROR(VLOOKUP(K$1&amp;$A146&amp;$B146,배당편집!$D$2:$N$2710,11,FALSE), 0)</f>
        <v>0.42</v>
      </c>
      <c r="L146" s="3">
        <f>IFERROR(VLOOKUP(L$1&amp;$A146&amp;$B146,배당편집!$D$2:$N$2710,11,FALSE), 0)</f>
        <v>0</v>
      </c>
      <c r="M146" s="3">
        <f>IFERROR(VLOOKUP(M$1&amp;$A146&amp;$B146,배당편집!$D$2:$N$2710,11,FALSE), 0)</f>
        <v>0</v>
      </c>
      <c r="N146" s="3">
        <f>IFERROR(VLOOKUP(N$1&amp;$A146&amp;$B146,배당편집!$D$2:$N$2710,11,FALSE), 0)</f>
        <v>0</v>
      </c>
      <c r="O146" s="3">
        <f>IFERROR(VLOOKUP(O$1&amp;$A146&amp;$B146,배당편집!$D$2:$N$2710,11,FALSE), 0)</f>
        <v>0</v>
      </c>
      <c r="P146" s="3">
        <f>IFERROR(VLOOKUP(P$1&amp;$A146&amp;$B146,배당편집!$D$2:$N$2710,11,FALSE), 0)</f>
        <v>0.44</v>
      </c>
      <c r="Q146" s="3">
        <f>IFERROR(VLOOKUP(Q$1&amp;$A146&amp;$B146,배당편집!$D$2:$N$2710,11,FALSE), 0)</f>
        <v>0</v>
      </c>
      <c r="R146" s="3">
        <f>IFERROR(VLOOKUP(R$1&amp;$A146&amp;$B146,배당편집!$D$2:$N$2710,11,FALSE), 0)</f>
        <v>0</v>
      </c>
      <c r="S146" s="3">
        <f>IFERROR(VLOOKUP(S$1&amp;$A146&amp;$B146,배당편집!$D$2:$N$2710,11,FALSE), 0)</f>
        <v>0</v>
      </c>
      <c r="T146" s="3">
        <f>IFERROR(VLOOKUP(T$1&amp;$A146&amp;$B146,배당편집!$D$2:$N$2710,11,FALSE), 0)</f>
        <v>0.38</v>
      </c>
      <c r="U146" s="3">
        <f>IFERROR(VLOOKUP(U$1&amp;$A146&amp;$B146,배당편집!$D$2:$N$2710,11,FALSE), 0)</f>
        <v>1.6250000000000001E-2</v>
      </c>
      <c r="V146" s="3">
        <f>IFERROR(VLOOKUP(V$1&amp;$A146&amp;$B146,배당편집!$D$2:$N$2710,11,FALSE), 0)</f>
        <v>5.2499999999999998E-2</v>
      </c>
      <c r="W146" s="3">
        <f>IFERROR(VLOOKUP(W$1&amp;$A146&amp;$B146,배당편집!$D$2:$N$2710,11,FALSE), 0)</f>
        <v>0.09</v>
      </c>
      <c r="X146" s="3">
        <f>IFERROR(VLOOKUP(X$1&amp;$A146&amp;$B146,배당편집!$D$2:$N$2710,11,FALSE), 0)</f>
        <v>0</v>
      </c>
      <c r="Y146" s="3">
        <f>IFERROR(VLOOKUP(Y$1&amp;$A146&amp;$B146,배당편집!$D$2:$N$2710,11,FALSE), 0)</f>
        <v>0</v>
      </c>
      <c r="Z146" s="3">
        <f>IFERROR(VLOOKUP(Z$1&amp;$A146&amp;$B146,배당편집!$D$2:$N$2710,11,FALSE), 0)</f>
        <v>0.13500000000000001</v>
      </c>
      <c r="AA146" s="3">
        <f>IFERROR(VLOOKUP(AA$1&amp;$A146&amp;$B146,배당편집!$D$2:$N$2710,11,FALSE), 0)</f>
        <v>0</v>
      </c>
      <c r="AB146" s="3">
        <f>IFERROR(VLOOKUP(AB$1&amp;$A146&amp;$B146,배당편집!$D$2:$N$2710,11,FALSE), 0)</f>
        <v>0.1</v>
      </c>
      <c r="AC146" s="3">
        <f>IFERROR(VLOOKUP(AC$1&amp;$A146&amp;$B146,배당편집!$D$2:$N$2710,11,FALSE), 0)</f>
        <v>0</v>
      </c>
      <c r="AD146" s="3">
        <f>IFERROR(VLOOKUP(AD$1&amp;$A146&amp;$B146,배당편집!$D$2:$N$2710,11,FALSE), 0)</f>
        <v>0</v>
      </c>
      <c r="AE146" s="3">
        <f>IFERROR(VLOOKUP(AE$1&amp;$A146&amp;$B146,배당편집!$D$2:$N$2710,11,FALSE), 0)</f>
        <v>0</v>
      </c>
      <c r="AF146" s="3">
        <f>IFERROR(VLOOKUP(AF$1&amp;$A146&amp;$B146,배당편집!$D$2:$N$2710,11,FALSE), 0)</f>
        <v>0</v>
      </c>
    </row>
    <row r="147" spans="1:32" ht="16.5" customHeight="1">
      <c r="A147" s="3">
        <v>2010</v>
      </c>
      <c r="B147" s="3">
        <v>2</v>
      </c>
      <c r="C147" s="3">
        <f>IFERROR(VLOOKUP(C$1&amp;$A147&amp;$B147,배당편집!$D$2:$N$2710,11,FALSE), 0)</f>
        <v>0.13750000000000001</v>
      </c>
      <c r="D147" s="3">
        <f>IFERROR(VLOOKUP(D$1&amp;$A147&amp;$B147,배당편집!$D$2:$N$2710,11,FALSE), 0)</f>
        <v>0</v>
      </c>
      <c r="E147" s="3">
        <f>IFERROR(VLOOKUP(E$1&amp;$A147&amp;$B147,배당편집!$D$2:$N$2710,11,FALSE), 0)</f>
        <v>0</v>
      </c>
      <c r="F147" s="3">
        <f>IFERROR(VLOOKUP(F$1&amp;$A147&amp;$B147,배당편집!$D$2:$N$2710,11,FALSE), 0)</f>
        <v>0</v>
      </c>
      <c r="G147" s="3">
        <f>IFERROR(VLOOKUP(G$1&amp;$A147&amp;$B147,배당편집!$D$2:$N$2710,11,FALSE), 0)</f>
        <v>0.42</v>
      </c>
      <c r="H147" s="3">
        <f>IFERROR(VLOOKUP(H$1&amp;$A147&amp;$B147,배당편집!$D$2:$N$2710,11,FALSE), 0)</f>
        <v>0.68</v>
      </c>
      <c r="I147" s="3">
        <f>IFERROR(VLOOKUP(I$1&amp;$A147&amp;$B147,배당편집!$D$2:$N$2710,11,FALSE), 0)</f>
        <v>0.36</v>
      </c>
      <c r="J147" s="3">
        <f>IFERROR(VLOOKUP(J$1&amp;$A147&amp;$B147,배당편집!$D$2:$N$2710,11,FALSE), 0)</f>
        <v>0</v>
      </c>
      <c r="K147" s="3">
        <f>IFERROR(VLOOKUP(K$1&amp;$A147&amp;$B147,배당편집!$D$2:$N$2710,11,FALSE), 0)</f>
        <v>0</v>
      </c>
      <c r="L147" s="3">
        <f>IFERROR(VLOOKUP(L$1&amp;$A147&amp;$B147,배당편집!$D$2:$N$2710,11,FALSE), 0)</f>
        <v>0.17</v>
      </c>
      <c r="M147" s="3">
        <f>IFERROR(VLOOKUP(M$1&amp;$A147&amp;$B147,배당편집!$D$2:$N$2710,11,FALSE), 0)</f>
        <v>0</v>
      </c>
      <c r="N147" s="3">
        <f>IFERROR(VLOOKUP(N$1&amp;$A147&amp;$B147,배당편집!$D$2:$N$2710,11,FALSE), 0)</f>
        <v>0.33500000000000002</v>
      </c>
      <c r="O147" s="3">
        <f>IFERROR(VLOOKUP(O$1&amp;$A147&amp;$B147,배당편집!$D$2:$N$2710,11,FALSE), 0)</f>
        <v>0</v>
      </c>
      <c r="P147" s="3">
        <f>IFERROR(VLOOKUP(P$1&amp;$A147&amp;$B147,배당편집!$D$2:$N$2710,11,FALSE), 0)</f>
        <v>0</v>
      </c>
      <c r="Q147" s="3">
        <f>IFERROR(VLOOKUP(Q$1&amp;$A147&amp;$B147,배당편집!$D$2:$N$2710,11,FALSE), 0)</f>
        <v>0.49</v>
      </c>
      <c r="R147" s="3">
        <f>IFERROR(VLOOKUP(R$1&amp;$A147&amp;$B147,배당편집!$D$2:$N$2710,11,FALSE), 0)</f>
        <v>0.33500000000000002</v>
      </c>
      <c r="S147" s="3">
        <f>IFERROR(VLOOKUP(S$1&amp;$A147&amp;$B147,배당편집!$D$2:$N$2710,11,FALSE), 0)</f>
        <v>0</v>
      </c>
      <c r="T147" s="3">
        <f>IFERROR(VLOOKUP(T$1&amp;$A147&amp;$B147,배당편집!$D$2:$N$2710,11,FALSE), 0)</f>
        <v>0</v>
      </c>
      <c r="U147" s="3">
        <f>IFERROR(VLOOKUP(U$1&amp;$A147&amp;$B147,배당편집!$D$2:$N$2710,11,FALSE), 0)</f>
        <v>0</v>
      </c>
      <c r="V147" s="3">
        <f>IFERROR(VLOOKUP(V$1&amp;$A147&amp;$B147,배당편집!$D$2:$N$2710,11,FALSE), 0)</f>
        <v>0</v>
      </c>
      <c r="W147" s="3">
        <f>IFERROR(VLOOKUP(W$1&amp;$A147&amp;$B147,배당편집!$D$2:$N$2710,11,FALSE), 0)</f>
        <v>0</v>
      </c>
      <c r="X147" s="3">
        <f>IFERROR(VLOOKUP(X$1&amp;$A147&amp;$B147,배당편집!$D$2:$N$2710,11,FALSE), 0)</f>
        <v>0.27</v>
      </c>
      <c r="Y147" s="3">
        <f>IFERROR(VLOOKUP(Y$1&amp;$A147&amp;$B147,배당편집!$D$2:$N$2710,11,FALSE), 0)</f>
        <v>0.25</v>
      </c>
      <c r="Z147" s="3">
        <f>IFERROR(VLOOKUP(Z$1&amp;$A147&amp;$B147,배당편집!$D$2:$N$2710,11,FALSE), 0)</f>
        <v>0</v>
      </c>
      <c r="AA147" s="3">
        <f>IFERROR(VLOOKUP(AA$1&amp;$A147&amp;$B147,배당편집!$D$2:$N$2710,11,FALSE), 0)</f>
        <v>0.15</v>
      </c>
      <c r="AB147" s="3">
        <f>IFERROR(VLOOKUP(AB$1&amp;$A147&amp;$B147,배당편집!$D$2:$N$2710,11,FALSE), 0)</f>
        <v>0</v>
      </c>
      <c r="AC147" s="3">
        <f>IFERROR(VLOOKUP(AC$1&amp;$A147&amp;$B147,배당편집!$D$2:$N$2710,11,FALSE), 0)</f>
        <v>0.14874999999999999</v>
      </c>
      <c r="AD147" s="3">
        <f>IFERROR(VLOOKUP(AD$1&amp;$A147&amp;$B147,배당편집!$D$2:$N$2710,11,FALSE), 0)</f>
        <v>0</v>
      </c>
      <c r="AE147" s="3">
        <f>IFERROR(VLOOKUP(AE$1&amp;$A147&amp;$B147,배당편집!$D$2:$N$2710,11,FALSE), 0)</f>
        <v>0.14000000000000001</v>
      </c>
      <c r="AF147" s="3">
        <f>IFERROR(VLOOKUP(AF$1&amp;$A147&amp;$B147,배당편집!$D$2:$N$2710,11,FALSE), 0)</f>
        <v>0.26</v>
      </c>
    </row>
    <row r="148" spans="1:32" ht="16.5" customHeight="1">
      <c r="A148" s="3">
        <v>2010</v>
      </c>
      <c r="B148" s="3">
        <v>3</v>
      </c>
      <c r="C148" s="3">
        <f>IFERROR(VLOOKUP(C$1&amp;$A148&amp;$B148,배당편집!$D$2:$N$2710,11,FALSE), 0)</f>
        <v>0</v>
      </c>
      <c r="D148" s="3">
        <f>IFERROR(VLOOKUP(D$1&amp;$A148&amp;$B148,배당편집!$D$2:$N$2710,11,FALSE), 0)</f>
        <v>0.26</v>
      </c>
      <c r="E148" s="3">
        <f>IFERROR(VLOOKUP(E$1&amp;$A148&amp;$B148,배당편집!$D$2:$N$2710,11,FALSE), 0)</f>
        <v>7.0000000000000007E-2</v>
      </c>
      <c r="F148" s="3">
        <f>IFERROR(VLOOKUP(F$1&amp;$A148&amp;$B148,배당편집!$D$2:$N$2710,11,FALSE), 0)</f>
        <v>0.33</v>
      </c>
      <c r="G148" s="3">
        <f>IFERROR(VLOOKUP(G$1&amp;$A148&amp;$B148,배당편집!$D$2:$N$2710,11,FALSE), 0)</f>
        <v>0</v>
      </c>
      <c r="H148" s="3">
        <f>IFERROR(VLOOKUP(H$1&amp;$A148&amp;$B148,배당편집!$D$2:$N$2710,11,FALSE), 0)</f>
        <v>0</v>
      </c>
      <c r="I148" s="3">
        <f>IFERROR(VLOOKUP(I$1&amp;$A148&amp;$B148,배당편집!$D$2:$N$2710,11,FALSE), 0)</f>
        <v>0</v>
      </c>
      <c r="J148" s="3">
        <f>IFERROR(VLOOKUP(J$1&amp;$A148&amp;$B148,배당편집!$D$2:$N$2710,11,FALSE), 0)</f>
        <v>0.33500000000000002</v>
      </c>
      <c r="K148" s="3">
        <f>IFERROR(VLOOKUP(K$1&amp;$A148&amp;$B148,배당편집!$D$2:$N$2710,11,FALSE), 0)</f>
        <v>0</v>
      </c>
      <c r="L148" s="3">
        <f>IFERROR(VLOOKUP(L$1&amp;$A148&amp;$B148,배당편집!$D$2:$N$2710,11,FALSE), 0)</f>
        <v>0</v>
      </c>
      <c r="M148" s="3">
        <f>IFERROR(VLOOKUP(M$1&amp;$A148&amp;$B148,배당편집!$D$2:$N$2710,11,FALSE), 0)</f>
        <v>0.31</v>
      </c>
      <c r="N148" s="3">
        <f>IFERROR(VLOOKUP(N$1&amp;$A148&amp;$B148,배당편집!$D$2:$N$2710,11,FALSE), 0)</f>
        <v>0</v>
      </c>
      <c r="O148" s="3">
        <f>IFERROR(VLOOKUP(O$1&amp;$A148&amp;$B148,배당편집!$D$2:$N$2710,11,FALSE), 0)</f>
        <v>0.49</v>
      </c>
      <c r="P148" s="3">
        <f>IFERROR(VLOOKUP(P$1&amp;$A148&amp;$B148,배당편집!$D$2:$N$2710,11,FALSE), 0)</f>
        <v>0</v>
      </c>
      <c r="Q148" s="3">
        <f>IFERROR(VLOOKUP(Q$1&amp;$A148&amp;$B148,배당편집!$D$2:$N$2710,11,FALSE), 0)</f>
        <v>0</v>
      </c>
      <c r="R148" s="3">
        <f>IFERROR(VLOOKUP(R$1&amp;$A148&amp;$B148,배당편집!$D$2:$N$2710,11,FALSE), 0)</f>
        <v>0</v>
      </c>
      <c r="S148" s="3">
        <f>IFERROR(VLOOKUP(S$1&amp;$A148&amp;$B148,배당편집!$D$2:$N$2710,11,FALSE), 0)</f>
        <v>0.41</v>
      </c>
      <c r="T148" s="3">
        <f>IFERROR(VLOOKUP(T$1&amp;$A148&amp;$B148,배당편집!$D$2:$N$2710,11,FALSE), 0)</f>
        <v>0</v>
      </c>
      <c r="U148" s="3">
        <f>IFERROR(VLOOKUP(U$1&amp;$A148&amp;$B148,배당편집!$D$2:$N$2710,11,FALSE), 0)</f>
        <v>0</v>
      </c>
      <c r="V148" s="3">
        <f>IFERROR(VLOOKUP(V$1&amp;$A148&amp;$B148,배당편집!$D$2:$N$2710,11,FALSE), 0)</f>
        <v>0</v>
      </c>
      <c r="W148" s="3">
        <f>IFERROR(VLOOKUP(W$1&amp;$A148&amp;$B148,배당편집!$D$2:$N$2710,11,FALSE), 0)</f>
        <v>0</v>
      </c>
      <c r="X148" s="3">
        <f>IFERROR(VLOOKUP(X$1&amp;$A148&amp;$B148,배당편집!$D$2:$N$2710,11,FALSE), 0)</f>
        <v>0</v>
      </c>
      <c r="Y148" s="3">
        <f>IFERROR(VLOOKUP(Y$1&amp;$A148&amp;$B148,배당편집!$D$2:$N$2710,11,FALSE), 0)</f>
        <v>0</v>
      </c>
      <c r="Z148" s="3">
        <f>IFERROR(VLOOKUP(Z$1&amp;$A148&amp;$B148,배당편집!$D$2:$N$2710,11,FALSE), 0)</f>
        <v>0</v>
      </c>
      <c r="AA148" s="3">
        <f>IFERROR(VLOOKUP(AA$1&amp;$A148&amp;$B148,배당편집!$D$2:$N$2710,11,FALSE), 0)</f>
        <v>0</v>
      </c>
      <c r="AB148" s="3">
        <f>IFERROR(VLOOKUP(AB$1&amp;$A148&amp;$B148,배당편집!$D$2:$N$2710,11,FALSE), 0)</f>
        <v>0</v>
      </c>
      <c r="AC148" s="3">
        <f>IFERROR(VLOOKUP(AC$1&amp;$A148&amp;$B148,배당편집!$D$2:$N$2710,11,FALSE), 0)</f>
        <v>0</v>
      </c>
      <c r="AD148" s="3">
        <f>IFERROR(VLOOKUP(AD$1&amp;$A148&amp;$B148,배당편집!$D$2:$N$2710,11,FALSE), 0)</f>
        <v>0.34</v>
      </c>
      <c r="AE148" s="3">
        <f>IFERROR(VLOOKUP(AE$1&amp;$A148&amp;$B148,배당편집!$D$2:$N$2710,11,FALSE), 0)</f>
        <v>0</v>
      </c>
      <c r="AF148" s="3">
        <f>IFERROR(VLOOKUP(AF$1&amp;$A148&amp;$B148,배당편집!$D$2:$N$2710,11,FALSE), 0)</f>
        <v>0</v>
      </c>
    </row>
    <row r="149" spans="1:32" ht="16.5" customHeight="1">
      <c r="A149" s="3">
        <v>2010</v>
      </c>
      <c r="B149" s="3">
        <v>4</v>
      </c>
      <c r="C149" s="3">
        <f>IFERROR(VLOOKUP(C$1&amp;$A149&amp;$B149,배당편집!$D$2:$N$2710,11,FALSE), 0)</f>
        <v>0</v>
      </c>
      <c r="D149" s="3">
        <f>IFERROR(VLOOKUP(D$1&amp;$A149&amp;$B149,배당편집!$D$2:$N$2710,11,FALSE), 0)</f>
        <v>0</v>
      </c>
      <c r="E149" s="3">
        <f>IFERROR(VLOOKUP(E$1&amp;$A149&amp;$B149,배당편집!$D$2:$N$2710,11,FALSE), 0)</f>
        <v>0</v>
      </c>
      <c r="F149" s="3">
        <f>IFERROR(VLOOKUP(F$1&amp;$A149&amp;$B149,배당편집!$D$2:$N$2710,11,FALSE), 0)</f>
        <v>0</v>
      </c>
      <c r="G149" s="3">
        <f>IFERROR(VLOOKUP(G$1&amp;$A149&amp;$B149,배당편집!$D$2:$N$2710,11,FALSE), 0)</f>
        <v>0</v>
      </c>
      <c r="H149" s="3">
        <f>IFERROR(VLOOKUP(H$1&amp;$A149&amp;$B149,배당편집!$D$2:$N$2710,11,FALSE), 0)</f>
        <v>0</v>
      </c>
      <c r="I149" s="3">
        <f>IFERROR(VLOOKUP(I$1&amp;$A149&amp;$B149,배당편집!$D$2:$N$2710,11,FALSE), 0)</f>
        <v>0</v>
      </c>
      <c r="J149" s="3">
        <f>IFERROR(VLOOKUP(J$1&amp;$A149&amp;$B149,배당편집!$D$2:$N$2710,11,FALSE), 0)</f>
        <v>0</v>
      </c>
      <c r="K149" s="3">
        <f>IFERROR(VLOOKUP(K$1&amp;$A149&amp;$B149,배당편집!$D$2:$N$2710,11,FALSE), 0)</f>
        <v>0.42</v>
      </c>
      <c r="L149" s="3">
        <f>IFERROR(VLOOKUP(L$1&amp;$A149&amp;$B149,배당편집!$D$2:$N$2710,11,FALSE), 0)</f>
        <v>0</v>
      </c>
      <c r="M149" s="3">
        <f>IFERROR(VLOOKUP(M$1&amp;$A149&amp;$B149,배당편집!$D$2:$N$2710,11,FALSE), 0)</f>
        <v>0</v>
      </c>
      <c r="N149" s="3">
        <f>IFERROR(VLOOKUP(N$1&amp;$A149&amp;$B149,배당편집!$D$2:$N$2710,11,FALSE), 0)</f>
        <v>0</v>
      </c>
      <c r="O149" s="3">
        <f>IFERROR(VLOOKUP(O$1&amp;$A149&amp;$B149,배당편집!$D$2:$N$2710,11,FALSE), 0)</f>
        <v>0</v>
      </c>
      <c r="P149" s="3">
        <f>IFERROR(VLOOKUP(P$1&amp;$A149&amp;$B149,배당편집!$D$2:$N$2710,11,FALSE), 0)</f>
        <v>0.48180000000000001</v>
      </c>
      <c r="Q149" s="3">
        <f>IFERROR(VLOOKUP(Q$1&amp;$A149&amp;$B149,배당편집!$D$2:$N$2710,11,FALSE), 0)</f>
        <v>0</v>
      </c>
      <c r="R149" s="3">
        <f>IFERROR(VLOOKUP(R$1&amp;$A149&amp;$B149,배당편집!$D$2:$N$2710,11,FALSE), 0)</f>
        <v>0</v>
      </c>
      <c r="S149" s="3">
        <f>IFERROR(VLOOKUP(S$1&amp;$A149&amp;$B149,배당편집!$D$2:$N$2710,11,FALSE), 0)</f>
        <v>0</v>
      </c>
      <c r="T149" s="3">
        <f>IFERROR(VLOOKUP(T$1&amp;$A149&amp;$B149,배당편집!$D$2:$N$2710,11,FALSE), 0)</f>
        <v>0.42</v>
      </c>
      <c r="U149" s="3">
        <f>IFERROR(VLOOKUP(U$1&amp;$A149&amp;$B149,배당편집!$D$2:$N$2710,11,FALSE), 0)</f>
        <v>1.6250000000000001E-2</v>
      </c>
      <c r="V149" s="3">
        <f>IFERROR(VLOOKUP(V$1&amp;$A149&amp;$B149,배당편집!$D$2:$N$2710,11,FALSE), 0)</f>
        <v>5.2499999999999998E-2</v>
      </c>
      <c r="W149" s="3">
        <f>IFERROR(VLOOKUP(W$1&amp;$A149&amp;$B149,배당편집!$D$2:$N$2710,11,FALSE), 0)</f>
        <v>0.09</v>
      </c>
      <c r="X149" s="3">
        <f>IFERROR(VLOOKUP(X$1&amp;$A149&amp;$B149,배당편집!$D$2:$N$2710,11,FALSE), 0)</f>
        <v>0</v>
      </c>
      <c r="Y149" s="3">
        <f>IFERROR(VLOOKUP(Y$1&amp;$A149&amp;$B149,배당편집!$D$2:$N$2710,11,FALSE), 0)</f>
        <v>0</v>
      </c>
      <c r="Z149" s="3">
        <f>IFERROR(VLOOKUP(Z$1&amp;$A149&amp;$B149,배당편집!$D$2:$N$2710,11,FALSE), 0)</f>
        <v>0.13500000000000001</v>
      </c>
      <c r="AA149" s="3">
        <f>IFERROR(VLOOKUP(AA$1&amp;$A149&amp;$B149,배당편집!$D$2:$N$2710,11,FALSE), 0)</f>
        <v>0</v>
      </c>
      <c r="AB149" s="3">
        <f>IFERROR(VLOOKUP(AB$1&amp;$A149&amp;$B149,배당편집!$D$2:$N$2710,11,FALSE), 0)</f>
        <v>0.11</v>
      </c>
      <c r="AC149" s="3">
        <f>IFERROR(VLOOKUP(AC$1&amp;$A149&amp;$B149,배당편집!$D$2:$N$2710,11,FALSE), 0)</f>
        <v>0</v>
      </c>
      <c r="AD149" s="3">
        <f>IFERROR(VLOOKUP(AD$1&amp;$A149&amp;$B149,배당편집!$D$2:$N$2710,11,FALSE), 0)</f>
        <v>0</v>
      </c>
      <c r="AE149" s="3">
        <f>IFERROR(VLOOKUP(AE$1&amp;$A149&amp;$B149,배당편집!$D$2:$N$2710,11,FALSE), 0)</f>
        <v>0</v>
      </c>
      <c r="AF149" s="3">
        <f>IFERROR(VLOOKUP(AF$1&amp;$A149&amp;$B149,배당편집!$D$2:$N$2710,11,FALSE), 0)</f>
        <v>0</v>
      </c>
    </row>
    <row r="150" spans="1:32" ht="16.5" customHeight="1">
      <c r="A150" s="3">
        <v>2010</v>
      </c>
      <c r="B150" s="3">
        <v>5</v>
      </c>
      <c r="C150" s="3">
        <f>IFERROR(VLOOKUP(C$1&amp;$A150&amp;$B150,배당편집!$D$2:$N$2710,11,FALSE), 0)</f>
        <v>0.13750000000000001</v>
      </c>
      <c r="D150" s="3">
        <f>IFERROR(VLOOKUP(D$1&amp;$A150&amp;$B150,배당편집!$D$2:$N$2710,11,FALSE), 0)</f>
        <v>0</v>
      </c>
      <c r="E150" s="3">
        <f>IFERROR(VLOOKUP(E$1&amp;$A150&amp;$B150,배당편집!$D$2:$N$2710,11,FALSE), 0)</f>
        <v>0</v>
      </c>
      <c r="F150" s="3">
        <f>IFERROR(VLOOKUP(F$1&amp;$A150&amp;$B150,배당편집!$D$2:$N$2710,11,FALSE), 0)</f>
        <v>0.33</v>
      </c>
      <c r="G150" s="3">
        <f>IFERROR(VLOOKUP(G$1&amp;$A150&amp;$B150,배당편집!$D$2:$N$2710,11,FALSE), 0)</f>
        <v>0.44</v>
      </c>
      <c r="H150" s="3">
        <f>IFERROR(VLOOKUP(H$1&amp;$A150&amp;$B150,배당편집!$D$2:$N$2710,11,FALSE), 0)</f>
        <v>0.72</v>
      </c>
      <c r="I150" s="3">
        <f>IFERROR(VLOOKUP(I$1&amp;$A150&amp;$B150,배당편집!$D$2:$N$2710,11,FALSE), 0)</f>
        <v>0.36</v>
      </c>
      <c r="J150" s="3">
        <f>IFERROR(VLOOKUP(J$1&amp;$A150&amp;$B150,배당편집!$D$2:$N$2710,11,FALSE), 0)</f>
        <v>0</v>
      </c>
      <c r="K150" s="3">
        <f>IFERROR(VLOOKUP(K$1&amp;$A150&amp;$B150,배당편집!$D$2:$N$2710,11,FALSE), 0)</f>
        <v>0</v>
      </c>
      <c r="L150" s="3">
        <f>IFERROR(VLOOKUP(L$1&amp;$A150&amp;$B150,배당편집!$D$2:$N$2710,11,FALSE), 0)</f>
        <v>0.17</v>
      </c>
      <c r="M150" s="3">
        <f>IFERROR(VLOOKUP(M$1&amp;$A150&amp;$B150,배당편집!$D$2:$N$2710,11,FALSE), 0)</f>
        <v>0</v>
      </c>
      <c r="N150" s="3">
        <f>IFERROR(VLOOKUP(N$1&amp;$A150&amp;$B150,배당편집!$D$2:$N$2710,11,FALSE), 0)</f>
        <v>0.33500000000000002</v>
      </c>
      <c r="O150" s="3">
        <f>IFERROR(VLOOKUP(O$1&amp;$A150&amp;$B150,배당편집!$D$2:$N$2710,11,FALSE), 0)</f>
        <v>0</v>
      </c>
      <c r="P150" s="3">
        <f>IFERROR(VLOOKUP(P$1&amp;$A150&amp;$B150,배당편집!$D$2:$N$2710,11,FALSE), 0)</f>
        <v>0</v>
      </c>
      <c r="Q150" s="3">
        <f>IFERROR(VLOOKUP(Q$1&amp;$A150&amp;$B150,배당편집!$D$2:$N$2710,11,FALSE), 0)</f>
        <v>0.54</v>
      </c>
      <c r="R150" s="3">
        <f>IFERROR(VLOOKUP(R$1&amp;$A150&amp;$B150,배당편집!$D$2:$N$2710,11,FALSE), 0)</f>
        <v>0.33500000000000002</v>
      </c>
      <c r="S150" s="3">
        <f>IFERROR(VLOOKUP(S$1&amp;$A150&amp;$B150,배당편집!$D$2:$N$2710,11,FALSE), 0)</f>
        <v>0</v>
      </c>
      <c r="T150" s="3">
        <f>IFERROR(VLOOKUP(T$1&amp;$A150&amp;$B150,배당편집!$D$2:$N$2710,11,FALSE), 0)</f>
        <v>0</v>
      </c>
      <c r="U150" s="3">
        <f>IFERROR(VLOOKUP(U$1&amp;$A150&amp;$B150,배당편집!$D$2:$N$2710,11,FALSE), 0)</f>
        <v>0</v>
      </c>
      <c r="V150" s="3">
        <f>IFERROR(VLOOKUP(V$1&amp;$A150&amp;$B150,배당편집!$D$2:$N$2710,11,FALSE), 0)</f>
        <v>0</v>
      </c>
      <c r="W150" s="3">
        <f>IFERROR(VLOOKUP(W$1&amp;$A150&amp;$B150,배당편집!$D$2:$N$2710,11,FALSE), 0)</f>
        <v>0</v>
      </c>
      <c r="X150" s="3">
        <f>IFERROR(VLOOKUP(X$1&amp;$A150&amp;$B150,배당편집!$D$2:$N$2710,11,FALSE), 0)</f>
        <v>0.27</v>
      </c>
      <c r="Y150" s="3">
        <f>IFERROR(VLOOKUP(Y$1&amp;$A150&amp;$B150,배당편집!$D$2:$N$2710,11,FALSE), 0)</f>
        <v>0.26</v>
      </c>
      <c r="Z150" s="3">
        <f>IFERROR(VLOOKUP(Z$1&amp;$A150&amp;$B150,배당편집!$D$2:$N$2710,11,FALSE), 0)</f>
        <v>0</v>
      </c>
      <c r="AA150" s="3">
        <f>IFERROR(VLOOKUP(AA$1&amp;$A150&amp;$B150,배당편집!$D$2:$N$2710,11,FALSE), 0)</f>
        <v>0.15</v>
      </c>
      <c r="AB150" s="3">
        <f>IFERROR(VLOOKUP(AB$1&amp;$A150&amp;$B150,배당편집!$D$2:$N$2710,11,FALSE), 0)</f>
        <v>0</v>
      </c>
      <c r="AC150" s="3">
        <f>IFERROR(VLOOKUP(AC$1&amp;$A150&amp;$B150,배당편집!$D$2:$N$2710,11,FALSE), 0)</f>
        <v>0.14874999999999999</v>
      </c>
      <c r="AD150" s="3">
        <f>IFERROR(VLOOKUP(AD$1&amp;$A150&amp;$B150,배당편집!$D$2:$N$2710,11,FALSE), 0)</f>
        <v>0</v>
      </c>
      <c r="AE150" s="3">
        <f>IFERROR(VLOOKUP(AE$1&amp;$A150&amp;$B150,배당편집!$D$2:$N$2710,11,FALSE), 0)</f>
        <v>0.14000000000000001</v>
      </c>
      <c r="AF150" s="3">
        <f>IFERROR(VLOOKUP(AF$1&amp;$A150&amp;$B150,배당편집!$D$2:$N$2710,11,FALSE), 0)</f>
        <v>0.26</v>
      </c>
    </row>
    <row r="151" spans="1:32" ht="16.5" customHeight="1">
      <c r="A151" s="3">
        <v>2010</v>
      </c>
      <c r="B151" s="3">
        <v>6</v>
      </c>
      <c r="C151" s="3">
        <f>IFERROR(VLOOKUP(C$1&amp;$A151&amp;$B151,배당편집!$D$2:$N$2710,11,FALSE), 0)</f>
        <v>0</v>
      </c>
      <c r="D151" s="3">
        <f>IFERROR(VLOOKUP(D$1&amp;$A151&amp;$B151,배당편집!$D$2:$N$2710,11,FALSE), 0)</f>
        <v>0.26</v>
      </c>
      <c r="E151" s="3">
        <f>IFERROR(VLOOKUP(E$1&amp;$A151&amp;$B151,배당편집!$D$2:$N$2710,11,FALSE), 0)</f>
        <v>7.0000000000000007E-2</v>
      </c>
      <c r="F151" s="3">
        <f>IFERROR(VLOOKUP(F$1&amp;$A151&amp;$B151,배당편집!$D$2:$N$2710,11,FALSE), 0)</f>
        <v>0</v>
      </c>
      <c r="G151" s="3">
        <f>IFERROR(VLOOKUP(G$1&amp;$A151&amp;$B151,배당편집!$D$2:$N$2710,11,FALSE), 0)</f>
        <v>0</v>
      </c>
      <c r="H151" s="3">
        <f>IFERROR(VLOOKUP(H$1&amp;$A151&amp;$B151,배당편집!$D$2:$N$2710,11,FALSE), 0)</f>
        <v>0</v>
      </c>
      <c r="I151" s="3">
        <f>IFERROR(VLOOKUP(I$1&amp;$A151&amp;$B151,배당편집!$D$2:$N$2710,11,FALSE), 0)</f>
        <v>0</v>
      </c>
      <c r="J151" s="3">
        <f>IFERROR(VLOOKUP(J$1&amp;$A151&amp;$B151,배당편집!$D$2:$N$2710,11,FALSE), 0)</f>
        <v>0.34499999999999997</v>
      </c>
      <c r="K151" s="3">
        <f>IFERROR(VLOOKUP(K$1&amp;$A151&amp;$B151,배당편집!$D$2:$N$2710,11,FALSE), 0)</f>
        <v>0</v>
      </c>
      <c r="L151" s="3">
        <f>IFERROR(VLOOKUP(L$1&amp;$A151&amp;$B151,배당편집!$D$2:$N$2710,11,FALSE), 0)</f>
        <v>0</v>
      </c>
      <c r="M151" s="3">
        <f>IFERROR(VLOOKUP(M$1&amp;$A151&amp;$B151,배당편집!$D$2:$N$2710,11,FALSE), 0)</f>
        <v>0.31</v>
      </c>
      <c r="N151" s="3">
        <f>IFERROR(VLOOKUP(N$1&amp;$A151&amp;$B151,배당편집!$D$2:$N$2710,11,FALSE), 0)</f>
        <v>0</v>
      </c>
      <c r="O151" s="3">
        <f>IFERROR(VLOOKUP(O$1&amp;$A151&amp;$B151,배당편집!$D$2:$N$2710,11,FALSE), 0)</f>
        <v>0.49</v>
      </c>
      <c r="P151" s="3">
        <f>IFERROR(VLOOKUP(P$1&amp;$A151&amp;$B151,배당편집!$D$2:$N$2710,11,FALSE), 0)</f>
        <v>0</v>
      </c>
      <c r="Q151" s="3">
        <f>IFERROR(VLOOKUP(Q$1&amp;$A151&amp;$B151,배당편집!$D$2:$N$2710,11,FALSE), 0)</f>
        <v>0</v>
      </c>
      <c r="R151" s="3">
        <f>IFERROR(VLOOKUP(R$1&amp;$A151&amp;$B151,배당편집!$D$2:$N$2710,11,FALSE), 0)</f>
        <v>0</v>
      </c>
      <c r="S151" s="3">
        <f>IFERROR(VLOOKUP(S$1&amp;$A151&amp;$B151,배당편집!$D$2:$N$2710,11,FALSE), 0)</f>
        <v>0.41</v>
      </c>
      <c r="T151" s="3">
        <f>IFERROR(VLOOKUP(T$1&amp;$A151&amp;$B151,배당편집!$D$2:$N$2710,11,FALSE), 0)</f>
        <v>0.42</v>
      </c>
      <c r="U151" s="3">
        <f>IFERROR(VLOOKUP(U$1&amp;$A151&amp;$B151,배당편집!$D$2:$N$2710,11,FALSE), 0)</f>
        <v>0</v>
      </c>
      <c r="V151" s="3">
        <f>IFERROR(VLOOKUP(V$1&amp;$A151&amp;$B151,배당편집!$D$2:$N$2710,11,FALSE), 0)</f>
        <v>0</v>
      </c>
      <c r="W151" s="3">
        <f>IFERROR(VLOOKUP(W$1&amp;$A151&amp;$B151,배당편집!$D$2:$N$2710,11,FALSE), 0)</f>
        <v>0</v>
      </c>
      <c r="X151" s="3">
        <f>IFERROR(VLOOKUP(X$1&amp;$A151&amp;$B151,배당편집!$D$2:$N$2710,11,FALSE), 0)</f>
        <v>0</v>
      </c>
      <c r="Y151" s="3">
        <f>IFERROR(VLOOKUP(Y$1&amp;$A151&amp;$B151,배당편집!$D$2:$N$2710,11,FALSE), 0)</f>
        <v>0</v>
      </c>
      <c r="Z151" s="3">
        <f>IFERROR(VLOOKUP(Z$1&amp;$A151&amp;$B151,배당편집!$D$2:$N$2710,11,FALSE), 0)</f>
        <v>0.13500000000000001</v>
      </c>
      <c r="AA151" s="3">
        <f>IFERROR(VLOOKUP(AA$1&amp;$A151&amp;$B151,배당편집!$D$2:$N$2710,11,FALSE), 0)</f>
        <v>0</v>
      </c>
      <c r="AB151" s="3">
        <f>IFERROR(VLOOKUP(AB$1&amp;$A151&amp;$B151,배당편집!$D$2:$N$2710,11,FALSE), 0)</f>
        <v>0</v>
      </c>
      <c r="AC151" s="3">
        <f>IFERROR(VLOOKUP(AC$1&amp;$A151&amp;$B151,배당편집!$D$2:$N$2710,11,FALSE), 0)</f>
        <v>0</v>
      </c>
      <c r="AD151" s="3">
        <f>IFERROR(VLOOKUP(AD$1&amp;$A151&amp;$B151,배당편집!$D$2:$N$2710,11,FALSE), 0)</f>
        <v>0.34</v>
      </c>
      <c r="AE151" s="3">
        <f>IFERROR(VLOOKUP(AE$1&amp;$A151&amp;$B151,배당편집!$D$2:$N$2710,11,FALSE), 0)</f>
        <v>0</v>
      </c>
      <c r="AF151" s="3">
        <f>IFERROR(VLOOKUP(AF$1&amp;$A151&amp;$B151,배당편집!$D$2:$N$2710,11,FALSE), 0)</f>
        <v>0</v>
      </c>
    </row>
    <row r="152" spans="1:32" ht="16.5" customHeight="1">
      <c r="A152" s="3">
        <v>2010</v>
      </c>
      <c r="B152" s="3">
        <v>7</v>
      </c>
      <c r="C152" s="3">
        <f>IFERROR(VLOOKUP(C$1&amp;$A152&amp;$B152,배당편집!$D$2:$N$2710,11,FALSE), 0)</f>
        <v>0</v>
      </c>
      <c r="D152" s="3">
        <f>IFERROR(VLOOKUP(D$1&amp;$A152&amp;$B152,배당편집!$D$2:$N$2710,11,FALSE), 0)</f>
        <v>0</v>
      </c>
      <c r="E152" s="3">
        <f>IFERROR(VLOOKUP(E$1&amp;$A152&amp;$B152,배당편집!$D$2:$N$2710,11,FALSE), 0)</f>
        <v>0</v>
      </c>
      <c r="F152" s="3">
        <f>IFERROR(VLOOKUP(F$1&amp;$A152&amp;$B152,배당편집!$D$2:$N$2710,11,FALSE), 0)</f>
        <v>0</v>
      </c>
      <c r="G152" s="3">
        <f>IFERROR(VLOOKUP(G$1&amp;$A152&amp;$B152,배당편집!$D$2:$N$2710,11,FALSE), 0)</f>
        <v>0</v>
      </c>
      <c r="H152" s="3">
        <f>IFERROR(VLOOKUP(H$1&amp;$A152&amp;$B152,배당편집!$D$2:$N$2710,11,FALSE), 0)</f>
        <v>0</v>
      </c>
      <c r="I152" s="3">
        <f>IFERROR(VLOOKUP(I$1&amp;$A152&amp;$B152,배당편집!$D$2:$N$2710,11,FALSE), 0)</f>
        <v>0</v>
      </c>
      <c r="J152" s="3">
        <f>IFERROR(VLOOKUP(J$1&amp;$A152&amp;$B152,배당편집!$D$2:$N$2710,11,FALSE), 0)</f>
        <v>0</v>
      </c>
      <c r="K152" s="3">
        <f>IFERROR(VLOOKUP(K$1&amp;$A152&amp;$B152,배당편집!$D$2:$N$2710,11,FALSE), 0)</f>
        <v>0.44</v>
      </c>
      <c r="L152" s="3">
        <f>IFERROR(VLOOKUP(L$1&amp;$A152&amp;$B152,배당편집!$D$2:$N$2710,11,FALSE), 0)</f>
        <v>0</v>
      </c>
      <c r="M152" s="3">
        <f>IFERROR(VLOOKUP(M$1&amp;$A152&amp;$B152,배당편집!$D$2:$N$2710,11,FALSE), 0)</f>
        <v>0</v>
      </c>
      <c r="N152" s="3">
        <f>IFERROR(VLOOKUP(N$1&amp;$A152&amp;$B152,배당편집!$D$2:$N$2710,11,FALSE), 0)</f>
        <v>0</v>
      </c>
      <c r="O152" s="3">
        <f>IFERROR(VLOOKUP(O$1&amp;$A152&amp;$B152,배당편집!$D$2:$N$2710,11,FALSE), 0)</f>
        <v>0</v>
      </c>
      <c r="P152" s="3">
        <f>IFERROR(VLOOKUP(P$1&amp;$A152&amp;$B152,배당편집!$D$2:$N$2710,11,FALSE), 0)</f>
        <v>0.48180000000000001</v>
      </c>
      <c r="Q152" s="3">
        <f>IFERROR(VLOOKUP(Q$1&amp;$A152&amp;$B152,배당편집!$D$2:$N$2710,11,FALSE), 0)</f>
        <v>0</v>
      </c>
      <c r="R152" s="3">
        <f>IFERROR(VLOOKUP(R$1&amp;$A152&amp;$B152,배당편집!$D$2:$N$2710,11,FALSE), 0)</f>
        <v>0</v>
      </c>
      <c r="S152" s="3">
        <f>IFERROR(VLOOKUP(S$1&amp;$A152&amp;$B152,배당편집!$D$2:$N$2710,11,FALSE), 0)</f>
        <v>0</v>
      </c>
      <c r="T152" s="3">
        <f>IFERROR(VLOOKUP(T$1&amp;$A152&amp;$B152,배당편집!$D$2:$N$2710,11,FALSE), 0)</f>
        <v>0</v>
      </c>
      <c r="U152" s="3">
        <f>IFERROR(VLOOKUP(U$1&amp;$A152&amp;$B152,배당편집!$D$2:$N$2710,11,FALSE), 0)</f>
        <v>1.7499999999999998E-2</v>
      </c>
      <c r="V152" s="3">
        <f>IFERROR(VLOOKUP(V$1&amp;$A152&amp;$B152,배당편집!$D$2:$N$2710,11,FALSE), 0)</f>
        <v>5.2499999999999998E-2</v>
      </c>
      <c r="W152" s="3">
        <f>IFERROR(VLOOKUP(W$1&amp;$A152&amp;$B152,배당편집!$D$2:$N$2710,11,FALSE), 0)</f>
        <v>0.11</v>
      </c>
      <c r="X152" s="3">
        <f>IFERROR(VLOOKUP(X$1&amp;$A152&amp;$B152,배당편집!$D$2:$N$2710,11,FALSE), 0)</f>
        <v>0</v>
      </c>
      <c r="Y152" s="3">
        <f>IFERROR(VLOOKUP(Y$1&amp;$A152&amp;$B152,배당편집!$D$2:$N$2710,11,FALSE), 0)</f>
        <v>0</v>
      </c>
      <c r="Z152" s="3">
        <f>IFERROR(VLOOKUP(Z$1&amp;$A152&amp;$B152,배당편집!$D$2:$N$2710,11,FALSE), 0)</f>
        <v>0</v>
      </c>
      <c r="AA152" s="3">
        <f>IFERROR(VLOOKUP(AA$1&amp;$A152&amp;$B152,배당편집!$D$2:$N$2710,11,FALSE), 0)</f>
        <v>0</v>
      </c>
      <c r="AB152" s="3">
        <f>IFERROR(VLOOKUP(AB$1&amp;$A152&amp;$B152,배당편집!$D$2:$N$2710,11,FALSE), 0)</f>
        <v>0.11</v>
      </c>
      <c r="AC152" s="3">
        <f>IFERROR(VLOOKUP(AC$1&amp;$A152&amp;$B152,배당편집!$D$2:$N$2710,11,FALSE), 0)</f>
        <v>0</v>
      </c>
      <c r="AD152" s="3">
        <f>IFERROR(VLOOKUP(AD$1&amp;$A152&amp;$B152,배당편집!$D$2:$N$2710,11,FALSE), 0)</f>
        <v>0</v>
      </c>
      <c r="AE152" s="3">
        <f>IFERROR(VLOOKUP(AE$1&amp;$A152&amp;$B152,배당편집!$D$2:$N$2710,11,FALSE), 0)</f>
        <v>0</v>
      </c>
      <c r="AF152" s="3">
        <f>IFERROR(VLOOKUP(AF$1&amp;$A152&amp;$B152,배당편집!$D$2:$N$2710,11,FALSE), 0)</f>
        <v>0</v>
      </c>
    </row>
    <row r="153" spans="1:32" ht="16.5" customHeight="1">
      <c r="A153" s="3">
        <v>2010</v>
      </c>
      <c r="B153" s="3">
        <v>8</v>
      </c>
      <c r="C153" s="3">
        <f>IFERROR(VLOOKUP(C$1&amp;$A153&amp;$B153,배당편집!$D$2:$N$2710,11,FALSE), 0)</f>
        <v>0.17499999999999999</v>
      </c>
      <c r="D153" s="3">
        <f>IFERROR(VLOOKUP(D$1&amp;$A153&amp;$B153,배당편집!$D$2:$N$2710,11,FALSE), 0)</f>
        <v>0</v>
      </c>
      <c r="E153" s="3">
        <f>IFERROR(VLOOKUP(E$1&amp;$A153&amp;$B153,배당편집!$D$2:$N$2710,11,FALSE), 0)</f>
        <v>0</v>
      </c>
      <c r="F153" s="3">
        <f>IFERROR(VLOOKUP(F$1&amp;$A153&amp;$B153,배당편집!$D$2:$N$2710,11,FALSE), 0)</f>
        <v>0</v>
      </c>
      <c r="G153" s="3">
        <f>IFERROR(VLOOKUP(G$1&amp;$A153&amp;$B153,배당편집!$D$2:$N$2710,11,FALSE), 0)</f>
        <v>0.44</v>
      </c>
      <c r="H153" s="3">
        <f>IFERROR(VLOOKUP(H$1&amp;$A153&amp;$B153,배당편집!$D$2:$N$2710,11,FALSE), 0)</f>
        <v>0.72</v>
      </c>
      <c r="I153" s="3">
        <f>IFERROR(VLOOKUP(I$1&amp;$A153&amp;$B153,배당편집!$D$2:$N$2710,11,FALSE), 0)</f>
        <v>0.36</v>
      </c>
      <c r="J153" s="3">
        <f>IFERROR(VLOOKUP(J$1&amp;$A153&amp;$B153,배당편집!$D$2:$N$2710,11,FALSE), 0)</f>
        <v>0</v>
      </c>
      <c r="K153" s="3">
        <f>IFERROR(VLOOKUP(K$1&amp;$A153&amp;$B153,배당편집!$D$2:$N$2710,11,FALSE), 0)</f>
        <v>0</v>
      </c>
      <c r="L153" s="3">
        <f>IFERROR(VLOOKUP(L$1&amp;$A153&amp;$B153,배당편집!$D$2:$N$2710,11,FALSE), 0)</f>
        <v>0.25</v>
      </c>
      <c r="M153" s="3">
        <f>IFERROR(VLOOKUP(M$1&amp;$A153&amp;$B153,배당편집!$D$2:$N$2710,11,FALSE), 0)</f>
        <v>0</v>
      </c>
      <c r="N153" s="3">
        <f>IFERROR(VLOOKUP(N$1&amp;$A153&amp;$B153,배당편집!$D$2:$N$2710,11,FALSE), 0)</f>
        <v>0.33500000000000002</v>
      </c>
      <c r="O153" s="3">
        <f>IFERROR(VLOOKUP(O$1&amp;$A153&amp;$B153,배당편집!$D$2:$N$2710,11,FALSE), 0)</f>
        <v>0</v>
      </c>
      <c r="P153" s="3">
        <f>IFERROR(VLOOKUP(P$1&amp;$A153&amp;$B153,배당편집!$D$2:$N$2710,11,FALSE), 0)</f>
        <v>0</v>
      </c>
      <c r="Q153" s="3">
        <f>IFERROR(VLOOKUP(Q$1&amp;$A153&amp;$B153,배당편집!$D$2:$N$2710,11,FALSE), 0)</f>
        <v>0.54</v>
      </c>
      <c r="R153" s="3">
        <f>IFERROR(VLOOKUP(R$1&amp;$A153&amp;$B153,배당편집!$D$2:$N$2710,11,FALSE), 0)</f>
        <v>0.33500000000000002</v>
      </c>
      <c r="S153" s="3">
        <f>IFERROR(VLOOKUP(S$1&amp;$A153&amp;$B153,배당편집!$D$2:$N$2710,11,FALSE), 0)</f>
        <v>0</v>
      </c>
      <c r="T153" s="3">
        <f>IFERROR(VLOOKUP(T$1&amp;$A153&amp;$B153,배당편집!$D$2:$N$2710,11,FALSE), 0)</f>
        <v>0</v>
      </c>
      <c r="U153" s="3">
        <f>IFERROR(VLOOKUP(U$1&amp;$A153&amp;$B153,배당편집!$D$2:$N$2710,11,FALSE), 0)</f>
        <v>0</v>
      </c>
      <c r="V153" s="3">
        <f>IFERROR(VLOOKUP(V$1&amp;$A153&amp;$B153,배당편집!$D$2:$N$2710,11,FALSE), 0)</f>
        <v>0</v>
      </c>
      <c r="W153" s="3">
        <f>IFERROR(VLOOKUP(W$1&amp;$A153&amp;$B153,배당편집!$D$2:$N$2710,11,FALSE), 0)</f>
        <v>0</v>
      </c>
      <c r="X153" s="3">
        <f>IFERROR(VLOOKUP(X$1&amp;$A153&amp;$B153,배당편집!$D$2:$N$2710,11,FALSE), 0)</f>
        <v>0.27500000000000002</v>
      </c>
      <c r="Y153" s="3">
        <f>IFERROR(VLOOKUP(Y$1&amp;$A153&amp;$B153,배당편집!$D$2:$N$2710,11,FALSE), 0)</f>
        <v>0.27</v>
      </c>
      <c r="Z153" s="3">
        <f>IFERROR(VLOOKUP(Z$1&amp;$A153&amp;$B153,배당편집!$D$2:$N$2710,11,FALSE), 0)</f>
        <v>0</v>
      </c>
      <c r="AA153" s="3">
        <f>IFERROR(VLOOKUP(AA$1&amp;$A153&amp;$B153,배당편집!$D$2:$N$2710,11,FALSE), 0)</f>
        <v>0.15</v>
      </c>
      <c r="AB153" s="3">
        <f>IFERROR(VLOOKUP(AB$1&amp;$A153&amp;$B153,배당편집!$D$2:$N$2710,11,FALSE), 0)</f>
        <v>0</v>
      </c>
      <c r="AC153" s="3">
        <f>IFERROR(VLOOKUP(AC$1&amp;$A153&amp;$B153,배당편집!$D$2:$N$2710,11,FALSE), 0)</f>
        <v>0.14874999999999999</v>
      </c>
      <c r="AD153" s="3">
        <f>IFERROR(VLOOKUP(AD$1&amp;$A153&amp;$B153,배당편집!$D$2:$N$2710,11,FALSE), 0)</f>
        <v>0</v>
      </c>
      <c r="AE153" s="3">
        <f>IFERROR(VLOOKUP(AE$1&amp;$A153&amp;$B153,배당편집!$D$2:$N$2710,11,FALSE), 0)</f>
        <v>0.14000000000000001</v>
      </c>
      <c r="AF153" s="3">
        <f>IFERROR(VLOOKUP(AF$1&amp;$A153&amp;$B153,배당편집!$D$2:$N$2710,11,FALSE), 0)</f>
        <v>0.27500000000000002</v>
      </c>
    </row>
    <row r="154" spans="1:32" ht="16.5" customHeight="1">
      <c r="A154" s="3">
        <v>2010</v>
      </c>
      <c r="B154" s="3">
        <v>9</v>
      </c>
      <c r="C154" s="3">
        <f>IFERROR(VLOOKUP(C$1&amp;$A154&amp;$B154,배당편집!$D$2:$N$2710,11,FALSE), 0)</f>
        <v>0</v>
      </c>
      <c r="D154" s="3">
        <f>IFERROR(VLOOKUP(D$1&amp;$A154&amp;$B154,배당편집!$D$2:$N$2710,11,FALSE), 0)</f>
        <v>0.27</v>
      </c>
      <c r="E154" s="3">
        <f>IFERROR(VLOOKUP(E$1&amp;$A154&amp;$B154,배당편집!$D$2:$N$2710,11,FALSE), 0)</f>
        <v>7.0000000000000007E-2</v>
      </c>
      <c r="F154" s="3">
        <f>IFERROR(VLOOKUP(F$1&amp;$A154&amp;$B154,배당편집!$D$2:$N$2710,11,FALSE), 0)</f>
        <v>0.34</v>
      </c>
      <c r="G154" s="3">
        <f>IFERROR(VLOOKUP(G$1&amp;$A154&amp;$B154,배당편집!$D$2:$N$2710,11,FALSE), 0)</f>
        <v>0</v>
      </c>
      <c r="H154" s="3">
        <f>IFERROR(VLOOKUP(H$1&amp;$A154&amp;$B154,배당편집!$D$2:$N$2710,11,FALSE), 0)</f>
        <v>0</v>
      </c>
      <c r="I154" s="3">
        <f>IFERROR(VLOOKUP(I$1&amp;$A154&amp;$B154,배당편집!$D$2:$N$2710,11,FALSE), 0)</f>
        <v>0</v>
      </c>
      <c r="J154" s="3">
        <f>IFERROR(VLOOKUP(J$1&amp;$A154&amp;$B154,배당편집!$D$2:$N$2710,11,FALSE), 0)</f>
        <v>0.34499999999999997</v>
      </c>
      <c r="K154" s="3">
        <f>IFERROR(VLOOKUP(K$1&amp;$A154&amp;$B154,배당편집!$D$2:$N$2710,11,FALSE), 0)</f>
        <v>0</v>
      </c>
      <c r="L154" s="3">
        <f>IFERROR(VLOOKUP(L$1&amp;$A154&amp;$B154,배당편집!$D$2:$N$2710,11,FALSE), 0)</f>
        <v>0</v>
      </c>
      <c r="M154" s="3">
        <f>IFERROR(VLOOKUP(M$1&amp;$A154&amp;$B154,배당편집!$D$2:$N$2710,11,FALSE), 0)</f>
        <v>0.34</v>
      </c>
      <c r="N154" s="3">
        <f>IFERROR(VLOOKUP(N$1&amp;$A154&amp;$B154,배당편집!$D$2:$N$2710,11,FALSE), 0)</f>
        <v>0</v>
      </c>
      <c r="O154" s="3">
        <f>IFERROR(VLOOKUP(O$1&amp;$A154&amp;$B154,배당편집!$D$2:$N$2710,11,FALSE), 0)</f>
        <v>0.49</v>
      </c>
      <c r="P154" s="3">
        <f>IFERROR(VLOOKUP(P$1&amp;$A154&amp;$B154,배당편집!$D$2:$N$2710,11,FALSE), 0)</f>
        <v>0</v>
      </c>
      <c r="Q154" s="3">
        <f>IFERROR(VLOOKUP(Q$1&amp;$A154&amp;$B154,배당편집!$D$2:$N$2710,11,FALSE), 0)</f>
        <v>0</v>
      </c>
      <c r="R154" s="3">
        <f>IFERROR(VLOOKUP(R$1&amp;$A154&amp;$B154,배당편집!$D$2:$N$2710,11,FALSE), 0)</f>
        <v>0</v>
      </c>
      <c r="S154" s="3">
        <f>IFERROR(VLOOKUP(S$1&amp;$A154&amp;$B154,배당편집!$D$2:$N$2710,11,FALSE), 0)</f>
        <v>0.41</v>
      </c>
      <c r="T154" s="3">
        <f>IFERROR(VLOOKUP(T$1&amp;$A154&amp;$B154,배당편집!$D$2:$N$2710,11,FALSE), 0)</f>
        <v>0</v>
      </c>
      <c r="U154" s="3">
        <f>IFERROR(VLOOKUP(U$1&amp;$A154&amp;$B154,배당편집!$D$2:$N$2710,11,FALSE), 0)</f>
        <v>0</v>
      </c>
      <c r="V154" s="3">
        <f>IFERROR(VLOOKUP(V$1&amp;$A154&amp;$B154,배당편집!$D$2:$N$2710,11,FALSE), 0)</f>
        <v>0</v>
      </c>
      <c r="W154" s="3">
        <f>IFERROR(VLOOKUP(W$1&amp;$A154&amp;$B154,배당편집!$D$2:$N$2710,11,FALSE), 0)</f>
        <v>0</v>
      </c>
      <c r="X154" s="3">
        <f>IFERROR(VLOOKUP(X$1&amp;$A154&amp;$B154,배당편집!$D$2:$N$2710,11,FALSE), 0)</f>
        <v>0</v>
      </c>
      <c r="Y154" s="3">
        <f>IFERROR(VLOOKUP(Y$1&amp;$A154&amp;$B154,배당편집!$D$2:$N$2710,11,FALSE), 0)</f>
        <v>0</v>
      </c>
      <c r="Z154" s="3">
        <f>IFERROR(VLOOKUP(Z$1&amp;$A154&amp;$B154,배당편집!$D$2:$N$2710,11,FALSE), 0)</f>
        <v>0</v>
      </c>
      <c r="AA154" s="3">
        <f>IFERROR(VLOOKUP(AA$1&amp;$A154&amp;$B154,배당편집!$D$2:$N$2710,11,FALSE), 0)</f>
        <v>0</v>
      </c>
      <c r="AB154" s="3">
        <f>IFERROR(VLOOKUP(AB$1&amp;$A154&amp;$B154,배당편집!$D$2:$N$2710,11,FALSE), 0)</f>
        <v>0</v>
      </c>
      <c r="AC154" s="3">
        <f>IFERROR(VLOOKUP(AC$1&amp;$A154&amp;$B154,배당편집!$D$2:$N$2710,11,FALSE), 0)</f>
        <v>0</v>
      </c>
      <c r="AD154" s="3">
        <f>IFERROR(VLOOKUP(AD$1&amp;$A154&amp;$B154,배당편집!$D$2:$N$2710,11,FALSE), 0)</f>
        <v>0.34</v>
      </c>
      <c r="AE154" s="3">
        <f>IFERROR(VLOOKUP(AE$1&amp;$A154&amp;$B154,배당편집!$D$2:$N$2710,11,FALSE), 0)</f>
        <v>0</v>
      </c>
      <c r="AF154" s="3">
        <f>IFERROR(VLOOKUP(AF$1&amp;$A154&amp;$B154,배당편집!$D$2:$N$2710,11,FALSE), 0)</f>
        <v>0</v>
      </c>
    </row>
    <row r="155" spans="1:32" ht="16.5" customHeight="1">
      <c r="A155" s="3">
        <v>2010</v>
      </c>
      <c r="B155" s="3">
        <v>10</v>
      </c>
      <c r="C155" s="3">
        <f>IFERROR(VLOOKUP(C$1&amp;$A155&amp;$B155,배당편집!$D$2:$N$2710,11,FALSE), 0)</f>
        <v>0</v>
      </c>
      <c r="D155" s="3">
        <f>IFERROR(VLOOKUP(D$1&amp;$A155&amp;$B155,배당편집!$D$2:$N$2710,11,FALSE), 0)</f>
        <v>0</v>
      </c>
      <c r="E155" s="3">
        <f>IFERROR(VLOOKUP(E$1&amp;$A155&amp;$B155,배당편집!$D$2:$N$2710,11,FALSE), 0)</f>
        <v>0</v>
      </c>
      <c r="F155" s="3">
        <f>IFERROR(VLOOKUP(F$1&amp;$A155&amp;$B155,배당편집!$D$2:$N$2710,11,FALSE), 0)</f>
        <v>0</v>
      </c>
      <c r="G155" s="3">
        <f>IFERROR(VLOOKUP(G$1&amp;$A155&amp;$B155,배당편집!$D$2:$N$2710,11,FALSE), 0)</f>
        <v>0</v>
      </c>
      <c r="H155" s="3">
        <f>IFERROR(VLOOKUP(H$1&amp;$A155&amp;$B155,배당편집!$D$2:$N$2710,11,FALSE), 0)</f>
        <v>0</v>
      </c>
      <c r="I155" s="3">
        <f>IFERROR(VLOOKUP(I$1&amp;$A155&amp;$B155,배당편집!$D$2:$N$2710,11,FALSE), 0)</f>
        <v>0</v>
      </c>
      <c r="J155" s="3">
        <f>IFERROR(VLOOKUP(J$1&amp;$A155&amp;$B155,배당편집!$D$2:$N$2710,11,FALSE), 0)</f>
        <v>0</v>
      </c>
      <c r="K155" s="3">
        <f>IFERROR(VLOOKUP(K$1&amp;$A155&amp;$B155,배당편집!$D$2:$N$2710,11,FALSE), 0)</f>
        <v>0.44</v>
      </c>
      <c r="L155" s="3">
        <f>IFERROR(VLOOKUP(L$1&amp;$A155&amp;$B155,배당편집!$D$2:$N$2710,11,FALSE), 0)</f>
        <v>0</v>
      </c>
      <c r="M155" s="3">
        <f>IFERROR(VLOOKUP(M$1&amp;$A155&amp;$B155,배당편집!$D$2:$N$2710,11,FALSE), 0)</f>
        <v>0</v>
      </c>
      <c r="N155" s="3">
        <f>IFERROR(VLOOKUP(N$1&amp;$A155&amp;$B155,배당편집!$D$2:$N$2710,11,FALSE), 0)</f>
        <v>0</v>
      </c>
      <c r="O155" s="3">
        <f>IFERROR(VLOOKUP(O$1&amp;$A155&amp;$B155,배당편집!$D$2:$N$2710,11,FALSE), 0)</f>
        <v>0</v>
      </c>
      <c r="P155" s="3">
        <f>IFERROR(VLOOKUP(P$1&amp;$A155&amp;$B155,배당편집!$D$2:$N$2710,11,FALSE), 0)</f>
        <v>0.48180000000000001</v>
      </c>
      <c r="Q155" s="3">
        <f>IFERROR(VLOOKUP(Q$1&amp;$A155&amp;$B155,배당편집!$D$2:$N$2710,11,FALSE), 0)</f>
        <v>0</v>
      </c>
      <c r="R155" s="3">
        <f>IFERROR(VLOOKUP(R$1&amp;$A155&amp;$B155,배당편집!$D$2:$N$2710,11,FALSE), 0)</f>
        <v>0</v>
      </c>
      <c r="S155" s="3">
        <f>IFERROR(VLOOKUP(S$1&amp;$A155&amp;$B155,배당편집!$D$2:$N$2710,11,FALSE), 0)</f>
        <v>0</v>
      </c>
      <c r="T155" s="3">
        <f>IFERROR(VLOOKUP(T$1&amp;$A155&amp;$B155,배당편집!$D$2:$N$2710,11,FALSE), 0)</f>
        <v>0.42</v>
      </c>
      <c r="U155" s="3">
        <f>IFERROR(VLOOKUP(U$1&amp;$A155&amp;$B155,배당편집!$D$2:$N$2710,11,FALSE), 0)</f>
        <v>1.7499999999999998E-2</v>
      </c>
      <c r="V155" s="3">
        <f>IFERROR(VLOOKUP(V$1&amp;$A155&amp;$B155,배당편집!$D$2:$N$2710,11,FALSE), 0)</f>
        <v>5.2499999999999998E-2</v>
      </c>
      <c r="W155" s="3">
        <f>IFERROR(VLOOKUP(W$1&amp;$A155&amp;$B155,배당편집!$D$2:$N$2710,11,FALSE), 0)</f>
        <v>0.11</v>
      </c>
      <c r="X155" s="3">
        <f>IFERROR(VLOOKUP(X$1&amp;$A155&amp;$B155,배당편집!$D$2:$N$2710,11,FALSE), 0)</f>
        <v>0</v>
      </c>
      <c r="Y155" s="3">
        <f>IFERROR(VLOOKUP(Y$1&amp;$A155&amp;$B155,배당편집!$D$2:$N$2710,11,FALSE), 0)</f>
        <v>0</v>
      </c>
      <c r="Z155" s="3">
        <f>IFERROR(VLOOKUP(Z$1&amp;$A155&amp;$B155,배당편집!$D$2:$N$2710,11,FALSE), 0)</f>
        <v>0.13500000000000001</v>
      </c>
      <c r="AA155" s="3">
        <f>IFERROR(VLOOKUP(AA$1&amp;$A155&amp;$B155,배당편집!$D$2:$N$2710,11,FALSE), 0)</f>
        <v>0</v>
      </c>
      <c r="AB155" s="3">
        <f>IFERROR(VLOOKUP(AB$1&amp;$A155&amp;$B155,배당편집!$D$2:$N$2710,11,FALSE), 0)</f>
        <v>0.11</v>
      </c>
      <c r="AC155" s="3">
        <f>IFERROR(VLOOKUP(AC$1&amp;$A155&amp;$B155,배당편집!$D$2:$N$2710,11,FALSE), 0)</f>
        <v>0</v>
      </c>
      <c r="AD155" s="3">
        <f>IFERROR(VLOOKUP(AD$1&amp;$A155&amp;$B155,배당편집!$D$2:$N$2710,11,FALSE), 0)</f>
        <v>0</v>
      </c>
      <c r="AE155" s="3">
        <f>IFERROR(VLOOKUP(AE$1&amp;$A155&amp;$B155,배당편집!$D$2:$N$2710,11,FALSE), 0)</f>
        <v>0</v>
      </c>
      <c r="AF155" s="3">
        <f>IFERROR(VLOOKUP(AF$1&amp;$A155&amp;$B155,배당편집!$D$2:$N$2710,11,FALSE), 0)</f>
        <v>0</v>
      </c>
    </row>
    <row r="156" spans="1:32" ht="16.5" customHeight="1">
      <c r="A156" s="3">
        <v>2010</v>
      </c>
      <c r="B156" s="3">
        <v>11</v>
      </c>
      <c r="C156" s="3">
        <f>IFERROR(VLOOKUP(C$1&amp;$A156&amp;$B156,배당편집!$D$2:$N$2710,11,FALSE), 0)</f>
        <v>0.17499999999999999</v>
      </c>
      <c r="D156" s="3">
        <f>IFERROR(VLOOKUP(D$1&amp;$A156&amp;$B156,배당편집!$D$2:$N$2710,11,FALSE), 0)</f>
        <v>0</v>
      </c>
      <c r="E156" s="3">
        <f>IFERROR(VLOOKUP(E$1&amp;$A156&amp;$B156,배당편집!$D$2:$N$2710,11,FALSE), 0)</f>
        <v>0</v>
      </c>
      <c r="F156" s="3">
        <f>IFERROR(VLOOKUP(F$1&amp;$A156&amp;$B156,배당편집!$D$2:$N$2710,11,FALSE), 0)</f>
        <v>0</v>
      </c>
      <c r="G156" s="3">
        <f>IFERROR(VLOOKUP(G$1&amp;$A156&amp;$B156,배당편집!$D$2:$N$2710,11,FALSE), 0)</f>
        <v>0.44</v>
      </c>
      <c r="H156" s="3">
        <f>IFERROR(VLOOKUP(H$1&amp;$A156&amp;$B156,배당편집!$D$2:$N$2710,11,FALSE), 0)</f>
        <v>0.72</v>
      </c>
      <c r="I156" s="3">
        <f>IFERROR(VLOOKUP(I$1&amp;$A156&amp;$B156,배당편집!$D$2:$N$2710,11,FALSE), 0)</f>
        <v>0.36</v>
      </c>
      <c r="J156" s="3">
        <f>IFERROR(VLOOKUP(J$1&amp;$A156&amp;$B156,배당편집!$D$2:$N$2710,11,FALSE), 0)</f>
        <v>0</v>
      </c>
      <c r="K156" s="3">
        <f>IFERROR(VLOOKUP(K$1&amp;$A156&amp;$B156,배당편집!$D$2:$N$2710,11,FALSE), 0)</f>
        <v>0</v>
      </c>
      <c r="L156" s="3">
        <f>IFERROR(VLOOKUP(L$1&amp;$A156&amp;$B156,배당편집!$D$2:$N$2710,11,FALSE), 0)</f>
        <v>0.25</v>
      </c>
      <c r="M156" s="3">
        <f>IFERROR(VLOOKUP(M$1&amp;$A156&amp;$B156,배당편집!$D$2:$N$2710,11,FALSE), 0)</f>
        <v>0</v>
      </c>
      <c r="N156" s="3">
        <f>IFERROR(VLOOKUP(N$1&amp;$A156&amp;$B156,배당편집!$D$2:$N$2710,11,FALSE), 0)</f>
        <v>0.34499999999999997</v>
      </c>
      <c r="O156" s="3">
        <f>IFERROR(VLOOKUP(O$1&amp;$A156&amp;$B156,배당편집!$D$2:$N$2710,11,FALSE), 0)</f>
        <v>0</v>
      </c>
      <c r="P156" s="3">
        <f>IFERROR(VLOOKUP(P$1&amp;$A156&amp;$B156,배당편집!$D$2:$N$2710,11,FALSE), 0)</f>
        <v>0</v>
      </c>
      <c r="Q156" s="3">
        <f>IFERROR(VLOOKUP(Q$1&amp;$A156&amp;$B156,배당편집!$D$2:$N$2710,11,FALSE), 0)</f>
        <v>0.54</v>
      </c>
      <c r="R156" s="3">
        <f>IFERROR(VLOOKUP(R$1&amp;$A156&amp;$B156,배당편집!$D$2:$N$2710,11,FALSE), 0)</f>
        <v>0.34</v>
      </c>
      <c r="S156" s="3">
        <f>IFERROR(VLOOKUP(S$1&amp;$A156&amp;$B156,배당편집!$D$2:$N$2710,11,FALSE), 0)</f>
        <v>0</v>
      </c>
      <c r="T156" s="3">
        <f>IFERROR(VLOOKUP(T$1&amp;$A156&amp;$B156,배당편집!$D$2:$N$2710,11,FALSE), 0)</f>
        <v>0</v>
      </c>
      <c r="U156" s="3">
        <f>IFERROR(VLOOKUP(U$1&amp;$A156&amp;$B156,배당편집!$D$2:$N$2710,11,FALSE), 0)</f>
        <v>0</v>
      </c>
      <c r="V156" s="3">
        <f>IFERROR(VLOOKUP(V$1&amp;$A156&amp;$B156,배당편집!$D$2:$N$2710,11,FALSE), 0)</f>
        <v>0</v>
      </c>
      <c r="W156" s="3">
        <f>IFERROR(VLOOKUP(W$1&amp;$A156&amp;$B156,배당편집!$D$2:$N$2710,11,FALSE), 0)</f>
        <v>0</v>
      </c>
      <c r="X156" s="3">
        <f>IFERROR(VLOOKUP(X$1&amp;$A156&amp;$B156,배당편집!$D$2:$N$2710,11,FALSE), 0)</f>
        <v>0.27500000000000002</v>
      </c>
      <c r="Y156" s="3">
        <f>IFERROR(VLOOKUP(Y$1&amp;$A156&amp;$B156,배당편집!$D$2:$N$2710,11,FALSE), 0)</f>
        <v>0.28999999999999998</v>
      </c>
      <c r="Z156" s="3">
        <f>IFERROR(VLOOKUP(Z$1&amp;$A156&amp;$B156,배당편집!$D$2:$N$2710,11,FALSE), 0)</f>
        <v>0</v>
      </c>
      <c r="AA156" s="3">
        <f>IFERROR(VLOOKUP(AA$1&amp;$A156&amp;$B156,배당편집!$D$2:$N$2710,11,FALSE), 0)</f>
        <v>0.15</v>
      </c>
      <c r="AB156" s="3">
        <f>IFERROR(VLOOKUP(AB$1&amp;$A156&amp;$B156,배당편집!$D$2:$N$2710,11,FALSE), 0)</f>
        <v>0</v>
      </c>
      <c r="AC156" s="3">
        <f>IFERROR(VLOOKUP(AC$1&amp;$A156&amp;$B156,배당편집!$D$2:$N$2710,11,FALSE), 0)</f>
        <v>0.14874999999999999</v>
      </c>
      <c r="AD156" s="3">
        <f>IFERROR(VLOOKUP(AD$1&amp;$A156&amp;$B156,배당편집!$D$2:$N$2710,11,FALSE), 0)</f>
        <v>0</v>
      </c>
      <c r="AE156" s="3">
        <f>IFERROR(VLOOKUP(AE$1&amp;$A156&amp;$B156,배당편집!$D$2:$N$2710,11,FALSE), 0)</f>
        <v>0.17</v>
      </c>
      <c r="AF156" s="3">
        <f>IFERROR(VLOOKUP(AF$1&amp;$A156&amp;$B156,배당편집!$D$2:$N$2710,11,FALSE), 0)</f>
        <v>0.27500000000000002</v>
      </c>
    </row>
    <row r="157" spans="1:32" ht="16.5" customHeight="1">
      <c r="A157" s="3">
        <v>2010</v>
      </c>
      <c r="B157" s="3">
        <v>12</v>
      </c>
      <c r="C157" s="3">
        <f>IFERROR(VLOOKUP(C$1&amp;$A157&amp;$B157,배당편집!$D$2:$N$2710,11,FALSE), 0)</f>
        <v>0</v>
      </c>
      <c r="D157" s="3">
        <f>IFERROR(VLOOKUP(D$1&amp;$A157&amp;$B157,배당편집!$D$2:$N$2710,11,FALSE), 0)</f>
        <v>0.27</v>
      </c>
      <c r="E157" s="3">
        <f>IFERROR(VLOOKUP(E$1&amp;$A157&amp;$B157,배당편집!$D$2:$N$2710,11,FALSE), 0)</f>
        <v>0.08</v>
      </c>
      <c r="F157" s="3">
        <f>IFERROR(VLOOKUP(F$1&amp;$A157&amp;$B157,배당편집!$D$2:$N$2710,11,FALSE), 0)</f>
        <v>0.34</v>
      </c>
      <c r="G157" s="3">
        <f>IFERROR(VLOOKUP(G$1&amp;$A157&amp;$B157,배당편집!$D$2:$N$2710,11,FALSE), 0)</f>
        <v>0</v>
      </c>
      <c r="H157" s="3">
        <f>IFERROR(VLOOKUP(H$1&amp;$A157&amp;$B157,배당편집!$D$2:$N$2710,11,FALSE), 0)</f>
        <v>0</v>
      </c>
      <c r="I157" s="3">
        <f>IFERROR(VLOOKUP(I$1&amp;$A157&amp;$B157,배당편집!$D$2:$N$2710,11,FALSE), 0)</f>
        <v>0</v>
      </c>
      <c r="J157" s="3">
        <f>IFERROR(VLOOKUP(J$1&amp;$A157&amp;$B157,배당편집!$D$2:$N$2710,11,FALSE), 0)</f>
        <v>0.34499999999999997</v>
      </c>
      <c r="K157" s="3">
        <f>IFERROR(VLOOKUP(K$1&amp;$A157&amp;$B157,배당편집!$D$2:$N$2710,11,FALSE), 0)</f>
        <v>0</v>
      </c>
      <c r="L157" s="3">
        <f>IFERROR(VLOOKUP(L$1&amp;$A157&amp;$B157,배당편집!$D$2:$N$2710,11,FALSE), 0)</f>
        <v>0</v>
      </c>
      <c r="M157" s="3">
        <f>IFERROR(VLOOKUP(M$1&amp;$A157&amp;$B157,배당편집!$D$2:$N$2710,11,FALSE), 0)</f>
        <v>0.34</v>
      </c>
      <c r="N157" s="3">
        <f>IFERROR(VLOOKUP(N$1&amp;$A157&amp;$B157,배당편집!$D$2:$N$2710,11,FALSE), 0)</f>
        <v>0</v>
      </c>
      <c r="O157" s="3">
        <f>IFERROR(VLOOKUP(O$1&amp;$A157&amp;$B157,배당편집!$D$2:$N$2710,11,FALSE), 0)</f>
        <v>0.49</v>
      </c>
      <c r="P157" s="3">
        <f>IFERROR(VLOOKUP(P$1&amp;$A157&amp;$B157,배당편집!$D$2:$N$2710,11,FALSE), 0)</f>
        <v>0</v>
      </c>
      <c r="Q157" s="3">
        <f>IFERROR(VLOOKUP(Q$1&amp;$A157&amp;$B157,배당편집!$D$2:$N$2710,11,FALSE), 0)</f>
        <v>0</v>
      </c>
      <c r="R157" s="3">
        <f>IFERROR(VLOOKUP(R$1&amp;$A157&amp;$B157,배당편집!$D$2:$N$2710,11,FALSE), 0)</f>
        <v>0</v>
      </c>
      <c r="S157" s="3">
        <f>IFERROR(VLOOKUP(S$1&amp;$A157&amp;$B157,배당편집!$D$2:$N$2710,11,FALSE), 0)</f>
        <v>0.41</v>
      </c>
      <c r="T157" s="3">
        <f>IFERROR(VLOOKUP(T$1&amp;$A157&amp;$B157,배당편집!$D$2:$N$2710,11,FALSE), 0)</f>
        <v>0</v>
      </c>
      <c r="U157" s="3">
        <f>IFERROR(VLOOKUP(U$1&amp;$A157&amp;$B157,배당편집!$D$2:$N$2710,11,FALSE), 0)</f>
        <v>0</v>
      </c>
      <c r="V157" s="3">
        <f>IFERROR(VLOOKUP(V$1&amp;$A157&amp;$B157,배당편집!$D$2:$N$2710,11,FALSE), 0)</f>
        <v>0</v>
      </c>
      <c r="W157" s="3">
        <f>IFERROR(VLOOKUP(W$1&amp;$A157&amp;$B157,배당편집!$D$2:$N$2710,11,FALSE), 0)</f>
        <v>0</v>
      </c>
      <c r="X157" s="3">
        <f>IFERROR(VLOOKUP(X$1&amp;$A157&amp;$B157,배당편집!$D$2:$N$2710,11,FALSE), 0)</f>
        <v>0</v>
      </c>
      <c r="Y157" s="3">
        <f>IFERROR(VLOOKUP(Y$1&amp;$A157&amp;$B157,배당편집!$D$2:$N$2710,11,FALSE), 0)</f>
        <v>0</v>
      </c>
      <c r="Z157" s="3">
        <f>IFERROR(VLOOKUP(Z$1&amp;$A157&amp;$B157,배당편집!$D$2:$N$2710,11,FALSE), 0)</f>
        <v>0</v>
      </c>
      <c r="AA157" s="3">
        <f>IFERROR(VLOOKUP(AA$1&amp;$A157&amp;$B157,배당편집!$D$2:$N$2710,11,FALSE), 0)</f>
        <v>0</v>
      </c>
      <c r="AB157" s="3">
        <f>IFERROR(VLOOKUP(AB$1&amp;$A157&amp;$B157,배당편집!$D$2:$N$2710,11,FALSE), 0)</f>
        <v>0</v>
      </c>
      <c r="AC157" s="3">
        <f>IFERROR(VLOOKUP(AC$1&amp;$A157&amp;$B157,배당편집!$D$2:$N$2710,11,FALSE), 0)</f>
        <v>0</v>
      </c>
      <c r="AD157" s="3">
        <f>IFERROR(VLOOKUP(AD$1&amp;$A157&amp;$B157,배당편집!$D$2:$N$2710,11,FALSE), 0)</f>
        <v>0.36</v>
      </c>
      <c r="AE157" s="3">
        <f>IFERROR(VLOOKUP(AE$1&amp;$A157&amp;$B157,배당편집!$D$2:$N$2710,11,FALSE), 0)</f>
        <v>0</v>
      </c>
      <c r="AF157" s="3">
        <f>IFERROR(VLOOKUP(AF$1&amp;$A157&amp;$B157,배당편집!$D$2:$N$2710,11,FALSE), 0)</f>
        <v>0</v>
      </c>
    </row>
    <row r="158" spans="1:32" ht="16.5" customHeight="1">
      <c r="A158" s="3">
        <v>2009</v>
      </c>
      <c r="B158" s="3">
        <v>1</v>
      </c>
      <c r="C158" s="3">
        <f>IFERROR(VLOOKUP(C$1&amp;$A158&amp;$B158,배당편집!$D$2:$N$2710,11,FALSE), 0)</f>
        <v>0</v>
      </c>
      <c r="D158" s="3">
        <f>IFERROR(VLOOKUP(D$1&amp;$A158&amp;$B158,배당편집!$D$2:$N$2710,11,FALSE), 0)</f>
        <v>0</v>
      </c>
      <c r="E158" s="3">
        <f>IFERROR(VLOOKUP(E$1&amp;$A158&amp;$B158,배당편집!$D$2:$N$2710,11,FALSE), 0)</f>
        <v>0</v>
      </c>
      <c r="F158" s="3">
        <f>IFERROR(VLOOKUP(F$1&amp;$A158&amp;$B158,배당편집!$D$2:$N$2710,11,FALSE), 0)</f>
        <v>0</v>
      </c>
      <c r="G158" s="3">
        <f>IFERROR(VLOOKUP(G$1&amp;$A158&amp;$B158,배당편집!$D$2:$N$2710,11,FALSE), 0)</f>
        <v>0</v>
      </c>
      <c r="H158" s="3">
        <f>IFERROR(VLOOKUP(H$1&amp;$A158&amp;$B158,배당편집!$D$2:$N$2710,11,FALSE), 0)</f>
        <v>0</v>
      </c>
      <c r="I158" s="3">
        <f>IFERROR(VLOOKUP(I$1&amp;$A158&amp;$B158,배당편집!$D$2:$N$2710,11,FALSE), 0)</f>
        <v>0</v>
      </c>
      <c r="J158" s="3">
        <f>IFERROR(VLOOKUP(J$1&amp;$A158&amp;$B158,배당편집!$D$2:$N$2710,11,FALSE), 0)</f>
        <v>0</v>
      </c>
      <c r="K158" s="3">
        <f>IFERROR(VLOOKUP(K$1&amp;$A158&amp;$B158,배당편집!$D$2:$N$2710,11,FALSE), 0)</f>
        <v>0.42</v>
      </c>
      <c r="L158" s="3">
        <f>IFERROR(VLOOKUP(L$1&amp;$A158&amp;$B158,배당편집!$D$2:$N$2710,11,FALSE), 0)</f>
        <v>0</v>
      </c>
      <c r="M158" s="3">
        <f>IFERROR(VLOOKUP(M$1&amp;$A158&amp;$B158,배당편집!$D$2:$N$2710,11,FALSE), 0)</f>
        <v>0</v>
      </c>
      <c r="N158" s="3">
        <f>IFERROR(VLOOKUP(N$1&amp;$A158&amp;$B158,배당편집!$D$2:$N$2710,11,FALSE), 0)</f>
        <v>0</v>
      </c>
      <c r="O158" s="3">
        <f>IFERROR(VLOOKUP(O$1&amp;$A158&amp;$B158,배당편집!$D$2:$N$2710,11,FALSE), 0)</f>
        <v>0</v>
      </c>
      <c r="P158" s="3">
        <f>IFERROR(VLOOKUP(P$1&amp;$A158&amp;$B158,배당편집!$D$2:$N$2710,11,FALSE), 0)</f>
        <v>0.4</v>
      </c>
      <c r="Q158" s="3">
        <f>IFERROR(VLOOKUP(Q$1&amp;$A158&amp;$B158,배당편집!$D$2:$N$2710,11,FALSE), 0)</f>
        <v>0</v>
      </c>
      <c r="R158" s="3">
        <f>IFERROR(VLOOKUP(R$1&amp;$A158&amp;$B158,배당편집!$D$2:$N$2710,11,FALSE), 0)</f>
        <v>0</v>
      </c>
      <c r="S158" s="3">
        <f>IFERROR(VLOOKUP(S$1&amp;$A158&amp;$B158,배당편집!$D$2:$N$2710,11,FALSE), 0)</f>
        <v>0</v>
      </c>
      <c r="T158" s="3">
        <f>IFERROR(VLOOKUP(T$1&amp;$A158&amp;$B158,배당편집!$D$2:$N$2710,11,FALSE), 0)</f>
        <v>0.35</v>
      </c>
      <c r="U158" s="3">
        <f>IFERROR(VLOOKUP(U$1&amp;$A158&amp;$B158,배당편집!$D$2:$N$2710,11,FALSE), 0)</f>
        <v>0</v>
      </c>
      <c r="V158" s="3">
        <f>IFERROR(VLOOKUP(V$1&amp;$A158&amp;$B158,배당편집!$D$2:$N$2710,11,FALSE), 0)</f>
        <v>4.7500000000000001E-2</v>
      </c>
      <c r="W158" s="3">
        <f>IFERROR(VLOOKUP(W$1&amp;$A158&amp;$B158,배당편집!$D$2:$N$2710,11,FALSE), 0)</f>
        <v>8.5000000000000006E-2</v>
      </c>
      <c r="X158" s="3">
        <f>IFERROR(VLOOKUP(X$1&amp;$A158&amp;$B158,배당편집!$D$2:$N$2710,11,FALSE), 0)</f>
        <v>0</v>
      </c>
      <c r="Y158" s="3">
        <f>IFERROR(VLOOKUP(Y$1&amp;$A158&amp;$B158,배당편집!$D$2:$N$2710,11,FALSE), 0)</f>
        <v>0</v>
      </c>
      <c r="Z158" s="3">
        <f>IFERROR(VLOOKUP(Z$1&amp;$A158&amp;$B158,배당편집!$D$2:$N$2710,11,FALSE), 0)</f>
        <v>0.13</v>
      </c>
      <c r="AA158" s="3">
        <f>IFERROR(VLOOKUP(AA$1&amp;$A158&amp;$B158,배당편집!$D$2:$N$2710,11,FALSE), 0)</f>
        <v>0</v>
      </c>
      <c r="AB158" s="3">
        <f>IFERROR(VLOOKUP(AB$1&amp;$A158&amp;$B158,배당편집!$D$2:$N$2710,11,FALSE), 0)</f>
        <v>0.09</v>
      </c>
      <c r="AC158" s="3">
        <f>IFERROR(VLOOKUP(AC$1&amp;$A158&amp;$B158,배당편집!$D$2:$N$2710,11,FALSE), 0)</f>
        <v>0</v>
      </c>
      <c r="AD158" s="3">
        <f>IFERROR(VLOOKUP(AD$1&amp;$A158&amp;$B158,배당편집!$D$2:$N$2710,11,FALSE), 0)</f>
        <v>0</v>
      </c>
      <c r="AE158" s="3">
        <f>IFERROR(VLOOKUP(AE$1&amp;$A158&amp;$B158,배당편집!$D$2:$N$2710,11,FALSE), 0)</f>
        <v>0</v>
      </c>
      <c r="AF158" s="3">
        <f>IFERROR(VLOOKUP(AF$1&amp;$A158&amp;$B158,배당편집!$D$2:$N$2710,11,FALSE), 0)</f>
        <v>0</v>
      </c>
    </row>
    <row r="159" spans="1:32" ht="16.5" customHeight="1">
      <c r="A159" s="3">
        <v>2009</v>
      </c>
      <c r="B159" s="3">
        <v>2</v>
      </c>
      <c r="C159" s="3">
        <f>IFERROR(VLOOKUP(C$1&amp;$A159&amp;$B159,배당편집!$D$2:$N$2710,11,FALSE), 0)</f>
        <v>0.1125</v>
      </c>
      <c r="D159" s="3">
        <f>IFERROR(VLOOKUP(D$1&amp;$A159&amp;$B159,배당편집!$D$2:$N$2710,11,FALSE), 0)</f>
        <v>0</v>
      </c>
      <c r="E159" s="3">
        <f>IFERROR(VLOOKUP(E$1&amp;$A159&amp;$B159,배당편집!$D$2:$N$2710,11,FALSE), 0)</f>
        <v>0</v>
      </c>
      <c r="F159" s="3">
        <f>IFERROR(VLOOKUP(F$1&amp;$A159&amp;$B159,배당편집!$D$2:$N$2710,11,FALSE), 0)</f>
        <v>0</v>
      </c>
      <c r="G159" s="3">
        <f>IFERROR(VLOOKUP(G$1&amp;$A159&amp;$B159,배당편집!$D$2:$N$2710,11,FALSE), 0)</f>
        <v>0.4</v>
      </c>
      <c r="H159" s="3">
        <f>IFERROR(VLOOKUP(H$1&amp;$A159&amp;$B159,배당편집!$D$2:$N$2710,11,FALSE), 0)</f>
        <v>0.65</v>
      </c>
      <c r="I159" s="3">
        <f>IFERROR(VLOOKUP(I$1&amp;$A159&amp;$B159,배당편집!$D$2:$N$2710,11,FALSE), 0)</f>
        <v>0.35499999999999998</v>
      </c>
      <c r="J159" s="3">
        <f>IFERROR(VLOOKUP(J$1&amp;$A159&amp;$B159,배당편집!$D$2:$N$2710,11,FALSE), 0)</f>
        <v>0</v>
      </c>
      <c r="K159" s="3">
        <f>IFERROR(VLOOKUP(K$1&amp;$A159&amp;$B159,배당편집!$D$2:$N$2710,11,FALSE), 0)</f>
        <v>0</v>
      </c>
      <c r="L159" s="3">
        <f>IFERROR(VLOOKUP(L$1&amp;$A159&amp;$B159,배당편집!$D$2:$N$2710,11,FALSE), 0)</f>
        <v>0.16</v>
      </c>
      <c r="M159" s="3">
        <f>IFERROR(VLOOKUP(M$1&amp;$A159&amp;$B159,배당편집!$D$2:$N$2710,11,FALSE), 0)</f>
        <v>0</v>
      </c>
      <c r="N159" s="3">
        <f>IFERROR(VLOOKUP(N$1&amp;$A159&amp;$B159,배당편집!$D$2:$N$2710,11,FALSE), 0)</f>
        <v>0.33</v>
      </c>
      <c r="O159" s="3">
        <f>IFERROR(VLOOKUP(O$1&amp;$A159&amp;$B159,배당편집!$D$2:$N$2710,11,FALSE), 0)</f>
        <v>0</v>
      </c>
      <c r="P159" s="3">
        <f>IFERROR(VLOOKUP(P$1&amp;$A159&amp;$B159,배당편집!$D$2:$N$2710,11,FALSE), 0)</f>
        <v>0</v>
      </c>
      <c r="Q159" s="3">
        <f>IFERROR(VLOOKUP(Q$1&amp;$A159&amp;$B159,배당편집!$D$2:$N$2710,11,FALSE), 0)</f>
        <v>0.46</v>
      </c>
      <c r="R159" s="3">
        <f>IFERROR(VLOOKUP(R$1&amp;$A159&amp;$B159,배당편집!$D$2:$N$2710,11,FALSE), 0)</f>
        <v>0.33</v>
      </c>
      <c r="S159" s="3">
        <f>IFERROR(VLOOKUP(S$1&amp;$A159&amp;$B159,배당편집!$D$2:$N$2710,11,FALSE), 0)</f>
        <v>0</v>
      </c>
      <c r="T159" s="3">
        <f>IFERROR(VLOOKUP(T$1&amp;$A159&amp;$B159,배당편집!$D$2:$N$2710,11,FALSE), 0)</f>
        <v>0</v>
      </c>
      <c r="U159" s="3">
        <f>IFERROR(VLOOKUP(U$1&amp;$A159&amp;$B159,배당편집!$D$2:$N$2710,11,FALSE), 0)</f>
        <v>0</v>
      </c>
      <c r="V159" s="3">
        <f>IFERROR(VLOOKUP(V$1&amp;$A159&amp;$B159,배당편집!$D$2:$N$2710,11,FALSE), 0)</f>
        <v>0</v>
      </c>
      <c r="W159" s="3">
        <f>IFERROR(VLOOKUP(W$1&amp;$A159&amp;$B159,배당편집!$D$2:$N$2710,11,FALSE), 0)</f>
        <v>0</v>
      </c>
      <c r="X159" s="3">
        <f>IFERROR(VLOOKUP(X$1&amp;$A159&amp;$B159,배당편집!$D$2:$N$2710,11,FALSE), 0)</f>
        <v>0.26500000000000001</v>
      </c>
      <c r="Y159" s="3">
        <f>IFERROR(VLOOKUP(Y$1&amp;$A159&amp;$B159,배당편집!$D$2:$N$2710,11,FALSE), 0)</f>
        <v>0.25</v>
      </c>
      <c r="Z159" s="3">
        <f>IFERROR(VLOOKUP(Z$1&amp;$A159&amp;$B159,배당편집!$D$2:$N$2710,11,FALSE), 0)</f>
        <v>0</v>
      </c>
      <c r="AA159" s="3">
        <f>IFERROR(VLOOKUP(AA$1&amp;$A159&amp;$B159,배당편집!$D$2:$N$2710,11,FALSE), 0)</f>
        <v>0.14000000000000001</v>
      </c>
      <c r="AB159" s="3">
        <f>IFERROR(VLOOKUP(AB$1&amp;$A159&amp;$B159,배당편집!$D$2:$N$2710,11,FALSE), 0)</f>
        <v>0</v>
      </c>
      <c r="AC159" s="3">
        <f>IFERROR(VLOOKUP(AC$1&amp;$A159&amp;$B159,배당편집!$D$2:$N$2710,11,FALSE), 0)</f>
        <v>0.14749999999999999</v>
      </c>
      <c r="AD159" s="3">
        <f>IFERROR(VLOOKUP(AD$1&amp;$A159&amp;$B159,배당편집!$D$2:$N$2710,11,FALSE), 0)</f>
        <v>0</v>
      </c>
      <c r="AE159" s="3">
        <f>IFERROR(VLOOKUP(AE$1&amp;$A159&amp;$B159,배당편집!$D$2:$N$2710,11,FALSE), 0)</f>
        <v>0.13</v>
      </c>
      <c r="AF159" s="3">
        <f>IFERROR(VLOOKUP(AF$1&amp;$A159&amp;$B159,배당편집!$D$2:$N$2710,11,FALSE), 0)</f>
        <v>0.25</v>
      </c>
    </row>
    <row r="160" spans="1:32" ht="16.5" customHeight="1">
      <c r="A160" s="3">
        <v>2009</v>
      </c>
      <c r="B160" s="3">
        <v>3</v>
      </c>
      <c r="C160" s="3">
        <f>IFERROR(VLOOKUP(C$1&amp;$A160&amp;$B160,배당편집!$D$2:$N$2710,11,FALSE), 0)</f>
        <v>0</v>
      </c>
      <c r="D160" s="3">
        <f>IFERROR(VLOOKUP(D$1&amp;$A160&amp;$B160,배당편집!$D$2:$N$2710,11,FALSE), 0)</f>
        <v>0.25</v>
      </c>
      <c r="E160" s="3">
        <f>IFERROR(VLOOKUP(E$1&amp;$A160&amp;$B160,배당편집!$D$2:$N$2710,11,FALSE), 0)</f>
        <v>7.0000000000000007E-2</v>
      </c>
      <c r="F160" s="3">
        <f>IFERROR(VLOOKUP(F$1&amp;$A160&amp;$B160,배당편집!$D$2:$N$2710,11,FALSE), 0)</f>
        <v>0.32</v>
      </c>
      <c r="G160" s="3">
        <f>IFERROR(VLOOKUP(G$1&amp;$A160&amp;$B160,배당편집!$D$2:$N$2710,11,FALSE), 0)</f>
        <v>0</v>
      </c>
      <c r="H160" s="3">
        <f>IFERROR(VLOOKUP(H$1&amp;$A160&amp;$B160,배당편집!$D$2:$N$2710,11,FALSE), 0)</f>
        <v>0</v>
      </c>
      <c r="I160" s="3">
        <f>IFERROR(VLOOKUP(I$1&amp;$A160&amp;$B160,배당편집!$D$2:$N$2710,11,FALSE), 0)</f>
        <v>0</v>
      </c>
      <c r="J160" s="3">
        <f>IFERROR(VLOOKUP(J$1&amp;$A160&amp;$B160,배당편집!$D$2:$N$2710,11,FALSE), 0)</f>
        <v>0.32500000000000001</v>
      </c>
      <c r="K160" s="3">
        <f>IFERROR(VLOOKUP(K$1&amp;$A160&amp;$B160,배당편집!$D$2:$N$2710,11,FALSE), 0)</f>
        <v>0</v>
      </c>
      <c r="L160" s="3">
        <f>IFERROR(VLOOKUP(L$1&amp;$A160&amp;$B160,배당편집!$D$2:$N$2710,11,FALSE), 0)</f>
        <v>0</v>
      </c>
      <c r="M160" s="3">
        <f>IFERROR(VLOOKUP(M$1&amp;$A160&amp;$B160,배당편집!$D$2:$N$2710,11,FALSE), 0)</f>
        <v>0.31</v>
      </c>
      <c r="N160" s="3">
        <f>IFERROR(VLOOKUP(N$1&amp;$A160&amp;$B160,배당편집!$D$2:$N$2710,11,FALSE), 0)</f>
        <v>0</v>
      </c>
      <c r="O160" s="3">
        <f>IFERROR(VLOOKUP(O$1&amp;$A160&amp;$B160,배당편집!$D$2:$N$2710,11,FALSE), 0)</f>
        <v>0.45</v>
      </c>
      <c r="P160" s="3">
        <f>IFERROR(VLOOKUP(P$1&amp;$A160&amp;$B160,배당편집!$D$2:$N$2710,11,FALSE), 0)</f>
        <v>0</v>
      </c>
      <c r="Q160" s="3">
        <f>IFERROR(VLOOKUP(Q$1&amp;$A160&amp;$B160,배당편집!$D$2:$N$2710,11,FALSE), 0)</f>
        <v>0</v>
      </c>
      <c r="R160" s="3">
        <f>IFERROR(VLOOKUP(R$1&amp;$A160&amp;$B160,배당편집!$D$2:$N$2710,11,FALSE), 0)</f>
        <v>0</v>
      </c>
      <c r="S160" s="3">
        <f>IFERROR(VLOOKUP(S$1&amp;$A160&amp;$B160,배당편집!$D$2:$N$2710,11,FALSE), 0)</f>
        <v>0.4</v>
      </c>
      <c r="T160" s="3">
        <f>IFERROR(VLOOKUP(T$1&amp;$A160&amp;$B160,배당편집!$D$2:$N$2710,11,FALSE), 0)</f>
        <v>0</v>
      </c>
      <c r="U160" s="3">
        <f>IFERROR(VLOOKUP(U$1&amp;$A160&amp;$B160,배당편집!$D$2:$N$2710,11,FALSE), 0)</f>
        <v>0</v>
      </c>
      <c r="V160" s="3">
        <f>IFERROR(VLOOKUP(V$1&amp;$A160&amp;$B160,배당편집!$D$2:$N$2710,11,FALSE), 0)</f>
        <v>0</v>
      </c>
      <c r="W160" s="3">
        <f>IFERROR(VLOOKUP(W$1&amp;$A160&amp;$B160,배당편집!$D$2:$N$2710,11,FALSE), 0)</f>
        <v>0</v>
      </c>
      <c r="X160" s="3">
        <f>IFERROR(VLOOKUP(X$1&amp;$A160&amp;$B160,배당편집!$D$2:$N$2710,11,FALSE), 0)</f>
        <v>0</v>
      </c>
      <c r="Y160" s="3">
        <f>IFERROR(VLOOKUP(Y$1&amp;$A160&amp;$B160,배당편집!$D$2:$N$2710,11,FALSE), 0)</f>
        <v>0</v>
      </c>
      <c r="Z160" s="3">
        <f>IFERROR(VLOOKUP(Z$1&amp;$A160&amp;$B160,배당편집!$D$2:$N$2710,11,FALSE), 0)</f>
        <v>0</v>
      </c>
      <c r="AA160" s="3">
        <f>IFERROR(VLOOKUP(AA$1&amp;$A160&amp;$B160,배당편집!$D$2:$N$2710,11,FALSE), 0)</f>
        <v>0</v>
      </c>
      <c r="AB160" s="3">
        <f>IFERROR(VLOOKUP(AB$1&amp;$A160&amp;$B160,배당편집!$D$2:$N$2710,11,FALSE), 0)</f>
        <v>0</v>
      </c>
      <c r="AC160" s="3">
        <f>IFERROR(VLOOKUP(AC$1&amp;$A160&amp;$B160,배당편집!$D$2:$N$2710,11,FALSE), 0)</f>
        <v>0</v>
      </c>
      <c r="AD160" s="3">
        <f>IFERROR(VLOOKUP(AD$1&amp;$A160&amp;$B160,배당편집!$D$2:$N$2710,11,FALSE), 0)</f>
        <v>0.33</v>
      </c>
      <c r="AE160" s="3">
        <f>IFERROR(VLOOKUP(AE$1&amp;$A160&amp;$B160,배당편집!$D$2:$N$2710,11,FALSE), 0)</f>
        <v>0</v>
      </c>
      <c r="AF160" s="3">
        <f>IFERROR(VLOOKUP(AF$1&amp;$A160&amp;$B160,배당편집!$D$2:$N$2710,11,FALSE), 0)</f>
        <v>0</v>
      </c>
    </row>
    <row r="161" spans="1:32" ht="16.5" customHeight="1">
      <c r="A161" s="3">
        <v>2009</v>
      </c>
      <c r="B161" s="3">
        <v>4</v>
      </c>
      <c r="C161" s="3">
        <f>IFERROR(VLOOKUP(C$1&amp;$A161&amp;$B161,배당편집!$D$2:$N$2710,11,FALSE), 0)</f>
        <v>0</v>
      </c>
      <c r="D161" s="3">
        <f>IFERROR(VLOOKUP(D$1&amp;$A161&amp;$B161,배당편집!$D$2:$N$2710,11,FALSE), 0)</f>
        <v>0</v>
      </c>
      <c r="E161" s="3">
        <f>IFERROR(VLOOKUP(E$1&amp;$A161&amp;$B161,배당편집!$D$2:$N$2710,11,FALSE), 0)</f>
        <v>0</v>
      </c>
      <c r="F161" s="3">
        <f>IFERROR(VLOOKUP(F$1&amp;$A161&amp;$B161,배당편집!$D$2:$N$2710,11,FALSE), 0)</f>
        <v>0</v>
      </c>
      <c r="G161" s="3">
        <f>IFERROR(VLOOKUP(G$1&amp;$A161&amp;$B161,배당편집!$D$2:$N$2710,11,FALSE), 0)</f>
        <v>0</v>
      </c>
      <c r="H161" s="3">
        <f>IFERROR(VLOOKUP(H$1&amp;$A161&amp;$B161,배당편집!$D$2:$N$2710,11,FALSE), 0)</f>
        <v>0</v>
      </c>
      <c r="I161" s="3">
        <f>IFERROR(VLOOKUP(I$1&amp;$A161&amp;$B161,배당편집!$D$2:$N$2710,11,FALSE), 0)</f>
        <v>0</v>
      </c>
      <c r="J161" s="3">
        <f>IFERROR(VLOOKUP(J$1&amp;$A161&amp;$B161,배당편집!$D$2:$N$2710,11,FALSE), 0)</f>
        <v>0</v>
      </c>
      <c r="K161" s="3">
        <f>IFERROR(VLOOKUP(K$1&amp;$A161&amp;$B161,배당편집!$D$2:$N$2710,11,FALSE), 0)</f>
        <v>0.42</v>
      </c>
      <c r="L161" s="3">
        <f>IFERROR(VLOOKUP(L$1&amp;$A161&amp;$B161,배당편집!$D$2:$N$2710,11,FALSE), 0)</f>
        <v>0</v>
      </c>
      <c r="M161" s="3">
        <f>IFERROR(VLOOKUP(M$1&amp;$A161&amp;$B161,배당편집!$D$2:$N$2710,11,FALSE), 0)</f>
        <v>0</v>
      </c>
      <c r="N161" s="3">
        <f>IFERROR(VLOOKUP(N$1&amp;$A161&amp;$B161,배당편집!$D$2:$N$2710,11,FALSE), 0)</f>
        <v>0</v>
      </c>
      <c r="O161" s="3">
        <f>IFERROR(VLOOKUP(O$1&amp;$A161&amp;$B161,배당편집!$D$2:$N$2710,11,FALSE), 0)</f>
        <v>0</v>
      </c>
      <c r="P161" s="3">
        <f>IFERROR(VLOOKUP(P$1&amp;$A161&amp;$B161,배당편집!$D$2:$N$2710,11,FALSE), 0)</f>
        <v>0.44</v>
      </c>
      <c r="Q161" s="3">
        <f>IFERROR(VLOOKUP(Q$1&amp;$A161&amp;$B161,배당편집!$D$2:$N$2710,11,FALSE), 0)</f>
        <v>0</v>
      </c>
      <c r="R161" s="3">
        <f>IFERROR(VLOOKUP(R$1&amp;$A161&amp;$B161,배당편집!$D$2:$N$2710,11,FALSE), 0)</f>
        <v>0</v>
      </c>
      <c r="S161" s="3">
        <f>IFERROR(VLOOKUP(S$1&amp;$A161&amp;$B161,배당편집!$D$2:$N$2710,11,FALSE), 0)</f>
        <v>0</v>
      </c>
      <c r="T161" s="3">
        <f>IFERROR(VLOOKUP(T$1&amp;$A161&amp;$B161,배당편집!$D$2:$N$2710,11,FALSE), 0)</f>
        <v>0.38</v>
      </c>
      <c r="U161" s="3">
        <f>IFERROR(VLOOKUP(U$1&amp;$A161&amp;$B161,배당편집!$D$2:$N$2710,11,FALSE), 0)</f>
        <v>1.5833333333333335E-2</v>
      </c>
      <c r="V161" s="3">
        <f>IFERROR(VLOOKUP(V$1&amp;$A161&amp;$B161,배당편집!$D$2:$N$2710,11,FALSE), 0)</f>
        <v>4.7500000000000001E-2</v>
      </c>
      <c r="W161" s="3">
        <f>IFERROR(VLOOKUP(W$1&amp;$A161&amp;$B161,배당편집!$D$2:$N$2710,11,FALSE), 0)</f>
        <v>8.5000000000000006E-2</v>
      </c>
      <c r="X161" s="3">
        <f>IFERROR(VLOOKUP(X$1&amp;$A161&amp;$B161,배당편집!$D$2:$N$2710,11,FALSE), 0)</f>
        <v>0</v>
      </c>
      <c r="Y161" s="3">
        <f>IFERROR(VLOOKUP(Y$1&amp;$A161&amp;$B161,배당편집!$D$2:$N$2710,11,FALSE), 0)</f>
        <v>0</v>
      </c>
      <c r="Z161" s="3">
        <f>IFERROR(VLOOKUP(Z$1&amp;$A161&amp;$B161,배당편집!$D$2:$N$2710,11,FALSE), 0)</f>
        <v>0.13</v>
      </c>
      <c r="AA161" s="3">
        <f>IFERROR(VLOOKUP(AA$1&amp;$A161&amp;$B161,배당편집!$D$2:$N$2710,11,FALSE), 0)</f>
        <v>0</v>
      </c>
      <c r="AB161" s="3">
        <f>IFERROR(VLOOKUP(AB$1&amp;$A161&amp;$B161,배당편집!$D$2:$N$2710,11,FALSE), 0)</f>
        <v>0.1</v>
      </c>
      <c r="AC161" s="3">
        <f>IFERROR(VLOOKUP(AC$1&amp;$A161&amp;$B161,배당편집!$D$2:$N$2710,11,FALSE), 0)</f>
        <v>0</v>
      </c>
      <c r="AD161" s="3">
        <f>IFERROR(VLOOKUP(AD$1&amp;$A161&amp;$B161,배당편집!$D$2:$N$2710,11,FALSE), 0)</f>
        <v>0</v>
      </c>
      <c r="AE161" s="3">
        <f>IFERROR(VLOOKUP(AE$1&amp;$A161&amp;$B161,배당편집!$D$2:$N$2710,11,FALSE), 0)</f>
        <v>0</v>
      </c>
      <c r="AF161" s="3">
        <f>IFERROR(VLOOKUP(AF$1&amp;$A161&amp;$B161,배당편집!$D$2:$N$2710,11,FALSE), 0)</f>
        <v>0</v>
      </c>
    </row>
    <row r="162" spans="1:32" ht="16.5" customHeight="1">
      <c r="A162" s="3">
        <v>2009</v>
      </c>
      <c r="B162" s="3">
        <v>5</v>
      </c>
      <c r="C162" s="3">
        <f>IFERROR(VLOOKUP(C$1&amp;$A162&amp;$B162,배당편집!$D$2:$N$2710,11,FALSE), 0)</f>
        <v>0.1125</v>
      </c>
      <c r="D162" s="3">
        <f>IFERROR(VLOOKUP(D$1&amp;$A162&amp;$B162,배당편집!$D$2:$N$2710,11,FALSE), 0)</f>
        <v>0</v>
      </c>
      <c r="E162" s="3">
        <f>IFERROR(VLOOKUP(E$1&amp;$A162&amp;$B162,배당편집!$D$2:$N$2710,11,FALSE), 0)</f>
        <v>0</v>
      </c>
      <c r="F162" s="3">
        <f>IFERROR(VLOOKUP(F$1&amp;$A162&amp;$B162,배당편집!$D$2:$N$2710,11,FALSE), 0)</f>
        <v>0</v>
      </c>
      <c r="G162" s="3">
        <f>IFERROR(VLOOKUP(G$1&amp;$A162&amp;$B162,배당편집!$D$2:$N$2710,11,FALSE), 0)</f>
        <v>0.42</v>
      </c>
      <c r="H162" s="3">
        <f>IFERROR(VLOOKUP(H$1&amp;$A162&amp;$B162,배당편집!$D$2:$N$2710,11,FALSE), 0)</f>
        <v>0.65</v>
      </c>
      <c r="I162" s="3">
        <f>IFERROR(VLOOKUP(I$1&amp;$A162&amp;$B162,배당편집!$D$2:$N$2710,11,FALSE), 0)</f>
        <v>0.35499999999999998</v>
      </c>
      <c r="J162" s="3">
        <f>IFERROR(VLOOKUP(J$1&amp;$A162&amp;$B162,배당편집!$D$2:$N$2710,11,FALSE), 0)</f>
        <v>0</v>
      </c>
      <c r="K162" s="3">
        <f>IFERROR(VLOOKUP(K$1&amp;$A162&amp;$B162,배당편집!$D$2:$N$2710,11,FALSE), 0)</f>
        <v>0</v>
      </c>
      <c r="L162" s="3">
        <f>IFERROR(VLOOKUP(L$1&amp;$A162&amp;$B162,배당편집!$D$2:$N$2710,11,FALSE), 0)</f>
        <v>0.16</v>
      </c>
      <c r="M162" s="3">
        <f>IFERROR(VLOOKUP(M$1&amp;$A162&amp;$B162,배당편집!$D$2:$N$2710,11,FALSE), 0)</f>
        <v>0</v>
      </c>
      <c r="N162" s="3">
        <f>IFERROR(VLOOKUP(N$1&amp;$A162&amp;$B162,배당편집!$D$2:$N$2710,11,FALSE), 0)</f>
        <v>0.33</v>
      </c>
      <c r="O162" s="3">
        <f>IFERROR(VLOOKUP(O$1&amp;$A162&amp;$B162,배당편집!$D$2:$N$2710,11,FALSE), 0)</f>
        <v>0</v>
      </c>
      <c r="P162" s="3">
        <f>IFERROR(VLOOKUP(P$1&amp;$A162&amp;$B162,배당편집!$D$2:$N$2710,11,FALSE), 0)</f>
        <v>0</v>
      </c>
      <c r="Q162" s="3">
        <f>IFERROR(VLOOKUP(Q$1&amp;$A162&amp;$B162,배당편집!$D$2:$N$2710,11,FALSE), 0)</f>
        <v>0.49</v>
      </c>
      <c r="R162" s="3">
        <f>IFERROR(VLOOKUP(R$1&amp;$A162&amp;$B162,배당편집!$D$2:$N$2710,11,FALSE), 0)</f>
        <v>0.33</v>
      </c>
      <c r="S162" s="3">
        <f>IFERROR(VLOOKUP(S$1&amp;$A162&amp;$B162,배당편집!$D$2:$N$2710,11,FALSE), 0)</f>
        <v>0</v>
      </c>
      <c r="T162" s="3">
        <f>IFERROR(VLOOKUP(T$1&amp;$A162&amp;$B162,배당편집!$D$2:$N$2710,11,FALSE), 0)</f>
        <v>0</v>
      </c>
      <c r="U162" s="3">
        <f>IFERROR(VLOOKUP(U$1&amp;$A162&amp;$B162,배당편집!$D$2:$N$2710,11,FALSE), 0)</f>
        <v>0</v>
      </c>
      <c r="V162" s="3">
        <f>IFERROR(VLOOKUP(V$1&amp;$A162&amp;$B162,배당편집!$D$2:$N$2710,11,FALSE), 0)</f>
        <v>0</v>
      </c>
      <c r="W162" s="3">
        <f>IFERROR(VLOOKUP(W$1&amp;$A162&amp;$B162,배당편집!$D$2:$N$2710,11,FALSE), 0)</f>
        <v>0</v>
      </c>
      <c r="X162" s="3">
        <f>IFERROR(VLOOKUP(X$1&amp;$A162&amp;$B162,배당편집!$D$2:$N$2710,11,FALSE), 0)</f>
        <v>0.26500000000000001</v>
      </c>
      <c r="Y162" s="3">
        <f>IFERROR(VLOOKUP(Y$1&amp;$A162&amp;$B162,배당편집!$D$2:$N$2710,11,FALSE), 0)</f>
        <v>0.25</v>
      </c>
      <c r="Z162" s="3">
        <f>IFERROR(VLOOKUP(Z$1&amp;$A162&amp;$B162,배당편집!$D$2:$N$2710,11,FALSE), 0)</f>
        <v>0</v>
      </c>
      <c r="AA162" s="3">
        <f>IFERROR(VLOOKUP(AA$1&amp;$A162&amp;$B162,배당편집!$D$2:$N$2710,11,FALSE), 0)</f>
        <v>0.14000000000000001</v>
      </c>
      <c r="AB162" s="3">
        <f>IFERROR(VLOOKUP(AB$1&amp;$A162&amp;$B162,배당편집!$D$2:$N$2710,11,FALSE), 0)</f>
        <v>0</v>
      </c>
      <c r="AC162" s="3">
        <f>IFERROR(VLOOKUP(AC$1&amp;$A162&amp;$B162,배당편집!$D$2:$N$2710,11,FALSE), 0)</f>
        <v>0.14749999999999999</v>
      </c>
      <c r="AD162" s="3">
        <f>IFERROR(VLOOKUP(AD$1&amp;$A162&amp;$B162,배당편집!$D$2:$N$2710,11,FALSE), 0)</f>
        <v>0</v>
      </c>
      <c r="AE162" s="3">
        <f>IFERROR(VLOOKUP(AE$1&amp;$A162&amp;$B162,배당편집!$D$2:$N$2710,11,FALSE), 0)</f>
        <v>0.13</v>
      </c>
      <c r="AF162" s="3">
        <f>IFERROR(VLOOKUP(AF$1&amp;$A162&amp;$B162,배당편집!$D$2:$N$2710,11,FALSE), 0)</f>
        <v>0.25</v>
      </c>
    </row>
    <row r="163" spans="1:32" ht="16.5" customHeight="1">
      <c r="A163" s="3">
        <v>2009</v>
      </c>
      <c r="B163" s="3">
        <v>6</v>
      </c>
      <c r="C163" s="3">
        <f>IFERROR(VLOOKUP(C$1&amp;$A163&amp;$B163,배당편집!$D$2:$N$2710,11,FALSE), 0)</f>
        <v>0</v>
      </c>
      <c r="D163" s="3">
        <f>IFERROR(VLOOKUP(D$1&amp;$A163&amp;$B163,배당편집!$D$2:$N$2710,11,FALSE), 0)</f>
        <v>0.25</v>
      </c>
      <c r="E163" s="3">
        <f>IFERROR(VLOOKUP(E$1&amp;$A163&amp;$B163,배당편집!$D$2:$N$2710,11,FALSE), 0)</f>
        <v>7.0000000000000007E-2</v>
      </c>
      <c r="F163" s="3">
        <f>IFERROR(VLOOKUP(F$1&amp;$A163&amp;$B163,배당편집!$D$2:$N$2710,11,FALSE), 0)</f>
        <v>0.32</v>
      </c>
      <c r="G163" s="3">
        <f>IFERROR(VLOOKUP(G$1&amp;$A163&amp;$B163,배당편집!$D$2:$N$2710,11,FALSE), 0)</f>
        <v>0</v>
      </c>
      <c r="H163" s="3">
        <f>IFERROR(VLOOKUP(H$1&amp;$A163&amp;$B163,배당편집!$D$2:$N$2710,11,FALSE), 0)</f>
        <v>0</v>
      </c>
      <c r="I163" s="3">
        <f>IFERROR(VLOOKUP(I$1&amp;$A163&amp;$B163,배당편집!$D$2:$N$2710,11,FALSE), 0)</f>
        <v>0</v>
      </c>
      <c r="J163" s="3">
        <f>IFERROR(VLOOKUP(J$1&amp;$A163&amp;$B163,배당편집!$D$2:$N$2710,11,FALSE), 0)</f>
        <v>0.33500000000000002</v>
      </c>
      <c r="K163" s="3">
        <f>IFERROR(VLOOKUP(K$1&amp;$A163&amp;$B163,배당편집!$D$2:$N$2710,11,FALSE), 0)</f>
        <v>0</v>
      </c>
      <c r="L163" s="3">
        <f>IFERROR(VLOOKUP(L$1&amp;$A163&amp;$B163,배당편집!$D$2:$N$2710,11,FALSE), 0)</f>
        <v>0</v>
      </c>
      <c r="M163" s="3">
        <f>IFERROR(VLOOKUP(M$1&amp;$A163&amp;$B163,배당편집!$D$2:$N$2710,11,FALSE), 0)</f>
        <v>0.31</v>
      </c>
      <c r="N163" s="3">
        <f>IFERROR(VLOOKUP(N$1&amp;$A163&amp;$B163,배당편집!$D$2:$N$2710,11,FALSE), 0)</f>
        <v>0</v>
      </c>
      <c r="O163" s="3">
        <f>IFERROR(VLOOKUP(O$1&amp;$A163&amp;$B163,배당편집!$D$2:$N$2710,11,FALSE), 0)</f>
        <v>0.45</v>
      </c>
      <c r="P163" s="3">
        <f>IFERROR(VLOOKUP(P$1&amp;$A163&amp;$B163,배당편집!$D$2:$N$2710,11,FALSE), 0)</f>
        <v>0</v>
      </c>
      <c r="Q163" s="3">
        <f>IFERROR(VLOOKUP(Q$1&amp;$A163&amp;$B163,배당편집!$D$2:$N$2710,11,FALSE), 0)</f>
        <v>0</v>
      </c>
      <c r="R163" s="3">
        <f>IFERROR(VLOOKUP(R$1&amp;$A163&amp;$B163,배당편집!$D$2:$N$2710,11,FALSE), 0)</f>
        <v>0</v>
      </c>
      <c r="S163" s="3">
        <f>IFERROR(VLOOKUP(S$1&amp;$A163&amp;$B163,배당편집!$D$2:$N$2710,11,FALSE), 0)</f>
        <v>0.4</v>
      </c>
      <c r="T163" s="3">
        <f>IFERROR(VLOOKUP(T$1&amp;$A163&amp;$B163,배당편집!$D$2:$N$2710,11,FALSE), 0)</f>
        <v>0.38</v>
      </c>
      <c r="U163" s="3">
        <f>IFERROR(VLOOKUP(U$1&amp;$A163&amp;$B163,배당편집!$D$2:$N$2710,11,FALSE), 0)</f>
        <v>0</v>
      </c>
      <c r="V163" s="3">
        <f>IFERROR(VLOOKUP(V$1&amp;$A163&amp;$B163,배당편집!$D$2:$N$2710,11,FALSE), 0)</f>
        <v>0</v>
      </c>
      <c r="W163" s="3">
        <f>IFERROR(VLOOKUP(W$1&amp;$A163&amp;$B163,배당편집!$D$2:$N$2710,11,FALSE), 0)</f>
        <v>0</v>
      </c>
      <c r="X163" s="3">
        <f>IFERROR(VLOOKUP(X$1&amp;$A163&amp;$B163,배당편집!$D$2:$N$2710,11,FALSE), 0)</f>
        <v>0</v>
      </c>
      <c r="Y163" s="3">
        <f>IFERROR(VLOOKUP(Y$1&amp;$A163&amp;$B163,배당편집!$D$2:$N$2710,11,FALSE), 0)</f>
        <v>0</v>
      </c>
      <c r="Z163" s="3">
        <f>IFERROR(VLOOKUP(Z$1&amp;$A163&amp;$B163,배당편집!$D$2:$N$2710,11,FALSE), 0)</f>
        <v>0.13</v>
      </c>
      <c r="AA163" s="3">
        <f>IFERROR(VLOOKUP(AA$1&amp;$A163&amp;$B163,배당편집!$D$2:$N$2710,11,FALSE), 0)</f>
        <v>0</v>
      </c>
      <c r="AB163" s="3">
        <f>IFERROR(VLOOKUP(AB$1&amp;$A163&amp;$B163,배당편집!$D$2:$N$2710,11,FALSE), 0)</f>
        <v>0</v>
      </c>
      <c r="AC163" s="3">
        <f>IFERROR(VLOOKUP(AC$1&amp;$A163&amp;$B163,배당편집!$D$2:$N$2710,11,FALSE), 0)</f>
        <v>0</v>
      </c>
      <c r="AD163" s="3">
        <f>IFERROR(VLOOKUP(AD$1&amp;$A163&amp;$B163,배당편집!$D$2:$N$2710,11,FALSE), 0)</f>
        <v>0.33</v>
      </c>
      <c r="AE163" s="3">
        <f>IFERROR(VLOOKUP(AE$1&amp;$A163&amp;$B163,배당편집!$D$2:$N$2710,11,FALSE), 0)</f>
        <v>0</v>
      </c>
      <c r="AF163" s="3">
        <f>IFERROR(VLOOKUP(AF$1&amp;$A163&amp;$B163,배당편집!$D$2:$N$2710,11,FALSE), 0)</f>
        <v>0</v>
      </c>
    </row>
    <row r="164" spans="1:32" ht="16.5" customHeight="1">
      <c r="A164" s="3">
        <v>2009</v>
      </c>
      <c r="B164" s="3">
        <v>7</v>
      </c>
      <c r="C164" s="3">
        <f>IFERROR(VLOOKUP(C$1&amp;$A164&amp;$B164,배당편집!$D$2:$N$2710,11,FALSE), 0)</f>
        <v>0</v>
      </c>
      <c r="D164" s="3">
        <f>IFERROR(VLOOKUP(D$1&amp;$A164&amp;$B164,배당편집!$D$2:$N$2710,11,FALSE), 0)</f>
        <v>0</v>
      </c>
      <c r="E164" s="3">
        <f>IFERROR(VLOOKUP(E$1&amp;$A164&amp;$B164,배당편집!$D$2:$N$2710,11,FALSE), 0)</f>
        <v>0</v>
      </c>
      <c r="F164" s="3">
        <f>IFERROR(VLOOKUP(F$1&amp;$A164&amp;$B164,배당편집!$D$2:$N$2710,11,FALSE), 0)</f>
        <v>0</v>
      </c>
      <c r="G164" s="3">
        <f>IFERROR(VLOOKUP(G$1&amp;$A164&amp;$B164,배당편집!$D$2:$N$2710,11,FALSE), 0)</f>
        <v>0</v>
      </c>
      <c r="H164" s="3">
        <f>IFERROR(VLOOKUP(H$1&amp;$A164&amp;$B164,배당편집!$D$2:$N$2710,11,FALSE), 0)</f>
        <v>0</v>
      </c>
      <c r="I164" s="3">
        <f>IFERROR(VLOOKUP(I$1&amp;$A164&amp;$B164,배당편집!$D$2:$N$2710,11,FALSE), 0)</f>
        <v>0</v>
      </c>
      <c r="J164" s="3">
        <f>IFERROR(VLOOKUP(J$1&amp;$A164&amp;$B164,배당편집!$D$2:$N$2710,11,FALSE), 0)</f>
        <v>0</v>
      </c>
      <c r="K164" s="3">
        <f>IFERROR(VLOOKUP(K$1&amp;$A164&amp;$B164,배당편집!$D$2:$N$2710,11,FALSE), 0)</f>
        <v>0.42</v>
      </c>
      <c r="L164" s="3">
        <f>IFERROR(VLOOKUP(L$1&amp;$A164&amp;$B164,배당편집!$D$2:$N$2710,11,FALSE), 0)</f>
        <v>0</v>
      </c>
      <c r="M164" s="3">
        <f>IFERROR(VLOOKUP(M$1&amp;$A164&amp;$B164,배당편집!$D$2:$N$2710,11,FALSE), 0)</f>
        <v>0</v>
      </c>
      <c r="N164" s="3">
        <f>IFERROR(VLOOKUP(N$1&amp;$A164&amp;$B164,배당편집!$D$2:$N$2710,11,FALSE), 0)</f>
        <v>0</v>
      </c>
      <c r="O164" s="3">
        <f>IFERROR(VLOOKUP(O$1&amp;$A164&amp;$B164,배당편집!$D$2:$N$2710,11,FALSE), 0)</f>
        <v>0</v>
      </c>
      <c r="P164" s="3">
        <f>IFERROR(VLOOKUP(P$1&amp;$A164&amp;$B164,배당편집!$D$2:$N$2710,11,FALSE), 0)</f>
        <v>0.44</v>
      </c>
      <c r="Q164" s="3">
        <f>IFERROR(VLOOKUP(Q$1&amp;$A164&amp;$B164,배당편집!$D$2:$N$2710,11,FALSE), 0)</f>
        <v>0</v>
      </c>
      <c r="R164" s="3">
        <f>IFERROR(VLOOKUP(R$1&amp;$A164&amp;$B164,배당편집!$D$2:$N$2710,11,FALSE), 0)</f>
        <v>0</v>
      </c>
      <c r="S164" s="3">
        <f>IFERROR(VLOOKUP(S$1&amp;$A164&amp;$B164,배당편집!$D$2:$N$2710,11,FALSE), 0)</f>
        <v>0</v>
      </c>
      <c r="T164" s="3">
        <f>IFERROR(VLOOKUP(T$1&amp;$A164&amp;$B164,배당편집!$D$2:$N$2710,11,FALSE), 0)</f>
        <v>0</v>
      </c>
      <c r="U164" s="3">
        <f>IFERROR(VLOOKUP(U$1&amp;$A164&amp;$B164,배당편집!$D$2:$N$2710,11,FALSE), 0)</f>
        <v>1.6250000000000001E-2</v>
      </c>
      <c r="V164" s="3">
        <f>IFERROR(VLOOKUP(V$1&amp;$A164&amp;$B164,배당편집!$D$2:$N$2710,11,FALSE), 0)</f>
        <v>4.7500000000000001E-2</v>
      </c>
      <c r="W164" s="3">
        <f>IFERROR(VLOOKUP(W$1&amp;$A164&amp;$B164,배당편집!$D$2:$N$2710,11,FALSE), 0)</f>
        <v>0.09</v>
      </c>
      <c r="X164" s="3">
        <f>IFERROR(VLOOKUP(X$1&amp;$A164&amp;$B164,배당편집!$D$2:$N$2710,11,FALSE), 0)</f>
        <v>0</v>
      </c>
      <c r="Y164" s="3">
        <f>IFERROR(VLOOKUP(Y$1&amp;$A164&amp;$B164,배당편집!$D$2:$N$2710,11,FALSE), 0)</f>
        <v>0</v>
      </c>
      <c r="Z164" s="3">
        <f>IFERROR(VLOOKUP(Z$1&amp;$A164&amp;$B164,배당편집!$D$2:$N$2710,11,FALSE), 0)</f>
        <v>0</v>
      </c>
      <c r="AA164" s="3">
        <f>IFERROR(VLOOKUP(AA$1&amp;$A164&amp;$B164,배당편집!$D$2:$N$2710,11,FALSE), 0)</f>
        <v>0</v>
      </c>
      <c r="AB164" s="3">
        <f>IFERROR(VLOOKUP(AB$1&amp;$A164&amp;$B164,배당편집!$D$2:$N$2710,11,FALSE), 0)</f>
        <v>0.1</v>
      </c>
      <c r="AC164" s="3">
        <f>IFERROR(VLOOKUP(AC$1&amp;$A164&amp;$B164,배당편집!$D$2:$N$2710,11,FALSE), 0)</f>
        <v>0</v>
      </c>
      <c r="AD164" s="3">
        <f>IFERROR(VLOOKUP(AD$1&amp;$A164&amp;$B164,배당편집!$D$2:$N$2710,11,FALSE), 0)</f>
        <v>0</v>
      </c>
      <c r="AE164" s="3">
        <f>IFERROR(VLOOKUP(AE$1&amp;$A164&amp;$B164,배당편집!$D$2:$N$2710,11,FALSE), 0)</f>
        <v>0</v>
      </c>
      <c r="AF164" s="3">
        <f>IFERROR(VLOOKUP(AF$1&amp;$A164&amp;$B164,배당편집!$D$2:$N$2710,11,FALSE), 0)</f>
        <v>0</v>
      </c>
    </row>
    <row r="165" spans="1:32" ht="16.5" customHeight="1">
      <c r="A165" s="3">
        <v>2009</v>
      </c>
      <c r="B165" s="3">
        <v>8</v>
      </c>
      <c r="C165" s="3">
        <f>IFERROR(VLOOKUP(C$1&amp;$A165&amp;$B165,배당편집!$D$2:$N$2710,11,FALSE), 0)</f>
        <v>0.13750000000000001</v>
      </c>
      <c r="D165" s="3">
        <f>IFERROR(VLOOKUP(D$1&amp;$A165&amp;$B165,배당편집!$D$2:$N$2710,11,FALSE), 0)</f>
        <v>0</v>
      </c>
      <c r="E165" s="3">
        <f>IFERROR(VLOOKUP(E$1&amp;$A165&amp;$B165,배당편집!$D$2:$N$2710,11,FALSE), 0)</f>
        <v>0</v>
      </c>
      <c r="F165" s="3">
        <f>IFERROR(VLOOKUP(F$1&amp;$A165&amp;$B165,배당편집!$D$2:$N$2710,11,FALSE), 0)</f>
        <v>0</v>
      </c>
      <c r="G165" s="3">
        <f>IFERROR(VLOOKUP(G$1&amp;$A165&amp;$B165,배당편집!$D$2:$N$2710,11,FALSE), 0)</f>
        <v>0.42</v>
      </c>
      <c r="H165" s="3">
        <f>IFERROR(VLOOKUP(H$1&amp;$A165&amp;$B165,배당편집!$D$2:$N$2710,11,FALSE), 0)</f>
        <v>0.68</v>
      </c>
      <c r="I165" s="3">
        <f>IFERROR(VLOOKUP(I$1&amp;$A165&amp;$B165,배당편집!$D$2:$N$2710,11,FALSE), 0)</f>
        <v>0.35499999999999998</v>
      </c>
      <c r="J165" s="3">
        <f>IFERROR(VLOOKUP(J$1&amp;$A165&amp;$B165,배당편집!$D$2:$N$2710,11,FALSE), 0)</f>
        <v>0</v>
      </c>
      <c r="K165" s="3">
        <f>IFERROR(VLOOKUP(K$1&amp;$A165&amp;$B165,배당편집!$D$2:$N$2710,11,FALSE), 0)</f>
        <v>0</v>
      </c>
      <c r="L165" s="3">
        <f>IFERROR(VLOOKUP(L$1&amp;$A165&amp;$B165,배당편집!$D$2:$N$2710,11,FALSE), 0)</f>
        <v>0.17</v>
      </c>
      <c r="M165" s="3">
        <f>IFERROR(VLOOKUP(M$1&amp;$A165&amp;$B165,배당편집!$D$2:$N$2710,11,FALSE), 0)</f>
        <v>0</v>
      </c>
      <c r="N165" s="3">
        <f>IFERROR(VLOOKUP(N$1&amp;$A165&amp;$B165,배당편집!$D$2:$N$2710,11,FALSE), 0)</f>
        <v>0.33</v>
      </c>
      <c r="O165" s="3">
        <f>IFERROR(VLOOKUP(O$1&amp;$A165&amp;$B165,배당편집!$D$2:$N$2710,11,FALSE), 0)</f>
        <v>0</v>
      </c>
      <c r="P165" s="3">
        <f>IFERROR(VLOOKUP(P$1&amp;$A165&amp;$B165,배당편집!$D$2:$N$2710,11,FALSE), 0)</f>
        <v>0</v>
      </c>
      <c r="Q165" s="3">
        <f>IFERROR(VLOOKUP(Q$1&amp;$A165&amp;$B165,배당편집!$D$2:$N$2710,11,FALSE), 0)</f>
        <v>0.49</v>
      </c>
      <c r="R165" s="3">
        <f>IFERROR(VLOOKUP(R$1&amp;$A165&amp;$B165,배당편집!$D$2:$N$2710,11,FALSE), 0)</f>
        <v>0.33</v>
      </c>
      <c r="S165" s="3">
        <f>IFERROR(VLOOKUP(S$1&amp;$A165&amp;$B165,배당편집!$D$2:$N$2710,11,FALSE), 0)</f>
        <v>0</v>
      </c>
      <c r="T165" s="3">
        <f>IFERROR(VLOOKUP(T$1&amp;$A165&amp;$B165,배당편집!$D$2:$N$2710,11,FALSE), 0)</f>
        <v>0</v>
      </c>
      <c r="U165" s="3">
        <f>IFERROR(VLOOKUP(U$1&amp;$A165&amp;$B165,배당편집!$D$2:$N$2710,11,FALSE), 0)</f>
        <v>0</v>
      </c>
      <c r="V165" s="3">
        <f>IFERROR(VLOOKUP(V$1&amp;$A165&amp;$B165,배당편집!$D$2:$N$2710,11,FALSE), 0)</f>
        <v>0</v>
      </c>
      <c r="W165" s="3">
        <f>IFERROR(VLOOKUP(W$1&amp;$A165&amp;$B165,배당편집!$D$2:$N$2710,11,FALSE), 0)</f>
        <v>0</v>
      </c>
      <c r="X165" s="3">
        <f>IFERROR(VLOOKUP(X$1&amp;$A165&amp;$B165,배당편집!$D$2:$N$2710,11,FALSE), 0)</f>
        <v>0.26500000000000001</v>
      </c>
      <c r="Y165" s="3">
        <f>IFERROR(VLOOKUP(Y$1&amp;$A165&amp;$B165,배당편집!$D$2:$N$2710,11,FALSE), 0)</f>
        <v>0.25</v>
      </c>
      <c r="Z165" s="3">
        <f>IFERROR(VLOOKUP(Z$1&amp;$A165&amp;$B165,배당편집!$D$2:$N$2710,11,FALSE), 0)</f>
        <v>0</v>
      </c>
      <c r="AA165" s="3">
        <f>IFERROR(VLOOKUP(AA$1&amp;$A165&amp;$B165,배당편집!$D$2:$N$2710,11,FALSE), 0)</f>
        <v>0.14000000000000001</v>
      </c>
      <c r="AB165" s="3">
        <f>IFERROR(VLOOKUP(AB$1&amp;$A165&amp;$B165,배당편집!$D$2:$N$2710,11,FALSE), 0)</f>
        <v>0</v>
      </c>
      <c r="AC165" s="3">
        <f>IFERROR(VLOOKUP(AC$1&amp;$A165&amp;$B165,배당편집!$D$2:$N$2710,11,FALSE), 0)</f>
        <v>0.14749999999999999</v>
      </c>
      <c r="AD165" s="3">
        <f>IFERROR(VLOOKUP(AD$1&amp;$A165&amp;$B165,배당편집!$D$2:$N$2710,11,FALSE), 0)</f>
        <v>0</v>
      </c>
      <c r="AE165" s="3">
        <f>IFERROR(VLOOKUP(AE$1&amp;$A165&amp;$B165,배당편집!$D$2:$N$2710,11,FALSE), 0)</f>
        <v>0.13</v>
      </c>
      <c r="AF165" s="3">
        <f>IFERROR(VLOOKUP(AF$1&amp;$A165&amp;$B165,배당편집!$D$2:$N$2710,11,FALSE), 0)</f>
        <v>0.26</v>
      </c>
    </row>
    <row r="166" spans="1:32" ht="16.5" customHeight="1">
      <c r="A166" s="3">
        <v>2009</v>
      </c>
      <c r="B166" s="3">
        <v>9</v>
      </c>
      <c r="C166" s="3">
        <f>IFERROR(VLOOKUP(C$1&amp;$A166&amp;$B166,배당편집!$D$2:$N$2710,11,FALSE), 0)</f>
        <v>0</v>
      </c>
      <c r="D166" s="3">
        <f>IFERROR(VLOOKUP(D$1&amp;$A166&amp;$B166,배당편집!$D$2:$N$2710,11,FALSE), 0)</f>
        <v>0.26</v>
      </c>
      <c r="E166" s="3">
        <f>IFERROR(VLOOKUP(E$1&amp;$A166&amp;$B166,배당편집!$D$2:$N$2710,11,FALSE), 0)</f>
        <v>0</v>
      </c>
      <c r="F166" s="3">
        <f>IFERROR(VLOOKUP(F$1&amp;$A166&amp;$B166,배당편집!$D$2:$N$2710,11,FALSE), 0)</f>
        <v>0.33</v>
      </c>
      <c r="G166" s="3">
        <f>IFERROR(VLOOKUP(G$1&amp;$A166&amp;$B166,배당편집!$D$2:$N$2710,11,FALSE), 0)</f>
        <v>0</v>
      </c>
      <c r="H166" s="3">
        <f>IFERROR(VLOOKUP(H$1&amp;$A166&amp;$B166,배당편집!$D$2:$N$2710,11,FALSE), 0)</f>
        <v>0</v>
      </c>
      <c r="I166" s="3">
        <f>IFERROR(VLOOKUP(I$1&amp;$A166&amp;$B166,배당편집!$D$2:$N$2710,11,FALSE), 0)</f>
        <v>0</v>
      </c>
      <c r="J166" s="3">
        <f>IFERROR(VLOOKUP(J$1&amp;$A166&amp;$B166,배당편집!$D$2:$N$2710,11,FALSE), 0)</f>
        <v>0.33500000000000002</v>
      </c>
      <c r="K166" s="3">
        <f>IFERROR(VLOOKUP(K$1&amp;$A166&amp;$B166,배당편집!$D$2:$N$2710,11,FALSE), 0)</f>
        <v>0</v>
      </c>
      <c r="L166" s="3">
        <f>IFERROR(VLOOKUP(L$1&amp;$A166&amp;$B166,배당편집!$D$2:$N$2710,11,FALSE), 0)</f>
        <v>0</v>
      </c>
      <c r="M166" s="3">
        <f>IFERROR(VLOOKUP(M$1&amp;$A166&amp;$B166,배당편집!$D$2:$N$2710,11,FALSE), 0)</f>
        <v>0.31</v>
      </c>
      <c r="N166" s="3">
        <f>IFERROR(VLOOKUP(N$1&amp;$A166&amp;$B166,배당편집!$D$2:$N$2710,11,FALSE), 0)</f>
        <v>0</v>
      </c>
      <c r="O166" s="3">
        <f>IFERROR(VLOOKUP(O$1&amp;$A166&amp;$B166,배당편집!$D$2:$N$2710,11,FALSE), 0)</f>
        <v>0.45</v>
      </c>
      <c r="P166" s="3">
        <f>IFERROR(VLOOKUP(P$1&amp;$A166&amp;$B166,배당편집!$D$2:$N$2710,11,FALSE), 0)</f>
        <v>0</v>
      </c>
      <c r="Q166" s="3">
        <f>IFERROR(VLOOKUP(Q$1&amp;$A166&amp;$B166,배당편집!$D$2:$N$2710,11,FALSE), 0)</f>
        <v>0</v>
      </c>
      <c r="R166" s="3">
        <f>IFERROR(VLOOKUP(R$1&amp;$A166&amp;$B166,배당편집!$D$2:$N$2710,11,FALSE), 0)</f>
        <v>0</v>
      </c>
      <c r="S166" s="3">
        <f>IFERROR(VLOOKUP(S$1&amp;$A166&amp;$B166,배당편집!$D$2:$N$2710,11,FALSE), 0)</f>
        <v>0.4</v>
      </c>
      <c r="T166" s="3">
        <f>IFERROR(VLOOKUP(T$1&amp;$A166&amp;$B166,배당편집!$D$2:$N$2710,11,FALSE), 0)</f>
        <v>0</v>
      </c>
      <c r="U166" s="3">
        <f>IFERROR(VLOOKUP(U$1&amp;$A166&amp;$B166,배당편집!$D$2:$N$2710,11,FALSE), 0)</f>
        <v>0</v>
      </c>
      <c r="V166" s="3">
        <f>IFERROR(VLOOKUP(V$1&amp;$A166&amp;$B166,배당편집!$D$2:$N$2710,11,FALSE), 0)</f>
        <v>0</v>
      </c>
      <c r="W166" s="3">
        <f>IFERROR(VLOOKUP(W$1&amp;$A166&amp;$B166,배당편집!$D$2:$N$2710,11,FALSE), 0)</f>
        <v>0</v>
      </c>
      <c r="X166" s="3">
        <f>IFERROR(VLOOKUP(X$1&amp;$A166&amp;$B166,배당편집!$D$2:$N$2710,11,FALSE), 0)</f>
        <v>0</v>
      </c>
      <c r="Y166" s="3">
        <f>IFERROR(VLOOKUP(Y$1&amp;$A166&amp;$B166,배당편집!$D$2:$N$2710,11,FALSE), 0)</f>
        <v>0</v>
      </c>
      <c r="Z166" s="3">
        <f>IFERROR(VLOOKUP(Z$1&amp;$A166&amp;$B166,배당편집!$D$2:$N$2710,11,FALSE), 0)</f>
        <v>0</v>
      </c>
      <c r="AA166" s="3">
        <f>IFERROR(VLOOKUP(AA$1&amp;$A166&amp;$B166,배당편집!$D$2:$N$2710,11,FALSE), 0)</f>
        <v>0</v>
      </c>
      <c r="AB166" s="3">
        <f>IFERROR(VLOOKUP(AB$1&amp;$A166&amp;$B166,배당편집!$D$2:$N$2710,11,FALSE), 0)</f>
        <v>0</v>
      </c>
      <c r="AC166" s="3">
        <f>IFERROR(VLOOKUP(AC$1&amp;$A166&amp;$B166,배당편집!$D$2:$N$2710,11,FALSE), 0)</f>
        <v>0</v>
      </c>
      <c r="AD166" s="3">
        <f>IFERROR(VLOOKUP(AD$1&amp;$A166&amp;$B166,배당편집!$D$2:$N$2710,11,FALSE), 0)</f>
        <v>0.33</v>
      </c>
      <c r="AE166" s="3">
        <f>IFERROR(VLOOKUP(AE$1&amp;$A166&amp;$B166,배당편집!$D$2:$N$2710,11,FALSE), 0)</f>
        <v>0</v>
      </c>
      <c r="AF166" s="3">
        <f>IFERROR(VLOOKUP(AF$1&amp;$A166&amp;$B166,배당편집!$D$2:$N$2710,11,FALSE), 0)</f>
        <v>0</v>
      </c>
    </row>
    <row r="167" spans="1:32" ht="16.5" customHeight="1">
      <c r="A167" s="3">
        <v>2009</v>
      </c>
      <c r="B167" s="3">
        <v>10</v>
      </c>
      <c r="C167" s="3">
        <f>IFERROR(VLOOKUP(C$1&amp;$A167&amp;$B167,배당편집!$D$2:$N$2710,11,FALSE), 0)</f>
        <v>0</v>
      </c>
      <c r="D167" s="3">
        <f>IFERROR(VLOOKUP(D$1&amp;$A167&amp;$B167,배당편집!$D$2:$N$2710,11,FALSE), 0)</f>
        <v>0</v>
      </c>
      <c r="E167" s="3">
        <f>IFERROR(VLOOKUP(E$1&amp;$A167&amp;$B167,배당편집!$D$2:$N$2710,11,FALSE), 0)</f>
        <v>7.0000000000000007E-2</v>
      </c>
      <c r="F167" s="3">
        <f>IFERROR(VLOOKUP(F$1&amp;$A167&amp;$B167,배당편집!$D$2:$N$2710,11,FALSE), 0)</f>
        <v>0</v>
      </c>
      <c r="G167" s="3">
        <f>IFERROR(VLOOKUP(G$1&amp;$A167&amp;$B167,배당편집!$D$2:$N$2710,11,FALSE), 0)</f>
        <v>0</v>
      </c>
      <c r="H167" s="3">
        <f>IFERROR(VLOOKUP(H$1&amp;$A167&amp;$B167,배당편집!$D$2:$N$2710,11,FALSE), 0)</f>
        <v>0</v>
      </c>
      <c r="I167" s="3">
        <f>IFERROR(VLOOKUP(I$1&amp;$A167&amp;$B167,배당편집!$D$2:$N$2710,11,FALSE), 0)</f>
        <v>0</v>
      </c>
      <c r="J167" s="3">
        <f>IFERROR(VLOOKUP(J$1&amp;$A167&amp;$B167,배당편집!$D$2:$N$2710,11,FALSE), 0)</f>
        <v>0</v>
      </c>
      <c r="K167" s="3">
        <f>IFERROR(VLOOKUP(K$1&amp;$A167&amp;$B167,배당편집!$D$2:$N$2710,11,FALSE), 0)</f>
        <v>0.42</v>
      </c>
      <c r="L167" s="3">
        <f>IFERROR(VLOOKUP(L$1&amp;$A167&amp;$B167,배당편집!$D$2:$N$2710,11,FALSE), 0)</f>
        <v>0</v>
      </c>
      <c r="M167" s="3">
        <f>IFERROR(VLOOKUP(M$1&amp;$A167&amp;$B167,배당편집!$D$2:$N$2710,11,FALSE), 0)</f>
        <v>0</v>
      </c>
      <c r="N167" s="3">
        <f>IFERROR(VLOOKUP(N$1&amp;$A167&amp;$B167,배당편집!$D$2:$N$2710,11,FALSE), 0)</f>
        <v>0</v>
      </c>
      <c r="O167" s="3">
        <f>IFERROR(VLOOKUP(O$1&amp;$A167&amp;$B167,배당편집!$D$2:$N$2710,11,FALSE), 0)</f>
        <v>0</v>
      </c>
      <c r="P167" s="3">
        <f>IFERROR(VLOOKUP(P$1&amp;$A167&amp;$B167,배당편집!$D$2:$N$2710,11,FALSE), 0)</f>
        <v>0.44</v>
      </c>
      <c r="Q167" s="3">
        <f>IFERROR(VLOOKUP(Q$1&amp;$A167&amp;$B167,배당편집!$D$2:$N$2710,11,FALSE), 0)</f>
        <v>0</v>
      </c>
      <c r="R167" s="3">
        <f>IFERROR(VLOOKUP(R$1&amp;$A167&amp;$B167,배당편집!$D$2:$N$2710,11,FALSE), 0)</f>
        <v>0</v>
      </c>
      <c r="S167" s="3">
        <f>IFERROR(VLOOKUP(S$1&amp;$A167&amp;$B167,배당편집!$D$2:$N$2710,11,FALSE), 0)</f>
        <v>0</v>
      </c>
      <c r="T167" s="3">
        <f>IFERROR(VLOOKUP(T$1&amp;$A167&amp;$B167,배당편집!$D$2:$N$2710,11,FALSE), 0)</f>
        <v>0.38</v>
      </c>
      <c r="U167" s="3">
        <f>IFERROR(VLOOKUP(U$1&amp;$A167&amp;$B167,배당편집!$D$2:$N$2710,11,FALSE), 0)</f>
        <v>1.6250000000000001E-2</v>
      </c>
      <c r="V167" s="3">
        <f>IFERROR(VLOOKUP(V$1&amp;$A167&amp;$B167,배당편집!$D$2:$N$2710,11,FALSE), 0)</f>
        <v>4.7500000000000001E-2</v>
      </c>
      <c r="W167" s="3">
        <f>IFERROR(VLOOKUP(W$1&amp;$A167&amp;$B167,배당편집!$D$2:$N$2710,11,FALSE), 0)</f>
        <v>0.09</v>
      </c>
      <c r="X167" s="3">
        <f>IFERROR(VLOOKUP(X$1&amp;$A167&amp;$B167,배당편집!$D$2:$N$2710,11,FALSE), 0)</f>
        <v>0</v>
      </c>
      <c r="Y167" s="3">
        <f>IFERROR(VLOOKUP(Y$1&amp;$A167&amp;$B167,배당편집!$D$2:$N$2710,11,FALSE), 0)</f>
        <v>0</v>
      </c>
      <c r="Z167" s="3">
        <f>IFERROR(VLOOKUP(Z$1&amp;$A167&amp;$B167,배당편집!$D$2:$N$2710,11,FALSE), 0)</f>
        <v>0.13</v>
      </c>
      <c r="AA167" s="3">
        <f>IFERROR(VLOOKUP(AA$1&amp;$A167&amp;$B167,배당편집!$D$2:$N$2710,11,FALSE), 0)</f>
        <v>0</v>
      </c>
      <c r="AB167" s="3">
        <f>IFERROR(VLOOKUP(AB$1&amp;$A167&amp;$B167,배당편집!$D$2:$N$2710,11,FALSE), 0)</f>
        <v>0.1</v>
      </c>
      <c r="AC167" s="3">
        <f>IFERROR(VLOOKUP(AC$1&amp;$A167&amp;$B167,배당편집!$D$2:$N$2710,11,FALSE), 0)</f>
        <v>0</v>
      </c>
      <c r="AD167" s="3">
        <f>IFERROR(VLOOKUP(AD$1&amp;$A167&amp;$B167,배당편집!$D$2:$N$2710,11,FALSE), 0)</f>
        <v>0</v>
      </c>
      <c r="AE167" s="3">
        <f>IFERROR(VLOOKUP(AE$1&amp;$A167&amp;$B167,배당편집!$D$2:$N$2710,11,FALSE), 0)</f>
        <v>0</v>
      </c>
      <c r="AF167" s="3">
        <f>IFERROR(VLOOKUP(AF$1&amp;$A167&amp;$B167,배당편집!$D$2:$N$2710,11,FALSE), 0)</f>
        <v>0</v>
      </c>
    </row>
    <row r="168" spans="1:32" ht="16.5" customHeight="1">
      <c r="A168" s="3">
        <v>2009</v>
      </c>
      <c r="B168" s="3">
        <v>11</v>
      </c>
      <c r="C168" s="3">
        <f>IFERROR(VLOOKUP(C$1&amp;$A168&amp;$B168,배당편집!$D$2:$N$2710,11,FALSE), 0)</f>
        <v>0.13750000000000001</v>
      </c>
      <c r="D168" s="3">
        <f>IFERROR(VLOOKUP(D$1&amp;$A168&amp;$B168,배당편집!$D$2:$N$2710,11,FALSE), 0)</f>
        <v>0</v>
      </c>
      <c r="E168" s="3">
        <f>IFERROR(VLOOKUP(E$1&amp;$A168&amp;$B168,배당편집!$D$2:$N$2710,11,FALSE), 0)</f>
        <v>0</v>
      </c>
      <c r="F168" s="3">
        <f>IFERROR(VLOOKUP(F$1&amp;$A168&amp;$B168,배당편집!$D$2:$N$2710,11,FALSE), 0)</f>
        <v>0</v>
      </c>
      <c r="G168" s="3">
        <f>IFERROR(VLOOKUP(G$1&amp;$A168&amp;$B168,배당편집!$D$2:$N$2710,11,FALSE), 0)</f>
        <v>0.42</v>
      </c>
      <c r="H168" s="3">
        <f>IFERROR(VLOOKUP(H$1&amp;$A168&amp;$B168,배당편집!$D$2:$N$2710,11,FALSE), 0)</f>
        <v>0.68</v>
      </c>
      <c r="I168" s="3">
        <f>IFERROR(VLOOKUP(I$1&amp;$A168&amp;$B168,배당편집!$D$2:$N$2710,11,FALSE), 0)</f>
        <v>0.35499999999999998</v>
      </c>
      <c r="J168" s="3">
        <f>IFERROR(VLOOKUP(J$1&amp;$A168&amp;$B168,배당편집!$D$2:$N$2710,11,FALSE), 0)</f>
        <v>0</v>
      </c>
      <c r="K168" s="3">
        <f>IFERROR(VLOOKUP(K$1&amp;$A168&amp;$B168,배당편집!$D$2:$N$2710,11,FALSE), 0)</f>
        <v>0</v>
      </c>
      <c r="L168" s="3">
        <f>IFERROR(VLOOKUP(L$1&amp;$A168&amp;$B168,배당편집!$D$2:$N$2710,11,FALSE), 0)</f>
        <v>0.17</v>
      </c>
      <c r="M168" s="3">
        <f>IFERROR(VLOOKUP(M$1&amp;$A168&amp;$B168,배당편집!$D$2:$N$2710,11,FALSE), 0)</f>
        <v>0</v>
      </c>
      <c r="N168" s="3">
        <f>IFERROR(VLOOKUP(N$1&amp;$A168&amp;$B168,배당편집!$D$2:$N$2710,11,FALSE), 0)</f>
        <v>0.33500000000000002</v>
      </c>
      <c r="O168" s="3">
        <f>IFERROR(VLOOKUP(O$1&amp;$A168&amp;$B168,배당편집!$D$2:$N$2710,11,FALSE), 0)</f>
        <v>0</v>
      </c>
      <c r="P168" s="3">
        <f>IFERROR(VLOOKUP(P$1&amp;$A168&amp;$B168,배당편집!$D$2:$N$2710,11,FALSE), 0)</f>
        <v>0</v>
      </c>
      <c r="Q168" s="3">
        <f>IFERROR(VLOOKUP(Q$1&amp;$A168&amp;$B168,배당편집!$D$2:$N$2710,11,FALSE), 0)</f>
        <v>0.49</v>
      </c>
      <c r="R168" s="3">
        <f>IFERROR(VLOOKUP(R$1&amp;$A168&amp;$B168,배당편집!$D$2:$N$2710,11,FALSE), 0)</f>
        <v>0.33500000000000002</v>
      </c>
      <c r="S168" s="3">
        <f>IFERROR(VLOOKUP(S$1&amp;$A168&amp;$B168,배당편집!$D$2:$N$2710,11,FALSE), 0)</f>
        <v>0</v>
      </c>
      <c r="T168" s="3">
        <f>IFERROR(VLOOKUP(T$1&amp;$A168&amp;$B168,배당편집!$D$2:$N$2710,11,FALSE), 0)</f>
        <v>0</v>
      </c>
      <c r="U168" s="3">
        <f>IFERROR(VLOOKUP(U$1&amp;$A168&amp;$B168,배당편집!$D$2:$N$2710,11,FALSE), 0)</f>
        <v>0</v>
      </c>
      <c r="V168" s="3">
        <f>IFERROR(VLOOKUP(V$1&amp;$A168&amp;$B168,배당편집!$D$2:$N$2710,11,FALSE), 0)</f>
        <v>0</v>
      </c>
      <c r="W168" s="3">
        <f>IFERROR(VLOOKUP(W$1&amp;$A168&amp;$B168,배당편집!$D$2:$N$2710,11,FALSE), 0)</f>
        <v>0</v>
      </c>
      <c r="X168" s="3">
        <f>IFERROR(VLOOKUP(X$1&amp;$A168&amp;$B168,배당편집!$D$2:$N$2710,11,FALSE), 0)</f>
        <v>0.27</v>
      </c>
      <c r="Y168" s="3">
        <f>IFERROR(VLOOKUP(Y$1&amp;$A168&amp;$B168,배당편집!$D$2:$N$2710,11,FALSE), 0)</f>
        <v>0.25</v>
      </c>
      <c r="Z168" s="3">
        <f>IFERROR(VLOOKUP(Z$1&amp;$A168&amp;$B168,배당편집!$D$2:$N$2710,11,FALSE), 0)</f>
        <v>0</v>
      </c>
      <c r="AA168" s="3">
        <f>IFERROR(VLOOKUP(AA$1&amp;$A168&amp;$B168,배당편집!$D$2:$N$2710,11,FALSE), 0)</f>
        <v>0.14000000000000001</v>
      </c>
      <c r="AB168" s="3">
        <f>IFERROR(VLOOKUP(AB$1&amp;$A168&amp;$B168,배당편집!$D$2:$N$2710,11,FALSE), 0)</f>
        <v>0</v>
      </c>
      <c r="AC168" s="3">
        <f>IFERROR(VLOOKUP(AC$1&amp;$A168&amp;$B168,배당편집!$D$2:$N$2710,11,FALSE), 0)</f>
        <v>0.14749999999999999</v>
      </c>
      <c r="AD168" s="3">
        <f>IFERROR(VLOOKUP(AD$1&amp;$A168&amp;$B168,배당편집!$D$2:$N$2710,11,FALSE), 0)</f>
        <v>0</v>
      </c>
      <c r="AE168" s="3">
        <f>IFERROR(VLOOKUP(AE$1&amp;$A168&amp;$B168,배당편집!$D$2:$N$2710,11,FALSE), 0)</f>
        <v>0.14000000000000001</v>
      </c>
      <c r="AF168" s="3">
        <f>IFERROR(VLOOKUP(AF$1&amp;$A168&amp;$B168,배당편집!$D$2:$N$2710,11,FALSE), 0)</f>
        <v>0.26</v>
      </c>
    </row>
    <row r="169" spans="1:32" ht="16.5" customHeight="1">
      <c r="A169" s="3">
        <v>2009</v>
      </c>
      <c r="B169" s="3">
        <v>12</v>
      </c>
      <c r="C169" s="3">
        <f>IFERROR(VLOOKUP(C$1&amp;$A169&amp;$B169,배당편집!$D$2:$N$2710,11,FALSE), 0)</f>
        <v>0</v>
      </c>
      <c r="D169" s="3">
        <f>IFERROR(VLOOKUP(D$1&amp;$A169&amp;$B169,배당편집!$D$2:$N$2710,11,FALSE), 0)</f>
        <v>0.26</v>
      </c>
      <c r="E169" s="3">
        <f>IFERROR(VLOOKUP(E$1&amp;$A169&amp;$B169,배당편집!$D$2:$N$2710,11,FALSE), 0)</f>
        <v>7.0000000000000007E-2</v>
      </c>
      <c r="F169" s="3">
        <f>IFERROR(VLOOKUP(F$1&amp;$A169&amp;$B169,배당편집!$D$2:$N$2710,11,FALSE), 0)</f>
        <v>0.33</v>
      </c>
      <c r="G169" s="3">
        <f>IFERROR(VLOOKUP(G$1&amp;$A169&amp;$B169,배당편집!$D$2:$N$2710,11,FALSE), 0)</f>
        <v>0</v>
      </c>
      <c r="H169" s="3">
        <f>IFERROR(VLOOKUP(H$1&amp;$A169&amp;$B169,배당편집!$D$2:$N$2710,11,FALSE), 0)</f>
        <v>0</v>
      </c>
      <c r="I169" s="3">
        <f>IFERROR(VLOOKUP(I$1&amp;$A169&amp;$B169,배당편집!$D$2:$N$2710,11,FALSE), 0)</f>
        <v>0</v>
      </c>
      <c r="J169" s="3">
        <f>IFERROR(VLOOKUP(J$1&amp;$A169&amp;$B169,배당편집!$D$2:$N$2710,11,FALSE), 0)</f>
        <v>0.33500000000000002</v>
      </c>
      <c r="K169" s="3">
        <f>IFERROR(VLOOKUP(K$1&amp;$A169&amp;$B169,배당편집!$D$2:$N$2710,11,FALSE), 0)</f>
        <v>0</v>
      </c>
      <c r="L169" s="3">
        <f>IFERROR(VLOOKUP(L$1&amp;$A169&amp;$B169,배당편집!$D$2:$N$2710,11,FALSE), 0)</f>
        <v>0</v>
      </c>
      <c r="M169" s="3">
        <f>IFERROR(VLOOKUP(M$1&amp;$A169&amp;$B169,배당편집!$D$2:$N$2710,11,FALSE), 0)</f>
        <v>0.31</v>
      </c>
      <c r="N169" s="3">
        <f>IFERROR(VLOOKUP(N$1&amp;$A169&amp;$B169,배당편집!$D$2:$N$2710,11,FALSE), 0)</f>
        <v>0</v>
      </c>
      <c r="O169" s="3">
        <f>IFERROR(VLOOKUP(O$1&amp;$A169&amp;$B169,배당편집!$D$2:$N$2710,11,FALSE), 0)</f>
        <v>0.45</v>
      </c>
      <c r="P169" s="3">
        <f>IFERROR(VLOOKUP(P$1&amp;$A169&amp;$B169,배당편집!$D$2:$N$2710,11,FALSE), 0)</f>
        <v>0</v>
      </c>
      <c r="Q169" s="3">
        <f>IFERROR(VLOOKUP(Q$1&amp;$A169&amp;$B169,배당편집!$D$2:$N$2710,11,FALSE), 0)</f>
        <v>0</v>
      </c>
      <c r="R169" s="3">
        <f>IFERROR(VLOOKUP(R$1&amp;$A169&amp;$B169,배당편집!$D$2:$N$2710,11,FALSE), 0)</f>
        <v>0</v>
      </c>
      <c r="S169" s="3">
        <f>IFERROR(VLOOKUP(S$1&amp;$A169&amp;$B169,배당편집!$D$2:$N$2710,11,FALSE), 0)</f>
        <v>0.4</v>
      </c>
      <c r="T169" s="3">
        <f>IFERROR(VLOOKUP(T$1&amp;$A169&amp;$B169,배당편집!$D$2:$N$2710,11,FALSE), 0)</f>
        <v>0</v>
      </c>
      <c r="U169" s="3">
        <f>IFERROR(VLOOKUP(U$1&amp;$A169&amp;$B169,배당편집!$D$2:$N$2710,11,FALSE), 0)</f>
        <v>0</v>
      </c>
      <c r="V169" s="3">
        <f>IFERROR(VLOOKUP(V$1&amp;$A169&amp;$B169,배당편집!$D$2:$N$2710,11,FALSE), 0)</f>
        <v>0</v>
      </c>
      <c r="W169" s="3">
        <f>IFERROR(VLOOKUP(W$1&amp;$A169&amp;$B169,배당편집!$D$2:$N$2710,11,FALSE), 0)</f>
        <v>0</v>
      </c>
      <c r="X169" s="3">
        <f>IFERROR(VLOOKUP(X$1&amp;$A169&amp;$B169,배당편집!$D$2:$N$2710,11,FALSE), 0)</f>
        <v>0</v>
      </c>
      <c r="Y169" s="3">
        <f>IFERROR(VLOOKUP(Y$1&amp;$A169&amp;$B169,배당편집!$D$2:$N$2710,11,FALSE), 0)</f>
        <v>0</v>
      </c>
      <c r="Z169" s="3">
        <f>IFERROR(VLOOKUP(Z$1&amp;$A169&amp;$B169,배당편집!$D$2:$N$2710,11,FALSE), 0)</f>
        <v>0</v>
      </c>
      <c r="AA169" s="3">
        <f>IFERROR(VLOOKUP(AA$1&amp;$A169&amp;$B169,배당편집!$D$2:$N$2710,11,FALSE), 0)</f>
        <v>0</v>
      </c>
      <c r="AB169" s="3">
        <f>IFERROR(VLOOKUP(AB$1&amp;$A169&amp;$B169,배당편집!$D$2:$N$2710,11,FALSE), 0)</f>
        <v>0</v>
      </c>
      <c r="AC169" s="3">
        <f>IFERROR(VLOOKUP(AC$1&amp;$A169&amp;$B169,배당편집!$D$2:$N$2710,11,FALSE), 0)</f>
        <v>0</v>
      </c>
      <c r="AD169" s="3">
        <f>IFERROR(VLOOKUP(AD$1&amp;$A169&amp;$B169,배당편집!$D$2:$N$2710,11,FALSE), 0)</f>
        <v>0.34</v>
      </c>
      <c r="AE169" s="3">
        <f>IFERROR(VLOOKUP(AE$1&amp;$A169&amp;$B169,배당편집!$D$2:$N$2710,11,FALSE), 0)</f>
        <v>0</v>
      </c>
      <c r="AF169" s="3">
        <f>IFERROR(VLOOKUP(AF$1&amp;$A169&amp;$B169,배당편집!$D$2:$N$2710,11,FALSE), 0)</f>
        <v>0</v>
      </c>
    </row>
    <row r="170" spans="1:32" ht="16.5" customHeight="1">
      <c r="A170" s="3">
        <v>2008</v>
      </c>
      <c r="B170" s="3">
        <v>1</v>
      </c>
      <c r="C170" s="3">
        <f>IFERROR(VLOOKUP(C$1&amp;$A170&amp;$B170,배당편집!$D$2:$N$2710,11,FALSE), 0)</f>
        <v>0</v>
      </c>
      <c r="D170" s="3">
        <f>IFERROR(VLOOKUP(D$1&amp;$A170&amp;$B170,배당편집!$D$2:$N$2710,11,FALSE), 0)</f>
        <v>0</v>
      </c>
      <c r="E170" s="3">
        <f>IFERROR(VLOOKUP(E$1&amp;$A170&amp;$B170,배당편집!$D$2:$N$2710,11,FALSE), 0)</f>
        <v>0</v>
      </c>
      <c r="F170" s="3">
        <f>IFERROR(VLOOKUP(F$1&amp;$A170&amp;$B170,배당편집!$D$2:$N$2710,11,FALSE), 0)</f>
        <v>0</v>
      </c>
      <c r="G170" s="3">
        <f>IFERROR(VLOOKUP(G$1&amp;$A170&amp;$B170,배당편집!$D$2:$N$2710,11,FALSE), 0)</f>
        <v>0</v>
      </c>
      <c r="H170" s="3">
        <f>IFERROR(VLOOKUP(H$1&amp;$A170&amp;$B170,배당편집!$D$2:$N$2710,11,FALSE), 0)</f>
        <v>0</v>
      </c>
      <c r="I170" s="3">
        <f>IFERROR(VLOOKUP(I$1&amp;$A170&amp;$B170,배당편집!$D$2:$N$2710,11,FALSE), 0)</f>
        <v>0</v>
      </c>
      <c r="J170" s="3">
        <f>IFERROR(VLOOKUP(J$1&amp;$A170&amp;$B170,배당편집!$D$2:$N$2710,11,FALSE), 0)</f>
        <v>0</v>
      </c>
      <c r="K170" s="3">
        <f>IFERROR(VLOOKUP(K$1&amp;$A170&amp;$B170,배당편집!$D$2:$N$2710,11,FALSE), 0)</f>
        <v>0.36</v>
      </c>
      <c r="L170" s="3">
        <f>IFERROR(VLOOKUP(L$1&amp;$A170&amp;$B170,배당편집!$D$2:$N$2710,11,FALSE), 0)</f>
        <v>0</v>
      </c>
      <c r="M170" s="3">
        <f>IFERROR(VLOOKUP(M$1&amp;$A170&amp;$B170,배당편집!$D$2:$N$2710,11,FALSE), 0)</f>
        <v>0</v>
      </c>
      <c r="N170" s="3">
        <f>IFERROR(VLOOKUP(N$1&amp;$A170&amp;$B170,배당편집!$D$2:$N$2710,11,FALSE), 0)</f>
        <v>0</v>
      </c>
      <c r="O170" s="3">
        <f>IFERROR(VLOOKUP(O$1&amp;$A170&amp;$B170,배당편집!$D$2:$N$2710,11,FALSE), 0)</f>
        <v>0</v>
      </c>
      <c r="P170" s="3">
        <f>IFERROR(VLOOKUP(P$1&amp;$A170&amp;$B170,배당편집!$D$2:$N$2710,11,FALSE), 0)</f>
        <v>0.35</v>
      </c>
      <c r="Q170" s="3">
        <f>IFERROR(VLOOKUP(Q$1&amp;$A170&amp;$B170,배당편집!$D$2:$N$2710,11,FALSE), 0)</f>
        <v>0</v>
      </c>
      <c r="R170" s="3">
        <f>IFERROR(VLOOKUP(R$1&amp;$A170&amp;$B170,배당편집!$D$2:$N$2710,11,FALSE), 0)</f>
        <v>0</v>
      </c>
      <c r="S170" s="3">
        <f>IFERROR(VLOOKUP(S$1&amp;$A170&amp;$B170,배당편집!$D$2:$N$2710,11,FALSE), 0)</f>
        <v>0</v>
      </c>
      <c r="T170" s="3">
        <f>IFERROR(VLOOKUP(T$1&amp;$A170&amp;$B170,배당편집!$D$2:$N$2710,11,FALSE), 0)</f>
        <v>0.28999999999999998</v>
      </c>
      <c r="U170" s="3">
        <f>IFERROR(VLOOKUP(U$1&amp;$A170&amp;$B170,배당편집!$D$2:$N$2710,11,FALSE), 0)</f>
        <v>0</v>
      </c>
      <c r="V170" s="3">
        <f>IFERROR(VLOOKUP(V$1&amp;$A170&amp;$B170,배당편집!$D$2:$N$2710,11,FALSE), 0)</f>
        <v>4.6249999999999999E-2</v>
      </c>
      <c r="W170" s="3">
        <f>IFERROR(VLOOKUP(W$1&amp;$A170&amp;$B170,배당편집!$D$2:$N$2710,11,FALSE), 0)</f>
        <v>0.08</v>
      </c>
      <c r="X170" s="3">
        <f>IFERROR(VLOOKUP(X$1&amp;$A170&amp;$B170,배당편집!$D$2:$N$2710,11,FALSE), 0)</f>
        <v>0</v>
      </c>
      <c r="Y170" s="3">
        <f>IFERROR(VLOOKUP(Y$1&amp;$A170&amp;$B170,배당편집!$D$2:$N$2710,11,FALSE), 0)</f>
        <v>0</v>
      </c>
      <c r="Z170" s="3">
        <f>IFERROR(VLOOKUP(Z$1&amp;$A170&amp;$B170,배당편집!$D$2:$N$2710,11,FALSE), 0)</f>
        <v>0.125</v>
      </c>
      <c r="AA170" s="3">
        <f>IFERROR(VLOOKUP(AA$1&amp;$A170&amp;$B170,배당편집!$D$2:$N$2710,11,FALSE), 0)</f>
        <v>0</v>
      </c>
      <c r="AB170" s="3">
        <f>IFERROR(VLOOKUP(AB$1&amp;$A170&amp;$B170,배당편집!$D$2:$N$2710,11,FALSE), 0)</f>
        <v>8.1250000000000003E-2</v>
      </c>
      <c r="AC170" s="3">
        <f>IFERROR(VLOOKUP(AC$1&amp;$A170&amp;$B170,배당편집!$D$2:$N$2710,11,FALSE), 0)</f>
        <v>0.14624999999999999</v>
      </c>
      <c r="AD170" s="3">
        <f>IFERROR(VLOOKUP(AD$1&amp;$A170&amp;$B170,배당편집!$D$2:$N$2710,11,FALSE), 0)</f>
        <v>0</v>
      </c>
      <c r="AE170" s="3">
        <f>IFERROR(VLOOKUP(AE$1&amp;$A170&amp;$B170,배당편집!$D$2:$N$2710,11,FALSE), 0)</f>
        <v>0</v>
      </c>
      <c r="AF170" s="3">
        <f>IFERROR(VLOOKUP(AF$1&amp;$A170&amp;$B170,배당편집!$D$2:$N$2710,11,FALSE), 0)</f>
        <v>0</v>
      </c>
    </row>
    <row r="171" spans="1:32" ht="16.5" customHeight="1">
      <c r="A171" s="3">
        <v>2008</v>
      </c>
      <c r="B171" s="3">
        <v>2</v>
      </c>
      <c r="C171" s="3">
        <f>IFERROR(VLOOKUP(C$1&amp;$A171&amp;$B171,배당편집!$D$2:$N$2710,11,FALSE), 0)</f>
        <v>9.5000000000000001E-2</v>
      </c>
      <c r="D171" s="3">
        <f>IFERROR(VLOOKUP(D$1&amp;$A171&amp;$B171,배당편집!$D$2:$N$2710,11,FALSE), 0)</f>
        <v>0</v>
      </c>
      <c r="E171" s="3">
        <f>IFERROR(VLOOKUP(E$1&amp;$A171&amp;$B171,배당편집!$D$2:$N$2710,11,FALSE), 0)</f>
        <v>0</v>
      </c>
      <c r="F171" s="3">
        <f>IFERROR(VLOOKUP(F$1&amp;$A171&amp;$B171,배당편집!$D$2:$N$2710,11,FALSE), 0)</f>
        <v>0</v>
      </c>
      <c r="G171" s="3">
        <f>IFERROR(VLOOKUP(G$1&amp;$A171&amp;$B171,배당편집!$D$2:$N$2710,11,FALSE), 0)</f>
        <v>0.35</v>
      </c>
      <c r="H171" s="3">
        <f>IFERROR(VLOOKUP(H$1&amp;$A171&amp;$B171,배당편집!$D$2:$N$2710,11,FALSE), 0)</f>
        <v>0.57999999999999996</v>
      </c>
      <c r="I171" s="3">
        <f>IFERROR(VLOOKUP(I$1&amp;$A171&amp;$B171,배당편집!$D$2:$N$2710,11,FALSE), 0)</f>
        <v>0.35</v>
      </c>
      <c r="J171" s="3">
        <f>IFERROR(VLOOKUP(J$1&amp;$A171&amp;$B171,배당편집!$D$2:$N$2710,11,FALSE), 0)</f>
        <v>0</v>
      </c>
      <c r="K171" s="3">
        <f>IFERROR(VLOOKUP(K$1&amp;$A171&amp;$B171,배당편집!$D$2:$N$2710,11,FALSE), 0)</f>
        <v>0</v>
      </c>
      <c r="L171" s="3">
        <f>IFERROR(VLOOKUP(L$1&amp;$A171&amp;$B171,배당편집!$D$2:$N$2710,11,FALSE), 0)</f>
        <v>0.14000000000000001</v>
      </c>
      <c r="M171" s="3">
        <f>IFERROR(VLOOKUP(M$1&amp;$A171&amp;$B171,배당편집!$D$2:$N$2710,11,FALSE), 0)</f>
        <v>0</v>
      </c>
      <c r="N171" s="3">
        <f>IFERROR(VLOOKUP(N$1&amp;$A171&amp;$B171,배당편집!$D$2:$N$2710,11,FALSE), 0)</f>
        <v>0.3</v>
      </c>
      <c r="O171" s="3">
        <f>IFERROR(VLOOKUP(O$1&amp;$A171&amp;$B171,배당편집!$D$2:$N$2710,11,FALSE), 0)</f>
        <v>0</v>
      </c>
      <c r="P171" s="3">
        <f>IFERROR(VLOOKUP(P$1&amp;$A171&amp;$B171,배당편집!$D$2:$N$2710,11,FALSE), 0)</f>
        <v>0</v>
      </c>
      <c r="Q171" s="3">
        <f>IFERROR(VLOOKUP(Q$1&amp;$A171&amp;$B171,배당편집!$D$2:$N$2710,11,FALSE), 0)</f>
        <v>0.41499999999999998</v>
      </c>
      <c r="R171" s="3">
        <f>IFERROR(VLOOKUP(R$1&amp;$A171&amp;$B171,배당편집!$D$2:$N$2710,11,FALSE), 0)</f>
        <v>0.32500000000000001</v>
      </c>
      <c r="S171" s="3">
        <f>IFERROR(VLOOKUP(S$1&amp;$A171&amp;$B171,배당편집!$D$2:$N$2710,11,FALSE), 0)</f>
        <v>0</v>
      </c>
      <c r="T171" s="3">
        <f>IFERROR(VLOOKUP(T$1&amp;$A171&amp;$B171,배당편집!$D$2:$N$2710,11,FALSE), 0)</f>
        <v>0</v>
      </c>
      <c r="U171" s="3">
        <f>IFERROR(VLOOKUP(U$1&amp;$A171&amp;$B171,배당편집!$D$2:$N$2710,11,FALSE), 0)</f>
        <v>0</v>
      </c>
      <c r="V171" s="3">
        <f>IFERROR(VLOOKUP(V$1&amp;$A171&amp;$B171,배당편집!$D$2:$N$2710,11,FALSE), 0)</f>
        <v>0</v>
      </c>
      <c r="W171" s="3">
        <f>IFERROR(VLOOKUP(W$1&amp;$A171&amp;$B171,배당편집!$D$2:$N$2710,11,FALSE), 0)</f>
        <v>0</v>
      </c>
      <c r="X171" s="3">
        <f>IFERROR(VLOOKUP(X$1&amp;$A171&amp;$B171,배당편집!$D$2:$N$2710,11,FALSE), 0)</f>
        <v>0.26</v>
      </c>
      <c r="Y171" s="3">
        <f>IFERROR(VLOOKUP(Y$1&amp;$A171&amp;$B171,배당편집!$D$2:$N$2710,11,FALSE), 0)</f>
        <v>0.21</v>
      </c>
      <c r="Z171" s="3">
        <f>IFERROR(VLOOKUP(Z$1&amp;$A171&amp;$B171,배당편집!$D$2:$N$2710,11,FALSE), 0)</f>
        <v>0</v>
      </c>
      <c r="AA171" s="3">
        <f>IFERROR(VLOOKUP(AA$1&amp;$A171&amp;$B171,배당편집!$D$2:$N$2710,11,FALSE), 0)</f>
        <v>0.13</v>
      </c>
      <c r="AB171" s="3">
        <f>IFERROR(VLOOKUP(AB$1&amp;$A171&amp;$B171,배당편집!$D$2:$N$2710,11,FALSE), 0)</f>
        <v>0</v>
      </c>
      <c r="AC171" s="3">
        <f>IFERROR(VLOOKUP(AC$1&amp;$A171&amp;$B171,배당편집!$D$2:$N$2710,11,FALSE), 0)</f>
        <v>0</v>
      </c>
      <c r="AD171" s="3">
        <f>IFERROR(VLOOKUP(AD$1&amp;$A171&amp;$B171,배당편집!$D$2:$N$2710,11,FALSE), 0)</f>
        <v>0</v>
      </c>
      <c r="AE171" s="3">
        <f>IFERROR(VLOOKUP(AE$1&amp;$A171&amp;$B171,배당편집!$D$2:$N$2710,11,FALSE), 0)</f>
        <v>0.13</v>
      </c>
      <c r="AF171" s="3">
        <f>IFERROR(VLOOKUP(AF$1&amp;$A171&amp;$B171,배당편집!$D$2:$N$2710,11,FALSE), 0)</f>
        <v>0.2</v>
      </c>
    </row>
    <row r="172" spans="1:32" ht="16.5" customHeight="1">
      <c r="A172" s="3">
        <v>2008</v>
      </c>
      <c r="B172" s="3">
        <v>3</v>
      </c>
      <c r="C172" s="3">
        <f>IFERROR(VLOOKUP(C$1&amp;$A172&amp;$B172,배당편집!$D$2:$N$2710,11,FALSE), 0)</f>
        <v>0</v>
      </c>
      <c r="D172" s="3">
        <f>IFERROR(VLOOKUP(D$1&amp;$A172&amp;$B172,배당편집!$D$2:$N$2710,11,FALSE), 0)</f>
        <v>0.25</v>
      </c>
      <c r="E172" s="3">
        <f>IFERROR(VLOOKUP(E$1&amp;$A172&amp;$B172,배당편집!$D$2:$N$2710,11,FALSE), 0)</f>
        <v>7.0000000000000007E-2</v>
      </c>
      <c r="F172" s="3">
        <f>IFERROR(VLOOKUP(F$1&amp;$A172&amp;$B172,배당편집!$D$2:$N$2710,11,FALSE), 0)</f>
        <v>0.31</v>
      </c>
      <c r="G172" s="3">
        <f>IFERROR(VLOOKUP(G$1&amp;$A172&amp;$B172,배당편집!$D$2:$N$2710,11,FALSE), 0)</f>
        <v>0</v>
      </c>
      <c r="H172" s="3">
        <f>IFERROR(VLOOKUP(H$1&amp;$A172&amp;$B172,배당편집!$D$2:$N$2710,11,FALSE), 0)</f>
        <v>0</v>
      </c>
      <c r="I172" s="3">
        <f>IFERROR(VLOOKUP(I$1&amp;$A172&amp;$B172,배당편집!$D$2:$N$2710,11,FALSE), 0)</f>
        <v>0</v>
      </c>
      <c r="J172" s="3">
        <f>IFERROR(VLOOKUP(J$1&amp;$A172&amp;$B172,배당편집!$D$2:$N$2710,11,FALSE), 0)</f>
        <v>0.31</v>
      </c>
      <c r="K172" s="3">
        <f>IFERROR(VLOOKUP(K$1&amp;$A172&amp;$B172,배당편집!$D$2:$N$2710,11,FALSE), 0)</f>
        <v>0</v>
      </c>
      <c r="L172" s="3">
        <f>IFERROR(VLOOKUP(L$1&amp;$A172&amp;$B172,배당편집!$D$2:$N$2710,11,FALSE), 0)</f>
        <v>0</v>
      </c>
      <c r="M172" s="3">
        <f>IFERROR(VLOOKUP(M$1&amp;$A172&amp;$B172,배당편집!$D$2:$N$2710,11,FALSE), 0)</f>
        <v>0.28000000000000003</v>
      </c>
      <c r="N172" s="3">
        <f>IFERROR(VLOOKUP(N$1&amp;$A172&amp;$B172,배당편집!$D$2:$N$2710,11,FALSE), 0)</f>
        <v>0</v>
      </c>
      <c r="O172" s="3">
        <f>IFERROR(VLOOKUP(O$1&amp;$A172&amp;$B172,배당편집!$D$2:$N$2710,11,FALSE), 0)</f>
        <v>0.44</v>
      </c>
      <c r="P172" s="3">
        <f>IFERROR(VLOOKUP(P$1&amp;$A172&amp;$B172,배당편집!$D$2:$N$2710,11,FALSE), 0)</f>
        <v>0</v>
      </c>
      <c r="Q172" s="3">
        <f>IFERROR(VLOOKUP(Q$1&amp;$A172&amp;$B172,배당편집!$D$2:$N$2710,11,FALSE), 0)</f>
        <v>0</v>
      </c>
      <c r="R172" s="3">
        <f>IFERROR(VLOOKUP(R$1&amp;$A172&amp;$B172,배당편집!$D$2:$N$2710,11,FALSE), 0)</f>
        <v>0</v>
      </c>
      <c r="S172" s="3">
        <f>IFERROR(VLOOKUP(S$1&amp;$A172&amp;$B172,배당편집!$D$2:$N$2710,11,FALSE), 0)</f>
        <v>0.39</v>
      </c>
      <c r="T172" s="3">
        <f>IFERROR(VLOOKUP(T$1&amp;$A172&amp;$B172,배당편집!$D$2:$N$2710,11,FALSE), 0)</f>
        <v>0</v>
      </c>
      <c r="U172" s="3">
        <f>IFERROR(VLOOKUP(U$1&amp;$A172&amp;$B172,배당편집!$D$2:$N$2710,11,FALSE), 0)</f>
        <v>0</v>
      </c>
      <c r="V172" s="3">
        <f>IFERROR(VLOOKUP(V$1&amp;$A172&amp;$B172,배당편집!$D$2:$N$2710,11,FALSE), 0)</f>
        <v>0</v>
      </c>
      <c r="W172" s="3">
        <f>IFERROR(VLOOKUP(W$1&amp;$A172&amp;$B172,배당편집!$D$2:$N$2710,11,FALSE), 0)</f>
        <v>0</v>
      </c>
      <c r="X172" s="3">
        <f>IFERROR(VLOOKUP(X$1&amp;$A172&amp;$B172,배당편집!$D$2:$N$2710,11,FALSE), 0)</f>
        <v>0</v>
      </c>
      <c r="Y172" s="3">
        <f>IFERROR(VLOOKUP(Y$1&amp;$A172&amp;$B172,배당편집!$D$2:$N$2710,11,FALSE), 0)</f>
        <v>0</v>
      </c>
      <c r="Z172" s="3">
        <f>IFERROR(VLOOKUP(Z$1&amp;$A172&amp;$B172,배당편집!$D$2:$N$2710,11,FALSE), 0)</f>
        <v>0</v>
      </c>
      <c r="AA172" s="3">
        <f>IFERROR(VLOOKUP(AA$1&amp;$A172&amp;$B172,배당편집!$D$2:$N$2710,11,FALSE), 0)</f>
        <v>0</v>
      </c>
      <c r="AB172" s="3">
        <f>IFERROR(VLOOKUP(AB$1&amp;$A172&amp;$B172,배당편집!$D$2:$N$2710,11,FALSE), 0)</f>
        <v>0</v>
      </c>
      <c r="AC172" s="3">
        <f>IFERROR(VLOOKUP(AC$1&amp;$A172&amp;$B172,배당편집!$D$2:$N$2710,11,FALSE), 0)</f>
        <v>0</v>
      </c>
      <c r="AD172" s="3">
        <f>IFERROR(VLOOKUP(AD$1&amp;$A172&amp;$B172,배당편집!$D$2:$N$2710,11,FALSE), 0)</f>
        <v>0.28999999999999998</v>
      </c>
      <c r="AE172" s="3">
        <f>IFERROR(VLOOKUP(AE$1&amp;$A172&amp;$B172,배당편집!$D$2:$N$2710,11,FALSE), 0)</f>
        <v>0</v>
      </c>
      <c r="AF172" s="3">
        <f>IFERROR(VLOOKUP(AF$1&amp;$A172&amp;$B172,배당편집!$D$2:$N$2710,11,FALSE), 0)</f>
        <v>0</v>
      </c>
    </row>
    <row r="173" spans="1:32" ht="16.5" customHeight="1">
      <c r="A173" s="3">
        <v>2008</v>
      </c>
      <c r="B173" s="3">
        <v>4</v>
      </c>
      <c r="C173" s="3">
        <f>IFERROR(VLOOKUP(C$1&amp;$A173&amp;$B173,배당편집!$D$2:$N$2710,11,FALSE), 0)</f>
        <v>0</v>
      </c>
      <c r="D173" s="3">
        <f>IFERROR(VLOOKUP(D$1&amp;$A173&amp;$B173,배당편집!$D$2:$N$2710,11,FALSE), 0)</f>
        <v>0</v>
      </c>
      <c r="E173" s="3">
        <f>IFERROR(VLOOKUP(E$1&amp;$A173&amp;$B173,배당편집!$D$2:$N$2710,11,FALSE), 0)</f>
        <v>0</v>
      </c>
      <c r="F173" s="3">
        <f>IFERROR(VLOOKUP(F$1&amp;$A173&amp;$B173,배당편집!$D$2:$N$2710,11,FALSE), 0)</f>
        <v>0</v>
      </c>
      <c r="G173" s="3">
        <f>IFERROR(VLOOKUP(G$1&amp;$A173&amp;$B173,배당편집!$D$2:$N$2710,11,FALSE), 0)</f>
        <v>0</v>
      </c>
      <c r="H173" s="3">
        <f>IFERROR(VLOOKUP(H$1&amp;$A173&amp;$B173,배당편집!$D$2:$N$2710,11,FALSE), 0)</f>
        <v>0</v>
      </c>
      <c r="I173" s="3">
        <f>IFERROR(VLOOKUP(I$1&amp;$A173&amp;$B173,배당편집!$D$2:$N$2710,11,FALSE), 0)</f>
        <v>0</v>
      </c>
      <c r="J173" s="3">
        <f>IFERROR(VLOOKUP(J$1&amp;$A173&amp;$B173,배당편집!$D$2:$N$2710,11,FALSE), 0)</f>
        <v>0</v>
      </c>
      <c r="K173" s="3">
        <f>IFERROR(VLOOKUP(K$1&amp;$A173&amp;$B173,배당편집!$D$2:$N$2710,11,FALSE), 0)</f>
        <v>0.36</v>
      </c>
      <c r="L173" s="3">
        <f>IFERROR(VLOOKUP(L$1&amp;$A173&amp;$B173,배당편집!$D$2:$N$2710,11,FALSE), 0)</f>
        <v>0</v>
      </c>
      <c r="M173" s="3">
        <f>IFERROR(VLOOKUP(M$1&amp;$A173&amp;$B173,배당편집!$D$2:$N$2710,11,FALSE), 0)</f>
        <v>0</v>
      </c>
      <c r="N173" s="3">
        <f>IFERROR(VLOOKUP(N$1&amp;$A173&amp;$B173,배당편집!$D$2:$N$2710,11,FALSE), 0)</f>
        <v>0</v>
      </c>
      <c r="O173" s="3">
        <f>IFERROR(VLOOKUP(O$1&amp;$A173&amp;$B173,배당편집!$D$2:$N$2710,11,FALSE), 0)</f>
        <v>0</v>
      </c>
      <c r="P173" s="3">
        <f>IFERROR(VLOOKUP(P$1&amp;$A173&amp;$B173,배당편집!$D$2:$N$2710,11,FALSE), 0)</f>
        <v>0.4</v>
      </c>
      <c r="Q173" s="3">
        <f>IFERROR(VLOOKUP(Q$1&amp;$A173&amp;$B173,배당편집!$D$2:$N$2710,11,FALSE), 0)</f>
        <v>0</v>
      </c>
      <c r="R173" s="3">
        <f>IFERROR(VLOOKUP(R$1&amp;$A173&amp;$B173,배당편집!$D$2:$N$2710,11,FALSE), 0)</f>
        <v>0</v>
      </c>
      <c r="S173" s="3">
        <f>IFERROR(VLOOKUP(S$1&amp;$A173&amp;$B173,배당편집!$D$2:$N$2710,11,FALSE), 0)</f>
        <v>0</v>
      </c>
      <c r="T173" s="3">
        <f>IFERROR(VLOOKUP(T$1&amp;$A173&amp;$B173,배당편집!$D$2:$N$2710,11,FALSE), 0)</f>
        <v>0.35</v>
      </c>
      <c r="U173" s="3">
        <f>IFERROR(VLOOKUP(U$1&amp;$A173&amp;$B173,배당편집!$D$2:$N$2710,11,FALSE), 0)</f>
        <v>0</v>
      </c>
      <c r="V173" s="3">
        <f>IFERROR(VLOOKUP(V$1&amp;$A173&amp;$B173,배당편집!$D$2:$N$2710,11,FALSE), 0)</f>
        <v>4.6249999999999999E-2</v>
      </c>
      <c r="W173" s="3">
        <f>IFERROR(VLOOKUP(W$1&amp;$A173&amp;$B173,배당편집!$D$2:$N$2710,11,FALSE), 0)</f>
        <v>0.08</v>
      </c>
      <c r="X173" s="3">
        <f>IFERROR(VLOOKUP(X$1&amp;$A173&amp;$B173,배당편집!$D$2:$N$2710,11,FALSE), 0)</f>
        <v>0</v>
      </c>
      <c r="Y173" s="3">
        <f>IFERROR(VLOOKUP(Y$1&amp;$A173&amp;$B173,배당편집!$D$2:$N$2710,11,FALSE), 0)</f>
        <v>0</v>
      </c>
      <c r="Z173" s="3">
        <f>IFERROR(VLOOKUP(Z$1&amp;$A173&amp;$B173,배당편집!$D$2:$N$2710,11,FALSE), 0)</f>
        <v>0.125</v>
      </c>
      <c r="AA173" s="3">
        <f>IFERROR(VLOOKUP(AA$1&amp;$A173&amp;$B173,배당편집!$D$2:$N$2710,11,FALSE), 0)</f>
        <v>0</v>
      </c>
      <c r="AB173" s="3">
        <f>IFERROR(VLOOKUP(AB$1&amp;$A173&amp;$B173,배당편집!$D$2:$N$2710,11,FALSE), 0)</f>
        <v>0.09</v>
      </c>
      <c r="AC173" s="3">
        <f>IFERROR(VLOOKUP(AC$1&amp;$A173&amp;$B173,배당편집!$D$2:$N$2710,11,FALSE), 0)</f>
        <v>0</v>
      </c>
      <c r="AD173" s="3">
        <f>IFERROR(VLOOKUP(AD$1&amp;$A173&amp;$B173,배당편집!$D$2:$N$2710,11,FALSE), 0)</f>
        <v>0</v>
      </c>
      <c r="AE173" s="3">
        <f>IFERROR(VLOOKUP(AE$1&amp;$A173&amp;$B173,배당편집!$D$2:$N$2710,11,FALSE), 0)</f>
        <v>0</v>
      </c>
      <c r="AF173" s="3">
        <f>IFERROR(VLOOKUP(AF$1&amp;$A173&amp;$B173,배당편집!$D$2:$N$2710,11,FALSE), 0)</f>
        <v>0</v>
      </c>
    </row>
    <row r="174" spans="1:32" ht="16.5" customHeight="1">
      <c r="A174" s="3">
        <v>2008</v>
      </c>
      <c r="B174" s="3">
        <v>5</v>
      </c>
      <c r="C174" s="3">
        <f>IFERROR(VLOOKUP(C$1&amp;$A174&amp;$B174,배당편집!$D$2:$N$2710,11,FALSE), 0)</f>
        <v>9.5000000000000001E-2</v>
      </c>
      <c r="D174" s="3">
        <f>IFERROR(VLOOKUP(D$1&amp;$A174&amp;$B174,배당편집!$D$2:$N$2710,11,FALSE), 0)</f>
        <v>0</v>
      </c>
      <c r="E174" s="3">
        <f>IFERROR(VLOOKUP(E$1&amp;$A174&amp;$B174,배당편집!$D$2:$N$2710,11,FALSE), 0)</f>
        <v>0</v>
      </c>
      <c r="F174" s="3">
        <f>IFERROR(VLOOKUP(F$1&amp;$A174&amp;$B174,배당편집!$D$2:$N$2710,11,FALSE), 0)</f>
        <v>0</v>
      </c>
      <c r="G174" s="3">
        <f>IFERROR(VLOOKUP(G$1&amp;$A174&amp;$B174,배당편집!$D$2:$N$2710,11,FALSE), 0)</f>
        <v>0.4</v>
      </c>
      <c r="H174" s="3">
        <f>IFERROR(VLOOKUP(H$1&amp;$A174&amp;$B174,배당편집!$D$2:$N$2710,11,FALSE), 0)</f>
        <v>0.65</v>
      </c>
      <c r="I174" s="3">
        <f>IFERROR(VLOOKUP(I$1&amp;$A174&amp;$B174,배당편집!$D$2:$N$2710,11,FALSE), 0)</f>
        <v>0.35</v>
      </c>
      <c r="J174" s="3">
        <f>IFERROR(VLOOKUP(J$1&amp;$A174&amp;$B174,배당편집!$D$2:$N$2710,11,FALSE), 0)</f>
        <v>0</v>
      </c>
      <c r="K174" s="3">
        <f>IFERROR(VLOOKUP(K$1&amp;$A174&amp;$B174,배당편집!$D$2:$N$2710,11,FALSE), 0)</f>
        <v>0</v>
      </c>
      <c r="L174" s="3">
        <f>IFERROR(VLOOKUP(L$1&amp;$A174&amp;$B174,배당편집!$D$2:$N$2710,11,FALSE), 0)</f>
        <v>0.14000000000000001</v>
      </c>
      <c r="M174" s="3">
        <f>IFERROR(VLOOKUP(M$1&amp;$A174&amp;$B174,배당편집!$D$2:$N$2710,11,FALSE), 0)</f>
        <v>0</v>
      </c>
      <c r="N174" s="3">
        <f>IFERROR(VLOOKUP(N$1&amp;$A174&amp;$B174,배당편집!$D$2:$N$2710,11,FALSE), 0)</f>
        <v>0.3</v>
      </c>
      <c r="O174" s="3">
        <f>IFERROR(VLOOKUP(O$1&amp;$A174&amp;$B174,배당편집!$D$2:$N$2710,11,FALSE), 0)</f>
        <v>0</v>
      </c>
      <c r="P174" s="3">
        <f>IFERROR(VLOOKUP(P$1&amp;$A174&amp;$B174,배당편집!$D$2:$N$2710,11,FALSE), 0)</f>
        <v>0</v>
      </c>
      <c r="Q174" s="3">
        <f>IFERROR(VLOOKUP(Q$1&amp;$A174&amp;$B174,배당편집!$D$2:$N$2710,11,FALSE), 0)</f>
        <v>0.46</v>
      </c>
      <c r="R174" s="3">
        <f>IFERROR(VLOOKUP(R$1&amp;$A174&amp;$B174,배당편집!$D$2:$N$2710,11,FALSE), 0)</f>
        <v>0.32500000000000001</v>
      </c>
      <c r="S174" s="3">
        <f>IFERROR(VLOOKUP(S$1&amp;$A174&amp;$B174,배당편집!$D$2:$N$2710,11,FALSE), 0)</f>
        <v>0</v>
      </c>
      <c r="T174" s="3">
        <f>IFERROR(VLOOKUP(T$1&amp;$A174&amp;$B174,배당편집!$D$2:$N$2710,11,FALSE), 0)</f>
        <v>0</v>
      </c>
      <c r="U174" s="3">
        <f>IFERROR(VLOOKUP(U$1&amp;$A174&amp;$B174,배당편집!$D$2:$N$2710,11,FALSE), 0)</f>
        <v>0</v>
      </c>
      <c r="V174" s="3">
        <f>IFERROR(VLOOKUP(V$1&amp;$A174&amp;$B174,배당편집!$D$2:$N$2710,11,FALSE), 0)</f>
        <v>0</v>
      </c>
      <c r="W174" s="3">
        <f>IFERROR(VLOOKUP(W$1&amp;$A174&amp;$B174,배당편집!$D$2:$N$2710,11,FALSE), 0)</f>
        <v>0</v>
      </c>
      <c r="X174" s="3">
        <f>IFERROR(VLOOKUP(X$1&amp;$A174&amp;$B174,배당편집!$D$2:$N$2710,11,FALSE), 0)</f>
        <v>0.26</v>
      </c>
      <c r="Y174" s="3">
        <f>IFERROR(VLOOKUP(Y$1&amp;$A174&amp;$B174,배당편집!$D$2:$N$2710,11,FALSE), 0)</f>
        <v>0.21</v>
      </c>
      <c r="Z174" s="3">
        <f>IFERROR(VLOOKUP(Z$1&amp;$A174&amp;$B174,배당편집!$D$2:$N$2710,11,FALSE), 0)</f>
        <v>0</v>
      </c>
      <c r="AA174" s="3">
        <f>IFERROR(VLOOKUP(AA$1&amp;$A174&amp;$B174,배당편집!$D$2:$N$2710,11,FALSE), 0)</f>
        <v>0.13</v>
      </c>
      <c r="AB174" s="3">
        <f>IFERROR(VLOOKUP(AB$1&amp;$A174&amp;$B174,배당편집!$D$2:$N$2710,11,FALSE), 0)</f>
        <v>0</v>
      </c>
      <c r="AC174" s="3">
        <f>IFERROR(VLOOKUP(AC$1&amp;$A174&amp;$B174,배당편집!$D$2:$N$2710,11,FALSE), 0)</f>
        <v>0.14624999999999999</v>
      </c>
      <c r="AD174" s="3">
        <f>IFERROR(VLOOKUP(AD$1&amp;$A174&amp;$B174,배당편집!$D$2:$N$2710,11,FALSE), 0)</f>
        <v>0</v>
      </c>
      <c r="AE174" s="3">
        <f>IFERROR(VLOOKUP(AE$1&amp;$A174&amp;$B174,배당편집!$D$2:$N$2710,11,FALSE), 0)</f>
        <v>0.13</v>
      </c>
      <c r="AF174" s="3">
        <f>IFERROR(VLOOKUP(AF$1&amp;$A174&amp;$B174,배당편집!$D$2:$N$2710,11,FALSE), 0)</f>
        <v>0.2</v>
      </c>
    </row>
    <row r="175" spans="1:32" ht="16.5" customHeight="1">
      <c r="A175" s="3">
        <v>2008</v>
      </c>
      <c r="B175" s="3">
        <v>6</v>
      </c>
      <c r="C175" s="3">
        <f>IFERROR(VLOOKUP(C$1&amp;$A175&amp;$B175,배당편집!$D$2:$N$2710,11,FALSE), 0)</f>
        <v>0</v>
      </c>
      <c r="D175" s="3">
        <f>IFERROR(VLOOKUP(D$1&amp;$A175&amp;$B175,배당편집!$D$2:$N$2710,11,FALSE), 0)</f>
        <v>0.25</v>
      </c>
      <c r="E175" s="3">
        <f>IFERROR(VLOOKUP(E$1&amp;$A175&amp;$B175,배당편집!$D$2:$N$2710,11,FALSE), 0)</f>
        <v>7.0000000000000007E-2</v>
      </c>
      <c r="F175" s="3">
        <f>IFERROR(VLOOKUP(F$1&amp;$A175&amp;$B175,배당편집!$D$2:$N$2710,11,FALSE), 0)</f>
        <v>0.31</v>
      </c>
      <c r="G175" s="3">
        <f>IFERROR(VLOOKUP(G$1&amp;$A175&amp;$B175,배당편집!$D$2:$N$2710,11,FALSE), 0)</f>
        <v>0</v>
      </c>
      <c r="H175" s="3">
        <f>IFERROR(VLOOKUP(H$1&amp;$A175&amp;$B175,배당편집!$D$2:$N$2710,11,FALSE), 0)</f>
        <v>0</v>
      </c>
      <c r="I175" s="3">
        <f>IFERROR(VLOOKUP(I$1&amp;$A175&amp;$B175,배당편집!$D$2:$N$2710,11,FALSE), 0)</f>
        <v>0</v>
      </c>
      <c r="J175" s="3">
        <f>IFERROR(VLOOKUP(J$1&amp;$A175&amp;$B175,배당편집!$D$2:$N$2710,11,FALSE), 0)</f>
        <v>0.32500000000000001</v>
      </c>
      <c r="K175" s="3">
        <f>IFERROR(VLOOKUP(K$1&amp;$A175&amp;$B175,배당편집!$D$2:$N$2710,11,FALSE), 0)</f>
        <v>0</v>
      </c>
      <c r="L175" s="3">
        <f>IFERROR(VLOOKUP(L$1&amp;$A175&amp;$B175,배당편집!$D$2:$N$2710,11,FALSE), 0)</f>
        <v>0</v>
      </c>
      <c r="M175" s="3">
        <f>IFERROR(VLOOKUP(M$1&amp;$A175&amp;$B175,배당편집!$D$2:$N$2710,11,FALSE), 0)</f>
        <v>0.28000000000000003</v>
      </c>
      <c r="N175" s="3">
        <f>IFERROR(VLOOKUP(N$1&amp;$A175&amp;$B175,배당편집!$D$2:$N$2710,11,FALSE), 0)</f>
        <v>0</v>
      </c>
      <c r="O175" s="3">
        <f>IFERROR(VLOOKUP(O$1&amp;$A175&amp;$B175,배당편집!$D$2:$N$2710,11,FALSE), 0)</f>
        <v>0.44</v>
      </c>
      <c r="P175" s="3">
        <f>IFERROR(VLOOKUP(P$1&amp;$A175&amp;$B175,배당편집!$D$2:$N$2710,11,FALSE), 0)</f>
        <v>0</v>
      </c>
      <c r="Q175" s="3">
        <f>IFERROR(VLOOKUP(Q$1&amp;$A175&amp;$B175,배당편집!$D$2:$N$2710,11,FALSE), 0)</f>
        <v>0</v>
      </c>
      <c r="R175" s="3">
        <f>IFERROR(VLOOKUP(R$1&amp;$A175&amp;$B175,배당편집!$D$2:$N$2710,11,FALSE), 0)</f>
        <v>0</v>
      </c>
      <c r="S175" s="3">
        <f>IFERROR(VLOOKUP(S$1&amp;$A175&amp;$B175,배당편집!$D$2:$N$2710,11,FALSE), 0)</f>
        <v>0.39</v>
      </c>
      <c r="T175" s="3">
        <f>IFERROR(VLOOKUP(T$1&amp;$A175&amp;$B175,배당편집!$D$2:$N$2710,11,FALSE), 0)</f>
        <v>0</v>
      </c>
      <c r="U175" s="3">
        <f>IFERROR(VLOOKUP(U$1&amp;$A175&amp;$B175,배당편집!$D$2:$N$2710,11,FALSE), 0)</f>
        <v>0</v>
      </c>
      <c r="V175" s="3">
        <f>IFERROR(VLOOKUP(V$1&amp;$A175&amp;$B175,배당편집!$D$2:$N$2710,11,FALSE), 0)</f>
        <v>0</v>
      </c>
      <c r="W175" s="3">
        <f>IFERROR(VLOOKUP(W$1&amp;$A175&amp;$B175,배당편집!$D$2:$N$2710,11,FALSE), 0)</f>
        <v>0</v>
      </c>
      <c r="X175" s="3">
        <f>IFERROR(VLOOKUP(X$1&amp;$A175&amp;$B175,배당편집!$D$2:$N$2710,11,FALSE), 0)</f>
        <v>0</v>
      </c>
      <c r="Y175" s="3">
        <f>IFERROR(VLOOKUP(Y$1&amp;$A175&amp;$B175,배당편집!$D$2:$N$2710,11,FALSE), 0)</f>
        <v>0</v>
      </c>
      <c r="Z175" s="3">
        <f>IFERROR(VLOOKUP(Z$1&amp;$A175&amp;$B175,배당편집!$D$2:$N$2710,11,FALSE), 0)</f>
        <v>0</v>
      </c>
      <c r="AA175" s="3">
        <f>IFERROR(VLOOKUP(AA$1&amp;$A175&amp;$B175,배당편집!$D$2:$N$2710,11,FALSE), 0)</f>
        <v>0</v>
      </c>
      <c r="AB175" s="3">
        <f>IFERROR(VLOOKUP(AB$1&amp;$A175&amp;$B175,배당편집!$D$2:$N$2710,11,FALSE), 0)</f>
        <v>0</v>
      </c>
      <c r="AC175" s="3">
        <f>IFERROR(VLOOKUP(AC$1&amp;$A175&amp;$B175,배당편집!$D$2:$N$2710,11,FALSE), 0)</f>
        <v>0</v>
      </c>
      <c r="AD175" s="3">
        <f>IFERROR(VLOOKUP(AD$1&amp;$A175&amp;$B175,배당편집!$D$2:$N$2710,11,FALSE), 0)</f>
        <v>0.28999999999999998</v>
      </c>
      <c r="AE175" s="3">
        <f>IFERROR(VLOOKUP(AE$1&amp;$A175&amp;$B175,배당편집!$D$2:$N$2710,11,FALSE), 0)</f>
        <v>0</v>
      </c>
      <c r="AF175" s="3">
        <f>IFERROR(VLOOKUP(AF$1&amp;$A175&amp;$B175,배당편집!$D$2:$N$2710,11,FALSE), 0)</f>
        <v>0</v>
      </c>
    </row>
    <row r="176" spans="1:32" ht="16.5" customHeight="1">
      <c r="A176" s="3">
        <v>2008</v>
      </c>
      <c r="B176" s="3">
        <v>7</v>
      </c>
      <c r="C176" s="3">
        <f>IFERROR(VLOOKUP(C$1&amp;$A176&amp;$B176,배당편집!$D$2:$N$2710,11,FALSE), 0)</f>
        <v>0</v>
      </c>
      <c r="D176" s="3">
        <f>IFERROR(VLOOKUP(D$1&amp;$A176&amp;$B176,배당편집!$D$2:$N$2710,11,FALSE), 0)</f>
        <v>0</v>
      </c>
      <c r="E176" s="3">
        <f>IFERROR(VLOOKUP(E$1&amp;$A176&amp;$B176,배당편집!$D$2:$N$2710,11,FALSE), 0)</f>
        <v>0</v>
      </c>
      <c r="F176" s="3">
        <f>IFERROR(VLOOKUP(F$1&amp;$A176&amp;$B176,배당편집!$D$2:$N$2710,11,FALSE), 0)</f>
        <v>0</v>
      </c>
      <c r="G176" s="3">
        <f>IFERROR(VLOOKUP(G$1&amp;$A176&amp;$B176,배당편집!$D$2:$N$2710,11,FALSE), 0)</f>
        <v>0</v>
      </c>
      <c r="H176" s="3">
        <f>IFERROR(VLOOKUP(H$1&amp;$A176&amp;$B176,배당편집!$D$2:$N$2710,11,FALSE), 0)</f>
        <v>0</v>
      </c>
      <c r="I176" s="3">
        <f>IFERROR(VLOOKUP(I$1&amp;$A176&amp;$B176,배당편집!$D$2:$N$2710,11,FALSE), 0)</f>
        <v>0</v>
      </c>
      <c r="J176" s="3">
        <f>IFERROR(VLOOKUP(J$1&amp;$A176&amp;$B176,배당편집!$D$2:$N$2710,11,FALSE), 0)</f>
        <v>0</v>
      </c>
      <c r="K176" s="3">
        <f>IFERROR(VLOOKUP(K$1&amp;$A176&amp;$B176,배당편집!$D$2:$N$2710,11,FALSE), 0)</f>
        <v>0.42</v>
      </c>
      <c r="L176" s="3">
        <f>IFERROR(VLOOKUP(L$1&amp;$A176&amp;$B176,배당편집!$D$2:$N$2710,11,FALSE), 0)</f>
        <v>0</v>
      </c>
      <c r="M176" s="3">
        <f>IFERROR(VLOOKUP(M$1&amp;$A176&amp;$B176,배당편집!$D$2:$N$2710,11,FALSE), 0)</f>
        <v>0</v>
      </c>
      <c r="N176" s="3">
        <f>IFERROR(VLOOKUP(N$1&amp;$A176&amp;$B176,배당편집!$D$2:$N$2710,11,FALSE), 0)</f>
        <v>0</v>
      </c>
      <c r="O176" s="3">
        <f>IFERROR(VLOOKUP(O$1&amp;$A176&amp;$B176,배당편집!$D$2:$N$2710,11,FALSE), 0)</f>
        <v>0</v>
      </c>
      <c r="P176" s="3">
        <f>IFERROR(VLOOKUP(P$1&amp;$A176&amp;$B176,배당편집!$D$2:$N$2710,11,FALSE), 0)</f>
        <v>0.4</v>
      </c>
      <c r="Q176" s="3">
        <f>IFERROR(VLOOKUP(Q$1&amp;$A176&amp;$B176,배당편집!$D$2:$N$2710,11,FALSE), 0)</f>
        <v>0</v>
      </c>
      <c r="R176" s="3">
        <f>IFERROR(VLOOKUP(R$1&amp;$A176&amp;$B176,배당편집!$D$2:$N$2710,11,FALSE), 0)</f>
        <v>0</v>
      </c>
      <c r="S176" s="3">
        <f>IFERROR(VLOOKUP(S$1&amp;$A176&amp;$B176,배당편집!$D$2:$N$2710,11,FALSE), 0)</f>
        <v>0</v>
      </c>
      <c r="T176" s="3">
        <f>IFERROR(VLOOKUP(T$1&amp;$A176&amp;$B176,배당편집!$D$2:$N$2710,11,FALSE), 0)</f>
        <v>0.35</v>
      </c>
      <c r="U176" s="3">
        <f>IFERROR(VLOOKUP(U$1&amp;$A176&amp;$B176,배당편집!$D$2:$N$2710,11,FALSE), 0)</f>
        <v>0</v>
      </c>
      <c r="V176" s="3">
        <f>IFERROR(VLOOKUP(V$1&amp;$A176&amp;$B176,배당편집!$D$2:$N$2710,11,FALSE), 0)</f>
        <v>4.6249999999999999E-2</v>
      </c>
      <c r="W176" s="3">
        <f>IFERROR(VLOOKUP(W$1&amp;$A176&amp;$B176,배당편집!$D$2:$N$2710,11,FALSE), 0)</f>
        <v>8.5000000000000006E-2</v>
      </c>
      <c r="X176" s="3">
        <f>IFERROR(VLOOKUP(X$1&amp;$A176&amp;$B176,배당편집!$D$2:$N$2710,11,FALSE), 0)</f>
        <v>0</v>
      </c>
      <c r="Y176" s="3">
        <f>IFERROR(VLOOKUP(Y$1&amp;$A176&amp;$B176,배당편집!$D$2:$N$2710,11,FALSE), 0)</f>
        <v>0</v>
      </c>
      <c r="Z176" s="3">
        <f>IFERROR(VLOOKUP(Z$1&amp;$A176&amp;$B176,배당편집!$D$2:$N$2710,11,FALSE), 0)</f>
        <v>0.125</v>
      </c>
      <c r="AA176" s="3">
        <f>IFERROR(VLOOKUP(AA$1&amp;$A176&amp;$B176,배당편집!$D$2:$N$2710,11,FALSE), 0)</f>
        <v>0</v>
      </c>
      <c r="AB176" s="3">
        <f>IFERROR(VLOOKUP(AB$1&amp;$A176&amp;$B176,배당편집!$D$2:$N$2710,11,FALSE), 0)</f>
        <v>0.09</v>
      </c>
      <c r="AC176" s="3">
        <f>IFERROR(VLOOKUP(AC$1&amp;$A176&amp;$B176,배당편집!$D$2:$N$2710,11,FALSE), 0)</f>
        <v>0.14624999999999999</v>
      </c>
      <c r="AD176" s="3">
        <f>IFERROR(VLOOKUP(AD$1&amp;$A176&amp;$B176,배당편집!$D$2:$N$2710,11,FALSE), 0)</f>
        <v>0</v>
      </c>
      <c r="AE176" s="3">
        <f>IFERROR(VLOOKUP(AE$1&amp;$A176&amp;$B176,배당편집!$D$2:$N$2710,11,FALSE), 0)</f>
        <v>0</v>
      </c>
      <c r="AF176" s="3">
        <f>IFERROR(VLOOKUP(AF$1&amp;$A176&amp;$B176,배당편집!$D$2:$N$2710,11,FALSE), 0)</f>
        <v>0</v>
      </c>
    </row>
    <row r="177" spans="1:32" ht="16.5" customHeight="1">
      <c r="A177" s="3">
        <v>2008</v>
      </c>
      <c r="B177" s="3">
        <v>8</v>
      </c>
      <c r="C177" s="3">
        <f>IFERROR(VLOOKUP(C$1&amp;$A177&amp;$B177,배당편집!$D$2:$N$2710,11,FALSE), 0)</f>
        <v>0.1125</v>
      </c>
      <c r="D177" s="3">
        <f>IFERROR(VLOOKUP(D$1&amp;$A177&amp;$B177,배당편집!$D$2:$N$2710,11,FALSE), 0)</f>
        <v>0</v>
      </c>
      <c r="E177" s="3">
        <f>IFERROR(VLOOKUP(E$1&amp;$A177&amp;$B177,배당편집!$D$2:$N$2710,11,FALSE), 0)</f>
        <v>0</v>
      </c>
      <c r="F177" s="3">
        <f>IFERROR(VLOOKUP(F$1&amp;$A177&amp;$B177,배당편집!$D$2:$N$2710,11,FALSE), 0)</f>
        <v>0</v>
      </c>
      <c r="G177" s="3">
        <f>IFERROR(VLOOKUP(G$1&amp;$A177&amp;$B177,배당편집!$D$2:$N$2710,11,FALSE), 0)</f>
        <v>0.4</v>
      </c>
      <c r="H177" s="3">
        <f>IFERROR(VLOOKUP(H$1&amp;$A177&amp;$B177,배당편집!$D$2:$N$2710,11,FALSE), 0)</f>
        <v>0.65</v>
      </c>
      <c r="I177" s="3">
        <f>IFERROR(VLOOKUP(I$1&amp;$A177&amp;$B177,배당편집!$D$2:$N$2710,11,FALSE), 0)</f>
        <v>0.35</v>
      </c>
      <c r="J177" s="3">
        <f>IFERROR(VLOOKUP(J$1&amp;$A177&amp;$B177,배당편집!$D$2:$N$2710,11,FALSE), 0)</f>
        <v>0</v>
      </c>
      <c r="K177" s="3">
        <f>IFERROR(VLOOKUP(K$1&amp;$A177&amp;$B177,배당편집!$D$2:$N$2710,11,FALSE), 0)</f>
        <v>0</v>
      </c>
      <c r="L177" s="3">
        <f>IFERROR(VLOOKUP(L$1&amp;$A177&amp;$B177,배당편집!$D$2:$N$2710,11,FALSE), 0)</f>
        <v>0.16</v>
      </c>
      <c r="M177" s="3">
        <f>IFERROR(VLOOKUP(M$1&amp;$A177&amp;$B177,배당편집!$D$2:$N$2710,11,FALSE), 0)</f>
        <v>0</v>
      </c>
      <c r="N177" s="3">
        <f>IFERROR(VLOOKUP(N$1&amp;$A177&amp;$B177,배당편집!$D$2:$N$2710,11,FALSE), 0)</f>
        <v>0.3</v>
      </c>
      <c r="O177" s="3">
        <f>IFERROR(VLOOKUP(O$1&amp;$A177&amp;$B177,배당편집!$D$2:$N$2710,11,FALSE), 0)</f>
        <v>0</v>
      </c>
      <c r="P177" s="3">
        <f>IFERROR(VLOOKUP(P$1&amp;$A177&amp;$B177,배당편집!$D$2:$N$2710,11,FALSE), 0)</f>
        <v>0</v>
      </c>
      <c r="Q177" s="3">
        <f>IFERROR(VLOOKUP(Q$1&amp;$A177&amp;$B177,배당편집!$D$2:$N$2710,11,FALSE), 0)</f>
        <v>0.46</v>
      </c>
      <c r="R177" s="3">
        <f>IFERROR(VLOOKUP(R$1&amp;$A177&amp;$B177,배당편집!$D$2:$N$2710,11,FALSE), 0)</f>
        <v>0.32500000000000001</v>
      </c>
      <c r="S177" s="3">
        <f>IFERROR(VLOOKUP(S$1&amp;$A177&amp;$B177,배당편집!$D$2:$N$2710,11,FALSE), 0)</f>
        <v>0</v>
      </c>
      <c r="T177" s="3">
        <f>IFERROR(VLOOKUP(T$1&amp;$A177&amp;$B177,배당편집!$D$2:$N$2710,11,FALSE), 0)</f>
        <v>0</v>
      </c>
      <c r="U177" s="3">
        <f>IFERROR(VLOOKUP(U$1&amp;$A177&amp;$B177,배당편집!$D$2:$N$2710,11,FALSE), 0)</f>
        <v>0</v>
      </c>
      <c r="V177" s="3">
        <f>IFERROR(VLOOKUP(V$1&amp;$A177&amp;$B177,배당편집!$D$2:$N$2710,11,FALSE), 0)</f>
        <v>0</v>
      </c>
      <c r="W177" s="3">
        <f>IFERROR(VLOOKUP(W$1&amp;$A177&amp;$B177,배당편집!$D$2:$N$2710,11,FALSE), 0)</f>
        <v>0</v>
      </c>
      <c r="X177" s="3">
        <f>IFERROR(VLOOKUP(X$1&amp;$A177&amp;$B177,배당편집!$D$2:$N$2710,11,FALSE), 0)</f>
        <v>0.26</v>
      </c>
      <c r="Y177" s="3">
        <f>IFERROR(VLOOKUP(Y$1&amp;$A177&amp;$B177,배당편집!$D$2:$N$2710,11,FALSE), 0)</f>
        <v>0.25</v>
      </c>
      <c r="Z177" s="3">
        <f>IFERROR(VLOOKUP(Z$1&amp;$A177&amp;$B177,배당편집!$D$2:$N$2710,11,FALSE), 0)</f>
        <v>0</v>
      </c>
      <c r="AA177" s="3">
        <f>IFERROR(VLOOKUP(AA$1&amp;$A177&amp;$B177,배당편집!$D$2:$N$2710,11,FALSE), 0)</f>
        <v>0.13</v>
      </c>
      <c r="AB177" s="3">
        <f>IFERROR(VLOOKUP(AB$1&amp;$A177&amp;$B177,배당편집!$D$2:$N$2710,11,FALSE), 0)</f>
        <v>0</v>
      </c>
      <c r="AC177" s="3">
        <f>IFERROR(VLOOKUP(AC$1&amp;$A177&amp;$B177,배당편집!$D$2:$N$2710,11,FALSE), 0)</f>
        <v>0</v>
      </c>
      <c r="AD177" s="3">
        <f>IFERROR(VLOOKUP(AD$1&amp;$A177&amp;$B177,배당편집!$D$2:$N$2710,11,FALSE), 0)</f>
        <v>0</v>
      </c>
      <c r="AE177" s="3">
        <f>IFERROR(VLOOKUP(AE$1&amp;$A177&amp;$B177,배당편집!$D$2:$N$2710,11,FALSE), 0)</f>
        <v>0.13</v>
      </c>
      <c r="AF177" s="3">
        <f>IFERROR(VLOOKUP(AF$1&amp;$A177&amp;$B177,배당편집!$D$2:$N$2710,11,FALSE), 0)</f>
        <v>0.25</v>
      </c>
    </row>
    <row r="178" spans="1:32" ht="16.5" customHeight="1">
      <c r="A178" s="3">
        <v>2008</v>
      </c>
      <c r="B178" s="3">
        <v>9</v>
      </c>
      <c r="C178" s="3">
        <f>IFERROR(VLOOKUP(C$1&amp;$A178&amp;$B178,배당편집!$D$2:$N$2710,11,FALSE), 0)</f>
        <v>0</v>
      </c>
      <c r="D178" s="3">
        <f>IFERROR(VLOOKUP(D$1&amp;$A178&amp;$B178,배당편집!$D$2:$N$2710,11,FALSE), 0)</f>
        <v>0.25</v>
      </c>
      <c r="E178" s="3">
        <f>IFERROR(VLOOKUP(E$1&amp;$A178&amp;$B178,배당편집!$D$2:$N$2710,11,FALSE), 0)</f>
        <v>0</v>
      </c>
      <c r="F178" s="3">
        <f>IFERROR(VLOOKUP(F$1&amp;$A178&amp;$B178,배당편집!$D$2:$N$2710,11,FALSE), 0)</f>
        <v>0.32</v>
      </c>
      <c r="G178" s="3">
        <f>IFERROR(VLOOKUP(G$1&amp;$A178&amp;$B178,배당편집!$D$2:$N$2710,11,FALSE), 0)</f>
        <v>0</v>
      </c>
      <c r="H178" s="3">
        <f>IFERROR(VLOOKUP(H$1&amp;$A178&amp;$B178,배당편집!$D$2:$N$2710,11,FALSE), 0)</f>
        <v>0</v>
      </c>
      <c r="I178" s="3">
        <f>IFERROR(VLOOKUP(I$1&amp;$A178&amp;$B178,배당편집!$D$2:$N$2710,11,FALSE), 0)</f>
        <v>0</v>
      </c>
      <c r="J178" s="3">
        <f>IFERROR(VLOOKUP(J$1&amp;$A178&amp;$B178,배당편집!$D$2:$N$2710,11,FALSE), 0)</f>
        <v>0.32500000000000001</v>
      </c>
      <c r="K178" s="3">
        <f>IFERROR(VLOOKUP(K$1&amp;$A178&amp;$B178,배당편집!$D$2:$N$2710,11,FALSE), 0)</f>
        <v>0</v>
      </c>
      <c r="L178" s="3">
        <f>IFERROR(VLOOKUP(L$1&amp;$A178&amp;$B178,배당편집!$D$2:$N$2710,11,FALSE), 0)</f>
        <v>0</v>
      </c>
      <c r="M178" s="3">
        <f>IFERROR(VLOOKUP(M$1&amp;$A178&amp;$B178,배당편집!$D$2:$N$2710,11,FALSE), 0)</f>
        <v>0.31</v>
      </c>
      <c r="N178" s="3">
        <f>IFERROR(VLOOKUP(N$1&amp;$A178&amp;$B178,배당편집!$D$2:$N$2710,11,FALSE), 0)</f>
        <v>0</v>
      </c>
      <c r="O178" s="3">
        <f>IFERROR(VLOOKUP(O$1&amp;$A178&amp;$B178,배당편집!$D$2:$N$2710,11,FALSE), 0)</f>
        <v>0.44</v>
      </c>
      <c r="P178" s="3">
        <f>IFERROR(VLOOKUP(P$1&amp;$A178&amp;$B178,배당편집!$D$2:$N$2710,11,FALSE), 0)</f>
        <v>0</v>
      </c>
      <c r="Q178" s="3">
        <f>IFERROR(VLOOKUP(Q$1&amp;$A178&amp;$B178,배당편집!$D$2:$N$2710,11,FALSE), 0)</f>
        <v>0</v>
      </c>
      <c r="R178" s="3">
        <f>IFERROR(VLOOKUP(R$1&amp;$A178&amp;$B178,배당편집!$D$2:$N$2710,11,FALSE), 0)</f>
        <v>0</v>
      </c>
      <c r="S178" s="3">
        <f>IFERROR(VLOOKUP(S$1&amp;$A178&amp;$B178,배당편집!$D$2:$N$2710,11,FALSE), 0)</f>
        <v>0.39</v>
      </c>
      <c r="T178" s="3">
        <f>IFERROR(VLOOKUP(T$1&amp;$A178&amp;$B178,배당편집!$D$2:$N$2710,11,FALSE), 0)</f>
        <v>0</v>
      </c>
      <c r="U178" s="3">
        <f>IFERROR(VLOOKUP(U$1&amp;$A178&amp;$B178,배당편집!$D$2:$N$2710,11,FALSE), 0)</f>
        <v>0</v>
      </c>
      <c r="V178" s="3">
        <f>IFERROR(VLOOKUP(V$1&amp;$A178&amp;$B178,배당편집!$D$2:$N$2710,11,FALSE), 0)</f>
        <v>0</v>
      </c>
      <c r="W178" s="3">
        <f>IFERROR(VLOOKUP(W$1&amp;$A178&amp;$B178,배당편집!$D$2:$N$2710,11,FALSE), 0)</f>
        <v>0</v>
      </c>
      <c r="X178" s="3">
        <f>IFERROR(VLOOKUP(X$1&amp;$A178&amp;$B178,배당편집!$D$2:$N$2710,11,FALSE), 0)</f>
        <v>0</v>
      </c>
      <c r="Y178" s="3">
        <f>IFERROR(VLOOKUP(Y$1&amp;$A178&amp;$B178,배당편집!$D$2:$N$2710,11,FALSE), 0)</f>
        <v>0</v>
      </c>
      <c r="Z178" s="3">
        <f>IFERROR(VLOOKUP(Z$1&amp;$A178&amp;$B178,배당편집!$D$2:$N$2710,11,FALSE), 0)</f>
        <v>0</v>
      </c>
      <c r="AA178" s="3">
        <f>IFERROR(VLOOKUP(AA$1&amp;$A178&amp;$B178,배당편집!$D$2:$N$2710,11,FALSE), 0)</f>
        <v>0</v>
      </c>
      <c r="AB178" s="3">
        <f>IFERROR(VLOOKUP(AB$1&amp;$A178&amp;$B178,배당편집!$D$2:$N$2710,11,FALSE), 0)</f>
        <v>0</v>
      </c>
      <c r="AC178" s="3">
        <f>IFERROR(VLOOKUP(AC$1&amp;$A178&amp;$B178,배당편집!$D$2:$N$2710,11,FALSE), 0)</f>
        <v>0</v>
      </c>
      <c r="AD178" s="3">
        <f>IFERROR(VLOOKUP(AD$1&amp;$A178&amp;$B178,배당편집!$D$2:$N$2710,11,FALSE), 0)</f>
        <v>0.28999999999999998</v>
      </c>
      <c r="AE178" s="3">
        <f>IFERROR(VLOOKUP(AE$1&amp;$A178&amp;$B178,배당편집!$D$2:$N$2710,11,FALSE), 0)</f>
        <v>0</v>
      </c>
      <c r="AF178" s="3">
        <f>IFERROR(VLOOKUP(AF$1&amp;$A178&amp;$B178,배당편집!$D$2:$N$2710,11,FALSE), 0)</f>
        <v>0</v>
      </c>
    </row>
    <row r="179" spans="1:32" ht="16.5" customHeight="1">
      <c r="A179" s="3">
        <v>2008</v>
      </c>
      <c r="B179" s="3">
        <v>10</v>
      </c>
      <c r="C179" s="3">
        <f>IFERROR(VLOOKUP(C$1&amp;$A179&amp;$B179,배당편집!$D$2:$N$2710,11,FALSE), 0)</f>
        <v>0</v>
      </c>
      <c r="D179" s="3">
        <f>IFERROR(VLOOKUP(D$1&amp;$A179&amp;$B179,배당편집!$D$2:$N$2710,11,FALSE), 0)</f>
        <v>0</v>
      </c>
      <c r="E179" s="3">
        <f>IFERROR(VLOOKUP(E$1&amp;$A179&amp;$B179,배당편집!$D$2:$N$2710,11,FALSE), 0)</f>
        <v>7.0000000000000007E-2</v>
      </c>
      <c r="F179" s="3">
        <f>IFERROR(VLOOKUP(F$1&amp;$A179&amp;$B179,배당편집!$D$2:$N$2710,11,FALSE), 0)</f>
        <v>0</v>
      </c>
      <c r="G179" s="3">
        <f>IFERROR(VLOOKUP(G$1&amp;$A179&amp;$B179,배당편집!$D$2:$N$2710,11,FALSE), 0)</f>
        <v>0</v>
      </c>
      <c r="H179" s="3">
        <f>IFERROR(VLOOKUP(H$1&amp;$A179&amp;$B179,배당편집!$D$2:$N$2710,11,FALSE), 0)</f>
        <v>0</v>
      </c>
      <c r="I179" s="3">
        <f>IFERROR(VLOOKUP(I$1&amp;$A179&amp;$B179,배당편집!$D$2:$N$2710,11,FALSE), 0)</f>
        <v>0</v>
      </c>
      <c r="J179" s="3">
        <f>IFERROR(VLOOKUP(J$1&amp;$A179&amp;$B179,배당편집!$D$2:$N$2710,11,FALSE), 0)</f>
        <v>0</v>
      </c>
      <c r="K179" s="3">
        <f>IFERROR(VLOOKUP(K$1&amp;$A179&amp;$B179,배당편집!$D$2:$N$2710,11,FALSE), 0)</f>
        <v>0.42</v>
      </c>
      <c r="L179" s="3">
        <f>IFERROR(VLOOKUP(L$1&amp;$A179&amp;$B179,배당편집!$D$2:$N$2710,11,FALSE), 0)</f>
        <v>0</v>
      </c>
      <c r="M179" s="3">
        <f>IFERROR(VLOOKUP(M$1&amp;$A179&amp;$B179,배당편집!$D$2:$N$2710,11,FALSE), 0)</f>
        <v>0</v>
      </c>
      <c r="N179" s="3">
        <f>IFERROR(VLOOKUP(N$1&amp;$A179&amp;$B179,배당편집!$D$2:$N$2710,11,FALSE), 0)</f>
        <v>0</v>
      </c>
      <c r="O179" s="3">
        <f>IFERROR(VLOOKUP(O$1&amp;$A179&amp;$B179,배당편집!$D$2:$N$2710,11,FALSE), 0)</f>
        <v>0</v>
      </c>
      <c r="P179" s="3">
        <f>IFERROR(VLOOKUP(P$1&amp;$A179&amp;$B179,배당편집!$D$2:$N$2710,11,FALSE), 0)</f>
        <v>0.4</v>
      </c>
      <c r="Q179" s="3">
        <f>IFERROR(VLOOKUP(Q$1&amp;$A179&amp;$B179,배당편집!$D$2:$N$2710,11,FALSE), 0)</f>
        <v>0</v>
      </c>
      <c r="R179" s="3">
        <f>IFERROR(VLOOKUP(R$1&amp;$A179&amp;$B179,배당편집!$D$2:$N$2710,11,FALSE), 0)</f>
        <v>0</v>
      </c>
      <c r="S179" s="3">
        <f>IFERROR(VLOOKUP(S$1&amp;$A179&amp;$B179,배당편집!$D$2:$N$2710,11,FALSE), 0)</f>
        <v>0</v>
      </c>
      <c r="T179" s="3">
        <f>IFERROR(VLOOKUP(T$1&amp;$A179&amp;$B179,배당편집!$D$2:$N$2710,11,FALSE), 0)</f>
        <v>0.35</v>
      </c>
      <c r="U179" s="3">
        <f>IFERROR(VLOOKUP(U$1&amp;$A179&amp;$B179,배당편집!$D$2:$N$2710,11,FALSE), 0)</f>
        <v>0</v>
      </c>
      <c r="V179" s="3">
        <f>IFERROR(VLOOKUP(V$1&amp;$A179&amp;$B179,배당편집!$D$2:$N$2710,11,FALSE), 0)</f>
        <v>4.6249999999999999E-2</v>
      </c>
      <c r="W179" s="3">
        <f>IFERROR(VLOOKUP(W$1&amp;$A179&amp;$B179,배당편집!$D$2:$N$2710,11,FALSE), 0)</f>
        <v>8.5000000000000006E-2</v>
      </c>
      <c r="X179" s="3">
        <f>IFERROR(VLOOKUP(X$1&amp;$A179&amp;$B179,배당편집!$D$2:$N$2710,11,FALSE), 0)</f>
        <v>0</v>
      </c>
      <c r="Y179" s="3">
        <f>IFERROR(VLOOKUP(Y$1&amp;$A179&amp;$B179,배당편집!$D$2:$N$2710,11,FALSE), 0)</f>
        <v>0</v>
      </c>
      <c r="Z179" s="3">
        <f>IFERROR(VLOOKUP(Z$1&amp;$A179&amp;$B179,배당편집!$D$2:$N$2710,11,FALSE), 0)</f>
        <v>0.125</v>
      </c>
      <c r="AA179" s="3">
        <f>IFERROR(VLOOKUP(AA$1&amp;$A179&amp;$B179,배당편집!$D$2:$N$2710,11,FALSE), 0)</f>
        <v>0</v>
      </c>
      <c r="AB179" s="3">
        <f>IFERROR(VLOOKUP(AB$1&amp;$A179&amp;$B179,배당편집!$D$2:$N$2710,11,FALSE), 0)</f>
        <v>0.09</v>
      </c>
      <c r="AC179" s="3">
        <f>IFERROR(VLOOKUP(AC$1&amp;$A179&amp;$B179,배당편집!$D$2:$N$2710,11,FALSE), 0)</f>
        <v>0.14624999999999999</v>
      </c>
      <c r="AD179" s="3">
        <f>IFERROR(VLOOKUP(AD$1&amp;$A179&amp;$B179,배당편집!$D$2:$N$2710,11,FALSE), 0)</f>
        <v>0</v>
      </c>
      <c r="AE179" s="3">
        <f>IFERROR(VLOOKUP(AE$1&amp;$A179&amp;$B179,배당편집!$D$2:$N$2710,11,FALSE), 0)</f>
        <v>0</v>
      </c>
      <c r="AF179" s="3">
        <f>IFERROR(VLOOKUP(AF$1&amp;$A179&amp;$B179,배당편집!$D$2:$N$2710,11,FALSE), 0)</f>
        <v>0</v>
      </c>
    </row>
    <row r="180" spans="1:32" ht="16.5" customHeight="1">
      <c r="A180" s="3">
        <v>2008</v>
      </c>
      <c r="B180" s="3">
        <v>11</v>
      </c>
      <c r="C180" s="3">
        <f>IFERROR(VLOOKUP(C$1&amp;$A180&amp;$B180,배당편집!$D$2:$N$2710,11,FALSE), 0)</f>
        <v>0.1125</v>
      </c>
      <c r="D180" s="3">
        <f>IFERROR(VLOOKUP(D$1&amp;$A180&amp;$B180,배당편집!$D$2:$N$2710,11,FALSE), 0)</f>
        <v>0</v>
      </c>
      <c r="E180" s="3">
        <f>IFERROR(VLOOKUP(E$1&amp;$A180&amp;$B180,배당편집!$D$2:$N$2710,11,FALSE), 0)</f>
        <v>0</v>
      </c>
      <c r="F180" s="3">
        <f>IFERROR(VLOOKUP(F$1&amp;$A180&amp;$B180,배당편집!$D$2:$N$2710,11,FALSE), 0)</f>
        <v>0</v>
      </c>
      <c r="G180" s="3">
        <f>IFERROR(VLOOKUP(G$1&amp;$A180&amp;$B180,배당편집!$D$2:$N$2710,11,FALSE), 0)</f>
        <v>0.4</v>
      </c>
      <c r="H180" s="3">
        <f>IFERROR(VLOOKUP(H$1&amp;$A180&amp;$B180,배당편집!$D$2:$N$2710,11,FALSE), 0)</f>
        <v>0.65</v>
      </c>
      <c r="I180" s="3">
        <f>IFERROR(VLOOKUP(I$1&amp;$A180&amp;$B180,배당편집!$D$2:$N$2710,11,FALSE), 0)</f>
        <v>0.35</v>
      </c>
      <c r="J180" s="3">
        <f>IFERROR(VLOOKUP(J$1&amp;$A180&amp;$B180,배당편집!$D$2:$N$2710,11,FALSE), 0)</f>
        <v>0</v>
      </c>
      <c r="K180" s="3">
        <f>IFERROR(VLOOKUP(K$1&amp;$A180&amp;$B180,배당편집!$D$2:$N$2710,11,FALSE), 0)</f>
        <v>0</v>
      </c>
      <c r="L180" s="3">
        <f>IFERROR(VLOOKUP(L$1&amp;$A180&amp;$B180,배당편집!$D$2:$N$2710,11,FALSE), 0)</f>
        <v>0.16</v>
      </c>
      <c r="M180" s="3">
        <f>IFERROR(VLOOKUP(M$1&amp;$A180&amp;$B180,배당편집!$D$2:$N$2710,11,FALSE), 0)</f>
        <v>0</v>
      </c>
      <c r="N180" s="3">
        <f>IFERROR(VLOOKUP(N$1&amp;$A180&amp;$B180,배당편집!$D$2:$N$2710,11,FALSE), 0)</f>
        <v>0.33</v>
      </c>
      <c r="O180" s="3">
        <f>IFERROR(VLOOKUP(O$1&amp;$A180&amp;$B180,배당편집!$D$2:$N$2710,11,FALSE), 0)</f>
        <v>0</v>
      </c>
      <c r="P180" s="3">
        <f>IFERROR(VLOOKUP(P$1&amp;$A180&amp;$B180,배당편집!$D$2:$N$2710,11,FALSE), 0)</f>
        <v>0</v>
      </c>
      <c r="Q180" s="3">
        <f>IFERROR(VLOOKUP(Q$1&amp;$A180&amp;$B180,배당편집!$D$2:$N$2710,11,FALSE), 0)</f>
        <v>0.46</v>
      </c>
      <c r="R180" s="3">
        <f>IFERROR(VLOOKUP(R$1&amp;$A180&amp;$B180,배당편집!$D$2:$N$2710,11,FALSE), 0)</f>
        <v>0.33</v>
      </c>
      <c r="S180" s="3">
        <f>IFERROR(VLOOKUP(S$1&amp;$A180&amp;$B180,배당편집!$D$2:$N$2710,11,FALSE), 0)</f>
        <v>0</v>
      </c>
      <c r="T180" s="3">
        <f>IFERROR(VLOOKUP(T$1&amp;$A180&amp;$B180,배당편집!$D$2:$N$2710,11,FALSE), 0)</f>
        <v>0</v>
      </c>
      <c r="U180" s="3">
        <f>IFERROR(VLOOKUP(U$1&amp;$A180&amp;$B180,배당편집!$D$2:$N$2710,11,FALSE), 0)</f>
        <v>0</v>
      </c>
      <c r="V180" s="3">
        <f>IFERROR(VLOOKUP(V$1&amp;$A180&amp;$B180,배당편집!$D$2:$N$2710,11,FALSE), 0)</f>
        <v>0</v>
      </c>
      <c r="W180" s="3">
        <f>IFERROR(VLOOKUP(W$1&amp;$A180&amp;$B180,배당편집!$D$2:$N$2710,11,FALSE), 0)</f>
        <v>0</v>
      </c>
      <c r="X180" s="3">
        <f>IFERROR(VLOOKUP(X$1&amp;$A180&amp;$B180,배당편집!$D$2:$N$2710,11,FALSE), 0)</f>
        <v>0.26500000000000001</v>
      </c>
      <c r="Y180" s="3">
        <f>IFERROR(VLOOKUP(Y$1&amp;$A180&amp;$B180,배당편집!$D$2:$N$2710,11,FALSE), 0)</f>
        <v>0.25</v>
      </c>
      <c r="Z180" s="3">
        <f>IFERROR(VLOOKUP(Z$1&amp;$A180&amp;$B180,배당편집!$D$2:$N$2710,11,FALSE), 0)</f>
        <v>0</v>
      </c>
      <c r="AA180" s="3">
        <f>IFERROR(VLOOKUP(AA$1&amp;$A180&amp;$B180,배당편집!$D$2:$N$2710,11,FALSE), 0)</f>
        <v>0.13</v>
      </c>
      <c r="AB180" s="3">
        <f>IFERROR(VLOOKUP(AB$1&amp;$A180&amp;$B180,배당편집!$D$2:$N$2710,11,FALSE), 0)</f>
        <v>0</v>
      </c>
      <c r="AC180" s="3">
        <f>IFERROR(VLOOKUP(AC$1&amp;$A180&amp;$B180,배당편집!$D$2:$N$2710,11,FALSE), 0)</f>
        <v>0</v>
      </c>
      <c r="AD180" s="3">
        <f>IFERROR(VLOOKUP(AD$1&amp;$A180&amp;$B180,배당편집!$D$2:$N$2710,11,FALSE), 0)</f>
        <v>0</v>
      </c>
      <c r="AE180" s="3">
        <f>IFERROR(VLOOKUP(AE$1&amp;$A180&amp;$B180,배당편집!$D$2:$N$2710,11,FALSE), 0)</f>
        <v>0.13</v>
      </c>
      <c r="AF180" s="3">
        <f>IFERROR(VLOOKUP(AF$1&amp;$A180&amp;$B180,배당편집!$D$2:$N$2710,11,FALSE), 0)</f>
        <v>0.25</v>
      </c>
    </row>
    <row r="181" spans="1:32" ht="16.5" customHeight="1">
      <c r="A181" s="3">
        <v>2008</v>
      </c>
      <c r="B181" s="3">
        <v>12</v>
      </c>
      <c r="C181" s="3">
        <f>IFERROR(VLOOKUP(C$1&amp;$A181&amp;$B181,배당편집!$D$2:$N$2710,11,FALSE), 0)</f>
        <v>0</v>
      </c>
      <c r="D181" s="3">
        <f>IFERROR(VLOOKUP(D$1&amp;$A181&amp;$B181,배당편집!$D$2:$N$2710,11,FALSE), 0)</f>
        <v>0.25</v>
      </c>
      <c r="E181" s="3">
        <f>IFERROR(VLOOKUP(E$1&amp;$A181&amp;$B181,배당편집!$D$2:$N$2710,11,FALSE), 0)</f>
        <v>7.0000000000000007E-2</v>
      </c>
      <c r="F181" s="3">
        <f>IFERROR(VLOOKUP(F$1&amp;$A181&amp;$B181,배당편집!$D$2:$N$2710,11,FALSE), 0)</f>
        <v>0.32</v>
      </c>
      <c r="G181" s="3">
        <f>IFERROR(VLOOKUP(G$1&amp;$A181&amp;$B181,배당편집!$D$2:$N$2710,11,FALSE), 0)</f>
        <v>0</v>
      </c>
      <c r="H181" s="3">
        <f>IFERROR(VLOOKUP(H$1&amp;$A181&amp;$B181,배당편집!$D$2:$N$2710,11,FALSE), 0)</f>
        <v>0</v>
      </c>
      <c r="I181" s="3">
        <f>IFERROR(VLOOKUP(I$1&amp;$A181&amp;$B181,배당편집!$D$2:$N$2710,11,FALSE), 0)</f>
        <v>0</v>
      </c>
      <c r="J181" s="3">
        <f>IFERROR(VLOOKUP(J$1&amp;$A181&amp;$B181,배당편집!$D$2:$N$2710,11,FALSE), 0)</f>
        <v>0.32500000000000001</v>
      </c>
      <c r="K181" s="3">
        <f>IFERROR(VLOOKUP(K$1&amp;$A181&amp;$B181,배당편집!$D$2:$N$2710,11,FALSE), 0)</f>
        <v>0</v>
      </c>
      <c r="L181" s="3">
        <f>IFERROR(VLOOKUP(L$1&amp;$A181&amp;$B181,배당편집!$D$2:$N$2710,11,FALSE), 0)</f>
        <v>0</v>
      </c>
      <c r="M181" s="3">
        <f>IFERROR(VLOOKUP(M$1&amp;$A181&amp;$B181,배당편집!$D$2:$N$2710,11,FALSE), 0)</f>
        <v>0.31</v>
      </c>
      <c r="N181" s="3">
        <f>IFERROR(VLOOKUP(N$1&amp;$A181&amp;$B181,배당편집!$D$2:$N$2710,11,FALSE), 0)</f>
        <v>0</v>
      </c>
      <c r="O181" s="3">
        <f>IFERROR(VLOOKUP(O$1&amp;$A181&amp;$B181,배당편집!$D$2:$N$2710,11,FALSE), 0)</f>
        <v>0.44</v>
      </c>
      <c r="P181" s="3">
        <f>IFERROR(VLOOKUP(P$1&amp;$A181&amp;$B181,배당편집!$D$2:$N$2710,11,FALSE), 0)</f>
        <v>0</v>
      </c>
      <c r="Q181" s="3">
        <f>IFERROR(VLOOKUP(Q$1&amp;$A181&amp;$B181,배당편집!$D$2:$N$2710,11,FALSE), 0)</f>
        <v>0</v>
      </c>
      <c r="R181" s="3">
        <f>IFERROR(VLOOKUP(R$1&amp;$A181&amp;$B181,배당편집!$D$2:$N$2710,11,FALSE), 0)</f>
        <v>0</v>
      </c>
      <c r="S181" s="3">
        <f>IFERROR(VLOOKUP(S$1&amp;$A181&amp;$B181,배당편집!$D$2:$N$2710,11,FALSE), 0)</f>
        <v>0.39</v>
      </c>
      <c r="T181" s="3">
        <f>IFERROR(VLOOKUP(T$1&amp;$A181&amp;$B181,배당편집!$D$2:$N$2710,11,FALSE), 0)</f>
        <v>0</v>
      </c>
      <c r="U181" s="3">
        <f>IFERROR(VLOOKUP(U$1&amp;$A181&amp;$B181,배당편집!$D$2:$N$2710,11,FALSE), 0)</f>
        <v>0</v>
      </c>
      <c r="V181" s="3">
        <f>IFERROR(VLOOKUP(V$1&amp;$A181&amp;$B181,배당편집!$D$2:$N$2710,11,FALSE), 0)</f>
        <v>0</v>
      </c>
      <c r="W181" s="3">
        <f>IFERROR(VLOOKUP(W$1&amp;$A181&amp;$B181,배당편집!$D$2:$N$2710,11,FALSE), 0)</f>
        <v>0</v>
      </c>
      <c r="X181" s="3">
        <f>IFERROR(VLOOKUP(X$1&amp;$A181&amp;$B181,배당편집!$D$2:$N$2710,11,FALSE), 0)</f>
        <v>0</v>
      </c>
      <c r="Y181" s="3">
        <f>IFERROR(VLOOKUP(Y$1&amp;$A181&amp;$B181,배당편집!$D$2:$N$2710,11,FALSE), 0)</f>
        <v>0</v>
      </c>
      <c r="Z181" s="3">
        <f>IFERROR(VLOOKUP(Z$1&amp;$A181&amp;$B181,배당편집!$D$2:$N$2710,11,FALSE), 0)</f>
        <v>0</v>
      </c>
      <c r="AA181" s="3">
        <f>IFERROR(VLOOKUP(AA$1&amp;$A181&amp;$B181,배당편집!$D$2:$N$2710,11,FALSE), 0)</f>
        <v>0</v>
      </c>
      <c r="AB181" s="3">
        <f>IFERROR(VLOOKUP(AB$1&amp;$A181&amp;$B181,배당편집!$D$2:$N$2710,11,FALSE), 0)</f>
        <v>0</v>
      </c>
      <c r="AC181" s="3">
        <f>IFERROR(VLOOKUP(AC$1&amp;$A181&amp;$B181,배당편집!$D$2:$N$2710,11,FALSE), 0)</f>
        <v>0</v>
      </c>
      <c r="AD181" s="3">
        <f>IFERROR(VLOOKUP(AD$1&amp;$A181&amp;$B181,배당편집!$D$2:$N$2710,11,FALSE), 0)</f>
        <v>0.33</v>
      </c>
      <c r="AE181" s="3">
        <f>IFERROR(VLOOKUP(AE$1&amp;$A181&amp;$B181,배당편집!$D$2:$N$2710,11,FALSE), 0)</f>
        <v>0</v>
      </c>
      <c r="AF181" s="3">
        <f>IFERROR(VLOOKUP(AF$1&amp;$A181&amp;$B181,배당편집!$D$2:$N$2710,11,FALSE), 0)</f>
        <v>0</v>
      </c>
    </row>
    <row r="182" spans="1:32" ht="16.5" customHeight="1">
      <c r="A182" s="3">
        <v>2007</v>
      </c>
      <c r="B182" s="3">
        <v>1</v>
      </c>
      <c r="C182" s="3">
        <f>IFERROR(VLOOKUP(C$1&amp;$A182&amp;$B182,배당편집!$D$2:$N$2710,11,FALSE), 0)</f>
        <v>0</v>
      </c>
      <c r="D182" s="3">
        <f>IFERROR(VLOOKUP(D$1&amp;$A182&amp;$B182,배당편집!$D$2:$N$2710,11,FALSE), 0)</f>
        <v>0</v>
      </c>
      <c r="E182" s="3">
        <f>IFERROR(VLOOKUP(E$1&amp;$A182&amp;$B182,배당편집!$D$2:$N$2710,11,FALSE), 0)</f>
        <v>0</v>
      </c>
      <c r="F182" s="3">
        <f>IFERROR(VLOOKUP(F$1&amp;$A182&amp;$B182,배당편집!$D$2:$N$2710,11,FALSE), 0)</f>
        <v>0</v>
      </c>
      <c r="G182" s="3">
        <f>IFERROR(VLOOKUP(G$1&amp;$A182&amp;$B182,배당편집!$D$2:$N$2710,11,FALSE), 0)</f>
        <v>0</v>
      </c>
      <c r="H182" s="3">
        <f>IFERROR(VLOOKUP(H$1&amp;$A182&amp;$B182,배당편집!$D$2:$N$2710,11,FALSE), 0)</f>
        <v>0</v>
      </c>
      <c r="I182" s="3">
        <f>IFERROR(VLOOKUP(I$1&amp;$A182&amp;$B182,배당편집!$D$2:$N$2710,11,FALSE), 0)</f>
        <v>0</v>
      </c>
      <c r="J182" s="3">
        <f>IFERROR(VLOOKUP(J$1&amp;$A182&amp;$B182,배당편집!$D$2:$N$2710,11,FALSE), 0)</f>
        <v>0</v>
      </c>
      <c r="K182" s="3">
        <f>IFERROR(VLOOKUP(K$1&amp;$A182&amp;$B182,배당편집!$D$2:$N$2710,11,FALSE), 0)</f>
        <v>0.3</v>
      </c>
      <c r="L182" s="3">
        <f>IFERROR(VLOOKUP(L$1&amp;$A182&amp;$B182,배당편집!$D$2:$N$2710,11,FALSE), 0)</f>
        <v>0</v>
      </c>
      <c r="M182" s="3">
        <f>IFERROR(VLOOKUP(M$1&amp;$A182&amp;$B182,배당편집!$D$2:$N$2710,11,FALSE), 0)</f>
        <v>0</v>
      </c>
      <c r="N182" s="3">
        <f>IFERROR(VLOOKUP(N$1&amp;$A182&amp;$B182,배당편집!$D$2:$N$2710,11,FALSE), 0)</f>
        <v>0</v>
      </c>
      <c r="O182" s="3">
        <f>IFERROR(VLOOKUP(O$1&amp;$A182&amp;$B182,배당편집!$D$2:$N$2710,11,FALSE), 0)</f>
        <v>0</v>
      </c>
      <c r="P182" s="3">
        <f>IFERROR(VLOOKUP(P$1&amp;$A182&amp;$B182,배당편집!$D$2:$N$2710,11,FALSE), 0)</f>
        <v>0.31</v>
      </c>
      <c r="Q182" s="3">
        <f>IFERROR(VLOOKUP(Q$1&amp;$A182&amp;$B182,배당편집!$D$2:$N$2710,11,FALSE), 0)</f>
        <v>0</v>
      </c>
      <c r="R182" s="3">
        <f>IFERROR(VLOOKUP(R$1&amp;$A182&amp;$B182,배당편집!$D$2:$N$2710,11,FALSE), 0)</f>
        <v>0</v>
      </c>
      <c r="S182" s="3">
        <f>IFERROR(VLOOKUP(S$1&amp;$A182&amp;$B182,배당편집!$D$2:$N$2710,11,FALSE), 0)</f>
        <v>0</v>
      </c>
      <c r="T182" s="3">
        <f>IFERROR(VLOOKUP(T$1&amp;$A182&amp;$B182,배당편집!$D$2:$N$2710,11,FALSE), 0)</f>
        <v>0.23</v>
      </c>
      <c r="U182" s="3">
        <f>IFERROR(VLOOKUP(U$1&amp;$A182&amp;$B182,배당편집!$D$2:$N$2710,11,FALSE), 0)</f>
        <v>0</v>
      </c>
      <c r="V182" s="3">
        <f>IFERROR(VLOOKUP(V$1&amp;$A182&amp;$B182,배당편집!$D$2:$N$2710,11,FALSE), 0)</f>
        <v>3.7499999999999999E-2</v>
      </c>
      <c r="W182" s="3">
        <f>IFERROR(VLOOKUP(W$1&amp;$A182&amp;$B182,배당편집!$D$2:$N$2710,11,FALSE), 0)</f>
        <v>0.05</v>
      </c>
      <c r="X182" s="3">
        <f>IFERROR(VLOOKUP(X$1&amp;$A182&amp;$B182,배당편집!$D$2:$N$2710,11,FALSE), 0)</f>
        <v>0</v>
      </c>
      <c r="Y182" s="3">
        <f>IFERROR(VLOOKUP(Y$1&amp;$A182&amp;$B182,배당편집!$D$2:$N$2710,11,FALSE), 0)</f>
        <v>0</v>
      </c>
      <c r="Z182" s="3">
        <f>IFERROR(VLOOKUP(Z$1&amp;$A182&amp;$B182,배당편집!$D$2:$N$2710,11,FALSE), 0)</f>
        <v>0.12</v>
      </c>
      <c r="AA182" s="3">
        <f>IFERROR(VLOOKUP(AA$1&amp;$A182&amp;$B182,배당편집!$D$2:$N$2710,11,FALSE), 0)</f>
        <v>0</v>
      </c>
      <c r="AB182" s="3">
        <f>IFERROR(VLOOKUP(AB$1&amp;$A182&amp;$B182,배당편집!$D$2:$N$2710,11,FALSE), 0)</f>
        <v>7.3749999999999996E-2</v>
      </c>
      <c r="AC182" s="3">
        <f>IFERROR(VLOOKUP(AC$1&amp;$A182&amp;$B182,배당편집!$D$2:$N$2710,11,FALSE), 0)</f>
        <v>0</v>
      </c>
      <c r="AD182" s="3">
        <f>IFERROR(VLOOKUP(AD$1&amp;$A182&amp;$B182,배당편집!$D$2:$N$2710,11,FALSE), 0)</f>
        <v>0</v>
      </c>
      <c r="AE182" s="3">
        <f>IFERROR(VLOOKUP(AE$1&amp;$A182&amp;$B182,배당편집!$D$2:$N$2710,11,FALSE), 0)</f>
        <v>0</v>
      </c>
      <c r="AF182" s="3">
        <f>IFERROR(VLOOKUP(AF$1&amp;$A182&amp;$B182,배당편집!$D$2:$N$2710,11,FALSE), 0)</f>
        <v>0</v>
      </c>
    </row>
    <row r="183" spans="1:32" ht="16.5" customHeight="1">
      <c r="A183" s="3">
        <v>2007</v>
      </c>
      <c r="B183" s="3">
        <v>2</v>
      </c>
      <c r="C183" s="3">
        <f>IFERROR(VLOOKUP(C$1&amp;$A183&amp;$B183,배당편집!$D$2:$N$2710,11,FALSE), 0)</f>
        <v>7.7499999999999999E-2</v>
      </c>
      <c r="D183" s="3">
        <f>IFERROR(VLOOKUP(D$1&amp;$A183&amp;$B183,배당편집!$D$2:$N$2710,11,FALSE), 0)</f>
        <v>0</v>
      </c>
      <c r="E183" s="3">
        <f>IFERROR(VLOOKUP(E$1&amp;$A183&amp;$B183,배당편집!$D$2:$N$2710,11,FALSE), 0)</f>
        <v>0</v>
      </c>
      <c r="F183" s="3">
        <f>IFERROR(VLOOKUP(F$1&amp;$A183&amp;$B183,배당편집!$D$2:$N$2710,11,FALSE), 0)</f>
        <v>0</v>
      </c>
      <c r="G183" s="3">
        <f>IFERROR(VLOOKUP(G$1&amp;$A183&amp;$B183,배당편집!$D$2:$N$2710,11,FALSE), 0)</f>
        <v>0.32</v>
      </c>
      <c r="H183" s="3">
        <f>IFERROR(VLOOKUP(H$1&amp;$A183&amp;$B183,배당편집!$D$2:$N$2710,11,FALSE), 0)</f>
        <v>0.52</v>
      </c>
      <c r="I183" s="3">
        <f>IFERROR(VLOOKUP(I$1&amp;$A183&amp;$B183,배당편집!$D$2:$N$2710,11,FALSE), 0)</f>
        <v>0.34</v>
      </c>
      <c r="J183" s="3">
        <f>IFERROR(VLOOKUP(J$1&amp;$A183&amp;$B183,배당편집!$D$2:$N$2710,11,FALSE), 0)</f>
        <v>0</v>
      </c>
      <c r="K183" s="3">
        <f>IFERROR(VLOOKUP(K$1&amp;$A183&amp;$B183,배당편집!$D$2:$N$2710,11,FALSE), 0)</f>
        <v>0</v>
      </c>
      <c r="L183" s="3">
        <f>IFERROR(VLOOKUP(L$1&amp;$A183&amp;$B183,배당편집!$D$2:$N$2710,11,FALSE), 0)</f>
        <v>0.12</v>
      </c>
      <c r="M183" s="3">
        <f>IFERROR(VLOOKUP(M$1&amp;$A183&amp;$B183,배당편집!$D$2:$N$2710,11,FALSE), 0)</f>
        <v>0</v>
      </c>
      <c r="N183" s="3">
        <f>IFERROR(VLOOKUP(N$1&amp;$A183&amp;$B183,배당편집!$D$2:$N$2710,11,FALSE), 0)</f>
        <v>0.26250000000000001</v>
      </c>
      <c r="O183" s="3">
        <f>IFERROR(VLOOKUP(O$1&amp;$A183&amp;$B183,배당편집!$D$2:$N$2710,11,FALSE), 0)</f>
        <v>0</v>
      </c>
      <c r="P183" s="3">
        <f>IFERROR(VLOOKUP(P$1&amp;$A183&amp;$B183,배당편집!$D$2:$N$2710,11,FALSE), 0)</f>
        <v>0</v>
      </c>
      <c r="Q183" s="3">
        <f>IFERROR(VLOOKUP(Q$1&amp;$A183&amp;$B183,배당편집!$D$2:$N$2710,11,FALSE), 0)</f>
        <v>0.375</v>
      </c>
      <c r="R183" s="3">
        <f>IFERROR(VLOOKUP(R$1&amp;$A183&amp;$B183,배당편집!$D$2:$N$2710,11,FALSE), 0)</f>
        <v>0.32</v>
      </c>
      <c r="S183" s="3">
        <f>IFERROR(VLOOKUP(S$1&amp;$A183&amp;$B183,배당편집!$D$2:$N$2710,11,FALSE), 0)</f>
        <v>0</v>
      </c>
      <c r="T183" s="3">
        <f>IFERROR(VLOOKUP(T$1&amp;$A183&amp;$B183,배당편집!$D$2:$N$2710,11,FALSE), 0)</f>
        <v>0</v>
      </c>
      <c r="U183" s="3">
        <f>IFERROR(VLOOKUP(U$1&amp;$A183&amp;$B183,배당편집!$D$2:$N$2710,11,FALSE), 0)</f>
        <v>0</v>
      </c>
      <c r="V183" s="3">
        <f>IFERROR(VLOOKUP(V$1&amp;$A183&amp;$B183,배당편집!$D$2:$N$2710,11,FALSE), 0)</f>
        <v>0</v>
      </c>
      <c r="W183" s="3">
        <f>IFERROR(VLOOKUP(W$1&amp;$A183&amp;$B183,배당편집!$D$2:$N$2710,11,FALSE), 0)</f>
        <v>0</v>
      </c>
      <c r="X183" s="3">
        <f>IFERROR(VLOOKUP(X$1&amp;$A183&amp;$B183,배당편집!$D$2:$N$2710,11,FALSE), 0)</f>
        <v>0.25</v>
      </c>
      <c r="Y183" s="3">
        <f>IFERROR(VLOOKUP(Y$1&amp;$A183&amp;$B183,배당편집!$D$2:$N$2710,11,FALSE), 0)</f>
        <v>8.666666666666667E-2</v>
      </c>
      <c r="Z183" s="3">
        <f>IFERROR(VLOOKUP(Z$1&amp;$A183&amp;$B183,배당편집!$D$2:$N$2710,11,FALSE), 0)</f>
        <v>0</v>
      </c>
      <c r="AA183" s="3">
        <f>IFERROR(VLOOKUP(AA$1&amp;$A183&amp;$B183,배당편집!$D$2:$N$2710,11,FALSE), 0)</f>
        <v>0.115</v>
      </c>
      <c r="AB183" s="3">
        <f>IFERROR(VLOOKUP(AB$1&amp;$A183&amp;$B183,배당편집!$D$2:$N$2710,11,FALSE), 0)</f>
        <v>0</v>
      </c>
      <c r="AC183" s="3">
        <f>IFERROR(VLOOKUP(AC$1&amp;$A183&amp;$B183,배당편집!$D$2:$N$2710,11,FALSE), 0)</f>
        <v>0.14499999999999999</v>
      </c>
      <c r="AD183" s="3">
        <f>IFERROR(VLOOKUP(AD$1&amp;$A183&amp;$B183,배당편집!$D$2:$N$2710,11,FALSE), 0)</f>
        <v>0</v>
      </c>
      <c r="AE183" s="3">
        <f>IFERROR(VLOOKUP(AE$1&amp;$A183&amp;$B183,배당편집!$D$2:$N$2710,11,FALSE), 0)</f>
        <v>0.12</v>
      </c>
      <c r="AF183" s="3">
        <f>IFERROR(VLOOKUP(AF$1&amp;$A183&amp;$B183,배당편집!$D$2:$N$2710,11,FALSE), 0)</f>
        <v>0.185</v>
      </c>
    </row>
    <row r="184" spans="1:32" ht="16.5" customHeight="1">
      <c r="A184" s="3">
        <v>2007</v>
      </c>
      <c r="B184" s="3">
        <v>3</v>
      </c>
      <c r="C184" s="3">
        <f>IFERROR(VLOOKUP(C$1&amp;$A184&amp;$B184,배당편집!$D$2:$N$2710,11,FALSE), 0)</f>
        <v>0</v>
      </c>
      <c r="D184" s="3">
        <f>IFERROR(VLOOKUP(D$1&amp;$A184&amp;$B184,배당편집!$D$2:$N$2710,11,FALSE), 0)</f>
        <v>0.17</v>
      </c>
      <c r="E184" s="3">
        <f>IFERROR(VLOOKUP(E$1&amp;$A184&amp;$B184,배당편집!$D$2:$N$2710,11,FALSE), 0)</f>
        <v>0.05</v>
      </c>
      <c r="F184" s="3">
        <f>IFERROR(VLOOKUP(F$1&amp;$A184&amp;$B184,배당편집!$D$2:$N$2710,11,FALSE), 0)</f>
        <v>0.3</v>
      </c>
      <c r="G184" s="3">
        <f>IFERROR(VLOOKUP(G$1&amp;$A184&amp;$B184,배당편집!$D$2:$N$2710,11,FALSE), 0)</f>
        <v>0</v>
      </c>
      <c r="H184" s="3">
        <f>IFERROR(VLOOKUP(H$1&amp;$A184&amp;$B184,배당편집!$D$2:$N$2710,11,FALSE), 0)</f>
        <v>0</v>
      </c>
      <c r="I184" s="3">
        <f>IFERROR(VLOOKUP(I$1&amp;$A184&amp;$B184,배당편집!$D$2:$N$2710,11,FALSE), 0)</f>
        <v>0</v>
      </c>
      <c r="J184" s="3">
        <f>IFERROR(VLOOKUP(J$1&amp;$A184&amp;$B184,배당편집!$D$2:$N$2710,11,FALSE), 0)</f>
        <v>0.3</v>
      </c>
      <c r="K184" s="3">
        <f>IFERROR(VLOOKUP(K$1&amp;$A184&amp;$B184,배당편집!$D$2:$N$2710,11,FALSE), 0)</f>
        <v>0</v>
      </c>
      <c r="L184" s="3">
        <f>IFERROR(VLOOKUP(L$1&amp;$A184&amp;$B184,배당편집!$D$2:$N$2710,11,FALSE), 0)</f>
        <v>0</v>
      </c>
      <c r="M184" s="3">
        <f>IFERROR(VLOOKUP(M$1&amp;$A184&amp;$B184,배당편집!$D$2:$N$2710,11,FALSE), 0)</f>
        <v>0.21</v>
      </c>
      <c r="N184" s="3">
        <f>IFERROR(VLOOKUP(N$1&amp;$A184&amp;$B184,배당편집!$D$2:$N$2710,11,FALSE), 0)</f>
        <v>0</v>
      </c>
      <c r="O184" s="3">
        <f>IFERROR(VLOOKUP(O$1&amp;$A184&amp;$B184,배당편집!$D$2:$N$2710,11,FALSE), 0)</f>
        <v>0.38</v>
      </c>
      <c r="P184" s="3">
        <f>IFERROR(VLOOKUP(P$1&amp;$A184&amp;$B184,배당편집!$D$2:$N$2710,11,FALSE), 0)</f>
        <v>0</v>
      </c>
      <c r="Q184" s="3">
        <f>IFERROR(VLOOKUP(Q$1&amp;$A184&amp;$B184,배당편집!$D$2:$N$2710,11,FALSE), 0)</f>
        <v>0</v>
      </c>
      <c r="R184" s="3">
        <f>IFERROR(VLOOKUP(R$1&amp;$A184&amp;$B184,배당편집!$D$2:$N$2710,11,FALSE), 0)</f>
        <v>0</v>
      </c>
      <c r="S184" s="3">
        <f>IFERROR(VLOOKUP(S$1&amp;$A184&amp;$B184,배당편집!$D$2:$N$2710,11,FALSE), 0)</f>
        <v>0.36499999999999999</v>
      </c>
      <c r="T184" s="3">
        <f>IFERROR(VLOOKUP(T$1&amp;$A184&amp;$B184,배당편집!$D$2:$N$2710,11,FALSE), 0)</f>
        <v>0</v>
      </c>
      <c r="U184" s="3">
        <f>IFERROR(VLOOKUP(U$1&amp;$A184&amp;$B184,배당편집!$D$2:$N$2710,11,FALSE), 0)</f>
        <v>0</v>
      </c>
      <c r="V184" s="3">
        <f>IFERROR(VLOOKUP(V$1&amp;$A184&amp;$B184,배당편집!$D$2:$N$2710,11,FALSE), 0)</f>
        <v>0</v>
      </c>
      <c r="W184" s="3">
        <f>IFERROR(VLOOKUP(W$1&amp;$A184&amp;$B184,배당편집!$D$2:$N$2710,11,FALSE), 0)</f>
        <v>0</v>
      </c>
      <c r="X184" s="3">
        <f>IFERROR(VLOOKUP(X$1&amp;$A184&amp;$B184,배당편집!$D$2:$N$2710,11,FALSE), 0)</f>
        <v>0</v>
      </c>
      <c r="Y184" s="3">
        <f>IFERROR(VLOOKUP(Y$1&amp;$A184&amp;$B184,배당편집!$D$2:$N$2710,11,FALSE), 0)</f>
        <v>0</v>
      </c>
      <c r="Z184" s="3">
        <f>IFERROR(VLOOKUP(Z$1&amp;$A184&amp;$B184,배당편집!$D$2:$N$2710,11,FALSE), 0)</f>
        <v>0</v>
      </c>
      <c r="AA184" s="3">
        <f>IFERROR(VLOOKUP(AA$1&amp;$A184&amp;$B184,배당편집!$D$2:$N$2710,11,FALSE), 0)</f>
        <v>0</v>
      </c>
      <c r="AB184" s="3">
        <f>IFERROR(VLOOKUP(AB$1&amp;$A184&amp;$B184,배당편집!$D$2:$N$2710,11,FALSE), 0)</f>
        <v>0</v>
      </c>
      <c r="AC184" s="3">
        <f>IFERROR(VLOOKUP(AC$1&amp;$A184&amp;$B184,배당편집!$D$2:$N$2710,11,FALSE), 0)</f>
        <v>0</v>
      </c>
      <c r="AD184" s="3">
        <f>IFERROR(VLOOKUP(AD$1&amp;$A184&amp;$B184,배당편집!$D$2:$N$2710,11,FALSE), 0)</f>
        <v>0.23</v>
      </c>
      <c r="AE184" s="3">
        <f>IFERROR(VLOOKUP(AE$1&amp;$A184&amp;$B184,배당편집!$D$2:$N$2710,11,FALSE), 0)</f>
        <v>0</v>
      </c>
      <c r="AF184" s="3">
        <f>IFERROR(VLOOKUP(AF$1&amp;$A184&amp;$B184,배당편집!$D$2:$N$2710,11,FALSE), 0)</f>
        <v>0</v>
      </c>
    </row>
    <row r="185" spans="1:32" ht="16.5" customHeight="1">
      <c r="A185" s="3">
        <v>2007</v>
      </c>
      <c r="B185" s="3">
        <v>4</v>
      </c>
      <c r="C185" s="3">
        <f>IFERROR(VLOOKUP(C$1&amp;$A185&amp;$B185,배당편집!$D$2:$N$2710,11,FALSE), 0)</f>
        <v>0</v>
      </c>
      <c r="D185" s="3">
        <f>IFERROR(VLOOKUP(D$1&amp;$A185&amp;$B185,배당편집!$D$2:$N$2710,11,FALSE), 0)</f>
        <v>0</v>
      </c>
      <c r="E185" s="3">
        <f>IFERROR(VLOOKUP(E$1&amp;$A185&amp;$B185,배당편집!$D$2:$N$2710,11,FALSE), 0)</f>
        <v>0</v>
      </c>
      <c r="F185" s="3">
        <f>IFERROR(VLOOKUP(F$1&amp;$A185&amp;$B185,배당편집!$D$2:$N$2710,11,FALSE), 0)</f>
        <v>0</v>
      </c>
      <c r="G185" s="3">
        <f>IFERROR(VLOOKUP(G$1&amp;$A185&amp;$B185,배당편집!$D$2:$N$2710,11,FALSE), 0)</f>
        <v>0</v>
      </c>
      <c r="H185" s="3">
        <f>IFERROR(VLOOKUP(H$1&amp;$A185&amp;$B185,배당편집!$D$2:$N$2710,11,FALSE), 0)</f>
        <v>0</v>
      </c>
      <c r="I185" s="3">
        <f>IFERROR(VLOOKUP(I$1&amp;$A185&amp;$B185,배당편집!$D$2:$N$2710,11,FALSE), 0)</f>
        <v>0</v>
      </c>
      <c r="J185" s="3">
        <f>IFERROR(VLOOKUP(J$1&amp;$A185&amp;$B185,배당편집!$D$2:$N$2710,11,FALSE), 0)</f>
        <v>0</v>
      </c>
      <c r="K185" s="3">
        <f>IFERROR(VLOOKUP(K$1&amp;$A185&amp;$B185,배당편집!$D$2:$N$2710,11,FALSE), 0)</f>
        <v>0.3</v>
      </c>
      <c r="L185" s="3">
        <f>IFERROR(VLOOKUP(L$1&amp;$A185&amp;$B185,배당편집!$D$2:$N$2710,11,FALSE), 0)</f>
        <v>0</v>
      </c>
      <c r="M185" s="3">
        <f>IFERROR(VLOOKUP(M$1&amp;$A185&amp;$B185,배당편집!$D$2:$N$2710,11,FALSE), 0)</f>
        <v>0</v>
      </c>
      <c r="N185" s="3">
        <f>IFERROR(VLOOKUP(N$1&amp;$A185&amp;$B185,배당편집!$D$2:$N$2710,11,FALSE), 0)</f>
        <v>0</v>
      </c>
      <c r="O185" s="3">
        <f>IFERROR(VLOOKUP(O$1&amp;$A185&amp;$B185,배당편집!$D$2:$N$2710,11,FALSE), 0)</f>
        <v>0</v>
      </c>
      <c r="P185" s="3">
        <f>IFERROR(VLOOKUP(P$1&amp;$A185&amp;$B185,배당편집!$D$2:$N$2710,11,FALSE), 0)</f>
        <v>0.35</v>
      </c>
      <c r="Q185" s="3">
        <f>IFERROR(VLOOKUP(Q$1&amp;$A185&amp;$B185,배당편집!$D$2:$N$2710,11,FALSE), 0)</f>
        <v>0</v>
      </c>
      <c r="R185" s="3">
        <f>IFERROR(VLOOKUP(R$1&amp;$A185&amp;$B185,배당편집!$D$2:$N$2710,11,FALSE), 0)</f>
        <v>0</v>
      </c>
      <c r="S185" s="3">
        <f>IFERROR(VLOOKUP(S$1&amp;$A185&amp;$B185,배당편집!$D$2:$N$2710,11,FALSE), 0)</f>
        <v>0</v>
      </c>
      <c r="T185" s="3">
        <f>IFERROR(VLOOKUP(T$1&amp;$A185&amp;$B185,배당편집!$D$2:$N$2710,11,FALSE), 0)</f>
        <v>0.28999999999999998</v>
      </c>
      <c r="U185" s="3">
        <f>IFERROR(VLOOKUP(U$1&amp;$A185&amp;$B185,배당편집!$D$2:$N$2710,11,FALSE), 0)</f>
        <v>0</v>
      </c>
      <c r="V185" s="3">
        <f>IFERROR(VLOOKUP(V$1&amp;$A185&amp;$B185,배당편집!$D$2:$N$2710,11,FALSE), 0)</f>
        <v>3.7499999999999999E-2</v>
      </c>
      <c r="W185" s="3">
        <f>IFERROR(VLOOKUP(W$1&amp;$A185&amp;$B185,배당편집!$D$2:$N$2710,11,FALSE), 0)</f>
        <v>0.05</v>
      </c>
      <c r="X185" s="3">
        <f>IFERROR(VLOOKUP(X$1&amp;$A185&amp;$B185,배당편집!$D$2:$N$2710,11,FALSE), 0)</f>
        <v>0</v>
      </c>
      <c r="Y185" s="3">
        <f>IFERROR(VLOOKUP(Y$1&amp;$A185&amp;$B185,배당편집!$D$2:$N$2710,11,FALSE), 0)</f>
        <v>0</v>
      </c>
      <c r="Z185" s="3">
        <f>IFERROR(VLOOKUP(Z$1&amp;$A185&amp;$B185,배당편집!$D$2:$N$2710,11,FALSE), 0)</f>
        <v>0.12</v>
      </c>
      <c r="AA185" s="3">
        <f>IFERROR(VLOOKUP(AA$1&amp;$A185&amp;$B185,배당편집!$D$2:$N$2710,11,FALSE), 0)</f>
        <v>0</v>
      </c>
      <c r="AB185" s="3">
        <f>IFERROR(VLOOKUP(AB$1&amp;$A185&amp;$B185,배당편집!$D$2:$N$2710,11,FALSE), 0)</f>
        <v>8.1250000000000003E-2</v>
      </c>
      <c r="AC185" s="3">
        <f>IFERROR(VLOOKUP(AC$1&amp;$A185&amp;$B185,배당편집!$D$2:$N$2710,11,FALSE), 0)</f>
        <v>0</v>
      </c>
      <c r="AD185" s="3">
        <f>IFERROR(VLOOKUP(AD$1&amp;$A185&amp;$B185,배당편집!$D$2:$N$2710,11,FALSE), 0)</f>
        <v>0</v>
      </c>
      <c r="AE185" s="3">
        <f>IFERROR(VLOOKUP(AE$1&amp;$A185&amp;$B185,배당편집!$D$2:$N$2710,11,FALSE), 0)</f>
        <v>0</v>
      </c>
      <c r="AF185" s="3">
        <f>IFERROR(VLOOKUP(AF$1&amp;$A185&amp;$B185,배당편집!$D$2:$N$2710,11,FALSE), 0)</f>
        <v>0</v>
      </c>
    </row>
    <row r="186" spans="1:32" ht="16.5" customHeight="1">
      <c r="A186" s="3">
        <v>2007</v>
      </c>
      <c r="B186" s="3">
        <v>5</v>
      </c>
      <c r="C186" s="3">
        <f>IFERROR(VLOOKUP(C$1&amp;$A186&amp;$B186,배당편집!$D$2:$N$2710,11,FALSE), 0)</f>
        <v>7.7499999999999999E-2</v>
      </c>
      <c r="D186" s="3">
        <f>IFERROR(VLOOKUP(D$1&amp;$A186&amp;$B186,배당편집!$D$2:$N$2710,11,FALSE), 0)</f>
        <v>0</v>
      </c>
      <c r="E186" s="3">
        <f>IFERROR(VLOOKUP(E$1&amp;$A186&amp;$B186,배당편집!$D$2:$N$2710,11,FALSE), 0)</f>
        <v>0</v>
      </c>
      <c r="F186" s="3">
        <f>IFERROR(VLOOKUP(F$1&amp;$A186&amp;$B186,배당편집!$D$2:$N$2710,11,FALSE), 0)</f>
        <v>0</v>
      </c>
      <c r="G186" s="3">
        <f>IFERROR(VLOOKUP(G$1&amp;$A186&amp;$B186,배당편집!$D$2:$N$2710,11,FALSE), 0)</f>
        <v>0.35</v>
      </c>
      <c r="H186" s="3">
        <f>IFERROR(VLOOKUP(H$1&amp;$A186&amp;$B186,배당편집!$D$2:$N$2710,11,FALSE), 0)</f>
        <v>0.57999999999999996</v>
      </c>
      <c r="I186" s="3">
        <f>IFERROR(VLOOKUP(I$1&amp;$A186&amp;$B186,배당편집!$D$2:$N$2710,11,FALSE), 0)</f>
        <v>0.34</v>
      </c>
      <c r="J186" s="3">
        <f>IFERROR(VLOOKUP(J$1&amp;$A186&amp;$B186,배당편집!$D$2:$N$2710,11,FALSE), 0)</f>
        <v>0</v>
      </c>
      <c r="K186" s="3">
        <f>IFERROR(VLOOKUP(K$1&amp;$A186&amp;$B186,배당편집!$D$2:$N$2710,11,FALSE), 0)</f>
        <v>0</v>
      </c>
      <c r="L186" s="3">
        <f>IFERROR(VLOOKUP(L$1&amp;$A186&amp;$B186,배당편집!$D$2:$N$2710,11,FALSE), 0)</f>
        <v>0.12</v>
      </c>
      <c r="M186" s="3">
        <f>IFERROR(VLOOKUP(M$1&amp;$A186&amp;$B186,배당편집!$D$2:$N$2710,11,FALSE), 0)</f>
        <v>0</v>
      </c>
      <c r="N186" s="3">
        <f>IFERROR(VLOOKUP(N$1&amp;$A186&amp;$B186,배당편집!$D$2:$N$2710,11,FALSE), 0)</f>
        <v>0.26250000000000001</v>
      </c>
      <c r="O186" s="3">
        <f>IFERROR(VLOOKUP(O$1&amp;$A186&amp;$B186,배당편집!$D$2:$N$2710,11,FALSE), 0)</f>
        <v>0</v>
      </c>
      <c r="P186" s="3">
        <f>IFERROR(VLOOKUP(P$1&amp;$A186&amp;$B186,배당편집!$D$2:$N$2710,11,FALSE), 0)</f>
        <v>0</v>
      </c>
      <c r="Q186" s="3">
        <f>IFERROR(VLOOKUP(Q$1&amp;$A186&amp;$B186,배당편집!$D$2:$N$2710,11,FALSE), 0)</f>
        <v>0.41499999999999998</v>
      </c>
      <c r="R186" s="3">
        <f>IFERROR(VLOOKUP(R$1&amp;$A186&amp;$B186,배당편집!$D$2:$N$2710,11,FALSE), 0)</f>
        <v>0.32</v>
      </c>
      <c r="S186" s="3">
        <f>IFERROR(VLOOKUP(S$1&amp;$A186&amp;$B186,배당편집!$D$2:$N$2710,11,FALSE), 0)</f>
        <v>0</v>
      </c>
      <c r="T186" s="3">
        <f>IFERROR(VLOOKUP(T$1&amp;$A186&amp;$B186,배당편집!$D$2:$N$2710,11,FALSE), 0)</f>
        <v>0</v>
      </c>
      <c r="U186" s="3">
        <f>IFERROR(VLOOKUP(U$1&amp;$A186&amp;$B186,배당편집!$D$2:$N$2710,11,FALSE), 0)</f>
        <v>0</v>
      </c>
      <c r="V186" s="3">
        <f>IFERROR(VLOOKUP(V$1&amp;$A186&amp;$B186,배당편집!$D$2:$N$2710,11,FALSE), 0)</f>
        <v>0</v>
      </c>
      <c r="W186" s="3">
        <f>IFERROR(VLOOKUP(W$1&amp;$A186&amp;$B186,배당편집!$D$2:$N$2710,11,FALSE), 0)</f>
        <v>0</v>
      </c>
      <c r="X186" s="3">
        <f>IFERROR(VLOOKUP(X$1&amp;$A186&amp;$B186,배당편집!$D$2:$N$2710,11,FALSE), 0)</f>
        <v>0.25</v>
      </c>
      <c r="Y186" s="3">
        <f>IFERROR(VLOOKUP(Y$1&amp;$A186&amp;$B186,배당편집!$D$2:$N$2710,11,FALSE), 0)</f>
        <v>8.666666666666667E-2</v>
      </c>
      <c r="Z186" s="3">
        <f>IFERROR(VLOOKUP(Z$1&amp;$A186&amp;$B186,배당편집!$D$2:$N$2710,11,FALSE), 0)</f>
        <v>0</v>
      </c>
      <c r="AA186" s="3">
        <f>IFERROR(VLOOKUP(AA$1&amp;$A186&amp;$B186,배당편집!$D$2:$N$2710,11,FALSE), 0)</f>
        <v>0.115</v>
      </c>
      <c r="AB186" s="3">
        <f>IFERROR(VLOOKUP(AB$1&amp;$A186&amp;$B186,배당편집!$D$2:$N$2710,11,FALSE), 0)</f>
        <v>0</v>
      </c>
      <c r="AC186" s="3">
        <f>IFERROR(VLOOKUP(AC$1&amp;$A186&amp;$B186,배당편집!$D$2:$N$2710,11,FALSE), 0)</f>
        <v>0.14499999999999999</v>
      </c>
      <c r="AD186" s="3">
        <f>IFERROR(VLOOKUP(AD$1&amp;$A186&amp;$B186,배당편집!$D$2:$N$2710,11,FALSE), 0)</f>
        <v>0</v>
      </c>
      <c r="AE186" s="3">
        <f>IFERROR(VLOOKUP(AE$1&amp;$A186&amp;$B186,배당편집!$D$2:$N$2710,11,FALSE), 0)</f>
        <v>0.12</v>
      </c>
      <c r="AF186" s="3">
        <f>IFERROR(VLOOKUP(AF$1&amp;$A186&amp;$B186,배당편집!$D$2:$N$2710,11,FALSE), 0)</f>
        <v>0.185</v>
      </c>
    </row>
    <row r="187" spans="1:32" ht="16.5" customHeight="1">
      <c r="A187" s="3">
        <v>2007</v>
      </c>
      <c r="B187" s="3">
        <v>6</v>
      </c>
      <c r="C187" s="3">
        <f>IFERROR(VLOOKUP(C$1&amp;$A187&amp;$B187,배당편집!$D$2:$N$2710,11,FALSE), 0)</f>
        <v>0</v>
      </c>
      <c r="D187" s="3">
        <f>IFERROR(VLOOKUP(D$1&amp;$A187&amp;$B187,배당편집!$D$2:$N$2710,11,FALSE), 0)</f>
        <v>0.18</v>
      </c>
      <c r="E187" s="3">
        <f>IFERROR(VLOOKUP(E$1&amp;$A187&amp;$B187,배당편집!$D$2:$N$2710,11,FALSE), 0)</f>
        <v>0.05</v>
      </c>
      <c r="F187" s="3">
        <f>IFERROR(VLOOKUP(F$1&amp;$A187&amp;$B187,배당편집!$D$2:$N$2710,11,FALSE), 0)</f>
        <v>0.3</v>
      </c>
      <c r="G187" s="3">
        <f>IFERROR(VLOOKUP(G$1&amp;$A187&amp;$B187,배당편집!$D$2:$N$2710,11,FALSE), 0)</f>
        <v>0</v>
      </c>
      <c r="H187" s="3">
        <f>IFERROR(VLOOKUP(H$1&amp;$A187&amp;$B187,배당편집!$D$2:$N$2710,11,FALSE), 0)</f>
        <v>0</v>
      </c>
      <c r="I187" s="3">
        <f>IFERROR(VLOOKUP(I$1&amp;$A187&amp;$B187,배당편집!$D$2:$N$2710,11,FALSE), 0)</f>
        <v>0</v>
      </c>
      <c r="J187" s="3">
        <f>IFERROR(VLOOKUP(J$1&amp;$A187&amp;$B187,배당편집!$D$2:$N$2710,11,FALSE), 0)</f>
        <v>0.31</v>
      </c>
      <c r="K187" s="3">
        <f>IFERROR(VLOOKUP(K$1&amp;$A187&amp;$B187,배당편집!$D$2:$N$2710,11,FALSE), 0)</f>
        <v>0</v>
      </c>
      <c r="L187" s="3">
        <f>IFERROR(VLOOKUP(L$1&amp;$A187&amp;$B187,배당편집!$D$2:$N$2710,11,FALSE), 0)</f>
        <v>0</v>
      </c>
      <c r="M187" s="3">
        <f>IFERROR(VLOOKUP(M$1&amp;$A187&amp;$B187,배당편집!$D$2:$N$2710,11,FALSE), 0)</f>
        <v>0.21</v>
      </c>
      <c r="N187" s="3">
        <f>IFERROR(VLOOKUP(N$1&amp;$A187&amp;$B187,배당편집!$D$2:$N$2710,11,FALSE), 0)</f>
        <v>0</v>
      </c>
      <c r="O187" s="3">
        <f>IFERROR(VLOOKUP(O$1&amp;$A187&amp;$B187,배당편집!$D$2:$N$2710,11,FALSE), 0)</f>
        <v>0.38</v>
      </c>
      <c r="P187" s="3">
        <f>IFERROR(VLOOKUP(P$1&amp;$A187&amp;$B187,배당편집!$D$2:$N$2710,11,FALSE), 0)</f>
        <v>0</v>
      </c>
      <c r="Q187" s="3">
        <f>IFERROR(VLOOKUP(Q$1&amp;$A187&amp;$B187,배당편집!$D$2:$N$2710,11,FALSE), 0)</f>
        <v>0</v>
      </c>
      <c r="R187" s="3">
        <f>IFERROR(VLOOKUP(R$1&amp;$A187&amp;$B187,배당편집!$D$2:$N$2710,11,FALSE), 0)</f>
        <v>0</v>
      </c>
      <c r="S187" s="3">
        <f>IFERROR(VLOOKUP(S$1&amp;$A187&amp;$B187,배당편집!$D$2:$N$2710,11,FALSE), 0)</f>
        <v>0.36499999999999999</v>
      </c>
      <c r="T187" s="3">
        <f>IFERROR(VLOOKUP(T$1&amp;$A187&amp;$B187,배당편집!$D$2:$N$2710,11,FALSE), 0)</f>
        <v>0</v>
      </c>
      <c r="U187" s="3">
        <f>IFERROR(VLOOKUP(U$1&amp;$A187&amp;$B187,배당편집!$D$2:$N$2710,11,FALSE), 0)</f>
        <v>0</v>
      </c>
      <c r="V187" s="3">
        <f>IFERROR(VLOOKUP(V$1&amp;$A187&amp;$B187,배당편집!$D$2:$N$2710,11,FALSE), 0)</f>
        <v>0</v>
      </c>
      <c r="W187" s="3">
        <f>IFERROR(VLOOKUP(W$1&amp;$A187&amp;$B187,배당편집!$D$2:$N$2710,11,FALSE), 0)</f>
        <v>0</v>
      </c>
      <c r="X187" s="3">
        <f>IFERROR(VLOOKUP(X$1&amp;$A187&amp;$B187,배당편집!$D$2:$N$2710,11,FALSE), 0)</f>
        <v>0</v>
      </c>
      <c r="Y187" s="3">
        <f>IFERROR(VLOOKUP(Y$1&amp;$A187&amp;$B187,배당편집!$D$2:$N$2710,11,FALSE), 0)</f>
        <v>0</v>
      </c>
      <c r="Z187" s="3">
        <f>IFERROR(VLOOKUP(Z$1&amp;$A187&amp;$B187,배당편집!$D$2:$N$2710,11,FALSE), 0)</f>
        <v>0</v>
      </c>
      <c r="AA187" s="3">
        <f>IFERROR(VLOOKUP(AA$1&amp;$A187&amp;$B187,배당편집!$D$2:$N$2710,11,FALSE), 0)</f>
        <v>0</v>
      </c>
      <c r="AB187" s="3">
        <f>IFERROR(VLOOKUP(AB$1&amp;$A187&amp;$B187,배당편집!$D$2:$N$2710,11,FALSE), 0)</f>
        <v>0</v>
      </c>
      <c r="AC187" s="3">
        <f>IFERROR(VLOOKUP(AC$1&amp;$A187&amp;$B187,배당편집!$D$2:$N$2710,11,FALSE), 0)</f>
        <v>0</v>
      </c>
      <c r="AD187" s="3">
        <f>IFERROR(VLOOKUP(AD$1&amp;$A187&amp;$B187,배당편집!$D$2:$N$2710,11,FALSE), 0)</f>
        <v>0.23</v>
      </c>
      <c r="AE187" s="3">
        <f>IFERROR(VLOOKUP(AE$1&amp;$A187&amp;$B187,배당편집!$D$2:$N$2710,11,FALSE), 0)</f>
        <v>0</v>
      </c>
      <c r="AF187" s="3">
        <f>IFERROR(VLOOKUP(AF$1&amp;$A187&amp;$B187,배당편집!$D$2:$N$2710,11,FALSE), 0)</f>
        <v>0</v>
      </c>
    </row>
    <row r="188" spans="1:32" ht="16.5" customHeight="1">
      <c r="A188" s="3">
        <v>2007</v>
      </c>
      <c r="B188" s="3">
        <v>7</v>
      </c>
      <c r="C188" s="3">
        <f>IFERROR(VLOOKUP(C$1&amp;$A188&amp;$B188,배당편집!$D$2:$N$2710,11,FALSE), 0)</f>
        <v>0</v>
      </c>
      <c r="D188" s="3">
        <f>IFERROR(VLOOKUP(D$1&amp;$A188&amp;$B188,배당편집!$D$2:$N$2710,11,FALSE), 0)</f>
        <v>0</v>
      </c>
      <c r="E188" s="3">
        <f>IFERROR(VLOOKUP(E$1&amp;$A188&amp;$B188,배당편집!$D$2:$N$2710,11,FALSE), 0)</f>
        <v>0</v>
      </c>
      <c r="F188" s="3">
        <f>IFERROR(VLOOKUP(F$1&amp;$A188&amp;$B188,배당편집!$D$2:$N$2710,11,FALSE), 0)</f>
        <v>0</v>
      </c>
      <c r="G188" s="3">
        <f>IFERROR(VLOOKUP(G$1&amp;$A188&amp;$B188,배당편집!$D$2:$N$2710,11,FALSE), 0)</f>
        <v>0</v>
      </c>
      <c r="H188" s="3">
        <f>IFERROR(VLOOKUP(H$1&amp;$A188&amp;$B188,배당편집!$D$2:$N$2710,11,FALSE), 0)</f>
        <v>0</v>
      </c>
      <c r="I188" s="3">
        <f>IFERROR(VLOOKUP(I$1&amp;$A188&amp;$B188,배당편집!$D$2:$N$2710,11,FALSE), 0)</f>
        <v>0</v>
      </c>
      <c r="J188" s="3">
        <f>IFERROR(VLOOKUP(J$1&amp;$A188&amp;$B188,배당편집!$D$2:$N$2710,11,FALSE), 0)</f>
        <v>0</v>
      </c>
      <c r="K188" s="3">
        <f>IFERROR(VLOOKUP(K$1&amp;$A188&amp;$B188,배당편집!$D$2:$N$2710,11,FALSE), 0)</f>
        <v>0.36</v>
      </c>
      <c r="L188" s="3">
        <f>IFERROR(VLOOKUP(L$1&amp;$A188&amp;$B188,배당편집!$D$2:$N$2710,11,FALSE), 0)</f>
        <v>0</v>
      </c>
      <c r="M188" s="3">
        <f>IFERROR(VLOOKUP(M$1&amp;$A188&amp;$B188,배당편집!$D$2:$N$2710,11,FALSE), 0)</f>
        <v>0</v>
      </c>
      <c r="N188" s="3">
        <f>IFERROR(VLOOKUP(N$1&amp;$A188&amp;$B188,배당편집!$D$2:$N$2710,11,FALSE), 0)</f>
        <v>0</v>
      </c>
      <c r="O188" s="3">
        <f>IFERROR(VLOOKUP(O$1&amp;$A188&amp;$B188,배당편집!$D$2:$N$2710,11,FALSE), 0)</f>
        <v>0</v>
      </c>
      <c r="P188" s="3">
        <f>IFERROR(VLOOKUP(P$1&amp;$A188&amp;$B188,배당편집!$D$2:$N$2710,11,FALSE), 0)</f>
        <v>0.35</v>
      </c>
      <c r="Q188" s="3">
        <f>IFERROR(VLOOKUP(Q$1&amp;$A188&amp;$B188,배당편집!$D$2:$N$2710,11,FALSE), 0)</f>
        <v>0</v>
      </c>
      <c r="R188" s="3">
        <f>IFERROR(VLOOKUP(R$1&amp;$A188&amp;$B188,배당편집!$D$2:$N$2710,11,FALSE), 0)</f>
        <v>0</v>
      </c>
      <c r="S188" s="3">
        <f>IFERROR(VLOOKUP(S$1&amp;$A188&amp;$B188,배당편집!$D$2:$N$2710,11,FALSE), 0)</f>
        <v>0</v>
      </c>
      <c r="T188" s="3">
        <f>IFERROR(VLOOKUP(T$1&amp;$A188&amp;$B188,배당편집!$D$2:$N$2710,11,FALSE), 0)</f>
        <v>0.28999999999999998</v>
      </c>
      <c r="U188" s="3">
        <f>IFERROR(VLOOKUP(U$1&amp;$A188&amp;$B188,배당편집!$D$2:$N$2710,11,FALSE), 0)</f>
        <v>0</v>
      </c>
      <c r="V188" s="3">
        <f>IFERROR(VLOOKUP(V$1&amp;$A188&amp;$B188,배당편집!$D$2:$N$2710,11,FALSE), 0)</f>
        <v>3.7499999999999999E-2</v>
      </c>
      <c r="W188" s="3">
        <f>IFERROR(VLOOKUP(W$1&amp;$A188&amp;$B188,배당편집!$D$2:$N$2710,11,FALSE), 0)</f>
        <v>0.08</v>
      </c>
      <c r="X188" s="3">
        <f>IFERROR(VLOOKUP(X$1&amp;$A188&amp;$B188,배당편집!$D$2:$N$2710,11,FALSE), 0)</f>
        <v>0</v>
      </c>
      <c r="Y188" s="3">
        <f>IFERROR(VLOOKUP(Y$1&amp;$A188&amp;$B188,배당편집!$D$2:$N$2710,11,FALSE), 0)</f>
        <v>0</v>
      </c>
      <c r="Z188" s="3">
        <f>IFERROR(VLOOKUP(Z$1&amp;$A188&amp;$B188,배당편집!$D$2:$N$2710,11,FALSE), 0)</f>
        <v>0.12</v>
      </c>
      <c r="AA188" s="3">
        <f>IFERROR(VLOOKUP(AA$1&amp;$A188&amp;$B188,배당편집!$D$2:$N$2710,11,FALSE), 0)</f>
        <v>0</v>
      </c>
      <c r="AB188" s="3">
        <f>IFERROR(VLOOKUP(AB$1&amp;$A188&amp;$B188,배당편집!$D$2:$N$2710,11,FALSE), 0)</f>
        <v>8.1250000000000003E-2</v>
      </c>
      <c r="AC188" s="3">
        <f>IFERROR(VLOOKUP(AC$1&amp;$A188&amp;$B188,배당편집!$D$2:$N$2710,11,FALSE), 0)</f>
        <v>0</v>
      </c>
      <c r="AD188" s="3">
        <f>IFERROR(VLOOKUP(AD$1&amp;$A188&amp;$B188,배당편집!$D$2:$N$2710,11,FALSE), 0)</f>
        <v>0</v>
      </c>
      <c r="AE188" s="3">
        <f>IFERROR(VLOOKUP(AE$1&amp;$A188&amp;$B188,배당편집!$D$2:$N$2710,11,FALSE), 0)</f>
        <v>0</v>
      </c>
      <c r="AF188" s="3">
        <f>IFERROR(VLOOKUP(AF$1&amp;$A188&amp;$B188,배당편집!$D$2:$N$2710,11,FALSE), 0)</f>
        <v>0</v>
      </c>
    </row>
    <row r="189" spans="1:32" ht="16.5" customHeight="1">
      <c r="A189" s="3">
        <v>2007</v>
      </c>
      <c r="B189" s="3">
        <v>8</v>
      </c>
      <c r="C189" s="3">
        <f>IFERROR(VLOOKUP(C$1&amp;$A189&amp;$B189,배당편집!$D$2:$N$2710,11,FALSE), 0)</f>
        <v>9.5000000000000001E-2</v>
      </c>
      <c r="D189" s="3">
        <f>IFERROR(VLOOKUP(D$1&amp;$A189&amp;$B189,배당편집!$D$2:$N$2710,11,FALSE), 0)</f>
        <v>0</v>
      </c>
      <c r="E189" s="3">
        <f>IFERROR(VLOOKUP(E$1&amp;$A189&amp;$B189,배당편집!$D$2:$N$2710,11,FALSE), 0)</f>
        <v>0</v>
      </c>
      <c r="F189" s="3">
        <f>IFERROR(VLOOKUP(F$1&amp;$A189&amp;$B189,배당편집!$D$2:$N$2710,11,FALSE), 0)</f>
        <v>0</v>
      </c>
      <c r="G189" s="3">
        <f>IFERROR(VLOOKUP(G$1&amp;$A189&amp;$B189,배당편집!$D$2:$N$2710,11,FALSE), 0)</f>
        <v>0.35</v>
      </c>
      <c r="H189" s="3">
        <f>IFERROR(VLOOKUP(H$1&amp;$A189&amp;$B189,배당편집!$D$2:$N$2710,11,FALSE), 0)</f>
        <v>0.57999999999999996</v>
      </c>
      <c r="I189" s="3">
        <f>IFERROR(VLOOKUP(I$1&amp;$A189&amp;$B189,배당편집!$D$2:$N$2710,11,FALSE), 0)</f>
        <v>0.34</v>
      </c>
      <c r="J189" s="3">
        <f>IFERROR(VLOOKUP(J$1&amp;$A189&amp;$B189,배당편집!$D$2:$N$2710,11,FALSE), 0)</f>
        <v>0</v>
      </c>
      <c r="K189" s="3">
        <f>IFERROR(VLOOKUP(K$1&amp;$A189&amp;$B189,배당편집!$D$2:$N$2710,11,FALSE), 0)</f>
        <v>0</v>
      </c>
      <c r="L189" s="3">
        <f>IFERROR(VLOOKUP(L$1&amp;$A189&amp;$B189,배당편집!$D$2:$N$2710,11,FALSE), 0)</f>
        <v>0.14000000000000001</v>
      </c>
      <c r="M189" s="3">
        <f>IFERROR(VLOOKUP(M$1&amp;$A189&amp;$B189,배당편집!$D$2:$N$2710,11,FALSE), 0)</f>
        <v>0</v>
      </c>
      <c r="N189" s="3">
        <f>IFERROR(VLOOKUP(N$1&amp;$A189&amp;$B189,배당편집!$D$2:$N$2710,11,FALSE), 0)</f>
        <v>0.26250000000000001</v>
      </c>
      <c r="O189" s="3">
        <f>IFERROR(VLOOKUP(O$1&amp;$A189&amp;$B189,배당편집!$D$2:$N$2710,11,FALSE), 0)</f>
        <v>0</v>
      </c>
      <c r="P189" s="3">
        <f>IFERROR(VLOOKUP(P$1&amp;$A189&amp;$B189,배당편집!$D$2:$N$2710,11,FALSE), 0)</f>
        <v>0</v>
      </c>
      <c r="Q189" s="3">
        <f>IFERROR(VLOOKUP(Q$1&amp;$A189&amp;$B189,배당편집!$D$2:$N$2710,11,FALSE), 0)</f>
        <v>0.41499999999999998</v>
      </c>
      <c r="R189" s="3">
        <f>IFERROR(VLOOKUP(R$1&amp;$A189&amp;$B189,배당편집!$D$2:$N$2710,11,FALSE), 0)</f>
        <v>0.32</v>
      </c>
      <c r="S189" s="3">
        <f>IFERROR(VLOOKUP(S$1&amp;$A189&amp;$B189,배당편집!$D$2:$N$2710,11,FALSE), 0)</f>
        <v>0</v>
      </c>
      <c r="T189" s="3">
        <f>IFERROR(VLOOKUP(T$1&amp;$A189&amp;$B189,배당편집!$D$2:$N$2710,11,FALSE), 0)</f>
        <v>0</v>
      </c>
      <c r="U189" s="3">
        <f>IFERROR(VLOOKUP(U$1&amp;$A189&amp;$B189,배당편집!$D$2:$N$2710,11,FALSE), 0)</f>
        <v>0</v>
      </c>
      <c r="V189" s="3">
        <f>IFERROR(VLOOKUP(V$1&amp;$A189&amp;$B189,배당편집!$D$2:$N$2710,11,FALSE), 0)</f>
        <v>0</v>
      </c>
      <c r="W189" s="3">
        <f>IFERROR(VLOOKUP(W$1&amp;$A189&amp;$B189,배당편집!$D$2:$N$2710,11,FALSE), 0)</f>
        <v>0</v>
      </c>
      <c r="X189" s="3">
        <f>IFERROR(VLOOKUP(X$1&amp;$A189&amp;$B189,배당편집!$D$2:$N$2710,11,FALSE), 0)</f>
        <v>0.26</v>
      </c>
      <c r="Y189" s="3">
        <f>IFERROR(VLOOKUP(Y$1&amp;$A189&amp;$B189,배당편집!$D$2:$N$2710,11,FALSE), 0)</f>
        <v>0.105</v>
      </c>
      <c r="Z189" s="3">
        <f>IFERROR(VLOOKUP(Z$1&amp;$A189&amp;$B189,배당편집!$D$2:$N$2710,11,FALSE), 0)</f>
        <v>0</v>
      </c>
      <c r="AA189" s="3">
        <f>IFERROR(VLOOKUP(AA$1&amp;$A189&amp;$B189,배당편집!$D$2:$N$2710,11,FALSE), 0)</f>
        <v>0.115</v>
      </c>
      <c r="AB189" s="3">
        <f>IFERROR(VLOOKUP(AB$1&amp;$A189&amp;$B189,배당편집!$D$2:$N$2710,11,FALSE), 0)</f>
        <v>0</v>
      </c>
      <c r="AC189" s="3">
        <f>IFERROR(VLOOKUP(AC$1&amp;$A189&amp;$B189,배당편집!$D$2:$N$2710,11,FALSE), 0)</f>
        <v>0.14499999999999999</v>
      </c>
      <c r="AD189" s="3">
        <f>IFERROR(VLOOKUP(AD$1&amp;$A189&amp;$B189,배당편집!$D$2:$N$2710,11,FALSE), 0)</f>
        <v>0</v>
      </c>
      <c r="AE189" s="3">
        <f>IFERROR(VLOOKUP(AE$1&amp;$A189&amp;$B189,배당편집!$D$2:$N$2710,11,FALSE), 0)</f>
        <v>0.12</v>
      </c>
      <c r="AF189" s="3">
        <f>IFERROR(VLOOKUP(AF$1&amp;$A189&amp;$B189,배당편집!$D$2:$N$2710,11,FALSE), 0)</f>
        <v>0.2</v>
      </c>
    </row>
    <row r="190" spans="1:32" ht="16.5" customHeight="1">
      <c r="A190" s="3">
        <v>2007</v>
      </c>
      <c r="B190" s="3">
        <v>9</v>
      </c>
      <c r="C190" s="3">
        <f>IFERROR(VLOOKUP(C$1&amp;$A190&amp;$B190,배당편집!$D$2:$N$2710,11,FALSE), 0)</f>
        <v>0</v>
      </c>
      <c r="D190" s="3">
        <f>IFERROR(VLOOKUP(D$1&amp;$A190&amp;$B190,배당편집!$D$2:$N$2710,11,FALSE), 0)</f>
        <v>0.18</v>
      </c>
      <c r="E190" s="3">
        <f>IFERROR(VLOOKUP(E$1&amp;$A190&amp;$B190,배당편집!$D$2:$N$2710,11,FALSE), 0)</f>
        <v>0</v>
      </c>
      <c r="F190" s="3">
        <f>IFERROR(VLOOKUP(F$1&amp;$A190&amp;$B190,배당편집!$D$2:$N$2710,11,FALSE), 0)</f>
        <v>0.31</v>
      </c>
      <c r="G190" s="3">
        <f>IFERROR(VLOOKUP(G$1&amp;$A190&amp;$B190,배당편집!$D$2:$N$2710,11,FALSE), 0)</f>
        <v>0</v>
      </c>
      <c r="H190" s="3">
        <f>IFERROR(VLOOKUP(H$1&amp;$A190&amp;$B190,배당편집!$D$2:$N$2710,11,FALSE), 0)</f>
        <v>0</v>
      </c>
      <c r="I190" s="3">
        <f>IFERROR(VLOOKUP(I$1&amp;$A190&amp;$B190,배당편집!$D$2:$N$2710,11,FALSE), 0)</f>
        <v>0</v>
      </c>
      <c r="J190" s="3">
        <f>IFERROR(VLOOKUP(J$1&amp;$A190&amp;$B190,배당편집!$D$2:$N$2710,11,FALSE), 0)</f>
        <v>0.31</v>
      </c>
      <c r="K190" s="3">
        <f>IFERROR(VLOOKUP(K$1&amp;$A190&amp;$B190,배당편집!$D$2:$N$2710,11,FALSE), 0)</f>
        <v>0</v>
      </c>
      <c r="L190" s="3">
        <f>IFERROR(VLOOKUP(L$1&amp;$A190&amp;$B190,배당편집!$D$2:$N$2710,11,FALSE), 0)</f>
        <v>0</v>
      </c>
      <c r="M190" s="3">
        <f>IFERROR(VLOOKUP(M$1&amp;$A190&amp;$B190,배당편집!$D$2:$N$2710,11,FALSE), 0)</f>
        <v>0.28000000000000003</v>
      </c>
      <c r="N190" s="3">
        <f>IFERROR(VLOOKUP(N$1&amp;$A190&amp;$B190,배당편집!$D$2:$N$2710,11,FALSE), 0)</f>
        <v>0</v>
      </c>
      <c r="O190" s="3">
        <f>IFERROR(VLOOKUP(O$1&amp;$A190&amp;$B190,배당편집!$D$2:$N$2710,11,FALSE), 0)</f>
        <v>0.38</v>
      </c>
      <c r="P190" s="3">
        <f>IFERROR(VLOOKUP(P$1&amp;$A190&amp;$B190,배당편집!$D$2:$N$2710,11,FALSE), 0)</f>
        <v>0</v>
      </c>
      <c r="Q190" s="3">
        <f>IFERROR(VLOOKUP(Q$1&amp;$A190&amp;$B190,배당편집!$D$2:$N$2710,11,FALSE), 0)</f>
        <v>0</v>
      </c>
      <c r="R190" s="3">
        <f>IFERROR(VLOOKUP(R$1&amp;$A190&amp;$B190,배당편집!$D$2:$N$2710,11,FALSE), 0)</f>
        <v>0</v>
      </c>
      <c r="S190" s="3">
        <f>IFERROR(VLOOKUP(S$1&amp;$A190&amp;$B190,배당편집!$D$2:$N$2710,11,FALSE), 0)</f>
        <v>0.36499999999999999</v>
      </c>
      <c r="T190" s="3">
        <f>IFERROR(VLOOKUP(T$1&amp;$A190&amp;$B190,배당편집!$D$2:$N$2710,11,FALSE), 0)</f>
        <v>0</v>
      </c>
      <c r="U190" s="3">
        <f>IFERROR(VLOOKUP(U$1&amp;$A190&amp;$B190,배당편집!$D$2:$N$2710,11,FALSE), 0)</f>
        <v>0</v>
      </c>
      <c r="V190" s="3">
        <f>IFERROR(VLOOKUP(V$1&amp;$A190&amp;$B190,배당편집!$D$2:$N$2710,11,FALSE), 0)</f>
        <v>0</v>
      </c>
      <c r="W190" s="3">
        <f>IFERROR(VLOOKUP(W$1&amp;$A190&amp;$B190,배당편집!$D$2:$N$2710,11,FALSE), 0)</f>
        <v>0</v>
      </c>
      <c r="X190" s="3">
        <f>IFERROR(VLOOKUP(X$1&amp;$A190&amp;$B190,배당편집!$D$2:$N$2710,11,FALSE), 0)</f>
        <v>0</v>
      </c>
      <c r="Y190" s="3">
        <f>IFERROR(VLOOKUP(Y$1&amp;$A190&amp;$B190,배당편집!$D$2:$N$2710,11,FALSE), 0)</f>
        <v>0</v>
      </c>
      <c r="Z190" s="3">
        <f>IFERROR(VLOOKUP(Z$1&amp;$A190&amp;$B190,배당편집!$D$2:$N$2710,11,FALSE), 0)</f>
        <v>0</v>
      </c>
      <c r="AA190" s="3">
        <f>IFERROR(VLOOKUP(AA$1&amp;$A190&amp;$B190,배당편집!$D$2:$N$2710,11,FALSE), 0)</f>
        <v>0</v>
      </c>
      <c r="AB190" s="3">
        <f>IFERROR(VLOOKUP(AB$1&amp;$A190&amp;$B190,배당편집!$D$2:$N$2710,11,FALSE), 0)</f>
        <v>0</v>
      </c>
      <c r="AC190" s="3">
        <f>IFERROR(VLOOKUP(AC$1&amp;$A190&amp;$B190,배당편집!$D$2:$N$2710,11,FALSE), 0)</f>
        <v>0</v>
      </c>
      <c r="AD190" s="3">
        <f>IFERROR(VLOOKUP(AD$1&amp;$A190&amp;$B190,배당편집!$D$2:$N$2710,11,FALSE), 0)</f>
        <v>0.23</v>
      </c>
      <c r="AE190" s="3">
        <f>IFERROR(VLOOKUP(AE$1&amp;$A190&amp;$B190,배당편집!$D$2:$N$2710,11,FALSE), 0)</f>
        <v>0</v>
      </c>
      <c r="AF190" s="3">
        <f>IFERROR(VLOOKUP(AF$1&amp;$A190&amp;$B190,배당편집!$D$2:$N$2710,11,FALSE), 0)</f>
        <v>0</v>
      </c>
    </row>
    <row r="191" spans="1:32" ht="16.5" customHeight="1">
      <c r="A191" s="3">
        <v>2007</v>
      </c>
      <c r="B191" s="3">
        <v>10</v>
      </c>
      <c r="C191" s="3">
        <f>IFERROR(VLOOKUP(C$1&amp;$A191&amp;$B191,배당편집!$D$2:$N$2710,11,FALSE), 0)</f>
        <v>0</v>
      </c>
      <c r="D191" s="3">
        <f>IFERROR(VLOOKUP(D$1&amp;$A191&amp;$B191,배당편집!$D$2:$N$2710,11,FALSE), 0)</f>
        <v>0</v>
      </c>
      <c r="E191" s="3">
        <f>IFERROR(VLOOKUP(E$1&amp;$A191&amp;$B191,배당편집!$D$2:$N$2710,11,FALSE), 0)</f>
        <v>0.05</v>
      </c>
      <c r="F191" s="3">
        <f>IFERROR(VLOOKUP(F$1&amp;$A191&amp;$B191,배당편집!$D$2:$N$2710,11,FALSE), 0)</f>
        <v>0</v>
      </c>
      <c r="G191" s="3">
        <f>IFERROR(VLOOKUP(G$1&amp;$A191&amp;$B191,배당편집!$D$2:$N$2710,11,FALSE), 0)</f>
        <v>0</v>
      </c>
      <c r="H191" s="3">
        <f>IFERROR(VLOOKUP(H$1&amp;$A191&amp;$B191,배당편집!$D$2:$N$2710,11,FALSE), 0)</f>
        <v>0</v>
      </c>
      <c r="I191" s="3">
        <f>IFERROR(VLOOKUP(I$1&amp;$A191&amp;$B191,배당편집!$D$2:$N$2710,11,FALSE), 0)</f>
        <v>0</v>
      </c>
      <c r="J191" s="3">
        <f>IFERROR(VLOOKUP(J$1&amp;$A191&amp;$B191,배당편집!$D$2:$N$2710,11,FALSE), 0)</f>
        <v>0</v>
      </c>
      <c r="K191" s="3">
        <f>IFERROR(VLOOKUP(K$1&amp;$A191&amp;$B191,배당편집!$D$2:$N$2710,11,FALSE), 0)</f>
        <v>0.36</v>
      </c>
      <c r="L191" s="3">
        <f>IFERROR(VLOOKUP(L$1&amp;$A191&amp;$B191,배당편집!$D$2:$N$2710,11,FALSE), 0)</f>
        <v>0</v>
      </c>
      <c r="M191" s="3">
        <f>IFERROR(VLOOKUP(M$1&amp;$A191&amp;$B191,배당편집!$D$2:$N$2710,11,FALSE), 0)</f>
        <v>0</v>
      </c>
      <c r="N191" s="3">
        <f>IFERROR(VLOOKUP(N$1&amp;$A191&amp;$B191,배당편집!$D$2:$N$2710,11,FALSE), 0)</f>
        <v>0</v>
      </c>
      <c r="O191" s="3">
        <f>IFERROR(VLOOKUP(O$1&amp;$A191&amp;$B191,배당편집!$D$2:$N$2710,11,FALSE), 0)</f>
        <v>0</v>
      </c>
      <c r="P191" s="3">
        <f>IFERROR(VLOOKUP(P$1&amp;$A191&amp;$B191,배당편집!$D$2:$N$2710,11,FALSE), 0)</f>
        <v>0.35</v>
      </c>
      <c r="Q191" s="3">
        <f>IFERROR(VLOOKUP(Q$1&amp;$A191&amp;$B191,배당편집!$D$2:$N$2710,11,FALSE), 0)</f>
        <v>0</v>
      </c>
      <c r="R191" s="3">
        <f>IFERROR(VLOOKUP(R$1&amp;$A191&amp;$B191,배당편집!$D$2:$N$2710,11,FALSE), 0)</f>
        <v>0</v>
      </c>
      <c r="S191" s="3">
        <f>IFERROR(VLOOKUP(S$1&amp;$A191&amp;$B191,배당편집!$D$2:$N$2710,11,FALSE), 0)</f>
        <v>0</v>
      </c>
      <c r="T191" s="3">
        <f>IFERROR(VLOOKUP(T$1&amp;$A191&amp;$B191,배당편집!$D$2:$N$2710,11,FALSE), 0)</f>
        <v>0.28999999999999998</v>
      </c>
      <c r="U191" s="3">
        <f>IFERROR(VLOOKUP(U$1&amp;$A191&amp;$B191,배당편집!$D$2:$N$2710,11,FALSE), 0)</f>
        <v>0</v>
      </c>
      <c r="V191" s="3">
        <f>IFERROR(VLOOKUP(V$1&amp;$A191&amp;$B191,배당편집!$D$2:$N$2710,11,FALSE), 0)</f>
        <v>3.7499999999999999E-2</v>
      </c>
      <c r="W191" s="3">
        <f>IFERROR(VLOOKUP(W$1&amp;$A191&amp;$B191,배당편집!$D$2:$N$2710,11,FALSE), 0)</f>
        <v>0.08</v>
      </c>
      <c r="X191" s="3">
        <f>IFERROR(VLOOKUP(X$1&amp;$A191&amp;$B191,배당편집!$D$2:$N$2710,11,FALSE), 0)</f>
        <v>0</v>
      </c>
      <c r="Y191" s="3">
        <f>IFERROR(VLOOKUP(Y$1&amp;$A191&amp;$B191,배당편집!$D$2:$N$2710,11,FALSE), 0)</f>
        <v>0</v>
      </c>
      <c r="Z191" s="3">
        <f>IFERROR(VLOOKUP(Z$1&amp;$A191&amp;$B191,배당편집!$D$2:$N$2710,11,FALSE), 0)</f>
        <v>0.12</v>
      </c>
      <c r="AA191" s="3">
        <f>IFERROR(VLOOKUP(AA$1&amp;$A191&amp;$B191,배당편집!$D$2:$N$2710,11,FALSE), 0)</f>
        <v>0</v>
      </c>
      <c r="AB191" s="3">
        <f>IFERROR(VLOOKUP(AB$1&amp;$A191&amp;$B191,배당편집!$D$2:$N$2710,11,FALSE), 0)</f>
        <v>8.1250000000000003E-2</v>
      </c>
      <c r="AC191" s="3">
        <f>IFERROR(VLOOKUP(AC$1&amp;$A191&amp;$B191,배당편집!$D$2:$N$2710,11,FALSE), 0)</f>
        <v>0</v>
      </c>
      <c r="AD191" s="3">
        <f>IFERROR(VLOOKUP(AD$1&amp;$A191&amp;$B191,배당편집!$D$2:$N$2710,11,FALSE), 0)</f>
        <v>0</v>
      </c>
      <c r="AE191" s="3">
        <f>IFERROR(VLOOKUP(AE$1&amp;$A191&amp;$B191,배당편집!$D$2:$N$2710,11,FALSE), 0)</f>
        <v>0</v>
      </c>
      <c r="AF191" s="3">
        <f>IFERROR(VLOOKUP(AF$1&amp;$A191&amp;$B191,배당편집!$D$2:$N$2710,11,FALSE), 0)</f>
        <v>0</v>
      </c>
    </row>
    <row r="192" spans="1:32" ht="16.5" customHeight="1">
      <c r="A192" s="3">
        <v>2007</v>
      </c>
      <c r="B192" s="3">
        <v>11</v>
      </c>
      <c r="C192" s="3">
        <f>IFERROR(VLOOKUP(C$1&amp;$A192&amp;$B192,배당편집!$D$2:$N$2710,11,FALSE), 0)</f>
        <v>9.5000000000000001E-2</v>
      </c>
      <c r="D192" s="3">
        <f>IFERROR(VLOOKUP(D$1&amp;$A192&amp;$B192,배당편집!$D$2:$N$2710,11,FALSE), 0)</f>
        <v>0</v>
      </c>
      <c r="E192" s="3">
        <f>IFERROR(VLOOKUP(E$1&amp;$A192&amp;$B192,배당편집!$D$2:$N$2710,11,FALSE), 0)</f>
        <v>0</v>
      </c>
      <c r="F192" s="3">
        <f>IFERROR(VLOOKUP(F$1&amp;$A192&amp;$B192,배당편집!$D$2:$N$2710,11,FALSE), 0)</f>
        <v>0</v>
      </c>
      <c r="G192" s="3">
        <f>IFERROR(VLOOKUP(G$1&amp;$A192&amp;$B192,배당편집!$D$2:$N$2710,11,FALSE), 0)</f>
        <v>0.35</v>
      </c>
      <c r="H192" s="3">
        <f>IFERROR(VLOOKUP(H$1&amp;$A192&amp;$B192,배당편집!$D$2:$N$2710,11,FALSE), 0)</f>
        <v>0.57999999999999996</v>
      </c>
      <c r="I192" s="3">
        <f>IFERROR(VLOOKUP(I$1&amp;$A192&amp;$B192,배당편집!$D$2:$N$2710,11,FALSE), 0)</f>
        <v>0.35</v>
      </c>
      <c r="J192" s="3">
        <f>IFERROR(VLOOKUP(J$1&amp;$A192&amp;$B192,배당편집!$D$2:$N$2710,11,FALSE), 0)</f>
        <v>0</v>
      </c>
      <c r="K192" s="3">
        <f>IFERROR(VLOOKUP(K$1&amp;$A192&amp;$B192,배당편집!$D$2:$N$2710,11,FALSE), 0)</f>
        <v>0</v>
      </c>
      <c r="L192" s="3">
        <f>IFERROR(VLOOKUP(L$1&amp;$A192&amp;$B192,배당편집!$D$2:$N$2710,11,FALSE), 0)</f>
        <v>0.14000000000000001</v>
      </c>
      <c r="M192" s="3">
        <f>IFERROR(VLOOKUP(M$1&amp;$A192&amp;$B192,배당편집!$D$2:$N$2710,11,FALSE), 0)</f>
        <v>0</v>
      </c>
      <c r="N192" s="3">
        <f>IFERROR(VLOOKUP(N$1&amp;$A192&amp;$B192,배당편집!$D$2:$N$2710,11,FALSE), 0)</f>
        <v>0.3</v>
      </c>
      <c r="O192" s="3">
        <f>IFERROR(VLOOKUP(O$1&amp;$A192&amp;$B192,배당편집!$D$2:$N$2710,11,FALSE), 0)</f>
        <v>0</v>
      </c>
      <c r="P192" s="3">
        <f>IFERROR(VLOOKUP(P$1&amp;$A192&amp;$B192,배당편집!$D$2:$N$2710,11,FALSE), 0)</f>
        <v>0</v>
      </c>
      <c r="Q192" s="3">
        <f>IFERROR(VLOOKUP(Q$1&amp;$A192&amp;$B192,배당편집!$D$2:$N$2710,11,FALSE), 0)</f>
        <v>0.41499999999999998</v>
      </c>
      <c r="R192" s="3">
        <f>IFERROR(VLOOKUP(R$1&amp;$A192&amp;$B192,배당편집!$D$2:$N$2710,11,FALSE), 0)</f>
        <v>0.32500000000000001</v>
      </c>
      <c r="S192" s="3">
        <f>IFERROR(VLOOKUP(S$1&amp;$A192&amp;$B192,배당편집!$D$2:$N$2710,11,FALSE), 0)</f>
        <v>0</v>
      </c>
      <c r="T192" s="3">
        <f>IFERROR(VLOOKUP(T$1&amp;$A192&amp;$B192,배당편집!$D$2:$N$2710,11,FALSE), 0)</f>
        <v>0</v>
      </c>
      <c r="U192" s="3">
        <f>IFERROR(VLOOKUP(U$1&amp;$A192&amp;$B192,배당편집!$D$2:$N$2710,11,FALSE), 0)</f>
        <v>0</v>
      </c>
      <c r="V192" s="3">
        <f>IFERROR(VLOOKUP(V$1&amp;$A192&amp;$B192,배당편집!$D$2:$N$2710,11,FALSE), 0)</f>
        <v>0</v>
      </c>
      <c r="W192" s="3">
        <f>IFERROR(VLOOKUP(W$1&amp;$A192&amp;$B192,배당편집!$D$2:$N$2710,11,FALSE), 0)</f>
        <v>0</v>
      </c>
      <c r="X192" s="3">
        <f>IFERROR(VLOOKUP(X$1&amp;$A192&amp;$B192,배당편집!$D$2:$N$2710,11,FALSE), 0)</f>
        <v>0.26</v>
      </c>
      <c r="Y192" s="3">
        <f>IFERROR(VLOOKUP(Y$1&amp;$A192&amp;$B192,배당편집!$D$2:$N$2710,11,FALSE), 0)</f>
        <v>0.21</v>
      </c>
      <c r="Z192" s="3">
        <f>IFERROR(VLOOKUP(Z$1&amp;$A192&amp;$B192,배당편집!$D$2:$N$2710,11,FALSE), 0)</f>
        <v>0</v>
      </c>
      <c r="AA192" s="3">
        <f>IFERROR(VLOOKUP(AA$1&amp;$A192&amp;$B192,배당편집!$D$2:$N$2710,11,FALSE), 0)</f>
        <v>0.115</v>
      </c>
      <c r="AB192" s="3">
        <f>IFERROR(VLOOKUP(AB$1&amp;$A192&amp;$B192,배당편집!$D$2:$N$2710,11,FALSE), 0)</f>
        <v>0</v>
      </c>
      <c r="AC192" s="3">
        <f>IFERROR(VLOOKUP(AC$1&amp;$A192&amp;$B192,배당편집!$D$2:$N$2710,11,FALSE), 0)</f>
        <v>0.14499999999999999</v>
      </c>
      <c r="AD192" s="3">
        <f>IFERROR(VLOOKUP(AD$1&amp;$A192&amp;$B192,배당편집!$D$2:$N$2710,11,FALSE), 0)</f>
        <v>0</v>
      </c>
      <c r="AE192" s="3">
        <f>IFERROR(VLOOKUP(AE$1&amp;$A192&amp;$B192,배당편집!$D$2:$N$2710,11,FALSE), 0)</f>
        <v>0.12</v>
      </c>
      <c r="AF192" s="3">
        <f>IFERROR(VLOOKUP(AF$1&amp;$A192&amp;$B192,배당편집!$D$2:$N$2710,11,FALSE), 0)</f>
        <v>0.2</v>
      </c>
    </row>
    <row r="193" spans="1:32" ht="16.5" customHeight="1">
      <c r="A193" s="3">
        <v>2007</v>
      </c>
      <c r="B193" s="3">
        <v>12</v>
      </c>
      <c r="C193" s="3">
        <f>IFERROR(VLOOKUP(C$1&amp;$A193&amp;$B193,배당편집!$D$2:$N$2710,11,FALSE), 0)</f>
        <v>0</v>
      </c>
      <c r="D193" s="3">
        <f>IFERROR(VLOOKUP(D$1&amp;$A193&amp;$B193,배당편집!$D$2:$N$2710,11,FALSE), 0)</f>
        <v>0.25</v>
      </c>
      <c r="E193" s="3">
        <f>IFERROR(VLOOKUP(E$1&amp;$A193&amp;$B193,배당편집!$D$2:$N$2710,11,FALSE), 0)</f>
        <v>7.0000000000000007E-2</v>
      </c>
      <c r="F193" s="3">
        <f>IFERROR(VLOOKUP(F$1&amp;$A193&amp;$B193,배당편집!$D$2:$N$2710,11,FALSE), 0)</f>
        <v>0.31</v>
      </c>
      <c r="G193" s="3">
        <f>IFERROR(VLOOKUP(G$1&amp;$A193&amp;$B193,배당편집!$D$2:$N$2710,11,FALSE), 0)</f>
        <v>0</v>
      </c>
      <c r="H193" s="3">
        <f>IFERROR(VLOOKUP(H$1&amp;$A193&amp;$B193,배당편집!$D$2:$N$2710,11,FALSE), 0)</f>
        <v>0</v>
      </c>
      <c r="I193" s="3">
        <f>IFERROR(VLOOKUP(I$1&amp;$A193&amp;$B193,배당편집!$D$2:$N$2710,11,FALSE), 0)</f>
        <v>0</v>
      </c>
      <c r="J193" s="3">
        <f>IFERROR(VLOOKUP(J$1&amp;$A193&amp;$B193,배당편집!$D$2:$N$2710,11,FALSE), 0)</f>
        <v>0.31</v>
      </c>
      <c r="K193" s="3">
        <f>IFERROR(VLOOKUP(K$1&amp;$A193&amp;$B193,배당편집!$D$2:$N$2710,11,FALSE), 0)</f>
        <v>0</v>
      </c>
      <c r="L193" s="3">
        <f>IFERROR(VLOOKUP(L$1&amp;$A193&amp;$B193,배당편집!$D$2:$N$2710,11,FALSE), 0)</f>
        <v>0</v>
      </c>
      <c r="M193" s="3">
        <f>IFERROR(VLOOKUP(M$1&amp;$A193&amp;$B193,배당편집!$D$2:$N$2710,11,FALSE), 0)</f>
        <v>0.28000000000000003</v>
      </c>
      <c r="N193" s="3">
        <f>IFERROR(VLOOKUP(N$1&amp;$A193&amp;$B193,배당편집!$D$2:$N$2710,11,FALSE), 0)</f>
        <v>0</v>
      </c>
      <c r="O193" s="3">
        <f>IFERROR(VLOOKUP(O$1&amp;$A193&amp;$B193,배당편집!$D$2:$N$2710,11,FALSE), 0)</f>
        <v>0.38</v>
      </c>
      <c r="P193" s="3">
        <f>IFERROR(VLOOKUP(P$1&amp;$A193&amp;$B193,배당편집!$D$2:$N$2710,11,FALSE), 0)</f>
        <v>0</v>
      </c>
      <c r="Q193" s="3">
        <f>IFERROR(VLOOKUP(Q$1&amp;$A193&amp;$B193,배당편집!$D$2:$N$2710,11,FALSE), 0)</f>
        <v>0</v>
      </c>
      <c r="R193" s="3">
        <f>IFERROR(VLOOKUP(R$1&amp;$A193&amp;$B193,배당편집!$D$2:$N$2710,11,FALSE), 0)</f>
        <v>0</v>
      </c>
      <c r="S193" s="3">
        <f>IFERROR(VLOOKUP(S$1&amp;$A193&amp;$B193,배당편집!$D$2:$N$2710,11,FALSE), 0)</f>
        <v>0.36499999999999999</v>
      </c>
      <c r="T193" s="3">
        <f>IFERROR(VLOOKUP(T$1&amp;$A193&amp;$B193,배당편집!$D$2:$N$2710,11,FALSE), 0)</f>
        <v>0</v>
      </c>
      <c r="U193" s="3">
        <f>IFERROR(VLOOKUP(U$1&amp;$A193&amp;$B193,배당편집!$D$2:$N$2710,11,FALSE), 0)</f>
        <v>0</v>
      </c>
      <c r="V193" s="3">
        <f>IFERROR(VLOOKUP(V$1&amp;$A193&amp;$B193,배당편집!$D$2:$N$2710,11,FALSE), 0)</f>
        <v>0</v>
      </c>
      <c r="W193" s="3">
        <f>IFERROR(VLOOKUP(W$1&amp;$A193&amp;$B193,배당편집!$D$2:$N$2710,11,FALSE), 0)</f>
        <v>0</v>
      </c>
      <c r="X193" s="3">
        <f>IFERROR(VLOOKUP(X$1&amp;$A193&amp;$B193,배당편집!$D$2:$N$2710,11,FALSE), 0)</f>
        <v>0</v>
      </c>
      <c r="Y193" s="3">
        <f>IFERROR(VLOOKUP(Y$1&amp;$A193&amp;$B193,배당편집!$D$2:$N$2710,11,FALSE), 0)</f>
        <v>0</v>
      </c>
      <c r="Z193" s="3">
        <f>IFERROR(VLOOKUP(Z$1&amp;$A193&amp;$B193,배당편집!$D$2:$N$2710,11,FALSE), 0)</f>
        <v>0</v>
      </c>
      <c r="AA193" s="3">
        <f>IFERROR(VLOOKUP(AA$1&amp;$A193&amp;$B193,배당편집!$D$2:$N$2710,11,FALSE), 0)</f>
        <v>0</v>
      </c>
      <c r="AB193" s="3">
        <f>IFERROR(VLOOKUP(AB$1&amp;$A193&amp;$B193,배당편집!$D$2:$N$2710,11,FALSE), 0)</f>
        <v>0</v>
      </c>
      <c r="AC193" s="3">
        <f>IFERROR(VLOOKUP(AC$1&amp;$A193&amp;$B193,배당편집!$D$2:$N$2710,11,FALSE), 0)</f>
        <v>0</v>
      </c>
      <c r="AD193" s="3">
        <f>IFERROR(VLOOKUP(AD$1&amp;$A193&amp;$B193,배당편집!$D$2:$N$2710,11,FALSE), 0)</f>
        <v>0.28999999999999998</v>
      </c>
      <c r="AE193" s="3">
        <f>IFERROR(VLOOKUP(AE$1&amp;$A193&amp;$B193,배당편집!$D$2:$N$2710,11,FALSE), 0)</f>
        <v>0</v>
      </c>
      <c r="AF193" s="3">
        <f>IFERROR(VLOOKUP(AF$1&amp;$A193&amp;$B193,배당편집!$D$2:$N$2710,11,FALSE), 0)</f>
        <v>0</v>
      </c>
    </row>
    <row r="194" spans="1:32" ht="16.5" customHeight="1">
      <c r="A194" s="3">
        <v>2006</v>
      </c>
      <c r="B194" s="3">
        <v>1</v>
      </c>
      <c r="C194" s="3">
        <f>IFERROR(VLOOKUP(C$1&amp;$A194&amp;$B194,배당편집!$D$2:$N$2710,11,FALSE), 0)</f>
        <v>0</v>
      </c>
      <c r="D194" s="3">
        <f>IFERROR(VLOOKUP(D$1&amp;$A194&amp;$B194,배당편집!$D$2:$N$2710,11,FALSE), 0)</f>
        <v>0</v>
      </c>
      <c r="E194" s="3">
        <f>IFERROR(VLOOKUP(E$1&amp;$A194&amp;$B194,배당편집!$D$2:$N$2710,11,FALSE), 0)</f>
        <v>0</v>
      </c>
      <c r="F194" s="3">
        <f>IFERROR(VLOOKUP(F$1&amp;$A194&amp;$B194,배당편집!$D$2:$N$2710,11,FALSE), 0)</f>
        <v>0</v>
      </c>
      <c r="G194" s="3">
        <f>IFERROR(VLOOKUP(G$1&amp;$A194&amp;$B194,배당편집!$D$2:$N$2710,11,FALSE), 0)</f>
        <v>0</v>
      </c>
      <c r="H194" s="3">
        <f>IFERROR(VLOOKUP(H$1&amp;$A194&amp;$B194,배당편집!$D$2:$N$2710,11,FALSE), 0)</f>
        <v>0</v>
      </c>
      <c r="I194" s="3">
        <f>IFERROR(VLOOKUP(I$1&amp;$A194&amp;$B194,배당편집!$D$2:$N$2710,11,FALSE), 0)</f>
        <v>0</v>
      </c>
      <c r="J194" s="3">
        <f>IFERROR(VLOOKUP(J$1&amp;$A194&amp;$B194,배당편집!$D$2:$N$2710,11,FALSE), 0)</f>
        <v>0</v>
      </c>
      <c r="K194" s="3">
        <f>IFERROR(VLOOKUP(K$1&amp;$A194&amp;$B194,배당편집!$D$2:$N$2710,11,FALSE), 0)</f>
        <v>0.25</v>
      </c>
      <c r="L194" s="3">
        <f>IFERROR(VLOOKUP(L$1&amp;$A194&amp;$B194,배당편집!$D$2:$N$2710,11,FALSE), 0)</f>
        <v>0</v>
      </c>
      <c r="M194" s="3">
        <f>IFERROR(VLOOKUP(M$1&amp;$A194&amp;$B194,배당편집!$D$2:$N$2710,11,FALSE), 0)</f>
        <v>0</v>
      </c>
      <c r="N194" s="3">
        <f>IFERROR(VLOOKUP(N$1&amp;$A194&amp;$B194,배당편집!$D$2:$N$2710,11,FALSE), 0)</f>
        <v>0</v>
      </c>
      <c r="O194" s="3">
        <f>IFERROR(VLOOKUP(O$1&amp;$A194&amp;$B194,배당편집!$D$2:$N$2710,11,FALSE), 0)</f>
        <v>0</v>
      </c>
      <c r="P194" s="3">
        <f>IFERROR(VLOOKUP(P$1&amp;$A194&amp;$B194,배당편집!$D$2:$N$2710,11,FALSE), 0)</f>
        <v>0.28000000000000003</v>
      </c>
      <c r="Q194" s="3">
        <f>IFERROR(VLOOKUP(Q$1&amp;$A194&amp;$B194,배당편집!$D$2:$N$2710,11,FALSE), 0)</f>
        <v>0</v>
      </c>
      <c r="R194" s="3">
        <f>IFERROR(VLOOKUP(R$1&amp;$A194&amp;$B194,배당편집!$D$2:$N$2710,11,FALSE), 0)</f>
        <v>0</v>
      </c>
      <c r="S194" s="3">
        <f>IFERROR(VLOOKUP(S$1&amp;$A194&amp;$B194,배당편집!$D$2:$N$2710,11,FALSE), 0)</f>
        <v>0</v>
      </c>
      <c r="T194" s="3">
        <f>IFERROR(VLOOKUP(T$1&amp;$A194&amp;$B194,배당편집!$D$2:$N$2710,11,FALSE), 0)</f>
        <v>0.2</v>
      </c>
      <c r="U194" s="3">
        <f>IFERROR(VLOOKUP(U$1&amp;$A194&amp;$B194,배당편집!$D$2:$N$2710,11,FALSE), 0)</f>
        <v>0</v>
      </c>
      <c r="V194" s="3">
        <f>IFERROR(VLOOKUP(V$1&amp;$A194&amp;$B194,배당편집!$D$2:$N$2710,11,FALSE), 0)</f>
        <v>3.5000000000000003E-2</v>
      </c>
      <c r="W194" s="3">
        <f>IFERROR(VLOOKUP(W$1&amp;$A194&amp;$B194,배당편집!$D$2:$N$2710,11,FALSE), 0)</f>
        <v>0.01</v>
      </c>
      <c r="X194" s="3">
        <f>IFERROR(VLOOKUP(X$1&amp;$A194&amp;$B194,배당편집!$D$2:$N$2710,11,FALSE), 0)</f>
        <v>0</v>
      </c>
      <c r="Y194" s="3">
        <f>IFERROR(VLOOKUP(Y$1&amp;$A194&amp;$B194,배당편집!$D$2:$N$2710,11,FALSE), 0)</f>
        <v>0</v>
      </c>
      <c r="Z194" s="3">
        <f>IFERROR(VLOOKUP(Z$1&amp;$A194&amp;$B194,배당편집!$D$2:$N$2710,11,FALSE), 0)</f>
        <v>0.11</v>
      </c>
      <c r="AA194" s="3">
        <f>IFERROR(VLOOKUP(AA$1&amp;$A194&amp;$B194,배당편집!$D$2:$N$2710,11,FALSE), 0)</f>
        <v>0</v>
      </c>
      <c r="AB194" s="3">
        <f>IFERROR(VLOOKUP(AB$1&amp;$A194&amp;$B194,배당편집!$D$2:$N$2710,11,FALSE), 0)</f>
        <v>6.8750000000000006E-2</v>
      </c>
      <c r="AC194" s="3">
        <f>IFERROR(VLOOKUP(AC$1&amp;$A194&amp;$B194,배당편집!$D$2:$N$2710,11,FALSE), 0)</f>
        <v>0</v>
      </c>
      <c r="AD194" s="3">
        <f>IFERROR(VLOOKUP(AD$1&amp;$A194&amp;$B194,배당편집!$D$2:$N$2710,11,FALSE), 0)</f>
        <v>0</v>
      </c>
      <c r="AE194" s="3">
        <f>IFERROR(VLOOKUP(AE$1&amp;$A194&amp;$B194,배당편집!$D$2:$N$2710,11,FALSE), 0)</f>
        <v>0</v>
      </c>
      <c r="AF194" s="3">
        <f>IFERROR(VLOOKUP(AF$1&amp;$A194&amp;$B194,배당편집!$D$2:$N$2710,11,FALSE), 0)</f>
        <v>0</v>
      </c>
    </row>
    <row r="195" spans="1:32" ht="16.5" customHeight="1">
      <c r="A195" s="3">
        <v>2006</v>
      </c>
      <c r="B195" s="3">
        <v>2</v>
      </c>
      <c r="C195" s="3">
        <f>IFERROR(VLOOKUP(C$1&amp;$A195&amp;$B195,배당편집!$D$2:$N$2710,11,FALSE), 0)</f>
        <v>6.5000000000000002E-2</v>
      </c>
      <c r="D195" s="3">
        <f>IFERROR(VLOOKUP(D$1&amp;$A195&amp;$B195,배당편집!$D$2:$N$2710,11,FALSE), 0)</f>
        <v>0</v>
      </c>
      <c r="E195" s="3">
        <f>IFERROR(VLOOKUP(E$1&amp;$A195&amp;$B195,배당편집!$D$2:$N$2710,11,FALSE), 0)</f>
        <v>0</v>
      </c>
      <c r="F195" s="3">
        <f>IFERROR(VLOOKUP(F$1&amp;$A195&amp;$B195,배당편집!$D$2:$N$2710,11,FALSE), 0)</f>
        <v>0</v>
      </c>
      <c r="G195" s="3">
        <f>IFERROR(VLOOKUP(G$1&amp;$A195&amp;$B195,배당편집!$D$2:$N$2710,11,FALSE), 0)</f>
        <v>0.32</v>
      </c>
      <c r="H195" s="3">
        <f>IFERROR(VLOOKUP(H$1&amp;$A195&amp;$B195,배당편집!$D$2:$N$2710,11,FALSE), 0)</f>
        <v>0.45</v>
      </c>
      <c r="I195" s="3">
        <f>IFERROR(VLOOKUP(I$1&amp;$A195&amp;$B195,배당편집!$D$2:$N$2710,11,FALSE), 0)</f>
        <v>0.33</v>
      </c>
      <c r="J195" s="3">
        <f>IFERROR(VLOOKUP(J$1&amp;$A195&amp;$B195,배당편집!$D$2:$N$2710,11,FALSE), 0)</f>
        <v>0</v>
      </c>
      <c r="K195" s="3">
        <f>IFERROR(VLOOKUP(K$1&amp;$A195&amp;$B195,배당편집!$D$2:$N$2710,11,FALSE), 0)</f>
        <v>0</v>
      </c>
      <c r="L195" s="3">
        <f>IFERROR(VLOOKUP(L$1&amp;$A195&amp;$B195,배당편집!$D$2:$N$2710,11,FALSE), 0)</f>
        <v>0.1</v>
      </c>
      <c r="M195" s="3">
        <f>IFERROR(VLOOKUP(M$1&amp;$A195&amp;$B195,배당편집!$D$2:$N$2710,11,FALSE), 0)</f>
        <v>0</v>
      </c>
      <c r="N195" s="3">
        <f>IFERROR(VLOOKUP(N$1&amp;$A195&amp;$B195,배당편집!$D$2:$N$2710,11,FALSE), 0)</f>
        <v>0.2225</v>
      </c>
      <c r="O195" s="3">
        <f>IFERROR(VLOOKUP(O$1&amp;$A195&amp;$B195,배당편집!$D$2:$N$2710,11,FALSE), 0)</f>
        <v>0</v>
      </c>
      <c r="P195" s="3">
        <f>IFERROR(VLOOKUP(P$1&amp;$A195&amp;$B195,배당편집!$D$2:$N$2710,11,FALSE), 0)</f>
        <v>0</v>
      </c>
      <c r="Q195" s="3">
        <f>IFERROR(VLOOKUP(Q$1&amp;$A195&amp;$B195,배당편집!$D$2:$N$2710,11,FALSE), 0)</f>
        <v>0.33</v>
      </c>
      <c r="R195" s="3">
        <f>IFERROR(VLOOKUP(R$1&amp;$A195&amp;$B195,배당편집!$D$2:$N$2710,11,FALSE), 0)</f>
        <v>0.315</v>
      </c>
      <c r="S195" s="3">
        <f>IFERROR(VLOOKUP(S$1&amp;$A195&amp;$B195,배당편집!$D$2:$N$2710,11,FALSE), 0)</f>
        <v>0</v>
      </c>
      <c r="T195" s="3">
        <f>IFERROR(VLOOKUP(T$1&amp;$A195&amp;$B195,배당편집!$D$2:$N$2710,11,FALSE), 0)</f>
        <v>0</v>
      </c>
      <c r="U195" s="3">
        <f>IFERROR(VLOOKUP(U$1&amp;$A195&amp;$B195,배당편집!$D$2:$N$2710,11,FALSE), 0)</f>
        <v>0</v>
      </c>
      <c r="V195" s="3">
        <f>IFERROR(VLOOKUP(V$1&amp;$A195&amp;$B195,배당편집!$D$2:$N$2710,11,FALSE), 0)</f>
        <v>0</v>
      </c>
      <c r="W195" s="3">
        <f>IFERROR(VLOOKUP(W$1&amp;$A195&amp;$B195,배당편집!$D$2:$N$2710,11,FALSE), 0)</f>
        <v>0</v>
      </c>
      <c r="X195" s="3">
        <f>IFERROR(VLOOKUP(X$1&amp;$A195&amp;$B195,배당편집!$D$2:$N$2710,11,FALSE), 0)</f>
        <v>0.23499999999999999</v>
      </c>
      <c r="Y195" s="3">
        <f>IFERROR(VLOOKUP(Y$1&amp;$A195&amp;$B195,배당편집!$D$2:$N$2710,11,FALSE), 0)</f>
        <v>7.6666666666666675E-2</v>
      </c>
      <c r="Z195" s="3">
        <f>IFERROR(VLOOKUP(Z$1&amp;$A195&amp;$B195,배당편집!$D$2:$N$2710,11,FALSE), 0)</f>
        <v>0</v>
      </c>
      <c r="AA195" s="3">
        <f>IFERROR(VLOOKUP(AA$1&amp;$A195&amp;$B195,배당편집!$D$2:$N$2710,11,FALSE), 0)</f>
        <v>0.1</v>
      </c>
      <c r="AB195" s="3">
        <f>IFERROR(VLOOKUP(AB$1&amp;$A195&amp;$B195,배당편집!$D$2:$N$2710,11,FALSE), 0)</f>
        <v>0</v>
      </c>
      <c r="AC195" s="3">
        <f>IFERROR(VLOOKUP(AC$1&amp;$A195&amp;$B195,배당편집!$D$2:$N$2710,11,FALSE), 0)</f>
        <v>0.14374999999999999</v>
      </c>
      <c r="AD195" s="3">
        <f>IFERROR(VLOOKUP(AD$1&amp;$A195&amp;$B195,배당편집!$D$2:$N$2710,11,FALSE), 0)</f>
        <v>0</v>
      </c>
      <c r="AE195" s="3">
        <f>IFERROR(VLOOKUP(AE$1&amp;$A195&amp;$B195,배당편집!$D$2:$N$2710,11,FALSE), 0)</f>
        <v>0.11</v>
      </c>
      <c r="AF195" s="3">
        <f>IFERROR(VLOOKUP(AF$1&amp;$A195&amp;$B195,배당편집!$D$2:$N$2710,11,FALSE), 0)</f>
        <v>0.17</v>
      </c>
    </row>
    <row r="196" spans="1:32" ht="16.5" customHeight="1">
      <c r="A196" s="3">
        <v>2006</v>
      </c>
      <c r="B196" s="3">
        <v>3</v>
      </c>
      <c r="C196" s="3">
        <f>IFERROR(VLOOKUP(C$1&amp;$A196&amp;$B196,배당편집!$D$2:$N$2710,11,FALSE), 0)</f>
        <v>0</v>
      </c>
      <c r="D196" s="3">
        <f>IFERROR(VLOOKUP(D$1&amp;$A196&amp;$B196,배당편집!$D$2:$N$2710,11,FALSE), 0)</f>
        <v>0.16</v>
      </c>
      <c r="E196" s="3">
        <f>IFERROR(VLOOKUP(E$1&amp;$A196&amp;$B196,배당편집!$D$2:$N$2710,11,FALSE), 0)</f>
        <v>0.04</v>
      </c>
      <c r="F196" s="3">
        <f>IFERROR(VLOOKUP(F$1&amp;$A196&amp;$B196,배당편집!$D$2:$N$2710,11,FALSE), 0)</f>
        <v>0.28999999999999998</v>
      </c>
      <c r="G196" s="3">
        <f>IFERROR(VLOOKUP(G$1&amp;$A196&amp;$B196,배당편집!$D$2:$N$2710,11,FALSE), 0)</f>
        <v>0</v>
      </c>
      <c r="H196" s="3">
        <f>IFERROR(VLOOKUP(H$1&amp;$A196&amp;$B196,배당편집!$D$2:$N$2710,11,FALSE), 0)</f>
        <v>0</v>
      </c>
      <c r="I196" s="3">
        <f>IFERROR(VLOOKUP(I$1&amp;$A196&amp;$B196,배당편집!$D$2:$N$2710,11,FALSE), 0)</f>
        <v>0</v>
      </c>
      <c r="J196" s="3">
        <f>IFERROR(VLOOKUP(J$1&amp;$A196&amp;$B196,배당편집!$D$2:$N$2710,11,FALSE), 0)</f>
        <v>0.28999999999999998</v>
      </c>
      <c r="K196" s="3">
        <f>IFERROR(VLOOKUP(K$1&amp;$A196&amp;$B196,배당편집!$D$2:$N$2710,11,FALSE), 0)</f>
        <v>0</v>
      </c>
      <c r="L196" s="3">
        <f>IFERROR(VLOOKUP(L$1&amp;$A196&amp;$B196,배당편집!$D$2:$N$2710,11,FALSE), 0)</f>
        <v>0</v>
      </c>
      <c r="M196" s="3">
        <f>IFERROR(VLOOKUP(M$1&amp;$A196&amp;$B196,배당편집!$D$2:$N$2710,11,FALSE), 0)</f>
        <v>0.16500000000000001</v>
      </c>
      <c r="N196" s="3">
        <f>IFERROR(VLOOKUP(N$1&amp;$A196&amp;$B196,배당편집!$D$2:$N$2710,11,FALSE), 0)</f>
        <v>0</v>
      </c>
      <c r="O196" s="3">
        <f>IFERROR(VLOOKUP(O$1&amp;$A196&amp;$B196,배당편집!$D$2:$N$2710,11,FALSE), 0)</f>
        <v>0.34</v>
      </c>
      <c r="P196" s="3">
        <f>IFERROR(VLOOKUP(P$1&amp;$A196&amp;$B196,배당편집!$D$2:$N$2710,11,FALSE), 0)</f>
        <v>0</v>
      </c>
      <c r="Q196" s="3">
        <f>IFERROR(VLOOKUP(Q$1&amp;$A196&amp;$B196,배당편집!$D$2:$N$2710,11,FALSE), 0)</f>
        <v>0</v>
      </c>
      <c r="R196" s="3">
        <f>IFERROR(VLOOKUP(R$1&amp;$A196&amp;$B196,배당편집!$D$2:$N$2710,11,FALSE), 0)</f>
        <v>0</v>
      </c>
      <c r="S196" s="3">
        <f>IFERROR(VLOOKUP(S$1&amp;$A196&amp;$B196,배당편집!$D$2:$N$2710,11,FALSE), 0)</f>
        <v>0.33750000000000002</v>
      </c>
      <c r="T196" s="3">
        <f>IFERROR(VLOOKUP(T$1&amp;$A196&amp;$B196,배당편집!$D$2:$N$2710,11,FALSE), 0)</f>
        <v>0</v>
      </c>
      <c r="U196" s="3">
        <f>IFERROR(VLOOKUP(U$1&amp;$A196&amp;$B196,배당편집!$D$2:$N$2710,11,FALSE), 0)</f>
        <v>0</v>
      </c>
      <c r="V196" s="3">
        <f>IFERROR(VLOOKUP(V$1&amp;$A196&amp;$B196,배당편집!$D$2:$N$2710,11,FALSE), 0)</f>
        <v>0</v>
      </c>
      <c r="W196" s="3">
        <f>IFERROR(VLOOKUP(W$1&amp;$A196&amp;$B196,배당편집!$D$2:$N$2710,11,FALSE), 0)</f>
        <v>0</v>
      </c>
      <c r="X196" s="3">
        <f>IFERROR(VLOOKUP(X$1&amp;$A196&amp;$B196,배당편집!$D$2:$N$2710,11,FALSE), 0)</f>
        <v>0</v>
      </c>
      <c r="Y196" s="3">
        <f>IFERROR(VLOOKUP(Y$1&amp;$A196&amp;$B196,배당편집!$D$2:$N$2710,11,FALSE), 0)</f>
        <v>0</v>
      </c>
      <c r="Z196" s="3">
        <f>IFERROR(VLOOKUP(Z$1&amp;$A196&amp;$B196,배당편집!$D$2:$N$2710,11,FALSE), 0)</f>
        <v>0</v>
      </c>
      <c r="AA196" s="3">
        <f>IFERROR(VLOOKUP(AA$1&amp;$A196&amp;$B196,배당편집!$D$2:$N$2710,11,FALSE), 0)</f>
        <v>0</v>
      </c>
      <c r="AB196" s="3">
        <f>IFERROR(VLOOKUP(AB$1&amp;$A196&amp;$B196,배당편집!$D$2:$N$2710,11,FALSE), 0)</f>
        <v>0</v>
      </c>
      <c r="AC196" s="3">
        <f>IFERROR(VLOOKUP(AC$1&amp;$A196&amp;$B196,배당편집!$D$2:$N$2710,11,FALSE), 0)</f>
        <v>0</v>
      </c>
      <c r="AD196" s="3">
        <f>IFERROR(VLOOKUP(AD$1&amp;$A196&amp;$B196,배당편집!$D$2:$N$2710,11,FALSE), 0)</f>
        <v>0.185</v>
      </c>
      <c r="AE196" s="3">
        <f>IFERROR(VLOOKUP(AE$1&amp;$A196&amp;$B196,배당편집!$D$2:$N$2710,11,FALSE), 0)</f>
        <v>0</v>
      </c>
      <c r="AF196" s="3">
        <f>IFERROR(VLOOKUP(AF$1&amp;$A196&amp;$B196,배당편집!$D$2:$N$2710,11,FALSE), 0)</f>
        <v>0</v>
      </c>
    </row>
    <row r="197" spans="1:32" ht="16.5" customHeight="1">
      <c r="A197" s="3">
        <v>2006</v>
      </c>
      <c r="B197" s="3">
        <v>4</v>
      </c>
      <c r="C197" s="3">
        <f>IFERROR(VLOOKUP(C$1&amp;$A197&amp;$B197,배당편집!$D$2:$N$2710,11,FALSE), 0)</f>
        <v>0</v>
      </c>
      <c r="D197" s="3">
        <f>IFERROR(VLOOKUP(D$1&amp;$A197&amp;$B197,배당편집!$D$2:$N$2710,11,FALSE), 0)</f>
        <v>0</v>
      </c>
      <c r="E197" s="3">
        <f>IFERROR(VLOOKUP(E$1&amp;$A197&amp;$B197,배당편집!$D$2:$N$2710,11,FALSE), 0)</f>
        <v>0</v>
      </c>
      <c r="F197" s="3">
        <f>IFERROR(VLOOKUP(F$1&amp;$A197&amp;$B197,배당편집!$D$2:$N$2710,11,FALSE), 0)</f>
        <v>0</v>
      </c>
      <c r="G197" s="3">
        <f>IFERROR(VLOOKUP(G$1&amp;$A197&amp;$B197,배당편집!$D$2:$N$2710,11,FALSE), 0)</f>
        <v>0</v>
      </c>
      <c r="H197" s="3">
        <f>IFERROR(VLOOKUP(H$1&amp;$A197&amp;$B197,배당편집!$D$2:$N$2710,11,FALSE), 0)</f>
        <v>0</v>
      </c>
      <c r="I197" s="3">
        <f>IFERROR(VLOOKUP(I$1&amp;$A197&amp;$B197,배당편집!$D$2:$N$2710,11,FALSE), 0)</f>
        <v>0</v>
      </c>
      <c r="J197" s="3">
        <f>IFERROR(VLOOKUP(J$1&amp;$A197&amp;$B197,배당편집!$D$2:$N$2710,11,FALSE), 0)</f>
        <v>0</v>
      </c>
      <c r="K197" s="3">
        <f>IFERROR(VLOOKUP(K$1&amp;$A197&amp;$B197,배당편집!$D$2:$N$2710,11,FALSE), 0)</f>
        <v>0.25</v>
      </c>
      <c r="L197" s="3">
        <f>IFERROR(VLOOKUP(L$1&amp;$A197&amp;$B197,배당편집!$D$2:$N$2710,11,FALSE), 0)</f>
        <v>0</v>
      </c>
      <c r="M197" s="3">
        <f>IFERROR(VLOOKUP(M$1&amp;$A197&amp;$B197,배당편집!$D$2:$N$2710,11,FALSE), 0)</f>
        <v>0</v>
      </c>
      <c r="N197" s="3">
        <f>IFERROR(VLOOKUP(N$1&amp;$A197&amp;$B197,배당편집!$D$2:$N$2710,11,FALSE), 0)</f>
        <v>0</v>
      </c>
      <c r="O197" s="3">
        <f>IFERROR(VLOOKUP(O$1&amp;$A197&amp;$B197,배당편집!$D$2:$N$2710,11,FALSE), 0)</f>
        <v>0</v>
      </c>
      <c r="P197" s="3">
        <f>IFERROR(VLOOKUP(P$1&amp;$A197&amp;$B197,배당편집!$D$2:$N$2710,11,FALSE), 0)</f>
        <v>0.31</v>
      </c>
      <c r="Q197" s="3">
        <f>IFERROR(VLOOKUP(Q$1&amp;$A197&amp;$B197,배당편집!$D$2:$N$2710,11,FALSE), 0)</f>
        <v>0</v>
      </c>
      <c r="R197" s="3">
        <f>IFERROR(VLOOKUP(R$1&amp;$A197&amp;$B197,배당편집!$D$2:$N$2710,11,FALSE), 0)</f>
        <v>0</v>
      </c>
      <c r="S197" s="3">
        <f>IFERROR(VLOOKUP(S$1&amp;$A197&amp;$B197,배당편집!$D$2:$N$2710,11,FALSE), 0)</f>
        <v>0</v>
      </c>
      <c r="T197" s="3">
        <f>IFERROR(VLOOKUP(T$1&amp;$A197&amp;$B197,배당편집!$D$2:$N$2710,11,FALSE), 0)</f>
        <v>0.23</v>
      </c>
      <c r="U197" s="3">
        <f>IFERROR(VLOOKUP(U$1&amp;$A197&amp;$B197,배당편집!$D$2:$N$2710,11,FALSE), 0)</f>
        <v>0</v>
      </c>
      <c r="V197" s="3">
        <f>IFERROR(VLOOKUP(V$1&amp;$A197&amp;$B197,배당편집!$D$2:$N$2710,11,FALSE), 0)</f>
        <v>3.5000000000000003E-2</v>
      </c>
      <c r="W197" s="3">
        <f>IFERROR(VLOOKUP(W$1&amp;$A197&amp;$B197,배당편집!$D$2:$N$2710,11,FALSE), 0)</f>
        <v>0.01</v>
      </c>
      <c r="X197" s="3">
        <f>IFERROR(VLOOKUP(X$1&amp;$A197&amp;$B197,배당편집!$D$2:$N$2710,11,FALSE), 0)</f>
        <v>0</v>
      </c>
      <c r="Y197" s="3">
        <f>IFERROR(VLOOKUP(Y$1&amp;$A197&amp;$B197,배당편집!$D$2:$N$2710,11,FALSE), 0)</f>
        <v>0</v>
      </c>
      <c r="Z197" s="3">
        <f>IFERROR(VLOOKUP(Z$1&amp;$A197&amp;$B197,배당편집!$D$2:$N$2710,11,FALSE), 0)</f>
        <v>0.11</v>
      </c>
      <c r="AA197" s="3">
        <f>IFERROR(VLOOKUP(AA$1&amp;$A197&amp;$B197,배당편집!$D$2:$N$2710,11,FALSE), 0)</f>
        <v>0</v>
      </c>
      <c r="AB197" s="3">
        <f>IFERROR(VLOOKUP(AB$1&amp;$A197&amp;$B197,배당편집!$D$2:$N$2710,11,FALSE), 0)</f>
        <v>7.3749999999999996E-2</v>
      </c>
      <c r="AC197" s="3">
        <f>IFERROR(VLOOKUP(AC$1&amp;$A197&amp;$B197,배당편집!$D$2:$N$2710,11,FALSE), 0)</f>
        <v>0</v>
      </c>
      <c r="AD197" s="3">
        <f>IFERROR(VLOOKUP(AD$1&amp;$A197&amp;$B197,배당편집!$D$2:$N$2710,11,FALSE), 0)</f>
        <v>0</v>
      </c>
      <c r="AE197" s="3">
        <f>IFERROR(VLOOKUP(AE$1&amp;$A197&amp;$B197,배당편집!$D$2:$N$2710,11,FALSE), 0)</f>
        <v>0</v>
      </c>
      <c r="AF197" s="3">
        <f>IFERROR(VLOOKUP(AF$1&amp;$A197&amp;$B197,배당편집!$D$2:$N$2710,11,FALSE), 0)</f>
        <v>0</v>
      </c>
    </row>
    <row r="198" spans="1:32" ht="16.5" customHeight="1">
      <c r="A198" s="3">
        <v>2006</v>
      </c>
      <c r="B198" s="3">
        <v>5</v>
      </c>
      <c r="C198" s="3">
        <f>IFERROR(VLOOKUP(C$1&amp;$A198&amp;$B198,배당편집!$D$2:$N$2710,11,FALSE), 0)</f>
        <v>6.5000000000000002E-2</v>
      </c>
      <c r="D198" s="3">
        <f>IFERROR(VLOOKUP(D$1&amp;$A198&amp;$B198,배당편집!$D$2:$N$2710,11,FALSE), 0)</f>
        <v>0</v>
      </c>
      <c r="E198" s="3">
        <f>IFERROR(VLOOKUP(E$1&amp;$A198&amp;$B198,배당편집!$D$2:$N$2710,11,FALSE), 0)</f>
        <v>0</v>
      </c>
      <c r="F198" s="3">
        <f>IFERROR(VLOOKUP(F$1&amp;$A198&amp;$B198,배당편집!$D$2:$N$2710,11,FALSE), 0)</f>
        <v>0</v>
      </c>
      <c r="G198" s="3">
        <f>IFERROR(VLOOKUP(G$1&amp;$A198&amp;$B198,배당편집!$D$2:$N$2710,11,FALSE), 0)</f>
        <v>0.32</v>
      </c>
      <c r="H198" s="3">
        <f>IFERROR(VLOOKUP(H$1&amp;$A198&amp;$B198,배당편집!$D$2:$N$2710,11,FALSE), 0)</f>
        <v>0.52</v>
      </c>
      <c r="I198" s="3">
        <f>IFERROR(VLOOKUP(I$1&amp;$A198&amp;$B198,배당편집!$D$2:$N$2710,11,FALSE), 0)</f>
        <v>0.33</v>
      </c>
      <c r="J198" s="3">
        <f>IFERROR(VLOOKUP(J$1&amp;$A198&amp;$B198,배당편집!$D$2:$N$2710,11,FALSE), 0)</f>
        <v>0</v>
      </c>
      <c r="K198" s="3">
        <f>IFERROR(VLOOKUP(K$1&amp;$A198&amp;$B198,배당편집!$D$2:$N$2710,11,FALSE), 0)</f>
        <v>0</v>
      </c>
      <c r="L198" s="3">
        <f>IFERROR(VLOOKUP(L$1&amp;$A198&amp;$B198,배당편집!$D$2:$N$2710,11,FALSE), 0)</f>
        <v>0.1</v>
      </c>
      <c r="M198" s="3">
        <f>IFERROR(VLOOKUP(M$1&amp;$A198&amp;$B198,배당편집!$D$2:$N$2710,11,FALSE), 0)</f>
        <v>0</v>
      </c>
      <c r="N198" s="3">
        <f>IFERROR(VLOOKUP(N$1&amp;$A198&amp;$B198,배당편집!$D$2:$N$2710,11,FALSE), 0)</f>
        <v>0.2225</v>
      </c>
      <c r="O198" s="3">
        <f>IFERROR(VLOOKUP(O$1&amp;$A198&amp;$B198,배당편집!$D$2:$N$2710,11,FALSE), 0)</f>
        <v>0</v>
      </c>
      <c r="P198" s="3">
        <f>IFERROR(VLOOKUP(P$1&amp;$A198&amp;$B198,배당편집!$D$2:$N$2710,11,FALSE), 0)</f>
        <v>0</v>
      </c>
      <c r="Q198" s="3">
        <f>IFERROR(VLOOKUP(Q$1&amp;$A198&amp;$B198,배당편집!$D$2:$N$2710,11,FALSE), 0)</f>
        <v>0.375</v>
      </c>
      <c r="R198" s="3">
        <f>IFERROR(VLOOKUP(R$1&amp;$A198&amp;$B198,배당편집!$D$2:$N$2710,11,FALSE), 0)</f>
        <v>0.315</v>
      </c>
      <c r="S198" s="3">
        <f>IFERROR(VLOOKUP(S$1&amp;$A198&amp;$B198,배당편집!$D$2:$N$2710,11,FALSE), 0)</f>
        <v>0</v>
      </c>
      <c r="T198" s="3">
        <f>IFERROR(VLOOKUP(T$1&amp;$A198&amp;$B198,배당편집!$D$2:$N$2710,11,FALSE), 0)</f>
        <v>0</v>
      </c>
      <c r="U198" s="3">
        <f>IFERROR(VLOOKUP(U$1&amp;$A198&amp;$B198,배당편집!$D$2:$N$2710,11,FALSE), 0)</f>
        <v>0</v>
      </c>
      <c r="V198" s="3">
        <f>IFERROR(VLOOKUP(V$1&amp;$A198&amp;$B198,배당편집!$D$2:$N$2710,11,FALSE), 0)</f>
        <v>0</v>
      </c>
      <c r="W198" s="3">
        <f>IFERROR(VLOOKUP(W$1&amp;$A198&amp;$B198,배당편집!$D$2:$N$2710,11,FALSE), 0)</f>
        <v>0</v>
      </c>
      <c r="X198" s="3">
        <f>IFERROR(VLOOKUP(X$1&amp;$A198&amp;$B198,배당편집!$D$2:$N$2710,11,FALSE), 0)</f>
        <v>0.24</v>
      </c>
      <c r="Y198" s="3">
        <f>IFERROR(VLOOKUP(Y$1&amp;$A198&amp;$B198,배당편집!$D$2:$N$2710,11,FALSE), 0)</f>
        <v>7.6666666666666675E-2</v>
      </c>
      <c r="Z198" s="3">
        <f>IFERROR(VLOOKUP(Z$1&amp;$A198&amp;$B198,배당편집!$D$2:$N$2710,11,FALSE), 0)</f>
        <v>0</v>
      </c>
      <c r="AA198" s="3">
        <f>IFERROR(VLOOKUP(AA$1&amp;$A198&amp;$B198,배당편집!$D$2:$N$2710,11,FALSE), 0)</f>
        <v>0.1</v>
      </c>
      <c r="AB198" s="3">
        <f>IFERROR(VLOOKUP(AB$1&amp;$A198&amp;$B198,배당편집!$D$2:$N$2710,11,FALSE), 0)</f>
        <v>0</v>
      </c>
      <c r="AC198" s="3">
        <f>IFERROR(VLOOKUP(AC$1&amp;$A198&amp;$B198,배당편집!$D$2:$N$2710,11,FALSE), 0)</f>
        <v>0.14374999999999999</v>
      </c>
      <c r="AD198" s="3">
        <f>IFERROR(VLOOKUP(AD$1&amp;$A198&amp;$B198,배당편집!$D$2:$N$2710,11,FALSE), 0)</f>
        <v>0</v>
      </c>
      <c r="AE198" s="3">
        <f>IFERROR(VLOOKUP(AE$1&amp;$A198&amp;$B198,배당편집!$D$2:$N$2710,11,FALSE), 0)</f>
        <v>0.11</v>
      </c>
      <c r="AF198" s="3">
        <f>IFERROR(VLOOKUP(AF$1&amp;$A198&amp;$B198,배당편집!$D$2:$N$2710,11,FALSE), 0)</f>
        <v>0.17</v>
      </c>
    </row>
    <row r="199" spans="1:32" ht="16.5" customHeight="1">
      <c r="A199" s="3">
        <v>2006</v>
      </c>
      <c r="B199" s="3">
        <v>6</v>
      </c>
      <c r="C199" s="3">
        <f>IFERROR(VLOOKUP(C$1&amp;$A199&amp;$B199,배당편집!$D$2:$N$2710,11,FALSE), 0)</f>
        <v>0</v>
      </c>
      <c r="D199" s="3">
        <f>IFERROR(VLOOKUP(D$1&amp;$A199&amp;$B199,배당편집!$D$2:$N$2710,11,FALSE), 0)</f>
        <v>0.17</v>
      </c>
      <c r="E199" s="3">
        <f>IFERROR(VLOOKUP(E$1&amp;$A199&amp;$B199,배당편집!$D$2:$N$2710,11,FALSE), 0)</f>
        <v>0.04</v>
      </c>
      <c r="F199" s="3">
        <f>IFERROR(VLOOKUP(F$1&amp;$A199&amp;$B199,배당편집!$D$2:$N$2710,11,FALSE), 0)</f>
        <v>0.28999999999999998</v>
      </c>
      <c r="G199" s="3">
        <f>IFERROR(VLOOKUP(G$1&amp;$A199&amp;$B199,배당편집!$D$2:$N$2710,11,FALSE), 0)</f>
        <v>0</v>
      </c>
      <c r="H199" s="3">
        <f>IFERROR(VLOOKUP(H$1&amp;$A199&amp;$B199,배당편집!$D$2:$N$2710,11,FALSE), 0)</f>
        <v>0</v>
      </c>
      <c r="I199" s="3">
        <f>IFERROR(VLOOKUP(I$1&amp;$A199&amp;$B199,배당편집!$D$2:$N$2710,11,FALSE), 0)</f>
        <v>0</v>
      </c>
      <c r="J199" s="3">
        <f>IFERROR(VLOOKUP(J$1&amp;$A199&amp;$B199,배당편집!$D$2:$N$2710,11,FALSE), 0)</f>
        <v>0.3</v>
      </c>
      <c r="K199" s="3">
        <f>IFERROR(VLOOKUP(K$1&amp;$A199&amp;$B199,배당편집!$D$2:$N$2710,11,FALSE), 0)</f>
        <v>0</v>
      </c>
      <c r="L199" s="3">
        <f>IFERROR(VLOOKUP(L$1&amp;$A199&amp;$B199,배당편집!$D$2:$N$2710,11,FALSE), 0)</f>
        <v>0</v>
      </c>
      <c r="M199" s="3">
        <f>IFERROR(VLOOKUP(M$1&amp;$A199&amp;$B199,배당편집!$D$2:$N$2710,11,FALSE), 0)</f>
        <v>0.16500000000000001</v>
      </c>
      <c r="N199" s="3">
        <f>IFERROR(VLOOKUP(N$1&amp;$A199&amp;$B199,배당편집!$D$2:$N$2710,11,FALSE), 0)</f>
        <v>0</v>
      </c>
      <c r="O199" s="3">
        <f>IFERROR(VLOOKUP(O$1&amp;$A199&amp;$B199,배당편집!$D$2:$N$2710,11,FALSE), 0)</f>
        <v>0.34</v>
      </c>
      <c r="P199" s="3">
        <f>IFERROR(VLOOKUP(P$1&amp;$A199&amp;$B199,배당편집!$D$2:$N$2710,11,FALSE), 0)</f>
        <v>0</v>
      </c>
      <c r="Q199" s="3">
        <f>IFERROR(VLOOKUP(Q$1&amp;$A199&amp;$B199,배당편집!$D$2:$N$2710,11,FALSE), 0)</f>
        <v>0</v>
      </c>
      <c r="R199" s="3">
        <f>IFERROR(VLOOKUP(R$1&amp;$A199&amp;$B199,배당편집!$D$2:$N$2710,11,FALSE), 0)</f>
        <v>0</v>
      </c>
      <c r="S199" s="3">
        <f>IFERROR(VLOOKUP(S$1&amp;$A199&amp;$B199,배당편집!$D$2:$N$2710,11,FALSE), 0)</f>
        <v>0.33750000000000002</v>
      </c>
      <c r="T199" s="3">
        <f>IFERROR(VLOOKUP(T$1&amp;$A199&amp;$B199,배당편집!$D$2:$N$2710,11,FALSE), 0)</f>
        <v>0</v>
      </c>
      <c r="U199" s="3">
        <f>IFERROR(VLOOKUP(U$1&amp;$A199&amp;$B199,배당편집!$D$2:$N$2710,11,FALSE), 0)</f>
        <v>0</v>
      </c>
      <c r="V199" s="3">
        <f>IFERROR(VLOOKUP(V$1&amp;$A199&amp;$B199,배당편집!$D$2:$N$2710,11,FALSE), 0)</f>
        <v>0</v>
      </c>
      <c r="W199" s="3">
        <f>IFERROR(VLOOKUP(W$1&amp;$A199&amp;$B199,배당편집!$D$2:$N$2710,11,FALSE), 0)</f>
        <v>0</v>
      </c>
      <c r="X199" s="3">
        <f>IFERROR(VLOOKUP(X$1&amp;$A199&amp;$B199,배당편집!$D$2:$N$2710,11,FALSE), 0)</f>
        <v>0</v>
      </c>
      <c r="Y199" s="3">
        <f>IFERROR(VLOOKUP(Y$1&amp;$A199&amp;$B199,배당편집!$D$2:$N$2710,11,FALSE), 0)</f>
        <v>0</v>
      </c>
      <c r="Z199" s="3">
        <f>IFERROR(VLOOKUP(Z$1&amp;$A199&amp;$B199,배당편집!$D$2:$N$2710,11,FALSE), 0)</f>
        <v>0</v>
      </c>
      <c r="AA199" s="3">
        <f>IFERROR(VLOOKUP(AA$1&amp;$A199&amp;$B199,배당편집!$D$2:$N$2710,11,FALSE), 0)</f>
        <v>0</v>
      </c>
      <c r="AB199" s="3">
        <f>IFERROR(VLOOKUP(AB$1&amp;$A199&amp;$B199,배당편집!$D$2:$N$2710,11,FALSE), 0)</f>
        <v>0</v>
      </c>
      <c r="AC199" s="3">
        <f>IFERROR(VLOOKUP(AC$1&amp;$A199&amp;$B199,배당편집!$D$2:$N$2710,11,FALSE), 0)</f>
        <v>0</v>
      </c>
      <c r="AD199" s="3">
        <f>IFERROR(VLOOKUP(AD$1&amp;$A199&amp;$B199,배당편집!$D$2:$N$2710,11,FALSE), 0)</f>
        <v>0.185</v>
      </c>
      <c r="AE199" s="3">
        <f>IFERROR(VLOOKUP(AE$1&amp;$A199&amp;$B199,배당편집!$D$2:$N$2710,11,FALSE), 0)</f>
        <v>0</v>
      </c>
      <c r="AF199" s="3">
        <f>IFERROR(VLOOKUP(AF$1&amp;$A199&amp;$B199,배당편집!$D$2:$N$2710,11,FALSE), 0)</f>
        <v>0</v>
      </c>
    </row>
    <row r="200" spans="1:32" ht="16.5" customHeight="1">
      <c r="A200" s="3">
        <v>2006</v>
      </c>
      <c r="B200" s="3">
        <v>7</v>
      </c>
      <c r="C200" s="3">
        <f>IFERROR(VLOOKUP(C$1&amp;$A200&amp;$B200,배당편집!$D$2:$N$2710,11,FALSE), 0)</f>
        <v>0</v>
      </c>
      <c r="D200" s="3">
        <f>IFERROR(VLOOKUP(D$1&amp;$A200&amp;$B200,배당편집!$D$2:$N$2710,11,FALSE), 0)</f>
        <v>0</v>
      </c>
      <c r="E200" s="3">
        <f>IFERROR(VLOOKUP(E$1&amp;$A200&amp;$B200,배당편집!$D$2:$N$2710,11,FALSE), 0)</f>
        <v>0</v>
      </c>
      <c r="F200" s="3">
        <f>IFERROR(VLOOKUP(F$1&amp;$A200&amp;$B200,배당편집!$D$2:$N$2710,11,FALSE), 0)</f>
        <v>0</v>
      </c>
      <c r="G200" s="3">
        <f>IFERROR(VLOOKUP(G$1&amp;$A200&amp;$B200,배당편집!$D$2:$N$2710,11,FALSE), 0)</f>
        <v>0</v>
      </c>
      <c r="H200" s="3">
        <f>IFERROR(VLOOKUP(H$1&amp;$A200&amp;$B200,배당편집!$D$2:$N$2710,11,FALSE), 0)</f>
        <v>0</v>
      </c>
      <c r="I200" s="3">
        <f>IFERROR(VLOOKUP(I$1&amp;$A200&amp;$B200,배당편집!$D$2:$N$2710,11,FALSE), 0)</f>
        <v>0</v>
      </c>
      <c r="J200" s="3">
        <f>IFERROR(VLOOKUP(J$1&amp;$A200&amp;$B200,배당편집!$D$2:$N$2710,11,FALSE), 0)</f>
        <v>0</v>
      </c>
      <c r="K200" s="3">
        <f>IFERROR(VLOOKUP(K$1&amp;$A200&amp;$B200,배당편집!$D$2:$N$2710,11,FALSE), 0)</f>
        <v>0.3</v>
      </c>
      <c r="L200" s="3">
        <f>IFERROR(VLOOKUP(L$1&amp;$A200&amp;$B200,배당편집!$D$2:$N$2710,11,FALSE), 0)</f>
        <v>0</v>
      </c>
      <c r="M200" s="3">
        <f>IFERROR(VLOOKUP(M$1&amp;$A200&amp;$B200,배당편집!$D$2:$N$2710,11,FALSE), 0)</f>
        <v>0</v>
      </c>
      <c r="N200" s="3">
        <f>IFERROR(VLOOKUP(N$1&amp;$A200&amp;$B200,배당편집!$D$2:$N$2710,11,FALSE), 0)</f>
        <v>0</v>
      </c>
      <c r="O200" s="3">
        <f>IFERROR(VLOOKUP(O$1&amp;$A200&amp;$B200,배당편집!$D$2:$N$2710,11,FALSE), 0)</f>
        <v>0</v>
      </c>
      <c r="P200" s="3">
        <f>IFERROR(VLOOKUP(P$1&amp;$A200&amp;$B200,배당편집!$D$2:$N$2710,11,FALSE), 0)</f>
        <v>0.31</v>
      </c>
      <c r="Q200" s="3">
        <f>IFERROR(VLOOKUP(Q$1&amp;$A200&amp;$B200,배당편집!$D$2:$N$2710,11,FALSE), 0)</f>
        <v>0</v>
      </c>
      <c r="R200" s="3">
        <f>IFERROR(VLOOKUP(R$1&amp;$A200&amp;$B200,배당편집!$D$2:$N$2710,11,FALSE), 0)</f>
        <v>0</v>
      </c>
      <c r="S200" s="3">
        <f>IFERROR(VLOOKUP(S$1&amp;$A200&amp;$B200,배당편집!$D$2:$N$2710,11,FALSE), 0)</f>
        <v>0</v>
      </c>
      <c r="T200" s="3">
        <f>IFERROR(VLOOKUP(T$1&amp;$A200&amp;$B200,배당편집!$D$2:$N$2710,11,FALSE), 0)</f>
        <v>0.23</v>
      </c>
      <c r="U200" s="3">
        <f>IFERROR(VLOOKUP(U$1&amp;$A200&amp;$B200,배당편집!$D$2:$N$2710,11,FALSE), 0)</f>
        <v>0</v>
      </c>
      <c r="V200" s="3">
        <f>IFERROR(VLOOKUP(V$1&amp;$A200&amp;$B200,배당편집!$D$2:$N$2710,11,FALSE), 0)</f>
        <v>3.5000000000000003E-2</v>
      </c>
      <c r="W200" s="3">
        <f>IFERROR(VLOOKUP(W$1&amp;$A200&amp;$B200,배당편집!$D$2:$N$2710,11,FALSE), 0)</f>
        <v>0.05</v>
      </c>
      <c r="X200" s="3">
        <f>IFERROR(VLOOKUP(X$1&amp;$A200&amp;$B200,배당편집!$D$2:$N$2710,11,FALSE), 0)</f>
        <v>0</v>
      </c>
      <c r="Y200" s="3">
        <f>IFERROR(VLOOKUP(Y$1&amp;$A200&amp;$B200,배당편집!$D$2:$N$2710,11,FALSE), 0)</f>
        <v>0</v>
      </c>
      <c r="Z200" s="3">
        <f>IFERROR(VLOOKUP(Z$1&amp;$A200&amp;$B200,배당편집!$D$2:$N$2710,11,FALSE), 0)</f>
        <v>0.11</v>
      </c>
      <c r="AA200" s="3">
        <f>IFERROR(VLOOKUP(AA$1&amp;$A200&amp;$B200,배당편집!$D$2:$N$2710,11,FALSE), 0)</f>
        <v>0</v>
      </c>
      <c r="AB200" s="3">
        <f>IFERROR(VLOOKUP(AB$1&amp;$A200&amp;$B200,배당편집!$D$2:$N$2710,11,FALSE), 0)</f>
        <v>7.3749999999999996E-2</v>
      </c>
      <c r="AC200" s="3">
        <f>IFERROR(VLOOKUP(AC$1&amp;$A200&amp;$B200,배당편집!$D$2:$N$2710,11,FALSE), 0)</f>
        <v>0</v>
      </c>
      <c r="AD200" s="3">
        <f>IFERROR(VLOOKUP(AD$1&amp;$A200&amp;$B200,배당편집!$D$2:$N$2710,11,FALSE), 0)</f>
        <v>0</v>
      </c>
      <c r="AE200" s="3">
        <f>IFERROR(VLOOKUP(AE$1&amp;$A200&amp;$B200,배당편집!$D$2:$N$2710,11,FALSE), 0)</f>
        <v>0</v>
      </c>
      <c r="AF200" s="3">
        <f>IFERROR(VLOOKUP(AF$1&amp;$A200&amp;$B200,배당편집!$D$2:$N$2710,11,FALSE), 0)</f>
        <v>0</v>
      </c>
    </row>
    <row r="201" spans="1:32" ht="16.5" customHeight="1">
      <c r="A201" s="3">
        <v>2006</v>
      </c>
      <c r="B201" s="3">
        <v>8</v>
      </c>
      <c r="C201" s="3">
        <f>IFERROR(VLOOKUP(C$1&amp;$A201&amp;$B201,배당편집!$D$2:$N$2710,11,FALSE), 0)</f>
        <v>7.7499999999999999E-2</v>
      </c>
      <c r="D201" s="3">
        <f>IFERROR(VLOOKUP(D$1&amp;$A201&amp;$B201,배당편집!$D$2:$N$2710,11,FALSE), 0)</f>
        <v>0</v>
      </c>
      <c r="E201" s="3">
        <f>IFERROR(VLOOKUP(E$1&amp;$A201&amp;$B201,배당편집!$D$2:$N$2710,11,FALSE), 0)</f>
        <v>0</v>
      </c>
      <c r="F201" s="3">
        <f>IFERROR(VLOOKUP(F$1&amp;$A201&amp;$B201,배당편집!$D$2:$N$2710,11,FALSE), 0)</f>
        <v>0</v>
      </c>
      <c r="G201" s="3">
        <f>IFERROR(VLOOKUP(G$1&amp;$A201&amp;$B201,배당편집!$D$2:$N$2710,11,FALSE), 0)</f>
        <v>0.32</v>
      </c>
      <c r="H201" s="3">
        <f>IFERROR(VLOOKUP(H$1&amp;$A201&amp;$B201,배당편집!$D$2:$N$2710,11,FALSE), 0)</f>
        <v>0.52</v>
      </c>
      <c r="I201" s="3">
        <f>IFERROR(VLOOKUP(I$1&amp;$A201&amp;$B201,배당편집!$D$2:$N$2710,11,FALSE), 0)</f>
        <v>0.33</v>
      </c>
      <c r="J201" s="3">
        <f>IFERROR(VLOOKUP(J$1&amp;$A201&amp;$B201,배당편집!$D$2:$N$2710,11,FALSE), 0)</f>
        <v>0</v>
      </c>
      <c r="K201" s="3">
        <f>IFERROR(VLOOKUP(K$1&amp;$A201&amp;$B201,배당편집!$D$2:$N$2710,11,FALSE), 0)</f>
        <v>0</v>
      </c>
      <c r="L201" s="3">
        <f>IFERROR(VLOOKUP(L$1&amp;$A201&amp;$B201,배당편집!$D$2:$N$2710,11,FALSE), 0)</f>
        <v>0.12</v>
      </c>
      <c r="M201" s="3">
        <f>IFERROR(VLOOKUP(M$1&amp;$A201&amp;$B201,배당편집!$D$2:$N$2710,11,FALSE), 0)</f>
        <v>0</v>
      </c>
      <c r="N201" s="3">
        <f>IFERROR(VLOOKUP(N$1&amp;$A201&amp;$B201,배당편집!$D$2:$N$2710,11,FALSE), 0)</f>
        <v>0.2225</v>
      </c>
      <c r="O201" s="3">
        <f>IFERROR(VLOOKUP(O$1&amp;$A201&amp;$B201,배당편집!$D$2:$N$2710,11,FALSE), 0)</f>
        <v>0</v>
      </c>
      <c r="P201" s="3">
        <f>IFERROR(VLOOKUP(P$1&amp;$A201&amp;$B201,배당편집!$D$2:$N$2710,11,FALSE), 0)</f>
        <v>0</v>
      </c>
      <c r="Q201" s="3">
        <f>IFERROR(VLOOKUP(Q$1&amp;$A201&amp;$B201,배당편집!$D$2:$N$2710,11,FALSE), 0)</f>
        <v>0.375</v>
      </c>
      <c r="R201" s="3">
        <f>IFERROR(VLOOKUP(R$1&amp;$A201&amp;$B201,배당편집!$D$2:$N$2710,11,FALSE), 0)</f>
        <v>0.315</v>
      </c>
      <c r="S201" s="3">
        <f>IFERROR(VLOOKUP(S$1&amp;$A201&amp;$B201,배당편집!$D$2:$N$2710,11,FALSE), 0)</f>
        <v>0</v>
      </c>
      <c r="T201" s="3">
        <f>IFERROR(VLOOKUP(T$1&amp;$A201&amp;$B201,배당편집!$D$2:$N$2710,11,FALSE), 0)</f>
        <v>0</v>
      </c>
      <c r="U201" s="3">
        <f>IFERROR(VLOOKUP(U$1&amp;$A201&amp;$B201,배당편집!$D$2:$N$2710,11,FALSE), 0)</f>
        <v>0</v>
      </c>
      <c r="V201" s="3">
        <f>IFERROR(VLOOKUP(V$1&amp;$A201&amp;$B201,배당편집!$D$2:$N$2710,11,FALSE), 0)</f>
        <v>0</v>
      </c>
      <c r="W201" s="3">
        <f>IFERROR(VLOOKUP(W$1&amp;$A201&amp;$B201,배당편집!$D$2:$N$2710,11,FALSE), 0)</f>
        <v>0</v>
      </c>
      <c r="X201" s="3">
        <f>IFERROR(VLOOKUP(X$1&amp;$A201&amp;$B201,배당편집!$D$2:$N$2710,11,FALSE), 0)</f>
        <v>0.24</v>
      </c>
      <c r="Y201" s="3">
        <f>IFERROR(VLOOKUP(Y$1&amp;$A201&amp;$B201,배당편집!$D$2:$N$2710,11,FALSE), 0)</f>
        <v>8.666666666666667E-2</v>
      </c>
      <c r="Z201" s="3">
        <f>IFERROR(VLOOKUP(Z$1&amp;$A201&amp;$B201,배당편집!$D$2:$N$2710,11,FALSE), 0)</f>
        <v>0</v>
      </c>
      <c r="AA201" s="3">
        <f>IFERROR(VLOOKUP(AA$1&amp;$A201&amp;$B201,배당편집!$D$2:$N$2710,11,FALSE), 0)</f>
        <v>0.1</v>
      </c>
      <c r="AB201" s="3">
        <f>IFERROR(VLOOKUP(AB$1&amp;$A201&amp;$B201,배당편집!$D$2:$N$2710,11,FALSE), 0)</f>
        <v>0</v>
      </c>
      <c r="AC201" s="3">
        <f>IFERROR(VLOOKUP(AC$1&amp;$A201&amp;$B201,배당편집!$D$2:$N$2710,11,FALSE), 0)</f>
        <v>0.14374999999999999</v>
      </c>
      <c r="AD201" s="3">
        <f>IFERROR(VLOOKUP(AD$1&amp;$A201&amp;$B201,배당편집!$D$2:$N$2710,11,FALSE), 0)</f>
        <v>0</v>
      </c>
      <c r="AE201" s="3">
        <f>IFERROR(VLOOKUP(AE$1&amp;$A201&amp;$B201,배당편집!$D$2:$N$2710,11,FALSE), 0)</f>
        <v>0.12</v>
      </c>
      <c r="AF201" s="3">
        <f>IFERROR(VLOOKUP(AF$1&amp;$A201&amp;$B201,배당편집!$D$2:$N$2710,11,FALSE), 0)</f>
        <v>0.185</v>
      </c>
    </row>
    <row r="202" spans="1:32" ht="16.5" customHeight="1">
      <c r="A202" s="3">
        <v>2006</v>
      </c>
      <c r="B202" s="3">
        <v>9</v>
      </c>
      <c r="C202" s="3">
        <f>IFERROR(VLOOKUP(C$1&amp;$A202&amp;$B202,배당편집!$D$2:$N$2710,11,FALSE), 0)</f>
        <v>0</v>
      </c>
      <c r="D202" s="3">
        <f>IFERROR(VLOOKUP(D$1&amp;$A202&amp;$B202,배당편집!$D$2:$N$2710,11,FALSE), 0)</f>
        <v>0.17</v>
      </c>
      <c r="E202" s="3">
        <f>IFERROR(VLOOKUP(E$1&amp;$A202&amp;$B202,배당편집!$D$2:$N$2710,11,FALSE), 0)</f>
        <v>0</v>
      </c>
      <c r="F202" s="3">
        <f>IFERROR(VLOOKUP(F$1&amp;$A202&amp;$B202,배당편집!$D$2:$N$2710,11,FALSE), 0)</f>
        <v>0.3</v>
      </c>
      <c r="G202" s="3">
        <f>IFERROR(VLOOKUP(G$1&amp;$A202&amp;$B202,배당편집!$D$2:$N$2710,11,FALSE), 0)</f>
        <v>0</v>
      </c>
      <c r="H202" s="3">
        <f>IFERROR(VLOOKUP(H$1&amp;$A202&amp;$B202,배당편집!$D$2:$N$2710,11,FALSE), 0)</f>
        <v>0</v>
      </c>
      <c r="I202" s="3">
        <f>IFERROR(VLOOKUP(I$1&amp;$A202&amp;$B202,배당편집!$D$2:$N$2710,11,FALSE), 0)</f>
        <v>0</v>
      </c>
      <c r="J202" s="3">
        <f>IFERROR(VLOOKUP(J$1&amp;$A202&amp;$B202,배당편집!$D$2:$N$2710,11,FALSE), 0)</f>
        <v>0.3</v>
      </c>
      <c r="K202" s="3">
        <f>IFERROR(VLOOKUP(K$1&amp;$A202&amp;$B202,배당편집!$D$2:$N$2710,11,FALSE), 0)</f>
        <v>0</v>
      </c>
      <c r="L202" s="3">
        <f>IFERROR(VLOOKUP(L$1&amp;$A202&amp;$B202,배당편집!$D$2:$N$2710,11,FALSE), 0)</f>
        <v>0</v>
      </c>
      <c r="M202" s="3">
        <f>IFERROR(VLOOKUP(M$1&amp;$A202&amp;$B202,배당편집!$D$2:$N$2710,11,FALSE), 0)</f>
        <v>0.21</v>
      </c>
      <c r="N202" s="3">
        <f>IFERROR(VLOOKUP(N$1&amp;$A202&amp;$B202,배당편집!$D$2:$N$2710,11,FALSE), 0)</f>
        <v>0</v>
      </c>
      <c r="O202" s="3">
        <f>IFERROR(VLOOKUP(O$1&amp;$A202&amp;$B202,배당편집!$D$2:$N$2710,11,FALSE), 0)</f>
        <v>0.34</v>
      </c>
      <c r="P202" s="3">
        <f>IFERROR(VLOOKUP(P$1&amp;$A202&amp;$B202,배당편집!$D$2:$N$2710,11,FALSE), 0)</f>
        <v>0</v>
      </c>
      <c r="Q202" s="3">
        <f>IFERROR(VLOOKUP(Q$1&amp;$A202&amp;$B202,배당편집!$D$2:$N$2710,11,FALSE), 0)</f>
        <v>0</v>
      </c>
      <c r="R202" s="3">
        <f>IFERROR(VLOOKUP(R$1&amp;$A202&amp;$B202,배당편집!$D$2:$N$2710,11,FALSE), 0)</f>
        <v>0</v>
      </c>
      <c r="S202" s="3">
        <f>IFERROR(VLOOKUP(S$1&amp;$A202&amp;$B202,배당편집!$D$2:$N$2710,11,FALSE), 0)</f>
        <v>0.33750000000000002</v>
      </c>
      <c r="T202" s="3">
        <f>IFERROR(VLOOKUP(T$1&amp;$A202&amp;$B202,배당편집!$D$2:$N$2710,11,FALSE), 0)</f>
        <v>0</v>
      </c>
      <c r="U202" s="3">
        <f>IFERROR(VLOOKUP(U$1&amp;$A202&amp;$B202,배당편집!$D$2:$N$2710,11,FALSE), 0)</f>
        <v>0</v>
      </c>
      <c r="V202" s="3">
        <f>IFERROR(VLOOKUP(V$1&amp;$A202&amp;$B202,배당편집!$D$2:$N$2710,11,FALSE), 0)</f>
        <v>0</v>
      </c>
      <c r="W202" s="3">
        <f>IFERROR(VLOOKUP(W$1&amp;$A202&amp;$B202,배당편집!$D$2:$N$2710,11,FALSE), 0)</f>
        <v>0</v>
      </c>
      <c r="X202" s="3">
        <f>IFERROR(VLOOKUP(X$1&amp;$A202&amp;$B202,배당편집!$D$2:$N$2710,11,FALSE), 0)</f>
        <v>0</v>
      </c>
      <c r="Y202" s="3">
        <f>IFERROR(VLOOKUP(Y$1&amp;$A202&amp;$B202,배당편집!$D$2:$N$2710,11,FALSE), 0)</f>
        <v>0</v>
      </c>
      <c r="Z202" s="3">
        <f>IFERROR(VLOOKUP(Z$1&amp;$A202&amp;$B202,배당편집!$D$2:$N$2710,11,FALSE), 0)</f>
        <v>0</v>
      </c>
      <c r="AA202" s="3">
        <f>IFERROR(VLOOKUP(AA$1&amp;$A202&amp;$B202,배당편집!$D$2:$N$2710,11,FALSE), 0)</f>
        <v>0</v>
      </c>
      <c r="AB202" s="3">
        <f>IFERROR(VLOOKUP(AB$1&amp;$A202&amp;$B202,배당편집!$D$2:$N$2710,11,FALSE), 0)</f>
        <v>0</v>
      </c>
      <c r="AC202" s="3">
        <f>IFERROR(VLOOKUP(AC$1&amp;$A202&amp;$B202,배당편집!$D$2:$N$2710,11,FALSE), 0)</f>
        <v>0</v>
      </c>
      <c r="AD202" s="3">
        <f>IFERROR(VLOOKUP(AD$1&amp;$A202&amp;$B202,배당편집!$D$2:$N$2710,11,FALSE), 0)</f>
        <v>0.185</v>
      </c>
      <c r="AE202" s="3">
        <f>IFERROR(VLOOKUP(AE$1&amp;$A202&amp;$B202,배당편집!$D$2:$N$2710,11,FALSE), 0)</f>
        <v>0</v>
      </c>
      <c r="AF202" s="3">
        <f>IFERROR(VLOOKUP(AF$1&amp;$A202&amp;$B202,배당편집!$D$2:$N$2710,11,FALSE), 0)</f>
        <v>0</v>
      </c>
    </row>
    <row r="203" spans="1:32" ht="16.5" customHeight="1">
      <c r="A203" s="3">
        <v>2006</v>
      </c>
      <c r="B203" s="3">
        <v>10</v>
      </c>
      <c r="C203" s="3">
        <f>IFERROR(VLOOKUP(C$1&amp;$A203&amp;$B203,배당편집!$D$2:$N$2710,11,FALSE), 0)</f>
        <v>0</v>
      </c>
      <c r="D203" s="3">
        <f>IFERROR(VLOOKUP(D$1&amp;$A203&amp;$B203,배당편집!$D$2:$N$2710,11,FALSE), 0)</f>
        <v>0</v>
      </c>
      <c r="E203" s="3">
        <f>IFERROR(VLOOKUP(E$1&amp;$A203&amp;$B203,배당편집!$D$2:$N$2710,11,FALSE), 0)</f>
        <v>0.04</v>
      </c>
      <c r="F203" s="3">
        <f>IFERROR(VLOOKUP(F$1&amp;$A203&amp;$B203,배당편집!$D$2:$N$2710,11,FALSE), 0)</f>
        <v>0</v>
      </c>
      <c r="G203" s="3">
        <f>IFERROR(VLOOKUP(G$1&amp;$A203&amp;$B203,배당편집!$D$2:$N$2710,11,FALSE), 0)</f>
        <v>0</v>
      </c>
      <c r="H203" s="3">
        <f>IFERROR(VLOOKUP(H$1&amp;$A203&amp;$B203,배당편집!$D$2:$N$2710,11,FALSE), 0)</f>
        <v>0</v>
      </c>
      <c r="I203" s="3">
        <f>IFERROR(VLOOKUP(I$1&amp;$A203&amp;$B203,배당편집!$D$2:$N$2710,11,FALSE), 0)</f>
        <v>0</v>
      </c>
      <c r="J203" s="3">
        <f>IFERROR(VLOOKUP(J$1&amp;$A203&amp;$B203,배당편집!$D$2:$N$2710,11,FALSE), 0)</f>
        <v>0</v>
      </c>
      <c r="K203" s="3">
        <f>IFERROR(VLOOKUP(K$1&amp;$A203&amp;$B203,배당편집!$D$2:$N$2710,11,FALSE), 0)</f>
        <v>0.3</v>
      </c>
      <c r="L203" s="3">
        <f>IFERROR(VLOOKUP(L$1&amp;$A203&amp;$B203,배당편집!$D$2:$N$2710,11,FALSE), 0)</f>
        <v>0</v>
      </c>
      <c r="M203" s="3">
        <f>IFERROR(VLOOKUP(M$1&amp;$A203&amp;$B203,배당편집!$D$2:$N$2710,11,FALSE), 0)</f>
        <v>0</v>
      </c>
      <c r="N203" s="3">
        <f>IFERROR(VLOOKUP(N$1&amp;$A203&amp;$B203,배당편집!$D$2:$N$2710,11,FALSE), 0)</f>
        <v>0</v>
      </c>
      <c r="O203" s="3">
        <f>IFERROR(VLOOKUP(O$1&amp;$A203&amp;$B203,배당편집!$D$2:$N$2710,11,FALSE), 0)</f>
        <v>0</v>
      </c>
      <c r="P203" s="3">
        <f>IFERROR(VLOOKUP(P$1&amp;$A203&amp;$B203,배당편집!$D$2:$N$2710,11,FALSE), 0)</f>
        <v>0.31</v>
      </c>
      <c r="Q203" s="3">
        <f>IFERROR(VLOOKUP(Q$1&amp;$A203&amp;$B203,배당편집!$D$2:$N$2710,11,FALSE), 0)</f>
        <v>0</v>
      </c>
      <c r="R203" s="3">
        <f>IFERROR(VLOOKUP(R$1&amp;$A203&amp;$B203,배당편집!$D$2:$N$2710,11,FALSE), 0)</f>
        <v>0</v>
      </c>
      <c r="S203" s="3">
        <f>IFERROR(VLOOKUP(S$1&amp;$A203&amp;$B203,배당편집!$D$2:$N$2710,11,FALSE), 0)</f>
        <v>0</v>
      </c>
      <c r="T203" s="3">
        <f>IFERROR(VLOOKUP(T$1&amp;$A203&amp;$B203,배당편집!$D$2:$N$2710,11,FALSE), 0)</f>
        <v>0.23</v>
      </c>
      <c r="U203" s="3">
        <f>IFERROR(VLOOKUP(U$1&amp;$A203&amp;$B203,배당편집!$D$2:$N$2710,11,FALSE), 0)</f>
        <v>0</v>
      </c>
      <c r="V203" s="3">
        <f>IFERROR(VLOOKUP(V$1&amp;$A203&amp;$B203,배당편집!$D$2:$N$2710,11,FALSE), 0)</f>
        <v>3.5000000000000003E-2</v>
      </c>
      <c r="W203" s="3">
        <f>IFERROR(VLOOKUP(W$1&amp;$A203&amp;$B203,배당편집!$D$2:$N$2710,11,FALSE), 0)</f>
        <v>0.05</v>
      </c>
      <c r="X203" s="3">
        <f>IFERROR(VLOOKUP(X$1&amp;$A203&amp;$B203,배당편집!$D$2:$N$2710,11,FALSE), 0)</f>
        <v>0</v>
      </c>
      <c r="Y203" s="3">
        <f>IFERROR(VLOOKUP(Y$1&amp;$A203&amp;$B203,배당편집!$D$2:$N$2710,11,FALSE), 0)</f>
        <v>0</v>
      </c>
      <c r="Z203" s="3">
        <f>IFERROR(VLOOKUP(Z$1&amp;$A203&amp;$B203,배당편집!$D$2:$N$2710,11,FALSE), 0)</f>
        <v>0.11</v>
      </c>
      <c r="AA203" s="3">
        <f>IFERROR(VLOOKUP(AA$1&amp;$A203&amp;$B203,배당편집!$D$2:$N$2710,11,FALSE), 0)</f>
        <v>0</v>
      </c>
      <c r="AB203" s="3">
        <f>IFERROR(VLOOKUP(AB$1&amp;$A203&amp;$B203,배당편집!$D$2:$N$2710,11,FALSE), 0)</f>
        <v>7.3749999999999996E-2</v>
      </c>
      <c r="AC203" s="3">
        <f>IFERROR(VLOOKUP(AC$1&amp;$A203&amp;$B203,배당편집!$D$2:$N$2710,11,FALSE), 0)</f>
        <v>0</v>
      </c>
      <c r="AD203" s="3">
        <f>IFERROR(VLOOKUP(AD$1&amp;$A203&amp;$B203,배당편집!$D$2:$N$2710,11,FALSE), 0)</f>
        <v>0</v>
      </c>
      <c r="AE203" s="3">
        <f>IFERROR(VLOOKUP(AE$1&amp;$A203&amp;$B203,배당편집!$D$2:$N$2710,11,FALSE), 0)</f>
        <v>0</v>
      </c>
      <c r="AF203" s="3">
        <f>IFERROR(VLOOKUP(AF$1&amp;$A203&amp;$B203,배당편집!$D$2:$N$2710,11,FALSE), 0)</f>
        <v>0</v>
      </c>
    </row>
    <row r="204" spans="1:32" ht="16.5" customHeight="1">
      <c r="A204" s="3">
        <v>2006</v>
      </c>
      <c r="B204" s="3">
        <v>11</v>
      </c>
      <c r="C204" s="3">
        <f>IFERROR(VLOOKUP(C$1&amp;$A204&amp;$B204,배당편집!$D$2:$N$2710,11,FALSE), 0)</f>
        <v>7.7499999999999999E-2</v>
      </c>
      <c r="D204" s="3">
        <f>IFERROR(VLOOKUP(D$1&amp;$A204&amp;$B204,배당편집!$D$2:$N$2710,11,FALSE), 0)</f>
        <v>0</v>
      </c>
      <c r="E204" s="3">
        <f>IFERROR(VLOOKUP(E$1&amp;$A204&amp;$B204,배당편집!$D$2:$N$2710,11,FALSE), 0)</f>
        <v>0</v>
      </c>
      <c r="F204" s="3">
        <f>IFERROR(VLOOKUP(F$1&amp;$A204&amp;$B204,배당편집!$D$2:$N$2710,11,FALSE), 0)</f>
        <v>0</v>
      </c>
      <c r="G204" s="3">
        <f>IFERROR(VLOOKUP(G$1&amp;$A204&amp;$B204,배당편집!$D$2:$N$2710,11,FALSE), 0)</f>
        <v>0.32</v>
      </c>
      <c r="H204" s="3">
        <f>IFERROR(VLOOKUP(H$1&amp;$A204&amp;$B204,배당편집!$D$2:$N$2710,11,FALSE), 0)</f>
        <v>0.52</v>
      </c>
      <c r="I204" s="3">
        <f>IFERROR(VLOOKUP(I$1&amp;$A204&amp;$B204,배당편집!$D$2:$N$2710,11,FALSE), 0)</f>
        <v>0.33</v>
      </c>
      <c r="J204" s="3">
        <f>IFERROR(VLOOKUP(J$1&amp;$A204&amp;$B204,배당편집!$D$2:$N$2710,11,FALSE), 0)</f>
        <v>0</v>
      </c>
      <c r="K204" s="3">
        <f>IFERROR(VLOOKUP(K$1&amp;$A204&amp;$B204,배당편집!$D$2:$N$2710,11,FALSE), 0)</f>
        <v>0</v>
      </c>
      <c r="L204" s="3">
        <f>IFERROR(VLOOKUP(L$1&amp;$A204&amp;$B204,배당편집!$D$2:$N$2710,11,FALSE), 0)</f>
        <v>0.12</v>
      </c>
      <c r="M204" s="3">
        <f>IFERROR(VLOOKUP(M$1&amp;$A204&amp;$B204,배당편집!$D$2:$N$2710,11,FALSE), 0)</f>
        <v>0</v>
      </c>
      <c r="N204" s="3">
        <f>IFERROR(VLOOKUP(N$1&amp;$A204&amp;$B204,배당편집!$D$2:$N$2710,11,FALSE), 0)</f>
        <v>0.26250000000000001</v>
      </c>
      <c r="O204" s="3">
        <f>IFERROR(VLOOKUP(O$1&amp;$A204&amp;$B204,배당편집!$D$2:$N$2710,11,FALSE), 0)</f>
        <v>0</v>
      </c>
      <c r="P204" s="3">
        <f>IFERROR(VLOOKUP(P$1&amp;$A204&amp;$B204,배당편집!$D$2:$N$2710,11,FALSE), 0)</f>
        <v>0</v>
      </c>
      <c r="Q204" s="3">
        <f>IFERROR(VLOOKUP(Q$1&amp;$A204&amp;$B204,배당편집!$D$2:$N$2710,11,FALSE), 0)</f>
        <v>0.375</v>
      </c>
      <c r="R204" s="3">
        <f>IFERROR(VLOOKUP(R$1&amp;$A204&amp;$B204,배당편집!$D$2:$N$2710,11,FALSE), 0)</f>
        <v>0.32</v>
      </c>
      <c r="S204" s="3">
        <f>IFERROR(VLOOKUP(S$1&amp;$A204&amp;$B204,배당편집!$D$2:$N$2710,11,FALSE), 0)</f>
        <v>0</v>
      </c>
      <c r="T204" s="3">
        <f>IFERROR(VLOOKUP(T$1&amp;$A204&amp;$B204,배당편집!$D$2:$N$2710,11,FALSE), 0)</f>
        <v>0</v>
      </c>
      <c r="U204" s="3">
        <f>IFERROR(VLOOKUP(U$1&amp;$A204&amp;$B204,배당편집!$D$2:$N$2710,11,FALSE), 0)</f>
        <v>0</v>
      </c>
      <c r="V204" s="3">
        <f>IFERROR(VLOOKUP(V$1&amp;$A204&amp;$B204,배당편집!$D$2:$N$2710,11,FALSE), 0)</f>
        <v>0</v>
      </c>
      <c r="W204" s="3">
        <f>IFERROR(VLOOKUP(W$1&amp;$A204&amp;$B204,배당편집!$D$2:$N$2710,11,FALSE), 0)</f>
        <v>0</v>
      </c>
      <c r="X204" s="3">
        <f>IFERROR(VLOOKUP(X$1&amp;$A204&amp;$B204,배당편집!$D$2:$N$2710,11,FALSE), 0)</f>
        <v>0.24</v>
      </c>
      <c r="Y204" s="3">
        <f>IFERROR(VLOOKUP(Y$1&amp;$A204&amp;$B204,배당편집!$D$2:$N$2710,11,FALSE), 0)</f>
        <v>8.666666666666667E-2</v>
      </c>
      <c r="Z204" s="3">
        <f>IFERROR(VLOOKUP(Z$1&amp;$A204&amp;$B204,배당편집!$D$2:$N$2710,11,FALSE), 0)</f>
        <v>0</v>
      </c>
      <c r="AA204" s="3">
        <f>IFERROR(VLOOKUP(AA$1&amp;$A204&amp;$B204,배당편집!$D$2:$N$2710,11,FALSE), 0)</f>
        <v>0.1</v>
      </c>
      <c r="AB204" s="3">
        <f>IFERROR(VLOOKUP(AB$1&amp;$A204&amp;$B204,배당편집!$D$2:$N$2710,11,FALSE), 0)</f>
        <v>0</v>
      </c>
      <c r="AC204" s="3">
        <f>IFERROR(VLOOKUP(AC$1&amp;$A204&amp;$B204,배당편집!$D$2:$N$2710,11,FALSE), 0)</f>
        <v>0.14374999999999999</v>
      </c>
      <c r="AD204" s="3">
        <f>IFERROR(VLOOKUP(AD$1&amp;$A204&amp;$B204,배당편집!$D$2:$N$2710,11,FALSE), 0)</f>
        <v>0</v>
      </c>
      <c r="AE204" s="3">
        <f>IFERROR(VLOOKUP(AE$1&amp;$A204&amp;$B204,배당편집!$D$2:$N$2710,11,FALSE), 0)</f>
        <v>0.12</v>
      </c>
      <c r="AF204" s="3">
        <f>IFERROR(VLOOKUP(AF$1&amp;$A204&amp;$B204,배당편집!$D$2:$N$2710,11,FALSE), 0)</f>
        <v>0.185</v>
      </c>
    </row>
    <row r="205" spans="1:32" ht="16.5" customHeight="1">
      <c r="A205" s="3">
        <v>2006</v>
      </c>
      <c r="B205" s="3">
        <v>12</v>
      </c>
      <c r="C205" s="3">
        <f>IFERROR(VLOOKUP(C$1&amp;$A205&amp;$B205,배당편집!$D$2:$N$2710,11,FALSE), 0)</f>
        <v>0</v>
      </c>
      <c r="D205" s="3">
        <f>IFERROR(VLOOKUP(D$1&amp;$A205&amp;$B205,배당편집!$D$2:$N$2710,11,FALSE), 0)</f>
        <v>0.17</v>
      </c>
      <c r="E205" s="3">
        <f>IFERROR(VLOOKUP(E$1&amp;$A205&amp;$B205,배당편집!$D$2:$N$2710,11,FALSE), 0)</f>
        <v>0.05</v>
      </c>
      <c r="F205" s="3">
        <f>IFERROR(VLOOKUP(F$1&amp;$A205&amp;$B205,배당편집!$D$2:$N$2710,11,FALSE), 0)</f>
        <v>0.3</v>
      </c>
      <c r="G205" s="3">
        <f>IFERROR(VLOOKUP(G$1&amp;$A205&amp;$B205,배당편집!$D$2:$N$2710,11,FALSE), 0)</f>
        <v>0</v>
      </c>
      <c r="H205" s="3">
        <f>IFERROR(VLOOKUP(H$1&amp;$A205&amp;$B205,배당편집!$D$2:$N$2710,11,FALSE), 0)</f>
        <v>0</v>
      </c>
      <c r="I205" s="3">
        <f>IFERROR(VLOOKUP(I$1&amp;$A205&amp;$B205,배당편집!$D$2:$N$2710,11,FALSE), 0)</f>
        <v>0</v>
      </c>
      <c r="J205" s="3">
        <f>IFERROR(VLOOKUP(J$1&amp;$A205&amp;$B205,배당편집!$D$2:$N$2710,11,FALSE), 0)</f>
        <v>0.3</v>
      </c>
      <c r="K205" s="3">
        <f>IFERROR(VLOOKUP(K$1&amp;$A205&amp;$B205,배당편집!$D$2:$N$2710,11,FALSE), 0)</f>
        <v>0</v>
      </c>
      <c r="L205" s="3">
        <f>IFERROR(VLOOKUP(L$1&amp;$A205&amp;$B205,배당편집!$D$2:$N$2710,11,FALSE), 0)</f>
        <v>0</v>
      </c>
      <c r="M205" s="3">
        <f>IFERROR(VLOOKUP(M$1&amp;$A205&amp;$B205,배당편집!$D$2:$N$2710,11,FALSE), 0)</f>
        <v>0.21</v>
      </c>
      <c r="N205" s="3">
        <f>IFERROR(VLOOKUP(N$1&amp;$A205&amp;$B205,배당편집!$D$2:$N$2710,11,FALSE), 0)</f>
        <v>0</v>
      </c>
      <c r="O205" s="3">
        <f>IFERROR(VLOOKUP(O$1&amp;$A205&amp;$B205,배당편집!$D$2:$N$2710,11,FALSE), 0)</f>
        <v>0.34</v>
      </c>
      <c r="P205" s="3">
        <f>IFERROR(VLOOKUP(P$1&amp;$A205&amp;$B205,배당편집!$D$2:$N$2710,11,FALSE), 0)</f>
        <v>0</v>
      </c>
      <c r="Q205" s="3">
        <f>IFERROR(VLOOKUP(Q$1&amp;$A205&amp;$B205,배당편집!$D$2:$N$2710,11,FALSE), 0)</f>
        <v>0</v>
      </c>
      <c r="R205" s="3">
        <f>IFERROR(VLOOKUP(R$1&amp;$A205&amp;$B205,배당편집!$D$2:$N$2710,11,FALSE), 0)</f>
        <v>0</v>
      </c>
      <c r="S205" s="3">
        <f>IFERROR(VLOOKUP(S$1&amp;$A205&amp;$B205,배당편집!$D$2:$N$2710,11,FALSE), 0)</f>
        <v>0.33750000000000002</v>
      </c>
      <c r="T205" s="3">
        <f>IFERROR(VLOOKUP(T$1&amp;$A205&amp;$B205,배당편집!$D$2:$N$2710,11,FALSE), 0)</f>
        <v>0</v>
      </c>
      <c r="U205" s="3">
        <f>IFERROR(VLOOKUP(U$1&amp;$A205&amp;$B205,배당편집!$D$2:$N$2710,11,FALSE), 0)</f>
        <v>0</v>
      </c>
      <c r="V205" s="3">
        <f>IFERROR(VLOOKUP(V$1&amp;$A205&amp;$B205,배당편집!$D$2:$N$2710,11,FALSE), 0)</f>
        <v>0</v>
      </c>
      <c r="W205" s="3">
        <f>IFERROR(VLOOKUP(W$1&amp;$A205&amp;$B205,배당편집!$D$2:$N$2710,11,FALSE), 0)</f>
        <v>0</v>
      </c>
      <c r="X205" s="3">
        <f>IFERROR(VLOOKUP(X$1&amp;$A205&amp;$B205,배당편집!$D$2:$N$2710,11,FALSE), 0)</f>
        <v>0</v>
      </c>
      <c r="Y205" s="3">
        <f>IFERROR(VLOOKUP(Y$1&amp;$A205&amp;$B205,배당편집!$D$2:$N$2710,11,FALSE), 0)</f>
        <v>0</v>
      </c>
      <c r="Z205" s="3">
        <f>IFERROR(VLOOKUP(Z$1&amp;$A205&amp;$B205,배당편집!$D$2:$N$2710,11,FALSE), 0)</f>
        <v>0</v>
      </c>
      <c r="AA205" s="3">
        <f>IFERROR(VLOOKUP(AA$1&amp;$A205&amp;$B205,배당편집!$D$2:$N$2710,11,FALSE), 0)</f>
        <v>0</v>
      </c>
      <c r="AB205" s="3">
        <f>IFERROR(VLOOKUP(AB$1&amp;$A205&amp;$B205,배당편집!$D$2:$N$2710,11,FALSE), 0)</f>
        <v>0</v>
      </c>
      <c r="AC205" s="3">
        <f>IFERROR(VLOOKUP(AC$1&amp;$A205&amp;$B205,배당편집!$D$2:$N$2710,11,FALSE), 0)</f>
        <v>0</v>
      </c>
      <c r="AD205" s="3">
        <f>IFERROR(VLOOKUP(AD$1&amp;$A205&amp;$B205,배당편집!$D$2:$N$2710,11,FALSE), 0)</f>
        <v>0.23</v>
      </c>
      <c r="AE205" s="3">
        <f>IFERROR(VLOOKUP(AE$1&amp;$A205&amp;$B205,배당편집!$D$2:$N$2710,11,FALSE), 0)</f>
        <v>0</v>
      </c>
      <c r="AF205" s="3">
        <f>IFERROR(VLOOKUP(AF$1&amp;$A205&amp;$B205,배당편집!$D$2:$N$2710,11,FALSE), 0)</f>
        <v>0</v>
      </c>
    </row>
    <row r="206" spans="1:32" ht="16.5" customHeight="1"/>
    <row r="207" spans="1:32" ht="16.5" customHeight="1"/>
    <row r="208" spans="1:32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배당편집</vt:lpstr>
      <vt:lpstr>성장률</vt:lpstr>
      <vt:lpstr>coeff</vt:lpstr>
      <vt:lpstr>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2022-11-24T06:45:11Z</dcterms:created>
  <dcterms:modified xsi:type="dcterms:W3CDTF">2022-12-09T15:26:59Z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a7a854df-c1f6-4d06-9029-0bab7e42ccb4</vt:lpwstr>
  </property>
</Properties>
</file>